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👥 Daftar Nama Pasien" sheetId="1" r:id="rId5"/>
    <sheet state="visible" name="⬇️ PEMASUKAN" sheetId="2" r:id="rId6"/>
    <sheet state="visible" name="TARGET" sheetId="3" r:id="rId7"/>
    <sheet state="visible" name="Detail431-KLINIK FT TA-02 Jul 2" sheetId="4" r:id="rId8"/>
    <sheet state="visible" name="⬆️ PENGELUARAN" sheetId="5" r:id="rId9"/>
    <sheet state="visible" name="📝 REKAP HARIAN" sheetId="6" r:id="rId10"/>
    <sheet state="hidden" name="FORM" sheetId="7" r:id="rId11"/>
    <sheet state="visible" name="⚙️ Pengaturan" sheetId="8" r:id="rId12"/>
  </sheets>
  <definedNames>
    <definedName hidden="1" localSheetId="4" name="_xlnm._FilterDatabase">'⬆️ PENGELUARAN'!$B$4:$M$1305</definedName>
    <definedName hidden="1" localSheetId="4" name="Z_B9F2F8FD_7332_4F07_9E3C_D15230E69902_.wvu.FilterData">'⬆️ PENGELUARAN'!$B$4:$M$1305</definedName>
    <definedName hidden="1" localSheetId="1" name="Z_06BC0AA9_5124_4294_986D_A00D10A314E2_.wvu.FilterData">'⬇️ PEMASUKAN'!$B$4:$U$3237</definedName>
  </definedNames>
  <calcPr/>
  <customWorkbookViews>
    <customWorkbookView activeSheetId="0" maximized="1" windowHeight="0" windowWidth="0" guid="{B9F2F8FD-7332-4F07-9E3C-D15230E69902}" name="Group by Kategori"/>
    <customWorkbookView activeSheetId="0" maximized="1" windowHeight="0" windowWidth="0" guid="{06BC0AA9-5124-4294-986D-A00D10A314E2}" name="Group by Metode Bayar"/>
  </customWorkbookViews>
  <pivotCaches>
    <pivotCache cacheId="0" r:id="rId13"/>
    <pivotCache cacheId="1" r:id="rId14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tc={0644fa6e-af41-4121-b52a-75f6e9c1c04a}</author>
    <author>tc={1040a6ff-709d-46d9-bafe-66351e84d075}</author>
    <author>tc={16248ff7-3c05-41ad-a271-f852c16fd4db}</author>
    <author>tc={189b1b39-c628-40db-b15c-11a014467996}</author>
    <author>tc={1cd86ed3-ae47-4a2c-8f75-44feec86be74}</author>
    <author>tc={1e61ae83-6875-4877-ba4f-39324006c810}</author>
    <author>tc={231f9ab2-8564-4f47-8a6f-d3aeceb055e4}</author>
    <author>tc={32dac45e-56d9-407f-9cfc-82a54b45f23a}</author>
    <author>tc={382264d2-08e0-4a8b-9547-fef4311f74a0}</author>
    <author>tc={5426c435-4669-4210-b06c-8bd8e9c1b40c}</author>
    <author>tc={678695c6-4a8c-493c-8100-fc5fe4ec4e0d}</author>
    <author>tc={79e7e2ba-0f5c-47ad-aeb2-3718f80e0aff}</author>
    <author>tc={7c5462be-cc36-4e70-b6dc-ee25a92932aa}</author>
    <author>tc={8263e474-1b47-42da-8135-2c661829b791}</author>
    <author>tc={84b61c6b-4151-4807-ba47-d1059cae7c50}</author>
    <author>tc={88bde6d2-52f3-40ed-9731-7f13bd321694}</author>
    <author>tc={8ed08895-ece2-4666-a61b-5a9647f9bef6}</author>
    <author>tc={8f649f11-c7cd-4772-b11b-79eb2eabbeb3}</author>
    <author>tc={99ab22a4-26a9-4b01-aa19-8257410c6280}</author>
    <author>tc={9b1cb579-a5d1-4f65-a29c-20b6d8aa1ac2}</author>
    <author>tc={9e03de94-e6b8-4178-a0b9-6c6ec89dd800}</author>
    <author>tc={aee3f6b2-a583-4fe0-b532-6889f1a0a75d}</author>
    <author>tc={b45411fa-d221-4330-8c7e-6b8a8be13943}</author>
    <author>tc={c5c6dcd0-1b7e-41d4-b04b-00d82aa3fdba}</author>
    <author>tc={c7569330-12a0-4bce-a346-c4bb8ba4d304}</author>
    <author>tc={c78aa634-808c-4455-a66a-0520c15c5643}</author>
    <author>tc={c7a13ec5-ad66-4d5d-bc39-5b20f8cb3056}</author>
    <author>tc={c9792faf-91e0-4a7d-870a-4806eb7d2ad2}</author>
    <author>tc={cd121bd6-3234-47bb-b922-d50be50dbbd5}</author>
    <author>tc={f54631f9-c25d-4908-93c9-472fab54a456}</author>
    <author>tc={f7bbb27d-e00c-4fe5-8416-7028e33b55ef}</author>
  </authors>
  <commentList>
    <comment authorId="0" xr:uid="{0644fa6e-af41-4121-b52a-75f6e9c1c04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UPLOAD BUKTI TRANSFER SUDAH DI CENTANG
</t>
      </text>
    </comment>
    <comment authorId="1" xr:uid="{1040a6ff-709d-46d9-bafe-66351e84d07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KARTU DEBIT NIKO EROR JADI BELUM BAYAR PAKET
</t>
      </text>
    </comment>
    <comment authorId="2" xr:uid="{16248ff7-3c05-41ad-a271-f852c16fd4d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UPLOAD BUKTI TRANSFER SUDAH DI CENTANG
</t>
      </text>
    </comment>
    <comment authorId="3" xr:uid="{189b1b39-c628-40db-b15c-11a01446799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ADA BUKTI TRANSFER SUDAH DI CENTANG
</t>
      </text>
    </comment>
    <comment authorId="4" xr:uid="{1cd86ed3-ae47-4a2c-8f75-44feec86be7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HARDJONO BARU BAYAR
</t>
      </text>
    </comment>
    <comment authorId="5" xr:uid="{1e61ae83-6875-4877-ba4f-39324006c81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UPLOAD BUKTI TRANSFER SUDAH DI CENTANG
</t>
      </text>
    </comment>
    <comment authorId="6" xr:uid="{231f9ab2-8564-4f47-8a6f-d3aeceb055e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MASIH PIKIR2 MAU YG PAKET 1 ATAU 2
</t>
      </text>
    </comment>
    <comment authorId="7" xr:uid="{32dac45e-56d9-407f-9cfc-82a54b45f23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UPLOAD BUKTI TRANSFER SUDAH DI CENTANG
</t>
      </text>
    </comment>
    <comment authorId="8" xr:uid="{382264d2-08e0-4a8b-9547-fef4311f74a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ADA BUKTI TRANSFER SUDAH DI CENTANG
</t>
      </text>
    </comment>
    <comment authorId="9" xr:uid="{5426c435-4669-4210-b06c-8bd8e9c1b40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KURANG 1 (SOLIHIN AGUS BELUM BAYAR PAKET)
</t>
      </text>
    </comment>
    <comment authorId="10" xr:uid="{678695c6-4a8c-493c-8100-fc5fe4ec4e0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UPLOAD BUKTI TRANSFER SUDAH DI CENTANG
</t>
      </text>
    </comment>
    <comment authorId="11" xr:uid="{79e7e2ba-0f5c-47ad-aeb2-3718f80e0af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ATAS NAMA DEVIN MASUK TGL 25 BAYAR TGL 26
</t>
      </text>
    </comment>
    <comment authorId="12" xr:uid="{7c5462be-cc36-4e70-b6dc-ee25a92932a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MAMA KAHFI SKW BLM PEMBAYARAN
</t>
      </text>
    </comment>
    <comment authorId="13" xr:uid="{8263e474-1b47-42da-8135-2c661829b79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JAINAL (FREE)
</t>
      </text>
    </comment>
    <comment authorId="14" xr:uid="{84b61c6b-4151-4807-ba47-d1059cae7c5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094 LAUNDRY NDAK ADA KWITANSINYA
</t>
      </text>
    </comment>
    <comment authorId="15" xr:uid="{88bde6d2-52f3-40ed-9731-7f13bd32169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Solihin belum bayar
</t>
      </text>
    </comment>
    <comment authorId="16" xr:uid="{8ed08895-ece2-4666-a61b-5a9647f9bef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UPLOAD BUKTI TRANSFER SUDAH DI CENTANG
</t>
      </text>
    </comment>
    <comment authorId="17" xr:uid="{8f649f11-c7cd-4772-b11b-79eb2eabbeb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ADA BUKTI TRANSFER SUDAH DI CENTANG
</t>
      </text>
    </comment>
    <comment authorId="18" xr:uid="{99ab22a4-26a9-4b01-aa19-8257410c628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SESI KURANG 1
Reply:
	1 NYA SEPUPU BANG EDO, BEASISWA
</t>
      </text>
    </comment>
    <comment authorId="19" xr:uid="{9b1cb579-a5d1-4f65-a29c-20b6d8aa1ac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ATAS NAMA DEVIN MASUK TGL 25 BAYAR TGL 26
</t>
      </text>
    </comment>
    <comment authorId="20" xr:uid="{9e03de94-e6b8-4178-a0b9-6c6ec89dd80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UPLOAD BUKTI TRANSFER SUDAH DI CENTANG
</t>
      </text>
    </comment>
    <comment authorId="21" xr:uid="{aee3f6b2-a583-4fe0-b532-6889f1a0a75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SEKAR MASUK PAKET TGL 11, PEMBYARAN TGL 13
Reply:
	NOTED
</t>
      </text>
    </comment>
    <comment authorId="22" xr:uid="{b45411fa-d221-4330-8c7e-6b8a8be1394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ADA BUKTI TRANSFER SUDAH DI CENTANG
</t>
      </text>
    </comment>
    <comment authorId="23" xr:uid="{c5c6dcd0-1b7e-41d4-b04b-00d82aa3fdb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UPLOAD BUKTI TRANSFER SUDAH DI CENTANG
</t>
      </text>
    </comment>
    <comment authorId="24" xr:uid="{c7569330-12a0-4bce-a346-c4bb8ba4d30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MASUK DATA PAKET
</t>
      </text>
    </comment>
    <comment authorId="25" xr:uid="{c78aa634-808c-4455-a66a-0520c15c564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SEKAR MASUK PAKET TGL 11, PEMAYARAN TGL 13
</t>
      </text>
    </comment>
    <comment authorId="26" xr:uid="{c7a13ec5-ad66-4d5d-bc39-5b20f8cb305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ADA BUKTI TRANSFER SUDAH DI CENTANG
</t>
      </text>
    </comment>
    <comment authorId="27" xr:uid="{c9792faf-91e0-4a7d-870a-4806eb7d2ad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+1 pak Solihin bayar paket minggu lalu
</t>
      </text>
    </comment>
    <comment authorId="28" xr:uid="{cd121bd6-3234-47bb-b922-d50be50dbbd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ADA BUKTI TRANSFER SUDAH DI CENTANG
</t>
      </text>
    </comment>
    <comment authorId="29" xr:uid="{f54631f9-c25d-4908-93c9-472fab54a45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UPLOAD BUKTI TRANSFER SUDAH DI CENTANG
</t>
      </text>
    </comment>
    <comment authorId="30" xr:uid="{f7bbb27d-e00c-4fe5-8416-7028e33b55e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ADA BUKTI TRANSFER SUDAH DI CENTANG
</t>
      </text>
    </comment>
  </commentList>
</comments>
</file>

<file path=xl/sharedStrings.xml><?xml version="1.0" encoding="utf-8"?>
<sst xmlns="http://schemas.openxmlformats.org/spreadsheetml/2006/main" count="23066" uniqueCount="1767">
  <si>
    <t xml:space="preserve"> </t>
  </si>
  <si>
    <t>NO</t>
  </si>
  <si>
    <t>CATATAN PEMASUKAN LAYANAN FISIOTERAPI GANG SEHAT PONTIANAK
2026</t>
  </si>
  <si>
    <t>ADMIN</t>
  </si>
  <si>
    <t>TANGGAL</t>
  </si>
  <si>
    <t>TAHUN</t>
  </si>
  <si>
    <t>BULAN</t>
  </si>
  <si>
    <t>JAM</t>
  </si>
  <si>
    <t>FISIO</t>
  </si>
  <si>
    <t>NAMA PASIEN</t>
  </si>
  <si>
    <t>PEMBELIAN</t>
  </si>
  <si>
    <t>KATEGORI PEMBELIAN</t>
  </si>
  <si>
    <t>STATUS PEMBELIAN</t>
  </si>
  <si>
    <t>KETERANGAN BAYAR</t>
  </si>
  <si>
    <t>JUMLAH BAYAR</t>
  </si>
  <si>
    <t>DISKON</t>
  </si>
  <si>
    <t>HARGA</t>
  </si>
  <si>
    <t>KEKURANGAN</t>
  </si>
  <si>
    <t>METODE BAYAR</t>
  </si>
  <si>
    <t>PENJAMIN</t>
  </si>
  <si>
    <t>✅</t>
  </si>
  <si>
    <t>CATATAN</t>
  </si>
  <si>
    <t>ICA</t>
  </si>
  <si>
    <t>2026</t>
  </si>
  <si>
    <t>07 Jul</t>
  </si>
  <si>
    <t>11.00</t>
  </si>
  <si>
    <t>PRITY</t>
  </si>
  <si>
    <t>SYIFA NABILA RUFINA</t>
  </si>
  <si>
    <t>K.TA - TERAPI AWAL</t>
  </si>
  <si>
    <t>KLINIK FT TA</t>
  </si>
  <si>
    <t>BARU</t>
  </si>
  <si>
    <t>LUNAS</t>
  </si>
  <si>
    <t>TUNAI</t>
  </si>
  <si>
    <t>-</t>
  </si>
  <si>
    <t>COUNTA of NAMA PASIEN</t>
  </si>
  <si>
    <t>15.00</t>
  </si>
  <si>
    <t>LIM LIE SIAM</t>
  </si>
  <si>
    <t>TRANSFER BCA</t>
  </si>
  <si>
    <t>valencia</t>
  </si>
  <si>
    <t>DHEA</t>
  </si>
  <si>
    <t>16.00</t>
  </si>
  <si>
    <t>PUTRI</t>
  </si>
  <si>
    <t>FADIL AKBAR</t>
  </si>
  <si>
    <t>17.00</t>
  </si>
  <si>
    <t>ASTISZA SYAHLA LUDMILLA PARABI</t>
  </si>
  <si>
    <t>Grand Total</t>
  </si>
  <si>
    <t>19.00</t>
  </si>
  <si>
    <t>OKTA</t>
  </si>
  <si>
    <t xml:space="preserve">                                                    </t>
  </si>
  <si>
    <t>SUCI NANDA LESTARI</t>
  </si>
  <si>
    <t>NOPI</t>
  </si>
  <si>
    <t>KLINIK FT PAKET</t>
  </si>
  <si>
    <t>KLINIK FT SESI</t>
  </si>
  <si>
    <t>KLINIK SM PAKET</t>
  </si>
  <si>
    <t>HARYA PAMUNGKAS</t>
  </si>
  <si>
    <t>KLINIK SM SESI</t>
  </si>
  <si>
    <t>K.PT - PAKET 1</t>
  </si>
  <si>
    <t xml:space="preserve">STORE  </t>
  </si>
  <si>
    <t>VISIT FT PAKET</t>
  </si>
  <si>
    <t>VISIT FT SESI</t>
  </si>
  <si>
    <t>DP</t>
  </si>
  <si>
    <t>VISIT FT TA</t>
  </si>
  <si>
    <t>CATATAN PENGELUARAN FISIOTERAPI GANG SEHAT PONTIANAK
2026</t>
  </si>
  <si>
    <t>Z</t>
  </si>
  <si>
    <t>NOMINAL</t>
  </si>
  <si>
    <t>JENIS PENGELUARAN</t>
  </si>
  <si>
    <t>KETERANGAN</t>
  </si>
  <si>
    <t>KATEGORI</t>
  </si>
  <si>
    <t>Column 12</t>
  </si>
  <si>
    <t>LAINNYA</t>
  </si>
  <si>
    <t>SUKARDI. SH MM</t>
  </si>
  <si>
    <t>BONUS BG MADI</t>
  </si>
  <si>
    <t>BEBAN GAJI</t>
  </si>
  <si>
    <t>WAHYU DAN HESTI</t>
  </si>
  <si>
    <t>TUKAR TUNAI</t>
  </si>
  <si>
    <t>MURTI JULIANDARI</t>
  </si>
  <si>
    <t>WAHYU</t>
  </si>
  <si>
    <t xml:space="preserve">BELI NOTA </t>
  </si>
  <si>
    <t>BEBAN PELAYANAN FGS</t>
  </si>
  <si>
    <t>SUCI</t>
  </si>
  <si>
    <t>PISPOT</t>
  </si>
  <si>
    <t>CICILAN</t>
  </si>
  <si>
    <t>ICEGEL</t>
  </si>
  <si>
    <t>TT BELI MAKAN</t>
  </si>
  <si>
    <t>MUNAGI</t>
  </si>
  <si>
    <t>TIA</t>
  </si>
  <si>
    <t>KEKURANGAN GAJI HENA</t>
  </si>
  <si>
    <t>BAYAR BAJU AUL</t>
  </si>
  <si>
    <t>SYAHRIL AKBARI</t>
  </si>
  <si>
    <t>BELI MAP</t>
  </si>
  <si>
    <t>BELI ES BATU</t>
  </si>
  <si>
    <t>RUDI HARTONO</t>
  </si>
  <si>
    <t>K.PT - PAKET 2</t>
  </si>
  <si>
    <t>EDC BCA</t>
  </si>
  <si>
    <t>ARIFIN NUR ROCHMAD</t>
  </si>
  <si>
    <t>BYR SMPAH</t>
  </si>
  <si>
    <t>HENA</t>
  </si>
  <si>
    <t>CINTHYA MEILIZA</t>
  </si>
  <si>
    <t>BELI AIR BLUE, DOUBLE TIP, MAP DAN PENGHARUM AC</t>
  </si>
  <si>
    <t>Rekap Harian Admin</t>
  </si>
  <si>
    <t>Cash Hari Ini</t>
  </si>
  <si>
    <t>SULAIMAN 9601</t>
  </si>
  <si>
    <t>Jumlah Kwitansi Pemasukan</t>
  </si>
  <si>
    <t>EDO</t>
  </si>
  <si>
    <t>Jumlah Layanan Masuk</t>
  </si>
  <si>
    <t>Jumlah Pemasukan</t>
  </si>
  <si>
    <t>Jumlah Pengeluaran</t>
  </si>
  <si>
    <t>DIKI FIRMANSYAH</t>
  </si>
  <si>
    <t>DIKI FIRNANDA</t>
  </si>
  <si>
    <t>Jumlah Kwitansi</t>
  </si>
  <si>
    <t>ES BATU</t>
  </si>
  <si>
    <t>ALY AL DASTAN</t>
  </si>
  <si>
    <t xml:space="preserve">BYR SMPH </t>
  </si>
  <si>
    <t>TUTI TRISNAWATI</t>
  </si>
  <si>
    <t>SUCI &amp; HESTI</t>
  </si>
  <si>
    <t>Total Pemasukan</t>
  </si>
  <si>
    <t>TT TIA</t>
  </si>
  <si>
    <t>Jumlah Nominal</t>
  </si>
  <si>
    <t>TRANSFER BANK KALBAR</t>
  </si>
  <si>
    <t>K.PT - PAKET SILVER</t>
  </si>
  <si>
    <t>K.ST - SESI TERAPI NEW</t>
  </si>
  <si>
    <t>V.TA - TERAPI AWAL VISIT</t>
  </si>
  <si>
    <t>TT PASIEN (NOPE)</t>
  </si>
  <si>
    <t>ZULKIFLI HASANUDDIN</t>
  </si>
  <si>
    <t>TT ORY</t>
  </si>
  <si>
    <t>DHAIFULLAH IRFAN HAFIZH</t>
  </si>
  <si>
    <t>BELI NOTA DAN PEWANGI</t>
  </si>
  <si>
    <t>HENA TT</t>
  </si>
  <si>
    <t>01 Jan</t>
  </si>
  <si>
    <t>TIA TT</t>
  </si>
  <si>
    <t>KONSUMSI RETURN TO SPORT PIPO</t>
  </si>
  <si>
    <t>KRIS YOGI DWI PUTRA SIBARANI</t>
  </si>
  <si>
    <t>ANDRIANI</t>
  </si>
  <si>
    <t>HENA AMBIL UANG JARAK TA CE FEBE</t>
  </si>
  <si>
    <t>JARAK VISIT</t>
  </si>
  <si>
    <t>DESTY AMBIL JARAK KAK NOVI 2X SESI</t>
  </si>
  <si>
    <t>ANGELICA BUNARDI</t>
  </si>
  <si>
    <t>RUSDI SULAIMAN</t>
  </si>
  <si>
    <t>V.PT - PAKET VISIT</t>
  </si>
  <si>
    <t>ALPAWI</t>
  </si>
  <si>
    <t>JARAK HENA (AN. ASNAH)</t>
  </si>
  <si>
    <t>SITI ROHANI</t>
  </si>
  <si>
    <t>BELI LAMPU</t>
  </si>
  <si>
    <t>KOPI PELANGI DANI</t>
  </si>
  <si>
    <t>UPAH TEBAS RUMBUT</t>
  </si>
  <si>
    <t>ANGELICA</t>
  </si>
  <si>
    <t>TT TIA BELI MAKAN TUKANG</t>
  </si>
  <si>
    <t>BEDJO RAHARDJO</t>
  </si>
  <si>
    <t>REFUND UANG YAZID</t>
  </si>
  <si>
    <t>HESTI</t>
  </si>
  <si>
    <t>DESTY</t>
  </si>
  <si>
    <t>ENDAH SEPTIANINGSIH</t>
  </si>
  <si>
    <t>BELI KRESEK</t>
  </si>
  <si>
    <t>TT NOPI</t>
  </si>
  <si>
    <t>TT HESTI</t>
  </si>
  <si>
    <t>20.00</t>
  </si>
  <si>
    <t>DANI</t>
  </si>
  <si>
    <t>DONNY TRI PUJIANTO</t>
  </si>
  <si>
    <t>TT HEN</t>
  </si>
  <si>
    <t>MARGARETA CHANDRADINATA</t>
  </si>
  <si>
    <t>DESTY AMBIL JARAK KAK NOVI SISANYA</t>
  </si>
  <si>
    <t>14.00</t>
  </si>
  <si>
    <t>ORY</t>
  </si>
  <si>
    <t>TJONG LIE TJHIUN ALS SUKIMAN</t>
  </si>
  <si>
    <t>PELUNASAN</t>
  </si>
  <si>
    <t>PAKET BASEP</t>
  </si>
  <si>
    <t>AUL</t>
  </si>
  <si>
    <t>DRSHENDRA SALIM</t>
  </si>
  <si>
    <t>LINA TJENDERA</t>
  </si>
  <si>
    <t>BAYAR SEDOT WC GRIYA ANAK</t>
  </si>
  <si>
    <t>WAHONO</t>
  </si>
  <si>
    <t>BETULKAN LAMPU DPN ASESSMENT</t>
  </si>
  <si>
    <t>BINTARI</t>
  </si>
  <si>
    <t>18.00</t>
  </si>
  <si>
    <t>YUNITA</t>
  </si>
  <si>
    <t xml:space="preserve">HENA DAN OKTA </t>
  </si>
  <si>
    <t>RIZKI RAMADHANI</t>
  </si>
  <si>
    <t>HARRY FURQON</t>
  </si>
  <si>
    <t>REFUND UANG RATNAWITA KELEBIHAN BAYAR</t>
  </si>
  <si>
    <t>HAMDAN IDRIS</t>
  </si>
  <si>
    <t>K.ST - SESI TERAPI</t>
  </si>
  <si>
    <t>SUCI TT</t>
  </si>
  <si>
    <t>TT SUCI</t>
  </si>
  <si>
    <t>LIMINA DJUITA LIMAS</t>
  </si>
  <si>
    <t>PRITY AMBIL JARAK</t>
  </si>
  <si>
    <t>YOSTRYAN CHENATA</t>
  </si>
  <si>
    <t>BYR TAS ALONG</t>
  </si>
  <si>
    <t>RIZKADEA BELIANTO</t>
  </si>
  <si>
    <t>WAHYU BELANJA FGS</t>
  </si>
  <si>
    <t>HESTI TT</t>
  </si>
  <si>
    <t>21.00</t>
  </si>
  <si>
    <t>SURYANA</t>
  </si>
  <si>
    <t>BELI FOR3</t>
  </si>
  <si>
    <t>FERA HENDRY</t>
  </si>
  <si>
    <t>TT BANG EDO</t>
  </si>
  <si>
    <t>10.00</t>
  </si>
  <si>
    <t>TJOEA HOEI THJENG</t>
  </si>
  <si>
    <t>HILIANTY TARDJONO</t>
  </si>
  <si>
    <t>TT HENA</t>
  </si>
  <si>
    <t>TT WAHYU</t>
  </si>
  <si>
    <t>ISNINDAR</t>
  </si>
  <si>
    <t>REFUND PASIEN VISIT</t>
  </si>
  <si>
    <t>REFUND</t>
  </si>
  <si>
    <t>SUHERMAN</t>
  </si>
  <si>
    <t xml:space="preserve">BELI MATERAI </t>
  </si>
  <si>
    <t>TT NOPE</t>
  </si>
  <si>
    <t>12.00</t>
  </si>
  <si>
    <t>ROHAYATI</t>
  </si>
  <si>
    <t>MARISA HANDAYANI</t>
  </si>
  <si>
    <t>ADA DI DUIT TGL 1</t>
  </si>
  <si>
    <t>PUTRI RESTU AWALIYAH</t>
  </si>
  <si>
    <t>REKAP HARIAN TRANSAKSI FISIOTERAPI GANG SEHAT PONTIANAK</t>
  </si>
  <si>
    <t>ASNAH</t>
  </si>
  <si>
    <t>DESTY AMBIL JARAK</t>
  </si>
  <si>
    <t>KOMPONEN</t>
  </si>
  <si>
    <t>Hasil</t>
  </si>
  <si>
    <t>Target</t>
  </si>
  <si>
    <t>Capaian</t>
  </si>
  <si>
    <t>Jumlah Kwitansi / Bukti Transfer</t>
  </si>
  <si>
    <t>CAHYANI ANUGRAH SUBEKTI</t>
  </si>
  <si>
    <t>Jumlah Layanan &amp; Target</t>
  </si>
  <si>
    <t>Nominal Pemasukan</t>
  </si>
  <si>
    <t>Jumlah Data Error</t>
  </si>
  <si>
    <t>Catatan:</t>
  </si>
  <si>
    <t>NORIZAN</t>
  </si>
  <si>
    <t>BETULKAN LAMPU</t>
  </si>
  <si>
    <t>SWARTONO</t>
  </si>
  <si>
    <t>BG EDO</t>
  </si>
  <si>
    <t>NITTA ROLLITA</t>
  </si>
  <si>
    <t>KK HESTI TT</t>
  </si>
  <si>
    <t>EDY DARMAWAN</t>
  </si>
  <si>
    <t>IVAN TANSARITO</t>
  </si>
  <si>
    <t>RANDA ARZA SAPUTRA</t>
  </si>
  <si>
    <t>AMBIL BANNER</t>
  </si>
  <si>
    <t>UANG LEBIH PASIEN AN TAUFIK</t>
  </si>
  <si>
    <t>BAYAR MAXIM</t>
  </si>
  <si>
    <t>RICKY THERISNO</t>
  </si>
  <si>
    <t>MUDIONO HARYANTO</t>
  </si>
  <si>
    <t>AMBIL BENNER</t>
  </si>
  <si>
    <t>BELI LAKBAN</t>
  </si>
  <si>
    <t>KAK TIA</t>
  </si>
  <si>
    <t>13.00</t>
  </si>
  <si>
    <t>CHRISTINA</t>
  </si>
  <si>
    <t>JOKEND ZAPOTA PUTRA</t>
  </si>
  <si>
    <t>KAK SUCI</t>
  </si>
  <si>
    <t>JON ALI</t>
  </si>
  <si>
    <t>CITRA PURNAMA SARI</t>
  </si>
  <si>
    <t>PUTRI AMBIL JARAK</t>
  </si>
  <si>
    <t>BELI HANDSCOON</t>
  </si>
  <si>
    <t xml:space="preserve">BANG EDO </t>
  </si>
  <si>
    <t xml:space="preserve">KAK HENA </t>
  </si>
  <si>
    <t>NAOMI APRILIA SIMANULLANG</t>
  </si>
  <si>
    <t>HENA AMBIL JARAK</t>
  </si>
  <si>
    <t xml:space="preserve">DESTY </t>
  </si>
  <si>
    <t>YANTI LIM</t>
  </si>
  <si>
    <t>ANDIANA MARJAYANTI</t>
  </si>
  <si>
    <t>SETIO BONO SAPUTRO</t>
  </si>
  <si>
    <t>KAK DESTY</t>
  </si>
  <si>
    <t>IVONNY</t>
  </si>
  <si>
    <t>BELI MAP KUNING</t>
  </si>
  <si>
    <t>YUBANADI</t>
  </si>
  <si>
    <t>SRI ESRI</t>
  </si>
  <si>
    <t>TARIK TUNAI</t>
  </si>
  <si>
    <t>PUTERA ANUGRAH PRATAMA</t>
  </si>
  <si>
    <t>SARUNG TANGAN</t>
  </si>
  <si>
    <t>c</t>
  </si>
  <si>
    <t>KAK HESTI</t>
  </si>
  <si>
    <t>SUGIH WIRAMANTRI</t>
  </si>
  <si>
    <t>BAYAR BG WINDU</t>
  </si>
  <si>
    <t>K. E. ANANTA UTAMI</t>
  </si>
  <si>
    <t>BAYAR BANG MADI</t>
  </si>
  <si>
    <t>KOLENIUS KOLAI</t>
  </si>
  <si>
    <t>HESTY</t>
  </si>
  <si>
    <t>EMMA</t>
  </si>
  <si>
    <t>TT OKTA</t>
  </si>
  <si>
    <t>BAYAR TUNAI KELEBIHAN FERA</t>
  </si>
  <si>
    <t>YA MUHAMMAD IKHSANDI</t>
  </si>
  <si>
    <t>TAUFIK</t>
  </si>
  <si>
    <t>KK IRMA</t>
  </si>
  <si>
    <t>SHELSY MELANY</t>
  </si>
  <si>
    <t>KK TIA</t>
  </si>
  <si>
    <t>BAYAR SAMPAH</t>
  </si>
  <si>
    <t>PUTRI ATIKAH</t>
  </si>
  <si>
    <t>RACHMAT RIYANTO</t>
  </si>
  <si>
    <t>UTK TENNIS BANK KALBAR</t>
  </si>
  <si>
    <t>WISNU WARDANA</t>
  </si>
  <si>
    <t>TT</t>
  </si>
  <si>
    <t>BAYAR BENNER</t>
  </si>
  <si>
    <t>ATHA HANIF PRADIPTA</t>
  </si>
  <si>
    <t>BELI AQUA BOTOL 330ML</t>
  </si>
  <si>
    <t>GALIH PITA LOKA</t>
  </si>
  <si>
    <t>V.TA - TERAPI AWAL VISIT + JARAK</t>
  </si>
  <si>
    <t xml:space="preserve">BAYAR PERBAIKAN </t>
  </si>
  <si>
    <t>TT BG EDO</t>
  </si>
  <si>
    <t>WACHYU WIDAYAT</t>
  </si>
  <si>
    <t>TT KAK HESTI</t>
  </si>
  <si>
    <t xml:space="preserve">KOPI </t>
  </si>
  <si>
    <t>BELLY</t>
  </si>
  <si>
    <t>WIWIK HARTATI</t>
  </si>
  <si>
    <t>IBNU</t>
  </si>
  <si>
    <t>CHOTIBUL UMAMI</t>
  </si>
  <si>
    <t>NIDYA RISWANDA TRISMA W</t>
  </si>
  <si>
    <t>BELI PERLENGKAPAN WAHYU</t>
  </si>
  <si>
    <t>BAYAR GALON</t>
  </si>
  <si>
    <t>DHEA TT</t>
  </si>
  <si>
    <t>KEMBALIKAN UANG PASIEN</t>
  </si>
  <si>
    <t>MUHAMMAD FADHIL RAMADHANI</t>
  </si>
  <si>
    <t>04 Apr</t>
  </si>
  <si>
    <t>ANDRI DOS SANTOS</t>
  </si>
  <si>
    <t>ELISABETH SUTINI</t>
  </si>
  <si>
    <t>YASINTA</t>
  </si>
  <si>
    <t>DARMANSYAH</t>
  </si>
  <si>
    <t>BG WAHYU TT</t>
  </si>
  <si>
    <t>KAK TIA TT</t>
  </si>
  <si>
    <t>ANANTA UTAMI</t>
  </si>
  <si>
    <t>BAYAR SERAGAM</t>
  </si>
  <si>
    <t>KAK IRMA</t>
  </si>
  <si>
    <t>JUVENTYA</t>
  </si>
  <si>
    <t>KAK HESTY TT</t>
  </si>
  <si>
    <t xml:space="preserve">ALCOHOL SWAB </t>
  </si>
  <si>
    <t>KK OKTA</t>
  </si>
  <si>
    <t>BAYAR DUIT SAMPAH</t>
  </si>
  <si>
    <t>DWI RACHMAWAN</t>
  </si>
  <si>
    <t>V.ST - SESI VISIT</t>
  </si>
  <si>
    <t>CHARGER GRIYA ANAK</t>
  </si>
  <si>
    <t>KAK HENA TT</t>
  </si>
  <si>
    <t>HASNAWATI</t>
  </si>
  <si>
    <t>NOVI ASMARANI</t>
  </si>
  <si>
    <t>TT KAK TIA</t>
  </si>
  <si>
    <t>TT PUTRI</t>
  </si>
  <si>
    <t>KAK HENA</t>
  </si>
  <si>
    <t>KAK  IRMA</t>
  </si>
  <si>
    <t>BYR TEBAS BENGKEL DAN KLINIK</t>
  </si>
  <si>
    <t>BELI ALCOHOL SWAB</t>
  </si>
  <si>
    <t>CINTHYA TANJAYA</t>
  </si>
  <si>
    <t>FEDRICK JONATAN</t>
  </si>
  <si>
    <t>BETULKAN DISPENSER</t>
  </si>
  <si>
    <t>BETULKAN AIR</t>
  </si>
  <si>
    <t>LIM OI KHIUN ALS RIANA</t>
  </si>
  <si>
    <t>YUNICA</t>
  </si>
  <si>
    <t>KUE</t>
  </si>
  <si>
    <t>TAN TJHUN TIE ALS ROBERT</t>
  </si>
  <si>
    <t>KK TIA TT</t>
  </si>
  <si>
    <t>BANG EDO TT</t>
  </si>
  <si>
    <t>09.00</t>
  </si>
  <si>
    <t>BENI SETIYANTO</t>
  </si>
  <si>
    <t>WAHYU TT</t>
  </si>
  <si>
    <t>K.PT - PAKET GOLD</t>
  </si>
  <si>
    <t>DANRU</t>
  </si>
  <si>
    <t>K.PT - PAKET PLATINUM</t>
  </si>
  <si>
    <t>EDI LAZUARDI</t>
  </si>
  <si>
    <t>NADA</t>
  </si>
  <si>
    <t>S.TR - BANDAGE 15 CM</t>
  </si>
  <si>
    <t>S.TR - BANDAGE 7,5 CM</t>
  </si>
  <si>
    <t>S.TR - FINGER TAPE</t>
  </si>
  <si>
    <t>S.TR - ICE BAG</t>
  </si>
  <si>
    <t>S.TR - KINESIO TAPE</t>
  </si>
  <si>
    <t>BELI AIR</t>
  </si>
  <si>
    <t>S.TR - MINI BAND HITAM</t>
  </si>
  <si>
    <t>ALAM</t>
  </si>
  <si>
    <t>S.TR - MINI BAND KUNING</t>
  </si>
  <si>
    <t>S.TR - MINI BAND MERAH</t>
  </si>
  <si>
    <t>S.TR - RIGID TAPE (STRAPPAL)</t>
  </si>
  <si>
    <t>BELI ES KRIM</t>
  </si>
  <si>
    <t>V.PT - PAKET VISIT + JARAK</t>
  </si>
  <si>
    <t>V.ST - SESI VISIT + JARAK</t>
  </si>
  <si>
    <t>MUSNAINI</t>
  </si>
  <si>
    <t>BYR ONGKIR</t>
  </si>
  <si>
    <t>S.KL - SESI TERAPI</t>
  </si>
  <si>
    <t>KELAS LANSIA SESI</t>
  </si>
  <si>
    <t>S.KL - PAKET GOLD</t>
  </si>
  <si>
    <t>KELAS LANSIA PAKET</t>
  </si>
  <si>
    <t>S.KL - PAKET SILVER</t>
  </si>
  <si>
    <t>S.KL - PAKET PLATINUM</t>
  </si>
  <si>
    <t>S.KS - SESI TERAPI</t>
  </si>
  <si>
    <t>KELAS SKOLIO SESI</t>
  </si>
  <si>
    <t>MUHAMMAD YAKINI AKBAR</t>
  </si>
  <si>
    <t>S.KS - PAKET SILVER</t>
  </si>
  <si>
    <t>KELAS SKOLIO PAKET</t>
  </si>
  <si>
    <t>S.KS - PAKET GOLD</t>
  </si>
  <si>
    <t>S.KS - PAKET PLATINUM</t>
  </si>
  <si>
    <t>ONGKIR</t>
  </si>
  <si>
    <r>
      <rPr>
        <rFont val="Roboto"/>
        <color rgb="FF000000"/>
      </rPr>
      <t>K.SM</t>
    </r>
    <r>
      <rPr>
        <rFont val="Roboto"/>
        <color theme="1"/>
      </rPr>
      <t xml:space="preserve"> - SEGMENTAL</t>
    </r>
  </si>
  <si>
    <r>
      <rPr>
        <rFont val="Roboto"/>
        <color rgb="FF000000"/>
      </rPr>
      <t>K.SM</t>
    </r>
    <r>
      <rPr>
        <rFont val="Roboto"/>
        <color theme="1"/>
      </rPr>
      <t xml:space="preserve"> - FULL BODY</t>
    </r>
  </si>
  <si>
    <r>
      <rPr>
        <rFont val="Roboto"/>
        <color rgb="FF000000"/>
      </rPr>
      <t>K.PM</t>
    </r>
    <r>
      <rPr>
        <rFont val="Roboto"/>
        <color theme="1"/>
      </rPr>
      <t xml:space="preserve"> - PAKET SEGMENTAL</t>
    </r>
  </si>
  <si>
    <r>
      <rPr>
        <rFont val="Roboto"/>
        <color rgb="FF000000"/>
      </rPr>
      <t>K.PM</t>
    </r>
    <r>
      <rPr>
        <rFont val="Roboto"/>
        <color theme="1"/>
      </rPr>
      <t xml:space="preserve"> - PAKET FULL BODY</t>
    </r>
  </si>
  <si>
    <r>
      <rPr>
        <rFont val="Roboto"/>
        <color rgb="FF000000"/>
      </rPr>
      <t>K.PM</t>
    </r>
    <r>
      <rPr>
        <rFont val="Roboto"/>
        <color theme="1"/>
      </rPr>
      <t xml:space="preserve"> - PAKET COMBO 1</t>
    </r>
  </si>
  <si>
    <r>
      <rPr>
        <rFont val="Roboto"/>
        <color rgb="FF000000"/>
      </rPr>
      <t>K.PM</t>
    </r>
    <r>
      <rPr>
        <rFont val="Roboto"/>
        <color theme="1"/>
      </rPr>
      <t xml:space="preserve"> - PAKET COMBO 2</t>
    </r>
  </si>
  <si>
    <t>KAK NOPI TT</t>
  </si>
  <si>
    <r>
      <rPr>
        <rFont val="Roboto"/>
        <color rgb="FF000000"/>
      </rPr>
      <t>V.SM</t>
    </r>
    <r>
      <rPr>
        <rFont val="Roboto"/>
        <color theme="1"/>
      </rPr>
      <t xml:space="preserve"> - SEGMENTAL VISIT</t>
    </r>
  </si>
  <si>
    <t>VISIT SM SESI</t>
  </si>
  <si>
    <t>TRIATIE CHALIDYAH</t>
  </si>
  <si>
    <r>
      <rPr>
        <rFont val="Roboto"/>
        <color rgb="FF000000"/>
      </rPr>
      <t>V.SM</t>
    </r>
    <r>
      <rPr>
        <rFont val="Roboto"/>
        <color theme="1"/>
      </rPr>
      <t xml:space="preserve"> - FULL BODY VISIT</t>
    </r>
  </si>
  <si>
    <r>
      <rPr>
        <rFont val="Roboto"/>
        <color rgb="FF000000"/>
      </rPr>
      <t>V.PM</t>
    </r>
    <r>
      <rPr>
        <rFont val="Roboto"/>
        <color theme="1"/>
      </rPr>
      <t xml:space="preserve"> - PAKET SEGMENTAL</t>
    </r>
  </si>
  <si>
    <t>VISIT SM PAKET</t>
  </si>
  <si>
    <r>
      <rPr>
        <rFont val="Roboto"/>
        <color rgb="FF000000"/>
      </rPr>
      <t>V.PM</t>
    </r>
    <r>
      <rPr>
        <rFont val="Roboto"/>
        <color theme="1"/>
      </rPr>
      <t xml:space="preserve"> - PAKET FULL BODY VISIT</t>
    </r>
  </si>
  <si>
    <t>SHARON LIE</t>
  </si>
  <si>
    <t>HJ. RUGAYAH</t>
  </si>
  <si>
    <t>BG DANI</t>
  </si>
  <si>
    <t>HERLINA AGUSTININGSIH</t>
  </si>
  <si>
    <t>BYR SAMPAH</t>
  </si>
  <si>
    <t>MARTHIN SHARON NAPITUPULU</t>
  </si>
  <si>
    <t>NOPEARIANI, AMD.KEB</t>
  </si>
  <si>
    <t>NOPEARIANI</t>
  </si>
  <si>
    <t>KK HENA TT</t>
  </si>
  <si>
    <t>SUSANTI</t>
  </si>
  <si>
    <t>BAYAR PERBAIKAN AC</t>
  </si>
  <si>
    <t>HARDJONO</t>
  </si>
  <si>
    <t>INDRY WAHYUNINGSIH</t>
  </si>
  <si>
    <t>JARAK KAK HENA CUCU AMA LING MIAUW</t>
  </si>
  <si>
    <t>BELI BARANG BANGUNAN</t>
  </si>
  <si>
    <t xml:space="preserve">PUTRI ATIKAH </t>
  </si>
  <si>
    <t>PUTRI ATIKAH LELLYANA</t>
  </si>
  <si>
    <t>CHRIS MULIO JOHANES</t>
  </si>
  <si>
    <t>BELI KERTA A4</t>
  </si>
  <si>
    <t>GALIH HANDAYANI</t>
  </si>
  <si>
    <t>M EKA PUTRA YUANDA</t>
  </si>
  <si>
    <t>TT TUNAI KK TIA</t>
  </si>
  <si>
    <t>BG EDO TT</t>
  </si>
  <si>
    <t>BAYAR LAS</t>
  </si>
  <si>
    <t>CINDY MONALISA ANDDIE</t>
  </si>
  <si>
    <t>BELI BABY OIL</t>
  </si>
  <si>
    <t>TJHOA KHA TJE</t>
  </si>
  <si>
    <t>KK SUCI</t>
  </si>
  <si>
    <t>EFENDI WAHYU</t>
  </si>
  <si>
    <t>BELI AIR BOTOL</t>
  </si>
  <si>
    <t>RICKY ISKANDAR</t>
  </si>
  <si>
    <t>DAMHUDI</t>
  </si>
  <si>
    <t>BELI AIR FOR3</t>
  </si>
  <si>
    <t>ICHSAN KAMIL</t>
  </si>
  <si>
    <t>IMMANUEL ABEL BELARE LIRUNG</t>
  </si>
  <si>
    <t>MARTIN</t>
  </si>
  <si>
    <t>CRISTAL QUA</t>
  </si>
  <si>
    <t>SAMIJO</t>
  </si>
  <si>
    <t xml:space="preserve">KAK HESTI </t>
  </si>
  <si>
    <t>SALLY ISKANDAR TAN</t>
  </si>
  <si>
    <t xml:space="preserve">FEDRICK JONATAN </t>
  </si>
  <si>
    <t>RENDI</t>
  </si>
  <si>
    <t>M FAIZ AL BARA</t>
  </si>
  <si>
    <t>CHITA</t>
  </si>
  <si>
    <t>BAGAS BIMANTORO HARYONO</t>
  </si>
  <si>
    <t>BELI HADIAH</t>
  </si>
  <si>
    <r>
      <rPr>
        <color rgb="FF000000"/>
        <sz val="10.0"/>
      </rPr>
      <t xml:space="preserve">DRS JAROT SUTRISNO </t>
    </r>
    <r>
      <rPr>
        <color rgb="FF1155CC"/>
        <sz val="10.0"/>
        <u/>
      </rPr>
      <t>M.SI</t>
    </r>
  </si>
  <si>
    <t>BAYAR ONGKIR KARTU</t>
  </si>
  <si>
    <t>beban PELAYANAN FGS</t>
  </si>
  <si>
    <t>BELI CENTONG</t>
  </si>
  <si>
    <t>AULIA SUCI NURFADILA</t>
  </si>
  <si>
    <t>SAMUEL LAURENS</t>
  </si>
  <si>
    <t>TT BANG DANI</t>
  </si>
  <si>
    <t>NG TJOEI FONG ALS SILVIA</t>
  </si>
  <si>
    <t>LAUNDRY</t>
  </si>
  <si>
    <t>HANDSCONE</t>
  </si>
  <si>
    <t>KK SUCI TT</t>
  </si>
  <si>
    <t>BELI MINUM BOTOL</t>
  </si>
  <si>
    <t>SUWINDA KUSRINI</t>
  </si>
  <si>
    <t>KK HESTI</t>
  </si>
  <si>
    <t>WILDAN ANKY PUTRA</t>
  </si>
  <si>
    <t>BAYAR BLU9 30 DUS</t>
  </si>
  <si>
    <t>SYARIFAH FADILLAH</t>
  </si>
  <si>
    <t>UANG JARAK KAK DESTY</t>
  </si>
  <si>
    <t>KHANZA PUTRI HUMAIRAH</t>
  </si>
  <si>
    <t>FETY NOVIANTY</t>
  </si>
  <si>
    <t>CETAK BANNER</t>
  </si>
  <si>
    <t>PLASTIK KLIP</t>
  </si>
  <si>
    <t>FITA</t>
  </si>
  <si>
    <t>MITELLA KAIN</t>
  </si>
  <si>
    <t>VOLTAREN GEL</t>
  </si>
  <si>
    <t>FEE BUDAK</t>
  </si>
  <si>
    <t>ONGKOS TAXI</t>
  </si>
  <si>
    <t>KEMBALIAN PASIEN</t>
  </si>
  <si>
    <t>ELLEN ARIFIN</t>
  </si>
  <si>
    <t>KAK PUTRI</t>
  </si>
  <si>
    <t>FAHRIZAL RAMADHAN</t>
  </si>
  <si>
    <t>ES BATU DAN ONGKIR</t>
  </si>
  <si>
    <t xml:space="preserve">NOPI </t>
  </si>
  <si>
    <t>AIR BLUE</t>
  </si>
  <si>
    <t>KK HENA</t>
  </si>
  <si>
    <t>WIDODO 7512</t>
  </si>
  <si>
    <t>SARWINTO</t>
  </si>
  <si>
    <t>BELI TAPPING</t>
  </si>
  <si>
    <t>BAYAR BANNER</t>
  </si>
  <si>
    <t>BAYAR JARAK ORY</t>
  </si>
  <si>
    <t>JEMMY</t>
  </si>
  <si>
    <t>NIKEN ATIKA PUSPA NINGRUM</t>
  </si>
  <si>
    <t>M FAHRIZA RAHMAN</t>
  </si>
  <si>
    <t>KAK OKTA</t>
  </si>
  <si>
    <t>KAK PUTRI TT</t>
  </si>
  <si>
    <t>PEMBAYARAN KELAS LANSIA 6X PERTEMUAN</t>
  </si>
  <si>
    <t>PEMBAYARAN KELAS SKOLIOSIS 2X PERTEMUAN</t>
  </si>
  <si>
    <t>BAYAR AIR BLU9</t>
  </si>
  <si>
    <t>BG EDO DUIT JALAN</t>
  </si>
  <si>
    <t>BELI CAIRAN ANTI SUMBAT</t>
  </si>
  <si>
    <t>BG DANI TT</t>
  </si>
  <si>
    <t>KK PRITY AMBIL UANG JARAK</t>
  </si>
  <si>
    <t>RATNA DEWI</t>
  </si>
  <si>
    <t>SYARIF ZULFAN ADHA</t>
  </si>
  <si>
    <t>PAKET BG EDO</t>
  </si>
  <si>
    <t>NADYA SAFIRA</t>
  </si>
  <si>
    <t>CHALID OBED</t>
  </si>
  <si>
    <t>KK OKTA AMBIL JARAK</t>
  </si>
  <si>
    <t>BANNER</t>
  </si>
  <si>
    <t>JARAK KAK HENA CUCU LING MIAU</t>
  </si>
  <si>
    <t>BINTARI INDAH SAPUTRI</t>
  </si>
  <si>
    <t>JARAK OKTA AN.HJ SISTAWATI</t>
  </si>
  <si>
    <t>MIRNA APRIANTY</t>
  </si>
  <si>
    <t>JONG SULI</t>
  </si>
  <si>
    <t xml:space="preserve">TT </t>
  </si>
  <si>
    <t>WARSINO</t>
  </si>
  <si>
    <t>BELI SILIKON</t>
  </si>
  <si>
    <t>LAMPU TIDUR SM</t>
  </si>
  <si>
    <t>ANUSAPATI</t>
  </si>
  <si>
    <t>PERBAIKAN LISTTIK</t>
  </si>
  <si>
    <t>TT KAK HES</t>
  </si>
  <si>
    <t>MUCHLIS</t>
  </si>
  <si>
    <t>BELI LAMPU HALAMAN LUAR</t>
  </si>
  <si>
    <t>KK AUL TT</t>
  </si>
  <si>
    <t>SUDIYANTI HO</t>
  </si>
  <si>
    <t>YANTI</t>
  </si>
  <si>
    <t>RIDHO YUDI PRABAWA</t>
  </si>
  <si>
    <t>HENDRAWATI SAM</t>
  </si>
  <si>
    <t>AUL TT</t>
  </si>
  <si>
    <t xml:space="preserve">SUGIH WIRAMANTRI </t>
  </si>
  <si>
    <t>DESI MARGASIA</t>
  </si>
  <si>
    <t>BELI LAMPU DAN RINSO</t>
  </si>
  <si>
    <t>LAMPU</t>
  </si>
  <si>
    <t>SALIMAN</t>
  </si>
  <si>
    <t>NICHOLAS A</t>
  </si>
  <si>
    <t>KK HENA AMBIL JARAK</t>
  </si>
  <si>
    <t>GALON TUKANG</t>
  </si>
  <si>
    <t>GALON</t>
  </si>
  <si>
    <t>BELI KOUTA</t>
  </si>
  <si>
    <t>NOVI SEPTRIANI</t>
  </si>
  <si>
    <t>ALAM TT</t>
  </si>
  <si>
    <t>BELI BATERAI</t>
  </si>
  <si>
    <t>SUKAWATI EFFENDY</t>
  </si>
  <si>
    <t>KUE ULTAH CE ELLEN</t>
  </si>
  <si>
    <t>BAYAR CRISTALIN</t>
  </si>
  <si>
    <t>HENDI</t>
  </si>
  <si>
    <t>KONSUMSI RAPAT</t>
  </si>
  <si>
    <t>BEBAN KONSUMSI</t>
  </si>
  <si>
    <t>FEBE ANGELIA</t>
  </si>
  <si>
    <t>CANDY WIBOWO</t>
  </si>
  <si>
    <t>BG IBNU PERJALANAN DINAS</t>
  </si>
  <si>
    <t>MAULIZA DESIANA</t>
  </si>
  <si>
    <t xml:space="preserve">YAZID MISHBAH KHOIRI </t>
  </si>
  <si>
    <t>GALONG ALONG</t>
  </si>
  <si>
    <t>MUHAMMAD VIKI SYURIANSAH</t>
  </si>
  <si>
    <t>DESTY TT</t>
  </si>
  <si>
    <t>EDO TT</t>
  </si>
  <si>
    <t>HENDRA GUNAWAN 8801</t>
  </si>
  <si>
    <t>HENDRA GUNAWAN</t>
  </si>
  <si>
    <t>KK HENA AMBIL UANG JARAK</t>
  </si>
  <si>
    <t>KK PUTRI AMBIL UANG JARAK</t>
  </si>
  <si>
    <t xml:space="preserve">GALON </t>
  </si>
  <si>
    <t>DELA MASTIKA</t>
  </si>
  <si>
    <t>BANG DANI TT</t>
  </si>
  <si>
    <t>KAK ICA TT</t>
  </si>
  <si>
    <t>KONSUMSI GRIYA ANAK</t>
  </si>
  <si>
    <t>YANTO</t>
  </si>
  <si>
    <t>BAYAR GORDEN</t>
  </si>
  <si>
    <t>KK ICA BAYAR CAPCUT PRO</t>
  </si>
  <si>
    <t>WINCENT CHANDRA</t>
  </si>
  <si>
    <t>TUKAR TUNAI DARI PASIEN F. X. KURNIAWAN</t>
  </si>
  <si>
    <t>BG EDO AMBIL DUIT HV</t>
  </si>
  <si>
    <t>TJOE HOEI THJENG</t>
  </si>
  <si>
    <t>KK HENA AMBILJARAK</t>
  </si>
  <si>
    <t>NUR APRIYANI</t>
  </si>
  <si>
    <t>TT DESTY</t>
  </si>
  <si>
    <t>BELI KERTAS + RINSO</t>
  </si>
  <si>
    <t>ALVIN DIYANDRA</t>
  </si>
  <si>
    <t>GALON + ES BATU</t>
  </si>
  <si>
    <t xml:space="preserve">EVI </t>
  </si>
  <si>
    <t>EVI</t>
  </si>
  <si>
    <t>ACHMAD RADAMA RINARDI</t>
  </si>
  <si>
    <t>SENG GRIYA ANAK</t>
  </si>
  <si>
    <t>YANTI TANTRA</t>
  </si>
  <si>
    <t>VIONA PRICILA</t>
  </si>
  <si>
    <t>ALIF BAINAL KHAFI</t>
  </si>
  <si>
    <t>BG ORY TT</t>
  </si>
  <si>
    <t>EFFENDY</t>
  </si>
  <si>
    <t>ASNIWATI</t>
  </si>
  <si>
    <t>FATHUR RAHMAN</t>
  </si>
  <si>
    <t>DELLY MARINA</t>
  </si>
  <si>
    <t>YAYUK</t>
  </si>
  <si>
    <t>FITRA ALHANI</t>
  </si>
  <si>
    <t>NADYA MUTMAINAH</t>
  </si>
  <si>
    <t>LIM CUN HUE</t>
  </si>
  <si>
    <t>NAJLA NURHALIZA</t>
  </si>
  <si>
    <t>FELIKS ARMANTO</t>
  </si>
  <si>
    <t>ZULIANA</t>
  </si>
  <si>
    <t>DRS. H. SARDI. S</t>
  </si>
  <si>
    <t>SUWARNI</t>
  </si>
  <si>
    <t>M SYAFIQ</t>
  </si>
  <si>
    <t>SHAFA NUR INTAN FAJRIAH</t>
  </si>
  <si>
    <t>ENNY KUSUMAWATI</t>
  </si>
  <si>
    <t>PERMATA DEWI ANDINI</t>
  </si>
  <si>
    <t>JOKO</t>
  </si>
  <si>
    <t>DAHLIA</t>
  </si>
  <si>
    <t>MUHAMMAD REZKY NUGRAHA</t>
  </si>
  <si>
    <t>MAWAR AURELYSCA IRAWAN</t>
  </si>
  <si>
    <t>ANDIKA PRATAMA PUTRA</t>
  </si>
  <si>
    <t>HAMBALI</t>
  </si>
  <si>
    <t>ARIF KURNIAWAN</t>
  </si>
  <si>
    <t>HENNY</t>
  </si>
  <si>
    <t>RIZQY FACHRIA</t>
  </si>
  <si>
    <t xml:space="preserve">MUHAMMAD AFZANI NUR </t>
  </si>
  <si>
    <t>WIONA SILASHINTA WAHYUDI</t>
  </si>
  <si>
    <t>GUSTI AZLAN KHALID AYYUBI</t>
  </si>
  <si>
    <t>FRENKY FERIYANTO</t>
  </si>
  <si>
    <t>ANGELIA IVANA</t>
  </si>
  <si>
    <t>SUCI TRIHANTINI</t>
  </si>
  <si>
    <t>AZKA RAFIF ARYA</t>
  </si>
  <si>
    <t xml:space="preserve">IRIINA </t>
  </si>
  <si>
    <t>JUN FONG</t>
  </si>
  <si>
    <t>YAYUK KURNIAWATI</t>
  </si>
  <si>
    <t>JOKO WINARDI</t>
  </si>
  <si>
    <t>ARIEF WICAKSONO NUGROHO</t>
  </si>
  <si>
    <t>AKIAN</t>
  </si>
  <si>
    <t>SUMAYAH</t>
  </si>
  <si>
    <t>SUMIATI</t>
  </si>
  <si>
    <t>FERRY PANGKE</t>
  </si>
  <si>
    <t>ARIS BUDIMAN</t>
  </si>
  <si>
    <t>IRAWATI</t>
  </si>
  <si>
    <t>MUHAMMAD ICHSAN AZEVI</t>
  </si>
  <si>
    <t>HENDRA GUAWAN</t>
  </si>
  <si>
    <t>ASHRAF</t>
  </si>
  <si>
    <t>DIANA</t>
  </si>
  <si>
    <t>TYARA HARDYANTI SUHARNO</t>
  </si>
  <si>
    <t>HALIJAH</t>
  </si>
  <si>
    <t>RADIT</t>
  </si>
  <si>
    <t>RAMOTI PUTRA MANALU</t>
  </si>
  <si>
    <t>EKA KURNIAWATI</t>
  </si>
  <si>
    <t>ANDRI WIJAYA KUSUMA</t>
  </si>
  <si>
    <t>LEYLI NURLITA</t>
  </si>
  <si>
    <t>SUKAMTO</t>
  </si>
  <si>
    <t xml:space="preserve">JOESDI NGATIDJAN </t>
  </si>
  <si>
    <t>IQBAL MAULANA</t>
  </si>
  <si>
    <t>RAHMAD</t>
  </si>
  <si>
    <t>FLORENSIUS LAYLIM</t>
  </si>
  <si>
    <t>EKA LESTARI</t>
  </si>
  <si>
    <t>ALBERT ALRILLIAN TALINO</t>
  </si>
  <si>
    <t>ARIF PARABI</t>
  </si>
  <si>
    <t>RENDI ARDIAN</t>
  </si>
  <si>
    <t>YULITA RIANA</t>
  </si>
  <si>
    <t>RAYYANDRA GHUFRAN MARIOSHA</t>
  </si>
  <si>
    <t>SANDY KURNIA</t>
  </si>
  <si>
    <t>AZARYA JADAYN ARYO</t>
  </si>
  <si>
    <t>DIRGA WIJAYA JUMAIL</t>
  </si>
  <si>
    <t>NG TAI TJU</t>
  </si>
  <si>
    <t>SUNNY SOON</t>
  </si>
  <si>
    <t>SURIATI HALIM</t>
  </si>
  <si>
    <t>NELLY FITRIANA</t>
  </si>
  <si>
    <t>RUKIAH AGUSTIAWATI</t>
  </si>
  <si>
    <t>SYARIF RAIHAN RAFISKI</t>
  </si>
  <si>
    <t>TIKA MEIRAWATI</t>
  </si>
  <si>
    <t>RAHMAT REZA FAHLEVI</t>
  </si>
  <si>
    <t>IWAN HERIYANTO</t>
  </si>
  <si>
    <t>ISTIKA INDAH NINGSIH</t>
  </si>
  <si>
    <t>EVA DESI S PARDEDE</t>
  </si>
  <si>
    <t>RIZKY PUSPASARI</t>
  </si>
  <si>
    <t>VERONIMUS VALENT FRANSISKUS</t>
  </si>
  <si>
    <t>ARY HIDAYATUL FAJRI</t>
  </si>
  <si>
    <t>PEMAIN BAW</t>
  </si>
  <si>
    <t>MUHAMMAD ABDULLAH AL KAYIS</t>
  </si>
  <si>
    <t>WEHRY</t>
  </si>
  <si>
    <t>NOPIANTO SAPTA BONG</t>
  </si>
  <si>
    <t>HEYLIE ARIELLE ANG</t>
  </si>
  <si>
    <t>HENNY HO</t>
  </si>
  <si>
    <t>ANAK CE HENNY</t>
  </si>
  <si>
    <t>IWAN HERYANTO</t>
  </si>
  <si>
    <t>JULIANTO 9007</t>
  </si>
  <si>
    <t>JULIANTO</t>
  </si>
  <si>
    <t>BEASISWA</t>
  </si>
  <si>
    <t>REZA ILHAM FAHRINO</t>
  </si>
  <si>
    <t>KENNETH CARMEN</t>
  </si>
  <si>
    <t xml:space="preserve">MICKEL JERRI KURNIAWAN RAY </t>
  </si>
  <si>
    <t>MILINA</t>
  </si>
  <si>
    <t>ENRICO IVAN CHUA</t>
  </si>
  <si>
    <t>JUNIANSYAH</t>
  </si>
  <si>
    <t>SYARIFAH AINI</t>
  </si>
  <si>
    <t>TUKIJAN</t>
  </si>
  <si>
    <t>NAFLA RAIHANA QONITA HARDYAN</t>
  </si>
  <si>
    <t>MESSY</t>
  </si>
  <si>
    <t>NCHO</t>
  </si>
  <si>
    <t>LUSIANA MAENAH</t>
  </si>
  <si>
    <t>LIA MARISA</t>
  </si>
  <si>
    <t>GIGIH PURBO P</t>
  </si>
  <si>
    <t>LILY</t>
  </si>
  <si>
    <t>RAY DEDDY AZMI</t>
  </si>
  <si>
    <t>UTIN RAHMAH</t>
  </si>
  <si>
    <t>SULISTIYOWATI</t>
  </si>
  <si>
    <t>VERONIKA</t>
  </si>
  <si>
    <t>TITIN SUBAKTI S.SOS</t>
  </si>
  <si>
    <t>DRS BAGOES SOENHARLAN</t>
  </si>
  <si>
    <t>MERRY 7710</t>
  </si>
  <si>
    <t>HERY PURYANTO</t>
  </si>
  <si>
    <t>ANIS MUTIA</t>
  </si>
  <si>
    <t>RIZKY RESTU ANUGRAH PALURENG</t>
  </si>
  <si>
    <t>BERMAN PAULUS</t>
  </si>
  <si>
    <t>ELWIN LAVEDA</t>
  </si>
  <si>
    <t>TONNY MARZUKI</t>
  </si>
  <si>
    <t>DIVO</t>
  </si>
  <si>
    <t>M FATIH RIZKI</t>
  </si>
  <si>
    <t>KARTINI</t>
  </si>
  <si>
    <t>ELSA ELFIRA</t>
  </si>
  <si>
    <t>DHIASPUTRA BRILIANDRI</t>
  </si>
  <si>
    <t>RAINA AINUN NOOR</t>
  </si>
  <si>
    <t>WANTI SETIANINGSIH</t>
  </si>
  <si>
    <t>SYF NASYA SYABA</t>
  </si>
  <si>
    <t>REVAN FELIX GOUW</t>
  </si>
  <si>
    <t>NAJWA NUR AZWINA</t>
  </si>
  <si>
    <t>MUHAMMAD NUR</t>
  </si>
  <si>
    <t>DIARMI</t>
  </si>
  <si>
    <t>ARDY CAHYA FITRIYANTO</t>
  </si>
  <si>
    <t>REVAEL ENGGANG ALHAQ</t>
  </si>
  <si>
    <t>INZALIA</t>
  </si>
  <si>
    <t>SINDY MELANI</t>
  </si>
  <si>
    <t>MERRY</t>
  </si>
  <si>
    <t>ROSDIANA</t>
  </si>
  <si>
    <t>RIZQY PERDANA</t>
  </si>
  <si>
    <t>RACHMAT HIDAYAT</t>
  </si>
  <si>
    <t>VERONICA</t>
  </si>
  <si>
    <t xml:space="preserve">IBNU SETYA HARYANA </t>
  </si>
  <si>
    <t>MAYONG ANDREAS ACIN</t>
  </si>
  <si>
    <t>M ADY SOEPIANSYAH</t>
  </si>
  <si>
    <t>UMAR</t>
  </si>
  <si>
    <t>VITA RESTI FARUQI</t>
  </si>
  <si>
    <t>HANDRI</t>
  </si>
  <si>
    <t>SHELIN XAVIERA SALAM</t>
  </si>
  <si>
    <t>SYF AFFIA HANDA</t>
  </si>
  <si>
    <t>BHAKTI HARIMURTI</t>
  </si>
  <si>
    <t>MARSHERLY LOVESENZIA</t>
  </si>
  <si>
    <t>MARSIANUS DWI W. DONATUS</t>
  </si>
  <si>
    <t>LENNY MARBUN</t>
  </si>
  <si>
    <t>SUHARDI</t>
  </si>
  <si>
    <t>FENRIADI</t>
  </si>
  <si>
    <t>RIZQIROIHANMUSTOFA</t>
  </si>
  <si>
    <t>RIKA ANGGRAINI</t>
  </si>
  <si>
    <t>YOHANES PELE KURNIAWAN</t>
  </si>
  <si>
    <t>ADI RAHMANTO</t>
  </si>
  <si>
    <t>EKA DEWI PRATIWI</t>
  </si>
  <si>
    <t>AIRLANGGA RADITYA SYAFIQ</t>
  </si>
  <si>
    <t>ALBERT RENSEN LIUNARDY</t>
  </si>
  <si>
    <t>NURILHAM IRSYAD</t>
  </si>
  <si>
    <t>GILANG</t>
  </si>
  <si>
    <t>EDDY SANTOSO</t>
  </si>
  <si>
    <t>HARTATI</t>
  </si>
  <si>
    <t>RINA TJENDERA</t>
  </si>
  <si>
    <t>ALEXANDER PUTRA DARMADI</t>
  </si>
  <si>
    <t>TARMANTO</t>
  </si>
  <si>
    <t>RIKA RIYANTI</t>
  </si>
  <si>
    <t xml:space="preserve">BAYU YOGA </t>
  </si>
  <si>
    <t>BAMBANG DWIPOJONO</t>
  </si>
  <si>
    <t>MEIZARANI HELJA</t>
  </si>
  <si>
    <t>SARIJEM</t>
  </si>
  <si>
    <t>NADIRA PARAMITA</t>
  </si>
  <si>
    <t>NABILA SEPTRIA NINGRUM</t>
  </si>
  <si>
    <t>KAUSAR</t>
  </si>
  <si>
    <t>MARSALINA NENE</t>
  </si>
  <si>
    <t>WIDI TRIYANTO</t>
  </si>
  <si>
    <t>NG LIP TJIU</t>
  </si>
  <si>
    <t>IRENE ROYMOND</t>
  </si>
  <si>
    <t>HENGKY TANUWIJAYA</t>
  </si>
  <si>
    <t>WELLY TRIPUTRA</t>
  </si>
  <si>
    <t>FEBRIANTO LIM</t>
  </si>
  <si>
    <t>ELMON UTOMO</t>
  </si>
  <si>
    <t>SIGIT HARTONO</t>
  </si>
  <si>
    <t xml:space="preserve">HARISYAH BANDIANTO </t>
  </si>
  <si>
    <t>LIM GEK KHIANG</t>
  </si>
  <si>
    <t xml:space="preserve">OKTAVIANA </t>
  </si>
  <si>
    <t>ASRIANI</t>
  </si>
  <si>
    <t>ADZAN AMMAR WANDI</t>
  </si>
  <si>
    <t>RIA DWI ANJANI</t>
  </si>
  <si>
    <t>AHMAD NAUFAL WIRDIYAN</t>
  </si>
  <si>
    <t>PAK FITRA</t>
  </si>
  <si>
    <t xml:space="preserve">YANUARTI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</si>
  <si>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</si>
  <si>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JONO</t>
  </si>
  <si>
    <t>SIWA PRANATA</t>
  </si>
  <si>
    <t>VINA</t>
  </si>
  <si>
    <t>ACHMAD MAULANA</t>
  </si>
  <si>
    <t>VIVIANI</t>
  </si>
  <si>
    <t xml:space="preserve">DHIPA RADITYA </t>
  </si>
  <si>
    <t>DHIPA RADITYA</t>
  </si>
  <si>
    <t>RAJIDIN</t>
  </si>
  <si>
    <t>IR DARLIYUS</t>
  </si>
  <si>
    <t>OBED ROBBANI</t>
  </si>
  <si>
    <t>DIAN PRAMANA RAHAYU</t>
  </si>
  <si>
    <t>TRI SETIAWAN LUSLIM</t>
  </si>
  <si>
    <t>SUHADA</t>
  </si>
  <si>
    <t>SUMIATI 7409</t>
  </si>
  <si>
    <t>OSCAR ASTRAYANANDA</t>
  </si>
  <si>
    <t>YOLA PRAVIKA</t>
  </si>
  <si>
    <t>TITA ROSITA</t>
  </si>
  <si>
    <t>PANGGI</t>
  </si>
  <si>
    <t>RAMNAH</t>
  </si>
  <si>
    <t>M.ZAINAL</t>
  </si>
  <si>
    <t>BAYAR UNTUK SENN</t>
  </si>
  <si>
    <t>SEKAR KINANTI HERPRADANTI</t>
  </si>
  <si>
    <t>BAYAR UNTUK SENIN</t>
  </si>
  <si>
    <t>NURSILA</t>
  </si>
  <si>
    <t>TAN BE LEI</t>
  </si>
  <si>
    <t xml:space="preserve">RIO RAMANDA </t>
  </si>
  <si>
    <t>RIO RAMANDA</t>
  </si>
  <si>
    <t>ANDY PANJAYA</t>
  </si>
  <si>
    <t>NORSIANTY</t>
  </si>
  <si>
    <t>ABANG DENI MAULANA</t>
  </si>
  <si>
    <t xml:space="preserve">EMI SETIAWATI </t>
  </si>
  <si>
    <t>ANIK LAILATUL NUTTAFIA</t>
  </si>
  <si>
    <t>MELISA</t>
  </si>
  <si>
    <t>GIOVANNI NASTASIO PARURERA</t>
  </si>
  <si>
    <t>NORSYANTI</t>
  </si>
  <si>
    <t>JUNIARDI</t>
  </si>
  <si>
    <t>VALENTINUS WONGSO</t>
  </si>
  <si>
    <t>SILVIA</t>
  </si>
  <si>
    <t>ANDRIE HANDOKO</t>
  </si>
  <si>
    <t>VEREN HALIM</t>
  </si>
  <si>
    <t>SUMIATI 5405</t>
  </si>
  <si>
    <t>BRILLIAN NINDY SEPTIA</t>
  </si>
  <si>
    <t>M. PATRA MARMARA</t>
  </si>
  <si>
    <t>YUMANDA</t>
  </si>
  <si>
    <t>PEMBAYRAN SETELAH HARI SENIN</t>
  </si>
  <si>
    <t>NICHOLAS NELSON NATHANIEL</t>
  </si>
  <si>
    <t>RUSMA APRIANSYAH</t>
  </si>
  <si>
    <t>PATMAWATI</t>
  </si>
  <si>
    <t>GEOSEPPE DE ANDREA MALDEO</t>
  </si>
  <si>
    <t>GILANGEOSEPPE DE ANDREA MALDEO</t>
  </si>
  <si>
    <t>AZIZ HIDAYAT</t>
  </si>
  <si>
    <t>STEFANO</t>
  </si>
  <si>
    <t>DISC DARI MEMBER CARD</t>
  </si>
  <si>
    <t>ATIKA MUFLIHA</t>
  </si>
  <si>
    <t>ICHSAN CHANDRA</t>
  </si>
  <si>
    <t>MUHAMMAD RIDHO ANSYORI</t>
  </si>
  <si>
    <t>ELFIN ANUGERAH</t>
  </si>
  <si>
    <t>ILHAM AZIZ</t>
  </si>
  <si>
    <t>UCI ASMARANI</t>
  </si>
  <si>
    <t>SISA 6X PERTEMUAN</t>
  </si>
  <si>
    <t>WILIANA</t>
  </si>
  <si>
    <t>BOY</t>
  </si>
  <si>
    <t>SYARIFAH NASYA SYABA</t>
  </si>
  <si>
    <t xml:space="preserve">ZAENAL HASANUDDIN </t>
  </si>
  <si>
    <t>TRI WIBOWO</t>
  </si>
  <si>
    <t>DEWI MUSTIKA</t>
  </si>
  <si>
    <t>ANDREAN CAHYONO</t>
  </si>
  <si>
    <t>HANNY WULANDARI</t>
  </si>
  <si>
    <t>TJHOEA DJAP KAUW</t>
  </si>
  <si>
    <t>NICHOLAS A PRASETYO</t>
  </si>
  <si>
    <t>ANGGER CHESTA HIDAYAT</t>
  </si>
  <si>
    <t>DIDI WAHYUDI</t>
  </si>
  <si>
    <t>ALGI FAHRI</t>
  </si>
  <si>
    <t>ANA 1978</t>
  </si>
  <si>
    <t>ERICK TRIENARDO</t>
  </si>
  <si>
    <t>ERICKERICK TRIENARDO</t>
  </si>
  <si>
    <t>HAMZAH</t>
  </si>
  <si>
    <t>SYARIFAH AFFIA HANDA</t>
  </si>
  <si>
    <t>REZKY AKBAR</t>
  </si>
  <si>
    <t xml:space="preserve">SELA AMANDA </t>
  </si>
  <si>
    <t>TITIN AGUSTINA</t>
  </si>
  <si>
    <t>JAVON</t>
  </si>
  <si>
    <t>SELVIA</t>
  </si>
  <si>
    <t xml:space="preserve">RIA ARYUNI </t>
  </si>
  <si>
    <t>RIA ARYUNI</t>
  </si>
  <si>
    <t>H MAHDI</t>
  </si>
  <si>
    <t xml:space="preserve">ANDREAS RIAN PANAMUAN </t>
  </si>
  <si>
    <t>TJHOEA THENG KAK</t>
  </si>
  <si>
    <t>JOHANNES</t>
  </si>
  <si>
    <t>RAHDIAN EDISON</t>
  </si>
  <si>
    <t>CENDY VIBRIAN</t>
  </si>
  <si>
    <t>TJONG SAU CON</t>
  </si>
  <si>
    <t>ALIONG</t>
  </si>
  <si>
    <t>MUHAMAD TABSYIR</t>
  </si>
  <si>
    <t>DWI MARUTO</t>
  </si>
  <si>
    <t>ISRI ULFAINI</t>
  </si>
  <si>
    <t>AYDA RIANI JOHAR</t>
  </si>
  <si>
    <t xml:space="preserve">ERWIN, ST </t>
  </si>
  <si>
    <t>WARDOYO 8804</t>
  </si>
  <si>
    <t>WARDOYO</t>
  </si>
  <si>
    <t>JOKO AKBAR</t>
  </si>
  <si>
    <t>SANTY RIA TJHIE</t>
  </si>
  <si>
    <t>DARMADI</t>
  </si>
  <si>
    <t>ISFANDIAR, ST . MT</t>
  </si>
  <si>
    <t>FERNANDO NG</t>
  </si>
  <si>
    <t>JULIANTI JONARTO</t>
  </si>
  <si>
    <t>VIVI YULIANA</t>
  </si>
  <si>
    <t>EDI SUDIANDI</t>
  </si>
  <si>
    <t>LIVI</t>
  </si>
  <si>
    <t>FAHRI MAULIDA</t>
  </si>
  <si>
    <t>FEODORA</t>
  </si>
  <si>
    <t>RYAN PRAMIKA</t>
  </si>
  <si>
    <t>ENDANG MULYANI</t>
  </si>
  <si>
    <t xml:space="preserve">ABDULLAH SYAKUR </t>
  </si>
  <si>
    <t>LAURUS EDISON</t>
  </si>
  <si>
    <t>KRISTINA HERLINA</t>
  </si>
  <si>
    <t>RITA RUMIATI</t>
  </si>
  <si>
    <t>INDAHWATI</t>
  </si>
  <si>
    <t>RESTI DEWANTARI</t>
  </si>
  <si>
    <t>H.W. MANSOR ANDI MULIA</t>
  </si>
  <si>
    <t>MURTINI</t>
  </si>
  <si>
    <t>ANITA</t>
  </si>
  <si>
    <t>LIAU NYUK HIONG</t>
  </si>
  <si>
    <t>LAETITIA LAURA</t>
  </si>
  <si>
    <t>SITI HADIJAH 5806</t>
  </si>
  <si>
    <t>SRI ROEHANI</t>
  </si>
  <si>
    <t>ARBIAN OCTORA</t>
  </si>
  <si>
    <t>ALI</t>
  </si>
  <si>
    <t>DELLY MARIANA</t>
  </si>
  <si>
    <t>WENSESLAUS PALAGA</t>
  </si>
  <si>
    <t>PUTRI RAHMA SARI</t>
  </si>
  <si>
    <t>NAIMAH</t>
  </si>
  <si>
    <t>ALICIA</t>
  </si>
  <si>
    <t>SATIMAN BSC</t>
  </si>
  <si>
    <t>YUNINDA WIDIASTUTI</t>
  </si>
  <si>
    <t>ARISTO WAHYU KANTONA</t>
  </si>
  <si>
    <t>NASRULLAH</t>
  </si>
  <si>
    <t xml:space="preserve">TRI ENI WULANDARI </t>
  </si>
  <si>
    <t>ALI 7608</t>
  </si>
  <si>
    <t>AISYAH AYUDIA INARA</t>
  </si>
  <si>
    <t xml:space="preserve">PUTRI RAHMA SARI </t>
  </si>
  <si>
    <t>SITI BARIATUL KHOTIJAH</t>
  </si>
  <si>
    <t>YUSI NALURITA</t>
  </si>
  <si>
    <t>HJ NANTEN</t>
  </si>
  <si>
    <t>ANITAA</t>
  </si>
  <si>
    <t>NANDA PUSPITA SARI</t>
  </si>
  <si>
    <t xml:space="preserve">EMILIANA </t>
  </si>
  <si>
    <t>CARLSON KITCHIROU SETIA</t>
  </si>
  <si>
    <t>SUSINA</t>
  </si>
  <si>
    <t>AZRIEL REIVAN AKBAR</t>
  </si>
  <si>
    <t>SULASTRI</t>
  </si>
  <si>
    <t>ARMEA LESTARI</t>
  </si>
  <si>
    <t>SLAMET WIDODO</t>
  </si>
  <si>
    <t>AGNES FELIM</t>
  </si>
  <si>
    <t>MINARWATY</t>
  </si>
  <si>
    <t>IIS ARISBAYA</t>
  </si>
  <si>
    <t>AINIYATUL FITRIYAH</t>
  </si>
  <si>
    <t>MOK SOI PHIN</t>
  </si>
  <si>
    <t>DEVIN PANGESTU</t>
  </si>
  <si>
    <t>SRI SURYANINGSIH</t>
  </si>
  <si>
    <t>THIAM NGOEAN</t>
  </si>
  <si>
    <t>STEFFI</t>
  </si>
  <si>
    <t>LIM HUI TJU</t>
  </si>
  <si>
    <t>FREDERICA</t>
  </si>
  <si>
    <t xml:space="preserve">MAD NAWIR </t>
  </si>
  <si>
    <t>MAD NAWIR</t>
  </si>
  <si>
    <t>EKA HERMAWAN</t>
  </si>
  <si>
    <t>ERLANGGA R A</t>
  </si>
  <si>
    <t>MUHAMMAD AIRA BILNADZRI</t>
  </si>
  <si>
    <t>ANNISA SEPTA PAKSI</t>
  </si>
  <si>
    <t>ANDY</t>
  </si>
  <si>
    <t xml:space="preserve">ANDY </t>
  </si>
  <si>
    <t>SUKMAWATI</t>
  </si>
  <si>
    <t>ARYA</t>
  </si>
  <si>
    <t>BAGAS NUR ISLAMI</t>
  </si>
  <si>
    <t>ROMEO HISKIA LIMBENG</t>
  </si>
  <si>
    <t xml:space="preserve">RUFI LISTIAWATI, SE </t>
  </si>
  <si>
    <t>ARIEF SAPTA WENDRIANTO</t>
  </si>
  <si>
    <t>NICHOLAS ARINDA P</t>
  </si>
  <si>
    <t>DEDDY TANJAYA</t>
  </si>
  <si>
    <t>ARMAYADI</t>
  </si>
  <si>
    <t>MARDIANA 6909</t>
  </si>
  <si>
    <t>YUSAK HADI NUGROHO</t>
  </si>
  <si>
    <t>RUDY 279</t>
  </si>
  <si>
    <t>MUH. SHOIM MASKURI</t>
  </si>
  <si>
    <t>CAHAYA LANGIT DZIKRILLAH MATTAROPURA</t>
  </si>
  <si>
    <t>MUHAMMAD RIVQY IBRA</t>
  </si>
  <si>
    <t>OSKAR FEBRIANO HASITTO</t>
  </si>
  <si>
    <t>BANG EDO</t>
  </si>
  <si>
    <t>IRVAN HARAHAP</t>
  </si>
  <si>
    <t>MASNAH</t>
  </si>
  <si>
    <t>ERITA GUNAWAN</t>
  </si>
  <si>
    <t>DELIA ANGELA</t>
  </si>
  <si>
    <t>RIKA RAHMAWATI</t>
  </si>
  <si>
    <t>AHLUN NAZHA DE'AIRLANGGA</t>
  </si>
  <si>
    <t>ANNE YURIKA MAULUDDIN</t>
  </si>
  <si>
    <t>FARADILLA</t>
  </si>
  <si>
    <t>NICKY</t>
  </si>
  <si>
    <t>HAMDIKO CIKAL JULIADI</t>
  </si>
  <si>
    <t>EFFIE SYEKH USMAN</t>
  </si>
  <si>
    <t>ANDRIA RAMA YANA</t>
  </si>
  <si>
    <t>STEVANI DHARMA YANTI</t>
  </si>
  <si>
    <t>MUHAMMAD DHUHA KUSUMA</t>
  </si>
  <si>
    <t>FERA</t>
  </si>
  <si>
    <t>NARINDA EKA WIDYASTUTI</t>
  </si>
  <si>
    <t>ELVA SAMANTHA</t>
  </si>
  <si>
    <t>HJ SUGIARTI</t>
  </si>
  <si>
    <t xml:space="preserve">RIDHO </t>
  </si>
  <si>
    <t>RUDY TAN SIAU KHIE</t>
  </si>
  <si>
    <t xml:space="preserve">MUZAHIM SUFYAN ATS TSAURI </t>
  </si>
  <si>
    <t>RAFIF DHAYYAFA AZATHY</t>
  </si>
  <si>
    <t>DARWIN SUDARMA</t>
  </si>
  <si>
    <t>MUHAMMAD HENDRI. SE</t>
  </si>
  <si>
    <t>NOVITA SARI</t>
  </si>
  <si>
    <t>LIM TJIE KIANG</t>
  </si>
  <si>
    <t>ADIB MIFTAHUL AHYAR</t>
  </si>
  <si>
    <t xml:space="preserve">SRIYANTI </t>
  </si>
  <si>
    <t>YUDIT NOVANDI</t>
  </si>
  <si>
    <t>YUDIT NOVIANDI</t>
  </si>
  <si>
    <t>ERSAPTA ARISTO</t>
  </si>
  <si>
    <t>DIMAS</t>
  </si>
  <si>
    <t>ALFI DENYANTO</t>
  </si>
  <si>
    <t>PUJI LESTARI DWI HANDAYANI</t>
  </si>
  <si>
    <t>MARIANA</t>
  </si>
  <si>
    <t>SALSABILA NANDA PRATIWI</t>
  </si>
  <si>
    <t xml:space="preserve">BESOK </t>
  </si>
  <si>
    <t xml:space="preserve">AULIA NAZWA AZZIKRA </t>
  </si>
  <si>
    <t>IRENE PRETTY PARDEDE</t>
  </si>
  <si>
    <t>SUPARTI</t>
  </si>
  <si>
    <t>NINA YUNIARTI</t>
  </si>
  <si>
    <t>AUZAIE MUHTADI</t>
  </si>
  <si>
    <t>BAYAR UNTUK SESI BESOK</t>
  </si>
  <si>
    <t xml:space="preserve">MUSYARADA JUNIA CANDRA </t>
  </si>
  <si>
    <t>THE KWANG LENG</t>
  </si>
  <si>
    <t>SATRIA AMARTA</t>
  </si>
  <si>
    <t>ABYAN ODHY DZAKWAN</t>
  </si>
  <si>
    <t>BONG TJUI HA</t>
  </si>
  <si>
    <t>VICO</t>
  </si>
  <si>
    <t>FENNA</t>
  </si>
  <si>
    <t>SHANDY</t>
  </si>
  <si>
    <t xml:space="preserve">FATHIMATHUZ ZAHRAH </t>
  </si>
  <si>
    <t>PAULA AMINAH</t>
  </si>
  <si>
    <t>LIBERTUS HERI</t>
  </si>
  <si>
    <t>MARDINNA MARISTA</t>
  </si>
  <si>
    <t>DZULFIKRI RIZQULLAH</t>
  </si>
  <si>
    <t>INTAN PRATIWI KHAIRUNNISA</t>
  </si>
  <si>
    <t>RADIHT FIRJAH TULLOH</t>
  </si>
  <si>
    <t>EVANDIKA DANADYAKSA</t>
  </si>
  <si>
    <t>KARTIKA</t>
  </si>
  <si>
    <t>SINTA CLARENCIA</t>
  </si>
  <si>
    <t>JONATHAN NG</t>
  </si>
  <si>
    <t>MOHAMMAD GAUTAMA WAHYUDI</t>
  </si>
  <si>
    <t>HALIM</t>
  </si>
  <si>
    <t>JIMMY CRYSTIAN</t>
  </si>
  <si>
    <t>NURAINI</t>
  </si>
  <si>
    <t xml:space="preserve">AYU KOMALASARI </t>
  </si>
  <si>
    <t>NUFI ALABSHAR</t>
  </si>
  <si>
    <t>SANTI</t>
  </si>
  <si>
    <t>TYAN MIRANI</t>
  </si>
  <si>
    <t>LEBIH 200K</t>
  </si>
  <si>
    <t>SUHARTINI</t>
  </si>
  <si>
    <t>MULYATI</t>
  </si>
  <si>
    <t>HENDRI SUGIANTO</t>
  </si>
  <si>
    <t>DESY CHRISTIAN</t>
  </si>
  <si>
    <t>TJAI DJU</t>
  </si>
  <si>
    <t>DEDI HARYADI</t>
  </si>
  <si>
    <t>KLEVIN</t>
  </si>
  <si>
    <t>SUJARWO</t>
  </si>
  <si>
    <t>TANTI</t>
  </si>
  <si>
    <t>MERIANTO</t>
  </si>
  <si>
    <t>SUPIRIANI EKA LESTARI</t>
  </si>
  <si>
    <t>WANDA RAHMAWAN, ST</t>
  </si>
  <si>
    <t>FEBRIAN GALIH CAHYO P</t>
  </si>
  <si>
    <t xml:space="preserve">AGUS SILVIANDY </t>
  </si>
  <si>
    <t>IGNES JESSICA</t>
  </si>
  <si>
    <t>RIZKI KURNIASIH</t>
  </si>
  <si>
    <t>REZA AZMI</t>
  </si>
  <si>
    <t>SHERLY NURHIDAYANI</t>
  </si>
  <si>
    <t>REZHA ANDHIKA PUTRA</t>
  </si>
  <si>
    <t>MUHAMMAD VICTOR</t>
  </si>
  <si>
    <t>ARYANA BUKOWSKI</t>
  </si>
  <si>
    <t>DAMIAN</t>
  </si>
  <si>
    <t>SYARIF RIZKI ALKADRI</t>
  </si>
  <si>
    <t>MASITA LESTARI</t>
  </si>
  <si>
    <t>MASITA</t>
  </si>
  <si>
    <t>ACHMAD DHARMIANTO</t>
  </si>
  <si>
    <t>MEMBER CARD</t>
  </si>
  <si>
    <t>SUHADI</t>
  </si>
  <si>
    <t>WINARSIH</t>
  </si>
  <si>
    <t>ALYA NDASARI MARASIN</t>
  </si>
  <si>
    <t>RADEN SRI BINTANG PAMUNGKAS</t>
  </si>
  <si>
    <t>AMRI PRATAMA</t>
  </si>
  <si>
    <t>SATIMAN</t>
  </si>
  <si>
    <t>MUHAMMAD ASWIN</t>
  </si>
  <si>
    <t>DAVI ANUGRAH</t>
  </si>
  <si>
    <t>AVRIYANI NOVIYANTI</t>
  </si>
  <si>
    <t>EVI INTAN HERIATY</t>
  </si>
  <si>
    <t>CAROLINE MISHELLE STELLA TAMBUNAN</t>
  </si>
  <si>
    <t>FRANSISKA</t>
  </si>
  <si>
    <t>TEGAR NOVA PRIYATMOKO</t>
  </si>
  <si>
    <t>BONG DJAN TJHAN ALIAN JANTONO WONGSO</t>
  </si>
  <si>
    <t>MUHAMMAD ATHALLAH RAISYAUQI</t>
  </si>
  <si>
    <t>MAMA ATHALLAH</t>
  </si>
  <si>
    <t>IRFAN MAULANA</t>
  </si>
  <si>
    <t>SENG TJUAN</t>
  </si>
  <si>
    <t>SUSI</t>
  </si>
  <si>
    <t>KARINA EKA SAKTI</t>
  </si>
  <si>
    <t>YUNNY ELVANDARI</t>
  </si>
  <si>
    <t>ENDANG HARYANTI</t>
  </si>
  <si>
    <t>PARMI</t>
  </si>
  <si>
    <t xml:space="preserve">MAHANI ISMARIANA </t>
  </si>
  <si>
    <t>DARMIATI</t>
  </si>
  <si>
    <t>MUHAMMAD ALFAREZZI</t>
  </si>
  <si>
    <t>DI BAYAR NANTI</t>
  </si>
  <si>
    <t>TATA</t>
  </si>
  <si>
    <t>NURITA</t>
  </si>
  <si>
    <t>FITRIANA 0703</t>
  </si>
  <si>
    <t>JATMOKO</t>
  </si>
  <si>
    <t>NG SIAM BWEE ALS ROSIANTY</t>
  </si>
  <si>
    <t>ROBINSON NAINGGOLAN</t>
  </si>
  <si>
    <t>LILYANA</t>
  </si>
  <si>
    <t>INDUN KARTINI</t>
  </si>
  <si>
    <t>KARINA HAFZANY PUTRI</t>
  </si>
  <si>
    <t>ENDAH ARDHIA UTAMI</t>
  </si>
  <si>
    <t>CHERRY LIM</t>
  </si>
  <si>
    <t>LIP WENG</t>
  </si>
  <si>
    <t xml:space="preserve">ELFIRA NATALIA </t>
  </si>
  <si>
    <t>TARI INDRIANI</t>
  </si>
  <si>
    <t>DAFFA DEWANTA AKBAR</t>
  </si>
  <si>
    <t>WENNIE WENCE</t>
  </si>
  <si>
    <t>EXCEL XAVIER LIMARCO</t>
  </si>
  <si>
    <t>KENZIE DEAN DEWANTO</t>
  </si>
  <si>
    <t>MAMA KENZIE</t>
  </si>
  <si>
    <t>SHERLY</t>
  </si>
  <si>
    <t>MUHAMMAD FADLI LUTFIANDO</t>
  </si>
  <si>
    <t>DARMAWATI</t>
  </si>
  <si>
    <t>ISMAIL AKBAR</t>
  </si>
  <si>
    <t>YUSTINA</t>
  </si>
  <si>
    <t xml:space="preserve">ERLIN INDRIYANI </t>
  </si>
  <si>
    <t>LUSIANA</t>
  </si>
  <si>
    <t>MULYANA</t>
  </si>
  <si>
    <t xml:space="preserve">SULISTYARINI </t>
  </si>
  <si>
    <t>AUGUSTO WIJAYA</t>
  </si>
  <si>
    <t>DIAH SANTI</t>
  </si>
  <si>
    <t xml:space="preserve">MUHAMMAD ZAID ASH SHAFA </t>
  </si>
  <si>
    <t>PRANSISKA OLIVIA</t>
  </si>
  <si>
    <t>ABYAN QAYS ALFARIZ</t>
  </si>
  <si>
    <t>ABDUL HAKIM MUTTAQIN</t>
  </si>
  <si>
    <t>ANISA FUASANA</t>
  </si>
  <si>
    <t>HARDIYANTO</t>
  </si>
  <si>
    <t>AGAM MARWANSYAH</t>
  </si>
  <si>
    <t>SANDRA WIJAYA</t>
  </si>
  <si>
    <t>MICHAEL LIE</t>
  </si>
  <si>
    <t>WENNIE YANITA</t>
  </si>
  <si>
    <t>PETER LIU</t>
  </si>
  <si>
    <t>ELY</t>
  </si>
  <si>
    <t>ERWIN DJONG</t>
  </si>
  <si>
    <t>ALWI CHANDRA ANDIKA</t>
  </si>
  <si>
    <t>DZAKY DHIAULHAQ</t>
  </si>
  <si>
    <t xml:space="preserve">TJOEA HOEI TJHENG </t>
  </si>
  <si>
    <t>Dr. Dra. Hj. Yanieta Arbiastutie, Apt, MM, Msc.</t>
  </si>
  <si>
    <t>IPOLIANA</t>
  </si>
  <si>
    <t>M. SAPARWIN A. MD</t>
  </si>
  <si>
    <t xml:space="preserve">FLAVIUS DARRELL </t>
  </si>
  <si>
    <t>R. MUHAMMAD UMAR</t>
  </si>
  <si>
    <t xml:space="preserve">RIDHO HENDRI FREDINATA </t>
  </si>
  <si>
    <t>RIA ANANDA 8408</t>
  </si>
  <si>
    <t>HERWIN FIDELIO SALAM</t>
  </si>
  <si>
    <t>AURELIA AGUSTA</t>
  </si>
  <si>
    <t>MEMBECARD KK IRMA</t>
  </si>
  <si>
    <t>LEBIH 50K</t>
  </si>
  <si>
    <t>_</t>
  </si>
  <si>
    <t>FITRIANA</t>
  </si>
  <si>
    <t>PONTI INDAH SARI</t>
  </si>
  <si>
    <t>HASBULLAH</t>
  </si>
  <si>
    <t>RIRIN</t>
  </si>
  <si>
    <t>TJIN DJAM</t>
  </si>
  <si>
    <t>NICHOLAS</t>
  </si>
  <si>
    <t>DESTRIYANA DARMASTUTI</t>
  </si>
  <si>
    <t>MAMA REVAN</t>
  </si>
  <si>
    <t>MARLINA 7203</t>
  </si>
  <si>
    <t>IPUNG</t>
  </si>
  <si>
    <r>
      <rPr>
        <color rgb="FF000000"/>
        <sz val="10.0"/>
      </rPr>
      <t xml:space="preserve">NURHASANAH </t>
    </r>
    <r>
      <rPr>
        <color rgb="FF1155CC"/>
        <sz val="10.0"/>
        <u/>
      </rPr>
      <t>S.AG</t>
    </r>
  </si>
  <si>
    <t>XAVIO AXELL</t>
  </si>
  <si>
    <t xml:space="preserve">M.RIDHO TORIS MEIDIANO </t>
  </si>
  <si>
    <t>AHMAD BUDI FAUSTAL</t>
  </si>
  <si>
    <t xml:space="preserve">ANAK BU SULISTYARINI </t>
  </si>
  <si>
    <t>TIFANY NATHASYA</t>
  </si>
  <si>
    <t>FIRMAN 9407</t>
  </si>
  <si>
    <t>ANI RONIAH</t>
  </si>
  <si>
    <t>NANA KHRISNA YASITA</t>
  </si>
  <si>
    <t xml:space="preserve">KURNIA SAYUNI </t>
  </si>
  <si>
    <t>ROY EFFENDI</t>
  </si>
  <si>
    <t>VINSEN NOVENTA</t>
  </si>
  <si>
    <t>RADEN FANIKA AZZAHRA</t>
  </si>
  <si>
    <t xml:space="preserve"> SUSI</t>
  </si>
  <si>
    <t xml:space="preserve">RENDY DWIPUTRA </t>
  </si>
  <si>
    <t>NG SUI MIAUW</t>
  </si>
  <si>
    <t>H. ANDI BASO TEPU</t>
  </si>
  <si>
    <t>NATHANIA</t>
  </si>
  <si>
    <t>LU ZONGLIANG</t>
  </si>
  <si>
    <t>FANLIUS</t>
  </si>
  <si>
    <t>ANI HARYANI</t>
  </si>
  <si>
    <t>ELIS SARTIKAWATI, S.SOS</t>
  </si>
  <si>
    <t>GHALIB IBNU HAADY</t>
  </si>
  <si>
    <t>HERRY</t>
  </si>
  <si>
    <t>RESA BAYU MURTHY</t>
  </si>
  <si>
    <t>RIA ANANDA</t>
  </si>
  <si>
    <t>WAHYU PAMBUDI</t>
  </si>
  <si>
    <t>FIRLY</t>
  </si>
  <si>
    <t>R. TAUFAN SUGIARTO</t>
  </si>
  <si>
    <t>SUHAIRI</t>
  </si>
  <si>
    <t>DAYUNDA PRAMESTI</t>
  </si>
  <si>
    <r>
      <rPr>
        <color rgb="FF000000"/>
        <sz val="10.0"/>
      </rPr>
      <t xml:space="preserve">NURHASANAH </t>
    </r>
    <r>
      <rPr>
        <color rgb="FF1155CC"/>
        <sz val="10.0"/>
        <u/>
      </rPr>
      <t>S.AG</t>
    </r>
  </si>
  <si>
    <t>WILLSON LOUISSE HANSEN VILLERY</t>
  </si>
  <si>
    <t>LILYANI GOJONO</t>
  </si>
  <si>
    <t>CLARA</t>
  </si>
  <si>
    <t>RAHAYU</t>
  </si>
  <si>
    <t>HONG CHAI</t>
  </si>
  <si>
    <t>SILVI</t>
  </si>
  <si>
    <t>FANLUIS</t>
  </si>
  <si>
    <t>SUPRAPTI</t>
  </si>
  <si>
    <t>CARLIN DESMONDA</t>
  </si>
  <si>
    <r>
      <rPr>
        <color rgb="FF000000"/>
        <sz val="10.0"/>
      </rPr>
      <t xml:space="preserve">NURHASANAH </t>
    </r>
    <r>
      <rPr>
        <color rgb="FF1155CC"/>
        <sz val="10.0"/>
        <u/>
      </rPr>
      <t>S.AG</t>
    </r>
  </si>
  <si>
    <t>paketnya blm di input karena paket sebelumnya belum habis, kalau di input disistem hilang karena yang sebelumnya harus di stop kan dulu</t>
  </si>
  <si>
    <t>ANDRI KUSWARA</t>
  </si>
  <si>
    <t>ALFA GILBERD</t>
  </si>
  <si>
    <t>VINNDY CHONDRO</t>
  </si>
  <si>
    <t>LIM TEK LIUNG</t>
  </si>
  <si>
    <t>SRI HANDAYANI JAKARTA</t>
  </si>
  <si>
    <t>TIFFANY WAHYUDHI</t>
  </si>
  <si>
    <t>PRAKOSO SUSILO</t>
  </si>
  <si>
    <t>ASTERIA MARCELINE</t>
  </si>
  <si>
    <t>EVIE YULINDA</t>
  </si>
  <si>
    <t>AHMADI</t>
  </si>
  <si>
    <t>CAMELIA SANTIKA</t>
  </si>
  <si>
    <t>RAHMANI</t>
  </si>
  <si>
    <t>DESTY RAHMADANI</t>
  </si>
  <si>
    <t>KELAS LANSIA (MEMBER CARD)</t>
  </si>
  <si>
    <t>NAFSIAH</t>
  </si>
  <si>
    <t>NURLINA</t>
  </si>
  <si>
    <t>KELAS LANSIA</t>
  </si>
  <si>
    <t>SEPRIDA KURNIAWATI</t>
  </si>
  <si>
    <t>TOMY</t>
  </si>
  <si>
    <t xml:space="preserve">IPUNG WIJAYA </t>
  </si>
  <si>
    <t>KARIU SIDISMO</t>
  </si>
  <si>
    <t>H. ANTON PRASETYO</t>
  </si>
  <si>
    <t>AURELLIA RAHMA DWIYANTI</t>
  </si>
  <si>
    <t>M BAMBANG SUMANTRI</t>
  </si>
  <si>
    <t>YULIA WIDIANARTI</t>
  </si>
  <si>
    <t>IWAN GUNAWAN</t>
  </si>
  <si>
    <t>LIM MOI TJU</t>
  </si>
  <si>
    <t>ABANG BUSRANUDIN</t>
  </si>
  <si>
    <t>IKHSANUDIN 6611</t>
  </si>
  <si>
    <t>HELEN</t>
  </si>
  <si>
    <t>YASHINTA DIAJENG KULAAN</t>
  </si>
  <si>
    <t>ERIC</t>
  </si>
  <si>
    <t>DELLA SAPUTRI</t>
  </si>
  <si>
    <t xml:space="preserve">IMAN ROMADHONI </t>
  </si>
  <si>
    <t>ADINDA OKA KHAYLA PUTRI</t>
  </si>
  <si>
    <t>TERA VICIANI</t>
  </si>
  <si>
    <t>SILKY YESSITA</t>
  </si>
  <si>
    <t>DEDY HIDAYAT</t>
  </si>
  <si>
    <t>WAHYU DYAH</t>
  </si>
  <si>
    <t>NAROKTADENY</t>
  </si>
  <si>
    <t>HARRY FURQAN</t>
  </si>
  <si>
    <t>GEORGE BUDIJANTO SALIM</t>
  </si>
  <si>
    <t>ANGEL</t>
  </si>
  <si>
    <t>AJENG DWI SINTIYA DEWI</t>
  </si>
  <si>
    <t>PUTRI SAMPURNA DEWI</t>
  </si>
  <si>
    <t>DEWI WAHYUDANINGSIH</t>
  </si>
  <si>
    <t>ERDUS AMA MASANG</t>
  </si>
  <si>
    <t>ANDRE DWI CAHYO</t>
  </si>
  <si>
    <t>WILLY WINARDI</t>
  </si>
  <si>
    <t>EKA SUSANTI</t>
  </si>
  <si>
    <t>BERLINSON</t>
  </si>
  <si>
    <t>KARTIKA SARI</t>
  </si>
  <si>
    <t>ARISYA AHZA NAURA</t>
  </si>
  <si>
    <t>EGA</t>
  </si>
  <si>
    <t>OWEN FRENTSEN</t>
  </si>
  <si>
    <t>HENKY</t>
  </si>
  <si>
    <t>VIVI</t>
  </si>
  <si>
    <t>VINA MONIKA</t>
  </si>
  <si>
    <t>SUMIATI 6908</t>
  </si>
  <si>
    <t>SISNAWATI</t>
  </si>
  <si>
    <t>RITA</t>
  </si>
  <si>
    <t>DWI SARTIKA</t>
  </si>
  <si>
    <t>ASRI MUHARANI ARSA</t>
  </si>
  <si>
    <t>SYARIFAH UMMI KALTSUM</t>
  </si>
  <si>
    <t>MANJA</t>
  </si>
  <si>
    <t>TAUFIKURROHMAN</t>
  </si>
  <si>
    <t>NUR AISYAH DAUD</t>
  </si>
  <si>
    <t>SARI SAMARIAH</t>
  </si>
  <si>
    <t xml:space="preserve">YANDI ALEXIS </t>
  </si>
  <si>
    <t>GAN KONG HOK ALS KIEMHOO</t>
  </si>
  <si>
    <t>ASEP SETIAWAN</t>
  </si>
  <si>
    <t>CHARLES</t>
  </si>
  <si>
    <t>FITRI FATIMAH</t>
  </si>
  <si>
    <t>JOKO PRANOTO</t>
  </si>
  <si>
    <t>AMIRUL MUCHDI</t>
  </si>
  <si>
    <t>YESI VERDIANTI</t>
  </si>
  <si>
    <t>PUTRI AMALIA NURMIZAN</t>
  </si>
  <si>
    <t>ELLEN</t>
  </si>
  <si>
    <t xml:space="preserve">KELUARGA NICHOLAS </t>
  </si>
  <si>
    <t>KURNIA WIDYASTUTY</t>
  </si>
  <si>
    <t>EFENDY</t>
  </si>
  <si>
    <t>ISTIQAMAH</t>
  </si>
  <si>
    <t>NOVITA ADI HANDAYANI</t>
  </si>
  <si>
    <t>DINDA RIFA RISKI HANDAYANI</t>
  </si>
  <si>
    <t>CIPTA CAKRA DIRAJA PUTRA</t>
  </si>
  <si>
    <t>PHILIP ST</t>
  </si>
  <si>
    <t>CAHYO FITRIWATI</t>
  </si>
  <si>
    <t xml:space="preserve">EKO NOPRIYANTO </t>
  </si>
  <si>
    <t>MUHAMMAD MUFID EIMAN ANANDA</t>
  </si>
  <si>
    <t>SYARIF MUHAMMAD RIDWAN</t>
  </si>
  <si>
    <t>EPENDI</t>
  </si>
  <si>
    <t>JOVITA APRIANA</t>
  </si>
  <si>
    <t>ERLIN DWI SAFITRI</t>
  </si>
  <si>
    <t>REFINKHA ZETYA ARNINDHA</t>
  </si>
  <si>
    <t>NATAYA RAFIF</t>
  </si>
  <si>
    <t>HARRIS CESAR</t>
  </si>
  <si>
    <t>DEVI VERONICA</t>
  </si>
  <si>
    <t>MUHAJIR HILAL</t>
  </si>
  <si>
    <t xml:space="preserve">KUKUH </t>
  </si>
  <si>
    <t>PAULINA</t>
  </si>
  <si>
    <t>HARIANTO</t>
  </si>
  <si>
    <t>PURNAMA YUNIARSIH</t>
  </si>
  <si>
    <t>OMAR F. FISABILILLAH</t>
  </si>
  <si>
    <t>ANDY SETIAWAN</t>
  </si>
  <si>
    <t xml:space="preserve">ASRI HUMAIRA </t>
  </si>
  <si>
    <t xml:space="preserve">MUHAIMIN SANI </t>
  </si>
  <si>
    <t>SRI RAHMANI</t>
  </si>
  <si>
    <t>ISTIQOMAH</t>
  </si>
  <si>
    <t>M.ROZALI</t>
  </si>
  <si>
    <t>HJ HALIJAH</t>
  </si>
  <si>
    <t>KATENI</t>
  </si>
  <si>
    <t>MAMA DIVO</t>
  </si>
  <si>
    <t>NABILAH LILIS SAFITRI</t>
  </si>
  <si>
    <t xml:space="preserve">NURUL AQIDATUL KHAIRINA </t>
  </si>
  <si>
    <t>DARWIN TARIGAN</t>
  </si>
  <si>
    <t>SRI RATNAWATI</t>
  </si>
  <si>
    <t>KEMARIN LUPA BAYARKAN DI SISTEM JADINYA DI BAYARKAN BESOKNYA</t>
  </si>
  <si>
    <t>JUPRIL MARDA</t>
  </si>
  <si>
    <t>(MEMBERCARD) KEMARIN LUPA BAYARKAN DI SISTEM JADINYA DI BAYARKAN BESOKNYA</t>
  </si>
  <si>
    <t>ANNY MAYESTI</t>
  </si>
  <si>
    <t>ERVINA</t>
  </si>
  <si>
    <t xml:space="preserve">SARAH JEMBARANITA </t>
  </si>
  <si>
    <t>UNTUK BYR YG HARI MINGGU</t>
  </si>
  <si>
    <t>CUI FA</t>
  </si>
  <si>
    <t>ELISABETH</t>
  </si>
  <si>
    <t>TJANG KHENG</t>
  </si>
  <si>
    <t>FAUZY SETYAWAN</t>
  </si>
  <si>
    <t>PONIA PASTIAGE</t>
  </si>
  <si>
    <t>PUTRI DUTA SENOPATI</t>
  </si>
  <si>
    <t>HJ SUMARNI</t>
  </si>
  <si>
    <t>MEMBERCARD</t>
  </si>
  <si>
    <t>ERRY RUSTIANSYAH</t>
  </si>
  <si>
    <t>FADLURROHMAN ASSHIDDIQI</t>
  </si>
  <si>
    <t>KINARA SHALWA MIKHAYLA</t>
  </si>
  <si>
    <t>FERRY ADRIAN PANGKE</t>
  </si>
  <si>
    <t>ABDUL MANAN ARSYUL</t>
  </si>
  <si>
    <r>
      <rPr>
        <color rgb="FF000000"/>
        <sz val="10.0"/>
      </rPr>
      <t xml:space="preserve">NURHASANAH </t>
    </r>
    <r>
      <rPr>
        <color rgb="FF1155CC"/>
        <sz val="10.0"/>
        <u/>
      </rPr>
      <t>S.AG</t>
    </r>
  </si>
  <si>
    <t>AHMAD MUHAJIR</t>
  </si>
  <si>
    <t>MUHAMMAD DEVA ERLANGGA</t>
  </si>
  <si>
    <t>ALDI</t>
  </si>
  <si>
    <t>FALIH SYHAFWAN ALMY</t>
  </si>
  <si>
    <t>FALIH</t>
  </si>
  <si>
    <t>MUHAMMAD IRFAN DJUHA</t>
  </si>
  <si>
    <t>RACHMI WULAN</t>
  </si>
  <si>
    <t>SRI PAMUJI</t>
  </si>
  <si>
    <t>M. RAFAEL ALFANZA</t>
  </si>
  <si>
    <t>NABILA ZHAFIRA FASYA</t>
  </si>
  <si>
    <t>SUNI</t>
  </si>
  <si>
    <t>ORM TIA KHASINA</t>
  </si>
  <si>
    <t>FATIH HAWWARI</t>
  </si>
  <si>
    <t>TETY MAULIZAR</t>
  </si>
  <si>
    <t>YULIANA</t>
  </si>
  <si>
    <t>NOVIZAR HARTADY</t>
  </si>
  <si>
    <t>MARINI</t>
  </si>
  <si>
    <t>AGNES VERONIKA</t>
  </si>
  <si>
    <t xml:space="preserve">FATIH RIDHO PERMANA </t>
  </si>
  <si>
    <t>SOBIB</t>
  </si>
  <si>
    <t>CHAIRUL DWIYANDI</t>
  </si>
  <si>
    <t>SALWA SALSABLLA</t>
  </si>
  <si>
    <t>UTIN AGUSTINA</t>
  </si>
  <si>
    <t>ERIK RADJALI 5103</t>
  </si>
  <si>
    <t>YENNI RADJALI</t>
  </si>
  <si>
    <t>M AKHTAR ALFARIZY</t>
  </si>
  <si>
    <t>KRISTIAN DENNIS</t>
  </si>
  <si>
    <t>HERMAN</t>
  </si>
  <si>
    <t>TARI MARDIANA</t>
  </si>
  <si>
    <t>HENGKY</t>
  </si>
  <si>
    <t>VITARIA LINA</t>
  </si>
  <si>
    <t>MARIYAMINA RUPINA</t>
  </si>
  <si>
    <t>MEMBER CARD PRITY</t>
  </si>
  <si>
    <t>05 Mei</t>
  </si>
  <si>
    <t>ASNA</t>
  </si>
  <si>
    <t>JARAK SUDAH DIAMBIL</t>
  </si>
  <si>
    <t>RIO ANGGARA</t>
  </si>
  <si>
    <t>FIRMAN</t>
  </si>
  <si>
    <t>SINAH</t>
  </si>
  <si>
    <t>MMEBER CARD</t>
  </si>
  <si>
    <t>ARIENDI FITRI</t>
  </si>
  <si>
    <t>IRFAN RACHMAN HAKIM</t>
  </si>
  <si>
    <t>MIKHAEL KEVIN</t>
  </si>
  <si>
    <t>NAYYARA TSABITA YUMNA</t>
  </si>
  <si>
    <t>RENALDI ADITYA DWI SAPUTRA</t>
  </si>
  <si>
    <t>DETRIA</t>
  </si>
  <si>
    <t>JURIYATI</t>
  </si>
  <si>
    <t>IRMA</t>
  </si>
  <si>
    <t>NOVA IRMA ADIHANDAYANI</t>
  </si>
  <si>
    <t>XAVIERA</t>
  </si>
  <si>
    <t>CINDY</t>
  </si>
  <si>
    <t>U. HERU ISWIRNANDA</t>
  </si>
  <si>
    <t>SISKA DAMASTUTI</t>
  </si>
  <si>
    <t>INNE ANASTASIA SALIM</t>
  </si>
  <si>
    <t xml:space="preserve">ELISABET ELISA </t>
  </si>
  <si>
    <t>TAUFIKROHMAN</t>
  </si>
  <si>
    <t>KENRICH ELSON UTOMO</t>
  </si>
  <si>
    <t>WITONO</t>
  </si>
  <si>
    <t xml:space="preserve">NADIA STEVANIA </t>
  </si>
  <si>
    <t>WAGIATI</t>
  </si>
  <si>
    <t>NURYANI</t>
  </si>
  <si>
    <t>RINA</t>
  </si>
  <si>
    <t>SAODAH</t>
  </si>
  <si>
    <t>SYALSABILLA FARWA</t>
  </si>
  <si>
    <t>PUTRI TIYA RISNA DEWI</t>
  </si>
  <si>
    <t>FIRDA</t>
  </si>
  <si>
    <t>LIE SIN KHEK</t>
  </si>
  <si>
    <t>MEDIANA</t>
  </si>
  <si>
    <t>SUDARTI RAHMAN</t>
  </si>
  <si>
    <t>LING MIAU NGO</t>
  </si>
  <si>
    <t>UANG JARAK SUDAH DIAMBIL</t>
  </si>
  <si>
    <t>MUHAMMAD ADITYA HAPSORO</t>
  </si>
  <si>
    <t>MUHAMMAD SOULTANI</t>
  </si>
  <si>
    <t xml:space="preserve">MARIA AGNES </t>
  </si>
  <si>
    <t>INDRA SETIYAWAN</t>
  </si>
  <si>
    <t>JU HWA</t>
  </si>
  <si>
    <t>TITIK HARYATI</t>
  </si>
  <si>
    <t>RAHMA</t>
  </si>
  <si>
    <t>ABDIAS JURITINO</t>
  </si>
  <si>
    <t>KHOU AI KHENG</t>
  </si>
  <si>
    <t>HENDRI BUDIYANTO</t>
  </si>
  <si>
    <t>LIM TJEK LAN</t>
  </si>
  <si>
    <t xml:space="preserve">GEMILANG HOSHI HAYET </t>
  </si>
  <si>
    <t>BAYAR UNTUK PERTEMUAN SELANJUTNYA</t>
  </si>
  <si>
    <r>
      <rPr>
        <color rgb="FF000000"/>
        <sz val="10.0"/>
      </rPr>
      <t xml:space="preserve">NURHASANAH </t>
    </r>
    <r>
      <rPr>
        <color rgb="FF1155CC"/>
        <sz val="10.0"/>
        <u/>
      </rPr>
      <t>S.AG</t>
    </r>
  </si>
  <si>
    <t>MUHAMMAD LUTHFIR RAHMAN</t>
  </si>
  <si>
    <t>ERIK</t>
  </si>
  <si>
    <t>BELUM TERINPUT DI SISTEM KARENA BELUM ISI DATA</t>
  </si>
  <si>
    <t>RIRIN PURNAMA DEWI</t>
  </si>
  <si>
    <t>SANGAPTA SITEPU</t>
  </si>
  <si>
    <t>REZA NUGRAHA</t>
  </si>
  <si>
    <t>SALWA SALSABILA</t>
  </si>
  <si>
    <t>R. ADANG ERI RISWANA</t>
  </si>
  <si>
    <t>SYF NURAINI</t>
  </si>
  <si>
    <t>NADIA</t>
  </si>
  <si>
    <t>SAMIMA</t>
  </si>
  <si>
    <t>HAIKAL DEVEN</t>
  </si>
  <si>
    <t>TUTI MULYATI</t>
  </si>
  <si>
    <t>ENDY MAULIDI</t>
  </si>
  <si>
    <t>IRA NORMA PERTIWI</t>
  </si>
  <si>
    <t xml:space="preserve">SANOVA </t>
  </si>
  <si>
    <t xml:space="preserve">HASAN BASRI </t>
  </si>
  <si>
    <t>YULIA RAMADHIYANTI</t>
  </si>
  <si>
    <t xml:space="preserve">PUTRI AYSHA RAMADHANI </t>
  </si>
  <si>
    <t>STIVEN</t>
  </si>
  <si>
    <t>IPAH SIDA , S.E.</t>
  </si>
  <si>
    <t xml:space="preserve">NINING DWI PUSPITASARI </t>
  </si>
  <si>
    <t>SUMARNI,S.STP</t>
  </si>
  <si>
    <t>M KAHFIANSYAH</t>
  </si>
  <si>
    <t>RHAFA AL QAHFY</t>
  </si>
  <si>
    <t>EFRIANA</t>
  </si>
  <si>
    <t>SULAIMAN</t>
  </si>
  <si>
    <t>POTONGAN BEBERAPA KALI SESI SALAH HARGA</t>
  </si>
  <si>
    <t>06 Jun</t>
  </si>
  <si>
    <t>DIAH KURNIATI</t>
  </si>
  <si>
    <t>HERMI HERMAWAN</t>
  </si>
  <si>
    <t>ROBIYATI</t>
  </si>
  <si>
    <t>KUKUH WIDADI</t>
  </si>
  <si>
    <t>ARINI</t>
  </si>
  <si>
    <t>DARA RANTI PURBASAR</t>
  </si>
  <si>
    <t>JAWARIYAH</t>
  </si>
  <si>
    <t>SHOCHIHATUZ</t>
  </si>
  <si>
    <t>SYARIF MAUDUDI ANSARI</t>
  </si>
  <si>
    <t>HABIBULLAH</t>
  </si>
  <si>
    <t>SUMARNI</t>
  </si>
  <si>
    <t>ZAKI MUBARAK</t>
  </si>
  <si>
    <t>RINA TJANDERA</t>
  </si>
  <si>
    <t>YG BAYAR BU RINA</t>
  </si>
  <si>
    <t>DEWI</t>
  </si>
  <si>
    <t>SUWARDI TJANDRA</t>
  </si>
  <si>
    <t>ARIF 6912</t>
  </si>
  <si>
    <t>MILAWATY</t>
  </si>
  <si>
    <t>DEWI978</t>
  </si>
  <si>
    <t>ENDANG TUTI SETIAWATI</t>
  </si>
  <si>
    <t>WAHYUDIN CIPTADI</t>
  </si>
  <si>
    <t>HERLINA 7309</t>
  </si>
  <si>
    <t>NISAH</t>
  </si>
  <si>
    <t>EVANCIUS VALLEN</t>
  </si>
  <si>
    <t>FADHIL AL FATAH</t>
  </si>
  <si>
    <t>ANTONI D</t>
  </si>
  <si>
    <t>SONIA NOVITA</t>
  </si>
  <si>
    <t>LIM A KIANG</t>
  </si>
  <si>
    <r>
      <rPr>
        <color rgb="FF000000"/>
        <sz val="10.0"/>
      </rPr>
      <t xml:space="preserve">NURHASANAH </t>
    </r>
    <r>
      <rPr>
        <color rgb="FF1155CC"/>
        <sz val="10.0"/>
        <u/>
      </rPr>
      <t>S.AG</t>
    </r>
  </si>
  <si>
    <t>BAYAR UNTUK PERTEMUAN BERIKUTNYA</t>
  </si>
  <si>
    <r>
      <rPr>
        <color rgb="FF000000"/>
        <sz val="10.0"/>
      </rPr>
      <t xml:space="preserve">NURHASANAH </t>
    </r>
    <r>
      <rPr>
        <color rgb="FF1155CC"/>
        <sz val="10.0"/>
        <u/>
      </rPr>
      <t>S.AG</t>
    </r>
  </si>
  <si>
    <t>STEVEN HARYANTO</t>
  </si>
  <si>
    <t>GIBRAN ATHALLAH</t>
  </si>
  <si>
    <t>RIA KURNIA</t>
  </si>
  <si>
    <t>JEFFRY HERMANSYAH</t>
  </si>
  <si>
    <t>DHEA ANGGRAINI</t>
  </si>
  <si>
    <t>RAISHA SYIFA ANANTA</t>
  </si>
  <si>
    <t>FICO DIKA FAHREZY</t>
  </si>
  <si>
    <t>YUNIANTI</t>
  </si>
  <si>
    <t>MARYAM 2448</t>
  </si>
  <si>
    <t>DR RETNO MUSTIKANINGSIH</t>
  </si>
  <si>
    <t>MEMBEERCARD</t>
  </si>
  <si>
    <t>DHESTY AYU SAPUTRY</t>
  </si>
  <si>
    <t>GIRAN</t>
  </si>
  <si>
    <t>EVELYN</t>
  </si>
  <si>
    <t>YUNANTA</t>
  </si>
  <si>
    <t>DINI ANGGRAENI</t>
  </si>
  <si>
    <t>M. FADHLI FITRIYANDA</t>
  </si>
  <si>
    <t>SONNIA CHRISTIN</t>
  </si>
  <si>
    <t>WIDYA ROSALNA S.PD</t>
  </si>
  <si>
    <t>BUGI MARWATI</t>
  </si>
  <si>
    <t>FIRDA YUNITA</t>
  </si>
  <si>
    <t xml:space="preserve">HIQMANIARNI </t>
  </si>
  <si>
    <t>SAHDIMAN</t>
  </si>
  <si>
    <t>MULIONO</t>
  </si>
  <si>
    <t>FLAVIUS NIXON GRAVAEL</t>
  </si>
  <si>
    <t>CATUR YULIYATI</t>
  </si>
  <si>
    <t>MEMBER OKTA</t>
  </si>
  <si>
    <t>KAYLA DAYANA NADHIRA</t>
  </si>
  <si>
    <t>DAHANA ARYANA</t>
  </si>
  <si>
    <t>WATI</t>
  </si>
  <si>
    <t xml:space="preserve">RESTU GUNAWAN </t>
  </si>
  <si>
    <t xml:space="preserve">DEVY ALGHAFIQ </t>
  </si>
  <si>
    <t xml:space="preserve">SHAFA ANNISA </t>
  </si>
  <si>
    <t>MUHAMMAD AGUS SYAHRANI</t>
  </si>
  <si>
    <t>MUHAMMAD AQILA DANISH</t>
  </si>
  <si>
    <t xml:space="preserve">TRI HERIYANTI </t>
  </si>
  <si>
    <t>UJANG KURNIAWAN</t>
  </si>
  <si>
    <t>HAIKAL PRIORAHARJO</t>
  </si>
  <si>
    <t>FENTY</t>
  </si>
  <si>
    <t>TJOE HOEI TJENG</t>
  </si>
  <si>
    <t>SRI INDRAWATI</t>
  </si>
  <si>
    <t>MUHAMMAD ARI</t>
  </si>
  <si>
    <t>YUDY HARTONO</t>
  </si>
  <si>
    <t>ARDIANUS</t>
  </si>
  <si>
    <t>RIFDA ANGELINA WULANDARI</t>
  </si>
  <si>
    <t>RITA NURNANINGSIH</t>
  </si>
  <si>
    <t>INDRA 8810</t>
  </si>
  <si>
    <t>EEN WAHYUDI</t>
  </si>
  <si>
    <t>PEMBAYARAN UNTUK SESISELANJUTNYA</t>
  </si>
  <si>
    <t>DWIE SETYAWATI</t>
  </si>
  <si>
    <t>URAY BILCHAIRI JAKTI</t>
  </si>
  <si>
    <t>ALYA AMELIA ADELNA</t>
  </si>
  <si>
    <t>SUMIATI 8912</t>
  </si>
  <si>
    <t xml:space="preserve">EUSEBIA CLARA BERTA </t>
  </si>
  <si>
    <t>PAELAH</t>
  </si>
  <si>
    <t>HJ SISWATI</t>
  </si>
  <si>
    <t>SUYATNO</t>
  </si>
  <si>
    <t>LATIFAH</t>
  </si>
  <si>
    <t>CUCU SARTIKA</t>
  </si>
  <si>
    <t>ANDIKA</t>
  </si>
  <si>
    <t>ALDI RANDY YUDO</t>
  </si>
  <si>
    <t>K.SM - SEGMENTAL</t>
  </si>
  <si>
    <t>RIAN QURNIAWAN</t>
  </si>
  <si>
    <t>K.SM - FULL BODY</t>
  </si>
  <si>
    <t>NANDA M SHAUQIE</t>
  </si>
  <si>
    <t>ABUTALIB</t>
  </si>
  <si>
    <t>VIAN</t>
  </si>
  <si>
    <t>MITHA NOVIANTI</t>
  </si>
  <si>
    <t>MEMBERCARD HESTI</t>
  </si>
  <si>
    <t>FIRDAUS MINDO EMKO</t>
  </si>
  <si>
    <t>ERIK RADJALI</t>
  </si>
  <si>
    <t>RIDUANSAH</t>
  </si>
  <si>
    <t>ZANIYAH</t>
  </si>
  <si>
    <t>MIA AMALIA AZZAHRA</t>
  </si>
  <si>
    <t>MUHAMMAD REZA FIRNANDA</t>
  </si>
  <si>
    <t>ANNISA SETIOWATI</t>
  </si>
  <si>
    <t>FADJRINA NOPIANTI</t>
  </si>
  <si>
    <t>PURNAWAN LASDI</t>
  </si>
  <si>
    <t>KARYATI EKASAPUTRI</t>
  </si>
  <si>
    <t xml:space="preserve">HAFIZ PRATAMA PUTRA </t>
  </si>
  <si>
    <t>SYAFRIL</t>
  </si>
  <si>
    <t>FEBY SYAFITRI</t>
  </si>
  <si>
    <t>ISNA NURAINI</t>
  </si>
  <si>
    <t>AUDILA RIMA PUTRI</t>
  </si>
  <si>
    <t>RIZAL</t>
  </si>
  <si>
    <t>TOMMY WITANTO</t>
  </si>
  <si>
    <t>MEMBERCARD KAK HESTI</t>
  </si>
  <si>
    <t>ASNI</t>
  </si>
  <si>
    <t>MEMBERCARD HENA</t>
  </si>
  <si>
    <t>STEVAN AGBART</t>
  </si>
  <si>
    <t>MEMBERCARD PUTRI'</t>
  </si>
  <si>
    <t>LIE UI CHUAN</t>
  </si>
  <si>
    <t>RIDUANSYAH</t>
  </si>
  <si>
    <t>YULIANTI STEVIANI</t>
  </si>
  <si>
    <t>PUTRI YASMIN MUMTAZ</t>
  </si>
  <si>
    <t>MODESTA WISA</t>
  </si>
  <si>
    <t>MUHAMMAD SYUJA DIYAULHAQ</t>
  </si>
  <si>
    <t>M. ALI JENALA</t>
  </si>
  <si>
    <t>TEDDY SETIARDI</t>
  </si>
  <si>
    <t>HENDRA</t>
  </si>
  <si>
    <t>JULAEHA</t>
  </si>
  <si>
    <t>M MAMIK WARTAMI</t>
  </si>
  <si>
    <t xml:space="preserve">CATUR YULIYATI </t>
  </si>
  <si>
    <t>PUTRI AYSHA RAHMADHANI</t>
  </si>
  <si>
    <t>YULIANIWATI</t>
  </si>
  <si>
    <t xml:space="preserve">ABBEL RASYA </t>
  </si>
  <si>
    <t>K.PM - PAKET FULL BODY</t>
  </si>
  <si>
    <t>PT SM FULL BODY RECOVERY</t>
  </si>
  <si>
    <t>MUHAMMAD ZAKARIA</t>
  </si>
  <si>
    <t>DEA ARTINANDA</t>
  </si>
  <si>
    <t>IRVAN</t>
  </si>
  <si>
    <t>MEMBERCARD PUTRI</t>
  </si>
  <si>
    <t>NABILA RAMADHANI</t>
  </si>
  <si>
    <t>MUHAMMAD IQBAL NOVIANSYAH</t>
  </si>
  <si>
    <t>M.AGHA HIBATULLAH</t>
  </si>
  <si>
    <t>ABDUL RAHIM</t>
  </si>
  <si>
    <t>K.PM - PAKET SEGMENTAL</t>
  </si>
  <si>
    <t>AFIF RIZKY AFRIZA</t>
  </si>
  <si>
    <t>H. MUNZIRI SYAHIDAN, IR</t>
  </si>
  <si>
    <t>TIKA</t>
  </si>
  <si>
    <t>ELLYSA FERONIKA HALIM</t>
  </si>
  <si>
    <t>LUKAS FAJAR</t>
  </si>
  <si>
    <t>WELLY OKTADINATA</t>
  </si>
  <si>
    <t>DISKON MEMBER PUTRI</t>
  </si>
  <si>
    <t>NISWANI</t>
  </si>
  <si>
    <t>DIKON MEMBER SUCI</t>
  </si>
  <si>
    <t>YUDA SUHERMAN</t>
  </si>
  <si>
    <t>BENNY LUCK TANDIAN</t>
  </si>
  <si>
    <t>FARIS RAHMADIAN</t>
  </si>
  <si>
    <t>ANDREAS TRI PUTRA</t>
  </si>
  <si>
    <t>EVA MAYADARI</t>
  </si>
  <si>
    <t>TITIN SUMARNI</t>
  </si>
  <si>
    <t>RENI</t>
  </si>
  <si>
    <t>TRI WAHYUNI</t>
  </si>
  <si>
    <t>TRI ALFAIRUS</t>
  </si>
  <si>
    <t>HESTY YUNIARSIH</t>
  </si>
  <si>
    <t>TITO SAPUTRA</t>
  </si>
  <si>
    <t>LILIS SURYANI</t>
  </si>
  <si>
    <t>GHALY RAZQHA ALFATHANI</t>
  </si>
  <si>
    <t>RATNA KOMALA</t>
  </si>
  <si>
    <t>NIA ZULFITA</t>
  </si>
  <si>
    <t>Anietya</t>
  </si>
  <si>
    <t>ANDI WIRA UTAMA</t>
  </si>
  <si>
    <t>SYARIF SYAFIQ THAHIR</t>
  </si>
  <si>
    <t xml:space="preserve">M. MAMIK WARTAMI </t>
  </si>
  <si>
    <t>STEFFANI TEDJA</t>
  </si>
  <si>
    <t>SUMARNO SAPUTRA</t>
  </si>
  <si>
    <t>SUMARNO DWI SAPUTRA</t>
  </si>
  <si>
    <t>NIRWANI</t>
  </si>
  <si>
    <t>DWI FEBRIE ANDIKA</t>
  </si>
  <si>
    <t>ANGGRA</t>
  </si>
  <si>
    <t>SILVI AULIA</t>
  </si>
  <si>
    <t>WIWI WIJAYATI</t>
  </si>
  <si>
    <t>LEBIH 30k</t>
  </si>
  <si>
    <t>MUHAMMAD SABHAN</t>
  </si>
  <si>
    <t>BENNY PERNANDO SILALAHI</t>
  </si>
  <si>
    <t>ANGGY ENDRIANTO</t>
  </si>
  <si>
    <t>LIU YULIANTI</t>
  </si>
  <si>
    <t>TAN SOK KHIM</t>
  </si>
  <si>
    <t>ANTONIUS TRIAS KUNCOROJATI</t>
  </si>
  <si>
    <t>MURZANI</t>
  </si>
  <si>
    <t>SHAFA ANNISA</t>
  </si>
  <si>
    <t>SAWITRI HERSUSANTI</t>
  </si>
  <si>
    <t>YOKHEBED</t>
  </si>
  <si>
    <t>HARIS GINANJAR</t>
  </si>
  <si>
    <t>HARRIS</t>
  </si>
  <si>
    <t>HENDRY</t>
  </si>
  <si>
    <t>PUJI ASTUTI</t>
  </si>
  <si>
    <t>PUJI LESTARI</t>
  </si>
  <si>
    <t>IQBAAL MUHAMMAD</t>
  </si>
  <si>
    <t>UTTAMI SUMPING</t>
  </si>
  <si>
    <t>PHILIP ADRIANTA HARTADI</t>
  </si>
  <si>
    <t>JONI EFENDI</t>
  </si>
  <si>
    <t>REVINA ADELIA PUTRI</t>
  </si>
  <si>
    <t>ANDANG FIRMANSYAH</t>
  </si>
  <si>
    <t>SURYA HARYATI</t>
  </si>
  <si>
    <t>SETIAWATI</t>
  </si>
  <si>
    <t>SILVIA VITA</t>
  </si>
  <si>
    <t>ARINA</t>
  </si>
  <si>
    <t>J. MUJIARSO</t>
  </si>
  <si>
    <t>LIE HENG</t>
  </si>
  <si>
    <r>
      <rPr>
        <color rgb="FF000000"/>
        <sz val="10.0"/>
      </rPr>
      <t xml:space="preserve">NURHASANAH </t>
    </r>
    <r>
      <rPr>
        <color rgb="FF1155CC"/>
        <sz val="10.0"/>
        <u/>
      </rPr>
      <t>S.AG</t>
    </r>
  </si>
  <si>
    <t>ENDANG TRIANA</t>
  </si>
  <si>
    <t>ADHE MAHENDRA</t>
  </si>
  <si>
    <t>SURYA ISNANDA</t>
  </si>
  <si>
    <t>RAJE ISTANUDIN</t>
  </si>
  <si>
    <t xml:space="preserve">URAY VEGA VISA LACTI </t>
  </si>
  <si>
    <t>ALLUCA ZAVIAN ALI MEKKA</t>
  </si>
  <si>
    <t>FREDIRIKA ARIANI NESA</t>
  </si>
  <si>
    <t>NOVIANDRA</t>
  </si>
  <si>
    <t>RONNI RAHMANI</t>
  </si>
  <si>
    <t>DJUHARSIH</t>
  </si>
  <si>
    <t>LIE LI CIN</t>
  </si>
  <si>
    <t>GRACIA IVANA GOUWYN</t>
  </si>
  <si>
    <t>ADITYO D. SUDAGUNG</t>
  </si>
  <si>
    <t>MIFTAHUDIN RAMADHANI</t>
  </si>
  <si>
    <t>SYARIF ABDUURAHMAN ALQADRIE</t>
  </si>
  <si>
    <t>PUSPA SARI</t>
  </si>
  <si>
    <t>LANJUTAN</t>
  </si>
  <si>
    <t>KAYLA ANNISA AZZAHRA</t>
  </si>
  <si>
    <t>JEMALI</t>
  </si>
  <si>
    <t>LILIYANI</t>
  </si>
  <si>
    <t>ANDI AMIR FAHAD ABDILLAH</t>
  </si>
  <si>
    <t>AGUNG SUNARYO</t>
  </si>
  <si>
    <t>SURACHMAD DARUSMAN</t>
  </si>
  <si>
    <t xml:space="preserve">FANNY THALIA LIMAS </t>
  </si>
  <si>
    <t>NAZUMAH</t>
  </si>
  <si>
    <t>ZULKARNAEN</t>
  </si>
  <si>
    <t>LILIYANTI WAHYUNI</t>
  </si>
  <si>
    <t>HJ. MASRIKAH</t>
  </si>
  <si>
    <t>ERMA LESTARI</t>
  </si>
  <si>
    <t>HUSNUL FIKRI</t>
  </si>
  <si>
    <t>ALDI MAULADI RASYID</t>
  </si>
  <si>
    <t>OZZY GUARDIOLA FITTIFALDY</t>
  </si>
  <si>
    <t>ABANG ARIF MAULANA IHSAN</t>
  </si>
  <si>
    <t>MUHAMMAD YASIR</t>
  </si>
  <si>
    <t>IMRON</t>
  </si>
  <si>
    <t xml:space="preserve">FATUR MAULANA ARFANSYAH </t>
  </si>
  <si>
    <t>RIRIN SEPTIANI</t>
  </si>
  <si>
    <t>F. X. KURNIAWAN</t>
  </si>
  <si>
    <t>BIMA ADITYA PAKSI</t>
  </si>
  <si>
    <t>DWI SANTOSO</t>
  </si>
  <si>
    <t>NURHAYATI (IBU BANG EDO)</t>
  </si>
  <si>
    <t xml:space="preserve">LIM JAK KHENG </t>
  </si>
  <si>
    <t>FEMMY SANTIKA MAHARANI</t>
  </si>
  <si>
    <t>MARSYA ALEXANDRIA</t>
  </si>
  <si>
    <t xml:space="preserve">WAHYUDI </t>
  </si>
  <si>
    <t>WAHYUDI</t>
  </si>
  <si>
    <t>SUHANDA</t>
  </si>
  <si>
    <t>NOVA ELVIANI</t>
  </si>
  <si>
    <t>TAN SIN KUANG</t>
  </si>
  <si>
    <t>AURORA PRETTY BRILIANTY</t>
  </si>
  <si>
    <t>JESICHA MARTHALENA TRISNA</t>
  </si>
  <si>
    <t>ANDRA SAPUTRA</t>
  </si>
  <si>
    <t>ARIF SANTOSO</t>
  </si>
  <si>
    <t>LIE KIM FA/KESUMAJADI</t>
  </si>
  <si>
    <t>Hj.Masrika</t>
  </si>
  <si>
    <t>WAFA ARIF</t>
  </si>
  <si>
    <t>RATNA NINGSIH</t>
  </si>
  <si>
    <t>OSCAR FAUZI</t>
  </si>
  <si>
    <t xml:space="preserve">DANISH FATURRAHMAN </t>
  </si>
  <si>
    <t>ENDANG PURWATI</t>
  </si>
  <si>
    <t>MUHAMMAD NABIL KAUTSAR PRIYANTANA</t>
  </si>
  <si>
    <t>AMALIA RIZKI SURYANDARI</t>
  </si>
  <si>
    <t>FAWIL PATWA</t>
  </si>
  <si>
    <t>OKTARIANA TRI SUSANTI</t>
  </si>
  <si>
    <t xml:space="preserve">TEGAR KRISTIAN OMPU SUNGGU ARITONANG </t>
  </si>
  <si>
    <t>NOVERIANSYAH AKBAR</t>
  </si>
  <si>
    <t>JARDINE</t>
  </si>
  <si>
    <t>HARY PRAYOGI PRATAMA PUTRA</t>
  </si>
  <si>
    <t>NASYUA RAVA AZAHRA</t>
  </si>
  <si>
    <t>DUDI HARSONO</t>
  </si>
  <si>
    <t>TJATUR SUGIARTO</t>
  </si>
  <si>
    <t>DARA APRILA YUSLYANI</t>
  </si>
  <si>
    <t>FIRMAN SAMSUDIN</t>
  </si>
  <si>
    <t>VIJAY</t>
  </si>
  <si>
    <t>AURA DUTA SHEVA</t>
  </si>
  <si>
    <t>CESARIA ANGGUN KINANTY</t>
  </si>
  <si>
    <t>MUHAMMAD HAFIZ ANANSYAH</t>
  </si>
  <si>
    <t>NENENG SAPARIANA</t>
  </si>
  <si>
    <t>IRVIN CHANGGRA</t>
  </si>
  <si>
    <t>NIKE WELDAN</t>
  </si>
  <si>
    <t>SISWADI</t>
  </si>
  <si>
    <t>BATISTUTA YUSLYADI</t>
  </si>
  <si>
    <t>ANDREAN SETIAWAN PUTRA</t>
  </si>
  <si>
    <t>SUMARSIH</t>
  </si>
  <si>
    <t>VANIA FANG</t>
  </si>
  <si>
    <t>TYAS MAHENDRA</t>
  </si>
  <si>
    <t>SITI WULANDARI</t>
  </si>
  <si>
    <t>TRI PRATIWI</t>
  </si>
  <si>
    <t>MAMA SHAFA</t>
  </si>
  <si>
    <t>ALIANI</t>
  </si>
  <si>
    <t>AGUSTINUS ARSI</t>
  </si>
  <si>
    <t>LIM CHUN HUE</t>
  </si>
  <si>
    <t>RIZKY MAULANA PUTRA</t>
  </si>
  <si>
    <t>ADIBA</t>
  </si>
  <si>
    <t>ADLY RAYHAN SAPUTRA</t>
  </si>
  <si>
    <t>SUPARDAN</t>
  </si>
  <si>
    <t xml:space="preserve">SAYYIDAH ADZKIA </t>
  </si>
  <si>
    <t>ASMA</t>
  </si>
  <si>
    <t>SUDARTI</t>
  </si>
  <si>
    <t>RUSMALA RATINA</t>
  </si>
  <si>
    <t>NOEVAL MUZZAKY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</si>
</sst>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00"/>
    <numFmt numFmtId="165" formatCode="dd&quot; &quot;mmm&quot; &quot;yyyy"/>
    <numFmt numFmtId="166" formatCode="[$Rp-421]#,##0"/>
    <numFmt numFmtId="167" formatCode="&quot;Rp&quot;#,##0"/>
    <numFmt numFmtId="168" formatCode="[$Rp]#,##0"/>
  </numFmts>
  <fonts count="31">
    <font>
      <sz val="10.0"/>
      <color rgb="FF000000"/>
      <name val="Roboto"/>
      <scheme val="minor"/>
    </font>
    <font>
      <b/>
      <sz val="14.0"/>
      <color theme="1"/>
      <name val="Roboto"/>
      <scheme val="minor"/>
    </font>
    <font>
      <color theme="1"/>
      <name val="Roboto"/>
      <scheme val="minor"/>
    </font>
    <font>
      <b/>
      <color rgb="FFFFFFFF"/>
      <name val="Roboto"/>
      <scheme val="minor"/>
    </font>
    <font>
      <b/>
      <i/>
      <sz val="14.0"/>
      <color theme="1"/>
      <name val="Roboto"/>
      <scheme val="minor"/>
    </font>
    <font>
      <i/>
      <color theme="1"/>
      <name val="Roboto"/>
      <scheme val="minor"/>
    </font>
    <font>
      <i/>
      <sz val="10.0"/>
      <color theme="1"/>
      <name val="Roboto"/>
      <scheme val="minor"/>
    </font>
    <font>
      <b/>
      <color theme="1"/>
      <name val="Roboto"/>
      <scheme val="minor"/>
    </font>
    <font>
      <b/>
      <i/>
      <sz val="8.0"/>
      <color theme="1"/>
      <name val="Roboto"/>
      <scheme val="minor"/>
    </font>
    <font>
      <sz val="10.0"/>
      <color theme="1"/>
      <name val="Roboto"/>
      <scheme val="minor"/>
    </font>
    <font>
      <b/>
      <sz val="10.0"/>
      <color theme="1"/>
      <name val="Roboto"/>
      <scheme val="minor"/>
    </font>
    <font>
      <b/>
      <sz val="18.0"/>
      <color theme="1"/>
      <name val="Roboto"/>
      <scheme val="minor"/>
    </font>
    <font>
      <b/>
      <u/>
      <sz val="14.0"/>
      <color theme="1"/>
      <name val="Roboto"/>
      <scheme val="minor"/>
    </font>
    <font>
      <b/>
      <sz val="12.0"/>
      <color theme="1"/>
      <name val="Roboto"/>
      <scheme val="minor"/>
    </font>
    <font>
      <sz val="10.0"/>
      <color rgb="FF434343"/>
      <name val="Roboto"/>
      <scheme val="minor"/>
    </font>
    <font>
      <sz val="12.0"/>
      <color rgb="FF999999"/>
      <name val="Roboto"/>
      <scheme val="minor"/>
    </font>
    <font>
      <b/>
      <i/>
      <color theme="1"/>
      <name val="Roboto"/>
      <scheme val="minor"/>
    </font>
    <font>
      <color rgb="FF434343"/>
      <name val="Roboto"/>
      <scheme val="minor"/>
    </font>
    <font>
      <u/>
      <sz val="10.0"/>
      <color rgb="FF000000"/>
      <name val="Roboto"/>
    </font>
    <font>
      <b/>
      <color rgb="FFD4EDBC"/>
      <name val="Roboto"/>
    </font>
    <font>
      <b/>
      <color rgb="FF473821"/>
      <name val="Roboto"/>
    </font>
    <font>
      <b/>
      <color rgb="FFBFE0F6"/>
      <name val="Roboto"/>
    </font>
    <font>
      <b/>
      <color theme="1"/>
      <name val="Roboto"/>
    </font>
    <font>
      <color rgb="FF473821"/>
      <name val="Roboto"/>
    </font>
    <font>
      <color rgb="FFBFE0F6"/>
      <name val="Roboto"/>
    </font>
    <font>
      <b/>
      <color rgb="FF434343"/>
      <name val="Roboto"/>
    </font>
    <font>
      <color rgb="FF434343"/>
      <name val="Roboto"/>
    </font>
    <font>
      <b/>
      <color rgb="FF34A853"/>
      <name val="Roboto"/>
    </font>
    <font>
      <b/>
      <sz val="10.0"/>
      <color rgb="FFEA4335"/>
      <name val="Roboto"/>
      <scheme val="minor"/>
    </font>
    <font>
      <color rgb="FFD4EDBC"/>
      <name val="Roboto"/>
    </font>
    <font>
      <i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AF8"/>
        <bgColor rgb="FFF8FAF8"/>
      </patternFill>
    </fill>
  </fills>
  <borders count="10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8FAF8"/>
      </left>
      <right style="thin">
        <color rgb="FFF8FAF8"/>
      </right>
      <top style="thin">
        <color rgb="FFF8FAF8"/>
      </top>
      <bottom style="thin">
        <color rgb="FFF8FAF8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2" fontId="2" numFmtId="0" xfId="0" applyFill="1" applyFont="1"/>
    <xf borderId="1" fillId="0" fontId="3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vertical="center"/>
    </xf>
    <xf borderId="0" fillId="0" fontId="2" numFmtId="49" xfId="0" applyFont="1" applyNumberFormat="1"/>
    <xf borderId="2" fillId="0" fontId="3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shrinkToFit="0" vertical="center" wrapText="1"/>
    </xf>
    <xf borderId="0" fillId="0" fontId="2" numFmtId="0" xfId="0" applyFont="1"/>
    <xf borderId="0" fillId="0" fontId="1" numFmtId="166" xfId="0" applyAlignment="1" applyFont="1" applyNumberFormat="1">
      <alignment vertical="center"/>
    </xf>
    <xf borderId="2" fillId="0" fontId="3" numFmtId="49" xfId="0" applyAlignment="1" applyBorder="1" applyFont="1" applyNumberFormat="1">
      <alignment horizontal="center" readingOrder="0"/>
    </xf>
    <xf borderId="0" fillId="0" fontId="4" numFmtId="166" xfId="0" applyAlignment="1" applyFont="1" applyNumberFormat="1">
      <alignment vertical="center"/>
    </xf>
    <xf borderId="0" fillId="0" fontId="5" numFmtId="49" xfId="0" applyAlignment="1" applyFont="1" applyNumberFormat="1">
      <alignment readingOrder="0" vertical="center"/>
    </xf>
    <xf borderId="3" fillId="0" fontId="3" numFmtId="164" xfId="0" applyAlignment="1" applyBorder="1" applyFont="1" applyNumberFormat="1">
      <alignment horizontal="center" readingOrder="0"/>
    </xf>
    <xf borderId="0" fillId="0" fontId="6" numFmtId="0" xfId="0" applyAlignment="1" applyFont="1">
      <alignment readingOrder="0"/>
    </xf>
    <xf borderId="4" fillId="0" fontId="2" numFmtId="164" xfId="0" applyAlignment="1" applyBorder="1" applyFont="1" applyNumberFormat="1">
      <alignment readingOrder="0"/>
    </xf>
    <xf borderId="0" fillId="0" fontId="2" numFmtId="0" xfId="0" applyAlignment="1" applyFont="1">
      <alignment vertical="center"/>
    </xf>
    <xf borderId="5" fillId="0" fontId="2" numFmtId="0" xfId="0" applyAlignment="1" applyBorder="1" applyFont="1">
      <alignment readingOrder="0"/>
    </xf>
    <xf borderId="0" fillId="0" fontId="2" numFmtId="164" xfId="0" applyAlignment="1" applyFont="1" applyNumberFormat="1">
      <alignment vertical="center"/>
    </xf>
    <xf borderId="5" fillId="0" fontId="2" numFmtId="165" xfId="0" applyAlignment="1" applyBorder="1" applyFont="1" applyNumberFormat="1">
      <alignment readingOrder="0"/>
    </xf>
    <xf borderId="0" fillId="0" fontId="2" numFmtId="0" xfId="0" applyAlignment="1" applyFont="1">
      <alignment shrinkToFit="0" vertical="center" wrapText="1"/>
    </xf>
    <xf borderId="0" fillId="0" fontId="7" numFmtId="0" xfId="0" applyAlignment="1" applyFont="1">
      <alignment vertical="center"/>
    </xf>
    <xf borderId="5" fillId="0" fontId="2" numFmtId="166" xfId="0" applyAlignment="1" applyBorder="1" applyFont="1" applyNumberFormat="1">
      <alignment readingOrder="0"/>
    </xf>
    <xf borderId="0" fillId="0" fontId="2" numFmtId="166" xfId="0" applyAlignment="1" applyFont="1" applyNumberFormat="1">
      <alignment vertical="center"/>
    </xf>
    <xf borderId="5" fillId="0" fontId="2" numFmtId="166" xfId="0" applyAlignment="1" applyBorder="1" applyFont="1" applyNumberFormat="1">
      <alignment readingOrder="0"/>
    </xf>
    <xf borderId="0" fillId="0" fontId="5" numFmtId="166" xfId="0" applyAlignment="1" applyFont="1" applyNumberFormat="1">
      <alignment vertical="center"/>
    </xf>
    <xf borderId="0" fillId="0" fontId="8" numFmtId="0" xfId="0" applyAlignment="1" applyFont="1">
      <alignment shrinkToFit="0" vertical="center" wrapText="1"/>
    </xf>
    <xf borderId="5" fillId="0" fontId="2" numFmtId="49" xfId="0" applyAlignment="1" applyBorder="1" applyFont="1" applyNumberFormat="1">
      <alignment readingOrder="0"/>
    </xf>
    <xf borderId="0" fillId="0" fontId="2" numFmtId="0" xfId="0" applyFont="1"/>
    <xf borderId="6" fillId="0" fontId="2" numFmtId="0" xfId="0" applyBorder="1" applyFont="1"/>
    <xf borderId="0" fillId="0" fontId="8" numFmtId="164" xfId="0" applyAlignment="1" applyFont="1" applyNumberFormat="1">
      <alignment horizontal="center" readingOrder="0" shrinkToFit="0" vertical="center" wrapText="1"/>
    </xf>
    <xf borderId="0" fillId="0" fontId="2" numFmtId="164" xfId="0" applyFont="1" applyNumberFormat="1"/>
    <xf borderId="0" fillId="0" fontId="8" numFmtId="164" xfId="0" applyAlignment="1" applyFont="1" applyNumberFormat="1">
      <alignment horizontal="left" readingOrder="0" shrinkToFit="0" vertical="center" wrapText="1"/>
    </xf>
    <xf borderId="0" fillId="0" fontId="8" numFmtId="164" xfId="0" applyAlignment="1" applyFont="1" applyNumberFormat="1">
      <alignment horizontal="right" readingOrder="0" shrinkToFit="0" vertical="center" wrapText="1"/>
    </xf>
    <xf borderId="0" fillId="0" fontId="2" numFmtId="49" xfId="0" applyFont="1" applyNumberFormat="1"/>
    <xf borderId="0" fillId="0" fontId="8" numFmtId="49" xfId="0" applyAlignment="1" applyFont="1" applyNumberFormat="1">
      <alignment horizontal="left" readingOrder="0" shrinkToFit="0" vertical="center" wrapText="1"/>
    </xf>
    <xf borderId="0" fillId="0" fontId="2" numFmtId="165" xfId="0" applyFont="1" applyNumberFormat="1"/>
    <xf borderId="0" fillId="0" fontId="2" numFmtId="164" xfId="0" applyAlignment="1" applyFont="1" applyNumberFormat="1">
      <alignment horizontal="left" readingOrder="0" shrinkToFit="0" vertical="center" wrapText="1"/>
    </xf>
    <xf borderId="0" fillId="0" fontId="8" numFmtId="164" xfId="0" applyAlignment="1" applyFont="1" applyNumberFormat="1">
      <alignment horizontal="left"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0" fontId="9" numFmtId="164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9" numFmtId="165" xfId="0" applyAlignment="1" applyFont="1" applyNumberForma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0" numFmtId="0" xfId="0" applyAlignment="1" applyFont="1">
      <alignment readingOrder="0" shrinkToFit="0" vertical="center" wrapText="1"/>
    </xf>
    <xf borderId="0" fillId="0" fontId="0" numFmtId="0" xfId="0" applyAlignment="1" applyFont="1">
      <alignment readingOrder="0" shrinkToFit="0" vertical="center" wrapText="1"/>
    </xf>
    <xf borderId="0" fillId="0" fontId="10" numFmtId="166" xfId="0" applyAlignment="1" applyFont="1" applyNumberFormat="1">
      <alignment readingOrder="0" shrinkToFit="0" vertical="center" wrapText="1"/>
    </xf>
    <xf borderId="0" fillId="0" fontId="9" numFmtId="167" xfId="0" applyAlignment="1" applyFont="1" applyNumberFormat="1">
      <alignment readingOrder="0" shrinkToFit="0" vertical="center" wrapText="1"/>
    </xf>
    <xf borderId="0" fillId="0" fontId="6" numFmtId="166" xfId="0" applyAlignment="1" applyFont="1" applyNumberFormat="1">
      <alignment shrinkToFit="0" vertical="center" wrapText="1"/>
    </xf>
    <xf borderId="0" fillId="0" fontId="9" numFmtId="166" xfId="0" applyAlignment="1" applyFont="1" applyNumberFormat="1">
      <alignment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0" fontId="9" numFmtId="0" xfId="0" applyAlignment="1" applyFont="1">
      <alignment shrinkToFit="0" vertical="center" wrapText="1"/>
    </xf>
    <xf borderId="0" fillId="0" fontId="1" numFmtId="0" xfId="0" applyAlignment="1" applyFont="1">
      <alignment readingOrder="0"/>
    </xf>
    <xf borderId="0" fillId="0" fontId="8" numFmtId="49" xfId="0" applyAlignment="1" applyFont="1" applyNumberFormat="1">
      <alignment horizontal="left" readingOrder="0" shrinkToFit="0" vertical="center" wrapText="1"/>
    </xf>
    <xf borderId="0" fillId="0" fontId="8" numFmtId="49" xfId="0" applyAlignment="1" applyFont="1" applyNumberFormat="1">
      <alignment horizontal="right" readingOrder="0" shrinkToFit="0" vertical="center" wrapText="1"/>
    </xf>
    <xf borderId="0" fillId="0" fontId="2" numFmtId="49" xfId="0" applyAlignment="1" applyFont="1" applyNumberFormat="1">
      <alignment horizontal="left" readingOrder="0" shrinkToFit="0" vertical="center" wrapText="1"/>
    </xf>
    <xf borderId="0" fillId="0" fontId="8" numFmtId="49" xfId="0" applyAlignment="1" applyFont="1" applyNumberFormat="1">
      <alignment horizontal="left" readingOrder="0"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165" xfId="0" applyAlignment="1" applyFont="1" applyNumberFormat="1">
      <alignment readingOrder="0" shrinkToFit="0" vertical="center" wrapText="1"/>
    </xf>
    <xf borderId="0" fillId="0" fontId="2" numFmtId="166" xfId="0" applyAlignment="1" applyFont="1" applyNumberFormat="1">
      <alignment shrinkToFit="0" vertical="center" wrapText="1"/>
    </xf>
    <xf borderId="0" fillId="0" fontId="2" numFmtId="166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9" numFmtId="166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9" numFmtId="49" xfId="0" applyAlignment="1" applyFont="1" applyNumberFormat="1">
      <alignment readingOrder="0" shrinkToFit="0" vertical="center" wrapText="1"/>
    </xf>
    <xf borderId="0" fillId="0" fontId="0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vertical="center"/>
    </xf>
    <xf borderId="0" fillId="0" fontId="1" numFmtId="0" xfId="0" applyAlignment="1" applyFont="1">
      <alignment horizontal="right" readingOrder="0" vertical="center"/>
    </xf>
    <xf borderId="0" fillId="0" fontId="12" numFmtId="168" xfId="0" applyAlignment="1" applyFont="1" applyNumberFormat="1">
      <alignment vertical="center"/>
    </xf>
    <xf borderId="0" fillId="0" fontId="13" numFmtId="0" xfId="0" applyAlignment="1" applyFont="1">
      <alignment vertical="center"/>
    </xf>
    <xf borderId="0" fillId="0" fontId="13" numFmtId="0" xfId="0" applyAlignment="1" applyFont="1">
      <alignment readingOrder="0" vertical="center"/>
    </xf>
    <xf borderId="0" fillId="0" fontId="13" numFmtId="166" xfId="0" applyAlignment="1" applyFont="1" applyNumberFormat="1">
      <alignment vertical="center"/>
    </xf>
    <xf borderId="0" fillId="0" fontId="0" numFmtId="49" xfId="0" applyAlignment="1" applyFont="1" applyNumberFormat="1">
      <alignment readingOrder="0" shrinkToFit="0" vertical="center" wrapText="1"/>
    </xf>
    <xf borderId="0" fillId="0" fontId="7" numFmtId="164" xfId="0" applyAlignment="1" applyFont="1" applyNumberForma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9" numFmtId="165" xfId="0" applyAlignment="1" applyFont="1" applyNumberFormat="1">
      <alignment shrinkToFit="0" vertical="center" wrapText="1"/>
    </xf>
    <xf borderId="0" fillId="0" fontId="0" numFmtId="0" xfId="0" applyAlignment="1" applyFont="1">
      <alignment shrinkToFit="0" vertical="center" wrapText="1"/>
    </xf>
    <xf borderId="0" fillId="0" fontId="0" numFmtId="0" xfId="0" applyAlignment="1" applyFont="1">
      <alignment shrinkToFit="0" vertical="center" wrapText="1"/>
    </xf>
    <xf borderId="0" fillId="0" fontId="10" numFmtId="166" xfId="0" applyAlignment="1" applyFont="1" applyNumberFormat="1">
      <alignment shrinkToFit="0" vertical="center" wrapText="1"/>
    </xf>
    <xf borderId="0" fillId="0" fontId="9" numFmtId="166" xfId="0" applyAlignment="1" applyFont="1" applyNumberFormat="1">
      <alignment shrinkToFit="0" vertical="center" wrapText="1"/>
    </xf>
    <xf borderId="0" fillId="0" fontId="0" numFmtId="49" xfId="0" applyAlignment="1" applyFont="1" applyNumberFormat="1">
      <alignment shrinkToFit="0" vertical="center" wrapText="1"/>
    </xf>
    <xf borderId="0" fillId="0" fontId="9" numFmtId="165" xfId="0" applyAlignment="1" applyFont="1" applyNumberFormat="1">
      <alignment readingOrder="0" shrinkToFit="0" vertical="center" wrapText="1"/>
    </xf>
    <xf borderId="0" fillId="0" fontId="7" numFmtId="49" xfId="0" applyAlignment="1" applyFont="1" applyNumberFormat="1">
      <alignment shrinkToFit="0" vertical="center" wrapText="1"/>
    </xf>
    <xf borderId="0" fillId="0" fontId="9" numFmtId="0" xfId="0" applyAlignment="1" applyFont="1">
      <alignment horizontal="righ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9" numFmtId="166" xfId="0" applyAlignment="1" applyFont="1" applyNumberFormat="1">
      <alignment horizontal="right" shrinkToFit="0" vertical="center" wrapText="1"/>
    </xf>
    <xf borderId="0" fillId="0" fontId="9" numFmtId="0" xfId="0" applyAlignment="1" applyFont="1">
      <alignment vertical="center"/>
    </xf>
    <xf borderId="0" fillId="0" fontId="9" numFmtId="166" xfId="0" applyAlignment="1" applyFont="1" applyNumberFormat="1">
      <alignment vertical="center"/>
    </xf>
    <xf borderId="0" fillId="0" fontId="10" numFmtId="0" xfId="0" applyAlignment="1" applyFont="1">
      <alignment horizontal="right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14" numFmtId="165" xfId="0" applyAlignment="1" applyFont="1" applyNumberFormat="1">
      <alignment readingOrder="0" shrinkToFit="0" vertical="center" wrapText="1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0" fillId="0" fontId="15" numFmtId="0" xfId="0" applyAlignment="1" applyFont="1">
      <alignment vertical="center"/>
    </xf>
    <xf borderId="0" fillId="0" fontId="15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9" numFmtId="49" xfId="0" applyAlignment="1" applyFont="1" applyNumberFormat="1">
      <alignment shrinkToFit="0" vertical="center" wrapText="1"/>
    </xf>
    <xf borderId="0" fillId="0" fontId="16" numFmtId="0" xfId="0" applyAlignment="1" applyFont="1">
      <alignment vertical="center"/>
    </xf>
    <xf borderId="7" fillId="0" fontId="16" numFmtId="0" xfId="0" applyAlignment="1" applyBorder="1" applyFont="1">
      <alignment readingOrder="0" vertical="center"/>
    </xf>
    <xf borderId="7" fillId="0" fontId="16" numFmtId="0" xfId="0" applyAlignment="1" applyBorder="1" applyFont="1">
      <alignment horizontal="center" readingOrder="0" vertical="center"/>
    </xf>
    <xf borderId="0" fillId="0" fontId="16" numFmtId="0" xfId="0" applyAlignment="1" applyFont="1">
      <alignment readingOrder="0" vertical="center"/>
    </xf>
    <xf borderId="7" fillId="0" fontId="2" numFmtId="0" xfId="0" applyAlignment="1" applyBorder="1" applyFont="1">
      <alignment readingOrder="0" vertical="center"/>
    </xf>
    <xf borderId="7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vertical="center"/>
    </xf>
    <xf borderId="0" fillId="0" fontId="2" numFmtId="0" xfId="0" applyAlignment="1" applyFont="1">
      <alignment readingOrder="0" vertical="center"/>
    </xf>
    <xf borderId="0" fillId="2" fontId="16" numFmtId="0" xfId="0" applyFont="1"/>
    <xf borderId="0" fillId="0" fontId="16" numFmtId="0" xfId="0" applyAlignment="1" applyFont="1">
      <alignment readingOrder="0"/>
    </xf>
    <xf borderId="0" fillId="0" fontId="16" numFmtId="166" xfId="0" applyAlignment="1" applyFont="1" applyNumberFormat="1">
      <alignment readingOrder="0"/>
    </xf>
    <xf borderId="0" fillId="0" fontId="16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6" numFmtId="166" xfId="0" applyAlignment="1" applyFont="1" applyNumberFormat="1">
      <alignment readingOrder="0" shrinkToFit="0" vertical="center" wrapText="1"/>
    </xf>
    <xf borderId="0" fillId="0" fontId="17" numFmtId="165" xfId="0" applyAlignment="1" applyFont="1" applyNumberFormat="1">
      <alignment readingOrder="0"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0" fontId="10" numFmtId="166" xfId="0" applyAlignment="1" applyFont="1" applyNumberFormat="1">
      <alignment shrinkToFit="0" vertical="center" wrapText="1"/>
    </xf>
    <xf borderId="0" fillId="0" fontId="9" numFmtId="166" xfId="0" applyAlignment="1" applyFont="1" applyNumberFormat="1">
      <alignment shrinkToFit="0" vertical="center" wrapText="1"/>
    </xf>
    <xf borderId="8" fillId="3" fontId="19" numFmtId="0" xfId="0" applyAlignment="1" applyBorder="1" applyFill="1" applyFont="1">
      <alignment shrinkToFit="0" vertical="center" wrapText="1"/>
    </xf>
    <xf borderId="0" fillId="0" fontId="0" numFmtId="49" xfId="0" applyAlignment="1" applyFont="1" applyNumberFormat="1">
      <alignment readingOrder="0" shrinkToFit="0" vertical="center" wrapText="1"/>
    </xf>
    <xf borderId="0" fillId="0" fontId="2" numFmtId="49" xfId="0" applyAlignment="1" applyFont="1" applyNumberFormat="1">
      <alignment shrinkToFit="0" vertical="center" wrapText="0"/>
    </xf>
    <xf borderId="0" fillId="0" fontId="0" numFmtId="0" xfId="0" applyAlignment="1" applyFont="1">
      <alignment shrinkToFit="0" vertical="center" wrapText="1"/>
    </xf>
    <xf borderId="9" fillId="2" fontId="20" numFmtId="0" xfId="0" applyAlignment="1" applyBorder="1" applyFont="1">
      <alignment shrinkToFit="0" vertical="center" wrapText="1"/>
    </xf>
    <xf borderId="9" fillId="2" fontId="21" numFmtId="0" xfId="0" applyAlignment="1" applyBorder="1" applyFont="1">
      <alignment shrinkToFit="0" vertical="center" wrapText="1"/>
    </xf>
    <xf borderId="9" fillId="2" fontId="22" numFmtId="166" xfId="0" applyAlignment="1" applyBorder="1" applyFont="1" applyNumberFormat="1">
      <alignment horizontal="right" shrinkToFit="0" vertical="center" wrapText="1"/>
    </xf>
    <xf borderId="9" fillId="2" fontId="22" numFmtId="166" xfId="0" applyAlignment="1" applyBorder="1" applyFont="1" applyNumberFormat="1">
      <alignment horizontal="right" shrinkToFit="0" vertical="center" wrapText="1"/>
    </xf>
    <xf borderId="0" fillId="0" fontId="9" numFmtId="0" xfId="0" applyAlignment="1" applyFont="1">
      <alignment readingOrder="0" shrinkToFit="0" vertical="center" wrapText="1"/>
    </xf>
    <xf borderId="9" fillId="3" fontId="23" numFmtId="0" xfId="0" applyAlignment="1" applyBorder="1" applyFont="1">
      <alignment shrinkToFit="0" vertical="center" wrapText="1"/>
    </xf>
    <xf borderId="9" fillId="3" fontId="24" numFmtId="0" xfId="0" applyAlignment="1" applyBorder="1" applyFont="1">
      <alignment shrinkToFit="0" vertical="center" wrapText="1"/>
    </xf>
    <xf borderId="9" fillId="3" fontId="25" numFmtId="166" xfId="0" applyAlignment="1" applyBorder="1" applyFont="1" applyNumberFormat="1">
      <alignment horizontal="right" shrinkToFit="0" vertical="center" wrapText="1"/>
    </xf>
    <xf borderId="9" fillId="3" fontId="26" numFmtId="166" xfId="0" applyAlignment="1" applyBorder="1" applyFont="1" applyNumberFormat="1">
      <alignment horizontal="right" shrinkToFit="0" vertical="center" wrapText="1"/>
    </xf>
    <xf borderId="9" fillId="2" fontId="23" numFmtId="0" xfId="0" applyAlignment="1" applyBorder="1" applyFont="1">
      <alignment shrinkToFit="0" vertical="center" wrapText="1"/>
    </xf>
    <xf borderId="9" fillId="2" fontId="24" numFmtId="0" xfId="0" applyAlignment="1" applyBorder="1" applyFont="1">
      <alignment shrinkToFit="0" vertical="center" wrapText="1"/>
    </xf>
    <xf borderId="9" fillId="2" fontId="25" numFmtId="166" xfId="0" applyAlignment="1" applyBorder="1" applyFont="1" applyNumberFormat="1">
      <alignment horizontal="right" shrinkToFit="0" vertical="center" wrapText="1"/>
    </xf>
    <xf borderId="9" fillId="2" fontId="26" numFmtId="166" xfId="0" applyAlignment="1" applyBorder="1" applyFont="1" applyNumberFormat="1">
      <alignment horizontal="right" shrinkToFit="0" vertical="center" wrapText="1"/>
    </xf>
    <xf borderId="9" fillId="2" fontId="27" numFmtId="166" xfId="0" applyAlignment="1" applyBorder="1" applyFont="1" applyNumberFormat="1">
      <alignment horizontal="right" shrinkToFit="0" vertical="center" wrapText="1"/>
    </xf>
    <xf borderId="0" fillId="2" fontId="23" numFmtId="0" xfId="0" applyAlignment="1" applyFont="1">
      <alignment readingOrder="0" shrinkToFit="0" vertical="center" wrapText="1"/>
    </xf>
    <xf borderId="0" fillId="2" fontId="24" numFmtId="0" xfId="0" applyAlignment="1" applyFont="1">
      <alignment readingOrder="0" shrinkToFit="0" vertical="center" wrapText="1"/>
    </xf>
    <xf borderId="0" fillId="2" fontId="25" numFmtId="166" xfId="0" applyAlignment="1" applyFont="1" applyNumberFormat="1">
      <alignment horizontal="right" readingOrder="0" shrinkToFit="0" vertical="center" wrapText="1"/>
    </xf>
    <xf borderId="0" fillId="2" fontId="26" numFmtId="166" xfId="0" applyAlignment="1" applyFont="1" applyNumberFormat="1">
      <alignment horizontal="right" readingOrder="0" shrinkToFit="0" vertical="center" wrapText="1"/>
    </xf>
    <xf borderId="0" fillId="2" fontId="27" numFmtId="166" xfId="0" applyAlignment="1" applyFont="1" applyNumberFormat="1">
      <alignment horizontal="right" shrinkToFit="0" vertical="center" wrapText="1"/>
    </xf>
    <xf borderId="0" fillId="2" fontId="24" numFmtId="0" xfId="0" applyAlignment="1" applyFont="1">
      <alignment shrinkToFit="0" vertical="center" wrapText="1"/>
    </xf>
    <xf borderId="0" fillId="2" fontId="25" numFmtId="166" xfId="0" applyAlignment="1" applyFont="1" applyNumberFormat="1">
      <alignment horizontal="right" shrinkToFit="0" vertical="center" wrapText="1"/>
    </xf>
    <xf borderId="0" fillId="2" fontId="26" numFmtId="166" xfId="0" applyAlignment="1" applyFont="1" applyNumberFormat="1">
      <alignment horizontal="right" shrinkToFit="0" vertical="center" wrapText="1"/>
    </xf>
    <xf borderId="0" fillId="0" fontId="6" numFmtId="166" xfId="0" applyAlignment="1" applyFont="1" applyNumberFormat="1">
      <alignment shrinkToFit="0" vertical="center" wrapText="1"/>
    </xf>
    <xf borderId="0" fillId="0" fontId="0" numFmtId="0" xfId="0" applyAlignment="1" applyFont="1">
      <alignment readingOrder="0" shrinkToFit="0" vertical="center" wrapText="1"/>
    </xf>
    <xf borderId="0" fillId="2" fontId="27" numFmtId="166" xfId="0" applyAlignment="1" applyFont="1" applyNumberFormat="1">
      <alignment horizontal="right" readingOrder="0" shrinkToFit="0" vertical="center" wrapText="1"/>
    </xf>
    <xf borderId="0" fillId="0" fontId="2" numFmtId="165" xfId="0" applyAlignment="1" applyFont="1" applyNumberFormat="1">
      <alignment shrinkToFit="0" vertical="center" wrapText="0"/>
    </xf>
    <xf borderId="0" fillId="0" fontId="10" numFmtId="0" xfId="0" applyAlignment="1" applyFont="1">
      <alignment readingOrder="0" shrinkToFit="0" vertical="center" wrapText="1"/>
    </xf>
    <xf borderId="0" fillId="0" fontId="2" numFmtId="166" xfId="0" applyAlignment="1" applyFont="1" applyNumberFormat="1">
      <alignment shrinkToFit="0" vertical="center" wrapText="0"/>
    </xf>
    <xf borderId="0" fillId="0" fontId="28" numFmtId="0" xfId="0" applyAlignment="1" applyFont="1">
      <alignment readingOrder="0" shrinkToFit="0" vertical="center" wrapText="1"/>
    </xf>
    <xf borderId="0" fillId="2" fontId="23" numFmtId="0" xfId="0" applyAlignment="1" applyFont="1">
      <alignment shrinkToFit="0" vertical="center" wrapText="1"/>
    </xf>
    <xf borderId="0" fillId="2" fontId="24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6" xfId="0" applyAlignment="1" applyFont="1" applyNumberFormat="1">
      <alignment shrinkToFit="0" vertical="center" wrapText="0"/>
    </xf>
    <xf borderId="0" fillId="0" fontId="28" numFmtId="0" xfId="0" applyAlignment="1" applyFont="1">
      <alignment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0" numFmtId="49" xfId="0" applyAlignment="1" applyFont="1" applyNumberFormat="1">
      <alignment readingOrder="0" shrinkToFit="0" vertical="center" wrapText="1"/>
    </xf>
    <xf borderId="9" fillId="2" fontId="23" numFmtId="0" xfId="0" applyAlignment="1" applyBorder="1" applyFont="1">
      <alignment shrinkToFit="0" vertical="center" wrapText="1"/>
    </xf>
    <xf borderId="9" fillId="2" fontId="29" numFmtId="0" xfId="0" applyAlignment="1" applyBorder="1" applyFont="1">
      <alignment shrinkToFit="0" vertical="center" wrapText="1"/>
    </xf>
    <xf borderId="9" fillId="2" fontId="30" numFmtId="166" xfId="0" applyAlignment="1" applyBorder="1" applyFont="1" applyNumberFormat="1">
      <alignment horizontal="right" shrinkToFit="0" vertical="center" wrapText="1"/>
    </xf>
    <xf borderId="0" fillId="2" fontId="23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2" fontId="23" numFmtId="0" xfId="0" applyAlignment="1" applyFont="1">
      <alignment readingOrder="0" shrinkToFit="0" vertical="center" wrapText="1"/>
    </xf>
    <xf borderId="0" fillId="2" fontId="24" numFmtId="0" xfId="0" applyAlignment="1" applyFont="1">
      <alignment readingOrder="0" shrinkToFit="0" vertical="center" wrapText="1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8FAF8"/>
          <bgColor rgb="FFF8FAF8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theme="6"/>
          <bgColor theme="6"/>
        </patternFill>
      </fill>
      <border/>
    </dxf>
    <dxf>
      <font>
        <b/>
        <color rgb="FFEA4335"/>
      </font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b/>
        <color rgb="FFFF0000"/>
      </font>
      <fill>
        <patternFill patternType="none"/>
      </fill>
      <border/>
    </dxf>
    <dxf>
      <font>
        <b/>
        <color rgb="FF34A853"/>
      </font>
      <fill>
        <patternFill patternType="none"/>
      </fill>
      <border/>
    </dxf>
  </dxfs>
  <tableStyles count="5">
    <tableStyle count="3" pivot="0" name="Detail431-KLINIK FT TA-02 Jul 2-style">
      <tableStyleElement dxfId="1" type="headerRow"/>
      <tableStyleElement dxfId="2" type="firstRowStripe"/>
      <tableStyleElement dxfId="3" type="secondRowStripe"/>
    </tableStyle>
    <tableStyle count="2" pivot="0" name="👥 Daftar Nama Pasien-style">
      <tableStyleElement dxfId="3" type="firstRowStripe"/>
      <tableStyleElement dxfId="5" type="secondRowStripe"/>
    </tableStyle>
    <tableStyle count="4" pivot="0" name="⬇️ PEMASUKAN-style">
      <tableStyleElement dxfId="4" type="headerRow"/>
      <tableStyleElement dxfId="3" type="firstRowStripe"/>
      <tableStyleElement dxfId="6" type="secondRowStripe"/>
      <tableStyleElement dxfId="7" size="0" type="wholeTable"/>
    </tableStyle>
    <tableStyle count="4" pivot="0" name="⬆️ PENGELUARAN-style">
      <tableStyleElement dxfId="4" type="headerRow"/>
      <tableStyleElement dxfId="3" type="firstRowStripe"/>
      <tableStyleElement dxfId="6" type="secondRowStripe"/>
      <tableStyleElement dxfId="7" size="0" type="wholeTable"/>
    </tableStyle>
    <tableStyle count="3" pivot="0" name="⚙️ Pengaturan-style">
      <tableStyleElement dxfId="8" type="headerRow"/>
      <tableStyleElement dxfId="3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Fisioterapi Gang Sehat" id="{058e4899-1b9b-4e9f-8a19-db160b8de2cb}" providerId="google-sheets"/>
  <x18tc:person displayName="Manajemen Fisioterapi Gang Sehat" id="{d1ac18da-2505-4640-9746-9d0e51c19b1e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4:U3237" sheet="⬇️ PEMASUKAN"/>
  </cacheSource>
  <cacheFields>
    <cacheField name="NO" numFmtId="164">
      <sharedItems containsString="0" containsBlank="1" containsNumber="1" containsInteger="1">
        <n v="60.0"/>
        <n v="84.0"/>
        <n v="247.0"/>
        <n v="317.0"/>
        <n v="696.0"/>
        <n v="738.0"/>
        <n v="1013.0"/>
        <n v="1085.0"/>
        <n v="1153.0"/>
        <n v="1159.0"/>
        <n v="1172.0"/>
        <n v="1313.0"/>
        <n v="1324.0"/>
        <n v="1354.0"/>
        <n v="1569.0"/>
        <n v="1577.0"/>
        <n v="1593.0"/>
        <n v="1637.0"/>
        <n v="1762.0"/>
        <n v="1896.0"/>
        <n v="1904.0"/>
        <n v="1923.0"/>
        <n v="1974.0"/>
        <n v="1982.0"/>
        <n v="2040.0"/>
        <n v="2043.0"/>
        <n v="2056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m/>
      </sharedItems>
    </cacheField>
    <cacheField name="ADMIN" numFmtId="0">
      <sharedItems containsBlank="1">
        <s v="NOPI"/>
        <s v="LAINNYA"/>
        <s v="SUCI"/>
        <s v="DHEA"/>
        <s v="ICA"/>
        <m/>
      </sharedItems>
    </cacheField>
    <cacheField name="TANGGAL" numFmtId="165">
      <sharedItems containsDate="1" containsString="0" containsBlank="1">
        <d v="2025-07-06T00:00:00Z"/>
        <d v="2025-07-08T00:00:00Z"/>
        <d v="2025-07-20T00:00:00Z"/>
        <d v="2025-07-26T00:00:00Z"/>
        <d v="2025-08-28T00:00:00Z"/>
        <d v="2025-09-01T00:00:00Z"/>
        <d v="2025-09-25T00:00:00Z"/>
        <d v="2025-10-01T00:00:00Z"/>
        <d v="2025-10-07T00:00:00Z"/>
        <d v="2025-10-08T00:00:00Z"/>
        <d v="2025-10-09T00:00:00Z"/>
        <d v="2025-10-21T00:00:00Z"/>
        <d v="2025-10-22T00:00:00Z"/>
        <d v="2025-10-25T00:00:00Z"/>
        <d v="2025-11-11T00:00:00Z"/>
        <d v="2025-11-12T00:00:00Z"/>
        <d v="2025-11-15T00:00:00Z"/>
        <d v="2025-11-18T00:00:00Z"/>
        <d v="2025-11-29T00:00:00Z"/>
        <d v="2025-12-10T00:00:00Z"/>
        <d v="2025-12-13T00:00:00Z"/>
        <d v="2025-12-16T00:00:00Z"/>
        <d v="2025-12-17T00:00:00Z"/>
        <d v="2025-12-23T00:00:00Z"/>
        <d v="2025-12-24T00:00:00Z"/>
        <d v="2025-12-26T00:00:00Z"/>
        <d v="2025-12-27T00:00:00Z"/>
        <d v="2025-12-28T00:00:00Z"/>
        <d v="2025-12-29T00:00:00Z"/>
        <d v="2026-01-03T00:00:00Z"/>
        <d v="2026-01-04T00:00:00Z"/>
        <d v="2026-01-05T00:00:00Z"/>
        <d v="2026-01-06T00:00:00Z"/>
        <d v="2026-01-07T00:00:00Z"/>
        <d v="2026-01-08T00:00:00Z"/>
        <d v="2026-01-09T00:00:00Z"/>
        <d v="2026-01-10T00:00:00Z"/>
        <d v="2026-01-11T00:00:00Z"/>
        <d v="2026-01-12T00:00:00Z"/>
        <d v="2026-01-13T00:00:00Z"/>
        <d v="2026-01-14T00:00:00Z"/>
        <d v="2026-01-15T00:00:00Z"/>
        <d v="2026-01-17T00:00:00Z"/>
        <d v="2026-01-18T00:00:00Z"/>
        <d v="2026-01-19T00:00:00Z"/>
        <d v="2026-01-20T00:00:00Z"/>
        <d v="2026-01-21T00:00:00Z"/>
        <d v="2026-01-22T00:00:00Z"/>
        <d v="2026-01-23T00:00:00Z"/>
        <d v="2026-01-24T00:00:00Z"/>
        <d v="2026-01-25T00:00:00Z"/>
        <d v="2026-01-26T00:00:00Z"/>
        <d v="2026-01-27T00:00:00Z"/>
        <d v="2026-01-28T00:00:00Z"/>
        <d v="2026-01-29T00:00:00Z"/>
        <d v="2026-01-30T00:00:00Z"/>
        <d v="2026-01-31T00:00:00Z"/>
        <d v="2026-02-01T00:00:00Z"/>
        <d v="2026-02-02T00:00:00Z"/>
        <d v="2026-02-03T00:00:00Z"/>
        <d v="2026-02-04T00:00:00Z"/>
        <d v="2026-02-05T00:00:00Z"/>
        <d v="2026-02-06T00:00:00Z"/>
        <d v="2026-02-07T00:00:00Z"/>
        <d v="2026-02-08T00:00:00Z"/>
        <d v="2026-02-09T00:00:00Z"/>
        <d v="2026-02-10T00:00:00Z"/>
        <d v="2026-02-11T00:00:00Z"/>
        <d v="2026-02-23T00:00:00Z"/>
        <d v="2026-02-12T00:00:00Z"/>
        <d v="2026-02-13T00:00:00Z"/>
        <d v="2026-02-14T00:00:00Z"/>
        <d v="2026-02-15T00:00:00Z"/>
        <d v="2026-02-16T00:00:00Z"/>
        <d v="2026-02-18T00:00:00Z"/>
        <d v="2026-02-19T00:00:00Z"/>
        <d v="2026-02-20T00:00:00Z"/>
        <d v="2026-02-21T00:00:00Z"/>
        <d v="2026-02-22T00:00:00Z"/>
        <d v="2026-02-24T00:00:00Z"/>
        <d v="2026-02-25T00:00:00Z"/>
        <d v="2026-02-26T00:00:00Z"/>
        <d v="2026-02-27T00:00:00Z"/>
        <d v="2026-02-28T00:00:00Z"/>
        <d v="2026-03-01T00:00:00Z"/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09T00:00:00Z"/>
        <d v="2026-03-10T00:00:00Z"/>
        <d v="2026-03-11T00:00:00Z"/>
        <d v="2026-03-12T00:00:00Z"/>
        <d v="2026-03-13T00:00:00Z"/>
        <d v="2026-03-14T00:00:00Z"/>
        <d v="2026-03-15T00:00:00Z"/>
        <d v="2026-03-16T00:00:00Z"/>
        <d v="2026-03-17T00:00:00Z"/>
        <d v="2026-03-18T00:00:00Z"/>
        <d v="2026-03-19T00:00:00Z"/>
        <d v="2026-03-28T00:00:00Z"/>
        <d v="2026-03-29T00:00:00Z"/>
        <d v="2026-03-30T00:00:00Z"/>
        <d v="2026-03-31T00:00:00Z"/>
        <d v="2026-04-01T00:00:00Z"/>
        <d v="2026-04-02T00:00:00Z"/>
        <d v="2026-04-04T00:00:00Z"/>
        <d v="2026-04-06T00:00:00Z"/>
        <d v="2026-04-07T00:00:00Z"/>
        <d v="2026-04-08T00:00:00Z"/>
        <d v="2026-04-09T00:00:00Z"/>
        <d v="2026-04-10T00:00:00Z"/>
        <d v="2026-04-11T00:00:00Z"/>
        <d v="2026-04-12T00:00:00Z"/>
        <d v="2026-04-13T00:00:00Z"/>
        <d v="2026-04-14T00:00:00Z"/>
        <d v="2026-04-15T00:00:00Z"/>
        <d v="2026-04-16T00:00:00Z"/>
        <d v="2026-04-17T00:00:00Z"/>
        <d v="2026-04-18T00:00:00Z"/>
        <d v="2026-04-19T00:00:00Z"/>
        <d v="2026-04-20T00:00:00Z"/>
        <d v="2026-04-21T00:00:00Z"/>
        <d v="2026-04-22T00:00:00Z"/>
        <d v="2026-04-23T00:00:00Z"/>
        <d v="2026-04-24T00:00:00Z"/>
        <d v="2026-04-25T00:00:00Z"/>
        <d v="2026-04-26T00:00:00Z"/>
        <d v="2026-04-27T00:00:00Z"/>
        <d v="2026-04-28T00:00:00Z"/>
        <d v="2026-04-29T00:00:00Z"/>
        <d v="2026-05-02T00:00:00Z"/>
        <d v="2026-05-03T00:00:00Z"/>
        <d v="2026-05-04T00:00:00Z"/>
        <d v="2026-05-05T00:00:00Z"/>
        <d v="2026-05-06T00:00:00Z"/>
        <d v="2026-05-07T00:00:00Z"/>
        <d v="2026-05-08T00:00:00Z"/>
        <d v="2026-05-09T00:00:00Z"/>
        <d v="2026-05-10T00:00:00Z"/>
        <d v="2026-05-11T00:00:00Z"/>
        <d v="2026-05-12T00:00:00Z"/>
        <d v="2026-05-13T00:00:00Z"/>
        <d v="2026-05-15T00:00:00Z"/>
        <d v="2026-05-16T00:00:00Z"/>
        <d v="2026-05-17T00:00:00Z"/>
        <d v="2026-05-18T00:00:00Z"/>
        <d v="2026-05-19T00:00:00Z"/>
        <d v="2026-05-20T00:00:00Z"/>
        <d v="2026-05-21T00:00:00Z"/>
        <d v="2026-05-22T00:00:00Z"/>
        <d v="2026-05-23T00:00:00Z"/>
        <d v="2026-05-24T00:00:00Z"/>
        <d v="2026-05-25T00:00:00Z"/>
        <d v="2026-05-26T00:00:00Z"/>
        <d v="2026-05-28T00:00:00Z"/>
        <d v="2026-05-29T00:00:00Z"/>
        <d v="2026-05-30T00:00:00Z"/>
        <d v="2026-06-02T00:00:00Z"/>
        <d v="2026-06-03T00:00:00Z"/>
        <d v="2026-06-04T00:00:00Z"/>
        <d v="2026-06-05T00:00:00Z"/>
        <d v="2026-06-06T00:00:00Z"/>
        <d v="2026-06-07T00:00:00Z"/>
        <d v="2026-06-08T00:00:00Z"/>
        <d v="2026-06-09T00:00:00Z"/>
        <d v="2026-06-10T00:00:00Z"/>
        <d v="2026-06-11T00:00:00Z"/>
        <d v="2026-06-12T00:00:00Z"/>
        <d v="2026-06-13T00:00:00Z"/>
        <d v="2026-06-14T00:00:00Z"/>
        <d v="2026-06-15T00:00:00Z"/>
        <d v="2026-06-17T00:00:00Z"/>
        <d v="2026-06-18T00:00:00Z"/>
        <d v="2026-06-19T00:00:00Z"/>
        <d v="2026-06-20T00:00:00Z"/>
        <d v="2026-06-21T00:00:00Z"/>
        <d v="2026-06-22T00:00:00Z"/>
        <d v="2026-06-23T00:00:00Z"/>
        <d v="2026-06-24T00:00:00Z"/>
        <d v="2026-06-25T00:00:00Z"/>
        <d v="2026-06-26T00:00:00Z"/>
        <d v="2026-06-29T00:00:00Z"/>
        <d v="2026-06-30T00:00:00Z"/>
        <d v="2026-07-01T00:00:00Z"/>
        <d v="2026-07-02T00:00:00Z"/>
        <d v="2026-07-03T00:00:00Z"/>
        <d v="2026-07-04T00:00:00Z"/>
        <d v="2026-07-05T00:00:00Z"/>
        <d v="2026-07-06T00:00:00Z"/>
        <d v="2026-07-07T00:00:00Z"/>
        <d v="2026-07-08T00:00:00Z"/>
        <d v="2026-07-09T00:00:00Z"/>
        <d v="2026-07-10T00:00:00Z"/>
        <d v="2026-07-11T00:00:00Z"/>
        <d v="2026-07-12T00:00:00Z"/>
        <d v="2026-07-13T00:00:00Z"/>
        <d v="2026-07-14T00:00:00Z"/>
        <d v="2026-07-15T00:00:00Z"/>
        <d v="2026-07-16T00:00:00Z"/>
        <d v="2026-07-18T00:00:00Z"/>
        <d v="2026-07-17T00:00:00Z"/>
        <d v="2026-07-20T00:00:00Z"/>
        <d v="2026-07-19T00:00:00Z"/>
        <d v="2026-07-21T00:00:00Z"/>
        <d v="2026-07-22T00:00:00Z"/>
        <d v="2026-07-23T00:00:00Z"/>
        <d v="2026-07-24T00:00:00Z"/>
        <d v="2026-07-25T00:00:00Z"/>
        <m/>
      </sharedItems>
    </cacheField>
    <cacheField name="TAHUN" numFmtId="0">
      <sharedItems containsBlank="1">
        <s v="2025"/>
        <s v="2026"/>
        <m/>
        <s v=""/>
      </sharedItems>
    </cacheField>
    <cacheField name="BULAN" numFmtId="0">
      <sharedItems containsBlank="1">
        <s v="07 Jul"/>
        <s v="08 Agu"/>
        <s v="09 Sep"/>
        <s v="10 Okt"/>
        <s v="11 Nov"/>
        <s v="12 Des"/>
        <s v="01 Jan"/>
        <s v="02 Feb"/>
        <s v="03 Mar"/>
        <s v="04 Apr"/>
        <s v="05 Mei"/>
        <s v="06 Jun"/>
        <m/>
        <s v=""/>
      </sharedItems>
    </cacheField>
    <cacheField name="JAM" numFmtId="0">
      <sharedItems containsBlank="1">
        <m/>
        <s v="16.00"/>
        <s v="20.00"/>
        <s v="14.00"/>
        <s v="11.00"/>
        <s v="18.00"/>
        <s v="15.00"/>
        <s v="17.00"/>
        <s v="21.00"/>
        <s v="10.00"/>
        <s v="12.00"/>
        <s v="13.00"/>
        <s v="19.00"/>
        <s v="09.00"/>
        <s v="LAINNYA"/>
      </sharedItems>
    </cacheField>
    <cacheField name="FISIO" numFmtId="0">
      <sharedItems containsBlank="1">
        <m/>
        <s v="DESTY"/>
        <s v="DANI"/>
        <s v="ORY"/>
        <s v="AUL"/>
        <s v="WAHYU"/>
        <s v="HESTI"/>
        <s v="OKTA"/>
        <s v="HENA"/>
        <s v="PRITY"/>
        <s v="EDO"/>
        <s v="PUTRI"/>
        <s v="LAINNYA"/>
        <s v="ALDI"/>
        <s v="ALAM"/>
      </sharedItems>
    </cacheField>
    <cacheField name="NAMA PASIEN" numFmtId="0">
      <sharedItems containsBlank="1">
        <s v="HARYA PAMUNGKAS"/>
        <s v="SUKARDI. SH MM"/>
        <s v="MURTI JULIANDARI"/>
        <s v="MUNAGI"/>
        <s v="SYAHRIL AKBARI"/>
        <s v="RUDI HARTONO"/>
        <s v="ARIFIN NUR ROCHMAD"/>
        <s v="CINTHYA MEILIZA"/>
        <s v="SULAIMAN 9601"/>
        <s v="DIKI FIRMANSYAH"/>
        <s v="ALY AL DASTAN"/>
        <s v="TUTI TRISNAWATI"/>
        <s v="ZULKIFLI HASANUDDIN"/>
        <s v="DHAIFULLAH IRFAN HAFIZH"/>
        <s v="KRIS YOGI DWI PUTRA SIBARANI"/>
        <s v="ANDRIANI"/>
        <s v="ANGELICA BUNARDI"/>
        <s v="RUSDI SULAIMAN"/>
        <s v="ALPAWI"/>
        <s v="ANGELICA"/>
        <s v="BEDJO RAHARDJO"/>
        <s v="ENDAH SEPTIANINGSIH"/>
        <s v="DONNY TRI PUJIANTO"/>
        <s v="TJONG LIE TJHIUN ALS SUKIMAN"/>
        <s v="DRSHENDRA SALIM"/>
        <s v="WAHONO"/>
        <s v="YUNITA"/>
        <s v="RIZKI RAMADHANI"/>
        <s v="HAMDAN IDRIS"/>
        <s v="LIMINA DJUITA LIMAS"/>
        <s v="YOSTRYAN CHENATA"/>
        <s v="RIZKADEA BELIANTO"/>
        <s v="SURYANA"/>
        <s v="FERA HENDRY"/>
        <s v="TJOEA HOEI THJENG"/>
        <s v="ISNINDAR"/>
        <s v="SUHERMAN"/>
        <s v="ROHAYATI"/>
        <s v="MARISA HANDAYANI"/>
        <s v="PUTRI RESTU AWALIYAH"/>
        <s v="ASNAH"/>
        <s v="CAHYANI ANUGRAH SUBEKTI"/>
        <s v="NORIZAN"/>
        <s v="NITTA ROLLITA"/>
        <s v="EDY DARMAWAN"/>
        <s v="IVAN TANSARITO"/>
        <s v="RANDA ARZA SAPUTRA"/>
        <s v="RICKY THERISNO"/>
        <s v="MUDIONO HARYANTO"/>
        <s v="CHRISTINA"/>
        <s v="JOKEND ZAPOTA PUTRA"/>
        <s v="JON ALI"/>
        <s v="CITRA PURNAMA SARI"/>
        <s v="NAOMI APRILIA SIMANULLANG"/>
        <s v="YANTI LIM"/>
        <s v="ANDIANA MARJAYANTI"/>
        <s v="SETIO BONO SAPUTRO"/>
        <s v="IVONNY"/>
        <s v="YUBANADI"/>
        <s v="SRI ESRI"/>
        <s v="PUTERA ANUGRAH PRATAMA"/>
        <s v="SUGIH WIRAMANTRI"/>
        <s v="K. E. ANANTA UTAMI"/>
        <s v="KOLENIUS KOLAI"/>
        <s v="EMMA"/>
        <s v="YA MUHAMMAD IKHSANDI"/>
        <s v="TAUFIK"/>
        <s v="SHELSY MELANY"/>
        <s v="PUTRI ATIKAH"/>
        <s v="WISNU WARDANA"/>
        <s v="ATHA HANIF PRADIPTA"/>
        <s v="GALIH PITA LOKA"/>
        <s v="WACHYU WIDAYAT"/>
        <s v="BELLY"/>
        <s v="WIWIK HARTATI"/>
        <s v="CHOTIBUL UMAMI"/>
        <s v="MUHAMMAD FADHIL RAMADHANI"/>
        <s v="ANDRI DOS SANTOS"/>
        <s v="ELISABETH SUTINI"/>
        <s v="DARMANSYAH"/>
        <s v="JUVENTYA"/>
        <s v="HASNAWATI"/>
        <s v="CINTHYA TANJAYA"/>
        <s v="FEDRICK JONATAN"/>
        <s v="LIM OI KHIUN ALS RIANA"/>
        <s v="TAN TJHUN TIE ALS ROBERT"/>
        <s v="BENI SETIYANTO"/>
        <s v="EDI LAZUARDI"/>
        <s v="MUSNAINI"/>
        <s v="TRIATIE CHALIDYAH"/>
        <s v="SHARON LIE"/>
        <s v="HJ. RUGAYAH"/>
        <s v="MARTHIN SHARON NAPITUPULU"/>
        <s v="NOPEARIANI, AMD.KEB"/>
        <s v="SUSANTI"/>
        <s v="HARDJONO"/>
        <s v="PUTRI ATIKAH "/>
        <s v="CHRIS MULIO JOHANES"/>
        <s v="GALIH HANDAYANI"/>
        <s v="CINDY MONALISA ANDDIE"/>
        <s v="TJHOA KHA TJE"/>
        <s v="EFENDI WAHYU"/>
        <s v="RICKY ISKANDAR"/>
        <s v="DAMHUDI"/>
        <s v="ICHSAN KAMIL"/>
        <s v="MARTIN"/>
        <s v="SAMIJO"/>
        <s v="SALLY ISKANDAR TAN"/>
        <s v="FEDRICK JONATAN "/>
        <s v="RENDI"/>
        <s v="M FAIZ AL BARA"/>
        <s v="BAGAS BIMANTORO HARYONO"/>
        <s v="DRS JAROT SUTRISNO M.SI"/>
        <s v="AULIA SUCI NURFADILA"/>
        <s v="NG TJOEI FONG ALS SILVIA"/>
        <s v="SUWINDA KUSRINI"/>
        <s v="WILDAN ANKY PUTRA"/>
        <s v="SYARIFAH FADILLAH"/>
        <s v="KHANZA PUTRI HUMAIRAH"/>
        <s v="FITA"/>
        <s v="ELLEN ARIFIN"/>
        <s v="FAHRIZAL RAMADHAN"/>
        <s v="WIDODO 7512"/>
        <s v="SARWINTO"/>
        <s v="JEMMY"/>
        <s v="NIKEN ATIKA PUSPA NINGRUM"/>
        <s v="M FAHRIZA RAHMAN"/>
        <s v="RATNA DEWI"/>
        <s v="SYARIF ZULFAN ADHA"/>
        <s v="NADYA SAFIRA"/>
        <s v="CHALID OBED"/>
        <s v="BINTARI INDAH SAPUTRI"/>
        <s v="MIRNA APRIANTY"/>
        <s v="JONG SULI"/>
        <s v="WARSINO"/>
        <s v="ANUSAPATI"/>
        <s v="MUCHLIS"/>
        <s v="SUDIYANTI HO"/>
        <s v="RIDHO YUDI PRABAWA"/>
        <s v="HENDRAWATI SAM"/>
        <s v="SUGIH WIRAMANTRI "/>
        <s v="DESI MARGASIA"/>
        <s v="SALIMAN"/>
        <s v="NOVI SEPTRIANI"/>
        <s v="SUKAWATI EFFENDY"/>
        <s v="HENDI"/>
        <s v="FEBE ANGELIA"/>
        <s v="MAULIZA DESIANA"/>
        <s v="YAZID MISHBAH KHOIRI "/>
        <s v="MUHAMMAD VIKI SYURIANSAH"/>
        <s v="HENDRA GUNAWAN 8801"/>
        <s v="DELA MASTIKA"/>
        <s v="YANTO"/>
        <s v="WINCENT CHANDRA"/>
        <s v="TJOE HOEI THJENG"/>
        <s v="ALVIN DIYANDRA"/>
        <s v="EVI "/>
        <s v="ACHMAD RADAMA RINARDI"/>
        <s v="VIONA PRICILA"/>
        <s v="ALIF BAINAL KHAFI"/>
        <s v="EFFENDY"/>
        <s v="ASNIWATI"/>
        <s v="FATHUR RAHMAN"/>
        <s v="DELLY MARINA"/>
        <s v="YAYUK"/>
        <s v="FITRA ALHANI"/>
        <s v="NADYA MUTMAINAH"/>
        <s v="LIM CUN HUE"/>
        <s v="NAJLA NURHALIZA"/>
        <s v="FELIKS ARMANTO"/>
        <s v="ZULIANA"/>
        <s v="DRS. H. SARDI. S"/>
        <s v="SUWARNI"/>
        <s v="SHAFA NUR INTAN FAJRIAH"/>
        <s v="PERMATA DEWI ANDINI"/>
        <s v="JOKO"/>
        <s v="DAHLIA"/>
        <s v="MUHAMMAD REZKY NUGRAHA"/>
        <s v="MAWAR AURELYSCA IRAWAN"/>
        <s v="ANDIKA PRATAMA PUTRA"/>
        <s v="HAMBALI"/>
        <s v="ARIF KURNIAWAN"/>
        <s v="HENNY"/>
        <s v="RIZQY FACHRIA"/>
        <s v="MUHAMMAD AFZANI NUR "/>
        <s v="WIONA SILASHINTA WAHYUDI"/>
        <s v="GUSTI AZLAN KHALID AYYUBI"/>
        <s v="FRENKY FERIYANTO"/>
        <s v="ANGELIA IVANA"/>
        <s v="SUCI TRIHANTINI"/>
        <s v="AZKA RAFIF ARYA"/>
        <s v="JUN FONG"/>
        <s v="YAYUK KURNIAWATI"/>
        <s v="JOKO WINARDI"/>
        <s v="AKIAN"/>
        <s v="SUMAYAH"/>
        <s v="SUMIATI"/>
        <s v="NOVI ASMARANI"/>
        <s v="FERRY PANGKE"/>
        <s v="ARIS BUDIMAN"/>
        <s v="IRAWATI"/>
        <s v="MUHAMMAD ICHSAN AZEVI"/>
        <s v="ASHRAF"/>
        <s v="TYARA HARDYANTI SUHARNO"/>
        <s v="HALIJAH"/>
        <s v="RADIT"/>
        <s v="RAMOTI PUTRA MANALU"/>
        <s v="EKA KURNIAWATI"/>
        <s v="ANDRI WIJAYA KUSUMA"/>
        <s v="LEYLI NURLITA"/>
        <s v="SUKAMTO"/>
        <s v="JOESDI NGATIDJAN "/>
        <s v="IQBAL MAULANA"/>
        <s v="RAHMAD"/>
        <s v="FLORENSIUS LAYLIM"/>
        <s v="ALBERT ALRILLIAN TALINO"/>
        <s v="RENDI ARDIAN"/>
        <s v="YULITA RIANA"/>
        <s v="RAYYANDRA GHUFRAN MARIOSHA"/>
        <s v="SANDY KURNIA"/>
        <s v="AZARYA JADAYN ARYO"/>
        <s v="DIRGA WIJAYA JUMAIL"/>
        <s v="NG TAI TJU"/>
        <s v="SURIATI HALIM"/>
        <s v="NELLY FITRIANA"/>
        <s v="RUKIAH AGUSTIAWATI"/>
        <s v="SYARIF RAIHAN RAFISKI"/>
        <s v="RAHMAT REZA FAHLEVI"/>
        <s v="ISTIKA INDAH NINGSIH"/>
        <s v="EVA DESI S PARDEDE"/>
        <s v="RIZKY PUSPASARI"/>
        <s v="VERONIMUS VALENT FRANSISKUS"/>
        <s v="ARY HIDAYATUL FAJRI"/>
        <s v="MUHAMMAD ABDULLAH AL KAYIS"/>
        <s v="WEHRY"/>
        <s v="NOPIANTO SAPTA BONG"/>
        <s v="HEYLIE ARIELLE ANG"/>
        <s v="JULIANTO 9007"/>
        <s v="REZA ILHAM FAHRINO"/>
        <s v="KENNETH CARMEN"/>
        <s v="MICKEL JERRI KURNIAWAN RAY "/>
        <s v="MILINA"/>
        <s v="ENRICO IVAN CHUA"/>
        <s v="JUNIANSYAH"/>
        <s v="SYARIFAH AINI"/>
        <s v="TUKIJAN"/>
        <s v="NAFLA RAIHANA QONITA HARDYAN"/>
        <s v="MESSY"/>
        <s v="LUSIANA MAENAH"/>
        <s v="LIA MARISA"/>
        <s v="GIGIH PURBO P"/>
        <s v="LILY"/>
        <s v="RAY DEDDY AZMI"/>
        <s v="UTIN RAHMAH"/>
        <s v="SULISTIYOWATI"/>
        <s v="VERONIKA"/>
        <s v="TITIN SUBAKTI S.SOS"/>
        <s v="DRS BAGOES SOENHARLAN"/>
        <s v="MERRY 7710"/>
        <s v="HERY PURYANTO"/>
        <s v="ANIS MUTIA"/>
        <s v="RIZKY RESTU ANUGRAH PALURENG"/>
        <s v="BERMAN PAULUS"/>
        <s v="ELWIN LAVEDA"/>
        <s v="TONNY MARZUKI"/>
        <s v="DIVO"/>
        <s v="M FATIH RIZKI"/>
        <s v="ELSA ELFIRA"/>
        <s v="DHIASPUTRA BRILIANDRI"/>
        <s v="RAINA AINUN NOOR"/>
        <s v="WANTI SETIANINGSIH"/>
        <s v="REVAN FELIX GOUW"/>
        <s v="NAJWA NUR AZWINA"/>
        <s v="MUHAMMAD NUR"/>
        <s v="DIARMI"/>
        <s v="ARDY CAHYA FITRIYANTO"/>
        <s v="REVAEL ENGGANG ALHAQ"/>
        <s v="INZALIA"/>
        <s v="SINDY MELANI"/>
        <s v="MERRY"/>
        <s v="ROSDIANA"/>
        <s v="RACHMAT HIDAYAT"/>
        <s v="VERONICA"/>
        <s v="IBNU SETYA HARYANA "/>
        <s v="MAYONG ANDREAS ACIN"/>
        <s v="M ADY SOEPIANSYAH"/>
        <s v="UMAR"/>
        <s v="HANDRI"/>
        <s v="SHELIN XAVIERA SALAM"/>
        <s v="BHAKTI HARIMURTI"/>
        <s v="MARSHERLY LOVESENZIA"/>
        <s v="MARSIANUS DWI W. DONATUS"/>
        <s v="LENNY MARBUN"/>
        <s v="SUHARDI"/>
        <s v="FENRIADI"/>
        <s v="HENNY HO"/>
        <s v="RIZQIROIHANMUSTOFA"/>
        <s v="RIKA ANGGRAINI"/>
        <s v="YOHANES PELE KURNIAWAN"/>
        <s v="ADI RAHMANTO"/>
        <s v="EKA DEWI PRATIWI"/>
        <s v="AIRLANGGA RADITYA SYAFIQ"/>
        <s v="ALBERT RENSEN LIUNARDY"/>
        <s v="NURILHAM IRSYAD"/>
        <s v="EDDY SANTOSO"/>
        <s v="HARTATI"/>
        <s v="ALEXANDER PUTRA DARMADI"/>
        <s v="TARMANTO"/>
        <s v="RIKA RIYANTI"/>
        <s v="BAYU YOGA "/>
        <s v="BAMBANG DWIPOJONO"/>
        <s v="MEIZARANI HELJA"/>
        <s v="SARIJEM"/>
        <s v="NADIRA PARAMITA"/>
        <s v="NABILA SEPTRIA NINGRUM"/>
        <s v="WIDI TRIYANTO"/>
        <s v="NG LIP TJIU"/>
        <s v="IRENE ROYMOND"/>
        <s v="HENGKY TANUWIJAYA"/>
        <s v="WELLY TRIPUTRA"/>
        <s v="FEBRIANTO LIM"/>
        <s v="ELMON UTOMO"/>
        <s v="HARISYAH BANDIANTO "/>
        <s v="LIM GEK KHIANG"/>
        <s v="OKTAVIANA "/>
        <s v="ASRIANI"/>
        <s v="ADZAN AMMAR WANDI"/>
        <s v="RIA DWI ANJANI"/>
        <s v="AHMAD NAUFAL WIRDIYAN"/>
        <s v="YANUARTI "/>
        <s v="JONO"/>
        <s v="SIWA PRANATA"/>
        <s v="VINA"/>
        <s v="ACHMAD MAULANA"/>
        <s v="VIVIANI"/>
        <s v="DHIPA RADITYA "/>
        <s v="RAJIDIN"/>
        <s v="IR DARLIYUS"/>
        <s v="OBED ROBBANI"/>
        <s v="DIAN PRAMANA RAHAYU"/>
        <s v="TRI SETIAWAN LUSLIM"/>
        <s v="SUHADA"/>
        <s v="SUMIATI 7409"/>
        <s v="OSCAR ASTRAYANANDA"/>
        <s v="YOLA PRAVIKA"/>
        <s v="TITA ROSITA"/>
        <s v="RAMNAH"/>
        <s v="M.ZAINAL"/>
        <s v="SEKAR KINANTI HERPRADANTI"/>
        <s v="NURSILA"/>
        <s v="TAN BE LEI"/>
        <s v="RIO RAMANDA "/>
        <s v="ANDY PANJAYA"/>
        <s v="NORSIANTY"/>
        <s v="EMI SETIAWATI "/>
        <s v="ANIK LAILATUL NUTTAFIA"/>
        <s v="MELISA"/>
        <s v="GIOVANNI NASTASIO PARURERA"/>
        <s v="NORSYANTI"/>
        <s v="JUNIARDI"/>
        <s v="VALENTINUS WONGSO"/>
        <s v="SILVIA"/>
        <s v="EKA LESTARI"/>
        <s v="ANDRIE HANDOKO"/>
        <s v="VEREN HALIM"/>
        <s v="SUMIATI 5405"/>
        <s v="BRILLIAN NINDY SEPTIA"/>
        <s v="M. PATRA MARMARA"/>
        <s v="NICHOLAS NELSON NATHANIEL"/>
        <s v="RUSMA APRIANSYAH"/>
        <s v="PATMAWATI"/>
        <s v="GEOSEPPE DE ANDREA MALDEO"/>
        <s v="AZIZ HIDAYAT"/>
        <s v="STEFANO"/>
        <s v="ATIKA MUFLIHA"/>
        <s v="ICHSAN CHANDRA"/>
        <s v="MUHAMMAD RIDHO ANSYORI"/>
        <s v="ELFIN ANUGERAH"/>
        <s v="ILHAM AZIZ"/>
        <s v="WILIANA"/>
        <s v="BOY"/>
        <s v="DWI RACHMAWAN"/>
        <s v="ZAENAL HASANUDDIN "/>
        <s v="TRI WIBOWO"/>
        <s v="DEWI MUSTIKA"/>
        <s v="ANDREAN CAHYONO"/>
        <s v="HANNY WULANDARI"/>
        <s v="TJHOEA DJAP KAUW"/>
        <s v="ANGGER CHESTA HIDAYAT"/>
        <s v="ALGI FAHRI"/>
        <s v="ANA 1978"/>
        <s v="ERICK TRIENARDO"/>
        <s v="HAMZAH"/>
        <s v="REZKY AKBAR"/>
        <s v="SELA AMANDA "/>
        <s v="TITIN AGUSTINA"/>
        <s v="JAVON"/>
        <s v="SELVIA"/>
        <s v="RIA ARYUNI "/>
        <s v="H MAHDI"/>
        <s v="ANDREAS RIAN PANAMUAN "/>
        <s v="TJHOEA THENG KAK"/>
        <s v="JOHANNES"/>
        <s v="RAHDIAN EDISON"/>
        <s v="CENDY VIBRIAN"/>
        <s v="TJONG SAU CON"/>
        <s v="ALIONG"/>
        <s v="MUHAMAD TABSYIR"/>
        <s v="DWI MARUTO"/>
        <s v="ISRI ULFAINI"/>
        <s v="AYDA RIANI JOHAR"/>
        <s v="ERWIN, ST "/>
        <s v="WARDOYO 8804"/>
        <s v="JOKO AKBAR"/>
        <s v="SANTY RIA TJHIE"/>
        <s v="ISFANDIAR, ST . MT"/>
        <s v="FERNANDO NG"/>
        <s v="JULIANTI JONARTO"/>
        <s v="EDI SUDIANDI"/>
        <s v="LIVI"/>
        <s v="FAHRI MAULIDA"/>
        <s v="FEODORA"/>
        <s v="RYAN PRAMIKA"/>
        <s v="ENDANG MULYANI"/>
        <s v="ABDULLAH SYAKUR "/>
        <s v="LAURUS EDISON"/>
        <s v="RITA RUMIATI"/>
        <s v="RESTI DEWANTARI"/>
        <s v="H.W. MANSOR ANDI MULIA"/>
        <s v="MURTINI"/>
        <s v="ANITA"/>
        <s v="LIAU NYUK HIONG"/>
        <s v="LAETITIA LAURA"/>
        <s v="SITI HADIJAH 5806"/>
        <s v="SRI ROEHANI"/>
        <s v="ARBIAN OCTORA"/>
        <s v="ALI"/>
        <s v="WENSESLAUS PALAGA"/>
        <s v="PUTRI RAHMA SARI"/>
        <s v="NAIMAH"/>
        <s v="ALICIA"/>
        <s v="SATIMAN BSC"/>
        <s v="YUNINDA WIDIASTUTI"/>
        <s v="ARISTO WAHYU KANTONA"/>
        <s v="NASRULLAH"/>
        <s v="TRI ENI WULANDARI "/>
        <s v="ALI 7608"/>
        <s v="AISYAH AYUDIA INARA"/>
        <s v="PUTRI RAHMA SARI "/>
        <s v="SITI BARIATUL KHOTIJAH"/>
        <s v="YUSI NALURITA"/>
        <s v="HJ NANTEN"/>
        <s v="ANITAA"/>
        <s v="NANDA PUSPITA SARI"/>
        <s v="EMILIANA "/>
        <s v="CARLSON KITCHIROU SETIA"/>
        <s v="AZRIEL REIVAN AKBAR"/>
        <s v="SULASTRI"/>
        <s v="SLAMET WIDODO"/>
        <s v="AGNES FELIM"/>
        <s v="IIS ARISBAYA"/>
        <s v="AINIYATUL FITRIYAH"/>
        <s v="MOK SOI PHIN"/>
        <s v="DEVIN PANGESTU"/>
        <s v="RINA TJENDERA"/>
        <s v="SRI SURYANINGSIH"/>
        <s v="THIAM NGOEAN"/>
        <s v="LIM HUI TJU"/>
        <s v="FREDERICA"/>
        <s v="MAD NAWIR "/>
        <s v="EKA HERMAWAN"/>
        <s v="ERLANGGA R A"/>
        <s v="MUHAMMAD AIRA BILNADZRI"/>
        <s v="ANNISA SEPTA PAKSI"/>
        <s v="ANDY"/>
        <s v="SUKMAWATI"/>
        <s v="BAGAS NUR ISLAMI"/>
        <s v="ROMEO HISKIA LIMBENG"/>
        <s v="RUFI LISTIAWATI, SE "/>
        <s v="ARIEF SAPTA WENDRIANTO"/>
        <s v="DEDDY TANJAYA"/>
        <s v="ARMAYADI"/>
        <s v="MARDIANA 6909"/>
        <s v="YUSAK HADI NUGROHO"/>
        <s v="RUDY 279"/>
        <s v="MUH. SHOIM MASKURI"/>
        <s v="YANTI"/>
        <s v="CAHAYA LANGIT DZIKRILLAH MATTAROPURA"/>
        <s v="MUHAMMAD RIVQY IBRA"/>
        <s v="OSKAR FEBRIANO HASITTO"/>
        <s v="IRVAN HARAHAP"/>
        <s v="MASNAH"/>
        <s v="ERITA GUNAWAN"/>
        <s v="DELIA ANGELA"/>
        <s v="RIKA RAHMAWATI"/>
        <s v="AHLUN NAZHA DE'AIRLANGGA"/>
        <s v="ANNE YURIKA MAULUDDIN"/>
        <s v="FARADILLA"/>
        <s v="NICKY"/>
        <s v="HAMDIKO CIKAL JULIADI"/>
        <s v="EFFIE SYEKH USMAN"/>
        <s v="ANDRIA RAMA YANA"/>
        <s v="STEVANI DHARMA YANTI"/>
        <s v="MUHAMMAD DHUHA KUSUMA"/>
        <s v="FERA"/>
        <s v="NARINDA EKA WIDYASTUTI"/>
        <s v="ELVA SAMANTHA"/>
        <s v="HJ SUGIARTI"/>
        <s v="RIDHO "/>
        <s v="RUDY TAN SIAU KHIE"/>
        <s v="MUZAHIM SUFYAN ATS TSAURI "/>
        <s v="RAFIF DHAYYAFA AZATHY"/>
        <s v="DARWIN SUDARMA"/>
        <s v="MUHAMMAD HENDRI. SE"/>
        <s v="NOVITA SARI"/>
        <s v="LIM TJIE KIANG"/>
        <s v="ADIB MIFTAHUL AHYAR"/>
        <s v="SRIYANTI "/>
        <s v="YUDIT NOVANDI"/>
        <s v="ERSAPTA ARISTO"/>
        <s v="DIMAS"/>
        <s v="PUJI LESTARI DWI HANDAYANI"/>
        <s v="MARIANA"/>
        <s v="SALSABILA NANDA PRATIWI"/>
        <s v="AULIA NAZWA AZZIKRA "/>
        <s v="IRENE PRETTY PARDEDE"/>
        <s v="SUPARTI"/>
        <s v="NINA YUNIARTI"/>
        <s v="AUZAIE MUHTADI"/>
        <s v="MUSYARADA JUNIA CANDRA "/>
        <s v="THE KWANG LENG"/>
        <s v="SATRIA AMARTA"/>
        <s v="ABYAN ODHY DZAKWAN"/>
        <s v="BONG TJUI HA"/>
        <s v="VICO"/>
        <s v="FENNA"/>
        <s v="SHANDY"/>
        <s v="FATHIMATHUZ ZAHRAH "/>
        <s v="PAULA AMINAH"/>
        <s v="MARDINNA MARISTA"/>
        <s v="DZULFIKRI RIZQULLAH"/>
        <s v="INTAN PRATIWI KHAIRUNNISA"/>
        <s v="RADIHT FIRJAH TULLOH"/>
        <s v="EVANDIKA DANADYAKSA"/>
        <s v="SINTA CLARENCIA"/>
        <s v="JONATHAN NG"/>
        <s v="MOHAMMAD GAUTAMA WAHYUDI"/>
        <s v="HALIM"/>
        <s v="JIMMY CRYSTIAN"/>
        <s v="NURAINI"/>
        <s v="AYU KOMALASARI "/>
        <s v="NUFI ALABSHAR"/>
        <s v="SANTI"/>
        <s v="TYAN MIRANI"/>
        <s v="SUHARTINI"/>
        <s v="MULYATI"/>
        <s v="HENDRI SUGIANTO"/>
        <s v="DESY CHRISTIAN"/>
        <s v="TJAI DJU"/>
        <s v="KLEVIN"/>
        <s v="SUJARWO"/>
        <s v="TANTI"/>
        <s v="MERIANTO"/>
        <s v="SUPIRIANI EKA LESTARI"/>
        <s v="WANDA RAHMAWAN, ST"/>
        <s v="FEBRIAN GALIH CAHYO P"/>
        <s v="AGUS SILVIANDY "/>
        <s v="IGNES JESSICA"/>
        <s v="RIZKI KURNIASIH"/>
        <s v="REZA AZMI"/>
        <s v="REZHA ANDHIKA PUTRA"/>
        <s v="MUHAMMAD VICTOR"/>
        <s v="ARYANA BUKOWSKI"/>
        <s v="SYARIF RIZKI ALKADRI"/>
        <s v="MASITA LESTARI"/>
        <s v="ACHMAD DHARMIANTO"/>
        <s v="SUHADI"/>
        <s v="WINARSIH"/>
        <s v="ALYA NDASARI MARASIN"/>
        <s v="RADEN SRI BINTANG PAMUNGKAS"/>
        <s v="AMRI PRATAMA"/>
        <s v="SATIMAN"/>
        <s v="MUHAMMAD ASWIN"/>
        <s v="DAVI ANUGRAH"/>
        <s v="AVRIYANI NOVIYANTI"/>
        <s v="EVI INTAN HERIATY"/>
        <s v="CAROLINE MISHELLE STELLA TAMBUNAN"/>
        <s v="TEGAR NOVA PRIYATMOKO"/>
        <s v="BONG DJAN TJHAN ALIAN JANTONO WONGSO"/>
        <s v="MUHAMMAD ATHALLAH RAISYAUQI"/>
        <s v="IRFAN MAULANA"/>
        <s v="SENG TJUAN"/>
        <s v="SUSI"/>
        <s v="KARINA EKA SAKTI"/>
        <s v="YUNNY ELVANDARI"/>
        <s v="ENDANG HARYANTI"/>
        <s v="PARMI"/>
        <s v="MAHANI ISMARIANA "/>
        <s v="DARMIATI"/>
        <s v="MUHAMMAD ALFAREZZI"/>
        <s v="TATA"/>
        <s v="NURITA"/>
        <s v="FITRIANA 0703"/>
        <s v="JATMOKO"/>
        <s v="NG SIAM BWEE ALS ROSIANTY"/>
        <s v="ROBINSON NAINGGOLAN"/>
        <s v="LILYANA"/>
        <s v="INDUN KARTINI"/>
        <s v="KARINA HAFZANY PUTRI"/>
        <s v="ENDAH ARDHIA UTAMI"/>
        <s v="CHERRY LIM"/>
        <s v="LIP WENG"/>
        <s v="ELFIRA NATALIA "/>
        <s v="TARI INDRIANI"/>
        <s v="DAFFA DEWANTA AKBAR"/>
        <s v="EXCEL XAVIER LIMARCO"/>
        <s v="KENZIE DEAN DEWANTO"/>
        <s v="SHERLY"/>
        <s v="MUHAMMAD FADLI LUTFIANDO"/>
        <s v="DARMAWATI"/>
        <s v="ISMAIL AKBAR"/>
        <s v="YUSTINA"/>
        <s v="ERLIN INDRIYANI "/>
        <s v="LUSIANA"/>
        <s v="MULYANA"/>
        <s v="SULISTYARINI "/>
        <s v="AUGUSTO WIJAYA"/>
        <s v="DIAH SANTI"/>
        <s v="MUHAMMAD ZAID ASH SHAFA "/>
        <s v="PRANSISKA OLIVIA"/>
        <s v="ABYAN QAYS ALFARIZ"/>
        <s v="ANISA FUASANA"/>
        <s v="HARDIYANTO"/>
        <s v="AGAM MARWANSYAH"/>
        <s v="SANDRA WIJAYA"/>
        <s v="MICHAEL LIE"/>
        <s v="WENNIE YANITA"/>
        <s v="PETER LIU"/>
        <s v="ELY"/>
        <s v="ERWIN DJONG"/>
        <s v="ALWI CHANDRA ANDIKA"/>
        <s v="DZAKY DHIAULHAQ"/>
        <s v="TJOEA HOEI TJHENG "/>
        <s v="Dr. Dra. Hj. Yanieta Arbiastutie, Apt, MM, Msc."/>
        <s v="IPOLIANA"/>
        <s v="M. SAPARWIN A. MD"/>
        <s v="FLAVIUS DARRELL "/>
        <s v="R. MUHAMMAD UMAR"/>
        <s v="RIDHO HENDRI FREDINATA "/>
        <s v="RIA ANANDA 8408"/>
        <s v="HERWIN FIDELIO SALAM"/>
        <s v="AURELIA AGUSTA"/>
        <s v="FITRIANA"/>
        <s v="PONTI INDAH SARI"/>
        <s v="HASBULLAH"/>
        <s v="TJIN DJAM"/>
        <s v="DESTRIYANA DARMASTUTI"/>
        <s v="MARLINA 7203"/>
        <s v="NURHASANAH S.AG"/>
        <s v="XAVIO AXELL"/>
        <s v="M.RIDHO TORIS MEIDIANO "/>
        <s v="AHMAD BUDI FAUSTAL"/>
        <s v="TIFANY NATHASYA"/>
        <s v="FIRMAN 9407"/>
        <s v="ANI RONIAH"/>
        <s v="KURNIA SAYUNI "/>
        <s v="VINSEN NOVENTA"/>
        <s v="RADEN FANIKA AZZAHRA"/>
        <s v="RENDY DWIPUTRA "/>
        <s v="NG SUI MIAUW"/>
        <s v="H. ANDI BASO TEPU"/>
        <s v="NATHANIA"/>
        <s v="LU ZONGLIANG"/>
        <s v="FANLIUS"/>
        <s v="ANI HARYANI"/>
        <s v="ELIS SARTIKAWATI, S.SOS"/>
        <s v="GHALIB IBNU HAADY"/>
        <s v="HERRY"/>
        <s v="RESA BAYU MURTHY"/>
        <s v="RIA ANANDA"/>
        <s v="WAHYU PAMBUDI"/>
        <s v="R. TAUFAN SUGIARTO"/>
        <s v="SUHAIRI"/>
        <s v="DAYUNDA PRAMESTI"/>
        <s v="WILLSON LOUISSE HANSEN VILLERY"/>
        <s v="LILYANI GOJONO"/>
        <s v="RAHAYU"/>
        <s v="HONG CHAI"/>
        <s v="SUPRAPTI"/>
        <s v="CARLIN DESMONDA"/>
        <s v="ANDRI KUSWARA"/>
        <s v="ALFA GILBERD"/>
        <s v="VINNDY CHONDRO"/>
        <s v="LIM TEK LIUNG"/>
        <s v="PRAKOSO SUSILO"/>
        <s v="ASTERIA MARCELINE"/>
        <s v="EVIE YULINDA"/>
        <s v="AHMADI"/>
        <s v="CAMELIA SANTIKA"/>
        <s v="RAHMANI"/>
        <s v="NAFSIAH"/>
        <s v="SEPRIDA KURNIAWATI"/>
        <s v="TOMY"/>
        <s v="IPUNG WIJAYA "/>
        <s v="KARIU SIDISMO"/>
        <s v="H. ANTON PRASETYO"/>
        <s v="AURELLIA RAHMA DWIYANTI"/>
        <s v="M BAMBANG SUMANTRI"/>
        <s v="YULIA WIDIANARTI"/>
        <s v="IWAN GUNAWAN"/>
        <s v="LIM MOI TJU"/>
        <s v="ABANG BUSRANUDIN"/>
        <s v="IKHSANUDIN 6611"/>
        <s v="HELEN"/>
        <s v="YASHINTA DIAJENG KULAAN"/>
        <s v="ERIC"/>
        <s v="DELLA SAPUTRI"/>
        <s v="IMAN ROMADHONI "/>
        <s v="ADINDA OKA KHAYLA PUTRI"/>
        <s v="TERA VICIANI"/>
        <s v="SILKY YESSITA"/>
        <s v="WAHYU DYAH"/>
        <s v="NAROKTADENY"/>
        <s v="HARRY FURQAN"/>
        <s v="GEORGE BUDIJANTO SALIM"/>
        <s v="AJENG DWI SINTIYA DEWI"/>
        <s v="PUTRI SAMPURNA DEWI"/>
        <s v="DEWI WAHYUDANINGSIH"/>
        <s v="ERDUS AMA MASANG"/>
        <s v="ANDRE DWI CAHYO"/>
        <s v="WILLY WINARDI"/>
        <s v="EKA SUSANTI"/>
        <s v="BERLINSON"/>
        <s v="ARISYA AHZA NAURA"/>
        <s v="OWEN FRENTSEN"/>
        <s v="HENKY"/>
        <s v="VINA MONIKA"/>
        <s v="SUMIATI 6908"/>
        <s v="SISNAWATI"/>
        <s v="RITA"/>
        <s v="ASRI MUHARANI ARSA"/>
        <s v="SYARIFAH UMMI KALTSUM"/>
        <s v="MANJA"/>
        <s v="TAUFIKURROHMAN"/>
        <s v="NUR AISYAH DAUD"/>
        <s v="YANDI ALEXIS "/>
        <s v="GAN KONG HOK ALS KIEMHOO"/>
        <s v="ASEP SETIAWAN"/>
        <s v="CHARLES"/>
        <s v="FITRI FATIMAH"/>
        <s v="JOKO PRANOTO"/>
        <s v="AMIRUL MUCHDI"/>
        <s v="YESI VERDIANTI"/>
        <s v="PUTRI AMALIA NURMIZAN"/>
        <s v="KURNIA WIDYASTUTY"/>
        <s v="EFENDY"/>
        <s v="ISTIQAMAH"/>
        <s v="NOVITA ADI HANDAYANI"/>
        <s v="DINDA RIFA RISKI HANDAYANI"/>
        <s v="CIPTA CAKRA DIRAJA PUTRA"/>
        <s v="PHILIP ST"/>
        <s v="CAHYO FITRIWATI"/>
        <s v="EKO NOPRIYANTO "/>
        <s v="MUHAMMAD MUFID EIMAN ANANDA"/>
        <s v="SYARIF MUHAMMAD RIDWAN"/>
        <s v="EPENDI"/>
        <s v="JOVITA APRIANA"/>
        <s v="ERLIN DWI SAFITRI"/>
        <s v="REFINKHA ZETYA ARNINDHA"/>
        <s v="NATAYA RAFIF"/>
        <s v="HARRIS CESAR"/>
        <s v="DEVI VERONICA"/>
        <s v="MUHAJIR HILAL"/>
        <s v="KUKUH "/>
        <s v="PAULINA"/>
        <s v="PURNAMA YUNIARSIH"/>
        <s v="OMAR F. FISABILILLAH"/>
        <s v="ANDY SETIAWAN"/>
        <s v="ASRI HUMAIRA "/>
        <s v="MUHAIMIN SANI "/>
        <s v="SRI RAHMANI"/>
        <s v="ISTIQOMAH"/>
        <s v="M.ROZALI"/>
        <s v="HJ HALIJAH"/>
        <s v="KATENI"/>
        <s v="NURUL AQIDATUL KHAIRINA "/>
        <s v="DARWIN TARIGAN"/>
        <s v="SRI RATNAWATI"/>
        <s v="JUPRIL MARDA"/>
        <s v="FANLUIS"/>
        <s v="ANNY MAYESTI"/>
        <s v="ERVINA"/>
        <s v="SARAH JEMBARANITA "/>
        <s v="CUI FA"/>
        <s v="TJANG KHENG"/>
        <s v="FAUZY SETYAWAN"/>
        <s v="PONIA PASTIAGE"/>
        <s v="PUTRI DUTA SENOPATI"/>
        <s v="HJ SUMARNI"/>
        <s v="ERRY RUSTIANSYAH"/>
        <s v="FADLURROHMAN ASSHIDDIQI"/>
        <s v="KINARA SHALWA MIKHAYLA"/>
        <s v="ABDUL MANAN ARSYUL"/>
        <s v="MUHAMMAD DEVA ERLANGGA"/>
        <s v="FALIH SYHAFWAN ALMY"/>
        <s v="MUHAMMAD IRFAN DJUHA"/>
        <s v="RACHMI WULAN"/>
        <s v="SRI PAMUJI"/>
        <s v="M. RAFAEL ALFANZA"/>
        <s v="NABILA ZHAFIRA FASYA"/>
        <s v="ORM TIA KHASINA"/>
        <s v="FATIH HAWWARI"/>
        <s v="TETY MAULIZAR"/>
        <s v="YULIANA"/>
        <s v="NOVIZAR HARTADY"/>
        <s v="MARINI"/>
        <s v="AGNES VERONIKA"/>
        <s v="FATIH RIDHO PERMANA "/>
        <s v="SOBIB"/>
        <s v="CHAIRUL DWIYANDI"/>
        <s v="UTIN AGUSTINA"/>
        <s v="ERIK RADJALI 5103"/>
        <s v="M AKHTAR ALFARIZY"/>
        <s v="KRISTIAN DENNIS"/>
        <s v="HERMAN"/>
        <s v="TARI MARDIANA"/>
        <s v="HENGKY"/>
        <s v="VITARIA LINA"/>
        <s v="MARIYAMINA RUPINA"/>
        <s v="ASNA"/>
        <s v="RIO ANGGARA"/>
        <s v="FIRMAN"/>
        <s v="SINAH"/>
        <s v="ARIENDI FITRI"/>
        <s v="IRFAN RACHMAN HAKIM"/>
        <s v="MIKHAEL KEVIN"/>
        <s v="NAYYARA TSABITA YUMNA"/>
        <s v="RENALDI ADITYA DWI SAPUTRA"/>
        <s v="JURIYATI"/>
        <s v="NOVA IRMA ADIHANDAYANI"/>
        <s v="XAVIERA"/>
        <s v="CINDY"/>
        <s v="U. HERU ISWIRNANDA"/>
        <s v="SISKA DAMASTUTI"/>
        <s v="ELISABET ELISA "/>
        <s v="KENRICH ELSON UTOMO"/>
        <s v="WITONO"/>
        <s v="NADIA STEVANIA "/>
        <s v="WAGIATI"/>
        <s v="NURYANI"/>
        <s v="SAODAH"/>
        <s v="SYALSABILLA FARWA"/>
        <s v="PUTRI TIYA RISNA DEWI"/>
        <s v="FIRDA"/>
        <s v="LIE SIN KHEK"/>
        <s v="SUDARTI RAHMAN"/>
        <s v="LING MIAU NGO"/>
        <s v="MUHAMMAD ADITYA HAPSORO"/>
        <s v="MUHAMMAD SOULTANI"/>
        <s v="MARIA AGNES "/>
        <s v="INDRA SETIYAWAN"/>
        <s v="JU HWA"/>
        <s v="TITIK HARYATI"/>
        <s v="ABDIAS JURITINO"/>
        <s v="KHOU AI KHENG"/>
        <s v="HENDRI BUDIYANTO"/>
        <s v="LIM TJEK LAN"/>
        <s v="GEMILANG HOSHI HAYET "/>
        <s v="MUHAMMAD LUTHFIR RAHMAN"/>
        <s v="ERIK"/>
        <s v="RIRIN PURNAMA DEWI"/>
        <s v="SANGAPTA SITEPU"/>
        <s v="REZA NUGRAHA"/>
        <s v="SALWA SALSABILA"/>
        <s v="R. ADANG ERI RISWANA"/>
        <s v="SYF NURAINI"/>
        <s v="SAMIMA"/>
        <s v="HAIKAL DEVEN"/>
        <s v="TUTI MULYATI"/>
        <s v="ENDY MAULIDI"/>
        <s v="IRA NORMA PERTIWI"/>
        <s v="WARDOYO"/>
        <s v="HASAN BASRI "/>
        <s v="YULIA RAMADHIYANTI"/>
        <s v="PUTRI AYSHA RAMADHANI "/>
        <s v="STIVEN"/>
        <s v="IPAH SIDA , S.E."/>
        <s v="NINING DWI PUSPITASARI "/>
        <s v="SUMARNI,S.STP"/>
        <s v="RHAFA AL QAHFY"/>
        <s v="EFRIANA"/>
        <s v="DIAH KURNIATI"/>
        <s v="HERMI HERMAWAN"/>
        <s v="ROBIYATI"/>
        <s v="KUKUH WIDADI"/>
        <s v="ARINI"/>
        <s v="DARA RANTI PURBASAR"/>
        <s v="JAWARIYAH"/>
        <s v="SHOCHIHATUZ"/>
        <s v="SYARIF MAUDUDI ANSARI"/>
        <s v="HABIBULLAH"/>
        <s v="SUMARNI"/>
        <s v="ZAKI MUBARAK"/>
        <s v="DEWI"/>
        <s v="SUWARDI TJANDRA"/>
        <s v="ARIF 6912"/>
        <s v="MILAWATY"/>
        <s v="DEWI978"/>
        <s v="ENDANG TUTI SETIAWATI"/>
        <s v="WAHYUDIN CIPTADI"/>
        <s v="HERLINA 7309"/>
        <s v="NISAH"/>
        <s v="EVANCIUS VALLEN"/>
        <s v="FADHIL AL FATAH"/>
        <s v="ANTONI D"/>
        <s v="LIM A KIANG"/>
        <s v="STEVEN HARYANTO"/>
        <s v="GIBRAN ATHALLAH"/>
        <s v="RIA KURNIA"/>
        <s v="JEFFRY HERMANSYAH"/>
        <s v="DHEA ANGGRAINI"/>
        <s v="RAISHA SYIFA ANANTA"/>
        <s v="FICO DIKA FAHREZY"/>
        <s v="YUNIANTI"/>
        <s v="MARYAM 2448"/>
        <s v="DR RETNO MUSTIKANINGSIH"/>
        <s v="DHESTY AYU SAPUTRY"/>
        <s v="EVELYN"/>
        <s v="DINI ANGGRAENI"/>
        <s v="M. FADHLI FITRIYANDA"/>
        <s v="SONNIA CHRISTIN"/>
        <s v="WIDYA ROSALNA S.PD"/>
        <s v="BUGI MARWATI"/>
        <s v="FIRDA YUNITA"/>
        <s v="HIQMANIARNI "/>
        <s v="SAHDIMAN"/>
        <s v="MULIONO"/>
        <s v="FLAVIUS NIXON GRAVAEL"/>
        <s v="CATUR YULIYATI"/>
        <s v="KAYLA DAYANA NADHIRA"/>
        <s v="RESTU GUNAWAN "/>
        <s v="DEVY ALGHAFIQ "/>
        <s v="SHAFA ANNISA "/>
        <s v="MUHAMMAD AGUS SYAHRANI"/>
        <s v="MUHAMMAD AQILA DANISH"/>
        <s v="TRI HERIYANTI "/>
        <s v="UJANG KURNIAWAN"/>
        <s v="HAIKAL PRIORAHARJO"/>
        <s v="FENTY"/>
        <s v="TJOE HOEI TJENG"/>
        <s v="SRI INDRAWATI"/>
        <s v="MUHAMMAD ARI"/>
        <s v="YUDY HARTONO"/>
        <s v="ARDIANUS"/>
        <s v="RIFDA ANGELINA WULANDARI"/>
        <s v="RITA NURNANINGSIH"/>
        <s v="INDRA 8810"/>
        <s v="EEN WAHYUDI"/>
        <s v="DWIE SETYAWATI"/>
        <s v="URAY BILCHAIRI JAKTI"/>
        <s v="ALYA AMELIA ADELNA"/>
        <s v="SUMIATI 8912"/>
        <s v="EUSEBIA CLARA BERTA "/>
        <s v="PAELAH"/>
        <s v="HJ SISWATI"/>
        <s v="SUYATNO"/>
        <s v="LATIFAH"/>
        <s v="CUCU SARTIKA"/>
        <s v="ALDI RANDY YUDO"/>
        <s v="RIAN QURNIAWAN"/>
        <s v="NANDA M SHAUQIE"/>
        <s v="ABUTALIB"/>
        <s v="VIAN"/>
        <s v="MITHA NOVIANTI"/>
        <s v="FIRDAUS MINDO EMKO"/>
        <s v="ERIK RADJALI"/>
        <s v="RIDUANSAH"/>
        <s v="ZANIYAH"/>
        <s v="MIA AMALIA AZZAHRA"/>
        <s v="MUHAMMAD REZA FIRNANDA"/>
        <s v="ANNISA SETIOWATI"/>
        <s v="FADJRINA NOPIANTI"/>
        <s v="PURNAWAN LASDI"/>
        <s v="HAFIZ PRATAMA PUTRA "/>
        <s v="SYAFRIL"/>
        <s v="FEBY SYAFITRI"/>
        <s v="ISNA NURAINI"/>
        <s v="AUDILA RIMA PUTRI"/>
        <s v="TOMMY WITANTO"/>
        <s v="ASNI"/>
        <s v="STEVAN AGBART"/>
        <s v="LIE UI CHUAN"/>
        <s v="RIDUANSYAH"/>
        <s v="YULIANTI STEVIANI"/>
        <s v="PUTRI YASMIN MUMTAZ"/>
        <s v="MODESTA WISA"/>
        <s v="MUHAMMAD SYUJA DIYAULHAQ"/>
        <s v="TEDDY SETIARDI"/>
        <s v="HENDRA"/>
        <s v="JULAEHA"/>
        <s v="M MAMIK WARTAMI"/>
        <s v="CATUR YULIYATI "/>
        <s v="PUTRI AYSHA RAHMADHANI"/>
        <s v="ABBEL RASYA "/>
        <s v="MUHAMMAD ZAKARIA"/>
        <s v="DEA ARTINANDA"/>
        <s v="IRVAN"/>
        <s v="NABILA RAMADHANI"/>
        <s v="MUHAMMAD IQBAL NOVIANSYAH"/>
        <s v="M.AGHA HIBATULLAH"/>
        <s v="ABDUL RAHIM"/>
        <s v="AFIF RIZKY AFRIZA"/>
        <s v="H. MUNZIRI SYAHIDAN, IR"/>
        <s v="ELLYSA FERONIKA HALIM"/>
        <s v="LUKAS FAJAR"/>
        <s v="WELLY OKTADINATA"/>
        <s v="NISWANI"/>
        <s v="YUDA SUHERMAN"/>
        <s v="BENNY LUCK TANDIAN"/>
        <s v="FARIS RAHMADIAN"/>
        <s v="ANDREAS TRI PUTRA"/>
        <s v="TITIN SUMARNI"/>
        <s v="TRI ALFAIRUS"/>
        <s v="TITO SAPUTRA"/>
        <s v="LILIS SURYANI"/>
        <s v="GHALY RAZQHA ALFATHANI"/>
        <s v="SYIFA NABILA RUFINA"/>
        <s v="LIM LIE SIAM"/>
        <s v="FADIL AKBAR"/>
        <s v="ASTISZA SYAHLA LUDMILLA PARABI"/>
        <s v="RATNA KOMALA"/>
        <s v="SUCI NANDA LESTARI"/>
        <s v="ANDI WIRA UTAMA"/>
        <s v="SYARIF SYAFIQ THAHIR"/>
        <s v="M. MAMIK WARTAMI "/>
        <s v="ARIF PARABI"/>
        <s v="STEFFANI TEDJA"/>
        <s v="SUMARNO SAPUTRA"/>
        <s v="NIRWANI"/>
        <s v="DWI FEBRIE ANDIKA"/>
        <s v="ANGGRA"/>
        <s v="SILVI AULIA"/>
        <s v="WIWI WIJAYATI"/>
        <s v="MUHAMMAD SABHAN"/>
        <s v="BENNY PERNANDO SILALAHI"/>
        <s v="ANGGY ENDRIANTO"/>
        <s v="LIU YULIANTI"/>
        <s v="TAN SOK KHIM"/>
        <s v="ANTONIUS TRIAS KUNCOROJATI"/>
        <s v="MURZANI"/>
        <s v="HARRIS"/>
        <s v="HENDRY"/>
        <s v="PUJI ASTUTI"/>
        <s v="IQBAAL MUHAMMAD"/>
        <s v="UTTAMI SUMPING"/>
        <s v="PHILIP ADRIANTA HARTADI"/>
        <s v="JONI EFENDI"/>
        <s v="REVINA ADELIA PUTRI"/>
        <s v="ANDANG FIRMANSYAH"/>
        <s v="SURYA HARYATI"/>
        <s v="SETIAWATI"/>
        <s v="SILVIA VITA"/>
        <s v="ARINA"/>
        <s v="J. MUJIARSO"/>
        <s v="LIE HENG"/>
        <s v="ENDANG TRIANA"/>
        <s v="SURYA ISNANDA"/>
        <s v="RAJE ISTANUDIN"/>
        <s v="URAY VEGA VISA LACTI "/>
        <s v="ALLUCA ZAVIAN ALI MEKKA"/>
        <s v="FREDIRIKA ARIANI NESA"/>
        <s v="NOVIANDRA"/>
        <s v="RONNI RAHMANI"/>
        <s v="DJUHARSIH"/>
        <s v="LIE LI CIN"/>
        <s v="GRACIA IVANA GOUWYN"/>
        <s v="ADITYO D. SUDAGUNG"/>
        <s v="MIFTAHUDIN RAMADHANI"/>
        <s v="SYARIF ABDUURAHMAN ALQADRIE"/>
        <s v="PUSPA SARI"/>
        <s v="KAYLA ANNISA AZZAHRA"/>
        <s v="JEMALI"/>
        <s v="ANDI AMIR FAHAD ABDILLAH"/>
        <s v="AGUNG SUNARYO"/>
        <s v="SURACHMAD DARUSMAN"/>
        <s v="FANNY THALIA LIMAS "/>
        <s v="NAZUMAH"/>
        <s v="ZULKARNAEN"/>
        <s v="HJ. MASRIKAH"/>
        <s v="ERMA LESTARI"/>
        <s v="HUSNUL FIKRI"/>
        <s v="ALDI MAULADI RASYID"/>
        <s v="OZZY GUARDIOLA FITTIFALDY"/>
        <s v="ABANG ARIF MAULANA IHSAN"/>
        <s v="MUHAMMAD YASIR"/>
        <s v="IMRON"/>
        <s v="FATUR MAULANA ARFANSYAH "/>
        <s v="RIRIN SEPTIANI"/>
        <s v="F. X. KURNIAWAN"/>
        <s v="BIMA ADITYA PAKSI"/>
        <s v="DWI SANTOSO"/>
        <s v="NURHAYATI (IBU BANG EDO)"/>
        <s v="LIM JAK KHENG "/>
        <s v="FEMMY SANTIKA MAHARANI"/>
        <s v="MARSYA ALEXANDRIA"/>
        <s v="WAHYUDI "/>
        <s v="SUHANDA"/>
        <s v="NOVA ELVIANI"/>
        <s v="TAN SIN KUANG"/>
        <s v="AURORA PRETTY BRILIANTY"/>
        <s v="JESICHA MARTHALENA TRISNA"/>
        <s v="ANDRA SAPUTRA"/>
        <s v="ARIF SANTOSO"/>
        <s v="LIE KIM FA/KESUMAJADI"/>
        <s v="Hj.Masrika"/>
        <s v="WAFA ARIF"/>
        <s v="RATNA NINGSIH"/>
        <s v="OSCAR FAUZI"/>
        <s v="DANISH FATURRAHMAN "/>
        <s v="ENDANG PURWATI"/>
        <s v="MUHAMMAD NABIL KAUTSAR PRIYANTANA"/>
        <s v="AMALIA RIZKI SURYANDARI"/>
        <s v="FAWIL PATWA"/>
        <s v="OKTARIANA TRI SUSANTI"/>
        <s v="TEGAR KRISTIAN OMPU SUNGGU ARITONANG "/>
        <s v="NOVERIANSYAH AKBAR"/>
        <s v="JARDINE"/>
        <s v="HARY PRAYOGI PRATAMA PUTRA"/>
        <s v="NASYUA RAVA AZAHRA"/>
        <s v="DUDI HARSONO"/>
        <s v="TJATUR SUGIARTO"/>
        <s v="DARA APRILA YUSLYANI"/>
        <s v="FIRMAN SAMSUDIN"/>
        <s v="VIJAY"/>
        <s v="AURA DUTA SHEVA"/>
        <s v="CESARIA ANGGUN KINANTY"/>
        <s v="MUHAMMAD HAFIZ ANANSYAH"/>
        <s v="NENENG SAPARIANA"/>
        <s v="IRVIN CHANGGRA"/>
        <s v="NIKE WELDAN"/>
        <s v="SISWADI"/>
        <s v="BATISTUTA YUSLYADI"/>
        <s v="ANDREAN SETIAWAN PUTRA"/>
        <s v="SUMARSIH"/>
        <s v="VANIA FANG"/>
        <s v="TYAS MAHENDRA"/>
        <s v="SITI WULANDARI"/>
        <s v="TRI PRATIWI"/>
        <s v="ALIANI"/>
        <s v="AGUSTINUS ARSI"/>
        <s v="LIM CHUN HUE"/>
        <s v="RIZKY MAULANA PUTRA"/>
        <s v="ADLY RAYHAN SAPUTRA"/>
        <s v="SUPARDAN"/>
        <s v="SAYYIDAH ADZKIA "/>
        <s v="SUDARTI"/>
        <s v="RUSMALA RATINA"/>
        <s v="NOEVAL MUZZAKY"/>
        <m/>
      </sharedItems>
    </cacheField>
    <cacheField name="PEMBELIAN" numFmtId="0">
      <sharedItems containsBlank="1">
        <s v="K.PT - PAKET 1"/>
        <s v="K.PT - PAKET 2"/>
        <s v="V.PT - PAKET VISIT"/>
        <s v="K.TA - TERAPI AWAL"/>
        <s v="K.ST - SESI TERAPI"/>
        <s v="V.TA - TERAPI AWAL VISIT"/>
        <s v="V.TA - TERAPI AWAL VISIT + JARAK"/>
        <s v="V.ST - SESI VISIT"/>
        <s v="S.TR - ICE BAG"/>
        <s v="V.PT - PAKET VISIT + JARAK"/>
        <s v="V.ST - SESI VISIT + JARAK"/>
        <s v="S.TR - BANDAGE 7,5 CM"/>
        <s v="S.TR - KINESIO TAPE"/>
        <s v="K.ST - SESI TERAPI NEW"/>
        <s v="K.PT - PAKET SILVER"/>
        <s v="K.PT - PAKET GOLD"/>
        <s v="K.PT - PAKET PLATINUM"/>
        <s v="S.TR - MINI BAND MERAH"/>
        <s v="S.TR - FINGER TAPE"/>
        <s v="S.KL - PAKET GOLD"/>
        <s v="S.KL - PAKET SILVER"/>
        <s v="S.KL - SESI TERAPI"/>
        <s v="S.KS - PAKET SILVER"/>
        <s v="S.KS - SESI TERAPI"/>
        <s v="K.SM - SEGMENTAL"/>
        <s v="K.SM - FULL BODY"/>
        <s v="K.PM - PAKET FULL BODY"/>
        <s v="K.PM - PAKET SEGMENTAL"/>
        <m/>
      </sharedItems>
    </cacheField>
    <cacheField name="KATEGORI PEMBELIAN" numFmtId="0">
      <sharedItems containsBlank="1">
        <s v="KLINIK FT PAKET"/>
        <s v="VISIT FT PAKET"/>
        <s v="KLINIK FT TA"/>
        <s v="KLINIK FT SESI"/>
        <s v="VISIT FT TA"/>
        <s v="VISIT FT SESI"/>
        <s v="STORE  "/>
        <s v="KELAS LANSIA PAKET"/>
        <s v="KELAS LANSIA SESI"/>
        <s v="KELAS SKOLIO PAKET"/>
        <s v="KELAS SKOLIO SESI"/>
        <s v="KLINIK SM SESI"/>
        <s v="KLINIK SM PAKET"/>
        <s v="                                                    "/>
        <m/>
        <s v=""/>
      </sharedItems>
    </cacheField>
    <cacheField name="STATUS PEMBELIAN" numFmtId="0">
      <sharedItems containsBlank="1">
        <s v="BARU"/>
        <s v="LANJUTAN"/>
        <m/>
        <s v=""/>
      </sharedItems>
    </cacheField>
    <cacheField name="KETERANGAN BAYAR" numFmtId="0">
      <sharedItems containsBlank="1">
        <s v="DP"/>
        <s v="CICILAN"/>
        <s v="LUNAS"/>
        <s v="PELUNASAN"/>
        <m/>
      </sharedItems>
    </cacheField>
    <cacheField name="JUMLAH BAYAR" numFmtId="166">
      <sharedItems containsString="0" containsBlank="1" containsNumber="1" containsInteger="1">
        <n v="200000.0"/>
        <n v="250000.0"/>
        <n v="500000.0"/>
        <n v="300000.0"/>
        <n v="600000.0"/>
        <n v="1000000.0"/>
        <n v="650000.0"/>
        <n v="450000.0"/>
        <n v="150000.0"/>
        <n v="1800000.0"/>
        <n v="1200000.0"/>
        <n v="350000.0"/>
        <n v="50000.0"/>
        <n v="700000.0"/>
        <n v="100000.0"/>
        <n v="2300000.0"/>
        <n v="800000.0"/>
        <n v="400000.0"/>
        <n v="0.0"/>
        <n v="25000.0"/>
        <n v="45000.0"/>
        <n v="180000.0"/>
        <n v="750000.0"/>
        <n v="1300000.0"/>
        <n v="550000.0"/>
        <n v="2400000.0"/>
        <n v="144000.0"/>
        <n v="1040000.0"/>
        <n v="1100000.0"/>
        <n v="1920000.0"/>
        <n v="35000.0"/>
        <n v="1250000.0"/>
        <n v="160000.0"/>
        <n v="375000.0"/>
        <n v="20000.0"/>
        <n v="960000.0"/>
        <n v="520000.0"/>
        <n v="320000.0"/>
        <n v="560000.0"/>
        <n v="110000.0"/>
        <n v="740000.0"/>
        <n v="440000.0"/>
        <n v="120000.0"/>
        <n v="107000.0"/>
        <n v="167000.0"/>
        <n v="447000.0"/>
        <n v="165000.0"/>
        <n v="1400000.0"/>
        <n v="195000.0"/>
        <n v="525000.0"/>
        <n v="125000.0"/>
        <m/>
      </sharedItems>
    </cacheField>
    <cacheField name="DISKON" numFmtId="167">
      <sharedItems containsString="0" containsBlank="1" containsNumber="1" containsInteger="1">
        <n v="0.0"/>
        <n v="250000.0"/>
        <n v="200000.0"/>
        <n v="100000.0"/>
        <n v="600000.0"/>
        <n v="500000.0"/>
        <n v="1000000.0"/>
        <n v="450000.0"/>
        <n v="150000.0"/>
        <n v="650000.0"/>
        <n v="50000.0"/>
        <n v="300000.0"/>
        <n v="350000.0"/>
        <n v="750000.0"/>
        <n v="130000.0"/>
        <n v="36000.0"/>
        <n v="260000.0"/>
        <n v="700000.0"/>
        <n v="1300000.0"/>
        <n v="850000.0"/>
        <n v="480000.0"/>
        <n v="1050000.0"/>
        <n v="180000.0"/>
        <n v="90000.0"/>
        <n v="1250000.0"/>
        <n v="400000.0"/>
        <n v="550000.0"/>
        <n v="240000.0"/>
        <n v="80000.0"/>
        <n v="640000.0"/>
        <n v="560000.0"/>
        <n v="340000.0"/>
        <n v="60000.0"/>
        <n v="18000.0"/>
        <n v="28000.0"/>
        <n v="49000.0"/>
        <n v="30000.0"/>
        <n v="70000.0"/>
        <m/>
      </sharedItems>
    </cacheField>
    <cacheField name="HARGA" numFmtId="166">
      <sharedItems containsString="0" containsBlank="1" containsNumber="1" containsInteger="1">
        <n v="650000.0"/>
        <n v="1200000.0"/>
        <n v="1800000.0"/>
        <n v="250000.0"/>
        <n v="150000.0"/>
        <n v="300000.0"/>
        <n v="350000.0"/>
        <n v="200000.0"/>
        <n v="50000.0"/>
        <n v="2300000.0"/>
        <n v="25000.0"/>
        <n v="45000.0"/>
        <n v="180000.0"/>
        <n v="750000.0"/>
        <n v="1300000.0"/>
        <n v="2400000.0"/>
        <n v="500000.0"/>
        <n v="35000.0"/>
        <n v="20000.0"/>
        <n v="400000.0"/>
        <n v="720000.0"/>
        <n v="110000.0"/>
        <n v="0.0"/>
        <n v="440000.0"/>
        <n v="120000.0"/>
        <n v="125000.0"/>
        <n v="195000.0"/>
        <n v="525000.0"/>
        <n v="600000.0"/>
        <m/>
      </sharedItems>
    </cacheField>
    <cacheField name="KEKURANGAN">
      <sharedItems containsBlank="1" containsMixedTypes="1" containsNumber="1" containsInteger="1">
        <n v="-450000.0"/>
        <n v="-400000.0"/>
        <n v="-200000.0"/>
        <n v="-250000.0"/>
        <n v="-700000.0"/>
        <n v="-350000.0"/>
        <n v="-600000.0"/>
        <n v="-800000.0"/>
        <n v="0.0"/>
        <n v="-150000.0"/>
        <n v="-500000.0"/>
        <n v="-1000000.0"/>
        <n v="-300000.0"/>
        <n v="-550000.0"/>
        <n v="-630000.0"/>
        <n v="-50000.0"/>
        <n v="20000.0"/>
        <e v="#REF!"/>
        <n v="-1100000.0"/>
        <n v="180000.0"/>
        <n v="-100000.0"/>
        <n v="-1050000.0"/>
        <n v="50000.0"/>
        <n v="-375000.0"/>
        <n v="200000.0"/>
        <n v="450000.0"/>
        <n v="250000.0"/>
        <n v="300000.0"/>
        <n v="400000.0"/>
        <n v="-740000.0"/>
        <n v="-1400000.0"/>
        <n v="560000.0"/>
        <n v="-29000.0"/>
        <n v="150000.0"/>
        <n v="30000.0"/>
        <n v="125000.0"/>
        <n v="-25000.0"/>
        <n v="-650000.0"/>
        <m/>
        <s v=""/>
      </sharedItems>
    </cacheField>
    <cacheField name="METODE BAYAR" numFmtId="0">
      <sharedItems containsBlank="1">
        <s v="TRANSFER BCA"/>
        <s v="TUNAI"/>
        <s v="EDC BCA"/>
        <s v="TRANSFER BANK KALBAR"/>
        <m/>
      </sharedItems>
    </cacheField>
    <cacheField name="PENJAMIN" numFmtId="0">
      <sharedItems containsBlank="1">
        <s v="HARYA PAMUNGKAS"/>
        <s v="-"/>
        <s v="MURTI JULIANDARI"/>
        <s v="RUDI HARTONO"/>
        <s v="CINTHYA MEILIZA"/>
        <s v="DIKI FIRNANDA"/>
        <s v="ZULKIFLI HASANUDDIN"/>
        <s v="KRIS YOGI DWI PUTRA SIBARANI"/>
        <s v="ANDRIANI"/>
        <s v="ANGELICA BUNARDI"/>
        <s v="RUSDI SULAIMAN"/>
        <s v="SITI ROHANI"/>
        <s v="ENDAH SEPTIANINGSIH"/>
        <s v="MARGARETA CHANDRADINATA"/>
        <s v="LINA TJENDERA"/>
        <s v="BINTARI"/>
        <s v="YUNITA"/>
        <s v="HARRY FURQON"/>
        <s v="LIMINA DJUITA LIMAS"/>
        <s v="YOSTRYAN CHENATA"/>
        <s v="RIZKADEA BELIANTO"/>
        <s v="SURYANA"/>
        <s v="HILIANTY TARDJONO"/>
        <s v="ISNINDAR"/>
        <s v="SUHERMAN"/>
        <s v="MARISA HANDAYANI"/>
        <s v="PUTRI RESTU AWALIYAH"/>
        <s v="SWARTONO"/>
        <s v="NITTA ROLLITA"/>
        <s v="DONNY TRI PUJIANTO"/>
        <s v="MUDIONO HARYANTO"/>
        <s v="DRSHENDRA SALIM"/>
        <s v="CHRISTINA"/>
        <s v="JON ALI"/>
        <s v="FERA HENDRY"/>
        <s v="ANDIANA MARJAYANTI"/>
        <s v="SRI ESRI"/>
        <s v="PUTERA ANUGRAH PRATAMA"/>
        <s v="SUGIH WIRAMANTRI"/>
        <s v="RANDA ARZA SAPUTRA"/>
        <s v="RACHMAT RIYANTO"/>
        <s v="WISNU WARDANA"/>
        <s v="ATHA HANIF PRADIPTA"/>
        <s v="GALIH PITA LOKA"/>
        <s v="WIWIK HARTATI"/>
        <s v="NIDYA RISWANDA TRISMA W"/>
        <s v="MUHAMMAD FADHIL RAMADHANI"/>
        <s v="ANDRI DOS SANTOS"/>
        <s v="YASINTA"/>
        <s v="ANANTA UTAMI"/>
        <s v="DWI RACHMAWAN"/>
        <s v="PUTRI ATIKAH"/>
        <s v="NOVI ASMARANI"/>
        <s v="CINTHYA TANJAYA"/>
        <s v="YUNICA"/>
        <s v="BENI SETIYANTO"/>
        <s v="MUHAMMAD YAKINI AKBAR"/>
        <s v="TRIATIE CHALIDYAH"/>
        <s v="SHARON LIE"/>
        <s v="HERLINA AGUSTININGSIH"/>
        <s v="NOPEARIANI"/>
        <s v="INDRY WAHYUNINGSIH"/>
        <s v="PUTRI ATIKAH LELLYANA"/>
        <s v="CHRIS MULIO JOHANES"/>
        <s v="M EKA PUTRA YUANDA"/>
        <s v="ELISABETH SUTINI"/>
        <s v="CINDY MONALISA ANDDIE"/>
        <s v="EFENDI WAHYU"/>
        <s v="RICKY ISKANDAR"/>
        <s v="DAMHUDI"/>
        <s v="IMMANUEL ABEL BELARE LIRUNG"/>
        <s v="MARTIN"/>
        <s v="K. E. ANANTA UTAMI"/>
        <s v="SAMUEL LAURENS"/>
        <s v="PUTRI ATIKAH "/>
        <s v="JUVENTYA"/>
        <s v="WILDAN ANKY PUTRA"/>
        <s v="FETY NOVIANTY"/>
        <s v="FITA"/>
        <s v="ELLEN ARIFIN"/>
        <s v="ICHSAN KAMIL"/>
        <s v="WIDODO 7512"/>
        <s v="SARWINTO"/>
        <s v="M FAHRIZA RAHMAN"/>
        <s v="BINTARI INDAH SAPUTRI"/>
        <s v="MIRNA APRIANTY"/>
        <s v="NOPEARIANI, AMD.KEB"/>
        <s v="ANUSAPATI"/>
        <s v="MUCHLIS"/>
        <s v="YANTI"/>
        <s v="RIDHO YUDI PRABAWA"/>
        <s v="SUGIH WIRAMANTRI "/>
        <s v="DESI MARGASIA"/>
        <s v="NICHOLAS A"/>
        <s v="NOVI SEPTRIANI"/>
        <s v="CANDY WIBOWO"/>
        <s v="SYARIFAH FADILLAH"/>
        <s v="MAULIZA DESIANA"/>
        <s v="MUHAMMAD VIKI SYURIANSAH"/>
        <s v="HENDRA GUNAWAN"/>
        <s v="DELA MASTIKA"/>
        <s v="WINCENT CHANDRA"/>
        <s v="NUR APRIYANI"/>
        <s v="ALVIN DIYANDRA"/>
        <s v="EVI"/>
        <s v="ACHMAD RADAMA RINARDI"/>
        <s v="YAZID MISHBAH KHOIRI "/>
        <s v="YANTI TANTRA"/>
        <s v="VIONA PRICILA"/>
        <s v="JONG SULI"/>
        <s v="DELLY MARINA"/>
        <m/>
        <s v="FITRA ALHANI"/>
        <s v="NADYA MUTMAINAH"/>
        <s v="FELIKS ARMANTO"/>
        <s v="M SYAFIQ"/>
        <s v="ENNY KUSUMAWATI"/>
        <s v="MUHAMMAD REZKY NUGRAHA"/>
        <s v="MAWAR AURELYSCA IRAWAN"/>
        <s v="BAGAS BIMANTORO HARYONO"/>
        <s v="RIZQY FACHRIA"/>
        <s v="HENDRA GUNAWAN 8801"/>
        <s v="FRENKY FERIYANTO"/>
        <s v="SUCI TRIHANTINI"/>
        <s v="IRIINA "/>
        <s v="ARIEF WICAKSONO NUGROHO"/>
        <s v="AKIAN"/>
        <s v="SUMIATI"/>
        <s v="FERRY PANGKE"/>
        <s v="ARIS BUDIMAN"/>
        <s v="FATHUR RAHMAN"/>
        <s v="MUHAMMAD ICHSAN AZEVI"/>
        <s v="HENDRA GUAWAN"/>
        <s v="DIANA"/>
        <s v="TYARA HARDYANTI SUHARNO"/>
        <s v="EKA KURNIAWATI"/>
        <s v="ANDRI WIJAYA KUSUMA"/>
        <s v="FAHRIZAL RAMADHAN"/>
        <s v="IQBAL MAULANA"/>
        <s v="FLORENSIUS LAYLIM"/>
        <s v="EKA LESTARI"/>
        <s v="ARIF PARABI"/>
        <s v="RENDI ARDIAN"/>
        <s v="RAYYANDRA GHUFRAN MARIOSHA"/>
        <s v="DIRGA WIJAYA JUMAIL"/>
        <s v="SUNNY SOON"/>
        <s v="NELLY FITRIANA"/>
        <s v="TIKA MEIRAWATI"/>
        <s v="IWAN HERIYANTO"/>
        <s v="GUSTI AZLAN KHALID AYYUBI"/>
        <s v="RIZKY PUSPASARI"/>
        <s v="VERONIMUS VALENT FRANSISKUS"/>
        <s v="WEHRY"/>
        <s v="HENNY HO"/>
        <s v="LEYLI NURLITA"/>
        <s v="IWAN HERYANTO"/>
        <s v="JULIANTO"/>
        <s v="KENNETH CARMEN"/>
        <s v="ENRICO IVAN CHUA"/>
        <s v="NCHO"/>
        <s v="LIA MARISA"/>
        <s v="RAY DEDDY AZMI"/>
        <s v="SULISTIYOWATI"/>
        <s v="VERONIKA"/>
        <s v="MUHAMMAD ABDULLAH AL KAYIS"/>
        <s v="ANIS MUTIA"/>
        <s v="RIZKY RESTU ANUGRAH PALURENG"/>
        <s v="BERMAN PAULUS"/>
        <s v="MICKEL JERRI KURNIAWAN RAY "/>
        <s v="DIVO"/>
        <s v="KARTINI"/>
        <s v="ELSA ELFIRA"/>
        <s v="DHIASPUTRA BRILIANDRI"/>
        <s v="SYF NASYA SYABA"/>
        <s v="NAJWA NUR AZWINA"/>
        <s v="DIARMI"/>
        <s v="REVAEL ENGGANG ALHAQ"/>
        <s v="RIZQY PERDANA"/>
        <s v="RACHMAT HIDAYAT"/>
        <s v="VERONICA"/>
        <s v="GIGIH PURBO P"/>
        <s v="MAYONG ANDREAS ACIN"/>
        <s v="M ADY SOEPIANSYAH"/>
        <s v="VITA RESTI FARUQI"/>
        <s v="SYF AFFIA HANDA"/>
        <s v="MARSHERLY LOVESENZIA"/>
        <s v="SINDY MELANI"/>
        <s v="LENNY MARBUN"/>
        <s v="WANTI SETIANINGSIH"/>
        <s v="RIKA ANGGRAINI"/>
        <s v="ADI RAHMANTO"/>
        <s v="GILANG"/>
        <s v="NOPIANTO SAPTA BONG"/>
        <s v="HARTATI"/>
        <s v="RINA TJENDERA"/>
        <s v="TARMANTO"/>
        <s v="RIKA RIYANTI"/>
        <s v="BAMBANG DWIPOJONO"/>
        <s v="KAUSAR"/>
        <s v="MARSALINA NENE"/>
        <s v="ALBERT RENSEN LIUNARDY"/>
        <s v="WELLY TRIPUTRA"/>
        <s v="MERRY"/>
        <s v="ELMON UTOMO"/>
        <s v="SIGIT HARTONO"/>
        <s v="LIM GEK KHIANG"/>
        <s v="OKTAVIANA "/>
        <s v="BAYU YOGA "/>
        <s v="FEBRIANTO LIM"/>
        <s v="RIA DWI ANJANI"/>
        <s v="PAK FITRA"/>
        <s v="JONO"/>
        <s v="DHIPA RADITYA"/>
        <s v="RAJIDIN"/>
        <s v="DIAN PRAMANA RAHAYU"/>
        <s v="TRI SETIAWAN LUSLIM"/>
        <s v="OSCAR ASTRAYANANDA"/>
        <s v="YOLA PRAVIKA"/>
        <s v="TITA ROSITA"/>
        <s v="PANGGI"/>
        <s v="M.ZAINAL"/>
        <s v="VINA"/>
        <s v="ACHMAD MAULANA"/>
        <s v="SEKAR KINANTI HERPRADANTI"/>
        <s v="TAN BE LEI"/>
        <s v="RIO RAMANDA"/>
        <s v="ANDY PANJAYA"/>
        <s v="ABANG DENI MAULANA"/>
        <s v="AHMAD NAUFAL WIRDIYAN"/>
        <s v="MELISA"/>
        <s v="VALENTINUS WONGSO"/>
        <s v="SILVIA"/>
        <s v="BRILLIAN NINDY SEPTIA"/>
        <s v="YUMANDA"/>
        <s v="NICHOLAS NELSON NATHANIEL"/>
        <s v="SHELSY MELANY"/>
        <s v="RUSMA APRIANSYAH"/>
        <s v="GILANGEOSEPPE DE ANDREA MALDEO"/>
        <s v="RATNA DEWI"/>
        <s v="STEFANO"/>
        <s v="SUWINDA KUSRINI"/>
        <s v="ICHSAN CHANDRA"/>
        <s v="MUHAMMAD RIDHO ANSYORI"/>
        <s v="UCI ASMARANI"/>
        <s v="SYARIFAH NASYA SYABA"/>
        <s v="TRI WIBOWO"/>
        <s v="ANDREAN CAHYONO"/>
        <s v="HANNY WULANDARI"/>
        <s v="NICHOLAS A PRASETYO"/>
        <s v="DIDI WAHYUDI"/>
        <s v="ALGI FAHRI"/>
        <s v="ERICKERICK TRIENARDO"/>
        <s v="SYARIFAH AFFIA HANDA"/>
        <s v="REVAN FELIX GOUW"/>
        <s v="ATIKA MUFLIHA"/>
        <s v="REZKY AKBAR"/>
        <s v="TITIN AGUSTINA"/>
        <s v="RIA ARYUNI"/>
        <s v="RIA ARYUNI "/>
        <s v="JOHANNES"/>
        <s v="RAHDIAN EDISON"/>
        <s v="CENDY VIBRIAN"/>
        <s v="MUHAMAD TABSYIR"/>
        <s v="AYDA RIANI JOHAR"/>
        <s v="WARDOYO"/>
        <s v="DARMADI"/>
        <s v="FERNANDO NG"/>
        <s v="VIVI YULIANA"/>
        <s v="FEODORA"/>
        <s v="RYAN PRAMIKA"/>
        <s v="ENDANG MULYANI"/>
        <s v="KRISTINA HERLINA"/>
        <s v="ELWIN LAVEDA"/>
        <s v="JULIANTI JONARTO"/>
        <s v="INDAHWATI"/>
        <s v="ANDRIE HANDOKO"/>
        <s v="VIVIANI"/>
        <s v="LAETITIA LAURA"/>
        <s v="WIONA SILASHINTA WAHYUDI"/>
        <s v="DELLY MARIANA"/>
        <s v="ALICIA"/>
        <s v="ABDULLAH SYAKUR "/>
        <s v="ARISTO WAHYU KANTONA"/>
        <s v="NAIMAH"/>
        <s v="RESTI DEWANTARI"/>
        <s v="TRI ENI WULANDARI "/>
        <s v="MURTINI"/>
        <s v="SITI BARIATUL KHOTIJAH"/>
        <s v="YUSI NALURITA"/>
        <s v="RITA RUMIATI"/>
        <s v="NANDA PUSPITA SARI"/>
        <s v="ILHAM AZIZ"/>
        <s v="EMILIANA "/>
        <s v="SUSINA"/>
        <s v="NASRULLAH"/>
        <s v="ARMEA LESTARI"/>
        <s v="AGNES FELIM"/>
        <s v="MINARWATY"/>
        <s v="PUTRI"/>
        <s v="AINIYATUL FITRIYAH"/>
        <s v="SRI SURYANINGSIH"/>
        <s v="STEFFI"/>
        <s v="MAD NAWIR"/>
        <s v="ERLANGGA R A"/>
        <s v="ANNISA SEPTA PAKSI"/>
        <s v="ANDY "/>
        <s v="ARYA"/>
        <s v="IIS ARISBAYA"/>
        <s v="RUFI LISTIAWATI, SE "/>
        <s v="MOK SOI PHIN"/>
        <s v="NICHOLAS ARINDA P"/>
        <s v="YUSAK HADI NUGROHO"/>
        <s v="MUH. SHOIM MASKURI"/>
        <s v="BANG EDO"/>
        <s v="DELIA ANGELA"/>
        <s v="RIKA RAHMAWATI"/>
        <s v="SUKMAWATI"/>
        <s v="MUHAMMAD DHUHA KUSUMA"/>
        <s v="NARINDA EKA WIDYASTUTI"/>
        <s v="ELVA SAMANTHA"/>
        <s v="RIDHO "/>
        <s v="RUDY TAN SIAU KHIE"/>
        <s v="MUHAMMAD HENDRI. SE"/>
        <s v="YUDIT NOVIANDI"/>
        <s v="ANDRIA RAMA YANA"/>
        <s v="ERSAPTA ARISTO"/>
        <s v="DIMAS"/>
        <s v="ALFI DENYANTO"/>
        <s v="HJ SUGIARTI"/>
        <s v="IRENE PRETTY PARDEDE"/>
        <s v="AUZAIE MUHTADI"/>
        <s v="NICKY"/>
        <s v="MUSYARADA JUNIA CANDRA "/>
        <s v="SATRIA AMARTA"/>
        <s v="ABYAN ODHY DZAKWAN"/>
        <s v="YUDIT NOVANDI"/>
        <s v="VICO"/>
        <s v="FENNA"/>
        <s v="FATHIMATHUZ ZAHRAH "/>
        <s v="LIBERTUS HERI"/>
        <s v="DARWIN SUDARMA"/>
        <s v="KARTIKA"/>
        <s v="MOHAMMAD GAUTAMA WAHYUDI"/>
        <s v="HALIM"/>
        <s v="NUFI ALABSHAR"/>
        <s v="SANTI"/>
        <s v="LEBIH 200K"/>
        <s v="MULYATI"/>
        <s v="HENDRI SUGIANTO"/>
        <s v="DESY CHRISTIAN"/>
        <s v="DEDI HARYADI"/>
        <s v="TYAN MIRANI"/>
        <s v="MERIANTO"/>
        <s v="SUPIRIANI EKA LESTARI"/>
        <s v="FEBRIAN GALIH CAHYO P"/>
        <s v="AGUS SILVIANDY "/>
        <s v="IGNES JESSICA"/>
        <s v="SHERLY NURHIDAYANI"/>
        <s v="IRVAN HARAHAP"/>
        <s v="REZHA ANDHIKA PUTRA"/>
        <s v="MUHAMMAD VICTOR"/>
        <s v="DAMIAN"/>
        <s v="SYARIF RIZKI ALKADRI"/>
        <s v="MASITA"/>
        <s v="ACHMAD DHARMIANTO"/>
        <s v="JIMMY CRYSTIAN"/>
        <s v="RIZKI KURNIASIH"/>
        <s v="ALYA NDASARI MARASIN"/>
        <s v="RADEN SRI BINTANG PAMUNGKAS"/>
        <s v="AMRI PRATAMA"/>
        <s v="JONATHAN NG"/>
        <s v="AVRIYANI NOVIYANTI"/>
        <s v="FRANSISKA"/>
        <s v="TEGAR NOVA PRIYATMOKO"/>
        <s v="DAVI ANUGRAH"/>
        <s v="MAMA ATHALLAH"/>
        <s v="IRFAN MAULANA"/>
        <s v="SUSI"/>
        <s v="KARINA EKA SAKTI"/>
        <s v="DARMIATI"/>
        <s v="DI BAYAR NANTI"/>
        <s v="TATA"/>
        <s v="NURITA"/>
        <s v="IVONNY"/>
        <s v="KARINA HAFZANY PUTRI"/>
        <s v="MUHAMMAD ATHALLAH RAISYAUQI"/>
        <s v="CHERRY LIM"/>
        <s v="ELFIRA NATALIA "/>
        <s v="TARI INDRIANI"/>
        <s v="LIP WENG"/>
        <s v="WENNIE WENCE"/>
        <s v="MAMA KENZIE"/>
        <s v="SHERLY"/>
        <s v="ISMAIL AKBAR"/>
        <s v="ERLIN INDRIYANI "/>
        <s v="LUSIANA"/>
        <s v="DIAH SANTI"/>
        <s v="MUHAMMAD ZAID ASH SHAFA "/>
        <s v="ABDUL HAKIM MUTTAQIN"/>
        <s v="HARDIYANTO"/>
        <s v="SANDRA WIJAYA"/>
        <s v="MICHAEL LIE"/>
        <s v="ALWI CHANDRA ANDIKA"/>
        <s v="FITRIANA 0703"/>
        <s v="DZAKY DHIAULHAQ"/>
        <s v="TJOEA HOEI TJHENG "/>
        <s v="ANITA"/>
        <s v="FLAVIUS DARRELL "/>
        <s v="RIDHO HENDRI FREDINATA "/>
        <s v="EDI SUDIANDI"/>
        <s v="ENDAH ARDHIA UTAMI"/>
        <s v="MEMBECARD KK IRMA"/>
        <s v="LEBIH 50K"/>
        <s v="_"/>
        <s v="FITRIANA"/>
        <s v="PONTI INDAH SARI"/>
        <s v="RIRIN"/>
        <s v="NICHOLAS"/>
        <s v="DESTRIYANA DARMASTUTI"/>
        <s v="MAMA REVAN"/>
        <s v="IPUNG"/>
        <s v="SINTA CLARENCIA"/>
        <s v="M.RIDHO TORIS MEIDIANO "/>
        <s v="SULISTYARINI "/>
        <s v="RIA ANANDA 8408"/>
        <s v="TIFANY NATHASYA"/>
        <s v="NANA KHRISNA YASITA"/>
        <s v="ROY EFFENDI"/>
        <s v="ENDANG HARYANTI"/>
        <s v="VINSEN NOVENTA"/>
        <s v="ANI RONIAH"/>
        <s v=" SUSI"/>
        <s v="LU ZONGLIANG"/>
        <s v="WENNIE YANITA"/>
        <s v="FANLIUS"/>
        <s v="HERRY"/>
        <s v="RIA ANANDA"/>
        <s v="WAHYU PAMBUDI"/>
        <s v="IBNU"/>
        <s v="FIRLY"/>
        <s v="DAYUNDA PRAMESTI"/>
        <s v="CLARA"/>
        <s v="RAHAYU"/>
        <s v="SILVI"/>
        <s v="FANLUIS"/>
        <s v="KENZIE DEAN DEWANTO"/>
        <s v="ANDRI KUSWARA"/>
        <s v="PAULA AMINAH"/>
        <s v="ALFA GILBERD"/>
        <s v="REZA AZMI"/>
        <s v="VINNDY CHONDRO"/>
        <s v="SRI HANDAYANI JAKARTA"/>
        <s v="TIFFANY WAHYUDHI"/>
        <s v="ANDIKA PRATAMA PUTRA"/>
        <s v="NG TAI TJU"/>
        <s v="EVIE YULINDA"/>
        <s v="AHMADI"/>
        <s v="CAMELIA SANTIKA"/>
        <s v="DESTY RAHMADANI"/>
        <s v="NURLINA"/>
        <s v="HONG CHAI"/>
        <s v="SEPRIDA KURNIAWATI"/>
        <s v="IPUNG WIJAYA "/>
        <s v="M BAMBANG SUMANTRI"/>
        <s v="YULIA WIDIANARTI"/>
        <s v="LIM MOI TJU"/>
        <s v="HELEN"/>
        <s v="YASHINTA DIAJENG KULAAN"/>
        <s v="ERIC"/>
        <s v="IMAN ROMADHONI "/>
        <s v="DEDY HIDAYAT"/>
        <s v="NAROKTADENY"/>
        <s v="HARRY FURQAN"/>
        <s v="ANGEL"/>
        <s v="PUTRI SAMPURNA DEWI"/>
        <s v="ERDUS AMA MASANG"/>
        <s v="ANDRE DWI CAHYO"/>
        <s v="WILLY WINARDI"/>
        <s v="KARTIKA SARI"/>
        <s v="EGA"/>
        <s v="OWEN FRENTSEN"/>
        <s v="VIVI"/>
        <s v="SISNAWATI"/>
        <s v="DWI SARTIKA"/>
        <s v="ASRI MUHARANI ARSA"/>
        <s v="MANJA"/>
        <s v="TAUFIKURROHMAN"/>
        <s v="SARI SAMARIAH"/>
        <s v="ASEP SETIAWAN"/>
        <s v="CHARLES"/>
        <s v="RIZKI RAMADHANI"/>
        <s v="JOKO PRANOTO"/>
        <s v="AMIRUL MUCHDI"/>
        <s v="ELLEN"/>
        <s v="NOVITA ADI HANDAYANI"/>
        <s v="DINDA RIFA RISKI HANDAYANI"/>
        <s v="CIPTA CAKRA DIRAJA PUTRA"/>
        <s v="CAHYO FITRIWATI"/>
        <s v="MUHAMMAD MUFID EIMAN ANANDA"/>
        <s v="SYARIF MUHAMMAD RIDWAN"/>
        <s v="FITRI FATIMAH"/>
        <s v="JOVITA APRIANA"/>
        <s v="ERLIN DWI SAFITRI"/>
        <s v="REFINKHA ZETYA ARNINDHA"/>
        <s v="HARRIS CESAR"/>
        <s v="DEVI VERONICA"/>
        <s v="MUHAJIR HILAL"/>
        <s v="KUKUH "/>
        <s v="HARIANTO"/>
        <s v="PURNAMA YUNIARSIH"/>
        <s v="ANDY SETIAWAN"/>
        <s v="ASRI HUMAIRA "/>
        <s v="MAMA DIVO"/>
        <s v="NABILAH LILIS SAFITRI"/>
        <s v="NURUL AQIDATUL KHAIRINA "/>
        <s v="DARWIN TARIGAN"/>
        <s v="JUPRIL MARDA"/>
        <s v="SENG TJUAN"/>
        <s v="SARAH JEMBARANITA "/>
        <s v="ELISABETH"/>
        <s v="PUTRI DUTA SENOPATI"/>
        <s v="ERRY RUSTIANSYAH"/>
        <s v="FADLURROHMAN ASSHIDDIQI"/>
        <s v="FERRY ADRIAN PANGKE"/>
        <s v="ABDUL MANAN ARSYUL"/>
        <s v="AHMAD MUHAJIR"/>
        <s v="FAUZY SETYAWAN"/>
        <s v="FALIH"/>
        <s v="MUHAMMAD IRFAN DJUHA"/>
        <s v="M. RAFAEL ALFANZA"/>
        <s v="NABILA ZHAFIRA FASYA"/>
        <s v="SUNI"/>
        <s v="TETY MAULIZAR"/>
        <s v="NOVIZAR HARTADY"/>
        <s v="AGNES VERONIKA"/>
        <s v="FATIH RIDHO PERMANA "/>
        <s v="MUHAMMAD DEVA ERLANGGA"/>
        <s v="CHAIRUL DWIYANDI"/>
        <s v="SALWA SALSABLLA"/>
        <s v="YENNI RADJALI"/>
        <s v="TARI MARDIANA"/>
        <s v="HENGKY"/>
        <s v="MARIYAMINA RUPINA"/>
        <s v="SOBIB"/>
        <s v="RIO ANGGARA"/>
        <s v="FIRMAN"/>
        <s v="ARIENDI FITRI"/>
        <s v="IRFAN RACHMAN HAKIM"/>
        <s v="MIKHAEL KEVIN"/>
        <s v="IRMA"/>
        <s v="CINDY"/>
        <s v="SISKA DAMASTUTI"/>
        <s v="INNE ANASTASIA SALIM"/>
        <s v="DETRIA"/>
        <s v="ELISABET ELISA "/>
        <s v="TAUFIKROHMAN"/>
        <s v="WITONO"/>
        <s v="RINA"/>
        <s v="SYALSABILLA FARWA"/>
        <s v="FIRDA"/>
        <s v="MEDIANA"/>
        <s v="SUDARTI RAHMAN"/>
        <s v="MUHAMMAD ADITYA HAPSORO"/>
        <s v="MUHAMMAD SOULTANI"/>
        <s v="MARIA AGNES "/>
        <s v="INDRA SETIYAWAN"/>
        <s v="RAHMA"/>
        <s v="ABDIAS JURITINO"/>
        <s v="KHOU AI KHENG"/>
        <s v="GEMILANG HOSHI HAYET "/>
        <s v="LING MIAU NGO"/>
        <s v="RIRIN PURNAMA DEWI"/>
        <s v="REZA NUGRAHA"/>
        <s v="SALWA SALSABILA"/>
        <s v="NADIA"/>
        <s v="MEMBERCARD"/>
        <s v="SANOVA "/>
        <s v="HASAN BASRI "/>
        <s v="YULIA RAMADHIYANTI"/>
        <s v="PUTRI AYSHA RAMADHANI "/>
        <s v="LIM TJEK LAN"/>
        <s v="STIVEN"/>
        <s v="IPAH SIDA , S.E."/>
        <s v="NINING DWI PUSPITASARI "/>
        <s v="M KAHFIANSYAH"/>
        <s v="RHAFA AL QAHFY"/>
        <s v="EFRIANA"/>
        <s v="SULAIMAN"/>
        <s v="R. ADANG ERI RISWANA"/>
        <s v="DIAH KURNIATI"/>
        <s v="DARA RANTI PURBASAR"/>
        <s v="SHOCHIHATUZ"/>
        <s v="SYARIF MAUDUDI ANSARI"/>
        <s v="RINA TJANDERA"/>
        <s v="SUWARDI TJANDRA"/>
        <s v="ARIF 6912"/>
        <s v="DEDDY TANJAYA"/>
        <s v="ARINI"/>
        <s v="HABIBULLAH"/>
        <s v="SONIA NOVITA"/>
        <s v="LIM A KIANG"/>
        <s v="GIBRAN ATHALLAH"/>
        <s v="NISAH"/>
        <s v="JEFFRY HERMANSYAH"/>
        <s v="DHEA ANGGRAINI"/>
        <s v="FADHIL AL FATAH"/>
        <s v="FICO DIKA FAHREZY"/>
        <s v="YUNIANTI"/>
        <s v="RAISHA SYIFA ANANTA"/>
        <s v="GIRAN"/>
        <s v="YUNANTA"/>
        <s v="M. FADHLI FITRIYANDA"/>
        <s v="SONNIA CHRISTIN"/>
        <s v="BUGI MARWATI"/>
        <s v="FIRDA YUNITA"/>
        <s v="FLAVIUS NIXON GRAVAEL"/>
        <s v="DAHANA ARYANA"/>
        <s v="WATI"/>
        <s v="SHAFA ANNISA "/>
        <s v="HAIKAL PRIORAHARJO"/>
        <s v="TJOE HOEI TJENG"/>
        <s v="SRI INDRAWATI"/>
        <s v="MUHAMMAD ARI"/>
        <s v="DINI ANGGRAENI"/>
        <s v="RIFDA ANGELINA WULANDARI"/>
        <s v="SRI ROEHANI"/>
        <s v="INDRA 8810"/>
        <s v="DWIE SETYAWATI"/>
        <s v="URAY BILCHAIRI JAKTI"/>
        <s v="LATIFAH"/>
        <s v="ANDIKA"/>
        <s v="MUHAMMAD AGUS SYAHRANI"/>
        <s v="ALDI RANDY YUDO"/>
        <s v="SRI RATNAWATI"/>
        <s v="RIAN QURNIAWAN"/>
        <s v="DR RETNO MUSTIKANINGSIH"/>
        <s v="NANDA M SHAUQIE"/>
        <s v="VIAN"/>
        <s v="RIDUANSAH"/>
        <s v="MUHAMMAD REZA FIRNANDA"/>
        <s v="SINAH"/>
        <s v="YUDY HARTONO"/>
        <s v="ANNISA SETIOWATI"/>
        <s v="PURNAWAN LASDI"/>
        <s v="KARYATI EKASAPUTRI"/>
        <s v="HAFIZ PRATAMA PUTRA "/>
        <s v="SYAFRIL"/>
        <s v="FEBY SYAFITRI"/>
        <s v="ISNA NURAINI"/>
        <s v="RIZAL"/>
        <s v="TOMMY WITANTO"/>
        <s v="UTIN AGUSTINA"/>
        <s v="STEVAN AGBART"/>
        <s v="RIDUANSYAH"/>
        <s v="YULIANTI STEVIANI"/>
        <s v="PUTRI YASMIN MUMTAZ"/>
        <s v="M. ALI JENALA"/>
        <s v="TEDDY SETIARDI"/>
        <s v="YULIANIWATI"/>
        <s v="MITHA NOVIANTI"/>
        <s v="MUHAMMAD ZAKARIA"/>
        <s v="TAN TJHUN TIE ALS ROBERT"/>
        <s v="MODESTA WISA"/>
        <s v="LIE UI CHUAN"/>
        <s v="MUHAMMAD IQBAL NOVIANSYAH"/>
        <s v="ABDUL RAHIM"/>
        <s v="AFIF RIZKY AFRIZA"/>
        <s v="TIKA"/>
        <s v="ELLYSA FERONIKA HALIM"/>
        <s v="YUDA SUHERMAN"/>
        <s v="BENNY LUCK TANDIAN"/>
        <s v="ERWIN DJONG"/>
        <s v="EVA MAYADARI"/>
        <s v="RENI"/>
        <s v="TRI WAHYUNI"/>
        <s v="HESTY YUNIARSIH"/>
        <s v="valencia"/>
        <s v="ASTISZA SYAHLA LUDMILLA PARABI"/>
        <s v="NIA ZULFITA"/>
        <s v="Anietya"/>
        <s v="ANDI WIRA UTAMA"/>
        <s v="WILLSON LOUISSE HANSEN VILLERY"/>
        <s v="RATNA KOMALA"/>
        <s v="STEFFANI TEDJA"/>
        <s v="SUMARNO DWI SAPUTRA"/>
        <s v="SUMARNO SAPUTRA"/>
        <s v="ANGGRA"/>
        <s v="SILVI AULIA"/>
        <s v="LEBIH 30k"/>
        <s v="MUHAMMAD SABHAN"/>
        <s v="BENNY PERNANDO SILALAHI"/>
        <s v="ANGGY ENDRIANTO"/>
        <s v="LIU YULIANTI"/>
        <s v="MURZANI"/>
        <s v="SHAFA ANNISA"/>
        <s v="SAWITRI HERSUSANTI"/>
        <s v="YOKHEBED"/>
        <s v="HARIS GINANJAR"/>
        <s v="PUJI LESTARI"/>
        <s v="ANDANG FIRMANSYAH"/>
        <s v="JARAK SUDAH DIAMBIL"/>
        <s v="SILVIA VITA"/>
        <s v="ADHE MAHENDRA"/>
        <s v="SURYA ISNANDA"/>
        <s v="URAY VEGA VISA LACTI "/>
        <s v="NOVIANDRA"/>
        <s v="TJANG KHENG"/>
        <s v="RONNI RAHMANI"/>
        <s v="GRACIA IVANA GOUWYN"/>
        <s v="LIE HENG"/>
        <s v="ADITYO D. SUDAGUNG"/>
        <s v="MIFTAHUDIN RAMADHANI"/>
        <s v="PUSPA SARI"/>
        <s v="LIE LI CIN"/>
        <s v="KAYLA ANNISA AZZAHRA"/>
        <s v="LILIYANI"/>
        <s v="FERA"/>
        <s v="SURACHMAD DARUSMAN"/>
        <s v="FANNY THALIA LIMAS "/>
        <s v="LILIYANTI WAHYUNI"/>
        <s v="HUSNUL FIKRI"/>
        <s v="SUCI NANDA LESTARI"/>
        <s v="ALDI MAULADI RASYID"/>
        <s v="FATUR MAULANA ARFANSYAH "/>
        <s v="RIRIN SEPTIANI"/>
        <s v="F. X. KURNIAWAN"/>
        <s v="AGUNG SUNARYO"/>
        <s v="DWI SANTOSO"/>
        <s v="FEMMY SANTIKA MAHARANI"/>
        <s v="MARSYA ALEXANDRIA"/>
        <s v="WAHYUDI"/>
        <s v="SUHANDA"/>
        <s v="TAN SIN KUANG"/>
        <s v="JESICHA MARTHALENA TRISNA"/>
        <s v="LIM JAK KHENG "/>
        <s v="WAFA ARIF"/>
        <s v="OSCAR FAUZI"/>
        <s v="DANISH FATURRAHMAN "/>
        <s v="SALLY ISKANDAR TAN"/>
        <s v="MUHAMMAD NABIL KAUTSAR PRIYANTANA"/>
        <s v="AMALIA RIZKI SURYANDARI"/>
        <s v="FAWIL PATWA"/>
        <s v="OKTARIANA TRI SUSANTI"/>
        <s v="TRANSFER BANK KALBAR"/>
        <s v="DUDI HARSONO"/>
        <s v="TJATUR SUGIARTO"/>
        <s v="DARA APRILA YUSLYANI"/>
        <s v="PUJI ASTUTI"/>
        <s v="FIRMAN SAMSUDIN"/>
        <s v="CESARIA ANGGUN KINANTY"/>
        <s v="NENENG SAPARIANA"/>
        <s v="GEORGE BUDIJANTO SALIM"/>
        <s v="SISWADI"/>
        <s v="ANDREAN SETIAWAN PUTRA"/>
        <s v="TYAS MAHENDRA"/>
        <s v="MAMA SHAFA"/>
        <s v="AGUSTINUS ARSI"/>
        <s v="ADIBA"/>
        <s v="ASMA"/>
      </sharedItems>
    </cacheField>
    <cacheField name="✅" numFmtId="0">
      <sharedItems>
        <b v="1"/>
        <b v="0"/>
      </sharedItems>
    </cacheField>
    <cacheField name="CATATAN" numFmtId="0">
      <sharedItems containsBlank="1">
        <m/>
        <s v="PEMAIN BAW"/>
        <s v="ANAK CE HENNY"/>
        <s v="-"/>
        <s v="BEASISWA"/>
        <s v="BAYAR UNTUK SENN"/>
        <s v="BAYAR UNTUK SENIN"/>
        <s v="PEMBAYRAN SETELAH HARI SENIN"/>
        <s v="DISC DARI MEMBER CARD"/>
        <s v="SISA 6X PERTEMUAN"/>
        <s v="BESOK "/>
        <s v="BAYAR UNTUK SESI BESOK"/>
        <s v="MEMBER CARD"/>
        <s v="ANAK BU SULISTYARINI "/>
        <s v="paketnya blm di input karena paket sebelumnya belum habis, kalau di input disistem hilang karena yang sebelumnya harus di stop kan dulu"/>
        <s v="KELAS LANSIA (MEMBER CARD)"/>
        <s v="KELAS LANSIA"/>
        <s v="KELUARGA NICHOLAS "/>
        <s v="KEMARIN LUPA BAYARKAN DI SISTEM JADINYA DI BAYARKAN BESOKNYA"/>
        <s v="(MEMBERCARD) KEMARIN LUPA BAYARKAN DI SISTEM JADINYA DI BAYARKAN BESOKNYA"/>
        <s v="UNTUK BYR YG HARI MINGGU"/>
        <s v="MEMBERCARD"/>
        <s v="MEMBER CARD PRITY"/>
        <s v="JARAK SUDAH DIAMBIL"/>
        <s v="MMEBER CARD"/>
        <s v="DETRIA"/>
        <s v="UANG JARAK SUDAH DIAMBIL"/>
        <s v="BAYAR UNTUK PERTEMUAN SELANJUTNYA"/>
        <s v="BELUM TERINPUT DI SISTEM KARENA BELUM ISI DATA"/>
        <s v="POTONGAN BEBERAPA KALI SESI SALAH HARGA"/>
        <s v="YG BAYAR BU RINA"/>
        <s v="BAYAR UNTUK PERTEMUAN BERIKUTNYA"/>
        <s v="MEMBEERCARD"/>
        <s v="MEMBER OKTA"/>
        <s v="PEMBAYARAN UNTUK SESISELANJUTNYA"/>
        <s v="MEMBERCARD HESTI"/>
        <s v="MEMBERCARD KAK HESTI"/>
        <s v="MEMBERCARD HENA"/>
        <s v="MEMBERCARD PUTRI'"/>
        <s v="PT SM FULL BODY RECOVERY"/>
        <s v="MEMBERCARD PUTRI"/>
        <s v="DISKON MEMBER PUTRI"/>
        <s v="DIKON MEMBER SUCI"/>
        <s v="WAFA ARIF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4:M1305" sheet="⬆️ PENGELUARAN"/>
  </cacheSource>
  <cacheFields>
    <cacheField name="Z" numFmtId="164">
      <sharedItems containsString="0" containsBlank="1" containsNumber="1" containsInteger="1"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m/>
      </sharedItems>
    </cacheField>
    <cacheField name="ADMIN" numFmtId="0">
      <sharedItems containsBlank="1">
        <s v="NOPI"/>
        <s v="SUCI"/>
        <s v="DHEA"/>
        <m/>
        <s v="LAINNYA"/>
        <s v="ICA"/>
      </sharedItems>
    </cacheField>
    <cacheField name="TANGGAL" numFmtId="165">
      <sharedItems containsDate="1" containsString="0" containsBlank="1">
        <d v="2025-12-27T00:00:00Z"/>
        <d v="2025-12-28T00:00:00Z"/>
        <d v="2025-12-29T00:00:00Z"/>
        <d v="2026-01-03T00:00:00Z"/>
        <d v="2026-01-04T00:00:00Z"/>
        <d v="2026-01-05T00:00:00Z"/>
        <d v="2026-01-06T00:00:00Z"/>
        <d v="2026-01-07T00:00:00Z"/>
        <d v="2026-01-08T00:00:00Z"/>
        <d v="2026-01-10T00:00:00Z"/>
        <d v="2026-01-11T00:00:00Z"/>
        <d v="2026-01-12T00:00:00Z"/>
        <d v="2026-01-13T00:00:00Z"/>
        <d v="2026-01-14T00:00:00Z"/>
        <d v="2026-01-15T00:00:00Z"/>
        <d v="2026-01-17T00:00:00Z"/>
        <d v="2026-01-18T00:00:00Z"/>
        <d v="2026-01-19T00:00:00Z"/>
        <d v="2026-01-20T00:00:00Z"/>
        <d v="2026-01-21T00:00:00Z"/>
        <d v="2026-01-22T00:00:00Z"/>
        <d v="2026-01-24T00:00:00Z"/>
        <d v="2026-01-25T00:00:00Z"/>
        <d v="2026-01-26T00:00:00Z"/>
        <d v="2026-01-27T00:00:00Z"/>
        <d v="2026-01-28T00:00:00Z"/>
        <d v="2026-01-29T00:00:00Z"/>
        <d v="2026-01-31T00:00:00Z"/>
        <d v="2026-02-02T00:00:00Z"/>
        <d v="2026-02-03T00:00:00Z"/>
        <d v="2026-02-04T00:00:00Z"/>
        <d v="2026-02-05T00:00:00Z"/>
        <d v="2026-02-07T00:00:00Z"/>
        <d v="2026-02-08T00:00:00Z"/>
        <d v="2026-02-09T00:00:00Z"/>
        <d v="2026-02-10T00:00:00Z"/>
        <d v="2026-02-11T00:00:00Z"/>
        <d v="2026-02-12T00:00:00Z"/>
        <d v="2026-02-14T00:00:00Z"/>
        <d v="2026-02-15T00:00:00Z"/>
        <d v="2026-02-16T00:00:00Z"/>
        <d v="2026-02-18T00:00:00Z"/>
        <d v="2026-02-21T00:00:00Z"/>
        <d v="2026-02-22T00:00:00Z"/>
        <d v="2026-02-23T00:00:00Z"/>
        <d v="2026-02-24T00:00:00Z"/>
        <d v="2026-02-25T00:00:00Z"/>
        <d v="2026-02-26T00:00:00Z"/>
        <d v="2026-02-27T00:00:00Z"/>
        <d v="2026-02-28T00:00:00Z"/>
        <d v="2026-03-01T00:00:00Z"/>
        <d v="2026-03-02T00:00:00Z"/>
        <d v="2026-03-03T00:00:00Z"/>
        <d v="2026-03-16T00:00:00Z"/>
        <d v="2026-03-17T00:00:00Z"/>
        <d v="2026-03-18T00:00:00Z"/>
        <d v="2026-03-19T00:00:00Z"/>
        <d v="2026-03-30T00:00:00Z"/>
        <d v="2026-04-01T00:00:00Z"/>
        <d v="2026-04-04T00:00:00Z"/>
        <d v="2026-04-06T00:00:00Z"/>
        <d v="2026-04-07T00:00:00Z"/>
        <d v="2026-04-09T00:00:00Z"/>
        <d v="2026-04-10T00:00:00Z"/>
        <d v="2026-04-11T00:00:00Z"/>
        <d v="2026-04-12T00:00:00Z"/>
        <d v="2026-04-14T00:00:00Z"/>
        <d v="2026-04-15T00:00:00Z"/>
        <d v="2026-04-18T00:00:00Z"/>
        <d v="2026-04-19T00:00:00Z"/>
        <d v="2026-04-20T00:00:00Z"/>
        <d v="2026-04-21T00:00:00Z"/>
        <d v="2026-04-22T00:00:00Z"/>
        <d v="2026-04-23T00:00:00Z"/>
        <d v="2026-04-25T00:00:00Z"/>
        <d v="2026-04-26T00:00:00Z"/>
        <d v="2026-04-29T00:00:00Z"/>
        <d v="2026-05-02T00:00:00Z"/>
        <d v="2026-05-04T00:00:00Z"/>
        <d v="2026-05-06T00:00:00Z"/>
        <d v="2026-05-09T00:00:00Z"/>
        <d v="2026-05-10T00:00:00Z"/>
        <d v="2026-05-12T00:00:00Z"/>
        <d v="2026-05-17T00:00:00Z"/>
        <d v="2026-05-18T00:00:00Z"/>
        <d v="2026-05-19T00:00:00Z"/>
        <d v="2026-05-20T00:00:00Z"/>
        <d v="2026-05-21T00:00:00Z"/>
        <d v="2026-05-22T00:00:00Z"/>
        <d v="2026-05-23T00:00:00Z"/>
        <d v="2026-05-24T00:00:00Z"/>
        <d v="2026-05-29T00:00:00Z"/>
        <d v="2026-05-30T00:00:00Z"/>
        <d v="2026-06-03T00:00:00Z"/>
        <d v="2026-06-05T00:00:00Z"/>
        <d v="2026-06-08T00:00:00Z"/>
        <d v="2026-06-09T00:00:00Z"/>
        <d v="2026-06-10T00:00:00Z"/>
        <d v="2026-06-12T00:00:00Z"/>
        <d v="2026-06-11T00:00:00Z"/>
        <d v="2026-06-13T00:00:00Z"/>
        <d v="2026-06-14T00:00:00Z"/>
        <d v="2026-06-15T00:00:00Z"/>
        <d v="2026-06-17T00:00:00Z"/>
        <d v="2026-06-18T00:00:00Z"/>
        <d v="2026-06-19T00:00:00Z"/>
        <m/>
        <d v="2026-03-04T00:00:00Z"/>
        <d v="2026-03-05T00:00:00Z"/>
        <d v="2026-03-07T00:00:00Z"/>
        <d v="2026-03-08T00:00:00Z"/>
        <d v="2026-03-09T00:00:00Z"/>
        <d v="2026-03-10T00:00:00Z"/>
        <d v="2026-03-12T00:00:00Z"/>
        <d v="2026-03-13T00:00:00Z"/>
        <d v="2026-03-14T00:00:00Z"/>
        <d v="2026-03-15T00:00:00Z"/>
        <d v="2026-03-28T00:00:00Z"/>
        <d v="2026-03-29T00:00:00Z"/>
        <d v="2026-03-31T00:00:00Z"/>
        <d v="2026-04-08T00:00:00Z"/>
        <d v="2026-04-13T00:00:00Z"/>
        <d v="2026-04-16T00:00:00Z"/>
        <d v="2026-04-17T00:00:00Z"/>
        <d v="2026-04-27T00:00:00Z"/>
        <d v="2026-04-28T00:00:00Z"/>
        <d v="2026-05-03T00:00:00Z"/>
        <d v="2026-05-05T00:00:00Z"/>
        <d v="2026-05-07T00:00:00Z"/>
        <d v="2026-05-11T00:00:00Z"/>
        <d v="2026-05-13T00:00:00Z"/>
        <d v="2026-05-15T00:00:00Z"/>
        <d v="2026-05-16T00:00:00Z"/>
        <d v="2026-05-26T00:00:00Z"/>
        <d v="2026-05-28T00:00:00Z"/>
        <d v="2026-06-02T00:00:00Z"/>
        <d v="2026-06-04T00:00:00Z"/>
        <d v="2026-06-07T00:00:00Z"/>
        <d v="2026-06-20T00:00:00Z"/>
        <d v="2026-06-21T00:00:00Z"/>
        <d v="2026-06-22T00:00:00Z"/>
        <d v="2026-06-23T00:00:00Z"/>
        <d v="2026-06-24T00:00:00Z"/>
        <d v="2026-06-25T00:00:00Z"/>
        <d v="2026-06-26T00:00:00Z"/>
        <d v="2026-06-29T00:00:00Z"/>
        <d v="2026-06-30T00:00:00Z"/>
        <d v="2026-07-01T00:00:00Z"/>
        <d v="2026-07-02T00:00:00Z"/>
        <d v="2026-07-03T00:00:00Z"/>
        <d v="2026-07-04T00:00:00Z"/>
        <d v="2026-07-05T00:00:00Z"/>
        <d v="2026-07-06T00:00:00Z"/>
        <d v="2026-07-07T00:00:00Z"/>
        <d v="2026-07-08T00:00:00Z"/>
        <d v="2026-07-09T00:00:00Z"/>
        <d v="2026-07-10T00:00:00Z"/>
        <d v="2026-07-11T00:00:00Z"/>
        <d v="2026-07-12T00:00:00Z"/>
        <d v="2026-07-13T00:00:00Z"/>
        <d v="2026-07-14T00:00:00Z"/>
        <d v="2026-07-15T00:00:00Z"/>
        <d v="2026-07-16T00:00:00Z"/>
        <d v="2026-07-17T00:00:00Z"/>
        <d v="2026-07-18T00:00:00Z"/>
        <d v="2026-07-19T00:00:00Z"/>
        <d v="2026-07-20T00:00:00Z"/>
        <d v="2026-07-21T00:00:00Z"/>
        <d v="2026-07-22T00:00:00Z"/>
        <d v="2026-07-23T00:00:00Z"/>
        <d v="2026-07-24T00:00:00Z"/>
      </sharedItems>
    </cacheField>
    <cacheField name="TAHUN" numFmtId="166">
      <sharedItems containsBlank="1">
        <s v="2025"/>
        <s v="2026"/>
        <m/>
        <s v=""/>
      </sharedItems>
    </cacheField>
    <cacheField name="BULAN" numFmtId="166">
      <sharedItems containsBlank="1">
        <s v="12 Des"/>
        <s v="01 Jan"/>
        <m/>
        <s v="02 Feb"/>
        <s v="03 Mar"/>
        <s v="04 Apr"/>
        <s v="05 Mei"/>
        <s v="06 Jun"/>
        <s v=""/>
        <s v="07 Jul"/>
      </sharedItems>
    </cacheField>
    <cacheField name="NOMINAL" numFmtId="166">
      <sharedItems containsString="0" containsBlank="1" containsNumber="1" containsInteger="1">
        <n v="500000.0"/>
        <n v="48000.0"/>
        <n v="200000.0"/>
        <n v="20000.0"/>
        <n v="21000.0"/>
        <n v="19000.0"/>
        <n v="29000.0"/>
        <n v="50000.0"/>
        <n v="120000.0"/>
        <n v="148000.0"/>
        <n v="400000.0"/>
        <n v="15000.0"/>
        <n v="100000.0"/>
        <n v="150000.0"/>
        <n v="35000.0"/>
        <n v="300000.0"/>
        <n v="80000.0"/>
        <n v="900000.0"/>
        <n v="14000.0"/>
        <n v="86000.0"/>
        <n v="38000.0"/>
        <n v="11000.0"/>
        <n v="275000.0"/>
        <n v="25000.0"/>
        <n v="67000.0"/>
        <n v="30000.0"/>
        <n v="250000.0"/>
        <n v="40000.0"/>
        <n v="9000.0"/>
        <n v="600000.0"/>
        <n v="55000.0"/>
        <n v="95000.0"/>
        <n v="18000.0"/>
        <n v="190000.0"/>
        <n v="13000.0"/>
        <n v="90000.0"/>
        <n v="92000.0"/>
        <n v="31000.0"/>
        <n v="42500.0"/>
        <n v="82000.0"/>
        <n v="124000.0"/>
        <n v="111000.0"/>
        <n v="183000.0"/>
        <n v="75000.0"/>
        <n v="72000.0"/>
        <n v="26000.0"/>
        <n v="194000.0"/>
        <n v="43000.0"/>
        <n v="96000.0"/>
        <n v="130000.0"/>
        <n v="24000.0"/>
        <n v="350000.0"/>
        <n v="11500.0"/>
        <n v="110000.0"/>
        <n v="144000.0"/>
        <n v="225000.0"/>
        <n v="180000.0"/>
        <n v="44000.0"/>
        <n v="45000.0"/>
        <n v="22000.0"/>
        <n v="164000.0"/>
        <n v="60000.0"/>
        <n v="49000.0"/>
        <m/>
        <n v="47500.0"/>
        <n v="173000.0"/>
        <n v="17000.0"/>
        <n v="28000.0"/>
        <n v="65000.0"/>
        <n v="1110000.0"/>
        <n v="68000.0"/>
        <n v="223000.0"/>
        <n v="265000.0"/>
        <n v="260000.0"/>
        <n v="140000.0"/>
        <n v="607500.0"/>
        <n v="295000.0"/>
        <n v="22500.0"/>
        <n v="165000.0"/>
        <n v="1215000.0"/>
        <n v="115000.0"/>
        <n v="1000000.0"/>
        <n v="16000.0"/>
        <n v="77000.0"/>
        <n v="123000.0"/>
        <n v="56000.0"/>
        <n v="7000.0"/>
        <n v="12000.0"/>
        <n v="107000.0"/>
        <n v="222000.0"/>
        <n v="750000.0"/>
        <n v="5000.0"/>
        <n v="700000.0"/>
        <n v="46000.0"/>
        <n v="98500.0"/>
        <n v="10000.0"/>
      </sharedItems>
    </cacheField>
    <cacheField name="JENIS PENGELUARAN" numFmtId="0">
      <sharedItems containsBlank="1">
        <s v="TUNAI"/>
        <m/>
        <s v="TRANSFER BCA"/>
      </sharedItems>
    </cacheField>
    <cacheField name="KETERANGAN" numFmtId="0">
      <sharedItems containsBlank="1">
        <s v="BONUS BG MADI"/>
        <s v="WAHYU DAN HESTI"/>
        <s v="WAHYU"/>
        <s v="BELI NOTA "/>
        <s v="PISPOT"/>
        <s v="ICEGEL"/>
        <s v="TT BELI MAKAN"/>
        <s v="SUCI"/>
        <s v="TIA"/>
        <s v="KEKURANGAN GAJI HENA"/>
        <s v="BAYAR BAJU AUL"/>
        <s v="BELI MAP"/>
        <s v="BELI ES BATU"/>
        <s v="NOPI"/>
        <s v="BYR SMPAH"/>
        <s v="HENA"/>
        <s v="BELI AIR BLUE, DOUBLE TIP, MAP DAN PENGHARUM AC"/>
        <s v="EDO"/>
        <s v="ES BATU"/>
        <s v="BYR SMPH "/>
        <s v="SUCI &amp; HESTI"/>
        <s v="TT TIA"/>
        <s v="TT PASIEN (NOPE)"/>
        <s v="TT ORY"/>
        <s v="BELI NOTA DAN PEWANGI"/>
        <s v="HENA TT"/>
        <s v="TIA TT"/>
        <s v="KONSUMSI RETURN TO SPORT PIPO"/>
        <s v="HENA AMBIL UANG JARAK TA CE FEBE"/>
        <s v="DESTY AMBIL JARAK KAK NOVI 2X SESI"/>
        <s v="JARAK HENA (AN. ASNAH)"/>
        <s v="BELI LAMPU"/>
        <s v="KOPI PELANGI DANI"/>
        <s v="UPAH TEBAS RUMBUT"/>
        <s v="TT TIA BELI MAKAN TUKANG"/>
        <s v="REFUND UANG YAZID"/>
        <s v="HESTI"/>
        <s v="BELI KRESEK"/>
        <s v="TT NOPI"/>
        <s v="TT HESTI"/>
        <s v="TT HEN"/>
        <s v="DESTY AMBIL JARAK KAK NOVI SISANYA"/>
        <s v="PAKET BASEP"/>
        <s v="BAYAR SEDOT WC GRIYA ANAK"/>
        <s v="BETULKAN LAMPU DPN ASESSMENT"/>
        <s v="HENA DAN OKTA "/>
        <s v="REFUND UANG RATNAWITA KELEBIHAN BAYAR"/>
        <s v="SUCI TT"/>
        <s v="TT SUCI"/>
        <s v="PRITY AMBIL JARAK"/>
        <s v="BYR TAS ALONG"/>
        <s v="WAHYU BELANJA FGS"/>
        <s v="HESTI TT"/>
        <s v="BELI FOR3"/>
        <s v="TT BANG EDO"/>
        <s v="TT HENA"/>
        <s v="TT WAHYU"/>
        <s v="REFUND PASIEN VISIT"/>
        <s v="BELI MATERAI "/>
        <s v="TT NOPE"/>
        <s v="ADA DI DUIT TGL 1"/>
        <s v="DESTY AMBIL JARAK"/>
        <s v="BETULKAN LAMPU"/>
        <s v="BG EDO"/>
        <s v="KK HESTI TT"/>
        <s v="AMBIL BANNER"/>
        <s v="UANG LEBIH PASIEN AN TAUFIK"/>
        <s v="BAYAR MAXIM"/>
        <s v="AMBIL BENNER"/>
        <s v="BELI LAKBAN"/>
        <s v="KAK TIA"/>
        <s v="ORY"/>
        <s v="KAK SUCI"/>
        <s v="PUTRI AMBIL JARAK"/>
        <s v="BELI HANDSCOON"/>
        <s v="BANG EDO "/>
        <s v="KAK HENA "/>
        <s v="HENA AMBIL JARAK"/>
        <s v="DESTY "/>
        <s v="KAK DESTY"/>
        <s v="BELI MAP KUNING"/>
        <s v="SARUNG TANGAN"/>
        <s v="KAK HESTI"/>
        <s v="BAYAR BG WINDU"/>
        <s v="-"/>
        <s v="BAYAR BANG MADI"/>
        <s v="HESTY"/>
        <s v="TT OKTA"/>
        <s v="BAYAR TUNAI KELEBIHAN FERA"/>
        <s v="KK IRMA"/>
        <s v="DHEA"/>
        <s v="KK TIA"/>
        <s v="BAYAR SAMPAH"/>
        <s v="UTK TENNIS BANK KALBAR"/>
        <s v="TT"/>
        <s v="BAYAR BENNER"/>
        <s v="BELI AQUA BOTOL 330ML"/>
        <s v="BAYAR PERBAIKAN "/>
        <s v="TT BG EDO"/>
        <s v="TT KAK HESTI"/>
        <s v="KOPI "/>
        <s v="IBNU"/>
        <s v="DESTY"/>
        <s v="BELI PERLENGKAPAN WAHYU"/>
        <s v="BAYAR GALON"/>
        <s v="DHEA TT"/>
        <s v="KEMBALIKAN UANG PASIEN"/>
        <s v="BG WAHYU TT"/>
        <s v="KAK TIA TT"/>
        <s v="BAYAR SERAGAM"/>
        <s v="KAK IRMA"/>
        <s v="KAK HESTY TT"/>
        <s v="ALCOHOL SWAB "/>
        <s v="KK OKTA"/>
        <s v="BAYAR DUIT SAMPAH"/>
        <s v="CHARGER GRIYA ANAK"/>
        <s v="KAK HENA TT"/>
        <s v="TT KAK TIA"/>
        <s v="AUL"/>
        <s v="TT PUTRI"/>
        <s v="KAK HENA"/>
        <s v="KAK  IRMA"/>
        <s v="BYR TEBAS BENGKEL DAN KLINIK"/>
        <s v="BELI ALCOHOL SWAB"/>
        <s v="TUKAR TUNAI"/>
        <s v="BETULKAN DISPENSER"/>
        <s v="BETULKAN AIR"/>
        <s v="KUE"/>
        <s v="KK TIA TT"/>
        <s v="BANG EDO TT"/>
        <s v="WAHYU TT"/>
        <s v="BELI AIR"/>
        <s v="BELI ES KRIM"/>
        <s v="BYR ONGKIR"/>
        <s v="ONGKIR"/>
        <s v="KAK NOPI TT"/>
        <s v="BG DANI"/>
        <s v="BYR SAMPAH"/>
        <s v="KK HENA TT"/>
        <s v="BAYAR PERBAIKAN AC"/>
        <s v="JARAK KAK HENA CUCU AMA LING MIAUW"/>
        <s v="BELI BARANG BANGUNAN"/>
        <s v="BELI KERTA A4"/>
        <s v="TT TUNAI KK TIA"/>
        <s v="BG EDO TT"/>
        <s v="BAYAR LAS"/>
        <s v="BELI BABY OIL"/>
        <s v="KK SUCI"/>
        <m/>
        <s v="BELI AIR BOTOL"/>
        <s v="BELI AIR FOR3"/>
        <s v="CRISTAL QUA"/>
        <s v="KAK HESTI "/>
        <s v="CHITA"/>
        <s v="BELI HADIAH"/>
        <s v="BAYAR ONGKIR KARTU"/>
        <s v="BELI CENTONG"/>
        <s v="TT BANG DANI"/>
        <s v="PUTRI"/>
        <s v="LAUNDRY"/>
        <s v="HANDSCONE"/>
        <s v="KK SUCI TT"/>
        <s v="BELI MINUM BOTOL"/>
        <s v="KK HESTI"/>
        <s v="BAYAR BLU9 30 DUS"/>
        <s v="UANG JARAK KAK DESTY"/>
        <s v="CETAK BANNER"/>
        <s v="PLASTIK KLIP"/>
        <s v="MITELLA KAIN"/>
        <s v="VOLTAREN GEL"/>
        <s v="FEE BUDAK"/>
        <s v="ONGKOS TAXI"/>
        <s v="KEMBALIAN PASIEN"/>
        <s v="KAK PUTRI"/>
        <s v="ES BATU DAN ONGKIR"/>
        <s v="NOPI "/>
        <s v="AIR BLUE"/>
        <s v="KK HENA"/>
        <s v="BELI TAPPING"/>
        <s v="BAYAR BANNER"/>
        <s v="BAYAR JARAK ORY"/>
        <s v="KAK OKTA"/>
        <s v="KAK PUTRI TT"/>
        <s v="PEMBAYARAN KELAS LANSIA 6X PERTEMUAN"/>
        <s v="PEMBAYARAN KELAS SKOLIOSIS 2X PERTEMUAN"/>
        <s v="BAYAR AIR BLU9"/>
        <s v="BG EDO DUIT JALAN"/>
        <s v="BELI CAIRAN ANTI SUMBAT"/>
        <s v="BG DANI TT"/>
        <s v="KK PRITY AMBIL UANG JARAK"/>
        <s v="PAKET BG EDO"/>
        <s v="KK OKTA AMBIL JARAK"/>
        <s v="BANNER"/>
        <s v="JARAK KAK HENA CUCU LING MIAU"/>
        <s v="JARAK OKTA AN.HJ SISTAWATI"/>
        <s v="OKTA"/>
        <s v="TT "/>
        <s v="BELI SILIKON"/>
        <s v="LAMPU TIDUR SM"/>
        <s v="PERBAIKAN LISTTIK"/>
        <s v="TT KAK HES"/>
        <s v="BELI LAMPU HALAMAN LUAR"/>
        <s v="KK AUL TT"/>
        <s v="AUL TT"/>
        <s v="BELI LAMPU DAN RINSO"/>
        <s v="LAMPU"/>
        <s v="KK HENA AMBIL JARAK"/>
        <s v="GALON TUKANG"/>
        <s v="GALON"/>
        <s v="BELI KOUTA"/>
        <s v="ALAM TT"/>
        <s v="BELI BATERAI"/>
        <s v="KUE ULTAH CE ELLEN"/>
        <s v="BAYAR CRISTALIN"/>
        <s v="KONSUMSI RAPAT"/>
        <s v="BG IBNU PERJALANAN DINAS"/>
        <s v="GALONG ALONG"/>
        <s v="DESTY TT"/>
        <s v="EDO TT"/>
        <s v="KK HENA AMBIL UANG JARAK"/>
        <s v="KK PUTRI AMBIL UANG JARAK"/>
        <s v="GALON "/>
        <s v="BANG DANI TT"/>
        <s v="KAK ICA TT"/>
        <s v="KONSUMSI GRIYA ANAK"/>
        <s v="BAYAR GORDEN"/>
        <s v="KK ICA BAYAR CAPCUT PRO"/>
        <s v="TUKAR TUNAI DARI PASIEN F. X. KURNIAWAN"/>
        <s v="BG EDO AMBIL DUIT HV"/>
        <s v="KK HENA AMBILJARAK"/>
        <s v="TT DESTY"/>
        <s v="BELI KERTAS + RINSO"/>
        <s v="GALON + ES BATU"/>
        <s v="SENG GRIYA ANAK"/>
        <s v="BG ORY TT"/>
      </sharedItems>
    </cacheField>
    <cacheField name="KATEGORI" numFmtId="0">
      <sharedItems containsBlank="1">
        <s v="BEBAN GAJI"/>
        <s v="TUKAR TUNAI"/>
        <s v="BEBAN PELAYANAN FGS"/>
        <s v="JARAK VISIT"/>
        <s v="-"/>
        <s v="HESTI TT"/>
        <s v="REFUND"/>
        <s v="TARIK TUNAI"/>
        <s v="c"/>
        <m/>
        <s v="TUNAI"/>
        <s v="BELI ES BATU"/>
        <s v="BEBAN KONSUMSI"/>
      </sharedItems>
    </cacheField>
    <cacheField name="✅" numFmtId="0">
      <sharedItems>
        <b v="1"/>
        <b v="0"/>
      </sharedItems>
    </cacheField>
    <cacheField name="CATATAN" numFmtId="0">
      <sharedItems containsString="0" containsBlank="1" containsNumber="1" containsInteger="1">
        <m/>
        <n v="2663000.0"/>
      </sharedItems>
    </cacheField>
    <cacheField name="Column 1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RGET" cacheId="0" dataCaption="" createdVersion="6" compact="0" compactData="0">
  <location ref="A3:AA16" firstHeaderRow="0" firstDataRow="1" firstDataCol="1" rowPageCount="1" colPageCount="1"/>
  <pivotFields>
    <pivotField name="N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t="default"/>
      </items>
    </pivotField>
    <pivotField name="ADMI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ANGGAL" axis="axisCol" compact="0" numFmtId="165" outline="0" multipleItemSelectionAllowed="1" showAll="0" sortType="ascending">
      <items>
        <item x="2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9"/>
        <item x="70"/>
        <item x="71"/>
        <item x="72"/>
        <item x="73"/>
        <item x="74"/>
        <item x="75"/>
        <item x="76"/>
        <item x="77"/>
        <item x="78"/>
        <item x="6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4"/>
        <item x="203"/>
        <item x="206"/>
        <item x="205"/>
        <item x="207"/>
        <item x="208"/>
        <item x="209"/>
        <item x="210"/>
        <item x="211"/>
        <item t="default"/>
      </items>
    </pivotField>
    <pivotField name="TAHUN" compact="0" outline="0" multipleItemSelectionAllowed="1" showAll="0">
      <items>
        <item x="0"/>
        <item x="1"/>
        <item x="2"/>
        <item x="3"/>
        <item t="default"/>
      </items>
    </pivotField>
    <pivotField name="BU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J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FIS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NAMA PASIE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t="default"/>
      </items>
    </pivotField>
    <pivotField name="PEMBELI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KATEGORI PEMBELIAN" axis="axisRow" compact="0" outline="0" multipleItemSelectionAllowed="1" showAll="0" sortType="ascending">
      <items>
        <item x="14"/>
        <item x="15"/>
        <item x="13"/>
        <item x="7"/>
        <item x="8"/>
        <item x="9"/>
        <item x="10"/>
        <item x="0"/>
        <item x="3"/>
        <item x="2"/>
        <item x="12"/>
        <item x="11"/>
        <item x="6"/>
        <item x="1"/>
        <item x="5"/>
        <item x="4"/>
        <item t="default"/>
      </items>
    </pivotField>
    <pivotField name="STATUS PEMBELIAN" compact="0" outline="0" multipleItemSelectionAllowed="1" showAll="0">
      <items>
        <item x="0"/>
        <item x="1"/>
        <item x="2"/>
        <item x="3"/>
        <item t="default"/>
      </items>
    </pivotField>
    <pivotField name="KETERANGAN BAYAR" axis="axisPage" compact="0" outline="0" multipleItemSelectionAllowed="1" showAll="0">
      <items>
        <item x="0"/>
        <item h="1" x="1"/>
        <item x="2"/>
        <item h="1" x="3"/>
        <item h="1" x="4"/>
        <item t="default"/>
      </items>
    </pivotField>
    <pivotField name="JUMLAH BAYAR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DISKON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HARG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KEKUR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METODE BAYA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ENJA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t="default"/>
      </items>
    </pivotField>
    <pivotField name="✅" compact="0" outline="0" multipleItemSelectionAllowed="1" showAll="0">
      <items>
        <item x="0"/>
        <item x="1"/>
        <item t="default"/>
      </items>
    </pivotField>
    <pivotField name="CAT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</pivotFields>
  <rowFields>
    <field x="9"/>
  </rowFields>
  <colFields>
    <field x="2"/>
  </colFields>
  <pageFields>
    <pageField fld="11"/>
  </pageFields>
  <dataFields>
    <dataField name="COUNTA of NAMA PASIEN" fld="7" subtotal="count" baseField="0"/>
  </dataFields>
  <filters>
    <filter fld="2" type="captionBetween" evalOrder="-1" id="2" stringValue1="1/7/2026" stringValue2="31/7/2026">
      <autoFilter ref="A1">
        <filterColumn colId="0">
          <customFilters and="1">
            <customFilter operator="greaterThanOrEqual" val="1/7/2026"/>
            <customFilter operator="lessThanOrEqual" val="31/7/2026"/>
          </customFilters>
        </filterColumn>
      </autoFilter>
    </filter>
  </filters>
</pivotTableDefinition>
</file>

<file path=xl/pivotTables/pivotTable2.xml><?xml version="1.0" encoding="utf-8"?>
<pivotTableDefinition xmlns="http://schemas.openxmlformats.org/spreadsheetml/2006/main" name="📝 REKAP HARIAN" cacheId="0" dataCaption="" compact="0" compactData="0">
  <location ref="B9:C12" firstHeaderRow="0" firstDataRow="1" firstDataCol="0" rowPageCount="1" colPageCount="1"/>
  <pivotFields>
    <pivotField name="N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t="default"/>
      </items>
    </pivotField>
    <pivotField name="ADMI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ANGGAL" axis="axisPag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TAHUN" compact="0" outline="0" multipleItemSelectionAllowed="1" showAll="0">
      <items>
        <item x="0"/>
        <item x="1"/>
        <item x="2"/>
        <item x="3"/>
        <item t="default"/>
      </items>
    </pivotField>
    <pivotField name="BU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J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FIS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NAMA PASI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t="default"/>
      </items>
    </pivotField>
    <pivotField name="PEMBELI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KATEGORI PEMBELI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TATUS PEMBELIAN" compact="0" outline="0" multipleItemSelectionAllowed="1" showAll="0">
      <items>
        <item x="0"/>
        <item x="1"/>
        <item x="2"/>
        <item x="3"/>
        <item t="default"/>
      </items>
    </pivotField>
    <pivotField name="KETERANGAN BAYA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UMLAH BAYAR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DISKON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HARG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KEKUR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METODE BAYAR" axis="axisRow" dataField="1" compact="0" outline="0" multipleItemSelectionAllowed="1" showAll="0" sortType="ascending">
      <items>
        <item x="4"/>
        <item x="2"/>
        <item x="3"/>
        <item x="0"/>
        <item x="1"/>
        <item t="default"/>
      </items>
    </pivotField>
    <pivotField name="PENJA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t="default"/>
      </items>
    </pivotField>
    <pivotField name="✅" compact="0" outline="0" multipleItemSelectionAllowed="1" showAll="0">
      <items>
        <item x="0"/>
        <item x="1"/>
        <item t="default"/>
      </items>
    </pivotField>
    <pivotField name="CAT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</pivotFields>
  <rowFields>
    <field x="16"/>
  </rowFields>
  <pageFields>
    <pageField fld="2"/>
  </pageFields>
  <dataFields>
    <dataField name="Jumlah Kwitansi" fld="16" subtotal="count" baseField="0"/>
  </dataFields>
</pivotTableDefinition>
</file>

<file path=xl/pivotTables/pivotTable3.xml><?xml version="1.0" encoding="utf-8"?>
<pivotTableDefinition xmlns="http://schemas.openxmlformats.org/spreadsheetml/2006/main" name="📝 REKAP HARIAN 2" cacheId="0" dataCaption="" compact="0" compactData="0">
  <location ref="F10:G15" firstHeaderRow="0" firstDataRow="1" firstDataCol="0" rowPageCount="2" colPageCount="1"/>
  <pivotFields>
    <pivotField name="N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t="default"/>
      </items>
    </pivotField>
    <pivotField name="ADMI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ANGGAL" axis="axisPag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TAHUN" compact="0" outline="0" multipleItemSelectionAllowed="1" showAll="0">
      <items>
        <item x="0"/>
        <item x="1"/>
        <item x="2"/>
        <item x="3"/>
        <item t="default"/>
      </items>
    </pivotField>
    <pivotField name="BU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J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FIS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NAMA PASI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t="default"/>
      </items>
    </pivotField>
    <pivotField name="PEMBELIAN" axis="axisRow" compact="0" outline="0" multipleItemSelectionAllowed="1" showAll="0" sortType="ascending">
      <items>
        <item x="28"/>
        <item x="26"/>
        <item x="27"/>
        <item x="0"/>
        <item x="1"/>
        <item x="15"/>
        <item x="16"/>
        <item x="14"/>
        <item x="25"/>
        <item x="24"/>
        <item x="4"/>
        <item x="13"/>
        <item x="3"/>
        <item x="19"/>
        <item x="20"/>
        <item x="21"/>
        <item x="22"/>
        <item x="23"/>
        <item x="11"/>
        <item x="18"/>
        <item x="8"/>
        <item x="12"/>
        <item x="17"/>
        <item x="2"/>
        <item x="9"/>
        <item x="7"/>
        <item x="10"/>
        <item x="5"/>
        <item x="6"/>
        <item t="default"/>
      </items>
    </pivotField>
    <pivotField name="KATEGORI PEMBELI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TATUS PEMBELIAN" compact="0" outline="0" multipleItemSelectionAllowed="1" showAll="0">
      <items>
        <item x="0"/>
        <item x="1"/>
        <item x="2"/>
        <item x="3"/>
        <item t="default"/>
      </items>
    </pivotField>
    <pivotField name="KETERANGAN BAYAR" axis="axisPage" compact="0" outline="0" multipleItemSelectionAllowed="1" showAll="0">
      <items>
        <item x="0"/>
        <item h="1" x="1"/>
        <item x="2"/>
        <item h="1" x="3"/>
        <item h="1" x="4"/>
        <item t="default"/>
      </items>
    </pivotField>
    <pivotField name="JUMLAH BAYAR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DISKON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HARG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KEKUR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METODE BAYAR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ENJA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t="default"/>
      </items>
    </pivotField>
    <pivotField name="✅" compact="0" outline="0" multipleItemSelectionAllowed="1" showAll="0">
      <items>
        <item x="0"/>
        <item x="1"/>
        <item t="default"/>
      </items>
    </pivotField>
    <pivotField name="CAT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</pivotFields>
  <rowFields>
    <field x="8"/>
  </rowFields>
  <pageFields>
    <pageField fld="2"/>
    <pageField fld="11"/>
  </pageFields>
  <dataFields>
    <dataField name="Jumlah Kwitansi" fld="16" subtotal="count" baseField="0"/>
  </dataFields>
</pivotTableDefinition>
</file>

<file path=xl/pivotTables/pivotTable4.xml><?xml version="1.0" encoding="utf-8"?>
<pivotTableDefinition xmlns="http://schemas.openxmlformats.org/spreadsheetml/2006/main" name="📝 REKAP HARIAN 3" cacheId="0" dataCaption="" compact="0" compactData="0">
  <location ref="J9:K12" firstHeaderRow="0" firstDataRow="1" firstDataCol="0" rowPageCount="1" colPageCount="1"/>
  <pivotFields>
    <pivotField name="N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t="default"/>
      </items>
    </pivotField>
    <pivotField name="ADMI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ANGGAL" axis="axisPag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TAHUN" compact="0" outline="0" multipleItemSelectionAllowed="1" showAll="0">
      <items>
        <item x="0"/>
        <item x="1"/>
        <item x="2"/>
        <item x="3"/>
        <item t="default"/>
      </items>
    </pivotField>
    <pivotField name="BU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J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FIS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NAMA PASI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t="default"/>
      </items>
    </pivotField>
    <pivotField name="PEMBELI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KATEGORI PEMBELI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TATUS PEMBELIAN" compact="0" outline="0" multipleItemSelectionAllowed="1" showAll="0">
      <items>
        <item x="0"/>
        <item x="1"/>
        <item x="2"/>
        <item x="3"/>
        <item t="default"/>
      </items>
    </pivotField>
    <pivotField name="KETERANGAN BAYA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UMLAH BAYAR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DISKON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HARG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KEKUR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METODE BAYAR" axis="axisRow" compact="0" outline="0" multipleItemSelectionAllowed="1" showAll="0" sortType="ascending">
      <items>
        <item x="4"/>
        <item x="2"/>
        <item x="3"/>
        <item x="0"/>
        <item x="1"/>
        <item t="default"/>
      </items>
    </pivotField>
    <pivotField name="PENJA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t="default"/>
      </items>
    </pivotField>
    <pivotField name="✅" compact="0" outline="0" multipleItemSelectionAllowed="1" showAll="0">
      <items>
        <item x="0"/>
        <item x="1"/>
        <item t="default"/>
      </items>
    </pivotField>
    <pivotField name="CAT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</pivotFields>
  <rowFields>
    <field x="16"/>
  </rowFields>
  <pageFields>
    <pageField fld="2"/>
  </pageFields>
  <dataFields>
    <dataField name="Total Pemasukan" fld="12" baseField="0"/>
  </dataFields>
</pivotTableDefinition>
</file>

<file path=xl/pivotTables/pivotTable5.xml><?xml version="1.0" encoding="utf-8"?>
<pivotTableDefinition xmlns="http://schemas.openxmlformats.org/spreadsheetml/2006/main" name="📝 REKAP HARIAN 4" cacheId="1" dataCaption="" compact="0" compactData="0">
  <location ref="N9:O10" firstHeaderRow="0" firstDataRow="1" firstDataCol="0" rowPageCount="1" colPageCount="1"/>
  <pivotFields>
    <pivotField name="Z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t="default"/>
      </items>
    </pivotField>
    <pivotField name="ADMI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ANGGAL" axis="axisPag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name="TAHUN" compact="0" numFmtId="166" outline="0" multipleItemSelectionAllowed="1" showAll="0">
      <items>
        <item x="0"/>
        <item x="1"/>
        <item x="2"/>
        <item x="3"/>
        <item t="default"/>
      </items>
    </pivotField>
    <pivotField name="BULAN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OMINAL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JENIS PENGELUARAN" axis="axisRow" compact="0" outline="0" multipleItemSelectionAllowed="1" showAll="0" sortType="ascending">
      <items>
        <item x="1"/>
        <item x="2"/>
        <item x="0"/>
        <item t="default"/>
      </items>
    </pivotField>
    <pivotField name="KETER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</pivotField>
    <pivotField name="KATEGOR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✅" compact="0" outline="0" multipleItemSelectionAllowed="1" showAll="0">
      <items>
        <item x="0"/>
        <item x="1"/>
        <item t="default"/>
      </items>
    </pivotField>
    <pivotField name="CATATAN" compact="0" outline="0" multipleItemSelectionAllowed="1" showAll="0">
      <items>
        <item x="0"/>
        <item x="1"/>
        <item t="default"/>
      </items>
    </pivotField>
    <pivotField name="Column 12" compact="0" outline="0" multipleItemSelectionAllowed="1" showAll="0">
      <items>
        <item x="0"/>
        <item t="default"/>
      </items>
    </pivotField>
  </pivotFields>
  <rowFields>
    <field x="6"/>
  </rowFields>
  <pageFields>
    <pageField fld="2"/>
  </pageFields>
  <dataFields>
    <dataField name="Jumlah Nominal" fld="5" baseField="0"/>
  </dataFields>
</pivotTableDefinition>
</file>

<file path=xl/tables/table1.xml><?xml version="1.0" encoding="utf-8"?>
<table xmlns="http://schemas.openxmlformats.org/spreadsheetml/2006/main" headerRowCount="0" ref="A1:E5337" displayName="Table_2" name="Table_2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👥 Daftar Nama Pasien-style" showColumnStripes="0" showFirstColumn="1" showLastColumn="1" showRowStripes="1"/>
</table>
</file>

<file path=xl/tables/table2.xml><?xml version="1.0" encoding="utf-8"?>
<table xmlns="http://schemas.openxmlformats.org/spreadsheetml/2006/main" ref="B4:U3237" displayName="PEMASUKAN" name="PEMASUKAN" id="2">
  <tableColumns count="20">
    <tableColumn name="NO" id="1"/>
    <tableColumn name="ADMIN" id="2"/>
    <tableColumn name="TANGGAL" id="3"/>
    <tableColumn name="TAHUN" id="4"/>
    <tableColumn name="BULAN" id="5"/>
    <tableColumn name="JAM" id="6"/>
    <tableColumn name="FISIO" id="7"/>
    <tableColumn name="NAMA PASIEN" id="8"/>
    <tableColumn name="PEMBELIAN" id="9"/>
    <tableColumn name="KATEGORI PEMBELIAN" id="10"/>
    <tableColumn name="STATUS PEMBELIAN" id="11"/>
    <tableColumn name="KETERANGAN BAYAR" id="12"/>
    <tableColumn name="JUMLAH BAYAR" id="13"/>
    <tableColumn name="DISKON" id="14"/>
    <tableColumn name="HARGA" id="15"/>
    <tableColumn name="KEKURANGAN" id="16"/>
    <tableColumn name="METODE BAYAR" id="17"/>
    <tableColumn name="PENJAMIN" id="18"/>
    <tableColumn name="✅" id="19"/>
    <tableColumn name="CATATAN" id="20"/>
  </tableColumns>
  <tableStyleInfo name="⬇️ PEMASUKAN-style" showColumnStripes="0" showFirstColumn="1" showLastColumn="1" showRowStripes="1"/>
</table>
</file>

<file path=xl/tables/table3.xml><?xml version="1.0" encoding="utf-8"?>
<table xmlns="http://schemas.openxmlformats.org/spreadsheetml/2006/main" ref="A1:T6" displayName="Table_1" name="Table_1" id="1">
  <tableColumns count="20">
    <tableColumn name="NO" id="1"/>
    <tableColumn name="ADMIN" id="2"/>
    <tableColumn name="TANGGAL" id="3"/>
    <tableColumn name="TAHUN" id="4"/>
    <tableColumn name="BULAN" id="5"/>
    <tableColumn name="JAM" id="6"/>
    <tableColumn name="FISIO" id="7"/>
    <tableColumn name="NAMA PASIEN" id="8"/>
    <tableColumn name="PEMBELIAN" id="9"/>
    <tableColumn name="KATEGORI PEMBELIAN" id="10"/>
    <tableColumn name="STATUS PEMBELIAN" id="11"/>
    <tableColumn name="KETERANGAN BAYAR" id="12"/>
    <tableColumn name="JUMLAH BAYAR" id="13"/>
    <tableColumn name="DISKON" id="14"/>
    <tableColumn name="HARGA" id="15"/>
    <tableColumn name="KEKURANGAN" id="16"/>
    <tableColumn name="METODE BAYAR" id="17"/>
    <tableColumn name="PENJAMIN" id="18"/>
    <tableColumn name="✅" id="19"/>
    <tableColumn name="CATATAN" id="20"/>
  </tableColumns>
  <tableStyleInfo name="Detail431-KLINIK FT TA-02 Jul 2-style" showColumnStripes="0" showFirstColumn="1" showLastColumn="1" showRowStripes="1"/>
</table>
</file>

<file path=xl/tables/table4.xml><?xml version="1.0" encoding="utf-8"?>
<table xmlns="http://schemas.openxmlformats.org/spreadsheetml/2006/main" ref="B4:M1305" displayName="PENGELUARAN" name="PENGELUARAN" id="4">
  <autoFilter ref="$B$4:$M$1305"/>
  <tableColumns count="12">
    <tableColumn name="Z" id="1"/>
    <tableColumn name="ADMIN" id="2"/>
    <tableColumn name="TANGGAL" id="3"/>
    <tableColumn name="TAHUN" id="4"/>
    <tableColumn name="BULAN" id="5"/>
    <tableColumn name="NOMINAL" id="6"/>
    <tableColumn name="JENIS PENGELUARAN" id="7"/>
    <tableColumn name="KETERANGAN" id="8"/>
    <tableColumn name="KATEGORI" id="9"/>
    <tableColumn name="✅" id="10"/>
    <tableColumn name="CATATAN" id="11"/>
    <tableColumn name="Column 12" id="12"/>
  </tableColumns>
  <tableStyleInfo name="⬆️ PENGELUARAN-style" showColumnStripes="0" showFirstColumn="1" showLastColumn="1" showRowStripes="1"/>
</table>
</file>

<file path=xl/tables/table5.xml><?xml version="1.0" encoding="utf-8"?>
<table xmlns="http://schemas.openxmlformats.org/spreadsheetml/2006/main" headerRowCount="0" ref="A1:T48" displayName="Table_3" name="Table_3" id="5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⚙️ Pengatura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12-01T02:24:31.00" personId="{058e4899-1b9b-4e9f-8a19-db160b8de2cb}" id="{88bde6d2-52f3-40ed-9731-7f13bd321694}" done="1">
    <x18tc:text xml:space="preserve">Solihin belum bayar</x18tc:text>
  </x18tc:threadedComment>
  <x18tc:threadedComment ref="A1" dT="2025-10-26T13:52:43.00" personId="{058e4899-1b9b-4e9f-8a19-db160b8de2cb}" id="{79e7e2ba-0f5c-47ad-aeb2-3718f80e0aff}" done="1">
    <x18tc:text xml:space="preserve">ATAS NAMA DEVIN MASUK TGL 25 BAYAR TGL 26</x18tc:text>
  </x18tc:threadedComment>
  <x18tc:threadedComment ref="A1" dT="2025-12-05T08:27:31.00" personId="{d1ac18da-2505-4640-9746-9d0e51c19b1e}" id="{c5c6dcd0-1b7e-41d4-b04b-00d82aa3fdba}" done="0">
    <x18tc:text xml:space="preserve">BELUM UPLOAD BUKTI TRANSFER SUDAH DI CENTANG</x18tc:text>
  </x18tc:threadedComment>
  <x18tc:threadedComment ref="A1" dT="2025-12-05T08:27:24.00" personId="{d1ac18da-2505-4640-9746-9d0e51c19b1e}" id="{16248ff7-3c05-41ad-a271-f852c16fd4db}" done="0">
    <x18tc:text xml:space="preserve">BELUM UPLOAD BUKTI TRANSFER SUDAH DI CENTANG</x18tc:text>
  </x18tc:threadedComment>
  <x18tc:threadedComment ref="A1" dT="2025-12-09T06:56:23.00" personId="{d1ac18da-2505-4640-9746-9d0e51c19b1e}" id="{189b1b39-c628-40db-b15c-11a014467996}" done="0">
    <x18tc:text xml:space="preserve">BELUM ADA BUKTI TRANSFER SUDAH DI CENTANG</x18tc:text>
  </x18tc:threadedComment>
  <x18tc:threadedComment ref="A1" dT="2025-12-17T05:38:33.00" personId="{d1ac18da-2505-4640-9746-9d0e51c19b1e}" id="{32dac45e-56d9-407f-9cfc-82a54b45f23a}" done="0">
    <x18tc:text xml:space="preserve">BELUM UPLOAD BUKTI TRANSFER SUDAH DI CENTANG</x18tc:text>
  </x18tc:threadedComment>
  <x18tc:threadedComment ref="A1" dT="2025-12-08T02:29:54.00" personId="{d1ac18da-2505-4640-9746-9d0e51c19b1e}" id="{0644fa6e-af41-4121-b52a-75f6e9c1c04a}" done="0">
    <x18tc:text xml:space="preserve">BELUM UPLOAD BUKTI TRANSFER SUDAH DI CENTANG</x18tc:text>
  </x18tc:threadedComment>
  <x18tc:threadedComment ref="A1" dT="2025-12-03T22:39:41.00" personId="{d1ac18da-2505-4640-9746-9d0e51c19b1e}" id="{8ed08895-ece2-4666-a61b-5a9647f9bef6}" done="0">
    <x18tc:text xml:space="preserve">BELUM UPLOAD BUKTI TRANSFER SUDAH DI CENTANG</x18tc:text>
  </x18tc:threadedComment>
  <x18tc:threadedComment ref="A1" dT="2025-12-09T06:55:53.00" personId="{d1ac18da-2505-4640-9746-9d0e51c19b1e}" id="{cd121bd6-3234-47bb-b922-d50be50dbbd5}" done="0">
    <x18tc:text xml:space="preserve">BELUM ADA BUKTI TRANSFER SUDAH DI CENTANG</x18tc:text>
  </x18tc:threadedComment>
  <x18tc:threadedComment ref="A1" dT="2025-12-03T22:39:52.00" personId="{d1ac18da-2505-4640-9746-9d0e51c19b1e}" id="{1e61ae83-6875-4877-ba4f-39324006c810}" done="0">
    <x18tc:text xml:space="preserve">BELUM UPLOAD BUKTI TRANSFER SUDAH DI CENTANG</x18tc:text>
  </x18tc:threadedComment>
  <x18tc:threadedComment ref="A1" dT="2025-12-09T06:56:02.00" personId="{d1ac18da-2505-4640-9746-9d0e51c19b1e}" id="{8f649f11-c7cd-4772-b11b-79eb2eabbeb3}" done="0">
    <x18tc:text xml:space="preserve">BELUM ADA BUKTI TRANSFER SUDAH DI CENTANG</x18tc:text>
  </x18tc:threadedComment>
  <x18tc:threadedComment ref="A1" dT="2025-12-01T02:25:09.00" personId="{058e4899-1b9b-4e9f-8a19-db160b8de2cb}" id="{1cd86ed3-ae47-4a2c-8f75-44feec86be74}" done="1">
    <x18tc:text xml:space="preserve">HARDJONO BARU BAYAR</x18tc:text>
  </x18tc:threadedComment>
  <x18tc:threadedComment ref="A1" dT="2025-12-14T02:09:25.00" personId="{058e4899-1b9b-4e9f-8a19-db160b8de2cb}" id="{aee3f6b2-a583-4fe0-b532-6889f1a0a75d}" done="1">
    <x18tc:text xml:space="preserve">SEKAR MASUK PAKET TGL 11, PEMBYARAN TGL 13</x18tc:text>
  </x18tc:threadedComment>
  <x18tc:threadedComment ref="A1" dT="2025-12-16T04:38:52.00" personId="{d1ac18da-2505-4640-9746-9d0e51c19b1e}" id="{e8b6f60d-5607-4eff-9153-541cecbf8f33}" parentId="{aee3f6b2-a583-4fe0-b532-6889f1a0a75d}">
    <x18tc:text xml:space="preserve">NOTED</x18tc:text>
  </x18tc:threadedComment>
  <x18tc:threadedComment ref="A1" dT="2025-09-23T03:07:44.00" personId="{d1ac18da-2505-4640-9746-9d0e51c19b1e}" id="{c7569330-12a0-4bce-a346-c4bb8ba4d304}" done="1">
    <x18tc:text xml:space="preserve">BELUM MASUK DATA PAKET</x18tc:text>
  </x18tc:threadedComment>
  <x18tc:threadedComment ref="A1" dT="2025-12-03T22:38:23.00" personId="{d1ac18da-2505-4640-9746-9d0e51c19b1e}" id="{678695c6-4a8c-493c-8100-fc5fe4ec4e0d}" done="0">
    <x18tc:text xml:space="preserve">BELUM UPLOAD BUKTI TRANSFER SUDAH DI CENTANG</x18tc:text>
  </x18tc:threadedComment>
  <x18tc:threadedComment ref="A1" dT="2025-12-09T06:55:40.00" personId="{d1ac18da-2505-4640-9746-9d0e51c19b1e}" id="{f7bbb27d-e00c-4fe5-8416-7028e33b55ef}" done="0">
    <x18tc:text xml:space="preserve">BELUM ADA BUKTI TRANSFER SUDAH DI CENTANG</x18tc:text>
  </x18tc:threadedComment>
  <x18tc:threadedComment ref="A1" dT="2025-12-03T22:39:11.00" personId="{d1ac18da-2505-4640-9746-9d0e51c19b1e}" id="{9e03de94-e6b8-4178-a0b9-6c6ec89dd800}" done="0">
    <x18tc:text xml:space="preserve">BELUM UPLOAD BUKTI TRANSFER SUDAH DI CENTANG</x18tc:text>
  </x18tc:threadedComment>
  <x18tc:threadedComment ref="A1" dT="2025-12-09T06:55:45.00" personId="{d1ac18da-2505-4640-9746-9d0e51c19b1e}" id="{b45411fa-d221-4330-8c7e-6b8a8be13943}" done="0">
    <x18tc:text xml:space="preserve">BELUM ADA BUKTI TRANSFER SUDAH DI CENTANG</x18tc:text>
  </x18tc:threadedComment>
  <x18tc:threadedComment ref="A1" dT="2025-12-14T02:08:10.00" personId="{058e4899-1b9b-4e9f-8a19-db160b8de2cb}" id="{c78aa634-808c-4455-a66a-0520c15c5643}" done="1">
    <x18tc:text xml:space="preserve">SEKAR MASUK PAKET TGL 11, PEMAYARAN TGL 13</x18tc:text>
  </x18tc:threadedComment>
  <x18tc:threadedComment ref="A1" dT="2025-10-08T05:04:28.00" personId="{d1ac18da-2505-4640-9746-9d0e51c19b1e}" id="{5426c435-4669-4210-b06c-8bd8e9c1b40c}" done="1">
    <x18tc:text xml:space="preserve">KURANG 1 (SOLIHIN AGUS BELUM BAYAR PAKET)</x18tc:text>
  </x18tc:threadedComment>
  <x18tc:threadedComment ref="A1" dT="2025-12-01T01:37:22.00" personId="{058e4899-1b9b-4e9f-8a19-db160b8de2cb}" id="{7c5462be-cc36-4e70-b6dc-ee25a92932aa}" done="1">
    <x18tc:text xml:space="preserve">MAMA KAHFI SKW BLM PEMBAYARAN</x18tc:text>
  </x18tc:threadedComment>
  <x18tc:threadedComment ref="A1" dT="2025-10-28T13:12:14.00" personId="{058e4899-1b9b-4e9f-8a19-db160b8de2cb}" id="{9b1cb579-a5d1-4f65-a29c-20b6d8aa1ac2}" done="1">
    <x18tc:text xml:space="preserve">ATAS NAMA DEVIN MASUK TGL 25 BAYAR TGL 26</x18tc:text>
  </x18tc:threadedComment>
  <x18tc:threadedComment ref="A1" dT="2025-12-09T06:55:25.00" personId="{d1ac18da-2505-4640-9746-9d0e51c19b1e}" id="{c7a13ec5-ad66-4d5d-bc39-5b20f8cb3056}" done="0">
    <x18tc:text xml:space="preserve">BELUM ADA BUKTI TRANSFER SUDAH DI CENTANG</x18tc:text>
  </x18tc:threadedComment>
  <x18tc:threadedComment ref="A1" dT="2025-12-09T06:55:32.00" personId="{d1ac18da-2505-4640-9746-9d0e51c19b1e}" id="{382264d2-08e0-4a8b-9547-fef4311f74a0}" done="0">
    <x18tc:text xml:space="preserve">BELUM ADA BUKTI TRANSFER SUDAH DI CENTANG</x18tc:text>
  </x18tc:threadedComment>
  <x18tc:threadedComment ref="A1" dT="2025-12-16T13:46:48.00" personId="{058e4899-1b9b-4e9f-8a19-db160b8de2cb}" id="{8263e474-1b47-42da-8135-2c661829b791}" done="1">
    <x18tc:text xml:space="preserve">JAINAL (FREE)</x18tc:text>
  </x18tc:threadedComment>
  <x18tc:threadedComment ref="A1" dT="2025-10-03T14:53:24.00" personId="{d1ac18da-2505-4640-9746-9d0e51c19b1e}" id="{99ab22a4-26a9-4b01-aa19-8257410c6280}" done="1">
    <x18tc:text xml:space="preserve">SESI KURANG 1</x18tc:text>
  </x18tc:threadedComment>
  <x18tc:threadedComment ref="A1" dT="2025-10-04T04:50:57.00" personId="{058e4899-1b9b-4e9f-8a19-db160b8de2cb}" id="{83af6c51-5d3a-4efe-aef8-8f7b7c6eeb67}" parentId="{99ab22a4-26a9-4b01-aa19-8257410c6280}">
    <x18tc:text xml:space="preserve">1 NYA SEPUPU BANG EDO, BEASISWA</x18tc:text>
  </x18tc:threadedComment>
  <x18tc:threadedComment ref="A1" dT="2025-10-16T14:10:51.00" personId="{058e4899-1b9b-4e9f-8a19-db160b8de2cb}" id="{1040a6ff-709d-46d9-bafe-66351e84d075}" done="1">
    <x18tc:text xml:space="preserve">KARTU DEBIT NIKO EROR JADI BELUM BAYAR PAKET</x18tc:text>
  </x18tc:threadedComment>
  <x18tc:threadedComment ref="A1" dT="2025-12-03T03:11:53.00" personId="{d1ac18da-2505-4640-9746-9d0e51c19b1e}" id="{c9792faf-91e0-4a7d-870a-4806eb7d2ad2}" done="0">
    <x18tc:text xml:space="preserve">+1 pak Solihin bayar paket minggu lalu</x18tc:text>
  </x18tc:threadedComment>
  <x18tc:threadedComment ref="A1" dT="2025-07-28T07:13:09.00" personId="{058e4899-1b9b-4e9f-8a19-db160b8de2cb}" id="{231f9ab2-8564-4f47-8a6f-d3aeceb055e4}" done="0">
    <x18tc:text xml:space="preserve">MASIH PIKIR2 MAU YG PAKET 1 ATAU 2</x18tc:text>
  </x18tc:threadedComment>
  <x18tc:threadedComment ref="A1" dT="2025-12-05T08:27:37.00" personId="{d1ac18da-2505-4640-9746-9d0e51c19b1e}" id="{f54631f9-c25d-4908-93c9-472fab54a456}" done="0">
    <x18tc:text xml:space="preserve">BELUM UPLOAD BUKTI TRANSFER SUDAH DI CENTANG</x18tc:text>
  </x18tc:threadedComment>
  <x18tc:threadedComment ref="A1" dT="2025-08-28T07:10:18.00" personId="{d1ac18da-2505-4640-9746-9d0e51c19b1e}" id="{84b61c6b-4151-4807-ba47-d1059cae7c50}" done="1">
    <x18tc:text xml:space="preserve">094 LAUNDRY NDAK ADA KWITANSINYA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://s.ag/" TargetMode="External"/><Relationship Id="rId10" Type="http://schemas.openxmlformats.org/officeDocument/2006/relationships/hyperlink" Target="http://s.ag/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://s.ag/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m.si/" TargetMode="External"/><Relationship Id="rId9" Type="http://schemas.openxmlformats.org/officeDocument/2006/relationships/hyperlink" Target="http://s.ag/" TargetMode="External"/><Relationship Id="rId14" Type="http://schemas.openxmlformats.org/officeDocument/2006/relationships/vmlDrawing" Target="../drawings/vmlDrawing1.vml"/><Relationship Id="rId16" Type="http://schemas.openxmlformats.org/officeDocument/2006/relationships/table" Target="../tables/table2.xml"/><Relationship Id="rId5" Type="http://schemas.openxmlformats.org/officeDocument/2006/relationships/hyperlink" Target="http://s.ag/" TargetMode="External"/><Relationship Id="rId6" Type="http://schemas.openxmlformats.org/officeDocument/2006/relationships/hyperlink" Target="http://s.ag/" TargetMode="External"/><Relationship Id="rId7" Type="http://schemas.openxmlformats.org/officeDocument/2006/relationships/hyperlink" Target="http://s.ag/" TargetMode="External"/><Relationship Id="rId8" Type="http://schemas.openxmlformats.org/officeDocument/2006/relationships/hyperlink" Target="http://s.ag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pivotTable" Target="../pivotTables/pivotTable5.xm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2.63"/>
    <col customWidth="1" min="2" max="2" width="25.13"/>
    <col customWidth="1" min="5" max="5" width="2.63"/>
  </cols>
  <sheetData>
    <row r="1" hidden="1" outlineLevel="1">
      <c r="A1" s="2"/>
      <c r="B1" s="5" t="str">
        <f>IFERROR(__xludf.DUMMYFUNCTION("IMPORTRANGE(""https://docs.google.com/spreadsheets/d/1q5irXBuyRkQM_goHlRjPTSwHk1on6thK70p8lljqLrs/edit?gid=1342096879#gid=1342096879"",""🙎‍♂️ Pasien!$G$2:$I"")"),"Nama Pasien")</f>
        <v>Nama Pasien</v>
      </c>
      <c r="C1" s="5" t="str">
        <f>IFERROR(__xludf.DUMMYFUNCTION("""COMPUTED_VALUE"""),"No. RM")</f>
        <v>No. RM</v>
      </c>
      <c r="D1" s="5" t="str">
        <f>IFERROR(__xludf.DUMMYFUNCTION("""COMPUTED_VALUE"""),"Usia")</f>
        <v>Usia</v>
      </c>
      <c r="E1" s="2"/>
    </row>
    <row r="2" hidden="1" outlineLevel="1">
      <c r="A2" s="2"/>
      <c r="B2" s="8" t="str">
        <f>IFERROR(__xludf.DUMMYFUNCTION("""COMPUTED_VALUE"""),"OFF")</f>
        <v>OFF</v>
      </c>
      <c r="C2" s="8" t="str">
        <f>IFERROR(__xludf.DUMMYFUNCTION("""COMPUTED_VALUE"""),"OFF")</f>
        <v>OFF</v>
      </c>
      <c r="D2" s="8"/>
      <c r="E2" s="2"/>
    </row>
    <row r="3" hidden="1" outlineLevel="1">
      <c r="A3" s="2"/>
      <c r="B3" s="8" t="str">
        <f>IFERROR(__xludf.DUMMYFUNCTION("""COMPUTED_VALUE"""),"LIBUR")</f>
        <v>LIBUR</v>
      </c>
      <c r="C3" s="8" t="str">
        <f>IFERROR(__xludf.DUMMYFUNCTION("""COMPUTED_VALUE"""),"LIBUR")</f>
        <v>LIBUR</v>
      </c>
      <c r="D3" s="8"/>
      <c r="E3" s="2"/>
    </row>
    <row r="4" hidden="1" outlineLevel="1">
      <c r="A4" s="2"/>
      <c r="B4" s="8" t="str">
        <f>IFERROR(__xludf.DUMMYFUNCTION("""COMPUTED_VALUE"""),"TA")</f>
        <v>TA</v>
      </c>
      <c r="C4" s="8" t="str">
        <f>IFERROR(__xludf.DUMMYFUNCTION("""COMPUTED_VALUE"""),"TA")</f>
        <v>TA</v>
      </c>
      <c r="D4" s="8"/>
      <c r="E4" s="2"/>
    </row>
    <row r="5" hidden="1" outlineLevel="1">
      <c r="A5" s="2"/>
      <c r="B5" s="8" t="str">
        <f>IFERROR(__xludf.DUMMYFUNCTION("""COMPUTED_VALUE"""),"MANAJEMEN")</f>
        <v>MANAJEMEN</v>
      </c>
      <c r="C5" s="8" t="str">
        <f>IFERROR(__xludf.DUMMYFUNCTION("""COMPUTED_VALUE"""),"MANAJEMEN")</f>
        <v>MANAJEMEN</v>
      </c>
      <c r="D5" s="8"/>
      <c r="E5" s="2"/>
    </row>
    <row r="6" collapsed="1">
      <c r="A6" s="2"/>
      <c r="B6" s="8" t="str">
        <f>IFERROR(__xludf.DUMMYFUNCTION("""COMPUTED_VALUE"""),"KHUSUS")</f>
        <v>KHUSUS</v>
      </c>
      <c r="C6" s="8" t="str">
        <f>IFERROR(__xludf.DUMMYFUNCTION("""COMPUTED_VALUE"""),"KHUSUS")</f>
        <v>KHUSUS</v>
      </c>
      <c r="D6" s="8"/>
      <c r="E6" s="2"/>
    </row>
    <row r="7">
      <c r="A7" s="2"/>
      <c r="B7" s="8" t="str">
        <f>IFERROR(__xludf.DUMMYFUNCTION("""COMPUTED_VALUE"""),"BELUM ISI DATA")</f>
        <v>BELUM ISI DATA</v>
      </c>
      <c r="C7" s="8" t="str">
        <f>IFERROR(__xludf.DUMMYFUNCTION("""COMPUTED_VALUE"""),"BELUM ISI DATA")</f>
        <v>BELUM ISI DATA</v>
      </c>
      <c r="D7" s="8"/>
      <c r="E7" s="2"/>
    </row>
    <row r="8">
      <c r="A8" s="2"/>
      <c r="B8" s="8"/>
      <c r="C8" s="8" t="str">
        <f>IFERROR(__xludf.DUMMYFUNCTION("""COMPUTED_VALUE"""),"")</f>
        <v/>
      </c>
      <c r="D8" s="8" t="str">
        <f>IFERROR(__xludf.DUMMYFUNCTION("""COMPUTED_VALUE"""),"")</f>
        <v/>
      </c>
      <c r="E8" s="2"/>
    </row>
    <row r="9">
      <c r="A9" s="2"/>
      <c r="B9" s="8" t="str">
        <f>IFERROR(__xludf.DUMMYFUNCTION("""COMPUTED_VALUE"""),"ZHOFRAN FARRAS ATAYA")</f>
        <v>ZHOFRAN FARRAS ATAYA</v>
      </c>
      <c r="C9" s="8" t="str">
        <f>IFERROR(__xludf.DUMMYFUNCTION("""COMPUTED_VALUE"""),"Z0922105765")</f>
        <v>Z0922105765</v>
      </c>
      <c r="D9" s="8">
        <f>IFERROR(__xludf.DUMMYFUNCTION("""COMPUTED_VALUE"""),17.0)</f>
        <v>17</v>
      </c>
      <c r="E9" s="2"/>
    </row>
    <row r="10">
      <c r="A10" s="2"/>
      <c r="B10" s="8" t="str">
        <f>IFERROR(__xludf.DUMMYFUNCTION("""COMPUTED_VALUE"""),"DIAH SUCI RINI")</f>
        <v>DIAH SUCI RINI</v>
      </c>
      <c r="C10" s="8" t="str">
        <f>IFERROR(__xludf.DUMMYFUNCTION("""COMPUTED_VALUE"""),"D5722102445")</f>
        <v>D5722102445</v>
      </c>
      <c r="D10" s="8">
        <f>IFERROR(__xludf.DUMMYFUNCTION("""COMPUTED_VALUE"""),68.0)</f>
        <v>68</v>
      </c>
      <c r="E10" s="2"/>
    </row>
    <row r="11">
      <c r="A11" s="2"/>
      <c r="B11" s="8" t="str">
        <f>IFERROR(__xludf.DUMMYFUNCTION("""COMPUTED_VALUE"""),"MEIZARANI HELJA")</f>
        <v>MEIZARANI HELJA</v>
      </c>
      <c r="C11" s="8" t="str">
        <f>IFERROR(__xludf.DUMMYFUNCTION("""COMPUTED_VALUE"""),"M9322128010")</f>
        <v>M9322128010</v>
      </c>
      <c r="D11" s="8">
        <f>IFERROR(__xludf.DUMMYFUNCTION("""COMPUTED_VALUE"""),33.0)</f>
        <v>33</v>
      </c>
      <c r="E11" s="2"/>
    </row>
    <row r="12">
      <c r="A12" s="2"/>
      <c r="B12" s="8" t="str">
        <f>IFERROR(__xludf.DUMMYFUNCTION("""COMPUTED_VALUE"""),"HUWAIDAH THIFAL NAURAH")</f>
        <v>HUWAIDAH THIFAL NAURAH</v>
      </c>
      <c r="C12" s="8" t="str">
        <f>IFERROR(__xludf.DUMMYFUNCTION("""COMPUTED_VALUE"""),"H0123016085")</f>
        <v>H0123016085</v>
      </c>
      <c r="D12" s="8">
        <f>IFERROR(__xludf.DUMMYFUNCTION("""COMPUTED_VALUE"""),25.0)</f>
        <v>25</v>
      </c>
      <c r="E12" s="2"/>
    </row>
    <row r="13">
      <c r="A13" s="2"/>
      <c r="B13" s="8" t="str">
        <f>IFERROR(__xludf.DUMMYFUNCTION("""COMPUTED_VALUE"""),"SUFIRNA")</f>
        <v>SUFIRNA</v>
      </c>
      <c r="C13" s="8" t="str">
        <f>IFERROR(__xludf.DUMMYFUNCTION("""COMPUTED_VALUE"""),"S7823018882")</f>
        <v>S7823018882</v>
      </c>
      <c r="D13" s="8">
        <f>IFERROR(__xludf.DUMMYFUNCTION("""COMPUTED_VALUE"""),48.0)</f>
        <v>48</v>
      </c>
      <c r="E13" s="2"/>
    </row>
    <row r="14">
      <c r="A14" s="2"/>
      <c r="B14" s="8" t="str">
        <f>IFERROR(__xludf.DUMMYFUNCTION("""COMPUTED_VALUE"""),"ALVIN DIYANDRA")</f>
        <v>ALVIN DIYANDRA</v>
      </c>
      <c r="C14" s="8" t="str">
        <f>IFERROR(__xludf.DUMMYFUNCTION("""COMPUTED_VALUE"""),"A9723017817")</f>
        <v>A9723017817</v>
      </c>
      <c r="D14" s="8">
        <f>IFERROR(__xludf.DUMMYFUNCTION("""COMPUTED_VALUE"""),29.0)</f>
        <v>29</v>
      </c>
      <c r="E14" s="2"/>
    </row>
    <row r="15">
      <c r="A15" s="2"/>
      <c r="B15" s="8" t="str">
        <f>IFERROR(__xludf.DUMMYFUNCTION("""COMPUTED_VALUE"""),"ANDI ICHWANUL AZWAR")</f>
        <v>ANDI ICHWANUL AZWAR</v>
      </c>
      <c r="C15" s="8" t="str">
        <f>IFERROR(__xludf.DUMMYFUNCTION("""COMPUTED_VALUE"""),"A8823011011")</f>
        <v>A8823011011</v>
      </c>
      <c r="D15" s="8">
        <f>IFERROR(__xludf.DUMMYFUNCTION("""COMPUTED_VALUE"""),37.0)</f>
        <v>37</v>
      </c>
      <c r="E15" s="2"/>
    </row>
    <row r="16">
      <c r="A16" s="2"/>
      <c r="B16" s="8" t="str">
        <f>IFERROR(__xludf.DUMMYFUNCTION("""COMPUTED_VALUE"""),"AREEFAQEEL DIEN HAQQ")</f>
        <v>AREEFAQEEL DIEN HAQQ</v>
      </c>
      <c r="C16" s="8" t="str">
        <f>IFERROR(__xludf.DUMMYFUNCTION("""COMPUTED_VALUE"""),"A1023015335")</f>
        <v>A1023015335</v>
      </c>
      <c r="D16" s="8">
        <f>IFERROR(__xludf.DUMMYFUNCTION("""COMPUTED_VALUE"""),15.0)</f>
        <v>15</v>
      </c>
      <c r="E16" s="2"/>
    </row>
    <row r="17">
      <c r="A17" s="2"/>
      <c r="B17" s="8" t="str">
        <f>IFERROR(__xludf.DUMMYFUNCTION("""COMPUTED_VALUE"""),"NURLINA")</f>
        <v>NURLINA</v>
      </c>
      <c r="C17" s="8" t="str">
        <f>IFERROR(__xludf.DUMMYFUNCTION("""COMPUTED_VALUE"""),"N8523017483")</f>
        <v>N8523017483</v>
      </c>
      <c r="D17" s="8">
        <f>IFERROR(__xludf.DUMMYFUNCTION("""COMPUTED_VALUE"""),40.0)</f>
        <v>40</v>
      </c>
      <c r="E17" s="2"/>
    </row>
    <row r="18">
      <c r="A18" s="2"/>
      <c r="B18" s="8" t="str">
        <f>IFERROR(__xludf.DUMMYFUNCTION("""COMPUTED_VALUE"""),"A. THENU")</f>
        <v>A. THENU</v>
      </c>
      <c r="C18" s="8" t="str">
        <f>IFERROR(__xludf.DUMMYFUNCTION("""COMPUTED_VALUE"""),"A7023018857")</f>
        <v>A7023018857</v>
      </c>
      <c r="D18" s="8">
        <f>IFERROR(__xludf.DUMMYFUNCTION("""COMPUTED_VALUE"""),55.0)</f>
        <v>55</v>
      </c>
      <c r="E18" s="2"/>
    </row>
    <row r="19">
      <c r="A19" s="2"/>
      <c r="B19" s="8" t="str">
        <f>IFERROR(__xludf.DUMMYFUNCTION("""COMPUTED_VALUE"""),"ATIKA ALIFIA F. TOBING")</f>
        <v>ATIKA ALIFIA F. TOBING</v>
      </c>
      <c r="C19" s="8" t="str">
        <f>IFERROR(__xludf.DUMMYFUNCTION("""COMPUTED_VALUE"""),"A9023018425")</f>
        <v>A9023018425</v>
      </c>
      <c r="D19" s="8">
        <f>IFERROR(__xludf.DUMMYFUNCTION("""COMPUTED_VALUE"""),36.0)</f>
        <v>36</v>
      </c>
      <c r="E19" s="2"/>
    </row>
    <row r="20">
      <c r="A20" s="2"/>
      <c r="B20" s="8" t="str">
        <f>IFERROR(__xludf.DUMMYFUNCTION("""COMPUTED_VALUE"""),"JAKA SEPTIADI")</f>
        <v>JAKA SEPTIADI</v>
      </c>
      <c r="C20" s="8" t="str">
        <f>IFERROR(__xludf.DUMMYFUNCTION("""COMPUTED_VALUE"""),"J8823016633")</f>
        <v>J8823016633</v>
      </c>
      <c r="D20" s="8">
        <f>IFERROR(__xludf.DUMMYFUNCTION("""COMPUTED_VALUE"""),38.0)</f>
        <v>38</v>
      </c>
      <c r="E20" s="2"/>
    </row>
    <row r="21">
      <c r="A21" s="2"/>
      <c r="B21" s="8" t="str">
        <f>IFERROR(__xludf.DUMMYFUNCTION("""COMPUTED_VALUE"""),"MARIYO")</f>
        <v>MARIYO</v>
      </c>
      <c r="C21" s="8" t="str">
        <f>IFERROR(__xludf.DUMMYFUNCTION("""COMPUTED_VALUE"""),"M6523010470")</f>
        <v>M6523010470</v>
      </c>
      <c r="D21" s="8">
        <f>IFERROR(__xludf.DUMMYFUNCTION("""COMPUTED_VALUE"""),60.0)</f>
        <v>60</v>
      </c>
      <c r="E21" s="2"/>
    </row>
    <row r="22">
      <c r="A22" s="2"/>
      <c r="B22" s="8" t="str">
        <f>IFERROR(__xludf.DUMMYFUNCTION("""COMPUTED_VALUE"""),"ADIEL PRATAMA PUTRA K.")</f>
        <v>ADIEL PRATAMA PUTRA K.</v>
      </c>
      <c r="C22" s="8" t="str">
        <f>IFERROR(__xludf.DUMMYFUNCTION("""COMPUTED_VALUE"""),"A0623015163")</f>
        <v>A0623015163</v>
      </c>
      <c r="D22" s="8">
        <f>IFERROR(__xludf.DUMMYFUNCTION("""COMPUTED_VALUE"""),20.0)</f>
        <v>20</v>
      </c>
      <c r="E22" s="2"/>
    </row>
    <row r="23">
      <c r="A23" s="2"/>
      <c r="B23" s="8" t="str">
        <f>IFERROR(__xludf.DUMMYFUNCTION("""COMPUTED_VALUE"""),"DAVID BURUI")</f>
        <v>DAVID BURUI</v>
      </c>
      <c r="C23" s="8" t="str">
        <f>IFERROR(__xludf.DUMMYFUNCTION("""COMPUTED_VALUE"""),"D6123013327")</f>
        <v>D6123013327</v>
      </c>
      <c r="D23" s="8">
        <f>IFERROR(__xludf.DUMMYFUNCTION("""COMPUTED_VALUE"""),64.0)</f>
        <v>64</v>
      </c>
      <c r="E23" s="2"/>
    </row>
    <row r="24">
      <c r="A24" s="2"/>
      <c r="B24" s="8" t="str">
        <f>IFERROR(__xludf.DUMMYFUNCTION("""COMPUTED_VALUE"""),"DEDI SUNARDI")</f>
        <v>DEDI SUNARDI</v>
      </c>
      <c r="C24" s="8" t="str">
        <f>IFERROR(__xludf.DUMMYFUNCTION("""COMPUTED_VALUE"""),"D8223017622")</f>
        <v>D8223017622</v>
      </c>
      <c r="D24" s="8">
        <f>IFERROR(__xludf.DUMMYFUNCTION("""COMPUTED_VALUE"""),43.0)</f>
        <v>43</v>
      </c>
      <c r="E24" s="2"/>
    </row>
    <row r="25">
      <c r="A25" s="2"/>
      <c r="B25" s="8" t="str">
        <f>IFERROR(__xludf.DUMMYFUNCTION("""COMPUTED_VALUE"""),"MIGUEL TJONDRO")</f>
        <v>MIGUEL TJONDRO</v>
      </c>
      <c r="C25" s="8" t="str">
        <f>IFERROR(__xludf.DUMMYFUNCTION("""COMPUTED_VALUE"""),"M9823010741")</f>
        <v>M9823010741</v>
      </c>
      <c r="D25" s="8">
        <f>IFERROR(__xludf.DUMMYFUNCTION("""COMPUTED_VALUE"""),28.0)</f>
        <v>28</v>
      </c>
      <c r="E25" s="2"/>
    </row>
    <row r="26">
      <c r="A26" s="2"/>
      <c r="B26" s="8" t="str">
        <f>IFERROR(__xludf.DUMMYFUNCTION("""COMPUTED_VALUE"""),"TRI WAHYUNI")</f>
        <v>TRI WAHYUNI</v>
      </c>
      <c r="C26" s="8" t="str">
        <f>IFERROR(__xludf.DUMMYFUNCTION("""COMPUTED_VALUE"""),"T7623010391")</f>
        <v>T7623010391</v>
      </c>
      <c r="D26" s="8">
        <f>IFERROR(__xludf.DUMMYFUNCTION("""COMPUTED_VALUE"""),50.0)</f>
        <v>50</v>
      </c>
      <c r="E26" s="2"/>
    </row>
    <row r="27">
      <c r="A27" s="2"/>
      <c r="B27" s="8" t="str">
        <f>IFERROR(__xludf.DUMMYFUNCTION("""COMPUTED_VALUE"""),"ANANTA UTAMI")</f>
        <v>ANANTA UTAMI</v>
      </c>
      <c r="C27" s="8" t="str">
        <f>IFERROR(__xludf.DUMMYFUNCTION("""COMPUTED_VALUE"""),"A9123011070")</f>
        <v>A9123011070</v>
      </c>
      <c r="D27" s="8">
        <f>IFERROR(__xludf.DUMMYFUNCTION("""COMPUTED_VALUE"""),34.0)</f>
        <v>34</v>
      </c>
      <c r="E27" s="2"/>
    </row>
    <row r="28">
      <c r="A28" s="2"/>
      <c r="B28" s="8" t="str">
        <f>IFERROR(__xludf.DUMMYFUNCTION("""COMPUTED_VALUE"""),"EMMI")</f>
        <v>EMMI</v>
      </c>
      <c r="C28" s="8" t="str">
        <f>IFERROR(__xludf.DUMMYFUNCTION("""COMPUTED_VALUE"""),"E6223013059")</f>
        <v>E6223013059</v>
      </c>
      <c r="D28" s="8">
        <f>IFERROR(__xludf.DUMMYFUNCTION("""COMPUTED_VALUE"""),63.0)</f>
        <v>63</v>
      </c>
      <c r="E28" s="2"/>
    </row>
    <row r="29">
      <c r="A29" s="2"/>
      <c r="B29" s="8" t="str">
        <f>IFERROR(__xludf.DUMMYFUNCTION("""COMPUTED_VALUE"""),"ZIQRIL HAKIM R")</f>
        <v>ZIQRIL HAKIM R</v>
      </c>
      <c r="C29" s="8" t="str">
        <f>IFERROR(__xludf.DUMMYFUNCTION("""COMPUTED_VALUE"""),"Z0423010391")</f>
        <v>Z0423010391</v>
      </c>
      <c r="D29" s="8">
        <f>IFERROR(__xludf.DUMMYFUNCTION("""COMPUTED_VALUE"""),21.0)</f>
        <v>21</v>
      </c>
      <c r="E29" s="2"/>
    </row>
    <row r="30">
      <c r="A30" s="2"/>
      <c r="B30" s="8" t="str">
        <f>IFERROR(__xludf.DUMMYFUNCTION("""COMPUTED_VALUE"""),"ERNA SETIAWATY")</f>
        <v>ERNA SETIAWATY</v>
      </c>
      <c r="C30" s="8" t="str">
        <f>IFERROR(__xludf.DUMMYFUNCTION("""COMPUTED_VALUE"""),"E5423019005")</f>
        <v>E5423019005</v>
      </c>
      <c r="D30" s="8">
        <f>IFERROR(__xludf.DUMMYFUNCTION("""COMPUTED_VALUE"""),71.0)</f>
        <v>71</v>
      </c>
      <c r="E30" s="2"/>
    </row>
    <row r="31">
      <c r="A31" s="2"/>
      <c r="B31" s="8" t="str">
        <f>IFERROR(__xludf.DUMMYFUNCTION("""COMPUTED_VALUE"""),"EVA DOLOROSA")</f>
        <v>EVA DOLOROSA</v>
      </c>
      <c r="C31" s="8" t="str">
        <f>IFERROR(__xludf.DUMMYFUNCTION("""COMPUTED_VALUE"""),"E6723010889")</f>
        <v>E6723010889</v>
      </c>
      <c r="D31" s="8">
        <f>IFERROR(__xludf.DUMMYFUNCTION("""COMPUTED_VALUE"""),59.0)</f>
        <v>59</v>
      </c>
      <c r="E31" s="2"/>
    </row>
    <row r="32">
      <c r="A32" s="2"/>
      <c r="B32" s="8" t="str">
        <f>IFERROR(__xludf.DUMMYFUNCTION("""COMPUTED_VALUE"""),"ANTO PRAYUGO")</f>
        <v>ANTO PRAYUGO</v>
      </c>
      <c r="C32" s="8" t="str">
        <f>IFERROR(__xludf.DUMMYFUNCTION("""COMPUTED_VALUE"""),"A9523012989")</f>
        <v>A9523012989</v>
      </c>
      <c r="D32" s="8">
        <f>IFERROR(__xludf.DUMMYFUNCTION("""COMPUTED_VALUE"""),31.0)</f>
        <v>31</v>
      </c>
      <c r="E32" s="2"/>
    </row>
    <row r="33">
      <c r="A33" s="2"/>
      <c r="B33" s="8" t="str">
        <f>IFERROR(__xludf.DUMMYFUNCTION("""COMPUTED_VALUE"""),"FAHMI")</f>
        <v>FAHMI</v>
      </c>
      <c r="C33" s="8" t="str">
        <f>IFERROR(__xludf.DUMMYFUNCTION("""COMPUTED_VALUE"""),"F8623010888")</f>
        <v>F8623010888</v>
      </c>
      <c r="D33" s="8">
        <f>IFERROR(__xludf.DUMMYFUNCTION("""COMPUTED_VALUE"""),40.0)</f>
        <v>40</v>
      </c>
      <c r="E33" s="2"/>
    </row>
    <row r="34">
      <c r="A34" s="2"/>
      <c r="B34" s="8" t="str">
        <f>IFERROR(__xludf.DUMMYFUNCTION("""COMPUTED_VALUE"""),"RYANDI ARDIENDA P.")</f>
        <v>RYANDI ARDIENDA P.</v>
      </c>
      <c r="C34" s="8" t="str">
        <f>IFERROR(__xludf.DUMMYFUNCTION("""COMPUTED_VALUE"""),"R9323012323")</f>
        <v>R9323012323</v>
      </c>
      <c r="D34" s="8">
        <f>IFERROR(__xludf.DUMMYFUNCTION("""COMPUTED_VALUE"""),32.0)</f>
        <v>32</v>
      </c>
      <c r="E34" s="2"/>
    </row>
    <row r="35">
      <c r="A35" s="2"/>
      <c r="B35" s="8" t="str">
        <f>IFERROR(__xludf.DUMMYFUNCTION("""COMPUTED_VALUE"""),"NURYANTO")</f>
        <v>NURYANTO</v>
      </c>
      <c r="C35" s="8" t="str">
        <f>IFERROR(__xludf.DUMMYFUNCTION("""COMPUTED_VALUE"""),"N5423010002")</f>
        <v>N5423010002</v>
      </c>
      <c r="D35" s="8">
        <f>IFERROR(__xludf.DUMMYFUNCTION("""COMPUTED_VALUE"""),71.0)</f>
        <v>71</v>
      </c>
      <c r="E35" s="2"/>
    </row>
    <row r="36">
      <c r="A36" s="2"/>
      <c r="B36" s="8" t="str">
        <f>IFERROR(__xludf.DUMMYFUNCTION("""COMPUTED_VALUE"""),"DIMAS PANDU HIDAYATULLAH")</f>
        <v>DIMAS PANDU HIDAYATULLAH</v>
      </c>
      <c r="C36" s="8" t="str">
        <f>IFERROR(__xludf.DUMMYFUNCTION("""COMPUTED_VALUE"""),"D0023011314")</f>
        <v>D0023011314</v>
      </c>
      <c r="D36" s="8">
        <f>IFERROR(__xludf.DUMMYFUNCTION("""COMPUTED_VALUE"""),26.0)</f>
        <v>26</v>
      </c>
      <c r="E36" s="2"/>
    </row>
    <row r="37">
      <c r="A37" s="2"/>
      <c r="B37" s="8" t="str">
        <f>IFERROR(__xludf.DUMMYFUNCTION("""COMPUTED_VALUE"""),"EIVA RADE SIHO")</f>
        <v>EIVA RADE SIHO</v>
      </c>
      <c r="C37" s="8" t="str">
        <f>IFERROR(__xludf.DUMMYFUNCTION("""COMPUTED_VALUE"""),"E7623015810")</f>
        <v>E7623015810</v>
      </c>
      <c r="D37" s="8">
        <f>IFERROR(__xludf.DUMMYFUNCTION("""COMPUTED_VALUE"""),49.0)</f>
        <v>49</v>
      </c>
      <c r="E37" s="2"/>
    </row>
    <row r="38">
      <c r="A38" s="2"/>
      <c r="B38" s="8" t="str">
        <f>IFERROR(__xludf.DUMMYFUNCTION("""COMPUTED_VALUE"""),"ERICK TRIENARDO")</f>
        <v>ERICK TRIENARDO</v>
      </c>
      <c r="C38" s="8" t="str">
        <f>IFERROR(__xludf.DUMMYFUNCTION("""COMPUTED_VALUE"""),"E9723014638")</f>
        <v>E9723014638</v>
      </c>
      <c r="D38" s="8">
        <f>IFERROR(__xludf.DUMMYFUNCTION("""COMPUTED_VALUE"""),29.0)</f>
        <v>29</v>
      </c>
      <c r="E38" s="2"/>
    </row>
    <row r="39">
      <c r="A39" s="2"/>
      <c r="B39" s="8" t="str">
        <f>IFERROR(__xludf.DUMMYFUNCTION("""COMPUTED_VALUE"""),"FLAVIUS PANGAREGO")</f>
        <v>FLAVIUS PANGAREGO</v>
      </c>
      <c r="C39" s="8" t="str">
        <f>IFERROR(__xludf.DUMMYFUNCTION("""COMPUTED_VALUE"""),"F9623012859")</f>
        <v>F9623012859</v>
      </c>
      <c r="D39" s="8">
        <f>IFERROR(__xludf.DUMMYFUNCTION("""COMPUTED_VALUE"""),30.0)</f>
        <v>30</v>
      </c>
      <c r="E39" s="2"/>
    </row>
    <row r="40">
      <c r="A40" s="2"/>
      <c r="B40" s="8" t="str">
        <f>IFERROR(__xludf.DUMMYFUNCTION("""COMPUTED_VALUE"""),"HERI RAHMANTO")</f>
        <v>HERI RAHMANTO</v>
      </c>
      <c r="C40" s="8" t="str">
        <f>IFERROR(__xludf.DUMMYFUNCTION("""COMPUTED_VALUE"""),"H6123011926")</f>
        <v>H6123011926</v>
      </c>
      <c r="D40" s="8">
        <f>IFERROR(__xludf.DUMMYFUNCTION("""COMPUTED_VALUE"""),65.0)</f>
        <v>65</v>
      </c>
      <c r="E40" s="2"/>
    </row>
    <row r="41">
      <c r="A41" s="2"/>
      <c r="B41" s="8" t="str">
        <f>IFERROR(__xludf.DUMMYFUNCTION("""COMPUTED_VALUE"""),"HILMIY DZAKIY")</f>
        <v>HILMIY DZAKIY</v>
      </c>
      <c r="C41" s="8" t="str">
        <f>IFERROR(__xludf.DUMMYFUNCTION("""COMPUTED_VALUE"""),"H0923018457")</f>
        <v>H0923018457</v>
      </c>
      <c r="D41" s="8">
        <f>IFERROR(__xludf.DUMMYFUNCTION("""COMPUTED_VALUE"""),17.0)</f>
        <v>17</v>
      </c>
      <c r="E41" s="2"/>
    </row>
    <row r="42">
      <c r="A42" s="2"/>
      <c r="B42" s="8" t="str">
        <f>IFERROR(__xludf.DUMMYFUNCTION("""COMPUTED_VALUE"""),"BARIONO")</f>
        <v>BARIONO</v>
      </c>
      <c r="C42" s="8" t="str">
        <f>IFERROR(__xludf.DUMMYFUNCTION("""COMPUTED_VALUE"""),"B7723012106")</f>
        <v>B7723012106</v>
      </c>
      <c r="D42" s="8">
        <f>IFERROR(__xludf.DUMMYFUNCTION("""COMPUTED_VALUE"""),49.0)</f>
        <v>49</v>
      </c>
      <c r="E42" s="2"/>
    </row>
    <row r="43">
      <c r="A43" s="2"/>
      <c r="B43" s="8" t="str">
        <f>IFERROR(__xludf.DUMMYFUNCTION("""COMPUTED_VALUE"""),"BASORI")</f>
        <v>BASORI</v>
      </c>
      <c r="C43" s="8" t="str">
        <f>IFERROR(__xludf.DUMMYFUNCTION("""COMPUTED_VALUE"""),"B9723011146")</f>
        <v>B9723011146</v>
      </c>
      <c r="D43" s="8">
        <f>IFERROR(__xludf.DUMMYFUNCTION("""COMPUTED_VALUE"""),29.0)</f>
        <v>29</v>
      </c>
      <c r="E43" s="2"/>
    </row>
    <row r="44">
      <c r="A44" s="2"/>
      <c r="B44" s="8" t="str">
        <f>IFERROR(__xludf.DUMMYFUNCTION("""COMPUTED_VALUE"""),"CHALISA PUTRI PRISYLA")</f>
        <v>CHALISA PUTRI PRISYLA</v>
      </c>
      <c r="C44" s="8" t="str">
        <f>IFERROR(__xludf.DUMMYFUNCTION("""COMPUTED_VALUE"""),"C0923018735")</f>
        <v>C0923018735</v>
      </c>
      <c r="D44" s="8">
        <f>IFERROR(__xludf.DUMMYFUNCTION("""COMPUTED_VALUE"""),16.0)</f>
        <v>16</v>
      </c>
      <c r="E44" s="2"/>
    </row>
    <row r="45">
      <c r="A45" s="2"/>
      <c r="B45" s="8" t="str">
        <f>IFERROR(__xludf.DUMMYFUNCTION("""COMPUTED_VALUE"""),"HARDJONO")</f>
        <v>HARDJONO</v>
      </c>
      <c r="C45" s="8" t="str">
        <f>IFERROR(__xludf.DUMMYFUNCTION("""COMPUTED_VALUE"""),"H4623015667")</f>
        <v>H4623015667</v>
      </c>
      <c r="D45" s="8">
        <f>IFERROR(__xludf.DUMMYFUNCTION("""COMPUTED_VALUE"""),80.0)</f>
        <v>80</v>
      </c>
      <c r="E45" s="2"/>
    </row>
    <row r="46">
      <c r="A46" s="2"/>
      <c r="B46" s="8" t="str">
        <f>IFERROR(__xludf.DUMMYFUNCTION("""COMPUTED_VALUE"""),"JUSWARDI")</f>
        <v>JUSWARDI</v>
      </c>
      <c r="C46" s="8" t="str">
        <f>IFERROR(__xludf.DUMMYFUNCTION("""COMPUTED_VALUE"""),"J6223019000")</f>
        <v>J6223019000</v>
      </c>
      <c r="D46" s="8">
        <f>IFERROR(__xludf.DUMMYFUNCTION("""COMPUTED_VALUE"""),64.0)</f>
        <v>64</v>
      </c>
      <c r="E46" s="2"/>
    </row>
    <row r="47">
      <c r="A47" s="2"/>
      <c r="B47" s="8" t="str">
        <f>IFERROR(__xludf.DUMMYFUNCTION("""COMPUTED_VALUE"""),"TUTI NOVITA")</f>
        <v>TUTI NOVITA</v>
      </c>
      <c r="C47" s="8" t="str">
        <f>IFERROR(__xludf.DUMMYFUNCTION("""COMPUTED_VALUE"""),"T7223011339")</f>
        <v>T7223011339</v>
      </c>
      <c r="D47" s="8">
        <f>IFERROR(__xludf.DUMMYFUNCTION("""COMPUTED_VALUE"""),53.0)</f>
        <v>53</v>
      </c>
      <c r="E47" s="2"/>
    </row>
    <row r="48">
      <c r="A48" s="2"/>
      <c r="B48" s="8" t="str">
        <f>IFERROR(__xludf.DUMMYFUNCTION("""COMPUTED_VALUE"""),"HENDRI WAHYUDHI")</f>
        <v>HENDRI WAHYUDHI</v>
      </c>
      <c r="C48" s="8" t="str">
        <f>IFERROR(__xludf.DUMMYFUNCTION("""COMPUTED_VALUE"""),"H7623014100")</f>
        <v>H7623014100</v>
      </c>
      <c r="D48" s="8">
        <f>IFERROR(__xludf.DUMMYFUNCTION("""COMPUTED_VALUE"""),49.0)</f>
        <v>49</v>
      </c>
      <c r="E48" s="2"/>
    </row>
    <row r="49">
      <c r="A49" s="2"/>
      <c r="B49" s="8" t="str">
        <f>IFERROR(__xludf.DUMMYFUNCTION("""COMPUTED_VALUE"""),"HERLINA AGUSTININGSIH")</f>
        <v>HERLINA AGUSTININGSIH</v>
      </c>
      <c r="C49" s="8" t="str">
        <f>IFERROR(__xludf.DUMMYFUNCTION("""COMPUTED_VALUE"""),"H8523011399")</f>
        <v>H8523011399</v>
      </c>
      <c r="D49" s="8">
        <f>IFERROR(__xludf.DUMMYFUNCTION("""COMPUTED_VALUE"""),40.0)</f>
        <v>40</v>
      </c>
      <c r="E49" s="2"/>
    </row>
    <row r="50">
      <c r="A50" s="2"/>
      <c r="B50" s="8" t="str">
        <f>IFERROR(__xludf.DUMMYFUNCTION("""COMPUTED_VALUE"""),"JOCELYN WAHYUDHI")</f>
        <v>JOCELYN WAHYUDHI</v>
      </c>
      <c r="C50" s="8" t="str">
        <f>IFERROR(__xludf.DUMMYFUNCTION("""COMPUTED_VALUE"""),"J0623019005")</f>
        <v>J0623019005</v>
      </c>
      <c r="D50" s="8">
        <f>IFERROR(__xludf.DUMMYFUNCTION("""COMPUTED_VALUE"""),20.0)</f>
        <v>20</v>
      </c>
      <c r="E50" s="2"/>
    </row>
    <row r="51">
      <c r="A51" s="2"/>
      <c r="B51" s="8" t="str">
        <f>IFERROR(__xludf.DUMMYFUNCTION("""COMPUTED_VALUE"""),"JON ALI")</f>
        <v>JON ALI</v>
      </c>
      <c r="C51" s="8" t="str">
        <f>IFERROR(__xludf.DUMMYFUNCTION("""COMPUTED_VALUE"""),"J8823019998")</f>
        <v>J8823019998</v>
      </c>
      <c r="D51" s="8">
        <f>IFERROR(__xludf.DUMMYFUNCTION("""COMPUTED_VALUE"""),38.0)</f>
        <v>38</v>
      </c>
      <c r="E51" s="2"/>
    </row>
    <row r="52">
      <c r="A52" s="2"/>
      <c r="B52" s="8" t="str">
        <f>IFERROR(__xludf.DUMMYFUNCTION("""COMPUTED_VALUE"""),"LIWONO")</f>
        <v>LIWONO</v>
      </c>
      <c r="C52" s="8" t="str">
        <f>IFERROR(__xludf.DUMMYFUNCTION("""COMPUTED_VALUE"""),"L6623014041")</f>
        <v>L6623014041</v>
      </c>
      <c r="D52" s="8">
        <f>IFERROR(__xludf.DUMMYFUNCTION("""COMPUTED_VALUE"""),59.0)</f>
        <v>59</v>
      </c>
      <c r="E52" s="2"/>
    </row>
    <row r="53">
      <c r="A53" s="2"/>
      <c r="B53" s="8" t="str">
        <f>IFERROR(__xludf.DUMMYFUNCTION("""COMPUTED_VALUE"""),"AGUS SETIAWAN")</f>
        <v>AGUS SETIAWAN</v>
      </c>
      <c r="C53" s="8" t="str">
        <f>IFERROR(__xludf.DUMMYFUNCTION("""COMPUTED_VALUE"""),"A9523018347")</f>
        <v>A9523018347</v>
      </c>
      <c r="D53" s="8">
        <f>IFERROR(__xludf.DUMMYFUNCTION("""COMPUTED_VALUE"""),30.0)</f>
        <v>30</v>
      </c>
      <c r="E53" s="2"/>
    </row>
    <row r="54">
      <c r="A54" s="2"/>
      <c r="B54" s="8" t="str">
        <f>IFERROR(__xludf.DUMMYFUNCTION("""COMPUTED_VALUE"""),"ANGGA HENDHARSA")</f>
        <v>ANGGA HENDHARSA</v>
      </c>
      <c r="C54" s="8" t="str">
        <f>IFERROR(__xludf.DUMMYFUNCTION("""COMPUTED_VALUE"""),"A9023010811")</f>
        <v>A9023010811</v>
      </c>
      <c r="D54" s="8">
        <f>IFERROR(__xludf.DUMMYFUNCTION("""COMPUTED_VALUE"""),36.0)</f>
        <v>36</v>
      </c>
      <c r="E54" s="2"/>
    </row>
    <row r="55">
      <c r="A55" s="2"/>
      <c r="B55" s="8" t="str">
        <f>IFERROR(__xludf.DUMMYFUNCTION("""COMPUTED_VALUE"""),"HELEN RANDY FEBRIANA")</f>
        <v>HELEN RANDY FEBRIANA</v>
      </c>
      <c r="C55" s="8" t="str">
        <f>IFERROR(__xludf.DUMMYFUNCTION("""COMPUTED_VALUE"""),"H8723012002")</f>
        <v>H8723012002</v>
      </c>
      <c r="D55" s="8">
        <f>IFERROR(__xludf.DUMMYFUNCTION("""COMPUTED_VALUE"""),39.0)</f>
        <v>39</v>
      </c>
      <c r="E55" s="2"/>
    </row>
    <row r="56">
      <c r="A56" s="2"/>
      <c r="B56" s="8" t="str">
        <f>IFERROR(__xludf.DUMMYFUNCTION("""COMPUTED_VALUE"""),"ELFA MARTIAN")</f>
        <v>ELFA MARTIAN</v>
      </c>
      <c r="C56" s="8" t="str">
        <f>IFERROR(__xludf.DUMMYFUNCTION("""COMPUTED_VALUE"""),"E8423012220")</f>
        <v>E8423012220</v>
      </c>
      <c r="D56" s="8">
        <f>IFERROR(__xludf.DUMMYFUNCTION("""COMPUTED_VALUE"""),42.0)</f>
        <v>42</v>
      </c>
      <c r="E56" s="2"/>
    </row>
    <row r="57">
      <c r="A57" s="2"/>
      <c r="B57" s="8" t="str">
        <f>IFERROR(__xludf.DUMMYFUNCTION("""COMPUTED_VALUE"""),"M. ARKANA DISA AL MASRI")</f>
        <v>M. ARKANA DISA AL MASRI</v>
      </c>
      <c r="C57" s="8" t="str">
        <f>IFERROR(__xludf.DUMMYFUNCTION("""COMPUTED_VALUE"""),"M1323013389")</f>
        <v>M1323013389</v>
      </c>
      <c r="D57" s="8">
        <f>IFERROR(__xludf.DUMMYFUNCTION("""COMPUTED_VALUE"""),13.0)</f>
        <v>13</v>
      </c>
      <c r="E57" s="2"/>
    </row>
    <row r="58">
      <c r="A58" s="2"/>
      <c r="B58" s="8" t="str">
        <f>IFERROR(__xludf.DUMMYFUNCTION("""COMPUTED_VALUE"""),"SRI MARTINI")</f>
        <v>SRI MARTINI</v>
      </c>
      <c r="C58" s="8" t="str">
        <f>IFERROR(__xludf.DUMMYFUNCTION("""COMPUTED_VALUE"""),"S6123013882")</f>
        <v>S6123013882</v>
      </c>
      <c r="D58" s="8">
        <f>IFERROR(__xludf.DUMMYFUNCTION("""COMPUTED_VALUE"""),65.0)</f>
        <v>65</v>
      </c>
      <c r="E58" s="2"/>
    </row>
    <row r="59">
      <c r="A59" s="2"/>
      <c r="B59" s="8" t="str">
        <f>IFERROR(__xludf.DUMMYFUNCTION("""COMPUTED_VALUE"""),"AMINAH")</f>
        <v>AMINAH</v>
      </c>
      <c r="C59" s="8" t="str">
        <f>IFERROR(__xludf.DUMMYFUNCTION("""COMPUTED_VALUE"""),"A6323017817")</f>
        <v>A6323017817</v>
      </c>
      <c r="D59" s="8">
        <f>IFERROR(__xludf.DUMMYFUNCTION("""COMPUTED_VALUE"""),62.0)</f>
        <v>62</v>
      </c>
      <c r="E59" s="2"/>
    </row>
    <row r="60">
      <c r="A60" s="2"/>
      <c r="B60" s="8" t="str">
        <f>IFERROR(__xludf.DUMMYFUNCTION("""COMPUTED_VALUE"""),"DIMAS ARYO BIMO")</f>
        <v>DIMAS ARYO BIMO</v>
      </c>
      <c r="C60" s="8" t="str">
        <f>IFERROR(__xludf.DUMMYFUNCTION("""COMPUTED_VALUE"""),"D0523010337")</f>
        <v>D0523010337</v>
      </c>
      <c r="D60" s="8">
        <f>IFERROR(__xludf.DUMMYFUNCTION("""COMPUTED_VALUE"""),20.0)</f>
        <v>20</v>
      </c>
      <c r="E60" s="2"/>
    </row>
    <row r="61">
      <c r="A61" s="2"/>
      <c r="B61" s="8" t="str">
        <f>IFERROR(__xludf.DUMMYFUNCTION("""COMPUTED_VALUE"""),"MARSIANA RITA")</f>
        <v>MARSIANA RITA</v>
      </c>
      <c r="C61" s="8" t="str">
        <f>IFERROR(__xludf.DUMMYFUNCTION("""COMPUTED_VALUE"""),"M7623018071")</f>
        <v>M7623018071</v>
      </c>
      <c r="D61" s="8">
        <f>IFERROR(__xludf.DUMMYFUNCTION("""COMPUTED_VALUE"""),49.0)</f>
        <v>49</v>
      </c>
      <c r="E61" s="2"/>
    </row>
    <row r="62">
      <c r="A62" s="2"/>
      <c r="B62" s="8" t="str">
        <f>IFERROR(__xludf.DUMMYFUNCTION("""COMPUTED_VALUE"""),"MARVELLA BENITA PUSPORINI")</f>
        <v>MARVELLA BENITA PUSPORINI</v>
      </c>
      <c r="C62" s="8" t="str">
        <f>IFERROR(__xludf.DUMMYFUNCTION("""COMPUTED_VALUE"""),"M0423015817")</f>
        <v>M0423015817</v>
      </c>
      <c r="D62" s="8">
        <f>IFERROR(__xludf.DUMMYFUNCTION("""COMPUTED_VALUE"""),22.0)</f>
        <v>22</v>
      </c>
      <c r="E62" s="2"/>
    </row>
    <row r="63">
      <c r="A63" s="2"/>
      <c r="B63" s="8" t="str">
        <f>IFERROR(__xludf.DUMMYFUNCTION("""COMPUTED_VALUE"""),"NENI RIMBAWATI")</f>
        <v>NENI RIMBAWATI</v>
      </c>
      <c r="C63" s="8" t="str">
        <f>IFERROR(__xludf.DUMMYFUNCTION("""COMPUTED_VALUE"""),"N7123011230")</f>
        <v>N7123011230</v>
      </c>
      <c r="D63" s="8">
        <f>IFERROR(__xludf.DUMMYFUNCTION("""COMPUTED_VALUE"""),54.0)</f>
        <v>54</v>
      </c>
      <c r="E63" s="2"/>
    </row>
    <row r="64">
      <c r="A64" s="2"/>
      <c r="B64" s="8" t="str">
        <f>IFERROR(__xludf.DUMMYFUNCTION("""COMPUTED_VALUE"""),"NOVI WINATA")</f>
        <v>NOVI WINATA</v>
      </c>
      <c r="C64" s="8" t="str">
        <f>IFERROR(__xludf.DUMMYFUNCTION("""COMPUTED_VALUE"""),"N8723013099")</f>
        <v>N8723013099</v>
      </c>
      <c r="D64" s="8">
        <f>IFERROR(__xludf.DUMMYFUNCTION("""COMPUTED_VALUE"""),38.0)</f>
        <v>38</v>
      </c>
      <c r="E64" s="2"/>
    </row>
    <row r="65">
      <c r="A65" s="2"/>
      <c r="B65" s="8" t="str">
        <f>IFERROR(__xludf.DUMMYFUNCTION("""COMPUTED_VALUE"""),"NURDIN")</f>
        <v>NURDIN</v>
      </c>
      <c r="C65" s="8" t="str">
        <f>IFERROR(__xludf.DUMMYFUNCTION("""COMPUTED_VALUE"""),"N6423016044")</f>
        <v>N6423016044</v>
      </c>
      <c r="D65" s="8">
        <f>IFERROR(__xludf.DUMMYFUNCTION("""COMPUTED_VALUE"""),61.0)</f>
        <v>61</v>
      </c>
      <c r="E65" s="2"/>
    </row>
    <row r="66">
      <c r="A66" s="2"/>
      <c r="B66" s="8" t="str">
        <f>IFERROR(__xludf.DUMMYFUNCTION("""COMPUTED_VALUE"""),"ALDI")</f>
        <v>ALDI</v>
      </c>
      <c r="C66" s="8" t="str">
        <f>IFERROR(__xludf.DUMMYFUNCTION("""COMPUTED_VALUE"""),"A0623017317")</f>
        <v>A0623017317</v>
      </c>
      <c r="D66" s="8">
        <f>IFERROR(__xludf.DUMMYFUNCTION("""COMPUTED_VALUE"""),19.0)</f>
        <v>19</v>
      </c>
      <c r="E66" s="2"/>
    </row>
    <row r="67">
      <c r="A67" s="2"/>
      <c r="B67" s="8" t="str">
        <f>IFERROR(__xludf.DUMMYFUNCTION("""COMPUTED_VALUE"""),"NURHAYATI 55")</f>
        <v>NURHAYATI 55</v>
      </c>
      <c r="C67" s="8" t="str">
        <f>IFERROR(__xludf.DUMMYFUNCTION("""COMPUTED_VALUE"""),"N5523017792")</f>
        <v>N5523017792</v>
      </c>
      <c r="D67" s="8">
        <f>IFERROR(__xludf.DUMMYFUNCTION("""COMPUTED_VALUE"""),71.0)</f>
        <v>71</v>
      </c>
      <c r="E67" s="2"/>
    </row>
    <row r="68">
      <c r="A68" s="2"/>
      <c r="B68" s="8" t="str">
        <f>IFERROR(__xludf.DUMMYFUNCTION("""COMPUTED_VALUE"""),"RIZKI SAPUTRA")</f>
        <v>RIZKI SAPUTRA</v>
      </c>
      <c r="C68" s="8" t="str">
        <f>IFERROR(__xludf.DUMMYFUNCTION("""COMPUTED_VALUE"""),"R0423012690")</f>
        <v>R0423012690</v>
      </c>
      <c r="D68" s="8">
        <f>IFERROR(__xludf.DUMMYFUNCTION("""COMPUTED_VALUE"""),22.0)</f>
        <v>22</v>
      </c>
      <c r="E68" s="2"/>
    </row>
    <row r="69">
      <c r="A69" s="2"/>
      <c r="B69" s="8" t="str">
        <f>IFERROR(__xludf.DUMMYFUNCTION("""COMPUTED_VALUE"""),"RONY LIUNG")</f>
        <v>RONY LIUNG</v>
      </c>
      <c r="C69" s="8" t="str">
        <f>IFERROR(__xludf.DUMMYFUNCTION("""COMPUTED_VALUE"""),"R0123012900")</f>
        <v>R0123012900</v>
      </c>
      <c r="D69" s="8">
        <f>IFERROR(__xludf.DUMMYFUNCTION("""COMPUTED_VALUE"""),25.0)</f>
        <v>25</v>
      </c>
      <c r="E69" s="2"/>
    </row>
    <row r="70">
      <c r="A70" s="2"/>
      <c r="B70" s="8" t="str">
        <f>IFERROR(__xludf.DUMMYFUNCTION("""COMPUTED_VALUE"""),"NOVI ASMARANI")</f>
        <v>NOVI ASMARANI</v>
      </c>
      <c r="C70" s="8" t="str">
        <f>IFERROR(__xludf.DUMMYFUNCTION("""COMPUTED_VALUE"""),"N8723015132")</f>
        <v>N8723015132</v>
      </c>
      <c r="D70" s="8">
        <f>IFERROR(__xludf.DUMMYFUNCTION("""COMPUTED_VALUE"""),38.0)</f>
        <v>38</v>
      </c>
      <c r="E70" s="2"/>
    </row>
    <row r="71">
      <c r="A71" s="2"/>
      <c r="B71" s="8" t="str">
        <f>IFERROR(__xludf.DUMMYFUNCTION("""COMPUTED_VALUE"""),"SULISTIYOWATI")</f>
        <v>SULISTIYOWATI</v>
      </c>
      <c r="C71" s="8" t="str">
        <f>IFERROR(__xludf.DUMMYFUNCTION("""COMPUTED_VALUE"""),"S7523014141")</f>
        <v>S7523014141</v>
      </c>
      <c r="D71" s="8">
        <f>IFERROR(__xludf.DUMMYFUNCTION("""COMPUTED_VALUE"""),51.0)</f>
        <v>51</v>
      </c>
      <c r="E71" s="2"/>
    </row>
    <row r="72">
      <c r="A72" s="2"/>
      <c r="B72" s="8" t="str">
        <f>IFERROR(__xludf.DUMMYFUNCTION("""COMPUTED_VALUE"""),"ARIFYANDI")</f>
        <v>ARIFYANDI</v>
      </c>
      <c r="C72" s="8" t="str">
        <f>IFERROR(__xludf.DUMMYFUNCTION("""COMPUTED_VALUE"""),"A9923014697")</f>
        <v>A9923014697</v>
      </c>
      <c r="D72" s="8">
        <f>IFERROR(__xludf.DUMMYFUNCTION("""COMPUTED_VALUE"""),27.0)</f>
        <v>27</v>
      </c>
      <c r="E72" s="2"/>
    </row>
    <row r="73">
      <c r="A73" s="2"/>
      <c r="B73" s="8" t="str">
        <f>IFERROR(__xludf.DUMMYFUNCTION("""COMPUTED_VALUE"""),"KARTINAH")</f>
        <v>KARTINAH</v>
      </c>
      <c r="C73" s="8" t="str">
        <f>IFERROR(__xludf.DUMMYFUNCTION("""COMPUTED_VALUE"""),"K6223018878")</f>
        <v>K6223018878</v>
      </c>
      <c r="D73" s="8">
        <f>IFERROR(__xludf.DUMMYFUNCTION("""COMPUTED_VALUE"""),64.0)</f>
        <v>64</v>
      </c>
      <c r="E73" s="2"/>
    </row>
    <row r="74">
      <c r="A74" s="2"/>
      <c r="B74" s="8" t="str">
        <f>IFERROR(__xludf.DUMMYFUNCTION("""COMPUTED_VALUE"""),"KHARISMA RIZKI UTAMA")</f>
        <v>KHARISMA RIZKI UTAMA</v>
      </c>
      <c r="C74" s="8" t="str">
        <f>IFERROR(__xludf.DUMMYFUNCTION("""COMPUTED_VALUE"""),"K9223011118")</f>
        <v>K9223011118</v>
      </c>
      <c r="D74" s="8">
        <f>IFERROR(__xludf.DUMMYFUNCTION("""COMPUTED_VALUE"""),33.0)</f>
        <v>33</v>
      </c>
      <c r="E74" s="2"/>
    </row>
    <row r="75">
      <c r="A75" s="2"/>
      <c r="B75" s="8" t="str">
        <f>IFERROR(__xludf.DUMMYFUNCTION("""COMPUTED_VALUE"""),"M. ABDUL LATIEF LAZUARDI")</f>
        <v>M. ABDUL LATIEF LAZUARDI</v>
      </c>
      <c r="C75" s="8" t="str">
        <f>IFERROR(__xludf.DUMMYFUNCTION("""COMPUTED_VALUE"""),"M0023019835")</f>
        <v>M0023019835</v>
      </c>
      <c r="D75" s="8">
        <f>IFERROR(__xludf.DUMMYFUNCTION("""COMPUTED_VALUE"""),25.0)</f>
        <v>25</v>
      </c>
      <c r="E75" s="2"/>
    </row>
    <row r="76">
      <c r="A76" s="2"/>
      <c r="B76" s="8" t="str">
        <f>IFERROR(__xludf.DUMMYFUNCTION("""COMPUTED_VALUE"""),"SUPINI")</f>
        <v>SUPINI</v>
      </c>
      <c r="C76" s="8" t="str">
        <f>IFERROR(__xludf.DUMMYFUNCTION("""COMPUTED_VALUE"""),"S6923014949")</f>
        <v>S6923014949</v>
      </c>
      <c r="D76" s="8">
        <f>IFERROR(__xludf.DUMMYFUNCTION("""COMPUTED_VALUE"""),56.0)</f>
        <v>56</v>
      </c>
      <c r="E76" s="2"/>
    </row>
    <row r="77">
      <c r="A77" s="2"/>
      <c r="B77" s="8" t="str">
        <f>IFERROR(__xludf.DUMMYFUNCTION("""COMPUTED_VALUE"""),"TUKIJO")</f>
        <v>TUKIJO</v>
      </c>
      <c r="C77" s="8" t="str">
        <f>IFERROR(__xludf.DUMMYFUNCTION("""COMPUTED_VALUE"""),"T5523016407")</f>
        <v>T5523016407</v>
      </c>
      <c r="D77" s="8">
        <f>IFERROR(__xludf.DUMMYFUNCTION("""COMPUTED_VALUE"""),70.0)</f>
        <v>70</v>
      </c>
      <c r="E77" s="2"/>
    </row>
    <row r="78">
      <c r="A78" s="2"/>
      <c r="B78" s="8" t="str">
        <f>IFERROR(__xludf.DUMMYFUNCTION("""COMPUTED_VALUE"""),"FAHRIZAL")</f>
        <v>FAHRIZAL</v>
      </c>
      <c r="C78" s="8" t="str">
        <f>IFERROR(__xludf.DUMMYFUNCTION("""COMPUTED_VALUE"""),"F7023014230")</f>
        <v>F7023014230</v>
      </c>
      <c r="D78" s="8">
        <f>IFERROR(__xludf.DUMMYFUNCTION("""COMPUTED_VALUE"""),55.0)</f>
        <v>55</v>
      </c>
      <c r="E78" s="2"/>
    </row>
    <row r="79">
      <c r="A79" s="2"/>
      <c r="B79" s="8" t="str">
        <f>IFERROR(__xludf.DUMMYFUNCTION("""COMPUTED_VALUE"""),"INNOSENSIUS SILA")</f>
        <v>INNOSENSIUS SILA</v>
      </c>
      <c r="C79" s="8" t="str">
        <f>IFERROR(__xludf.DUMMYFUNCTION("""COMPUTED_VALUE"""),"I0123017652")</f>
        <v>I0123017652</v>
      </c>
      <c r="D79" s="8">
        <f>IFERROR(__xludf.DUMMYFUNCTION("""COMPUTED_VALUE"""),25.0)</f>
        <v>25</v>
      </c>
      <c r="E79" s="2"/>
    </row>
    <row r="80">
      <c r="A80" s="2"/>
      <c r="B80" s="8" t="str">
        <f>IFERROR(__xludf.DUMMYFUNCTION("""COMPUTED_VALUE"""),"PRIMA FARRET")</f>
        <v>PRIMA FARRET</v>
      </c>
      <c r="C80" s="8" t="str">
        <f>IFERROR(__xludf.DUMMYFUNCTION("""COMPUTED_VALUE"""),"P8223015614")</f>
        <v>P8223015614</v>
      </c>
      <c r="D80" s="8">
        <f>IFERROR(__xludf.DUMMYFUNCTION("""COMPUTED_VALUE"""),43.0)</f>
        <v>43</v>
      </c>
      <c r="E80" s="2"/>
    </row>
    <row r="81">
      <c r="A81" s="2"/>
      <c r="B81" s="8" t="str">
        <f>IFERROR(__xludf.DUMMYFUNCTION("""COMPUTED_VALUE"""),"SRI SURYATI")</f>
        <v>SRI SURYATI</v>
      </c>
      <c r="C81" s="8" t="str">
        <f>IFERROR(__xludf.DUMMYFUNCTION("""COMPUTED_VALUE"""),"S5723017882")</f>
        <v>S5723017882</v>
      </c>
      <c r="D81" s="8">
        <f>IFERROR(__xludf.DUMMYFUNCTION("""COMPUTED_VALUE"""),69.0)</f>
        <v>69</v>
      </c>
      <c r="E81" s="2"/>
    </row>
    <row r="82">
      <c r="A82" s="2"/>
      <c r="B82" s="8" t="str">
        <f>IFERROR(__xludf.DUMMYFUNCTION("""COMPUTED_VALUE"""),"SUADI")</f>
        <v>SUADI</v>
      </c>
      <c r="C82" s="8" t="str">
        <f>IFERROR(__xludf.DUMMYFUNCTION("""COMPUTED_VALUE"""),"S6823014569")</f>
        <v>S6823014569</v>
      </c>
      <c r="D82" s="8">
        <f>IFERROR(__xludf.DUMMYFUNCTION("""COMPUTED_VALUE"""),58.0)</f>
        <v>58</v>
      </c>
      <c r="E82" s="2"/>
    </row>
    <row r="83">
      <c r="A83" s="2"/>
      <c r="B83" s="8" t="str">
        <f>IFERROR(__xludf.DUMMYFUNCTION("""COMPUTED_VALUE"""),"TRIANI SEPTI")</f>
        <v>TRIANI SEPTI</v>
      </c>
      <c r="C83" s="8" t="str">
        <f>IFERROR(__xludf.DUMMYFUNCTION("""COMPUTED_VALUE"""),"T9523019991")</f>
        <v>T9523019991</v>
      </c>
      <c r="D83" s="8">
        <f>IFERROR(__xludf.DUMMYFUNCTION("""COMPUTED_VALUE"""),30.0)</f>
        <v>30</v>
      </c>
      <c r="E83" s="2"/>
    </row>
    <row r="84">
      <c r="A84" s="2"/>
      <c r="B84" s="8" t="str">
        <f>IFERROR(__xludf.DUMMYFUNCTION("""COMPUTED_VALUE"""),"YUDHI PONCA MANALU")</f>
        <v>YUDHI PONCA MANALU</v>
      </c>
      <c r="C84" s="8" t="str">
        <f>IFERROR(__xludf.DUMMYFUNCTION("""COMPUTED_VALUE"""),"Y8823015888")</f>
        <v>Y8823015888</v>
      </c>
      <c r="D84" s="8">
        <f>IFERROR(__xludf.DUMMYFUNCTION("""COMPUTED_VALUE"""),38.0)</f>
        <v>38</v>
      </c>
      <c r="E84" s="2"/>
    </row>
    <row r="85">
      <c r="A85" s="2"/>
      <c r="B85" s="8" t="str">
        <f>IFERROR(__xludf.DUMMYFUNCTION("""COMPUTED_VALUE"""),"DEDE ALFIANDI")</f>
        <v>DEDE ALFIANDI</v>
      </c>
      <c r="C85" s="8" t="str">
        <f>IFERROR(__xludf.DUMMYFUNCTION("""COMPUTED_VALUE"""),"D8923011717")</f>
        <v>D8923011717</v>
      </c>
      <c r="D85" s="8">
        <f>IFERROR(__xludf.DUMMYFUNCTION("""COMPUTED_VALUE"""),37.0)</f>
        <v>37</v>
      </c>
      <c r="E85" s="2"/>
    </row>
    <row r="86">
      <c r="A86" s="2"/>
      <c r="B86" s="8" t="str">
        <f>IFERROR(__xludf.DUMMYFUNCTION("""COMPUTED_VALUE"""),"DENY SUMANTRI")</f>
        <v>DENY SUMANTRI</v>
      </c>
      <c r="C86" s="8" t="str">
        <f>IFERROR(__xludf.DUMMYFUNCTION("""COMPUTED_VALUE"""),"D9523019981")</f>
        <v>D9523019981</v>
      </c>
      <c r="D86" s="8">
        <f>IFERROR(__xludf.DUMMYFUNCTION("""COMPUTED_VALUE"""),30.0)</f>
        <v>30</v>
      </c>
      <c r="E86" s="2"/>
    </row>
    <row r="87">
      <c r="A87" s="2"/>
      <c r="B87" s="8" t="str">
        <f>IFERROR(__xludf.DUMMYFUNCTION("""COMPUTED_VALUE"""),"ELO SINAGA")</f>
        <v>ELO SINAGA</v>
      </c>
      <c r="C87" s="8" t="str">
        <f>IFERROR(__xludf.DUMMYFUNCTION("""COMPUTED_VALUE"""),"E1023019575")</f>
        <v>E1023019575</v>
      </c>
      <c r="D87" s="8">
        <f>IFERROR(__xludf.DUMMYFUNCTION("""COMPUTED_VALUE"""),15.0)</f>
        <v>15</v>
      </c>
      <c r="E87" s="2"/>
    </row>
    <row r="88">
      <c r="A88" s="2"/>
      <c r="B88" s="8" t="str">
        <f>IFERROR(__xludf.DUMMYFUNCTION("""COMPUTED_VALUE"""),"FARIDA")</f>
        <v>FARIDA</v>
      </c>
      <c r="C88" s="8" t="str">
        <f>IFERROR(__xludf.DUMMYFUNCTION("""COMPUTED_VALUE"""),"F6023018181")</f>
        <v>F6023018181</v>
      </c>
      <c r="D88" s="8">
        <f>IFERROR(__xludf.DUMMYFUNCTION("""COMPUTED_VALUE"""),65.0)</f>
        <v>65</v>
      </c>
      <c r="E88" s="2"/>
    </row>
    <row r="89">
      <c r="A89" s="2"/>
      <c r="B89" s="8" t="str">
        <f>IFERROR(__xludf.DUMMYFUNCTION("""COMPUTED_VALUE"""),"MAYSHA PUTRI LESMANA")</f>
        <v>MAYSHA PUTRI LESMANA</v>
      </c>
      <c r="C89" s="8" t="str">
        <f>IFERROR(__xludf.DUMMYFUNCTION("""COMPUTED_VALUE"""),"M0823012188")</f>
        <v>M0823012188</v>
      </c>
      <c r="D89" s="8">
        <f>IFERROR(__xludf.DUMMYFUNCTION("""COMPUTED_VALUE"""),18.0)</f>
        <v>18</v>
      </c>
      <c r="E89" s="2"/>
    </row>
    <row r="90">
      <c r="A90" s="2"/>
      <c r="B90" s="8" t="str">
        <f>IFERROR(__xludf.DUMMYFUNCTION("""COMPUTED_VALUE"""),"PRILANDA GILANG RADANNA")</f>
        <v>PRILANDA GILANG RADANNA</v>
      </c>
      <c r="C90" s="8" t="str">
        <f>IFERROR(__xludf.DUMMYFUNCTION("""COMPUTED_VALUE"""),"P9823015565")</f>
        <v>P9823015565</v>
      </c>
      <c r="D90" s="8">
        <f>IFERROR(__xludf.DUMMYFUNCTION("""COMPUTED_VALUE"""),28.0)</f>
        <v>28</v>
      </c>
      <c r="E90" s="2"/>
    </row>
    <row r="91">
      <c r="A91" s="2"/>
      <c r="B91" s="8" t="str">
        <f>IFERROR(__xludf.DUMMYFUNCTION("""COMPUTED_VALUE"""),"RAISAN FIQRI")</f>
        <v>RAISAN FIQRI</v>
      </c>
      <c r="C91" s="8" t="str">
        <f>IFERROR(__xludf.DUMMYFUNCTION("""COMPUTED_VALUE"""),"R0423010268")</f>
        <v>R0423010268</v>
      </c>
      <c r="D91" s="8">
        <f>IFERROR(__xludf.DUMMYFUNCTION("""COMPUTED_VALUE"""),21.0)</f>
        <v>21</v>
      </c>
      <c r="E91" s="2"/>
    </row>
    <row r="92">
      <c r="A92" s="2"/>
      <c r="B92" s="8" t="str">
        <f>IFERROR(__xludf.DUMMYFUNCTION("""COMPUTED_VALUE"""),"REZA FERDIANSYAH")</f>
        <v>REZA FERDIANSYAH</v>
      </c>
      <c r="C92" s="8" t="str">
        <f>IFERROR(__xludf.DUMMYFUNCTION("""COMPUTED_VALUE"""),"R0323019317")</f>
        <v>R0323019317</v>
      </c>
      <c r="D92" s="8">
        <f>IFERROR(__xludf.DUMMYFUNCTION("""COMPUTED_VALUE"""),23.0)</f>
        <v>23</v>
      </c>
      <c r="E92" s="2"/>
    </row>
    <row r="93">
      <c r="A93" s="2"/>
      <c r="B93" s="8" t="str">
        <f>IFERROR(__xludf.DUMMYFUNCTION("""COMPUTED_VALUE"""),"RIA")</f>
        <v>RIA</v>
      </c>
      <c r="C93" s="8" t="str">
        <f>IFERROR(__xludf.DUMMYFUNCTION("""COMPUTED_VALUE"""),"R7723015689")</f>
        <v>R7723015689</v>
      </c>
      <c r="D93" s="8">
        <f>IFERROR(__xludf.DUMMYFUNCTION("""COMPUTED_VALUE"""),49.0)</f>
        <v>49</v>
      </c>
      <c r="E93" s="2"/>
    </row>
    <row r="94">
      <c r="A94" s="2"/>
      <c r="B94" s="8" t="str">
        <f>IFERROR(__xludf.DUMMYFUNCTION("""COMPUTED_VALUE"""),"SYARIF ABDUL KHALID")</f>
        <v>SYARIF ABDUL KHALID</v>
      </c>
      <c r="C94" s="8" t="str">
        <f>IFERROR(__xludf.DUMMYFUNCTION("""COMPUTED_VALUE"""),"S8823016365")</f>
        <v>S8823016365</v>
      </c>
      <c r="D94" s="8">
        <f>IFERROR(__xludf.DUMMYFUNCTION("""COMPUTED_VALUE"""),38.0)</f>
        <v>38</v>
      </c>
      <c r="E94" s="2"/>
    </row>
    <row r="95">
      <c r="A95" s="2"/>
      <c r="B95" s="8" t="str">
        <f>IFERROR(__xludf.DUMMYFUNCTION("""COMPUTED_VALUE"""),"TITIK NURSIAH")</f>
        <v>TITIK NURSIAH</v>
      </c>
      <c r="C95" s="8" t="str">
        <f>IFERROR(__xludf.DUMMYFUNCTION("""COMPUTED_VALUE"""),"T5423015410")</f>
        <v>T5423015410</v>
      </c>
      <c r="D95" s="8">
        <f>IFERROR(__xludf.DUMMYFUNCTION("""COMPUTED_VALUE"""),72.0)</f>
        <v>72</v>
      </c>
      <c r="E95" s="2"/>
    </row>
    <row r="96">
      <c r="A96" s="2"/>
      <c r="B96" s="8" t="str">
        <f>IFERROR(__xludf.DUMMYFUNCTION("""COMPUTED_VALUE"""),"YESSI ANDRIANI S")</f>
        <v>YESSI ANDRIANI S</v>
      </c>
      <c r="C96" s="8" t="str">
        <f>IFERROR(__xludf.DUMMYFUNCTION("""COMPUTED_VALUE"""),"Y8523019223")</f>
        <v>Y8523019223</v>
      </c>
      <c r="D96" s="8">
        <f>IFERROR(__xludf.DUMMYFUNCTION("""COMPUTED_VALUE"""),40.0)</f>
        <v>40</v>
      </c>
      <c r="E96" s="2"/>
    </row>
    <row r="97">
      <c r="A97" s="2"/>
      <c r="B97" s="8" t="str">
        <f>IFERROR(__xludf.DUMMYFUNCTION("""COMPUTED_VALUE"""),"AGUSTINUS SIMATUPANG")</f>
        <v>AGUSTINUS SIMATUPANG</v>
      </c>
      <c r="C97" s="8" t="str">
        <f>IFERROR(__xludf.DUMMYFUNCTION("""COMPUTED_VALUE"""),"A8723018222")</f>
        <v>A8723018222</v>
      </c>
      <c r="D97" s="8">
        <f>IFERROR(__xludf.DUMMYFUNCTION("""COMPUTED_VALUE"""),38.0)</f>
        <v>38</v>
      </c>
      <c r="E97" s="2"/>
    </row>
    <row r="98">
      <c r="A98" s="2"/>
      <c r="B98" s="8" t="str">
        <f>IFERROR(__xludf.DUMMYFUNCTION("""COMPUTED_VALUE"""),"EKO SUTRISTIYADI")</f>
        <v>EKO SUTRISTIYADI</v>
      </c>
      <c r="C98" s="8" t="str">
        <f>IFERROR(__xludf.DUMMYFUNCTION("""COMPUTED_VALUE"""),"E9523011787")</f>
        <v>E9523011787</v>
      </c>
      <c r="D98" s="8">
        <f>IFERROR(__xludf.DUMMYFUNCTION("""COMPUTED_VALUE"""),31.0)</f>
        <v>31</v>
      </c>
      <c r="E98" s="2"/>
    </row>
    <row r="99">
      <c r="A99" s="2"/>
      <c r="B99" s="8" t="str">
        <f>IFERROR(__xludf.DUMMYFUNCTION("""COMPUTED_VALUE"""),"FIKRI RIPARTA HARAHAP")</f>
        <v>FIKRI RIPARTA HARAHAP</v>
      </c>
      <c r="C99" s="8" t="str">
        <f>IFERROR(__xludf.DUMMYFUNCTION("""COMPUTED_VALUE"""),"F0523012509")</f>
        <v>F0523012509</v>
      </c>
      <c r="D99" s="8">
        <f>IFERROR(__xludf.DUMMYFUNCTION("""COMPUTED_VALUE"""),21.0)</f>
        <v>21</v>
      </c>
      <c r="E99" s="2"/>
    </row>
    <row r="100">
      <c r="A100" s="2"/>
      <c r="B100" s="8" t="str">
        <f>IFERROR(__xludf.DUMMYFUNCTION("""COMPUTED_VALUE"""),"SRI SUGIHARTI")</f>
        <v>SRI SUGIHARTI</v>
      </c>
      <c r="C100" s="8" t="str">
        <f>IFERROR(__xludf.DUMMYFUNCTION("""COMPUTED_VALUE"""),"S5423018611")</f>
        <v>S5423018611</v>
      </c>
      <c r="D100" s="8">
        <f>IFERROR(__xludf.DUMMYFUNCTION("""COMPUTED_VALUE"""),71.0)</f>
        <v>71</v>
      </c>
      <c r="E100" s="2"/>
    </row>
    <row r="101">
      <c r="A101" s="2"/>
      <c r="B101" s="8" t="str">
        <f>IFERROR(__xludf.DUMMYFUNCTION("""COMPUTED_VALUE"""),"SURIYA RUSDIANI")</f>
        <v>SURIYA RUSDIANI</v>
      </c>
      <c r="C101" s="8" t="str">
        <f>IFERROR(__xludf.DUMMYFUNCTION("""COMPUTED_VALUE"""),"S6923010888")</f>
        <v>S6923010888</v>
      </c>
      <c r="D101" s="8">
        <f>IFERROR(__xludf.DUMMYFUNCTION("""COMPUTED_VALUE"""),57.0)</f>
        <v>57</v>
      </c>
      <c r="E101" s="2"/>
    </row>
    <row r="102">
      <c r="A102" s="2"/>
      <c r="B102" s="8" t="str">
        <f>IFERROR(__xludf.DUMMYFUNCTION("""COMPUTED_VALUE"""),"DIMAS AGUS TRWIBOWO")</f>
        <v>DIMAS AGUS TRWIBOWO</v>
      </c>
      <c r="C102" s="8" t="str">
        <f>IFERROR(__xludf.DUMMYFUNCTION("""COMPUTED_VALUE"""),"D0323015889")</f>
        <v>D0323015889</v>
      </c>
      <c r="D102" s="8">
        <f>IFERROR(__xludf.DUMMYFUNCTION("""COMPUTED_VALUE"""),22.0)</f>
        <v>22</v>
      </c>
      <c r="E102" s="2"/>
    </row>
    <row r="103">
      <c r="A103" s="2"/>
      <c r="B103" s="8" t="str">
        <f>IFERROR(__xludf.DUMMYFUNCTION("""COMPUTED_VALUE"""),"VICTORIUS AZIS P")</f>
        <v>VICTORIUS AZIS P</v>
      </c>
      <c r="C103" s="8" t="str">
        <f>IFERROR(__xludf.DUMMYFUNCTION("""COMPUTED_VALUE"""),"V8323011899")</f>
        <v>V8323011899</v>
      </c>
      <c r="D103" s="8">
        <f>IFERROR(__xludf.DUMMYFUNCTION("""COMPUTED_VALUE"""),42.0)</f>
        <v>42</v>
      </c>
      <c r="E103" s="2"/>
    </row>
    <row r="104">
      <c r="A104" s="2"/>
      <c r="B104" s="8" t="str">
        <f>IFERROR(__xludf.DUMMYFUNCTION("""COMPUTED_VALUE"""),"BONIFASIUS")</f>
        <v>BONIFASIUS</v>
      </c>
      <c r="C104" s="8" t="str">
        <f>IFERROR(__xludf.DUMMYFUNCTION("""COMPUTED_VALUE"""),"B9623019319")</f>
        <v>B9623019319</v>
      </c>
      <c r="D104" s="8">
        <f>IFERROR(__xludf.DUMMYFUNCTION("""COMPUTED_VALUE"""),29.0)</f>
        <v>29</v>
      </c>
      <c r="E104" s="2"/>
    </row>
    <row r="105">
      <c r="A105" s="2"/>
      <c r="B105" s="8" t="str">
        <f>IFERROR(__xludf.DUMMYFUNCTION("""COMPUTED_VALUE"""),"CIRILA SRIANI")</f>
        <v>CIRILA SRIANI</v>
      </c>
      <c r="C105" s="8" t="str">
        <f>IFERROR(__xludf.DUMMYFUNCTION("""COMPUTED_VALUE"""),"C6923015446")</f>
        <v>C6923015446</v>
      </c>
      <c r="D105" s="8">
        <f>IFERROR(__xludf.DUMMYFUNCTION("""COMPUTED_VALUE"""),56.0)</f>
        <v>56</v>
      </c>
      <c r="E105" s="2"/>
    </row>
    <row r="106">
      <c r="A106" s="2"/>
      <c r="B106" s="8" t="str">
        <f>IFERROR(__xludf.DUMMYFUNCTION("""COMPUTED_VALUE"""),"FENGMING XIAO")</f>
        <v>FENGMING XIAO</v>
      </c>
      <c r="C106" s="8" t="str">
        <f>IFERROR(__xludf.DUMMYFUNCTION("""COMPUTED_VALUE"""),"F5423018689")</f>
        <v>F5423018689</v>
      </c>
      <c r="D106" s="8">
        <f>IFERROR(__xludf.DUMMYFUNCTION("""COMPUTED_VALUE"""),71.0)</f>
        <v>71</v>
      </c>
      <c r="E106" s="2"/>
    </row>
    <row r="107">
      <c r="A107" s="2"/>
      <c r="B107" s="8" t="str">
        <f>IFERROR(__xludf.DUMMYFUNCTION("""COMPUTED_VALUE"""),"JUNAIDI ARSEKON")</f>
        <v>JUNAIDI ARSEKON</v>
      </c>
      <c r="C107" s="8" t="str">
        <f>IFERROR(__xludf.DUMMYFUNCTION("""COMPUTED_VALUE"""),"J9523013186")</f>
        <v>J9523013186</v>
      </c>
      <c r="D107" s="8">
        <f>IFERROR(__xludf.DUMMYFUNCTION("""COMPUTED_VALUE"""),31.0)</f>
        <v>31</v>
      </c>
      <c r="E107" s="2"/>
    </row>
    <row r="108">
      <c r="A108" s="2"/>
      <c r="B108" s="8" t="str">
        <f>IFERROR(__xludf.DUMMYFUNCTION("""COMPUTED_VALUE"""),"REZA ILHAM FAHRINO")</f>
        <v>REZA ILHAM FAHRINO</v>
      </c>
      <c r="C108" s="8" t="str">
        <f>IFERROR(__xludf.DUMMYFUNCTION("""COMPUTED_VALUE"""),"R8923010787")</f>
        <v>R8923010787</v>
      </c>
      <c r="D108" s="8">
        <f>IFERROR(__xludf.DUMMYFUNCTION("""COMPUTED_VALUE"""),36.0)</f>
        <v>36</v>
      </c>
      <c r="E108" s="2"/>
    </row>
    <row r="109">
      <c r="A109" s="2"/>
      <c r="B109" s="8" t="str">
        <f>IFERROR(__xludf.DUMMYFUNCTION("""COMPUTED_VALUE"""),"SUTOPO HARIANTO")</f>
        <v>SUTOPO HARIANTO</v>
      </c>
      <c r="C109" s="8" t="str">
        <f>IFERROR(__xludf.DUMMYFUNCTION("""COMPUTED_VALUE"""),"S9123018423")</f>
        <v>S9123018423</v>
      </c>
      <c r="D109" s="8">
        <f>IFERROR(__xludf.DUMMYFUNCTION("""COMPUTED_VALUE"""),34.0)</f>
        <v>34</v>
      </c>
      <c r="E109" s="2"/>
    </row>
    <row r="110">
      <c r="A110" s="2"/>
      <c r="B110" s="8" t="str">
        <f>IFERROR(__xludf.DUMMYFUNCTION("""COMPUTED_VALUE"""),"THJANG FIE KIAN")</f>
        <v>THJANG FIE KIAN</v>
      </c>
      <c r="C110" s="8" t="str">
        <f>IFERROR(__xludf.DUMMYFUNCTION("""COMPUTED_VALUE"""),"T5923014555")</f>
        <v>T5923014555</v>
      </c>
      <c r="D110" s="8">
        <f>IFERROR(__xludf.DUMMYFUNCTION("""COMPUTED_VALUE"""),67.0)</f>
        <v>67</v>
      </c>
      <c r="E110" s="2"/>
    </row>
    <row r="111">
      <c r="A111" s="2"/>
      <c r="B111" s="8" t="str">
        <f>IFERROR(__xludf.DUMMYFUNCTION("""COMPUTED_VALUE"""),"AULIA RACHMAN")</f>
        <v>AULIA RACHMAN</v>
      </c>
      <c r="C111" s="8" t="str">
        <f>IFERROR(__xludf.DUMMYFUNCTION("""COMPUTED_VALUE"""),"A0223014044")</f>
        <v>A0223014044</v>
      </c>
      <c r="D111" s="8">
        <f>IFERROR(__xludf.DUMMYFUNCTION("""COMPUTED_VALUE"""),23.0)</f>
        <v>23</v>
      </c>
      <c r="E111" s="2"/>
    </row>
    <row r="112">
      <c r="A112" s="2"/>
      <c r="B112" s="8" t="str">
        <f>IFERROR(__xludf.DUMMYFUNCTION("""COMPUTED_VALUE"""),"NANDA ARSEKON")</f>
        <v>NANDA ARSEKON</v>
      </c>
      <c r="C112" s="8" t="str">
        <f>IFERROR(__xludf.DUMMYFUNCTION("""COMPUTED_VALUE"""),"N0323013850")</f>
        <v>N0323013850</v>
      </c>
      <c r="D112" s="8">
        <f>IFERROR(__xludf.DUMMYFUNCTION("""COMPUTED_VALUE"""),23.0)</f>
        <v>23</v>
      </c>
      <c r="E112" s="2"/>
    </row>
    <row r="113">
      <c r="A113" s="2"/>
      <c r="B113" s="8" t="str">
        <f>IFERROR(__xludf.DUMMYFUNCTION("""COMPUTED_VALUE"""),"CHRISTOFER NICHOLAUS")</f>
        <v>CHRISTOFER NICHOLAUS</v>
      </c>
      <c r="C113" s="8" t="str">
        <f>IFERROR(__xludf.DUMMYFUNCTION("""COMPUTED_VALUE"""),"C9223011117")</f>
        <v>C9223011117</v>
      </c>
      <c r="D113" s="8">
        <f>IFERROR(__xludf.DUMMYFUNCTION("""COMPUTED_VALUE"""),33.0)</f>
        <v>33</v>
      </c>
      <c r="E113" s="2"/>
    </row>
    <row r="114">
      <c r="A114" s="2"/>
      <c r="B114" s="8" t="str">
        <f>IFERROR(__xludf.DUMMYFUNCTION("""COMPUTED_VALUE"""),"NAYLA CHAIRANI")</f>
        <v>NAYLA CHAIRANI</v>
      </c>
      <c r="C114" s="8" t="str">
        <f>IFERROR(__xludf.DUMMYFUNCTION("""COMPUTED_VALUE"""),"N0823019915")</f>
        <v>N0823019915</v>
      </c>
      <c r="D114" s="8">
        <f>IFERROR(__xludf.DUMMYFUNCTION("""COMPUTED_VALUE"""),17.0)</f>
        <v>17</v>
      </c>
      <c r="E114" s="2"/>
    </row>
    <row r="115">
      <c r="A115" s="2"/>
      <c r="B115" s="8" t="str">
        <f>IFERROR(__xludf.DUMMYFUNCTION("""COMPUTED_VALUE"""),"ANDITTYA ANDINI")</f>
        <v>ANDITTYA ANDINI</v>
      </c>
      <c r="C115" s="8" t="str">
        <f>IFERROR(__xludf.DUMMYFUNCTION("""COMPUTED_VALUE"""),"A0323027186")</f>
        <v>A0323027186</v>
      </c>
      <c r="D115" s="8">
        <f>IFERROR(__xludf.DUMMYFUNCTION("""COMPUTED_VALUE"""),23.0)</f>
        <v>23</v>
      </c>
      <c r="E115" s="2"/>
    </row>
    <row r="116">
      <c r="A116" s="2"/>
      <c r="B116" s="8" t="str">
        <f>IFERROR(__xludf.DUMMYFUNCTION("""COMPUTED_VALUE"""),"FAUZAN ASKAR")</f>
        <v>FAUZAN ASKAR</v>
      </c>
      <c r="C116" s="8" t="str">
        <f>IFERROR(__xludf.DUMMYFUNCTION("""COMPUTED_VALUE"""),"F9323020350")</f>
        <v>F9323020350</v>
      </c>
      <c r="D116" s="8">
        <f>IFERROR(__xludf.DUMMYFUNCTION("""COMPUTED_VALUE"""),33.0)</f>
        <v>33</v>
      </c>
      <c r="E116" s="2"/>
    </row>
    <row r="117">
      <c r="A117" s="2"/>
      <c r="B117" s="8" t="str">
        <f>IFERROR(__xludf.DUMMYFUNCTION("""COMPUTED_VALUE"""),"MAWARDI")</f>
        <v>MAWARDI</v>
      </c>
      <c r="C117" s="8" t="str">
        <f>IFERROR(__xludf.DUMMYFUNCTION("""COMPUTED_VALUE"""),"M9323023413")</f>
        <v>M9323023413</v>
      </c>
      <c r="D117" s="8">
        <f>IFERROR(__xludf.DUMMYFUNCTION("""COMPUTED_VALUE"""),33.0)</f>
        <v>33</v>
      </c>
      <c r="E117" s="2"/>
    </row>
    <row r="118">
      <c r="A118" s="2"/>
      <c r="B118" s="8" t="str">
        <f>IFERROR(__xludf.DUMMYFUNCTION("""COMPUTED_VALUE"""),"WISNUNANDAR SANTOSO")</f>
        <v>WISNUNANDAR SANTOSO</v>
      </c>
      <c r="C118" s="8" t="str">
        <f>IFERROR(__xludf.DUMMYFUNCTION("""COMPUTED_VALUE"""),"W9623025042")</f>
        <v>W9623025042</v>
      </c>
      <c r="D118" s="8">
        <f>IFERROR(__xludf.DUMMYFUNCTION("""COMPUTED_VALUE"""),30.0)</f>
        <v>30</v>
      </c>
      <c r="E118" s="2"/>
    </row>
    <row r="119">
      <c r="A119" s="2"/>
      <c r="B119" s="8" t="str">
        <f>IFERROR(__xludf.DUMMYFUNCTION("""COMPUTED_VALUE"""),"HADI PRATAMA")</f>
        <v>HADI PRATAMA</v>
      </c>
      <c r="C119" s="8" t="str">
        <f>IFERROR(__xludf.DUMMYFUNCTION("""COMPUTED_VALUE"""),"H8923022234")</f>
        <v>H8923022234</v>
      </c>
      <c r="D119" s="8">
        <f>IFERROR(__xludf.DUMMYFUNCTION("""COMPUTED_VALUE"""),37.0)</f>
        <v>37</v>
      </c>
      <c r="E119" s="2"/>
    </row>
    <row r="120">
      <c r="A120" s="2"/>
      <c r="B120" s="8" t="str">
        <f>IFERROR(__xludf.DUMMYFUNCTION("""COMPUTED_VALUE"""),"NANDA M SHAUQIE")</f>
        <v>NANDA M SHAUQIE</v>
      </c>
      <c r="C120" s="8" t="str">
        <f>IFERROR(__xludf.DUMMYFUNCTION("""COMPUTED_VALUE"""),"N9323021358")</f>
        <v>N9323021358</v>
      </c>
      <c r="D120" s="8">
        <f>IFERROR(__xludf.DUMMYFUNCTION("""COMPUTED_VALUE"""),33.0)</f>
        <v>33</v>
      </c>
      <c r="E120" s="2"/>
    </row>
    <row r="121">
      <c r="A121" s="2"/>
      <c r="B121" s="8" t="str">
        <f>IFERROR(__xludf.DUMMYFUNCTION("""COMPUTED_VALUE"""),"RIKO PRASETYO")</f>
        <v>RIKO PRASETYO</v>
      </c>
      <c r="C121" s="8" t="str">
        <f>IFERROR(__xludf.DUMMYFUNCTION("""COMPUTED_VALUE"""),"R9923026333")</f>
        <v>R9923026333</v>
      </c>
      <c r="D121" s="8">
        <f>IFERROR(__xludf.DUMMYFUNCTION("""COMPUTED_VALUE"""),27.0)</f>
        <v>27</v>
      </c>
      <c r="E121" s="2"/>
    </row>
    <row r="122">
      <c r="A122" s="2"/>
      <c r="B122" s="8" t="str">
        <f>IFERROR(__xludf.DUMMYFUNCTION("""COMPUTED_VALUE"""),"INDAH KRISTI AUDI")</f>
        <v>INDAH KRISTI AUDI</v>
      </c>
      <c r="C122" s="8" t="str">
        <f>IFERROR(__xludf.DUMMYFUNCTION("""COMPUTED_VALUE"""),"I0023024097")</f>
        <v>I0023024097</v>
      </c>
      <c r="D122" s="8">
        <f>IFERROR(__xludf.DUMMYFUNCTION("""COMPUTED_VALUE"""),25.0)</f>
        <v>25</v>
      </c>
      <c r="E122" s="2"/>
    </row>
    <row r="123">
      <c r="A123" s="2"/>
      <c r="B123" s="8" t="str">
        <f>IFERROR(__xludf.DUMMYFUNCTION("""COMPUTED_VALUE"""),"ANI WATI")</f>
        <v>ANI WATI</v>
      </c>
      <c r="C123" s="8" t="str">
        <f>IFERROR(__xludf.DUMMYFUNCTION("""COMPUTED_VALUE"""),"A5423026842")</f>
        <v>A5423026842</v>
      </c>
      <c r="D123" s="8">
        <f>IFERROR(__xludf.DUMMYFUNCTION("""COMPUTED_VALUE"""),72.0)</f>
        <v>72</v>
      </c>
      <c r="E123" s="2"/>
    </row>
    <row r="124">
      <c r="A124" s="2"/>
      <c r="B124" s="8" t="str">
        <f>IFERROR(__xludf.DUMMYFUNCTION("""COMPUTED_VALUE"""),"M HANIF HILMI")</f>
        <v>M HANIF HILMI</v>
      </c>
      <c r="C124" s="8" t="str">
        <f>IFERROR(__xludf.DUMMYFUNCTION("""COMPUTED_VALUE"""),"M1123026696")</f>
        <v>M1123026696</v>
      </c>
      <c r="D124" s="8">
        <f>IFERROR(__xludf.DUMMYFUNCTION("""COMPUTED_VALUE"""),14.0)</f>
        <v>14</v>
      </c>
      <c r="E124" s="2"/>
    </row>
    <row r="125">
      <c r="A125" s="2"/>
      <c r="B125" s="8" t="str">
        <f>IFERROR(__xludf.DUMMYFUNCTION("""COMPUTED_VALUE"""),"ARIF WICAKSONO")</f>
        <v>ARIF WICAKSONO</v>
      </c>
      <c r="C125" s="8" t="str">
        <f>IFERROR(__xludf.DUMMYFUNCTION("""COMPUTED_VALUE"""),"A9623024664")</f>
        <v>A9623024664</v>
      </c>
      <c r="D125" s="8">
        <f>IFERROR(__xludf.DUMMYFUNCTION("""COMPUTED_VALUE"""),30.0)</f>
        <v>30</v>
      </c>
      <c r="E125" s="2"/>
    </row>
    <row r="126">
      <c r="A126" s="2"/>
      <c r="B126" s="8" t="str">
        <f>IFERROR(__xludf.DUMMYFUNCTION("""COMPUTED_VALUE"""),"URAY SHEILA ANNISA AULIA")</f>
        <v>URAY SHEILA ANNISA AULIA</v>
      </c>
      <c r="C126" s="8" t="str">
        <f>IFERROR(__xludf.DUMMYFUNCTION("""COMPUTED_VALUE"""),"U0423025464")</f>
        <v>U0423025464</v>
      </c>
      <c r="D126" s="8">
        <f>IFERROR(__xludf.DUMMYFUNCTION("""COMPUTED_VALUE"""),21.0)</f>
        <v>21</v>
      </c>
      <c r="E126" s="2"/>
    </row>
    <row r="127">
      <c r="A127" s="2"/>
      <c r="B127" s="8" t="str">
        <f>IFERROR(__xludf.DUMMYFUNCTION("""COMPUTED_VALUE"""),"NAUFAL ARYA IRAWAN PUTRA")</f>
        <v>NAUFAL ARYA IRAWAN PUTRA</v>
      </c>
      <c r="C127" s="8" t="str">
        <f>IFERROR(__xludf.DUMMYFUNCTION("""COMPUTED_VALUE"""),"N0423029831")</f>
        <v>N0423029831</v>
      </c>
      <c r="D127" s="8">
        <f>IFERROR(__xludf.DUMMYFUNCTION("""COMPUTED_VALUE"""),22.0)</f>
        <v>22</v>
      </c>
      <c r="E127" s="2"/>
    </row>
    <row r="128">
      <c r="A128" s="2"/>
      <c r="B128" s="8" t="str">
        <f>IFERROR(__xludf.DUMMYFUNCTION("""COMPUTED_VALUE"""),"ANUGRAH D. ARI")</f>
        <v>ANUGRAH D. ARI</v>
      </c>
      <c r="C128" s="8" t="str">
        <f>IFERROR(__xludf.DUMMYFUNCTION("""COMPUTED_VALUE"""),"A9323020943")</f>
        <v>A9323020943</v>
      </c>
      <c r="D128" s="8">
        <f>IFERROR(__xludf.DUMMYFUNCTION("""COMPUTED_VALUE"""),32.0)</f>
        <v>32</v>
      </c>
      <c r="E128" s="2"/>
    </row>
    <row r="129">
      <c r="A129" s="2"/>
      <c r="B129" s="8" t="str">
        <f>IFERROR(__xludf.DUMMYFUNCTION("""COMPUTED_VALUE"""),"ARIES SANDYANDI")</f>
        <v>ARIES SANDYANDI</v>
      </c>
      <c r="C129" s="8" t="str">
        <f>IFERROR(__xludf.DUMMYFUNCTION("""COMPUTED_VALUE"""),"A9723027716")</f>
        <v>A9723027716</v>
      </c>
      <c r="D129" s="8">
        <f>IFERROR(__xludf.DUMMYFUNCTION("""COMPUTED_VALUE"""),29.0)</f>
        <v>29</v>
      </c>
      <c r="E129" s="2"/>
    </row>
    <row r="130">
      <c r="A130" s="2"/>
      <c r="B130" s="8" t="str">
        <f>IFERROR(__xludf.DUMMYFUNCTION("""COMPUTED_VALUE"""),"KENZO WINLIN")</f>
        <v>KENZO WINLIN</v>
      </c>
      <c r="C130" s="8" t="str">
        <f>IFERROR(__xludf.DUMMYFUNCTION("""COMPUTED_VALUE"""),"K1123020083")</f>
        <v>K1123020083</v>
      </c>
      <c r="D130" s="8">
        <f>IFERROR(__xludf.DUMMYFUNCTION("""COMPUTED_VALUE"""),15.0)</f>
        <v>15</v>
      </c>
      <c r="E130" s="2"/>
    </row>
    <row r="131">
      <c r="A131" s="2"/>
      <c r="B131" s="8" t="str">
        <f>IFERROR(__xludf.DUMMYFUNCTION("""COMPUTED_VALUE"""),"ZINEDINE AL HAADII")</f>
        <v>ZINEDINE AL HAADII</v>
      </c>
      <c r="C131" s="8" t="str">
        <f>IFERROR(__xludf.DUMMYFUNCTION("""COMPUTED_VALUE"""),"Z0723022066")</f>
        <v>Z0723022066</v>
      </c>
      <c r="D131" s="8">
        <f>IFERROR(__xludf.DUMMYFUNCTION("""COMPUTED_VALUE"""),19.0)</f>
        <v>19</v>
      </c>
      <c r="E131" s="2"/>
    </row>
    <row r="132">
      <c r="A132" s="2"/>
      <c r="B132" s="8" t="str">
        <f>IFERROR(__xludf.DUMMYFUNCTION("""COMPUTED_VALUE"""),"RIANTIN")</f>
        <v>RIANTIN</v>
      </c>
      <c r="C132" s="8" t="str">
        <f>IFERROR(__xludf.DUMMYFUNCTION("""COMPUTED_VALUE"""),"R7723022907")</f>
        <v>R7723022907</v>
      </c>
      <c r="D132" s="8">
        <f>IFERROR(__xludf.DUMMYFUNCTION("""COMPUTED_VALUE"""),49.0)</f>
        <v>49</v>
      </c>
      <c r="E132" s="2"/>
    </row>
    <row r="133">
      <c r="A133" s="2"/>
      <c r="B133" s="8" t="str">
        <f>IFERROR(__xludf.DUMMYFUNCTION("""COMPUTED_VALUE"""),"EKA ARIANDY")</f>
        <v>EKA ARIANDY</v>
      </c>
      <c r="C133" s="8" t="str">
        <f>IFERROR(__xludf.DUMMYFUNCTION("""COMPUTED_VALUE"""),"E8323022005")</f>
        <v>E8323022005</v>
      </c>
      <c r="D133" s="8">
        <f>IFERROR(__xludf.DUMMYFUNCTION("""COMPUTED_VALUE"""),43.0)</f>
        <v>43</v>
      </c>
      <c r="E133" s="2"/>
    </row>
    <row r="134">
      <c r="A134" s="2"/>
      <c r="B134" s="8" t="str">
        <f>IFERROR(__xludf.DUMMYFUNCTION("""COMPUTED_VALUE"""),"HENCENT MINANTO")</f>
        <v>HENCENT MINANTO</v>
      </c>
      <c r="C134" s="8" t="str">
        <f>IFERROR(__xludf.DUMMYFUNCTION("""COMPUTED_VALUE"""),"H9623022867")</f>
        <v>H9623022867</v>
      </c>
      <c r="D134" s="8">
        <f>IFERROR(__xludf.DUMMYFUNCTION("""COMPUTED_VALUE"""),29.0)</f>
        <v>29</v>
      </c>
      <c r="E134" s="2"/>
    </row>
    <row r="135">
      <c r="A135" s="2"/>
      <c r="B135" s="8" t="str">
        <f>IFERROR(__xludf.DUMMYFUNCTION("""COMPUTED_VALUE"""),"HENDRY WAHYONO")</f>
        <v>HENDRY WAHYONO</v>
      </c>
      <c r="C135" s="8" t="str">
        <f>IFERROR(__xludf.DUMMYFUNCTION("""COMPUTED_VALUE"""),"H7123024397")</f>
        <v>H7123024397</v>
      </c>
      <c r="D135" s="8">
        <f>IFERROR(__xludf.DUMMYFUNCTION("""COMPUTED_VALUE"""),55.0)</f>
        <v>55</v>
      </c>
      <c r="E135" s="2"/>
    </row>
    <row r="136">
      <c r="A136" s="2"/>
      <c r="B136" s="8" t="str">
        <f>IFERROR(__xludf.DUMMYFUNCTION("""COMPUTED_VALUE"""),"MARUPA SAGALA")</f>
        <v>MARUPA SAGALA</v>
      </c>
      <c r="C136" s="8" t="str">
        <f>IFERROR(__xludf.DUMMYFUNCTION("""COMPUTED_VALUE"""),"M7623025705")</f>
        <v>M7623025705</v>
      </c>
      <c r="D136" s="8">
        <f>IFERROR(__xludf.DUMMYFUNCTION("""COMPUTED_VALUE"""),50.0)</f>
        <v>50</v>
      </c>
      <c r="E136" s="2"/>
    </row>
    <row r="137">
      <c r="A137" s="2"/>
      <c r="B137" s="8" t="str">
        <f>IFERROR(__xludf.DUMMYFUNCTION("""COMPUTED_VALUE"""),"RIZKA TRI WARDHANI")</f>
        <v>RIZKA TRI WARDHANI</v>
      </c>
      <c r="C137" s="8" t="str">
        <f>IFERROR(__xludf.DUMMYFUNCTION("""COMPUTED_VALUE"""),"R9123026668")</f>
        <v>R9123026668</v>
      </c>
      <c r="D137" s="8">
        <f>IFERROR(__xludf.DUMMYFUNCTION("""COMPUTED_VALUE"""),35.0)</f>
        <v>35</v>
      </c>
      <c r="E137" s="2"/>
    </row>
    <row r="138">
      <c r="A138" s="2"/>
      <c r="B138" s="8" t="str">
        <f>IFERROR(__xludf.DUMMYFUNCTION("""COMPUTED_VALUE"""),"ARVIZA ALIFIANDRQ PRATAMA")</f>
        <v>ARVIZA ALIFIANDRQ PRATAMA</v>
      </c>
      <c r="C138" s="8" t="str">
        <f>IFERROR(__xludf.DUMMYFUNCTION("""COMPUTED_VALUE"""),"A1423027269")</f>
        <v>A1423027269</v>
      </c>
      <c r="D138" s="8">
        <f>IFERROR(__xludf.DUMMYFUNCTION("""COMPUTED_VALUE"""),11.0)</f>
        <v>11</v>
      </c>
      <c r="E138" s="2"/>
    </row>
    <row r="139">
      <c r="A139" s="2"/>
      <c r="B139" s="8" t="str">
        <f>IFERROR(__xludf.DUMMYFUNCTION("""COMPUTED_VALUE"""),"FATHUR AHLAN ALVARO")</f>
        <v>FATHUR AHLAN ALVARO</v>
      </c>
      <c r="C139" s="8" t="str">
        <f>IFERROR(__xludf.DUMMYFUNCTION("""COMPUTED_VALUE"""),"F1023022717")</f>
        <v>F1023022717</v>
      </c>
      <c r="D139" s="8">
        <f>IFERROR(__xludf.DUMMYFUNCTION("""COMPUTED_VALUE"""),16.0)</f>
        <v>16</v>
      </c>
      <c r="E139" s="2"/>
    </row>
    <row r="140">
      <c r="A140" s="2"/>
      <c r="B140" s="8" t="str">
        <f>IFERROR(__xludf.DUMMYFUNCTION("""COMPUTED_VALUE"""),"FITRI AYU RAMADHANTI")</f>
        <v>FITRI AYU RAMADHANTI</v>
      </c>
      <c r="C140" s="8" t="str">
        <f>IFERROR(__xludf.DUMMYFUNCTION("""COMPUTED_VALUE"""),"F9923027126")</f>
        <v>F9923027126</v>
      </c>
      <c r="D140" s="8">
        <f>IFERROR(__xludf.DUMMYFUNCTION("""COMPUTED_VALUE"""),27.0)</f>
        <v>27</v>
      </c>
      <c r="E140" s="2"/>
    </row>
    <row r="141">
      <c r="A141" s="2"/>
      <c r="B141" s="8" t="str">
        <f>IFERROR(__xludf.DUMMYFUNCTION("""COMPUTED_VALUE"""),"RAJA AQSHA P")</f>
        <v>RAJA AQSHA P</v>
      </c>
      <c r="C141" s="8" t="str">
        <f>IFERROR(__xludf.DUMMYFUNCTION("""COMPUTED_VALUE"""),"R1023025743")</f>
        <v>R1023025743</v>
      </c>
      <c r="D141" s="8">
        <f>IFERROR(__xludf.DUMMYFUNCTION("""COMPUTED_VALUE"""),16.0)</f>
        <v>16</v>
      </c>
      <c r="E141" s="2"/>
    </row>
    <row r="142">
      <c r="A142" s="2"/>
      <c r="B142" s="8" t="str">
        <f>IFERROR(__xludf.DUMMYFUNCTION("""COMPUTED_VALUE"""),"ROMY ERLANGGA")</f>
        <v>ROMY ERLANGGA</v>
      </c>
      <c r="C142" s="8" t="str">
        <f>IFERROR(__xludf.DUMMYFUNCTION("""COMPUTED_VALUE"""),"R8723026176")</f>
        <v>R8723026176</v>
      </c>
      <c r="D142" s="8">
        <f>IFERROR(__xludf.DUMMYFUNCTION("""COMPUTED_VALUE"""),39.0)</f>
        <v>39</v>
      </c>
      <c r="E142" s="2"/>
    </row>
    <row r="143">
      <c r="A143" s="2"/>
      <c r="B143" s="8" t="str">
        <f>IFERROR(__xludf.DUMMYFUNCTION("""COMPUTED_VALUE"""),"SYAHRIAL")</f>
        <v>SYAHRIAL</v>
      </c>
      <c r="C143" s="8" t="str">
        <f>IFERROR(__xludf.DUMMYFUNCTION("""COMPUTED_VALUE"""),"S7523022111")</f>
        <v>S7523022111</v>
      </c>
      <c r="D143" s="8">
        <f>IFERROR(__xludf.DUMMYFUNCTION("""COMPUTED_VALUE"""),51.0)</f>
        <v>51</v>
      </c>
      <c r="E143" s="2"/>
    </row>
    <row r="144">
      <c r="A144" s="2"/>
      <c r="B144" s="8" t="str">
        <f>IFERROR(__xludf.DUMMYFUNCTION("""COMPUTED_VALUE"""),"DODI SURIYADI")</f>
        <v>DODI SURIYADI</v>
      </c>
      <c r="C144" s="8" t="str">
        <f>IFERROR(__xludf.DUMMYFUNCTION("""COMPUTED_VALUE"""),"D7023021970")</f>
        <v>D7023021970</v>
      </c>
      <c r="D144" s="8">
        <f>IFERROR(__xludf.DUMMYFUNCTION("""COMPUTED_VALUE"""),56.0)</f>
        <v>56</v>
      </c>
      <c r="E144" s="2"/>
    </row>
    <row r="145">
      <c r="A145" s="2"/>
      <c r="B145" s="8" t="str">
        <f>IFERROR(__xludf.DUMMYFUNCTION("""COMPUTED_VALUE"""),"PUJI ASTUTI")</f>
        <v>PUJI ASTUTI</v>
      </c>
      <c r="C145" s="8" t="str">
        <f>IFERROR(__xludf.DUMMYFUNCTION("""COMPUTED_VALUE"""),"P8623020320")</f>
        <v>P8623020320</v>
      </c>
      <c r="D145" s="8">
        <f>IFERROR(__xludf.DUMMYFUNCTION("""COMPUTED_VALUE"""),40.0)</f>
        <v>40</v>
      </c>
      <c r="E145" s="2"/>
    </row>
    <row r="146">
      <c r="A146" s="2"/>
      <c r="B146" s="8" t="str">
        <f>IFERROR(__xludf.DUMMYFUNCTION("""COMPUTED_VALUE"""),"ADNAN PRAMUDIO")</f>
        <v>ADNAN PRAMUDIO</v>
      </c>
      <c r="C146" s="8" t="str">
        <f>IFERROR(__xludf.DUMMYFUNCTION("""COMPUTED_VALUE"""),"A9323025721")</f>
        <v>A9323025721</v>
      </c>
      <c r="D146" s="8">
        <f>IFERROR(__xludf.DUMMYFUNCTION("""COMPUTED_VALUE"""),33.0)</f>
        <v>33</v>
      </c>
      <c r="E146" s="2"/>
    </row>
    <row r="147">
      <c r="A147" s="2"/>
      <c r="B147" s="8" t="str">
        <f>IFERROR(__xludf.DUMMYFUNCTION("""COMPUTED_VALUE"""),"AHMAD NAZRAN")</f>
        <v>AHMAD NAZRAN</v>
      </c>
      <c r="C147" s="8" t="str">
        <f>IFERROR(__xludf.DUMMYFUNCTION("""COMPUTED_VALUE"""),"A9723026314")</f>
        <v>A9723026314</v>
      </c>
      <c r="D147" s="8">
        <f>IFERROR(__xludf.DUMMYFUNCTION("""COMPUTED_VALUE"""),29.0)</f>
        <v>29</v>
      </c>
      <c r="E147" s="2"/>
    </row>
    <row r="148">
      <c r="A148" s="2"/>
      <c r="B148" s="8" t="str">
        <f>IFERROR(__xludf.DUMMYFUNCTION("""COMPUTED_VALUE"""),"BERNADUS MILINIUS")</f>
        <v>BERNADUS MILINIUS</v>
      </c>
      <c r="C148" s="8" t="str">
        <f>IFERROR(__xludf.DUMMYFUNCTION("""COMPUTED_VALUE"""),"B0023023780")</f>
        <v>B0023023780</v>
      </c>
      <c r="D148" s="8">
        <f>IFERROR(__xludf.DUMMYFUNCTION("""COMPUTED_VALUE"""),26.0)</f>
        <v>26</v>
      </c>
      <c r="E148" s="2"/>
    </row>
    <row r="149">
      <c r="A149" s="2"/>
      <c r="B149" s="8" t="str">
        <f>IFERROR(__xludf.DUMMYFUNCTION("""COMPUTED_VALUE"""),"BURHAN")</f>
        <v>BURHAN</v>
      </c>
      <c r="C149" s="8" t="str">
        <f>IFERROR(__xludf.DUMMYFUNCTION("""COMPUTED_VALUE"""),"B6323026014")</f>
        <v>B6323026014</v>
      </c>
      <c r="D149" s="8">
        <f>IFERROR(__xludf.DUMMYFUNCTION("""COMPUTED_VALUE"""),62.0)</f>
        <v>62</v>
      </c>
      <c r="E149" s="2"/>
    </row>
    <row r="150">
      <c r="A150" s="2"/>
      <c r="B150" s="8" t="str">
        <f>IFERROR(__xludf.DUMMYFUNCTION("""COMPUTED_VALUE"""),"RICKY")</f>
        <v>RICKY</v>
      </c>
      <c r="C150" s="8" t="str">
        <f>IFERROR(__xludf.DUMMYFUNCTION("""COMPUTED_VALUE"""),"R0123024442")</f>
        <v>R0123024442</v>
      </c>
      <c r="D150" s="8">
        <f>IFERROR(__xludf.DUMMYFUNCTION("""COMPUTED_VALUE"""),25.0)</f>
        <v>25</v>
      </c>
      <c r="E150" s="2"/>
    </row>
    <row r="151">
      <c r="A151" s="2"/>
      <c r="B151" s="8" t="str">
        <f>IFERROR(__xludf.DUMMYFUNCTION("""COMPUTED_VALUE"""),"ENDANG SUAIDAH")</f>
        <v>ENDANG SUAIDAH</v>
      </c>
      <c r="C151" s="8" t="str">
        <f>IFERROR(__xludf.DUMMYFUNCTION("""COMPUTED_VALUE"""),"E7223028000")</f>
        <v>E7223028000</v>
      </c>
      <c r="D151" s="8">
        <f>IFERROR(__xludf.DUMMYFUNCTION("""COMPUTED_VALUE"""),53.0)</f>
        <v>53</v>
      </c>
      <c r="E151" s="2"/>
    </row>
    <row r="152">
      <c r="A152" s="2"/>
      <c r="B152" s="8" t="str">
        <f>IFERROR(__xludf.DUMMYFUNCTION("""COMPUTED_VALUE"""),"KINARA SHALWA MIKHAYLA")</f>
        <v>KINARA SHALWA MIKHAYLA</v>
      </c>
      <c r="C152" s="8" t="str">
        <f>IFERROR(__xludf.DUMMYFUNCTION("""COMPUTED_VALUE"""),"K1423026996")</f>
        <v>K1423026996</v>
      </c>
      <c r="D152" s="8">
        <f>IFERROR(__xludf.DUMMYFUNCTION("""COMPUTED_VALUE"""),12.0)</f>
        <v>12</v>
      </c>
      <c r="E152" s="2"/>
    </row>
    <row r="153">
      <c r="A153" s="2"/>
      <c r="B153" s="8" t="str">
        <f>IFERROR(__xludf.DUMMYFUNCTION("""COMPUTED_VALUE"""),"MURNI YUS ANAS")</f>
        <v>MURNI YUS ANAS</v>
      </c>
      <c r="C153" s="8" t="str">
        <f>IFERROR(__xludf.DUMMYFUNCTION("""COMPUTED_VALUE"""),"M6023025875")</f>
        <v>M6023025875</v>
      </c>
      <c r="D153" s="8">
        <f>IFERROR(__xludf.DUMMYFUNCTION("""COMPUTED_VALUE"""),65.0)</f>
        <v>65</v>
      </c>
      <c r="E153" s="2"/>
    </row>
    <row r="154">
      <c r="A154" s="2"/>
      <c r="B154" s="8" t="str">
        <f>IFERROR(__xludf.DUMMYFUNCTION("""COMPUTED_VALUE"""),"PURMAWATI")</f>
        <v>PURMAWATI</v>
      </c>
      <c r="C154" s="8" t="str">
        <f>IFERROR(__xludf.DUMMYFUNCTION("""COMPUTED_VALUE"""),"P5923029996")</f>
        <v>P5923029996</v>
      </c>
      <c r="D154" s="8">
        <f>IFERROR(__xludf.DUMMYFUNCTION("""COMPUTED_VALUE"""),66.0)</f>
        <v>66</v>
      </c>
      <c r="E154" s="2"/>
    </row>
    <row r="155">
      <c r="A155" s="2"/>
      <c r="B155" s="8" t="str">
        <f>IFERROR(__xludf.DUMMYFUNCTION("""COMPUTED_VALUE"""),"SARBANI")</f>
        <v>SARBANI</v>
      </c>
      <c r="C155" s="8" t="str">
        <f>IFERROR(__xludf.DUMMYFUNCTION("""COMPUTED_VALUE"""),"S6023020000")</f>
        <v>S6023020000</v>
      </c>
      <c r="D155" s="8">
        <f>IFERROR(__xludf.DUMMYFUNCTION("""COMPUTED_VALUE"""),65.0)</f>
        <v>65</v>
      </c>
      <c r="E155" s="2"/>
    </row>
    <row r="156">
      <c r="A156" s="2"/>
      <c r="B156" s="8" t="str">
        <f>IFERROR(__xludf.DUMMYFUNCTION("""COMPUTED_VALUE"""),"ARDILA ARZETA")</f>
        <v>ARDILA ARZETA</v>
      </c>
      <c r="C156" s="8" t="str">
        <f>IFERROR(__xludf.DUMMYFUNCTION("""COMPUTED_VALUE"""),"A0323029483")</f>
        <v>A0323029483</v>
      </c>
      <c r="D156" s="8">
        <f>IFERROR(__xludf.DUMMYFUNCTION("""COMPUTED_VALUE"""),22.0)</f>
        <v>22</v>
      </c>
      <c r="E156" s="2"/>
    </row>
    <row r="157">
      <c r="A157" s="2"/>
      <c r="B157" s="8" t="str">
        <f>IFERROR(__xludf.DUMMYFUNCTION("""COMPUTED_VALUE"""),"EKO SUPRIHATINO")</f>
        <v>EKO SUPRIHATINO</v>
      </c>
      <c r="C157" s="8" t="str">
        <f>IFERROR(__xludf.DUMMYFUNCTION("""COMPUTED_VALUE"""),"E7223023777")</f>
        <v>E7223023777</v>
      </c>
      <c r="D157" s="8">
        <f>IFERROR(__xludf.DUMMYFUNCTION("""COMPUTED_VALUE"""),54.0)</f>
        <v>54</v>
      </c>
      <c r="E157" s="2"/>
    </row>
    <row r="158">
      <c r="A158" s="2"/>
      <c r="B158" s="8" t="str">
        <f>IFERROR(__xludf.DUMMYFUNCTION("""COMPUTED_VALUE"""),"HEDI SURYADI")</f>
        <v>HEDI SURYADI</v>
      </c>
      <c r="C158" s="8" t="str">
        <f>IFERROR(__xludf.DUMMYFUNCTION("""COMPUTED_VALUE"""),"H9623023395")</f>
        <v>H9623023395</v>
      </c>
      <c r="D158" s="8">
        <f>IFERROR(__xludf.DUMMYFUNCTION("""COMPUTED_VALUE"""),29.0)</f>
        <v>29</v>
      </c>
      <c r="E158" s="2"/>
    </row>
    <row r="159">
      <c r="A159" s="2"/>
      <c r="B159" s="8" t="str">
        <f>IFERROR(__xludf.DUMMYFUNCTION("""COMPUTED_VALUE"""),"ITA PURNAMA")</f>
        <v>ITA PURNAMA</v>
      </c>
      <c r="C159" s="8" t="str">
        <f>IFERROR(__xludf.DUMMYFUNCTION("""COMPUTED_VALUE"""),"I6623028423")</f>
        <v>I6623028423</v>
      </c>
      <c r="D159" s="8">
        <f>IFERROR(__xludf.DUMMYFUNCTION("""COMPUTED_VALUE"""),59.0)</f>
        <v>59</v>
      </c>
      <c r="E159" s="2"/>
    </row>
    <row r="160">
      <c r="A160" s="2"/>
      <c r="B160" s="8" t="str">
        <f>IFERROR(__xludf.DUMMYFUNCTION("""COMPUTED_VALUE"""),"LEO NATHANAEL LAURENT")</f>
        <v>LEO NATHANAEL LAURENT</v>
      </c>
      <c r="C160" s="8" t="str">
        <f>IFERROR(__xludf.DUMMYFUNCTION("""COMPUTED_VALUE"""),"L1423029798")</f>
        <v>L1423029798</v>
      </c>
      <c r="D160" s="8">
        <f>IFERROR(__xludf.DUMMYFUNCTION("""COMPUTED_VALUE"""),12.0)</f>
        <v>12</v>
      </c>
      <c r="E160" s="2"/>
    </row>
    <row r="161">
      <c r="A161" s="2"/>
      <c r="B161" s="8" t="str">
        <f>IFERROR(__xludf.DUMMYFUNCTION("""COMPUTED_VALUE"""),"SYELLA WAHYU PUTRI ARYANTO")</f>
        <v>SYELLA WAHYU PUTRI ARYANTO</v>
      </c>
      <c r="C161" s="8" t="str">
        <f>IFERROR(__xludf.DUMMYFUNCTION("""COMPUTED_VALUE"""),"S8823027049")</f>
        <v>S8823027049</v>
      </c>
      <c r="D161" s="8">
        <f>IFERROR(__xludf.DUMMYFUNCTION("""COMPUTED_VALUE"""),38.0)</f>
        <v>38</v>
      </c>
      <c r="E161" s="2"/>
    </row>
    <row r="162">
      <c r="A162" s="2"/>
      <c r="B162" s="8" t="str">
        <f>IFERROR(__xludf.DUMMYFUNCTION("""COMPUTED_VALUE"""),"ANETHA AVERIL CORNELIA")</f>
        <v>ANETHA AVERIL CORNELIA</v>
      </c>
      <c r="C162" s="8" t="str">
        <f>IFERROR(__xludf.DUMMYFUNCTION("""COMPUTED_VALUE"""),"A0523028996")</f>
        <v>A0523028996</v>
      </c>
      <c r="D162" s="8">
        <f>IFERROR(__xludf.DUMMYFUNCTION("""COMPUTED_VALUE"""),21.0)</f>
        <v>21</v>
      </c>
      <c r="E162" s="2"/>
    </row>
    <row r="163">
      <c r="A163" s="2"/>
      <c r="B163" s="8" t="str">
        <f>IFERROR(__xludf.DUMMYFUNCTION("""COMPUTED_VALUE"""),"FATMA NURHAYATI")</f>
        <v>FATMA NURHAYATI</v>
      </c>
      <c r="C163" s="8" t="str">
        <f>IFERROR(__xludf.DUMMYFUNCTION("""COMPUTED_VALUE"""),"F5923021150")</f>
        <v>F5923021150</v>
      </c>
      <c r="D163" s="8">
        <f>IFERROR(__xludf.DUMMYFUNCTION("""COMPUTED_VALUE"""),67.0)</f>
        <v>67</v>
      </c>
      <c r="E163" s="2"/>
    </row>
    <row r="164">
      <c r="A164" s="2"/>
      <c r="B164" s="8" t="str">
        <f>IFERROR(__xludf.DUMMYFUNCTION("""COMPUTED_VALUE"""),"NICO ADIDHARMA")</f>
        <v>NICO ADIDHARMA</v>
      </c>
      <c r="C164" s="8" t="str">
        <f>IFERROR(__xludf.DUMMYFUNCTION("""COMPUTED_VALUE"""),"N8223028356")</f>
        <v>N8223028356</v>
      </c>
      <c r="D164" s="8">
        <f>IFERROR(__xludf.DUMMYFUNCTION("""COMPUTED_VALUE"""),43.0)</f>
        <v>43</v>
      </c>
      <c r="E164" s="2"/>
    </row>
    <row r="165">
      <c r="A165" s="2"/>
      <c r="B165" s="8" t="str">
        <f>IFERROR(__xludf.DUMMYFUNCTION("""COMPUTED_VALUE"""),"VELLEN WIBOWO")</f>
        <v>VELLEN WIBOWO</v>
      </c>
      <c r="C165" s="8" t="str">
        <f>IFERROR(__xludf.DUMMYFUNCTION("""COMPUTED_VALUE"""),"V9223025562")</f>
        <v>V9223025562</v>
      </c>
      <c r="D165" s="8">
        <f>IFERROR(__xludf.DUMMYFUNCTION("""COMPUTED_VALUE"""),34.0)</f>
        <v>34</v>
      </c>
      <c r="E165" s="2"/>
    </row>
    <row r="166">
      <c r="A166" s="2"/>
      <c r="B166" s="8" t="str">
        <f>IFERROR(__xludf.DUMMYFUNCTION("""COMPUTED_VALUE"""),"DUDI HARSONO")</f>
        <v>DUDI HARSONO</v>
      </c>
      <c r="C166" s="8" t="str">
        <f>IFERROR(__xludf.DUMMYFUNCTION("""COMPUTED_VALUE"""),"D8223022134")</f>
        <v>D8223022134</v>
      </c>
      <c r="D166" s="8">
        <f>IFERROR(__xludf.DUMMYFUNCTION("""COMPUTED_VALUE"""),43.0)</f>
        <v>43</v>
      </c>
      <c r="E166" s="2"/>
    </row>
    <row r="167">
      <c r="A167" s="2"/>
      <c r="B167" s="8" t="str">
        <f>IFERROR(__xludf.DUMMYFUNCTION("""COMPUTED_VALUE"""),"FENDY")</f>
        <v>FENDY</v>
      </c>
      <c r="C167" s="8" t="str">
        <f>IFERROR(__xludf.DUMMYFUNCTION("""COMPUTED_VALUE"""),"F8423023131")</f>
        <v>F8423023131</v>
      </c>
      <c r="D167" s="8">
        <f>IFERROR(__xludf.DUMMYFUNCTION("""COMPUTED_VALUE"""),42.0)</f>
        <v>42</v>
      </c>
      <c r="E167" s="2"/>
    </row>
    <row r="168">
      <c r="A168" s="2"/>
      <c r="B168" s="8" t="str">
        <f>IFERROR(__xludf.DUMMYFUNCTION("""COMPUTED_VALUE"""),"M. HAMZAH")</f>
        <v>M. HAMZAH</v>
      </c>
      <c r="C168" s="8" t="str">
        <f>IFERROR(__xludf.DUMMYFUNCTION("""COMPUTED_VALUE"""),"M7823020278")</f>
        <v>M7823020278</v>
      </c>
      <c r="D168" s="8">
        <f>IFERROR(__xludf.DUMMYFUNCTION("""COMPUTED_VALUE"""),48.0)</f>
        <v>48</v>
      </c>
      <c r="E168" s="2"/>
    </row>
    <row r="169">
      <c r="A169" s="2"/>
      <c r="B169" s="8" t="str">
        <f>IFERROR(__xludf.DUMMYFUNCTION("""COMPUTED_VALUE"""),"NG NYUK THJIU")</f>
        <v>NG NYUK THJIU</v>
      </c>
      <c r="C169" s="8" t="str">
        <f>IFERROR(__xludf.DUMMYFUNCTION("""COMPUTED_VALUE"""),"N6223028829")</f>
        <v>N6223028829</v>
      </c>
      <c r="D169" s="8">
        <f>IFERROR(__xludf.DUMMYFUNCTION("""COMPUTED_VALUE"""),64.0)</f>
        <v>64</v>
      </c>
      <c r="E169" s="2"/>
    </row>
    <row r="170">
      <c r="A170" s="2"/>
      <c r="B170" s="8" t="str">
        <f>IFERROR(__xludf.DUMMYFUNCTION("""COMPUTED_VALUE"""),"RIZKY PRASETYA")</f>
        <v>RIZKY PRASETYA</v>
      </c>
      <c r="C170" s="8" t="str">
        <f>IFERROR(__xludf.DUMMYFUNCTION("""COMPUTED_VALUE"""),"R9123020062")</f>
        <v>R9123020062</v>
      </c>
      <c r="D170" s="8">
        <f>IFERROR(__xludf.DUMMYFUNCTION("""COMPUTED_VALUE"""),35.0)</f>
        <v>35</v>
      </c>
      <c r="E170" s="2"/>
    </row>
    <row r="171">
      <c r="A171" s="2"/>
      <c r="B171" s="8" t="str">
        <f>IFERROR(__xludf.DUMMYFUNCTION("""COMPUTED_VALUE"""),"TJUNG LIAN SIAN")</f>
        <v>TJUNG LIAN SIAN</v>
      </c>
      <c r="C171" s="8" t="str">
        <f>IFERROR(__xludf.DUMMYFUNCTION("""COMPUTED_VALUE"""),"T5923028951")</f>
        <v>T5923028951</v>
      </c>
      <c r="D171" s="8">
        <f>IFERROR(__xludf.DUMMYFUNCTION("""COMPUTED_VALUE"""),67.0)</f>
        <v>67</v>
      </c>
      <c r="E171" s="2"/>
    </row>
    <row r="172">
      <c r="A172" s="2"/>
      <c r="B172" s="8" t="str">
        <f>IFERROR(__xludf.DUMMYFUNCTION("""COMPUTED_VALUE"""),"SUSAN")</f>
        <v>SUSAN</v>
      </c>
      <c r="C172" s="8" t="str">
        <f>IFERROR(__xludf.DUMMYFUNCTION("""COMPUTED_VALUE"""),"S7623022392")</f>
        <v>S7623022392</v>
      </c>
      <c r="D172" s="8">
        <f>IFERROR(__xludf.DUMMYFUNCTION("""COMPUTED_VALUE"""),49.0)</f>
        <v>49</v>
      </c>
      <c r="E172" s="2"/>
    </row>
    <row r="173">
      <c r="A173" s="2"/>
      <c r="B173" s="8" t="str">
        <f>IFERROR(__xludf.DUMMYFUNCTION("""COMPUTED_VALUE"""),"FARHAN 1007")</f>
        <v>FARHAN 1007</v>
      </c>
      <c r="C173" s="8" t="str">
        <f>IFERROR(__xludf.DUMMYFUNCTION("""COMPUTED_VALUE"""),"F1023024870")</f>
        <v>F1023024870</v>
      </c>
      <c r="D173" s="8">
        <f>IFERROR(__xludf.DUMMYFUNCTION("""COMPUTED_VALUE"""),16.0)</f>
        <v>16</v>
      </c>
      <c r="E173" s="2"/>
    </row>
    <row r="174">
      <c r="A174" s="2"/>
      <c r="B174" s="8" t="str">
        <f>IFERROR(__xludf.DUMMYFUNCTION("""COMPUTED_VALUE"""),"NUR ANNISA")</f>
        <v>NUR ANNISA</v>
      </c>
      <c r="C174" s="8" t="str">
        <f>IFERROR(__xludf.DUMMYFUNCTION("""COMPUTED_VALUE"""),"N9623024811")</f>
        <v>N9623024811</v>
      </c>
      <c r="D174" s="8">
        <f>IFERROR(__xludf.DUMMYFUNCTION("""COMPUTED_VALUE"""),29.0)</f>
        <v>29</v>
      </c>
      <c r="E174" s="2"/>
    </row>
    <row r="175">
      <c r="A175" s="2"/>
      <c r="B175" s="8" t="str">
        <f>IFERROR(__xludf.DUMMYFUNCTION("""COMPUTED_VALUE"""),"RAYMOND FERDINAND")</f>
        <v>RAYMOND FERDINAND</v>
      </c>
      <c r="C175" s="8" t="str">
        <f>IFERROR(__xludf.DUMMYFUNCTION("""COMPUTED_VALUE"""),"R0023021918")</f>
        <v>R0023021918</v>
      </c>
      <c r="D175" s="8">
        <f>IFERROR(__xludf.DUMMYFUNCTION("""COMPUTED_VALUE"""),26.0)</f>
        <v>26</v>
      </c>
      <c r="E175" s="2"/>
    </row>
    <row r="176">
      <c r="A176" s="2"/>
      <c r="B176" s="8" t="str">
        <f>IFERROR(__xludf.DUMMYFUNCTION("""COMPUTED_VALUE"""),"RIFKI FAUZI")</f>
        <v>RIFKI FAUZI</v>
      </c>
      <c r="C176" s="8" t="str">
        <f>IFERROR(__xludf.DUMMYFUNCTION("""COMPUTED_VALUE"""),"R9323025671")</f>
        <v>R9323025671</v>
      </c>
      <c r="D176" s="8">
        <f>IFERROR(__xludf.DUMMYFUNCTION("""COMPUTED_VALUE"""),33.0)</f>
        <v>33</v>
      </c>
      <c r="E176" s="2"/>
    </row>
    <row r="177">
      <c r="A177" s="2"/>
      <c r="B177" s="8" t="str">
        <f>IFERROR(__xludf.DUMMYFUNCTION("""COMPUTED_VALUE"""),"WINDA STANZA")</f>
        <v>WINDA STANZA</v>
      </c>
      <c r="C177" s="8" t="str">
        <f>IFERROR(__xludf.DUMMYFUNCTION("""COMPUTED_VALUE"""),"W8823027511")</f>
        <v>W8823027511</v>
      </c>
      <c r="D177" s="8">
        <f>IFERROR(__xludf.DUMMYFUNCTION("""COMPUTED_VALUE"""),37.0)</f>
        <v>37</v>
      </c>
      <c r="E177" s="2"/>
    </row>
    <row r="178">
      <c r="A178" s="2"/>
      <c r="B178" s="8" t="str">
        <f>IFERROR(__xludf.DUMMYFUNCTION("""COMPUTED_VALUE"""),"LILIANA GUNAWAN")</f>
        <v>LILIANA GUNAWAN</v>
      </c>
      <c r="C178" s="8" t="str">
        <f>IFERROR(__xludf.DUMMYFUNCTION("""COMPUTED_VALUE"""),"L8723022028")</f>
        <v>L8723022028</v>
      </c>
      <c r="D178" s="8">
        <f>IFERROR(__xludf.DUMMYFUNCTION("""COMPUTED_VALUE"""),39.0)</f>
        <v>39</v>
      </c>
      <c r="E178" s="2"/>
    </row>
    <row r="179">
      <c r="A179" s="2"/>
      <c r="B179" s="8" t="str">
        <f>IFERROR(__xludf.DUMMYFUNCTION("""COMPUTED_VALUE"""),"TAUFIK MUTTAQIN")</f>
        <v>TAUFIK MUTTAQIN</v>
      </c>
      <c r="C179" s="8" t="str">
        <f>IFERROR(__xludf.DUMMYFUNCTION("""COMPUTED_VALUE"""),"T0623027099")</f>
        <v>T0623027099</v>
      </c>
      <c r="D179" s="8">
        <f>IFERROR(__xludf.DUMMYFUNCTION("""COMPUTED_VALUE"""),20.0)</f>
        <v>20</v>
      </c>
      <c r="E179" s="2"/>
    </row>
    <row r="180">
      <c r="A180" s="2"/>
      <c r="B180" s="8" t="str">
        <f>IFERROR(__xludf.DUMMYFUNCTION("""COMPUTED_VALUE"""),"AKA PRATAMA")</f>
        <v>AKA PRATAMA</v>
      </c>
      <c r="C180" s="8" t="str">
        <f>IFERROR(__xludf.DUMMYFUNCTION("""COMPUTED_VALUE"""),"A0223025155")</f>
        <v>A0223025155</v>
      </c>
      <c r="D180" s="8">
        <f>IFERROR(__xludf.DUMMYFUNCTION("""COMPUTED_VALUE"""),24.0)</f>
        <v>24</v>
      </c>
      <c r="E180" s="2"/>
    </row>
    <row r="181">
      <c r="A181" s="2"/>
      <c r="B181" s="8" t="str">
        <f>IFERROR(__xludf.DUMMYFUNCTION("""COMPUTED_VALUE"""),"MULYA")</f>
        <v>MULYA</v>
      </c>
      <c r="C181" s="8" t="str">
        <f>IFERROR(__xludf.DUMMYFUNCTION("""COMPUTED_VALUE"""),"M8723024289")</f>
        <v>M8723024289</v>
      </c>
      <c r="D181" s="8">
        <f>IFERROR(__xludf.DUMMYFUNCTION("""COMPUTED_VALUE"""),38.0)</f>
        <v>38</v>
      </c>
      <c r="E181" s="2"/>
    </row>
    <row r="182">
      <c r="A182" s="2"/>
      <c r="B182" s="8" t="str">
        <f>IFERROR(__xludf.DUMMYFUNCTION("""COMPUTED_VALUE"""),"AYUNI")</f>
        <v>AYUNI</v>
      </c>
      <c r="C182" s="8" t="str">
        <f>IFERROR(__xludf.DUMMYFUNCTION("""COMPUTED_VALUE"""),"A9823029528")</f>
        <v>A9823029528</v>
      </c>
      <c r="D182" s="8">
        <f>IFERROR(__xludf.DUMMYFUNCTION("""COMPUTED_VALUE"""),28.0)</f>
        <v>28</v>
      </c>
      <c r="E182" s="2"/>
    </row>
    <row r="183">
      <c r="A183" s="2"/>
      <c r="B183" s="8" t="str">
        <f>IFERROR(__xludf.DUMMYFUNCTION("""COMPUTED_VALUE"""),"FERNI PUSPITA")</f>
        <v>FERNI PUSPITA</v>
      </c>
      <c r="C183" s="8" t="str">
        <f>IFERROR(__xludf.DUMMYFUNCTION("""COMPUTED_VALUE"""),"F6623026735")</f>
        <v>F6623026735</v>
      </c>
      <c r="D183" s="8">
        <f>IFERROR(__xludf.DUMMYFUNCTION("""COMPUTED_VALUE"""),60.0)</f>
        <v>60</v>
      </c>
      <c r="E183" s="2"/>
    </row>
    <row r="184">
      <c r="A184" s="2"/>
      <c r="B184" s="8" t="str">
        <f>IFERROR(__xludf.DUMMYFUNCTION("""COMPUTED_VALUE"""),"RAI BINTANG ELSHIRAZY")</f>
        <v>RAI BINTANG ELSHIRAZY</v>
      </c>
      <c r="C184" s="8" t="str">
        <f>IFERROR(__xludf.DUMMYFUNCTION("""COMPUTED_VALUE"""),"R0923025321")</f>
        <v>R0923025321</v>
      </c>
      <c r="D184" s="8">
        <f>IFERROR(__xludf.DUMMYFUNCTION("""COMPUTED_VALUE"""),17.0)</f>
        <v>17</v>
      </c>
      <c r="E184" s="2"/>
    </row>
    <row r="185">
      <c r="A185" s="2"/>
      <c r="B185" s="8" t="str">
        <f>IFERROR(__xludf.DUMMYFUNCTION("""COMPUTED_VALUE"""),"MAULANA FILANI RIZAL")</f>
        <v>MAULANA FILANI RIZAL</v>
      </c>
      <c r="C185" s="8" t="str">
        <f>IFERROR(__xludf.DUMMYFUNCTION("""COMPUTED_VALUE"""),"M8123038531")</f>
        <v>M8123038531</v>
      </c>
      <c r="D185" s="8">
        <f>IFERROR(__xludf.DUMMYFUNCTION("""COMPUTED_VALUE"""),45.0)</f>
        <v>45</v>
      </c>
      <c r="E185" s="2"/>
    </row>
    <row r="186">
      <c r="A186" s="2"/>
      <c r="B186" s="8" t="str">
        <f>IFERROR(__xludf.DUMMYFUNCTION("""COMPUTED_VALUE"""),"NADIA GADIS NAMIRA")</f>
        <v>NADIA GADIS NAMIRA</v>
      </c>
      <c r="C186" s="8" t="str">
        <f>IFERROR(__xludf.DUMMYFUNCTION("""COMPUTED_VALUE"""),"N0423037312")</f>
        <v>N0423037312</v>
      </c>
      <c r="D186" s="8">
        <f>IFERROR(__xludf.DUMMYFUNCTION("""COMPUTED_VALUE"""),22.0)</f>
        <v>22</v>
      </c>
      <c r="E186" s="2"/>
    </row>
    <row r="187">
      <c r="A187" s="2"/>
      <c r="B187" s="8" t="str">
        <f>IFERROR(__xludf.DUMMYFUNCTION("""COMPUTED_VALUE"""),"M ANDREAN")</f>
        <v>M ANDREAN</v>
      </c>
      <c r="C187" s="8" t="str">
        <f>IFERROR(__xludf.DUMMYFUNCTION("""COMPUTED_VALUE"""),"M9523038177")</f>
        <v>M9523038177</v>
      </c>
      <c r="D187" s="8">
        <f>IFERROR(__xludf.DUMMYFUNCTION("""COMPUTED_VALUE"""),30.0)</f>
        <v>30</v>
      </c>
      <c r="E187" s="2"/>
    </row>
    <row r="188">
      <c r="A188" s="2"/>
      <c r="B188" s="8" t="str">
        <f>IFERROR(__xludf.DUMMYFUNCTION("""COMPUTED_VALUE"""),"ANGLITU SUHARDIMAN PUTRA")</f>
        <v>ANGLITU SUHARDIMAN PUTRA</v>
      </c>
      <c r="C188" s="8" t="str">
        <f>IFERROR(__xludf.DUMMYFUNCTION("""COMPUTED_VALUE"""),"A0023033823")</f>
        <v>A0023033823</v>
      </c>
      <c r="D188" s="8">
        <f>IFERROR(__xludf.DUMMYFUNCTION("""COMPUTED_VALUE"""),26.0)</f>
        <v>26</v>
      </c>
      <c r="E188" s="2"/>
    </row>
    <row r="189">
      <c r="A189" s="2"/>
      <c r="B189" s="8" t="str">
        <f>IFERROR(__xludf.DUMMYFUNCTION("""COMPUTED_VALUE"""),"DIYAH EKOWATI")</f>
        <v>DIYAH EKOWATI</v>
      </c>
      <c r="C189" s="8" t="str">
        <f>IFERROR(__xludf.DUMMYFUNCTION("""COMPUTED_VALUE"""),"D5723035189")</f>
        <v>D5723035189</v>
      </c>
      <c r="D189" s="8">
        <f>IFERROR(__xludf.DUMMYFUNCTION("""COMPUTED_VALUE"""),69.0)</f>
        <v>69</v>
      </c>
      <c r="E189" s="2"/>
    </row>
    <row r="190">
      <c r="A190" s="2"/>
      <c r="B190" s="8" t="str">
        <f>IFERROR(__xludf.DUMMYFUNCTION("""COMPUTED_VALUE"""),"HENDRA WAHYUDI")</f>
        <v>HENDRA WAHYUDI</v>
      </c>
      <c r="C190" s="8" t="str">
        <f>IFERROR(__xludf.DUMMYFUNCTION("""COMPUTED_VALUE"""),"H9823032560")</f>
        <v>H9823032560</v>
      </c>
      <c r="D190" s="8">
        <f>IFERROR(__xludf.DUMMYFUNCTION("""COMPUTED_VALUE"""),27.0)</f>
        <v>27</v>
      </c>
      <c r="E190" s="2"/>
    </row>
    <row r="191">
      <c r="A191" s="2"/>
      <c r="B191" s="8" t="str">
        <f>IFERROR(__xludf.DUMMYFUNCTION("""COMPUTED_VALUE"""),"KURNIASIH")</f>
        <v>KURNIASIH</v>
      </c>
      <c r="C191" s="8" t="str">
        <f>IFERROR(__xludf.DUMMYFUNCTION("""COMPUTED_VALUE"""),"K7923031679")</f>
        <v>K7923031679</v>
      </c>
      <c r="D191" s="8">
        <f>IFERROR(__xludf.DUMMYFUNCTION("""COMPUTED_VALUE"""),47.0)</f>
        <v>47</v>
      </c>
      <c r="E191" s="2"/>
    </row>
    <row r="192">
      <c r="A192" s="2"/>
      <c r="B192" s="8" t="str">
        <f>IFERROR(__xludf.DUMMYFUNCTION("""COMPUTED_VALUE"""),"ZAINAL ARIFIN")</f>
        <v>ZAINAL ARIFIN</v>
      </c>
      <c r="C192" s="8" t="str">
        <f>IFERROR(__xludf.DUMMYFUNCTION("""COMPUTED_VALUE"""),"Z0723036045")</f>
        <v>Z0723036045</v>
      </c>
      <c r="D192" s="8">
        <f>IFERROR(__xludf.DUMMYFUNCTION("""COMPUTED_VALUE"""),19.0)</f>
        <v>19</v>
      </c>
      <c r="E192" s="2"/>
    </row>
    <row r="193">
      <c r="A193" s="2"/>
      <c r="B193" s="8" t="str">
        <f>IFERROR(__xludf.DUMMYFUNCTION("""COMPUTED_VALUE"""),"DANNY GUNAWAN")</f>
        <v>DANNY GUNAWAN</v>
      </c>
      <c r="C193" s="8" t="str">
        <f>IFERROR(__xludf.DUMMYFUNCTION("""COMPUTED_VALUE"""),"D9123037717")</f>
        <v>D9123037717</v>
      </c>
      <c r="D193" s="8">
        <f>IFERROR(__xludf.DUMMYFUNCTION("""COMPUTED_VALUE"""),35.0)</f>
        <v>35</v>
      </c>
      <c r="E193" s="2"/>
    </row>
    <row r="194">
      <c r="A194" s="2"/>
      <c r="B194" s="8" t="str">
        <f>IFERROR(__xludf.DUMMYFUNCTION("""COMPUTED_VALUE"""),"LUKMAN NAWAWI")</f>
        <v>LUKMAN NAWAWI</v>
      </c>
      <c r="C194" s="8" t="str">
        <f>IFERROR(__xludf.DUMMYFUNCTION("""COMPUTED_VALUE"""),"L4623032999")</f>
        <v>L4623032999</v>
      </c>
      <c r="D194" s="8">
        <f>IFERROR(__xludf.DUMMYFUNCTION("""COMPUTED_VALUE"""),80.0)</f>
        <v>80</v>
      </c>
      <c r="E194" s="2"/>
    </row>
    <row r="195">
      <c r="A195" s="2"/>
      <c r="B195" s="8" t="str">
        <f>IFERROR(__xludf.DUMMYFUNCTION("""COMPUTED_VALUE"""),"MASTHUR THAHA")</f>
        <v>MASTHUR THAHA</v>
      </c>
      <c r="C195" s="8" t="str">
        <f>IFERROR(__xludf.DUMMYFUNCTION("""COMPUTED_VALUE"""),"M5223032487")</f>
        <v>M5223032487</v>
      </c>
      <c r="D195" s="8">
        <f>IFERROR(__xludf.DUMMYFUNCTION("""COMPUTED_VALUE"""),73.0)</f>
        <v>73</v>
      </c>
      <c r="E195" s="2"/>
    </row>
    <row r="196">
      <c r="A196" s="2"/>
      <c r="B196" s="8" t="str">
        <f>IFERROR(__xludf.DUMMYFUNCTION("""COMPUTED_VALUE"""),"NABIL")</f>
        <v>NABIL</v>
      </c>
      <c r="C196" s="8" t="str">
        <f>IFERROR(__xludf.DUMMYFUNCTION("""COMPUTED_VALUE"""),"N0923031247")</f>
        <v>N0923031247</v>
      </c>
      <c r="D196" s="8">
        <f>IFERROR(__xludf.DUMMYFUNCTION("""COMPUTED_VALUE"""),17.0)</f>
        <v>17</v>
      </c>
      <c r="E196" s="2"/>
    </row>
    <row r="197">
      <c r="A197" s="2"/>
      <c r="B197" s="8" t="str">
        <f>IFERROR(__xludf.DUMMYFUNCTION("""COMPUTED_VALUE"""),"EGA RAKITY")</f>
        <v>EGA RAKITY</v>
      </c>
      <c r="C197" s="8" t="str">
        <f>IFERROR(__xludf.DUMMYFUNCTION("""COMPUTED_VALUE"""),"E9023030499")</f>
        <v>E9023030499</v>
      </c>
      <c r="D197" s="8">
        <f>IFERROR(__xludf.DUMMYFUNCTION("""COMPUTED_VALUE"""),36.0)</f>
        <v>36</v>
      </c>
      <c r="E197" s="2"/>
    </row>
    <row r="198">
      <c r="A198" s="2"/>
      <c r="B198" s="8" t="str">
        <f>IFERROR(__xludf.DUMMYFUNCTION("""COMPUTED_VALUE"""),"MOH. FADHIL")</f>
        <v>MOH. FADHIL</v>
      </c>
      <c r="C198" s="8" t="str">
        <f>IFERROR(__xludf.DUMMYFUNCTION("""COMPUTED_VALUE"""),"M9123036025")</f>
        <v>M9123036025</v>
      </c>
      <c r="D198" s="8">
        <f>IFERROR(__xludf.DUMMYFUNCTION("""COMPUTED_VALUE"""),34.0)</f>
        <v>34</v>
      </c>
      <c r="E198" s="2"/>
    </row>
    <row r="199">
      <c r="A199" s="2"/>
      <c r="B199" s="8" t="str">
        <f>IFERROR(__xludf.DUMMYFUNCTION("""COMPUTED_VALUE"""),"AHMADI BUSTAMI")</f>
        <v>AHMADI BUSTAMI</v>
      </c>
      <c r="C199" s="8" t="str">
        <f>IFERROR(__xludf.DUMMYFUNCTION("""COMPUTED_VALUE"""),"A6323033163")</f>
        <v>A6323033163</v>
      </c>
      <c r="D199" s="8">
        <f>IFERROR(__xludf.DUMMYFUNCTION("""COMPUTED_VALUE"""),62.0)</f>
        <v>62</v>
      </c>
      <c r="E199" s="2"/>
    </row>
    <row r="200">
      <c r="A200" s="2"/>
      <c r="B200" s="8" t="str">
        <f>IFERROR(__xludf.DUMMYFUNCTION("""COMPUTED_VALUE"""),"RABITHAH")</f>
        <v>RABITHAH</v>
      </c>
      <c r="C200" s="8" t="str">
        <f>IFERROR(__xludf.DUMMYFUNCTION("""COMPUTED_VALUE"""),"R5923030468")</f>
        <v>R5923030468</v>
      </c>
      <c r="D200" s="8">
        <f>IFERROR(__xludf.DUMMYFUNCTION("""COMPUTED_VALUE"""),67.0)</f>
        <v>67</v>
      </c>
      <c r="E200" s="2"/>
    </row>
    <row r="201">
      <c r="A201" s="2"/>
      <c r="B201" s="8" t="str">
        <f>IFERROR(__xludf.DUMMYFUNCTION("""COMPUTED_VALUE"""),"ANDREAS KADIM")</f>
        <v>ANDREAS KADIM</v>
      </c>
      <c r="C201" s="8" t="str">
        <f>IFERROR(__xludf.DUMMYFUNCTION("""COMPUTED_VALUE"""),"A7223038357")</f>
        <v>A7223038357</v>
      </c>
      <c r="D201" s="8">
        <f>IFERROR(__xludf.DUMMYFUNCTION("""COMPUTED_VALUE"""),54.0)</f>
        <v>54</v>
      </c>
      <c r="E201" s="2"/>
    </row>
    <row r="202">
      <c r="A202" s="2"/>
      <c r="B202" s="8" t="str">
        <f>IFERROR(__xludf.DUMMYFUNCTION("""COMPUTED_VALUE"""),"DEWI HIDAYAH")</f>
        <v>DEWI HIDAYAH</v>
      </c>
      <c r="C202" s="8" t="str">
        <f>IFERROR(__xludf.DUMMYFUNCTION("""COMPUTED_VALUE"""),"D9023033274")</f>
        <v>D9023033274</v>
      </c>
      <c r="D202" s="8">
        <f>IFERROR(__xludf.DUMMYFUNCTION("""COMPUTED_VALUE"""),36.0)</f>
        <v>36</v>
      </c>
      <c r="E202" s="2"/>
    </row>
    <row r="203">
      <c r="A203" s="2"/>
      <c r="B203" s="8" t="str">
        <f>IFERROR(__xludf.DUMMYFUNCTION("""COMPUTED_VALUE"""),"NAYLA SALSABILA")</f>
        <v>NAYLA SALSABILA</v>
      </c>
      <c r="C203" s="8" t="str">
        <f>IFERROR(__xludf.DUMMYFUNCTION("""COMPUTED_VALUE"""),"N0923037059")</f>
        <v>N0923037059</v>
      </c>
      <c r="D203" s="8">
        <f>IFERROR(__xludf.DUMMYFUNCTION("""COMPUTED_VALUE"""),17.0)</f>
        <v>17</v>
      </c>
      <c r="E203" s="2"/>
    </row>
    <row r="204">
      <c r="A204" s="2"/>
      <c r="B204" s="8" t="str">
        <f>IFERROR(__xludf.DUMMYFUNCTION("""COMPUTED_VALUE"""),"RAYON RAHAGUNG")</f>
        <v>RAYON RAHAGUNG</v>
      </c>
      <c r="C204" s="8" t="str">
        <f>IFERROR(__xludf.DUMMYFUNCTION("""COMPUTED_VALUE"""),"R9723038234")</f>
        <v>R9723038234</v>
      </c>
      <c r="D204" s="8">
        <f>IFERROR(__xludf.DUMMYFUNCTION("""COMPUTED_VALUE"""),28.0)</f>
        <v>28</v>
      </c>
      <c r="E204" s="2"/>
    </row>
    <row r="205">
      <c r="A205" s="2"/>
      <c r="B205" s="8" t="str">
        <f>IFERROR(__xludf.DUMMYFUNCTION("""COMPUTED_VALUE"""),"ARIF DAWAMI")</f>
        <v>ARIF DAWAMI</v>
      </c>
      <c r="C205" s="8" t="str">
        <f>IFERROR(__xludf.DUMMYFUNCTION("""COMPUTED_VALUE"""),"A9523038565")</f>
        <v>A9523038565</v>
      </c>
      <c r="D205" s="8">
        <f>IFERROR(__xludf.DUMMYFUNCTION("""COMPUTED_VALUE"""),31.0)</f>
        <v>31</v>
      </c>
      <c r="E205" s="2"/>
    </row>
    <row r="206">
      <c r="A206" s="2"/>
      <c r="B206" s="8" t="str">
        <f>IFERROR(__xludf.DUMMYFUNCTION("""COMPUTED_VALUE"""),"M. RAFI PRIATNO")</f>
        <v>M. RAFI PRIATNO</v>
      </c>
      <c r="C206" s="8" t="str">
        <f>IFERROR(__xludf.DUMMYFUNCTION("""COMPUTED_VALUE"""),"M0623036403")</f>
        <v>M0623036403</v>
      </c>
      <c r="D206" s="8">
        <f>IFERROR(__xludf.DUMMYFUNCTION("""COMPUTED_VALUE"""),19.0)</f>
        <v>19</v>
      </c>
      <c r="E206" s="2"/>
    </row>
    <row r="207">
      <c r="A207" s="2"/>
      <c r="B207" s="8" t="str">
        <f>IFERROR(__xludf.DUMMYFUNCTION("""COMPUTED_VALUE"""),"RAUL RAMADHAN")</f>
        <v>RAUL RAMADHAN</v>
      </c>
      <c r="C207" s="8" t="str">
        <f>IFERROR(__xludf.DUMMYFUNCTION("""COMPUTED_VALUE"""),"R0023036712")</f>
        <v>R0023036712</v>
      </c>
      <c r="D207" s="8">
        <f>IFERROR(__xludf.DUMMYFUNCTION("""COMPUTED_VALUE"""),25.0)</f>
        <v>25</v>
      </c>
      <c r="E207" s="2"/>
    </row>
    <row r="208">
      <c r="A208" s="2"/>
      <c r="B208" s="8" t="str">
        <f>IFERROR(__xludf.DUMMYFUNCTION("""COMPUTED_VALUE"""),"RICKI ANTONO BUDIMAN")</f>
        <v>RICKI ANTONO BUDIMAN</v>
      </c>
      <c r="C208" s="8" t="str">
        <f>IFERROR(__xludf.DUMMYFUNCTION("""COMPUTED_VALUE"""),"R9423032241")</f>
        <v>R9423032241</v>
      </c>
      <c r="D208" s="8">
        <f>IFERROR(__xludf.DUMMYFUNCTION("""COMPUTED_VALUE"""),32.0)</f>
        <v>32</v>
      </c>
      <c r="E208" s="2"/>
    </row>
    <row r="209">
      <c r="A209" s="2"/>
      <c r="B209" s="8" t="str">
        <f>IFERROR(__xludf.DUMMYFUNCTION("""COMPUTED_VALUE"""),"STEPANUS WILLY")</f>
        <v>STEPANUS WILLY</v>
      </c>
      <c r="C209" s="8" t="str">
        <f>IFERROR(__xludf.DUMMYFUNCTION("""COMPUTED_VALUE"""),"S0123033700")</f>
        <v>S0123033700</v>
      </c>
      <c r="D209" s="8">
        <f>IFERROR(__xludf.DUMMYFUNCTION("""COMPUTED_VALUE"""),24.0)</f>
        <v>24</v>
      </c>
      <c r="E209" s="2"/>
    </row>
    <row r="210">
      <c r="A210" s="2"/>
      <c r="B210" s="8" t="str">
        <f>IFERROR(__xludf.DUMMYFUNCTION("""COMPUTED_VALUE"""),"SUMIATI 5405")</f>
        <v>SUMIATI 5405</v>
      </c>
      <c r="C210" s="8" t="str">
        <f>IFERROR(__xludf.DUMMYFUNCTION("""COMPUTED_VALUE"""),"S5423033777")</f>
        <v>S5423033777</v>
      </c>
      <c r="D210" s="8">
        <f>IFERROR(__xludf.DUMMYFUNCTION("""COMPUTED_VALUE"""),72.0)</f>
        <v>72</v>
      </c>
      <c r="E210" s="2"/>
    </row>
    <row r="211">
      <c r="A211" s="2"/>
      <c r="B211" s="8" t="str">
        <f>IFERROR(__xludf.DUMMYFUNCTION("""COMPUTED_VALUE"""),"TARMINA")</f>
        <v>TARMINA</v>
      </c>
      <c r="C211" s="8" t="str">
        <f>IFERROR(__xludf.DUMMYFUNCTION("""COMPUTED_VALUE"""),"T5823036199")</f>
        <v>T5823036199</v>
      </c>
      <c r="D211" s="8">
        <f>IFERROR(__xludf.DUMMYFUNCTION("""COMPUTED_VALUE"""),67.0)</f>
        <v>67</v>
      </c>
      <c r="E211" s="2"/>
    </row>
    <row r="212">
      <c r="A212" s="2"/>
      <c r="B212" s="8" t="str">
        <f>IFERROR(__xludf.DUMMYFUNCTION("""COMPUTED_VALUE"""),"SUMIATI 5505")</f>
        <v>SUMIATI 5505</v>
      </c>
      <c r="C212" s="8" t="str">
        <f>IFERROR(__xludf.DUMMYFUNCTION("""COMPUTED_VALUE"""),"S5523031475")</f>
        <v>S5523031475</v>
      </c>
      <c r="D212" s="8">
        <f>IFERROR(__xludf.DUMMYFUNCTION("""COMPUTED_VALUE"""),71.0)</f>
        <v>71</v>
      </c>
      <c r="E212" s="2"/>
    </row>
    <row r="213">
      <c r="A213" s="2"/>
      <c r="B213" s="8" t="str">
        <f>IFERROR(__xludf.DUMMYFUNCTION("""COMPUTED_VALUE"""),"MAURA GEBI")</f>
        <v>MAURA GEBI</v>
      </c>
      <c r="C213" s="8" t="str">
        <f>IFERROR(__xludf.DUMMYFUNCTION("""COMPUTED_VALUE"""),"M9423033885")</f>
        <v>M9423033885</v>
      </c>
      <c r="D213" s="8">
        <f>IFERROR(__xludf.DUMMYFUNCTION("""COMPUTED_VALUE"""),32.0)</f>
        <v>32</v>
      </c>
      <c r="E213" s="2"/>
    </row>
    <row r="214">
      <c r="A214" s="2"/>
      <c r="B214" s="8" t="str">
        <f>IFERROR(__xludf.DUMMYFUNCTION("""COMPUTED_VALUE"""),"EFFENDI")</f>
        <v>EFFENDI</v>
      </c>
      <c r="C214" s="8" t="str">
        <f>IFERROR(__xludf.DUMMYFUNCTION("""COMPUTED_VALUE"""),"E8423034868")</f>
        <v>E8423034868</v>
      </c>
      <c r="D214" s="8">
        <f>IFERROR(__xludf.DUMMYFUNCTION("""COMPUTED_VALUE"""),42.0)</f>
        <v>42</v>
      </c>
      <c r="E214" s="2"/>
    </row>
    <row r="215">
      <c r="A215" s="2"/>
      <c r="B215" s="8" t="str">
        <f>IFERROR(__xludf.DUMMYFUNCTION("""COMPUTED_VALUE"""),"FIKRI ALVARIZI")</f>
        <v>FIKRI ALVARIZI</v>
      </c>
      <c r="C215" s="8" t="str">
        <f>IFERROR(__xludf.DUMMYFUNCTION("""COMPUTED_VALUE"""),"F0523035300")</f>
        <v>F0523035300</v>
      </c>
      <c r="D215" s="8">
        <f>IFERROR(__xludf.DUMMYFUNCTION("""COMPUTED_VALUE"""),21.0)</f>
        <v>21</v>
      </c>
      <c r="E215" s="2"/>
    </row>
    <row r="216">
      <c r="A216" s="2"/>
      <c r="B216" s="8" t="str">
        <f>IFERROR(__xludf.DUMMYFUNCTION("""COMPUTED_VALUE"""),"HAFIZHATUL FATHAN ABDULLAH")</f>
        <v>HAFIZHATUL FATHAN ABDULLAH</v>
      </c>
      <c r="C216" s="8" t="str">
        <f>IFERROR(__xludf.DUMMYFUNCTION("""COMPUTED_VALUE"""),"H1123038212")</f>
        <v>H1123038212</v>
      </c>
      <c r="D216" s="8">
        <f>IFERROR(__xludf.DUMMYFUNCTION("""COMPUTED_VALUE"""),14.0)</f>
        <v>14</v>
      </c>
      <c r="E216" s="2"/>
    </row>
    <row r="217">
      <c r="A217" s="2"/>
      <c r="B217" s="8" t="str">
        <f>IFERROR(__xludf.DUMMYFUNCTION("""COMPUTED_VALUE"""),"JOSEPHINE DESSIE")</f>
        <v>JOSEPHINE DESSIE</v>
      </c>
      <c r="C217" s="8" t="str">
        <f>IFERROR(__xludf.DUMMYFUNCTION("""COMPUTED_VALUE"""),"J7523039975")</f>
        <v>J7523039975</v>
      </c>
      <c r="D217" s="8">
        <f>IFERROR(__xludf.DUMMYFUNCTION("""COMPUTED_VALUE"""),51.0)</f>
        <v>51</v>
      </c>
      <c r="E217" s="2"/>
    </row>
    <row r="218">
      <c r="A218" s="2"/>
      <c r="B218" s="8" t="str">
        <f>IFERROR(__xludf.DUMMYFUNCTION("""COMPUTED_VALUE"""),"NUZULUDDIN")</f>
        <v>NUZULUDDIN</v>
      </c>
      <c r="C218" s="8" t="str">
        <f>IFERROR(__xludf.DUMMYFUNCTION("""COMPUTED_VALUE"""),"N9423037321")</f>
        <v>N9423037321</v>
      </c>
      <c r="D218" s="8">
        <f>IFERROR(__xludf.DUMMYFUNCTION("""COMPUTED_VALUE"""),32.0)</f>
        <v>32</v>
      </c>
      <c r="E218" s="2"/>
    </row>
    <row r="219">
      <c r="A219" s="2"/>
      <c r="B219" s="8" t="str">
        <f>IFERROR(__xludf.DUMMYFUNCTION("""COMPUTED_VALUE"""),"JENSEN DARMALI")</f>
        <v>JENSEN DARMALI</v>
      </c>
      <c r="C219" s="8" t="str">
        <f>IFERROR(__xludf.DUMMYFUNCTION("""COMPUTED_VALUE"""),"J0023038051")</f>
        <v>J0023038051</v>
      </c>
      <c r="D219" s="8">
        <f>IFERROR(__xludf.DUMMYFUNCTION("""COMPUTED_VALUE"""),26.0)</f>
        <v>26</v>
      </c>
      <c r="E219" s="2"/>
    </row>
    <row r="220">
      <c r="A220" s="2"/>
      <c r="B220" s="8" t="str">
        <f>IFERROR(__xludf.DUMMYFUNCTION("""COMPUTED_VALUE"""),"SAPARUDIN")</f>
        <v>SAPARUDIN</v>
      </c>
      <c r="C220" s="8" t="str">
        <f>IFERROR(__xludf.DUMMYFUNCTION("""COMPUTED_VALUE"""),"S7623034000")</f>
        <v>S7623034000</v>
      </c>
      <c r="D220" s="8">
        <f>IFERROR(__xludf.DUMMYFUNCTION("""COMPUTED_VALUE"""),49.0)</f>
        <v>49</v>
      </c>
      <c r="E220" s="2"/>
    </row>
    <row r="221">
      <c r="A221" s="2"/>
      <c r="B221" s="8" t="str">
        <f>IFERROR(__xludf.DUMMYFUNCTION("""COMPUTED_VALUE"""),"WIDYASTUTI")</f>
        <v>WIDYASTUTI</v>
      </c>
      <c r="C221" s="8" t="str">
        <f>IFERROR(__xludf.DUMMYFUNCTION("""COMPUTED_VALUE"""),"W4923032600")</f>
        <v>W4923032600</v>
      </c>
      <c r="D221" s="8">
        <f>IFERROR(__xludf.DUMMYFUNCTION("""COMPUTED_VALUE"""),77.0)</f>
        <v>77</v>
      </c>
      <c r="E221" s="2"/>
    </row>
    <row r="222">
      <c r="A222" s="2"/>
      <c r="B222" s="8" t="str">
        <f>IFERROR(__xludf.DUMMYFUNCTION("""COMPUTED_VALUE"""),"DEWI INDAH HARJANTI")</f>
        <v>DEWI INDAH HARJANTI</v>
      </c>
      <c r="C222" s="8" t="str">
        <f>IFERROR(__xludf.DUMMYFUNCTION("""COMPUTED_VALUE"""),"D9323031027")</f>
        <v>D9323031027</v>
      </c>
      <c r="D222" s="8">
        <f>IFERROR(__xludf.DUMMYFUNCTION("""COMPUTED_VALUE"""),33.0)</f>
        <v>33</v>
      </c>
      <c r="E222" s="2"/>
    </row>
    <row r="223">
      <c r="A223" s="2"/>
      <c r="B223" s="8" t="str">
        <f>IFERROR(__xludf.DUMMYFUNCTION("""COMPUTED_VALUE"""),"DIAN PURNAMAWATI")</f>
        <v>DIAN PURNAMAWATI</v>
      </c>
      <c r="C223" s="8" t="str">
        <f>IFERROR(__xludf.DUMMYFUNCTION("""COMPUTED_VALUE"""),"D8023032004")</f>
        <v>D8023032004</v>
      </c>
      <c r="D223" s="8">
        <f>IFERROR(__xludf.DUMMYFUNCTION("""COMPUTED_VALUE"""),46.0)</f>
        <v>46</v>
      </c>
      <c r="E223" s="2"/>
    </row>
    <row r="224">
      <c r="A224" s="2"/>
      <c r="B224" s="8" t="str">
        <f>IFERROR(__xludf.DUMMYFUNCTION("""COMPUTED_VALUE"""),"DODY AZWAR")</f>
        <v>DODY AZWAR</v>
      </c>
      <c r="C224" s="8" t="str">
        <f>IFERROR(__xludf.DUMMYFUNCTION("""COMPUTED_VALUE"""),"D7923030314")</f>
        <v>D7923030314</v>
      </c>
      <c r="D224" s="8">
        <f>IFERROR(__xludf.DUMMYFUNCTION("""COMPUTED_VALUE"""),46.0)</f>
        <v>46</v>
      </c>
      <c r="E224" s="2"/>
    </row>
    <row r="225">
      <c r="A225" s="2"/>
      <c r="B225" s="8" t="str">
        <f>IFERROR(__xludf.DUMMYFUNCTION("""COMPUTED_VALUE"""),"FITRISKA RAHMADIANSARI")</f>
        <v>FITRISKA RAHMADIANSARI</v>
      </c>
      <c r="C225" s="8" t="str">
        <f>IFERROR(__xludf.DUMMYFUNCTION("""COMPUTED_VALUE"""),"F9123039066")</f>
        <v>F9123039066</v>
      </c>
      <c r="D225" s="8">
        <f>IFERROR(__xludf.DUMMYFUNCTION("""COMPUTED_VALUE"""),35.0)</f>
        <v>35</v>
      </c>
      <c r="E225" s="2"/>
    </row>
    <row r="226">
      <c r="A226" s="2"/>
      <c r="B226" s="8" t="str">
        <f>IFERROR(__xludf.DUMMYFUNCTION("""COMPUTED_VALUE"""),"ISDIANTO TRY MURDITYO")</f>
        <v>ISDIANTO TRY MURDITYO</v>
      </c>
      <c r="C226" s="8" t="str">
        <f>IFERROR(__xludf.DUMMYFUNCTION("""COMPUTED_VALUE"""),"I9423035004")</f>
        <v>I9423035004</v>
      </c>
      <c r="D226" s="8">
        <f>IFERROR(__xludf.DUMMYFUNCTION("""COMPUTED_VALUE"""),32.0)</f>
        <v>32</v>
      </c>
      <c r="E226" s="2"/>
    </row>
    <row r="227">
      <c r="A227" s="2"/>
      <c r="B227" s="8" t="str">
        <f>IFERROR(__xludf.DUMMYFUNCTION("""COMPUTED_VALUE"""),"MOURENT MIFTAHULLAH")</f>
        <v>MOURENT MIFTAHULLAH</v>
      </c>
      <c r="C227" s="8" t="str">
        <f>IFERROR(__xludf.DUMMYFUNCTION("""COMPUTED_VALUE"""),"M8723030309")</f>
        <v>M8723030309</v>
      </c>
      <c r="D227" s="8">
        <f>IFERROR(__xludf.DUMMYFUNCTION("""COMPUTED_VALUE"""),38.0)</f>
        <v>38</v>
      </c>
      <c r="E227" s="2"/>
    </row>
    <row r="228">
      <c r="A228" s="2"/>
      <c r="B228" s="8" t="str">
        <f>IFERROR(__xludf.DUMMYFUNCTION("""COMPUTED_VALUE"""),"NUGRAHA ADITYA CANDRA")</f>
        <v>NUGRAHA ADITYA CANDRA</v>
      </c>
      <c r="C228" s="8" t="str">
        <f>IFERROR(__xludf.DUMMYFUNCTION("""COMPUTED_VALUE"""),"N8823039749")</f>
        <v>N8823039749</v>
      </c>
      <c r="D228" s="8">
        <f>IFERROR(__xludf.DUMMYFUNCTION("""COMPUTED_VALUE"""),37.0)</f>
        <v>37</v>
      </c>
      <c r="E228" s="2"/>
    </row>
    <row r="229">
      <c r="A229" s="2"/>
      <c r="B229" s="8" t="str">
        <f>IFERROR(__xludf.DUMMYFUNCTION("""COMPUTED_VALUE"""),"ARTIZENO KYNAN PRAMUDYA")</f>
        <v>ARTIZENO KYNAN PRAMUDYA</v>
      </c>
      <c r="C229" s="8" t="str">
        <f>IFERROR(__xludf.DUMMYFUNCTION("""COMPUTED_VALUE"""),"A0623039735")</f>
        <v>A0623039735</v>
      </c>
      <c r="D229" s="8">
        <f>IFERROR(__xludf.DUMMYFUNCTION("""COMPUTED_VALUE"""),20.0)</f>
        <v>20</v>
      </c>
      <c r="E229" s="2"/>
    </row>
    <row r="230">
      <c r="A230" s="2"/>
      <c r="B230" s="8" t="str">
        <f>IFERROR(__xludf.DUMMYFUNCTION("""COMPUTED_VALUE"""),"CHIN KONG")</f>
        <v>CHIN KONG</v>
      </c>
      <c r="C230" s="8" t="str">
        <f>IFERROR(__xludf.DUMMYFUNCTION("""COMPUTED_VALUE"""),"C7823036389")</f>
        <v>C7823036389</v>
      </c>
      <c r="D230" s="8">
        <f>IFERROR(__xludf.DUMMYFUNCTION("""COMPUTED_VALUE"""),48.0)</f>
        <v>48</v>
      </c>
      <c r="E230" s="2"/>
    </row>
    <row r="231">
      <c r="A231" s="2"/>
      <c r="B231" s="8" t="str">
        <f>IFERROR(__xludf.DUMMYFUNCTION("""COMPUTED_VALUE"""),"MURSINAH")</f>
        <v>MURSINAH</v>
      </c>
      <c r="C231" s="8" t="str">
        <f>IFERROR(__xludf.DUMMYFUNCTION("""COMPUTED_VALUE"""),"M5823032597")</f>
        <v>M5823032597</v>
      </c>
      <c r="D231" s="8">
        <f>IFERROR(__xludf.DUMMYFUNCTION("""COMPUTED_VALUE"""),68.0)</f>
        <v>68</v>
      </c>
      <c r="E231" s="2"/>
    </row>
    <row r="232">
      <c r="A232" s="2"/>
      <c r="B232" s="8" t="str">
        <f>IFERROR(__xludf.DUMMYFUNCTION("""COMPUTED_VALUE"""),"NOVIE YU")</f>
        <v>NOVIE YU</v>
      </c>
      <c r="C232" s="8" t="str">
        <f>IFERROR(__xludf.DUMMYFUNCTION("""COMPUTED_VALUE"""),"N9023031899")</f>
        <v>N9023031899</v>
      </c>
      <c r="D232" s="8">
        <f>IFERROR(__xludf.DUMMYFUNCTION("""COMPUTED_VALUE"""),36.0)</f>
        <v>36</v>
      </c>
      <c r="E232" s="2"/>
    </row>
    <row r="233">
      <c r="A233" s="2"/>
      <c r="B233" s="8" t="str">
        <f>IFERROR(__xludf.DUMMYFUNCTION("""COMPUTED_VALUE"""),"ADITYO D. SUDAGUNG")</f>
        <v>ADITYO D. SUDAGUNG</v>
      </c>
      <c r="C233" s="8" t="str">
        <f>IFERROR(__xludf.DUMMYFUNCTION("""COMPUTED_VALUE"""),"A9023031923")</f>
        <v>A9023031923</v>
      </c>
      <c r="D233" s="8">
        <f>IFERROR(__xludf.DUMMYFUNCTION("""COMPUTED_VALUE"""),36.0)</f>
        <v>36</v>
      </c>
      <c r="E233" s="2"/>
    </row>
    <row r="234">
      <c r="A234" s="2"/>
      <c r="B234" s="8" t="str">
        <f>IFERROR(__xludf.DUMMYFUNCTION("""COMPUTED_VALUE"""),"DEA CITRA R.")</f>
        <v>DEA CITRA R.</v>
      </c>
      <c r="C234" s="8" t="str">
        <f>IFERROR(__xludf.DUMMYFUNCTION("""COMPUTED_VALUE"""),"D9123038876")</f>
        <v>D9123038876</v>
      </c>
      <c r="D234" s="8">
        <f>IFERROR(__xludf.DUMMYFUNCTION("""COMPUTED_VALUE"""),35.0)</f>
        <v>35</v>
      </c>
      <c r="E234" s="2"/>
    </row>
    <row r="235">
      <c r="A235" s="2"/>
      <c r="B235" s="8" t="str">
        <f>IFERROR(__xludf.DUMMYFUNCTION("""COMPUTED_VALUE"""),"ERWIN LAKSAMANA")</f>
        <v>ERWIN LAKSAMANA</v>
      </c>
      <c r="C235" s="8" t="str">
        <f>IFERROR(__xludf.DUMMYFUNCTION("""COMPUTED_VALUE"""),"E9423030623")</f>
        <v>E9423030623</v>
      </c>
      <c r="D235" s="8">
        <f>IFERROR(__xludf.DUMMYFUNCTION("""COMPUTED_VALUE"""),31.0)</f>
        <v>31</v>
      </c>
      <c r="E235" s="2"/>
    </row>
    <row r="236">
      <c r="A236" s="2"/>
      <c r="B236" s="8" t="str">
        <f>IFERROR(__xludf.DUMMYFUNCTION("""COMPUTED_VALUE"""),"FENNY CUNG")</f>
        <v>FENNY CUNG</v>
      </c>
      <c r="C236" s="8" t="str">
        <f>IFERROR(__xludf.DUMMYFUNCTION("""COMPUTED_VALUE"""),"F8023034895")</f>
        <v>F8023034895</v>
      </c>
      <c r="D236" s="8">
        <f>IFERROR(__xludf.DUMMYFUNCTION("""COMPUTED_VALUE"""),46.0)</f>
        <v>46</v>
      </c>
      <c r="E236" s="2"/>
    </row>
    <row r="237">
      <c r="A237" s="2"/>
      <c r="B237" s="8" t="str">
        <f>IFERROR(__xludf.DUMMYFUNCTION("""COMPUTED_VALUE"""),"SRI RAYANAWATI")</f>
        <v>SRI RAYANAWATI</v>
      </c>
      <c r="C237" s="8" t="str">
        <f>IFERROR(__xludf.DUMMYFUNCTION("""COMPUTED_VALUE"""),"S7023035823")</f>
        <v>S7023035823</v>
      </c>
      <c r="D237" s="8">
        <f>IFERROR(__xludf.DUMMYFUNCTION("""COMPUTED_VALUE"""),56.0)</f>
        <v>56</v>
      </c>
      <c r="E237" s="2"/>
    </row>
    <row r="238">
      <c r="A238" s="2"/>
      <c r="B238" s="8" t="str">
        <f>IFERROR(__xludf.DUMMYFUNCTION("""COMPUTED_VALUE"""),"TEGUH TRI HADMOJO")</f>
        <v>TEGUH TRI HADMOJO</v>
      </c>
      <c r="C238" s="8" t="str">
        <f>IFERROR(__xludf.DUMMYFUNCTION("""COMPUTED_VALUE"""),"T9223035598")</f>
        <v>T9223035598</v>
      </c>
      <c r="D238" s="8">
        <f>IFERROR(__xludf.DUMMYFUNCTION("""COMPUTED_VALUE"""),33.0)</f>
        <v>33</v>
      </c>
      <c r="E238" s="2"/>
    </row>
    <row r="239">
      <c r="A239" s="2"/>
      <c r="B239" s="8" t="str">
        <f>IFERROR(__xludf.DUMMYFUNCTION("""COMPUTED_VALUE"""),"ARSHAL GHIYAT TSANI")</f>
        <v>ARSHAL GHIYAT TSANI</v>
      </c>
      <c r="C239" s="8" t="str">
        <f>IFERROR(__xludf.DUMMYFUNCTION("""COMPUTED_VALUE"""),"A0523030717")</f>
        <v>A0523030717</v>
      </c>
      <c r="D239" s="8">
        <f>IFERROR(__xludf.DUMMYFUNCTION("""COMPUTED_VALUE"""),20.0)</f>
        <v>20</v>
      </c>
      <c r="E239" s="2"/>
    </row>
    <row r="240">
      <c r="A240" s="2"/>
      <c r="B240" s="8" t="str">
        <f>IFERROR(__xludf.DUMMYFUNCTION("""COMPUTED_VALUE"""),"RUSLI")</f>
        <v>RUSLI</v>
      </c>
      <c r="C240" s="8" t="str">
        <f>IFERROR(__xludf.DUMMYFUNCTION("""COMPUTED_VALUE"""),"R7123038687")</f>
        <v>R7123038687</v>
      </c>
      <c r="D240" s="8">
        <f>IFERROR(__xludf.DUMMYFUNCTION("""COMPUTED_VALUE"""),55.0)</f>
        <v>55</v>
      </c>
      <c r="E240" s="2"/>
    </row>
    <row r="241">
      <c r="A241" s="2"/>
      <c r="B241" s="8" t="str">
        <f>IFERROR(__xludf.DUMMYFUNCTION("""COMPUTED_VALUE"""),"ZULFIKAR")</f>
        <v>ZULFIKAR</v>
      </c>
      <c r="C241" s="8" t="str">
        <f>IFERROR(__xludf.DUMMYFUNCTION("""COMPUTED_VALUE"""),"Z9323034489")</f>
        <v>Z9323034489</v>
      </c>
      <c r="D241" s="8">
        <f>IFERROR(__xludf.DUMMYFUNCTION("""COMPUTED_VALUE"""),32.0)</f>
        <v>32</v>
      </c>
      <c r="E241" s="2"/>
    </row>
    <row r="242">
      <c r="A242" s="2"/>
      <c r="B242" s="8" t="str">
        <f>IFERROR(__xludf.DUMMYFUNCTION("""COMPUTED_VALUE"""),"BUDI KURNIAWAN MANURUNG")</f>
        <v>BUDI KURNIAWAN MANURUNG</v>
      </c>
      <c r="C242" s="8" t="str">
        <f>IFERROR(__xludf.DUMMYFUNCTION("""COMPUTED_VALUE"""),"B9623038042")</f>
        <v>B9623038042</v>
      </c>
      <c r="D242" s="8">
        <f>IFERROR(__xludf.DUMMYFUNCTION("""COMPUTED_VALUE"""),29.0)</f>
        <v>29</v>
      </c>
      <c r="E242" s="2"/>
    </row>
    <row r="243">
      <c r="A243" s="2"/>
      <c r="B243" s="8" t="str">
        <f>IFERROR(__xludf.DUMMYFUNCTION("""COMPUTED_VALUE"""),"GILANG WAHYU RAMADHAN")</f>
        <v>GILANG WAHYU RAMADHAN</v>
      </c>
      <c r="C243" s="8" t="str">
        <f>IFERROR(__xludf.DUMMYFUNCTION("""COMPUTED_VALUE"""),"G0623030109")</f>
        <v>G0623030109</v>
      </c>
      <c r="D243" s="8">
        <f>IFERROR(__xludf.DUMMYFUNCTION("""COMPUTED_VALUE"""),19.0)</f>
        <v>19</v>
      </c>
      <c r="E243" s="2"/>
    </row>
    <row r="244">
      <c r="A244" s="2"/>
      <c r="B244" s="8" t="str">
        <f>IFERROR(__xludf.DUMMYFUNCTION("""COMPUTED_VALUE"""),"JUHERI")</f>
        <v>JUHERI</v>
      </c>
      <c r="C244" s="8" t="str">
        <f>IFERROR(__xludf.DUMMYFUNCTION("""COMPUTED_VALUE"""),"J9623038103")</f>
        <v>J9623038103</v>
      </c>
      <c r="D244" s="8">
        <f>IFERROR(__xludf.DUMMYFUNCTION("""COMPUTED_VALUE"""),30.0)</f>
        <v>30</v>
      </c>
      <c r="E244" s="2"/>
    </row>
    <row r="245">
      <c r="A245" s="2"/>
      <c r="B245" s="8" t="str">
        <f>IFERROR(__xludf.DUMMYFUNCTION("""COMPUTED_VALUE"""),"MULYADI RAHYONO")</f>
        <v>MULYADI RAHYONO</v>
      </c>
      <c r="C245" s="8" t="str">
        <f>IFERROR(__xludf.DUMMYFUNCTION("""COMPUTED_VALUE"""),"M6023037890")</f>
        <v>M6023037890</v>
      </c>
      <c r="D245" s="8">
        <f>IFERROR(__xludf.DUMMYFUNCTION("""COMPUTED_VALUE"""),66.0)</f>
        <v>66</v>
      </c>
      <c r="E245" s="2"/>
    </row>
    <row r="246">
      <c r="A246" s="2"/>
      <c r="B246" s="8" t="str">
        <f>IFERROR(__xludf.DUMMYFUNCTION("""COMPUTED_VALUE"""),"RANDI APRIYANTO")</f>
        <v>RANDI APRIYANTO</v>
      </c>
      <c r="C246" s="8" t="str">
        <f>IFERROR(__xludf.DUMMYFUNCTION("""COMPUTED_VALUE"""),"R1023038566")</f>
        <v>R1023038566</v>
      </c>
      <c r="D246" s="8">
        <f>IFERROR(__xludf.DUMMYFUNCTION("""COMPUTED_VALUE"""),16.0)</f>
        <v>16</v>
      </c>
      <c r="E246" s="2"/>
    </row>
    <row r="247">
      <c r="A247" s="2"/>
      <c r="B247" s="8" t="str">
        <f>IFERROR(__xludf.DUMMYFUNCTION("""COMPUTED_VALUE"""),"FAUZAN NUR ADIMA")</f>
        <v>FAUZAN NUR ADIMA</v>
      </c>
      <c r="C247" s="8" t="str">
        <f>IFERROR(__xludf.DUMMYFUNCTION("""COMPUTED_VALUE"""),"F2323030963")</f>
        <v>F2323030963</v>
      </c>
      <c r="D247" s="8">
        <f>IFERROR(__xludf.DUMMYFUNCTION("""COMPUTED_VALUE"""),3.0)</f>
        <v>3</v>
      </c>
      <c r="E247" s="2"/>
    </row>
    <row r="248">
      <c r="A248" s="2"/>
      <c r="B248" s="8" t="str">
        <f>IFERROR(__xludf.DUMMYFUNCTION("""COMPUTED_VALUE"""),"FINA ANDRIANA")</f>
        <v>FINA ANDRIANA</v>
      </c>
      <c r="C248" s="8" t="str">
        <f>IFERROR(__xludf.DUMMYFUNCTION("""COMPUTED_VALUE"""),"F2323031111")</f>
        <v>F2323031111</v>
      </c>
      <c r="D248" s="8">
        <f>IFERROR(__xludf.DUMMYFUNCTION("""COMPUTED_VALUE"""),3.0)</f>
        <v>3</v>
      </c>
      <c r="E248" s="2"/>
    </row>
    <row r="249">
      <c r="A249" s="2"/>
      <c r="B249" s="8" t="str">
        <f>IFERROR(__xludf.DUMMYFUNCTION("""COMPUTED_VALUE"""),"ADI ACHYANI")</f>
        <v>ADI ACHYANI</v>
      </c>
      <c r="C249" s="8" t="str">
        <f>IFERROR(__xludf.DUMMYFUNCTION("""COMPUTED_VALUE"""),"A6123035104")</f>
        <v>A6123035104</v>
      </c>
      <c r="D249" s="8">
        <f>IFERROR(__xludf.DUMMYFUNCTION("""COMPUTED_VALUE"""),64.0)</f>
        <v>64</v>
      </c>
      <c r="E249" s="2"/>
    </row>
    <row r="250">
      <c r="A250" s="2"/>
      <c r="B250" s="8" t="str">
        <f>IFERROR(__xludf.DUMMYFUNCTION("""COMPUTED_VALUE"""),"DICKY G V PANGESTU")</f>
        <v>DICKY G V PANGESTU</v>
      </c>
      <c r="C250" s="8" t="str">
        <f>IFERROR(__xludf.DUMMYFUNCTION("""COMPUTED_VALUE"""),"D0023038792")</f>
        <v>D0023038792</v>
      </c>
      <c r="D250" s="8">
        <f>IFERROR(__xludf.DUMMYFUNCTION("""COMPUTED_VALUE"""),26.0)</f>
        <v>26</v>
      </c>
      <c r="E250" s="2"/>
    </row>
    <row r="251">
      <c r="A251" s="2"/>
      <c r="B251" s="8" t="str">
        <f>IFERROR(__xludf.DUMMYFUNCTION("""COMPUTED_VALUE"""),"SUKATMI")</f>
        <v>SUKATMI</v>
      </c>
      <c r="C251" s="8" t="str">
        <f>IFERROR(__xludf.DUMMYFUNCTION("""COMPUTED_VALUE"""),"S6323036745")</f>
        <v>S6323036745</v>
      </c>
      <c r="D251" s="8">
        <f>IFERROR(__xludf.DUMMYFUNCTION("""COMPUTED_VALUE"""),63.0)</f>
        <v>63</v>
      </c>
      <c r="E251" s="2"/>
    </row>
    <row r="252">
      <c r="A252" s="2"/>
      <c r="B252" s="8" t="str">
        <f>IFERROR(__xludf.DUMMYFUNCTION("""COMPUTED_VALUE"""),"FITRIANA")</f>
        <v>FITRIANA</v>
      </c>
      <c r="C252" s="8" t="str">
        <f>IFERROR(__xludf.DUMMYFUNCTION("""COMPUTED_VALUE"""),"F8123036614")</f>
        <v>F8123036614</v>
      </c>
      <c r="D252" s="8">
        <f>IFERROR(__xludf.DUMMYFUNCTION("""COMPUTED_VALUE"""),45.0)</f>
        <v>45</v>
      </c>
      <c r="E252" s="2"/>
    </row>
    <row r="253">
      <c r="A253" s="2"/>
      <c r="B253" s="8" t="str">
        <f>IFERROR(__xludf.DUMMYFUNCTION("""COMPUTED_VALUE"""),"WARDOYO")</f>
        <v>WARDOYO</v>
      </c>
      <c r="C253" s="8" t="str">
        <f>IFERROR(__xludf.DUMMYFUNCTION("""COMPUTED_VALUE"""),"W6423033788")</f>
        <v>W6423033788</v>
      </c>
      <c r="D253" s="8">
        <f>IFERROR(__xludf.DUMMYFUNCTION("""COMPUTED_VALUE"""),62.0)</f>
        <v>62</v>
      </c>
      <c r="E253" s="2"/>
    </row>
    <row r="254">
      <c r="A254" s="2"/>
      <c r="B254" s="8" t="str">
        <f>IFERROR(__xludf.DUMMYFUNCTION("""COMPUTED_VALUE"""),"SUPINAH")</f>
        <v>SUPINAH</v>
      </c>
      <c r="C254" s="8" t="str">
        <f>IFERROR(__xludf.DUMMYFUNCTION("""COMPUTED_VALUE"""),"S5723036787")</f>
        <v>S5723036787</v>
      </c>
      <c r="D254" s="8">
        <f>IFERROR(__xludf.DUMMYFUNCTION("""COMPUTED_VALUE"""),69.0)</f>
        <v>69</v>
      </c>
      <c r="E254" s="2"/>
    </row>
    <row r="255">
      <c r="A255" s="2"/>
      <c r="B255" s="8" t="str">
        <f>IFERROR(__xludf.DUMMYFUNCTION("""COMPUTED_VALUE"""),"YUNINGSIH")</f>
        <v>YUNINGSIH</v>
      </c>
      <c r="C255" s="8" t="str">
        <f>IFERROR(__xludf.DUMMYFUNCTION("""COMPUTED_VALUE"""),"Y7623046888")</f>
        <v>Y7623046888</v>
      </c>
      <c r="D255" s="8">
        <f>IFERROR(__xludf.DUMMYFUNCTION("""COMPUTED_VALUE"""),50.0)</f>
        <v>50</v>
      </c>
      <c r="E255" s="2"/>
    </row>
    <row r="256">
      <c r="A256" s="2"/>
      <c r="B256" s="8" t="str">
        <f>IFERROR(__xludf.DUMMYFUNCTION("""COMPUTED_VALUE"""),"SAHLY RIMBA ZENDEORIZKY")</f>
        <v>SAHLY RIMBA ZENDEORIZKY</v>
      </c>
      <c r="C256" s="8" t="str">
        <f>IFERROR(__xludf.DUMMYFUNCTION("""COMPUTED_VALUE"""),"S9623040058")</f>
        <v>S9623040058</v>
      </c>
      <c r="D256" s="8">
        <f>IFERROR(__xludf.DUMMYFUNCTION("""COMPUTED_VALUE"""),30.0)</f>
        <v>30</v>
      </c>
      <c r="E256" s="2"/>
    </row>
    <row r="257">
      <c r="A257" s="2"/>
      <c r="B257" s="8" t="str">
        <f>IFERROR(__xludf.DUMMYFUNCTION("""COMPUTED_VALUE"""),"LARASATI")</f>
        <v>LARASATI</v>
      </c>
      <c r="C257" s="8" t="str">
        <f>IFERROR(__xludf.DUMMYFUNCTION("""COMPUTED_VALUE"""),"L9023048870")</f>
        <v>L9023048870</v>
      </c>
      <c r="D257" s="8">
        <f>IFERROR(__xludf.DUMMYFUNCTION("""COMPUTED_VALUE"""),35.0)</f>
        <v>35</v>
      </c>
      <c r="E257" s="2"/>
    </row>
    <row r="258">
      <c r="A258" s="2"/>
      <c r="B258" s="8" t="str">
        <f>IFERROR(__xludf.DUMMYFUNCTION("""COMPUTED_VALUE"""),"TIFFANY WAHYUDHI")</f>
        <v>TIFFANY WAHYUDHI</v>
      </c>
      <c r="C258" s="8" t="str">
        <f>IFERROR(__xludf.DUMMYFUNCTION("""COMPUTED_VALUE"""),"T0723049005")</f>
        <v>T0723049005</v>
      </c>
      <c r="D258" s="8">
        <f>IFERROR(__xludf.DUMMYFUNCTION("""COMPUTED_VALUE"""),19.0)</f>
        <v>19</v>
      </c>
      <c r="E258" s="2"/>
    </row>
    <row r="259">
      <c r="A259" s="2"/>
      <c r="B259" s="8" t="str">
        <f>IFERROR(__xludf.DUMMYFUNCTION("""COMPUTED_VALUE"""),"FERA HENDRA")</f>
        <v>FERA HENDRA</v>
      </c>
      <c r="C259" s="8" t="str">
        <f>IFERROR(__xludf.DUMMYFUNCTION("""COMPUTED_VALUE"""),"F7023046888")</f>
        <v>F7023046888</v>
      </c>
      <c r="D259" s="8">
        <f>IFERROR(__xludf.DUMMYFUNCTION("""COMPUTED_VALUE"""),55.0)</f>
        <v>55</v>
      </c>
      <c r="E259" s="2"/>
    </row>
    <row r="260">
      <c r="A260" s="2"/>
      <c r="B260" s="8" t="str">
        <f>IFERROR(__xludf.DUMMYFUNCTION("""COMPUTED_VALUE"""),"TATA RISYADI")</f>
        <v>TATA RISYADI</v>
      </c>
      <c r="C260" s="8" t="str">
        <f>IFERROR(__xludf.DUMMYFUNCTION("""COMPUTED_VALUE"""),"T5723048107")</f>
        <v>T5723048107</v>
      </c>
      <c r="D260" s="8">
        <f>IFERROR(__xludf.DUMMYFUNCTION("""COMPUTED_VALUE"""),68.0)</f>
        <v>68</v>
      </c>
      <c r="E260" s="2"/>
    </row>
    <row r="261">
      <c r="A261" s="2"/>
      <c r="B261" s="8" t="str">
        <f>IFERROR(__xludf.DUMMYFUNCTION("""COMPUTED_VALUE"""),"QOID ABRAR ZUHDI")</f>
        <v>QOID ABRAR ZUHDI</v>
      </c>
      <c r="C261" s="8" t="str">
        <f>IFERROR(__xludf.DUMMYFUNCTION("""COMPUTED_VALUE"""),"Q9523047282")</f>
        <v>Q9523047282</v>
      </c>
      <c r="D261" s="8">
        <f>IFERROR(__xludf.DUMMYFUNCTION("""COMPUTED_VALUE"""),30.0)</f>
        <v>30</v>
      </c>
      <c r="E261" s="2"/>
    </row>
    <row r="262">
      <c r="A262" s="2"/>
      <c r="B262" s="8" t="str">
        <f>IFERROR(__xludf.DUMMYFUNCTION("""COMPUTED_VALUE"""),"EDY PURWANTO")</f>
        <v>EDY PURWANTO</v>
      </c>
      <c r="C262" s="8" t="str">
        <f>IFERROR(__xludf.DUMMYFUNCTION("""COMPUTED_VALUE"""),"E7323041009")</f>
        <v>E7323041009</v>
      </c>
      <c r="D262" s="8">
        <f>IFERROR(__xludf.DUMMYFUNCTION("""COMPUTED_VALUE"""),53.0)</f>
        <v>53</v>
      </c>
      <c r="E262" s="2"/>
    </row>
    <row r="263">
      <c r="A263" s="2"/>
      <c r="B263" s="8" t="str">
        <f>IFERROR(__xludf.DUMMYFUNCTION("""COMPUTED_VALUE"""),"HARIS MUHAMMAD HAQ")</f>
        <v>HARIS MUHAMMAD HAQ</v>
      </c>
      <c r="C263" s="8" t="str">
        <f>IFERROR(__xludf.DUMMYFUNCTION("""COMPUTED_VALUE"""),"H0223042344")</f>
        <v>H0223042344</v>
      </c>
      <c r="D263" s="8">
        <f>IFERROR(__xludf.DUMMYFUNCTION("""COMPUTED_VALUE"""),24.0)</f>
        <v>24</v>
      </c>
      <c r="E263" s="2"/>
    </row>
    <row r="264">
      <c r="A264" s="2"/>
      <c r="B264" s="8" t="str">
        <f>IFERROR(__xludf.DUMMYFUNCTION("""COMPUTED_VALUE"""),"SYAFITRA")</f>
        <v>SYAFITRA</v>
      </c>
      <c r="C264" s="8" t="str">
        <f>IFERROR(__xludf.DUMMYFUNCTION("""COMPUTED_VALUE"""),"S9323044739")</f>
        <v>S9323044739</v>
      </c>
      <c r="D264" s="8">
        <f>IFERROR(__xludf.DUMMYFUNCTION("""COMPUTED_VALUE"""),33.0)</f>
        <v>33</v>
      </c>
      <c r="E264" s="2"/>
    </row>
    <row r="265">
      <c r="A265" s="2"/>
      <c r="B265" s="8" t="str">
        <f>IFERROR(__xludf.DUMMYFUNCTION("""COMPUTED_VALUE"""),"KENNY ROBERT")</f>
        <v>KENNY ROBERT</v>
      </c>
      <c r="C265" s="8" t="str">
        <f>IFERROR(__xludf.DUMMYFUNCTION("""COMPUTED_VALUE"""),"K9323045200")</f>
        <v>K9323045200</v>
      </c>
      <c r="D265" s="8">
        <f>IFERROR(__xludf.DUMMYFUNCTION("""COMPUTED_VALUE"""),32.0)</f>
        <v>32</v>
      </c>
      <c r="E265" s="2"/>
    </row>
    <row r="266">
      <c r="A266" s="2"/>
      <c r="B266" s="8" t="str">
        <f>IFERROR(__xludf.DUMMYFUNCTION("""COMPUTED_VALUE"""),"MOCHAMMAD SOEDADI")</f>
        <v>MOCHAMMAD SOEDADI</v>
      </c>
      <c r="C266" s="8" t="str">
        <f>IFERROR(__xludf.DUMMYFUNCTION("""COMPUTED_VALUE"""),"M9323042433")</f>
        <v>M9323042433</v>
      </c>
      <c r="D266" s="8">
        <f>IFERROR(__xludf.DUMMYFUNCTION("""COMPUTED_VALUE"""),33.0)</f>
        <v>33</v>
      </c>
      <c r="E266" s="2"/>
    </row>
    <row r="267">
      <c r="A267" s="2"/>
      <c r="B267" s="8" t="str">
        <f>IFERROR(__xludf.DUMMYFUNCTION("""COMPUTED_VALUE"""),"SYLVIE WULANDARI")</f>
        <v>SYLVIE WULANDARI</v>
      </c>
      <c r="C267" s="8" t="str">
        <f>IFERROR(__xludf.DUMMYFUNCTION("""COMPUTED_VALUE"""),"S8323048735")</f>
        <v>S8323048735</v>
      </c>
      <c r="D267" s="8">
        <f>IFERROR(__xludf.DUMMYFUNCTION("""COMPUTED_VALUE"""),43.0)</f>
        <v>43</v>
      </c>
      <c r="E267" s="2"/>
    </row>
    <row r="268">
      <c r="A268" s="2"/>
      <c r="B268" s="8" t="str">
        <f>IFERROR(__xludf.DUMMYFUNCTION("""COMPUTED_VALUE"""),"FS.BARMANUKI")</f>
        <v>FS.BARMANUKI</v>
      </c>
      <c r="C268" s="8" t="str">
        <f>IFERROR(__xludf.DUMMYFUNCTION("""COMPUTED_VALUE"""),"F4523041070")</f>
        <v>F4523041070</v>
      </c>
      <c r="D268" s="8">
        <f>IFERROR(__xludf.DUMMYFUNCTION("""COMPUTED_VALUE"""),81.0)</f>
        <v>81</v>
      </c>
      <c r="E268" s="2"/>
    </row>
    <row r="269">
      <c r="A269" s="2"/>
      <c r="B269" s="8" t="str">
        <f>IFERROR(__xludf.DUMMYFUNCTION("""COMPUTED_VALUE"""),"HERISIN")</f>
        <v>HERISIN</v>
      </c>
      <c r="C269" s="8" t="str">
        <f>IFERROR(__xludf.DUMMYFUNCTION("""COMPUTED_VALUE"""),"H5223040082")</f>
        <v>H5223040082</v>
      </c>
      <c r="D269" s="8">
        <f>IFERROR(__xludf.DUMMYFUNCTION("""COMPUTED_VALUE"""),73.0)</f>
        <v>73</v>
      </c>
      <c r="E269" s="2"/>
    </row>
    <row r="270">
      <c r="A270" s="2"/>
      <c r="B270" s="8" t="str">
        <f>IFERROR(__xludf.DUMMYFUNCTION("""COMPUTED_VALUE"""),"ABIYANTO")</f>
        <v>ABIYANTO</v>
      </c>
      <c r="C270" s="8" t="str">
        <f>IFERROR(__xludf.DUMMYFUNCTION("""COMPUTED_VALUE"""),"A7123045708")</f>
        <v>A7123045708</v>
      </c>
      <c r="D270" s="8">
        <f>IFERROR(__xludf.DUMMYFUNCTION("""COMPUTED_VALUE"""),54.0)</f>
        <v>54</v>
      </c>
      <c r="E270" s="2"/>
    </row>
    <row r="271">
      <c r="A271" s="2"/>
      <c r="B271" s="8" t="str">
        <f>IFERROR(__xludf.DUMMYFUNCTION("""COMPUTED_VALUE"""),"JIMMY FRANKLIN KEGEL")</f>
        <v>JIMMY FRANKLIN KEGEL</v>
      </c>
      <c r="C271" s="8" t="str">
        <f>IFERROR(__xludf.DUMMYFUNCTION("""COMPUTED_VALUE"""),"J9223045067")</f>
        <v>J9223045067</v>
      </c>
      <c r="D271" s="8">
        <f>IFERROR(__xludf.DUMMYFUNCTION("""COMPUTED_VALUE"""),33.0)</f>
        <v>33</v>
      </c>
      <c r="E271" s="2"/>
    </row>
    <row r="272">
      <c r="A272" s="2"/>
      <c r="B272" s="8" t="str">
        <f>IFERROR(__xludf.DUMMYFUNCTION("""COMPUTED_VALUE"""),"MARYAM")</f>
        <v>MARYAM</v>
      </c>
      <c r="C272" s="8" t="str">
        <f>IFERROR(__xludf.DUMMYFUNCTION("""COMPUTED_VALUE"""),"M7023041727")</f>
        <v>M7023041727</v>
      </c>
      <c r="D272" s="8">
        <f>IFERROR(__xludf.DUMMYFUNCTION("""COMPUTED_VALUE"""),56.0)</f>
        <v>56</v>
      </c>
      <c r="E272" s="2"/>
    </row>
    <row r="273">
      <c r="A273" s="2"/>
      <c r="B273" s="8" t="str">
        <f>IFERROR(__xludf.DUMMYFUNCTION("""COMPUTED_VALUE"""),"URAY ZUNIA KURNIAWATI")</f>
        <v>URAY ZUNIA KURNIAWATI</v>
      </c>
      <c r="C273" s="8" t="str">
        <f>IFERROR(__xludf.DUMMYFUNCTION("""COMPUTED_VALUE"""),"U7323047749")</f>
        <v>U7323047749</v>
      </c>
      <c r="D273" s="8">
        <f>IFERROR(__xludf.DUMMYFUNCTION("""COMPUTED_VALUE"""),53.0)</f>
        <v>53</v>
      </c>
      <c r="E273" s="2"/>
    </row>
    <row r="274">
      <c r="A274" s="2"/>
      <c r="B274" s="8" t="str">
        <f>IFERROR(__xludf.DUMMYFUNCTION("""COMPUTED_VALUE"""),"UTIN ANWAR SANIAH")</f>
        <v>UTIN ANWAR SANIAH</v>
      </c>
      <c r="C274" s="8" t="str">
        <f>IFERROR(__xludf.DUMMYFUNCTION("""COMPUTED_VALUE"""),"U3123042831")</f>
        <v>U3123042831</v>
      </c>
      <c r="D274" s="8">
        <f>IFERROR(__xludf.DUMMYFUNCTION("""COMPUTED_VALUE"""),94.0)</f>
        <v>94</v>
      </c>
      <c r="E274" s="2"/>
    </row>
    <row r="275">
      <c r="A275" s="2"/>
      <c r="B275" s="8" t="str">
        <f>IFERROR(__xludf.DUMMYFUNCTION("""COMPUTED_VALUE"""),"BAMBANG HARIANTO")</f>
        <v>BAMBANG HARIANTO</v>
      </c>
      <c r="C275" s="8" t="str">
        <f>IFERROR(__xludf.DUMMYFUNCTION("""COMPUTED_VALUE"""),"B9823041339")</f>
        <v>B9823041339</v>
      </c>
      <c r="D275" s="8">
        <f>IFERROR(__xludf.DUMMYFUNCTION("""COMPUTED_VALUE"""),27.0)</f>
        <v>27</v>
      </c>
      <c r="E275" s="2"/>
    </row>
    <row r="276">
      <c r="A276" s="2"/>
      <c r="B276" s="8" t="str">
        <f>IFERROR(__xludf.DUMMYFUNCTION("""COMPUTED_VALUE"""),"RADITYA SADEGA")</f>
        <v>RADITYA SADEGA</v>
      </c>
      <c r="C276" s="8" t="str">
        <f>IFERROR(__xludf.DUMMYFUNCTION("""COMPUTED_VALUE"""),"R1423045191")</f>
        <v>R1423045191</v>
      </c>
      <c r="D276" s="8">
        <f>IFERROR(__xludf.DUMMYFUNCTION("""COMPUTED_VALUE"""),11.0)</f>
        <v>11</v>
      </c>
      <c r="E276" s="2"/>
    </row>
    <row r="277">
      <c r="A277" s="2"/>
      <c r="B277" s="8" t="str">
        <f>IFERROR(__xludf.DUMMYFUNCTION("""COMPUTED_VALUE"""),"JANNA")</f>
        <v>JANNA</v>
      </c>
      <c r="C277" s="8" t="str">
        <f>IFERROR(__xludf.DUMMYFUNCTION("""COMPUTED_VALUE"""),"J9223040777")</f>
        <v>J9223040777</v>
      </c>
      <c r="D277" s="8">
        <f>IFERROR(__xludf.DUMMYFUNCTION("""COMPUTED_VALUE"""),33.0)</f>
        <v>33</v>
      </c>
      <c r="E277" s="2"/>
    </row>
    <row r="278">
      <c r="A278" s="2"/>
      <c r="B278" s="8" t="str">
        <f>IFERROR(__xludf.DUMMYFUNCTION("""COMPUTED_VALUE"""),"PALMY")</f>
        <v>PALMY</v>
      </c>
      <c r="C278" s="8" t="str">
        <f>IFERROR(__xludf.DUMMYFUNCTION("""COMPUTED_VALUE"""),"P8623040555")</f>
        <v>P8623040555</v>
      </c>
      <c r="D278" s="8">
        <f>IFERROR(__xludf.DUMMYFUNCTION("""COMPUTED_VALUE"""),39.0)</f>
        <v>39</v>
      </c>
      <c r="E278" s="2"/>
    </row>
    <row r="279">
      <c r="A279" s="2"/>
      <c r="B279" s="8" t="str">
        <f>IFERROR(__xludf.DUMMYFUNCTION("""COMPUTED_VALUE"""),"ARZACHEL")</f>
        <v>ARZACHEL</v>
      </c>
      <c r="C279" s="8" t="str">
        <f>IFERROR(__xludf.DUMMYFUNCTION("""COMPUTED_VALUE"""),"A1223045551")</f>
        <v>A1223045551</v>
      </c>
      <c r="D279" s="8">
        <f>IFERROR(__xludf.DUMMYFUNCTION("""COMPUTED_VALUE"""),14.0)</f>
        <v>14</v>
      </c>
      <c r="E279" s="2"/>
    </row>
    <row r="280">
      <c r="A280" s="2"/>
      <c r="B280" s="8" t="str">
        <f>IFERROR(__xludf.DUMMYFUNCTION("""COMPUTED_VALUE"""),"CHAIDANIAH")</f>
        <v>CHAIDANIAH</v>
      </c>
      <c r="C280" s="8" t="str">
        <f>IFERROR(__xludf.DUMMYFUNCTION("""COMPUTED_VALUE"""),"C5023047038")</f>
        <v>C5023047038</v>
      </c>
      <c r="D280" s="8">
        <f>IFERROR(__xludf.DUMMYFUNCTION("""COMPUTED_VALUE"""),76.0)</f>
        <v>76</v>
      </c>
      <c r="E280" s="2"/>
    </row>
    <row r="281">
      <c r="A281" s="2"/>
      <c r="B281" s="8" t="str">
        <f>IFERROR(__xludf.DUMMYFUNCTION("""COMPUTED_VALUE"""),"DERRICK CONNERY")</f>
        <v>DERRICK CONNERY</v>
      </c>
      <c r="C281" s="8" t="str">
        <f>IFERROR(__xludf.DUMMYFUNCTION("""COMPUTED_VALUE"""),"D9423041683")</f>
        <v>D9423041683</v>
      </c>
      <c r="D281" s="8">
        <f>IFERROR(__xludf.DUMMYFUNCTION("""COMPUTED_VALUE"""),31.0)</f>
        <v>31</v>
      </c>
      <c r="E281" s="2"/>
    </row>
    <row r="282">
      <c r="A282" s="2"/>
      <c r="B282" s="8" t="str">
        <f>IFERROR(__xludf.DUMMYFUNCTION("""COMPUTED_VALUE"""),"RIZKI MULYANTO")</f>
        <v>RIZKI MULYANTO</v>
      </c>
      <c r="C282" s="8" t="str">
        <f>IFERROR(__xludf.DUMMYFUNCTION("""COMPUTED_VALUE"""),"R9823046931")</f>
        <v>R9823046931</v>
      </c>
      <c r="D282" s="8">
        <f>IFERROR(__xludf.DUMMYFUNCTION("""COMPUTED_VALUE"""),28.0)</f>
        <v>28</v>
      </c>
      <c r="E282" s="2"/>
    </row>
    <row r="283">
      <c r="A283" s="2"/>
      <c r="B283" s="8" t="str">
        <f>IFERROR(__xludf.DUMMYFUNCTION("""COMPUTED_VALUE"""),"DEDE SUBANDI")</f>
        <v>DEDE SUBANDI</v>
      </c>
      <c r="C283" s="8" t="str">
        <f>IFERROR(__xludf.DUMMYFUNCTION("""COMPUTED_VALUE"""),"D8923047556")</f>
        <v>D8923047556</v>
      </c>
      <c r="D283" s="8">
        <f>IFERROR(__xludf.DUMMYFUNCTION("""COMPUTED_VALUE"""),37.0)</f>
        <v>37</v>
      </c>
      <c r="E283" s="2"/>
    </row>
    <row r="284">
      <c r="A284" s="2"/>
      <c r="B284" s="8" t="str">
        <f>IFERROR(__xludf.DUMMYFUNCTION("""COMPUTED_VALUE"""),"FACHRI ISNAINI")</f>
        <v>FACHRI ISNAINI</v>
      </c>
      <c r="C284" s="8" t="str">
        <f>IFERROR(__xludf.DUMMYFUNCTION("""COMPUTED_VALUE"""),"F0023049343")</f>
        <v>F0023049343</v>
      </c>
      <c r="D284" s="8">
        <f>IFERROR(__xludf.DUMMYFUNCTION("""COMPUTED_VALUE"""),26.0)</f>
        <v>26</v>
      </c>
      <c r="E284" s="2"/>
    </row>
    <row r="285">
      <c r="A285" s="2"/>
      <c r="B285" s="8" t="str">
        <f>IFERROR(__xludf.DUMMYFUNCTION("""COMPUTED_VALUE"""),"YUDHA PRATAMA")</f>
        <v>YUDHA PRATAMA</v>
      </c>
      <c r="C285" s="8" t="str">
        <f>IFERROR(__xludf.DUMMYFUNCTION("""COMPUTED_VALUE"""),"Y9423048900")</f>
        <v>Y9423048900</v>
      </c>
      <c r="D285" s="8">
        <f>IFERROR(__xludf.DUMMYFUNCTION("""COMPUTED_VALUE"""),32.0)</f>
        <v>32</v>
      </c>
      <c r="E285" s="2"/>
    </row>
    <row r="286">
      <c r="A286" s="2"/>
      <c r="B286" s="8" t="str">
        <f>IFERROR(__xludf.DUMMYFUNCTION("""COMPUTED_VALUE"""),"SAMMIRA")</f>
        <v>SAMMIRA</v>
      </c>
      <c r="C286" s="8" t="str">
        <f>IFERROR(__xludf.DUMMYFUNCTION("""COMPUTED_VALUE"""),"S9123044934")</f>
        <v>S9123044934</v>
      </c>
      <c r="D286" s="8">
        <f>IFERROR(__xludf.DUMMYFUNCTION("""COMPUTED_VALUE"""),35.0)</f>
        <v>35</v>
      </c>
      <c r="E286" s="2"/>
    </row>
    <row r="287">
      <c r="A287" s="2"/>
      <c r="B287" s="8" t="str">
        <f>IFERROR(__xludf.DUMMYFUNCTION("""COMPUTED_VALUE"""),"MOHD ANDILLA ADITYA NOVARIANDI")</f>
        <v>MOHD ANDILLA ADITYA NOVARIANDI</v>
      </c>
      <c r="C287" s="8" t="str">
        <f>IFERROR(__xludf.DUMMYFUNCTION("""COMPUTED_VALUE"""),"M8823040437")</f>
        <v>M8823040437</v>
      </c>
      <c r="D287" s="8">
        <f>IFERROR(__xludf.DUMMYFUNCTION("""COMPUTED_VALUE"""),38.0)</f>
        <v>38</v>
      </c>
      <c r="E287" s="2"/>
    </row>
    <row r="288">
      <c r="A288" s="2"/>
      <c r="B288" s="8" t="str">
        <f>IFERROR(__xludf.DUMMYFUNCTION("""COMPUTED_VALUE"""),"BANNDY ANGGARA")</f>
        <v>BANNDY ANGGARA</v>
      </c>
      <c r="C288" s="8" t="str">
        <f>IFERROR(__xludf.DUMMYFUNCTION("""COMPUTED_VALUE"""),"B0223045231")</f>
        <v>B0223045231</v>
      </c>
      <c r="D288" s="8">
        <f>IFERROR(__xludf.DUMMYFUNCTION("""COMPUTED_VALUE"""),23.0)</f>
        <v>23</v>
      </c>
      <c r="E288" s="2"/>
    </row>
    <row r="289">
      <c r="A289" s="2"/>
      <c r="B289" s="8" t="str">
        <f>IFERROR(__xludf.DUMMYFUNCTION("""COMPUTED_VALUE"""),"ROSMIYAH ATIKA SURI")</f>
        <v>ROSMIYAH ATIKA SURI</v>
      </c>
      <c r="C289" s="8" t="str">
        <f>IFERROR(__xludf.DUMMYFUNCTION("""COMPUTED_VALUE"""),"R0523044786")</f>
        <v>R0523044786</v>
      </c>
      <c r="D289" s="8">
        <f>IFERROR(__xludf.DUMMYFUNCTION("""COMPUTED_VALUE"""),21.0)</f>
        <v>21</v>
      </c>
      <c r="E289" s="2"/>
    </row>
    <row r="290">
      <c r="A290" s="2"/>
      <c r="B290" s="8" t="str">
        <f>IFERROR(__xludf.DUMMYFUNCTION("""COMPUTED_VALUE"""),"IHSAN ABDULLAH")</f>
        <v>IHSAN ABDULLAH</v>
      </c>
      <c r="C290" s="8" t="str">
        <f>IFERROR(__xludf.DUMMYFUNCTION("""COMPUTED_VALUE"""),"I0523049977")</f>
        <v>I0523049977</v>
      </c>
      <c r="D290" s="8">
        <f>IFERROR(__xludf.DUMMYFUNCTION("""COMPUTED_VALUE"""),20.0)</f>
        <v>20</v>
      </c>
      <c r="E290" s="2"/>
    </row>
    <row r="291">
      <c r="A291" s="2"/>
      <c r="B291" s="8" t="str">
        <f>IFERROR(__xludf.DUMMYFUNCTION("""COMPUTED_VALUE"""),"FAIZUL RAHMANTO")</f>
        <v>FAIZUL RAHMANTO</v>
      </c>
      <c r="C291" s="8" t="str">
        <f>IFERROR(__xludf.DUMMYFUNCTION("""COMPUTED_VALUE"""),"F1023045480")</f>
        <v>F1023045480</v>
      </c>
      <c r="D291" s="8">
        <f>IFERROR(__xludf.DUMMYFUNCTION("""COMPUTED_VALUE"""),16.0)</f>
        <v>16</v>
      </c>
      <c r="E291" s="2"/>
    </row>
    <row r="292">
      <c r="A292" s="2"/>
      <c r="B292" s="8" t="str">
        <f>IFERROR(__xludf.DUMMYFUNCTION("""COMPUTED_VALUE"""),"SURYANSYAH")</f>
        <v>SURYANSYAH</v>
      </c>
      <c r="C292" s="8" t="str">
        <f>IFERROR(__xludf.DUMMYFUNCTION("""COMPUTED_VALUE"""),"S0523046174")</f>
        <v>S0523046174</v>
      </c>
      <c r="D292" s="8">
        <f>IFERROR(__xludf.DUMMYFUNCTION("""COMPUTED_VALUE"""),20.0)</f>
        <v>20</v>
      </c>
      <c r="E292" s="2"/>
    </row>
    <row r="293">
      <c r="A293" s="2"/>
      <c r="B293" s="8" t="str">
        <f>IFERROR(__xludf.DUMMYFUNCTION("""COMPUTED_VALUE"""),"NUR MUHAMAD FIRMANSYAH")</f>
        <v>NUR MUHAMAD FIRMANSYAH</v>
      </c>
      <c r="C293" s="8" t="str">
        <f>IFERROR(__xludf.DUMMYFUNCTION("""COMPUTED_VALUE"""),"N9323049547")</f>
        <v>N9323049547</v>
      </c>
      <c r="D293" s="8">
        <f>IFERROR(__xludf.DUMMYFUNCTION("""COMPUTED_VALUE"""),32.0)</f>
        <v>32</v>
      </c>
      <c r="E293" s="2"/>
    </row>
    <row r="294">
      <c r="A294" s="2"/>
      <c r="B294" s="8" t="str">
        <f>IFERROR(__xludf.DUMMYFUNCTION("""COMPUTED_VALUE"""),"MIQHO OZORA MARSANSO")</f>
        <v>MIQHO OZORA MARSANSO</v>
      </c>
      <c r="C294" s="8" t="str">
        <f>IFERROR(__xludf.DUMMYFUNCTION("""COMPUTED_VALUE"""),"M0523043050")</f>
        <v>M0523043050</v>
      </c>
      <c r="D294" s="8">
        <f>IFERROR(__xludf.DUMMYFUNCTION("""COMPUTED_VALUE"""),21.0)</f>
        <v>21</v>
      </c>
      <c r="E294" s="2"/>
    </row>
    <row r="295">
      <c r="A295" s="2"/>
      <c r="B295" s="8" t="str">
        <f>IFERROR(__xludf.DUMMYFUNCTION("""COMPUTED_VALUE"""),"ADITHYA PRATAMA WAHYUDI")</f>
        <v>ADITHYA PRATAMA WAHYUDI</v>
      </c>
      <c r="C295" s="8" t="str">
        <f>IFERROR(__xludf.DUMMYFUNCTION("""COMPUTED_VALUE"""),"A0523043411")</f>
        <v>A0523043411</v>
      </c>
      <c r="D295" s="8">
        <f>IFERROR(__xludf.DUMMYFUNCTION("""COMPUTED_VALUE"""),20.0)</f>
        <v>20</v>
      </c>
      <c r="E295" s="2"/>
    </row>
    <row r="296">
      <c r="A296" s="2"/>
      <c r="B296" s="8" t="str">
        <f>IFERROR(__xludf.DUMMYFUNCTION("""COMPUTED_VALUE"""),"INTAN OKTAVIA FIANTI")</f>
        <v>INTAN OKTAVIA FIANTI</v>
      </c>
      <c r="C296" s="8" t="str">
        <f>IFERROR(__xludf.DUMMYFUNCTION("""COMPUTED_VALUE"""),"I9623046833")</f>
        <v>I9623046833</v>
      </c>
      <c r="D296" s="8">
        <f>IFERROR(__xludf.DUMMYFUNCTION("""COMPUTED_VALUE"""),29.0)</f>
        <v>29</v>
      </c>
      <c r="E296" s="2"/>
    </row>
    <row r="297">
      <c r="A297" s="2"/>
      <c r="B297" s="8" t="str">
        <f>IFERROR(__xludf.DUMMYFUNCTION("""COMPUTED_VALUE"""),"MUHAMMAD IQBAL FAHLEVI IBNU AHMAD")</f>
        <v>MUHAMMAD IQBAL FAHLEVI IBNU AHMAD</v>
      </c>
      <c r="C297" s="8" t="str">
        <f>IFERROR(__xludf.DUMMYFUNCTION("""COMPUTED_VALUE"""),"M0523043163")</f>
        <v>M0523043163</v>
      </c>
      <c r="D297" s="8">
        <f>IFERROR(__xludf.DUMMYFUNCTION("""COMPUTED_VALUE"""),21.0)</f>
        <v>21</v>
      </c>
      <c r="E297" s="2"/>
    </row>
    <row r="298">
      <c r="A298" s="2"/>
      <c r="B298" s="8" t="str">
        <f>IFERROR(__xludf.DUMMYFUNCTION("""COMPUTED_VALUE"""),"HENDRI 8112")</f>
        <v>HENDRI 8112</v>
      </c>
      <c r="C298" s="8" t="str">
        <f>IFERROR(__xludf.DUMMYFUNCTION("""COMPUTED_VALUE"""),"H8123048905")</f>
        <v>H8123048905</v>
      </c>
      <c r="D298" s="8">
        <f>IFERROR(__xludf.DUMMYFUNCTION("""COMPUTED_VALUE"""),44.0)</f>
        <v>44</v>
      </c>
      <c r="E298" s="2"/>
    </row>
    <row r="299">
      <c r="A299" s="2"/>
      <c r="B299" s="8" t="str">
        <f>IFERROR(__xludf.DUMMYFUNCTION("""COMPUTED_VALUE"""),"LIEM AI JONG")</f>
        <v>LIEM AI JONG</v>
      </c>
      <c r="C299" s="8" t="str">
        <f>IFERROR(__xludf.DUMMYFUNCTION("""COMPUTED_VALUE"""),"L5823040082")</f>
        <v>L5823040082</v>
      </c>
      <c r="D299" s="8">
        <f>IFERROR(__xludf.DUMMYFUNCTION("""COMPUTED_VALUE"""),67.0)</f>
        <v>67</v>
      </c>
      <c r="E299" s="2"/>
    </row>
    <row r="300">
      <c r="A300" s="2"/>
      <c r="B300" s="8" t="str">
        <f>IFERROR(__xludf.DUMMYFUNCTION("""COMPUTED_VALUE"""),"DHEA PUTRI KAMELIA")</f>
        <v>DHEA PUTRI KAMELIA</v>
      </c>
      <c r="C300" s="8" t="str">
        <f>IFERROR(__xludf.DUMMYFUNCTION("""COMPUTED_VALUE"""),"D9723041305")</f>
        <v>D9723041305</v>
      </c>
      <c r="D300" s="8">
        <f>IFERROR(__xludf.DUMMYFUNCTION("""COMPUTED_VALUE"""),29.0)</f>
        <v>29</v>
      </c>
      <c r="E300" s="2"/>
    </row>
    <row r="301">
      <c r="A301" s="2"/>
      <c r="B301" s="8" t="str">
        <f>IFERROR(__xludf.DUMMYFUNCTION("""COMPUTED_VALUE"""),"TRISYAH NINGSIH")</f>
        <v>TRISYAH NINGSIH</v>
      </c>
      <c r="C301" s="8" t="str">
        <f>IFERROR(__xludf.DUMMYFUNCTION("""COMPUTED_VALUE"""),"T8023042027")</f>
        <v>T8023042027</v>
      </c>
      <c r="D301" s="8">
        <f>IFERROR(__xludf.DUMMYFUNCTION("""COMPUTED_VALUE"""),45.0)</f>
        <v>45</v>
      </c>
      <c r="E301" s="2"/>
    </row>
    <row r="302">
      <c r="A302" s="2"/>
      <c r="B302" s="8" t="str">
        <f>IFERROR(__xludf.DUMMYFUNCTION("""COMPUTED_VALUE"""),"RAMA SYAHRUL F")</f>
        <v>RAMA SYAHRUL F</v>
      </c>
      <c r="C302" s="8" t="str">
        <f>IFERROR(__xludf.DUMMYFUNCTION("""COMPUTED_VALUE"""),"R0623044870")</f>
        <v>R0623044870</v>
      </c>
      <c r="D302" s="8">
        <f>IFERROR(__xludf.DUMMYFUNCTION("""COMPUTED_VALUE"""),19.0)</f>
        <v>19</v>
      </c>
      <c r="E302" s="2"/>
    </row>
    <row r="303">
      <c r="A303" s="2"/>
      <c r="B303" s="8" t="str">
        <f>IFERROR(__xludf.DUMMYFUNCTION("""COMPUTED_VALUE"""),"MARGARETHA YENNY YAP")</f>
        <v>MARGARETHA YENNY YAP</v>
      </c>
      <c r="C303" s="8" t="str">
        <f>IFERROR(__xludf.DUMMYFUNCTION("""COMPUTED_VALUE"""),"M6223043928")</f>
        <v>M6223043928</v>
      </c>
      <c r="D303" s="8">
        <f>IFERROR(__xludf.DUMMYFUNCTION("""COMPUTED_VALUE"""),64.0)</f>
        <v>64</v>
      </c>
      <c r="E303" s="2"/>
    </row>
    <row r="304">
      <c r="A304" s="2"/>
      <c r="B304" s="8" t="str">
        <f>IFERROR(__xludf.DUMMYFUNCTION("""COMPUTED_VALUE"""),"MUHAMMAD AULIA HARDADI")</f>
        <v>MUHAMMAD AULIA HARDADI</v>
      </c>
      <c r="C304" s="8" t="str">
        <f>IFERROR(__xludf.DUMMYFUNCTION("""COMPUTED_VALUE"""),"M8923045811")</f>
        <v>M8923045811</v>
      </c>
      <c r="D304" s="8">
        <f>IFERROR(__xludf.DUMMYFUNCTION("""COMPUTED_VALUE"""),36.0)</f>
        <v>36</v>
      </c>
      <c r="E304" s="2"/>
    </row>
    <row r="305">
      <c r="A305" s="2"/>
      <c r="B305" s="8" t="str">
        <f>IFERROR(__xludf.DUMMYFUNCTION("""COMPUTED_VALUE"""),"TIYA NURFAUZIAH")</f>
        <v>TIYA NURFAUZIAH</v>
      </c>
      <c r="C305" s="8" t="str">
        <f>IFERROR(__xludf.DUMMYFUNCTION("""COMPUTED_VALUE"""),"T9723046250")</f>
        <v>T9723046250</v>
      </c>
      <c r="D305" s="8">
        <f>IFERROR(__xludf.DUMMYFUNCTION("""COMPUTED_VALUE"""),28.0)</f>
        <v>28</v>
      </c>
      <c r="E305" s="2"/>
    </row>
    <row r="306">
      <c r="A306" s="2"/>
      <c r="B306" s="8" t="str">
        <f>IFERROR(__xludf.DUMMYFUNCTION("""COMPUTED_VALUE"""),"DEVIE GUSTANIA")</f>
        <v>DEVIE GUSTANIA</v>
      </c>
      <c r="C306" s="8" t="str">
        <f>IFERROR(__xludf.DUMMYFUNCTION("""COMPUTED_VALUE"""),"D2323047600")</f>
        <v>D2323047600</v>
      </c>
      <c r="D306" s="8">
        <f>IFERROR(__xludf.DUMMYFUNCTION("""COMPUTED_VALUE"""),2.0)</f>
        <v>2</v>
      </c>
      <c r="E306" s="2"/>
    </row>
    <row r="307">
      <c r="A307" s="2"/>
      <c r="B307" s="8" t="str">
        <f>IFERROR(__xludf.DUMMYFUNCTION("""COMPUTED_VALUE"""),"ANDETMAN")</f>
        <v>ANDETMAN</v>
      </c>
      <c r="C307" s="8" t="str">
        <f>IFERROR(__xludf.DUMMYFUNCTION("""COMPUTED_VALUE"""),"A5523045549")</f>
        <v>A5523045549</v>
      </c>
      <c r="D307" s="8">
        <f>IFERROR(__xludf.DUMMYFUNCTION("""COMPUTED_VALUE"""),71.0)</f>
        <v>71</v>
      </c>
      <c r="E307" s="2"/>
    </row>
    <row r="308">
      <c r="A308" s="2"/>
      <c r="B308" s="8" t="str">
        <f>IFERROR(__xludf.DUMMYFUNCTION("""COMPUTED_VALUE"""),"RESKY BINU")</f>
        <v>RESKY BINU</v>
      </c>
      <c r="C308" s="8" t="str">
        <f>IFERROR(__xludf.DUMMYFUNCTION("""COMPUTED_VALUE"""),"R2023046798")</f>
        <v>R2023046798</v>
      </c>
      <c r="D308" s="8">
        <f>IFERROR(__xludf.DUMMYFUNCTION("""COMPUTED_VALUE"""),6.0)</f>
        <v>6</v>
      </c>
      <c r="E308" s="2"/>
    </row>
    <row r="309">
      <c r="A309" s="2"/>
      <c r="B309" s="8" t="str">
        <f>IFERROR(__xludf.DUMMYFUNCTION("""COMPUTED_VALUE"""),"HENDRA PERDANA")</f>
        <v>HENDRA PERDANA</v>
      </c>
      <c r="C309" s="8" t="str">
        <f>IFERROR(__xludf.DUMMYFUNCTION("""COMPUTED_VALUE"""),"H8823042424")</f>
        <v>H8823042424</v>
      </c>
      <c r="D309" s="8">
        <f>IFERROR(__xludf.DUMMYFUNCTION("""COMPUTED_VALUE"""),37.0)</f>
        <v>37</v>
      </c>
      <c r="E309" s="2"/>
    </row>
    <row r="310">
      <c r="A310" s="2"/>
      <c r="B310" s="8" t="str">
        <f>IFERROR(__xludf.DUMMYFUNCTION("""COMPUTED_VALUE"""),"RENDY DARMAWAN")</f>
        <v>RENDY DARMAWAN</v>
      </c>
      <c r="C310" s="8" t="str">
        <f>IFERROR(__xludf.DUMMYFUNCTION("""COMPUTED_VALUE"""),"R0223041733")</f>
        <v>R0223041733</v>
      </c>
      <c r="D310" s="8">
        <f>IFERROR(__xludf.DUMMYFUNCTION("""COMPUTED_VALUE"""),23.0)</f>
        <v>23</v>
      </c>
      <c r="E310" s="2"/>
    </row>
    <row r="311">
      <c r="A311" s="2"/>
      <c r="B311" s="8" t="str">
        <f>IFERROR(__xludf.DUMMYFUNCTION("""COMPUTED_VALUE"""),"HALIJAH 6506")</f>
        <v>HALIJAH 6506</v>
      </c>
      <c r="C311" s="8" t="str">
        <f>IFERROR(__xludf.DUMMYFUNCTION("""COMPUTED_VALUE"""),"H6523040407")</f>
        <v>H6523040407</v>
      </c>
      <c r="D311" s="8">
        <f>IFERROR(__xludf.DUMMYFUNCTION("""COMPUTED_VALUE"""),61.0)</f>
        <v>61</v>
      </c>
      <c r="E311" s="2"/>
    </row>
    <row r="312">
      <c r="A312" s="2"/>
      <c r="B312" s="8" t="str">
        <f>IFERROR(__xludf.DUMMYFUNCTION("""COMPUTED_VALUE"""),"PUTERA ANGGARDA KIRANA")</f>
        <v>PUTERA ANGGARDA KIRANA</v>
      </c>
      <c r="C312" s="8" t="str">
        <f>IFERROR(__xludf.DUMMYFUNCTION("""COMPUTED_VALUE"""),"P9123046611")</f>
        <v>P9123046611</v>
      </c>
      <c r="D312" s="8">
        <f>IFERROR(__xludf.DUMMYFUNCTION("""COMPUTED_VALUE"""),34.0)</f>
        <v>34</v>
      </c>
      <c r="E312" s="2"/>
    </row>
    <row r="313">
      <c r="A313" s="2"/>
      <c r="B313" s="8" t="str">
        <f>IFERROR(__xludf.DUMMYFUNCTION("""COMPUTED_VALUE"""),"SYARIFAH IDA FITRIANA")</f>
        <v>SYARIFAH IDA FITRIANA</v>
      </c>
      <c r="C313" s="8" t="str">
        <f>IFERROR(__xludf.DUMMYFUNCTION("""COMPUTED_VALUE"""),"S7223042029")</f>
        <v>S7223042029</v>
      </c>
      <c r="D313" s="8">
        <f>IFERROR(__xludf.DUMMYFUNCTION("""COMPUTED_VALUE"""),53.0)</f>
        <v>53</v>
      </c>
      <c r="E313" s="2"/>
    </row>
    <row r="314">
      <c r="A314" s="2"/>
      <c r="B314" s="8" t="str">
        <f>IFERROR(__xludf.DUMMYFUNCTION("""COMPUTED_VALUE"""),"KARTIKA NINGTIAS")</f>
        <v>KARTIKA NINGTIAS</v>
      </c>
      <c r="C314" s="8" t="str">
        <f>IFERROR(__xludf.DUMMYFUNCTION("""COMPUTED_VALUE"""),"K6623046501")</f>
        <v>K6623046501</v>
      </c>
      <c r="D314" s="8">
        <f>IFERROR(__xludf.DUMMYFUNCTION("""COMPUTED_VALUE"""),60.0)</f>
        <v>60</v>
      </c>
      <c r="E314" s="2"/>
    </row>
    <row r="315">
      <c r="A315" s="2"/>
      <c r="B315" s="8" t="str">
        <f>IFERROR(__xludf.DUMMYFUNCTION("""COMPUTED_VALUE"""),"SALIM SUSANTO")</f>
        <v>SALIM SUSANTO</v>
      </c>
      <c r="C315" s="8" t="str">
        <f>IFERROR(__xludf.DUMMYFUNCTION("""COMPUTED_VALUE"""),"S6823049978")</f>
        <v>S6823049978</v>
      </c>
      <c r="D315" s="8">
        <f>IFERROR(__xludf.DUMMYFUNCTION("""COMPUTED_VALUE"""),57.0)</f>
        <v>57</v>
      </c>
      <c r="E315" s="2"/>
    </row>
    <row r="316">
      <c r="A316" s="2"/>
      <c r="B316" s="8" t="str">
        <f>IFERROR(__xludf.DUMMYFUNCTION("""COMPUTED_VALUE"""),"MURIANI")</f>
        <v>MURIANI</v>
      </c>
      <c r="C316" s="8" t="str">
        <f>IFERROR(__xludf.DUMMYFUNCTION("""COMPUTED_VALUE"""),"M7823049005")</f>
        <v>M7823049005</v>
      </c>
      <c r="D316" s="8">
        <f>IFERROR(__xludf.DUMMYFUNCTION("""COMPUTED_VALUE"""),47.0)</f>
        <v>47</v>
      </c>
      <c r="E316" s="2"/>
    </row>
    <row r="317">
      <c r="A317" s="2"/>
      <c r="B317" s="8" t="str">
        <f>IFERROR(__xludf.DUMMYFUNCTION("""COMPUTED_VALUE"""),"DAYANG NORMA")</f>
        <v>DAYANG NORMA</v>
      </c>
      <c r="C317" s="8" t="str">
        <f>IFERROR(__xludf.DUMMYFUNCTION("""COMPUTED_VALUE"""),"D5923045016")</f>
        <v>D5923045016</v>
      </c>
      <c r="D317" s="8">
        <f>IFERROR(__xludf.DUMMYFUNCTION("""COMPUTED_VALUE"""),67.0)</f>
        <v>67</v>
      </c>
      <c r="E317" s="2"/>
    </row>
    <row r="318">
      <c r="A318" s="2"/>
      <c r="B318" s="8" t="str">
        <f>IFERROR(__xludf.DUMMYFUNCTION("""COMPUTED_VALUE"""),"ERICK SUMARNO")</f>
        <v>ERICK SUMARNO</v>
      </c>
      <c r="C318" s="8" t="str">
        <f>IFERROR(__xludf.DUMMYFUNCTION("""COMPUTED_VALUE"""),"E2323045373")</f>
        <v>E2323045373</v>
      </c>
      <c r="D318" s="8">
        <f>IFERROR(__xludf.DUMMYFUNCTION("""COMPUTED_VALUE"""),3.0)</f>
        <v>3</v>
      </c>
      <c r="E318" s="2"/>
    </row>
    <row r="319">
      <c r="A319" s="2"/>
      <c r="B319" s="8" t="str">
        <f>IFERROR(__xludf.DUMMYFUNCTION("""COMPUTED_VALUE"""),"RUSNITAWATI")</f>
        <v>RUSNITAWATI</v>
      </c>
      <c r="C319" s="8" t="str">
        <f>IFERROR(__xludf.DUMMYFUNCTION("""COMPUTED_VALUE"""),"R6323045937")</f>
        <v>R6323045937</v>
      </c>
      <c r="D319" s="8">
        <f>IFERROR(__xludf.DUMMYFUNCTION("""COMPUTED_VALUE"""),63.0)</f>
        <v>63</v>
      </c>
      <c r="E319" s="2"/>
    </row>
    <row r="320">
      <c r="A320" s="2"/>
      <c r="B320" s="8" t="str">
        <f>IFERROR(__xludf.DUMMYFUNCTION("""COMPUTED_VALUE"""),"ANDY SETIAWAN")</f>
        <v>ANDY SETIAWAN</v>
      </c>
      <c r="C320" s="8" t="str">
        <f>IFERROR(__xludf.DUMMYFUNCTION("""COMPUTED_VALUE"""),"A8723049223")</f>
        <v>A8723049223</v>
      </c>
      <c r="D320" s="8">
        <f>IFERROR(__xludf.DUMMYFUNCTION("""COMPUTED_VALUE"""),38.0)</f>
        <v>38</v>
      </c>
      <c r="E320" s="2"/>
    </row>
    <row r="321">
      <c r="A321" s="2"/>
      <c r="B321" s="8" t="str">
        <f>IFERROR(__xludf.DUMMYFUNCTION("""COMPUTED_VALUE"""),"SUSILAWATI DYAH WULANDARI")</f>
        <v>SUSILAWATI DYAH WULANDARI</v>
      </c>
      <c r="C321" s="8" t="str">
        <f>IFERROR(__xludf.DUMMYFUNCTION("""COMPUTED_VALUE"""),"S8123045916")</f>
        <v>S8123045916</v>
      </c>
      <c r="D321" s="8">
        <f>IFERROR(__xludf.DUMMYFUNCTION("""COMPUTED_VALUE"""),45.0)</f>
        <v>45</v>
      </c>
      <c r="E321" s="2"/>
    </row>
    <row r="322">
      <c r="A322" s="2"/>
      <c r="B322" s="8" t="str">
        <f>IFERROR(__xludf.DUMMYFUNCTION("""COMPUTED_VALUE"""),"SY MAHMUD ALKAF")</f>
        <v>SY MAHMUD ALKAF</v>
      </c>
      <c r="C322" s="8" t="str">
        <f>IFERROR(__xludf.DUMMYFUNCTION("""COMPUTED_VALUE"""),"S6823041934")</f>
        <v>S6823041934</v>
      </c>
      <c r="D322" s="8">
        <f>IFERROR(__xludf.DUMMYFUNCTION("""COMPUTED_VALUE"""),58.0)</f>
        <v>58</v>
      </c>
      <c r="E322" s="2"/>
    </row>
    <row r="323">
      <c r="A323" s="2"/>
      <c r="B323" s="8" t="str">
        <f>IFERROR(__xludf.DUMMYFUNCTION("""COMPUTED_VALUE"""),"SILVIA 0207")</f>
        <v>SILVIA 0207</v>
      </c>
      <c r="C323" s="8" t="str">
        <f>IFERROR(__xludf.DUMMYFUNCTION("""COMPUTED_VALUE"""),"S0223048217")</f>
        <v>S0223048217</v>
      </c>
      <c r="D323" s="8">
        <f>IFERROR(__xludf.DUMMYFUNCTION("""COMPUTED_VALUE"""),24.0)</f>
        <v>24</v>
      </c>
      <c r="E323" s="2"/>
    </row>
    <row r="324">
      <c r="A324" s="2"/>
      <c r="B324" s="8" t="str">
        <f>IFERROR(__xludf.DUMMYFUNCTION("""COMPUTED_VALUE"""),"MASITA")</f>
        <v>MASITA</v>
      </c>
      <c r="C324" s="8" t="str">
        <f>IFERROR(__xludf.DUMMYFUNCTION("""COMPUTED_VALUE"""),"M6523041986")</f>
        <v>M6523041986</v>
      </c>
      <c r="D324" s="8">
        <f>IFERROR(__xludf.DUMMYFUNCTION("""COMPUTED_VALUE"""),60.0)</f>
        <v>60</v>
      </c>
      <c r="E324" s="2"/>
    </row>
    <row r="325">
      <c r="A325" s="2"/>
      <c r="B325" s="8" t="str">
        <f>IFERROR(__xludf.DUMMYFUNCTION("""COMPUTED_VALUE"""),"CHARLES BRYANT")</f>
        <v>CHARLES BRYANT</v>
      </c>
      <c r="C325" s="8" t="str">
        <f>IFERROR(__xludf.DUMMYFUNCTION("""COMPUTED_VALUE"""),"C0823040636")</f>
        <v>C0823040636</v>
      </c>
      <c r="D325" s="8">
        <f>IFERROR(__xludf.DUMMYFUNCTION("""COMPUTED_VALUE"""),17.0)</f>
        <v>17</v>
      </c>
      <c r="E325" s="2"/>
    </row>
    <row r="326">
      <c r="A326" s="2"/>
      <c r="B326" s="8" t="str">
        <f>IFERROR(__xludf.DUMMYFUNCTION("""COMPUTED_VALUE"""),"SUCI FADHILAH")</f>
        <v>SUCI FADHILAH</v>
      </c>
      <c r="C326" s="8" t="str">
        <f>IFERROR(__xludf.DUMMYFUNCTION("""COMPUTED_VALUE"""),"S9123042997")</f>
        <v>S9123042997</v>
      </c>
      <c r="D326" s="8">
        <f>IFERROR(__xludf.DUMMYFUNCTION("""COMPUTED_VALUE"""),35.0)</f>
        <v>35</v>
      </c>
      <c r="E326" s="2"/>
    </row>
    <row r="327">
      <c r="A327" s="2"/>
      <c r="B327" s="8" t="str">
        <f>IFERROR(__xludf.DUMMYFUNCTION("""COMPUTED_VALUE"""),"SUJIATI")</f>
        <v>SUJIATI</v>
      </c>
      <c r="C327" s="8" t="str">
        <f>IFERROR(__xludf.DUMMYFUNCTION("""COMPUTED_VALUE"""),"S6723040877")</f>
        <v>S6723040877</v>
      </c>
      <c r="D327" s="8">
        <f>IFERROR(__xludf.DUMMYFUNCTION("""COMPUTED_VALUE"""),59.0)</f>
        <v>59</v>
      </c>
      <c r="E327" s="2"/>
    </row>
    <row r="328">
      <c r="A328" s="2"/>
      <c r="B328" s="8" t="str">
        <f>IFERROR(__xludf.DUMMYFUNCTION("""COMPUTED_VALUE"""),"NURUL AZYYATI")</f>
        <v>NURUL AZYYATI</v>
      </c>
      <c r="C328" s="8" t="str">
        <f>IFERROR(__xludf.DUMMYFUNCTION("""COMPUTED_VALUE"""),"N9523056334")</f>
        <v>N9523056334</v>
      </c>
      <c r="D328" s="8">
        <f>IFERROR(__xludf.DUMMYFUNCTION("""COMPUTED_VALUE"""),30.0)</f>
        <v>30</v>
      </c>
      <c r="E328" s="2"/>
    </row>
    <row r="329">
      <c r="A329" s="2"/>
      <c r="B329" s="8" t="str">
        <f>IFERROR(__xludf.DUMMYFUNCTION("""COMPUTED_VALUE"""),"BUDI YANTO")</f>
        <v>BUDI YANTO</v>
      </c>
      <c r="C329" s="8" t="str">
        <f>IFERROR(__xludf.DUMMYFUNCTION("""COMPUTED_VALUE"""),"B6723058535")</f>
        <v>B6723058535</v>
      </c>
      <c r="D329" s="8">
        <f>IFERROR(__xludf.DUMMYFUNCTION("""COMPUTED_VALUE"""),58.0)</f>
        <v>58</v>
      </c>
      <c r="E329" s="2"/>
    </row>
    <row r="330">
      <c r="A330" s="2"/>
      <c r="B330" s="8" t="str">
        <f>IFERROR(__xludf.DUMMYFUNCTION("""COMPUTED_VALUE"""),"SYPRIANUS MEI")</f>
        <v>SYPRIANUS MEI</v>
      </c>
      <c r="C330" s="8" t="str">
        <f>IFERROR(__xludf.DUMMYFUNCTION("""COMPUTED_VALUE"""),"S7123053202")</f>
        <v>S7123053202</v>
      </c>
      <c r="D330" s="8">
        <f>IFERROR(__xludf.DUMMYFUNCTION("""COMPUTED_VALUE"""),55.0)</f>
        <v>55</v>
      </c>
      <c r="E330" s="2"/>
    </row>
    <row r="331">
      <c r="A331" s="2"/>
      <c r="B331" s="8" t="str">
        <f>IFERROR(__xludf.DUMMYFUNCTION("""COMPUTED_VALUE"""),"DINUL ERSHA AKBAR")</f>
        <v>DINUL ERSHA AKBAR</v>
      </c>
      <c r="C331" s="8" t="str">
        <f>IFERROR(__xludf.DUMMYFUNCTION("""COMPUTED_VALUE"""),"D8723056393")</f>
        <v>D8723056393</v>
      </c>
      <c r="D331" s="8">
        <f>IFERROR(__xludf.DUMMYFUNCTION("""COMPUTED_VALUE"""),38.0)</f>
        <v>38</v>
      </c>
      <c r="E331" s="2"/>
    </row>
    <row r="332">
      <c r="A332" s="2"/>
      <c r="B332" s="8" t="str">
        <f>IFERROR(__xludf.DUMMYFUNCTION("""COMPUTED_VALUE"""),"RORA FITRIANI")</f>
        <v>RORA FITRIANI</v>
      </c>
      <c r="C332" s="8" t="str">
        <f>IFERROR(__xludf.DUMMYFUNCTION("""COMPUTED_VALUE"""),"R8423057708")</f>
        <v>R8423057708</v>
      </c>
      <c r="D332" s="8">
        <f>IFERROR(__xludf.DUMMYFUNCTION("""COMPUTED_VALUE"""),41.0)</f>
        <v>41</v>
      </c>
      <c r="E332" s="2"/>
    </row>
    <row r="333">
      <c r="A333" s="2"/>
      <c r="B333" s="8" t="str">
        <f>IFERROR(__xludf.DUMMYFUNCTION("""COMPUTED_VALUE"""),"TRIES ANJAR SARI")</f>
        <v>TRIES ANJAR SARI</v>
      </c>
      <c r="C333" s="8" t="str">
        <f>IFERROR(__xludf.DUMMYFUNCTION("""COMPUTED_VALUE"""),"T9423056309")</f>
        <v>T9423056309</v>
      </c>
      <c r="D333" s="8">
        <f>IFERROR(__xludf.DUMMYFUNCTION("""COMPUTED_VALUE"""),32.0)</f>
        <v>32</v>
      </c>
      <c r="E333" s="2"/>
    </row>
    <row r="334">
      <c r="A334" s="2"/>
      <c r="B334" s="8" t="str">
        <f>IFERROR(__xludf.DUMMYFUNCTION("""COMPUTED_VALUE"""),"SATRIA MUTASATYA")</f>
        <v>SATRIA MUTASATYA</v>
      </c>
      <c r="C334" s="8" t="str">
        <f>IFERROR(__xludf.DUMMYFUNCTION("""COMPUTED_VALUE"""),"S0823055584")</f>
        <v>S0823055584</v>
      </c>
      <c r="D334" s="8">
        <f>IFERROR(__xludf.DUMMYFUNCTION("""COMPUTED_VALUE"""),18.0)</f>
        <v>18</v>
      </c>
      <c r="E334" s="2"/>
    </row>
    <row r="335">
      <c r="A335" s="2"/>
      <c r="B335" s="8" t="str">
        <f>IFERROR(__xludf.DUMMYFUNCTION("""COMPUTED_VALUE"""),"CINDY EKA PURNAMASARI")</f>
        <v>CINDY EKA PURNAMASARI</v>
      </c>
      <c r="C335" s="8" t="str">
        <f>IFERROR(__xludf.DUMMYFUNCTION("""COMPUTED_VALUE"""),"C9923052137")</f>
        <v>C9923052137</v>
      </c>
      <c r="D335" s="8">
        <f>IFERROR(__xludf.DUMMYFUNCTION("""COMPUTED_VALUE"""),26.0)</f>
        <v>26</v>
      </c>
      <c r="E335" s="2"/>
    </row>
    <row r="336">
      <c r="A336" s="2"/>
      <c r="B336" s="8" t="str">
        <f>IFERROR(__xludf.DUMMYFUNCTION("""COMPUTED_VALUE"""),"SUTINA BAKI")</f>
        <v>SUTINA BAKI</v>
      </c>
      <c r="C336" s="8" t="str">
        <f>IFERROR(__xludf.DUMMYFUNCTION("""COMPUTED_VALUE"""),"S4223058550")</f>
        <v>S4223058550</v>
      </c>
      <c r="D336" s="8">
        <f>IFERROR(__xludf.DUMMYFUNCTION("""COMPUTED_VALUE"""),84.0)</f>
        <v>84</v>
      </c>
      <c r="E336" s="2"/>
    </row>
    <row r="337">
      <c r="A337" s="2"/>
      <c r="B337" s="8" t="str">
        <f>IFERROR(__xludf.DUMMYFUNCTION("""COMPUTED_VALUE"""),"RANGGA ARNANTA PRATAMA")</f>
        <v>RANGGA ARNANTA PRATAMA</v>
      </c>
      <c r="C337" s="8" t="str">
        <f>IFERROR(__xludf.DUMMYFUNCTION("""COMPUTED_VALUE"""),"R0323059879")</f>
        <v>R0323059879</v>
      </c>
      <c r="D337" s="8">
        <f>IFERROR(__xludf.DUMMYFUNCTION("""COMPUTED_VALUE"""),22.0)</f>
        <v>22</v>
      </c>
      <c r="E337" s="2"/>
    </row>
    <row r="338">
      <c r="A338" s="2"/>
      <c r="B338" s="8" t="str">
        <f>IFERROR(__xludf.DUMMYFUNCTION("""COMPUTED_VALUE"""),"HARIYANDI")</f>
        <v>HARIYANDI</v>
      </c>
      <c r="C338" s="8" t="str">
        <f>IFERROR(__xludf.DUMMYFUNCTION("""COMPUTED_VALUE"""),"H9723057881")</f>
        <v>H9723057881</v>
      </c>
      <c r="D338" s="8">
        <f>IFERROR(__xludf.DUMMYFUNCTION("""COMPUTED_VALUE"""),29.0)</f>
        <v>29</v>
      </c>
      <c r="E338" s="2"/>
    </row>
    <row r="339">
      <c r="A339" s="2"/>
      <c r="B339" s="8" t="str">
        <f>IFERROR(__xludf.DUMMYFUNCTION("""COMPUTED_VALUE"""),"CORRIE ZULIAMITA OCTAVIANI")</f>
        <v>CORRIE ZULIAMITA OCTAVIANI</v>
      </c>
      <c r="C339" s="8" t="str">
        <f>IFERROR(__xludf.DUMMYFUNCTION("""COMPUTED_VALUE"""),"C0023056158")</f>
        <v>C0023056158</v>
      </c>
      <c r="D339" s="8">
        <f>IFERROR(__xludf.DUMMYFUNCTION("""COMPUTED_VALUE"""),25.0)</f>
        <v>25</v>
      </c>
      <c r="E339" s="2"/>
    </row>
    <row r="340">
      <c r="A340" s="2"/>
      <c r="B340" s="8" t="str">
        <f>IFERROR(__xludf.DUMMYFUNCTION("""COMPUTED_VALUE"""),"SUJANA")</f>
        <v>SUJANA</v>
      </c>
      <c r="C340" s="8" t="str">
        <f>IFERROR(__xludf.DUMMYFUNCTION("""COMPUTED_VALUE"""),"S0523055644")</f>
        <v>S0523055644</v>
      </c>
      <c r="D340" s="8">
        <f>IFERROR(__xludf.DUMMYFUNCTION("""COMPUTED_VALUE"""),21.0)</f>
        <v>21</v>
      </c>
      <c r="E340" s="2"/>
    </row>
    <row r="341">
      <c r="A341" s="2"/>
      <c r="B341" s="8" t="str">
        <f>IFERROR(__xludf.DUMMYFUNCTION("""COMPUTED_VALUE"""),"LASMI YULISTIANA")</f>
        <v>LASMI YULISTIANA</v>
      </c>
      <c r="C341" s="8" t="str">
        <f>IFERROR(__xludf.DUMMYFUNCTION("""COMPUTED_VALUE"""),"L7023051014")</f>
        <v>L7023051014</v>
      </c>
      <c r="D341" s="8">
        <f>IFERROR(__xludf.DUMMYFUNCTION("""COMPUTED_VALUE"""),55.0)</f>
        <v>55</v>
      </c>
      <c r="E341" s="2"/>
    </row>
    <row r="342">
      <c r="A342" s="2"/>
      <c r="B342" s="8" t="str">
        <f>IFERROR(__xludf.DUMMYFUNCTION("""COMPUTED_VALUE"""),"TJEN FUI LIN")</f>
        <v>TJEN FUI LIN</v>
      </c>
      <c r="C342" s="8" t="str">
        <f>IFERROR(__xludf.DUMMYFUNCTION("""COMPUTED_VALUE"""),"T6423055588")</f>
        <v>T6423055588</v>
      </c>
      <c r="D342" s="8">
        <f>IFERROR(__xludf.DUMMYFUNCTION("""COMPUTED_VALUE"""),61.0)</f>
        <v>61</v>
      </c>
      <c r="E342" s="2"/>
    </row>
    <row r="343">
      <c r="A343" s="2"/>
      <c r="B343" s="8" t="str">
        <f>IFERROR(__xludf.DUMMYFUNCTION("""COMPUTED_VALUE"""),"METTY YANNA JUWITA")</f>
        <v>METTY YANNA JUWITA</v>
      </c>
      <c r="C343" s="8" t="str">
        <f>IFERROR(__xludf.DUMMYFUNCTION("""COMPUTED_VALUE"""),"M8923055095")</f>
        <v>M8923055095</v>
      </c>
      <c r="D343" s="8">
        <f>IFERROR(__xludf.DUMMYFUNCTION("""COMPUTED_VALUE"""),36.0)</f>
        <v>36</v>
      </c>
      <c r="E343" s="2"/>
    </row>
    <row r="344">
      <c r="A344" s="2"/>
      <c r="B344" s="8" t="str">
        <f>IFERROR(__xludf.DUMMYFUNCTION("""COMPUTED_VALUE"""),"REZKA YUDHA DESSIRIHU NUR")</f>
        <v>REZKA YUDHA DESSIRIHU NUR</v>
      </c>
      <c r="C344" s="8" t="str">
        <f>IFERROR(__xludf.DUMMYFUNCTION("""COMPUTED_VALUE"""),"R8823056629")</f>
        <v>R8823056629</v>
      </c>
      <c r="D344" s="8">
        <f>IFERROR(__xludf.DUMMYFUNCTION("""COMPUTED_VALUE"""),38.0)</f>
        <v>38</v>
      </c>
      <c r="E344" s="2"/>
    </row>
    <row r="345">
      <c r="A345" s="2"/>
      <c r="B345" s="8" t="str">
        <f>IFERROR(__xludf.DUMMYFUNCTION("""COMPUTED_VALUE"""),"RISKI RUSYANDI")</f>
        <v>RISKI RUSYANDI</v>
      </c>
      <c r="C345" s="8" t="str">
        <f>IFERROR(__xludf.DUMMYFUNCTION("""COMPUTED_VALUE"""),"R0123050561")</f>
        <v>R0123050561</v>
      </c>
      <c r="D345" s="8">
        <f>IFERROR(__xludf.DUMMYFUNCTION("""COMPUTED_VALUE"""),24.0)</f>
        <v>24</v>
      </c>
      <c r="E345" s="2"/>
    </row>
    <row r="346">
      <c r="A346" s="2"/>
      <c r="B346" s="8" t="str">
        <f>IFERROR(__xludf.DUMMYFUNCTION("""COMPUTED_VALUE"""),"HARLICH SURYA")</f>
        <v>HARLICH SURYA</v>
      </c>
      <c r="C346" s="8" t="str">
        <f>IFERROR(__xludf.DUMMYFUNCTION("""COMPUTED_VALUE"""),"H0023052000")</f>
        <v>H0023052000</v>
      </c>
      <c r="D346" s="8">
        <f>IFERROR(__xludf.DUMMYFUNCTION("""COMPUTED_VALUE"""),26.0)</f>
        <v>26</v>
      </c>
      <c r="E346" s="2"/>
    </row>
    <row r="347">
      <c r="A347" s="2"/>
      <c r="B347" s="8" t="str">
        <f>IFERROR(__xludf.DUMMYFUNCTION("""COMPUTED_VALUE"""),"MALIYAH")</f>
        <v>MALIYAH</v>
      </c>
      <c r="C347" s="8" t="str">
        <f>IFERROR(__xludf.DUMMYFUNCTION("""COMPUTED_VALUE"""),"M6923050999")</f>
        <v>M6923050999</v>
      </c>
      <c r="D347" s="8">
        <f>IFERROR(__xludf.DUMMYFUNCTION("""COMPUTED_VALUE"""),57.0)</f>
        <v>57</v>
      </c>
      <c r="E347" s="2"/>
    </row>
    <row r="348">
      <c r="A348" s="2"/>
      <c r="B348" s="8" t="str">
        <f>IFERROR(__xludf.DUMMYFUNCTION("""COMPUTED_VALUE"""),"GUBRANI")</f>
        <v>GUBRANI</v>
      </c>
      <c r="C348" s="8" t="str">
        <f>IFERROR(__xludf.DUMMYFUNCTION("""COMPUTED_VALUE"""),"G8123059765")</f>
        <v>G8123059765</v>
      </c>
      <c r="D348" s="8">
        <f>IFERROR(__xludf.DUMMYFUNCTION("""COMPUTED_VALUE"""),45.0)</f>
        <v>45</v>
      </c>
      <c r="E348" s="2"/>
    </row>
    <row r="349">
      <c r="A349" s="2"/>
      <c r="B349" s="8" t="str">
        <f>IFERROR(__xludf.DUMMYFUNCTION("""COMPUTED_VALUE"""),"IKA YUSANTI")</f>
        <v>IKA YUSANTI</v>
      </c>
      <c r="C349" s="8" t="str">
        <f>IFERROR(__xludf.DUMMYFUNCTION("""COMPUTED_VALUE"""),"I7123058502")</f>
        <v>I7123058502</v>
      </c>
      <c r="D349" s="8">
        <f>IFERROR(__xludf.DUMMYFUNCTION("""COMPUTED_VALUE"""),54.0)</f>
        <v>54</v>
      </c>
      <c r="E349" s="2"/>
    </row>
    <row r="350">
      <c r="A350" s="2"/>
      <c r="B350" s="8" t="str">
        <f>IFERROR(__xludf.DUMMYFUNCTION("""COMPUTED_VALUE"""),"ELIZABETH AKU REMAJA TJANDRA")</f>
        <v>ELIZABETH AKU REMAJA TJANDRA</v>
      </c>
      <c r="C350" s="8" t="str">
        <f>IFERROR(__xludf.DUMMYFUNCTION("""COMPUTED_VALUE"""),"E0623057697")</f>
        <v>E0623057697</v>
      </c>
      <c r="D350" s="8">
        <f>IFERROR(__xludf.DUMMYFUNCTION("""COMPUTED_VALUE"""),19.0)</f>
        <v>19</v>
      </c>
      <c r="E350" s="2"/>
    </row>
    <row r="351">
      <c r="A351" s="2"/>
      <c r="B351" s="8" t="str">
        <f>IFERROR(__xludf.DUMMYFUNCTION("""COMPUTED_VALUE"""),"VERAYANA KURNIAWAN")</f>
        <v>VERAYANA KURNIAWAN</v>
      </c>
      <c r="C351" s="8" t="str">
        <f>IFERROR(__xludf.DUMMYFUNCTION("""COMPUTED_VALUE"""),"V6223056198")</f>
        <v>V6223056198</v>
      </c>
      <c r="D351" s="8">
        <f>IFERROR(__xludf.DUMMYFUNCTION("""COMPUTED_VALUE"""),64.0)</f>
        <v>64</v>
      </c>
      <c r="E351" s="2"/>
    </row>
    <row r="352">
      <c r="A352" s="2"/>
      <c r="B352" s="8" t="str">
        <f>IFERROR(__xludf.DUMMYFUNCTION("""COMPUTED_VALUE"""),"SAMTO")</f>
        <v>SAMTO</v>
      </c>
      <c r="C352" s="8" t="str">
        <f>IFERROR(__xludf.DUMMYFUNCTION("""COMPUTED_VALUE"""),"S5723058878")</f>
        <v>S5723058878</v>
      </c>
      <c r="D352" s="8">
        <f>IFERROR(__xludf.DUMMYFUNCTION("""COMPUTED_VALUE"""),68.0)</f>
        <v>68</v>
      </c>
      <c r="E352" s="2"/>
    </row>
    <row r="353">
      <c r="A353" s="2"/>
      <c r="B353" s="8" t="str">
        <f>IFERROR(__xludf.DUMMYFUNCTION("""COMPUTED_VALUE"""),"WIRA ADITYA")</f>
        <v>WIRA ADITYA</v>
      </c>
      <c r="C353" s="8" t="str">
        <f>IFERROR(__xludf.DUMMYFUNCTION("""COMPUTED_VALUE"""),"W9723056473")</f>
        <v>W9723056473</v>
      </c>
      <c r="D353" s="8">
        <f>IFERROR(__xludf.DUMMYFUNCTION("""COMPUTED_VALUE"""),29.0)</f>
        <v>29</v>
      </c>
      <c r="E353" s="2"/>
    </row>
    <row r="354">
      <c r="A354" s="2"/>
      <c r="B354" s="8" t="str">
        <f>IFERROR(__xludf.DUMMYFUNCTION("""COMPUTED_VALUE"""),"SUTRISNO")</f>
        <v>SUTRISNO</v>
      </c>
      <c r="C354" s="8" t="str">
        <f>IFERROR(__xludf.DUMMYFUNCTION("""COMPUTED_VALUE"""),"S6623051013")</f>
        <v>S6623051013</v>
      </c>
      <c r="D354" s="8">
        <f>IFERROR(__xludf.DUMMYFUNCTION("""COMPUTED_VALUE"""),60.0)</f>
        <v>60</v>
      </c>
      <c r="E354" s="2"/>
    </row>
    <row r="355">
      <c r="A355" s="2"/>
      <c r="B355" s="8" t="str">
        <f>IFERROR(__xludf.DUMMYFUNCTION("""COMPUTED_VALUE"""),"MOSES EXAUDO HUTABARAT")</f>
        <v>MOSES EXAUDO HUTABARAT</v>
      </c>
      <c r="C355" s="8" t="str">
        <f>IFERROR(__xludf.DUMMYFUNCTION("""COMPUTED_VALUE"""),"M0523052727")</f>
        <v>M0523052727</v>
      </c>
      <c r="D355" s="8">
        <f>IFERROR(__xludf.DUMMYFUNCTION("""COMPUTED_VALUE"""),21.0)</f>
        <v>21</v>
      </c>
      <c r="E355" s="2"/>
    </row>
    <row r="356">
      <c r="A356" s="2"/>
      <c r="B356" s="8" t="str">
        <f>IFERROR(__xludf.DUMMYFUNCTION("""COMPUTED_VALUE"""),"ANTON THEODORIES")</f>
        <v>ANTON THEODORIES</v>
      </c>
      <c r="C356" s="8" t="str">
        <f>IFERROR(__xludf.DUMMYFUNCTION("""COMPUTED_VALUE"""),"A8523051458")</f>
        <v>A8523051458</v>
      </c>
      <c r="D356" s="8">
        <f>IFERROR(__xludf.DUMMYFUNCTION("""COMPUTED_VALUE"""),40.0)</f>
        <v>40</v>
      </c>
      <c r="E356" s="2"/>
    </row>
    <row r="357">
      <c r="A357" s="2"/>
      <c r="B357" s="8" t="str">
        <f>IFERROR(__xludf.DUMMYFUNCTION("""COMPUTED_VALUE"""),"SYARIF MUHAMMAD FARID")</f>
        <v>SYARIF MUHAMMAD FARID</v>
      </c>
      <c r="C357" s="8" t="str">
        <f>IFERROR(__xludf.DUMMYFUNCTION("""COMPUTED_VALUE"""),"S7123050202")</f>
        <v>S7123050202</v>
      </c>
      <c r="D357" s="8">
        <f>IFERROR(__xludf.DUMMYFUNCTION("""COMPUTED_VALUE"""),55.0)</f>
        <v>55</v>
      </c>
      <c r="E357" s="2"/>
    </row>
    <row r="358">
      <c r="A358" s="2"/>
      <c r="B358" s="8" t="str">
        <f>IFERROR(__xludf.DUMMYFUNCTION("""COMPUTED_VALUE"""),"BAGUS RUSTANDI")</f>
        <v>BAGUS RUSTANDI</v>
      </c>
      <c r="C358" s="8" t="str">
        <f>IFERROR(__xludf.DUMMYFUNCTION("""COMPUTED_VALUE"""),"B0123055761")</f>
        <v>B0123055761</v>
      </c>
      <c r="D358" s="8">
        <f>IFERROR(__xludf.DUMMYFUNCTION("""COMPUTED_VALUE"""),24.0)</f>
        <v>24</v>
      </c>
      <c r="E358" s="2"/>
    </row>
    <row r="359">
      <c r="A359" s="2"/>
      <c r="B359" s="8" t="str">
        <f>IFERROR(__xludf.DUMMYFUNCTION("""COMPUTED_VALUE"""),"LOUISTEN LAMTIUR MARPAUNG")</f>
        <v>LOUISTEN LAMTIUR MARPAUNG</v>
      </c>
      <c r="C359" s="8" t="str">
        <f>IFERROR(__xludf.DUMMYFUNCTION("""COMPUTED_VALUE"""),"L0923055369")</f>
        <v>L0923055369</v>
      </c>
      <c r="D359" s="8">
        <f>IFERROR(__xludf.DUMMYFUNCTION("""COMPUTED_VALUE"""),17.0)</f>
        <v>17</v>
      </c>
      <c r="E359" s="2"/>
    </row>
    <row r="360">
      <c r="A360" s="2"/>
      <c r="B360" s="8" t="str">
        <f>IFERROR(__xludf.DUMMYFUNCTION("""COMPUTED_VALUE"""),"MUHAMMAD THARIQ FATHURRAHMAN")</f>
        <v>MUHAMMAD THARIQ FATHURRAHMAN</v>
      </c>
      <c r="C360" s="8" t="str">
        <f>IFERROR(__xludf.DUMMYFUNCTION("""COMPUTED_VALUE"""),"M0423052800")</f>
        <v>M0423052800</v>
      </c>
      <c r="D360" s="8">
        <f>IFERROR(__xludf.DUMMYFUNCTION("""COMPUTED_VALUE"""),22.0)</f>
        <v>22</v>
      </c>
      <c r="E360" s="2"/>
    </row>
    <row r="361">
      <c r="A361" s="2"/>
      <c r="B361" s="8" t="str">
        <f>IFERROR(__xludf.DUMMYFUNCTION("""COMPUTED_VALUE"""),"MAJIJAH")</f>
        <v>MAJIJAH</v>
      </c>
      <c r="C361" s="8" t="str">
        <f>IFERROR(__xludf.DUMMYFUNCTION("""COMPUTED_VALUE"""),"M0423052105")</f>
        <v>M0423052105</v>
      </c>
      <c r="D361" s="8">
        <f>IFERROR(__xludf.DUMMYFUNCTION("""COMPUTED_VALUE"""),22.0)</f>
        <v>22</v>
      </c>
      <c r="E361" s="2"/>
    </row>
    <row r="362">
      <c r="A362" s="2"/>
      <c r="B362" s="8" t="str">
        <f>IFERROR(__xludf.DUMMYFUNCTION("""COMPUTED_VALUE"""),"ISHAK")</f>
        <v>ISHAK</v>
      </c>
      <c r="C362" s="8" t="str">
        <f>IFERROR(__xludf.DUMMYFUNCTION("""COMPUTED_VALUE"""),"I6923052025")</f>
        <v>I6923052025</v>
      </c>
      <c r="D362" s="8">
        <f>IFERROR(__xludf.DUMMYFUNCTION("""COMPUTED_VALUE"""),56.0)</f>
        <v>56</v>
      </c>
      <c r="E362" s="2"/>
    </row>
    <row r="363">
      <c r="A363" s="2"/>
      <c r="B363" s="8" t="str">
        <f>IFERROR(__xludf.DUMMYFUNCTION("""COMPUTED_VALUE"""),"ALFAJRI ZIKRI")</f>
        <v>ALFAJRI ZIKRI</v>
      </c>
      <c r="C363" s="8" t="str">
        <f>IFERROR(__xludf.DUMMYFUNCTION("""COMPUTED_VALUE"""),"A9423054254")</f>
        <v>A9423054254</v>
      </c>
      <c r="D363" s="8">
        <f>IFERROR(__xludf.DUMMYFUNCTION("""COMPUTED_VALUE"""),32.0)</f>
        <v>32</v>
      </c>
      <c r="E363" s="2"/>
    </row>
    <row r="364">
      <c r="A364" s="2"/>
      <c r="B364" s="8" t="str">
        <f>IFERROR(__xludf.DUMMYFUNCTION("""COMPUTED_VALUE"""),"MOHAMMAD AFIF RIZKY")</f>
        <v>MOHAMMAD AFIF RIZKY</v>
      </c>
      <c r="C364" s="8" t="str">
        <f>IFERROR(__xludf.DUMMYFUNCTION("""COMPUTED_VALUE"""),"M9923059202")</f>
        <v>M9923059202</v>
      </c>
      <c r="D364" s="8">
        <f>IFERROR(__xludf.DUMMYFUNCTION("""COMPUTED_VALUE"""),27.0)</f>
        <v>27</v>
      </c>
      <c r="E364" s="2"/>
    </row>
    <row r="365">
      <c r="A365" s="2"/>
      <c r="B365" s="8" t="str">
        <f>IFERROR(__xludf.DUMMYFUNCTION("""COMPUTED_VALUE"""),"M. RAFLI SAPUTRA")</f>
        <v>M. RAFLI SAPUTRA</v>
      </c>
      <c r="C365" s="8" t="str">
        <f>IFERROR(__xludf.DUMMYFUNCTION("""COMPUTED_VALUE"""),"M0223057984")</f>
        <v>M0223057984</v>
      </c>
      <c r="D365" s="8">
        <f>IFERROR(__xludf.DUMMYFUNCTION("""COMPUTED_VALUE"""),24.0)</f>
        <v>24</v>
      </c>
      <c r="E365" s="2"/>
    </row>
    <row r="366">
      <c r="A366" s="2"/>
      <c r="B366" s="8" t="str">
        <f>IFERROR(__xludf.DUMMYFUNCTION("""COMPUTED_VALUE"""),"ZULPIAN KARNO")</f>
        <v>ZULPIAN KARNO</v>
      </c>
      <c r="C366" s="8" t="str">
        <f>IFERROR(__xludf.DUMMYFUNCTION("""COMPUTED_VALUE"""),"Z7723050355")</f>
        <v>Z7723050355</v>
      </c>
      <c r="D366" s="8">
        <f>IFERROR(__xludf.DUMMYFUNCTION("""COMPUTED_VALUE"""),49.0)</f>
        <v>49</v>
      </c>
      <c r="E366" s="2"/>
    </row>
    <row r="367">
      <c r="A367" s="2"/>
      <c r="B367" s="8" t="str">
        <f>IFERROR(__xludf.DUMMYFUNCTION("""COMPUTED_VALUE"""),"RITA LINARDI")</f>
        <v>RITA LINARDI</v>
      </c>
      <c r="C367" s="8" t="str">
        <f>IFERROR(__xludf.DUMMYFUNCTION("""COMPUTED_VALUE"""),"R8423050210")</f>
        <v>R8423050210</v>
      </c>
      <c r="D367" s="8">
        <f>IFERROR(__xludf.DUMMYFUNCTION("""COMPUTED_VALUE"""),42.0)</f>
        <v>42</v>
      </c>
      <c r="E367" s="2"/>
    </row>
    <row r="368">
      <c r="A368" s="2"/>
      <c r="B368" s="8" t="str">
        <f>IFERROR(__xludf.DUMMYFUNCTION("""COMPUTED_VALUE"""),"ANDREAS YOVIAN")</f>
        <v>ANDREAS YOVIAN</v>
      </c>
      <c r="C368" s="8" t="str">
        <f>IFERROR(__xludf.DUMMYFUNCTION("""COMPUTED_VALUE"""),"A9123056029")</f>
        <v>A9123056029</v>
      </c>
      <c r="D368" s="8">
        <f>IFERROR(__xludf.DUMMYFUNCTION("""COMPUTED_VALUE"""),35.0)</f>
        <v>35</v>
      </c>
      <c r="E368" s="2"/>
    </row>
    <row r="369">
      <c r="A369" s="2"/>
      <c r="B369" s="8" t="str">
        <f>IFERROR(__xludf.DUMMYFUNCTION("""COMPUTED_VALUE"""),"SURYANA")</f>
        <v>SURYANA</v>
      </c>
      <c r="C369" s="8" t="str">
        <f>IFERROR(__xludf.DUMMYFUNCTION("""COMPUTED_VALUE"""),"S7723054038")</f>
        <v>S7723054038</v>
      </c>
      <c r="D369" s="8">
        <f>IFERROR(__xludf.DUMMYFUNCTION("""COMPUTED_VALUE"""),49.0)</f>
        <v>49</v>
      </c>
      <c r="E369" s="2"/>
    </row>
    <row r="370">
      <c r="A370" s="2"/>
      <c r="B370" s="8" t="str">
        <f>IFERROR(__xludf.DUMMYFUNCTION("""COMPUTED_VALUE"""),"RAHMAT WIDYANTO")</f>
        <v>RAHMAT WIDYANTO</v>
      </c>
      <c r="C370" s="8" t="str">
        <f>IFERROR(__xludf.DUMMYFUNCTION("""COMPUTED_VALUE"""),"R9223057555")</f>
        <v>R9223057555</v>
      </c>
      <c r="D370" s="8">
        <f>IFERROR(__xludf.DUMMYFUNCTION("""COMPUTED_VALUE"""),34.0)</f>
        <v>34</v>
      </c>
      <c r="E370" s="2"/>
    </row>
    <row r="371">
      <c r="A371" s="2"/>
      <c r="B371" s="8" t="str">
        <f>IFERROR(__xludf.DUMMYFUNCTION("""COMPUTED_VALUE"""),"MUHAMMAD GISBAN ABRAR")</f>
        <v>MUHAMMAD GISBAN ABRAR</v>
      </c>
      <c r="C371" s="8" t="str">
        <f>IFERROR(__xludf.DUMMYFUNCTION("""COMPUTED_VALUE"""),"M9423052117")</f>
        <v>M9423052117</v>
      </c>
      <c r="D371" s="8">
        <f>IFERROR(__xludf.DUMMYFUNCTION("""COMPUTED_VALUE"""),32.0)</f>
        <v>32</v>
      </c>
      <c r="E371" s="2"/>
    </row>
    <row r="372">
      <c r="A372" s="2"/>
      <c r="B372" s="8" t="str">
        <f>IFERROR(__xludf.DUMMYFUNCTION("""COMPUTED_VALUE"""),"ASSAKINAH")</f>
        <v>ASSAKINAH</v>
      </c>
      <c r="C372" s="8" t="str">
        <f>IFERROR(__xludf.DUMMYFUNCTION("""COMPUTED_VALUE"""),"A9323059833")</f>
        <v>A9323059833</v>
      </c>
      <c r="D372" s="8">
        <f>IFERROR(__xludf.DUMMYFUNCTION("""COMPUTED_VALUE"""),32.0)</f>
        <v>32</v>
      </c>
      <c r="E372" s="2"/>
    </row>
    <row r="373">
      <c r="A373" s="2"/>
      <c r="B373" s="8" t="str">
        <f>IFERROR(__xludf.DUMMYFUNCTION("""COMPUTED_VALUE"""),"VISELLA ZAHARA NURJANNAH")</f>
        <v>VISELLA ZAHARA NURJANNAH</v>
      </c>
      <c r="C373" s="8" t="str">
        <f>IFERROR(__xludf.DUMMYFUNCTION("""COMPUTED_VALUE"""),"V0623057984")</f>
        <v>V0623057984</v>
      </c>
      <c r="D373" s="8">
        <f>IFERROR(__xludf.DUMMYFUNCTION("""COMPUTED_VALUE"""),20.0)</f>
        <v>20</v>
      </c>
      <c r="E373" s="2"/>
    </row>
    <row r="374">
      <c r="A374" s="2"/>
      <c r="B374" s="8" t="str">
        <f>IFERROR(__xludf.DUMMYFUNCTION("""COMPUTED_VALUE"""),"MUHAMAD REVI AFRIAN")</f>
        <v>MUHAMAD REVI AFRIAN</v>
      </c>
      <c r="C374" s="8" t="str">
        <f>IFERROR(__xludf.DUMMYFUNCTION("""COMPUTED_VALUE"""),"M9923057240")</f>
        <v>M9923057240</v>
      </c>
      <c r="D374" s="8">
        <f>IFERROR(__xludf.DUMMYFUNCTION("""COMPUTED_VALUE"""),27.0)</f>
        <v>27</v>
      </c>
      <c r="E374" s="2"/>
    </row>
    <row r="375">
      <c r="A375" s="2"/>
      <c r="B375" s="8" t="str">
        <f>IFERROR(__xludf.DUMMYFUNCTION("""COMPUTED_VALUE"""),"ANAK AGUNG RAHAYU SARASWATI")</f>
        <v>ANAK AGUNG RAHAYU SARASWATI</v>
      </c>
      <c r="C375" s="8" t="str">
        <f>IFERROR(__xludf.DUMMYFUNCTION("""COMPUTED_VALUE"""),"A7623051179")</f>
        <v>A7623051179</v>
      </c>
      <c r="D375" s="8">
        <f>IFERROR(__xludf.DUMMYFUNCTION("""COMPUTED_VALUE"""),49.0)</f>
        <v>49</v>
      </c>
      <c r="E375" s="2"/>
    </row>
    <row r="376">
      <c r="A376" s="2"/>
      <c r="B376" s="8" t="str">
        <f>IFERROR(__xludf.DUMMYFUNCTION("""COMPUTED_VALUE"""),"ADITYA HENDRA PRAMANA")</f>
        <v>ADITYA HENDRA PRAMANA</v>
      </c>
      <c r="C376" s="8" t="str">
        <f>IFERROR(__xludf.DUMMYFUNCTION("""COMPUTED_VALUE"""),"A9023053360")</f>
        <v>A9023053360</v>
      </c>
      <c r="D376" s="8">
        <f>IFERROR(__xludf.DUMMYFUNCTION("""COMPUTED_VALUE"""),35.0)</f>
        <v>35</v>
      </c>
      <c r="E376" s="2"/>
    </row>
    <row r="377">
      <c r="A377" s="2"/>
      <c r="B377" s="8" t="str">
        <f>IFERROR(__xludf.DUMMYFUNCTION("""COMPUTED_VALUE"""),"ERNIWATI")</f>
        <v>ERNIWATI</v>
      </c>
      <c r="C377" s="8" t="str">
        <f>IFERROR(__xludf.DUMMYFUNCTION("""COMPUTED_VALUE"""),"E8423058989")</f>
        <v>E8423058989</v>
      </c>
      <c r="D377" s="8">
        <f>IFERROR(__xludf.DUMMYFUNCTION("""COMPUTED_VALUE"""),41.0)</f>
        <v>41</v>
      </c>
      <c r="E377" s="2"/>
    </row>
    <row r="378">
      <c r="A378" s="2"/>
      <c r="B378" s="8" t="str">
        <f>IFERROR(__xludf.DUMMYFUNCTION("""COMPUTED_VALUE"""),"RYAN REYNALDI")</f>
        <v>RYAN REYNALDI</v>
      </c>
      <c r="C378" s="8" t="str">
        <f>IFERROR(__xludf.DUMMYFUNCTION("""COMPUTED_VALUE"""),"R9823059662")</f>
        <v>R9823059662</v>
      </c>
      <c r="D378" s="8">
        <f>IFERROR(__xludf.DUMMYFUNCTION("""COMPUTED_VALUE"""),28.0)</f>
        <v>28</v>
      </c>
      <c r="E378" s="2"/>
    </row>
    <row r="379">
      <c r="A379" s="2"/>
      <c r="B379" s="8" t="str">
        <f>IFERROR(__xludf.DUMMYFUNCTION("""COMPUTED_VALUE"""),"HERLINA AGUSTININGSIH, ST")</f>
        <v>HERLINA AGUSTININGSIH, ST</v>
      </c>
      <c r="C379" s="8" t="str">
        <f>IFERROR(__xludf.DUMMYFUNCTION("""COMPUTED_VALUE"""),"H8523051399")</f>
        <v>H8523051399</v>
      </c>
      <c r="D379" s="8">
        <f>IFERROR(__xludf.DUMMYFUNCTION("""COMPUTED_VALUE"""),40.0)</f>
        <v>40</v>
      </c>
      <c r="E379" s="2"/>
    </row>
    <row r="380">
      <c r="A380" s="2"/>
      <c r="B380" s="8" t="str">
        <f>IFERROR(__xludf.DUMMYFUNCTION("""COMPUTED_VALUE"""),"MUHAMMAD SUTAN ZE PONTIVA SYAMSUAR")</f>
        <v>MUHAMMAD SUTAN ZE PONTIVA SYAMSUAR</v>
      </c>
      <c r="C380" s="8" t="str">
        <f>IFERROR(__xludf.DUMMYFUNCTION("""COMPUTED_VALUE"""),"M0123053299")</f>
        <v>M0123053299</v>
      </c>
      <c r="D380" s="8">
        <f>IFERROR(__xludf.DUMMYFUNCTION("""COMPUTED_VALUE"""),25.0)</f>
        <v>25</v>
      </c>
      <c r="E380" s="2"/>
    </row>
    <row r="381">
      <c r="A381" s="2"/>
      <c r="B381" s="8" t="str">
        <f>IFERROR(__xludf.DUMMYFUNCTION("""COMPUTED_VALUE"""),"KARTIKAWATI")</f>
        <v>KARTIKAWATI</v>
      </c>
      <c r="C381" s="8" t="str">
        <f>IFERROR(__xludf.DUMMYFUNCTION("""COMPUTED_VALUE"""),"K6323053440")</f>
        <v>K6323053440</v>
      </c>
      <c r="D381" s="8">
        <f>IFERROR(__xludf.DUMMYFUNCTION("""COMPUTED_VALUE"""),63.0)</f>
        <v>63</v>
      </c>
      <c r="E381" s="2"/>
    </row>
    <row r="382">
      <c r="A382" s="2"/>
      <c r="B382" s="8" t="str">
        <f>IFERROR(__xludf.DUMMYFUNCTION("""COMPUTED_VALUE"""),"VERA FEBRIYANTI")</f>
        <v>VERA FEBRIYANTI</v>
      </c>
      <c r="C382" s="8" t="str">
        <f>IFERROR(__xludf.DUMMYFUNCTION("""COMPUTED_VALUE"""),"V8723053440")</f>
        <v>V8723053440</v>
      </c>
      <c r="D382" s="8">
        <f>IFERROR(__xludf.DUMMYFUNCTION("""COMPUTED_VALUE"""),39.0)</f>
        <v>39</v>
      </c>
      <c r="E382" s="2"/>
    </row>
    <row r="383">
      <c r="A383" s="2"/>
      <c r="B383" s="8" t="str">
        <f>IFERROR(__xludf.DUMMYFUNCTION("""COMPUTED_VALUE"""),"DIAN FARADILLAH")</f>
        <v>DIAN FARADILLAH</v>
      </c>
      <c r="C383" s="8" t="str">
        <f>IFERROR(__xludf.DUMMYFUNCTION("""COMPUTED_VALUE"""),"D8123056601")</f>
        <v>D8123056601</v>
      </c>
      <c r="D383" s="8">
        <f>IFERROR(__xludf.DUMMYFUNCTION("""COMPUTED_VALUE"""),45.0)</f>
        <v>45</v>
      </c>
      <c r="E383" s="2"/>
    </row>
    <row r="384">
      <c r="A384" s="2"/>
      <c r="B384" s="8" t="str">
        <f>IFERROR(__xludf.DUMMYFUNCTION("""COMPUTED_VALUE"""),"MASNING")</f>
        <v>MASNING</v>
      </c>
      <c r="C384" s="8" t="str">
        <f>IFERROR(__xludf.DUMMYFUNCTION("""COMPUTED_VALUE"""),"M7423051868")</f>
        <v>M7423051868</v>
      </c>
      <c r="D384" s="8">
        <f>IFERROR(__xludf.DUMMYFUNCTION("""COMPUTED_VALUE"""),51.0)</f>
        <v>51</v>
      </c>
      <c r="E384" s="2"/>
    </row>
    <row r="385">
      <c r="A385" s="2"/>
      <c r="B385" s="8" t="str">
        <f>IFERROR(__xludf.DUMMYFUNCTION("""COMPUTED_VALUE"""),"DEDDY FEBRIYADI")</f>
        <v>DEDDY FEBRIYADI</v>
      </c>
      <c r="C385" s="8" t="str">
        <f>IFERROR(__xludf.DUMMYFUNCTION("""COMPUTED_VALUE"""),"D8723050777")</f>
        <v>D8723050777</v>
      </c>
      <c r="D385" s="8">
        <f>IFERROR(__xludf.DUMMYFUNCTION("""COMPUTED_VALUE"""),39.0)</f>
        <v>39</v>
      </c>
      <c r="E385" s="2"/>
    </row>
    <row r="386">
      <c r="A386" s="2"/>
      <c r="B386" s="8" t="str">
        <f>IFERROR(__xludf.DUMMYFUNCTION("""COMPUTED_VALUE"""),"SELVIA ANANDA ANUGRAH")</f>
        <v>SELVIA ANANDA ANUGRAH</v>
      </c>
      <c r="C386" s="8" t="str">
        <f>IFERROR(__xludf.DUMMYFUNCTION("""COMPUTED_VALUE"""),"S0123054453")</f>
        <v>S0123054453</v>
      </c>
      <c r="D386" s="8">
        <f>IFERROR(__xludf.DUMMYFUNCTION("""COMPUTED_VALUE"""),24.0)</f>
        <v>24</v>
      </c>
      <c r="E386" s="2"/>
    </row>
    <row r="387">
      <c r="A387" s="2"/>
      <c r="B387" s="8" t="str">
        <f>IFERROR(__xludf.DUMMYFUNCTION("""COMPUTED_VALUE"""),"MARYADI")</f>
        <v>MARYADI</v>
      </c>
      <c r="C387" s="8" t="str">
        <f>IFERROR(__xludf.DUMMYFUNCTION("""COMPUTED_VALUE"""),"M7123059777")</f>
        <v>M7123059777</v>
      </c>
      <c r="D387" s="8">
        <f>IFERROR(__xludf.DUMMYFUNCTION("""COMPUTED_VALUE"""),55.0)</f>
        <v>55</v>
      </c>
      <c r="E387" s="2"/>
    </row>
    <row r="388">
      <c r="A388" s="2"/>
      <c r="B388" s="8" t="str">
        <f>IFERROR(__xludf.DUMMYFUNCTION("""COMPUTED_VALUE"""),"JULITA")</f>
        <v>JULITA</v>
      </c>
      <c r="C388" s="8" t="str">
        <f>IFERROR(__xludf.DUMMYFUNCTION("""COMPUTED_VALUE"""),"J7923057700")</f>
        <v>J7923057700</v>
      </c>
      <c r="D388" s="8">
        <f>IFERROR(__xludf.DUMMYFUNCTION("""COMPUTED_VALUE"""),47.0)</f>
        <v>47</v>
      </c>
      <c r="E388" s="2"/>
    </row>
    <row r="389">
      <c r="A389" s="2"/>
      <c r="B389" s="8" t="str">
        <f>IFERROR(__xludf.DUMMYFUNCTION("""COMPUTED_VALUE"""),"ZAINUDDIN ARRASYID")</f>
        <v>ZAINUDDIN ARRASYID</v>
      </c>
      <c r="C389" s="8" t="str">
        <f>IFERROR(__xludf.DUMMYFUNCTION("""COMPUTED_VALUE"""),"Z0323052845")</f>
        <v>Z0323052845</v>
      </c>
      <c r="D389" s="8">
        <f>IFERROR(__xludf.DUMMYFUNCTION("""COMPUTED_VALUE"""),23.0)</f>
        <v>23</v>
      </c>
      <c r="E389" s="2"/>
    </row>
    <row r="390">
      <c r="A390" s="2"/>
      <c r="B390" s="8" t="str">
        <f>IFERROR(__xludf.DUMMYFUNCTION("""COMPUTED_VALUE"""),"DIKI FIRMANSYAH")</f>
        <v>DIKI FIRMANSYAH</v>
      </c>
      <c r="C390" s="8" t="str">
        <f>IFERROR(__xludf.DUMMYFUNCTION("""COMPUTED_VALUE"""),"D0223058533")</f>
        <v>D0223058533</v>
      </c>
      <c r="D390" s="8">
        <f>IFERROR(__xludf.DUMMYFUNCTION("""COMPUTED_VALUE"""),24.0)</f>
        <v>24</v>
      </c>
      <c r="E390" s="2"/>
    </row>
    <row r="391">
      <c r="A391" s="2"/>
      <c r="B391" s="8" t="str">
        <f>IFERROR(__xludf.DUMMYFUNCTION("""COMPUTED_VALUE"""),"STEFEN")</f>
        <v>STEFEN</v>
      </c>
      <c r="C391" s="8" t="str">
        <f>IFERROR(__xludf.DUMMYFUNCTION("""COMPUTED_VALUE"""),"S0023059651")</f>
        <v>S0023059651</v>
      </c>
      <c r="D391" s="8">
        <f>IFERROR(__xludf.DUMMYFUNCTION("""COMPUTED_VALUE"""),25.0)</f>
        <v>25</v>
      </c>
      <c r="E391" s="2"/>
    </row>
    <row r="392">
      <c r="A392" s="2"/>
      <c r="B392" s="8" t="str">
        <f>IFERROR(__xludf.DUMMYFUNCTION("""COMPUTED_VALUE"""),"HERTY NURSIANA")</f>
        <v>HERTY NURSIANA</v>
      </c>
      <c r="C392" s="8" t="str">
        <f>IFERROR(__xludf.DUMMYFUNCTION("""COMPUTED_VALUE"""),"H7123054822")</f>
        <v>H7123054822</v>
      </c>
      <c r="D392" s="8">
        <f>IFERROR(__xludf.DUMMYFUNCTION("""COMPUTED_VALUE"""),54.0)</f>
        <v>54</v>
      </c>
      <c r="E392" s="2"/>
    </row>
    <row r="393">
      <c r="A393" s="2"/>
      <c r="B393" s="8" t="str">
        <f>IFERROR(__xludf.DUMMYFUNCTION("""COMPUTED_VALUE"""),"MUJIONO")</f>
        <v>MUJIONO</v>
      </c>
      <c r="C393" s="8" t="str">
        <f>IFERROR(__xludf.DUMMYFUNCTION("""COMPUTED_VALUE"""),"M6623059922")</f>
        <v>M6623059922</v>
      </c>
      <c r="D393" s="8">
        <f>IFERROR(__xludf.DUMMYFUNCTION("""COMPUTED_VALUE"""),60.0)</f>
        <v>60</v>
      </c>
      <c r="E393" s="2"/>
    </row>
    <row r="394">
      <c r="A394" s="2"/>
      <c r="B394" s="8" t="str">
        <f>IFERROR(__xludf.DUMMYFUNCTION("""COMPUTED_VALUE"""),"M.RIDWANSYAH")</f>
        <v>M.RIDWANSYAH</v>
      </c>
      <c r="C394" s="8" t="str">
        <f>IFERROR(__xludf.DUMMYFUNCTION("""COMPUTED_VALUE"""),"M9423059656")</f>
        <v>M9423059656</v>
      </c>
      <c r="D394" s="8">
        <f>IFERROR(__xludf.DUMMYFUNCTION("""COMPUTED_VALUE"""),32.0)</f>
        <v>32</v>
      </c>
      <c r="E394" s="2"/>
    </row>
    <row r="395">
      <c r="A395" s="2"/>
      <c r="B395" s="8" t="str">
        <f>IFERROR(__xludf.DUMMYFUNCTION("""COMPUTED_VALUE"""),"ABBIYU KAFIE AL AZZAM")</f>
        <v>ABBIYU KAFIE AL AZZAM</v>
      </c>
      <c r="C395" s="8" t="str">
        <f>IFERROR(__xludf.DUMMYFUNCTION("""COMPUTED_VALUE"""),"A1423056701")</f>
        <v>A1423056701</v>
      </c>
      <c r="D395" s="8">
        <f>IFERROR(__xludf.DUMMYFUNCTION("""COMPUTED_VALUE"""),11.0)</f>
        <v>11</v>
      </c>
      <c r="E395" s="2"/>
    </row>
    <row r="396">
      <c r="A396" s="2"/>
      <c r="B396" s="8" t="str">
        <f>IFERROR(__xludf.DUMMYFUNCTION("""COMPUTED_VALUE"""),"FERRY SAPTAWAN")</f>
        <v>FERRY SAPTAWAN</v>
      </c>
      <c r="C396" s="8" t="str">
        <f>IFERROR(__xludf.DUMMYFUNCTION("""COMPUTED_VALUE"""),"F9923050199")</f>
        <v>F9923050199</v>
      </c>
      <c r="D396" s="8">
        <f>IFERROR(__xludf.DUMMYFUNCTION("""COMPUTED_VALUE"""),26.0)</f>
        <v>26</v>
      </c>
      <c r="E396" s="2"/>
    </row>
    <row r="397">
      <c r="A397" s="2"/>
      <c r="B397" s="8" t="str">
        <f>IFERROR(__xludf.DUMMYFUNCTION("""COMPUTED_VALUE"""),"DRG. WEYA HARSIWI KUTIBA")</f>
        <v>DRG. WEYA HARSIWI KUTIBA</v>
      </c>
      <c r="C397" s="8" t="str">
        <f>IFERROR(__xludf.DUMMYFUNCTION("""COMPUTED_VALUE"""),"D9723056299")</f>
        <v>D9723056299</v>
      </c>
      <c r="D397" s="8">
        <f>IFERROR(__xludf.DUMMYFUNCTION("""COMPUTED_VALUE"""),29.0)</f>
        <v>29</v>
      </c>
      <c r="E397" s="2"/>
    </row>
    <row r="398">
      <c r="A398" s="2"/>
      <c r="B398" s="8" t="str">
        <f>IFERROR(__xludf.DUMMYFUNCTION("""COMPUTED_VALUE"""),"DANIEL JUNIARDY SUTANTO")</f>
        <v>DANIEL JUNIARDY SUTANTO</v>
      </c>
      <c r="C398" s="8" t="str">
        <f>IFERROR(__xludf.DUMMYFUNCTION("""COMPUTED_VALUE"""),"D9323052240")</f>
        <v>D9323052240</v>
      </c>
      <c r="D398" s="8">
        <f>IFERROR(__xludf.DUMMYFUNCTION("""COMPUTED_VALUE"""),33.0)</f>
        <v>33</v>
      </c>
      <c r="E398" s="2"/>
    </row>
    <row r="399">
      <c r="A399" s="2"/>
      <c r="B399" s="8" t="str">
        <f>IFERROR(__xludf.DUMMYFUNCTION("""COMPUTED_VALUE"""),"SUDIRMO")</f>
        <v>SUDIRMO</v>
      </c>
      <c r="C399" s="8" t="str">
        <f>IFERROR(__xludf.DUMMYFUNCTION("""COMPUTED_VALUE"""),"S8523058504")</f>
        <v>S8523058504</v>
      </c>
      <c r="D399" s="8">
        <f>IFERROR(__xludf.DUMMYFUNCTION("""COMPUTED_VALUE"""),41.0)</f>
        <v>41</v>
      </c>
      <c r="E399" s="2"/>
    </row>
    <row r="400">
      <c r="A400" s="2"/>
      <c r="B400" s="8" t="str">
        <f>IFERROR(__xludf.DUMMYFUNCTION("""COMPUTED_VALUE"""),"AFRYANDI CHRISTIANTO NG")</f>
        <v>AFRYANDI CHRISTIANTO NG</v>
      </c>
      <c r="C400" s="8" t="str">
        <f>IFERROR(__xludf.DUMMYFUNCTION("""COMPUTED_VALUE"""),"A9223058978")</f>
        <v>A9223058978</v>
      </c>
      <c r="D400" s="8">
        <f>IFERROR(__xludf.DUMMYFUNCTION("""COMPUTED_VALUE"""),34.0)</f>
        <v>34</v>
      </c>
      <c r="E400" s="2"/>
    </row>
    <row r="401">
      <c r="A401" s="2"/>
      <c r="B401" s="8" t="str">
        <f>IFERROR(__xludf.DUMMYFUNCTION("""COMPUTED_VALUE"""),"JENNI ABHIDYA")</f>
        <v>JENNI ABHIDYA</v>
      </c>
      <c r="C401" s="8" t="str">
        <f>IFERROR(__xludf.DUMMYFUNCTION("""COMPUTED_VALUE"""),"J8423053616")</f>
        <v>J8423053616</v>
      </c>
      <c r="D401" s="8">
        <f>IFERROR(__xludf.DUMMYFUNCTION("""COMPUTED_VALUE"""),42.0)</f>
        <v>42</v>
      </c>
      <c r="E401" s="2"/>
    </row>
    <row r="402">
      <c r="A402" s="2"/>
      <c r="B402" s="8" t="str">
        <f>IFERROR(__xludf.DUMMYFUNCTION("""COMPUTED_VALUE"""),"SIGIT MUNDIARTO")</f>
        <v>SIGIT MUNDIARTO</v>
      </c>
      <c r="C402" s="8" t="str">
        <f>IFERROR(__xludf.DUMMYFUNCTION("""COMPUTED_VALUE"""),"S7323058545")</f>
        <v>S7323058545</v>
      </c>
      <c r="D402" s="8">
        <f>IFERROR(__xludf.DUMMYFUNCTION("""COMPUTED_VALUE"""),53.0)</f>
        <v>53</v>
      </c>
      <c r="E402" s="2"/>
    </row>
    <row r="403">
      <c r="A403" s="2"/>
      <c r="B403" s="8" t="str">
        <f>IFERROR(__xludf.DUMMYFUNCTION("""COMPUTED_VALUE"""),"NELLSON JONATHAN")</f>
        <v>NELLSON JONATHAN</v>
      </c>
      <c r="C403" s="8" t="str">
        <f>IFERROR(__xludf.DUMMYFUNCTION("""COMPUTED_VALUE"""),"N0223053840")</f>
        <v>N0223053840</v>
      </c>
      <c r="D403" s="8">
        <f>IFERROR(__xludf.DUMMYFUNCTION("""COMPUTED_VALUE"""),24.0)</f>
        <v>24</v>
      </c>
      <c r="E403" s="2"/>
    </row>
    <row r="404">
      <c r="A404" s="2"/>
      <c r="B404" s="8" t="str">
        <f>IFERROR(__xludf.DUMMYFUNCTION("""COMPUTED_VALUE"""),"TOMTOWI ADNAN")</f>
        <v>TOMTOWI ADNAN</v>
      </c>
      <c r="C404" s="8" t="str">
        <f>IFERROR(__xludf.DUMMYFUNCTION("""COMPUTED_VALUE"""),"T9323053863")</f>
        <v>T9323053863</v>
      </c>
      <c r="D404" s="8">
        <f>IFERROR(__xludf.DUMMYFUNCTION("""COMPUTED_VALUE"""),33.0)</f>
        <v>33</v>
      </c>
      <c r="E404" s="2"/>
    </row>
    <row r="405">
      <c r="A405" s="2"/>
      <c r="B405" s="8" t="str">
        <f>IFERROR(__xludf.DUMMYFUNCTION("""COMPUTED_VALUE"""),"SAIFUL BAHRI")</f>
        <v>SAIFUL BAHRI</v>
      </c>
      <c r="C405" s="8" t="str">
        <f>IFERROR(__xludf.DUMMYFUNCTION("""COMPUTED_VALUE"""),"S9123052011")</f>
        <v>S9123052011</v>
      </c>
      <c r="D405" s="8">
        <f>IFERROR(__xludf.DUMMYFUNCTION("""COMPUTED_VALUE"""),35.0)</f>
        <v>35</v>
      </c>
      <c r="E405" s="2"/>
    </row>
    <row r="406">
      <c r="A406" s="2"/>
      <c r="B406" s="8" t="str">
        <f>IFERROR(__xludf.DUMMYFUNCTION("""COMPUTED_VALUE"""),"ALI 5009")</f>
        <v>ALI 5009</v>
      </c>
      <c r="C406" s="8" t="str">
        <f>IFERROR(__xludf.DUMMYFUNCTION("""COMPUTED_VALUE"""),"A5023055901")</f>
        <v>A5023055901</v>
      </c>
      <c r="D406" s="8">
        <f>IFERROR(__xludf.DUMMYFUNCTION("""COMPUTED_VALUE"""),75.0)</f>
        <v>75</v>
      </c>
      <c r="E406" s="2"/>
    </row>
    <row r="407">
      <c r="A407" s="2"/>
      <c r="B407" s="8" t="str">
        <f>IFERROR(__xludf.DUMMYFUNCTION("""COMPUTED_VALUE"""),"LUSILA TRI LESTARI")</f>
        <v>LUSILA TRI LESTARI</v>
      </c>
      <c r="C407" s="8" t="str">
        <f>IFERROR(__xludf.DUMMYFUNCTION("""COMPUTED_VALUE"""),"L7023067298")</f>
        <v>L7023067298</v>
      </c>
      <c r="D407" s="8">
        <f>IFERROR(__xludf.DUMMYFUNCTION("""COMPUTED_VALUE"""),55.0)</f>
        <v>55</v>
      </c>
      <c r="E407" s="2"/>
    </row>
    <row r="408">
      <c r="A408" s="2"/>
      <c r="B408" s="8" t="str">
        <f>IFERROR(__xludf.DUMMYFUNCTION("""COMPUTED_VALUE"""),"MAHASENA NUSANTARA")</f>
        <v>MAHASENA NUSANTARA</v>
      </c>
      <c r="C408" s="8" t="str">
        <f>IFERROR(__xludf.DUMMYFUNCTION("""COMPUTED_VALUE"""),"M1023062227")</f>
        <v>M1023062227</v>
      </c>
      <c r="D408" s="8">
        <f>IFERROR(__xludf.DUMMYFUNCTION("""COMPUTED_VALUE"""),15.0)</f>
        <v>15</v>
      </c>
      <c r="E408" s="2"/>
    </row>
    <row r="409">
      <c r="A409" s="2"/>
      <c r="B409" s="8" t="str">
        <f>IFERROR(__xludf.DUMMYFUNCTION("""COMPUTED_VALUE"""),"ALBERT NICODEMUS SINUKABAN")</f>
        <v>ALBERT NICODEMUS SINUKABAN</v>
      </c>
      <c r="C409" s="8" t="str">
        <f>IFERROR(__xludf.DUMMYFUNCTION("""COMPUTED_VALUE"""),"A0223069001")</f>
        <v>A0223069001</v>
      </c>
      <c r="D409" s="8">
        <f>IFERROR(__xludf.DUMMYFUNCTION("""COMPUTED_VALUE"""),24.0)</f>
        <v>24</v>
      </c>
      <c r="E409" s="2"/>
    </row>
    <row r="410">
      <c r="A410" s="2"/>
      <c r="B410" s="8" t="str">
        <f>IFERROR(__xludf.DUMMYFUNCTION("""COMPUTED_VALUE"""),"ERNAWATI")</f>
        <v>ERNAWATI</v>
      </c>
      <c r="C410" s="8" t="str">
        <f>IFERROR(__xludf.DUMMYFUNCTION("""COMPUTED_VALUE"""),"E6223064552")</f>
        <v>E6223064552</v>
      </c>
      <c r="D410" s="8">
        <f>IFERROR(__xludf.DUMMYFUNCTION("""COMPUTED_VALUE"""),63.0)</f>
        <v>63</v>
      </c>
      <c r="E410" s="2"/>
    </row>
    <row r="411">
      <c r="A411" s="2"/>
      <c r="B411" s="8" t="str">
        <f>IFERROR(__xludf.DUMMYFUNCTION("""COMPUTED_VALUE"""),"SULHA")</f>
        <v>SULHA</v>
      </c>
      <c r="C411" s="8" t="str">
        <f>IFERROR(__xludf.DUMMYFUNCTION("""COMPUTED_VALUE"""),"S6223061369")</f>
        <v>S6223061369</v>
      </c>
      <c r="D411" s="8">
        <f>IFERROR(__xludf.DUMMYFUNCTION("""COMPUTED_VALUE"""),63.0)</f>
        <v>63</v>
      </c>
      <c r="E411" s="2"/>
    </row>
    <row r="412">
      <c r="A412" s="2"/>
      <c r="B412" s="8" t="str">
        <f>IFERROR(__xludf.DUMMYFUNCTION("""COMPUTED_VALUE"""),"ERNA6605")</f>
        <v>ERNA6605</v>
      </c>
      <c r="C412" s="8" t="str">
        <f>IFERROR(__xludf.DUMMYFUNCTION("""COMPUTED_VALUE"""),"E6623066150")</f>
        <v>E6623066150</v>
      </c>
      <c r="D412" s="8">
        <f>IFERROR(__xludf.DUMMYFUNCTION("""COMPUTED_VALUE"""),60.0)</f>
        <v>60</v>
      </c>
      <c r="E412" s="2"/>
    </row>
    <row r="413">
      <c r="A413" s="2"/>
      <c r="B413" s="8" t="str">
        <f>IFERROR(__xludf.DUMMYFUNCTION("""COMPUTED_VALUE"""),"ERNA8804")</f>
        <v>ERNA8804</v>
      </c>
      <c r="C413" s="8" t="str">
        <f>IFERROR(__xludf.DUMMYFUNCTION("""COMPUTED_VALUE"""),"E8823061262")</f>
        <v>E8823061262</v>
      </c>
      <c r="D413" s="8">
        <f>IFERROR(__xludf.DUMMYFUNCTION("""COMPUTED_VALUE"""),38.0)</f>
        <v>38</v>
      </c>
      <c r="E413" s="2"/>
    </row>
    <row r="414">
      <c r="A414" s="2"/>
      <c r="B414" s="8" t="str">
        <f>IFERROR(__xludf.DUMMYFUNCTION("""COMPUTED_VALUE"""),"RITA EVIANTI")</f>
        <v>RITA EVIANTI</v>
      </c>
      <c r="C414" s="8" t="str">
        <f>IFERROR(__xludf.DUMMYFUNCTION("""COMPUTED_VALUE"""),"R6823060715")</f>
        <v>R6823060715</v>
      </c>
      <c r="D414" s="8">
        <f>IFERROR(__xludf.DUMMYFUNCTION("""COMPUTED_VALUE"""),57.0)</f>
        <v>57</v>
      </c>
      <c r="E414" s="2"/>
    </row>
    <row r="415">
      <c r="A415" s="2"/>
      <c r="B415" s="8" t="str">
        <f>IFERROR(__xludf.DUMMYFUNCTION("""COMPUTED_VALUE"""),"ALPUTRALAW")</f>
        <v>ALPUTRALAW</v>
      </c>
      <c r="C415" s="8" t="str">
        <f>IFERROR(__xludf.DUMMYFUNCTION("""COMPUTED_VALUE"""),"A9323069998")</f>
        <v>A9323069998</v>
      </c>
      <c r="D415" s="8">
        <f>IFERROR(__xludf.DUMMYFUNCTION("""COMPUTED_VALUE"""),33.0)</f>
        <v>33</v>
      </c>
      <c r="E415" s="2"/>
    </row>
    <row r="416">
      <c r="A416" s="2"/>
      <c r="B416" s="8" t="str">
        <f>IFERROR(__xludf.DUMMYFUNCTION("""COMPUTED_VALUE"""),"UTI MUHAMMAD RIFQI HAFIZH")</f>
        <v>UTI MUHAMMAD RIFQI HAFIZH</v>
      </c>
      <c r="C416" s="8" t="str">
        <f>IFERROR(__xludf.DUMMYFUNCTION("""COMPUTED_VALUE"""),"U0423067597")</f>
        <v>U0423067597</v>
      </c>
      <c r="D416" s="8">
        <f>IFERROR(__xludf.DUMMYFUNCTION("""COMPUTED_VALUE"""),22.0)</f>
        <v>22</v>
      </c>
      <c r="E416" s="2"/>
    </row>
    <row r="417">
      <c r="A417" s="2"/>
      <c r="B417" s="8" t="str">
        <f>IFERROR(__xludf.DUMMYFUNCTION("""COMPUTED_VALUE"""),"ADITIYANO FIRMANSYAH")</f>
        <v>ADITIYANO FIRMANSYAH</v>
      </c>
      <c r="C417" s="8" t="str">
        <f>IFERROR(__xludf.DUMMYFUNCTION("""COMPUTED_VALUE"""),"A0423066158")</f>
        <v>A0423066158</v>
      </c>
      <c r="D417" s="8">
        <f>IFERROR(__xludf.DUMMYFUNCTION("""COMPUTED_VALUE"""),21.0)</f>
        <v>21</v>
      </c>
      <c r="E417" s="2"/>
    </row>
    <row r="418">
      <c r="A418" s="2"/>
      <c r="B418" s="8" t="str">
        <f>IFERROR(__xludf.DUMMYFUNCTION("""COMPUTED_VALUE"""),"BENEDIKTUS DAVI NAWILIS")</f>
        <v>BENEDIKTUS DAVI NAWILIS</v>
      </c>
      <c r="C418" s="8" t="str">
        <f>IFERROR(__xludf.DUMMYFUNCTION("""COMPUTED_VALUE"""),"B0523064333")</f>
        <v>B0523064333</v>
      </c>
      <c r="D418" s="8">
        <f>IFERROR(__xludf.DUMMYFUNCTION("""COMPUTED_VALUE"""),21.0)</f>
        <v>21</v>
      </c>
      <c r="E418" s="2"/>
    </row>
    <row r="419">
      <c r="A419" s="2"/>
      <c r="B419" s="8" t="str">
        <f>IFERROR(__xludf.DUMMYFUNCTION("""COMPUTED_VALUE"""),"RICKI KURNIAWAN")</f>
        <v>RICKI KURNIAWAN</v>
      </c>
      <c r="C419" s="8" t="str">
        <f>IFERROR(__xludf.DUMMYFUNCTION("""COMPUTED_VALUE"""),"R9223060601")</f>
        <v>R9223060601</v>
      </c>
      <c r="D419" s="8">
        <f>IFERROR(__xludf.DUMMYFUNCTION("""COMPUTED_VALUE"""),34.0)</f>
        <v>34</v>
      </c>
      <c r="E419" s="2"/>
    </row>
    <row r="420">
      <c r="A420" s="2"/>
      <c r="B420" s="8" t="str">
        <f>IFERROR(__xludf.DUMMYFUNCTION("""COMPUTED_VALUE"""),"U.TITIEN FADIAH")</f>
        <v>U.TITIEN FADIAH</v>
      </c>
      <c r="C420" s="8" t="str">
        <f>IFERROR(__xludf.DUMMYFUNCTION("""COMPUTED_VALUE"""),"U5323066024")</f>
        <v>U5323066024</v>
      </c>
      <c r="D420" s="8">
        <f>IFERROR(__xludf.DUMMYFUNCTION("""COMPUTED_VALUE"""),73.0)</f>
        <v>73</v>
      </c>
      <c r="E420" s="2"/>
    </row>
    <row r="421">
      <c r="A421" s="2"/>
      <c r="B421" s="8" t="str">
        <f>IFERROR(__xludf.DUMMYFUNCTION("""COMPUTED_VALUE"""),"ELIDA SEPTRIANI SIMANGUNSONG")</f>
        <v>ELIDA SEPTRIANI SIMANGUNSONG</v>
      </c>
      <c r="C421" s="8" t="str">
        <f>IFERROR(__xludf.DUMMYFUNCTION("""COMPUTED_VALUE"""),"E8923062696")</f>
        <v>E8923062696</v>
      </c>
      <c r="D421" s="8">
        <f>IFERROR(__xludf.DUMMYFUNCTION("""COMPUTED_VALUE"""),36.0)</f>
        <v>36</v>
      </c>
      <c r="E421" s="2"/>
    </row>
    <row r="422">
      <c r="A422" s="2"/>
      <c r="B422" s="8" t="str">
        <f>IFERROR(__xludf.DUMMYFUNCTION("""COMPUTED_VALUE"""),"IIS ARISBAYA")</f>
        <v>IIS ARISBAYA</v>
      </c>
      <c r="C422" s="8" t="str">
        <f>IFERROR(__xludf.DUMMYFUNCTION("""COMPUTED_VALUE"""),"I7023065388")</f>
        <v>I7023065388</v>
      </c>
      <c r="D422" s="8">
        <f>IFERROR(__xludf.DUMMYFUNCTION("""COMPUTED_VALUE"""),55.0)</f>
        <v>55</v>
      </c>
      <c r="E422" s="2"/>
    </row>
    <row r="423">
      <c r="A423" s="2"/>
      <c r="B423" s="8" t="str">
        <f>IFERROR(__xludf.DUMMYFUNCTION("""COMPUTED_VALUE"""),"NOPILIUS SALIM")</f>
        <v>NOPILIUS SALIM</v>
      </c>
      <c r="C423" s="8" t="str">
        <f>IFERROR(__xludf.DUMMYFUNCTION("""COMPUTED_VALUE"""),"N9323064777")</f>
        <v>N9323064777</v>
      </c>
      <c r="D423" s="8">
        <f>IFERROR(__xludf.DUMMYFUNCTION("""COMPUTED_VALUE"""),32.0)</f>
        <v>32</v>
      </c>
      <c r="E423" s="2"/>
    </row>
    <row r="424">
      <c r="A424" s="2"/>
      <c r="B424" s="8" t="str">
        <f>IFERROR(__xludf.DUMMYFUNCTION("""COMPUTED_VALUE"""),"I MADE TEJA SUTRESNA")</f>
        <v>I MADE TEJA SUTRESNA</v>
      </c>
      <c r="C424" s="8" t="str">
        <f>IFERROR(__xludf.DUMMYFUNCTION("""COMPUTED_VALUE"""),"I8923069521")</f>
        <v>I8923069521</v>
      </c>
      <c r="D424" s="8">
        <f>IFERROR(__xludf.DUMMYFUNCTION("""COMPUTED_VALUE"""),37.0)</f>
        <v>37</v>
      </c>
      <c r="E424" s="2"/>
    </row>
    <row r="425">
      <c r="A425" s="2"/>
      <c r="B425" s="8" t="str">
        <f>IFERROR(__xludf.DUMMYFUNCTION("""COMPUTED_VALUE"""),"LO HWA KUI")</f>
        <v>LO HWA KUI</v>
      </c>
      <c r="C425" s="8" t="str">
        <f>IFERROR(__xludf.DUMMYFUNCTION("""COMPUTED_VALUE"""),"L7923065510")</f>
        <v>L7923065510</v>
      </c>
      <c r="D425" s="8">
        <f>IFERROR(__xludf.DUMMYFUNCTION("""COMPUTED_VALUE"""),47.0)</f>
        <v>47</v>
      </c>
      <c r="E425" s="2"/>
    </row>
    <row r="426">
      <c r="A426" s="2"/>
      <c r="B426" s="8" t="str">
        <f>IFERROR(__xludf.DUMMYFUNCTION("""COMPUTED_VALUE"""),"NASRANI")</f>
        <v>NASRANI</v>
      </c>
      <c r="C426" s="8" t="str">
        <f>IFERROR(__xludf.DUMMYFUNCTION("""COMPUTED_VALUE"""),"N8723062132")</f>
        <v>N8723062132</v>
      </c>
      <c r="D426" s="8">
        <f>IFERROR(__xludf.DUMMYFUNCTION("""COMPUTED_VALUE"""),38.0)</f>
        <v>38</v>
      </c>
      <c r="E426" s="2"/>
    </row>
    <row r="427">
      <c r="A427" s="2"/>
      <c r="B427" s="8" t="str">
        <f>IFERROR(__xludf.DUMMYFUNCTION("""COMPUTED_VALUE"""),"FATIMAH M YUSUF")</f>
        <v>FATIMAH M YUSUF</v>
      </c>
      <c r="C427" s="8" t="str">
        <f>IFERROR(__xludf.DUMMYFUNCTION("""COMPUTED_VALUE"""),"F5023065308")</f>
        <v>F5023065308</v>
      </c>
      <c r="D427" s="8">
        <f>IFERROR(__xludf.DUMMYFUNCTION("""COMPUTED_VALUE"""),76.0)</f>
        <v>76</v>
      </c>
      <c r="E427" s="2"/>
    </row>
    <row r="428">
      <c r="A428" s="2"/>
      <c r="B428" s="8" t="str">
        <f>IFERROR(__xludf.DUMMYFUNCTION("""COMPUTED_VALUE"""),"WELLY KENT SEN")</f>
        <v>WELLY KENT SEN</v>
      </c>
      <c r="C428" s="8" t="str">
        <f>IFERROR(__xludf.DUMMYFUNCTION("""COMPUTED_VALUE"""),"W9423067338")</f>
        <v>W9423067338</v>
      </c>
      <c r="D428" s="8">
        <f>IFERROR(__xludf.DUMMYFUNCTION("""COMPUTED_VALUE"""),32.0)</f>
        <v>32</v>
      </c>
      <c r="E428" s="2"/>
    </row>
    <row r="429">
      <c r="A429" s="2"/>
      <c r="B429" s="8" t="str">
        <f>IFERROR(__xludf.DUMMYFUNCTION("""COMPUTED_VALUE"""),"LIN FON DJUNG")</f>
        <v>LIN FON DJUNG</v>
      </c>
      <c r="C429" s="8" t="str">
        <f>IFERROR(__xludf.DUMMYFUNCTION("""COMPUTED_VALUE"""),"L5823062329")</f>
        <v>L5823062329</v>
      </c>
      <c r="D429" s="8">
        <f>IFERROR(__xludf.DUMMYFUNCTION("""COMPUTED_VALUE"""),68.0)</f>
        <v>68</v>
      </c>
      <c r="E429" s="2"/>
    </row>
    <row r="430">
      <c r="A430" s="2"/>
      <c r="B430" s="8" t="str">
        <f>IFERROR(__xludf.DUMMYFUNCTION("""COMPUTED_VALUE"""),"ALFIN SIMANTIAR")</f>
        <v>ALFIN SIMANTIAR</v>
      </c>
      <c r="C430" s="8" t="str">
        <f>IFERROR(__xludf.DUMMYFUNCTION("""COMPUTED_VALUE"""),"A9323067821")</f>
        <v>A9323067821</v>
      </c>
      <c r="D430" s="8">
        <f>IFERROR(__xludf.DUMMYFUNCTION("""COMPUTED_VALUE"""),32.0)</f>
        <v>32</v>
      </c>
      <c r="E430" s="2"/>
    </row>
    <row r="431">
      <c r="A431" s="2"/>
      <c r="B431" s="8" t="str">
        <f>IFERROR(__xludf.DUMMYFUNCTION("""COMPUTED_VALUE"""),"MUHAMMAD AGUNG ZULFI")</f>
        <v>MUHAMMAD AGUNG ZULFI</v>
      </c>
      <c r="C431" s="8" t="str">
        <f>IFERROR(__xludf.DUMMYFUNCTION("""COMPUTED_VALUE"""),"M9023060146")</f>
        <v>M9023060146</v>
      </c>
      <c r="D431" s="8">
        <f>IFERROR(__xludf.DUMMYFUNCTION("""COMPUTED_VALUE"""),36.0)</f>
        <v>36</v>
      </c>
      <c r="E431" s="2"/>
    </row>
    <row r="432">
      <c r="A432" s="2"/>
      <c r="B432" s="8" t="str">
        <f>IFERROR(__xludf.DUMMYFUNCTION("""COMPUTED_VALUE"""),"DIAH SANTI")</f>
        <v>DIAH SANTI</v>
      </c>
      <c r="C432" s="8" t="str">
        <f>IFERROR(__xludf.DUMMYFUNCTION("""COMPUTED_VALUE"""),"D6323060292")</f>
        <v>D6323060292</v>
      </c>
      <c r="D432" s="8">
        <f>IFERROR(__xludf.DUMMYFUNCTION("""COMPUTED_VALUE"""),63.0)</f>
        <v>63</v>
      </c>
      <c r="E432" s="2"/>
    </row>
    <row r="433">
      <c r="A433" s="2"/>
      <c r="B433" s="8" t="str">
        <f>IFERROR(__xludf.DUMMYFUNCTION("""COMPUTED_VALUE"""),"RYALDI")</f>
        <v>RYALDI</v>
      </c>
      <c r="C433" s="8" t="str">
        <f>IFERROR(__xludf.DUMMYFUNCTION("""COMPUTED_VALUE"""),"R9623068078")</f>
        <v>R9623068078</v>
      </c>
      <c r="D433" s="8">
        <f>IFERROR(__xludf.DUMMYFUNCTION("""COMPUTED_VALUE"""),30.0)</f>
        <v>30</v>
      </c>
      <c r="E433" s="2"/>
    </row>
    <row r="434">
      <c r="A434" s="2"/>
      <c r="B434" s="8" t="str">
        <f>IFERROR(__xludf.DUMMYFUNCTION("""COMPUTED_VALUE"""),"RIZKA MAYA SALSABILA")</f>
        <v>RIZKA MAYA SALSABILA</v>
      </c>
      <c r="C434" s="8" t="str">
        <f>IFERROR(__xludf.DUMMYFUNCTION("""COMPUTED_VALUE"""),"R0023064561")</f>
        <v>R0023064561</v>
      </c>
      <c r="D434" s="8">
        <f>IFERROR(__xludf.DUMMYFUNCTION("""COMPUTED_VALUE"""),26.0)</f>
        <v>26</v>
      </c>
      <c r="E434" s="2"/>
    </row>
    <row r="435">
      <c r="A435" s="2"/>
      <c r="B435" s="8" t="str">
        <f>IFERROR(__xludf.DUMMYFUNCTION("""COMPUTED_VALUE"""),"ENCEP AHMAD BAHTIAR")</f>
        <v>ENCEP AHMAD BAHTIAR</v>
      </c>
      <c r="C435" s="8" t="str">
        <f>IFERROR(__xludf.DUMMYFUNCTION("""COMPUTED_VALUE"""),"E7823069993")</f>
        <v>E7823069993</v>
      </c>
      <c r="D435" s="8">
        <f>IFERROR(__xludf.DUMMYFUNCTION("""COMPUTED_VALUE"""),47.0)</f>
        <v>47</v>
      </c>
      <c r="E435" s="2"/>
    </row>
    <row r="436">
      <c r="A436" s="2"/>
      <c r="B436" s="8" t="str">
        <f>IFERROR(__xludf.DUMMYFUNCTION("""COMPUTED_VALUE"""),"FREDY TRISNANDI")</f>
        <v>FREDY TRISNANDI</v>
      </c>
      <c r="C436" s="8" t="str">
        <f>IFERROR(__xludf.DUMMYFUNCTION("""COMPUTED_VALUE"""),"F8823066948")</f>
        <v>F8823066948</v>
      </c>
      <c r="D436" s="8">
        <f>IFERROR(__xludf.DUMMYFUNCTION("""COMPUTED_VALUE"""),38.0)</f>
        <v>38</v>
      </c>
      <c r="E436" s="2"/>
    </row>
    <row r="437">
      <c r="A437" s="2"/>
      <c r="B437" s="8" t="str">
        <f>IFERROR(__xludf.DUMMYFUNCTION("""COMPUTED_VALUE"""),"ALDI RANDY RUDO")</f>
        <v>ALDI RANDY RUDO</v>
      </c>
      <c r="C437" s="8" t="str">
        <f>IFERROR(__xludf.DUMMYFUNCTION("""COMPUTED_VALUE"""),"A9223062020")</f>
        <v>A9223062020</v>
      </c>
      <c r="D437" s="8">
        <f>IFERROR(__xludf.DUMMYFUNCTION("""COMPUTED_VALUE"""),34.0)</f>
        <v>34</v>
      </c>
      <c r="E437" s="2"/>
    </row>
    <row r="438">
      <c r="A438" s="2"/>
      <c r="B438" s="8" t="str">
        <f>IFERROR(__xludf.DUMMYFUNCTION("""COMPUTED_VALUE"""),"UTIN ZUBAIDAH")</f>
        <v>UTIN ZUBAIDAH</v>
      </c>
      <c r="C438" s="8" t="str">
        <f>IFERROR(__xludf.DUMMYFUNCTION("""COMPUTED_VALUE"""),"U4623065128")</f>
        <v>U4623065128</v>
      </c>
      <c r="D438" s="8">
        <f>IFERROR(__xludf.DUMMYFUNCTION("""COMPUTED_VALUE"""),80.0)</f>
        <v>80</v>
      </c>
      <c r="E438" s="2"/>
    </row>
    <row r="439">
      <c r="A439" s="2"/>
      <c r="B439" s="8" t="str">
        <f>IFERROR(__xludf.DUMMYFUNCTION("""COMPUTED_VALUE"""),"SYARONI")</f>
        <v>SYARONI</v>
      </c>
      <c r="C439" s="8" t="str">
        <f>IFERROR(__xludf.DUMMYFUNCTION("""COMPUTED_VALUE"""),"S8023065758")</f>
        <v>S8023065758</v>
      </c>
      <c r="D439" s="8">
        <f>IFERROR(__xludf.DUMMYFUNCTION("""COMPUTED_VALUE"""),46.0)</f>
        <v>46</v>
      </c>
      <c r="E439" s="2"/>
    </row>
    <row r="440">
      <c r="A440" s="2"/>
      <c r="B440" s="8" t="str">
        <f>IFERROR(__xludf.DUMMYFUNCTION("""COMPUTED_VALUE"""),"SUKMAWAN")</f>
        <v>SUKMAWAN</v>
      </c>
      <c r="C440" s="8" t="str">
        <f>IFERROR(__xludf.DUMMYFUNCTION("""COMPUTED_VALUE"""),"S8623067744")</f>
        <v>S8623067744</v>
      </c>
      <c r="D440" s="8">
        <f>IFERROR(__xludf.DUMMYFUNCTION("""COMPUTED_VALUE"""),40.0)</f>
        <v>40</v>
      </c>
      <c r="E440" s="2"/>
    </row>
    <row r="441">
      <c r="A441" s="2"/>
      <c r="B441" s="8" t="str">
        <f>IFERROR(__xludf.DUMMYFUNCTION("""COMPUTED_VALUE"""),"AZZAH LUTFIA AFIFI")</f>
        <v>AZZAH LUTFIA AFIFI</v>
      </c>
      <c r="C441" s="8" t="str">
        <f>IFERROR(__xludf.DUMMYFUNCTION("""COMPUTED_VALUE"""),"A0523068956")</f>
        <v>A0523068956</v>
      </c>
      <c r="D441" s="8">
        <f>IFERROR(__xludf.DUMMYFUNCTION("""COMPUTED_VALUE"""),20.0)</f>
        <v>20</v>
      </c>
      <c r="E441" s="2"/>
    </row>
    <row r="442">
      <c r="A442" s="2"/>
      <c r="B442" s="8" t="str">
        <f>IFERROR(__xludf.DUMMYFUNCTION("""COMPUTED_VALUE"""),"ADITYA PRAYOGI")</f>
        <v>ADITYA PRAYOGI</v>
      </c>
      <c r="C442" s="8" t="str">
        <f>IFERROR(__xludf.DUMMYFUNCTION("""COMPUTED_VALUE"""),"A9723063838")</f>
        <v>A9723063838</v>
      </c>
      <c r="D442" s="8">
        <f>IFERROR(__xludf.DUMMYFUNCTION("""COMPUTED_VALUE"""),29.0)</f>
        <v>29</v>
      </c>
      <c r="E442" s="2"/>
    </row>
    <row r="443">
      <c r="A443" s="2"/>
      <c r="B443" s="8" t="str">
        <f>IFERROR(__xludf.DUMMYFUNCTION("""COMPUTED_VALUE"""),"VICHO ELEKSIUS DO VANTU")</f>
        <v>VICHO ELEKSIUS DO VANTU</v>
      </c>
      <c r="C443" s="8" t="str">
        <f>IFERROR(__xludf.DUMMYFUNCTION("""COMPUTED_VALUE"""),"V0523064606")</f>
        <v>V0523064606</v>
      </c>
      <c r="D443" s="8">
        <f>IFERROR(__xludf.DUMMYFUNCTION("""COMPUTED_VALUE"""),21.0)</f>
        <v>21</v>
      </c>
      <c r="E443" s="2"/>
    </row>
    <row r="444">
      <c r="A444" s="2"/>
      <c r="B444" s="8" t="str">
        <f>IFERROR(__xludf.DUMMYFUNCTION("""COMPUTED_VALUE"""),"IPRAN SAYIT MATARAM")</f>
        <v>IPRAN SAYIT MATARAM</v>
      </c>
      <c r="C444" s="8" t="str">
        <f>IFERROR(__xludf.DUMMYFUNCTION("""COMPUTED_VALUE"""),"I9323065250")</f>
        <v>I9323065250</v>
      </c>
      <c r="D444" s="8">
        <f>IFERROR(__xludf.DUMMYFUNCTION("""COMPUTED_VALUE"""),33.0)</f>
        <v>33</v>
      </c>
      <c r="E444" s="2"/>
    </row>
    <row r="445">
      <c r="A445" s="2"/>
      <c r="B445" s="8" t="str">
        <f>IFERROR(__xludf.DUMMYFUNCTION("""COMPUTED_VALUE"""),"FAIZAL HRH")</f>
        <v>FAIZAL HRH</v>
      </c>
      <c r="C445" s="8" t="str">
        <f>IFERROR(__xludf.DUMMYFUNCTION("""COMPUTED_VALUE"""),"F8923061386")</f>
        <v>F8923061386</v>
      </c>
      <c r="D445" s="8">
        <f>IFERROR(__xludf.DUMMYFUNCTION("""COMPUTED_VALUE"""),37.0)</f>
        <v>37</v>
      </c>
      <c r="E445" s="2"/>
    </row>
    <row r="446">
      <c r="A446" s="2"/>
      <c r="B446" s="8" t="str">
        <f>IFERROR(__xludf.DUMMYFUNCTION("""COMPUTED_VALUE"""),"MUHAMMAD KENZO ZAIN")</f>
        <v>MUHAMMAD KENZO ZAIN</v>
      </c>
      <c r="C446" s="8" t="str">
        <f>IFERROR(__xludf.DUMMYFUNCTION("""COMPUTED_VALUE"""),"M1123069542")</f>
        <v>M1123069542</v>
      </c>
      <c r="D446" s="8">
        <f>IFERROR(__xludf.DUMMYFUNCTION("""COMPUTED_VALUE"""),14.0)</f>
        <v>14</v>
      </c>
      <c r="E446" s="2"/>
    </row>
    <row r="447">
      <c r="A447" s="2"/>
      <c r="B447" s="8" t="str">
        <f>IFERROR(__xludf.DUMMYFUNCTION("""COMPUTED_VALUE"""),"WAHIDRIANTO")</f>
        <v>WAHIDRIANTO</v>
      </c>
      <c r="C447" s="8" t="str">
        <f>IFERROR(__xludf.DUMMYFUNCTION("""COMPUTED_VALUE"""),"W9023063336")</f>
        <v>W9023063336</v>
      </c>
      <c r="D447" s="8">
        <f>IFERROR(__xludf.DUMMYFUNCTION("""COMPUTED_VALUE"""),36.0)</f>
        <v>36</v>
      </c>
      <c r="E447" s="2"/>
    </row>
    <row r="448">
      <c r="A448" s="2"/>
      <c r="B448" s="8" t="str">
        <f>IFERROR(__xludf.DUMMYFUNCTION("""COMPUTED_VALUE"""),"TIO JAU PHENG")</f>
        <v>TIO JAU PHENG</v>
      </c>
      <c r="C448" s="8" t="str">
        <f>IFERROR(__xludf.DUMMYFUNCTION("""COMPUTED_VALUE"""),"T4623066555")</f>
        <v>T4623066555</v>
      </c>
      <c r="D448" s="8">
        <f>IFERROR(__xludf.DUMMYFUNCTION("""COMPUTED_VALUE"""),79.0)</f>
        <v>79</v>
      </c>
      <c r="E448" s="2"/>
    </row>
    <row r="449">
      <c r="A449" s="2"/>
      <c r="B449" s="8" t="str">
        <f>IFERROR(__xludf.DUMMYFUNCTION("""COMPUTED_VALUE"""),"R.M. KOKO MAFAZA YUGO")</f>
        <v>R.M. KOKO MAFAZA YUGO</v>
      </c>
      <c r="C449" s="8" t="str">
        <f>IFERROR(__xludf.DUMMYFUNCTION("""COMPUTED_VALUE"""),"R9923065389")</f>
        <v>R9923065389</v>
      </c>
      <c r="D449" s="8">
        <f>IFERROR(__xludf.DUMMYFUNCTION("""COMPUTED_VALUE"""),26.0)</f>
        <v>26</v>
      </c>
      <c r="E449" s="2"/>
    </row>
    <row r="450">
      <c r="A450" s="2"/>
      <c r="B450" s="8" t="str">
        <f>IFERROR(__xludf.DUMMYFUNCTION("""COMPUTED_VALUE"""),"HENDRA EDISON")</f>
        <v>HENDRA EDISON</v>
      </c>
      <c r="C450" s="8" t="str">
        <f>IFERROR(__xludf.DUMMYFUNCTION("""COMPUTED_VALUE"""),"H0023065728")</f>
        <v>H0023065728</v>
      </c>
      <c r="D450" s="8">
        <f>IFERROR(__xludf.DUMMYFUNCTION("""COMPUTED_VALUE"""),25.0)</f>
        <v>25</v>
      </c>
      <c r="E450" s="2"/>
    </row>
    <row r="451">
      <c r="A451" s="2"/>
      <c r="B451" s="8" t="str">
        <f>IFERROR(__xludf.DUMMYFUNCTION("""COMPUTED_VALUE"""),"SITI AISYAH")</f>
        <v>SITI AISYAH</v>
      </c>
      <c r="C451" s="8" t="str">
        <f>IFERROR(__xludf.DUMMYFUNCTION("""COMPUTED_VALUE"""),"S9823065220")</f>
        <v>S9823065220</v>
      </c>
      <c r="D451" s="8">
        <f>IFERROR(__xludf.DUMMYFUNCTION("""COMPUTED_VALUE"""),28.0)</f>
        <v>28</v>
      </c>
      <c r="E451" s="2"/>
    </row>
    <row r="452">
      <c r="A452" s="2"/>
      <c r="B452" s="8" t="str">
        <f>IFERROR(__xludf.DUMMYFUNCTION("""COMPUTED_VALUE"""),"NADIA AYUNI PUTRI")</f>
        <v>NADIA AYUNI PUTRI</v>
      </c>
      <c r="C452" s="8" t="str">
        <f>IFERROR(__xludf.DUMMYFUNCTION("""COMPUTED_VALUE"""),"N9223062600")</f>
        <v>N9223062600</v>
      </c>
      <c r="D452" s="8">
        <f>IFERROR(__xludf.DUMMYFUNCTION("""COMPUTED_VALUE"""),34.0)</f>
        <v>34</v>
      </c>
      <c r="E452" s="2"/>
    </row>
    <row r="453">
      <c r="A453" s="2"/>
      <c r="B453" s="8" t="str">
        <f>IFERROR(__xludf.DUMMYFUNCTION("""COMPUTED_VALUE"""),"GUSTI ALFI ANUGRAH")</f>
        <v>GUSTI ALFI ANUGRAH</v>
      </c>
      <c r="C453" s="8" t="str">
        <f>IFERROR(__xludf.DUMMYFUNCTION("""COMPUTED_VALUE"""),"G9923061404")</f>
        <v>G9923061404</v>
      </c>
      <c r="D453" s="8">
        <f>IFERROR(__xludf.DUMMYFUNCTION("""COMPUTED_VALUE"""),26.0)</f>
        <v>26</v>
      </c>
      <c r="E453" s="2"/>
    </row>
    <row r="454">
      <c r="A454" s="2"/>
      <c r="B454" s="8" t="str">
        <f>IFERROR(__xludf.DUMMYFUNCTION("""COMPUTED_VALUE"""),"WENARDY CHIONDA")</f>
        <v>WENARDY CHIONDA</v>
      </c>
      <c r="C454" s="8" t="str">
        <f>IFERROR(__xludf.DUMMYFUNCTION("""COMPUTED_VALUE"""),"W9823064942")</f>
        <v>W9823064942</v>
      </c>
      <c r="D454" s="8">
        <f>IFERROR(__xludf.DUMMYFUNCTION("""COMPUTED_VALUE"""),28.0)</f>
        <v>28</v>
      </c>
      <c r="E454" s="2"/>
    </row>
    <row r="455">
      <c r="A455" s="2"/>
      <c r="B455" s="8" t="str">
        <f>IFERROR(__xludf.DUMMYFUNCTION("""COMPUTED_VALUE"""),"SALSABELLA")</f>
        <v>SALSABELLA</v>
      </c>
      <c r="C455" s="8" t="str">
        <f>IFERROR(__xludf.DUMMYFUNCTION("""COMPUTED_VALUE"""),"S9823069696")</f>
        <v>S9823069696</v>
      </c>
      <c r="D455" s="8">
        <f>IFERROR(__xludf.DUMMYFUNCTION("""COMPUTED_VALUE"""),28.0)</f>
        <v>28</v>
      </c>
      <c r="E455" s="2"/>
    </row>
    <row r="456">
      <c r="A456" s="2"/>
      <c r="B456" s="8" t="str">
        <f>IFERROR(__xludf.DUMMYFUNCTION("""COMPUTED_VALUE"""),"SILVINA PUTRI")</f>
        <v>SILVINA PUTRI</v>
      </c>
      <c r="C456" s="8" t="str">
        <f>IFERROR(__xludf.DUMMYFUNCTION("""COMPUTED_VALUE"""),"S0923067854")</f>
        <v>S0923067854</v>
      </c>
      <c r="D456" s="8">
        <f>IFERROR(__xludf.DUMMYFUNCTION("""COMPUTED_VALUE"""),17.0)</f>
        <v>17</v>
      </c>
      <c r="E456" s="2"/>
    </row>
    <row r="457">
      <c r="A457" s="2"/>
      <c r="B457" s="8" t="str">
        <f>IFERROR(__xludf.DUMMYFUNCTION("""COMPUTED_VALUE"""),"HERLITA YULIANA")</f>
        <v>HERLITA YULIANA</v>
      </c>
      <c r="C457" s="8" t="str">
        <f>IFERROR(__xludf.DUMMYFUNCTION("""COMPUTED_VALUE"""),"H7423069338")</f>
        <v>H7423069338</v>
      </c>
      <c r="D457" s="8">
        <f>IFERROR(__xludf.DUMMYFUNCTION("""COMPUTED_VALUE"""),52.0)</f>
        <v>52</v>
      </c>
      <c r="E457" s="2"/>
    </row>
    <row r="458">
      <c r="A458" s="2"/>
      <c r="B458" s="8" t="str">
        <f>IFERROR(__xludf.DUMMYFUNCTION("""COMPUTED_VALUE"""),"ROSITA")</f>
        <v>ROSITA</v>
      </c>
      <c r="C458" s="8" t="str">
        <f>IFERROR(__xludf.DUMMYFUNCTION("""COMPUTED_VALUE"""),"R6223060242")</f>
        <v>R6223060242</v>
      </c>
      <c r="D458" s="8">
        <f>IFERROR(__xludf.DUMMYFUNCTION("""COMPUTED_VALUE"""),64.0)</f>
        <v>64</v>
      </c>
      <c r="E458" s="2"/>
    </row>
    <row r="459">
      <c r="A459" s="2"/>
      <c r="B459" s="8" t="str">
        <f>IFERROR(__xludf.DUMMYFUNCTION("""COMPUTED_VALUE"""),"LITA AMELIA")</f>
        <v>LITA AMELIA</v>
      </c>
      <c r="C459" s="8" t="str">
        <f>IFERROR(__xludf.DUMMYFUNCTION("""COMPUTED_VALUE"""),"L9423069956")</f>
        <v>L9423069956</v>
      </c>
      <c r="D459" s="8">
        <f>IFERROR(__xludf.DUMMYFUNCTION("""COMPUTED_VALUE"""),31.0)</f>
        <v>31</v>
      </c>
      <c r="E459" s="2"/>
    </row>
    <row r="460">
      <c r="A460" s="2"/>
      <c r="B460" s="8" t="str">
        <f>IFERROR(__xludf.DUMMYFUNCTION("""COMPUTED_VALUE"""),"HARRY PERMANA KAMANDAKA")</f>
        <v>HARRY PERMANA KAMANDAKA</v>
      </c>
      <c r="C460" s="8" t="str">
        <f>IFERROR(__xludf.DUMMYFUNCTION("""COMPUTED_VALUE"""),"H9123068005")</f>
        <v>H9123068005</v>
      </c>
      <c r="D460" s="8">
        <f>IFERROR(__xludf.DUMMYFUNCTION("""COMPUTED_VALUE"""),34.0)</f>
        <v>34</v>
      </c>
      <c r="E460" s="2"/>
    </row>
    <row r="461">
      <c r="A461" s="2"/>
      <c r="B461" s="8" t="str">
        <f>IFERROR(__xludf.DUMMYFUNCTION("""COMPUTED_VALUE"""),"NURHAYATI 62")</f>
        <v>NURHAYATI 62</v>
      </c>
      <c r="C461" s="8" t="str">
        <f>IFERROR(__xludf.DUMMYFUNCTION("""COMPUTED_VALUE"""),"N6223068700")</f>
        <v>N6223068700</v>
      </c>
      <c r="D461" s="8">
        <f>IFERROR(__xludf.DUMMYFUNCTION("""COMPUTED_VALUE"""),63.0)</f>
        <v>63</v>
      </c>
      <c r="E461" s="2"/>
    </row>
    <row r="462">
      <c r="A462" s="2"/>
      <c r="B462" s="8" t="str">
        <f>IFERROR(__xludf.DUMMYFUNCTION("""COMPUTED_VALUE"""),"NUR HAYATI 5212")</f>
        <v>NUR HAYATI 5212</v>
      </c>
      <c r="C462" s="8" t="str">
        <f>IFERROR(__xludf.DUMMYFUNCTION("""COMPUTED_VALUE"""),"N5223065524")</f>
        <v>N5223065524</v>
      </c>
      <c r="D462" s="8">
        <f>IFERROR(__xludf.DUMMYFUNCTION("""COMPUTED_VALUE"""),73.0)</f>
        <v>73</v>
      </c>
      <c r="E462" s="2"/>
    </row>
    <row r="463">
      <c r="A463" s="2"/>
      <c r="B463" s="8" t="str">
        <f>IFERROR(__xludf.DUMMYFUNCTION("""COMPUTED_VALUE"""),"WULANDARI GANI")</f>
        <v>WULANDARI GANI</v>
      </c>
      <c r="C463" s="8" t="str">
        <f>IFERROR(__xludf.DUMMYFUNCTION("""COMPUTED_VALUE"""),"W9523060011")</f>
        <v>W9523060011</v>
      </c>
      <c r="D463" s="8">
        <f>IFERROR(__xludf.DUMMYFUNCTION("""COMPUTED_VALUE"""),31.0)</f>
        <v>31</v>
      </c>
      <c r="E463" s="2"/>
    </row>
    <row r="464">
      <c r="A464" s="2"/>
      <c r="B464" s="8" t="str">
        <f>IFERROR(__xludf.DUMMYFUNCTION("""COMPUTED_VALUE"""),"ALVIN ROSANDY")</f>
        <v>ALVIN ROSANDY</v>
      </c>
      <c r="C464" s="8" t="str">
        <f>IFERROR(__xludf.DUMMYFUNCTION("""COMPUTED_VALUE"""),"A9423065183")</f>
        <v>A9423065183</v>
      </c>
      <c r="D464" s="8">
        <f>IFERROR(__xludf.DUMMYFUNCTION("""COMPUTED_VALUE"""),32.0)</f>
        <v>32</v>
      </c>
      <c r="E464" s="2"/>
    </row>
    <row r="465">
      <c r="A465" s="2"/>
      <c r="B465" s="8" t="str">
        <f>IFERROR(__xludf.DUMMYFUNCTION("""COMPUTED_VALUE"""),"SISKA AYU RIYANTI")</f>
        <v>SISKA AYU RIYANTI</v>
      </c>
      <c r="C465" s="8" t="str">
        <f>IFERROR(__xludf.DUMMYFUNCTION("""COMPUTED_VALUE"""),"S9223062300")</f>
        <v>S9223062300</v>
      </c>
      <c r="D465" s="8">
        <f>IFERROR(__xludf.DUMMYFUNCTION("""COMPUTED_VALUE"""),33.0)</f>
        <v>33</v>
      </c>
      <c r="E465" s="2"/>
    </row>
    <row r="466">
      <c r="A466" s="2"/>
      <c r="B466" s="8" t="str">
        <f>IFERROR(__xludf.DUMMYFUNCTION("""COMPUTED_VALUE"""),"RUDY HUMALA LUMBAN RAJA")</f>
        <v>RUDY HUMALA LUMBAN RAJA</v>
      </c>
      <c r="C466" s="8" t="str">
        <f>IFERROR(__xludf.DUMMYFUNCTION("""COMPUTED_VALUE"""),"R7623060675")</f>
        <v>R7623060675</v>
      </c>
      <c r="D466" s="8">
        <f>IFERROR(__xludf.DUMMYFUNCTION("""COMPUTED_VALUE"""),50.0)</f>
        <v>50</v>
      </c>
      <c r="E466" s="2"/>
    </row>
    <row r="467">
      <c r="A467" s="2"/>
      <c r="B467" s="8" t="str">
        <f>IFERROR(__xludf.DUMMYFUNCTION("""COMPUTED_VALUE"""),"DINA SYAFRIDA")</f>
        <v>DINA SYAFRIDA</v>
      </c>
      <c r="C467" s="8" t="str">
        <f>IFERROR(__xludf.DUMMYFUNCTION("""COMPUTED_VALUE"""),"D8023066873")</f>
        <v>D8023066873</v>
      </c>
      <c r="D467" s="8">
        <f>IFERROR(__xludf.DUMMYFUNCTION("""COMPUTED_VALUE"""),46.0)</f>
        <v>46</v>
      </c>
      <c r="E467" s="2"/>
    </row>
    <row r="468">
      <c r="A468" s="2"/>
      <c r="B468" s="8" t="str">
        <f>IFERROR(__xludf.DUMMYFUNCTION("""COMPUTED_VALUE"""),"WACHIED SETIYO POETRA")</f>
        <v>WACHIED SETIYO POETRA</v>
      </c>
      <c r="C468" s="8" t="str">
        <f>IFERROR(__xludf.DUMMYFUNCTION("""COMPUTED_VALUE"""),"W9123066982")</f>
        <v>W9123066982</v>
      </c>
      <c r="D468" s="8">
        <f>IFERROR(__xludf.DUMMYFUNCTION("""COMPUTED_VALUE"""),35.0)</f>
        <v>35</v>
      </c>
      <c r="E468" s="2"/>
    </row>
    <row r="469">
      <c r="A469" s="2"/>
      <c r="B469" s="8" t="str">
        <f>IFERROR(__xludf.DUMMYFUNCTION("""COMPUTED_VALUE"""),"LUQMAN ABDULHAKIM")</f>
        <v>LUQMAN ABDULHAKIM</v>
      </c>
      <c r="C469" s="8" t="str">
        <f>IFERROR(__xludf.DUMMYFUNCTION("""COMPUTED_VALUE"""),"L1423066180")</f>
        <v>L1423066180</v>
      </c>
      <c r="D469" s="8">
        <f>IFERROR(__xludf.DUMMYFUNCTION("""COMPUTED_VALUE"""),12.0)</f>
        <v>12</v>
      </c>
      <c r="E469" s="2"/>
    </row>
    <row r="470">
      <c r="A470" s="2"/>
      <c r="B470" s="8" t="str">
        <f>IFERROR(__xludf.DUMMYFUNCTION("""COMPUTED_VALUE"""),"IWAN SETIAWAN0505")</f>
        <v>IWAN SETIAWAN0505</v>
      </c>
      <c r="C470" s="8" t="str">
        <f>IFERROR(__xludf.DUMMYFUNCTION("""COMPUTED_VALUE"""),"I0523068702")</f>
        <v>I0523068702</v>
      </c>
      <c r="D470" s="8">
        <f>IFERROR(__xludf.DUMMYFUNCTION("""COMPUTED_VALUE"""),21.0)</f>
        <v>21</v>
      </c>
      <c r="E470" s="2"/>
    </row>
    <row r="471">
      <c r="A471" s="2"/>
      <c r="B471" s="8" t="str">
        <f>IFERROR(__xludf.DUMMYFUNCTION("""COMPUTED_VALUE"""),"SUWANDI PUTRA LUSLIM")</f>
        <v>SUWANDI PUTRA LUSLIM</v>
      </c>
      <c r="C471" s="8" t="str">
        <f>IFERROR(__xludf.DUMMYFUNCTION("""COMPUTED_VALUE"""),"S9123068899")</f>
        <v>S9123068899</v>
      </c>
      <c r="D471" s="8">
        <f>IFERROR(__xludf.DUMMYFUNCTION("""COMPUTED_VALUE"""),34.0)</f>
        <v>34</v>
      </c>
      <c r="E471" s="2"/>
    </row>
    <row r="472">
      <c r="A472" s="2"/>
      <c r="B472" s="8" t="str">
        <f>IFERROR(__xludf.DUMMYFUNCTION("""COMPUTED_VALUE"""),"SITI NURBAYA")</f>
        <v>SITI NURBAYA</v>
      </c>
      <c r="C472" s="8" t="str">
        <f>IFERROR(__xludf.DUMMYFUNCTION("""COMPUTED_VALUE"""),"S7323061995")</f>
        <v>S7323061995</v>
      </c>
      <c r="D472" s="8">
        <f>IFERROR(__xludf.DUMMYFUNCTION("""COMPUTED_VALUE"""),52.0)</f>
        <v>52</v>
      </c>
      <c r="E472" s="2"/>
    </row>
    <row r="473">
      <c r="A473" s="2"/>
      <c r="B473" s="8" t="str">
        <f>IFERROR(__xludf.DUMMYFUNCTION("""COMPUTED_VALUE"""),"JOKO AKBAR")</f>
        <v>JOKO AKBAR</v>
      </c>
      <c r="C473" s="8" t="str">
        <f>IFERROR(__xludf.DUMMYFUNCTION("""COMPUTED_VALUE"""),"J9423062216")</f>
        <v>J9423062216</v>
      </c>
      <c r="D473" s="8">
        <f>IFERROR(__xludf.DUMMYFUNCTION("""COMPUTED_VALUE"""),32.0)</f>
        <v>32</v>
      </c>
      <c r="E473" s="2"/>
    </row>
    <row r="474">
      <c r="A474" s="2"/>
      <c r="B474" s="8" t="str">
        <f>IFERROR(__xludf.DUMMYFUNCTION("""COMPUTED_VALUE"""),"NABILLA ARUM SEPTIRANI")</f>
        <v>NABILLA ARUM SEPTIRANI</v>
      </c>
      <c r="C474" s="8" t="str">
        <f>IFERROR(__xludf.DUMMYFUNCTION("""COMPUTED_VALUE"""),"N9523069353")</f>
        <v>N9523069353</v>
      </c>
      <c r="D474" s="8">
        <f>IFERROR(__xludf.DUMMYFUNCTION("""COMPUTED_VALUE"""),30.0)</f>
        <v>30</v>
      </c>
      <c r="E474" s="2"/>
    </row>
    <row r="475">
      <c r="A475" s="2"/>
      <c r="B475" s="8" t="str">
        <f>IFERROR(__xludf.DUMMYFUNCTION("""COMPUTED_VALUE"""),"RONY PRATAMA")</f>
        <v>RONY PRATAMA</v>
      </c>
      <c r="C475" s="8" t="str">
        <f>IFERROR(__xludf.DUMMYFUNCTION("""COMPUTED_VALUE"""),"R9423060619")</f>
        <v>R9423060619</v>
      </c>
      <c r="D475" s="8">
        <f>IFERROR(__xludf.DUMMYFUNCTION("""COMPUTED_VALUE"""),32.0)</f>
        <v>32</v>
      </c>
      <c r="E475" s="2"/>
    </row>
    <row r="476">
      <c r="A476" s="2"/>
      <c r="B476" s="8" t="str">
        <f>IFERROR(__xludf.DUMMYFUNCTION("""COMPUTED_VALUE"""),"MUHAMMAD FALATEHAN")</f>
        <v>MUHAMMAD FALATEHAN</v>
      </c>
      <c r="C476" s="8" t="str">
        <f>IFERROR(__xludf.DUMMYFUNCTION("""COMPUTED_VALUE"""),"M0623062755")</f>
        <v>M0623062755</v>
      </c>
      <c r="D476" s="8">
        <f>IFERROR(__xludf.DUMMYFUNCTION("""COMPUTED_VALUE"""),20.0)</f>
        <v>20</v>
      </c>
      <c r="E476" s="2"/>
    </row>
    <row r="477">
      <c r="A477" s="2"/>
      <c r="B477" s="8" t="str">
        <f>IFERROR(__xludf.DUMMYFUNCTION("""COMPUTED_VALUE"""),"YEPI ROHIMAN")</f>
        <v>YEPI ROHIMAN</v>
      </c>
      <c r="C477" s="8" t="str">
        <f>IFERROR(__xludf.DUMMYFUNCTION("""COMPUTED_VALUE"""),"Y9123064783")</f>
        <v>Y9123064783</v>
      </c>
      <c r="D477" s="8">
        <f>IFERROR(__xludf.DUMMYFUNCTION("""COMPUTED_VALUE"""),35.0)</f>
        <v>35</v>
      </c>
      <c r="E477" s="2"/>
    </row>
    <row r="478">
      <c r="A478" s="2"/>
      <c r="B478" s="8" t="str">
        <f>IFERROR(__xludf.DUMMYFUNCTION("""COMPUTED_VALUE"""),"ISTIQAMAH")</f>
        <v>ISTIQAMAH</v>
      </c>
      <c r="C478" s="8" t="str">
        <f>IFERROR(__xludf.DUMMYFUNCTION("""COMPUTED_VALUE"""),"I8423066633")</f>
        <v>I8423066633</v>
      </c>
      <c r="D478" s="8">
        <f>IFERROR(__xludf.DUMMYFUNCTION("""COMPUTED_VALUE"""),41.0)</f>
        <v>41</v>
      </c>
      <c r="E478" s="2"/>
    </row>
    <row r="479">
      <c r="A479" s="2"/>
      <c r="B479" s="8" t="str">
        <f>IFERROR(__xludf.DUMMYFUNCTION("""COMPUTED_VALUE"""),"ALFI ZIKRIL RAKHMADI")</f>
        <v>ALFI ZIKRIL RAKHMADI</v>
      </c>
      <c r="C479" s="8" t="str">
        <f>IFERROR(__xludf.DUMMYFUNCTION("""COMPUTED_VALUE"""),"A0523069035")</f>
        <v>A0523069035</v>
      </c>
      <c r="D479" s="8">
        <f>IFERROR(__xludf.DUMMYFUNCTION("""COMPUTED_VALUE"""),21.0)</f>
        <v>21</v>
      </c>
      <c r="E479" s="2"/>
    </row>
    <row r="480">
      <c r="A480" s="2"/>
      <c r="B480" s="8" t="str">
        <f>IFERROR(__xludf.DUMMYFUNCTION("""COMPUTED_VALUE"""),"ANUGRAH DESWARI")</f>
        <v>ANUGRAH DESWARI</v>
      </c>
      <c r="C480" s="8" t="str">
        <f>IFERROR(__xludf.DUMMYFUNCTION("""COMPUTED_VALUE"""),"A9323060943")</f>
        <v>A9323060943</v>
      </c>
      <c r="D480" s="8">
        <f>IFERROR(__xludf.DUMMYFUNCTION("""COMPUTED_VALUE"""),32.0)</f>
        <v>32</v>
      </c>
      <c r="E480" s="2"/>
    </row>
    <row r="481">
      <c r="A481" s="2"/>
      <c r="B481" s="8" t="str">
        <f>IFERROR(__xludf.DUMMYFUNCTION("""COMPUTED_VALUE"""),"MUNAWAR FUADI")</f>
        <v>MUNAWAR FUADI</v>
      </c>
      <c r="C481" s="8" t="str">
        <f>IFERROR(__xludf.DUMMYFUNCTION("""COMPUTED_VALUE"""),"M8023069480")</f>
        <v>M8023069480</v>
      </c>
      <c r="D481" s="8">
        <f>IFERROR(__xludf.DUMMYFUNCTION("""COMPUTED_VALUE"""),46.0)</f>
        <v>46</v>
      </c>
      <c r="E481" s="2"/>
    </row>
    <row r="482">
      <c r="A482" s="2"/>
      <c r="B482" s="8" t="str">
        <f>IFERROR(__xludf.DUMMYFUNCTION("""COMPUTED_VALUE"""),"NADYA FIRDASARI")</f>
        <v>NADYA FIRDASARI</v>
      </c>
      <c r="C482" s="8" t="str">
        <f>IFERROR(__xludf.DUMMYFUNCTION("""COMPUTED_VALUE"""),"N1023066868")</f>
        <v>N1023066868</v>
      </c>
      <c r="D482" s="8">
        <f>IFERROR(__xludf.DUMMYFUNCTION("""COMPUTED_VALUE"""),16.0)</f>
        <v>16</v>
      </c>
      <c r="E482" s="2"/>
    </row>
    <row r="483">
      <c r="A483" s="2"/>
      <c r="B483" s="8" t="str">
        <f>IFERROR(__xludf.DUMMYFUNCTION("""COMPUTED_VALUE"""),"PARAMITHA AFI")</f>
        <v>PARAMITHA AFI</v>
      </c>
      <c r="C483" s="8" t="str">
        <f>IFERROR(__xludf.DUMMYFUNCTION("""COMPUTED_VALUE"""),"P9423061035")</f>
        <v>P9423061035</v>
      </c>
      <c r="D483" s="8">
        <f>IFERROR(__xludf.DUMMYFUNCTION("""COMPUTED_VALUE"""),32.0)</f>
        <v>32</v>
      </c>
      <c r="E483" s="2"/>
    </row>
    <row r="484">
      <c r="A484" s="2"/>
      <c r="B484" s="8" t="str">
        <f>IFERROR(__xludf.DUMMYFUNCTION("""COMPUTED_VALUE"""),"MUHAMMAD ALDO N'DITI")</f>
        <v>MUHAMMAD ALDO N'DITI</v>
      </c>
      <c r="C484" s="8" t="str">
        <f>IFERROR(__xludf.DUMMYFUNCTION("""COMPUTED_VALUE"""),"M9723060071")</f>
        <v>M9723060071</v>
      </c>
      <c r="D484" s="8">
        <f>IFERROR(__xludf.DUMMYFUNCTION("""COMPUTED_VALUE"""),29.0)</f>
        <v>29</v>
      </c>
      <c r="E484" s="2"/>
    </row>
    <row r="485">
      <c r="A485" s="2"/>
      <c r="B485" s="8" t="str">
        <f>IFERROR(__xludf.DUMMYFUNCTION("""COMPUTED_VALUE"""),"SYARIF ZULFAN ADHA")</f>
        <v>SYARIF ZULFAN ADHA</v>
      </c>
      <c r="C485" s="8" t="str">
        <f>IFERROR(__xludf.DUMMYFUNCTION("""COMPUTED_VALUE"""),"S9823066329")</f>
        <v>S9823066329</v>
      </c>
      <c r="D485" s="8">
        <f>IFERROR(__xludf.DUMMYFUNCTION("""COMPUTED_VALUE"""),28.0)</f>
        <v>28</v>
      </c>
      <c r="E485" s="2"/>
    </row>
    <row r="486">
      <c r="A486" s="2"/>
      <c r="B486" s="8" t="str">
        <f>IFERROR(__xludf.DUMMYFUNCTION("""COMPUTED_VALUE"""),"ANDI KHALISA SULTAN")</f>
        <v>ANDI KHALISA SULTAN</v>
      </c>
      <c r="C486" s="8" t="str">
        <f>IFERROR(__xludf.DUMMYFUNCTION("""COMPUTED_VALUE"""),"A0423061046")</f>
        <v>A0423061046</v>
      </c>
      <c r="D486" s="8">
        <f>IFERROR(__xludf.DUMMYFUNCTION("""COMPUTED_VALUE"""),21.0)</f>
        <v>21</v>
      </c>
      <c r="E486" s="2"/>
    </row>
    <row r="487">
      <c r="A487" s="2"/>
      <c r="B487" s="8" t="str">
        <f>IFERROR(__xludf.DUMMYFUNCTION("""COMPUTED_VALUE"""),"SUPARNO")</f>
        <v>SUPARNO</v>
      </c>
      <c r="C487" s="8" t="str">
        <f>IFERROR(__xludf.DUMMYFUNCTION("""COMPUTED_VALUE"""),"S6523066234")</f>
        <v>S6523066234</v>
      </c>
      <c r="D487" s="8">
        <f>IFERROR(__xludf.DUMMYFUNCTION("""COMPUTED_VALUE"""),60.0)</f>
        <v>60</v>
      </c>
      <c r="E487" s="2"/>
    </row>
    <row r="488">
      <c r="A488" s="2"/>
      <c r="B488" s="8" t="str">
        <f>IFERROR(__xludf.DUMMYFUNCTION("""COMPUTED_VALUE"""),"DIAN PRAHARSA")</f>
        <v>DIAN PRAHARSA</v>
      </c>
      <c r="C488" s="8" t="str">
        <f>IFERROR(__xludf.DUMMYFUNCTION("""COMPUTED_VALUE"""),"D8423065166")</f>
        <v>D8423065166</v>
      </c>
      <c r="D488" s="8">
        <f>IFERROR(__xludf.DUMMYFUNCTION("""COMPUTED_VALUE"""),42.0)</f>
        <v>42</v>
      </c>
      <c r="E488" s="2"/>
    </row>
    <row r="489">
      <c r="A489" s="2"/>
      <c r="B489" s="8" t="str">
        <f>IFERROR(__xludf.DUMMYFUNCTION("""COMPUTED_VALUE"""),"PASKALIS NIKO SAPUTRA")</f>
        <v>PASKALIS NIKO SAPUTRA</v>
      </c>
      <c r="C489" s="8" t="str">
        <f>IFERROR(__xludf.DUMMYFUNCTION("""COMPUTED_VALUE"""),"P9623063588")</f>
        <v>P9623063588</v>
      </c>
      <c r="D489" s="8">
        <f>IFERROR(__xludf.DUMMYFUNCTION("""COMPUTED_VALUE"""),30.0)</f>
        <v>30</v>
      </c>
      <c r="E489" s="2"/>
    </row>
    <row r="490">
      <c r="A490" s="2"/>
      <c r="B490" s="8" t="str">
        <f>IFERROR(__xludf.DUMMYFUNCTION("""COMPUTED_VALUE"""),"BERLINSON")</f>
        <v>BERLINSON</v>
      </c>
      <c r="C490" s="8" t="str">
        <f>IFERROR(__xludf.DUMMYFUNCTION("""COMPUTED_VALUE"""),"B6023061946")</f>
        <v>B6023061946</v>
      </c>
      <c r="D490" s="8">
        <f>IFERROR(__xludf.DUMMYFUNCTION("""COMPUTED_VALUE"""),66.0)</f>
        <v>66</v>
      </c>
      <c r="E490" s="2"/>
    </row>
    <row r="491">
      <c r="A491" s="2"/>
      <c r="B491" s="8" t="str">
        <f>IFERROR(__xludf.DUMMYFUNCTION("""COMPUTED_VALUE"""),"HENDY GUNTUR SAPUTRA")</f>
        <v>HENDY GUNTUR SAPUTRA</v>
      </c>
      <c r="C491" s="8" t="str">
        <f>IFERROR(__xludf.DUMMYFUNCTION("""COMPUTED_VALUE"""),"H9323072147")</f>
        <v>H9323072147</v>
      </c>
      <c r="D491" s="8">
        <f>IFERROR(__xludf.DUMMYFUNCTION("""COMPUTED_VALUE"""),33.0)</f>
        <v>33</v>
      </c>
      <c r="E491" s="2"/>
    </row>
    <row r="492">
      <c r="A492" s="2"/>
      <c r="B492" s="8" t="str">
        <f>IFERROR(__xludf.DUMMYFUNCTION("""COMPUTED_VALUE"""),"MUHAMMAD ILMAM FAQIH")</f>
        <v>MUHAMMAD ILMAM FAQIH</v>
      </c>
      <c r="C492" s="8" t="str">
        <f>IFERROR(__xludf.DUMMYFUNCTION("""COMPUTED_VALUE"""),"M9523071888")</f>
        <v>M9523071888</v>
      </c>
      <c r="D492" s="8">
        <f>IFERROR(__xludf.DUMMYFUNCTION("""COMPUTED_VALUE"""),31.0)</f>
        <v>31</v>
      </c>
      <c r="E492" s="2"/>
    </row>
    <row r="493">
      <c r="A493" s="2"/>
      <c r="B493" s="8" t="str">
        <f>IFERROR(__xludf.DUMMYFUNCTION("""COMPUTED_VALUE"""),"DEDI HALIM")</f>
        <v>DEDI HALIM</v>
      </c>
      <c r="C493" s="8" t="str">
        <f>IFERROR(__xludf.DUMMYFUNCTION("""COMPUTED_VALUE"""),"D8023070180")</f>
        <v>D8023070180</v>
      </c>
      <c r="D493" s="8">
        <f>IFERROR(__xludf.DUMMYFUNCTION("""COMPUTED_VALUE"""),46.0)</f>
        <v>46</v>
      </c>
      <c r="E493" s="2"/>
    </row>
    <row r="494">
      <c r="A494" s="2"/>
      <c r="B494" s="8" t="str">
        <f>IFERROR(__xludf.DUMMYFUNCTION("""COMPUTED_VALUE"""),"FIRDASIAH")</f>
        <v>FIRDASIAH</v>
      </c>
      <c r="C494" s="8" t="str">
        <f>IFERROR(__xludf.DUMMYFUNCTION("""COMPUTED_VALUE"""),"F7323076334")</f>
        <v>F7323076334</v>
      </c>
      <c r="D494" s="8">
        <f>IFERROR(__xludf.DUMMYFUNCTION("""COMPUTED_VALUE"""),53.0)</f>
        <v>53</v>
      </c>
      <c r="E494" s="2"/>
    </row>
    <row r="495">
      <c r="A495" s="2"/>
      <c r="B495" s="8" t="str">
        <f>IFERROR(__xludf.DUMMYFUNCTION("""COMPUTED_VALUE"""),"JUSTIN EUGENE NATHANIEL")</f>
        <v>JUSTIN EUGENE NATHANIEL</v>
      </c>
      <c r="C495" s="8" t="str">
        <f>IFERROR(__xludf.DUMMYFUNCTION("""COMPUTED_VALUE"""),"J0623073744")</f>
        <v>J0623073744</v>
      </c>
      <c r="D495" s="8">
        <f>IFERROR(__xludf.DUMMYFUNCTION("""COMPUTED_VALUE"""),19.0)</f>
        <v>19</v>
      </c>
      <c r="E495" s="2"/>
    </row>
    <row r="496">
      <c r="A496" s="2"/>
      <c r="B496" s="8" t="str">
        <f>IFERROR(__xludf.DUMMYFUNCTION("""COMPUTED_VALUE"""),"NUGRAHA KWARTAMA")</f>
        <v>NUGRAHA KWARTAMA</v>
      </c>
      <c r="C496" s="8" t="str">
        <f>IFERROR(__xludf.DUMMYFUNCTION("""COMPUTED_VALUE"""),"N8723073000")</f>
        <v>N8723073000</v>
      </c>
      <c r="D496" s="8">
        <f>IFERROR(__xludf.DUMMYFUNCTION("""COMPUTED_VALUE"""),38.0)</f>
        <v>38</v>
      </c>
      <c r="E496" s="2"/>
    </row>
    <row r="497">
      <c r="A497" s="2"/>
      <c r="B497" s="8" t="str">
        <f>IFERROR(__xludf.DUMMYFUNCTION("""COMPUTED_VALUE"""),"LITTA CHRISTINA PATTIPEILOHY")</f>
        <v>LITTA CHRISTINA PATTIPEILOHY</v>
      </c>
      <c r="C497" s="8" t="str">
        <f>IFERROR(__xludf.DUMMYFUNCTION("""COMPUTED_VALUE"""),"L8923073313")</f>
        <v>L8923073313</v>
      </c>
      <c r="D497" s="8">
        <f>IFERROR(__xludf.DUMMYFUNCTION("""COMPUTED_VALUE"""),37.0)</f>
        <v>37</v>
      </c>
      <c r="E497" s="2"/>
    </row>
    <row r="498">
      <c r="A498" s="2"/>
      <c r="B498" s="8" t="str">
        <f>IFERROR(__xludf.DUMMYFUNCTION("""COMPUTED_VALUE"""),"MULYANI")</f>
        <v>MULYANI</v>
      </c>
      <c r="C498" s="8" t="str">
        <f>IFERROR(__xludf.DUMMYFUNCTION("""COMPUTED_VALUE"""),"M6823070309")</f>
        <v>M6823070309</v>
      </c>
      <c r="D498" s="8">
        <f>IFERROR(__xludf.DUMMYFUNCTION("""COMPUTED_VALUE"""),57.0)</f>
        <v>57</v>
      </c>
      <c r="E498" s="2"/>
    </row>
    <row r="499">
      <c r="A499" s="2"/>
      <c r="B499" s="8" t="str">
        <f>IFERROR(__xludf.DUMMYFUNCTION("""COMPUTED_VALUE"""),"FIKRI")</f>
        <v>FIKRI</v>
      </c>
      <c r="C499" s="8" t="str">
        <f>IFERROR(__xludf.DUMMYFUNCTION("""COMPUTED_VALUE"""),"F9823079796")</f>
        <v>F9823079796</v>
      </c>
      <c r="D499" s="8">
        <f>IFERROR(__xludf.DUMMYFUNCTION("""COMPUTED_VALUE"""),28.0)</f>
        <v>28</v>
      </c>
      <c r="E499" s="2"/>
    </row>
    <row r="500">
      <c r="A500" s="2"/>
      <c r="B500" s="8" t="str">
        <f>IFERROR(__xludf.DUMMYFUNCTION("""COMPUTED_VALUE"""),"AI LIE")</f>
        <v>AI LIE</v>
      </c>
      <c r="C500" s="8" t="str">
        <f>IFERROR(__xludf.DUMMYFUNCTION("""COMPUTED_VALUE"""),"A6523075669")</f>
        <v>A6523075669</v>
      </c>
      <c r="D500" s="8">
        <f>IFERROR(__xludf.DUMMYFUNCTION("""COMPUTED_VALUE"""),61.0)</f>
        <v>61</v>
      </c>
      <c r="E500" s="2"/>
    </row>
    <row r="501">
      <c r="A501" s="2"/>
      <c r="B501" s="8" t="str">
        <f>IFERROR(__xludf.DUMMYFUNCTION("""COMPUTED_VALUE"""),"SUPRIATIN")</f>
        <v>SUPRIATIN</v>
      </c>
      <c r="C501" s="8" t="str">
        <f>IFERROR(__xludf.DUMMYFUNCTION("""COMPUTED_VALUE"""),"S7023074396")</f>
        <v>S7023074396</v>
      </c>
      <c r="D501" s="8">
        <f>IFERROR(__xludf.DUMMYFUNCTION("""COMPUTED_VALUE"""),55.0)</f>
        <v>55</v>
      </c>
      <c r="E501" s="2"/>
    </row>
    <row r="502">
      <c r="A502" s="2"/>
      <c r="B502" s="8" t="str">
        <f>IFERROR(__xludf.DUMMYFUNCTION("""COMPUTED_VALUE"""),"DINDA PUSVITA")</f>
        <v>DINDA PUSVITA</v>
      </c>
      <c r="C502" s="8" t="str">
        <f>IFERROR(__xludf.DUMMYFUNCTION("""COMPUTED_VALUE"""),"D0123070800")</f>
        <v>D0123070800</v>
      </c>
      <c r="D502" s="8">
        <f>IFERROR(__xludf.DUMMYFUNCTION("""COMPUTED_VALUE"""),25.0)</f>
        <v>25</v>
      </c>
      <c r="E502" s="2"/>
    </row>
    <row r="503">
      <c r="A503" s="2"/>
      <c r="B503" s="8" t="str">
        <f>IFERROR(__xludf.DUMMYFUNCTION("""COMPUTED_VALUE"""),"JUANITA MAULIDYA")</f>
        <v>JUANITA MAULIDYA</v>
      </c>
      <c r="C503" s="8" t="str">
        <f>IFERROR(__xludf.DUMMYFUNCTION("""COMPUTED_VALUE"""),"J7223074484")</f>
        <v>J7223074484</v>
      </c>
      <c r="D503" s="8">
        <f>IFERROR(__xludf.DUMMYFUNCTION("""COMPUTED_VALUE"""),54.0)</f>
        <v>54</v>
      </c>
      <c r="E503" s="2"/>
    </row>
    <row r="504">
      <c r="A504" s="2"/>
      <c r="B504" s="8" t="str">
        <f>IFERROR(__xludf.DUMMYFUNCTION("""COMPUTED_VALUE"""),"JULSENT")</f>
        <v>JULSENT</v>
      </c>
      <c r="C504" s="8" t="str">
        <f>IFERROR(__xludf.DUMMYFUNCTION("""COMPUTED_VALUE"""),"J9523076006")</f>
        <v>J9523076006</v>
      </c>
      <c r="D504" s="8">
        <f>IFERROR(__xludf.DUMMYFUNCTION("""COMPUTED_VALUE"""),31.0)</f>
        <v>31</v>
      </c>
      <c r="E504" s="2"/>
    </row>
    <row r="505">
      <c r="A505" s="2"/>
      <c r="B505" s="8" t="str">
        <f>IFERROR(__xludf.DUMMYFUNCTION("""COMPUTED_VALUE"""),"LENA YOVITA")</f>
        <v>LENA YOVITA</v>
      </c>
      <c r="C505" s="8" t="str">
        <f>IFERROR(__xludf.DUMMYFUNCTION("""COMPUTED_VALUE"""),"L7223073992")</f>
        <v>L7223073992</v>
      </c>
      <c r="D505" s="8">
        <f>IFERROR(__xludf.DUMMYFUNCTION("""COMPUTED_VALUE"""),54.0)</f>
        <v>54</v>
      </c>
      <c r="E505" s="2"/>
    </row>
    <row r="506">
      <c r="A506" s="2"/>
      <c r="B506" s="8" t="str">
        <f>IFERROR(__xludf.DUMMYFUNCTION("""COMPUTED_VALUE"""),"SARLESBURY MONCAL S.SOA")</f>
        <v>SARLESBURY MONCAL S.SOA</v>
      </c>
      <c r="C506" s="8" t="str">
        <f>IFERROR(__xludf.DUMMYFUNCTION("""COMPUTED_VALUE"""),"S8023071119")</f>
        <v>S8023071119</v>
      </c>
      <c r="D506" s="8">
        <f>IFERROR(__xludf.DUMMYFUNCTION("""COMPUTED_VALUE"""),45.0)</f>
        <v>45</v>
      </c>
      <c r="E506" s="2"/>
    </row>
    <row r="507">
      <c r="A507" s="2"/>
      <c r="B507" s="8" t="str">
        <f>IFERROR(__xludf.DUMMYFUNCTION("""COMPUTED_VALUE"""),"JASMIN CHAIRYAH")</f>
        <v>JASMIN CHAIRYAH</v>
      </c>
      <c r="C507" s="8" t="str">
        <f>IFERROR(__xludf.DUMMYFUNCTION("""COMPUTED_VALUE"""),"J9223078684")</f>
        <v>J9223078684</v>
      </c>
      <c r="D507" s="8">
        <f>IFERROR(__xludf.DUMMYFUNCTION("""COMPUTED_VALUE"""),34.0)</f>
        <v>34</v>
      </c>
      <c r="E507" s="2"/>
    </row>
    <row r="508">
      <c r="A508" s="2"/>
      <c r="B508" s="8" t="str">
        <f>IFERROR(__xludf.DUMMYFUNCTION("""COMPUTED_VALUE"""),"NABIL FATHIR MAHENDRA")</f>
        <v>NABIL FATHIR MAHENDRA</v>
      </c>
      <c r="C508" s="8" t="str">
        <f>IFERROR(__xludf.DUMMYFUNCTION("""COMPUTED_VALUE"""),"N0923071899")</f>
        <v>N0923071899</v>
      </c>
      <c r="D508" s="8">
        <f>IFERROR(__xludf.DUMMYFUNCTION("""COMPUTED_VALUE"""),16.0)</f>
        <v>16</v>
      </c>
      <c r="E508" s="2"/>
    </row>
    <row r="509">
      <c r="A509" s="2"/>
      <c r="B509" s="8" t="str">
        <f>IFERROR(__xludf.DUMMYFUNCTION("""COMPUTED_VALUE"""),"FUJI TULUS RANDELA")</f>
        <v>FUJI TULUS RANDELA</v>
      </c>
      <c r="C509" s="8" t="str">
        <f>IFERROR(__xludf.DUMMYFUNCTION("""COMPUTED_VALUE"""),"F8723077536")</f>
        <v>F8723077536</v>
      </c>
      <c r="D509" s="8">
        <f>IFERROR(__xludf.DUMMYFUNCTION("""COMPUTED_VALUE"""),39.0)</f>
        <v>39</v>
      </c>
      <c r="E509" s="2"/>
    </row>
    <row r="510">
      <c r="A510" s="2"/>
      <c r="B510" s="8" t="str">
        <f>IFERROR(__xludf.DUMMYFUNCTION("""COMPUTED_VALUE"""),"WAHONO 6001")</f>
        <v>WAHONO 6001</v>
      </c>
      <c r="C510" s="8" t="str">
        <f>IFERROR(__xludf.DUMMYFUNCTION("""COMPUTED_VALUE"""),"W6023073645")</f>
        <v>W6023073645</v>
      </c>
      <c r="D510" s="8">
        <f>IFERROR(__xludf.DUMMYFUNCTION("""COMPUTED_VALUE"""),66.0)</f>
        <v>66</v>
      </c>
      <c r="E510" s="2"/>
    </row>
    <row r="511">
      <c r="A511" s="2"/>
      <c r="B511" s="8" t="str">
        <f>IFERROR(__xludf.DUMMYFUNCTION("""COMPUTED_VALUE"""),"ANGGI KUSUMA")</f>
        <v>ANGGI KUSUMA</v>
      </c>
      <c r="C511" s="8" t="str">
        <f>IFERROR(__xludf.DUMMYFUNCTION("""COMPUTED_VALUE"""),"A8823073845")</f>
        <v>A8823073845</v>
      </c>
      <c r="D511" s="8">
        <f>IFERROR(__xludf.DUMMYFUNCTION("""COMPUTED_VALUE"""),38.0)</f>
        <v>38</v>
      </c>
      <c r="E511" s="2"/>
    </row>
    <row r="512">
      <c r="A512" s="2"/>
      <c r="B512" s="8" t="str">
        <f>IFERROR(__xludf.DUMMYFUNCTION("""COMPUTED_VALUE"""),"URAI TOBY ABDILLAH")</f>
        <v>URAI TOBY ABDILLAH</v>
      </c>
      <c r="C512" s="8" t="str">
        <f>IFERROR(__xludf.DUMMYFUNCTION("""COMPUTED_VALUE"""),"U1223076211")</f>
        <v>U1223076211</v>
      </c>
      <c r="D512" s="8">
        <f>IFERROR(__xludf.DUMMYFUNCTION("""COMPUTED_VALUE"""),13.0)</f>
        <v>13</v>
      </c>
      <c r="E512" s="2"/>
    </row>
    <row r="513">
      <c r="A513" s="2"/>
      <c r="B513" s="8" t="str">
        <f>IFERROR(__xludf.DUMMYFUNCTION("""COMPUTED_VALUE"""),"MUHAMMAD RAVI MAULANA")</f>
        <v>MUHAMMAD RAVI MAULANA</v>
      </c>
      <c r="C513" s="8" t="str">
        <f>IFERROR(__xludf.DUMMYFUNCTION("""COMPUTED_VALUE"""),"M0323079100")</f>
        <v>M0323079100</v>
      </c>
      <c r="D513" s="8">
        <f>IFERROR(__xludf.DUMMYFUNCTION("""COMPUTED_VALUE"""),23.0)</f>
        <v>23</v>
      </c>
      <c r="E513" s="2"/>
    </row>
    <row r="514">
      <c r="A514" s="2"/>
      <c r="B514" s="8" t="str">
        <f>IFERROR(__xludf.DUMMYFUNCTION("""COMPUTED_VALUE"""),"PUTRI SEPTIANI")</f>
        <v>PUTRI SEPTIANI</v>
      </c>
      <c r="C514" s="8" t="str">
        <f>IFERROR(__xludf.DUMMYFUNCTION("""COMPUTED_VALUE"""),"P0323077573")</f>
        <v>P0323077573</v>
      </c>
      <c r="D514" s="8">
        <f>IFERROR(__xludf.DUMMYFUNCTION("""COMPUTED_VALUE"""),22.0)</f>
        <v>22</v>
      </c>
      <c r="E514" s="2"/>
    </row>
    <row r="515">
      <c r="A515" s="2"/>
      <c r="B515" s="8" t="str">
        <f>IFERROR(__xludf.DUMMYFUNCTION("""COMPUTED_VALUE"""),"BARIZ NABHAN PUTRA HARDYAN")</f>
        <v>BARIZ NABHAN PUTRA HARDYAN</v>
      </c>
      <c r="C515" s="8" t="str">
        <f>IFERROR(__xludf.DUMMYFUNCTION("""COMPUTED_VALUE"""),"B0623075121")</f>
        <v>B0623075121</v>
      </c>
      <c r="D515" s="8">
        <f>IFERROR(__xludf.DUMMYFUNCTION("""COMPUTED_VALUE"""),20.0)</f>
        <v>20</v>
      </c>
      <c r="E515" s="2"/>
    </row>
    <row r="516">
      <c r="A516" s="2"/>
      <c r="B516" s="8" t="str">
        <f>IFERROR(__xludf.DUMMYFUNCTION("""COMPUTED_VALUE"""),"LIU YULIANTI")</f>
        <v>LIU YULIANTI</v>
      </c>
      <c r="C516" s="8" t="str">
        <f>IFERROR(__xludf.DUMMYFUNCTION("""COMPUTED_VALUE"""),"L8623076060")</f>
        <v>L8623076060</v>
      </c>
      <c r="D516" s="8">
        <f>IFERROR(__xludf.DUMMYFUNCTION("""COMPUTED_VALUE"""),40.0)</f>
        <v>40</v>
      </c>
      <c r="E516" s="2"/>
    </row>
    <row r="517">
      <c r="A517" s="2"/>
      <c r="B517" s="8" t="str">
        <f>IFERROR(__xludf.DUMMYFUNCTION("""COMPUTED_VALUE"""),"RIRZKI AMANDA")</f>
        <v>RIRZKI AMANDA</v>
      </c>
      <c r="C517" s="8" t="str">
        <f>IFERROR(__xludf.DUMMYFUNCTION("""COMPUTED_VALUE"""),"R9023070027")</f>
        <v>R9023070027</v>
      </c>
      <c r="D517" s="8">
        <f>IFERROR(__xludf.DUMMYFUNCTION("""COMPUTED_VALUE"""),36.0)</f>
        <v>36</v>
      </c>
      <c r="E517" s="2"/>
    </row>
    <row r="518">
      <c r="A518" s="2"/>
      <c r="B518" s="8" t="str">
        <f>IFERROR(__xludf.DUMMYFUNCTION("""COMPUTED_VALUE"""),"RIZTIO NOVAN PRATOMO")</f>
        <v>RIZTIO NOVAN PRATOMO</v>
      </c>
      <c r="C518" s="8" t="str">
        <f>IFERROR(__xludf.DUMMYFUNCTION("""COMPUTED_VALUE"""),"R9123077213")</f>
        <v>R9123077213</v>
      </c>
      <c r="D518" s="8">
        <f>IFERROR(__xludf.DUMMYFUNCTION("""COMPUTED_VALUE"""),34.0)</f>
        <v>34</v>
      </c>
      <c r="E518" s="2"/>
    </row>
    <row r="519">
      <c r="A519" s="2"/>
      <c r="B519" s="8" t="str">
        <f>IFERROR(__xludf.DUMMYFUNCTION("""COMPUTED_VALUE"""),"MOSES AHIE")</f>
        <v>MOSES AHIE</v>
      </c>
      <c r="C519" s="8" t="str">
        <f>IFERROR(__xludf.DUMMYFUNCTION("""COMPUTED_VALUE"""),"M5623071188")</f>
        <v>M5623071188</v>
      </c>
      <c r="D519" s="8">
        <f>IFERROR(__xludf.DUMMYFUNCTION("""COMPUTED_VALUE"""),70.0)</f>
        <v>70</v>
      </c>
      <c r="E519" s="2"/>
    </row>
    <row r="520">
      <c r="A520" s="2"/>
      <c r="B520" s="8" t="str">
        <f>IFERROR(__xludf.DUMMYFUNCTION("""COMPUTED_VALUE"""),"DEWI ARTIKA")</f>
        <v>DEWI ARTIKA</v>
      </c>
      <c r="C520" s="8" t="str">
        <f>IFERROR(__xludf.DUMMYFUNCTION("""COMPUTED_VALUE"""),"D7923079767")</f>
        <v>D7923079767</v>
      </c>
      <c r="D520" s="8">
        <f>IFERROR(__xludf.DUMMYFUNCTION("""COMPUTED_VALUE"""),46.0)</f>
        <v>46</v>
      </c>
      <c r="E520" s="2"/>
    </row>
    <row r="521">
      <c r="A521" s="2"/>
      <c r="B521" s="8" t="str">
        <f>IFERROR(__xludf.DUMMYFUNCTION("""COMPUTED_VALUE"""),"AGATHA ARCADIA")</f>
        <v>AGATHA ARCADIA</v>
      </c>
      <c r="C521" s="8" t="str">
        <f>IFERROR(__xludf.DUMMYFUNCTION("""COMPUTED_VALUE"""),"A0623071437")</f>
        <v>A0623071437</v>
      </c>
      <c r="D521" s="8">
        <f>IFERROR(__xludf.DUMMYFUNCTION("""COMPUTED_VALUE"""),20.0)</f>
        <v>20</v>
      </c>
      <c r="E521" s="2"/>
    </row>
    <row r="522">
      <c r="A522" s="2"/>
      <c r="B522" s="8" t="str">
        <f>IFERROR(__xludf.DUMMYFUNCTION("""COMPUTED_VALUE"""),"TETI AISYAH")</f>
        <v>TETI AISYAH</v>
      </c>
      <c r="C522" s="8" t="str">
        <f>IFERROR(__xludf.DUMMYFUNCTION("""COMPUTED_VALUE"""),"T7623079709")</f>
        <v>T7623079709</v>
      </c>
      <c r="D522" s="8">
        <f>IFERROR(__xludf.DUMMYFUNCTION("""COMPUTED_VALUE"""),49.0)</f>
        <v>49</v>
      </c>
      <c r="E522" s="2"/>
    </row>
    <row r="523">
      <c r="A523" s="2"/>
      <c r="B523" s="8" t="str">
        <f>IFERROR(__xludf.DUMMYFUNCTION("""COMPUTED_VALUE"""),"FATMAWATI SYAM")</f>
        <v>FATMAWATI SYAM</v>
      </c>
      <c r="C523" s="8" t="str">
        <f>IFERROR(__xludf.DUMMYFUNCTION("""COMPUTED_VALUE"""),"F6923072692")</f>
        <v>F6923072692</v>
      </c>
      <c r="D523" s="8">
        <f>IFERROR(__xludf.DUMMYFUNCTION("""COMPUTED_VALUE"""),57.0)</f>
        <v>57</v>
      </c>
      <c r="E523" s="2"/>
    </row>
    <row r="524">
      <c r="A524" s="2"/>
      <c r="B524" s="8" t="str">
        <f>IFERROR(__xludf.DUMMYFUNCTION("""COMPUTED_VALUE"""),"NABILA ANGGRAINI")</f>
        <v>NABILA ANGGRAINI</v>
      </c>
      <c r="C524" s="8" t="str">
        <f>IFERROR(__xludf.DUMMYFUNCTION("""COMPUTED_VALUE"""),"N0623079242")</f>
        <v>N0623079242</v>
      </c>
      <c r="D524" s="8">
        <f>IFERROR(__xludf.DUMMYFUNCTION("""COMPUTED_VALUE"""),20.0)</f>
        <v>20</v>
      </c>
      <c r="E524" s="2"/>
    </row>
    <row r="525">
      <c r="A525" s="2"/>
      <c r="B525" s="8" t="str">
        <f>IFERROR(__xludf.DUMMYFUNCTION("""COMPUTED_VALUE"""),"VICTOR 8811")</f>
        <v>VICTOR 8811</v>
      </c>
      <c r="C525" s="8" t="str">
        <f>IFERROR(__xludf.DUMMYFUNCTION("""COMPUTED_VALUE"""),"V8823076160")</f>
        <v>V8823076160</v>
      </c>
      <c r="D525" s="8">
        <f>IFERROR(__xludf.DUMMYFUNCTION("""COMPUTED_VALUE"""),37.0)</f>
        <v>37</v>
      </c>
      <c r="E525" s="2"/>
    </row>
    <row r="526">
      <c r="A526" s="2"/>
      <c r="B526" s="8" t="str">
        <f>IFERROR(__xludf.DUMMYFUNCTION("""COMPUTED_VALUE"""),"VICTOR 9012")</f>
        <v>VICTOR 9012</v>
      </c>
      <c r="C526" s="8" t="str">
        <f>IFERROR(__xludf.DUMMYFUNCTION("""COMPUTED_VALUE"""),"V9023079008")</f>
        <v>V9023079008</v>
      </c>
      <c r="D526" s="8">
        <f>IFERROR(__xludf.DUMMYFUNCTION("""COMPUTED_VALUE"""),35.0)</f>
        <v>35</v>
      </c>
      <c r="E526" s="2"/>
    </row>
    <row r="527">
      <c r="A527" s="2"/>
      <c r="B527" s="8" t="str">
        <f>IFERROR(__xludf.DUMMYFUNCTION("""COMPUTED_VALUE"""),"YULIANTI 7911")</f>
        <v>YULIANTI 7911</v>
      </c>
      <c r="C527" s="8" t="str">
        <f>IFERROR(__xludf.DUMMYFUNCTION("""COMPUTED_VALUE"""),"Y7923075184")</f>
        <v>Y7923075184</v>
      </c>
      <c r="D527" s="8">
        <f>IFERROR(__xludf.DUMMYFUNCTION("""COMPUTED_VALUE"""),46.0)</f>
        <v>46</v>
      </c>
      <c r="E527" s="2"/>
    </row>
    <row r="528">
      <c r="A528" s="2"/>
      <c r="B528" s="8" t="str">
        <f>IFERROR(__xludf.DUMMYFUNCTION("""COMPUTED_VALUE"""),"MITA SARINIDA")</f>
        <v>MITA SARINIDA</v>
      </c>
      <c r="C528" s="8" t="str">
        <f>IFERROR(__xludf.DUMMYFUNCTION("""COMPUTED_VALUE"""),"M0123077390")</f>
        <v>M0123077390</v>
      </c>
      <c r="D528" s="8">
        <f>IFERROR(__xludf.DUMMYFUNCTION("""COMPUTED_VALUE"""),25.0)</f>
        <v>25</v>
      </c>
      <c r="E528" s="2"/>
    </row>
    <row r="529">
      <c r="A529" s="2"/>
      <c r="B529" s="8" t="str">
        <f>IFERROR(__xludf.DUMMYFUNCTION("""COMPUTED_VALUE"""),"LINA")</f>
        <v>LINA</v>
      </c>
      <c r="C529" s="8" t="str">
        <f>IFERROR(__xludf.DUMMYFUNCTION("""COMPUTED_VALUE"""),"L7423071918")</f>
        <v>L7423071918</v>
      </c>
      <c r="D529" s="8">
        <f>IFERROR(__xludf.DUMMYFUNCTION("""COMPUTED_VALUE"""),52.0)</f>
        <v>52</v>
      </c>
      <c r="E529" s="2"/>
    </row>
    <row r="530">
      <c r="A530" s="2"/>
      <c r="B530" s="8" t="str">
        <f>IFERROR(__xludf.DUMMYFUNCTION("""COMPUTED_VALUE"""),"APRIANA")</f>
        <v>APRIANA</v>
      </c>
      <c r="C530" s="8" t="str">
        <f>IFERROR(__xludf.DUMMYFUNCTION("""COMPUTED_VALUE"""),"A9023072233")</f>
        <v>A9023072233</v>
      </c>
      <c r="D530" s="8">
        <f>IFERROR(__xludf.DUMMYFUNCTION("""COMPUTED_VALUE"""),36.0)</f>
        <v>36</v>
      </c>
      <c r="E530" s="2"/>
    </row>
    <row r="531">
      <c r="A531" s="2"/>
      <c r="B531" s="8" t="str">
        <f>IFERROR(__xludf.DUMMYFUNCTION("""COMPUTED_VALUE"""),"MUHAMAD ICHFAN FIRDIANSYAH")</f>
        <v>MUHAMAD ICHFAN FIRDIANSYAH</v>
      </c>
      <c r="C531" s="8" t="str">
        <f>IFERROR(__xludf.DUMMYFUNCTION("""COMPUTED_VALUE"""),"M9023071522")</f>
        <v>M9023071522</v>
      </c>
      <c r="D531" s="8">
        <f>IFERROR(__xludf.DUMMYFUNCTION("""COMPUTED_VALUE"""),36.0)</f>
        <v>36</v>
      </c>
      <c r="E531" s="2"/>
    </row>
    <row r="532">
      <c r="A532" s="2"/>
      <c r="B532" s="8" t="str">
        <f>IFERROR(__xludf.DUMMYFUNCTION("""COMPUTED_VALUE"""),"ANDI WIJAYA")</f>
        <v>ANDI WIJAYA</v>
      </c>
      <c r="C532" s="8" t="str">
        <f>IFERROR(__xludf.DUMMYFUNCTION("""COMPUTED_VALUE"""),"A0023072560")</f>
        <v>A0023072560</v>
      </c>
      <c r="D532" s="8">
        <f>IFERROR(__xludf.DUMMYFUNCTION("""COMPUTED_VALUE"""),26.0)</f>
        <v>26</v>
      </c>
      <c r="E532" s="2"/>
    </row>
    <row r="533">
      <c r="A533" s="2"/>
      <c r="B533" s="8" t="str">
        <f>IFERROR(__xludf.DUMMYFUNCTION("""COMPUTED_VALUE"""),"TANTU WRESPATI")</f>
        <v>TANTU WRESPATI</v>
      </c>
      <c r="C533" s="8" t="str">
        <f>IFERROR(__xludf.DUMMYFUNCTION("""COMPUTED_VALUE"""),"T9023072707")</f>
        <v>T9023072707</v>
      </c>
      <c r="D533" s="8">
        <f>IFERROR(__xludf.DUMMYFUNCTION("""COMPUTED_VALUE"""),36.0)</f>
        <v>36</v>
      </c>
      <c r="E533" s="2"/>
    </row>
    <row r="534">
      <c r="A534" s="2"/>
      <c r="B534" s="8" t="str">
        <f>IFERROR(__xludf.DUMMYFUNCTION("""COMPUTED_VALUE"""),"TJEN DJAU TJUNG")</f>
        <v>TJEN DJAU TJUNG</v>
      </c>
      <c r="C534" s="8" t="str">
        <f>IFERROR(__xludf.DUMMYFUNCTION("""COMPUTED_VALUE"""),"T6023073452")</f>
        <v>T6023073452</v>
      </c>
      <c r="D534" s="8">
        <f>IFERROR(__xludf.DUMMYFUNCTION("""COMPUTED_VALUE"""),65.0)</f>
        <v>65</v>
      </c>
      <c r="E534" s="2"/>
    </row>
    <row r="535">
      <c r="A535" s="2"/>
      <c r="B535" s="8" t="str">
        <f>IFERROR(__xludf.DUMMYFUNCTION("""COMPUTED_VALUE"""),"LUCKY HARTANTI")</f>
        <v>LUCKY HARTANTI</v>
      </c>
      <c r="C535" s="8" t="str">
        <f>IFERROR(__xludf.DUMMYFUNCTION("""COMPUTED_VALUE"""),"L7523073884")</f>
        <v>L7523073884</v>
      </c>
      <c r="D535" s="8">
        <f>IFERROR(__xludf.DUMMYFUNCTION("""COMPUTED_VALUE"""),51.0)</f>
        <v>51</v>
      </c>
      <c r="E535" s="2"/>
    </row>
    <row r="536">
      <c r="A536" s="2"/>
      <c r="B536" s="8" t="str">
        <f>IFERROR(__xludf.DUMMYFUNCTION("""COMPUTED_VALUE"""),"RIO RAMADHAN PUTRA")</f>
        <v>RIO RAMADHAN PUTRA</v>
      </c>
      <c r="C536" s="8" t="str">
        <f>IFERROR(__xludf.DUMMYFUNCTION("""COMPUTED_VALUE"""),"R9223073339")</f>
        <v>R9223073339</v>
      </c>
      <c r="D536" s="8">
        <f>IFERROR(__xludf.DUMMYFUNCTION("""COMPUTED_VALUE"""),33.0)</f>
        <v>33</v>
      </c>
      <c r="E536" s="2"/>
    </row>
    <row r="537">
      <c r="A537" s="2"/>
      <c r="B537" s="8" t="str">
        <f>IFERROR(__xludf.DUMMYFUNCTION("""COMPUTED_VALUE"""),"JOHAN")</f>
        <v>JOHAN</v>
      </c>
      <c r="C537" s="8" t="str">
        <f>IFERROR(__xludf.DUMMYFUNCTION("""COMPUTED_VALUE"""),"J8923077991")</f>
        <v>J8923077991</v>
      </c>
      <c r="D537" s="8">
        <f>IFERROR(__xludf.DUMMYFUNCTION("""COMPUTED_VALUE"""),37.0)</f>
        <v>37</v>
      </c>
      <c r="E537" s="2"/>
    </row>
    <row r="538">
      <c r="A538" s="2"/>
      <c r="B538" s="8" t="str">
        <f>IFERROR(__xludf.DUMMYFUNCTION("""COMPUTED_VALUE"""),"FELIKS ARMANTO")</f>
        <v>FELIKS ARMANTO</v>
      </c>
      <c r="C538" s="8" t="str">
        <f>IFERROR(__xludf.DUMMYFUNCTION("""COMPUTED_VALUE"""),"F9923076881")</f>
        <v>F9923076881</v>
      </c>
      <c r="D538" s="8">
        <f>IFERROR(__xludf.DUMMYFUNCTION("""COMPUTED_VALUE"""),27.0)</f>
        <v>27</v>
      </c>
      <c r="E538" s="2"/>
    </row>
    <row r="539">
      <c r="A539" s="2"/>
      <c r="B539" s="8" t="str">
        <f>IFERROR(__xludf.DUMMYFUNCTION("""COMPUTED_VALUE"""),"IBNU SUWITO")</f>
        <v>IBNU SUWITO</v>
      </c>
      <c r="C539" s="8" t="str">
        <f>IFERROR(__xludf.DUMMYFUNCTION("""COMPUTED_VALUE"""),"I7523072598")</f>
        <v>I7523072598</v>
      </c>
      <c r="D539" s="8">
        <f>IFERROR(__xludf.DUMMYFUNCTION("""COMPUTED_VALUE"""),50.0)</f>
        <v>50</v>
      </c>
      <c r="E539" s="2"/>
    </row>
    <row r="540">
      <c r="A540" s="2"/>
      <c r="B540" s="8" t="str">
        <f>IFERROR(__xludf.DUMMYFUNCTION("""COMPUTED_VALUE"""),"HAURA NINDIA NAZIHAH")</f>
        <v>HAURA NINDIA NAZIHAH</v>
      </c>
      <c r="C540" s="8" t="str">
        <f>IFERROR(__xludf.DUMMYFUNCTION("""COMPUTED_VALUE"""),"H0923076882")</f>
        <v>H0923076882</v>
      </c>
      <c r="D540" s="8">
        <f>IFERROR(__xludf.DUMMYFUNCTION("""COMPUTED_VALUE"""),17.0)</f>
        <v>17</v>
      </c>
      <c r="E540" s="2"/>
    </row>
    <row r="541">
      <c r="A541" s="2"/>
      <c r="B541" s="8" t="str">
        <f>IFERROR(__xludf.DUMMYFUNCTION("""COMPUTED_VALUE"""),"NOVEL BANGUN KUSWANDI")</f>
        <v>NOVEL BANGUN KUSWANDI</v>
      </c>
      <c r="C541" s="8" t="str">
        <f>IFERROR(__xludf.DUMMYFUNCTION("""COMPUTED_VALUE"""),"N8523070146")</f>
        <v>N8523070146</v>
      </c>
      <c r="D541" s="8">
        <f>IFERROR(__xludf.DUMMYFUNCTION("""COMPUTED_VALUE"""),41.0)</f>
        <v>41</v>
      </c>
      <c r="E541" s="2"/>
    </row>
    <row r="542">
      <c r="A542" s="2"/>
      <c r="B542" s="8" t="str">
        <f>IFERROR(__xludf.DUMMYFUNCTION("""COMPUTED_VALUE"""),"RIA ANANDA")</f>
        <v>RIA ANANDA</v>
      </c>
      <c r="C542" s="8" t="str">
        <f>IFERROR(__xludf.DUMMYFUNCTION("""COMPUTED_VALUE"""),"R9423073528")</f>
        <v>R9423073528</v>
      </c>
      <c r="D542" s="8">
        <f>IFERROR(__xludf.DUMMYFUNCTION("""COMPUTED_VALUE"""),32.0)</f>
        <v>32</v>
      </c>
      <c r="E542" s="2"/>
    </row>
    <row r="543">
      <c r="A543" s="2"/>
      <c r="B543" s="8" t="str">
        <f>IFERROR(__xludf.DUMMYFUNCTION("""COMPUTED_VALUE"""),"LEONARDO")</f>
        <v>LEONARDO</v>
      </c>
      <c r="C543" s="8" t="str">
        <f>IFERROR(__xludf.DUMMYFUNCTION("""COMPUTED_VALUE"""),"L8723079900")</f>
        <v>L8723079900</v>
      </c>
      <c r="D543" s="8">
        <f>IFERROR(__xludf.DUMMYFUNCTION("""COMPUTED_VALUE"""),39.0)</f>
        <v>39</v>
      </c>
      <c r="E543" s="2"/>
    </row>
    <row r="544">
      <c r="A544" s="2"/>
      <c r="B544" s="8" t="str">
        <f>IFERROR(__xludf.DUMMYFUNCTION("""COMPUTED_VALUE"""),"PIKI RAMDANI")</f>
        <v>PIKI RAMDANI</v>
      </c>
      <c r="C544" s="8" t="str">
        <f>IFERROR(__xludf.DUMMYFUNCTION("""COMPUTED_VALUE"""),"P9323071126")</f>
        <v>P9323071126</v>
      </c>
      <c r="D544" s="8">
        <f>IFERROR(__xludf.DUMMYFUNCTION("""COMPUTED_VALUE"""),33.0)</f>
        <v>33</v>
      </c>
      <c r="E544" s="2"/>
    </row>
    <row r="545">
      <c r="A545" s="2"/>
      <c r="B545" s="8" t="str">
        <f>IFERROR(__xludf.DUMMYFUNCTION("""COMPUTED_VALUE"""),"KI DHARMAWAN")</f>
        <v>KI DHARMAWAN</v>
      </c>
      <c r="C545" s="8" t="str">
        <f>IFERROR(__xludf.DUMMYFUNCTION("""COMPUTED_VALUE"""),"K9823072535")</f>
        <v>K9823072535</v>
      </c>
      <c r="D545" s="8">
        <f>IFERROR(__xludf.DUMMYFUNCTION("""COMPUTED_VALUE"""),28.0)</f>
        <v>28</v>
      </c>
      <c r="E545" s="2"/>
    </row>
    <row r="546">
      <c r="A546" s="2"/>
      <c r="B546" s="8" t="str">
        <f>IFERROR(__xludf.DUMMYFUNCTION("""COMPUTED_VALUE"""),"YOUNG BRILLIAN THEHAWIJAYA")</f>
        <v>YOUNG BRILLIAN THEHAWIJAYA</v>
      </c>
      <c r="C546" s="8" t="str">
        <f>IFERROR(__xludf.DUMMYFUNCTION("""COMPUTED_VALUE"""),"Y0623078833")</f>
        <v>Y0623078833</v>
      </c>
      <c r="D546" s="8">
        <f>IFERROR(__xludf.DUMMYFUNCTION("""COMPUTED_VALUE"""),19.0)</f>
        <v>19</v>
      </c>
      <c r="E546" s="2"/>
    </row>
    <row r="547">
      <c r="A547" s="2"/>
      <c r="B547" s="8" t="str">
        <f>IFERROR(__xludf.DUMMYFUNCTION("""COMPUTED_VALUE"""),"IDA HIDAYATI")</f>
        <v>IDA HIDAYATI</v>
      </c>
      <c r="C547" s="8" t="str">
        <f>IFERROR(__xludf.DUMMYFUNCTION("""COMPUTED_VALUE"""),"I6823070922")</f>
        <v>I6823070922</v>
      </c>
      <c r="D547" s="8">
        <f>IFERROR(__xludf.DUMMYFUNCTION("""COMPUTED_VALUE"""),58.0)</f>
        <v>58</v>
      </c>
      <c r="E547" s="2"/>
    </row>
    <row r="548">
      <c r="A548" s="2"/>
      <c r="B548" s="8" t="str">
        <f>IFERROR(__xludf.DUMMYFUNCTION("""COMPUTED_VALUE"""),"BANYU GIFTKHAN MAYLEKA")</f>
        <v>BANYU GIFTKHAN MAYLEKA</v>
      </c>
      <c r="C548" s="8" t="str">
        <f>IFERROR(__xludf.DUMMYFUNCTION("""COMPUTED_VALUE"""),"B0823070540")</f>
        <v>B0823070540</v>
      </c>
      <c r="D548" s="8">
        <f>IFERROR(__xludf.DUMMYFUNCTION("""COMPUTED_VALUE"""),18.0)</f>
        <v>18</v>
      </c>
      <c r="E548" s="2"/>
    </row>
    <row r="549">
      <c r="A549" s="2"/>
      <c r="B549" s="8" t="str">
        <f>IFERROR(__xludf.DUMMYFUNCTION("""COMPUTED_VALUE"""),"DAFFA RIZKY PRATAMA")</f>
        <v>DAFFA RIZKY PRATAMA</v>
      </c>
      <c r="C549" s="8" t="str">
        <f>IFERROR(__xludf.DUMMYFUNCTION("""COMPUTED_VALUE"""),"D0423074113")</f>
        <v>D0423074113</v>
      </c>
      <c r="D549" s="8">
        <f>IFERROR(__xludf.DUMMYFUNCTION("""COMPUTED_VALUE"""),22.0)</f>
        <v>22</v>
      </c>
      <c r="E549" s="2"/>
    </row>
    <row r="550">
      <c r="A550" s="2"/>
      <c r="B550" s="8" t="str">
        <f>IFERROR(__xludf.DUMMYFUNCTION("""COMPUTED_VALUE"""),"SUSNAWATI")</f>
        <v>SUSNAWATI</v>
      </c>
      <c r="C550" s="8" t="str">
        <f>IFERROR(__xludf.DUMMYFUNCTION("""COMPUTED_VALUE"""),"S7823077140")</f>
        <v>S7823077140</v>
      </c>
      <c r="D550" s="8">
        <f>IFERROR(__xludf.DUMMYFUNCTION("""COMPUTED_VALUE"""),47.0)</f>
        <v>47</v>
      </c>
      <c r="E550" s="2"/>
    </row>
    <row r="551">
      <c r="A551" s="2"/>
      <c r="B551" s="8" t="str">
        <f>IFERROR(__xludf.DUMMYFUNCTION("""COMPUTED_VALUE"""),"RUTIANA")</f>
        <v>RUTIANA</v>
      </c>
      <c r="C551" s="8" t="str">
        <f>IFERROR(__xludf.DUMMYFUNCTION("""COMPUTED_VALUE"""),"R6823075669")</f>
        <v>R6823075669</v>
      </c>
      <c r="D551" s="8">
        <f>IFERROR(__xludf.DUMMYFUNCTION("""COMPUTED_VALUE"""),58.0)</f>
        <v>58</v>
      </c>
      <c r="E551" s="2"/>
    </row>
    <row r="552">
      <c r="A552" s="2"/>
      <c r="B552" s="8" t="str">
        <f>IFERROR(__xludf.DUMMYFUNCTION("""COMPUTED_VALUE"""),"NOVI INDRAWAN")</f>
        <v>NOVI INDRAWAN</v>
      </c>
      <c r="C552" s="8" t="str">
        <f>IFERROR(__xludf.DUMMYFUNCTION("""COMPUTED_VALUE"""),"N8923079631")</f>
        <v>N8923079631</v>
      </c>
      <c r="D552" s="8">
        <f>IFERROR(__xludf.DUMMYFUNCTION("""COMPUTED_VALUE"""),36.0)</f>
        <v>36</v>
      </c>
      <c r="E552" s="2"/>
    </row>
    <row r="553">
      <c r="A553" s="2"/>
      <c r="B553" s="8" t="str">
        <f>IFERROR(__xludf.DUMMYFUNCTION("""COMPUTED_VALUE"""),"BONAVENTURA VITO CINTA KARUNIA")</f>
        <v>BONAVENTURA VITO CINTA KARUNIA</v>
      </c>
      <c r="C553" s="8" t="str">
        <f>IFERROR(__xludf.DUMMYFUNCTION("""COMPUTED_VALUE"""),"B0323075177")</f>
        <v>B0323075177</v>
      </c>
      <c r="D553" s="8">
        <f>IFERROR(__xludf.DUMMYFUNCTION("""COMPUTED_VALUE"""),23.0)</f>
        <v>23</v>
      </c>
      <c r="E553" s="2"/>
    </row>
    <row r="554">
      <c r="A554" s="2"/>
      <c r="B554" s="8" t="str">
        <f>IFERROR(__xludf.DUMMYFUNCTION("""COMPUTED_VALUE"""),"ANDAR SETIAWAN")</f>
        <v>ANDAR SETIAWAN</v>
      </c>
      <c r="C554" s="8" t="str">
        <f>IFERROR(__xludf.DUMMYFUNCTION("""COMPUTED_VALUE"""),"A8823075452")</f>
        <v>A8823075452</v>
      </c>
      <c r="D554" s="8">
        <f>IFERROR(__xludf.DUMMYFUNCTION("""COMPUTED_VALUE"""),38.0)</f>
        <v>38</v>
      </c>
      <c r="E554" s="2"/>
    </row>
    <row r="555">
      <c r="A555" s="2"/>
      <c r="B555" s="8" t="str">
        <f>IFERROR(__xludf.DUMMYFUNCTION("""COMPUTED_VALUE"""),"PUTRA MANCHERIGAU CHENDIKIA FERNANDES")</f>
        <v>PUTRA MANCHERIGAU CHENDIKIA FERNANDES</v>
      </c>
      <c r="C555" s="8" t="str">
        <f>IFERROR(__xludf.DUMMYFUNCTION("""COMPUTED_VALUE"""),"P0623074406")</f>
        <v>P0623074406</v>
      </c>
      <c r="D555" s="8">
        <f>IFERROR(__xludf.DUMMYFUNCTION("""COMPUTED_VALUE"""),20.0)</f>
        <v>20</v>
      </c>
      <c r="E555" s="2"/>
    </row>
    <row r="556">
      <c r="A556" s="2"/>
      <c r="B556" s="8" t="str">
        <f>IFERROR(__xludf.DUMMYFUNCTION("""COMPUTED_VALUE"""),"AULIA RAHMAH PUTRI ADISHA")</f>
        <v>AULIA RAHMAH PUTRI ADISHA</v>
      </c>
      <c r="C556" s="8" t="str">
        <f>IFERROR(__xludf.DUMMYFUNCTION("""COMPUTED_VALUE"""),"A1123072881")</f>
        <v>A1123072881</v>
      </c>
      <c r="D556" s="8">
        <f>IFERROR(__xludf.DUMMYFUNCTION("""COMPUTED_VALUE"""),15.0)</f>
        <v>15</v>
      </c>
      <c r="E556" s="2"/>
    </row>
    <row r="557">
      <c r="A557" s="2"/>
      <c r="B557" s="8" t="str">
        <f>IFERROR(__xludf.DUMMYFUNCTION("""COMPUTED_VALUE"""),"DINA SITEPU")</f>
        <v>DINA SITEPU</v>
      </c>
      <c r="C557" s="8" t="str">
        <f>IFERROR(__xludf.DUMMYFUNCTION("""COMPUTED_VALUE"""),"D6723078440")</f>
        <v>D6723078440</v>
      </c>
      <c r="D557" s="8">
        <f>IFERROR(__xludf.DUMMYFUNCTION("""COMPUTED_VALUE"""),59.0)</f>
        <v>59</v>
      </c>
      <c r="E557" s="2"/>
    </row>
    <row r="558">
      <c r="A558" s="2"/>
      <c r="B558" s="8" t="str">
        <f>IFERROR(__xludf.DUMMYFUNCTION("""COMPUTED_VALUE"""),"DORA CHAROLINA")</f>
        <v>DORA CHAROLINA</v>
      </c>
      <c r="C558" s="8" t="str">
        <f>IFERROR(__xludf.DUMMYFUNCTION("""COMPUTED_VALUE"""),"D8223070123")</f>
        <v>D8223070123</v>
      </c>
      <c r="D558" s="8">
        <f>IFERROR(__xludf.DUMMYFUNCTION("""COMPUTED_VALUE"""),44.0)</f>
        <v>44</v>
      </c>
      <c r="E558" s="2"/>
    </row>
    <row r="559">
      <c r="A559" s="2"/>
      <c r="B559" s="8" t="str">
        <f>IFERROR(__xludf.DUMMYFUNCTION("""COMPUTED_VALUE"""),"RITA SUSANTI VIDYA")</f>
        <v>RITA SUSANTI VIDYA</v>
      </c>
      <c r="C559" s="8" t="str">
        <f>IFERROR(__xludf.DUMMYFUNCTION("""COMPUTED_VALUE"""),"R7823075558")</f>
        <v>R7823075558</v>
      </c>
      <c r="D559" s="8">
        <f>IFERROR(__xludf.DUMMYFUNCTION("""COMPUTED_VALUE"""),47.0)</f>
        <v>47</v>
      </c>
      <c r="E559" s="2"/>
    </row>
    <row r="560">
      <c r="A560" s="2"/>
      <c r="B560" s="8" t="str">
        <f>IFERROR(__xludf.DUMMYFUNCTION("""COMPUTED_VALUE"""),"EMYLIA")</f>
        <v>EMYLIA</v>
      </c>
      <c r="C560" s="8" t="str">
        <f>IFERROR(__xludf.DUMMYFUNCTION("""COMPUTED_VALUE"""),"E9523075183")</f>
        <v>E9523075183</v>
      </c>
      <c r="D560" s="8">
        <f>IFERROR(__xludf.DUMMYFUNCTION("""COMPUTED_VALUE"""),30.0)</f>
        <v>30</v>
      </c>
      <c r="E560" s="2"/>
    </row>
    <row r="561">
      <c r="A561" s="2"/>
      <c r="B561" s="8" t="str">
        <f>IFERROR(__xludf.DUMMYFUNCTION("""COMPUTED_VALUE"""),"AGUNG WIYANTO")</f>
        <v>AGUNG WIYANTO</v>
      </c>
      <c r="C561" s="8" t="str">
        <f>IFERROR(__xludf.DUMMYFUNCTION("""COMPUTED_VALUE"""),"A9823072922")</f>
        <v>A9823072922</v>
      </c>
      <c r="D561" s="8">
        <f>IFERROR(__xludf.DUMMYFUNCTION("""COMPUTED_VALUE"""),27.0)</f>
        <v>27</v>
      </c>
      <c r="E561" s="2"/>
    </row>
    <row r="562">
      <c r="A562" s="2"/>
      <c r="B562" s="8" t="str">
        <f>IFERROR(__xludf.DUMMYFUNCTION("""COMPUTED_VALUE"""),"MURZANI NUR")</f>
        <v>MURZANI NUR</v>
      </c>
      <c r="C562" s="8" t="str">
        <f>IFERROR(__xludf.DUMMYFUNCTION("""COMPUTED_VALUE"""),"M6223071870")</f>
        <v>M6223071870</v>
      </c>
      <c r="D562" s="8">
        <f>IFERROR(__xludf.DUMMYFUNCTION("""COMPUTED_VALUE"""),64.0)</f>
        <v>64</v>
      </c>
      <c r="E562" s="2"/>
    </row>
    <row r="563">
      <c r="A563" s="2"/>
      <c r="B563" s="8" t="str">
        <f>IFERROR(__xludf.DUMMYFUNCTION("""COMPUTED_VALUE"""),"YUDI ANGGA PRATAMA")</f>
        <v>YUDI ANGGA PRATAMA</v>
      </c>
      <c r="C563" s="8" t="str">
        <f>IFERROR(__xludf.DUMMYFUNCTION("""COMPUTED_VALUE"""),"Y9723077258")</f>
        <v>Y9723077258</v>
      </c>
      <c r="D563" s="8">
        <f>IFERROR(__xludf.DUMMYFUNCTION("""COMPUTED_VALUE"""),29.0)</f>
        <v>29</v>
      </c>
      <c r="E563" s="2"/>
    </row>
    <row r="564">
      <c r="A564" s="2"/>
      <c r="B564" s="8" t="str">
        <f>IFERROR(__xludf.DUMMYFUNCTION("""COMPUTED_VALUE"""),"LILI SUHANA")</f>
        <v>LILI SUHANA</v>
      </c>
      <c r="C564" s="8" t="str">
        <f>IFERROR(__xludf.DUMMYFUNCTION("""COMPUTED_VALUE"""),"L8123072518")</f>
        <v>L8123072518</v>
      </c>
      <c r="D564" s="8">
        <f>IFERROR(__xludf.DUMMYFUNCTION("""COMPUTED_VALUE"""),45.0)</f>
        <v>45</v>
      </c>
      <c r="E564" s="2"/>
    </row>
    <row r="565">
      <c r="A565" s="2"/>
      <c r="B565" s="8" t="str">
        <f>IFERROR(__xludf.DUMMYFUNCTION("""COMPUTED_VALUE"""),"HARINI")</f>
        <v>HARINI</v>
      </c>
      <c r="C565" s="8" t="str">
        <f>IFERROR(__xludf.DUMMYFUNCTION("""COMPUTED_VALUE"""),"H7023078732")</f>
        <v>H7023078732</v>
      </c>
      <c r="D565" s="8">
        <f>IFERROR(__xludf.DUMMYFUNCTION("""COMPUTED_VALUE"""),55.0)</f>
        <v>55</v>
      </c>
      <c r="E565" s="2"/>
    </row>
    <row r="566">
      <c r="A566" s="2"/>
      <c r="B566" s="8" t="str">
        <f>IFERROR(__xludf.DUMMYFUNCTION("""COMPUTED_VALUE"""),"MUHAMMAD TAUFIK KAMIL")</f>
        <v>MUHAMMAD TAUFIK KAMIL</v>
      </c>
      <c r="C566" s="8" t="str">
        <f>IFERROR(__xludf.DUMMYFUNCTION("""COMPUTED_VALUE"""),"M0623074204")</f>
        <v>M0623074204</v>
      </c>
      <c r="D566" s="8">
        <f>IFERROR(__xludf.DUMMYFUNCTION("""COMPUTED_VALUE"""),20.0)</f>
        <v>20</v>
      </c>
      <c r="E566" s="2"/>
    </row>
    <row r="567">
      <c r="A567" s="2"/>
      <c r="B567" s="8" t="str">
        <f>IFERROR(__xludf.DUMMYFUNCTION("""COMPUTED_VALUE"""),"ANGGA FRATAMA,S.STP")</f>
        <v>ANGGA FRATAMA,S.STP</v>
      </c>
      <c r="C567" s="8" t="str">
        <f>IFERROR(__xludf.DUMMYFUNCTION("""COMPUTED_VALUE"""),"A8623077979")</f>
        <v>A8623077979</v>
      </c>
      <c r="D567" s="8">
        <f>IFERROR(__xludf.DUMMYFUNCTION("""COMPUTED_VALUE"""),39.0)</f>
        <v>39</v>
      </c>
      <c r="E567" s="2"/>
    </row>
    <row r="568">
      <c r="A568" s="2"/>
      <c r="B568" s="8" t="str">
        <f>IFERROR(__xludf.DUMMYFUNCTION("""COMPUTED_VALUE"""),"ANDREW WILLARD HWANGSU")</f>
        <v>ANDREW WILLARD HWANGSU</v>
      </c>
      <c r="C568" s="8" t="str">
        <f>IFERROR(__xludf.DUMMYFUNCTION("""COMPUTED_VALUE"""),"A0423074795")</f>
        <v>A0423074795</v>
      </c>
      <c r="D568" s="8">
        <f>IFERROR(__xludf.DUMMYFUNCTION("""COMPUTED_VALUE"""),22.0)</f>
        <v>22</v>
      </c>
      <c r="E568" s="2"/>
    </row>
    <row r="569">
      <c r="A569" s="2"/>
      <c r="B569" s="8" t="str">
        <f>IFERROR(__xludf.DUMMYFUNCTION("""COMPUTED_VALUE"""),"INDRIANI BUDI KURNIAWATI")</f>
        <v>INDRIANI BUDI KURNIAWATI</v>
      </c>
      <c r="C569" s="8" t="str">
        <f>IFERROR(__xludf.DUMMYFUNCTION("""COMPUTED_VALUE"""),"I8023078956")</f>
        <v>I8023078956</v>
      </c>
      <c r="D569" s="8">
        <f>IFERROR(__xludf.DUMMYFUNCTION("""COMPUTED_VALUE"""),46.0)</f>
        <v>46</v>
      </c>
      <c r="E569" s="2"/>
    </row>
    <row r="570">
      <c r="A570" s="2"/>
      <c r="B570" s="8" t="str">
        <f>IFERROR(__xludf.DUMMYFUNCTION("""COMPUTED_VALUE"""),"GABRIEL PRASTIO")</f>
        <v>GABRIEL PRASTIO</v>
      </c>
      <c r="C570" s="8" t="str">
        <f>IFERROR(__xludf.DUMMYFUNCTION("""COMPUTED_VALUE"""),"G1423079647")</f>
        <v>G1423079647</v>
      </c>
      <c r="D570" s="8">
        <f>IFERROR(__xludf.DUMMYFUNCTION("""COMPUTED_VALUE"""),12.0)</f>
        <v>12</v>
      </c>
      <c r="E570" s="2"/>
    </row>
    <row r="571">
      <c r="A571" s="2"/>
      <c r="B571" s="8" t="str">
        <f>IFERROR(__xludf.DUMMYFUNCTION("""COMPUTED_VALUE"""),"KHALIL ABRAR")</f>
        <v>KHALIL ABRAR</v>
      </c>
      <c r="C571" s="8" t="str">
        <f>IFERROR(__xludf.DUMMYFUNCTION("""COMPUTED_VALUE"""),"K0723071442")</f>
        <v>K0723071442</v>
      </c>
      <c r="D571" s="8">
        <f>IFERROR(__xludf.DUMMYFUNCTION("""COMPUTED_VALUE"""),19.0)</f>
        <v>19</v>
      </c>
      <c r="E571" s="2"/>
    </row>
    <row r="572">
      <c r="A572" s="2"/>
      <c r="B572" s="8" t="str">
        <f>IFERROR(__xludf.DUMMYFUNCTION("""COMPUTED_VALUE"""),"HAPPY HENDRAWAN")</f>
        <v>HAPPY HENDRAWAN</v>
      </c>
      <c r="C572" s="8" t="str">
        <f>IFERROR(__xludf.DUMMYFUNCTION("""COMPUTED_VALUE"""),"H6823047357")</f>
        <v>H6823047357</v>
      </c>
      <c r="D572" s="8">
        <f>IFERROR(__xludf.DUMMYFUNCTION("""COMPUTED_VALUE"""),57.0)</f>
        <v>57</v>
      </c>
      <c r="E572" s="2"/>
    </row>
    <row r="573">
      <c r="A573" s="2"/>
      <c r="B573" s="8" t="str">
        <f>IFERROR(__xludf.DUMMYFUNCTION("""COMPUTED_VALUE"""),"VIBRYA AQUANA")</f>
        <v>VIBRYA AQUANA</v>
      </c>
      <c r="C573" s="8" t="str">
        <f>IFERROR(__xludf.DUMMYFUNCTION("""COMPUTED_VALUE"""),"V7923087686")</f>
        <v>V7923087686</v>
      </c>
      <c r="D573" s="8">
        <f>IFERROR(__xludf.DUMMYFUNCTION("""COMPUTED_VALUE"""),47.0)</f>
        <v>47</v>
      </c>
      <c r="E573" s="2"/>
    </row>
    <row r="574">
      <c r="A574" s="2"/>
      <c r="B574" s="8" t="str">
        <f>IFERROR(__xludf.DUMMYFUNCTION("""COMPUTED_VALUE"""),"RIZKI SUBARKAH")</f>
        <v>RIZKI SUBARKAH</v>
      </c>
      <c r="C574" s="8" t="str">
        <f>IFERROR(__xludf.DUMMYFUNCTION("""COMPUTED_VALUE"""),"R9323047327")</f>
        <v>R9323047327</v>
      </c>
      <c r="D574" s="8">
        <f>IFERROR(__xludf.DUMMYFUNCTION("""COMPUTED_VALUE"""),33.0)</f>
        <v>33</v>
      </c>
      <c r="E574" s="2"/>
    </row>
    <row r="575">
      <c r="A575" s="2"/>
      <c r="B575" s="8" t="str">
        <f>IFERROR(__xludf.DUMMYFUNCTION("""COMPUTED_VALUE"""),"ARY FAHRIANSYAH")</f>
        <v>ARY FAHRIANSYAH</v>
      </c>
      <c r="C575" s="8" t="str">
        <f>IFERROR(__xludf.DUMMYFUNCTION("""COMPUTED_VALUE"""),"A8623080507")</f>
        <v>A8623080507</v>
      </c>
      <c r="D575" s="8">
        <f>IFERROR(__xludf.DUMMYFUNCTION("""COMPUTED_VALUE"""),39.0)</f>
        <v>39</v>
      </c>
      <c r="E575" s="2"/>
    </row>
    <row r="576">
      <c r="A576" s="2"/>
      <c r="B576" s="8" t="str">
        <f>IFERROR(__xludf.DUMMYFUNCTION("""COMPUTED_VALUE"""),"USDEKAWATI")</f>
        <v>USDEKAWATI</v>
      </c>
      <c r="C576" s="8" t="str">
        <f>IFERROR(__xludf.DUMMYFUNCTION("""COMPUTED_VALUE"""),"U7623081979")</f>
        <v>U7623081979</v>
      </c>
      <c r="D576" s="8">
        <f>IFERROR(__xludf.DUMMYFUNCTION("""COMPUTED_VALUE"""),49.0)</f>
        <v>49</v>
      </c>
      <c r="E576" s="2"/>
    </row>
    <row r="577">
      <c r="A577" s="2"/>
      <c r="B577" s="8" t="str">
        <f>IFERROR(__xludf.DUMMYFUNCTION("""COMPUTED_VALUE"""),"CERI NATASYA JANITRA")</f>
        <v>CERI NATASYA JANITRA</v>
      </c>
      <c r="C577" s="8" t="str">
        <f>IFERROR(__xludf.DUMMYFUNCTION("""COMPUTED_VALUE"""),"C0023089336")</f>
        <v>C0023089336</v>
      </c>
      <c r="D577" s="8">
        <f>IFERROR(__xludf.DUMMYFUNCTION("""COMPUTED_VALUE"""),25.0)</f>
        <v>25</v>
      </c>
      <c r="E577" s="2"/>
    </row>
    <row r="578">
      <c r="A578" s="2"/>
      <c r="B578" s="8" t="str">
        <f>IFERROR(__xludf.DUMMYFUNCTION("""COMPUTED_VALUE"""),"DICKY KRISTIAN")</f>
        <v>DICKY KRISTIAN</v>
      </c>
      <c r="C578" s="8" t="str">
        <f>IFERROR(__xludf.DUMMYFUNCTION("""COMPUTED_VALUE"""),"D9923082332")</f>
        <v>D9923082332</v>
      </c>
      <c r="D578" s="8">
        <f>IFERROR(__xludf.DUMMYFUNCTION("""COMPUTED_VALUE"""),27.0)</f>
        <v>27</v>
      </c>
      <c r="E578" s="2"/>
    </row>
    <row r="579">
      <c r="A579" s="2"/>
      <c r="B579" s="8" t="str">
        <f>IFERROR(__xludf.DUMMYFUNCTION("""COMPUTED_VALUE"""),"SURYATI")</f>
        <v>SURYATI</v>
      </c>
      <c r="C579" s="8" t="str">
        <f>IFERROR(__xludf.DUMMYFUNCTION("""COMPUTED_VALUE"""),"S7323083657")</f>
        <v>S7323083657</v>
      </c>
      <c r="D579" s="8">
        <f>IFERROR(__xludf.DUMMYFUNCTION("""COMPUTED_VALUE"""),-947.0)</f>
        <v>-947</v>
      </c>
      <c r="E579" s="2"/>
    </row>
    <row r="580">
      <c r="A580" s="2"/>
      <c r="B580" s="8" t="str">
        <f>IFERROR(__xludf.DUMMYFUNCTION("""COMPUTED_VALUE"""),"RAMADHAN 0510")</f>
        <v>RAMADHAN 0510</v>
      </c>
      <c r="C580" s="8" t="str">
        <f>IFERROR(__xludf.DUMMYFUNCTION("""COMPUTED_VALUE"""),"R0523089185")</f>
        <v>R0523089185</v>
      </c>
      <c r="D580" s="8">
        <f>IFERROR(__xludf.DUMMYFUNCTION("""COMPUTED_VALUE"""),20.0)</f>
        <v>20</v>
      </c>
      <c r="E580" s="2"/>
    </row>
    <row r="581">
      <c r="A581" s="2"/>
      <c r="B581" s="8" t="str">
        <f>IFERROR(__xludf.DUMMYFUNCTION("""COMPUTED_VALUE"""),"ROLA BINTANG KURNIA")</f>
        <v>ROLA BINTANG KURNIA</v>
      </c>
      <c r="C581" s="8" t="str">
        <f>IFERROR(__xludf.DUMMYFUNCTION("""COMPUTED_VALUE"""),"R9623087823")</f>
        <v>R9623087823</v>
      </c>
      <c r="D581" s="8">
        <f>IFERROR(__xludf.DUMMYFUNCTION("""COMPUTED_VALUE"""),29.0)</f>
        <v>29</v>
      </c>
      <c r="E581" s="2"/>
    </row>
    <row r="582">
      <c r="A582" s="2"/>
      <c r="B582" s="8" t="str">
        <f>IFERROR(__xludf.DUMMYFUNCTION("""COMPUTED_VALUE"""),"REZZA SETYA ALARY")</f>
        <v>REZZA SETYA ALARY</v>
      </c>
      <c r="C582" s="8" t="str">
        <f>IFERROR(__xludf.DUMMYFUNCTION("""COMPUTED_VALUE"""),"R9323089780")</f>
        <v>R9323089780</v>
      </c>
      <c r="D582" s="8">
        <f>IFERROR(__xludf.DUMMYFUNCTION("""COMPUTED_VALUE"""),32.0)</f>
        <v>32</v>
      </c>
      <c r="E582" s="2"/>
    </row>
    <row r="583">
      <c r="A583" s="2"/>
      <c r="B583" s="8" t="str">
        <f>IFERROR(__xludf.DUMMYFUNCTION("""COMPUTED_VALUE"""),"M. RAZIQ HANAN")</f>
        <v>M. RAZIQ HANAN</v>
      </c>
      <c r="C583" s="8" t="str">
        <f>IFERROR(__xludf.DUMMYFUNCTION("""COMPUTED_VALUE"""),"M1323086565")</f>
        <v>M1323086565</v>
      </c>
      <c r="D583" s="8">
        <f>IFERROR(__xludf.DUMMYFUNCTION("""COMPUTED_VALUE"""),12.0)</f>
        <v>12</v>
      </c>
      <c r="E583" s="2"/>
    </row>
    <row r="584">
      <c r="A584" s="2"/>
      <c r="B584" s="8" t="str">
        <f>IFERROR(__xludf.DUMMYFUNCTION("""COMPUTED_VALUE"""),"ERWIN DJUNG")</f>
        <v>ERWIN DJUNG</v>
      </c>
      <c r="C584" s="8" t="str">
        <f>IFERROR(__xludf.DUMMYFUNCTION("""COMPUTED_VALUE"""),"E6223083788")</f>
        <v>E6223083788</v>
      </c>
      <c r="D584" s="8">
        <f>IFERROR(__xludf.DUMMYFUNCTION("""COMPUTED_VALUE"""),64.0)</f>
        <v>64</v>
      </c>
      <c r="E584" s="2"/>
    </row>
    <row r="585">
      <c r="A585" s="2"/>
      <c r="B585" s="8" t="str">
        <f>IFERROR(__xludf.DUMMYFUNCTION("""COMPUTED_VALUE"""),"POSMA MAS HERLINA")</f>
        <v>POSMA MAS HERLINA</v>
      </c>
      <c r="C585" s="8" t="str">
        <f>IFERROR(__xludf.DUMMYFUNCTION("""COMPUTED_VALUE"""),"P6223084907")</f>
        <v>P6223084907</v>
      </c>
      <c r="D585" s="8">
        <f>IFERROR(__xludf.DUMMYFUNCTION("""COMPUTED_VALUE"""),63.0)</f>
        <v>63</v>
      </c>
      <c r="E585" s="2"/>
    </row>
    <row r="586">
      <c r="A586" s="2"/>
      <c r="B586" s="8" t="str">
        <f>IFERROR(__xludf.DUMMYFUNCTION("""COMPUTED_VALUE"""),"MEGA SHINTIAWATI")</f>
        <v>MEGA SHINTIAWATI</v>
      </c>
      <c r="C586" s="8" t="str">
        <f>IFERROR(__xludf.DUMMYFUNCTION("""COMPUTED_VALUE"""),"M9523087439")</f>
        <v>M9523087439</v>
      </c>
      <c r="D586" s="8">
        <f>IFERROR(__xludf.DUMMYFUNCTION("""COMPUTED_VALUE"""),31.0)</f>
        <v>31</v>
      </c>
      <c r="E586" s="2"/>
    </row>
    <row r="587">
      <c r="A587" s="2"/>
      <c r="B587" s="8" t="str">
        <f>IFERROR(__xludf.DUMMYFUNCTION("""COMPUTED_VALUE"""),"PRAYOKO TANGESTU TANTRA")</f>
        <v>PRAYOKO TANGESTU TANTRA</v>
      </c>
      <c r="C587" s="8" t="str">
        <f>IFERROR(__xludf.DUMMYFUNCTION("""COMPUTED_VALUE"""),"P9723086797")</f>
        <v>P9723086797</v>
      </c>
      <c r="D587" s="8">
        <f>IFERROR(__xludf.DUMMYFUNCTION("""COMPUTED_VALUE"""),29.0)</f>
        <v>29</v>
      </c>
      <c r="E587" s="2"/>
    </row>
    <row r="588">
      <c r="A588" s="2"/>
      <c r="B588" s="8" t="str">
        <f>IFERROR(__xludf.DUMMYFUNCTION("""COMPUTED_VALUE"""),"ISMURHADI RIZKI")</f>
        <v>ISMURHADI RIZKI</v>
      </c>
      <c r="C588" s="8" t="str">
        <f>IFERROR(__xludf.DUMMYFUNCTION("""COMPUTED_VALUE"""),"I9423084523")</f>
        <v>I9423084523</v>
      </c>
      <c r="D588" s="8">
        <f>IFERROR(__xludf.DUMMYFUNCTION("""COMPUTED_VALUE"""),32.0)</f>
        <v>32</v>
      </c>
      <c r="E588" s="2"/>
    </row>
    <row r="589">
      <c r="A589" s="2"/>
      <c r="B589" s="8" t="str">
        <f>IFERROR(__xludf.DUMMYFUNCTION("""COMPUTED_VALUE"""),"ERIC MEINARD TAMPUBOLON")</f>
        <v>ERIC MEINARD TAMPUBOLON</v>
      </c>
      <c r="C589" s="8" t="str">
        <f>IFERROR(__xludf.DUMMYFUNCTION("""COMPUTED_VALUE"""),"E8423086861")</f>
        <v>E8423086861</v>
      </c>
      <c r="D589" s="8">
        <f>IFERROR(__xludf.DUMMYFUNCTION("""COMPUTED_VALUE"""),42.0)</f>
        <v>42</v>
      </c>
      <c r="E589" s="2"/>
    </row>
    <row r="590">
      <c r="A590" s="2"/>
      <c r="B590" s="8" t="str">
        <f>IFERROR(__xludf.DUMMYFUNCTION("""COMPUTED_VALUE"""),"HENDRIATY S")</f>
        <v>HENDRIATY S</v>
      </c>
      <c r="C590" s="8" t="str">
        <f>IFERROR(__xludf.DUMMYFUNCTION("""COMPUTED_VALUE"""),"H5923089099")</f>
        <v>H5923089099</v>
      </c>
      <c r="D590" s="8">
        <f>IFERROR(__xludf.DUMMYFUNCTION("""COMPUTED_VALUE"""),67.0)</f>
        <v>67</v>
      </c>
      <c r="E590" s="2"/>
    </row>
    <row r="591">
      <c r="A591" s="2"/>
      <c r="B591" s="8" t="str">
        <f>IFERROR(__xludf.DUMMYFUNCTION("""COMPUTED_VALUE"""),"LILIS ANDRIYANI")</f>
        <v>LILIS ANDRIYANI</v>
      </c>
      <c r="C591" s="8" t="str">
        <f>IFERROR(__xludf.DUMMYFUNCTION("""COMPUTED_VALUE"""),"L7423084255")</f>
        <v>L7423084255</v>
      </c>
      <c r="D591" s="8">
        <f>IFERROR(__xludf.DUMMYFUNCTION("""COMPUTED_VALUE"""),51.0)</f>
        <v>51</v>
      </c>
      <c r="E591" s="2"/>
    </row>
    <row r="592">
      <c r="A592" s="2"/>
      <c r="B592" s="8" t="str">
        <f>IFERROR(__xludf.DUMMYFUNCTION("""COMPUTED_VALUE"""),"MUHAMMAD LUTFI TRI DARMAWAN")</f>
        <v>MUHAMMAD LUTFI TRI DARMAWAN</v>
      </c>
      <c r="C592" s="8" t="str">
        <f>IFERROR(__xludf.DUMMYFUNCTION("""COMPUTED_VALUE"""),"M9323084088")</f>
        <v>M9323084088</v>
      </c>
      <c r="D592" s="8">
        <f>IFERROR(__xludf.DUMMYFUNCTION("""COMPUTED_VALUE"""),33.0)</f>
        <v>33</v>
      </c>
      <c r="E592" s="2"/>
    </row>
    <row r="593">
      <c r="A593" s="2"/>
      <c r="B593" s="8" t="str">
        <f>IFERROR(__xludf.DUMMYFUNCTION("""COMPUTED_VALUE"""),"BUDI KURNIAWAN")</f>
        <v>BUDI KURNIAWAN</v>
      </c>
      <c r="C593" s="8" t="str">
        <f>IFERROR(__xludf.DUMMYFUNCTION("""COMPUTED_VALUE"""),"B7623087756")</f>
        <v>B7623087756</v>
      </c>
      <c r="D593" s="8">
        <f>IFERROR(__xludf.DUMMYFUNCTION("""COMPUTED_VALUE"""),50.0)</f>
        <v>50</v>
      </c>
      <c r="E593" s="2"/>
    </row>
    <row r="594">
      <c r="A594" s="2"/>
      <c r="B594" s="8" t="str">
        <f>IFERROR(__xludf.DUMMYFUNCTION("""COMPUTED_VALUE"""),"LYDIA GRACE")</f>
        <v>LYDIA GRACE</v>
      </c>
      <c r="C594" s="8" t="str">
        <f>IFERROR(__xludf.DUMMYFUNCTION("""COMPUTED_VALUE"""),"L7823080350")</f>
        <v>L7823080350</v>
      </c>
      <c r="D594" s="8">
        <f>IFERROR(__xludf.DUMMYFUNCTION("""COMPUTED_VALUE"""),48.0)</f>
        <v>48</v>
      </c>
      <c r="E594" s="2"/>
    </row>
    <row r="595">
      <c r="A595" s="2"/>
      <c r="B595" s="8" t="str">
        <f>IFERROR(__xludf.DUMMYFUNCTION("""COMPUTED_VALUE"""),"HENDRIK")</f>
        <v>HENDRIK</v>
      </c>
      <c r="C595" s="8" t="str">
        <f>IFERROR(__xludf.DUMMYFUNCTION("""COMPUTED_VALUE"""),"H7823085883")</f>
        <v>H7823085883</v>
      </c>
      <c r="D595" s="8">
        <f>IFERROR(__xludf.DUMMYFUNCTION("""COMPUTED_VALUE"""),47.0)</f>
        <v>47</v>
      </c>
      <c r="E595" s="2"/>
    </row>
    <row r="596">
      <c r="A596" s="2"/>
      <c r="B596" s="8" t="str">
        <f>IFERROR(__xludf.DUMMYFUNCTION("""COMPUTED_VALUE"""),"HENDRA BONG")</f>
        <v>HENDRA BONG</v>
      </c>
      <c r="C596" s="8" t="str">
        <f>IFERROR(__xludf.DUMMYFUNCTION("""COMPUTED_VALUE"""),"H8623081986")</f>
        <v>H8623081986</v>
      </c>
      <c r="D596" s="8">
        <f>IFERROR(__xludf.DUMMYFUNCTION("""COMPUTED_VALUE"""),39.0)</f>
        <v>39</v>
      </c>
      <c r="E596" s="2"/>
    </row>
    <row r="597">
      <c r="A597" s="2"/>
      <c r="B597" s="8" t="str">
        <f>IFERROR(__xludf.DUMMYFUNCTION("""COMPUTED_VALUE"""),"UTI MUHAMAD MAHRUS PRIMADI")</f>
        <v>UTI MUHAMAD MAHRUS PRIMADI</v>
      </c>
      <c r="C597" s="8" t="str">
        <f>IFERROR(__xludf.DUMMYFUNCTION("""COMPUTED_VALUE"""),"U0223089500")</f>
        <v>U0223089500</v>
      </c>
      <c r="D597" s="8">
        <f>IFERROR(__xludf.DUMMYFUNCTION("""COMPUTED_VALUE"""),23.0)</f>
        <v>23</v>
      </c>
      <c r="E597" s="2"/>
    </row>
    <row r="598">
      <c r="A598" s="2"/>
      <c r="B598" s="8" t="str">
        <f>IFERROR(__xludf.DUMMYFUNCTION("""COMPUTED_VALUE"""),"ROSMA WARDHANI")</f>
        <v>ROSMA WARDHANI</v>
      </c>
      <c r="C598" s="8" t="str">
        <f>IFERROR(__xludf.DUMMYFUNCTION("""COMPUTED_VALUE"""),"R8623085811")</f>
        <v>R8623085811</v>
      </c>
      <c r="D598" s="8">
        <f>IFERROR(__xludf.DUMMYFUNCTION("""COMPUTED_VALUE"""),40.0)</f>
        <v>40</v>
      </c>
      <c r="E598" s="2"/>
    </row>
    <row r="599">
      <c r="A599" s="2"/>
      <c r="B599" s="8" t="str">
        <f>IFERROR(__xludf.DUMMYFUNCTION("""COMPUTED_VALUE"""),"TEMMI")</f>
        <v>TEMMI</v>
      </c>
      <c r="C599" s="8" t="str">
        <f>IFERROR(__xludf.DUMMYFUNCTION("""COMPUTED_VALUE"""),"T9323082998")</f>
        <v>T9323082998</v>
      </c>
      <c r="D599" s="8">
        <f>IFERROR(__xludf.DUMMYFUNCTION("""COMPUTED_VALUE"""),33.0)</f>
        <v>33</v>
      </c>
      <c r="E599" s="2"/>
    </row>
    <row r="600">
      <c r="A600" s="2"/>
      <c r="B600" s="8" t="str">
        <f>IFERROR(__xludf.DUMMYFUNCTION("""COMPUTED_VALUE"""),"BAYUAJI HERLAMBANG")</f>
        <v>BAYUAJI HERLAMBANG</v>
      </c>
      <c r="C600" s="8" t="str">
        <f>IFERROR(__xludf.DUMMYFUNCTION("""COMPUTED_VALUE"""),"B9723088521")</f>
        <v>B9723088521</v>
      </c>
      <c r="D600" s="8">
        <f>IFERROR(__xludf.DUMMYFUNCTION("""COMPUTED_VALUE"""),28.0)</f>
        <v>28</v>
      </c>
      <c r="E600" s="2"/>
    </row>
    <row r="601">
      <c r="A601" s="2"/>
      <c r="B601" s="8" t="str">
        <f>IFERROR(__xludf.DUMMYFUNCTION("""COMPUTED_VALUE"""),"DEVI SUSANTI")</f>
        <v>DEVI SUSANTI</v>
      </c>
      <c r="C601" s="8" t="str">
        <f>IFERROR(__xludf.DUMMYFUNCTION("""COMPUTED_VALUE"""),"D9123086880")</f>
        <v>D9123086880</v>
      </c>
      <c r="D601" s="8">
        <f>IFERROR(__xludf.DUMMYFUNCTION("""COMPUTED_VALUE"""),34.0)</f>
        <v>34</v>
      </c>
      <c r="E601" s="2"/>
    </row>
    <row r="602">
      <c r="A602" s="2"/>
      <c r="B602" s="8" t="str">
        <f>IFERROR(__xludf.DUMMYFUNCTION("""COMPUTED_VALUE"""),"DIDIT CINDARBUMI TZ")</f>
        <v>DIDIT CINDARBUMI TZ</v>
      </c>
      <c r="C602" s="8" t="str">
        <f>IFERROR(__xludf.DUMMYFUNCTION("""COMPUTED_VALUE"""),"D7323087570")</f>
        <v>D7323087570</v>
      </c>
      <c r="D602" s="8">
        <f>IFERROR(__xludf.DUMMYFUNCTION("""COMPUTED_VALUE"""),52.0)</f>
        <v>52</v>
      </c>
      <c r="E602" s="2"/>
    </row>
    <row r="603">
      <c r="A603" s="2"/>
      <c r="B603" s="8" t="str">
        <f>IFERROR(__xludf.DUMMYFUNCTION("""COMPUTED_VALUE"""),"CHARLES JERICHO PANGESTU")</f>
        <v>CHARLES JERICHO PANGESTU</v>
      </c>
      <c r="C603" s="8" t="str">
        <f>IFERROR(__xludf.DUMMYFUNCTION("""COMPUTED_VALUE"""),"C0623081570")</f>
        <v>C0623081570</v>
      </c>
      <c r="D603" s="8">
        <f>IFERROR(__xludf.DUMMYFUNCTION("""COMPUTED_VALUE"""),20.0)</f>
        <v>20</v>
      </c>
      <c r="E603" s="2"/>
    </row>
    <row r="604">
      <c r="A604" s="2"/>
      <c r="B604" s="8" t="str">
        <f>IFERROR(__xludf.DUMMYFUNCTION("""COMPUTED_VALUE"""),"WILLY FERDIAN")</f>
        <v>WILLY FERDIAN</v>
      </c>
      <c r="C604" s="8" t="str">
        <f>IFERROR(__xludf.DUMMYFUNCTION("""COMPUTED_VALUE"""),"W8423086646")</f>
        <v>W8423086646</v>
      </c>
      <c r="D604" s="8">
        <f>IFERROR(__xludf.DUMMYFUNCTION("""COMPUTED_VALUE"""),42.0)</f>
        <v>42</v>
      </c>
      <c r="E604" s="2"/>
    </row>
    <row r="605">
      <c r="A605" s="2"/>
      <c r="B605" s="8" t="str">
        <f>IFERROR(__xludf.DUMMYFUNCTION("""COMPUTED_VALUE"""),"MOHAMMAD BAHY AZKA ADIVA")</f>
        <v>MOHAMMAD BAHY AZKA ADIVA</v>
      </c>
      <c r="C605" s="8" t="str">
        <f>IFERROR(__xludf.DUMMYFUNCTION("""COMPUTED_VALUE"""),"M1123086337")</f>
        <v>M1123086337</v>
      </c>
      <c r="D605" s="8">
        <f>IFERROR(__xludf.DUMMYFUNCTION("""COMPUTED_VALUE"""),15.0)</f>
        <v>15</v>
      </c>
      <c r="E605" s="2"/>
    </row>
    <row r="606">
      <c r="A606" s="2"/>
      <c r="B606" s="8" t="str">
        <f>IFERROR(__xludf.DUMMYFUNCTION("""COMPUTED_VALUE"""),"CAHYO FITRIWATI")</f>
        <v>CAHYO FITRIWATI</v>
      </c>
      <c r="C606" s="8" t="str">
        <f>IFERROR(__xludf.DUMMYFUNCTION("""COMPUTED_VALUE"""),"C9423084401")</f>
        <v>C9423084401</v>
      </c>
      <c r="D606" s="8">
        <f>IFERROR(__xludf.DUMMYFUNCTION("""COMPUTED_VALUE"""),32.0)</f>
        <v>32</v>
      </c>
      <c r="E606" s="2"/>
    </row>
    <row r="607">
      <c r="A607" s="2"/>
      <c r="B607" s="8" t="str">
        <f>IFERROR(__xludf.DUMMYFUNCTION("""COMPUTED_VALUE"""),"ARIEF ADI PURWOKO")</f>
        <v>ARIEF ADI PURWOKO</v>
      </c>
      <c r="C607" s="8" t="str">
        <f>IFERROR(__xludf.DUMMYFUNCTION("""COMPUTED_VALUE"""),"A8623089993")</f>
        <v>A8623089993</v>
      </c>
      <c r="D607" s="8">
        <f>IFERROR(__xludf.DUMMYFUNCTION("""COMPUTED_VALUE"""),40.0)</f>
        <v>40</v>
      </c>
      <c r="E607" s="2"/>
    </row>
    <row r="608">
      <c r="A608" s="2"/>
      <c r="B608" s="8" t="str">
        <f>IFERROR(__xludf.DUMMYFUNCTION("""COMPUTED_VALUE"""),"WINDY EKA PUSPITA")</f>
        <v>WINDY EKA PUSPITA</v>
      </c>
      <c r="C608" s="8" t="str">
        <f>IFERROR(__xludf.DUMMYFUNCTION("""COMPUTED_VALUE"""),"W7823082225")</f>
        <v>W7823082225</v>
      </c>
      <c r="D608" s="8">
        <f>IFERROR(__xludf.DUMMYFUNCTION("""COMPUTED_VALUE"""),48.0)</f>
        <v>48</v>
      </c>
      <c r="E608" s="2"/>
    </row>
    <row r="609">
      <c r="A609" s="2"/>
      <c r="B609" s="8" t="str">
        <f>IFERROR(__xludf.DUMMYFUNCTION("""COMPUTED_VALUE"""),"MERY TRI LESTARI")</f>
        <v>MERY TRI LESTARI</v>
      </c>
      <c r="C609" s="8" t="str">
        <f>IFERROR(__xludf.DUMMYFUNCTION("""COMPUTED_VALUE"""),"M8823080700")</f>
        <v>M8823080700</v>
      </c>
      <c r="D609" s="8">
        <f>IFERROR(__xludf.DUMMYFUNCTION("""COMPUTED_VALUE"""),38.0)</f>
        <v>38</v>
      </c>
      <c r="E609" s="2"/>
    </row>
    <row r="610">
      <c r="A610" s="2"/>
      <c r="B610" s="8" t="str">
        <f>IFERROR(__xludf.DUMMYFUNCTION("""COMPUTED_VALUE"""),"RAHAYU")</f>
        <v>RAHAYU</v>
      </c>
      <c r="C610" s="8" t="str">
        <f>IFERROR(__xludf.DUMMYFUNCTION("""COMPUTED_VALUE"""),"R8923084389")</f>
        <v>R8923084389</v>
      </c>
      <c r="D610" s="8">
        <f>IFERROR(__xludf.DUMMYFUNCTION("""COMPUTED_VALUE"""),37.0)</f>
        <v>37</v>
      </c>
      <c r="E610" s="2"/>
    </row>
    <row r="611">
      <c r="A611" s="2"/>
      <c r="B611" s="8" t="str">
        <f>IFERROR(__xludf.DUMMYFUNCTION("""COMPUTED_VALUE"""),"RIZALDI")</f>
        <v>RIZALDI</v>
      </c>
      <c r="C611" s="8" t="str">
        <f>IFERROR(__xludf.DUMMYFUNCTION("""COMPUTED_VALUE"""),"R8023089939")</f>
        <v>R8023089939</v>
      </c>
      <c r="D611" s="8">
        <f>IFERROR(__xludf.DUMMYFUNCTION("""COMPUTED_VALUE"""),45.0)</f>
        <v>45</v>
      </c>
      <c r="E611" s="2"/>
    </row>
    <row r="612">
      <c r="A612" s="2"/>
      <c r="B612" s="8" t="str">
        <f>IFERROR(__xludf.DUMMYFUNCTION("""COMPUTED_VALUE"""),"ROFEAH")</f>
        <v>ROFEAH</v>
      </c>
      <c r="C612" s="8" t="str">
        <f>IFERROR(__xludf.DUMMYFUNCTION("""COMPUTED_VALUE"""),"R7623086269")</f>
        <v>R7623086269</v>
      </c>
      <c r="D612" s="8">
        <f>IFERROR(__xludf.DUMMYFUNCTION("""COMPUTED_VALUE"""),50.0)</f>
        <v>50</v>
      </c>
      <c r="E612" s="2"/>
    </row>
    <row r="613">
      <c r="A613" s="2"/>
      <c r="B613" s="8" t="str">
        <f>IFERROR(__xludf.DUMMYFUNCTION("""COMPUTED_VALUE"""),"SYARIF RAIHAN RAFISKI")</f>
        <v>SYARIF RAIHAN RAFISKI</v>
      </c>
      <c r="C613" s="8" t="str">
        <f>IFERROR(__xludf.DUMMYFUNCTION("""COMPUTED_VALUE"""),"S1223087980")</f>
        <v>S1223087980</v>
      </c>
      <c r="D613" s="8">
        <f>IFERROR(__xludf.DUMMYFUNCTION("""COMPUTED_VALUE"""),14.0)</f>
        <v>14</v>
      </c>
      <c r="E613" s="2"/>
    </row>
    <row r="614">
      <c r="A614" s="2"/>
      <c r="B614" s="8" t="str">
        <f>IFERROR(__xludf.DUMMYFUNCTION("""COMPUTED_VALUE"""),"DAMASUS JEKI KURNIAWAN")</f>
        <v>DAMASUS JEKI KURNIAWAN</v>
      </c>
      <c r="C614" s="8" t="str">
        <f>IFERROR(__xludf.DUMMYFUNCTION("""COMPUTED_VALUE"""),"D0023081150")</f>
        <v>D0023081150</v>
      </c>
      <c r="D614" s="8">
        <f>IFERROR(__xludf.DUMMYFUNCTION("""COMPUTED_VALUE"""),25.0)</f>
        <v>25</v>
      </c>
      <c r="E614" s="2"/>
    </row>
    <row r="615">
      <c r="A615" s="2"/>
      <c r="B615" s="8" t="str">
        <f>IFERROR(__xludf.DUMMYFUNCTION("""COMPUTED_VALUE"""),"EVI YULIANTI")</f>
        <v>EVI YULIANTI</v>
      </c>
      <c r="C615" s="8" t="str">
        <f>IFERROR(__xludf.DUMMYFUNCTION("""COMPUTED_VALUE"""),"E8123086210")</f>
        <v>E8123086210</v>
      </c>
      <c r="D615" s="8">
        <f>IFERROR(__xludf.DUMMYFUNCTION("""COMPUTED_VALUE"""),45.0)</f>
        <v>45</v>
      </c>
      <c r="E615" s="2"/>
    </row>
    <row r="616">
      <c r="A616" s="2"/>
      <c r="B616" s="8" t="str">
        <f>IFERROR(__xludf.DUMMYFUNCTION("""COMPUTED_VALUE"""),"DEWI SURATININGSIH")</f>
        <v>DEWI SURATININGSIH</v>
      </c>
      <c r="C616" s="8" t="str">
        <f>IFERROR(__xludf.DUMMYFUNCTION("""COMPUTED_VALUE"""),"D8623084543")</f>
        <v>D8623084543</v>
      </c>
      <c r="D616" s="8">
        <f>IFERROR(__xludf.DUMMYFUNCTION("""COMPUTED_VALUE"""),39.0)</f>
        <v>39</v>
      </c>
      <c r="E616" s="2"/>
    </row>
    <row r="617">
      <c r="A617" s="2"/>
      <c r="B617" s="8" t="str">
        <f>IFERROR(__xludf.DUMMYFUNCTION("""COMPUTED_VALUE"""),"FRANSISKUS WAWAS")</f>
        <v>FRANSISKUS WAWAS</v>
      </c>
      <c r="C617" s="8" t="str">
        <f>IFERROR(__xludf.DUMMYFUNCTION("""COMPUTED_VALUE"""),"F6923081022")</f>
        <v>F6923081022</v>
      </c>
      <c r="D617" s="8">
        <f>IFERROR(__xludf.DUMMYFUNCTION("""COMPUTED_VALUE"""),57.0)</f>
        <v>57</v>
      </c>
      <c r="E617" s="2"/>
    </row>
    <row r="618">
      <c r="A618" s="2"/>
      <c r="B618" s="8" t="str">
        <f>IFERROR(__xludf.DUMMYFUNCTION("""COMPUTED_VALUE"""),"ARDIANSYAH PUTRA")</f>
        <v>ARDIANSYAH PUTRA</v>
      </c>
      <c r="C618" s="8" t="str">
        <f>IFERROR(__xludf.DUMMYFUNCTION("""COMPUTED_VALUE"""),"A9523089058")</f>
        <v>A9523089058</v>
      </c>
      <c r="D618" s="8">
        <f>IFERROR(__xludf.DUMMYFUNCTION("""COMPUTED_VALUE"""),31.0)</f>
        <v>31</v>
      </c>
      <c r="E618" s="2"/>
    </row>
    <row r="619">
      <c r="A619" s="2"/>
      <c r="B619" s="8" t="str">
        <f>IFERROR(__xludf.DUMMYFUNCTION("""COMPUTED_VALUE"""),"MILA KARTIKA SARI")</f>
        <v>MILA KARTIKA SARI</v>
      </c>
      <c r="C619" s="8" t="str">
        <f>IFERROR(__xludf.DUMMYFUNCTION("""COMPUTED_VALUE"""),"M8123084021")</f>
        <v>M8123084021</v>
      </c>
      <c r="D619" s="8">
        <f>IFERROR(__xludf.DUMMYFUNCTION("""COMPUTED_VALUE"""),45.0)</f>
        <v>45</v>
      </c>
      <c r="E619" s="2"/>
    </row>
    <row r="620">
      <c r="A620" s="2"/>
      <c r="B620" s="8" t="str">
        <f>IFERROR(__xludf.DUMMYFUNCTION("""COMPUTED_VALUE"""),"YANUAR PRATAMA")</f>
        <v>YANUAR PRATAMA</v>
      </c>
      <c r="C620" s="8" t="str">
        <f>IFERROR(__xludf.DUMMYFUNCTION("""COMPUTED_VALUE"""),"Y9123082005")</f>
        <v>Y9123082005</v>
      </c>
      <c r="D620" s="8">
        <f>IFERROR(__xludf.DUMMYFUNCTION("""COMPUTED_VALUE"""),35.0)</f>
        <v>35</v>
      </c>
      <c r="E620" s="2"/>
    </row>
    <row r="621">
      <c r="A621" s="2"/>
      <c r="B621" s="8" t="str">
        <f>IFERROR(__xludf.DUMMYFUNCTION("""COMPUTED_VALUE"""),"ARYA FARREL GANDHI SAVAGAS")</f>
        <v>ARYA FARREL GANDHI SAVAGAS</v>
      </c>
      <c r="C621" s="8" t="str">
        <f>IFERROR(__xludf.DUMMYFUNCTION("""COMPUTED_VALUE"""),"A0723083784")</f>
        <v>A0723083784</v>
      </c>
      <c r="D621" s="8">
        <f>IFERROR(__xludf.DUMMYFUNCTION("""COMPUTED_VALUE"""),19.0)</f>
        <v>19</v>
      </c>
      <c r="E621" s="2"/>
    </row>
    <row r="622">
      <c r="A622" s="2"/>
      <c r="B622" s="8" t="str">
        <f>IFERROR(__xludf.DUMMYFUNCTION("""COMPUTED_VALUE"""),"EKO YULI PRIANTO")</f>
        <v>EKO YULI PRIANTO</v>
      </c>
      <c r="C622" s="8" t="str">
        <f>IFERROR(__xludf.DUMMYFUNCTION("""COMPUTED_VALUE"""),"E8523084694")</f>
        <v>E8523084694</v>
      </c>
      <c r="D622" s="8">
        <f>IFERROR(__xludf.DUMMYFUNCTION("""COMPUTED_VALUE"""),40.0)</f>
        <v>40</v>
      </c>
      <c r="E622" s="2"/>
    </row>
    <row r="623">
      <c r="A623" s="2"/>
      <c r="B623" s="8" t="str">
        <f>IFERROR(__xludf.DUMMYFUNCTION("""COMPUTED_VALUE"""),"FRIKANTI SIREGAR")</f>
        <v>FRIKANTI SIREGAR</v>
      </c>
      <c r="C623" s="8" t="str">
        <f>IFERROR(__xludf.DUMMYFUNCTION("""COMPUTED_VALUE"""),"F7023084258")</f>
        <v>F7023084258</v>
      </c>
      <c r="D623" s="8">
        <f>IFERROR(__xludf.DUMMYFUNCTION("""COMPUTED_VALUE"""),56.0)</f>
        <v>56</v>
      </c>
      <c r="E623" s="2"/>
    </row>
    <row r="624">
      <c r="A624" s="2"/>
      <c r="B624" s="8" t="str">
        <f>IFERROR(__xludf.DUMMYFUNCTION("""COMPUTED_VALUE"""),"MUHAMMAD AZRIEL PASHA RYVEL")</f>
        <v>MUHAMMAD AZRIEL PASHA RYVEL</v>
      </c>
      <c r="C624" s="8" t="str">
        <f>IFERROR(__xludf.DUMMYFUNCTION("""COMPUTED_VALUE"""),"M0623082859")</f>
        <v>M0623082859</v>
      </c>
      <c r="D624" s="8">
        <f>IFERROR(__xludf.DUMMYFUNCTION("""COMPUTED_VALUE"""),19.0)</f>
        <v>19</v>
      </c>
      <c r="E624" s="2"/>
    </row>
    <row r="625">
      <c r="A625" s="2"/>
      <c r="B625" s="8" t="str">
        <f>IFERROR(__xludf.DUMMYFUNCTION("""COMPUTED_VALUE"""),"RICKY VALENT")</f>
        <v>RICKY VALENT</v>
      </c>
      <c r="C625" s="8" t="str">
        <f>IFERROR(__xludf.DUMMYFUNCTION("""COMPUTED_VALUE"""),"R0123085464")</f>
        <v>R0123085464</v>
      </c>
      <c r="D625" s="8">
        <f>IFERROR(__xludf.DUMMYFUNCTION("""COMPUTED_VALUE"""),25.0)</f>
        <v>25</v>
      </c>
      <c r="E625" s="2"/>
    </row>
    <row r="626">
      <c r="A626" s="2"/>
      <c r="B626" s="8" t="str">
        <f>IFERROR(__xludf.DUMMYFUNCTION("""COMPUTED_VALUE"""),"MUKHLIS")</f>
        <v>MUKHLIS</v>
      </c>
      <c r="C626" s="8" t="str">
        <f>IFERROR(__xludf.DUMMYFUNCTION("""COMPUTED_VALUE"""),"M9423083585")</f>
        <v>M9423083585</v>
      </c>
      <c r="D626" s="8">
        <f>IFERROR(__xludf.DUMMYFUNCTION("""COMPUTED_VALUE"""),32.0)</f>
        <v>32</v>
      </c>
      <c r="E626" s="2"/>
    </row>
    <row r="627">
      <c r="A627" s="2"/>
      <c r="B627" s="8" t="str">
        <f>IFERROR(__xludf.DUMMYFUNCTION("""COMPUTED_VALUE"""),"JIMMY ALVINDO SULIANTO")</f>
        <v>JIMMY ALVINDO SULIANTO</v>
      </c>
      <c r="C627" s="8" t="str">
        <f>IFERROR(__xludf.DUMMYFUNCTION("""COMPUTED_VALUE"""),"J9523088191")</f>
        <v>J9523088191</v>
      </c>
      <c r="D627" s="8">
        <f>IFERROR(__xludf.DUMMYFUNCTION("""COMPUTED_VALUE"""),30.0)</f>
        <v>30</v>
      </c>
      <c r="E627" s="2"/>
    </row>
    <row r="628">
      <c r="A628" s="2"/>
      <c r="B628" s="8" t="str">
        <f>IFERROR(__xludf.DUMMYFUNCTION("""COMPUTED_VALUE"""),"ALDO PUTRA DERMAWAN")</f>
        <v>ALDO PUTRA DERMAWAN</v>
      </c>
      <c r="C628" s="8" t="str">
        <f>IFERROR(__xludf.DUMMYFUNCTION("""COMPUTED_VALUE"""),"A1423086916")</f>
        <v>A1423086916</v>
      </c>
      <c r="D628" s="8">
        <f>IFERROR(__xludf.DUMMYFUNCTION("""COMPUTED_VALUE"""),11.0)</f>
        <v>11</v>
      </c>
      <c r="E628" s="2"/>
    </row>
    <row r="629">
      <c r="A629" s="2"/>
      <c r="B629" s="8" t="str">
        <f>IFERROR(__xludf.DUMMYFUNCTION("""COMPUTED_VALUE"""),"SUNANDAR")</f>
        <v>SUNANDAR</v>
      </c>
      <c r="C629" s="8" t="str">
        <f>IFERROR(__xludf.DUMMYFUNCTION("""COMPUTED_VALUE"""),"S7123082154")</f>
        <v>S7123082154</v>
      </c>
      <c r="D629" s="8">
        <f>IFERROR(__xludf.DUMMYFUNCTION("""COMPUTED_VALUE"""),54.0)</f>
        <v>54</v>
      </c>
      <c r="E629" s="2"/>
    </row>
    <row r="630">
      <c r="A630" s="2"/>
      <c r="B630" s="8" t="str">
        <f>IFERROR(__xludf.DUMMYFUNCTION("""COMPUTED_VALUE"""),"MONA DEWANTI")</f>
        <v>MONA DEWANTI</v>
      </c>
      <c r="C630" s="8" t="str">
        <f>IFERROR(__xludf.DUMMYFUNCTION("""COMPUTED_VALUE"""),"M0223089059")</f>
        <v>M0223089059</v>
      </c>
      <c r="D630" s="8">
        <f>IFERROR(__xludf.DUMMYFUNCTION("""COMPUTED_VALUE"""),24.0)</f>
        <v>24</v>
      </c>
      <c r="E630" s="2"/>
    </row>
    <row r="631">
      <c r="A631" s="2"/>
      <c r="B631" s="8" t="str">
        <f>IFERROR(__xludf.DUMMYFUNCTION("""COMPUTED_VALUE"""),"WARSONO")</f>
        <v>WARSONO</v>
      </c>
      <c r="C631" s="8" t="str">
        <f>IFERROR(__xludf.DUMMYFUNCTION("""COMPUTED_VALUE"""),"W2323080567")</f>
        <v>W2323080567</v>
      </c>
      <c r="D631" s="8">
        <f>IFERROR(__xludf.DUMMYFUNCTION("""COMPUTED_VALUE"""),2.0)</f>
        <v>2</v>
      </c>
      <c r="E631" s="2"/>
    </row>
    <row r="632">
      <c r="A632" s="2"/>
      <c r="B632" s="8" t="str">
        <f>IFERROR(__xludf.DUMMYFUNCTION("""COMPUTED_VALUE"""),"HANDY")</f>
        <v>HANDY</v>
      </c>
      <c r="C632" s="8" t="str">
        <f>IFERROR(__xludf.DUMMYFUNCTION("""COMPUTED_VALUE"""),"H8723086555")</f>
        <v>H8723086555</v>
      </c>
      <c r="D632" s="8">
        <f>IFERROR(__xludf.DUMMYFUNCTION("""COMPUTED_VALUE"""),38.0)</f>
        <v>38</v>
      </c>
      <c r="E632" s="2"/>
    </row>
    <row r="633">
      <c r="A633" s="2"/>
      <c r="B633" s="8" t="str">
        <f>IFERROR(__xludf.DUMMYFUNCTION("""COMPUTED_VALUE"""),"EDI CAHYONO")</f>
        <v>EDI CAHYONO</v>
      </c>
      <c r="C633" s="8" t="str">
        <f>IFERROR(__xludf.DUMMYFUNCTION("""COMPUTED_VALUE"""),"E7623081888")</f>
        <v>E7623081888</v>
      </c>
      <c r="D633" s="8">
        <f>IFERROR(__xludf.DUMMYFUNCTION("""COMPUTED_VALUE"""),50.0)</f>
        <v>50</v>
      </c>
      <c r="E633" s="2"/>
    </row>
    <row r="634">
      <c r="A634" s="2"/>
      <c r="B634" s="8" t="str">
        <f>IFERROR(__xludf.DUMMYFUNCTION("""COMPUTED_VALUE"""),"WITA DAMAYANTI")</f>
        <v>WITA DAMAYANTI</v>
      </c>
      <c r="C634" s="8" t="str">
        <f>IFERROR(__xludf.DUMMYFUNCTION("""COMPUTED_VALUE"""),"W0623083242")</f>
        <v>W0623083242</v>
      </c>
      <c r="D634" s="8">
        <f>IFERROR(__xludf.DUMMYFUNCTION("""COMPUTED_VALUE"""),20.0)</f>
        <v>20</v>
      </c>
      <c r="E634" s="2"/>
    </row>
    <row r="635">
      <c r="A635" s="2"/>
      <c r="B635" s="8" t="str">
        <f>IFERROR(__xludf.DUMMYFUNCTION("""COMPUTED_VALUE"""),"ENDIH SUPANDIH")</f>
        <v>ENDIH SUPANDIH</v>
      </c>
      <c r="C635" s="8" t="str">
        <f>IFERROR(__xludf.DUMMYFUNCTION("""COMPUTED_VALUE"""),"E7523087500")</f>
        <v>E7523087500</v>
      </c>
      <c r="D635" s="8">
        <f>IFERROR(__xludf.DUMMYFUNCTION("""COMPUTED_VALUE"""),51.0)</f>
        <v>51</v>
      </c>
      <c r="E635" s="2"/>
    </row>
    <row r="636">
      <c r="A636" s="2"/>
      <c r="B636" s="8" t="str">
        <f>IFERROR(__xludf.DUMMYFUNCTION("""COMPUTED_VALUE"""),"TUNIAH")</f>
        <v>TUNIAH</v>
      </c>
      <c r="C636" s="8" t="str">
        <f>IFERROR(__xludf.DUMMYFUNCTION("""COMPUTED_VALUE"""),"T7023085170")</f>
        <v>T7023085170</v>
      </c>
      <c r="D636" s="8">
        <f>IFERROR(__xludf.DUMMYFUNCTION("""COMPUTED_VALUE"""),55.0)</f>
        <v>55</v>
      </c>
      <c r="E636" s="2"/>
    </row>
    <row r="637">
      <c r="A637" s="2"/>
      <c r="B637" s="8" t="str">
        <f>IFERROR(__xludf.DUMMYFUNCTION("""COMPUTED_VALUE"""),"JULINA LIAUW")</f>
        <v>JULINA LIAUW</v>
      </c>
      <c r="C637" s="8" t="str">
        <f>IFERROR(__xludf.DUMMYFUNCTION("""COMPUTED_VALUE"""),"J8323083267")</f>
        <v>J8323083267</v>
      </c>
      <c r="D637" s="8">
        <f>IFERROR(__xludf.DUMMYFUNCTION("""COMPUTED_VALUE"""),43.0)</f>
        <v>43</v>
      </c>
      <c r="E637" s="2"/>
    </row>
    <row r="638">
      <c r="A638" s="2"/>
      <c r="B638" s="8" t="str">
        <f>IFERROR(__xludf.DUMMYFUNCTION("""COMPUTED_VALUE"""),"JOAQUIN FERDINAND")</f>
        <v>JOAQUIN FERDINAND</v>
      </c>
      <c r="C638" s="8" t="str">
        <f>IFERROR(__xludf.DUMMYFUNCTION("""COMPUTED_VALUE"""),"J0723085998")</f>
        <v>J0723085998</v>
      </c>
      <c r="D638" s="8">
        <f>IFERROR(__xludf.DUMMYFUNCTION("""COMPUTED_VALUE"""),18.0)</f>
        <v>18</v>
      </c>
      <c r="E638" s="2"/>
    </row>
    <row r="639">
      <c r="A639" s="2"/>
      <c r="B639" s="8" t="str">
        <f>IFERROR(__xludf.DUMMYFUNCTION("""COMPUTED_VALUE"""),"SATRIYADI")</f>
        <v>SATRIYADI</v>
      </c>
      <c r="C639" s="8" t="str">
        <f>IFERROR(__xludf.DUMMYFUNCTION("""COMPUTED_VALUE"""),"S7623085562")</f>
        <v>S7623085562</v>
      </c>
      <c r="D639" s="8">
        <f>IFERROR(__xludf.DUMMYFUNCTION("""COMPUTED_VALUE"""),49.0)</f>
        <v>49</v>
      </c>
      <c r="E639" s="2"/>
    </row>
    <row r="640">
      <c r="A640" s="2"/>
      <c r="B640" s="8" t="str">
        <f>IFERROR(__xludf.DUMMYFUNCTION("""COMPUTED_VALUE"""),"ALEXANDER YANSENS")</f>
        <v>ALEXANDER YANSENS</v>
      </c>
      <c r="C640" s="8" t="str">
        <f>IFERROR(__xludf.DUMMYFUNCTION("""COMPUTED_VALUE"""),"A5823084577")</f>
        <v>A5823084577</v>
      </c>
      <c r="D640" s="8">
        <f>IFERROR(__xludf.DUMMYFUNCTION("""COMPUTED_VALUE"""),68.0)</f>
        <v>68</v>
      </c>
      <c r="E640" s="2"/>
    </row>
    <row r="641">
      <c r="A641" s="2"/>
      <c r="B641" s="8" t="str">
        <f>IFERROR(__xludf.DUMMYFUNCTION("""COMPUTED_VALUE"""),"LISA RAYANI SUJANA")</f>
        <v>LISA RAYANI SUJANA</v>
      </c>
      <c r="C641" s="8" t="str">
        <f>IFERROR(__xludf.DUMMYFUNCTION("""COMPUTED_VALUE"""),"L9523086667")</f>
        <v>L9523086667</v>
      </c>
      <c r="D641" s="8">
        <f>IFERROR(__xludf.DUMMYFUNCTION("""COMPUTED_VALUE"""),31.0)</f>
        <v>31</v>
      </c>
      <c r="E641" s="2"/>
    </row>
    <row r="642">
      <c r="A642" s="2"/>
      <c r="B642" s="8" t="str">
        <f>IFERROR(__xludf.DUMMYFUNCTION("""COMPUTED_VALUE"""),"ADITYA MULYA HAMIDZAN")</f>
        <v>ADITYA MULYA HAMIDZAN</v>
      </c>
      <c r="C642" s="8" t="str">
        <f>IFERROR(__xludf.DUMMYFUNCTION("""COMPUTED_VALUE"""),"A1423081427")</f>
        <v>A1423081427</v>
      </c>
      <c r="D642" s="8">
        <f>IFERROR(__xludf.DUMMYFUNCTION("""COMPUTED_VALUE"""),11.0)</f>
        <v>11</v>
      </c>
      <c r="E642" s="2"/>
    </row>
    <row r="643">
      <c r="A643" s="2"/>
      <c r="B643" s="8" t="str">
        <f>IFERROR(__xludf.DUMMYFUNCTION("""COMPUTED_VALUE"""),"SAMUELSON GILBERT SINAGA")</f>
        <v>SAMUELSON GILBERT SINAGA</v>
      </c>
      <c r="C643" s="8" t="str">
        <f>IFERROR(__xludf.DUMMYFUNCTION("""COMPUTED_VALUE"""),"S0323081644")</f>
        <v>S0323081644</v>
      </c>
      <c r="D643" s="8">
        <f>IFERROR(__xludf.DUMMYFUNCTION("""COMPUTED_VALUE"""),22.0)</f>
        <v>22</v>
      </c>
      <c r="E643" s="2"/>
    </row>
    <row r="644">
      <c r="A644" s="2"/>
      <c r="B644" s="8" t="str">
        <f>IFERROR(__xludf.DUMMYFUNCTION("""COMPUTED_VALUE"""),"MUHAMMAD RAIHAN")</f>
        <v>MUHAMMAD RAIHAN</v>
      </c>
      <c r="C644" s="8" t="str">
        <f>IFERROR(__xludf.DUMMYFUNCTION("""COMPUTED_VALUE"""),"M9723088679")</f>
        <v>M9723088679</v>
      </c>
      <c r="D644" s="8">
        <f>IFERROR(__xludf.DUMMYFUNCTION("""COMPUTED_VALUE"""),28.0)</f>
        <v>28</v>
      </c>
      <c r="E644" s="2"/>
    </row>
    <row r="645">
      <c r="A645" s="2"/>
      <c r="B645" s="8" t="str">
        <f>IFERROR(__xludf.DUMMYFUNCTION("""COMPUTED_VALUE"""),"FIKRI AKIFA PERMANA")</f>
        <v>FIKRI AKIFA PERMANA</v>
      </c>
      <c r="C645" s="8" t="str">
        <f>IFERROR(__xludf.DUMMYFUNCTION("""COMPUTED_VALUE"""),"F0423083055")</f>
        <v>F0423083055</v>
      </c>
      <c r="D645" s="8">
        <f>IFERROR(__xludf.DUMMYFUNCTION("""COMPUTED_VALUE"""),21.0)</f>
        <v>21</v>
      </c>
      <c r="E645" s="2"/>
    </row>
    <row r="646">
      <c r="A646" s="2"/>
      <c r="B646" s="8" t="str">
        <f>IFERROR(__xludf.DUMMYFUNCTION("""COMPUTED_VALUE"""),"ANGGA WIYONO")</f>
        <v>ANGGA WIYONO</v>
      </c>
      <c r="C646" s="8" t="str">
        <f>IFERROR(__xludf.DUMMYFUNCTION("""COMPUTED_VALUE"""),"A9523086008")</f>
        <v>A9523086008</v>
      </c>
      <c r="D646" s="8">
        <f>IFERROR(__xludf.DUMMYFUNCTION("""COMPUTED_VALUE"""),31.0)</f>
        <v>31</v>
      </c>
      <c r="E646" s="2"/>
    </row>
    <row r="647">
      <c r="A647" s="2"/>
      <c r="B647" s="8" t="str">
        <f>IFERROR(__xludf.DUMMYFUNCTION("""COMPUTED_VALUE"""),"LUHUR FARAYTODI")</f>
        <v>LUHUR FARAYTODI</v>
      </c>
      <c r="C647" s="8" t="str">
        <f>IFERROR(__xludf.DUMMYFUNCTION("""COMPUTED_VALUE"""),"L7923085495")</f>
        <v>L7923085495</v>
      </c>
      <c r="D647" s="8">
        <f>IFERROR(__xludf.DUMMYFUNCTION("""COMPUTED_VALUE"""),46.0)</f>
        <v>46</v>
      </c>
      <c r="E647" s="2"/>
    </row>
    <row r="648">
      <c r="A648" s="2"/>
      <c r="B648" s="8" t="str">
        <f>IFERROR(__xludf.DUMMYFUNCTION("""COMPUTED_VALUE"""),"NAZWA ATHAYA RAMADHANI")</f>
        <v>NAZWA ATHAYA RAMADHANI</v>
      </c>
      <c r="C648" s="8" t="str">
        <f>IFERROR(__xludf.DUMMYFUNCTION("""COMPUTED_VALUE"""),"N0623082779")</f>
        <v>N0623082779</v>
      </c>
      <c r="D648" s="8">
        <f>IFERROR(__xludf.DUMMYFUNCTION("""COMPUTED_VALUE"""),19.0)</f>
        <v>19</v>
      </c>
      <c r="E648" s="2"/>
    </row>
    <row r="649">
      <c r="A649" s="2"/>
      <c r="B649" s="8" t="str">
        <f>IFERROR(__xludf.DUMMYFUNCTION("""COMPUTED_VALUE"""),"YOSEVIN EVI")</f>
        <v>YOSEVIN EVI</v>
      </c>
      <c r="C649" s="8" t="str">
        <f>IFERROR(__xludf.DUMMYFUNCTION("""COMPUTED_VALUE"""),"Y7423082591")</f>
        <v>Y7423082591</v>
      </c>
      <c r="D649" s="8">
        <f>IFERROR(__xludf.DUMMYFUNCTION("""COMPUTED_VALUE"""),52.0)</f>
        <v>52</v>
      </c>
      <c r="E649" s="2"/>
    </row>
    <row r="650">
      <c r="A650" s="2"/>
      <c r="B650" s="8" t="str">
        <f>IFERROR(__xludf.DUMMYFUNCTION("""COMPUTED_VALUE"""),"SUMADI PHUANTINUS")</f>
        <v>SUMADI PHUANTINUS</v>
      </c>
      <c r="C650" s="8" t="str">
        <f>IFERROR(__xludf.DUMMYFUNCTION("""COMPUTED_VALUE"""),"S7123080288")</f>
        <v>S7123080288</v>
      </c>
      <c r="D650" s="8">
        <f>IFERROR(__xludf.DUMMYFUNCTION("""COMPUTED_VALUE"""),55.0)</f>
        <v>55</v>
      </c>
      <c r="E650" s="2"/>
    </row>
    <row r="651">
      <c r="A651" s="2"/>
      <c r="B651" s="8" t="str">
        <f>IFERROR(__xludf.DUMMYFUNCTION("""COMPUTED_VALUE"""),"ANDRY SUSANTO")</f>
        <v>ANDRY SUSANTO</v>
      </c>
      <c r="C651" s="8" t="str">
        <f>IFERROR(__xludf.DUMMYFUNCTION("""COMPUTED_VALUE"""),"A8223089383")</f>
        <v>A8223089383</v>
      </c>
      <c r="D651" s="8">
        <f>IFERROR(__xludf.DUMMYFUNCTION("""COMPUTED_VALUE"""),43.0)</f>
        <v>43</v>
      </c>
      <c r="E651" s="2"/>
    </row>
    <row r="652">
      <c r="A652" s="2"/>
      <c r="B652" s="8" t="str">
        <f>IFERROR(__xludf.DUMMYFUNCTION("""COMPUTED_VALUE"""),"CUT NASRULI AZARIA")</f>
        <v>CUT NASRULI AZARIA</v>
      </c>
      <c r="C652" s="8" t="str">
        <f>IFERROR(__xludf.DUMMYFUNCTION("""COMPUTED_VALUE"""),"C9423082008")</f>
        <v>C9423082008</v>
      </c>
      <c r="D652" s="8">
        <f>IFERROR(__xludf.DUMMYFUNCTION("""COMPUTED_VALUE"""),31.0)</f>
        <v>31</v>
      </c>
      <c r="E652" s="2"/>
    </row>
    <row r="653">
      <c r="A653" s="2"/>
      <c r="B653" s="8" t="str">
        <f>IFERROR(__xludf.DUMMYFUNCTION("""COMPUTED_VALUE"""),"MEIGA FITRIANTI")</f>
        <v>MEIGA FITRIANTI</v>
      </c>
      <c r="C653" s="8" t="str">
        <f>IFERROR(__xludf.DUMMYFUNCTION("""COMPUTED_VALUE"""),"M8823080525")</f>
        <v>M8823080525</v>
      </c>
      <c r="D653" s="8">
        <f>IFERROR(__xludf.DUMMYFUNCTION("""COMPUTED_VALUE"""),38.0)</f>
        <v>38</v>
      </c>
      <c r="E653" s="2"/>
    </row>
    <row r="654">
      <c r="A654" s="2"/>
      <c r="B654" s="8" t="str">
        <f>IFERROR(__xludf.DUMMYFUNCTION("""COMPUTED_VALUE"""),"RAMLI HAJAR.")</f>
        <v>RAMLI HAJAR.</v>
      </c>
      <c r="C654" s="8" t="str">
        <f>IFERROR(__xludf.DUMMYFUNCTION("""COMPUTED_VALUE"""),"R6923083243")</f>
        <v>R6923083243</v>
      </c>
      <c r="D654" s="8">
        <f>IFERROR(__xludf.DUMMYFUNCTION("""COMPUTED_VALUE"""),56.0)</f>
        <v>56</v>
      </c>
      <c r="E654" s="2"/>
    </row>
    <row r="655">
      <c r="A655" s="2"/>
      <c r="B655" s="8" t="str">
        <f>IFERROR(__xludf.DUMMYFUNCTION("""COMPUTED_VALUE"""),"ADIKA RAMADHANI")</f>
        <v>ADIKA RAMADHANI</v>
      </c>
      <c r="C655" s="8" t="str">
        <f>IFERROR(__xludf.DUMMYFUNCTION("""COMPUTED_VALUE"""),"A1023089919")</f>
        <v>A1023089919</v>
      </c>
      <c r="D655" s="8">
        <f>IFERROR(__xludf.DUMMYFUNCTION("""COMPUTED_VALUE"""),15.0)</f>
        <v>15</v>
      </c>
      <c r="E655" s="2"/>
    </row>
    <row r="656">
      <c r="A656" s="2"/>
      <c r="B656" s="8" t="str">
        <f>IFERROR(__xludf.DUMMYFUNCTION("""COMPUTED_VALUE"""),"ELMO RIALDY ARWANDA")</f>
        <v>ELMO RIALDY ARWANDA</v>
      </c>
      <c r="C656" s="8" t="str">
        <f>IFERROR(__xludf.DUMMYFUNCTION("""COMPUTED_VALUE"""),"E9923089144")</f>
        <v>E9923089144</v>
      </c>
      <c r="D656" s="8">
        <f>IFERROR(__xludf.DUMMYFUNCTION("""COMPUTED_VALUE"""),26.0)</f>
        <v>26</v>
      </c>
      <c r="E656" s="2"/>
    </row>
    <row r="657">
      <c r="A657" s="2"/>
      <c r="B657" s="8" t="str">
        <f>IFERROR(__xludf.DUMMYFUNCTION("""COMPUTED_VALUE"""),"TRI WIBOWO 8009")</f>
        <v>TRI WIBOWO 8009</v>
      </c>
      <c r="C657" s="8" t="str">
        <f>IFERROR(__xludf.DUMMYFUNCTION("""COMPUTED_VALUE"""),"T8023087071")</f>
        <v>T8023087071</v>
      </c>
      <c r="D657" s="8">
        <f>IFERROR(__xludf.DUMMYFUNCTION("""COMPUTED_VALUE"""),45.0)</f>
        <v>45</v>
      </c>
      <c r="E657" s="2"/>
    </row>
    <row r="658">
      <c r="A658" s="2"/>
      <c r="B658" s="8" t="str">
        <f>IFERROR(__xludf.DUMMYFUNCTION("""COMPUTED_VALUE"""),"PORNOMO SUGANDA")</f>
        <v>PORNOMO SUGANDA</v>
      </c>
      <c r="C658" s="8" t="str">
        <f>IFERROR(__xludf.DUMMYFUNCTION("""COMPUTED_VALUE"""),"P6323085737")</f>
        <v>P6323085737</v>
      </c>
      <c r="D658" s="8">
        <f>IFERROR(__xludf.DUMMYFUNCTION("""COMPUTED_VALUE"""),62.0)</f>
        <v>62</v>
      </c>
      <c r="E658" s="2"/>
    </row>
    <row r="659">
      <c r="A659" s="2"/>
      <c r="B659" s="8" t="str">
        <f>IFERROR(__xludf.DUMMYFUNCTION("""COMPUTED_VALUE"""),"RESTI TRI YULIANINGSIH")</f>
        <v>RESTI TRI YULIANINGSIH</v>
      </c>
      <c r="C659" s="8" t="str">
        <f>IFERROR(__xludf.DUMMYFUNCTION("""COMPUTED_VALUE"""),"R9023080345")</f>
        <v>R9023080345</v>
      </c>
      <c r="D659" s="8">
        <f>IFERROR(__xludf.DUMMYFUNCTION("""COMPUTED_VALUE"""),36.0)</f>
        <v>36</v>
      </c>
      <c r="E659" s="2"/>
    </row>
    <row r="660">
      <c r="A660" s="2"/>
      <c r="B660" s="8" t="str">
        <f>IFERROR(__xludf.DUMMYFUNCTION("""COMPUTED_VALUE"""),"SYAHNIARTI")</f>
        <v>SYAHNIARTI</v>
      </c>
      <c r="C660" s="8" t="str">
        <f>IFERROR(__xludf.DUMMYFUNCTION("""COMPUTED_VALUE"""),"S6623087536")</f>
        <v>S6623087536</v>
      </c>
      <c r="D660" s="8">
        <f>IFERROR(__xludf.DUMMYFUNCTION("""COMPUTED_VALUE"""),59.0)</f>
        <v>59</v>
      </c>
      <c r="E660" s="2"/>
    </row>
    <row r="661">
      <c r="A661" s="2"/>
      <c r="B661" s="8" t="str">
        <f>IFERROR(__xludf.DUMMYFUNCTION("""COMPUTED_VALUE"""),"ALWIS ASIDIQ")</f>
        <v>ALWIS ASIDIQ</v>
      </c>
      <c r="C661" s="8" t="str">
        <f>IFERROR(__xludf.DUMMYFUNCTION("""COMPUTED_VALUE"""),"A9523087885")</f>
        <v>A9523087885</v>
      </c>
      <c r="D661" s="8">
        <f>IFERROR(__xludf.DUMMYFUNCTION("""COMPUTED_VALUE"""),30.0)</f>
        <v>30</v>
      </c>
      <c r="E661" s="2"/>
    </row>
    <row r="662">
      <c r="A662" s="2"/>
      <c r="B662" s="8" t="str">
        <f>IFERROR(__xludf.DUMMYFUNCTION("""COMPUTED_VALUE"""),"RAMDHALITA")</f>
        <v>RAMDHALITA</v>
      </c>
      <c r="C662" s="8" t="str">
        <f>IFERROR(__xludf.DUMMYFUNCTION("""COMPUTED_VALUE"""),"R7123082320")</f>
        <v>R7123082320</v>
      </c>
      <c r="D662" s="8">
        <f>IFERROR(__xludf.DUMMYFUNCTION("""COMPUTED_VALUE"""),54.0)</f>
        <v>54</v>
      </c>
      <c r="E662" s="2"/>
    </row>
    <row r="663">
      <c r="A663" s="2"/>
      <c r="B663" s="8" t="str">
        <f>IFERROR(__xludf.DUMMYFUNCTION("""COMPUTED_VALUE"""),"ELIS PIRUS")</f>
        <v>ELIS PIRUS</v>
      </c>
      <c r="C663" s="8" t="str">
        <f>IFERROR(__xludf.DUMMYFUNCTION("""COMPUTED_VALUE"""),"E6423082492")</f>
        <v>E6423082492</v>
      </c>
      <c r="D663" s="8">
        <f>IFERROR(__xludf.DUMMYFUNCTION("""COMPUTED_VALUE"""),61.0)</f>
        <v>61</v>
      </c>
      <c r="E663" s="2"/>
    </row>
    <row r="664">
      <c r="A664" s="2"/>
      <c r="B664" s="8" t="str">
        <f>IFERROR(__xludf.DUMMYFUNCTION("""COMPUTED_VALUE"""),"ADI BAGUS JUNIYANTO")</f>
        <v>ADI BAGUS JUNIYANTO</v>
      </c>
      <c r="C664" s="8" t="str">
        <f>IFERROR(__xludf.DUMMYFUNCTION("""COMPUTED_VALUE"""),"A0523081876")</f>
        <v>A0523081876</v>
      </c>
      <c r="D664" s="8">
        <f>IFERROR(__xludf.DUMMYFUNCTION("""COMPUTED_VALUE"""),21.0)</f>
        <v>21</v>
      </c>
      <c r="E664" s="2"/>
    </row>
    <row r="665">
      <c r="A665" s="2"/>
      <c r="B665" s="8" t="str">
        <f>IFERROR(__xludf.DUMMYFUNCTION("""COMPUTED_VALUE"""),"NELI")</f>
        <v>NELI</v>
      </c>
      <c r="C665" s="8" t="str">
        <f>IFERROR(__xludf.DUMMYFUNCTION("""COMPUTED_VALUE"""),"N8923098328")</f>
        <v>N8923098328</v>
      </c>
      <c r="D665" s="8">
        <f>IFERROR(__xludf.DUMMYFUNCTION("""COMPUTED_VALUE"""),36.0)</f>
        <v>36</v>
      </c>
      <c r="E665" s="2"/>
    </row>
    <row r="666">
      <c r="A666" s="2"/>
      <c r="B666" s="8" t="str">
        <f>IFERROR(__xludf.DUMMYFUNCTION("""COMPUTED_VALUE"""),"MUHAMMAD ARIF MANTIKO")</f>
        <v>MUHAMMAD ARIF MANTIKO</v>
      </c>
      <c r="C666" s="8" t="str">
        <f>IFERROR(__xludf.DUMMYFUNCTION("""COMPUTED_VALUE"""),"M9523097776")</f>
        <v>M9523097776</v>
      </c>
      <c r="D666" s="8">
        <f>IFERROR(__xludf.DUMMYFUNCTION("""COMPUTED_VALUE"""),31.0)</f>
        <v>31</v>
      </c>
      <c r="E666" s="2"/>
    </row>
    <row r="667">
      <c r="A667" s="2"/>
      <c r="B667" s="8" t="str">
        <f>IFERROR(__xludf.DUMMYFUNCTION("""COMPUTED_VALUE"""),"MASRIL")</f>
        <v>MASRIL</v>
      </c>
      <c r="C667" s="8" t="str">
        <f>IFERROR(__xludf.DUMMYFUNCTION("""COMPUTED_VALUE"""),"M5823090064")</f>
        <v>M5823090064</v>
      </c>
      <c r="D667" s="8">
        <f>IFERROR(__xludf.DUMMYFUNCTION("""COMPUTED_VALUE"""),68.0)</f>
        <v>68</v>
      </c>
      <c r="E667" s="2"/>
    </row>
    <row r="668">
      <c r="A668" s="2"/>
      <c r="B668" s="8" t="str">
        <f>IFERROR(__xludf.DUMMYFUNCTION("""COMPUTED_VALUE"""),"JIMIATI")</f>
        <v>JIMIATI</v>
      </c>
      <c r="C668" s="8" t="str">
        <f>IFERROR(__xludf.DUMMYFUNCTION("""COMPUTED_VALUE"""),"J8823092700")</f>
        <v>J8823092700</v>
      </c>
      <c r="D668" s="8">
        <f>IFERROR(__xludf.DUMMYFUNCTION("""COMPUTED_VALUE"""),38.0)</f>
        <v>38</v>
      </c>
      <c r="E668" s="2"/>
    </row>
    <row r="669">
      <c r="A669" s="2"/>
      <c r="B669" s="8" t="str">
        <f>IFERROR(__xludf.DUMMYFUNCTION("""COMPUTED_VALUE"""),"GRACIO WYATT LIM")</f>
        <v>GRACIO WYATT LIM</v>
      </c>
      <c r="C669" s="8" t="str">
        <f>IFERROR(__xludf.DUMMYFUNCTION("""COMPUTED_VALUE"""),"G1223092700")</f>
        <v>G1223092700</v>
      </c>
      <c r="D669" s="8">
        <f>IFERROR(__xludf.DUMMYFUNCTION("""COMPUTED_VALUE"""),14.0)</f>
        <v>14</v>
      </c>
      <c r="E669" s="2"/>
    </row>
    <row r="670">
      <c r="A670" s="2"/>
      <c r="B670" s="8" t="str">
        <f>IFERROR(__xludf.DUMMYFUNCTION("""COMPUTED_VALUE"""),"GALIH AULIA AKBAR")</f>
        <v>GALIH AULIA AKBAR</v>
      </c>
      <c r="C670" s="8" t="str">
        <f>IFERROR(__xludf.DUMMYFUNCTION("""COMPUTED_VALUE"""),"G8423095758")</f>
        <v>G8423095758</v>
      </c>
      <c r="D670" s="8">
        <f>IFERROR(__xludf.DUMMYFUNCTION("""COMPUTED_VALUE"""),42.0)</f>
        <v>42</v>
      </c>
      <c r="E670" s="2"/>
    </row>
    <row r="671">
      <c r="A671" s="2"/>
      <c r="B671" s="8" t="str">
        <f>IFERROR(__xludf.DUMMYFUNCTION("""COMPUTED_VALUE"""),"ARIS SOEPONO")</f>
        <v>ARIS SOEPONO</v>
      </c>
      <c r="C671" s="8" t="str">
        <f>IFERROR(__xludf.DUMMYFUNCTION("""COMPUTED_VALUE"""),"A5323096683")</f>
        <v>A5323096683</v>
      </c>
      <c r="D671" s="8">
        <f>IFERROR(__xludf.DUMMYFUNCTION("""COMPUTED_VALUE"""),73.0)</f>
        <v>73</v>
      </c>
      <c r="E671" s="2"/>
    </row>
    <row r="672">
      <c r="A672" s="2"/>
      <c r="B672" s="8" t="str">
        <f>IFERROR(__xludf.DUMMYFUNCTION("""COMPUTED_VALUE"""),"SUGIONO")</f>
        <v>SUGIONO</v>
      </c>
      <c r="C672" s="8" t="str">
        <f>IFERROR(__xludf.DUMMYFUNCTION("""COMPUTED_VALUE"""),"S7323093066")</f>
        <v>S7323093066</v>
      </c>
      <c r="D672" s="8">
        <f>IFERROR(__xludf.DUMMYFUNCTION("""COMPUTED_VALUE"""),53.0)</f>
        <v>53</v>
      </c>
      <c r="E672" s="2"/>
    </row>
    <row r="673">
      <c r="A673" s="2"/>
      <c r="B673" s="8" t="str">
        <f>IFERROR(__xludf.DUMMYFUNCTION("""COMPUTED_VALUE"""),"BRYAN HARLAN SIBARANI")</f>
        <v>BRYAN HARLAN SIBARANI</v>
      </c>
      <c r="C673" s="8" t="str">
        <f>IFERROR(__xludf.DUMMYFUNCTION("""COMPUTED_VALUE"""),"B8823098707")</f>
        <v>B8823098707</v>
      </c>
      <c r="D673" s="8">
        <f>IFERROR(__xludf.DUMMYFUNCTION("""COMPUTED_VALUE"""),37.0)</f>
        <v>37</v>
      </c>
      <c r="E673" s="2"/>
    </row>
    <row r="674">
      <c r="A674" s="2"/>
      <c r="B674" s="8" t="str">
        <f>IFERROR(__xludf.DUMMYFUNCTION("""COMPUTED_VALUE"""),"MARETHA AMRAYNI")</f>
        <v>MARETHA AMRAYNI</v>
      </c>
      <c r="C674" s="8" t="str">
        <f>IFERROR(__xludf.DUMMYFUNCTION("""COMPUTED_VALUE"""),"M8423098883")</f>
        <v>M8423098883</v>
      </c>
      <c r="D674" s="8">
        <f>IFERROR(__xludf.DUMMYFUNCTION("""COMPUTED_VALUE"""),42.0)</f>
        <v>42</v>
      </c>
      <c r="E674" s="2"/>
    </row>
    <row r="675">
      <c r="A675" s="2"/>
      <c r="B675" s="8" t="str">
        <f>IFERROR(__xludf.DUMMYFUNCTION("""COMPUTED_VALUE"""),"ANJAS PRAHARA INDIRWAN")</f>
        <v>ANJAS PRAHARA INDIRWAN</v>
      </c>
      <c r="C675" s="8" t="str">
        <f>IFERROR(__xludf.DUMMYFUNCTION("""COMPUTED_VALUE"""),"A9523097561")</f>
        <v>A9523097561</v>
      </c>
      <c r="D675" s="8">
        <f>IFERROR(__xludf.DUMMYFUNCTION("""COMPUTED_VALUE"""),30.0)</f>
        <v>30</v>
      </c>
      <c r="E675" s="2"/>
    </row>
    <row r="676">
      <c r="A676" s="2"/>
      <c r="B676" s="8" t="str">
        <f>IFERROR(__xludf.DUMMYFUNCTION("""COMPUTED_VALUE"""),"BEATRIX HERJANTO")</f>
        <v>BEATRIX HERJANTO</v>
      </c>
      <c r="C676" s="8" t="str">
        <f>IFERROR(__xludf.DUMMYFUNCTION("""COMPUTED_VALUE"""),"B8723099133")</f>
        <v>B8723099133</v>
      </c>
      <c r="D676" s="8">
        <f>IFERROR(__xludf.DUMMYFUNCTION("""COMPUTED_VALUE"""),38.0)</f>
        <v>38</v>
      </c>
      <c r="E676" s="2"/>
    </row>
    <row r="677">
      <c r="A677" s="2"/>
      <c r="B677" s="8" t="str">
        <f>IFERROR(__xludf.DUMMYFUNCTION("""COMPUTED_VALUE"""),"MEIDI8605")</f>
        <v>MEIDI8605</v>
      </c>
      <c r="C677" s="8" t="str">
        <f>IFERROR(__xludf.DUMMYFUNCTION("""COMPUTED_VALUE"""),"M8623099966")</f>
        <v>M8623099966</v>
      </c>
      <c r="D677" s="8">
        <f>IFERROR(__xludf.DUMMYFUNCTION("""COMPUTED_VALUE"""),40.0)</f>
        <v>40</v>
      </c>
      <c r="E677" s="2"/>
    </row>
    <row r="678">
      <c r="A678" s="2"/>
      <c r="B678" s="8" t="str">
        <f>IFERROR(__xludf.DUMMYFUNCTION("""COMPUTED_VALUE"""),"RUSMINIARTI")</f>
        <v>RUSMINIARTI</v>
      </c>
      <c r="C678" s="8" t="str">
        <f>IFERROR(__xludf.DUMMYFUNCTION("""COMPUTED_VALUE"""),"R5823090638")</f>
        <v>R5823090638</v>
      </c>
      <c r="D678" s="8">
        <f>IFERROR(__xludf.DUMMYFUNCTION("""COMPUTED_VALUE"""),67.0)</f>
        <v>67</v>
      </c>
      <c r="E678" s="2"/>
    </row>
    <row r="679">
      <c r="A679" s="2"/>
      <c r="B679" s="8" t="str">
        <f>IFERROR(__xludf.DUMMYFUNCTION("""COMPUTED_VALUE"""),"ILHAM NURHADI")</f>
        <v>ILHAM NURHADI</v>
      </c>
      <c r="C679" s="8" t="str">
        <f>IFERROR(__xludf.DUMMYFUNCTION("""COMPUTED_VALUE"""),"I9723093534")</f>
        <v>I9723093534</v>
      </c>
      <c r="D679" s="8">
        <f>IFERROR(__xludf.DUMMYFUNCTION("""COMPUTED_VALUE"""),28.0)</f>
        <v>28</v>
      </c>
      <c r="E679" s="2"/>
    </row>
    <row r="680">
      <c r="A680" s="2"/>
      <c r="B680" s="8" t="str">
        <f>IFERROR(__xludf.DUMMYFUNCTION("""COMPUTED_VALUE"""),"TUPARNO")</f>
        <v>TUPARNO</v>
      </c>
      <c r="C680" s="8" t="str">
        <f>IFERROR(__xludf.DUMMYFUNCTION("""COMPUTED_VALUE"""),"T7823097698")</f>
        <v>T7823097698</v>
      </c>
      <c r="D680" s="8">
        <f>IFERROR(__xludf.DUMMYFUNCTION("""COMPUTED_VALUE"""),47.0)</f>
        <v>47</v>
      </c>
      <c r="E680" s="2"/>
    </row>
    <row r="681">
      <c r="A681" s="2"/>
      <c r="B681" s="8" t="str">
        <f>IFERROR(__xludf.DUMMYFUNCTION("""COMPUTED_VALUE"""),"SERGIO OREZA SILVATORA")</f>
        <v>SERGIO OREZA SILVATORA</v>
      </c>
      <c r="C681" s="8" t="str">
        <f>IFERROR(__xludf.DUMMYFUNCTION("""COMPUTED_VALUE"""),"S9823096202")</f>
        <v>S9823096202</v>
      </c>
      <c r="D681" s="8">
        <f>IFERROR(__xludf.DUMMYFUNCTION("""COMPUTED_VALUE"""),28.0)</f>
        <v>28</v>
      </c>
      <c r="E681" s="2"/>
    </row>
    <row r="682">
      <c r="A682" s="2"/>
      <c r="B682" s="8" t="str">
        <f>IFERROR(__xludf.DUMMYFUNCTION("""COMPUTED_VALUE"""),"MASNILAWATI")</f>
        <v>MASNILAWATI</v>
      </c>
      <c r="C682" s="8" t="str">
        <f>IFERROR(__xludf.DUMMYFUNCTION("""COMPUTED_VALUE"""),"M6023095851")</f>
        <v>M6023095851</v>
      </c>
      <c r="D682" s="8">
        <f>IFERROR(__xludf.DUMMYFUNCTION("""COMPUTED_VALUE"""),65.0)</f>
        <v>65</v>
      </c>
      <c r="E682" s="2"/>
    </row>
    <row r="683">
      <c r="A683" s="2"/>
      <c r="B683" s="8" t="str">
        <f>IFERROR(__xludf.DUMMYFUNCTION("""COMPUTED_VALUE"""),"CHARLESSIUS IWALDO LENDY")</f>
        <v>CHARLESSIUS IWALDO LENDY</v>
      </c>
      <c r="C683" s="8" t="str">
        <f>IFERROR(__xludf.DUMMYFUNCTION("""COMPUTED_VALUE"""),"C9323093223")</f>
        <v>C9323093223</v>
      </c>
      <c r="D683" s="8">
        <f>IFERROR(__xludf.DUMMYFUNCTION("""COMPUTED_VALUE"""),33.0)</f>
        <v>33</v>
      </c>
      <c r="E683" s="2"/>
    </row>
    <row r="684">
      <c r="A684" s="2"/>
      <c r="B684" s="8" t="str">
        <f>IFERROR(__xludf.DUMMYFUNCTION("""COMPUTED_VALUE"""),"CENSEN HUANG")</f>
        <v>CENSEN HUANG</v>
      </c>
      <c r="C684" s="8" t="str">
        <f>IFERROR(__xludf.DUMMYFUNCTION("""COMPUTED_VALUE"""),"C0823099272")</f>
        <v>C0823099272</v>
      </c>
      <c r="D684" s="8">
        <f>IFERROR(__xludf.DUMMYFUNCTION("""COMPUTED_VALUE"""),18.0)</f>
        <v>18</v>
      </c>
      <c r="E684" s="2"/>
    </row>
    <row r="685">
      <c r="A685" s="2"/>
      <c r="B685" s="8" t="str">
        <f>IFERROR(__xludf.DUMMYFUNCTION("""COMPUTED_VALUE"""),"MUHAMMAD ALWI ERLANGGA MUFHTI")</f>
        <v>MUHAMMAD ALWI ERLANGGA MUFHTI</v>
      </c>
      <c r="C685" s="8" t="str">
        <f>IFERROR(__xludf.DUMMYFUNCTION("""COMPUTED_VALUE"""),"M0923093242")</f>
        <v>M0923093242</v>
      </c>
      <c r="D685" s="8">
        <f>IFERROR(__xludf.DUMMYFUNCTION("""COMPUTED_VALUE"""),16.0)</f>
        <v>16</v>
      </c>
      <c r="E685" s="2"/>
    </row>
    <row r="686">
      <c r="A686" s="2"/>
      <c r="B686" s="8" t="str">
        <f>IFERROR(__xludf.DUMMYFUNCTION("""COMPUTED_VALUE"""),"MARIANA")</f>
        <v>MARIANA</v>
      </c>
      <c r="C686" s="8" t="str">
        <f>IFERROR(__xludf.DUMMYFUNCTION("""COMPUTED_VALUE"""),"M8923092828")</f>
        <v>M8923092828</v>
      </c>
      <c r="D686" s="8">
        <f>IFERROR(__xludf.DUMMYFUNCTION("""COMPUTED_VALUE"""),36.0)</f>
        <v>36</v>
      </c>
      <c r="E686" s="2"/>
    </row>
    <row r="687">
      <c r="A687" s="2"/>
      <c r="B687" s="8" t="str">
        <f>IFERROR(__xludf.DUMMYFUNCTION("""COMPUTED_VALUE"""),"VALENCIA TANAPUTRA")</f>
        <v>VALENCIA TANAPUTRA</v>
      </c>
      <c r="C687" s="8" t="str">
        <f>IFERROR(__xludf.DUMMYFUNCTION("""COMPUTED_VALUE"""),"V8723094887")</f>
        <v>V8723094887</v>
      </c>
      <c r="D687" s="8">
        <f>IFERROR(__xludf.DUMMYFUNCTION("""COMPUTED_VALUE"""),39.0)</f>
        <v>39</v>
      </c>
      <c r="E687" s="2"/>
    </row>
    <row r="688">
      <c r="A688" s="2"/>
      <c r="B688" s="8" t="str">
        <f>IFERROR(__xludf.DUMMYFUNCTION("""COMPUTED_VALUE"""),"ERIC BRAYN CHRISTIAN NIKIJULUW")</f>
        <v>ERIC BRAYN CHRISTIAN NIKIJULUW</v>
      </c>
      <c r="C688" s="8" t="str">
        <f>IFERROR(__xludf.DUMMYFUNCTION("""COMPUTED_VALUE"""),"E9323099575")</f>
        <v>E9323099575</v>
      </c>
      <c r="D688" s="8">
        <f>IFERROR(__xludf.DUMMYFUNCTION("""COMPUTED_VALUE"""),33.0)</f>
        <v>33</v>
      </c>
      <c r="E688" s="2"/>
    </row>
    <row r="689">
      <c r="A689" s="2"/>
      <c r="B689" s="8" t="str">
        <f>IFERROR(__xludf.DUMMYFUNCTION("""COMPUTED_VALUE"""),"AGUS NURHUDA")</f>
        <v>AGUS NURHUDA</v>
      </c>
      <c r="C689" s="8" t="str">
        <f>IFERROR(__xludf.DUMMYFUNCTION("""COMPUTED_VALUE"""),"A9723097220")</f>
        <v>A9723097220</v>
      </c>
      <c r="D689" s="8">
        <f>IFERROR(__xludf.DUMMYFUNCTION("""COMPUTED_VALUE"""),28.0)</f>
        <v>28</v>
      </c>
      <c r="E689" s="2"/>
    </row>
    <row r="690">
      <c r="A690" s="2"/>
      <c r="B690" s="8" t="str">
        <f>IFERROR(__xludf.DUMMYFUNCTION("""COMPUTED_VALUE"""),"IND DHARMAWAN S")</f>
        <v>IND DHARMAWAN S</v>
      </c>
      <c r="C690" s="8" t="str">
        <f>IFERROR(__xludf.DUMMYFUNCTION("""COMPUTED_VALUE"""),"I9623090262")</f>
        <v>I9623090262</v>
      </c>
      <c r="D690" s="8">
        <f>IFERROR(__xludf.DUMMYFUNCTION("""COMPUTED_VALUE"""),30.0)</f>
        <v>30</v>
      </c>
      <c r="E690" s="2"/>
    </row>
    <row r="691">
      <c r="A691" s="2"/>
      <c r="B691" s="8" t="str">
        <f>IFERROR(__xludf.DUMMYFUNCTION("""COMPUTED_VALUE"""),"HERMANSYAH LIMAS")</f>
        <v>HERMANSYAH LIMAS</v>
      </c>
      <c r="C691" s="8" t="str">
        <f>IFERROR(__xludf.DUMMYFUNCTION("""COMPUTED_VALUE"""),"H6723092819")</f>
        <v>H6723092819</v>
      </c>
      <c r="D691" s="8">
        <f>IFERROR(__xludf.DUMMYFUNCTION("""COMPUTED_VALUE"""),59.0)</f>
        <v>59</v>
      </c>
      <c r="E691" s="2"/>
    </row>
    <row r="692">
      <c r="A692" s="2"/>
      <c r="B692" s="8" t="str">
        <f>IFERROR(__xludf.DUMMYFUNCTION("""COMPUTED_VALUE"""),"YUSNITA")</f>
        <v>YUSNITA</v>
      </c>
      <c r="C692" s="8" t="str">
        <f>IFERROR(__xludf.DUMMYFUNCTION("""COMPUTED_VALUE"""),"Y9623098888")</f>
        <v>Y9623098888</v>
      </c>
      <c r="D692" s="8">
        <f>IFERROR(__xludf.DUMMYFUNCTION("""COMPUTED_VALUE"""),29.0)</f>
        <v>29</v>
      </c>
      <c r="E692" s="2"/>
    </row>
    <row r="693">
      <c r="A693" s="2"/>
      <c r="B693" s="8" t="str">
        <f>IFERROR(__xludf.DUMMYFUNCTION("""COMPUTED_VALUE"""),"TEGUH SETIAWAN")</f>
        <v>TEGUH SETIAWAN</v>
      </c>
      <c r="C693" s="8" t="str">
        <f>IFERROR(__xludf.DUMMYFUNCTION("""COMPUTED_VALUE"""),"T9523093955")</f>
        <v>T9523093955</v>
      </c>
      <c r="D693" s="8">
        <f>IFERROR(__xludf.DUMMYFUNCTION("""COMPUTED_VALUE"""),31.0)</f>
        <v>31</v>
      </c>
      <c r="E693" s="2"/>
    </row>
    <row r="694">
      <c r="A694" s="2"/>
      <c r="B694" s="8" t="str">
        <f>IFERROR(__xludf.DUMMYFUNCTION("""COMPUTED_VALUE"""),"DARWIS")</f>
        <v>DARWIS</v>
      </c>
      <c r="C694" s="8" t="str">
        <f>IFERROR(__xludf.DUMMYFUNCTION("""COMPUTED_VALUE"""),"D4923097226")</f>
        <v>D4923097226</v>
      </c>
      <c r="D694" s="8">
        <f>IFERROR(__xludf.DUMMYFUNCTION("""COMPUTED_VALUE"""),77.0)</f>
        <v>77</v>
      </c>
      <c r="E694" s="2"/>
    </row>
    <row r="695">
      <c r="A695" s="2"/>
      <c r="B695" s="8" t="str">
        <f>IFERROR(__xludf.DUMMYFUNCTION("""COMPUTED_VALUE"""),"RIZKY WARITS ISSYAFHADI")</f>
        <v>RIZKY WARITS ISSYAFHADI</v>
      </c>
      <c r="C695" s="8" t="str">
        <f>IFERROR(__xludf.DUMMYFUNCTION("""COMPUTED_VALUE"""),"R9723098009")</f>
        <v>R9723098009</v>
      </c>
      <c r="D695" s="8">
        <f>IFERROR(__xludf.DUMMYFUNCTION("""COMPUTED_VALUE"""),28.0)</f>
        <v>28</v>
      </c>
      <c r="E695" s="2"/>
    </row>
    <row r="696">
      <c r="A696" s="2"/>
      <c r="B696" s="8" t="str">
        <f>IFERROR(__xludf.DUMMYFUNCTION("""COMPUTED_VALUE"""),"AGNES")</f>
        <v>AGNES</v>
      </c>
      <c r="C696" s="8" t="str">
        <f>IFERROR(__xludf.DUMMYFUNCTION("""COMPUTED_VALUE"""),"A6223091012")</f>
        <v>A6223091012</v>
      </c>
      <c r="D696" s="8">
        <f>IFERROR(__xludf.DUMMYFUNCTION("""COMPUTED_VALUE"""),64.0)</f>
        <v>64</v>
      </c>
      <c r="E696" s="2"/>
    </row>
    <row r="697">
      <c r="A697" s="2"/>
      <c r="B697" s="8" t="str">
        <f>IFERROR(__xludf.DUMMYFUNCTION("""COMPUTED_VALUE"""),"ARDIKMO VERNANDES")</f>
        <v>ARDIKMO VERNANDES</v>
      </c>
      <c r="C697" s="8" t="str">
        <f>IFERROR(__xludf.DUMMYFUNCTION("""COMPUTED_VALUE"""),"A0423095145")</f>
        <v>A0423095145</v>
      </c>
      <c r="D697" s="8">
        <f>IFERROR(__xludf.DUMMYFUNCTION("""COMPUTED_VALUE"""),22.0)</f>
        <v>22</v>
      </c>
      <c r="E697" s="2"/>
    </row>
    <row r="698">
      <c r="A698" s="2"/>
      <c r="B698" s="8" t="str">
        <f>IFERROR(__xludf.DUMMYFUNCTION("""COMPUTED_VALUE"""),"TENGKU NURUL RIZKIYANTI")</f>
        <v>TENGKU NURUL RIZKIYANTI</v>
      </c>
      <c r="C698" s="8" t="str">
        <f>IFERROR(__xludf.DUMMYFUNCTION("""COMPUTED_VALUE"""),"T9223098358")</f>
        <v>T9223098358</v>
      </c>
      <c r="D698" s="8">
        <f>IFERROR(__xludf.DUMMYFUNCTION("""COMPUTED_VALUE"""),33.0)</f>
        <v>33</v>
      </c>
      <c r="E698" s="2"/>
    </row>
    <row r="699">
      <c r="A699" s="2"/>
      <c r="B699" s="8" t="str">
        <f>IFERROR(__xludf.DUMMYFUNCTION("""COMPUTED_VALUE"""),"SUGEMIATI")</f>
        <v>SUGEMIATI</v>
      </c>
      <c r="C699" s="8" t="str">
        <f>IFERROR(__xludf.DUMMYFUNCTION("""COMPUTED_VALUE"""),"S6823098597")</f>
        <v>S6823098597</v>
      </c>
      <c r="D699" s="8">
        <f>IFERROR(__xludf.DUMMYFUNCTION("""COMPUTED_VALUE"""),57.0)</f>
        <v>57</v>
      </c>
      <c r="E699" s="2"/>
    </row>
    <row r="700">
      <c r="A700" s="2"/>
      <c r="B700" s="8" t="str">
        <f>IFERROR(__xludf.DUMMYFUNCTION("""COMPUTED_VALUE"""),"LILY 7506")</f>
        <v>LILY 7506</v>
      </c>
      <c r="C700" s="8" t="str">
        <f>IFERROR(__xludf.DUMMYFUNCTION("""COMPUTED_VALUE"""),"L7523093321")</f>
        <v>L7523093321</v>
      </c>
      <c r="D700" s="8">
        <f>IFERROR(__xludf.DUMMYFUNCTION("""COMPUTED_VALUE"""),51.0)</f>
        <v>51</v>
      </c>
      <c r="E700" s="2"/>
    </row>
    <row r="701">
      <c r="A701" s="2"/>
      <c r="B701" s="8" t="str">
        <f>IFERROR(__xludf.DUMMYFUNCTION("""COMPUTED_VALUE"""),"WAHYUDINATA")</f>
        <v>WAHYUDINATA</v>
      </c>
      <c r="C701" s="8" t="str">
        <f>IFERROR(__xludf.DUMMYFUNCTION("""COMPUTED_VALUE"""),"W8823098732")</f>
        <v>W8823098732</v>
      </c>
      <c r="D701" s="8">
        <f>IFERROR(__xludf.DUMMYFUNCTION("""COMPUTED_VALUE"""),38.0)</f>
        <v>38</v>
      </c>
      <c r="E701" s="2"/>
    </row>
    <row r="702">
      <c r="A702" s="2"/>
      <c r="B702" s="8" t="str">
        <f>IFERROR(__xludf.DUMMYFUNCTION("""COMPUTED_VALUE"""),"TUNJUNG KUNTO NUGROHO")</f>
        <v>TUNJUNG KUNTO NUGROHO</v>
      </c>
      <c r="C702" s="8" t="str">
        <f>IFERROR(__xludf.DUMMYFUNCTION("""COMPUTED_VALUE"""),"T9423098983")</f>
        <v>T9423098983</v>
      </c>
      <c r="D702" s="8">
        <f>IFERROR(__xludf.DUMMYFUNCTION("""COMPUTED_VALUE"""),32.0)</f>
        <v>32</v>
      </c>
      <c r="E702" s="2"/>
    </row>
    <row r="703">
      <c r="A703" s="2"/>
      <c r="B703" s="8" t="str">
        <f>IFERROR(__xludf.DUMMYFUNCTION("""COMPUTED_VALUE"""),"MUHAMMAD LUTHFI ILHAM")</f>
        <v>MUHAMMAD LUTHFI ILHAM</v>
      </c>
      <c r="C703" s="8" t="str">
        <f>IFERROR(__xludf.DUMMYFUNCTION("""COMPUTED_VALUE"""),"M0023093159")</f>
        <v>M0023093159</v>
      </c>
      <c r="D703" s="8">
        <f>IFERROR(__xludf.DUMMYFUNCTION("""COMPUTED_VALUE"""),26.0)</f>
        <v>26</v>
      </c>
      <c r="E703" s="2"/>
    </row>
    <row r="704">
      <c r="A704" s="2"/>
      <c r="B704" s="8" t="str">
        <f>IFERROR(__xludf.DUMMYFUNCTION("""COMPUTED_VALUE"""),"MARGIE NASTITI")</f>
        <v>MARGIE NASTITI</v>
      </c>
      <c r="C704" s="8" t="str">
        <f>IFERROR(__xludf.DUMMYFUNCTION("""COMPUTED_VALUE"""),"M9523093913")</f>
        <v>M9523093913</v>
      </c>
      <c r="D704" s="8">
        <f>IFERROR(__xludf.DUMMYFUNCTION("""COMPUTED_VALUE"""),31.0)</f>
        <v>31</v>
      </c>
      <c r="E704" s="2"/>
    </row>
    <row r="705">
      <c r="A705" s="2"/>
      <c r="B705" s="8" t="str">
        <f>IFERROR(__xludf.DUMMYFUNCTION("""COMPUTED_VALUE"""),"HERI SARMAN")</f>
        <v>HERI SARMAN</v>
      </c>
      <c r="C705" s="8" t="str">
        <f>IFERROR(__xludf.DUMMYFUNCTION("""COMPUTED_VALUE"""),"H0123093969")</f>
        <v>H0123093969</v>
      </c>
      <c r="D705" s="8">
        <f>IFERROR(__xludf.DUMMYFUNCTION("""COMPUTED_VALUE"""),24.0)</f>
        <v>24</v>
      </c>
      <c r="E705" s="2"/>
    </row>
    <row r="706">
      <c r="A706" s="2"/>
      <c r="B706" s="8" t="str">
        <f>IFERROR(__xludf.DUMMYFUNCTION("""COMPUTED_VALUE"""),"ATHALLA NAWAF AR RASYID")</f>
        <v>ATHALLA NAWAF AR RASYID</v>
      </c>
      <c r="C706" s="8" t="str">
        <f>IFERROR(__xludf.DUMMYFUNCTION("""COMPUTED_VALUE"""),"A0923094762")</f>
        <v>A0923094762</v>
      </c>
      <c r="D706" s="8">
        <f>IFERROR(__xludf.DUMMYFUNCTION("""COMPUTED_VALUE"""),16.0)</f>
        <v>16</v>
      </c>
      <c r="E706" s="2"/>
    </row>
    <row r="707">
      <c r="A707" s="2"/>
      <c r="B707" s="8" t="str">
        <f>IFERROR(__xludf.DUMMYFUNCTION("""COMPUTED_VALUE"""),"TRI LASTUTI")</f>
        <v>TRI LASTUTI</v>
      </c>
      <c r="C707" s="8" t="str">
        <f>IFERROR(__xludf.DUMMYFUNCTION("""COMPUTED_VALUE"""),"T7423095388")</f>
        <v>T7423095388</v>
      </c>
      <c r="D707" s="8">
        <f>IFERROR(__xludf.DUMMYFUNCTION("""COMPUTED_VALUE"""),52.0)</f>
        <v>52</v>
      </c>
      <c r="E707" s="2"/>
    </row>
    <row r="708">
      <c r="A708" s="2"/>
      <c r="B708" s="8" t="str">
        <f>IFERROR(__xludf.DUMMYFUNCTION("""COMPUTED_VALUE"""),"SETYO KUNCORO")</f>
        <v>SETYO KUNCORO</v>
      </c>
      <c r="C708" s="8" t="str">
        <f>IFERROR(__xludf.DUMMYFUNCTION("""COMPUTED_VALUE"""),"S8223090985")</f>
        <v>S8223090985</v>
      </c>
      <c r="D708" s="8">
        <f>IFERROR(__xludf.DUMMYFUNCTION("""COMPUTED_VALUE"""),44.0)</f>
        <v>44</v>
      </c>
      <c r="E708" s="2"/>
    </row>
    <row r="709">
      <c r="A709" s="2"/>
      <c r="B709" s="8" t="str">
        <f>IFERROR(__xludf.DUMMYFUNCTION("""COMPUTED_VALUE"""),"TIKA UTAMI SUNDARI")</f>
        <v>TIKA UTAMI SUNDARI</v>
      </c>
      <c r="C709" s="8" t="str">
        <f>IFERROR(__xludf.DUMMYFUNCTION("""COMPUTED_VALUE"""),"T9223095055")</f>
        <v>T9223095055</v>
      </c>
      <c r="D709" s="8">
        <f>IFERROR(__xludf.DUMMYFUNCTION("""COMPUTED_VALUE"""),34.0)</f>
        <v>34</v>
      </c>
      <c r="E709" s="2"/>
    </row>
    <row r="710">
      <c r="A710" s="2"/>
      <c r="B710" s="8" t="str">
        <f>IFERROR(__xludf.DUMMYFUNCTION("""COMPUTED_VALUE"""),"NOFI IRAWAN")</f>
        <v>NOFI IRAWAN</v>
      </c>
      <c r="C710" s="8" t="str">
        <f>IFERROR(__xludf.DUMMYFUNCTION("""COMPUTED_VALUE"""),"N8823098877")</f>
        <v>N8823098877</v>
      </c>
      <c r="D710" s="8">
        <f>IFERROR(__xludf.DUMMYFUNCTION("""COMPUTED_VALUE"""),37.0)</f>
        <v>37</v>
      </c>
      <c r="E710" s="2"/>
    </row>
    <row r="711">
      <c r="A711" s="2"/>
      <c r="B711" s="8" t="str">
        <f>IFERROR(__xludf.DUMMYFUNCTION("""COMPUTED_VALUE"""),"DEDDY FAISAL")</f>
        <v>DEDDY FAISAL</v>
      </c>
      <c r="C711" s="8" t="str">
        <f>IFERROR(__xludf.DUMMYFUNCTION("""COMPUTED_VALUE"""),"D9623095215")</f>
        <v>D9623095215</v>
      </c>
      <c r="D711" s="8">
        <f>IFERROR(__xludf.DUMMYFUNCTION("""COMPUTED_VALUE"""),29.0)</f>
        <v>29</v>
      </c>
      <c r="E711" s="2"/>
    </row>
    <row r="712">
      <c r="A712" s="2"/>
      <c r="B712" s="8" t="str">
        <f>IFERROR(__xludf.DUMMYFUNCTION("""COMPUTED_VALUE"""),"NUR IHZA SATRIO")</f>
        <v>NUR IHZA SATRIO</v>
      </c>
      <c r="C712" s="8" t="str">
        <f>IFERROR(__xludf.DUMMYFUNCTION("""COMPUTED_VALUE"""),"N9923097667")</f>
        <v>N9923097667</v>
      </c>
      <c r="D712" s="8">
        <f>IFERROR(__xludf.DUMMYFUNCTION("""COMPUTED_VALUE"""),27.0)</f>
        <v>27</v>
      </c>
      <c r="E712" s="2"/>
    </row>
    <row r="713">
      <c r="A713" s="2"/>
      <c r="B713" s="8" t="str">
        <f>IFERROR(__xludf.DUMMYFUNCTION("""COMPUTED_VALUE"""),"DAVID CEN")</f>
        <v>DAVID CEN</v>
      </c>
      <c r="C713" s="8" t="str">
        <f>IFERROR(__xludf.DUMMYFUNCTION("""COMPUTED_VALUE"""),"D9223092989")</f>
        <v>D9223092989</v>
      </c>
      <c r="D713" s="8">
        <f>IFERROR(__xludf.DUMMYFUNCTION("""COMPUTED_VALUE"""),34.0)</f>
        <v>34</v>
      </c>
      <c r="E713" s="2"/>
    </row>
    <row r="714">
      <c r="A714" s="2"/>
      <c r="B714" s="8" t="str">
        <f>IFERROR(__xludf.DUMMYFUNCTION("""COMPUTED_VALUE"""),"AJI SETIAWAN")</f>
        <v>AJI SETIAWAN</v>
      </c>
      <c r="C714" s="8" t="str">
        <f>IFERROR(__xludf.DUMMYFUNCTION("""COMPUTED_VALUE"""),"A9923094980")</f>
        <v>A9923094980</v>
      </c>
      <c r="D714" s="8">
        <f>IFERROR(__xludf.DUMMYFUNCTION("""COMPUTED_VALUE"""),27.0)</f>
        <v>27</v>
      </c>
      <c r="E714" s="2"/>
    </row>
    <row r="715">
      <c r="A715" s="2"/>
      <c r="B715" s="8" t="str">
        <f>IFERROR(__xludf.DUMMYFUNCTION("""COMPUTED_VALUE"""),"KUSMINAH")</f>
        <v>KUSMINAH</v>
      </c>
      <c r="C715" s="8" t="str">
        <f>IFERROR(__xludf.DUMMYFUNCTION("""COMPUTED_VALUE"""),"K6623093064")</f>
        <v>K6623093064</v>
      </c>
      <c r="D715" s="8">
        <f>IFERROR(__xludf.DUMMYFUNCTION("""COMPUTED_VALUE"""),60.0)</f>
        <v>60</v>
      </c>
      <c r="E715" s="2"/>
    </row>
    <row r="716">
      <c r="A716" s="2"/>
      <c r="B716" s="8" t="str">
        <f>IFERROR(__xludf.DUMMYFUNCTION("""COMPUTED_VALUE"""),"SINATRYA NALADINDA")</f>
        <v>SINATRYA NALADINDA</v>
      </c>
      <c r="C716" s="8" t="str">
        <f>IFERROR(__xludf.DUMMYFUNCTION("""COMPUTED_VALUE"""),"S9823098544")</f>
        <v>S9823098544</v>
      </c>
      <c r="D716" s="8">
        <f>IFERROR(__xludf.DUMMYFUNCTION("""COMPUTED_VALUE"""),28.0)</f>
        <v>28</v>
      </c>
      <c r="E716" s="2"/>
    </row>
    <row r="717">
      <c r="A717" s="2"/>
      <c r="B717" s="8" t="str">
        <f>IFERROR(__xludf.DUMMYFUNCTION("""COMPUTED_VALUE"""),"LESTARI KHAIRINIDYA")</f>
        <v>LESTARI KHAIRINIDYA</v>
      </c>
      <c r="C717" s="8" t="str">
        <f>IFERROR(__xludf.DUMMYFUNCTION("""COMPUTED_VALUE"""),"L9823099943")</f>
        <v>L9823099943</v>
      </c>
      <c r="D717" s="8">
        <f>IFERROR(__xludf.DUMMYFUNCTION("""COMPUTED_VALUE"""),27.0)</f>
        <v>27</v>
      </c>
      <c r="E717" s="2"/>
    </row>
    <row r="718">
      <c r="A718" s="2"/>
      <c r="B718" s="8" t="str">
        <f>IFERROR(__xludf.DUMMYFUNCTION("""COMPUTED_VALUE"""),"SYARIF SALEH")</f>
        <v>SYARIF SALEH</v>
      </c>
      <c r="C718" s="8" t="str">
        <f>IFERROR(__xludf.DUMMYFUNCTION("""COMPUTED_VALUE"""),"S5423093112")</f>
        <v>S5423093112</v>
      </c>
      <c r="D718" s="8">
        <f>IFERROR(__xludf.DUMMYFUNCTION("""COMPUTED_VALUE"""),72.0)</f>
        <v>72</v>
      </c>
      <c r="E718" s="2"/>
    </row>
    <row r="719">
      <c r="A719" s="2"/>
      <c r="B719" s="8" t="str">
        <f>IFERROR(__xludf.DUMMYFUNCTION("""COMPUTED_VALUE"""),"JODY COMMANDO")</f>
        <v>JODY COMMANDO</v>
      </c>
      <c r="C719" s="8" t="str">
        <f>IFERROR(__xludf.DUMMYFUNCTION("""COMPUTED_VALUE"""),"J9923095656")</f>
        <v>J9923095656</v>
      </c>
      <c r="D719" s="8">
        <f>IFERROR(__xludf.DUMMYFUNCTION("""COMPUTED_VALUE"""),26.0)</f>
        <v>26</v>
      </c>
      <c r="E719" s="2"/>
    </row>
    <row r="720">
      <c r="A720" s="2"/>
      <c r="B720" s="8" t="str">
        <f>IFERROR(__xludf.DUMMYFUNCTION("""COMPUTED_VALUE"""),"FITRIANDI")</f>
        <v>FITRIANDI</v>
      </c>
      <c r="C720" s="8" t="str">
        <f>IFERROR(__xludf.DUMMYFUNCTION("""COMPUTED_VALUE"""),"F9723093943")</f>
        <v>F9723093943</v>
      </c>
      <c r="D720" s="8">
        <f>IFERROR(__xludf.DUMMYFUNCTION("""COMPUTED_VALUE"""),29.0)</f>
        <v>29</v>
      </c>
      <c r="E720" s="2"/>
    </row>
    <row r="721">
      <c r="A721" s="2"/>
      <c r="B721" s="8" t="str">
        <f>IFERROR(__xludf.DUMMYFUNCTION("""COMPUTED_VALUE"""),"NURHAYATI 50")</f>
        <v>NURHAYATI 50</v>
      </c>
      <c r="C721" s="8" t="str">
        <f>IFERROR(__xludf.DUMMYFUNCTION("""COMPUTED_VALUE"""),"N5023097111")</f>
        <v>N5023097111</v>
      </c>
      <c r="D721" s="8">
        <f>IFERROR(__xludf.DUMMYFUNCTION("""COMPUTED_VALUE"""),76.0)</f>
        <v>76</v>
      </c>
      <c r="E721" s="2"/>
    </row>
    <row r="722">
      <c r="A722" s="2"/>
      <c r="B722" s="8" t="str">
        <f>IFERROR(__xludf.DUMMYFUNCTION("""COMPUTED_VALUE"""),"NUR APRIANI")</f>
        <v>NUR APRIANI</v>
      </c>
      <c r="C722" s="8" t="str">
        <f>IFERROR(__xludf.DUMMYFUNCTION("""COMPUTED_VALUE"""),"N8023098374")</f>
        <v>N8023098374</v>
      </c>
      <c r="D722" s="8">
        <f>IFERROR(__xludf.DUMMYFUNCTION("""COMPUTED_VALUE"""),46.0)</f>
        <v>46</v>
      </c>
      <c r="E722" s="2"/>
    </row>
    <row r="723">
      <c r="A723" s="2"/>
      <c r="B723" s="8" t="str">
        <f>IFERROR(__xludf.DUMMYFUNCTION("""COMPUTED_VALUE"""),"FERRYS GUNAWAN")</f>
        <v>FERRYS GUNAWAN</v>
      </c>
      <c r="C723" s="8" t="str">
        <f>IFERROR(__xludf.DUMMYFUNCTION("""COMPUTED_VALUE"""),"F9523096097")</f>
        <v>F9523096097</v>
      </c>
      <c r="D723" s="8">
        <f>IFERROR(__xludf.DUMMYFUNCTION("""COMPUTED_VALUE"""),31.0)</f>
        <v>31</v>
      </c>
      <c r="E723" s="2"/>
    </row>
    <row r="724">
      <c r="A724" s="2"/>
      <c r="B724" s="8" t="str">
        <f>IFERROR(__xludf.DUMMYFUNCTION("""COMPUTED_VALUE"""),"FIQKY RAVINDA KUMARA")</f>
        <v>FIQKY RAVINDA KUMARA</v>
      </c>
      <c r="C724" s="8" t="str">
        <f>IFERROR(__xludf.DUMMYFUNCTION("""COMPUTED_VALUE"""),"F9523092709")</f>
        <v>F9523092709</v>
      </c>
      <c r="D724" s="8">
        <f>IFERROR(__xludf.DUMMYFUNCTION("""COMPUTED_VALUE"""),30.0)</f>
        <v>30</v>
      </c>
      <c r="E724" s="2"/>
    </row>
    <row r="725">
      <c r="A725" s="2"/>
      <c r="B725" s="8" t="str">
        <f>IFERROR(__xludf.DUMMYFUNCTION("""COMPUTED_VALUE"""),"VENDY DJUNAIDI")</f>
        <v>VENDY DJUNAIDI</v>
      </c>
      <c r="C725" s="8" t="str">
        <f>IFERROR(__xludf.DUMMYFUNCTION("""COMPUTED_VALUE"""),"V9223092255")</f>
        <v>V9223092255</v>
      </c>
      <c r="D725" s="8">
        <f>IFERROR(__xludf.DUMMYFUNCTION("""COMPUTED_VALUE"""),33.0)</f>
        <v>33</v>
      </c>
      <c r="E725" s="2"/>
    </row>
    <row r="726">
      <c r="A726" s="2"/>
      <c r="B726" s="8" t="str">
        <f>IFERROR(__xludf.DUMMYFUNCTION("""COMPUTED_VALUE"""),"SRI WANGI")</f>
        <v>SRI WANGI</v>
      </c>
      <c r="C726" s="8" t="str">
        <f>IFERROR(__xludf.DUMMYFUNCTION("""COMPUTED_VALUE"""),"S7023095677")</f>
        <v>S7023095677</v>
      </c>
      <c r="D726" s="8">
        <f>IFERROR(__xludf.DUMMYFUNCTION("""COMPUTED_VALUE"""),56.0)</f>
        <v>56</v>
      </c>
      <c r="E726" s="2"/>
    </row>
    <row r="727">
      <c r="A727" s="2"/>
      <c r="B727" s="8" t="str">
        <f>IFERROR(__xludf.DUMMYFUNCTION("""COMPUTED_VALUE"""),"RIDWAN")</f>
        <v>RIDWAN</v>
      </c>
      <c r="C727" s="8" t="str">
        <f>IFERROR(__xludf.DUMMYFUNCTION("""COMPUTED_VALUE"""),"R7523099000")</f>
        <v>R7523099000</v>
      </c>
      <c r="D727" s="8">
        <f>IFERROR(__xludf.DUMMYFUNCTION("""COMPUTED_VALUE"""),51.0)</f>
        <v>51</v>
      </c>
      <c r="E727" s="2"/>
    </row>
    <row r="728">
      <c r="A728" s="2"/>
      <c r="B728" s="8" t="str">
        <f>IFERROR(__xludf.DUMMYFUNCTION("""COMPUTED_VALUE"""),"URAY JUWITA")</f>
        <v>URAY JUWITA</v>
      </c>
      <c r="C728" s="8" t="str">
        <f>IFERROR(__xludf.DUMMYFUNCTION("""COMPUTED_VALUE"""),"U8923098245")</f>
        <v>U8923098245</v>
      </c>
      <c r="D728" s="8">
        <f>IFERROR(__xludf.DUMMYFUNCTION("""COMPUTED_VALUE"""),37.0)</f>
        <v>37</v>
      </c>
      <c r="E728" s="2"/>
    </row>
    <row r="729">
      <c r="A729" s="2"/>
      <c r="B729" s="8" t="str">
        <f>IFERROR(__xludf.DUMMYFUNCTION("""COMPUTED_VALUE"""),"UPIK KALSUM")</f>
        <v>UPIK KALSUM</v>
      </c>
      <c r="C729" s="8" t="str">
        <f>IFERROR(__xludf.DUMMYFUNCTION("""COMPUTED_VALUE"""),"U7023099220")</f>
        <v>U7023099220</v>
      </c>
      <c r="D729" s="8">
        <f>IFERROR(__xludf.DUMMYFUNCTION("""COMPUTED_VALUE"""),55.0)</f>
        <v>55</v>
      </c>
      <c r="E729" s="2"/>
    </row>
    <row r="730">
      <c r="A730" s="2"/>
      <c r="B730" s="8" t="str">
        <f>IFERROR(__xludf.DUMMYFUNCTION("""COMPUTED_VALUE"""),"KRISTIAN BUDIMAN")</f>
        <v>KRISTIAN BUDIMAN</v>
      </c>
      <c r="C730" s="8" t="str">
        <f>IFERROR(__xludf.DUMMYFUNCTION("""COMPUTED_VALUE"""),"K9523099116")</f>
        <v>K9523099116</v>
      </c>
      <c r="D730" s="8">
        <f>IFERROR(__xludf.DUMMYFUNCTION("""COMPUTED_VALUE"""),31.0)</f>
        <v>31</v>
      </c>
      <c r="E730" s="2"/>
    </row>
    <row r="731">
      <c r="A731" s="2"/>
      <c r="B731" s="8" t="str">
        <f>IFERROR(__xludf.DUMMYFUNCTION("""COMPUTED_VALUE"""),"WULANJANI ENDAH ASTUTI")</f>
        <v>WULANJANI ENDAH ASTUTI</v>
      </c>
      <c r="C731" s="8" t="str">
        <f>IFERROR(__xludf.DUMMYFUNCTION("""COMPUTED_VALUE"""),"W9723090206")</f>
        <v>W9723090206</v>
      </c>
      <c r="D731" s="8">
        <f>IFERROR(__xludf.DUMMYFUNCTION("""COMPUTED_VALUE"""),29.0)</f>
        <v>29</v>
      </c>
      <c r="E731" s="2"/>
    </row>
    <row r="732">
      <c r="A732" s="2"/>
      <c r="B732" s="8" t="str">
        <f>IFERROR(__xludf.DUMMYFUNCTION("""COMPUTED_VALUE"""),"MUHAMMAD MARZOUQ")</f>
        <v>MUHAMMAD MARZOUQ</v>
      </c>
      <c r="C732" s="8" t="str">
        <f>IFERROR(__xludf.DUMMYFUNCTION("""COMPUTED_VALUE"""),"M1423101862")</f>
        <v>M1423101862</v>
      </c>
      <c r="D732" s="8">
        <f>IFERROR(__xludf.DUMMYFUNCTION("""COMPUTED_VALUE"""),11.0)</f>
        <v>11</v>
      </c>
      <c r="E732" s="2"/>
    </row>
    <row r="733">
      <c r="A733" s="2"/>
      <c r="B733" s="8" t="str">
        <f>IFERROR(__xludf.DUMMYFUNCTION("""COMPUTED_VALUE"""),"RONAL")</f>
        <v>RONAL</v>
      </c>
      <c r="C733" s="8" t="str">
        <f>IFERROR(__xludf.DUMMYFUNCTION("""COMPUTED_VALUE"""),"R9923108940")</f>
        <v>R9923108940</v>
      </c>
      <c r="D733" s="8">
        <f>IFERROR(__xludf.DUMMYFUNCTION("""COMPUTED_VALUE"""),27.0)</f>
        <v>27</v>
      </c>
      <c r="E733" s="2"/>
    </row>
    <row r="734">
      <c r="A734" s="2"/>
      <c r="B734" s="8" t="str">
        <f>IFERROR(__xludf.DUMMYFUNCTION("""COMPUTED_VALUE"""),"NS. DEBBY HATMALYAKIN, M. KEP")</f>
        <v>NS. DEBBY HATMALYAKIN, M. KEP</v>
      </c>
      <c r="C734" s="8" t="str">
        <f>IFERROR(__xludf.DUMMYFUNCTION("""COMPUTED_VALUE"""),"N9323100143")</f>
        <v>N9323100143</v>
      </c>
      <c r="D734" s="8">
        <f>IFERROR(__xludf.DUMMYFUNCTION("""COMPUTED_VALUE"""),33.0)</f>
        <v>33</v>
      </c>
      <c r="E734" s="2"/>
    </row>
    <row r="735">
      <c r="A735" s="2"/>
      <c r="B735" s="8" t="str">
        <f>IFERROR(__xludf.DUMMYFUNCTION("""COMPUTED_VALUE"""),"YALQA RIZQI AZK")</f>
        <v>YALQA RIZQI AZK</v>
      </c>
      <c r="C735" s="8" t="str">
        <f>IFERROR(__xludf.DUMMYFUNCTION("""COMPUTED_VALUE"""),"Y0023104309")</f>
        <v>Y0023104309</v>
      </c>
      <c r="D735" s="8">
        <f>IFERROR(__xludf.DUMMYFUNCTION("""COMPUTED_VALUE"""),26.0)</f>
        <v>26</v>
      </c>
      <c r="E735" s="2"/>
    </row>
    <row r="736">
      <c r="A736" s="2"/>
      <c r="B736" s="8" t="str">
        <f>IFERROR(__xludf.DUMMYFUNCTION("""COMPUTED_VALUE"""),"WELLY TRIPUTRA")</f>
        <v>WELLY TRIPUTRA</v>
      </c>
      <c r="C736" s="8" t="str">
        <f>IFERROR(__xludf.DUMMYFUNCTION("""COMPUTED_VALUE"""),"W0023100956")</f>
        <v>W0023100956</v>
      </c>
      <c r="D736" s="8">
        <f>IFERROR(__xludf.DUMMYFUNCTION("""COMPUTED_VALUE"""),26.0)</f>
        <v>26</v>
      </c>
      <c r="E736" s="2"/>
    </row>
    <row r="737">
      <c r="A737" s="2"/>
      <c r="B737" s="8" t="str">
        <f>IFERROR(__xludf.DUMMYFUNCTION("""COMPUTED_VALUE"""),"HIDAYATI")</f>
        <v>HIDAYATI</v>
      </c>
      <c r="C737" s="8" t="str">
        <f>IFERROR(__xludf.DUMMYFUNCTION("""COMPUTED_VALUE"""),"H7623100909")</f>
        <v>H7623100909</v>
      </c>
      <c r="D737" s="8">
        <f>IFERROR(__xludf.DUMMYFUNCTION("""COMPUTED_VALUE"""),50.0)</f>
        <v>50</v>
      </c>
      <c r="E737" s="2"/>
    </row>
    <row r="738">
      <c r="A738" s="2"/>
      <c r="B738" s="8" t="str">
        <f>IFERROR(__xludf.DUMMYFUNCTION("""COMPUTED_VALUE"""),"ADHIT RAMADHAN")</f>
        <v>ADHIT RAMADHAN</v>
      </c>
      <c r="C738" s="8" t="str">
        <f>IFERROR(__xludf.DUMMYFUNCTION("""COMPUTED_VALUE"""),"A0123101")</f>
        <v>A0123101</v>
      </c>
      <c r="D738" s="8">
        <f>IFERROR(__xludf.DUMMYFUNCTION("""COMPUTED_VALUE"""),24.0)</f>
        <v>24</v>
      </c>
      <c r="E738" s="2"/>
    </row>
    <row r="739">
      <c r="A739" s="2"/>
      <c r="B739" s="8" t="str">
        <f>IFERROR(__xludf.DUMMYFUNCTION("""COMPUTED_VALUE"""),"FARIDA 43")</f>
        <v>FARIDA 43</v>
      </c>
      <c r="C739" s="8" t="str">
        <f>IFERROR(__xludf.DUMMYFUNCTION("""COMPUTED_VALUE"""),"F8023109464")</f>
        <v>F8023109464</v>
      </c>
      <c r="D739" s="8">
        <f>IFERROR(__xludf.DUMMYFUNCTION("""COMPUTED_VALUE"""),46.0)</f>
        <v>46</v>
      </c>
      <c r="E739" s="2"/>
    </row>
    <row r="740">
      <c r="A740" s="2"/>
      <c r="B740" s="8" t="str">
        <f>IFERROR(__xludf.DUMMYFUNCTION("""COMPUTED_VALUE"""),"MOH. YASIN")</f>
        <v>MOH. YASIN</v>
      </c>
      <c r="C740" s="8" t="str">
        <f>IFERROR(__xludf.DUMMYFUNCTION("""COMPUTED_VALUE"""),"M5723105002")</f>
        <v>M5723105002</v>
      </c>
      <c r="D740" s="8">
        <f>IFERROR(__xludf.DUMMYFUNCTION("""COMPUTED_VALUE"""),69.0)</f>
        <v>69</v>
      </c>
      <c r="E740" s="2"/>
    </row>
    <row r="741">
      <c r="A741" s="2"/>
      <c r="B741" s="8" t="str">
        <f>IFERROR(__xludf.DUMMYFUNCTION("""COMPUTED_VALUE"""),"GALIH SENI RUPAWAN")</f>
        <v>GALIH SENI RUPAWAN</v>
      </c>
      <c r="C741" s="8" t="str">
        <f>IFERROR(__xludf.DUMMYFUNCTION("""COMPUTED_VALUE"""),"G9423106584")</f>
        <v>G9423106584</v>
      </c>
      <c r="D741" s="8">
        <f>IFERROR(__xludf.DUMMYFUNCTION("""COMPUTED_VALUE"""),32.0)</f>
        <v>32</v>
      </c>
      <c r="E741" s="2"/>
    </row>
    <row r="742">
      <c r="A742" s="2"/>
      <c r="B742" s="8" t="str">
        <f>IFERROR(__xludf.DUMMYFUNCTION("""COMPUTED_VALUE"""),"RAIHAN FIRDAUS WIJAYA")</f>
        <v>RAIHAN FIRDAUS WIJAYA</v>
      </c>
      <c r="C742" s="8" t="str">
        <f>IFERROR(__xludf.DUMMYFUNCTION("""COMPUTED_VALUE"""),"R0123106306")</f>
        <v>R0123106306</v>
      </c>
      <c r="D742" s="8">
        <f>IFERROR(__xludf.DUMMYFUNCTION("""COMPUTED_VALUE"""),24.0)</f>
        <v>24</v>
      </c>
      <c r="E742" s="2"/>
    </row>
    <row r="743">
      <c r="A743" s="2"/>
      <c r="B743" s="8" t="str">
        <f>IFERROR(__xludf.DUMMYFUNCTION("""COMPUTED_VALUE"""),"REXY GUSNIANDI")</f>
        <v>REXY GUSNIANDI</v>
      </c>
      <c r="C743" s="8" t="str">
        <f>IFERROR(__xludf.DUMMYFUNCTION("""COMPUTED_VALUE"""),"R9723104575")</f>
        <v>R9723104575</v>
      </c>
      <c r="D743" s="8">
        <f>IFERROR(__xludf.DUMMYFUNCTION("""COMPUTED_VALUE"""),28.0)</f>
        <v>28</v>
      </c>
      <c r="E743" s="2"/>
    </row>
    <row r="744">
      <c r="A744" s="2"/>
      <c r="B744" s="8" t="str">
        <f>IFERROR(__xludf.DUMMYFUNCTION("""COMPUTED_VALUE"""),"BAMBANG SUGENG")</f>
        <v>BAMBANG SUGENG</v>
      </c>
      <c r="C744" s="8" t="str">
        <f>IFERROR(__xludf.DUMMYFUNCTION("""COMPUTED_VALUE"""),"B6523106766")</f>
        <v>B6523106766</v>
      </c>
      <c r="D744" s="8">
        <f>IFERROR(__xludf.DUMMYFUNCTION("""COMPUTED_VALUE"""),61.0)</f>
        <v>61</v>
      </c>
      <c r="E744" s="2"/>
    </row>
    <row r="745">
      <c r="A745" s="2"/>
      <c r="B745" s="8" t="str">
        <f>IFERROR(__xludf.DUMMYFUNCTION("""COMPUTED_VALUE"""),"YOGA NOVA DIANSYAH")</f>
        <v>YOGA NOVA DIANSYAH</v>
      </c>
      <c r="C745" s="8" t="str">
        <f>IFERROR(__xludf.DUMMYFUNCTION("""COMPUTED_VALUE"""),"Y9523108480")</f>
        <v>Y9523108480</v>
      </c>
      <c r="D745" s="8">
        <f>IFERROR(__xludf.DUMMYFUNCTION("""COMPUTED_VALUE"""),30.0)</f>
        <v>30</v>
      </c>
      <c r="E745" s="2"/>
    </row>
    <row r="746">
      <c r="A746" s="2"/>
      <c r="B746" s="8" t="str">
        <f>IFERROR(__xludf.DUMMYFUNCTION("""COMPUTED_VALUE"""),"ALVIANDY")</f>
        <v>ALVIANDY</v>
      </c>
      <c r="C746" s="8" t="str">
        <f>IFERROR(__xludf.DUMMYFUNCTION("""COMPUTED_VALUE"""),"A9823108688")</f>
        <v>A9823108688</v>
      </c>
      <c r="D746" s="8">
        <f>IFERROR(__xludf.DUMMYFUNCTION("""COMPUTED_VALUE"""),27.0)</f>
        <v>27</v>
      </c>
      <c r="E746" s="2"/>
    </row>
    <row r="747">
      <c r="A747" s="2"/>
      <c r="B747" s="8" t="str">
        <f>IFERROR(__xludf.DUMMYFUNCTION("""COMPUTED_VALUE"""),"FARIDI YUSLA")</f>
        <v>FARIDI YUSLA</v>
      </c>
      <c r="C747" s="8" t="str">
        <f>IFERROR(__xludf.DUMMYFUNCTION("""COMPUTED_VALUE"""),"F5523101955")</f>
        <v>F5523101955</v>
      </c>
      <c r="D747" s="8">
        <f>IFERROR(__xludf.DUMMYFUNCTION("""COMPUTED_VALUE"""),71.0)</f>
        <v>71</v>
      </c>
      <c r="E747" s="2"/>
    </row>
    <row r="748">
      <c r="A748" s="2"/>
      <c r="B748" s="8" t="str">
        <f>IFERROR(__xludf.DUMMYFUNCTION("""COMPUTED_VALUE"""),"MUJTABA TAMAMI")</f>
        <v>MUJTABA TAMAMI</v>
      </c>
      <c r="C748" s="8" t="str">
        <f>IFERROR(__xludf.DUMMYFUNCTION("""COMPUTED_VALUE"""),"M9123108544")</f>
        <v>M9123108544</v>
      </c>
      <c r="D748" s="8">
        <f>IFERROR(__xludf.DUMMYFUNCTION("""COMPUTED_VALUE"""),35.0)</f>
        <v>35</v>
      </c>
      <c r="E748" s="2"/>
    </row>
    <row r="749">
      <c r="A749" s="2"/>
      <c r="B749" s="8" t="str">
        <f>IFERROR(__xludf.DUMMYFUNCTION("""COMPUTED_VALUE"""),"YUNIARTO")</f>
        <v>YUNIARTO</v>
      </c>
      <c r="C749" s="8" t="str">
        <f>IFERROR(__xludf.DUMMYFUNCTION("""COMPUTED_VALUE"""),"Y7723100199")</f>
        <v>Y7723100199</v>
      </c>
      <c r="D749" s="8">
        <f>IFERROR(__xludf.DUMMYFUNCTION("""COMPUTED_VALUE"""),49.0)</f>
        <v>49</v>
      </c>
      <c r="E749" s="2"/>
    </row>
    <row r="750">
      <c r="A750" s="2"/>
      <c r="B750" s="8" t="str">
        <f>IFERROR(__xludf.DUMMYFUNCTION("""COMPUTED_VALUE"""),"TOTOCK SUPRIADI")</f>
        <v>TOTOCK SUPRIADI</v>
      </c>
      <c r="C750" s="8" t="str">
        <f>IFERROR(__xludf.DUMMYFUNCTION("""COMPUTED_VALUE"""),"T0223107096")</f>
        <v>T0223107096</v>
      </c>
      <c r="D750" s="8">
        <f>IFERROR(__xludf.DUMMYFUNCTION("""COMPUTED_VALUE"""),24.0)</f>
        <v>24</v>
      </c>
      <c r="E750" s="2"/>
    </row>
    <row r="751">
      <c r="A751" s="2"/>
      <c r="B751" s="8" t="str">
        <f>IFERROR(__xludf.DUMMYFUNCTION("""COMPUTED_VALUE"""),"NABHAN ZAKY SAPUTRA")</f>
        <v>NABHAN ZAKY SAPUTRA</v>
      </c>
      <c r="C751" s="8" t="str">
        <f>IFERROR(__xludf.DUMMYFUNCTION("""COMPUTED_VALUE"""),"N0523108697")</f>
        <v>N0523108697</v>
      </c>
      <c r="D751" s="8">
        <f>IFERROR(__xludf.DUMMYFUNCTION("""COMPUTED_VALUE"""),20.0)</f>
        <v>20</v>
      </c>
      <c r="E751" s="2"/>
    </row>
    <row r="752">
      <c r="A752" s="2"/>
      <c r="B752" s="8" t="str">
        <f>IFERROR(__xludf.DUMMYFUNCTION("""COMPUTED_VALUE"""),"HI TJIU NGO")</f>
        <v>HI TJIU NGO</v>
      </c>
      <c r="C752" s="8" t="str">
        <f>IFERROR(__xludf.DUMMYFUNCTION("""COMPUTED_VALUE"""),"H5023109150")</f>
        <v>H5023109150</v>
      </c>
      <c r="D752" s="8">
        <f>IFERROR(__xludf.DUMMYFUNCTION("""COMPUTED_VALUE"""),76.0)</f>
        <v>76</v>
      </c>
      <c r="E752" s="2"/>
    </row>
    <row r="753">
      <c r="A753" s="2"/>
      <c r="B753" s="8" t="str">
        <f>IFERROR(__xludf.DUMMYFUNCTION("""COMPUTED_VALUE"""),"RUDI SUGIANTO")</f>
        <v>RUDI SUGIANTO</v>
      </c>
      <c r="C753" s="8" t="str">
        <f>IFERROR(__xludf.DUMMYFUNCTION("""COMPUTED_VALUE"""),"R8823107564")</f>
        <v>R8823107564</v>
      </c>
      <c r="D753" s="8">
        <f>IFERROR(__xludf.DUMMYFUNCTION("""COMPUTED_VALUE"""),38.0)</f>
        <v>38</v>
      </c>
      <c r="E753" s="2"/>
    </row>
    <row r="754">
      <c r="A754" s="2"/>
      <c r="B754" s="8" t="str">
        <f>IFERROR(__xludf.DUMMYFUNCTION("""COMPUTED_VALUE"""),"DZAKY TSALITA W")</f>
        <v>DZAKY TSALITA W</v>
      </c>
      <c r="C754" s="8" t="str">
        <f>IFERROR(__xludf.DUMMYFUNCTION("""COMPUTED_VALUE"""),"D0923103899")</f>
        <v>D0923103899</v>
      </c>
      <c r="D754" s="8">
        <f>IFERROR(__xludf.DUMMYFUNCTION("""COMPUTED_VALUE"""),16.0)</f>
        <v>16</v>
      </c>
      <c r="E754" s="2"/>
    </row>
    <row r="755">
      <c r="A755" s="2"/>
      <c r="B755" s="8" t="str">
        <f>IFERROR(__xludf.DUMMYFUNCTION("""COMPUTED_VALUE"""),"DHEA ASTRID NELINDA")</f>
        <v>DHEA ASTRID NELINDA</v>
      </c>
      <c r="C755" s="8" t="str">
        <f>IFERROR(__xludf.DUMMYFUNCTION("""COMPUTED_VALUE"""),"D9023100078")</f>
        <v>D9023100078</v>
      </c>
      <c r="D755" s="8">
        <f>IFERROR(__xludf.DUMMYFUNCTION("""COMPUTED_VALUE"""),35.0)</f>
        <v>35</v>
      </c>
      <c r="E755" s="2"/>
    </row>
    <row r="756">
      <c r="A756" s="2"/>
      <c r="B756" s="8" t="str">
        <f>IFERROR(__xludf.DUMMYFUNCTION("""COMPUTED_VALUE"""),"NICOLAS VEDRIN")</f>
        <v>NICOLAS VEDRIN</v>
      </c>
      <c r="C756" s="8" t="str">
        <f>IFERROR(__xludf.DUMMYFUNCTION("""COMPUTED_VALUE"""),"N0023108947")</f>
        <v>N0023108947</v>
      </c>
      <c r="D756" s="8">
        <f>IFERROR(__xludf.DUMMYFUNCTION("""COMPUTED_VALUE"""),25.0)</f>
        <v>25</v>
      </c>
      <c r="E756" s="2"/>
    </row>
    <row r="757">
      <c r="A757" s="2"/>
      <c r="B757" s="8" t="str">
        <f>IFERROR(__xludf.DUMMYFUNCTION("""COMPUTED_VALUE"""),"VIVI KURNIAWAN")</f>
        <v>VIVI KURNIAWAN</v>
      </c>
      <c r="C757" s="8" t="str">
        <f>IFERROR(__xludf.DUMMYFUNCTION("""COMPUTED_VALUE"""),"V8723106872")</f>
        <v>V8723106872</v>
      </c>
      <c r="D757" s="8">
        <f>IFERROR(__xludf.DUMMYFUNCTION("""COMPUTED_VALUE"""),38.0)</f>
        <v>38</v>
      </c>
      <c r="E757" s="2"/>
    </row>
    <row r="758">
      <c r="A758" s="2"/>
      <c r="B758" s="8" t="str">
        <f>IFERROR(__xludf.DUMMYFUNCTION("""COMPUTED_VALUE"""),"FIRMAN")</f>
        <v>FIRMAN</v>
      </c>
      <c r="C758" s="8" t="str">
        <f>IFERROR(__xludf.DUMMYFUNCTION("""COMPUTED_VALUE"""),"F8923104122")</f>
        <v>F8923104122</v>
      </c>
      <c r="D758" s="8">
        <f>IFERROR(__xludf.DUMMYFUNCTION("""COMPUTED_VALUE"""),37.0)</f>
        <v>37</v>
      </c>
      <c r="E758" s="2"/>
    </row>
    <row r="759">
      <c r="A759" s="2"/>
      <c r="B759" s="8" t="str">
        <f>IFERROR(__xludf.DUMMYFUNCTION("""COMPUTED_VALUE"""),"AGUS SURYANSYAH")</f>
        <v>AGUS SURYANSYAH</v>
      </c>
      <c r="C759" s="8" t="str">
        <f>IFERROR(__xludf.DUMMYFUNCTION("""COMPUTED_VALUE"""),"A8923100911")</f>
        <v>A8923100911</v>
      </c>
      <c r="D759" s="8">
        <f>IFERROR(__xludf.DUMMYFUNCTION("""COMPUTED_VALUE"""),36.0)</f>
        <v>36</v>
      </c>
      <c r="E759" s="2"/>
    </row>
    <row r="760">
      <c r="A760" s="2"/>
      <c r="B760" s="8" t="str">
        <f>IFERROR(__xludf.DUMMYFUNCTION("""COMPUTED_VALUE"""),"ABDUL JABAR")</f>
        <v>ABDUL JABAR</v>
      </c>
      <c r="C760" s="8" t="str">
        <f>IFERROR(__xludf.DUMMYFUNCTION("""COMPUTED_VALUE"""),"A9823106594")</f>
        <v>A9823106594</v>
      </c>
      <c r="D760" s="8">
        <f>IFERROR(__xludf.DUMMYFUNCTION("""COMPUTED_VALUE"""),27.0)</f>
        <v>27</v>
      </c>
      <c r="E760" s="2"/>
    </row>
    <row r="761">
      <c r="A761" s="2"/>
      <c r="B761" s="8" t="str">
        <f>IFERROR(__xludf.DUMMYFUNCTION("""COMPUTED_VALUE"""),"WINARNI")</f>
        <v>WINARNI</v>
      </c>
      <c r="C761" s="8" t="str">
        <f>IFERROR(__xludf.DUMMYFUNCTION("""COMPUTED_VALUE"""),"W8023106140")</f>
        <v>W8023106140</v>
      </c>
      <c r="D761" s="8">
        <f>IFERROR(__xludf.DUMMYFUNCTION("""COMPUTED_VALUE"""),46.0)</f>
        <v>46</v>
      </c>
      <c r="E761" s="2"/>
    </row>
    <row r="762">
      <c r="A762" s="2"/>
      <c r="B762" s="8" t="str">
        <f>IFERROR(__xludf.DUMMYFUNCTION("""COMPUTED_VALUE"""),"YUSRON")</f>
        <v>YUSRON</v>
      </c>
      <c r="C762" s="8" t="str">
        <f>IFERROR(__xludf.DUMMYFUNCTION("""COMPUTED_VALUE"""),"Y9523102193")</f>
        <v>Y9523102193</v>
      </c>
      <c r="D762" s="8">
        <f>IFERROR(__xludf.DUMMYFUNCTION("""COMPUTED_VALUE"""),31.0)</f>
        <v>31</v>
      </c>
      <c r="E762" s="2"/>
    </row>
    <row r="763">
      <c r="A763" s="2"/>
      <c r="B763" s="8" t="str">
        <f>IFERROR(__xludf.DUMMYFUNCTION("""COMPUTED_VALUE"""),"SY. MUHAMMAD AL JUFRI")</f>
        <v>SY. MUHAMMAD AL JUFRI</v>
      </c>
      <c r="C763" s="8" t="str">
        <f>IFERROR(__xludf.DUMMYFUNCTION("""COMPUTED_VALUE"""),"S7723103269")</f>
        <v>S7723103269</v>
      </c>
      <c r="D763" s="8">
        <f>IFERROR(__xludf.DUMMYFUNCTION("""COMPUTED_VALUE"""),48.0)</f>
        <v>48</v>
      </c>
      <c r="E763" s="2"/>
    </row>
    <row r="764">
      <c r="A764" s="2"/>
      <c r="B764" s="8" t="str">
        <f>IFERROR(__xludf.DUMMYFUNCTION("""COMPUTED_VALUE"""),"AHMAD KURNIADI")</f>
        <v>AHMAD KURNIADI</v>
      </c>
      <c r="C764" s="8" t="str">
        <f>IFERROR(__xludf.DUMMYFUNCTION("""COMPUTED_VALUE"""),"A9823107627")</f>
        <v>A9823107627</v>
      </c>
      <c r="D764" s="8">
        <f>IFERROR(__xludf.DUMMYFUNCTION("""COMPUTED_VALUE"""),28.0)</f>
        <v>28</v>
      </c>
      <c r="E764" s="2"/>
    </row>
    <row r="765">
      <c r="A765" s="2"/>
      <c r="B765" s="8" t="str">
        <f>IFERROR(__xludf.DUMMYFUNCTION("""COMPUTED_VALUE"""),"DODY IRAWAN")</f>
        <v>DODY IRAWAN</v>
      </c>
      <c r="C765" s="8" t="str">
        <f>IFERROR(__xludf.DUMMYFUNCTION("""COMPUTED_VALUE"""),"D8823105555")</f>
        <v>D8823105555</v>
      </c>
      <c r="D765" s="8">
        <f>IFERROR(__xludf.DUMMYFUNCTION("""COMPUTED_VALUE"""),38.0)</f>
        <v>38</v>
      </c>
      <c r="E765" s="2"/>
    </row>
    <row r="766">
      <c r="A766" s="2"/>
      <c r="B766" s="8" t="str">
        <f>IFERROR(__xludf.DUMMYFUNCTION("""COMPUTED_VALUE"""),"MELLY")</f>
        <v>MELLY</v>
      </c>
      <c r="C766" s="8" t="str">
        <f>IFERROR(__xludf.DUMMYFUNCTION("""COMPUTED_VALUE"""),"M5523109112")</f>
        <v>M5523109112</v>
      </c>
      <c r="D766" s="8">
        <f>IFERROR(__xludf.DUMMYFUNCTION("""COMPUTED_VALUE"""),71.0)</f>
        <v>71</v>
      </c>
      <c r="E766" s="2"/>
    </row>
    <row r="767">
      <c r="A767" s="2"/>
      <c r="B767" s="8" t="str">
        <f>IFERROR(__xludf.DUMMYFUNCTION("""COMPUTED_VALUE"""),"FILDZAH THARIFAH RAHMAH")</f>
        <v>FILDZAH THARIFAH RAHMAH</v>
      </c>
      <c r="C767" s="8" t="str">
        <f>IFERROR(__xludf.DUMMYFUNCTION("""COMPUTED_VALUE"""),"F0323101999")</f>
        <v>F0323101999</v>
      </c>
      <c r="D767" s="8">
        <f>IFERROR(__xludf.DUMMYFUNCTION("""COMPUTED_VALUE"""),23.0)</f>
        <v>23</v>
      </c>
      <c r="E767" s="2"/>
    </row>
    <row r="768">
      <c r="A768" s="2"/>
      <c r="B768" s="8" t="str">
        <f>IFERROR(__xludf.DUMMYFUNCTION("""COMPUTED_VALUE"""),"YESSICA OLIVIA")</f>
        <v>YESSICA OLIVIA</v>
      </c>
      <c r="C768" s="8" t="str">
        <f>IFERROR(__xludf.DUMMYFUNCTION("""COMPUTED_VALUE"""),"Y9623105882")</f>
        <v>Y9623105882</v>
      </c>
      <c r="D768" s="8">
        <f>IFERROR(__xludf.DUMMYFUNCTION("""COMPUTED_VALUE"""),29.0)</f>
        <v>29</v>
      </c>
      <c r="E768" s="2"/>
    </row>
    <row r="769">
      <c r="A769" s="2"/>
      <c r="B769" s="8" t="str">
        <f>IFERROR(__xludf.DUMMYFUNCTION("""COMPUTED_VALUE"""),"KAMISAH")</f>
        <v>KAMISAH</v>
      </c>
      <c r="C769" s="8" t="str">
        <f>IFERROR(__xludf.DUMMYFUNCTION("""COMPUTED_VALUE"""),"K7823109983")</f>
        <v>K7823109983</v>
      </c>
      <c r="D769" s="8">
        <f>IFERROR(__xludf.DUMMYFUNCTION("""COMPUTED_VALUE"""),47.0)</f>
        <v>47</v>
      </c>
      <c r="E769" s="2"/>
    </row>
    <row r="770">
      <c r="A770" s="2"/>
      <c r="B770" s="8" t="str">
        <f>IFERROR(__xludf.DUMMYFUNCTION("""COMPUTED_VALUE"""),"SILVANI ANTHONIA")</f>
        <v>SILVANI ANTHONIA</v>
      </c>
      <c r="C770" s="8" t="str">
        <f>IFERROR(__xludf.DUMMYFUNCTION("""COMPUTED_VALUE"""),"S9923102201")</f>
        <v>S9923102201</v>
      </c>
      <c r="D770" s="8">
        <f>IFERROR(__xludf.DUMMYFUNCTION("""COMPUTED_VALUE"""),26.0)</f>
        <v>26</v>
      </c>
      <c r="E770" s="2"/>
    </row>
    <row r="771">
      <c r="A771" s="2"/>
      <c r="B771" s="8" t="str">
        <f>IFERROR(__xludf.DUMMYFUNCTION("""COMPUTED_VALUE"""),"ELINA")</f>
        <v>ELINA</v>
      </c>
      <c r="C771" s="8" t="str">
        <f>IFERROR(__xludf.DUMMYFUNCTION("""COMPUTED_VALUE"""),"E6323109681")</f>
        <v>E6323109681</v>
      </c>
      <c r="D771" s="8">
        <f>IFERROR(__xludf.DUMMYFUNCTION("""COMPUTED_VALUE"""),63.0)</f>
        <v>63</v>
      </c>
      <c r="E771" s="2"/>
    </row>
    <row r="772">
      <c r="A772" s="2"/>
      <c r="B772" s="8" t="str">
        <f>IFERROR(__xludf.DUMMYFUNCTION("""COMPUTED_VALUE"""),"JUSTRI")</f>
        <v>JUSTRI</v>
      </c>
      <c r="C772" s="8" t="str">
        <f>IFERROR(__xludf.DUMMYFUNCTION("""COMPUTED_VALUE"""),"J7023106444")</f>
        <v>J7023106444</v>
      </c>
      <c r="D772" s="8">
        <f>IFERROR(__xludf.DUMMYFUNCTION("""COMPUTED_VALUE"""),55.0)</f>
        <v>55</v>
      </c>
      <c r="E772" s="2"/>
    </row>
    <row r="773">
      <c r="A773" s="2"/>
      <c r="B773" s="8" t="str">
        <f>IFERROR(__xludf.DUMMYFUNCTION("""COMPUTED_VALUE"""),"FAISAL IQBAL ISMAIL DN")</f>
        <v>FAISAL IQBAL ISMAIL DN</v>
      </c>
      <c r="C773" s="8" t="str">
        <f>IFERROR(__xludf.DUMMYFUNCTION("""COMPUTED_VALUE"""),"F0523105855")</f>
        <v>F0523105855</v>
      </c>
      <c r="D773" s="8">
        <f>IFERROR(__xludf.DUMMYFUNCTION("""COMPUTED_VALUE"""),20.0)</f>
        <v>20</v>
      </c>
      <c r="E773" s="2"/>
    </row>
    <row r="774">
      <c r="A774" s="2"/>
      <c r="B774" s="8" t="str">
        <f>IFERROR(__xludf.DUMMYFUNCTION("""COMPUTED_VALUE"""),"M FARRAZ WIRATAMA LUBIS")</f>
        <v>M FARRAZ WIRATAMA LUBIS</v>
      </c>
      <c r="C774" s="8" t="str">
        <f>IFERROR(__xludf.DUMMYFUNCTION("""COMPUTED_VALUE"""),"M9823104290")</f>
        <v>M9823104290</v>
      </c>
      <c r="D774" s="8">
        <f>IFERROR(__xludf.DUMMYFUNCTION("""COMPUTED_VALUE"""),27.0)</f>
        <v>27</v>
      </c>
      <c r="E774" s="2"/>
    </row>
    <row r="775">
      <c r="A775" s="2"/>
      <c r="B775" s="8" t="str">
        <f>IFERROR(__xludf.DUMMYFUNCTION("""COMPUTED_VALUE"""),"AGUNG PRASEKTIA")</f>
        <v>AGUNG PRASEKTIA</v>
      </c>
      <c r="C775" s="8" t="str">
        <f>IFERROR(__xludf.DUMMYFUNCTION("""COMPUTED_VALUE"""),"A9923105194")</f>
        <v>A9923105194</v>
      </c>
      <c r="D775" s="8">
        <f>IFERROR(__xludf.DUMMYFUNCTION("""COMPUTED_VALUE"""),26.0)</f>
        <v>26</v>
      </c>
      <c r="E775" s="2"/>
    </row>
    <row r="776">
      <c r="A776" s="2"/>
      <c r="B776" s="8" t="str">
        <f>IFERROR(__xludf.DUMMYFUNCTION("""COMPUTED_VALUE"""),"NICHOLAS RIVELINO")</f>
        <v>NICHOLAS RIVELINO</v>
      </c>
      <c r="C776" s="8" t="str">
        <f>IFERROR(__xludf.DUMMYFUNCTION("""COMPUTED_VALUE"""),"N0423100605")</f>
        <v>N0423100605</v>
      </c>
      <c r="D776" s="8">
        <f>IFERROR(__xludf.DUMMYFUNCTION("""COMPUTED_VALUE"""),21.0)</f>
        <v>21</v>
      </c>
      <c r="E776" s="2"/>
    </row>
    <row r="777">
      <c r="A777" s="2"/>
      <c r="B777" s="8" t="str">
        <f>IFERROR(__xludf.DUMMYFUNCTION("""COMPUTED_VALUE"""),"MUHAMMAD NAFIS")</f>
        <v>MUHAMMAD NAFIS</v>
      </c>
      <c r="C777" s="8" t="str">
        <f>IFERROR(__xludf.DUMMYFUNCTION("""COMPUTED_VALUE"""),"M0423107811")</f>
        <v>M0423107811</v>
      </c>
      <c r="D777" s="8">
        <f>IFERROR(__xludf.DUMMYFUNCTION("""COMPUTED_VALUE"""),22.0)</f>
        <v>22</v>
      </c>
      <c r="E777" s="2"/>
    </row>
    <row r="778">
      <c r="A778" s="2"/>
      <c r="B778" s="8" t="str">
        <f>IFERROR(__xludf.DUMMYFUNCTION("""COMPUTED_VALUE"""),"M. AZDI YUSPRATAMA, S.STP")</f>
        <v>M. AZDI YUSPRATAMA, S.STP</v>
      </c>
      <c r="C778" s="8" t="str">
        <f>IFERROR(__xludf.DUMMYFUNCTION("""COMPUTED_VALUE"""),"M9523109955")</f>
        <v>M9523109955</v>
      </c>
      <c r="D778" s="8">
        <f>IFERROR(__xludf.DUMMYFUNCTION("""COMPUTED_VALUE"""),31.0)</f>
        <v>31</v>
      </c>
      <c r="E778" s="2"/>
    </row>
    <row r="779">
      <c r="A779" s="2"/>
      <c r="B779" s="8" t="str">
        <f>IFERROR(__xludf.DUMMYFUNCTION("""COMPUTED_VALUE"""),"SONY ARDHIANSYAH")</f>
        <v>SONY ARDHIANSYAH</v>
      </c>
      <c r="C779" s="8" t="str">
        <f>IFERROR(__xludf.DUMMYFUNCTION("""COMPUTED_VALUE"""),"S7923101779")</f>
        <v>S7923101779</v>
      </c>
      <c r="D779" s="8">
        <f>IFERROR(__xludf.DUMMYFUNCTION("""COMPUTED_VALUE"""),47.0)</f>
        <v>47</v>
      </c>
      <c r="E779" s="2"/>
    </row>
    <row r="780">
      <c r="A780" s="2"/>
      <c r="B780" s="8" t="str">
        <f>IFERROR(__xludf.DUMMYFUNCTION("""COMPUTED_VALUE"""),"ZULFIKAR RAHARJO")</f>
        <v>ZULFIKAR RAHARJO</v>
      </c>
      <c r="C780" s="8" t="str">
        <f>IFERROR(__xludf.DUMMYFUNCTION("""COMPUTED_VALUE"""),"Z9323104489")</f>
        <v>Z9323104489</v>
      </c>
      <c r="D780" s="8">
        <f>IFERROR(__xludf.DUMMYFUNCTION("""COMPUTED_VALUE"""),32.0)</f>
        <v>32</v>
      </c>
      <c r="E780" s="2"/>
    </row>
    <row r="781">
      <c r="A781" s="2"/>
      <c r="B781" s="8" t="str">
        <f>IFERROR(__xludf.DUMMYFUNCTION("""COMPUTED_VALUE"""),"ENOLA GORETTY SIAHAAN")</f>
        <v>ENOLA GORETTY SIAHAAN</v>
      </c>
      <c r="C781" s="8" t="str">
        <f>IFERROR(__xludf.DUMMYFUNCTION("""COMPUTED_VALUE"""),"E9223105607")</f>
        <v>E9223105607</v>
      </c>
      <c r="D781" s="8">
        <f>IFERROR(__xludf.DUMMYFUNCTION("""COMPUTED_VALUE"""),33.0)</f>
        <v>33</v>
      </c>
      <c r="E781" s="2"/>
    </row>
    <row r="782">
      <c r="A782" s="2"/>
      <c r="B782" s="8" t="str">
        <f>IFERROR(__xludf.DUMMYFUNCTION("""COMPUTED_VALUE"""),"HESTY SULISTYO WULANDARI")</f>
        <v>HESTY SULISTYO WULANDARI</v>
      </c>
      <c r="C782" s="8" t="str">
        <f>IFERROR(__xludf.DUMMYFUNCTION("""COMPUTED_VALUE"""),"H8523109306")</f>
        <v>H8523109306</v>
      </c>
      <c r="D782" s="8">
        <f>IFERROR(__xludf.DUMMYFUNCTION("""COMPUTED_VALUE"""),41.0)</f>
        <v>41</v>
      </c>
      <c r="E782" s="2"/>
    </row>
    <row r="783">
      <c r="A783" s="2"/>
      <c r="B783" s="8" t="str">
        <f>IFERROR(__xludf.DUMMYFUNCTION("""COMPUTED_VALUE"""),"ALEX HANSENS")</f>
        <v>ALEX HANSENS</v>
      </c>
      <c r="C783" s="8" t="str">
        <f>IFERROR(__xludf.DUMMYFUNCTION("""COMPUTED_VALUE"""),"A0923105575")</f>
        <v>A0923105575</v>
      </c>
      <c r="D783" s="8">
        <f>IFERROR(__xludf.DUMMYFUNCTION("""COMPUTED_VALUE"""),17.0)</f>
        <v>17</v>
      </c>
      <c r="E783" s="2"/>
    </row>
    <row r="784">
      <c r="A784" s="2"/>
      <c r="B784" s="8" t="str">
        <f>IFERROR(__xludf.DUMMYFUNCTION("""COMPUTED_VALUE"""),"ANGELA")</f>
        <v>ANGELA</v>
      </c>
      <c r="C784" s="8" t="str">
        <f>IFERROR(__xludf.DUMMYFUNCTION("""COMPUTED_VALUE"""),"A8723109568")</f>
        <v>A8723109568</v>
      </c>
      <c r="D784" s="8">
        <f>IFERROR(__xludf.DUMMYFUNCTION("""COMPUTED_VALUE"""),38.0)</f>
        <v>38</v>
      </c>
      <c r="E784" s="2"/>
    </row>
    <row r="785">
      <c r="A785" s="2"/>
      <c r="B785" s="8" t="str">
        <f>IFERROR(__xludf.DUMMYFUNCTION("""COMPUTED_VALUE"""),"MUHAMMAD DZAKY RADITYA")</f>
        <v>MUHAMMAD DZAKY RADITYA</v>
      </c>
      <c r="C785" s="8" t="str">
        <f>IFERROR(__xludf.DUMMYFUNCTION("""COMPUTED_VALUE"""),"M0623100304")</f>
        <v>M0623100304</v>
      </c>
      <c r="D785" s="8">
        <f>IFERROR(__xludf.DUMMYFUNCTION("""COMPUTED_VALUE"""),20.0)</f>
        <v>20</v>
      </c>
      <c r="E785" s="2"/>
    </row>
    <row r="786">
      <c r="A786" s="2"/>
      <c r="B786" s="8" t="str">
        <f>IFERROR(__xludf.DUMMYFUNCTION("""COMPUTED_VALUE"""),"GODAM KURNIA SAPUTRA")</f>
        <v>GODAM KURNIA SAPUTRA</v>
      </c>
      <c r="C786" s="8" t="str">
        <f>IFERROR(__xludf.DUMMYFUNCTION("""COMPUTED_VALUE"""),"G8723100802")</f>
        <v>G8723100802</v>
      </c>
      <c r="D786" s="8">
        <f>IFERROR(__xludf.DUMMYFUNCTION("""COMPUTED_VALUE"""),39.0)</f>
        <v>39</v>
      </c>
      <c r="E786" s="2"/>
    </row>
    <row r="787">
      <c r="A787" s="2"/>
      <c r="B787" s="8" t="str">
        <f>IFERROR(__xludf.DUMMYFUNCTION("""COMPUTED_VALUE"""),"CATUR YULIYATI")</f>
        <v>CATUR YULIYATI</v>
      </c>
      <c r="C787" s="8" t="str">
        <f>IFERROR(__xludf.DUMMYFUNCTION("""COMPUTED_VALUE"""),"C7123101945")</f>
        <v>C7123101945</v>
      </c>
      <c r="D787" s="8">
        <f>IFERROR(__xludf.DUMMYFUNCTION("""COMPUTED_VALUE"""),55.0)</f>
        <v>55</v>
      </c>
      <c r="E787" s="2"/>
    </row>
    <row r="788">
      <c r="A788" s="2"/>
      <c r="B788" s="8" t="str">
        <f>IFERROR(__xludf.DUMMYFUNCTION("""COMPUTED_VALUE"""),"RAYYANDRA GHUFRAN MARIOSHA")</f>
        <v>RAYYANDRA GHUFRAN MARIOSHA</v>
      </c>
      <c r="C788" s="8" t="str">
        <f>IFERROR(__xludf.DUMMYFUNCTION("""COMPUTED_VALUE"""),"R1523109990")</f>
        <v>R1523109990</v>
      </c>
      <c r="D788" s="8">
        <f>IFERROR(__xludf.DUMMYFUNCTION("""COMPUTED_VALUE"""),10.0)</f>
        <v>10</v>
      </c>
      <c r="E788" s="2"/>
    </row>
    <row r="789">
      <c r="A789" s="2"/>
      <c r="B789" s="8" t="str">
        <f>IFERROR(__xludf.DUMMYFUNCTION("""COMPUTED_VALUE"""),"SARIAH")</f>
        <v>SARIAH</v>
      </c>
      <c r="C789" s="8" t="str">
        <f>IFERROR(__xludf.DUMMYFUNCTION("""COMPUTED_VALUE"""),"S7823100890")</f>
        <v>S7823100890</v>
      </c>
      <c r="D789" s="8">
        <f>IFERROR(__xludf.DUMMYFUNCTION("""COMPUTED_VALUE"""),47.0)</f>
        <v>47</v>
      </c>
      <c r="E789" s="2"/>
    </row>
    <row r="790">
      <c r="A790" s="2"/>
      <c r="B790" s="8" t="str">
        <f>IFERROR(__xludf.DUMMYFUNCTION("""COMPUTED_VALUE"""),"FARIDAH")</f>
        <v>FARIDAH</v>
      </c>
      <c r="C790" s="8" t="str">
        <f>IFERROR(__xludf.DUMMYFUNCTION("""COMPUTED_VALUE"""),"F6523101819")</f>
        <v>F6523101819</v>
      </c>
      <c r="D790" s="8">
        <f>IFERROR(__xludf.DUMMYFUNCTION("""COMPUTED_VALUE"""),61.0)</f>
        <v>61</v>
      </c>
      <c r="E790" s="2"/>
    </row>
    <row r="791">
      <c r="A791" s="2"/>
      <c r="B791" s="8" t="str">
        <f>IFERROR(__xludf.DUMMYFUNCTION("""COMPUTED_VALUE"""),"FELYCIA VALERIE GRACIA")</f>
        <v>FELYCIA VALERIE GRACIA</v>
      </c>
      <c r="C791" s="8" t="str">
        <f>IFERROR(__xludf.DUMMYFUNCTION("""COMPUTED_VALUE"""),"F1023105575")</f>
        <v>F1023105575</v>
      </c>
      <c r="D791" s="8">
        <f>IFERROR(__xludf.DUMMYFUNCTION("""COMPUTED_VALUE"""),16.0)</f>
        <v>16</v>
      </c>
      <c r="E791" s="2"/>
    </row>
    <row r="792">
      <c r="A792" s="2"/>
      <c r="B792" s="8" t="str">
        <f>IFERROR(__xludf.DUMMYFUNCTION("""COMPUTED_VALUE"""),"JAMILAH")</f>
        <v>JAMILAH</v>
      </c>
      <c r="C792" s="8" t="str">
        <f>IFERROR(__xludf.DUMMYFUNCTION("""COMPUTED_VALUE"""),"J6623101538")</f>
        <v>J6623101538</v>
      </c>
      <c r="D792" s="8">
        <f>IFERROR(__xludf.DUMMYFUNCTION("""COMPUTED_VALUE"""),60.0)</f>
        <v>60</v>
      </c>
      <c r="E792" s="2"/>
    </row>
    <row r="793">
      <c r="A793" s="2"/>
      <c r="B793" s="8" t="str">
        <f>IFERROR(__xludf.DUMMYFUNCTION("""COMPUTED_VALUE"""),"RAFFASYA FATHAR FAHREZA")</f>
        <v>RAFFASYA FATHAR FAHREZA</v>
      </c>
      <c r="C793" s="8" t="str">
        <f>IFERROR(__xludf.DUMMYFUNCTION("""COMPUTED_VALUE"""),"R1123103939")</f>
        <v>R1123103939</v>
      </c>
      <c r="D793" s="8">
        <f>IFERROR(__xludf.DUMMYFUNCTION("""COMPUTED_VALUE"""),15.0)</f>
        <v>15</v>
      </c>
      <c r="E793" s="2"/>
    </row>
    <row r="794">
      <c r="A794" s="2"/>
      <c r="B794" s="8" t="str">
        <f>IFERROR(__xludf.DUMMYFUNCTION("""COMPUTED_VALUE"""),"RANDY SIMAMORA")</f>
        <v>RANDY SIMAMORA</v>
      </c>
      <c r="C794" s="8" t="str">
        <f>IFERROR(__xludf.DUMMYFUNCTION("""COMPUTED_VALUE"""),"R8523108889")</f>
        <v>R8523108889</v>
      </c>
      <c r="D794" s="8">
        <f>IFERROR(__xludf.DUMMYFUNCTION("""COMPUTED_VALUE"""),40.0)</f>
        <v>40</v>
      </c>
      <c r="E794" s="2"/>
    </row>
    <row r="795">
      <c r="A795" s="2"/>
      <c r="B795" s="8" t="str">
        <f>IFERROR(__xludf.DUMMYFUNCTION("""COMPUTED_VALUE"""),"RAYMANDO SUPRIYADI")</f>
        <v>RAYMANDO SUPRIYADI</v>
      </c>
      <c r="C795" s="8" t="str">
        <f>IFERROR(__xludf.DUMMYFUNCTION("""COMPUTED_VALUE"""),"R9023107777")</f>
        <v>R9023107777</v>
      </c>
      <c r="D795" s="8">
        <f>IFERROR(__xludf.DUMMYFUNCTION("""COMPUTED_VALUE"""),35.0)</f>
        <v>35</v>
      </c>
      <c r="E795" s="2"/>
    </row>
    <row r="796">
      <c r="A796" s="2"/>
      <c r="B796" s="8" t="str">
        <f>IFERROR(__xludf.DUMMYFUNCTION("""COMPUTED_VALUE"""),"M.NUR RAHIM")</f>
        <v>M.NUR RAHIM</v>
      </c>
      <c r="C796" s="8" t="str">
        <f>IFERROR(__xludf.DUMMYFUNCTION("""COMPUTED_VALUE"""),"M0023107288")</f>
        <v>M0023107288</v>
      </c>
      <c r="D796" s="8">
        <f>IFERROR(__xludf.DUMMYFUNCTION("""COMPUTED_VALUE"""),25.0)</f>
        <v>25</v>
      </c>
      <c r="E796" s="2"/>
    </row>
    <row r="797">
      <c r="A797" s="2"/>
      <c r="B797" s="8" t="str">
        <f>IFERROR(__xludf.DUMMYFUNCTION("""COMPUTED_VALUE"""),"ADISTY LUTHFI VIRGIANDA, S.PT")</f>
        <v>ADISTY LUTHFI VIRGIANDA, S.PT</v>
      </c>
      <c r="C797" s="8" t="str">
        <f>IFERROR(__xludf.DUMMYFUNCTION("""COMPUTED_VALUE"""),"A8823100077")</f>
        <v>A8823100077</v>
      </c>
      <c r="D797" s="8">
        <f>IFERROR(__xludf.DUMMYFUNCTION("""COMPUTED_VALUE"""),38.0)</f>
        <v>38</v>
      </c>
      <c r="E797" s="2"/>
    </row>
    <row r="798">
      <c r="A798" s="2"/>
      <c r="B798" s="8" t="str">
        <f>IFERROR(__xludf.DUMMYFUNCTION("""COMPUTED_VALUE"""),"STEVEN LIUS")</f>
        <v>STEVEN LIUS</v>
      </c>
      <c r="C798" s="8" t="str">
        <f>IFERROR(__xludf.DUMMYFUNCTION("""COMPUTED_VALUE"""),"S9823105529")</f>
        <v>S9823105529</v>
      </c>
      <c r="D798" s="8">
        <f>IFERROR(__xludf.DUMMYFUNCTION("""COMPUTED_VALUE"""),28.0)</f>
        <v>28</v>
      </c>
      <c r="E798" s="2"/>
    </row>
    <row r="799">
      <c r="A799" s="2"/>
      <c r="B799" s="8" t="str">
        <f>IFERROR(__xludf.DUMMYFUNCTION("""COMPUTED_VALUE"""),"ABYAN ODHY DZAKWAN")</f>
        <v>ABYAN ODHY DZAKWAN</v>
      </c>
      <c r="C799" s="8" t="str">
        <f>IFERROR(__xludf.DUMMYFUNCTION("""COMPUTED_VALUE"""),"A9823102419")</f>
        <v>A9823102419</v>
      </c>
      <c r="D799" s="8">
        <f>IFERROR(__xludf.DUMMYFUNCTION("""COMPUTED_VALUE"""),28.0)</f>
        <v>28</v>
      </c>
      <c r="E799" s="2"/>
    </row>
    <row r="800">
      <c r="A800" s="2"/>
      <c r="B800" s="8" t="str">
        <f>IFERROR(__xludf.DUMMYFUNCTION("""COMPUTED_VALUE"""),"RIZKI SEPTI ARINI")</f>
        <v>RIZKI SEPTI ARINI</v>
      </c>
      <c r="C800" s="8" t="str">
        <f>IFERROR(__xludf.DUMMYFUNCTION("""COMPUTED_VALUE"""),"R0123107121")</f>
        <v>R0123107121</v>
      </c>
      <c r="D800" s="8">
        <f>IFERROR(__xludf.DUMMYFUNCTION("""COMPUTED_VALUE"""),24.0)</f>
        <v>24</v>
      </c>
      <c r="E800" s="2"/>
    </row>
    <row r="801">
      <c r="A801" s="2"/>
      <c r="B801" s="8" t="str">
        <f>IFERROR(__xludf.DUMMYFUNCTION("""COMPUTED_VALUE"""),"MARLINA")</f>
        <v>MARLINA</v>
      </c>
      <c r="C801" s="8" t="str">
        <f>IFERROR(__xludf.DUMMYFUNCTION("""COMPUTED_VALUE"""),"M7723103095")</f>
        <v>M7723103095</v>
      </c>
      <c r="D801" s="8">
        <f>IFERROR(__xludf.DUMMYFUNCTION("""COMPUTED_VALUE"""),48.0)</f>
        <v>48</v>
      </c>
      <c r="E801" s="2"/>
    </row>
    <row r="802">
      <c r="A802" s="2"/>
      <c r="B802" s="8" t="str">
        <f>IFERROR(__xludf.DUMMYFUNCTION("""COMPUTED_VALUE"""),"RYAN DAVID JONATHAN")</f>
        <v>RYAN DAVID JONATHAN</v>
      </c>
      <c r="C802" s="8" t="str">
        <f>IFERROR(__xludf.DUMMYFUNCTION("""COMPUTED_VALUE"""),"R0923106038")</f>
        <v>R0923106038</v>
      </c>
      <c r="D802" s="8">
        <f>IFERROR(__xludf.DUMMYFUNCTION("""COMPUTED_VALUE"""),16.0)</f>
        <v>16</v>
      </c>
      <c r="E802" s="2"/>
    </row>
    <row r="803">
      <c r="A803" s="2"/>
      <c r="B803" s="8" t="str">
        <f>IFERROR(__xludf.DUMMYFUNCTION("""COMPUTED_VALUE"""),"DEWI SANDRAWATI")</f>
        <v>DEWI SANDRAWATI</v>
      </c>
      <c r="C803" s="8" t="str">
        <f>IFERROR(__xludf.DUMMYFUNCTION("""COMPUTED_VALUE"""),"D7223107675")</f>
        <v>D7223107675</v>
      </c>
      <c r="D803" s="8">
        <f>IFERROR(__xludf.DUMMYFUNCTION("""COMPUTED_VALUE"""),53.0)</f>
        <v>53</v>
      </c>
      <c r="E803" s="2"/>
    </row>
    <row r="804">
      <c r="A804" s="2"/>
      <c r="B804" s="8" t="str">
        <f>IFERROR(__xludf.DUMMYFUNCTION("""COMPUTED_VALUE"""),"RUSMAWATI")</f>
        <v>RUSMAWATI</v>
      </c>
      <c r="C804" s="8" t="str">
        <f>IFERROR(__xludf.DUMMYFUNCTION("""COMPUTED_VALUE"""),"R7923101309")</f>
        <v>R7923101309</v>
      </c>
      <c r="D804" s="8">
        <f>IFERROR(__xludf.DUMMYFUNCTION("""COMPUTED_VALUE"""),46.0)</f>
        <v>46</v>
      </c>
      <c r="E804" s="2"/>
    </row>
    <row r="805">
      <c r="A805" s="2"/>
      <c r="B805" s="8" t="str">
        <f>IFERROR(__xludf.DUMMYFUNCTION("""COMPUTED_VALUE"""),"SUKMA WULANDARI")</f>
        <v>SUKMA WULANDARI</v>
      </c>
      <c r="C805" s="8" t="str">
        <f>IFERROR(__xludf.DUMMYFUNCTION("""COMPUTED_VALUE"""),"S9923101070")</f>
        <v>S9923101070</v>
      </c>
      <c r="D805" s="8">
        <f>IFERROR(__xludf.DUMMYFUNCTION("""COMPUTED_VALUE"""),26.0)</f>
        <v>26</v>
      </c>
      <c r="E805" s="2"/>
    </row>
    <row r="806">
      <c r="A806" s="2"/>
      <c r="B806" s="8" t="str">
        <f>IFERROR(__xludf.DUMMYFUNCTION("""COMPUTED_VALUE"""),"IRHAM")</f>
        <v>IRHAM</v>
      </c>
      <c r="C806" s="8" t="str">
        <f>IFERROR(__xludf.DUMMYFUNCTION("""COMPUTED_VALUE"""),"I8923107921")</f>
        <v>I8923107921</v>
      </c>
      <c r="D806" s="8">
        <f>IFERROR(__xludf.DUMMYFUNCTION("""COMPUTED_VALUE"""),37.0)</f>
        <v>37</v>
      </c>
      <c r="E806" s="2"/>
    </row>
    <row r="807">
      <c r="A807" s="2"/>
      <c r="B807" s="8" t="str">
        <f>IFERROR(__xludf.DUMMYFUNCTION("""COMPUTED_VALUE"""),"ABDUL HALIM")</f>
        <v>ABDUL HALIM</v>
      </c>
      <c r="C807" s="8" t="str">
        <f>IFERROR(__xludf.DUMMYFUNCTION("""COMPUTED_VALUE"""),"A7623103883")</f>
        <v>A7623103883</v>
      </c>
      <c r="D807" s="8">
        <f>IFERROR(__xludf.DUMMYFUNCTION("""COMPUTED_VALUE"""),50.0)</f>
        <v>50</v>
      </c>
      <c r="E807" s="2"/>
    </row>
    <row r="808">
      <c r="A808" s="2"/>
      <c r="B808" s="8" t="str">
        <f>IFERROR(__xludf.DUMMYFUNCTION("""COMPUTED_VALUE"""),"I MADE ARY PRADANA")</f>
        <v>I MADE ARY PRADANA</v>
      </c>
      <c r="C808" s="8" t="str">
        <f>IFERROR(__xludf.DUMMYFUNCTION("""COMPUTED_VALUE"""),"I7523102721")</f>
        <v>I7523102721</v>
      </c>
      <c r="D808" s="8">
        <f>IFERROR(__xludf.DUMMYFUNCTION("""COMPUTED_VALUE"""),50.0)</f>
        <v>50</v>
      </c>
      <c r="E808" s="2"/>
    </row>
    <row r="809">
      <c r="A809" s="2"/>
      <c r="B809" s="8" t="str">
        <f>IFERROR(__xludf.DUMMYFUNCTION("""COMPUTED_VALUE"""),"SUGIARTI")</f>
        <v>SUGIARTI</v>
      </c>
      <c r="C809" s="8" t="str">
        <f>IFERROR(__xludf.DUMMYFUNCTION("""COMPUTED_VALUE"""),"S2323103009")</f>
        <v>S2323103009</v>
      </c>
      <c r="D809" s="8">
        <f>IFERROR(__xludf.DUMMYFUNCTION("""COMPUTED_VALUE"""),2.0)</f>
        <v>2</v>
      </c>
      <c r="E809" s="2"/>
    </row>
    <row r="810">
      <c r="A810" s="2"/>
      <c r="B810" s="8" t="str">
        <f>IFERROR(__xludf.DUMMYFUNCTION("""COMPUTED_VALUE"""),"SASNITA SARI")</f>
        <v>SASNITA SARI</v>
      </c>
      <c r="C810" s="8" t="str">
        <f>IFERROR(__xludf.DUMMYFUNCTION("""COMPUTED_VALUE"""),"S8223104082")</f>
        <v>S8223104082</v>
      </c>
      <c r="D810" s="8">
        <f>IFERROR(__xludf.DUMMYFUNCTION("""COMPUTED_VALUE"""),44.0)</f>
        <v>44</v>
      </c>
      <c r="E810" s="2"/>
    </row>
    <row r="811">
      <c r="A811" s="2"/>
      <c r="B811" s="8" t="str">
        <f>IFERROR(__xludf.DUMMYFUNCTION("""COMPUTED_VALUE"""),"DIMAS ANUGRO WIDIASTRIYANTO")</f>
        <v>DIMAS ANUGRO WIDIASTRIYANTO</v>
      </c>
      <c r="C811" s="8" t="str">
        <f>IFERROR(__xludf.DUMMYFUNCTION("""COMPUTED_VALUE"""),"D7723103389")</f>
        <v>D7723103389</v>
      </c>
      <c r="D811" s="8">
        <f>IFERROR(__xludf.DUMMYFUNCTION("""COMPUTED_VALUE"""),48.0)</f>
        <v>48</v>
      </c>
      <c r="E811" s="2"/>
    </row>
    <row r="812">
      <c r="A812" s="2"/>
      <c r="B812" s="8" t="str">
        <f>IFERROR(__xludf.DUMMYFUNCTION("""COMPUTED_VALUE"""),"LIE SUAN")</f>
        <v>LIE SUAN</v>
      </c>
      <c r="C812" s="8" t="str">
        <f>IFERROR(__xludf.DUMMYFUNCTION("""COMPUTED_VALUE"""),"L7723109066")</f>
        <v>L7723109066</v>
      </c>
      <c r="D812" s="8">
        <f>IFERROR(__xludf.DUMMYFUNCTION("""COMPUTED_VALUE"""),49.0)</f>
        <v>49</v>
      </c>
      <c r="E812" s="2"/>
    </row>
    <row r="813">
      <c r="A813" s="2"/>
      <c r="B813" s="8" t="str">
        <f>IFERROR(__xludf.DUMMYFUNCTION("""COMPUTED_VALUE"""),"SRI NURHAYATI")</f>
        <v>SRI NURHAYATI</v>
      </c>
      <c r="C813" s="8" t="str">
        <f>IFERROR(__xludf.DUMMYFUNCTION("""COMPUTED_VALUE"""),"S7123108545")</f>
        <v>S7123108545</v>
      </c>
      <c r="D813" s="8">
        <f>IFERROR(__xludf.DUMMYFUNCTION("""COMPUTED_VALUE"""),55.0)</f>
        <v>55</v>
      </c>
      <c r="E813" s="2"/>
    </row>
    <row r="814">
      <c r="A814" s="2"/>
      <c r="B814" s="8" t="str">
        <f>IFERROR(__xludf.DUMMYFUNCTION("""COMPUTED_VALUE"""),"HAPIDZUL NURINADI")</f>
        <v>HAPIDZUL NURINADI</v>
      </c>
      <c r="C814" s="8" t="str">
        <f>IFERROR(__xludf.DUMMYFUNCTION("""COMPUTED_VALUE"""),"H9523105799")</f>
        <v>H9523105799</v>
      </c>
      <c r="D814" s="8">
        <f>IFERROR(__xludf.DUMMYFUNCTION("""COMPUTED_VALUE"""),31.0)</f>
        <v>31</v>
      </c>
      <c r="E814" s="2"/>
    </row>
    <row r="815">
      <c r="A815" s="2"/>
      <c r="B815" s="8" t="str">
        <f>IFERROR(__xludf.DUMMYFUNCTION("""COMPUTED_VALUE"""),"FILYSIA FEBRIANTINE")</f>
        <v>FILYSIA FEBRIANTINE</v>
      </c>
      <c r="C815" s="8" t="str">
        <f>IFERROR(__xludf.DUMMYFUNCTION("""COMPUTED_VALUE"""),"F9623104060")</f>
        <v>F9623104060</v>
      </c>
      <c r="D815" s="8">
        <f>IFERROR(__xludf.DUMMYFUNCTION("""COMPUTED_VALUE"""),30.0)</f>
        <v>30</v>
      </c>
      <c r="E815" s="2"/>
    </row>
    <row r="816">
      <c r="A816" s="2"/>
      <c r="B816" s="8" t="str">
        <f>IFERROR(__xludf.DUMMYFUNCTION("""COMPUTED_VALUE"""),"ANGELIA PRATIWI MASTIURLANI CHRISTINA SITORUS")</f>
        <v>ANGELIA PRATIWI MASTIURLANI CHRISTINA SITORUS</v>
      </c>
      <c r="C816" s="8" t="str">
        <f>IFERROR(__xludf.DUMMYFUNCTION("""COMPUTED_VALUE"""),"A9123108805")</f>
        <v>A9123108805</v>
      </c>
      <c r="D816" s="8">
        <f>IFERROR(__xludf.DUMMYFUNCTION("""COMPUTED_VALUE"""),35.0)</f>
        <v>35</v>
      </c>
      <c r="E816" s="2"/>
    </row>
    <row r="817">
      <c r="A817" s="2"/>
      <c r="B817" s="8" t="str">
        <f>IFERROR(__xludf.DUMMYFUNCTION("""COMPUTED_VALUE"""),"RINALDI")</f>
        <v>RINALDI</v>
      </c>
      <c r="C817" s="8" t="str">
        <f>IFERROR(__xludf.DUMMYFUNCTION("""COMPUTED_VALUE"""),"R0223102860")</f>
        <v>R0223102860</v>
      </c>
      <c r="D817" s="8">
        <f>IFERROR(__xludf.DUMMYFUNCTION("""COMPUTED_VALUE"""),23.0)</f>
        <v>23</v>
      </c>
      <c r="E817" s="2"/>
    </row>
    <row r="818">
      <c r="A818" s="2"/>
      <c r="B818" s="8" t="str">
        <f>IFERROR(__xludf.DUMMYFUNCTION("""COMPUTED_VALUE"""),"SARI NURHADI")</f>
        <v>SARI NURHADI</v>
      </c>
      <c r="C818" s="8" t="str">
        <f>IFERROR(__xludf.DUMMYFUNCTION("""COMPUTED_VALUE"""),"S8823102299")</f>
        <v>S8823102299</v>
      </c>
      <c r="D818" s="8">
        <f>IFERROR(__xludf.DUMMYFUNCTION("""COMPUTED_VALUE"""),38.0)</f>
        <v>38</v>
      </c>
      <c r="E818" s="2"/>
    </row>
    <row r="819">
      <c r="A819" s="2"/>
      <c r="B819" s="8" t="str">
        <f>IFERROR(__xludf.DUMMYFUNCTION("""COMPUTED_VALUE"""),"FAITH AYMAN SHIDDIQ")</f>
        <v>FAITH AYMAN SHIDDIQ</v>
      </c>
      <c r="C819" s="8" t="str">
        <f>IFERROR(__xludf.DUMMYFUNCTION("""COMPUTED_VALUE"""),"F1423102510")</f>
        <v>F1423102510</v>
      </c>
      <c r="D819" s="8">
        <f>IFERROR(__xludf.DUMMYFUNCTION("""COMPUTED_VALUE"""),12.0)</f>
        <v>12</v>
      </c>
      <c r="E819" s="2"/>
    </row>
    <row r="820">
      <c r="A820" s="2"/>
      <c r="B820" s="8" t="str">
        <f>IFERROR(__xludf.DUMMYFUNCTION("""COMPUTED_VALUE"""),"LIM KHAU FENG")</f>
        <v>LIM KHAU FENG</v>
      </c>
      <c r="C820" s="8" t="str">
        <f>IFERROR(__xludf.DUMMYFUNCTION("""COMPUTED_VALUE"""),"L6023106135")</f>
        <v>L6023106135</v>
      </c>
      <c r="D820" s="8">
        <f>IFERROR(__xludf.DUMMYFUNCTION("""COMPUTED_VALUE"""),66.0)</f>
        <v>66</v>
      </c>
      <c r="E820" s="2"/>
    </row>
    <row r="821">
      <c r="A821" s="2"/>
      <c r="B821" s="8" t="str">
        <f>IFERROR(__xludf.DUMMYFUNCTION("""COMPUTED_VALUE"""),"WENDHA HIMAWAN")</f>
        <v>WENDHA HIMAWAN</v>
      </c>
      <c r="C821" s="8" t="str">
        <f>IFERROR(__xludf.DUMMYFUNCTION("""COMPUTED_VALUE"""),"W9123103320")</f>
        <v>W9123103320</v>
      </c>
      <c r="D821" s="8">
        <f>IFERROR(__xludf.DUMMYFUNCTION("""COMPUTED_VALUE"""),34.0)</f>
        <v>34</v>
      </c>
      <c r="E821" s="2"/>
    </row>
    <row r="822">
      <c r="A822" s="2"/>
      <c r="B822" s="8" t="str">
        <f>IFERROR(__xludf.DUMMYFUNCTION("""COMPUTED_VALUE"""),"NOVI HASRIANTI")</f>
        <v>NOVI HASRIANTI</v>
      </c>
      <c r="C822" s="8" t="str">
        <f>IFERROR(__xludf.DUMMYFUNCTION("""COMPUTED_VALUE"""),"N9723100737")</f>
        <v>N9723100737</v>
      </c>
      <c r="D822" s="8">
        <f>IFERROR(__xludf.DUMMYFUNCTION("""COMPUTED_VALUE"""),28.0)</f>
        <v>28</v>
      </c>
      <c r="E822" s="2"/>
    </row>
    <row r="823">
      <c r="A823" s="2"/>
      <c r="B823" s="8" t="str">
        <f>IFERROR(__xludf.DUMMYFUNCTION("""COMPUTED_VALUE"""),"DIMAS NURUL RAMADHAN")</f>
        <v>DIMAS NURUL RAMADHAN</v>
      </c>
      <c r="C823" s="8" t="str">
        <f>IFERROR(__xludf.DUMMYFUNCTION("""COMPUTED_VALUE"""),"D9623102135")</f>
        <v>D9623102135</v>
      </c>
      <c r="D823" s="8">
        <f>IFERROR(__xludf.DUMMYFUNCTION("""COMPUTED_VALUE"""),30.0)</f>
        <v>30</v>
      </c>
      <c r="E823" s="2"/>
    </row>
    <row r="824">
      <c r="A824" s="2"/>
      <c r="B824" s="8" t="str">
        <f>IFERROR(__xludf.DUMMYFUNCTION("""COMPUTED_VALUE"""),"EDY GUNAWAN")</f>
        <v>EDY GUNAWAN</v>
      </c>
      <c r="C824" s="8" t="str">
        <f>IFERROR(__xludf.DUMMYFUNCTION("""COMPUTED_VALUE"""),"E8823103438")</f>
        <v>E8823103438</v>
      </c>
      <c r="D824" s="8">
        <f>IFERROR(__xludf.DUMMYFUNCTION("""COMPUTED_VALUE"""),37.0)</f>
        <v>37</v>
      </c>
      <c r="E824" s="2"/>
    </row>
    <row r="825">
      <c r="A825" s="2"/>
      <c r="B825" s="8" t="str">
        <f>IFERROR(__xludf.DUMMYFUNCTION("""COMPUTED_VALUE"""),"NOVIKA WARNI")</f>
        <v>NOVIKA WARNI</v>
      </c>
      <c r="C825" s="8" t="str">
        <f>IFERROR(__xludf.DUMMYFUNCTION("""COMPUTED_VALUE"""),"N7323108188")</f>
        <v>N7323108188</v>
      </c>
      <c r="D825" s="8">
        <f>IFERROR(__xludf.DUMMYFUNCTION("""COMPUTED_VALUE"""),52.0)</f>
        <v>52</v>
      </c>
      <c r="E825" s="2"/>
    </row>
    <row r="826">
      <c r="A826" s="2"/>
      <c r="B826" s="8" t="str">
        <f>IFERROR(__xludf.DUMMYFUNCTION("""COMPUTED_VALUE"""),"MIRAWATI")</f>
        <v>MIRAWATI</v>
      </c>
      <c r="C826" s="8" t="str">
        <f>IFERROR(__xludf.DUMMYFUNCTION("""COMPUTED_VALUE"""),"M7423108866")</f>
        <v>M7423108866</v>
      </c>
      <c r="D826" s="8">
        <f>IFERROR(__xludf.DUMMYFUNCTION("""COMPUTED_VALUE"""),51.0)</f>
        <v>51</v>
      </c>
      <c r="E826" s="2"/>
    </row>
    <row r="827">
      <c r="A827" s="2"/>
      <c r="B827" s="8" t="str">
        <f>IFERROR(__xludf.DUMMYFUNCTION("""COMPUTED_VALUE"""),"SOBIRUN")</f>
        <v>SOBIRUN</v>
      </c>
      <c r="C827" s="8" t="str">
        <f>IFERROR(__xludf.DUMMYFUNCTION("""COMPUTED_VALUE"""),"S2323112271")</f>
        <v>S2323112271</v>
      </c>
      <c r="D827" s="8">
        <f>IFERROR(__xludf.DUMMYFUNCTION("""COMPUTED_VALUE"""),2.0)</f>
        <v>2</v>
      </c>
      <c r="E827" s="2"/>
    </row>
    <row r="828">
      <c r="A828" s="2"/>
      <c r="B828" s="8" t="str">
        <f>IFERROR(__xludf.DUMMYFUNCTION("""COMPUTED_VALUE"""),"MARIA ROLENTA MANIK")</f>
        <v>MARIA ROLENTA MANIK</v>
      </c>
      <c r="C828" s="8" t="str">
        <f>IFERROR(__xludf.DUMMYFUNCTION("""COMPUTED_VALUE"""),"M9623113192")</f>
        <v>M9623113192</v>
      </c>
      <c r="D828" s="8">
        <f>IFERROR(__xludf.DUMMYFUNCTION("""COMPUTED_VALUE"""),30.0)</f>
        <v>30</v>
      </c>
      <c r="E828" s="2"/>
    </row>
    <row r="829">
      <c r="A829" s="2"/>
      <c r="B829" s="8" t="str">
        <f>IFERROR(__xludf.DUMMYFUNCTION("""COMPUTED_VALUE"""),"MUHAMMAD REVANDRA")</f>
        <v>MUHAMMAD REVANDRA</v>
      </c>
      <c r="C829" s="8" t="str">
        <f>IFERROR(__xludf.DUMMYFUNCTION("""COMPUTED_VALUE"""),"M1223117264")</f>
        <v>M1223117264</v>
      </c>
      <c r="D829" s="8">
        <f>IFERROR(__xludf.DUMMYFUNCTION("""COMPUTED_VALUE"""),14.0)</f>
        <v>14</v>
      </c>
      <c r="E829" s="2"/>
    </row>
    <row r="830">
      <c r="A830" s="2"/>
      <c r="B830" s="8" t="str">
        <f>IFERROR(__xludf.DUMMYFUNCTION("""COMPUTED_VALUE"""),"RIZKA FITRIANIATHUL HASANA")</f>
        <v>RIZKA FITRIANIATHUL HASANA</v>
      </c>
      <c r="C830" s="8" t="str">
        <f>IFERROR(__xludf.DUMMYFUNCTION("""COMPUTED_VALUE"""),"R9623118307")</f>
        <v>R9623118307</v>
      </c>
      <c r="D830" s="8">
        <f>IFERROR(__xludf.DUMMYFUNCTION("""COMPUTED_VALUE"""),30.0)</f>
        <v>30</v>
      </c>
      <c r="E830" s="2"/>
    </row>
    <row r="831">
      <c r="A831" s="2"/>
      <c r="B831" s="8" t="str">
        <f>IFERROR(__xludf.DUMMYFUNCTION("""COMPUTED_VALUE"""),"SERGIO AKBAR DESINDRA")</f>
        <v>SERGIO AKBAR DESINDRA</v>
      </c>
      <c r="C831" s="8" t="str">
        <f>IFERROR(__xludf.DUMMYFUNCTION("""COMPUTED_VALUE"""),"S9723112800")</f>
        <v>S9723112800</v>
      </c>
      <c r="D831" s="8">
        <f>IFERROR(__xludf.DUMMYFUNCTION("""COMPUTED_VALUE"""),29.0)</f>
        <v>29</v>
      </c>
      <c r="E831" s="2"/>
    </row>
    <row r="832">
      <c r="A832" s="2"/>
      <c r="B832" s="8" t="str">
        <f>IFERROR(__xludf.DUMMYFUNCTION("""COMPUTED_VALUE"""),"DHEA PUTRI HERDININGRUM")</f>
        <v>DHEA PUTRI HERDININGRUM</v>
      </c>
      <c r="C832" s="8" t="str">
        <f>IFERROR(__xludf.DUMMYFUNCTION("""COMPUTED_VALUE"""),"D9123110890")</f>
        <v>D9123110890</v>
      </c>
      <c r="D832" s="8">
        <f>IFERROR(__xludf.DUMMYFUNCTION("""COMPUTED_VALUE"""),34.0)</f>
        <v>34</v>
      </c>
      <c r="E832" s="2"/>
    </row>
    <row r="833">
      <c r="A833" s="2"/>
      <c r="B833" s="8" t="str">
        <f>IFERROR(__xludf.DUMMYFUNCTION("""COMPUTED_VALUE"""),"ZUL KHAIRULLAH")</f>
        <v>ZUL KHAIRULLAH</v>
      </c>
      <c r="C833" s="8" t="str">
        <f>IFERROR(__xludf.DUMMYFUNCTION("""COMPUTED_VALUE"""),"Z9623110531")</f>
        <v>Z9623110531</v>
      </c>
      <c r="D833" s="8">
        <f>IFERROR(__xludf.DUMMYFUNCTION("""COMPUTED_VALUE"""),29.0)</f>
        <v>29</v>
      </c>
      <c r="E833" s="2"/>
    </row>
    <row r="834">
      <c r="A834" s="2"/>
      <c r="B834" s="8" t="str">
        <f>IFERROR(__xludf.DUMMYFUNCTION("""COMPUTED_VALUE"""),"RENALDI SANDI")</f>
        <v>RENALDI SANDI</v>
      </c>
      <c r="C834" s="8" t="str">
        <f>IFERROR(__xludf.DUMMYFUNCTION("""COMPUTED_VALUE"""),"R9523117215")</f>
        <v>R9523117215</v>
      </c>
      <c r="D834" s="8">
        <f>IFERROR(__xludf.DUMMYFUNCTION("""COMPUTED_VALUE"""),31.0)</f>
        <v>31</v>
      </c>
      <c r="E834" s="2"/>
    </row>
    <row r="835">
      <c r="A835" s="2"/>
      <c r="B835" s="8" t="str">
        <f>IFERROR(__xludf.DUMMYFUNCTION("""COMPUTED_VALUE"""),"RIZKY ODHIE SAPUTRA")</f>
        <v>RIZKY ODHIE SAPUTRA</v>
      </c>
      <c r="C835" s="8" t="str">
        <f>IFERROR(__xludf.DUMMYFUNCTION("""COMPUTED_VALUE"""),"R9523113310")</f>
        <v>R9523113310</v>
      </c>
      <c r="D835" s="8">
        <f>IFERROR(__xludf.DUMMYFUNCTION("""COMPUTED_VALUE"""),31.0)</f>
        <v>31</v>
      </c>
      <c r="E835" s="2"/>
    </row>
    <row r="836">
      <c r="A836" s="2"/>
      <c r="B836" s="8" t="str">
        <f>IFERROR(__xludf.DUMMYFUNCTION("""COMPUTED_VALUE"""),"RIFUL AHYAR")</f>
        <v>RIFUL AHYAR</v>
      </c>
      <c r="C836" s="8" t="str">
        <f>IFERROR(__xludf.DUMMYFUNCTION("""COMPUTED_VALUE"""),"R6923118182")</f>
        <v>R6923118182</v>
      </c>
      <c r="D836" s="8">
        <f>IFERROR(__xludf.DUMMYFUNCTION("""COMPUTED_VALUE"""),57.0)</f>
        <v>57</v>
      </c>
      <c r="E836" s="2"/>
    </row>
    <row r="837">
      <c r="A837" s="2"/>
      <c r="B837" s="8" t="str">
        <f>IFERROR(__xludf.DUMMYFUNCTION("""COMPUTED_VALUE"""),"VITO ANANTA MARCELINO OMPUSUNGGU")</f>
        <v>VITO ANANTA MARCELINO OMPUSUNGGU</v>
      </c>
      <c r="C837" s="8" t="str">
        <f>IFERROR(__xludf.DUMMYFUNCTION("""COMPUTED_VALUE"""),"V0423118700")</f>
        <v>V0423118700</v>
      </c>
      <c r="D837" s="8">
        <f>IFERROR(__xludf.DUMMYFUNCTION("""COMPUTED_VALUE"""),22.0)</f>
        <v>22</v>
      </c>
      <c r="E837" s="2"/>
    </row>
    <row r="838">
      <c r="A838" s="2"/>
      <c r="B838" s="8" t="str">
        <f>IFERROR(__xludf.DUMMYFUNCTION("""COMPUTED_VALUE"""),"KEVIN THENEDI")</f>
        <v>KEVIN THENEDI</v>
      </c>
      <c r="C838" s="8" t="str">
        <f>IFERROR(__xludf.DUMMYFUNCTION("""COMPUTED_VALUE"""),"K9823115764")</f>
        <v>K9823115764</v>
      </c>
      <c r="D838" s="8">
        <f>IFERROR(__xludf.DUMMYFUNCTION("""COMPUTED_VALUE"""),28.0)</f>
        <v>28</v>
      </c>
      <c r="E838" s="2"/>
    </row>
    <row r="839">
      <c r="A839" s="2"/>
      <c r="B839" s="8" t="str">
        <f>IFERROR(__xludf.DUMMYFUNCTION("""COMPUTED_VALUE"""),"RAHMI ALLITA")</f>
        <v>RAHMI ALLITA</v>
      </c>
      <c r="C839" s="8" t="str">
        <f>IFERROR(__xludf.DUMMYFUNCTION("""COMPUTED_VALUE"""),"R8723114422")</f>
        <v>R8723114422</v>
      </c>
      <c r="D839" s="8">
        <f>IFERROR(__xludf.DUMMYFUNCTION("""COMPUTED_VALUE"""),39.0)</f>
        <v>39</v>
      </c>
      <c r="E839" s="2"/>
    </row>
    <row r="840">
      <c r="A840" s="2"/>
      <c r="B840" s="8" t="str">
        <f>IFERROR(__xludf.DUMMYFUNCTION("""COMPUTED_VALUE"""),"PRATIWI RAMELIA, ST")</f>
        <v>PRATIWI RAMELIA, ST</v>
      </c>
      <c r="C840" s="8" t="str">
        <f>IFERROR(__xludf.DUMMYFUNCTION("""COMPUTED_VALUE"""),"P9123115775")</f>
        <v>P9123115775</v>
      </c>
      <c r="D840" s="8">
        <f>IFERROR(__xludf.DUMMYFUNCTION("""COMPUTED_VALUE"""),34.0)</f>
        <v>34</v>
      </c>
      <c r="E840" s="2"/>
    </row>
    <row r="841">
      <c r="A841" s="2"/>
      <c r="B841" s="8" t="str">
        <f>IFERROR(__xludf.DUMMYFUNCTION("""COMPUTED_VALUE"""),"ENGGA")</f>
        <v>ENGGA</v>
      </c>
      <c r="C841" s="8" t="str">
        <f>IFERROR(__xludf.DUMMYFUNCTION("""COMPUTED_VALUE"""),"E9323118922")</f>
        <v>E9323118922</v>
      </c>
      <c r="D841" s="8">
        <f>IFERROR(__xludf.DUMMYFUNCTION("""COMPUTED_VALUE"""),33.0)</f>
        <v>33</v>
      </c>
      <c r="E841" s="2"/>
    </row>
    <row r="842">
      <c r="A842" s="2"/>
      <c r="B842" s="8" t="str">
        <f>IFERROR(__xludf.DUMMYFUNCTION("""COMPUTED_VALUE"""),"SAFINAH PATRIA")</f>
        <v>SAFINAH PATRIA</v>
      </c>
      <c r="C842" s="8" t="str">
        <f>IFERROR(__xludf.DUMMYFUNCTION("""COMPUTED_VALUE"""),"S9923113273")</f>
        <v>S9923113273</v>
      </c>
      <c r="D842" s="8">
        <f>IFERROR(__xludf.DUMMYFUNCTION("""COMPUTED_VALUE"""),27.0)</f>
        <v>27</v>
      </c>
      <c r="E842" s="2"/>
    </row>
    <row r="843">
      <c r="A843" s="2"/>
      <c r="B843" s="8" t="str">
        <f>IFERROR(__xludf.DUMMYFUNCTION("""COMPUTED_VALUE"""),"RUDY BUTAR BUTAR")</f>
        <v>RUDY BUTAR BUTAR</v>
      </c>
      <c r="C843" s="8" t="str">
        <f>IFERROR(__xludf.DUMMYFUNCTION("""COMPUTED_VALUE"""),"R6823112030")</f>
        <v>R6823112030</v>
      </c>
      <c r="D843" s="8">
        <f>IFERROR(__xludf.DUMMYFUNCTION("""COMPUTED_VALUE"""),58.0)</f>
        <v>58</v>
      </c>
      <c r="E843" s="2"/>
    </row>
    <row r="844">
      <c r="A844" s="2"/>
      <c r="B844" s="8" t="str">
        <f>IFERROR(__xludf.DUMMYFUNCTION("""COMPUTED_VALUE"""),"DEFRI ARDI NUGRAHA")</f>
        <v>DEFRI ARDI NUGRAHA</v>
      </c>
      <c r="C844" s="8" t="str">
        <f>IFERROR(__xludf.DUMMYFUNCTION("""COMPUTED_VALUE"""),"D8523110500")</f>
        <v>D8523110500</v>
      </c>
      <c r="D844" s="8">
        <f>IFERROR(__xludf.DUMMYFUNCTION("""COMPUTED_VALUE"""),41.0)</f>
        <v>41</v>
      </c>
      <c r="E844" s="2"/>
    </row>
    <row r="845">
      <c r="A845" s="2"/>
      <c r="B845" s="8" t="str">
        <f>IFERROR(__xludf.DUMMYFUNCTION("""COMPUTED_VALUE"""),"MUHAMMAD ARBIANT GIVARI")</f>
        <v>MUHAMMAD ARBIANT GIVARI</v>
      </c>
      <c r="C845" s="8" t="str">
        <f>IFERROR(__xludf.DUMMYFUNCTION("""COMPUTED_VALUE"""),"M9723113695")</f>
        <v>M9723113695</v>
      </c>
      <c r="D845" s="8">
        <f>IFERROR(__xludf.DUMMYFUNCTION("""COMPUTED_VALUE"""),28.0)</f>
        <v>28</v>
      </c>
      <c r="E845" s="2"/>
    </row>
    <row r="846">
      <c r="A846" s="2"/>
      <c r="B846" s="8" t="str">
        <f>IFERROR(__xludf.DUMMYFUNCTION("""COMPUTED_VALUE"""),"RENNY HANDAYANI")</f>
        <v>RENNY HANDAYANI</v>
      </c>
      <c r="C846" s="8" t="str">
        <f>IFERROR(__xludf.DUMMYFUNCTION("""COMPUTED_VALUE"""),"R8423116274")</f>
        <v>R8423116274</v>
      </c>
      <c r="D846" s="8">
        <f>IFERROR(__xludf.DUMMYFUNCTION("""COMPUTED_VALUE"""),42.0)</f>
        <v>42</v>
      </c>
      <c r="E846" s="2"/>
    </row>
    <row r="847">
      <c r="A847" s="2"/>
      <c r="B847" s="8" t="str">
        <f>IFERROR(__xludf.DUMMYFUNCTION("""COMPUTED_VALUE"""),"MARIA YANITA ERVANI")</f>
        <v>MARIA YANITA ERVANI</v>
      </c>
      <c r="C847" s="8" t="str">
        <f>IFERROR(__xludf.DUMMYFUNCTION("""COMPUTED_VALUE"""),"M8423113367")</f>
        <v>M8423113367</v>
      </c>
      <c r="D847" s="8">
        <f>IFERROR(__xludf.DUMMYFUNCTION("""COMPUTED_VALUE"""),41.0)</f>
        <v>41</v>
      </c>
      <c r="E847" s="2"/>
    </row>
    <row r="848">
      <c r="A848" s="2"/>
      <c r="B848" s="8" t="str">
        <f>IFERROR(__xludf.DUMMYFUNCTION("""COMPUTED_VALUE"""),"ANDRE")</f>
        <v>ANDRE</v>
      </c>
      <c r="C848" s="8" t="str">
        <f>IFERROR(__xludf.DUMMYFUNCTION("""COMPUTED_VALUE"""),"A7823119044")</f>
        <v>A7823119044</v>
      </c>
      <c r="D848" s="8">
        <f>IFERROR(__xludf.DUMMYFUNCTION("""COMPUTED_VALUE"""),48.0)</f>
        <v>48</v>
      </c>
      <c r="E848" s="2"/>
    </row>
    <row r="849">
      <c r="A849" s="2"/>
      <c r="B849" s="8" t="str">
        <f>IFERROR(__xludf.DUMMYFUNCTION("""COMPUTED_VALUE"""),"TAUFAN ADRIANTO")</f>
        <v>TAUFAN ADRIANTO</v>
      </c>
      <c r="C849" s="8" t="str">
        <f>IFERROR(__xludf.DUMMYFUNCTION("""COMPUTED_VALUE"""),"T8523118188")</f>
        <v>T8523118188</v>
      </c>
      <c r="D849" s="8">
        <f>IFERROR(__xludf.DUMMYFUNCTION("""COMPUTED_VALUE"""),40.0)</f>
        <v>40</v>
      </c>
      <c r="E849" s="2"/>
    </row>
    <row r="850">
      <c r="A850" s="2"/>
      <c r="B850" s="8" t="str">
        <f>IFERROR(__xludf.DUMMYFUNCTION("""COMPUTED_VALUE"""),"DEVA AFRIALDI")</f>
        <v>DEVA AFRIALDI</v>
      </c>
      <c r="C850" s="8" t="str">
        <f>IFERROR(__xludf.DUMMYFUNCTION("""COMPUTED_VALUE"""),"D8623115287")</f>
        <v>D8623115287</v>
      </c>
      <c r="D850" s="8">
        <f>IFERROR(__xludf.DUMMYFUNCTION("""COMPUTED_VALUE"""),40.0)</f>
        <v>40</v>
      </c>
      <c r="E850" s="2"/>
    </row>
    <row r="851">
      <c r="A851" s="2"/>
      <c r="B851" s="8" t="str">
        <f>IFERROR(__xludf.DUMMYFUNCTION("""COMPUTED_VALUE"""),"WILDA JUNIRA")</f>
        <v>WILDA JUNIRA</v>
      </c>
      <c r="C851" s="8" t="str">
        <f>IFERROR(__xludf.DUMMYFUNCTION("""COMPUTED_VALUE"""),"W8923118989")</f>
        <v>W8923118989</v>
      </c>
      <c r="D851" s="8">
        <f>IFERROR(__xludf.DUMMYFUNCTION("""COMPUTED_VALUE"""),37.0)</f>
        <v>37</v>
      </c>
      <c r="E851" s="2"/>
    </row>
    <row r="852">
      <c r="A852" s="2"/>
      <c r="B852" s="8" t="str">
        <f>IFERROR(__xludf.DUMMYFUNCTION("""COMPUTED_VALUE"""),"IBADURROHMAN")</f>
        <v>IBADURROHMAN</v>
      </c>
      <c r="C852" s="8" t="str">
        <f>IFERROR(__xludf.DUMMYFUNCTION("""COMPUTED_VALUE"""),"I1023119381")</f>
        <v>I1023119381</v>
      </c>
      <c r="D852" s="8">
        <f>IFERROR(__xludf.DUMMYFUNCTION("""COMPUTED_VALUE"""),15.0)</f>
        <v>15</v>
      </c>
      <c r="E852" s="2"/>
    </row>
    <row r="853">
      <c r="A853" s="2"/>
      <c r="B853" s="8" t="str">
        <f>IFERROR(__xludf.DUMMYFUNCTION("""COMPUTED_VALUE"""),"NARINDA EKA WIDYASTUTI")</f>
        <v>NARINDA EKA WIDYASTUTI</v>
      </c>
      <c r="C853" s="8" t="str">
        <f>IFERROR(__xludf.DUMMYFUNCTION("""COMPUTED_VALUE"""),"N952311")</f>
        <v>N952311</v>
      </c>
      <c r="D853" s="8">
        <f>IFERROR(__xludf.DUMMYFUNCTION("""COMPUTED_VALUE"""),30.0)</f>
        <v>30</v>
      </c>
      <c r="E853" s="2"/>
    </row>
    <row r="854">
      <c r="A854" s="2"/>
      <c r="B854" s="8" t="str">
        <f>IFERROR(__xludf.DUMMYFUNCTION("""COMPUTED_VALUE"""),"RAKA PERMANA")</f>
        <v>RAKA PERMANA</v>
      </c>
      <c r="C854" s="8" t="str">
        <f>IFERROR(__xludf.DUMMYFUNCTION("""COMPUTED_VALUE"""),"R0523117055")</f>
        <v>R0523117055</v>
      </c>
      <c r="D854" s="8">
        <f>IFERROR(__xludf.DUMMYFUNCTION("""COMPUTED_VALUE"""),21.0)</f>
        <v>21</v>
      </c>
      <c r="E854" s="2"/>
    </row>
    <row r="855">
      <c r="A855" s="2"/>
      <c r="B855" s="8" t="str">
        <f>IFERROR(__xludf.DUMMYFUNCTION("""COMPUTED_VALUE"""),"ADE KURNIAWAN")</f>
        <v>ADE KURNIAWAN</v>
      </c>
      <c r="C855" s="8" t="str">
        <f>IFERROR(__xludf.DUMMYFUNCTION("""COMPUTED_VALUE"""),"A9623111070")</f>
        <v>A9623111070</v>
      </c>
      <c r="D855" s="8">
        <f>IFERROR(__xludf.DUMMYFUNCTION("""COMPUTED_VALUE"""),29.0)</f>
        <v>29</v>
      </c>
      <c r="E855" s="2"/>
    </row>
    <row r="856">
      <c r="A856" s="2"/>
      <c r="B856" s="8" t="str">
        <f>IFERROR(__xludf.DUMMYFUNCTION("""COMPUTED_VALUE"""),"TITIN SUMARNI")</f>
        <v>TITIN SUMARNI</v>
      </c>
      <c r="C856" s="8" t="str">
        <f>IFERROR(__xludf.DUMMYFUNCTION("""COMPUTED_VALUE"""),"T642311")</f>
        <v>T642311</v>
      </c>
      <c r="D856" s="8">
        <f>IFERROR(__xludf.DUMMYFUNCTION("""COMPUTED_VALUE"""),61.0)</f>
        <v>61</v>
      </c>
      <c r="E856" s="2"/>
    </row>
    <row r="857">
      <c r="A857" s="2"/>
      <c r="B857" s="8" t="str">
        <f>IFERROR(__xludf.DUMMYFUNCTION("""COMPUTED_VALUE"""),"DENNIS TANTIONO")</f>
        <v>DENNIS TANTIONO</v>
      </c>
      <c r="C857" s="8" t="str">
        <f>IFERROR(__xludf.DUMMYFUNCTION("""COMPUTED_VALUE"""),"D9523117337")</f>
        <v>D9523117337</v>
      </c>
      <c r="D857" s="8">
        <f>IFERROR(__xludf.DUMMYFUNCTION("""COMPUTED_VALUE"""),30.0)</f>
        <v>30</v>
      </c>
      <c r="E857" s="2"/>
    </row>
    <row r="858">
      <c r="A858" s="2"/>
      <c r="B858" s="8" t="str">
        <f>IFERROR(__xludf.DUMMYFUNCTION("""COMPUTED_VALUE"""),"RISNA HASRILIANTI")</f>
        <v>RISNA HASRILIANTI</v>
      </c>
      <c r="C858" s="8" t="str">
        <f>IFERROR(__xludf.DUMMYFUNCTION("""COMPUTED_VALUE"""),"R8723115858")</f>
        <v>R8723115858</v>
      </c>
      <c r="D858" s="8">
        <f>IFERROR(__xludf.DUMMYFUNCTION("""COMPUTED_VALUE"""),38.0)</f>
        <v>38</v>
      </c>
      <c r="E858" s="2"/>
    </row>
    <row r="859">
      <c r="A859" s="2"/>
      <c r="B859" s="8" t="str">
        <f>IFERROR(__xludf.DUMMYFUNCTION("""COMPUTED_VALUE"""),"SEIKA ISNAINI NF")</f>
        <v>SEIKA ISNAINI NF</v>
      </c>
      <c r="C859" s="8" t="str">
        <f>IFERROR(__xludf.DUMMYFUNCTION("""COMPUTED_VALUE"""),"S8723116999")</f>
        <v>S8723116999</v>
      </c>
      <c r="D859" s="8">
        <f>IFERROR(__xludf.DUMMYFUNCTION("""COMPUTED_VALUE"""),39.0)</f>
        <v>39</v>
      </c>
      <c r="E859" s="2"/>
    </row>
    <row r="860">
      <c r="A860" s="2"/>
      <c r="B860" s="8" t="str">
        <f>IFERROR(__xludf.DUMMYFUNCTION("""COMPUTED_VALUE"""),"MUHAFIDZAN NAZMI RASYAD")</f>
        <v>MUHAFIDZAN NAZMI RASYAD</v>
      </c>
      <c r="C860" s="8" t="str">
        <f>IFERROR(__xludf.DUMMYFUNCTION("""COMPUTED_VALUE"""),"M1123117090")</f>
        <v>M1123117090</v>
      </c>
      <c r="D860" s="8">
        <f>IFERROR(__xludf.DUMMYFUNCTION("""COMPUTED_VALUE"""),15.0)</f>
        <v>15</v>
      </c>
      <c r="E860" s="2"/>
    </row>
    <row r="861">
      <c r="A861" s="2"/>
      <c r="B861" s="8" t="str">
        <f>IFERROR(__xludf.DUMMYFUNCTION("""COMPUTED_VALUE"""),"RUMINA")</f>
        <v>RUMINA</v>
      </c>
      <c r="C861" s="8" t="str">
        <f>IFERROR(__xludf.DUMMYFUNCTION("""COMPUTED_VALUE"""),"R7023112881")</f>
        <v>R7023112881</v>
      </c>
      <c r="D861" s="8">
        <f>IFERROR(__xludf.DUMMYFUNCTION("""COMPUTED_VALUE"""),56.0)</f>
        <v>56</v>
      </c>
      <c r="E861" s="2"/>
    </row>
    <row r="862">
      <c r="A862" s="2"/>
      <c r="B862" s="8" t="str">
        <f>IFERROR(__xludf.DUMMYFUNCTION("""COMPUTED_VALUE"""),"MUHAMAT JOKO")</f>
        <v>MUHAMAT JOKO</v>
      </c>
      <c r="C862" s="8" t="str">
        <f>IFERROR(__xludf.DUMMYFUNCTION("""COMPUTED_VALUE"""),"M8723111346")</f>
        <v>M8723111346</v>
      </c>
      <c r="D862" s="8">
        <f>IFERROR(__xludf.DUMMYFUNCTION("""COMPUTED_VALUE"""),38.0)</f>
        <v>38</v>
      </c>
      <c r="E862" s="2"/>
    </row>
    <row r="863">
      <c r="A863" s="2"/>
      <c r="B863" s="8" t="str">
        <f>IFERROR(__xludf.DUMMYFUNCTION("""COMPUTED_VALUE"""),"SURIANI")</f>
        <v>SURIANI</v>
      </c>
      <c r="C863" s="8" t="str">
        <f>IFERROR(__xludf.DUMMYFUNCTION("""COMPUTED_VALUE"""),"S7023119044")</f>
        <v>S7023119044</v>
      </c>
      <c r="D863" s="8">
        <f>IFERROR(__xludf.DUMMYFUNCTION("""COMPUTED_VALUE"""),56.0)</f>
        <v>56</v>
      </c>
      <c r="E863" s="2"/>
    </row>
    <row r="864">
      <c r="A864" s="2"/>
      <c r="B864" s="8" t="str">
        <f>IFERROR(__xludf.DUMMYFUNCTION("""COMPUTED_VALUE"""),"FARIZ HAQ FARUQI")</f>
        <v>FARIZ HAQ FARUQI</v>
      </c>
      <c r="C864" s="8" t="str">
        <f>IFERROR(__xludf.DUMMYFUNCTION("""COMPUTED_VALUE"""),"F9523113456")</f>
        <v>F9523113456</v>
      </c>
      <c r="D864" s="8">
        <f>IFERROR(__xludf.DUMMYFUNCTION("""COMPUTED_VALUE"""),30.0)</f>
        <v>30</v>
      </c>
      <c r="E864" s="2"/>
    </row>
    <row r="865">
      <c r="A865" s="2"/>
      <c r="B865" s="8" t="str">
        <f>IFERROR(__xludf.DUMMYFUNCTION("""COMPUTED_VALUE"""),"LIA REILITHA, ST")</f>
        <v>LIA REILITHA, ST</v>
      </c>
      <c r="C865" s="8" t="str">
        <f>IFERROR(__xludf.DUMMYFUNCTION("""COMPUTED_VALUE"""),"L7923116797")</f>
        <v>L7923116797</v>
      </c>
      <c r="D865" s="8">
        <f>IFERROR(__xludf.DUMMYFUNCTION("""COMPUTED_VALUE"""),47.0)</f>
        <v>47</v>
      </c>
      <c r="E865" s="2"/>
    </row>
    <row r="866">
      <c r="A866" s="2"/>
      <c r="B866" s="8" t="str">
        <f>IFERROR(__xludf.DUMMYFUNCTION("""COMPUTED_VALUE"""),"NUR LAILAWATI")</f>
        <v>NUR LAILAWATI</v>
      </c>
      <c r="C866" s="8" t="str">
        <f>IFERROR(__xludf.DUMMYFUNCTION("""COMPUTED_VALUE"""),"N6523119626")</f>
        <v>N6523119626</v>
      </c>
      <c r="D866" s="8">
        <f>IFERROR(__xludf.DUMMYFUNCTION("""COMPUTED_VALUE"""),61.0)</f>
        <v>61</v>
      </c>
      <c r="E866" s="2"/>
    </row>
    <row r="867">
      <c r="A867" s="2"/>
      <c r="B867" s="8" t="str">
        <f>IFERROR(__xludf.DUMMYFUNCTION("""COMPUTED_VALUE"""),"JILI SAHARUI")</f>
        <v>JILI SAHARUI</v>
      </c>
      <c r="C867" s="8" t="str">
        <f>IFERROR(__xludf.DUMMYFUNCTION("""COMPUTED_VALUE"""),"J0523112642")</f>
        <v>J0523112642</v>
      </c>
      <c r="D867" s="8">
        <f>IFERROR(__xludf.DUMMYFUNCTION("""COMPUTED_VALUE"""),20.0)</f>
        <v>20</v>
      </c>
      <c r="E867" s="2"/>
    </row>
    <row r="868">
      <c r="A868" s="2"/>
      <c r="B868" s="8" t="str">
        <f>IFERROR(__xludf.DUMMYFUNCTION("""COMPUTED_VALUE"""),"ZURIADI WIRA NEGARA")</f>
        <v>ZURIADI WIRA NEGARA</v>
      </c>
      <c r="C868" s="8" t="str">
        <f>IFERROR(__xludf.DUMMYFUNCTION("""COMPUTED_VALUE"""),"Z9323117167")</f>
        <v>Z9323117167</v>
      </c>
      <c r="D868" s="8">
        <f>IFERROR(__xludf.DUMMYFUNCTION("""COMPUTED_VALUE"""),32.0)</f>
        <v>32</v>
      </c>
      <c r="E868" s="2"/>
    </row>
    <row r="869">
      <c r="A869" s="2"/>
      <c r="B869" s="8" t="str">
        <f>IFERROR(__xludf.DUMMYFUNCTION("""COMPUTED_VALUE"""),"BUDY SAPUTRA")</f>
        <v>BUDY SAPUTRA</v>
      </c>
      <c r="C869" s="8" t="str">
        <f>IFERROR(__xludf.DUMMYFUNCTION("""COMPUTED_VALUE"""),"B8523110973")</f>
        <v>B8523110973</v>
      </c>
      <c r="D869" s="8">
        <f>IFERROR(__xludf.DUMMYFUNCTION("""COMPUTED_VALUE"""),41.0)</f>
        <v>41</v>
      </c>
      <c r="E869" s="2"/>
    </row>
    <row r="870">
      <c r="A870" s="2"/>
      <c r="B870" s="8" t="str">
        <f>IFERROR(__xludf.DUMMYFUNCTION("""COMPUTED_VALUE"""),"NUR IKHWAN PRATAMA")</f>
        <v>NUR IKHWAN PRATAMA</v>
      </c>
      <c r="C870" s="8" t="str">
        <f>IFERROR(__xludf.DUMMYFUNCTION("""COMPUTED_VALUE"""),"N8923115505")</f>
        <v>N8923115505</v>
      </c>
      <c r="D870" s="8">
        <f>IFERROR(__xludf.DUMMYFUNCTION("""COMPUTED_VALUE"""),36.0)</f>
        <v>36</v>
      </c>
      <c r="E870" s="2"/>
    </row>
    <row r="871">
      <c r="A871" s="2"/>
      <c r="B871" s="8" t="str">
        <f>IFERROR(__xludf.DUMMYFUNCTION("""COMPUTED_VALUE"""),"YASINTA ANA")</f>
        <v>YASINTA ANA</v>
      </c>
      <c r="C871" s="8" t="str">
        <f>IFERROR(__xludf.DUMMYFUNCTION("""COMPUTED_VALUE"""),"Y9223116444")</f>
        <v>Y9223116444</v>
      </c>
      <c r="D871" s="8">
        <f>IFERROR(__xludf.DUMMYFUNCTION("""COMPUTED_VALUE"""),34.0)</f>
        <v>34</v>
      </c>
      <c r="E871" s="2"/>
    </row>
    <row r="872">
      <c r="A872" s="2"/>
      <c r="B872" s="8" t="str">
        <f>IFERROR(__xludf.DUMMYFUNCTION("""COMPUTED_VALUE"""),"THE AILIE")</f>
        <v>THE AILIE</v>
      </c>
      <c r="C872" s="8" t="str">
        <f>IFERROR(__xludf.DUMMYFUNCTION("""COMPUTED_VALUE"""),"T7023113119")</f>
        <v>T7023113119</v>
      </c>
      <c r="D872" s="8">
        <f>IFERROR(__xludf.DUMMYFUNCTION("""COMPUTED_VALUE"""),56.0)</f>
        <v>56</v>
      </c>
      <c r="E872" s="2"/>
    </row>
    <row r="873">
      <c r="A873" s="2"/>
      <c r="B873" s="8" t="str">
        <f>IFERROR(__xludf.DUMMYFUNCTION("""COMPUTED_VALUE"""),"NAZA BARA UTAMA PUTRA")</f>
        <v>NAZA BARA UTAMA PUTRA</v>
      </c>
      <c r="C873" s="8" t="str">
        <f>IFERROR(__xludf.DUMMYFUNCTION("""COMPUTED_VALUE"""),"N0523118186")</f>
        <v>N0523118186</v>
      </c>
      <c r="D873" s="8">
        <f>IFERROR(__xludf.DUMMYFUNCTION("""COMPUTED_VALUE"""),21.0)</f>
        <v>21</v>
      </c>
      <c r="E873" s="2"/>
    </row>
    <row r="874">
      <c r="A874" s="2"/>
      <c r="B874" s="8" t="str">
        <f>IFERROR(__xludf.DUMMYFUNCTION("""COMPUTED_VALUE"""),"ZAKARIA")</f>
        <v>ZAKARIA</v>
      </c>
      <c r="C874" s="8" t="str">
        <f>IFERROR(__xludf.DUMMYFUNCTION("""COMPUTED_VALUE"""),"Z8623118686")</f>
        <v>Z8623118686</v>
      </c>
      <c r="D874" s="8">
        <f>IFERROR(__xludf.DUMMYFUNCTION("""COMPUTED_VALUE"""),39.0)</f>
        <v>39</v>
      </c>
      <c r="E874" s="2"/>
    </row>
    <row r="875">
      <c r="A875" s="2"/>
      <c r="B875" s="8" t="str">
        <f>IFERROR(__xludf.DUMMYFUNCTION("""COMPUTED_VALUE"""),"BAMBANG DARWANTO")</f>
        <v>BAMBANG DARWANTO</v>
      </c>
      <c r="C875" s="8" t="str">
        <f>IFERROR(__xludf.DUMMYFUNCTION("""COMPUTED_VALUE"""),"B5923110123")</f>
        <v>B5923110123</v>
      </c>
      <c r="D875" s="8">
        <f>IFERROR(__xludf.DUMMYFUNCTION("""COMPUTED_VALUE"""),67.0)</f>
        <v>67</v>
      </c>
      <c r="E875" s="2"/>
    </row>
    <row r="876">
      <c r="A876" s="2"/>
      <c r="B876" s="8" t="str">
        <f>IFERROR(__xludf.DUMMYFUNCTION("""COMPUTED_VALUE"""),"AIN HIDAYATI")</f>
        <v>AIN HIDAYATI</v>
      </c>
      <c r="C876" s="8" t="str">
        <f>IFERROR(__xludf.DUMMYFUNCTION("""COMPUTED_VALUE"""),"A0123116330")</f>
        <v>A0123116330</v>
      </c>
      <c r="D876" s="8">
        <f>IFERROR(__xludf.DUMMYFUNCTION("""COMPUTED_VALUE"""),24.0)</f>
        <v>24</v>
      </c>
      <c r="E876" s="2"/>
    </row>
    <row r="877">
      <c r="A877" s="2"/>
      <c r="B877" s="8" t="str">
        <f>IFERROR(__xludf.DUMMYFUNCTION("""COMPUTED_VALUE"""),"BAMBANG WIBISONI")</f>
        <v>BAMBANG WIBISONI</v>
      </c>
      <c r="C877" s="8" t="str">
        <f>IFERROR(__xludf.DUMMYFUNCTION("""COMPUTED_VALUE"""),"B9123111378")</f>
        <v>B9123111378</v>
      </c>
      <c r="D877" s="8">
        <f>IFERROR(__xludf.DUMMYFUNCTION("""COMPUTED_VALUE"""),34.0)</f>
        <v>34</v>
      </c>
      <c r="E877" s="2"/>
    </row>
    <row r="878">
      <c r="A878" s="2"/>
      <c r="B878" s="8" t="str">
        <f>IFERROR(__xludf.DUMMYFUNCTION("""COMPUTED_VALUE"""),"ANTON CHANDRA")</f>
        <v>ANTON CHANDRA</v>
      </c>
      <c r="C878" s="8" t="str">
        <f>IFERROR(__xludf.DUMMYFUNCTION("""COMPUTED_VALUE"""),"A8423112002")</f>
        <v>A8423112002</v>
      </c>
      <c r="D878" s="8">
        <f>IFERROR(__xludf.DUMMYFUNCTION("""COMPUTED_VALUE"""),42.0)</f>
        <v>42</v>
      </c>
      <c r="E878" s="2"/>
    </row>
    <row r="879">
      <c r="A879" s="2"/>
      <c r="B879" s="8" t="str">
        <f>IFERROR(__xludf.DUMMYFUNCTION("""COMPUTED_VALUE"""),"EFENDI")</f>
        <v>EFENDI</v>
      </c>
      <c r="C879" s="8" t="str">
        <f>IFERROR(__xludf.DUMMYFUNCTION("""COMPUTED_VALUE"""),"E8923116555")</f>
        <v>E8923116555</v>
      </c>
      <c r="D879" s="8">
        <f>IFERROR(__xludf.DUMMYFUNCTION("""COMPUTED_VALUE"""),37.0)</f>
        <v>37</v>
      </c>
      <c r="E879" s="2"/>
    </row>
    <row r="880">
      <c r="A880" s="2"/>
      <c r="B880" s="8" t="str">
        <f>IFERROR(__xludf.DUMMYFUNCTION("""COMPUTED_VALUE"""),"SRI SUBERTI")</f>
        <v>SRI SUBERTI</v>
      </c>
      <c r="C880" s="8" t="str">
        <f>IFERROR(__xludf.DUMMYFUNCTION("""COMPUTED_VALUE"""),"S5723119667")</f>
        <v>S5723119667</v>
      </c>
      <c r="D880" s="8">
        <f>IFERROR(__xludf.DUMMYFUNCTION("""COMPUTED_VALUE"""),68.0)</f>
        <v>68</v>
      </c>
      <c r="E880" s="2"/>
    </row>
    <row r="881">
      <c r="A881" s="2"/>
      <c r="B881" s="8" t="str">
        <f>IFERROR(__xludf.DUMMYFUNCTION("""COMPUTED_VALUE"""),"HAMDAN RUSLAN LUBIS")</f>
        <v>HAMDAN RUSLAN LUBIS</v>
      </c>
      <c r="C881" s="8" t="str">
        <f>IFERROR(__xludf.DUMMYFUNCTION("""COMPUTED_VALUE"""),"H5123117008")</f>
        <v>H5123117008</v>
      </c>
      <c r="D881" s="8">
        <f>IFERROR(__xludf.DUMMYFUNCTION("""COMPUTED_VALUE"""),75.0)</f>
        <v>75</v>
      </c>
      <c r="E881" s="2"/>
    </row>
    <row r="882">
      <c r="A882" s="2"/>
      <c r="B882" s="8" t="str">
        <f>IFERROR(__xludf.DUMMYFUNCTION("""COMPUTED_VALUE"""),"ELIVAS PAAI")</f>
        <v>ELIVAS PAAI</v>
      </c>
      <c r="C882" s="8" t="str">
        <f>IFERROR(__xludf.DUMMYFUNCTION("""COMPUTED_VALUE"""),"E8923115260")</f>
        <v>E8923115260</v>
      </c>
      <c r="D882" s="8">
        <f>IFERROR(__xludf.DUMMYFUNCTION("""COMPUTED_VALUE"""),37.0)</f>
        <v>37</v>
      </c>
      <c r="E882" s="2"/>
    </row>
    <row r="883">
      <c r="A883" s="2"/>
      <c r="B883" s="8" t="str">
        <f>IFERROR(__xludf.DUMMYFUNCTION("""COMPUTED_VALUE"""),"YUSWARINI")</f>
        <v>YUSWARINI</v>
      </c>
      <c r="C883" s="8" t="str">
        <f>IFERROR(__xludf.DUMMYFUNCTION("""COMPUTED_VALUE"""),"Y7323110475")</f>
        <v>Y7323110475</v>
      </c>
      <c r="D883" s="8">
        <f>IFERROR(__xludf.DUMMYFUNCTION("""COMPUTED_VALUE"""),52.0)</f>
        <v>52</v>
      </c>
      <c r="E883" s="2"/>
    </row>
    <row r="884">
      <c r="A884" s="2"/>
      <c r="B884" s="8" t="str">
        <f>IFERROR(__xludf.DUMMYFUNCTION("""COMPUTED_VALUE"""),"ANDRE RENALDI")</f>
        <v>ANDRE RENALDI</v>
      </c>
      <c r="C884" s="8" t="str">
        <f>IFERROR(__xludf.DUMMYFUNCTION("""COMPUTED_VALUE"""),"A0323114536")</f>
        <v>A0323114536</v>
      </c>
      <c r="D884" s="8">
        <f>IFERROR(__xludf.DUMMYFUNCTION("""COMPUTED_VALUE"""),22.0)</f>
        <v>22</v>
      </c>
      <c r="E884" s="2"/>
    </row>
    <row r="885">
      <c r="A885" s="2"/>
      <c r="B885" s="8" t="str">
        <f>IFERROR(__xludf.DUMMYFUNCTION("""COMPUTED_VALUE"""),"HANIFA AUDITA")</f>
        <v>HANIFA AUDITA</v>
      </c>
      <c r="C885" s="8" t="str">
        <f>IFERROR(__xludf.DUMMYFUNCTION("""COMPUTED_VALUE"""),"H9823113307")</f>
        <v>H9823113307</v>
      </c>
      <c r="D885" s="8">
        <f>IFERROR(__xludf.DUMMYFUNCTION("""COMPUTED_VALUE"""),27.0)</f>
        <v>27</v>
      </c>
      <c r="E885" s="2"/>
    </row>
    <row r="886">
      <c r="A886" s="2"/>
      <c r="B886" s="8" t="str">
        <f>IFERROR(__xludf.DUMMYFUNCTION("""COMPUTED_VALUE"""),"EKA BAGUS TRI SETYAWAN")</f>
        <v>EKA BAGUS TRI SETYAWAN</v>
      </c>
      <c r="C886" s="8" t="str">
        <f>IFERROR(__xludf.DUMMYFUNCTION("""COMPUTED_VALUE"""),"E2323117575")</f>
        <v>E2323117575</v>
      </c>
      <c r="D886" s="8">
        <f>IFERROR(__xludf.DUMMYFUNCTION("""COMPUTED_VALUE"""),2.0)</f>
        <v>2</v>
      </c>
      <c r="E886" s="2"/>
    </row>
    <row r="887">
      <c r="A887" s="2"/>
      <c r="B887" s="8" t="str">
        <f>IFERROR(__xludf.DUMMYFUNCTION("""COMPUTED_VALUE"""),"M. ADITYA DARMAWAN")</f>
        <v>M. ADITYA DARMAWAN</v>
      </c>
      <c r="C887" s="8" t="str">
        <f>IFERROR(__xludf.DUMMYFUNCTION("""COMPUTED_VALUE"""),"M9423113416")</f>
        <v>M9423113416</v>
      </c>
      <c r="D887" s="8">
        <f>IFERROR(__xludf.DUMMYFUNCTION("""COMPUTED_VALUE"""),31.0)</f>
        <v>31</v>
      </c>
      <c r="E887" s="2"/>
    </row>
    <row r="888">
      <c r="A888" s="2"/>
      <c r="B888" s="8" t="str">
        <f>IFERROR(__xludf.DUMMYFUNCTION("""COMPUTED_VALUE"""),"BARLIAN MARTIANA")</f>
        <v>BARLIAN MARTIANA</v>
      </c>
      <c r="C888" s="8" t="str">
        <f>IFERROR(__xludf.DUMMYFUNCTION("""COMPUTED_VALUE"""),"B7023119270")</f>
        <v>B7023119270</v>
      </c>
      <c r="D888" s="8">
        <f>IFERROR(__xludf.DUMMYFUNCTION("""COMPUTED_VALUE"""),56.0)</f>
        <v>56</v>
      </c>
      <c r="E888" s="2"/>
    </row>
    <row r="889">
      <c r="A889" s="2"/>
      <c r="B889" s="8" t="str">
        <f>IFERROR(__xludf.DUMMYFUNCTION("""COMPUTED_VALUE"""),"SURYANTI DHARMAGO")</f>
        <v>SURYANTI DHARMAGO</v>
      </c>
      <c r="C889" s="8" t="str">
        <f>IFERROR(__xludf.DUMMYFUNCTION("""COMPUTED_VALUE"""),"S7223111819")</f>
        <v>S7223111819</v>
      </c>
      <c r="D889" s="8">
        <f>IFERROR(__xludf.DUMMYFUNCTION("""COMPUTED_VALUE"""),54.0)</f>
        <v>54</v>
      </c>
      <c r="E889" s="2"/>
    </row>
    <row r="890">
      <c r="A890" s="2"/>
      <c r="B890" s="8" t="str">
        <f>IFERROR(__xludf.DUMMYFUNCTION("""COMPUTED_VALUE"""),"YOKI TRI PRASETYO")</f>
        <v>YOKI TRI PRASETYO</v>
      </c>
      <c r="C890" s="8" t="str">
        <f>IFERROR(__xludf.DUMMYFUNCTION("""COMPUTED_VALUE"""),"Y8823117404")</f>
        <v>Y8823117404</v>
      </c>
      <c r="D890" s="8">
        <f>IFERROR(__xludf.DUMMYFUNCTION("""COMPUTED_VALUE"""),37.0)</f>
        <v>37</v>
      </c>
      <c r="E890" s="2"/>
    </row>
    <row r="891">
      <c r="A891" s="2"/>
      <c r="B891" s="8" t="str">
        <f>IFERROR(__xludf.DUMMYFUNCTION("""COMPUTED_VALUE"""),"DINI PRIHATINI")</f>
        <v>DINI PRIHATINI</v>
      </c>
      <c r="C891" s="8" t="str">
        <f>IFERROR(__xludf.DUMMYFUNCTION("""COMPUTED_VALUE"""),"D8923116913")</f>
        <v>D8923116913</v>
      </c>
      <c r="D891" s="8">
        <f>IFERROR(__xludf.DUMMYFUNCTION("""COMPUTED_VALUE"""),37.0)</f>
        <v>37</v>
      </c>
      <c r="E891" s="2"/>
    </row>
    <row r="892">
      <c r="A892" s="2"/>
      <c r="B892" s="8" t="str">
        <f>IFERROR(__xludf.DUMMYFUNCTION("""COMPUTED_VALUE"""),"HASAN ULIM")</f>
        <v>HASAN ULIM</v>
      </c>
      <c r="C892" s="8" t="str">
        <f>IFERROR(__xludf.DUMMYFUNCTION("""COMPUTED_VALUE"""),"H4423118866")</f>
        <v>H4423118866</v>
      </c>
      <c r="D892" s="8">
        <f>IFERROR(__xludf.DUMMYFUNCTION("""COMPUTED_VALUE"""),82.0)</f>
        <v>82</v>
      </c>
      <c r="E892" s="2"/>
    </row>
    <row r="893">
      <c r="A893" s="2"/>
      <c r="B893" s="8" t="str">
        <f>IFERROR(__xludf.DUMMYFUNCTION("""COMPUTED_VALUE"""),"ANDIKA PRATAMA PUTRA")</f>
        <v>ANDIKA PRATAMA PUTRA</v>
      </c>
      <c r="C893" s="8" t="str">
        <f>IFERROR(__xludf.DUMMYFUNCTION("""COMPUTED_VALUE"""),"A9623110171")</f>
        <v>A9623110171</v>
      </c>
      <c r="D893" s="8">
        <f>IFERROR(__xludf.DUMMYFUNCTION("""COMPUTED_VALUE"""),30.0)</f>
        <v>30</v>
      </c>
      <c r="E893" s="2"/>
    </row>
    <row r="894">
      <c r="A894" s="2"/>
      <c r="B894" s="8" t="str">
        <f>IFERROR(__xludf.DUMMYFUNCTION("""COMPUTED_VALUE"""),"ENNI KARTINI")</f>
        <v>ENNI KARTINI</v>
      </c>
      <c r="C894" s="8" t="str">
        <f>IFERROR(__xludf.DUMMYFUNCTION("""COMPUTED_VALUE"""),"E7723113501")</f>
        <v>E7723113501</v>
      </c>
      <c r="D894" s="8">
        <f>IFERROR(__xludf.DUMMYFUNCTION("""COMPUTED_VALUE"""),49.0)</f>
        <v>49</v>
      </c>
      <c r="E894" s="2"/>
    </row>
    <row r="895">
      <c r="A895" s="2"/>
      <c r="B895" s="8" t="str">
        <f>IFERROR(__xludf.DUMMYFUNCTION("""COMPUTED_VALUE"""),"FAISAL.SP")</f>
        <v>FAISAL.SP</v>
      </c>
      <c r="C895" s="8" t="str">
        <f>IFERROR(__xludf.DUMMYFUNCTION("""COMPUTED_VALUE"""),"F7323113501")</f>
        <v>F7323113501</v>
      </c>
      <c r="D895" s="8">
        <f>IFERROR(__xludf.DUMMYFUNCTION("""COMPUTED_VALUE"""),53.0)</f>
        <v>53</v>
      </c>
      <c r="E895" s="2"/>
    </row>
    <row r="896">
      <c r="A896" s="2"/>
      <c r="B896" s="8" t="str">
        <f>IFERROR(__xludf.DUMMYFUNCTION("""COMPUTED_VALUE"""),"BOBY VALIANDRA")</f>
        <v>BOBY VALIANDRA</v>
      </c>
      <c r="C896" s="8" t="str">
        <f>IFERROR(__xludf.DUMMYFUNCTION("""COMPUTED_VALUE"""),"B8923118787")</f>
        <v>B8923118787</v>
      </c>
      <c r="D896" s="8">
        <f>IFERROR(__xludf.DUMMYFUNCTION("""COMPUTED_VALUE"""),37.0)</f>
        <v>37</v>
      </c>
      <c r="E896" s="2"/>
    </row>
    <row r="897">
      <c r="A897" s="2"/>
      <c r="B897" s="8" t="str">
        <f>IFERROR(__xludf.DUMMYFUNCTION("""COMPUTED_VALUE"""),"SUPARMI")</f>
        <v>SUPARMI</v>
      </c>
      <c r="C897" s="8" t="str">
        <f>IFERROR(__xludf.DUMMYFUNCTION("""COMPUTED_VALUE"""),"S5723119635")</f>
        <v>S5723119635</v>
      </c>
      <c r="D897" s="8">
        <f>IFERROR(__xludf.DUMMYFUNCTION("""COMPUTED_VALUE"""),68.0)</f>
        <v>68</v>
      </c>
      <c r="E897" s="2"/>
    </row>
    <row r="898">
      <c r="A898" s="2"/>
      <c r="B898" s="8" t="str">
        <f>IFERROR(__xludf.DUMMYFUNCTION("""COMPUTED_VALUE"""),"NISMARA ARSA ARYASATYA")</f>
        <v>NISMARA ARSA ARYASATYA</v>
      </c>
      <c r="C898" s="8" t="str">
        <f>IFERROR(__xludf.DUMMYFUNCTION("""COMPUTED_VALUE"""),"N1023114897")</f>
        <v>N1023114897</v>
      </c>
      <c r="D898" s="8">
        <f>IFERROR(__xludf.DUMMYFUNCTION("""COMPUTED_VALUE"""),16.0)</f>
        <v>16</v>
      </c>
      <c r="E898" s="2"/>
    </row>
    <row r="899">
      <c r="A899" s="2"/>
      <c r="B899" s="8" t="str">
        <f>IFERROR(__xludf.DUMMYFUNCTION("""COMPUTED_VALUE"""),"GUSRANTA PRISCARDO PINEM")</f>
        <v>GUSRANTA PRISCARDO PINEM</v>
      </c>
      <c r="C899" s="8" t="str">
        <f>IFERROR(__xludf.DUMMYFUNCTION("""COMPUTED_VALUE"""),"G9023118711")</f>
        <v>G9023118711</v>
      </c>
      <c r="D899" s="8">
        <f>IFERROR(__xludf.DUMMYFUNCTION("""COMPUTED_VALUE"""),35.0)</f>
        <v>35</v>
      </c>
      <c r="E899" s="2"/>
    </row>
    <row r="900">
      <c r="A900" s="2"/>
      <c r="B900" s="8" t="str">
        <f>IFERROR(__xludf.DUMMYFUNCTION("""COMPUTED_VALUE"""),"ROBBY EDITYA MANENDRA")</f>
        <v>ROBBY EDITYA MANENDRA</v>
      </c>
      <c r="C900" s="8" t="str">
        <f>IFERROR(__xludf.DUMMYFUNCTION("""COMPUTED_VALUE"""),"R8723119339")</f>
        <v>R8723119339</v>
      </c>
      <c r="D900" s="8">
        <f>IFERROR(__xludf.DUMMYFUNCTION("""COMPUTED_VALUE"""),38.0)</f>
        <v>38</v>
      </c>
      <c r="E900" s="2"/>
    </row>
    <row r="901">
      <c r="A901" s="2"/>
      <c r="B901" s="8" t="str">
        <f>IFERROR(__xludf.DUMMYFUNCTION("""COMPUTED_VALUE"""),"ASPARIANSYAH")</f>
        <v>ASPARIANSYAH</v>
      </c>
      <c r="C901" s="8" t="str">
        <f>IFERROR(__xludf.DUMMYFUNCTION("""COMPUTED_VALUE"""),"A0323112163")</f>
        <v>A0323112163</v>
      </c>
      <c r="D901" s="8">
        <f>IFERROR(__xludf.DUMMYFUNCTION("""COMPUTED_VALUE"""),23.0)</f>
        <v>23</v>
      </c>
      <c r="E901" s="2"/>
    </row>
    <row r="902">
      <c r="A902" s="2"/>
      <c r="B902" s="8" t="str">
        <f>IFERROR(__xludf.DUMMYFUNCTION("""COMPUTED_VALUE"""),"ANGGITAN HARYO WICAKSONO")</f>
        <v>ANGGITAN HARYO WICAKSONO</v>
      </c>
      <c r="C902" s="8" t="str">
        <f>IFERROR(__xludf.DUMMYFUNCTION("""COMPUTED_VALUE"""),"A9323119996")</f>
        <v>A9323119996</v>
      </c>
      <c r="D902" s="8">
        <f>IFERROR(__xludf.DUMMYFUNCTION("""COMPUTED_VALUE"""),32.0)</f>
        <v>32</v>
      </c>
      <c r="E902" s="2"/>
    </row>
    <row r="903">
      <c r="A903" s="2"/>
      <c r="B903" s="8" t="str">
        <f>IFERROR(__xludf.DUMMYFUNCTION("""COMPUTED_VALUE"""),"MUHAMMAD FACHRI RIZKI DARMAWAN")</f>
        <v>MUHAMMAD FACHRI RIZKI DARMAWAN</v>
      </c>
      <c r="C903" s="8" t="str">
        <f>IFERROR(__xludf.DUMMYFUNCTION("""COMPUTED_VALUE"""),"M0123113499")</f>
        <v>M0123113499</v>
      </c>
      <c r="D903" s="8">
        <f>IFERROR(__xludf.DUMMYFUNCTION("""COMPUTED_VALUE"""),25.0)</f>
        <v>25</v>
      </c>
      <c r="E903" s="2"/>
    </row>
    <row r="904">
      <c r="A904" s="2"/>
      <c r="B904" s="8" t="str">
        <f>IFERROR(__xludf.DUMMYFUNCTION("""COMPUTED_VALUE"""),"RAHMAT MADYO K.")</f>
        <v>RAHMAT MADYO K.</v>
      </c>
      <c r="C904" s="8" t="str">
        <f>IFERROR(__xludf.DUMMYFUNCTION("""COMPUTED_VALUE"""),"R9123112925")</f>
        <v>R9123112925</v>
      </c>
      <c r="D904" s="8">
        <f>IFERROR(__xludf.DUMMYFUNCTION("""COMPUTED_VALUE"""),35.0)</f>
        <v>35</v>
      </c>
      <c r="E904" s="2"/>
    </row>
    <row r="905">
      <c r="A905" s="2"/>
      <c r="B905" s="8" t="str">
        <f>IFERROR(__xludf.DUMMYFUNCTION("""COMPUTED_VALUE"""),"MUHAMMAD YOGA FEBRIYANTO")</f>
        <v>MUHAMMAD YOGA FEBRIYANTO</v>
      </c>
      <c r="C905" s="8" t="str">
        <f>IFERROR(__xludf.DUMMYFUNCTION("""COMPUTED_VALUE"""),"M0023110903")</f>
        <v>M0023110903</v>
      </c>
      <c r="D905" s="8">
        <f>IFERROR(__xludf.DUMMYFUNCTION("""COMPUTED_VALUE"""),26.0)</f>
        <v>26</v>
      </c>
      <c r="E905" s="2"/>
    </row>
    <row r="906">
      <c r="A906" s="2"/>
      <c r="B906" s="8" t="str">
        <f>IFERROR(__xludf.DUMMYFUNCTION("""COMPUTED_VALUE"""),"CARLOS")</f>
        <v>CARLOS</v>
      </c>
      <c r="C906" s="8" t="str">
        <f>IFERROR(__xludf.DUMMYFUNCTION("""COMPUTED_VALUE"""),"C9823119557")</f>
        <v>C9823119557</v>
      </c>
      <c r="D906" s="8">
        <f>IFERROR(__xludf.DUMMYFUNCTION("""COMPUTED_VALUE"""),28.0)</f>
        <v>28</v>
      </c>
      <c r="E906" s="2"/>
    </row>
    <row r="907">
      <c r="A907" s="2"/>
      <c r="B907" s="8" t="str">
        <f>IFERROR(__xludf.DUMMYFUNCTION("""COMPUTED_VALUE"""),"YORDANIO IRAQI BASULE")</f>
        <v>YORDANIO IRAQI BASULE</v>
      </c>
      <c r="C907" s="8" t="str">
        <f>IFERROR(__xludf.DUMMYFUNCTION("""COMPUTED_VALUE"""),"Y0323114743")</f>
        <v>Y0323114743</v>
      </c>
      <c r="D907" s="8">
        <f>IFERROR(__xludf.DUMMYFUNCTION("""COMPUTED_VALUE"""),23.0)</f>
        <v>23</v>
      </c>
      <c r="E907" s="2"/>
    </row>
    <row r="908">
      <c r="A908" s="2"/>
      <c r="B908" s="8" t="str">
        <f>IFERROR(__xludf.DUMMYFUNCTION("""COMPUTED_VALUE"""),"YULIANA 6610")</f>
        <v>YULIANA 6610</v>
      </c>
      <c r="C908" s="8" t="str">
        <f>IFERROR(__xludf.DUMMYFUNCTION("""COMPUTED_VALUE"""),"Y6623118270")</f>
        <v>Y6623118270</v>
      </c>
      <c r="D908" s="8">
        <f>IFERROR(__xludf.DUMMYFUNCTION("""COMPUTED_VALUE"""),59.0)</f>
        <v>59</v>
      </c>
      <c r="E908" s="2"/>
    </row>
    <row r="909">
      <c r="A909" s="2"/>
      <c r="B909" s="8" t="str">
        <f>IFERROR(__xludf.DUMMYFUNCTION("""COMPUTED_VALUE"""),"NURJANAH 7406")</f>
        <v>NURJANAH 7406</v>
      </c>
      <c r="C909" s="8" t="str">
        <f>IFERROR(__xludf.DUMMYFUNCTION("""COMPUTED_VALUE"""),"N7423119502")</f>
        <v>N7423119502</v>
      </c>
      <c r="D909" s="8">
        <f>IFERROR(__xludf.DUMMYFUNCTION("""COMPUTED_VALUE"""),52.0)</f>
        <v>52</v>
      </c>
      <c r="E909" s="2"/>
    </row>
    <row r="910">
      <c r="A910" s="2"/>
      <c r="B910" s="8" t="str">
        <f>IFERROR(__xludf.DUMMYFUNCTION("""COMPUTED_VALUE"""),"YULIA")</f>
        <v>YULIA</v>
      </c>
      <c r="C910" s="8" t="str">
        <f>IFERROR(__xludf.DUMMYFUNCTION("""COMPUTED_VALUE"""),"Y9323114312")</f>
        <v>Y9323114312</v>
      </c>
      <c r="D910" s="8">
        <f>IFERROR(__xludf.DUMMYFUNCTION("""COMPUTED_VALUE"""),33.0)</f>
        <v>33</v>
      </c>
      <c r="E910" s="2"/>
    </row>
    <row r="911">
      <c r="A911" s="2"/>
      <c r="B911" s="8" t="str">
        <f>IFERROR(__xludf.DUMMYFUNCTION("""COMPUTED_VALUE"""),"SITA PERMATASARI")</f>
        <v>SITA PERMATASARI</v>
      </c>
      <c r="C911" s="8" t="str">
        <f>IFERROR(__xludf.DUMMYFUNCTION("""COMPUTED_VALUE"""),"S9523111203")</f>
        <v>S9523111203</v>
      </c>
      <c r="D911" s="8">
        <f>IFERROR(__xludf.DUMMYFUNCTION("""COMPUTED_VALUE"""),31.0)</f>
        <v>31</v>
      </c>
      <c r="E911" s="2"/>
    </row>
    <row r="912">
      <c r="A912" s="2"/>
      <c r="B912" s="8" t="str">
        <f>IFERROR(__xludf.DUMMYFUNCTION("""COMPUTED_VALUE"""),"MUHAMMAD RAMADHANI")</f>
        <v>MUHAMMAD RAMADHANI</v>
      </c>
      <c r="C912" s="8" t="str">
        <f>IFERROR(__xludf.DUMMYFUNCTION("""COMPUTED_VALUE"""),"M0423127272")</f>
        <v>M0423127272</v>
      </c>
      <c r="D912" s="8">
        <f>IFERROR(__xludf.DUMMYFUNCTION("""COMPUTED_VALUE"""),21.0)</f>
        <v>21</v>
      </c>
      <c r="E912" s="2"/>
    </row>
    <row r="913">
      <c r="A913" s="2"/>
      <c r="B913" s="8" t="str">
        <f>IFERROR(__xludf.DUMMYFUNCTION("""COMPUTED_VALUE"""),"GIAN RAVEL")</f>
        <v>GIAN RAVEL</v>
      </c>
      <c r="C913" s="8" t="str">
        <f>IFERROR(__xludf.DUMMYFUNCTION("""COMPUTED_VALUE"""),"G0423123967")</f>
        <v>G0423123967</v>
      </c>
      <c r="D913" s="8">
        <f>IFERROR(__xludf.DUMMYFUNCTION("""COMPUTED_VALUE"""),21.0)</f>
        <v>21</v>
      </c>
      <c r="E913" s="2"/>
    </row>
    <row r="914">
      <c r="A914" s="2"/>
      <c r="B914" s="8" t="str">
        <f>IFERROR(__xludf.DUMMYFUNCTION("""COMPUTED_VALUE"""),"MARDINNA MARISTA")</f>
        <v>MARDINNA MARISTA</v>
      </c>
      <c r="C914" s="8" t="str">
        <f>IFERROR(__xludf.DUMMYFUNCTION("""COMPUTED_VALUE"""),"M8623120882")</f>
        <v>M8623120882</v>
      </c>
      <c r="D914" s="8">
        <f>IFERROR(__xludf.DUMMYFUNCTION("""COMPUTED_VALUE"""),40.0)</f>
        <v>40</v>
      </c>
      <c r="E914" s="2"/>
    </row>
    <row r="915">
      <c r="A915" s="2"/>
      <c r="B915" s="8" t="str">
        <f>IFERROR(__xludf.DUMMYFUNCTION("""COMPUTED_VALUE"""),"HASBI MALIK IANNUZZY")</f>
        <v>HASBI MALIK IANNUZZY</v>
      </c>
      <c r="C915" s="8" t="str">
        <f>IFERROR(__xludf.DUMMYFUNCTION("""COMPUTED_VALUE"""),"H0023129046")</f>
        <v>H0023129046</v>
      </c>
      <c r="D915" s="8">
        <f>IFERROR(__xludf.DUMMYFUNCTION("""COMPUTED_VALUE"""),26.0)</f>
        <v>26</v>
      </c>
      <c r="E915" s="2"/>
    </row>
    <row r="916">
      <c r="A916" s="2"/>
      <c r="B916" s="8" t="str">
        <f>IFERROR(__xludf.DUMMYFUNCTION("""COMPUTED_VALUE"""),"PERIWANTO")</f>
        <v>PERIWANTO</v>
      </c>
      <c r="C916" s="8" t="str">
        <f>IFERROR(__xludf.DUMMYFUNCTION("""COMPUTED_VALUE"""),"P8023121123")</f>
        <v>P8023121123</v>
      </c>
      <c r="D916" s="8">
        <f>IFERROR(__xludf.DUMMYFUNCTION("""COMPUTED_VALUE"""),45.0)</f>
        <v>45</v>
      </c>
      <c r="E916" s="2"/>
    </row>
    <row r="917">
      <c r="A917" s="2"/>
      <c r="B917" s="8" t="str">
        <f>IFERROR(__xludf.DUMMYFUNCTION("""COMPUTED_VALUE"""),"ARIEF HAQQUL BASIR")</f>
        <v>ARIEF HAQQUL BASIR</v>
      </c>
      <c r="C917" s="8" t="str">
        <f>IFERROR(__xludf.DUMMYFUNCTION("""COMPUTED_VALUE"""),"A9623123679")</f>
        <v>A9623123679</v>
      </c>
      <c r="D917" s="8">
        <f>IFERROR(__xludf.DUMMYFUNCTION("""COMPUTED_VALUE"""),30.0)</f>
        <v>30</v>
      </c>
      <c r="E917" s="2"/>
    </row>
    <row r="918">
      <c r="A918" s="2"/>
      <c r="B918" s="8" t="str">
        <f>IFERROR(__xludf.DUMMYFUNCTION("""COMPUTED_VALUE"""),"WIDYA NINGSIEH")</f>
        <v>WIDYA NINGSIEH</v>
      </c>
      <c r="C918" s="8" t="str">
        <f>IFERROR(__xludf.DUMMYFUNCTION("""COMPUTED_VALUE"""),"W9723128404")</f>
        <v>W9723128404</v>
      </c>
      <c r="D918" s="8">
        <f>IFERROR(__xludf.DUMMYFUNCTION("""COMPUTED_VALUE"""),29.0)</f>
        <v>29</v>
      </c>
      <c r="E918" s="2"/>
    </row>
    <row r="919">
      <c r="A919" s="2"/>
      <c r="B919" s="8" t="str">
        <f>IFERROR(__xludf.DUMMYFUNCTION("""COMPUTED_VALUE"""),"AGNES SISKA BAHARI")</f>
        <v>AGNES SISKA BAHARI</v>
      </c>
      <c r="C919" s="8" t="str">
        <f>IFERROR(__xludf.DUMMYFUNCTION("""COMPUTED_VALUE"""),"A9823121631")</f>
        <v>A9823121631</v>
      </c>
      <c r="D919" s="8">
        <f>IFERROR(__xludf.DUMMYFUNCTION("""COMPUTED_VALUE"""),27.0)</f>
        <v>27</v>
      </c>
      <c r="E919" s="2"/>
    </row>
    <row r="920">
      <c r="A920" s="2"/>
      <c r="B920" s="8" t="str">
        <f>IFERROR(__xludf.DUMMYFUNCTION("""COMPUTED_VALUE"""),"FATHUTONI")</f>
        <v>FATHUTONI</v>
      </c>
      <c r="C920" s="8" t="str">
        <f>IFERROR(__xludf.DUMMYFUNCTION("""COMPUTED_VALUE"""),"F9623125415")</f>
        <v>F9623125415</v>
      </c>
      <c r="D920" s="8">
        <f>IFERROR(__xludf.DUMMYFUNCTION("""COMPUTED_VALUE"""),29.0)</f>
        <v>29</v>
      </c>
      <c r="E920" s="2"/>
    </row>
    <row r="921">
      <c r="A921" s="2"/>
      <c r="B921" s="8" t="str">
        <f>IFERROR(__xludf.DUMMYFUNCTION("""COMPUTED_VALUE"""),"ANI MUANI")</f>
        <v>ANI MUANI</v>
      </c>
      <c r="C921" s="8" t="str">
        <f>IFERROR(__xludf.DUMMYFUNCTION("""COMPUTED_VALUE"""),"A5123128957")</f>
        <v>A5123128957</v>
      </c>
      <c r="D921" s="8">
        <f>IFERROR(__xludf.DUMMYFUNCTION("""COMPUTED_VALUE"""),74.0)</f>
        <v>74</v>
      </c>
      <c r="E921" s="2"/>
    </row>
    <row r="922">
      <c r="A922" s="2"/>
      <c r="B922" s="8" t="str">
        <f>IFERROR(__xludf.DUMMYFUNCTION("""COMPUTED_VALUE"""),"MARIUS WEISANG")</f>
        <v>MARIUS WEISANG</v>
      </c>
      <c r="C922" s="8" t="str">
        <f>IFERROR(__xludf.DUMMYFUNCTION("""COMPUTED_VALUE"""),"M9923129597")</f>
        <v>M9923129597</v>
      </c>
      <c r="D922" s="8">
        <f>IFERROR(__xludf.DUMMYFUNCTION("""COMPUTED_VALUE"""),26.0)</f>
        <v>26</v>
      </c>
      <c r="E922" s="2"/>
    </row>
    <row r="923">
      <c r="A923" s="2"/>
      <c r="B923" s="8" t="str">
        <f>IFERROR(__xludf.DUMMYFUNCTION("""COMPUTED_VALUE"""),"AQIL HAIRUL WAFA")</f>
        <v>AQIL HAIRUL WAFA</v>
      </c>
      <c r="C923" s="8" t="str">
        <f>IFERROR(__xludf.DUMMYFUNCTION("""COMPUTED_VALUE"""),"A9923121945")</f>
        <v>A9923121945</v>
      </c>
      <c r="D923" s="8">
        <f>IFERROR(__xludf.DUMMYFUNCTION("""COMPUTED_VALUE"""),27.0)</f>
        <v>27</v>
      </c>
      <c r="E923" s="2"/>
    </row>
    <row r="924">
      <c r="A924" s="2"/>
      <c r="B924" s="8" t="str">
        <f>IFERROR(__xludf.DUMMYFUNCTION("""COMPUTED_VALUE"""),"MUHAMMAD IQBAL YURAYAMA")</f>
        <v>MUHAMMAD IQBAL YURAYAMA</v>
      </c>
      <c r="C924" s="8" t="str">
        <f>IFERROR(__xludf.DUMMYFUNCTION("""COMPUTED_VALUE"""),"M9923125209")</f>
        <v>M9923125209</v>
      </c>
      <c r="D924" s="8">
        <f>IFERROR(__xludf.DUMMYFUNCTION("""COMPUTED_VALUE"""),27.0)</f>
        <v>27</v>
      </c>
      <c r="E924" s="2"/>
    </row>
    <row r="925">
      <c r="A925" s="2"/>
      <c r="B925" s="8" t="str">
        <f>IFERROR(__xludf.DUMMYFUNCTION("""COMPUTED_VALUE"""),"HENDRA SANTOSO")</f>
        <v>HENDRA SANTOSO</v>
      </c>
      <c r="C925" s="8" t="str">
        <f>IFERROR(__xludf.DUMMYFUNCTION("""COMPUTED_VALUE"""),"H9223126709")</f>
        <v>H9223126709</v>
      </c>
      <c r="D925" s="8">
        <f>IFERROR(__xludf.DUMMYFUNCTION("""COMPUTED_VALUE"""),34.0)</f>
        <v>34</v>
      </c>
      <c r="E925" s="2"/>
    </row>
    <row r="926">
      <c r="A926" s="2"/>
      <c r="B926" s="8" t="str">
        <f>IFERROR(__xludf.DUMMYFUNCTION("""COMPUTED_VALUE"""),"HELMI NOVIANSYAH")</f>
        <v>HELMI NOVIANSYAH</v>
      </c>
      <c r="C926" s="8" t="str">
        <f>IFERROR(__xludf.DUMMYFUNCTION("""COMPUTED_VALUE"""),"H8223121823")</f>
        <v>H8223121823</v>
      </c>
      <c r="D926" s="8">
        <f>IFERROR(__xludf.DUMMYFUNCTION("""COMPUTED_VALUE"""),43.0)</f>
        <v>43</v>
      </c>
      <c r="E926" s="2"/>
    </row>
    <row r="927">
      <c r="A927" s="2"/>
      <c r="B927" s="8" t="str">
        <f>IFERROR(__xludf.DUMMYFUNCTION("""COMPUTED_VALUE"""),"KUI HUANG")</f>
        <v>KUI HUANG</v>
      </c>
      <c r="C927" s="8" t="str">
        <f>IFERROR(__xludf.DUMMYFUNCTION("""COMPUTED_VALUE"""),"K7723128784")</f>
        <v>K7723128784</v>
      </c>
      <c r="D927" s="8">
        <f>IFERROR(__xludf.DUMMYFUNCTION("""COMPUTED_VALUE"""),49.0)</f>
        <v>49</v>
      </c>
      <c r="E927" s="2"/>
    </row>
    <row r="928">
      <c r="A928" s="2"/>
      <c r="B928" s="8" t="str">
        <f>IFERROR(__xludf.DUMMYFUNCTION("""COMPUTED_VALUE"""),"NETTY SORTARIAMA SINAGA")</f>
        <v>NETTY SORTARIAMA SINAGA</v>
      </c>
      <c r="C928" s="8" t="str">
        <f>IFERROR(__xludf.DUMMYFUNCTION("""COMPUTED_VALUE"""),"N7923128940")</f>
        <v>N7923128940</v>
      </c>
      <c r="D928" s="8">
        <f>IFERROR(__xludf.DUMMYFUNCTION("""COMPUTED_VALUE"""),47.0)</f>
        <v>47</v>
      </c>
      <c r="E928" s="2"/>
    </row>
    <row r="929">
      <c r="A929" s="2"/>
      <c r="B929" s="8" t="str">
        <f>IFERROR(__xludf.DUMMYFUNCTION("""COMPUTED_VALUE"""),"CINDY PATRIA")</f>
        <v>CINDY PATRIA</v>
      </c>
      <c r="C929" s="8" t="str">
        <f>IFERROR(__xludf.DUMMYFUNCTION("""COMPUTED_VALUE"""),"C9623123321")</f>
        <v>C9623123321</v>
      </c>
      <c r="D929" s="8">
        <f>IFERROR(__xludf.DUMMYFUNCTION("""COMPUTED_VALUE"""),29.0)</f>
        <v>29</v>
      </c>
      <c r="E929" s="2"/>
    </row>
    <row r="930">
      <c r="A930" s="2"/>
      <c r="B930" s="8" t="str">
        <f>IFERROR(__xludf.DUMMYFUNCTION("""COMPUTED_VALUE"""),"FENY FEBRIANI")</f>
        <v>FENY FEBRIANI</v>
      </c>
      <c r="C930" s="8" t="str">
        <f>IFERROR(__xludf.DUMMYFUNCTION("""COMPUTED_VALUE"""),"F8623128719")</f>
        <v>F8623128719</v>
      </c>
      <c r="D930" s="8">
        <f>IFERROR(__xludf.DUMMYFUNCTION("""COMPUTED_VALUE"""),40.0)</f>
        <v>40</v>
      </c>
      <c r="E930" s="2"/>
    </row>
    <row r="931">
      <c r="A931" s="2"/>
      <c r="B931" s="8" t="str">
        <f>IFERROR(__xludf.DUMMYFUNCTION("""COMPUTED_VALUE"""),"PUTRI DEAR NOVRANDA")</f>
        <v>PUTRI DEAR NOVRANDA</v>
      </c>
      <c r="C931" s="8" t="str">
        <f>IFERROR(__xludf.DUMMYFUNCTION("""COMPUTED_VALUE"""),"P9323122390")</f>
        <v>P9323122390</v>
      </c>
      <c r="D931" s="8">
        <f>IFERROR(__xludf.DUMMYFUNCTION("""COMPUTED_VALUE"""),32.0)</f>
        <v>32</v>
      </c>
      <c r="E931" s="2"/>
    </row>
    <row r="932">
      <c r="A932" s="2"/>
      <c r="B932" s="8" t="str">
        <f>IFERROR(__xludf.DUMMYFUNCTION("""COMPUTED_VALUE"""),"RIDWANSYAH")</f>
        <v>RIDWANSYAH</v>
      </c>
      <c r="C932" s="8" t="str">
        <f>IFERROR(__xludf.DUMMYFUNCTION("""COMPUTED_VALUE"""),"R9023125191")</f>
        <v>R9023125191</v>
      </c>
      <c r="D932" s="8">
        <f>IFERROR(__xludf.DUMMYFUNCTION("""COMPUTED_VALUE"""),36.0)</f>
        <v>36</v>
      </c>
      <c r="E932" s="2"/>
    </row>
    <row r="933">
      <c r="A933" s="2"/>
      <c r="B933" s="8" t="str">
        <f>IFERROR(__xludf.DUMMYFUNCTION("""COMPUTED_VALUE"""),"SOFIATY")</f>
        <v>SOFIATY</v>
      </c>
      <c r="C933" s="8" t="str">
        <f>IFERROR(__xludf.DUMMYFUNCTION("""COMPUTED_VALUE"""),"S5223124128")</f>
        <v>S5223124128</v>
      </c>
      <c r="D933" s="8">
        <f>IFERROR(__xludf.DUMMYFUNCTION("""COMPUTED_VALUE"""),74.0)</f>
        <v>74</v>
      </c>
      <c r="E933" s="2"/>
    </row>
    <row r="934">
      <c r="A934" s="2"/>
      <c r="B934" s="8" t="str">
        <f>IFERROR(__xludf.DUMMYFUNCTION("""COMPUTED_VALUE"""),"EMBUN LESTARI")</f>
        <v>EMBUN LESTARI</v>
      </c>
      <c r="C934" s="8" t="str">
        <f>IFERROR(__xludf.DUMMYFUNCTION("""COMPUTED_VALUE"""),"E6523124805")</f>
        <v>E6523124805</v>
      </c>
      <c r="D934" s="8">
        <f>IFERROR(__xludf.DUMMYFUNCTION("""COMPUTED_VALUE"""),61.0)</f>
        <v>61</v>
      </c>
      <c r="E934" s="2"/>
    </row>
    <row r="935">
      <c r="A935" s="2"/>
      <c r="B935" s="8" t="str">
        <f>IFERROR(__xludf.DUMMYFUNCTION("""COMPUTED_VALUE"""),"HJ. RUKMINI")</f>
        <v>HJ. RUKMINI</v>
      </c>
      <c r="C935" s="8" t="str">
        <f>IFERROR(__xludf.DUMMYFUNCTION("""COMPUTED_VALUE"""),"H5323129392")</f>
        <v>H5323129392</v>
      </c>
      <c r="D935" s="8">
        <f>IFERROR(__xludf.DUMMYFUNCTION("""COMPUTED_VALUE"""),72.0)</f>
        <v>72</v>
      </c>
      <c r="E935" s="2"/>
    </row>
    <row r="936">
      <c r="A936" s="2"/>
      <c r="B936" s="8" t="str">
        <f>IFERROR(__xludf.DUMMYFUNCTION("""COMPUTED_VALUE"""),"HIKMAH NURZAMAN")</f>
        <v>HIKMAH NURZAMAN</v>
      </c>
      <c r="C936" s="8" t="str">
        <f>IFERROR(__xludf.DUMMYFUNCTION("""COMPUTED_VALUE"""),"H9423120075")</f>
        <v>H9423120075</v>
      </c>
      <c r="D936" s="8">
        <f>IFERROR(__xludf.DUMMYFUNCTION("""COMPUTED_VALUE"""),31.0)</f>
        <v>31</v>
      </c>
      <c r="E936" s="2"/>
    </row>
    <row r="937">
      <c r="A937" s="2"/>
      <c r="B937" s="8" t="str">
        <f>IFERROR(__xludf.DUMMYFUNCTION("""COMPUTED_VALUE"""),"JOSHUA LIM")</f>
        <v>JOSHUA LIM</v>
      </c>
      <c r="C937" s="8" t="str">
        <f>IFERROR(__xludf.DUMMYFUNCTION("""COMPUTED_VALUE"""),"J1023124979")</f>
        <v>J1023124979</v>
      </c>
      <c r="D937" s="8">
        <f>IFERROR(__xludf.DUMMYFUNCTION("""COMPUTED_VALUE"""),16.0)</f>
        <v>16</v>
      </c>
      <c r="E937" s="2"/>
    </row>
    <row r="938">
      <c r="A938" s="2"/>
      <c r="B938" s="8" t="str">
        <f>IFERROR(__xludf.DUMMYFUNCTION("""COMPUTED_VALUE"""),"A. RUKIP")</f>
        <v>A. RUKIP</v>
      </c>
      <c r="C938" s="8" t="str">
        <f>IFERROR(__xludf.DUMMYFUNCTION("""COMPUTED_VALUE"""),"A6823125782")</f>
        <v>A6823125782</v>
      </c>
      <c r="D938" s="8">
        <f>IFERROR(__xludf.DUMMYFUNCTION("""COMPUTED_VALUE"""),57.0)</f>
        <v>57</v>
      </c>
      <c r="E938" s="2"/>
    </row>
    <row r="939">
      <c r="A939" s="2"/>
      <c r="B939" s="8" t="str">
        <f>IFERROR(__xludf.DUMMYFUNCTION("""COMPUTED_VALUE"""),"TRI HASTUTI")</f>
        <v>TRI HASTUTI</v>
      </c>
      <c r="C939" s="8" t="str">
        <f>IFERROR(__xludf.DUMMYFUNCTION("""COMPUTED_VALUE"""),"T7223120125")</f>
        <v>T7223120125</v>
      </c>
      <c r="D939" s="8">
        <f>IFERROR(__xludf.DUMMYFUNCTION("""COMPUTED_VALUE"""),53.0)</f>
        <v>53</v>
      </c>
      <c r="E939" s="2"/>
    </row>
    <row r="940">
      <c r="A940" s="2"/>
      <c r="B940" s="8" t="str">
        <f>IFERROR(__xludf.DUMMYFUNCTION("""COMPUTED_VALUE"""),"RIKZA FAHDEPI")</f>
        <v>RIKZA FAHDEPI</v>
      </c>
      <c r="C940" s="8" t="str">
        <f>IFERROR(__xludf.DUMMYFUNCTION("""COMPUTED_VALUE"""),"R8423120008")</f>
        <v>R8423120008</v>
      </c>
      <c r="D940" s="8">
        <f>IFERROR(__xludf.DUMMYFUNCTION("""COMPUTED_VALUE"""),42.0)</f>
        <v>42</v>
      </c>
      <c r="E940" s="2"/>
    </row>
    <row r="941">
      <c r="A941" s="2"/>
      <c r="B941" s="8" t="str">
        <f>IFERROR(__xludf.DUMMYFUNCTION("""COMPUTED_VALUE"""),"RIZAL KURNIADI")</f>
        <v>RIZAL KURNIADI</v>
      </c>
      <c r="C941" s="8" t="str">
        <f>IFERROR(__xludf.DUMMYFUNCTION("""COMPUTED_VALUE"""),"R0223120902")</f>
        <v>R0223120902</v>
      </c>
      <c r="D941" s="8">
        <f>IFERROR(__xludf.DUMMYFUNCTION("""COMPUTED_VALUE"""),23.0)</f>
        <v>23</v>
      </c>
      <c r="E941" s="2"/>
    </row>
    <row r="942">
      <c r="A942" s="2"/>
      <c r="B942" s="8" t="str">
        <f>IFERROR(__xludf.DUMMYFUNCTION("""COMPUTED_VALUE"""),"ARYUN RIFQI BAIQUNI")</f>
        <v>ARYUN RIFQI BAIQUNI</v>
      </c>
      <c r="C942" s="8" t="str">
        <f>IFERROR(__xludf.DUMMYFUNCTION("""COMPUTED_VALUE"""),"A9223127522")</f>
        <v>A9223127522</v>
      </c>
      <c r="D942" s="8">
        <f>IFERROR(__xludf.DUMMYFUNCTION("""COMPUTED_VALUE"""),34.0)</f>
        <v>34</v>
      </c>
      <c r="E942" s="2"/>
    </row>
    <row r="943">
      <c r="A943" s="2"/>
      <c r="B943" s="8" t="str">
        <f>IFERROR(__xludf.DUMMYFUNCTION("""COMPUTED_VALUE"""),"RAJIDIN")</f>
        <v>RAJIDIN</v>
      </c>
      <c r="C943" s="8" t="str">
        <f>IFERROR(__xludf.DUMMYFUNCTION("""COMPUTED_VALUE"""),"R8723125757")</f>
        <v>R8723125757</v>
      </c>
      <c r="D943" s="8">
        <f>IFERROR(__xludf.DUMMYFUNCTION("""COMPUTED_VALUE"""),39.0)</f>
        <v>39</v>
      </c>
      <c r="E943" s="2"/>
    </row>
    <row r="944">
      <c r="A944" s="2"/>
      <c r="B944" s="8" t="str">
        <f>IFERROR(__xludf.DUMMYFUNCTION("""COMPUTED_VALUE"""),"BUDI HARIANSYAH")</f>
        <v>BUDI HARIANSYAH</v>
      </c>
      <c r="C944" s="8" t="str">
        <f>IFERROR(__xludf.DUMMYFUNCTION("""COMPUTED_VALUE"""),"B0623125223")</f>
        <v>B0623125223</v>
      </c>
      <c r="D944" s="8">
        <f>IFERROR(__xludf.DUMMYFUNCTION("""COMPUTED_VALUE"""),19.0)</f>
        <v>19</v>
      </c>
      <c r="E944" s="2"/>
    </row>
    <row r="945">
      <c r="A945" s="2"/>
      <c r="B945" s="8" t="str">
        <f>IFERROR(__xludf.DUMMYFUNCTION("""COMPUTED_VALUE"""),"DIMAS IRSANDO PUTRA")</f>
        <v>DIMAS IRSANDO PUTRA</v>
      </c>
      <c r="C945" s="8" t="str">
        <f>IFERROR(__xludf.DUMMYFUNCTION("""COMPUTED_VALUE"""),"D9323120351")</f>
        <v>D9323120351</v>
      </c>
      <c r="D945" s="8">
        <f>IFERROR(__xludf.DUMMYFUNCTION("""COMPUTED_VALUE"""),33.0)</f>
        <v>33</v>
      </c>
      <c r="E945" s="2"/>
    </row>
    <row r="946">
      <c r="A946" s="2"/>
      <c r="B946" s="8" t="str">
        <f>IFERROR(__xludf.DUMMYFUNCTION("""COMPUTED_VALUE"""),"AKHMAD JOKO TETUKO")</f>
        <v>AKHMAD JOKO TETUKO</v>
      </c>
      <c r="C946" s="8" t="str">
        <f>IFERROR(__xludf.DUMMYFUNCTION("""COMPUTED_VALUE"""),"A8523129790")</f>
        <v>A8523129790</v>
      </c>
      <c r="D946" s="8">
        <f>IFERROR(__xludf.DUMMYFUNCTION("""COMPUTED_VALUE"""),40.0)</f>
        <v>40</v>
      </c>
      <c r="E946" s="2"/>
    </row>
    <row r="947">
      <c r="A947" s="2"/>
      <c r="B947" s="8" t="str">
        <f>IFERROR(__xludf.DUMMYFUNCTION("""COMPUTED_VALUE"""),"DARA APRILA YUSLYANI")</f>
        <v>DARA APRILA YUSLYANI</v>
      </c>
      <c r="C947" s="8" t="str">
        <f>IFERROR(__xludf.DUMMYFUNCTION("""COMPUTED_VALUE"""),"D9523123678")</f>
        <v>D9523123678</v>
      </c>
      <c r="D947" s="8">
        <f>IFERROR(__xludf.DUMMYFUNCTION("""COMPUTED_VALUE"""),31.0)</f>
        <v>31</v>
      </c>
      <c r="E947" s="2"/>
    </row>
    <row r="948">
      <c r="A948" s="2"/>
      <c r="B948" s="8" t="str">
        <f>IFERROR(__xludf.DUMMYFUNCTION("""COMPUTED_VALUE"""),"WELSI NINDYA SARI")</f>
        <v>WELSI NINDYA SARI</v>
      </c>
      <c r="C948" s="8" t="str">
        <f>IFERROR(__xludf.DUMMYFUNCTION("""COMPUTED_VALUE"""),"W8523128786")</f>
        <v>W8523128786</v>
      </c>
      <c r="D948" s="8">
        <f>IFERROR(__xludf.DUMMYFUNCTION("""COMPUTED_VALUE"""),41.0)</f>
        <v>41</v>
      </c>
      <c r="E948" s="2"/>
    </row>
    <row r="949">
      <c r="A949" s="2"/>
      <c r="B949" s="8" t="str">
        <f>IFERROR(__xludf.DUMMYFUNCTION("""COMPUTED_VALUE"""),"RICO RUSNANTO")</f>
        <v>RICO RUSNANTO</v>
      </c>
      <c r="C949" s="8" t="str">
        <f>IFERROR(__xludf.DUMMYFUNCTION("""COMPUTED_VALUE"""),"R0223124035")</f>
        <v>R0223124035</v>
      </c>
      <c r="D949" s="8">
        <f>IFERROR(__xludf.DUMMYFUNCTION("""COMPUTED_VALUE"""),24.0)</f>
        <v>24</v>
      </c>
      <c r="E949" s="2"/>
    </row>
    <row r="950">
      <c r="A950" s="2"/>
      <c r="B950" s="8" t="str">
        <f>IFERROR(__xludf.DUMMYFUNCTION("""COMPUTED_VALUE"""),"ESTA BRONI PRABOWO")</f>
        <v>ESTA BRONI PRABOWO</v>
      </c>
      <c r="C950" s="8" t="str">
        <f>IFERROR(__xludf.DUMMYFUNCTION("""COMPUTED_VALUE"""),"E9223125131")</f>
        <v>E9223125131</v>
      </c>
      <c r="D950" s="8">
        <f>IFERROR(__xludf.DUMMYFUNCTION("""COMPUTED_VALUE"""),34.0)</f>
        <v>34</v>
      </c>
      <c r="E950" s="2"/>
    </row>
    <row r="951">
      <c r="A951" s="2"/>
      <c r="B951" s="8" t="str">
        <f>IFERROR(__xludf.DUMMYFUNCTION("""COMPUTED_VALUE"""),"DAMASUS EKODIMUS")</f>
        <v>DAMASUS EKODIMUS</v>
      </c>
      <c r="C951" s="8" t="str">
        <f>IFERROR(__xludf.DUMMYFUNCTION("""COMPUTED_VALUE"""),"D8423121991")</f>
        <v>D8423121991</v>
      </c>
      <c r="D951" s="8">
        <f>IFERROR(__xludf.DUMMYFUNCTION("""COMPUTED_VALUE"""),41.0)</f>
        <v>41</v>
      </c>
      <c r="E951" s="2"/>
    </row>
    <row r="952">
      <c r="A952" s="2"/>
      <c r="B952" s="8" t="str">
        <f>IFERROR(__xludf.DUMMYFUNCTION("""COMPUTED_VALUE"""),"RAFLY KURNIAWAN")</f>
        <v>RAFLY KURNIAWAN</v>
      </c>
      <c r="C952" s="8" t="str">
        <f>IFERROR(__xludf.DUMMYFUNCTION("""COMPUTED_VALUE"""),"R9923120023")</f>
        <v>R9923120023</v>
      </c>
      <c r="D952" s="8">
        <f>IFERROR(__xludf.DUMMYFUNCTION("""COMPUTED_VALUE"""),27.0)</f>
        <v>27</v>
      </c>
      <c r="E952" s="2"/>
    </row>
    <row r="953">
      <c r="A953" s="2"/>
      <c r="B953" s="8" t="str">
        <f>IFERROR(__xludf.DUMMYFUNCTION("""COMPUTED_VALUE"""),"NARIAH HATIMAH")</f>
        <v>NARIAH HATIMAH</v>
      </c>
      <c r="C953" s="8" t="str">
        <f>IFERROR(__xludf.DUMMYFUNCTION("""COMPUTED_VALUE"""),"N0423127623")</f>
        <v>N0423127623</v>
      </c>
      <c r="D953" s="8">
        <f>IFERROR(__xludf.DUMMYFUNCTION("""COMPUTED_VALUE"""),21.0)</f>
        <v>21</v>
      </c>
      <c r="E953" s="2"/>
    </row>
    <row r="954">
      <c r="A954" s="2"/>
      <c r="B954" s="8" t="str">
        <f>IFERROR(__xludf.DUMMYFUNCTION("""COMPUTED_VALUE"""),"WIRNANDA GIFARY")</f>
        <v>WIRNANDA GIFARY</v>
      </c>
      <c r="C954" s="8" t="str">
        <f>IFERROR(__xludf.DUMMYFUNCTION("""COMPUTED_VALUE"""),"W0023128487")</f>
        <v>W0023128487</v>
      </c>
      <c r="D954" s="8">
        <f>IFERROR(__xludf.DUMMYFUNCTION("""COMPUTED_VALUE"""),25.0)</f>
        <v>25</v>
      </c>
      <c r="E954" s="2"/>
    </row>
    <row r="955">
      <c r="A955" s="2"/>
      <c r="B955" s="8" t="str">
        <f>IFERROR(__xludf.DUMMYFUNCTION("""COMPUTED_VALUE"""),"MUHAMMAD SUCLA AL AQSHA RAMADHAN")</f>
        <v>MUHAMMAD SUCLA AL AQSHA RAMADHAN</v>
      </c>
      <c r="C955" s="8" t="str">
        <f>IFERROR(__xludf.DUMMYFUNCTION("""COMPUTED_VALUE"""),"M1423126668")</f>
        <v>M1423126668</v>
      </c>
      <c r="D955" s="8">
        <f>IFERROR(__xludf.DUMMYFUNCTION("""COMPUTED_VALUE"""),12.0)</f>
        <v>12</v>
      </c>
      <c r="E955" s="2"/>
    </row>
    <row r="956">
      <c r="A956" s="2"/>
      <c r="B956" s="8" t="str">
        <f>IFERROR(__xludf.DUMMYFUNCTION("""COMPUTED_VALUE"""),"MULYANSYAH")</f>
        <v>MULYANSYAH</v>
      </c>
      <c r="C956" s="8" t="str">
        <f>IFERROR(__xludf.DUMMYFUNCTION("""COMPUTED_VALUE"""),"M6523120099")</f>
        <v>M6523120099</v>
      </c>
      <c r="D956" s="8">
        <f>IFERROR(__xludf.DUMMYFUNCTION("""COMPUTED_VALUE"""),60.0)</f>
        <v>60</v>
      </c>
      <c r="E956" s="2"/>
    </row>
    <row r="957">
      <c r="A957" s="2"/>
      <c r="B957" s="8" t="str">
        <f>IFERROR(__xludf.DUMMYFUNCTION("""COMPUTED_VALUE"""),"RIZAL BAHRIL HUDA")</f>
        <v>RIZAL BAHRIL HUDA</v>
      </c>
      <c r="C957" s="8" t="str">
        <f>IFERROR(__xludf.DUMMYFUNCTION("""COMPUTED_VALUE"""),"R9123121333")</f>
        <v>R9123121333</v>
      </c>
      <c r="D957" s="8">
        <f>IFERROR(__xludf.DUMMYFUNCTION("""COMPUTED_VALUE"""),35.0)</f>
        <v>35</v>
      </c>
      <c r="E957" s="2"/>
    </row>
    <row r="958">
      <c r="A958" s="2"/>
      <c r="B958" s="8" t="str">
        <f>IFERROR(__xludf.DUMMYFUNCTION("""COMPUTED_VALUE"""),"PETRUS")</f>
        <v>PETRUS</v>
      </c>
      <c r="C958" s="8" t="str">
        <f>IFERROR(__xludf.DUMMYFUNCTION("""COMPUTED_VALUE"""),"P0123123241")</f>
        <v>P0123123241</v>
      </c>
      <c r="D958" s="8">
        <f>IFERROR(__xludf.DUMMYFUNCTION("""COMPUTED_VALUE"""),24.0)</f>
        <v>24</v>
      </c>
      <c r="E958" s="2"/>
    </row>
    <row r="959">
      <c r="A959" s="2"/>
      <c r="B959" s="8" t="str">
        <f>IFERROR(__xludf.DUMMYFUNCTION("""COMPUTED_VALUE"""),"PATMAWATI 7611")</f>
        <v>PATMAWATI 7611</v>
      </c>
      <c r="C959" s="8" t="str">
        <f>IFERROR(__xludf.DUMMYFUNCTION("""COMPUTED_VALUE"""),"P7623126323")</f>
        <v>P7623126323</v>
      </c>
      <c r="D959" s="8">
        <f>IFERROR(__xludf.DUMMYFUNCTION("""COMPUTED_VALUE"""),49.0)</f>
        <v>49</v>
      </c>
      <c r="E959" s="2"/>
    </row>
    <row r="960">
      <c r="A960" s="2"/>
      <c r="B960" s="8" t="str">
        <f>IFERROR(__xludf.DUMMYFUNCTION("""COMPUTED_VALUE"""),"YUDHA SUTANTO")</f>
        <v>YUDHA SUTANTO</v>
      </c>
      <c r="C960" s="8" t="str">
        <f>IFERROR(__xludf.DUMMYFUNCTION("""COMPUTED_VALUE"""),"Y8723124569")</f>
        <v>Y8723124569</v>
      </c>
      <c r="D960" s="8">
        <f>IFERROR(__xludf.DUMMYFUNCTION("""COMPUTED_VALUE"""),39.0)</f>
        <v>39</v>
      </c>
      <c r="E960" s="2"/>
    </row>
    <row r="961">
      <c r="A961" s="2"/>
      <c r="B961" s="8" t="str">
        <f>IFERROR(__xludf.DUMMYFUNCTION("""COMPUTED_VALUE"""),"SYARIF ISKANDAR ALKADRI")</f>
        <v>SYARIF ISKANDAR ALKADRI</v>
      </c>
      <c r="C961" s="8" t="str">
        <f>IFERROR(__xludf.DUMMYFUNCTION("""COMPUTED_VALUE"""),"S7723128949")</f>
        <v>S7723128949</v>
      </c>
      <c r="D961" s="8">
        <f>IFERROR(__xludf.DUMMYFUNCTION("""COMPUTED_VALUE"""),48.0)</f>
        <v>48</v>
      </c>
      <c r="E961" s="2"/>
    </row>
    <row r="962">
      <c r="A962" s="2"/>
      <c r="B962" s="8" t="str">
        <f>IFERROR(__xludf.DUMMYFUNCTION("""COMPUTED_VALUE"""),"PUHENDY JOHAR")</f>
        <v>PUHENDY JOHAR</v>
      </c>
      <c r="C962" s="8" t="str">
        <f>IFERROR(__xludf.DUMMYFUNCTION("""COMPUTED_VALUE"""),"P9423123600")</f>
        <v>P9423123600</v>
      </c>
      <c r="D962" s="8">
        <f>IFERROR(__xludf.DUMMYFUNCTION("""COMPUTED_VALUE"""),32.0)</f>
        <v>32</v>
      </c>
      <c r="E962" s="2"/>
    </row>
    <row r="963">
      <c r="A963" s="2"/>
      <c r="B963" s="8" t="str">
        <f>IFERROR(__xludf.DUMMYFUNCTION("""COMPUTED_VALUE"""),"MULVI M. YAZID NAUFALI")</f>
        <v>MULVI M. YAZID NAUFALI</v>
      </c>
      <c r="C963" s="8" t="str">
        <f>IFERROR(__xludf.DUMMYFUNCTION("""COMPUTED_VALUE"""),"M0623127441")</f>
        <v>M0623127441</v>
      </c>
      <c r="D963" s="8">
        <f>IFERROR(__xludf.DUMMYFUNCTION("""COMPUTED_VALUE"""),19.0)</f>
        <v>19</v>
      </c>
      <c r="E963" s="2"/>
    </row>
    <row r="964">
      <c r="A964" s="2"/>
      <c r="B964" s="8" t="str">
        <f>IFERROR(__xludf.DUMMYFUNCTION("""COMPUTED_VALUE"""),"TAMMAMIL AZZAM")</f>
        <v>TAMMAMIL AZZAM</v>
      </c>
      <c r="C964" s="8" t="str">
        <f>IFERROR(__xludf.DUMMYFUNCTION("""COMPUTED_VALUE"""),"T1223126303")</f>
        <v>T1223126303</v>
      </c>
      <c r="D964" s="8">
        <f>IFERROR(__xludf.DUMMYFUNCTION("""COMPUTED_VALUE"""),14.0)</f>
        <v>14</v>
      </c>
      <c r="E964" s="2"/>
    </row>
    <row r="965">
      <c r="A965" s="2"/>
      <c r="B965" s="8" t="str">
        <f>IFERROR(__xludf.DUMMYFUNCTION("""COMPUTED_VALUE"""),"PUJI KURNIAWAN")</f>
        <v>PUJI KURNIAWAN</v>
      </c>
      <c r="C965" s="8" t="str">
        <f>IFERROR(__xludf.DUMMYFUNCTION("""COMPUTED_VALUE"""),"P8623128878")</f>
        <v>P8623128878</v>
      </c>
      <c r="D965" s="8">
        <f>IFERROR(__xludf.DUMMYFUNCTION("""COMPUTED_VALUE"""),39.0)</f>
        <v>39</v>
      </c>
      <c r="E965" s="2"/>
    </row>
    <row r="966">
      <c r="A966" s="2"/>
      <c r="B966" s="8" t="str">
        <f>IFERROR(__xludf.DUMMYFUNCTION("""COMPUTED_VALUE"""),"JULIAR FANTARA")</f>
        <v>JULIAR FANTARA</v>
      </c>
      <c r="C966" s="8" t="str">
        <f>IFERROR(__xludf.DUMMYFUNCTION("""COMPUTED_VALUE"""),"J9323122443")</f>
        <v>J9323122443</v>
      </c>
      <c r="D966" s="8">
        <f>IFERROR(__xludf.DUMMYFUNCTION("""COMPUTED_VALUE"""),33.0)</f>
        <v>33</v>
      </c>
      <c r="E966" s="2"/>
    </row>
    <row r="967">
      <c r="A967" s="2"/>
      <c r="B967" s="8" t="str">
        <f>IFERROR(__xludf.DUMMYFUNCTION("""COMPUTED_VALUE"""),"INTAN DAVITRI")</f>
        <v>INTAN DAVITRI</v>
      </c>
      <c r="C967" s="8" t="str">
        <f>IFERROR(__xludf.DUMMYFUNCTION("""COMPUTED_VALUE"""),"I9623128441")</f>
        <v>I9623128441</v>
      </c>
      <c r="D967" s="8">
        <f>IFERROR(__xludf.DUMMYFUNCTION("""COMPUTED_VALUE"""),29.0)</f>
        <v>29</v>
      </c>
      <c r="E967" s="2"/>
    </row>
    <row r="968">
      <c r="A968" s="2"/>
      <c r="B968" s="8" t="str">
        <f>IFERROR(__xludf.DUMMYFUNCTION("""COMPUTED_VALUE"""),"HILMI AKBAR ABQARY")</f>
        <v>HILMI AKBAR ABQARY</v>
      </c>
      <c r="C968" s="8" t="str">
        <f>IFERROR(__xludf.DUMMYFUNCTION("""COMPUTED_VALUE"""),"H1123121655")</f>
        <v>H1123121655</v>
      </c>
      <c r="D968" s="8">
        <f>IFERROR(__xludf.DUMMYFUNCTION("""COMPUTED_VALUE"""),15.0)</f>
        <v>15</v>
      </c>
      <c r="E968" s="2"/>
    </row>
    <row r="969">
      <c r="A969" s="2"/>
      <c r="B969" s="8" t="str">
        <f>IFERROR(__xludf.DUMMYFUNCTION("""COMPUTED_VALUE"""),"EDY SUTRISNO")</f>
        <v>EDY SUTRISNO</v>
      </c>
      <c r="C969" s="8" t="str">
        <f>IFERROR(__xludf.DUMMYFUNCTION("""COMPUTED_VALUE"""),"E7523128332")</f>
        <v>E7523128332</v>
      </c>
      <c r="D969" s="8">
        <f>IFERROR(__xludf.DUMMYFUNCTION("""COMPUTED_VALUE"""),51.0)</f>
        <v>51</v>
      </c>
      <c r="E969" s="2"/>
    </row>
    <row r="970">
      <c r="A970" s="2"/>
      <c r="B970" s="8" t="str">
        <f>IFERROR(__xludf.DUMMYFUNCTION("""COMPUTED_VALUE"""),"MICHAEL CHRISTIAN YORDAN SITORUS")</f>
        <v>MICHAEL CHRISTIAN YORDAN SITORUS</v>
      </c>
      <c r="C970" s="8" t="str">
        <f>IFERROR(__xludf.DUMMYFUNCTION("""COMPUTED_VALUE"""),"M0123128475")</f>
        <v>M0123128475</v>
      </c>
      <c r="D970" s="8">
        <f>IFERROR(__xludf.DUMMYFUNCTION("""COMPUTED_VALUE"""),24.0)</f>
        <v>24</v>
      </c>
      <c r="E970" s="2"/>
    </row>
    <row r="971">
      <c r="A971" s="2"/>
      <c r="B971" s="8" t="str">
        <f>IFERROR(__xludf.DUMMYFUNCTION("""COMPUTED_VALUE"""),"MIRZA AMINUDIN")</f>
        <v>MIRZA AMINUDIN</v>
      </c>
      <c r="C971" s="8" t="str">
        <f>IFERROR(__xludf.DUMMYFUNCTION("""COMPUTED_VALUE"""),"M9723126343")</f>
        <v>M9723126343</v>
      </c>
      <c r="D971" s="8">
        <f>IFERROR(__xludf.DUMMYFUNCTION("""COMPUTED_VALUE"""),29.0)</f>
        <v>29</v>
      </c>
      <c r="E971" s="2"/>
    </row>
    <row r="972">
      <c r="A972" s="2"/>
      <c r="B972" s="8" t="str">
        <f>IFERROR(__xludf.DUMMYFUNCTION("""COMPUTED_VALUE"""),"KEVIN ANTONIO")</f>
        <v>KEVIN ANTONIO</v>
      </c>
      <c r="C972" s="8" t="str">
        <f>IFERROR(__xludf.DUMMYFUNCTION("""COMPUTED_VALUE"""),"K9923127029")</f>
        <v>K9923127029</v>
      </c>
      <c r="D972" s="8">
        <f>IFERROR(__xludf.DUMMYFUNCTION("""COMPUTED_VALUE"""),27.0)</f>
        <v>27</v>
      </c>
      <c r="E972" s="2"/>
    </row>
    <row r="973">
      <c r="A973" s="2"/>
      <c r="B973" s="8" t="str">
        <f>IFERROR(__xludf.DUMMYFUNCTION("""COMPUTED_VALUE"""),"YOGA SYAMSUDIN")</f>
        <v>YOGA SYAMSUDIN</v>
      </c>
      <c r="C973" s="8" t="str">
        <f>IFERROR(__xludf.DUMMYFUNCTION("""COMPUTED_VALUE"""),"Y7923123208")</f>
        <v>Y7923123208</v>
      </c>
      <c r="D973" s="8">
        <f>IFERROR(__xludf.DUMMYFUNCTION("""COMPUTED_VALUE"""),46.0)</f>
        <v>46</v>
      </c>
      <c r="E973" s="2"/>
    </row>
    <row r="974">
      <c r="A974" s="2"/>
      <c r="B974" s="8" t="str">
        <f>IFERROR(__xludf.DUMMYFUNCTION("""COMPUTED_VALUE"""),"BARI ABIYU ATHAILLAH")</f>
        <v>BARI ABIYU ATHAILLAH</v>
      </c>
      <c r="C974" s="8" t="str">
        <f>IFERROR(__xludf.DUMMYFUNCTION("""COMPUTED_VALUE"""),"B1223123307")</f>
        <v>B1223123307</v>
      </c>
      <c r="D974" s="8">
        <f>IFERROR(__xludf.DUMMYFUNCTION("""COMPUTED_VALUE"""),14.0)</f>
        <v>14</v>
      </c>
      <c r="E974" s="2"/>
    </row>
    <row r="975">
      <c r="A975" s="2"/>
      <c r="B975" s="8" t="str">
        <f>IFERROR(__xludf.DUMMYFUNCTION("""COMPUTED_VALUE"""),"WANG LIANG TJHENG")</f>
        <v>WANG LIANG TJHENG</v>
      </c>
      <c r="C975" s="8" t="str">
        <f>IFERROR(__xludf.DUMMYFUNCTION("""COMPUTED_VALUE"""),"W542312")</f>
        <v>W542312</v>
      </c>
      <c r="D975" s="8">
        <f>IFERROR(__xludf.DUMMYFUNCTION("""COMPUTED_VALUE"""),71.0)</f>
        <v>71</v>
      </c>
      <c r="E975" s="2"/>
    </row>
    <row r="976">
      <c r="A976" s="2"/>
      <c r="B976" s="8" t="str">
        <f>IFERROR(__xludf.DUMMYFUNCTION("""COMPUTED_VALUE"""),"SUPRIADI")</f>
        <v>SUPRIADI</v>
      </c>
      <c r="C976" s="8" t="str">
        <f>IFERROR(__xludf.DUMMYFUNCTION("""COMPUTED_VALUE"""),"S6923122877")</f>
        <v>S6923122877</v>
      </c>
      <c r="D976" s="8">
        <f>IFERROR(__xludf.DUMMYFUNCTION("""COMPUTED_VALUE"""),56.0)</f>
        <v>56</v>
      </c>
      <c r="E976" s="2"/>
    </row>
    <row r="977">
      <c r="A977" s="2"/>
      <c r="B977" s="8" t="str">
        <f>IFERROR(__xludf.DUMMYFUNCTION("""COMPUTED_VALUE"""),"YUSDI RAHMAT")</f>
        <v>YUSDI RAHMAT</v>
      </c>
      <c r="C977" s="8" t="str">
        <f>IFERROR(__xludf.DUMMYFUNCTION("""COMPUTED_VALUE"""),"Y9123122338")</f>
        <v>Y9123122338</v>
      </c>
      <c r="D977" s="8">
        <f>IFERROR(__xludf.DUMMYFUNCTION("""COMPUTED_VALUE"""),35.0)</f>
        <v>35</v>
      </c>
      <c r="E977" s="2"/>
    </row>
    <row r="978">
      <c r="A978" s="2"/>
      <c r="B978" s="8" t="str">
        <f>IFERROR(__xludf.DUMMYFUNCTION("""COMPUTED_VALUE"""),"UPY FERDIANY")</f>
        <v>UPY FERDIANY</v>
      </c>
      <c r="C978" s="8" t="str">
        <f>IFERROR(__xludf.DUMMYFUNCTION("""COMPUTED_VALUE"""),"U8223123189")</f>
        <v>U8223123189</v>
      </c>
      <c r="D978" s="8">
        <f>IFERROR(__xludf.DUMMYFUNCTION("""COMPUTED_VALUE"""),44.0)</f>
        <v>44</v>
      </c>
      <c r="E978" s="2"/>
    </row>
    <row r="979">
      <c r="A979" s="2"/>
      <c r="B979" s="8" t="str">
        <f>IFERROR(__xludf.DUMMYFUNCTION("""COMPUTED_VALUE"""),"SYF TALHA")</f>
        <v>SYF TALHA</v>
      </c>
      <c r="C979" s="8" t="str">
        <f>IFERROR(__xludf.DUMMYFUNCTION("""COMPUTED_VALUE"""),"S4723129251")</f>
        <v>S4723129251</v>
      </c>
      <c r="D979" s="8">
        <f>IFERROR(__xludf.DUMMYFUNCTION("""COMPUTED_VALUE"""),1980.0)</f>
        <v>1980</v>
      </c>
      <c r="E979" s="2"/>
    </row>
    <row r="980">
      <c r="A980" s="2"/>
      <c r="B980" s="8" t="str">
        <f>IFERROR(__xludf.DUMMYFUNCTION("""COMPUTED_VALUE"""),"MUNADHIROH")</f>
        <v>MUNADHIROH</v>
      </c>
      <c r="C980" s="8" t="str">
        <f>IFERROR(__xludf.DUMMYFUNCTION("""COMPUTED_VALUE"""),"M6524013863")</f>
        <v>M6524013863</v>
      </c>
      <c r="D980" s="8">
        <f>IFERROR(__xludf.DUMMYFUNCTION("""COMPUTED_VALUE"""),60.0)</f>
        <v>60</v>
      </c>
      <c r="E980" s="2"/>
    </row>
    <row r="981">
      <c r="A981" s="2"/>
      <c r="B981" s="8" t="str">
        <f>IFERROR(__xludf.DUMMYFUNCTION("""COMPUTED_VALUE"""),"ROBI HANDIKA")</f>
        <v>ROBI HANDIKA</v>
      </c>
      <c r="C981" s="8" t="str">
        <f>IFERROR(__xludf.DUMMYFUNCTION("""COMPUTED_VALUE"""),"R9524014165")</f>
        <v>R9524014165</v>
      </c>
      <c r="D981" s="8">
        <f>IFERROR(__xludf.DUMMYFUNCTION("""COMPUTED_VALUE"""),31.0)</f>
        <v>31</v>
      </c>
      <c r="E981" s="2"/>
    </row>
    <row r="982">
      <c r="A982" s="2"/>
      <c r="B982" s="8" t="str">
        <f>IFERROR(__xludf.DUMMYFUNCTION("""COMPUTED_VALUE"""),"MUHAMMAD SYAFRUDDIN")</f>
        <v>MUHAMMAD SYAFRUDDIN</v>
      </c>
      <c r="C982" s="8" t="str">
        <f>IFERROR(__xludf.DUMMYFUNCTION("""COMPUTED_VALUE"""),"M9024014808")</f>
        <v>M9024014808</v>
      </c>
      <c r="D982" s="8">
        <f>IFERROR(__xludf.DUMMYFUNCTION("""COMPUTED_VALUE"""),36.0)</f>
        <v>36</v>
      </c>
      <c r="E982" s="2"/>
    </row>
    <row r="983">
      <c r="A983" s="2"/>
      <c r="B983" s="8" t="str">
        <f>IFERROR(__xludf.DUMMYFUNCTION("""COMPUTED_VALUE"""),"GUSTI ABDU RAHMAN")</f>
        <v>GUSTI ABDU RAHMAN</v>
      </c>
      <c r="C983" s="8" t="str">
        <f>IFERROR(__xludf.DUMMYFUNCTION("""COMPUTED_VALUE"""),"G9024018667")</f>
        <v>G9024018667</v>
      </c>
      <c r="D983" s="8">
        <f>IFERROR(__xludf.DUMMYFUNCTION("""COMPUTED_VALUE"""),36.0)</f>
        <v>36</v>
      </c>
      <c r="E983" s="2"/>
    </row>
    <row r="984">
      <c r="A984" s="2"/>
      <c r="B984" s="8" t="str">
        <f>IFERROR(__xludf.DUMMYFUNCTION("""COMPUTED_VALUE"""),"SUROSO")</f>
        <v>SUROSO</v>
      </c>
      <c r="C984" s="8" t="str">
        <f>IFERROR(__xludf.DUMMYFUNCTION("""COMPUTED_VALUE"""),"S5824014899")</f>
        <v>S5824014899</v>
      </c>
      <c r="D984" s="8">
        <f>IFERROR(__xludf.DUMMYFUNCTION("""COMPUTED_VALUE"""),67.0)</f>
        <v>67</v>
      </c>
      <c r="E984" s="2"/>
    </row>
    <row r="985">
      <c r="A985" s="2"/>
      <c r="B985" s="8" t="str">
        <f>IFERROR(__xludf.DUMMYFUNCTION("""COMPUTED_VALUE"""),"SYARIFAH RESSA HAJRIYANTIKA")</f>
        <v>SYARIFAH RESSA HAJRIYANTIKA</v>
      </c>
      <c r="C985" s="8" t="str">
        <f>IFERROR(__xludf.DUMMYFUNCTION("""COMPUTED_VALUE"""),"S8724010837")</f>
        <v>S8724010837</v>
      </c>
      <c r="D985" s="8">
        <f>IFERROR(__xludf.DUMMYFUNCTION("""COMPUTED_VALUE"""),39.0)</f>
        <v>39</v>
      </c>
      <c r="E985" s="2"/>
    </row>
    <row r="986">
      <c r="A986" s="2"/>
      <c r="B986" s="8" t="str">
        <f>IFERROR(__xludf.DUMMYFUNCTION("""COMPUTED_VALUE"""),"RIDHO ASTRIANTO")</f>
        <v>RIDHO ASTRIANTO</v>
      </c>
      <c r="C986" s="8" t="str">
        <f>IFERROR(__xludf.DUMMYFUNCTION("""COMPUTED_VALUE"""),"R9024017000")</f>
        <v>R9024017000</v>
      </c>
      <c r="D986" s="8">
        <f>IFERROR(__xludf.DUMMYFUNCTION("""COMPUTED_VALUE"""),35.0)</f>
        <v>35</v>
      </c>
      <c r="E986" s="2"/>
    </row>
    <row r="987">
      <c r="A987" s="2"/>
      <c r="B987" s="8" t="str">
        <f>IFERROR(__xludf.DUMMYFUNCTION("""COMPUTED_VALUE"""),"DICKY HARJUNA PURWACARAKA")</f>
        <v>DICKY HARJUNA PURWACARAKA</v>
      </c>
      <c r="C987" s="8" t="str">
        <f>IFERROR(__xludf.DUMMYFUNCTION("""COMPUTED_VALUE"""),"D9324012682")</f>
        <v>D9324012682</v>
      </c>
      <c r="D987" s="8">
        <f>IFERROR(__xludf.DUMMYFUNCTION("""COMPUTED_VALUE"""),32.0)</f>
        <v>32</v>
      </c>
      <c r="E987" s="2"/>
    </row>
    <row r="988">
      <c r="A988" s="2"/>
      <c r="B988" s="8" t="str">
        <f>IFERROR(__xludf.DUMMYFUNCTION("""COMPUTED_VALUE"""),"RIO ARWANDA")</f>
        <v>RIO ARWANDA</v>
      </c>
      <c r="C988" s="8" t="str">
        <f>IFERROR(__xludf.DUMMYFUNCTION("""COMPUTED_VALUE"""),"R9524017564")</f>
        <v>R9524017564</v>
      </c>
      <c r="D988" s="8">
        <f>IFERROR(__xludf.DUMMYFUNCTION("""COMPUTED_VALUE"""),30.0)</f>
        <v>30</v>
      </c>
      <c r="E988" s="2"/>
    </row>
    <row r="989">
      <c r="A989" s="2"/>
      <c r="B989" s="8" t="str">
        <f>IFERROR(__xludf.DUMMYFUNCTION("""COMPUTED_VALUE"""),"EDI KURNIAWAN")</f>
        <v>EDI KURNIAWAN</v>
      </c>
      <c r="C989" s="8" t="str">
        <f>IFERROR(__xludf.DUMMYFUNCTION("""COMPUTED_VALUE"""),"E8624013040")</f>
        <v>E8624013040</v>
      </c>
      <c r="D989" s="8">
        <f>IFERROR(__xludf.DUMMYFUNCTION("""COMPUTED_VALUE"""),39.0)</f>
        <v>39</v>
      </c>
      <c r="E989" s="2"/>
    </row>
    <row r="990">
      <c r="A990" s="2"/>
      <c r="B990" s="8" t="str">
        <f>IFERROR(__xludf.DUMMYFUNCTION("""COMPUTED_VALUE"""),"ISKANDAR ZULKARNAIN")</f>
        <v>ISKANDAR ZULKARNAIN</v>
      </c>
      <c r="C990" s="8" t="str">
        <f>IFERROR(__xludf.DUMMYFUNCTION("""COMPUTED_VALUE"""),"I8224019798")</f>
        <v>I8224019798</v>
      </c>
      <c r="D990" s="8">
        <f>IFERROR(__xludf.DUMMYFUNCTION("""COMPUTED_VALUE"""),43.0)</f>
        <v>43</v>
      </c>
      <c r="E990" s="2"/>
    </row>
    <row r="991">
      <c r="A991" s="2"/>
      <c r="B991" s="8" t="str">
        <f>IFERROR(__xludf.DUMMYFUNCTION("""COMPUTED_VALUE"""),"SANDY LEO")</f>
        <v>SANDY LEO</v>
      </c>
      <c r="C991" s="8" t="str">
        <f>IFERROR(__xludf.DUMMYFUNCTION("""COMPUTED_VALUE"""),"S9424015075")</f>
        <v>S9424015075</v>
      </c>
      <c r="D991" s="8">
        <f>IFERROR(__xludf.DUMMYFUNCTION("""COMPUTED_VALUE"""),32.0)</f>
        <v>32</v>
      </c>
      <c r="E991" s="2"/>
    </row>
    <row r="992">
      <c r="A992" s="2"/>
      <c r="B992" s="8" t="str">
        <f>IFERROR(__xludf.DUMMYFUNCTION("""COMPUTED_VALUE"""),"LO JUNARDI, SE")</f>
        <v>LO JUNARDI, SE</v>
      </c>
      <c r="C992" s="8" t="str">
        <f>IFERROR(__xludf.DUMMYFUNCTION("""COMPUTED_VALUE"""),"L7224019250")</f>
        <v>L7224019250</v>
      </c>
      <c r="D992" s="8">
        <f>IFERROR(__xludf.DUMMYFUNCTION("""COMPUTED_VALUE"""),54.0)</f>
        <v>54</v>
      </c>
      <c r="E992" s="2"/>
    </row>
    <row r="993">
      <c r="A993" s="2"/>
      <c r="B993" s="8" t="str">
        <f>IFERROR(__xludf.DUMMYFUNCTION("""COMPUTED_VALUE"""),"M. DAKRIM")</f>
        <v>M. DAKRIM</v>
      </c>
      <c r="C993" s="8" t="str">
        <f>IFERROR(__xludf.DUMMYFUNCTION("""COMPUTED_VALUE"""),"M5624016073")</f>
        <v>M5624016073</v>
      </c>
      <c r="D993" s="8">
        <f>IFERROR(__xludf.DUMMYFUNCTION("""COMPUTED_VALUE"""),70.0)</f>
        <v>70</v>
      </c>
      <c r="E993" s="2"/>
    </row>
    <row r="994">
      <c r="A994" s="2"/>
      <c r="B994" s="8" t="str">
        <f>IFERROR(__xludf.DUMMYFUNCTION("""COMPUTED_VALUE"""),"RASMAWATI")</f>
        <v>RASMAWATI</v>
      </c>
      <c r="C994" s="8" t="str">
        <f>IFERROR(__xludf.DUMMYFUNCTION("""COMPUTED_VALUE"""),"R6124016073")</f>
        <v>R6124016073</v>
      </c>
      <c r="D994" s="8">
        <f>IFERROR(__xludf.DUMMYFUNCTION("""COMPUTED_VALUE"""),65.0)</f>
        <v>65</v>
      </c>
      <c r="E994" s="2"/>
    </row>
    <row r="995">
      <c r="A995" s="2"/>
      <c r="B995" s="8" t="str">
        <f>IFERROR(__xludf.DUMMYFUNCTION("""COMPUTED_VALUE"""),"ALIFAH AMALIA")</f>
        <v>ALIFAH AMALIA</v>
      </c>
      <c r="C995" s="8" t="str">
        <f>IFERROR(__xludf.DUMMYFUNCTION("""COMPUTED_VALUE"""),"A9924010767")</f>
        <v>A9924010767</v>
      </c>
      <c r="D995" s="8">
        <f>IFERROR(__xludf.DUMMYFUNCTION("""COMPUTED_VALUE"""),27.0)</f>
        <v>27</v>
      </c>
      <c r="E995" s="2"/>
    </row>
    <row r="996">
      <c r="A996" s="2"/>
      <c r="B996" s="8" t="str">
        <f>IFERROR(__xludf.DUMMYFUNCTION("""COMPUTED_VALUE"""),"SAIF RAAFIIN ISFAHAN")</f>
        <v>SAIF RAAFIIN ISFAHAN</v>
      </c>
      <c r="C996" s="8" t="str">
        <f>IFERROR(__xludf.DUMMYFUNCTION("""COMPUTED_VALUE"""),"S0324019056")</f>
        <v>S0324019056</v>
      </c>
      <c r="D996" s="8">
        <f>IFERROR(__xludf.DUMMYFUNCTION("""COMPUTED_VALUE"""),23.0)</f>
        <v>23</v>
      </c>
      <c r="E996" s="2"/>
    </row>
    <row r="997">
      <c r="A997" s="2"/>
      <c r="B997" s="8" t="str">
        <f>IFERROR(__xludf.DUMMYFUNCTION("""COMPUTED_VALUE"""),"HUSNAINI")</f>
        <v>HUSNAINI</v>
      </c>
      <c r="C997" s="8" t="str">
        <f>IFERROR(__xludf.DUMMYFUNCTION("""COMPUTED_VALUE"""),"H6324013094")</f>
        <v>H6324013094</v>
      </c>
      <c r="D997" s="8">
        <f>IFERROR(__xludf.DUMMYFUNCTION("""COMPUTED_VALUE"""),62.0)</f>
        <v>62</v>
      </c>
      <c r="E997" s="2"/>
    </row>
    <row r="998">
      <c r="A998" s="2"/>
      <c r="B998" s="8" t="str">
        <f>IFERROR(__xludf.DUMMYFUNCTION("""COMPUTED_VALUE"""),"ROSALINA")</f>
        <v>ROSALINA</v>
      </c>
      <c r="C998" s="8" t="str">
        <f>IFERROR(__xludf.DUMMYFUNCTION("""COMPUTED_VALUE"""),"R6124013789")</f>
        <v>R6124013789</v>
      </c>
      <c r="D998" s="8">
        <f>IFERROR(__xludf.DUMMYFUNCTION("""COMPUTED_VALUE"""),65.0)</f>
        <v>65</v>
      </c>
      <c r="E998" s="2"/>
    </row>
    <row r="999">
      <c r="A999" s="2"/>
      <c r="B999" s="8" t="str">
        <f>IFERROR(__xludf.DUMMYFUNCTION("""COMPUTED_VALUE"""),"MERY SILVIA")</f>
        <v>MERY SILVIA</v>
      </c>
      <c r="C999" s="8" t="str">
        <f>IFERROR(__xludf.DUMMYFUNCTION("""COMPUTED_VALUE"""),"M9224015787")</f>
        <v>M9224015787</v>
      </c>
      <c r="D999" s="8">
        <f>IFERROR(__xludf.DUMMYFUNCTION("""COMPUTED_VALUE"""),34.0)</f>
        <v>34</v>
      </c>
      <c r="E999" s="2"/>
    </row>
    <row r="1000">
      <c r="A1000" s="2"/>
      <c r="B1000" s="8" t="str">
        <f>IFERROR(__xludf.DUMMYFUNCTION("""COMPUTED_VALUE"""),"EKO SUDARTO")</f>
        <v>EKO SUDARTO</v>
      </c>
      <c r="C1000" s="8" t="str">
        <f>IFERROR(__xludf.DUMMYFUNCTION("""COMPUTED_VALUE"""),"E7424018000")</f>
        <v>E7424018000</v>
      </c>
      <c r="D1000" s="8">
        <f>IFERROR(__xludf.DUMMYFUNCTION("""COMPUTED_VALUE"""),52.0)</f>
        <v>52</v>
      </c>
      <c r="E1000" s="2"/>
    </row>
    <row r="1001">
      <c r="A1001" s="2"/>
      <c r="B1001" s="8" t="str">
        <f>IFERROR(__xludf.DUMMYFUNCTION("""COMPUTED_VALUE"""),"ROSANNA ANGGRAINI")</f>
        <v>ROSANNA ANGGRAINI</v>
      </c>
      <c r="C1001" s="8" t="str">
        <f>IFERROR(__xludf.DUMMYFUNCTION("""COMPUTED_VALUE"""),"R8624019909")</f>
        <v>R8624019909</v>
      </c>
      <c r="D1001" s="8">
        <f>IFERROR(__xludf.DUMMYFUNCTION("""COMPUTED_VALUE"""),40.0)</f>
        <v>40</v>
      </c>
      <c r="E1001" s="2"/>
    </row>
    <row r="1002">
      <c r="A1002" s="2"/>
      <c r="B1002" s="8" t="str">
        <f>IFERROR(__xludf.DUMMYFUNCTION("""COMPUTED_VALUE"""),"NICHOLAS BILI SAPUTRA")</f>
        <v>NICHOLAS BILI SAPUTRA</v>
      </c>
      <c r="C1002" s="8" t="str">
        <f>IFERROR(__xludf.DUMMYFUNCTION("""COMPUTED_VALUE"""),"N0024011081")</f>
        <v>N0024011081</v>
      </c>
      <c r="D1002" s="8">
        <f>IFERROR(__xludf.DUMMYFUNCTION("""COMPUTED_VALUE"""),26.0)</f>
        <v>26</v>
      </c>
      <c r="E1002" s="2"/>
    </row>
    <row r="1003">
      <c r="A1003" s="2"/>
      <c r="B1003" s="8" t="str">
        <f>IFERROR(__xludf.DUMMYFUNCTION("""COMPUTED_VALUE"""),"ANDRIANTI")</f>
        <v>ANDRIANTI</v>
      </c>
      <c r="C1003" s="8" t="str">
        <f>IFERROR(__xludf.DUMMYFUNCTION("""COMPUTED_VALUE"""),"A5924015630")</f>
        <v>A5924015630</v>
      </c>
      <c r="D1003" s="8">
        <f>IFERROR(__xludf.DUMMYFUNCTION("""COMPUTED_VALUE"""),67.0)</f>
        <v>67</v>
      </c>
      <c r="E1003" s="2"/>
    </row>
    <row r="1004">
      <c r="A1004" s="2"/>
      <c r="B1004" s="8" t="str">
        <f>IFERROR(__xludf.DUMMYFUNCTION("""COMPUTED_VALUE"""),"IKA MEIRIA DIAN SARASWATI")</f>
        <v>IKA MEIRIA DIAN SARASWATI</v>
      </c>
      <c r="C1004" s="8" t="str">
        <f>IFERROR(__xludf.DUMMYFUNCTION("""COMPUTED_VALUE"""),"I9024012210")</f>
        <v>I9024012210</v>
      </c>
      <c r="D1004" s="8">
        <f>IFERROR(__xludf.DUMMYFUNCTION("""COMPUTED_VALUE"""),36.0)</f>
        <v>36</v>
      </c>
      <c r="E1004" s="2"/>
    </row>
    <row r="1005">
      <c r="A1005" s="2"/>
      <c r="B1005" s="8" t="str">
        <f>IFERROR(__xludf.DUMMYFUNCTION("""COMPUTED_VALUE"""),"CANDRA HENDI")</f>
        <v>CANDRA HENDI</v>
      </c>
      <c r="C1005" s="8" t="str">
        <f>IFERROR(__xludf.DUMMYFUNCTION("""COMPUTED_VALUE"""),"C9324018879")</f>
        <v>C9324018879</v>
      </c>
      <c r="D1005" s="8">
        <f>IFERROR(__xludf.DUMMYFUNCTION("""COMPUTED_VALUE"""),32.0)</f>
        <v>32</v>
      </c>
      <c r="E1005" s="2"/>
    </row>
    <row r="1006">
      <c r="A1006" s="2"/>
      <c r="B1006" s="8" t="str">
        <f>IFERROR(__xludf.DUMMYFUNCTION("""COMPUTED_VALUE"""),"NELLY OCTAVIANI")</f>
        <v>NELLY OCTAVIANI</v>
      </c>
      <c r="C1006" s="8" t="str">
        <f>IFERROR(__xludf.DUMMYFUNCTION("""COMPUTED_VALUE"""),"N9224011710")</f>
        <v>N9224011710</v>
      </c>
      <c r="D1006" s="8">
        <f>IFERROR(__xludf.DUMMYFUNCTION("""COMPUTED_VALUE"""),33.0)</f>
        <v>33</v>
      </c>
      <c r="E1006" s="2"/>
    </row>
    <row r="1007">
      <c r="A1007" s="2"/>
      <c r="B1007" s="8" t="str">
        <f>IFERROR(__xludf.DUMMYFUNCTION("""COMPUTED_VALUE"""),"DESWANTO")</f>
        <v>DESWANTO</v>
      </c>
      <c r="C1007" s="8" t="str">
        <f>IFERROR(__xludf.DUMMYFUNCTION("""COMPUTED_VALUE"""),"D9024014866")</f>
        <v>D9024014866</v>
      </c>
      <c r="D1007" s="8">
        <f>IFERROR(__xludf.DUMMYFUNCTION("""COMPUTED_VALUE"""),35.0)</f>
        <v>35</v>
      </c>
      <c r="E1007" s="2"/>
    </row>
    <row r="1008">
      <c r="A1008" s="2"/>
      <c r="B1008" s="8" t="str">
        <f>IFERROR(__xludf.DUMMYFUNCTION("""COMPUTED_VALUE"""),"HENG KOK KWANG")</f>
        <v>HENG KOK KWANG</v>
      </c>
      <c r="C1008" s="8" t="str">
        <f>IFERROR(__xludf.DUMMYFUNCTION("""COMPUTED_VALUE"""),"H5724012044")</f>
        <v>H5724012044</v>
      </c>
      <c r="D1008" s="8">
        <f>IFERROR(__xludf.DUMMYFUNCTION("""COMPUTED_VALUE"""),69.0)</f>
        <v>69</v>
      </c>
      <c r="E1008" s="2"/>
    </row>
    <row r="1009">
      <c r="A1009" s="2"/>
      <c r="B1009" s="8" t="str">
        <f>IFERROR(__xludf.DUMMYFUNCTION("""COMPUTED_VALUE"""),"ERWIN HARTONO")</f>
        <v>ERWIN HARTONO</v>
      </c>
      <c r="C1009" s="8" t="str">
        <f>IFERROR(__xludf.DUMMYFUNCTION("""COMPUTED_VALUE"""),"E9024018357")</f>
        <v>E9024018357</v>
      </c>
      <c r="D1009" s="8">
        <f>IFERROR(__xludf.DUMMYFUNCTION("""COMPUTED_VALUE"""),36.0)</f>
        <v>36</v>
      </c>
      <c r="E1009" s="2"/>
    </row>
    <row r="1010">
      <c r="A1010" s="2"/>
      <c r="B1010" s="8" t="str">
        <f>IFERROR(__xludf.DUMMYFUNCTION("""COMPUTED_VALUE"""),"ADITYA PUTRA ADISHA")</f>
        <v>ADITYA PUTRA ADISHA</v>
      </c>
      <c r="C1010" s="8" t="str">
        <f>IFERROR(__xludf.DUMMYFUNCTION("""COMPUTED_VALUE"""),"A0324018077")</f>
        <v>A0324018077</v>
      </c>
      <c r="D1010" s="8">
        <f>IFERROR(__xludf.DUMMYFUNCTION("""COMPUTED_VALUE"""),23.0)</f>
        <v>23</v>
      </c>
      <c r="E1010" s="2"/>
    </row>
    <row r="1011">
      <c r="A1011" s="2"/>
      <c r="B1011" s="8" t="str">
        <f>IFERROR(__xludf.DUMMYFUNCTION("""COMPUTED_VALUE"""),"MUHAMMAD IQFI DZULFIJAR")</f>
        <v>MUHAMMAD IQFI DZULFIJAR</v>
      </c>
      <c r="C1011" s="8" t="str">
        <f>IFERROR(__xludf.DUMMYFUNCTION("""COMPUTED_VALUE"""),"M0024014578")</f>
        <v>M0024014578</v>
      </c>
      <c r="D1011" s="8">
        <f>IFERROR(__xludf.DUMMYFUNCTION("""COMPUTED_VALUE"""),26.0)</f>
        <v>26</v>
      </c>
      <c r="E1011" s="2"/>
    </row>
    <row r="1012">
      <c r="A1012" s="2"/>
      <c r="B1012" s="8" t="str">
        <f>IFERROR(__xludf.DUMMYFUNCTION("""COMPUTED_VALUE"""),"AZIZAH")</f>
        <v>AZIZAH</v>
      </c>
      <c r="C1012" s="8" t="str">
        <f>IFERROR(__xludf.DUMMYFUNCTION("""COMPUTED_VALUE"""),"A8124016000")</f>
        <v>A8124016000</v>
      </c>
      <c r="D1012" s="8">
        <f>IFERROR(__xludf.DUMMYFUNCTION("""COMPUTED_VALUE"""),44.0)</f>
        <v>44</v>
      </c>
      <c r="E1012" s="2"/>
    </row>
    <row r="1013">
      <c r="A1013" s="2"/>
      <c r="B1013" s="8" t="str">
        <f>IFERROR(__xludf.DUMMYFUNCTION("""COMPUTED_VALUE"""),"ALTA ALDIANUS")</f>
        <v>ALTA ALDIANUS</v>
      </c>
      <c r="C1013" s="8" t="str">
        <f>IFERROR(__xludf.DUMMYFUNCTION("""COMPUTED_VALUE"""),"A0224019231")</f>
        <v>A0224019231</v>
      </c>
      <c r="D1013" s="8">
        <f>IFERROR(__xludf.DUMMYFUNCTION("""COMPUTED_VALUE"""),24.0)</f>
        <v>24</v>
      </c>
      <c r="E1013" s="2"/>
    </row>
    <row r="1014">
      <c r="A1014" s="2"/>
      <c r="B1014" s="8" t="str">
        <f>IFERROR(__xludf.DUMMYFUNCTION("""COMPUTED_VALUE"""),"MARIA MAISA ANJELA")</f>
        <v>MARIA MAISA ANJELA</v>
      </c>
      <c r="C1014" s="8" t="str">
        <f>IFERROR(__xludf.DUMMYFUNCTION("""COMPUTED_VALUE"""),"M0324015120")</f>
        <v>M0324015120</v>
      </c>
      <c r="D1014" s="8">
        <f>IFERROR(__xludf.DUMMYFUNCTION("""COMPUTED_VALUE"""),23.0)</f>
        <v>23</v>
      </c>
      <c r="E1014" s="2"/>
    </row>
    <row r="1015">
      <c r="A1015" s="2"/>
      <c r="B1015" s="8" t="str">
        <f>IFERROR(__xludf.DUMMYFUNCTION("""COMPUTED_VALUE"""),"ELFARDA AHLAN SY'AR ADHABY")</f>
        <v>ELFARDA AHLAN SY'AR ADHABY</v>
      </c>
      <c r="C1015" s="8" t="str">
        <f>IFERROR(__xludf.DUMMYFUNCTION("""COMPUTED_VALUE"""),"E0324013662")</f>
        <v>E0324013662</v>
      </c>
      <c r="D1015" s="8">
        <f>IFERROR(__xludf.DUMMYFUNCTION("""COMPUTED_VALUE"""),23.0)</f>
        <v>23</v>
      </c>
      <c r="E1015" s="2"/>
    </row>
    <row r="1016">
      <c r="A1016" s="2"/>
      <c r="B1016" s="8" t="str">
        <f>IFERROR(__xludf.DUMMYFUNCTION("""COMPUTED_VALUE"""),"ZARMAN")</f>
        <v>ZARMAN</v>
      </c>
      <c r="C1016" s="8" t="str">
        <f>IFERROR(__xludf.DUMMYFUNCTION("""COMPUTED_VALUE"""),"Z7024010115")</f>
        <v>Z7024010115</v>
      </c>
      <c r="D1016" s="8">
        <f>IFERROR(__xludf.DUMMYFUNCTION("""COMPUTED_VALUE"""),56.0)</f>
        <v>56</v>
      </c>
      <c r="E1016" s="2"/>
    </row>
    <row r="1017">
      <c r="A1017" s="2"/>
      <c r="B1017" s="8" t="str">
        <f>IFERROR(__xludf.DUMMYFUNCTION("""COMPUTED_VALUE"""),"NASRANI BARU")</f>
        <v>NASRANI BARU</v>
      </c>
      <c r="C1017" s="8" t="str">
        <f>IFERROR(__xludf.DUMMYFUNCTION("""COMPUTED_VALUE"""),"N8724012132")</f>
        <v>N8724012132</v>
      </c>
      <c r="D1017" s="8">
        <f>IFERROR(__xludf.DUMMYFUNCTION("""COMPUTED_VALUE"""),38.0)</f>
        <v>38</v>
      </c>
      <c r="E1017" s="2"/>
    </row>
    <row r="1018">
      <c r="A1018" s="2"/>
      <c r="B1018" s="8" t="str">
        <f>IFERROR(__xludf.DUMMYFUNCTION("""COMPUTED_VALUE"""),"INDRA GUNAWAN")</f>
        <v>INDRA GUNAWAN</v>
      </c>
      <c r="C1018" s="8" t="str">
        <f>IFERROR(__xludf.DUMMYFUNCTION("""COMPUTED_VALUE"""),"I9324012385")</f>
        <v>I9324012385</v>
      </c>
      <c r="D1018" s="8">
        <f>IFERROR(__xludf.DUMMYFUNCTION("""COMPUTED_VALUE"""),32.0)</f>
        <v>32</v>
      </c>
      <c r="E1018" s="2"/>
    </row>
    <row r="1019">
      <c r="A1019" s="2"/>
      <c r="B1019" s="8" t="str">
        <f>IFERROR(__xludf.DUMMYFUNCTION("""COMPUTED_VALUE"""),"MOI LIN")</f>
        <v>MOI LIN</v>
      </c>
      <c r="C1019" s="8" t="str">
        <f>IFERROR(__xludf.DUMMYFUNCTION("""COMPUTED_VALUE"""),"M5024013966")</f>
        <v>M5024013966</v>
      </c>
      <c r="D1019" s="8">
        <f>IFERROR(__xludf.DUMMYFUNCTION("""COMPUTED_VALUE"""),75.0)</f>
        <v>75</v>
      </c>
      <c r="E1019" s="2"/>
    </row>
    <row r="1020">
      <c r="A1020" s="2"/>
      <c r="B1020" s="8" t="str">
        <f>IFERROR(__xludf.DUMMYFUNCTION("""COMPUTED_VALUE"""),"HENDRIK RAJALI")</f>
        <v>HENDRIK RAJALI</v>
      </c>
      <c r="C1020" s="8" t="str">
        <f>IFERROR(__xludf.DUMMYFUNCTION("""COMPUTED_VALUE"""),"H8124010055")</f>
        <v>H8124010055</v>
      </c>
      <c r="D1020" s="8">
        <f>IFERROR(__xludf.DUMMYFUNCTION("""COMPUTED_VALUE"""),45.0)</f>
        <v>45</v>
      </c>
      <c r="E1020" s="2"/>
    </row>
    <row r="1021">
      <c r="A1021" s="2"/>
      <c r="B1021" s="8" t="str">
        <f>IFERROR(__xludf.DUMMYFUNCTION("""COMPUTED_VALUE"""),"TOGU MANULLANG")</f>
        <v>TOGU MANULLANG</v>
      </c>
      <c r="C1021" s="8" t="str">
        <f>IFERROR(__xludf.DUMMYFUNCTION("""COMPUTED_VALUE"""),"T6524016811")</f>
        <v>T6524016811</v>
      </c>
      <c r="D1021" s="8">
        <f>IFERROR(__xludf.DUMMYFUNCTION("""COMPUTED_VALUE"""),60.0)</f>
        <v>60</v>
      </c>
      <c r="E1021" s="2"/>
    </row>
    <row r="1022">
      <c r="A1022" s="2"/>
      <c r="B1022" s="8" t="str">
        <f>IFERROR(__xludf.DUMMYFUNCTION("""COMPUTED_VALUE"""),"SRI LUTFIANDA SARI")</f>
        <v>SRI LUTFIANDA SARI</v>
      </c>
      <c r="C1022" s="8" t="str">
        <f>IFERROR(__xludf.DUMMYFUNCTION("""COMPUTED_VALUE"""),"S0324014076")</f>
        <v>S0324014076</v>
      </c>
      <c r="D1022" s="8">
        <f>IFERROR(__xludf.DUMMYFUNCTION("""COMPUTED_VALUE"""),22.0)</f>
        <v>22</v>
      </c>
      <c r="E1022" s="2"/>
    </row>
    <row r="1023">
      <c r="A1023" s="2"/>
      <c r="B1023" s="8" t="str">
        <f>IFERROR(__xludf.DUMMYFUNCTION("""COMPUTED_VALUE"""),"NG SIAUW NGO")</f>
        <v>NG SIAUW NGO</v>
      </c>
      <c r="C1023" s="8" t="str">
        <f>IFERROR(__xludf.DUMMYFUNCTION("""COMPUTED_VALUE"""),"N5624018879")</f>
        <v>N5624018879</v>
      </c>
      <c r="D1023" s="8">
        <f>IFERROR(__xludf.DUMMYFUNCTION("""COMPUTED_VALUE"""),70.0)</f>
        <v>70</v>
      </c>
      <c r="E1023" s="2"/>
    </row>
    <row r="1024">
      <c r="A1024" s="2"/>
      <c r="B1024" s="8" t="str">
        <f>IFERROR(__xludf.DUMMYFUNCTION("""COMPUTED_VALUE"""),"DAMHUDI")</f>
        <v>DAMHUDI</v>
      </c>
      <c r="C1024" s="8" t="str">
        <f>IFERROR(__xludf.DUMMYFUNCTION("""COMPUTED_VALUE"""),"D7624010890")</f>
        <v>D7624010890</v>
      </c>
      <c r="D1024" s="8">
        <f>IFERROR(__xludf.DUMMYFUNCTION("""COMPUTED_VALUE"""),50.0)</f>
        <v>50</v>
      </c>
      <c r="E1024" s="2"/>
    </row>
    <row r="1025">
      <c r="A1025" s="2"/>
      <c r="B1025" s="8" t="str">
        <f>IFERROR(__xludf.DUMMYFUNCTION("""COMPUTED_VALUE"""),"MAULIDINI ULMULHAIR")</f>
        <v>MAULIDINI ULMULHAIR</v>
      </c>
      <c r="C1025" s="8" t="str">
        <f>IFERROR(__xludf.DUMMYFUNCTION("""COMPUTED_VALUE"""),"M9024010700")</f>
        <v>M9024010700</v>
      </c>
      <c r="D1025" s="8">
        <f>IFERROR(__xludf.DUMMYFUNCTION("""COMPUTED_VALUE"""),35.0)</f>
        <v>35</v>
      </c>
      <c r="E1025" s="2"/>
    </row>
    <row r="1026">
      <c r="A1026" s="2"/>
      <c r="B1026" s="8" t="str">
        <f>IFERROR(__xludf.DUMMYFUNCTION("""COMPUTED_VALUE"""),"SAMEER ZAYED ELWAFA")</f>
        <v>SAMEER ZAYED ELWAFA</v>
      </c>
      <c r="C1026" s="8" t="str">
        <f>IFERROR(__xludf.DUMMYFUNCTION("""COMPUTED_VALUE"""),"S1224016919")</f>
        <v>S1224016919</v>
      </c>
      <c r="D1026" s="8">
        <f>IFERROR(__xludf.DUMMYFUNCTION("""COMPUTED_VALUE"""),14.0)</f>
        <v>14</v>
      </c>
      <c r="E1026" s="2"/>
    </row>
    <row r="1027">
      <c r="A1027" s="2"/>
      <c r="B1027" s="8" t="str">
        <f>IFERROR(__xludf.DUMMYFUNCTION("""COMPUTED_VALUE"""),"ALEXANDER")</f>
        <v>ALEXANDER</v>
      </c>
      <c r="C1027" s="8" t="str">
        <f>IFERROR(__xludf.DUMMYFUNCTION("""COMPUTED_VALUE"""),"A8824016270")</f>
        <v>A8824016270</v>
      </c>
      <c r="D1027" s="8">
        <f>IFERROR(__xludf.DUMMYFUNCTION("""COMPUTED_VALUE"""),38.0)</f>
        <v>38</v>
      </c>
      <c r="E1027" s="2"/>
    </row>
    <row r="1028">
      <c r="A1028" s="2"/>
      <c r="B1028" s="8" t="str">
        <f>IFERROR(__xludf.DUMMYFUNCTION("""COMPUTED_VALUE"""),"MURNIAH")</f>
        <v>MURNIAH</v>
      </c>
      <c r="C1028" s="8" t="str">
        <f>IFERROR(__xludf.DUMMYFUNCTION("""COMPUTED_VALUE"""),"M7424015453")</f>
        <v>M7424015453</v>
      </c>
      <c r="D1028" s="8">
        <f>IFERROR(__xludf.DUMMYFUNCTION("""COMPUTED_VALUE"""),51.0)</f>
        <v>51</v>
      </c>
      <c r="E1028" s="2"/>
    </row>
    <row r="1029">
      <c r="A1029" s="2"/>
      <c r="B1029" s="8" t="str">
        <f>IFERROR(__xludf.DUMMYFUNCTION("""COMPUTED_VALUE"""),"MARHIBA")</f>
        <v>MARHIBA</v>
      </c>
      <c r="C1029" s="8" t="str">
        <f>IFERROR(__xludf.DUMMYFUNCTION("""COMPUTED_VALUE"""),"M7324013456")</f>
        <v>M7324013456</v>
      </c>
      <c r="D1029" s="8">
        <f>IFERROR(__xludf.DUMMYFUNCTION("""COMPUTED_VALUE"""),52.0)</f>
        <v>52</v>
      </c>
      <c r="E1029" s="2"/>
    </row>
    <row r="1030">
      <c r="A1030" s="2"/>
      <c r="B1030" s="8" t="str">
        <f>IFERROR(__xludf.DUMMYFUNCTION("""COMPUTED_VALUE"""),"RAFI’AH 5308")</f>
        <v>RAFI’AH 5308</v>
      </c>
      <c r="C1030" s="8" t="str">
        <f>IFERROR(__xludf.DUMMYFUNCTION("""COMPUTED_VALUE"""),"R5324010987")</f>
        <v>R5324010987</v>
      </c>
      <c r="D1030" s="8">
        <f>IFERROR(__xludf.DUMMYFUNCTION("""COMPUTED_VALUE"""),72.0)</f>
        <v>72</v>
      </c>
      <c r="E1030" s="2"/>
    </row>
    <row r="1031">
      <c r="A1031" s="2"/>
      <c r="B1031" s="8" t="str">
        <f>IFERROR(__xludf.DUMMYFUNCTION("""COMPUTED_VALUE"""),"ULNI ZULFIKAR")</f>
        <v>ULNI ZULFIKAR</v>
      </c>
      <c r="C1031" s="8" t="str">
        <f>IFERROR(__xludf.DUMMYFUNCTION("""COMPUTED_VALUE"""),"U9324010139")</f>
        <v>U9324010139</v>
      </c>
      <c r="D1031" s="8">
        <f>IFERROR(__xludf.DUMMYFUNCTION("""COMPUTED_VALUE"""),32.0)</f>
        <v>32</v>
      </c>
      <c r="E1031" s="2"/>
    </row>
    <row r="1032">
      <c r="A1032" s="2"/>
      <c r="B1032" s="8" t="str">
        <f>IFERROR(__xludf.DUMMYFUNCTION("""COMPUTED_VALUE"""),"MUTIA BETANIA")</f>
        <v>MUTIA BETANIA</v>
      </c>
      <c r="C1032" s="8" t="str">
        <f>IFERROR(__xludf.DUMMYFUNCTION("""COMPUTED_VALUE"""),"M8124018889")</f>
        <v>M8124018889</v>
      </c>
      <c r="D1032" s="8">
        <f>IFERROR(__xludf.DUMMYFUNCTION("""COMPUTED_VALUE"""),44.0)</f>
        <v>44</v>
      </c>
      <c r="E1032" s="2"/>
    </row>
    <row r="1033">
      <c r="A1033" s="2"/>
      <c r="B1033" s="8" t="str">
        <f>IFERROR(__xludf.DUMMYFUNCTION("""COMPUTED_VALUE"""),"ENDY PERMANA")</f>
        <v>ENDY PERMANA</v>
      </c>
      <c r="C1033" s="8" t="str">
        <f>IFERROR(__xludf.DUMMYFUNCTION("""COMPUTED_VALUE"""),"E8224012536")</f>
        <v>E8224012536</v>
      </c>
      <c r="D1033" s="8">
        <f>IFERROR(__xludf.DUMMYFUNCTION("""COMPUTED_VALUE"""),44.0)</f>
        <v>44</v>
      </c>
      <c r="E1033" s="2"/>
    </row>
    <row r="1034">
      <c r="A1034" s="2"/>
      <c r="B1034" s="8" t="str">
        <f>IFERROR(__xludf.DUMMYFUNCTION("""COMPUTED_VALUE"""),"ADI SIDARTA")</f>
        <v>ADI SIDARTA</v>
      </c>
      <c r="C1034" s="8" t="str">
        <f>IFERROR(__xludf.DUMMYFUNCTION("""COMPUTED_VALUE"""),"A7824014678")</f>
        <v>A7824014678</v>
      </c>
      <c r="D1034" s="8">
        <f>IFERROR(__xludf.DUMMYFUNCTION("""COMPUTED_VALUE"""),47.0)</f>
        <v>47</v>
      </c>
      <c r="E1034" s="2"/>
    </row>
    <row r="1035">
      <c r="A1035" s="2"/>
      <c r="B1035" s="8" t="str">
        <f>IFERROR(__xludf.DUMMYFUNCTION("""COMPUTED_VALUE"""),"M. RIYAN ZIKRI")</f>
        <v>M. RIYAN ZIKRI</v>
      </c>
      <c r="C1035" s="8" t="str">
        <f>IFERROR(__xludf.DUMMYFUNCTION("""COMPUTED_VALUE"""),"M9224018718")</f>
        <v>M9224018718</v>
      </c>
      <c r="D1035" s="8">
        <f>IFERROR(__xludf.DUMMYFUNCTION("""COMPUTED_VALUE"""),33.0)</f>
        <v>33</v>
      </c>
      <c r="E1035" s="2"/>
    </row>
    <row r="1036">
      <c r="A1036" s="2"/>
      <c r="B1036" s="8" t="str">
        <f>IFERROR(__xludf.DUMMYFUNCTION("""COMPUTED_VALUE"""),"JANSEN KURNIAWAN")</f>
        <v>JANSEN KURNIAWAN</v>
      </c>
      <c r="C1036" s="8" t="str">
        <f>IFERROR(__xludf.DUMMYFUNCTION("""COMPUTED_VALUE"""),"J9324010808")</f>
        <v>J9324010808</v>
      </c>
      <c r="D1036" s="8">
        <f>IFERROR(__xludf.DUMMYFUNCTION("""COMPUTED_VALUE"""),33.0)</f>
        <v>33</v>
      </c>
      <c r="E1036" s="2"/>
    </row>
    <row r="1037">
      <c r="A1037" s="2"/>
      <c r="B1037" s="8" t="str">
        <f>IFERROR(__xludf.DUMMYFUNCTION("""COMPUTED_VALUE"""),"YUNI PUSPITA SARI")</f>
        <v>YUNI PUSPITA SARI</v>
      </c>
      <c r="C1037" s="8" t="str">
        <f>IFERROR(__xludf.DUMMYFUNCTION("""COMPUTED_VALUE"""),"Y8824015179")</f>
        <v>Y8824015179</v>
      </c>
      <c r="D1037" s="8">
        <f>IFERROR(__xludf.DUMMYFUNCTION("""COMPUTED_VALUE"""),38.0)</f>
        <v>38</v>
      </c>
      <c r="E1037" s="2"/>
    </row>
    <row r="1038">
      <c r="A1038" s="2"/>
      <c r="B1038" s="8" t="str">
        <f>IFERROR(__xludf.DUMMYFUNCTION("""COMPUTED_VALUE"""),"MAKAYLA INDRA KRISNA")</f>
        <v>MAKAYLA INDRA KRISNA</v>
      </c>
      <c r="C1038" s="8" t="str">
        <f>IFERROR(__xludf.DUMMYFUNCTION("""COMPUTED_VALUE"""),"M1224015934")</f>
        <v>M1224015934</v>
      </c>
      <c r="D1038" s="8">
        <f>IFERROR(__xludf.DUMMYFUNCTION("""COMPUTED_VALUE"""),14.0)</f>
        <v>14</v>
      </c>
      <c r="E1038" s="2"/>
    </row>
    <row r="1039">
      <c r="A1039" s="2"/>
      <c r="B1039" s="8" t="str">
        <f>IFERROR(__xludf.DUMMYFUNCTION("""COMPUTED_VALUE"""),"DEDE MARTIN KURNIAWAN")</f>
        <v>DEDE MARTIN KURNIAWAN</v>
      </c>
      <c r="C1039" s="8" t="str">
        <f>IFERROR(__xludf.DUMMYFUNCTION("""COMPUTED_VALUE"""),"D7924015040")</f>
        <v>D7924015040</v>
      </c>
      <c r="D1039" s="8">
        <f>IFERROR(__xludf.DUMMYFUNCTION("""COMPUTED_VALUE"""),47.0)</f>
        <v>47</v>
      </c>
      <c r="E1039" s="2"/>
    </row>
    <row r="1040">
      <c r="A1040" s="2"/>
      <c r="B1040" s="8" t="str">
        <f>IFERROR(__xludf.DUMMYFUNCTION("""COMPUTED_VALUE"""),"SUMARNO SAPUTRA")</f>
        <v>SUMARNO SAPUTRA</v>
      </c>
      <c r="C1040" s="8" t="str">
        <f>IFERROR(__xludf.DUMMYFUNCTION("""COMPUTED_VALUE"""),"S9724012637")</f>
        <v>S9724012637</v>
      </c>
      <c r="D1040" s="8">
        <f>IFERROR(__xludf.DUMMYFUNCTION("""COMPUTED_VALUE"""),29.0)</f>
        <v>29</v>
      </c>
      <c r="E1040" s="2"/>
    </row>
    <row r="1041">
      <c r="A1041" s="2"/>
      <c r="B1041" s="8" t="str">
        <f>IFERROR(__xludf.DUMMYFUNCTION("""COMPUTED_VALUE"""),"DINDA LESTARI")</f>
        <v>DINDA LESTARI</v>
      </c>
      <c r="C1041" s="8" t="str">
        <f>IFERROR(__xludf.DUMMYFUNCTION("""COMPUTED_VALUE"""),"D9724012638")</f>
        <v>D9724012638</v>
      </c>
      <c r="D1041" s="8">
        <f>IFERROR(__xludf.DUMMYFUNCTION("""COMPUTED_VALUE"""),29.0)</f>
        <v>29</v>
      </c>
      <c r="E1041" s="2"/>
    </row>
    <row r="1042">
      <c r="A1042" s="2"/>
      <c r="B1042" s="8" t="str">
        <f>IFERROR(__xludf.DUMMYFUNCTION("""COMPUTED_VALUE"""),"MATIAS DEDE ANDRIAWAN")</f>
        <v>MATIAS DEDE ANDRIAWAN</v>
      </c>
      <c r="C1042" s="8" t="str">
        <f>IFERROR(__xludf.DUMMYFUNCTION("""COMPUTED_VALUE"""),"M0524012015")</f>
        <v>M0524012015</v>
      </c>
      <c r="D1042" s="8">
        <f>IFERROR(__xludf.DUMMYFUNCTION("""COMPUTED_VALUE"""),21.0)</f>
        <v>21</v>
      </c>
      <c r="E1042" s="2"/>
    </row>
    <row r="1043">
      <c r="A1043" s="2"/>
      <c r="B1043" s="8" t="str">
        <f>IFERROR(__xludf.DUMMYFUNCTION("""COMPUTED_VALUE"""),"HABIBI QURRATA A""YUNI")</f>
        <v>HABIBI QURRATA A"YUNI</v>
      </c>
      <c r="C1043" s="8" t="str">
        <f>IFERROR(__xludf.DUMMYFUNCTION("""COMPUTED_VALUE"""),"H9424018987")</f>
        <v>H9424018987</v>
      </c>
      <c r="D1043" s="8">
        <f>IFERROR(__xludf.DUMMYFUNCTION("""COMPUTED_VALUE"""),32.0)</f>
        <v>32</v>
      </c>
      <c r="E1043" s="2"/>
    </row>
    <row r="1044">
      <c r="A1044" s="2"/>
      <c r="B1044" s="8" t="str">
        <f>IFERROR(__xludf.DUMMYFUNCTION("""COMPUTED_VALUE"""),"DESY RASTIKA SARI")</f>
        <v>DESY RASTIKA SARI</v>
      </c>
      <c r="C1044" s="8" t="str">
        <f>IFERROR(__xludf.DUMMYFUNCTION("""COMPUTED_VALUE"""),"D9224015876")</f>
        <v>D9224015876</v>
      </c>
      <c r="D1044" s="8">
        <f>IFERROR(__xludf.DUMMYFUNCTION("""COMPUTED_VALUE"""),33.0)</f>
        <v>33</v>
      </c>
      <c r="E1044" s="2"/>
    </row>
    <row r="1045">
      <c r="A1045" s="2"/>
      <c r="B1045" s="8" t="str">
        <f>IFERROR(__xludf.DUMMYFUNCTION("""COMPUTED_VALUE"""),"MUHAMMAD RAFFARIZA ARISANDHIE")</f>
        <v>MUHAMMAD RAFFARIZA ARISANDHIE</v>
      </c>
      <c r="C1045" s="8" t="str">
        <f>IFERROR(__xludf.DUMMYFUNCTION("""COMPUTED_VALUE"""),"M0624011325")</f>
        <v>M0624011325</v>
      </c>
      <c r="D1045" s="8">
        <f>IFERROR(__xludf.DUMMYFUNCTION("""COMPUTED_VALUE"""),20.0)</f>
        <v>20</v>
      </c>
      <c r="E1045" s="2"/>
    </row>
    <row r="1046">
      <c r="A1046" s="2"/>
      <c r="B1046" s="8" t="str">
        <f>IFERROR(__xludf.DUMMYFUNCTION("""COMPUTED_VALUE"""),"SAGITA MIRANDA")</f>
        <v>SAGITA MIRANDA</v>
      </c>
      <c r="C1046" s="8" t="str">
        <f>IFERROR(__xludf.DUMMYFUNCTION("""COMPUTED_VALUE"""),"S0724017707")</f>
        <v>S0724017707</v>
      </c>
      <c r="D1046" s="8">
        <f>IFERROR(__xludf.DUMMYFUNCTION("""COMPUTED_VALUE"""),19.0)</f>
        <v>19</v>
      </c>
      <c r="E1046" s="2"/>
    </row>
    <row r="1047">
      <c r="A1047" s="2"/>
      <c r="B1047" s="8" t="str">
        <f>IFERROR(__xludf.DUMMYFUNCTION("""COMPUTED_VALUE"""),"SILVY ANGELIA")</f>
        <v>SILVY ANGELIA</v>
      </c>
      <c r="C1047" s="8" t="str">
        <f>IFERROR(__xludf.DUMMYFUNCTION("""COMPUTED_VALUE"""),"S0324017373")</f>
        <v>S0324017373</v>
      </c>
      <c r="D1047" s="8">
        <f>IFERROR(__xludf.DUMMYFUNCTION("""COMPUTED_VALUE"""),22.0)</f>
        <v>22</v>
      </c>
      <c r="E1047" s="2"/>
    </row>
    <row r="1048">
      <c r="A1048" s="2"/>
      <c r="B1048" s="8" t="str">
        <f>IFERROR(__xludf.DUMMYFUNCTION("""COMPUTED_VALUE"""),"AYA FITRIA QOLBI")</f>
        <v>AYA FITRIA QOLBI</v>
      </c>
      <c r="C1048" s="8" t="str">
        <f>IFERROR(__xludf.DUMMYFUNCTION("""COMPUTED_VALUE"""),"A0124015658")</f>
        <v>A0124015658</v>
      </c>
      <c r="D1048" s="8">
        <f>IFERROR(__xludf.DUMMYFUNCTION("""COMPUTED_VALUE"""),25.0)</f>
        <v>25</v>
      </c>
      <c r="E1048" s="2"/>
    </row>
    <row r="1049">
      <c r="A1049" s="2"/>
      <c r="B1049" s="8" t="str">
        <f>IFERROR(__xludf.DUMMYFUNCTION("""COMPUTED_VALUE"""),"PRAYOGA PANGESTU")</f>
        <v>PRAYOGA PANGESTU</v>
      </c>
      <c r="C1049" s="8" t="str">
        <f>IFERROR(__xludf.DUMMYFUNCTION("""COMPUTED_VALUE"""),"P0624019484")</f>
        <v>P0624019484</v>
      </c>
      <c r="D1049" s="8">
        <f>IFERROR(__xludf.DUMMYFUNCTION("""COMPUTED_VALUE"""),20.0)</f>
        <v>20</v>
      </c>
      <c r="E1049" s="2"/>
    </row>
    <row r="1050">
      <c r="A1050" s="2"/>
      <c r="B1050" s="8" t="str">
        <f>IFERROR(__xludf.DUMMYFUNCTION("""COMPUTED_VALUE"""),"CRISTIANO PARGAS")</f>
        <v>CRISTIANO PARGAS</v>
      </c>
      <c r="C1050" s="8" t="str">
        <f>IFERROR(__xludf.DUMMYFUNCTION("""COMPUTED_VALUE"""),"C0624015060")</f>
        <v>C0624015060</v>
      </c>
      <c r="D1050" s="8">
        <f>IFERROR(__xludf.DUMMYFUNCTION("""COMPUTED_VALUE"""),20.0)</f>
        <v>20</v>
      </c>
      <c r="E1050" s="2"/>
    </row>
    <row r="1051">
      <c r="A1051" s="2"/>
      <c r="B1051" s="8" t="str">
        <f>IFERROR(__xludf.DUMMYFUNCTION("""COMPUTED_VALUE"""),"AYU DJULIANTI")</f>
        <v>AYU DJULIANTI</v>
      </c>
      <c r="C1051" s="8" t="str">
        <f>IFERROR(__xludf.DUMMYFUNCTION("""COMPUTED_VALUE"""),"A9524016101")</f>
        <v>A9524016101</v>
      </c>
      <c r="D1051" s="8">
        <f>IFERROR(__xludf.DUMMYFUNCTION("""COMPUTED_VALUE"""),31.0)</f>
        <v>31</v>
      </c>
      <c r="E1051" s="2"/>
    </row>
    <row r="1052">
      <c r="A1052" s="2"/>
      <c r="B1052" s="8" t="str">
        <f>IFERROR(__xludf.DUMMYFUNCTION("""COMPUTED_VALUE"""),"OZZY GUARDIOLA FITTIFALDY")</f>
        <v>OZZY GUARDIOLA FITTIFALDY</v>
      </c>
      <c r="C1052" s="8" t="str">
        <f>IFERROR(__xludf.DUMMYFUNCTION("""COMPUTED_VALUE"""),"O9424013019")</f>
        <v>O9424013019</v>
      </c>
      <c r="D1052" s="8">
        <f>IFERROR(__xludf.DUMMYFUNCTION("""COMPUTED_VALUE"""),31.0)</f>
        <v>31</v>
      </c>
      <c r="E1052" s="2"/>
    </row>
    <row r="1053">
      <c r="A1053" s="2"/>
      <c r="B1053" s="8" t="str">
        <f>IFERROR(__xludf.DUMMYFUNCTION("""COMPUTED_VALUE"""),"RONALD FIRDAUS PANDAWA")</f>
        <v>RONALD FIRDAUS PANDAWA</v>
      </c>
      <c r="C1053" s="8" t="str">
        <f>IFERROR(__xludf.DUMMYFUNCTION("""COMPUTED_VALUE"""),"R0024012819")</f>
        <v>R0024012819</v>
      </c>
      <c r="D1053" s="8">
        <f>IFERROR(__xludf.DUMMYFUNCTION("""COMPUTED_VALUE"""),26.0)</f>
        <v>26</v>
      </c>
      <c r="E1053" s="2"/>
    </row>
    <row r="1054">
      <c r="A1054" s="2"/>
      <c r="B1054" s="8" t="str">
        <f>IFERROR(__xludf.DUMMYFUNCTION("""COMPUTED_VALUE"""),"WALIDAWATI")</f>
        <v>WALIDAWATI</v>
      </c>
      <c r="C1054" s="8" t="str">
        <f>IFERROR(__xludf.DUMMYFUNCTION("""COMPUTED_VALUE"""),"W7324016038")</f>
        <v>W7324016038</v>
      </c>
      <c r="D1054" s="8">
        <f>IFERROR(__xludf.DUMMYFUNCTION("""COMPUTED_VALUE"""),52.0)</f>
        <v>52</v>
      </c>
      <c r="E1054" s="2"/>
    </row>
    <row r="1055">
      <c r="A1055" s="2"/>
      <c r="B1055" s="8" t="str">
        <f>IFERROR(__xludf.DUMMYFUNCTION("""COMPUTED_VALUE"""),"IRIS FIRMAN")</f>
        <v>IRIS FIRMAN</v>
      </c>
      <c r="C1055" s="8" t="str">
        <f>IFERROR(__xludf.DUMMYFUNCTION("""COMPUTED_VALUE"""),"I8924014474")</f>
        <v>I8924014474</v>
      </c>
      <c r="D1055" s="8">
        <f>IFERROR(__xludf.DUMMYFUNCTION("""COMPUTED_VALUE"""),36.0)</f>
        <v>36</v>
      </c>
      <c r="E1055" s="2"/>
    </row>
    <row r="1056">
      <c r="A1056" s="2"/>
      <c r="B1056" s="8" t="str">
        <f>IFERROR(__xludf.DUMMYFUNCTION("""COMPUTED_VALUE"""),"CINDY PRASTIKA")</f>
        <v>CINDY PRASTIKA</v>
      </c>
      <c r="C1056" s="8" t="str">
        <f>IFERROR(__xludf.DUMMYFUNCTION("""COMPUTED_VALUE"""),"C9424013317")</f>
        <v>C9424013317</v>
      </c>
      <c r="D1056" s="8">
        <f>IFERROR(__xludf.DUMMYFUNCTION("""COMPUTED_VALUE"""),31.0)</f>
        <v>31</v>
      </c>
      <c r="E1056" s="2"/>
    </row>
    <row r="1057">
      <c r="A1057" s="2"/>
      <c r="B1057" s="8" t="str">
        <f>IFERROR(__xludf.DUMMYFUNCTION("""COMPUTED_VALUE"""),"JONATHAN GANDHI CHANDRA")</f>
        <v>JONATHAN GANDHI CHANDRA</v>
      </c>
      <c r="C1057" s="8" t="str">
        <f>IFERROR(__xludf.DUMMYFUNCTION("""COMPUTED_VALUE"""),"J9924018284")</f>
        <v>J9924018284</v>
      </c>
      <c r="D1057" s="8">
        <f>IFERROR(__xludf.DUMMYFUNCTION("""COMPUTED_VALUE"""),27.0)</f>
        <v>27</v>
      </c>
      <c r="E1057" s="2"/>
    </row>
    <row r="1058">
      <c r="A1058" s="2"/>
      <c r="B1058" s="8" t="str">
        <f>IFERROR(__xludf.DUMMYFUNCTION("""COMPUTED_VALUE"""),"HOLY KRESTEAST PAGANE LOWA")</f>
        <v>HOLY KRESTEAST PAGANE LOWA</v>
      </c>
      <c r="C1058" s="8" t="str">
        <f>IFERROR(__xludf.DUMMYFUNCTION("""COMPUTED_VALUE"""),"H0624011791")</f>
        <v>H0624011791</v>
      </c>
      <c r="D1058" s="8">
        <f>IFERROR(__xludf.DUMMYFUNCTION("""COMPUTED_VALUE"""),19.0)</f>
        <v>19</v>
      </c>
      <c r="E1058" s="2"/>
    </row>
    <row r="1059">
      <c r="A1059" s="2"/>
      <c r="B1059" s="8" t="str">
        <f>IFERROR(__xludf.DUMMYFUNCTION("""COMPUTED_VALUE"""),"JIBRIEL TAQY ERFITTOV")</f>
        <v>JIBRIEL TAQY ERFITTOV</v>
      </c>
      <c r="C1059" s="8" t="str">
        <f>IFERROR(__xludf.DUMMYFUNCTION("""COMPUTED_VALUE"""),"J0324012685")</f>
        <v>J0324012685</v>
      </c>
      <c r="D1059" s="8">
        <f>IFERROR(__xludf.DUMMYFUNCTION("""COMPUTED_VALUE"""),23.0)</f>
        <v>23</v>
      </c>
      <c r="E1059" s="2"/>
    </row>
    <row r="1060">
      <c r="A1060" s="2"/>
      <c r="B1060" s="8" t="str">
        <f>IFERROR(__xludf.DUMMYFUNCTION("""COMPUTED_VALUE"""),"ANI RONIAH")</f>
        <v>ANI RONIAH</v>
      </c>
      <c r="C1060" s="8" t="str">
        <f>IFERROR(__xludf.DUMMYFUNCTION("""COMPUTED_VALUE"""),"A5124019123")</f>
        <v>A5124019123</v>
      </c>
      <c r="D1060" s="8">
        <f>IFERROR(__xludf.DUMMYFUNCTION("""COMPUTED_VALUE"""),75.0)</f>
        <v>75</v>
      </c>
      <c r="E1060" s="2"/>
    </row>
    <row r="1061">
      <c r="A1061" s="2"/>
      <c r="B1061" s="8" t="str">
        <f>IFERROR(__xludf.DUMMYFUNCTION("""COMPUTED_VALUE"""),"SUGENG JULIANTO")</f>
        <v>SUGENG JULIANTO</v>
      </c>
      <c r="C1061" s="8" t="str">
        <f>IFERROR(__xludf.DUMMYFUNCTION("""COMPUTED_VALUE"""),"S8624010802")</f>
        <v>S8624010802</v>
      </c>
      <c r="D1061" s="8">
        <f>IFERROR(__xludf.DUMMYFUNCTION("""COMPUTED_VALUE"""),40.0)</f>
        <v>40</v>
      </c>
      <c r="E1061" s="2"/>
    </row>
    <row r="1062">
      <c r="A1062" s="2"/>
      <c r="B1062" s="8" t="str">
        <f>IFERROR(__xludf.DUMMYFUNCTION("""COMPUTED_VALUE"""),"ZUWERTI")</f>
        <v>ZUWERTI</v>
      </c>
      <c r="C1062" s="8" t="str">
        <f>IFERROR(__xludf.DUMMYFUNCTION("""COMPUTED_VALUE"""),"Z6224019942")</f>
        <v>Z6224019942</v>
      </c>
      <c r="D1062" s="8">
        <f>IFERROR(__xludf.DUMMYFUNCTION("""COMPUTED_VALUE"""),64.0)</f>
        <v>64</v>
      </c>
      <c r="E1062" s="2"/>
    </row>
    <row r="1063">
      <c r="A1063" s="2"/>
      <c r="B1063" s="8" t="str">
        <f>IFERROR(__xludf.DUMMYFUNCTION("""COMPUTED_VALUE"""),"ANGGER SYAFELA PUTRA")</f>
        <v>ANGGER SYAFELA PUTRA</v>
      </c>
      <c r="C1063" s="8" t="str">
        <f>IFERROR(__xludf.DUMMYFUNCTION("""COMPUTED_VALUE"""),"A0024015518")</f>
        <v>A0024015518</v>
      </c>
      <c r="D1063" s="8">
        <f>IFERROR(__xludf.DUMMYFUNCTION("""COMPUTED_VALUE"""),25.0)</f>
        <v>25</v>
      </c>
      <c r="E1063" s="2"/>
    </row>
    <row r="1064">
      <c r="A1064" s="2"/>
      <c r="B1064" s="8" t="str">
        <f>IFERROR(__xludf.DUMMYFUNCTION("""COMPUTED_VALUE"""),"EVI SUKMAWATI")</f>
        <v>EVI SUKMAWATI</v>
      </c>
      <c r="C1064" s="8" t="str">
        <f>IFERROR(__xludf.DUMMYFUNCTION("""COMPUTED_VALUE"""),"E2424012844")</f>
        <v>E2424012844</v>
      </c>
      <c r="D1064" s="8">
        <f>IFERROR(__xludf.DUMMYFUNCTION("""COMPUTED_VALUE"""),2.0)</f>
        <v>2</v>
      </c>
      <c r="E1064" s="2"/>
    </row>
    <row r="1065">
      <c r="A1065" s="2"/>
      <c r="B1065" s="8" t="str">
        <f>IFERROR(__xludf.DUMMYFUNCTION("""COMPUTED_VALUE"""),"RAYNA HESTI NURAINI")</f>
        <v>RAYNA HESTI NURAINI</v>
      </c>
      <c r="C1065" s="8" t="str">
        <f>IFERROR(__xludf.DUMMYFUNCTION("""COMPUTED_VALUE"""),"R9024021894")</f>
        <v>R9024021894</v>
      </c>
      <c r="D1065" s="8">
        <f>IFERROR(__xludf.DUMMYFUNCTION("""COMPUTED_VALUE"""),36.0)</f>
        <v>36</v>
      </c>
      <c r="E1065" s="2"/>
    </row>
    <row r="1066">
      <c r="A1066" s="2"/>
      <c r="B1066" s="8" t="str">
        <f>IFERROR(__xludf.DUMMYFUNCTION("""COMPUTED_VALUE"""),"SUHARDI 6906")</f>
        <v>SUHARDI 6906</v>
      </c>
      <c r="C1066" s="8" t="str">
        <f>IFERROR(__xludf.DUMMYFUNCTION("""COMPUTED_VALUE"""),"S6924026185")</f>
        <v>S6924026185</v>
      </c>
      <c r="D1066" s="8">
        <f>IFERROR(__xludf.DUMMYFUNCTION("""COMPUTED_VALUE"""),57.0)</f>
        <v>57</v>
      </c>
      <c r="E1066" s="2"/>
    </row>
    <row r="1067">
      <c r="A1067" s="2"/>
      <c r="B1067" s="8" t="str">
        <f>IFERROR(__xludf.DUMMYFUNCTION("""COMPUTED_VALUE"""),"SUHARDI 8606")</f>
        <v>SUHARDI 8606</v>
      </c>
      <c r="C1067" s="8" t="str">
        <f>IFERROR(__xludf.DUMMYFUNCTION("""COMPUTED_VALUE"""),"S8624028256")</f>
        <v>S8624028256</v>
      </c>
      <c r="D1067" s="8">
        <f>IFERROR(__xludf.DUMMYFUNCTION("""COMPUTED_VALUE"""),40.0)</f>
        <v>40</v>
      </c>
      <c r="E1067" s="2"/>
    </row>
    <row r="1068">
      <c r="A1068" s="2"/>
      <c r="B1068" s="8" t="str">
        <f>IFERROR(__xludf.DUMMYFUNCTION("""COMPUTED_VALUE"""),"GERRY")</f>
        <v>GERRY</v>
      </c>
      <c r="C1068" s="8" t="str">
        <f>IFERROR(__xludf.DUMMYFUNCTION("""COMPUTED_VALUE"""),"G8624020821")</f>
        <v>G8624020821</v>
      </c>
      <c r="D1068" s="8">
        <f>IFERROR(__xludf.DUMMYFUNCTION("""COMPUTED_VALUE"""),40.0)</f>
        <v>40</v>
      </c>
      <c r="E1068" s="2"/>
    </row>
    <row r="1069">
      <c r="A1069" s="2"/>
      <c r="B1069" s="8" t="str">
        <f>IFERROR(__xludf.DUMMYFUNCTION("""COMPUTED_VALUE"""),"ALFAREL KEANU RADITYA")</f>
        <v>ALFAREL KEANU RADITYA</v>
      </c>
      <c r="C1069" s="8" t="str">
        <f>IFERROR(__xludf.DUMMYFUNCTION("""COMPUTED_VALUE"""),"A1524027000")</f>
        <v>A1524027000</v>
      </c>
      <c r="D1069" s="8">
        <f>IFERROR(__xludf.DUMMYFUNCTION("""COMPUTED_VALUE"""),10.0)</f>
        <v>10</v>
      </c>
      <c r="E1069" s="2"/>
    </row>
    <row r="1070">
      <c r="A1070" s="2"/>
      <c r="B1070" s="8" t="str">
        <f>IFERROR(__xludf.DUMMYFUNCTION("""COMPUTED_VALUE"""),"REZKI MAULISA")</f>
        <v>REZKI MAULISA</v>
      </c>
      <c r="C1070" s="8" t="str">
        <f>IFERROR(__xludf.DUMMYFUNCTION("""COMPUTED_VALUE"""),"R9724021830")</f>
        <v>R9724021830</v>
      </c>
      <c r="D1070" s="8">
        <f>IFERROR(__xludf.DUMMYFUNCTION("""COMPUTED_VALUE"""),29.0)</f>
        <v>29</v>
      </c>
      <c r="E1070" s="2"/>
    </row>
    <row r="1071">
      <c r="A1071" s="2"/>
      <c r="B1071" s="8" t="str">
        <f>IFERROR(__xludf.DUMMYFUNCTION("""COMPUTED_VALUE"""),"MARYANI")</f>
        <v>MARYANI</v>
      </c>
      <c r="C1071" s="8" t="str">
        <f>IFERROR(__xludf.DUMMYFUNCTION("""COMPUTED_VALUE"""),"M6624026372")</f>
        <v>M6624026372</v>
      </c>
      <c r="D1071" s="8">
        <f>IFERROR(__xludf.DUMMYFUNCTION("""COMPUTED_VALUE"""),60.0)</f>
        <v>60</v>
      </c>
      <c r="E1071" s="2"/>
    </row>
    <row r="1072">
      <c r="A1072" s="2"/>
      <c r="B1072" s="8" t="str">
        <f>IFERROR(__xludf.DUMMYFUNCTION("""COMPUTED_VALUE"""),"MUHAMMAD AGUS SYAHRANI")</f>
        <v>MUHAMMAD AGUS SYAHRANI</v>
      </c>
      <c r="C1072" s="8" t="str">
        <f>IFERROR(__xludf.DUMMYFUNCTION("""COMPUTED_VALUE"""),"M9524024408")</f>
        <v>M9524024408</v>
      </c>
      <c r="D1072" s="8">
        <f>IFERROR(__xludf.DUMMYFUNCTION("""COMPUTED_VALUE"""),30.0)</f>
        <v>30</v>
      </c>
      <c r="E1072" s="2"/>
    </row>
    <row r="1073">
      <c r="A1073" s="2"/>
      <c r="B1073" s="8" t="str">
        <f>IFERROR(__xludf.DUMMYFUNCTION("""COMPUTED_VALUE"""),"SUPIRMAN")</f>
        <v>SUPIRMAN</v>
      </c>
      <c r="C1073" s="8" t="str">
        <f>IFERROR(__xludf.DUMMYFUNCTION("""COMPUTED_VALUE"""),"S7324028417")</f>
        <v>S7324028417</v>
      </c>
      <c r="D1073" s="8">
        <f>IFERROR(__xludf.DUMMYFUNCTION("""COMPUTED_VALUE"""),53.0)</f>
        <v>53</v>
      </c>
      <c r="E1073" s="2"/>
    </row>
    <row r="1074">
      <c r="A1074" s="2"/>
      <c r="B1074" s="8" t="str">
        <f>IFERROR(__xludf.DUMMYFUNCTION("""COMPUTED_VALUE"""),"WAFI FEYZADIANSYAH")</f>
        <v>WAFI FEYZADIANSYAH</v>
      </c>
      <c r="C1074" s="8" t="str">
        <f>IFERROR(__xludf.DUMMYFUNCTION("""COMPUTED_VALUE"""),"W1124029684")</f>
        <v>W1124029684</v>
      </c>
      <c r="D1074" s="8">
        <f>IFERROR(__xludf.DUMMYFUNCTION("""COMPUTED_VALUE"""),15.0)</f>
        <v>15</v>
      </c>
      <c r="E1074" s="2"/>
    </row>
    <row r="1075">
      <c r="A1075" s="2"/>
      <c r="B1075" s="8" t="str">
        <f>IFERROR(__xludf.DUMMYFUNCTION("""COMPUTED_VALUE"""),"YASUMI")</f>
        <v>YASUMI</v>
      </c>
      <c r="C1075" s="8" t="str">
        <f>IFERROR(__xludf.DUMMYFUNCTION("""COMPUTED_VALUE"""),"Y5924027475")</f>
        <v>Y5924027475</v>
      </c>
      <c r="D1075" s="8">
        <f>IFERROR(__xludf.DUMMYFUNCTION("""COMPUTED_VALUE"""),66.0)</f>
        <v>66</v>
      </c>
      <c r="E1075" s="2"/>
    </row>
    <row r="1076">
      <c r="A1076" s="2"/>
      <c r="B1076" s="8" t="str">
        <f>IFERROR(__xludf.DUMMYFUNCTION("""COMPUTED_VALUE"""),"IRFAN SURYADI")</f>
        <v>IRFAN SURYADI</v>
      </c>
      <c r="C1076" s="8" t="str">
        <f>IFERROR(__xludf.DUMMYFUNCTION("""COMPUTED_VALUE"""),"I0224029098")</f>
        <v>I0224029098</v>
      </c>
      <c r="D1076" s="8">
        <f>IFERROR(__xludf.DUMMYFUNCTION("""COMPUTED_VALUE"""),24.0)</f>
        <v>24</v>
      </c>
      <c r="E1076" s="2"/>
    </row>
    <row r="1077">
      <c r="A1077" s="2"/>
      <c r="B1077" s="8" t="str">
        <f>IFERROR(__xludf.DUMMYFUNCTION("""COMPUTED_VALUE"""),"TRI INDRIANSTUTY")</f>
        <v>TRI INDRIANSTUTY</v>
      </c>
      <c r="C1077" s="8" t="str">
        <f>IFERROR(__xludf.DUMMYFUNCTION("""COMPUTED_VALUE"""),"T7124029581")</f>
        <v>T7124029581</v>
      </c>
      <c r="D1077" s="8">
        <f>IFERROR(__xludf.DUMMYFUNCTION("""COMPUTED_VALUE"""),55.0)</f>
        <v>55</v>
      </c>
      <c r="E1077" s="2"/>
    </row>
    <row r="1078">
      <c r="A1078" s="2"/>
      <c r="B1078" s="8" t="str">
        <f>IFERROR(__xludf.DUMMYFUNCTION("""COMPUTED_VALUE"""),"FREDY ADRIYANSA")</f>
        <v>FREDY ADRIYANSA</v>
      </c>
      <c r="C1078" s="8" t="str">
        <f>IFERROR(__xludf.DUMMYFUNCTION("""COMPUTED_VALUE"""),"F9224024001")</f>
        <v>F9224024001</v>
      </c>
      <c r="D1078" s="8">
        <f>IFERROR(__xludf.DUMMYFUNCTION("""COMPUTED_VALUE"""),34.0)</f>
        <v>34</v>
      </c>
      <c r="E1078" s="2"/>
    </row>
    <row r="1079">
      <c r="A1079" s="2"/>
      <c r="B1079" s="8" t="str">
        <f>IFERROR(__xludf.DUMMYFUNCTION("""COMPUTED_VALUE"""),"RUDY")</f>
        <v>RUDY</v>
      </c>
      <c r="C1079" s="8" t="str">
        <f>IFERROR(__xludf.DUMMYFUNCTION("""COMPUTED_VALUE"""),"R8624025558")</f>
        <v>R8624025558</v>
      </c>
      <c r="D1079" s="8">
        <f>IFERROR(__xludf.DUMMYFUNCTION("""COMPUTED_VALUE"""),40.0)</f>
        <v>40</v>
      </c>
      <c r="E1079" s="2"/>
    </row>
    <row r="1080">
      <c r="A1080" s="2"/>
      <c r="B1080" s="8" t="str">
        <f>IFERROR(__xludf.DUMMYFUNCTION("""COMPUTED_VALUE"""),"HARRY SALISTIWA")</f>
        <v>HARRY SALISTIWA</v>
      </c>
      <c r="C1080" s="8" t="str">
        <f>IFERROR(__xludf.DUMMYFUNCTION("""COMPUTED_VALUE"""),"H9024023660")</f>
        <v>H9024023660</v>
      </c>
      <c r="D1080" s="8">
        <f>IFERROR(__xludf.DUMMYFUNCTION("""COMPUTED_VALUE"""),36.0)</f>
        <v>36</v>
      </c>
      <c r="E1080" s="2"/>
    </row>
    <row r="1081">
      <c r="A1081" s="2"/>
      <c r="B1081" s="8" t="str">
        <f>IFERROR(__xludf.DUMMYFUNCTION("""COMPUTED_VALUE"""),"ARIFIN 63")</f>
        <v>ARIFIN 63</v>
      </c>
      <c r="C1081" s="8" t="str">
        <f>IFERROR(__xludf.DUMMYFUNCTION("""COMPUTED_VALUE"""),"A6324024210")</f>
        <v>A6324024210</v>
      </c>
      <c r="D1081" s="8">
        <f>IFERROR(__xludf.DUMMYFUNCTION("""COMPUTED_VALUE"""),63.0)</f>
        <v>63</v>
      </c>
      <c r="E1081" s="2"/>
    </row>
    <row r="1082">
      <c r="A1082" s="2"/>
      <c r="B1082" s="8" t="str">
        <f>IFERROR(__xludf.DUMMYFUNCTION("""COMPUTED_VALUE"""),"SASQIA MAYESTIKA ROVYANTRI")</f>
        <v>SASQIA MAYESTIKA ROVYANTRI</v>
      </c>
      <c r="C1082" s="8" t="str">
        <f>IFERROR(__xludf.DUMMYFUNCTION("""COMPUTED_VALUE"""),"S9824025273")</f>
        <v>S9824025273</v>
      </c>
      <c r="D1082" s="8">
        <f>IFERROR(__xludf.DUMMYFUNCTION("""COMPUTED_VALUE"""),27.0)</f>
        <v>27</v>
      </c>
      <c r="E1082" s="2"/>
    </row>
    <row r="1083">
      <c r="A1083" s="2"/>
      <c r="B1083" s="8" t="str">
        <f>IFERROR(__xludf.DUMMYFUNCTION("""COMPUTED_VALUE"""),"SUMIJAN")</f>
        <v>SUMIJAN</v>
      </c>
      <c r="C1083" s="8" t="str">
        <f>IFERROR(__xludf.DUMMYFUNCTION("""COMPUTED_VALUE"""),"S6724023691")</f>
        <v>S6724023691</v>
      </c>
      <c r="D1083" s="8">
        <f>IFERROR(__xludf.DUMMYFUNCTION("""COMPUTED_VALUE"""),59.0)</f>
        <v>59</v>
      </c>
      <c r="E1083" s="2"/>
    </row>
    <row r="1084">
      <c r="A1084" s="2"/>
      <c r="B1084" s="8" t="str">
        <f>IFERROR(__xludf.DUMMYFUNCTION("""COMPUTED_VALUE"""),"MUHAMMAD ADIB MUBARAK")</f>
        <v>MUHAMMAD ADIB MUBARAK</v>
      </c>
      <c r="C1084" s="8" t="str">
        <f>IFERROR(__xludf.DUMMYFUNCTION("""COMPUTED_VALUE"""),"M0124020466")</f>
        <v>M0124020466</v>
      </c>
      <c r="D1084" s="8">
        <f>IFERROR(__xludf.DUMMYFUNCTION("""COMPUTED_VALUE"""),25.0)</f>
        <v>25</v>
      </c>
      <c r="E1084" s="2"/>
    </row>
    <row r="1085">
      <c r="A1085" s="2"/>
      <c r="B1085" s="8" t="str">
        <f>IFERROR(__xludf.DUMMYFUNCTION("""COMPUTED_VALUE"""),"NANANG ANDRIYAS")</f>
        <v>NANANG ANDRIYAS</v>
      </c>
      <c r="C1085" s="8" t="str">
        <f>IFERROR(__xludf.DUMMYFUNCTION("""COMPUTED_VALUE"""),"N2424024160")</f>
        <v>N2424024160</v>
      </c>
      <c r="D1085" s="8">
        <f>IFERROR(__xludf.DUMMYFUNCTION("""COMPUTED_VALUE"""),2.0)</f>
        <v>2</v>
      </c>
      <c r="E1085" s="2"/>
    </row>
    <row r="1086">
      <c r="A1086" s="2"/>
      <c r="B1086" s="8" t="str">
        <f>IFERROR(__xludf.DUMMYFUNCTION("""COMPUTED_VALUE"""),"SEPTIANTO NURCAHYA ADITYA")</f>
        <v>SEPTIANTO NURCAHYA ADITYA</v>
      </c>
      <c r="C1086" s="8" t="str">
        <f>IFERROR(__xludf.DUMMYFUNCTION("""COMPUTED_VALUE"""),"S8824021988")</f>
        <v>S8824021988</v>
      </c>
      <c r="D1086" s="8">
        <f>IFERROR(__xludf.DUMMYFUNCTION("""COMPUTED_VALUE"""),37.0)</f>
        <v>37</v>
      </c>
      <c r="E1086" s="2"/>
    </row>
    <row r="1087">
      <c r="A1087" s="2"/>
      <c r="B1087" s="8" t="str">
        <f>IFERROR(__xludf.DUMMYFUNCTION("""COMPUTED_VALUE"""),"RIKI FABIAN")</f>
        <v>RIKI FABIAN</v>
      </c>
      <c r="C1087" s="8" t="str">
        <f>IFERROR(__xludf.DUMMYFUNCTION("""COMPUTED_VALUE"""),"R8424020226")</f>
        <v>R8424020226</v>
      </c>
      <c r="D1087" s="8">
        <f>IFERROR(__xludf.DUMMYFUNCTION("""COMPUTED_VALUE"""),42.0)</f>
        <v>42</v>
      </c>
      <c r="E1087" s="2"/>
    </row>
    <row r="1088">
      <c r="A1088" s="2"/>
      <c r="B1088" s="8" t="str">
        <f>IFERROR(__xludf.DUMMYFUNCTION("""COMPUTED_VALUE"""),"MASNAH")</f>
        <v>MASNAH</v>
      </c>
      <c r="C1088" s="8" t="str">
        <f>IFERROR(__xludf.DUMMYFUNCTION("""COMPUTED_VALUE"""),"M6124022484")</f>
        <v>M6124022484</v>
      </c>
      <c r="D1088" s="8">
        <f>IFERROR(__xludf.DUMMYFUNCTION("""COMPUTED_VALUE"""),65.0)</f>
        <v>65</v>
      </c>
      <c r="E1088" s="2"/>
    </row>
    <row r="1089">
      <c r="A1089" s="2"/>
      <c r="B1089" s="8" t="str">
        <f>IFERROR(__xludf.DUMMYFUNCTION("""COMPUTED_VALUE"""),"HUDA RABBANI")</f>
        <v>HUDA RABBANI</v>
      </c>
      <c r="C1089" s="8" t="str">
        <f>IFERROR(__xludf.DUMMYFUNCTION("""COMPUTED_VALUE"""),"H0024020248")</f>
        <v>H0024020248</v>
      </c>
      <c r="D1089" s="8">
        <f>IFERROR(__xludf.DUMMYFUNCTION("""COMPUTED_VALUE"""),26.0)</f>
        <v>26</v>
      </c>
      <c r="E1089" s="2"/>
    </row>
    <row r="1090">
      <c r="A1090" s="2"/>
      <c r="B1090" s="8" t="str">
        <f>IFERROR(__xludf.DUMMYFUNCTION("""COMPUTED_VALUE"""),"ALICE SUPIT")</f>
        <v>ALICE SUPIT</v>
      </c>
      <c r="C1090" s="8" t="str">
        <f>IFERROR(__xludf.DUMMYFUNCTION("""COMPUTED_VALUE"""),"A8524027190")</f>
        <v>A8524027190</v>
      </c>
      <c r="D1090" s="8">
        <f>IFERROR(__xludf.DUMMYFUNCTION("""COMPUTED_VALUE"""),40.0)</f>
        <v>40</v>
      </c>
      <c r="E1090" s="2"/>
    </row>
    <row r="1091">
      <c r="A1091" s="2"/>
      <c r="B1091" s="8" t="str">
        <f>IFERROR(__xludf.DUMMYFUNCTION("""COMPUTED_VALUE"""),"SYAHRUL A")</f>
        <v>SYAHRUL A</v>
      </c>
      <c r="C1091" s="8" t="str">
        <f>IFERROR(__xludf.DUMMYFUNCTION("""COMPUTED_VALUE"""),"S9824027698")</f>
        <v>S9824027698</v>
      </c>
      <c r="D1091" s="8">
        <f>IFERROR(__xludf.DUMMYFUNCTION("""COMPUTED_VALUE"""),28.0)</f>
        <v>28</v>
      </c>
      <c r="E1091" s="2"/>
    </row>
    <row r="1092">
      <c r="A1092" s="2"/>
      <c r="B1092" s="8" t="str">
        <f>IFERROR(__xludf.DUMMYFUNCTION("""COMPUTED_VALUE"""),"MOCHAMMAD HARRY FEBRIANDONO")</f>
        <v>MOCHAMMAD HARRY FEBRIANDONO</v>
      </c>
      <c r="C1092" s="8" t="str">
        <f>IFERROR(__xludf.DUMMYFUNCTION("""COMPUTED_VALUE"""),"M8624026952")</f>
        <v>M8624026952</v>
      </c>
      <c r="D1092" s="8">
        <f>IFERROR(__xludf.DUMMYFUNCTION("""COMPUTED_VALUE"""),40.0)</f>
        <v>40</v>
      </c>
      <c r="E1092" s="2"/>
    </row>
    <row r="1093">
      <c r="A1093" s="2"/>
      <c r="B1093" s="8" t="str">
        <f>IFERROR(__xludf.DUMMYFUNCTION("""COMPUTED_VALUE"""),"YOHANI")</f>
        <v>YOHANI</v>
      </c>
      <c r="C1093" s="8" t="str">
        <f>IFERROR(__xludf.DUMMYFUNCTION("""COMPUTED_VALUE"""),"Y6024024398")</f>
        <v>Y6024024398</v>
      </c>
      <c r="D1093" s="8">
        <f>IFERROR(__xludf.DUMMYFUNCTION("""COMPUTED_VALUE"""),66.0)</f>
        <v>66</v>
      </c>
      <c r="E1093" s="2"/>
    </row>
    <row r="1094">
      <c r="A1094" s="2"/>
      <c r="B1094" s="8" t="str">
        <f>IFERROR(__xludf.DUMMYFUNCTION("""COMPUTED_VALUE"""),"HAFIDZ IRMAN FAHREZA")</f>
        <v>HAFIDZ IRMAN FAHREZA</v>
      </c>
      <c r="C1094" s="8" t="str">
        <f>IFERROR(__xludf.DUMMYFUNCTION("""COMPUTED_VALUE"""),"H0324027815")</f>
        <v>H0324027815</v>
      </c>
      <c r="D1094" s="8">
        <f>IFERROR(__xludf.DUMMYFUNCTION("""COMPUTED_VALUE"""),23.0)</f>
        <v>23</v>
      </c>
      <c r="E1094" s="2"/>
    </row>
    <row r="1095">
      <c r="A1095" s="2"/>
      <c r="B1095" s="8" t="str">
        <f>IFERROR(__xludf.DUMMYFUNCTION("""COMPUTED_VALUE"""),"SALMIAH")</f>
        <v>SALMIAH</v>
      </c>
      <c r="C1095" s="8" t="str">
        <f>IFERROR(__xludf.DUMMYFUNCTION("""COMPUTED_VALUE"""),"S8524020115")</f>
        <v>S8524020115</v>
      </c>
      <c r="D1095" s="8">
        <f>IFERROR(__xludf.DUMMYFUNCTION("""COMPUTED_VALUE"""),41.0)</f>
        <v>41</v>
      </c>
      <c r="E1095" s="2"/>
    </row>
    <row r="1096">
      <c r="A1096" s="2"/>
      <c r="B1096" s="8" t="str">
        <f>IFERROR(__xludf.DUMMYFUNCTION("""COMPUTED_VALUE"""),"MINCE SILALAHI")</f>
        <v>MINCE SILALAHI</v>
      </c>
      <c r="C1096" s="8" t="str">
        <f>IFERROR(__xludf.DUMMYFUNCTION("""COMPUTED_VALUE"""),"M5824025375")</f>
        <v>M5824025375</v>
      </c>
      <c r="D1096" s="8">
        <f>IFERROR(__xludf.DUMMYFUNCTION("""COMPUTED_VALUE"""),67.0)</f>
        <v>67</v>
      </c>
      <c r="E1096" s="2"/>
    </row>
    <row r="1097">
      <c r="A1097" s="2"/>
      <c r="B1097" s="8" t="str">
        <f>IFERROR(__xludf.DUMMYFUNCTION("""COMPUTED_VALUE"""),"CHRISTINE PHUANTINUS")</f>
        <v>CHRISTINE PHUANTINUS</v>
      </c>
      <c r="C1097" s="8" t="str">
        <f>IFERROR(__xludf.DUMMYFUNCTION("""COMPUTED_VALUE"""),"C9624028605")</f>
        <v>C9624028605</v>
      </c>
      <c r="D1097" s="8">
        <f>IFERROR(__xludf.DUMMYFUNCTION("""COMPUTED_VALUE"""),30.0)</f>
        <v>30</v>
      </c>
      <c r="E1097" s="2"/>
    </row>
    <row r="1098">
      <c r="A1098" s="2"/>
      <c r="B1098" s="8" t="str">
        <f>IFERROR(__xludf.DUMMYFUNCTION("""COMPUTED_VALUE"""),"HARIS MUNANDAR")</f>
        <v>HARIS MUNANDAR</v>
      </c>
      <c r="C1098" s="8" t="str">
        <f>IFERROR(__xludf.DUMMYFUNCTION("""COMPUTED_VALUE"""),"H8924023768")</f>
        <v>H8924023768</v>
      </c>
      <c r="D1098" s="8">
        <f>IFERROR(__xludf.DUMMYFUNCTION("""COMPUTED_VALUE"""),36.0)</f>
        <v>36</v>
      </c>
      <c r="E1098" s="2"/>
    </row>
    <row r="1099">
      <c r="A1099" s="2"/>
      <c r="B1099" s="8" t="str">
        <f>IFERROR(__xludf.DUMMYFUNCTION("""COMPUTED_VALUE"""),"SUMA EMIL HABIBIE")</f>
        <v>SUMA EMIL HABIBIE</v>
      </c>
      <c r="C1099" s="8" t="str">
        <f>IFERROR(__xludf.DUMMYFUNCTION("""COMPUTED_VALUE"""),"S9824025681")</f>
        <v>S9824025681</v>
      </c>
      <c r="D1099" s="8">
        <f>IFERROR(__xludf.DUMMYFUNCTION("""COMPUTED_VALUE"""),28.0)</f>
        <v>28</v>
      </c>
      <c r="E1099" s="2"/>
    </row>
    <row r="1100">
      <c r="A1100" s="2"/>
      <c r="B1100" s="8" t="str">
        <f>IFERROR(__xludf.DUMMYFUNCTION("""COMPUTED_VALUE"""),"DIDI WINARNO")</f>
        <v>DIDI WINARNO</v>
      </c>
      <c r="C1100" s="8" t="str">
        <f>IFERROR(__xludf.DUMMYFUNCTION("""COMPUTED_VALUE"""),"D6324022945")</f>
        <v>D6324022945</v>
      </c>
      <c r="D1100" s="8">
        <f>IFERROR(__xludf.DUMMYFUNCTION("""COMPUTED_VALUE"""),63.0)</f>
        <v>63</v>
      </c>
      <c r="E1100" s="2"/>
    </row>
    <row r="1101">
      <c r="A1101" s="2"/>
      <c r="B1101" s="8" t="str">
        <f>IFERROR(__xludf.DUMMYFUNCTION("""COMPUTED_VALUE"""),"WITA TAKARI")</f>
        <v>WITA TAKARI</v>
      </c>
      <c r="C1101" s="8" t="str">
        <f>IFERROR(__xludf.DUMMYFUNCTION("""COMPUTED_VALUE"""),"W6524021052")</f>
        <v>W6524021052</v>
      </c>
      <c r="D1101" s="8">
        <f>IFERROR(__xludf.DUMMYFUNCTION("""COMPUTED_VALUE"""),60.0)</f>
        <v>60</v>
      </c>
      <c r="E1101" s="2"/>
    </row>
    <row r="1102">
      <c r="A1102" s="2"/>
      <c r="B1102" s="8" t="str">
        <f>IFERROR(__xludf.DUMMYFUNCTION("""COMPUTED_VALUE"""),"M HARDADI")</f>
        <v>M HARDADI</v>
      </c>
      <c r="C1102" s="8" t="str">
        <f>IFERROR(__xludf.DUMMYFUNCTION("""COMPUTED_VALUE"""),"M9424026155")</f>
        <v>M9424026155</v>
      </c>
      <c r="D1102" s="8">
        <f>IFERROR(__xludf.DUMMYFUNCTION("""COMPUTED_VALUE"""),31.0)</f>
        <v>31</v>
      </c>
      <c r="E1102" s="2"/>
    </row>
    <row r="1103">
      <c r="A1103" s="2"/>
      <c r="B1103" s="8" t="str">
        <f>IFERROR(__xludf.DUMMYFUNCTION("""COMPUTED_VALUE"""),"JANTI JONO")</f>
        <v>JANTI JONO</v>
      </c>
      <c r="C1103" s="8" t="str">
        <f>IFERROR(__xludf.DUMMYFUNCTION("""COMPUTED_VALUE"""),"J6924024545")</f>
        <v>J6924024545</v>
      </c>
      <c r="D1103" s="8">
        <f>IFERROR(__xludf.DUMMYFUNCTION("""COMPUTED_VALUE"""),57.0)</f>
        <v>57</v>
      </c>
      <c r="E1103" s="2"/>
    </row>
    <row r="1104">
      <c r="A1104" s="2"/>
      <c r="B1104" s="8" t="str">
        <f>IFERROR(__xludf.DUMMYFUNCTION("""COMPUTED_VALUE"""),"ASTUTI6512")</f>
        <v>ASTUTI6512</v>
      </c>
      <c r="C1104" s="8" t="str">
        <f>IFERROR(__xludf.DUMMYFUNCTION("""COMPUTED_VALUE"""),"A6524029278")</f>
        <v>A6524029278</v>
      </c>
      <c r="D1104" s="8">
        <f>IFERROR(__xludf.DUMMYFUNCTION("""COMPUTED_VALUE"""),60.0)</f>
        <v>60</v>
      </c>
      <c r="E1104" s="2"/>
    </row>
    <row r="1105">
      <c r="A1105" s="2"/>
      <c r="B1105" s="8" t="str">
        <f>IFERROR(__xludf.DUMMYFUNCTION("""COMPUTED_VALUE"""),"MATIUS PATASIK")</f>
        <v>MATIUS PATASIK</v>
      </c>
      <c r="C1105" s="8" t="str">
        <f>IFERROR(__xludf.DUMMYFUNCTION("""COMPUTED_VALUE"""),"M4924025669")</f>
        <v>M4924025669</v>
      </c>
      <c r="D1105" s="8">
        <f>IFERROR(__xludf.DUMMYFUNCTION("""COMPUTED_VALUE"""),76.0)</f>
        <v>76</v>
      </c>
      <c r="E1105" s="2"/>
    </row>
    <row r="1106">
      <c r="A1106" s="2"/>
      <c r="B1106" s="8" t="str">
        <f>IFERROR(__xludf.DUMMYFUNCTION("""COMPUTED_VALUE"""),"ASTUTI6406")</f>
        <v>ASTUTI6406</v>
      </c>
      <c r="C1106" s="8" t="str">
        <f>IFERROR(__xludf.DUMMYFUNCTION("""COMPUTED_VALUE"""),"A6424022761")</f>
        <v>A6424022761</v>
      </c>
      <c r="D1106" s="8">
        <f>IFERROR(__xludf.DUMMYFUNCTION("""COMPUTED_VALUE"""),62.0)</f>
        <v>62</v>
      </c>
      <c r="E1106" s="2"/>
    </row>
    <row r="1107">
      <c r="A1107" s="2"/>
      <c r="B1107" s="8" t="str">
        <f>IFERROR(__xludf.DUMMYFUNCTION("""COMPUTED_VALUE"""),"THE KOK SUN")</f>
        <v>THE KOK SUN</v>
      </c>
      <c r="C1107" s="8" t="str">
        <f>IFERROR(__xludf.DUMMYFUNCTION("""COMPUTED_VALUE"""),"T6124022761")</f>
        <v>T6124022761</v>
      </c>
      <c r="D1107" s="8">
        <f>IFERROR(__xludf.DUMMYFUNCTION("""COMPUTED_VALUE"""),65.0)</f>
        <v>65</v>
      </c>
      <c r="E1107" s="2"/>
    </row>
    <row r="1108">
      <c r="A1108" s="2"/>
      <c r="B1108" s="8" t="str">
        <f>IFERROR(__xludf.DUMMYFUNCTION("""COMPUTED_VALUE"""),"DIAZ DIRGANTARA")</f>
        <v>DIAZ DIRGANTARA</v>
      </c>
      <c r="C1108" s="8" t="str">
        <f>IFERROR(__xludf.DUMMYFUNCTION("""COMPUTED_VALUE"""),"D9424029094")</f>
        <v>D9424029094</v>
      </c>
      <c r="D1108" s="8">
        <f>IFERROR(__xludf.DUMMYFUNCTION("""COMPUTED_VALUE"""),32.0)</f>
        <v>32</v>
      </c>
      <c r="E1108" s="2"/>
    </row>
    <row r="1109">
      <c r="A1109" s="2"/>
      <c r="B1109" s="8" t="str">
        <f>IFERROR(__xludf.DUMMYFUNCTION("""COMPUTED_VALUE"""),"EKA BUDI PRASOJO")</f>
        <v>EKA BUDI PRASOJO</v>
      </c>
      <c r="C1109" s="8" t="str">
        <f>IFERROR(__xludf.DUMMYFUNCTION("""COMPUTED_VALUE"""),"E8524025888")</f>
        <v>E8524025888</v>
      </c>
      <c r="D1109" s="8">
        <f>IFERROR(__xludf.DUMMYFUNCTION("""COMPUTED_VALUE"""),41.0)</f>
        <v>41</v>
      </c>
      <c r="E1109" s="2"/>
    </row>
    <row r="1110">
      <c r="A1110" s="2"/>
      <c r="B1110" s="8" t="str">
        <f>IFERROR(__xludf.DUMMYFUNCTION("""COMPUTED_VALUE"""),"KEVIN")</f>
        <v>KEVIN</v>
      </c>
      <c r="C1110" s="8" t="str">
        <f>IFERROR(__xludf.DUMMYFUNCTION("""COMPUTED_VALUE"""),"K9724022877")</f>
        <v>K9724022877</v>
      </c>
      <c r="D1110" s="8">
        <f>IFERROR(__xludf.DUMMYFUNCTION("""COMPUTED_VALUE"""),29.0)</f>
        <v>29</v>
      </c>
      <c r="E1110" s="2"/>
    </row>
    <row r="1111">
      <c r="A1111" s="2"/>
      <c r="B1111" s="8" t="str">
        <f>IFERROR(__xludf.DUMMYFUNCTION("""COMPUTED_VALUE"""),"NAJWA.OKTAFANI")</f>
        <v>NAJWA.OKTAFANI</v>
      </c>
      <c r="C1111" s="8" t="str">
        <f>IFERROR(__xludf.DUMMYFUNCTION("""COMPUTED_VALUE"""),"N0924028156")</f>
        <v>N0924028156</v>
      </c>
      <c r="D1111" s="8">
        <f>IFERROR(__xludf.DUMMYFUNCTION("""COMPUTED_VALUE"""),16.0)</f>
        <v>16</v>
      </c>
      <c r="E1111" s="2"/>
    </row>
    <row r="1112">
      <c r="A1112" s="2"/>
      <c r="B1112" s="8" t="str">
        <f>IFERROR(__xludf.DUMMYFUNCTION("""COMPUTED_VALUE"""),"HJ. ASTUTI")</f>
        <v>HJ. ASTUTI</v>
      </c>
      <c r="C1112" s="8" t="str">
        <f>IFERROR(__xludf.DUMMYFUNCTION("""COMPUTED_VALUE"""),"H6324028312")</f>
        <v>H6324028312</v>
      </c>
      <c r="D1112" s="8">
        <f>IFERROR(__xludf.DUMMYFUNCTION("""COMPUTED_VALUE"""),62.0)</f>
        <v>62</v>
      </c>
      <c r="E1112" s="2"/>
    </row>
    <row r="1113">
      <c r="A1113" s="2"/>
      <c r="B1113" s="8" t="str">
        <f>IFERROR(__xludf.DUMMYFUNCTION("""COMPUTED_VALUE"""),"RIDHO KURNIAWAN")</f>
        <v>RIDHO KURNIAWAN</v>
      </c>
      <c r="C1113" s="8" t="str">
        <f>IFERROR(__xludf.DUMMYFUNCTION("""COMPUTED_VALUE"""),"R9024026663")</f>
        <v>R9024026663</v>
      </c>
      <c r="D1113" s="8">
        <f>IFERROR(__xludf.DUMMYFUNCTION("""COMPUTED_VALUE"""),35.0)</f>
        <v>35</v>
      </c>
      <c r="E1113" s="2"/>
    </row>
    <row r="1114">
      <c r="A1114" s="2"/>
      <c r="B1114" s="8" t="str">
        <f>IFERROR(__xludf.DUMMYFUNCTION("""COMPUTED_VALUE"""),"SHELVI MAYASARI")</f>
        <v>SHELVI MAYASARI</v>
      </c>
      <c r="C1114" s="8" t="str">
        <f>IFERROR(__xludf.DUMMYFUNCTION("""COMPUTED_VALUE"""),"S8624021808")</f>
        <v>S8624021808</v>
      </c>
      <c r="D1114" s="8">
        <f>IFERROR(__xludf.DUMMYFUNCTION("""COMPUTED_VALUE"""),40.0)</f>
        <v>40</v>
      </c>
      <c r="E1114" s="2"/>
    </row>
    <row r="1115">
      <c r="A1115" s="2"/>
      <c r="B1115" s="8" t="str">
        <f>IFERROR(__xludf.DUMMYFUNCTION("""COMPUTED_VALUE"""),"MUHAMMAD FIRMAN SAPUTRA")</f>
        <v>MUHAMMAD FIRMAN SAPUTRA</v>
      </c>
      <c r="C1115" s="8" t="str">
        <f>IFERROR(__xludf.DUMMYFUNCTION("""COMPUTED_VALUE"""),"M0524020310")</f>
        <v>M0524020310</v>
      </c>
      <c r="D1115" s="8">
        <f>IFERROR(__xludf.DUMMYFUNCTION("""COMPUTED_VALUE"""),20.0)</f>
        <v>20</v>
      </c>
      <c r="E1115" s="2"/>
    </row>
    <row r="1116">
      <c r="A1116" s="2"/>
      <c r="B1116" s="8" t="str">
        <f>IFERROR(__xludf.DUMMYFUNCTION("""COMPUTED_VALUE"""),"DINI HAITI ZULFANY")</f>
        <v>DINI HAITI ZULFANY</v>
      </c>
      <c r="C1116" s="8" t="str">
        <f>IFERROR(__xludf.DUMMYFUNCTION("""COMPUTED_VALUE"""),"D8724020001")</f>
        <v>D8724020001</v>
      </c>
      <c r="D1116" s="8">
        <f>IFERROR(__xludf.DUMMYFUNCTION("""COMPUTED_VALUE"""),39.0)</f>
        <v>39</v>
      </c>
      <c r="E1116" s="2"/>
    </row>
    <row r="1117">
      <c r="A1117" s="2"/>
      <c r="B1117" s="8" t="str">
        <f>IFERROR(__xludf.DUMMYFUNCTION("""COMPUTED_VALUE"""),"MULYADI")</f>
        <v>MULYADI</v>
      </c>
      <c r="C1117" s="8" t="str">
        <f>IFERROR(__xludf.DUMMYFUNCTION("""COMPUTED_VALUE"""),"M8324024745")</f>
        <v>M8324024745</v>
      </c>
      <c r="D1117" s="8">
        <f>IFERROR(__xludf.DUMMYFUNCTION("""COMPUTED_VALUE"""),42.0)</f>
        <v>42</v>
      </c>
      <c r="E1117" s="2"/>
    </row>
    <row r="1118">
      <c r="A1118" s="2"/>
      <c r="B1118" s="8" t="str">
        <f>IFERROR(__xludf.DUMMYFUNCTION("""COMPUTED_VALUE"""),"MU'IN")</f>
        <v>MU'IN</v>
      </c>
      <c r="C1118" s="8" t="str">
        <f>IFERROR(__xludf.DUMMYFUNCTION("""COMPUTED_VALUE"""),"M7324025544")</f>
        <v>M7324025544</v>
      </c>
      <c r="D1118" s="8">
        <f>IFERROR(__xludf.DUMMYFUNCTION("""COMPUTED_VALUE"""),52.0)</f>
        <v>52</v>
      </c>
      <c r="E1118" s="2"/>
    </row>
    <row r="1119">
      <c r="A1119" s="2"/>
      <c r="B1119" s="8" t="str">
        <f>IFERROR(__xludf.DUMMYFUNCTION("""COMPUTED_VALUE"""),"EVI BARONA WATI")</f>
        <v>EVI BARONA WATI</v>
      </c>
      <c r="C1119" s="8" t="str">
        <f>IFERROR(__xludf.DUMMYFUNCTION("""COMPUTED_VALUE"""),"E7524026604")</f>
        <v>E7524026604</v>
      </c>
      <c r="D1119" s="8">
        <f>IFERROR(__xludf.DUMMYFUNCTION("""COMPUTED_VALUE"""),50.0)</f>
        <v>50</v>
      </c>
      <c r="E1119" s="2"/>
    </row>
    <row r="1120">
      <c r="A1120" s="2"/>
      <c r="B1120" s="8" t="str">
        <f>IFERROR(__xludf.DUMMYFUNCTION("""COMPUTED_VALUE"""),"GALUH KUSUMA DHEWY")</f>
        <v>GALUH KUSUMA DHEWY</v>
      </c>
      <c r="C1120" s="8" t="str">
        <f>IFERROR(__xludf.DUMMYFUNCTION("""COMPUTED_VALUE"""),"G9424026161")</f>
        <v>G9424026161</v>
      </c>
      <c r="D1120" s="8">
        <f>IFERROR(__xludf.DUMMYFUNCTION("""COMPUTED_VALUE"""),32.0)</f>
        <v>32</v>
      </c>
      <c r="E1120" s="2"/>
    </row>
    <row r="1121">
      <c r="A1121" s="2"/>
      <c r="B1121" s="8" t="str">
        <f>IFERROR(__xludf.DUMMYFUNCTION("""COMPUTED_VALUE"""),"H SUWANDI M NOOR")</f>
        <v>H SUWANDI M NOOR</v>
      </c>
      <c r="C1121" s="8" t="str">
        <f>IFERROR(__xludf.DUMMYFUNCTION("""COMPUTED_VALUE"""),"H6124024288")</f>
        <v>H6124024288</v>
      </c>
      <c r="D1121" s="8">
        <f>IFERROR(__xludf.DUMMYFUNCTION("""COMPUTED_VALUE"""),64.0)</f>
        <v>64</v>
      </c>
      <c r="E1121" s="2"/>
    </row>
    <row r="1122">
      <c r="A1122" s="2"/>
      <c r="B1122" s="8" t="str">
        <f>IFERROR(__xludf.DUMMYFUNCTION("""COMPUTED_VALUE"""),"BARTOLOMEUS")</f>
        <v>BARTOLOMEUS</v>
      </c>
      <c r="C1122" s="8" t="str">
        <f>IFERROR(__xludf.DUMMYFUNCTION("""COMPUTED_VALUE"""),"B8924022946")</f>
        <v>B8924022946</v>
      </c>
      <c r="D1122" s="8">
        <f>IFERROR(__xludf.DUMMYFUNCTION("""COMPUTED_VALUE"""),36.0)</f>
        <v>36</v>
      </c>
      <c r="E1122" s="2"/>
    </row>
    <row r="1123">
      <c r="A1123" s="2"/>
      <c r="B1123" s="8" t="str">
        <f>IFERROR(__xludf.DUMMYFUNCTION("""COMPUTED_VALUE"""),"REZA NUGRAHA")</f>
        <v>REZA NUGRAHA</v>
      </c>
      <c r="C1123" s="8" t="str">
        <f>IFERROR(__xludf.DUMMYFUNCTION("""COMPUTED_VALUE"""),"R8924023579")</f>
        <v>R8924023579</v>
      </c>
      <c r="D1123" s="8">
        <f>IFERROR(__xludf.DUMMYFUNCTION("""COMPUTED_VALUE"""),36.0)</f>
        <v>36</v>
      </c>
      <c r="E1123" s="2"/>
    </row>
    <row r="1124">
      <c r="A1124" s="2"/>
      <c r="B1124" s="8" t="str">
        <f>IFERROR(__xludf.DUMMYFUNCTION("""COMPUTED_VALUE"""),"ANDHANIKA EVANUS APRI YAHYA")</f>
        <v>ANDHANIKA EVANUS APRI YAHYA</v>
      </c>
      <c r="C1124" s="8" t="str">
        <f>IFERROR(__xludf.DUMMYFUNCTION("""COMPUTED_VALUE"""),"A0124026708")</f>
        <v>A0124026708</v>
      </c>
      <c r="D1124" s="8">
        <f>IFERROR(__xludf.DUMMYFUNCTION("""COMPUTED_VALUE"""),25.0)</f>
        <v>25</v>
      </c>
      <c r="E1124" s="2"/>
    </row>
    <row r="1125">
      <c r="A1125" s="2"/>
      <c r="B1125" s="8" t="str">
        <f>IFERROR(__xludf.DUMMYFUNCTION("""COMPUTED_VALUE"""),"TRI HENDRI")</f>
        <v>TRI HENDRI</v>
      </c>
      <c r="C1125" s="8" t="str">
        <f>IFERROR(__xludf.DUMMYFUNCTION("""COMPUTED_VALUE"""),"T0024029074")</f>
        <v>T0024029074</v>
      </c>
      <c r="D1125" s="8">
        <f>IFERROR(__xludf.DUMMYFUNCTION("""COMPUTED_VALUE"""),25.0)</f>
        <v>25</v>
      </c>
      <c r="E1125" s="2"/>
    </row>
    <row r="1126">
      <c r="A1126" s="2"/>
      <c r="B1126" s="8" t="str">
        <f>IFERROR(__xludf.DUMMYFUNCTION("""COMPUTED_VALUE"""),"ANDRI TRIYADI")</f>
        <v>ANDRI TRIYADI</v>
      </c>
      <c r="C1126" s="8" t="str">
        <f>IFERROR(__xludf.DUMMYFUNCTION("""COMPUTED_VALUE"""),"A0524027812")</f>
        <v>A0524027812</v>
      </c>
      <c r="D1126" s="8">
        <f>IFERROR(__xludf.DUMMYFUNCTION("""COMPUTED_VALUE"""),21.0)</f>
        <v>21</v>
      </c>
      <c r="E1126" s="2"/>
    </row>
    <row r="1127">
      <c r="A1127" s="2"/>
      <c r="B1127" s="8" t="str">
        <f>IFERROR(__xludf.DUMMYFUNCTION("""COMPUTED_VALUE"""),"JEREMY RICHARD OSCARIAN DOO")</f>
        <v>JEREMY RICHARD OSCARIAN DOO</v>
      </c>
      <c r="C1127" s="8" t="str">
        <f>IFERROR(__xludf.DUMMYFUNCTION("""COMPUTED_VALUE"""),"J0724020818")</f>
        <v>J0724020818</v>
      </c>
      <c r="D1127" s="8">
        <f>IFERROR(__xludf.DUMMYFUNCTION("""COMPUTED_VALUE"""),19.0)</f>
        <v>19</v>
      </c>
      <c r="E1127" s="2"/>
    </row>
    <row r="1128">
      <c r="A1128" s="2"/>
      <c r="B1128" s="8" t="str">
        <f>IFERROR(__xludf.DUMMYFUNCTION("""COMPUTED_VALUE"""),"ADE SHANDRIE ARDIANSYAH")</f>
        <v>ADE SHANDRIE ARDIANSYAH</v>
      </c>
      <c r="C1128" s="8" t="str">
        <f>IFERROR(__xludf.DUMMYFUNCTION("""COMPUTED_VALUE"""),"A9824023305")</f>
        <v>A9824023305</v>
      </c>
      <c r="D1128" s="8">
        <f>IFERROR(__xludf.DUMMYFUNCTION("""COMPUTED_VALUE"""),28.0)</f>
        <v>28</v>
      </c>
      <c r="E1128" s="2"/>
    </row>
    <row r="1129">
      <c r="A1129" s="2"/>
      <c r="B1129" s="8" t="str">
        <f>IFERROR(__xludf.DUMMYFUNCTION("""COMPUTED_VALUE"""),"TRI SATYA PATRIARINI")</f>
        <v>TRI SATYA PATRIARINI</v>
      </c>
      <c r="C1129" s="8" t="str">
        <f>IFERROR(__xludf.DUMMYFUNCTION("""COMPUTED_VALUE"""),"T6524029549")</f>
        <v>T6524029549</v>
      </c>
      <c r="D1129" s="8">
        <f>IFERROR(__xludf.DUMMYFUNCTION("""COMPUTED_VALUE"""),60.0)</f>
        <v>60</v>
      </c>
      <c r="E1129" s="2"/>
    </row>
    <row r="1130">
      <c r="A1130" s="2"/>
      <c r="B1130" s="8" t="str">
        <f>IFERROR(__xludf.DUMMYFUNCTION("""COMPUTED_VALUE"""),"ADAM ZACHRY IMAN ZULKARNAIN")</f>
        <v>ADAM ZACHRY IMAN ZULKARNAIN</v>
      </c>
      <c r="C1130" s="8" t="str">
        <f>IFERROR(__xludf.DUMMYFUNCTION("""COMPUTED_VALUE"""),"A0724020119")</f>
        <v>A0724020119</v>
      </c>
      <c r="D1130" s="8">
        <f>IFERROR(__xludf.DUMMYFUNCTION("""COMPUTED_VALUE"""),18.0)</f>
        <v>18</v>
      </c>
      <c r="E1130" s="2"/>
    </row>
    <row r="1131">
      <c r="A1131" s="2"/>
      <c r="B1131" s="8" t="str">
        <f>IFERROR(__xludf.DUMMYFUNCTION("""COMPUTED_VALUE"""),"ENDANG ISNANINGSIH")</f>
        <v>ENDANG ISNANINGSIH</v>
      </c>
      <c r="C1131" s="8" t="str">
        <f>IFERROR(__xludf.DUMMYFUNCTION("""COMPUTED_VALUE"""),"E6124021162")</f>
        <v>E6124021162</v>
      </c>
      <c r="D1131" s="8">
        <f>IFERROR(__xludf.DUMMYFUNCTION("""COMPUTED_VALUE"""),65.0)</f>
        <v>65</v>
      </c>
      <c r="E1131" s="2"/>
    </row>
    <row r="1132">
      <c r="A1132" s="2"/>
      <c r="B1132" s="8" t="str">
        <f>IFERROR(__xludf.DUMMYFUNCTION("""COMPUTED_VALUE"""),"ALVIN LAWARDI")</f>
        <v>ALVIN LAWARDI</v>
      </c>
      <c r="C1132" s="8" t="str">
        <f>IFERROR(__xludf.DUMMYFUNCTION("""COMPUTED_VALUE"""),"A9724028829")</f>
        <v>A9724028829</v>
      </c>
      <c r="D1132" s="8">
        <f>IFERROR(__xludf.DUMMYFUNCTION("""COMPUTED_VALUE"""),28.0)</f>
        <v>28</v>
      </c>
      <c r="E1132" s="2"/>
    </row>
    <row r="1133">
      <c r="A1133" s="2"/>
      <c r="B1133" s="8" t="str">
        <f>IFERROR(__xludf.DUMMYFUNCTION("""COMPUTED_VALUE"""),"ERIC ARIYANTO")</f>
        <v>ERIC ARIYANTO</v>
      </c>
      <c r="C1133" s="8" t="str">
        <f>IFERROR(__xludf.DUMMYFUNCTION("""COMPUTED_VALUE"""),"E9124020914")</f>
        <v>E9124020914</v>
      </c>
      <c r="D1133" s="8">
        <f>IFERROR(__xludf.DUMMYFUNCTION("""COMPUTED_VALUE"""),34.0)</f>
        <v>34</v>
      </c>
      <c r="E1133" s="2"/>
    </row>
    <row r="1134">
      <c r="A1134" s="2"/>
      <c r="B1134" s="8" t="str">
        <f>IFERROR(__xludf.DUMMYFUNCTION("""COMPUTED_VALUE"""),"KONG LIE NA")</f>
        <v>KONG LIE NA</v>
      </c>
      <c r="C1134" s="8" t="str">
        <f>IFERROR(__xludf.DUMMYFUNCTION("""COMPUTED_VALUE"""),"K7624022399")</f>
        <v>K7624022399</v>
      </c>
      <c r="D1134" s="8">
        <f>IFERROR(__xludf.DUMMYFUNCTION("""COMPUTED_VALUE"""),49.0)</f>
        <v>49</v>
      </c>
      <c r="E1134" s="2"/>
    </row>
    <row r="1135">
      <c r="A1135" s="2"/>
      <c r="B1135" s="8" t="str">
        <f>IFERROR(__xludf.DUMMYFUNCTION("""COMPUTED_VALUE"""),"EKA WULANDARI")</f>
        <v>EKA WULANDARI</v>
      </c>
      <c r="C1135" s="8" t="str">
        <f>IFERROR(__xludf.DUMMYFUNCTION("""COMPUTED_VALUE"""),"E8224030821")</f>
        <v>E8224030821</v>
      </c>
      <c r="D1135" s="8">
        <f>IFERROR(__xludf.DUMMYFUNCTION("""COMPUTED_VALUE"""),44.0)</f>
        <v>44</v>
      </c>
      <c r="E1135" s="2"/>
    </row>
    <row r="1136">
      <c r="A1136" s="2"/>
      <c r="B1136" s="8" t="str">
        <f>IFERROR(__xludf.DUMMYFUNCTION("""COMPUTED_VALUE"""),"FIRMAN KETAPANG")</f>
        <v>FIRMAN KETAPANG</v>
      </c>
      <c r="C1136" s="8" t="str">
        <f>IFERROR(__xludf.DUMMYFUNCTION("""COMPUTED_VALUE"""),"F8524038644")</f>
        <v>F8524038644</v>
      </c>
      <c r="D1136" s="8">
        <f>IFERROR(__xludf.DUMMYFUNCTION("""COMPUTED_VALUE"""),41.0)</f>
        <v>41</v>
      </c>
      <c r="E1136" s="2"/>
    </row>
    <row r="1137">
      <c r="A1137" s="2"/>
      <c r="B1137" s="8" t="str">
        <f>IFERROR(__xludf.DUMMYFUNCTION("""COMPUTED_VALUE"""),"NOVIANTO LINATA")</f>
        <v>NOVIANTO LINATA</v>
      </c>
      <c r="C1137" s="8" t="str">
        <f>IFERROR(__xludf.DUMMYFUNCTION("""COMPUTED_VALUE"""),"N8724037888")</f>
        <v>N8724037888</v>
      </c>
      <c r="D1137" s="8">
        <f>IFERROR(__xludf.DUMMYFUNCTION("""COMPUTED_VALUE"""),38.0)</f>
        <v>38</v>
      </c>
      <c r="E1137" s="2"/>
    </row>
    <row r="1138">
      <c r="A1138" s="2"/>
      <c r="B1138" s="8" t="str">
        <f>IFERROR(__xludf.DUMMYFUNCTION("""COMPUTED_VALUE"""),"NERRY SUGIANA")</f>
        <v>NERRY SUGIANA</v>
      </c>
      <c r="C1138" s="8" t="str">
        <f>IFERROR(__xludf.DUMMYFUNCTION("""COMPUTED_VALUE"""),"N6824035120")</f>
        <v>N6824035120</v>
      </c>
      <c r="D1138" s="8">
        <f>IFERROR(__xludf.DUMMYFUNCTION("""COMPUTED_VALUE"""),58.0)</f>
        <v>58</v>
      </c>
      <c r="E1138" s="2"/>
    </row>
    <row r="1139">
      <c r="A1139" s="2"/>
      <c r="B1139" s="8" t="str">
        <f>IFERROR(__xludf.DUMMYFUNCTION("""COMPUTED_VALUE"""),"NAZHWA FEBBY HERIANTO")</f>
        <v>NAZHWA FEBBY HERIANTO</v>
      </c>
      <c r="C1139" s="8" t="str">
        <f>IFERROR(__xludf.DUMMYFUNCTION("""COMPUTED_VALUE"""),"N0524034200")</f>
        <v>N0524034200</v>
      </c>
      <c r="D1139" s="8">
        <f>IFERROR(__xludf.DUMMYFUNCTION("""COMPUTED_VALUE"""),21.0)</f>
        <v>21</v>
      </c>
      <c r="E1139" s="2"/>
    </row>
    <row r="1140">
      <c r="A1140" s="2"/>
      <c r="B1140" s="8" t="str">
        <f>IFERROR(__xludf.DUMMYFUNCTION("""COMPUTED_VALUE"""),"UMI SAPARIAH")</f>
        <v>UMI SAPARIAH</v>
      </c>
      <c r="C1140" s="8" t="str">
        <f>IFERROR(__xludf.DUMMYFUNCTION("""COMPUTED_VALUE"""),"U6824034194")</f>
        <v>U6824034194</v>
      </c>
      <c r="D1140" s="8">
        <f>IFERROR(__xludf.DUMMYFUNCTION("""COMPUTED_VALUE"""),58.0)</f>
        <v>58</v>
      </c>
      <c r="E1140" s="2"/>
    </row>
    <row r="1141">
      <c r="A1141" s="2"/>
      <c r="B1141" s="8" t="str">
        <f>IFERROR(__xludf.DUMMYFUNCTION("""COMPUTED_VALUE"""),"RASIAH")</f>
        <v>RASIAH</v>
      </c>
      <c r="C1141" s="8" t="str">
        <f>IFERROR(__xludf.DUMMYFUNCTION("""COMPUTED_VALUE"""),"R5524035225")</f>
        <v>R5524035225</v>
      </c>
      <c r="D1141" s="8">
        <f>IFERROR(__xludf.DUMMYFUNCTION("""COMPUTED_VALUE"""),70.0)</f>
        <v>70</v>
      </c>
      <c r="E1141" s="2"/>
    </row>
    <row r="1142">
      <c r="A1142" s="2"/>
      <c r="B1142" s="8" t="str">
        <f>IFERROR(__xludf.DUMMYFUNCTION("""COMPUTED_VALUE"""),"KENNETH CARMEN")</f>
        <v>KENNETH CARMEN</v>
      </c>
      <c r="C1142" s="8" t="str">
        <f>IFERROR(__xludf.DUMMYFUNCTION("""COMPUTED_VALUE"""),"K9924034069")</f>
        <v>K9924034069</v>
      </c>
      <c r="D1142" s="8">
        <f>IFERROR(__xludf.DUMMYFUNCTION("""COMPUTED_VALUE"""),26.0)</f>
        <v>26</v>
      </c>
      <c r="E1142" s="2"/>
    </row>
    <row r="1143">
      <c r="A1143" s="2"/>
      <c r="B1143" s="8" t="str">
        <f>IFERROR(__xludf.DUMMYFUNCTION("""COMPUTED_VALUE"""),"ERNAWATI LEHER")</f>
        <v>ERNAWATI LEHER</v>
      </c>
      <c r="C1143" s="8" t="str">
        <f>IFERROR(__xludf.DUMMYFUNCTION("""COMPUTED_VALUE"""),"E9424039040")</f>
        <v>E9424039040</v>
      </c>
      <c r="D1143" s="8">
        <f>IFERROR(__xludf.DUMMYFUNCTION("""COMPUTED_VALUE"""),32.0)</f>
        <v>32</v>
      </c>
      <c r="E1143" s="2"/>
    </row>
    <row r="1144">
      <c r="A1144" s="2"/>
      <c r="B1144" s="8" t="str">
        <f>IFERROR(__xludf.DUMMYFUNCTION("""COMPUTED_VALUE"""),"IRINE PUTRI ARFIANY")</f>
        <v>IRINE PUTRI ARFIANY</v>
      </c>
      <c r="C1144" s="8" t="str">
        <f>IFERROR(__xludf.DUMMYFUNCTION("""COMPUTED_VALUE"""),"I9324039638")</f>
        <v>I9324039638</v>
      </c>
      <c r="D1144" s="8">
        <f>IFERROR(__xludf.DUMMYFUNCTION("""COMPUTED_VALUE"""),32.0)</f>
        <v>32</v>
      </c>
      <c r="E1144" s="2"/>
    </row>
    <row r="1145">
      <c r="A1145" s="2"/>
      <c r="B1145" s="8" t="str">
        <f>IFERROR(__xludf.DUMMYFUNCTION("""COMPUTED_VALUE"""),"YANE TRISTIANTI")</f>
        <v>YANE TRISTIANTI</v>
      </c>
      <c r="C1145" s="8" t="str">
        <f>IFERROR(__xludf.DUMMYFUNCTION("""COMPUTED_VALUE"""),"Y7724037898")</f>
        <v>Y7724037898</v>
      </c>
      <c r="D1145" s="8">
        <f>IFERROR(__xludf.DUMMYFUNCTION("""COMPUTED_VALUE"""),49.0)</f>
        <v>49</v>
      </c>
      <c r="E1145" s="2"/>
    </row>
    <row r="1146">
      <c r="A1146" s="2"/>
      <c r="B1146" s="8" t="str">
        <f>IFERROR(__xludf.DUMMYFUNCTION("""COMPUTED_VALUE"""),"PRISTANTO NUGROHO SARLINTON")</f>
        <v>PRISTANTO NUGROHO SARLINTON</v>
      </c>
      <c r="C1146" s="8" t="str">
        <f>IFERROR(__xludf.DUMMYFUNCTION("""COMPUTED_VALUE"""),"P9024032828")</f>
        <v>P9024032828</v>
      </c>
      <c r="D1146" s="8">
        <f>IFERROR(__xludf.DUMMYFUNCTION("""COMPUTED_VALUE"""),36.0)</f>
        <v>36</v>
      </c>
      <c r="E1146" s="2"/>
    </row>
    <row r="1147">
      <c r="A1147" s="2"/>
      <c r="B1147" s="8" t="str">
        <f>IFERROR(__xludf.DUMMYFUNCTION("""COMPUTED_VALUE"""),"KHELLY CLOUDIA HAN")</f>
        <v>KHELLY CLOUDIA HAN</v>
      </c>
      <c r="C1147" s="8" t="str">
        <f>IFERROR(__xludf.DUMMYFUNCTION("""COMPUTED_VALUE"""),"K0524031005")</f>
        <v>K0524031005</v>
      </c>
      <c r="D1147" s="8">
        <f>IFERROR(__xludf.DUMMYFUNCTION("""COMPUTED_VALUE"""),20.0)</f>
        <v>20</v>
      </c>
      <c r="E1147" s="2"/>
    </row>
    <row r="1148">
      <c r="A1148" s="2"/>
      <c r="B1148" s="8" t="str">
        <f>IFERROR(__xludf.DUMMYFUNCTION("""COMPUTED_VALUE"""),"AHMADI IRIANSYAH")</f>
        <v>AHMADI IRIANSYAH</v>
      </c>
      <c r="C1148" s="8" t="str">
        <f>IFERROR(__xludf.DUMMYFUNCTION("""COMPUTED_VALUE"""),"A6024033325")</f>
        <v>A6024033325</v>
      </c>
      <c r="D1148" s="8">
        <f>IFERROR(__xludf.DUMMYFUNCTION("""COMPUTED_VALUE"""),66.0)</f>
        <v>66</v>
      </c>
      <c r="E1148" s="2"/>
    </row>
    <row r="1149">
      <c r="A1149" s="2"/>
      <c r="B1149" s="8" t="str">
        <f>IFERROR(__xludf.DUMMYFUNCTION("""COMPUTED_VALUE"""),"REZA DERMAWAN")</f>
        <v>REZA DERMAWAN</v>
      </c>
      <c r="C1149" s="8" t="str">
        <f>IFERROR(__xludf.DUMMYFUNCTION("""COMPUTED_VALUE"""),"R9724036916")</f>
        <v>R9724036916</v>
      </c>
      <c r="D1149" s="8">
        <f>IFERROR(__xludf.DUMMYFUNCTION("""COMPUTED_VALUE"""),28.0)</f>
        <v>28</v>
      </c>
      <c r="E1149" s="2"/>
    </row>
    <row r="1150">
      <c r="A1150" s="2"/>
      <c r="B1150" s="8" t="str">
        <f>IFERROR(__xludf.DUMMYFUNCTION("""COMPUTED_VALUE"""),"ALEXANDER ERICK")</f>
        <v>ALEXANDER ERICK</v>
      </c>
      <c r="C1150" s="8" t="str">
        <f>IFERROR(__xludf.DUMMYFUNCTION("""COMPUTED_VALUE"""),"A8824038829")</f>
        <v>A8824038829</v>
      </c>
      <c r="D1150" s="8">
        <f>IFERROR(__xludf.DUMMYFUNCTION("""COMPUTED_VALUE"""),37.0)</f>
        <v>37</v>
      </c>
      <c r="E1150" s="2"/>
    </row>
    <row r="1151">
      <c r="A1151" s="2"/>
      <c r="B1151" s="8" t="str">
        <f>IFERROR(__xludf.DUMMYFUNCTION("""COMPUTED_VALUE"""),"ADWAN HARTONO")</f>
        <v>ADWAN HARTONO</v>
      </c>
      <c r="C1151" s="8" t="str">
        <f>IFERROR(__xludf.DUMMYFUNCTION("""COMPUTED_VALUE"""),"A6824039810")</f>
        <v>A6824039810</v>
      </c>
      <c r="D1151" s="8">
        <f>IFERROR(__xludf.DUMMYFUNCTION("""COMPUTED_VALUE"""),57.0)</f>
        <v>57</v>
      </c>
      <c r="E1151" s="2"/>
    </row>
    <row r="1152">
      <c r="A1152" s="2"/>
      <c r="B1152" s="8" t="str">
        <f>IFERROR(__xludf.DUMMYFUNCTION("""COMPUTED_VALUE"""),"GESIT PUJI LARASATI")</f>
        <v>GESIT PUJI LARASATI</v>
      </c>
      <c r="C1152" s="8" t="str">
        <f>IFERROR(__xludf.DUMMYFUNCTION("""COMPUTED_VALUE"""),"G0424038938")</f>
        <v>G0424038938</v>
      </c>
      <c r="D1152" s="8">
        <f>IFERROR(__xludf.DUMMYFUNCTION("""COMPUTED_VALUE"""),21.0)</f>
        <v>21</v>
      </c>
      <c r="E1152" s="2"/>
    </row>
    <row r="1153">
      <c r="A1153" s="2"/>
      <c r="B1153" s="8" t="str">
        <f>IFERROR(__xludf.DUMMYFUNCTION("""COMPUTED_VALUE"""),"LANA LEVIA YURIANI PUTRI")</f>
        <v>LANA LEVIA YURIANI PUTRI</v>
      </c>
      <c r="C1153" s="8" t="str">
        <f>IFERROR(__xludf.DUMMYFUNCTION("""COMPUTED_VALUE"""),"L9624035040")</f>
        <v>L9624035040</v>
      </c>
      <c r="D1153" s="8">
        <f>IFERROR(__xludf.DUMMYFUNCTION("""COMPUTED_VALUE"""),30.0)</f>
        <v>30</v>
      </c>
      <c r="E1153" s="2"/>
    </row>
    <row r="1154">
      <c r="A1154" s="2"/>
      <c r="B1154" s="8" t="str">
        <f>IFERROR(__xludf.DUMMYFUNCTION("""COMPUTED_VALUE"""),"LUKAS PALAUN HERNANDIO PESSY")</f>
        <v>LUKAS PALAUN HERNANDIO PESSY</v>
      </c>
      <c r="C1154" s="8" t="str">
        <f>IFERROR(__xludf.DUMMYFUNCTION("""COMPUTED_VALUE"""),"L9624031708")</f>
        <v>L9624031708</v>
      </c>
      <c r="D1154" s="8">
        <f>IFERROR(__xludf.DUMMYFUNCTION("""COMPUTED_VALUE"""),30.0)</f>
        <v>30</v>
      </c>
      <c r="E1154" s="2"/>
    </row>
    <row r="1155">
      <c r="A1155" s="2"/>
      <c r="B1155" s="8" t="str">
        <f>IFERROR(__xludf.DUMMYFUNCTION("""COMPUTED_VALUE"""),"ROSALIA LOVILIA")</f>
        <v>ROSALIA LOVILIA</v>
      </c>
      <c r="C1155" s="8" t="str">
        <f>IFERROR(__xludf.DUMMYFUNCTION("""COMPUTED_VALUE"""),"R8224032208")</f>
        <v>R8224032208</v>
      </c>
      <c r="D1155" s="8">
        <f>IFERROR(__xludf.DUMMYFUNCTION("""COMPUTED_VALUE"""),44.0)</f>
        <v>44</v>
      </c>
      <c r="E1155" s="2"/>
    </row>
    <row r="1156">
      <c r="A1156" s="2"/>
      <c r="B1156" s="8" t="str">
        <f>IFERROR(__xludf.DUMMYFUNCTION("""COMPUTED_VALUE"""),"RAJA AQSHA P ANKLE")</f>
        <v>RAJA AQSHA P ANKLE</v>
      </c>
      <c r="C1156" s="8" t="str">
        <f>IFERROR(__xludf.DUMMYFUNCTION("""COMPUTED_VALUE"""),"R1024035743")</f>
        <v>R1024035743</v>
      </c>
      <c r="D1156" s="8">
        <f>IFERROR(__xludf.DUMMYFUNCTION("""COMPUTED_VALUE"""),16.0)</f>
        <v>16</v>
      </c>
      <c r="E1156" s="2"/>
    </row>
    <row r="1157">
      <c r="A1157" s="2"/>
      <c r="B1157" s="8" t="str">
        <f>IFERROR(__xludf.DUMMYFUNCTION("""COMPUTED_VALUE"""),"BAYU MARTIN ARSYAD")</f>
        <v>BAYU MARTIN ARSYAD</v>
      </c>
      <c r="C1157" s="8" t="str">
        <f>IFERROR(__xludf.DUMMYFUNCTION("""COMPUTED_VALUE"""),"B8424031303")</f>
        <v>B8424031303</v>
      </c>
      <c r="D1157" s="8">
        <f>IFERROR(__xludf.DUMMYFUNCTION("""COMPUTED_VALUE"""),42.0)</f>
        <v>42</v>
      </c>
      <c r="E1157" s="2"/>
    </row>
    <row r="1158">
      <c r="A1158" s="2"/>
      <c r="B1158" s="8" t="str">
        <f>IFERROR(__xludf.DUMMYFUNCTION("""COMPUTED_VALUE"""),"JENSEN")</f>
        <v>JENSEN</v>
      </c>
      <c r="C1158" s="8" t="str">
        <f>IFERROR(__xludf.DUMMYFUNCTION("""COMPUTED_VALUE"""),"J0924037008")</f>
        <v>J0924037008</v>
      </c>
      <c r="D1158" s="8">
        <f>IFERROR(__xludf.DUMMYFUNCTION("""COMPUTED_VALUE"""),17.0)</f>
        <v>17</v>
      </c>
      <c r="E1158" s="2"/>
    </row>
    <row r="1159">
      <c r="A1159" s="2"/>
      <c r="B1159" s="8" t="str">
        <f>IFERROR(__xludf.DUMMYFUNCTION("""COMPUTED_VALUE"""),"LIU SAN KHIM ALS SUFIANTO")</f>
        <v>LIU SAN KHIM ALS SUFIANTO</v>
      </c>
      <c r="C1159" s="8" t="str">
        <f>IFERROR(__xludf.DUMMYFUNCTION("""COMPUTED_VALUE"""),"L6324031128")</f>
        <v>L6324031128</v>
      </c>
      <c r="D1159" s="8">
        <f>IFERROR(__xludf.DUMMYFUNCTION("""COMPUTED_VALUE"""),62.0)</f>
        <v>62</v>
      </c>
      <c r="E1159" s="2"/>
    </row>
    <row r="1160">
      <c r="A1160" s="2"/>
      <c r="B1160" s="8" t="str">
        <f>IFERROR(__xludf.DUMMYFUNCTION("""COMPUTED_VALUE"""),"MIRA LESTINA")</f>
        <v>MIRA LESTINA</v>
      </c>
      <c r="C1160" s="8" t="str">
        <f>IFERROR(__xludf.DUMMYFUNCTION("""COMPUTED_VALUE"""),"M6624035095")</f>
        <v>M6624035095</v>
      </c>
      <c r="D1160" s="8">
        <f>IFERROR(__xludf.DUMMYFUNCTION("""COMPUTED_VALUE"""),60.0)</f>
        <v>60</v>
      </c>
      <c r="E1160" s="2"/>
    </row>
    <row r="1161">
      <c r="A1161" s="2"/>
      <c r="B1161" s="8" t="str">
        <f>IFERROR(__xludf.DUMMYFUNCTION("""COMPUTED_VALUE"""),"RAFIF WAHYU HABIBULLAH")</f>
        <v>RAFIF WAHYU HABIBULLAH</v>
      </c>
      <c r="C1161" s="8" t="str">
        <f>IFERROR(__xludf.DUMMYFUNCTION("""COMPUTED_VALUE"""),"R0524034905")</f>
        <v>R0524034905</v>
      </c>
      <c r="D1161" s="8">
        <f>IFERROR(__xludf.DUMMYFUNCTION("""COMPUTED_VALUE"""),20.0)</f>
        <v>20</v>
      </c>
      <c r="E1161" s="2"/>
    </row>
    <row r="1162">
      <c r="A1162" s="2"/>
      <c r="B1162" s="8" t="str">
        <f>IFERROR(__xludf.DUMMYFUNCTION("""COMPUTED_VALUE"""),"BERN WIDJATAMMA")</f>
        <v>BERN WIDJATAMMA</v>
      </c>
      <c r="C1162" s="8" t="str">
        <f>IFERROR(__xludf.DUMMYFUNCTION("""COMPUTED_VALUE"""),"B1524031912")</f>
        <v>B1524031912</v>
      </c>
      <c r="D1162" s="8">
        <f>IFERROR(__xludf.DUMMYFUNCTION("""COMPUTED_VALUE"""),10.0)</f>
        <v>10</v>
      </c>
      <c r="E1162" s="2"/>
    </row>
    <row r="1163">
      <c r="A1163" s="2"/>
      <c r="B1163" s="8" t="str">
        <f>IFERROR(__xludf.DUMMYFUNCTION("""COMPUTED_VALUE"""),"MUHAMMAD IQBAL NOVIANSYAH")</f>
        <v>MUHAMMAD IQBAL NOVIANSYAH</v>
      </c>
      <c r="C1163" s="8" t="str">
        <f>IFERROR(__xludf.DUMMYFUNCTION("""COMPUTED_VALUE"""),"M2424031093")</f>
        <v>M2424031093</v>
      </c>
      <c r="D1163" s="8">
        <f>IFERROR(__xludf.DUMMYFUNCTION("""COMPUTED_VALUE"""),2.0)</f>
        <v>2</v>
      </c>
      <c r="E1163" s="2"/>
    </row>
    <row r="1164">
      <c r="A1164" s="2"/>
      <c r="B1164" s="8" t="str">
        <f>IFERROR(__xludf.DUMMYFUNCTION("""COMPUTED_VALUE"""),"ERICSON CHANDRA JAP")</f>
        <v>ERICSON CHANDRA JAP</v>
      </c>
      <c r="C1164" s="8" t="str">
        <f>IFERROR(__xludf.DUMMYFUNCTION("""COMPUTED_VALUE"""),"E0024032808")</f>
        <v>E0024032808</v>
      </c>
      <c r="D1164" s="8">
        <f>IFERROR(__xludf.DUMMYFUNCTION("""COMPUTED_VALUE"""),25.0)</f>
        <v>25</v>
      </c>
      <c r="E1164" s="2"/>
    </row>
    <row r="1165">
      <c r="A1165" s="2"/>
      <c r="B1165" s="8" t="str">
        <f>IFERROR(__xludf.DUMMYFUNCTION("""COMPUTED_VALUE"""),"OLGA MAROLINA SIMANUNGKALIT")</f>
        <v>OLGA MAROLINA SIMANUNGKALIT</v>
      </c>
      <c r="C1165" s="8" t="str">
        <f>IFERROR(__xludf.DUMMYFUNCTION("""COMPUTED_VALUE"""),"O9424030947")</f>
        <v>O9424030947</v>
      </c>
      <c r="D1165" s="8">
        <f>IFERROR(__xludf.DUMMYFUNCTION("""COMPUTED_VALUE"""),32.0)</f>
        <v>32</v>
      </c>
      <c r="E1165" s="2"/>
    </row>
    <row r="1166">
      <c r="A1166" s="2"/>
      <c r="B1166" s="8" t="str">
        <f>IFERROR(__xludf.DUMMYFUNCTION("""COMPUTED_VALUE"""),"FINA VIDYA ALIFA")</f>
        <v>FINA VIDYA ALIFA</v>
      </c>
      <c r="C1166" s="8" t="str">
        <f>IFERROR(__xludf.DUMMYFUNCTION("""COMPUTED_VALUE"""),"F8424032728")</f>
        <v>F8424032728</v>
      </c>
      <c r="D1166" s="8">
        <f>IFERROR(__xludf.DUMMYFUNCTION("""COMPUTED_VALUE"""),42.0)</f>
        <v>42</v>
      </c>
      <c r="E1166" s="2"/>
    </row>
    <row r="1167">
      <c r="A1167" s="2"/>
      <c r="B1167" s="8" t="str">
        <f>IFERROR(__xludf.DUMMYFUNCTION("""COMPUTED_VALUE"""),"TEZA JOPLIN PAELONGAN")</f>
        <v>TEZA JOPLIN PAELONGAN</v>
      </c>
      <c r="C1167" s="8" t="str">
        <f>IFERROR(__xludf.DUMMYFUNCTION("""COMPUTED_VALUE"""),"T9724032757")</f>
        <v>T9724032757</v>
      </c>
      <c r="D1167" s="8">
        <f>IFERROR(__xludf.DUMMYFUNCTION("""COMPUTED_VALUE"""),29.0)</f>
        <v>29</v>
      </c>
      <c r="E1167" s="2"/>
    </row>
    <row r="1168">
      <c r="A1168" s="2"/>
      <c r="B1168" s="8" t="str">
        <f>IFERROR(__xludf.DUMMYFUNCTION("""COMPUTED_VALUE"""),"KEVIN SETIA BUDI SINAGA")</f>
        <v>KEVIN SETIA BUDI SINAGA</v>
      </c>
      <c r="C1168" s="8" t="str">
        <f>IFERROR(__xludf.DUMMYFUNCTION("""COMPUTED_VALUE"""),"K0524033156")</f>
        <v>K0524033156</v>
      </c>
      <c r="D1168" s="8">
        <f>IFERROR(__xludf.DUMMYFUNCTION("""COMPUTED_VALUE"""),20.0)</f>
        <v>20</v>
      </c>
      <c r="E1168" s="2"/>
    </row>
    <row r="1169">
      <c r="A1169" s="2"/>
      <c r="B1169" s="8" t="str">
        <f>IFERROR(__xludf.DUMMYFUNCTION("""COMPUTED_VALUE"""),"RIO SAPUTRA")</f>
        <v>RIO SAPUTRA</v>
      </c>
      <c r="C1169" s="8" t="str">
        <f>IFERROR(__xludf.DUMMYFUNCTION("""COMPUTED_VALUE"""),"R8824039853")</f>
        <v>R8824039853</v>
      </c>
      <c r="D1169" s="8">
        <f>IFERROR(__xludf.DUMMYFUNCTION("""COMPUTED_VALUE"""),38.0)</f>
        <v>38</v>
      </c>
      <c r="E1169" s="2"/>
    </row>
    <row r="1170">
      <c r="A1170" s="2"/>
      <c r="B1170" s="8" t="str">
        <f>IFERROR(__xludf.DUMMYFUNCTION("""COMPUTED_VALUE"""),"DIANA MEITA MAYANG SARI")</f>
        <v>DIANA MEITA MAYANG SARI</v>
      </c>
      <c r="C1170" s="8" t="str">
        <f>IFERROR(__xludf.DUMMYFUNCTION("""COMPUTED_VALUE"""),"D9124031196")</f>
        <v>D9124031196</v>
      </c>
      <c r="D1170" s="8">
        <f>IFERROR(__xludf.DUMMYFUNCTION("""COMPUTED_VALUE"""),35.0)</f>
        <v>35</v>
      </c>
      <c r="E1170" s="2"/>
    </row>
    <row r="1171">
      <c r="A1171" s="2"/>
      <c r="B1171" s="8" t="str">
        <f>IFERROR(__xludf.DUMMYFUNCTION("""COMPUTED_VALUE"""),"NAWAF RASYAD BASALIM")</f>
        <v>NAWAF RASYAD BASALIM</v>
      </c>
      <c r="C1171" s="8" t="str">
        <f>IFERROR(__xludf.DUMMYFUNCTION("""COMPUTED_VALUE"""),"N0924035151")</f>
        <v>N0924035151</v>
      </c>
      <c r="D1171" s="8">
        <f>IFERROR(__xludf.DUMMYFUNCTION("""COMPUTED_VALUE"""),16.0)</f>
        <v>16</v>
      </c>
      <c r="E1171" s="2"/>
    </row>
    <row r="1172">
      <c r="A1172" s="2"/>
      <c r="B1172" s="8" t="str">
        <f>IFERROR(__xludf.DUMMYFUNCTION("""COMPUTED_VALUE"""),"YUDHA PRABASKARA")</f>
        <v>YUDHA PRABASKARA</v>
      </c>
      <c r="C1172" s="8" t="str">
        <f>IFERROR(__xludf.DUMMYFUNCTION("""COMPUTED_VALUE"""),"Y0424034973")</f>
        <v>Y0424034973</v>
      </c>
      <c r="D1172" s="8">
        <f>IFERROR(__xludf.DUMMYFUNCTION("""COMPUTED_VALUE"""),21.0)</f>
        <v>21</v>
      </c>
      <c r="E1172" s="2"/>
    </row>
    <row r="1173">
      <c r="A1173" s="2"/>
      <c r="B1173" s="8" t="str">
        <f>IFERROR(__xludf.DUMMYFUNCTION("""COMPUTED_VALUE"""),"FERRY HERMAWAN SUSANTO")</f>
        <v>FERRY HERMAWAN SUSANTO</v>
      </c>
      <c r="C1173" s="8" t="str">
        <f>IFERROR(__xludf.DUMMYFUNCTION("""COMPUTED_VALUE"""),"F9024039100")</f>
        <v>F9024039100</v>
      </c>
      <c r="D1173" s="8">
        <f>IFERROR(__xludf.DUMMYFUNCTION("""COMPUTED_VALUE"""),35.0)</f>
        <v>35</v>
      </c>
      <c r="E1173" s="2"/>
    </row>
    <row r="1174">
      <c r="A1174" s="2"/>
      <c r="B1174" s="8" t="str">
        <f>IFERROR(__xludf.DUMMYFUNCTION("""COMPUTED_VALUE"""),"VICKY TJAHYADI")</f>
        <v>VICKY TJAHYADI</v>
      </c>
      <c r="C1174" s="8" t="str">
        <f>IFERROR(__xludf.DUMMYFUNCTION("""COMPUTED_VALUE"""),"V8824032966")</f>
        <v>V8824032966</v>
      </c>
      <c r="D1174" s="8">
        <f>IFERROR(__xludf.DUMMYFUNCTION("""COMPUTED_VALUE"""),38.0)</f>
        <v>38</v>
      </c>
      <c r="E1174" s="2"/>
    </row>
    <row r="1175">
      <c r="A1175" s="2"/>
      <c r="B1175" s="8" t="str">
        <f>IFERROR(__xludf.DUMMYFUNCTION("""COMPUTED_VALUE"""),"SALSABILLA DEVA")</f>
        <v>SALSABILLA DEVA</v>
      </c>
      <c r="C1175" s="8" t="str">
        <f>IFERROR(__xludf.DUMMYFUNCTION("""COMPUTED_VALUE"""),"S0024030915")</f>
        <v>S0024030915</v>
      </c>
      <c r="D1175" s="8">
        <f>IFERROR(__xludf.DUMMYFUNCTION("""COMPUTED_VALUE"""),25.0)</f>
        <v>25</v>
      </c>
      <c r="E1175" s="2"/>
    </row>
    <row r="1176">
      <c r="A1176" s="2"/>
      <c r="B1176" s="8" t="str">
        <f>IFERROR(__xludf.DUMMYFUNCTION("""COMPUTED_VALUE"""),"UTIN AINUN KASMIRI")</f>
        <v>UTIN AINUN KASMIRI</v>
      </c>
      <c r="C1176" s="8" t="str">
        <f>IFERROR(__xludf.DUMMYFUNCTION("""COMPUTED_VALUE"""),"U9824037587")</f>
        <v>U9824037587</v>
      </c>
      <c r="D1176" s="8">
        <f>IFERROR(__xludf.DUMMYFUNCTION("""COMPUTED_VALUE"""),27.0)</f>
        <v>27</v>
      </c>
      <c r="E1176" s="2"/>
    </row>
    <row r="1177">
      <c r="A1177" s="2"/>
      <c r="B1177" s="8" t="str">
        <f>IFERROR(__xludf.DUMMYFUNCTION("""COMPUTED_VALUE"""),"PRESTIAN RINDHO SAPUTRA")</f>
        <v>PRESTIAN RINDHO SAPUTRA</v>
      </c>
      <c r="C1177" s="8" t="str">
        <f>IFERROR(__xludf.DUMMYFUNCTION("""COMPUTED_VALUE"""),"P8824034466")</f>
        <v>P8824034466</v>
      </c>
      <c r="D1177" s="8">
        <f>IFERROR(__xludf.DUMMYFUNCTION("""COMPUTED_VALUE"""),37.0)</f>
        <v>37</v>
      </c>
      <c r="E1177" s="2"/>
    </row>
    <row r="1178">
      <c r="A1178" s="2"/>
      <c r="B1178" s="8" t="str">
        <f>IFERROR(__xludf.DUMMYFUNCTION("""COMPUTED_VALUE"""),"DIAH ISLAMIATI")</f>
        <v>DIAH ISLAMIATI</v>
      </c>
      <c r="C1178" s="8" t="str">
        <f>IFERROR(__xludf.DUMMYFUNCTION("""COMPUTED_VALUE"""),"D9724031790")</f>
        <v>D9724031790</v>
      </c>
      <c r="D1178" s="8">
        <f>IFERROR(__xludf.DUMMYFUNCTION("""COMPUTED_VALUE"""),29.0)</f>
        <v>29</v>
      </c>
      <c r="E1178" s="2"/>
    </row>
    <row r="1179">
      <c r="A1179" s="2"/>
      <c r="B1179" s="8" t="str">
        <f>IFERROR(__xludf.DUMMYFUNCTION("""COMPUTED_VALUE"""),"GREGERIUS SATRIO")</f>
        <v>GREGERIUS SATRIO</v>
      </c>
      <c r="C1179" s="8" t="str">
        <f>IFERROR(__xludf.DUMMYFUNCTION("""COMPUTED_VALUE"""),"G0524033881")</f>
        <v>G0524033881</v>
      </c>
      <c r="D1179" s="8">
        <f>IFERROR(__xludf.DUMMYFUNCTION("""COMPUTED_VALUE"""),20.0)</f>
        <v>20</v>
      </c>
      <c r="E1179" s="2"/>
    </row>
    <row r="1180">
      <c r="A1180" s="2"/>
      <c r="B1180" s="8" t="str">
        <f>IFERROR(__xludf.DUMMYFUNCTION("""COMPUTED_VALUE"""),"NIRWANI")</f>
        <v>NIRWANI</v>
      </c>
      <c r="C1180" s="8" t="str">
        <f>IFERROR(__xludf.DUMMYFUNCTION("""COMPUTED_VALUE"""),"N6524033730")</f>
        <v>N6524033730</v>
      </c>
      <c r="D1180" s="8">
        <f>IFERROR(__xludf.DUMMYFUNCTION("""COMPUTED_VALUE"""),61.0)</f>
        <v>61</v>
      </c>
      <c r="E1180" s="2"/>
    </row>
    <row r="1181">
      <c r="A1181" s="2"/>
      <c r="B1181" s="8" t="str">
        <f>IFERROR(__xludf.DUMMYFUNCTION("""COMPUTED_VALUE"""),"JOHRI")</f>
        <v>JOHRI</v>
      </c>
      <c r="C1181" s="8" t="str">
        <f>IFERROR(__xludf.DUMMYFUNCTION("""COMPUTED_VALUE"""),"J7724036644")</f>
        <v>J7724036644</v>
      </c>
      <c r="D1181" s="8">
        <f>IFERROR(__xludf.DUMMYFUNCTION("""COMPUTED_VALUE"""),48.0)</f>
        <v>48</v>
      </c>
      <c r="E1181" s="2"/>
    </row>
    <row r="1182">
      <c r="A1182" s="2"/>
      <c r="B1182" s="8" t="str">
        <f>IFERROR(__xludf.DUMMYFUNCTION("""COMPUTED_VALUE"""),"DEKI DEVIANDI")</f>
        <v>DEKI DEVIANDI</v>
      </c>
      <c r="C1182" s="8" t="str">
        <f>IFERROR(__xludf.DUMMYFUNCTION("""COMPUTED_VALUE"""),"D8924032283")</f>
        <v>D8924032283</v>
      </c>
      <c r="D1182" s="8">
        <f>IFERROR(__xludf.DUMMYFUNCTION("""COMPUTED_VALUE"""),36.0)</f>
        <v>36</v>
      </c>
      <c r="E1182" s="2"/>
    </row>
    <row r="1183">
      <c r="A1183" s="2"/>
      <c r="B1183" s="8" t="str">
        <f>IFERROR(__xludf.DUMMYFUNCTION("""COMPUTED_VALUE"""),"MINI PURWANTI")</f>
        <v>MINI PURWANTI</v>
      </c>
      <c r="C1183" s="8" t="str">
        <f>IFERROR(__xludf.DUMMYFUNCTION("""COMPUTED_VALUE"""),"M7424030650")</f>
        <v>M7424030650</v>
      </c>
      <c r="D1183" s="8">
        <f>IFERROR(__xludf.DUMMYFUNCTION("""COMPUTED_VALUE"""),51.0)</f>
        <v>51</v>
      </c>
      <c r="E1183" s="2"/>
    </row>
    <row r="1184">
      <c r="A1184" s="2"/>
      <c r="B1184" s="8" t="str">
        <f>IFERROR(__xludf.DUMMYFUNCTION("""COMPUTED_VALUE"""),"AGNES VERONIKA")</f>
        <v>AGNES VERONIKA</v>
      </c>
      <c r="C1184" s="8" t="str">
        <f>IFERROR(__xludf.DUMMYFUNCTION("""COMPUTED_VALUE"""),"A9224038209")</f>
        <v>A9224038209</v>
      </c>
      <c r="D1184" s="8">
        <f>IFERROR(__xludf.DUMMYFUNCTION("""COMPUTED_VALUE"""),33.0)</f>
        <v>33</v>
      </c>
      <c r="E1184" s="2"/>
    </row>
    <row r="1185">
      <c r="A1185" s="2"/>
      <c r="B1185" s="8" t="str">
        <f>IFERROR(__xludf.DUMMYFUNCTION("""COMPUTED_VALUE"""),"ELY")</f>
        <v>ELY</v>
      </c>
      <c r="C1185" s="8" t="str">
        <f>IFERROR(__xludf.DUMMYFUNCTION("""COMPUTED_VALUE"""),"E7324031888")</f>
        <v>E7324031888</v>
      </c>
      <c r="D1185" s="8">
        <f>IFERROR(__xludf.DUMMYFUNCTION("""COMPUTED_VALUE"""),52.0)</f>
        <v>52</v>
      </c>
      <c r="E1185" s="2"/>
    </row>
    <row r="1186">
      <c r="A1186" s="2"/>
      <c r="B1186" s="8" t="str">
        <f>IFERROR(__xludf.DUMMYFUNCTION("""COMPUTED_VALUE"""),"USWATUN HASANAH")</f>
        <v>USWATUN HASANAH</v>
      </c>
      <c r="C1186" s="8" t="str">
        <f>IFERROR(__xludf.DUMMYFUNCTION("""COMPUTED_VALUE"""),"U9024039944")</f>
        <v>U9024039944</v>
      </c>
      <c r="D1186" s="8">
        <f>IFERROR(__xludf.DUMMYFUNCTION("""COMPUTED_VALUE"""),36.0)</f>
        <v>36</v>
      </c>
      <c r="E1186" s="2"/>
    </row>
    <row r="1187">
      <c r="A1187" s="2"/>
      <c r="B1187" s="8" t="str">
        <f>IFERROR(__xludf.DUMMYFUNCTION("""COMPUTED_VALUE"""),"A. HAMID")</f>
        <v>A. HAMID</v>
      </c>
      <c r="C1187" s="8" t="str">
        <f>IFERROR(__xludf.DUMMYFUNCTION("""COMPUTED_VALUE"""),"A6224036204")</f>
        <v>A6224036204</v>
      </c>
      <c r="D1187" s="8">
        <f>IFERROR(__xludf.DUMMYFUNCTION("""COMPUTED_VALUE"""),64.0)</f>
        <v>64</v>
      </c>
      <c r="E1187" s="2"/>
    </row>
    <row r="1188">
      <c r="A1188" s="2"/>
      <c r="B1188" s="8" t="str">
        <f>IFERROR(__xludf.DUMMYFUNCTION("""COMPUTED_VALUE"""),"RAIHELFIRSTKEIN FINSAE")</f>
        <v>RAIHELFIRSTKEIN FINSAE</v>
      </c>
      <c r="C1188" s="8" t="str">
        <f>IFERROR(__xludf.DUMMYFUNCTION("""COMPUTED_VALUE"""),"R0624034271")</f>
        <v>R0624034271</v>
      </c>
      <c r="D1188" s="8">
        <f>IFERROR(__xludf.DUMMYFUNCTION("""COMPUTED_VALUE"""),20.0)</f>
        <v>20</v>
      </c>
      <c r="E1188" s="2"/>
    </row>
    <row r="1189">
      <c r="A1189" s="2"/>
      <c r="B1189" s="8" t="str">
        <f>IFERROR(__xludf.DUMMYFUNCTION("""COMPUTED_VALUE"""),"YOKA MIRANI")</f>
        <v>YOKA MIRANI</v>
      </c>
      <c r="C1189" s="8" t="str">
        <f>IFERROR(__xludf.DUMMYFUNCTION("""COMPUTED_VALUE"""),"Y9424036638")</f>
        <v>Y9424036638</v>
      </c>
      <c r="D1189" s="8">
        <f>IFERROR(__xludf.DUMMYFUNCTION("""COMPUTED_VALUE"""),32.0)</f>
        <v>32</v>
      </c>
      <c r="E1189" s="2"/>
    </row>
    <row r="1190">
      <c r="A1190" s="2"/>
      <c r="B1190" s="8" t="str">
        <f>IFERROR(__xludf.DUMMYFUNCTION("""COMPUTED_VALUE"""),"FAHRI ANANDA PUTRA")</f>
        <v>FAHRI ANANDA PUTRA</v>
      </c>
      <c r="C1190" s="8" t="str">
        <f>IFERROR(__xludf.DUMMYFUNCTION("""COMPUTED_VALUE"""),"F1124032482")</f>
        <v>F1124032482</v>
      </c>
      <c r="D1190" s="8">
        <f>IFERROR(__xludf.DUMMYFUNCTION("""COMPUTED_VALUE"""),14.0)</f>
        <v>14</v>
      </c>
      <c r="E1190" s="2"/>
    </row>
    <row r="1191">
      <c r="A1191" s="2"/>
      <c r="B1191" s="8" t="str">
        <f>IFERROR(__xludf.DUMMYFUNCTION("""COMPUTED_VALUE"""),"ULLY FAKHRUNI")</f>
        <v>ULLY FAKHRUNI</v>
      </c>
      <c r="C1191" s="8" t="str">
        <f>IFERROR(__xludf.DUMMYFUNCTION("""COMPUTED_VALUE"""),"U9324035809")</f>
        <v>U9324035809</v>
      </c>
      <c r="D1191" s="8">
        <f>IFERROR(__xludf.DUMMYFUNCTION("""COMPUTED_VALUE"""),33.0)</f>
        <v>33</v>
      </c>
      <c r="E1191" s="2"/>
    </row>
    <row r="1192">
      <c r="A1192" s="2"/>
      <c r="B1192" s="8" t="str">
        <f>IFERROR(__xludf.DUMMYFUNCTION("""COMPUTED_VALUE"""),"YOGI EGA SAPUTRA")</f>
        <v>YOGI EGA SAPUTRA</v>
      </c>
      <c r="C1192" s="8" t="str">
        <f>IFERROR(__xludf.DUMMYFUNCTION("""COMPUTED_VALUE"""),"Y9724037446")</f>
        <v>Y9724037446</v>
      </c>
      <c r="D1192" s="8">
        <f>IFERROR(__xludf.DUMMYFUNCTION("""COMPUTED_VALUE"""),29.0)</f>
        <v>29</v>
      </c>
      <c r="E1192" s="2"/>
    </row>
    <row r="1193">
      <c r="A1193" s="2"/>
      <c r="B1193" s="8" t="str">
        <f>IFERROR(__xludf.DUMMYFUNCTION("""COMPUTED_VALUE"""),"FORGENSIUS YOGI")</f>
        <v>FORGENSIUS YOGI</v>
      </c>
      <c r="C1193" s="8" t="str">
        <f>IFERROR(__xludf.DUMMYFUNCTION("""COMPUTED_VALUE"""),"F0724032482")</f>
        <v>F0724032482</v>
      </c>
      <c r="D1193" s="8">
        <f>IFERROR(__xludf.DUMMYFUNCTION("""COMPUTED_VALUE"""),19.0)</f>
        <v>19</v>
      </c>
      <c r="E1193" s="2"/>
    </row>
    <row r="1194">
      <c r="A1194" s="2"/>
      <c r="B1194" s="8" t="str">
        <f>IFERROR(__xludf.DUMMYFUNCTION("""COMPUTED_VALUE"""),"DAUHAH YUSUF")</f>
        <v>DAUHAH YUSUF</v>
      </c>
      <c r="C1194" s="8" t="str">
        <f>IFERROR(__xludf.DUMMYFUNCTION("""COMPUTED_VALUE"""),"D5424034604")</f>
        <v>D5424034604</v>
      </c>
      <c r="D1194" s="8">
        <f>IFERROR(__xludf.DUMMYFUNCTION("""COMPUTED_VALUE"""),71.0)</f>
        <v>71</v>
      </c>
      <c r="E1194" s="2"/>
    </row>
    <row r="1195">
      <c r="A1195" s="2"/>
      <c r="B1195" s="8" t="str">
        <f>IFERROR(__xludf.DUMMYFUNCTION("""COMPUTED_VALUE"""),"NELLY IRIANTI")</f>
        <v>NELLY IRIANTI</v>
      </c>
      <c r="C1195" s="8" t="str">
        <f>IFERROR(__xludf.DUMMYFUNCTION("""COMPUTED_VALUE"""),"N6224030202")</f>
        <v>N6224030202</v>
      </c>
      <c r="D1195" s="8">
        <f>IFERROR(__xludf.DUMMYFUNCTION("""COMPUTED_VALUE"""),64.0)</f>
        <v>64</v>
      </c>
      <c r="E1195" s="2"/>
    </row>
    <row r="1196">
      <c r="A1196" s="2"/>
      <c r="B1196" s="8" t="str">
        <f>IFERROR(__xludf.DUMMYFUNCTION("""COMPUTED_VALUE"""),"HERLINA")</f>
        <v>HERLINA</v>
      </c>
      <c r="C1196" s="8" t="str">
        <f>IFERROR(__xludf.DUMMYFUNCTION("""COMPUTED_VALUE"""),"H6624039139")</f>
        <v>H6624039139</v>
      </c>
      <c r="D1196" s="8">
        <f>IFERROR(__xludf.DUMMYFUNCTION("""COMPUTED_VALUE"""),60.0)</f>
        <v>60</v>
      </c>
      <c r="E1196" s="2"/>
    </row>
    <row r="1197">
      <c r="A1197" s="2"/>
      <c r="B1197" s="8" t="str">
        <f>IFERROR(__xludf.DUMMYFUNCTION("""COMPUTED_VALUE"""),"UTIN RIA UNTANIA HIKMAH")</f>
        <v>UTIN RIA UNTANIA HIKMAH</v>
      </c>
      <c r="C1197" s="8" t="str">
        <f>IFERROR(__xludf.DUMMYFUNCTION("""COMPUTED_VALUE"""),"U9124033500")</f>
        <v>U9124033500</v>
      </c>
      <c r="D1197" s="8">
        <f>IFERROR(__xludf.DUMMYFUNCTION("""COMPUTED_VALUE"""),34.0)</f>
        <v>34</v>
      </c>
      <c r="E1197" s="2"/>
    </row>
    <row r="1198">
      <c r="A1198" s="2"/>
      <c r="B1198" s="8" t="str">
        <f>IFERROR(__xludf.DUMMYFUNCTION("""COMPUTED_VALUE"""),"ABDUL RAHIM 7107")</f>
        <v>ABDUL RAHIM 7107</v>
      </c>
      <c r="C1198" s="8" t="str">
        <f>IFERROR(__xludf.DUMMYFUNCTION("""COMPUTED_VALUE"""),"A7124036901")</f>
        <v>A7124036901</v>
      </c>
      <c r="D1198" s="8">
        <f>IFERROR(__xludf.DUMMYFUNCTION("""COMPUTED_VALUE"""),55.0)</f>
        <v>55</v>
      </c>
      <c r="E1198" s="2"/>
    </row>
    <row r="1199">
      <c r="A1199" s="2"/>
      <c r="B1199" s="8" t="str">
        <f>IFERROR(__xludf.DUMMYFUNCTION("""COMPUTED_VALUE"""),"DEVI NOVIANI")</f>
        <v>DEVI NOVIANI</v>
      </c>
      <c r="C1199" s="8" t="str">
        <f>IFERROR(__xludf.DUMMYFUNCTION("""COMPUTED_VALUE"""),"D8824033636")</f>
        <v>D8824033636</v>
      </c>
      <c r="D1199" s="8">
        <f>IFERROR(__xludf.DUMMYFUNCTION("""COMPUTED_VALUE"""),37.0)</f>
        <v>37</v>
      </c>
      <c r="E1199" s="2"/>
    </row>
    <row r="1200">
      <c r="A1200" s="2"/>
      <c r="B1200" s="8" t="str">
        <f>IFERROR(__xludf.DUMMYFUNCTION("""COMPUTED_VALUE"""),"HJ SUGIMAN")</f>
        <v>HJ SUGIMAN</v>
      </c>
      <c r="C1200" s="8" t="str">
        <f>IFERROR(__xludf.DUMMYFUNCTION("""COMPUTED_VALUE"""),"H6524035632")</f>
        <v>H6524035632</v>
      </c>
      <c r="D1200" s="8">
        <f>IFERROR(__xludf.DUMMYFUNCTION("""COMPUTED_VALUE"""),61.0)</f>
        <v>61</v>
      </c>
      <c r="E1200" s="2"/>
    </row>
    <row r="1201">
      <c r="A1201" s="2"/>
      <c r="B1201" s="8" t="str">
        <f>IFERROR(__xludf.DUMMYFUNCTION("""COMPUTED_VALUE"""),"ARDYKA ANGGRIAWAN")</f>
        <v>ARDYKA ANGGRIAWAN</v>
      </c>
      <c r="C1201" s="8" t="str">
        <f>IFERROR(__xludf.DUMMYFUNCTION("""COMPUTED_VALUE"""),"A8724030600")</f>
        <v>A8724030600</v>
      </c>
      <c r="D1201" s="8">
        <f>IFERROR(__xludf.DUMMYFUNCTION("""COMPUTED_VALUE"""),38.0)</f>
        <v>38</v>
      </c>
      <c r="E1201" s="2"/>
    </row>
    <row r="1202">
      <c r="A1202" s="2"/>
      <c r="B1202" s="8" t="str">
        <f>IFERROR(__xludf.DUMMYFUNCTION("""COMPUTED_VALUE"""),"R. WENNY AGUSTRINI, A. MD")</f>
        <v>R. WENNY AGUSTRINI, A. MD</v>
      </c>
      <c r="C1202" s="8" t="str">
        <f>IFERROR(__xludf.DUMMYFUNCTION("""COMPUTED_VALUE"""),"R7824033631")</f>
        <v>R7824033631</v>
      </c>
      <c r="D1202" s="8">
        <f>IFERROR(__xludf.DUMMYFUNCTION("""COMPUTED_VALUE"""),48.0)</f>
        <v>48</v>
      </c>
      <c r="E1202" s="2"/>
    </row>
    <row r="1203">
      <c r="A1203" s="2"/>
      <c r="B1203" s="8" t="str">
        <f>IFERROR(__xludf.DUMMYFUNCTION("""COMPUTED_VALUE"""),"MUHAMMAD ILYAS")</f>
        <v>MUHAMMAD ILYAS</v>
      </c>
      <c r="C1203" s="8" t="str">
        <f>IFERROR(__xludf.DUMMYFUNCTION("""COMPUTED_VALUE"""),"M8324037016")</f>
        <v>M8324037016</v>
      </c>
      <c r="D1203" s="8">
        <f>IFERROR(__xludf.DUMMYFUNCTION("""COMPUTED_VALUE"""),43.0)</f>
        <v>43</v>
      </c>
      <c r="E1203" s="2"/>
    </row>
    <row r="1204">
      <c r="A1204" s="2"/>
      <c r="B1204" s="8" t="str">
        <f>IFERROR(__xludf.DUMMYFUNCTION("""COMPUTED_VALUE"""),"ARBIAN OCTORA")</f>
        <v>ARBIAN OCTORA</v>
      </c>
      <c r="C1204" s="8" t="str">
        <f>IFERROR(__xludf.DUMMYFUNCTION("""COMPUTED_VALUE"""),"A8024031990")</f>
        <v>A8024031990</v>
      </c>
      <c r="D1204" s="8">
        <f>IFERROR(__xludf.DUMMYFUNCTION("""COMPUTED_VALUE"""),45.0)</f>
        <v>45</v>
      </c>
      <c r="E1204" s="2"/>
    </row>
    <row r="1205">
      <c r="A1205" s="2"/>
      <c r="B1205" s="8" t="str">
        <f>IFERROR(__xludf.DUMMYFUNCTION("""COMPUTED_VALUE"""),"REHAN KHAIDIR RIZKY")</f>
        <v>REHAN KHAIDIR RIZKY</v>
      </c>
      <c r="C1205" s="8" t="str">
        <f>IFERROR(__xludf.DUMMYFUNCTION("""COMPUTED_VALUE"""),"R0624035637")</f>
        <v>R0624035637</v>
      </c>
      <c r="D1205" s="8">
        <f>IFERROR(__xludf.DUMMYFUNCTION("""COMPUTED_VALUE"""),20.0)</f>
        <v>20</v>
      </c>
      <c r="E1205" s="2"/>
    </row>
    <row r="1206">
      <c r="A1206" s="2"/>
      <c r="B1206" s="8" t="str">
        <f>IFERROR(__xludf.DUMMYFUNCTION("""COMPUTED_VALUE"""),"MUHAMMAD AIRA BILNADZRI")</f>
        <v>MUHAMMAD AIRA BILNADZRI</v>
      </c>
      <c r="C1206" s="8" t="str">
        <f>IFERROR(__xludf.DUMMYFUNCTION("""COMPUTED_VALUE"""),"M0224030387")</f>
        <v>M0224030387</v>
      </c>
      <c r="D1206" s="8">
        <f>IFERROR(__xludf.DUMMYFUNCTION("""COMPUTED_VALUE"""),23.0)</f>
        <v>23</v>
      </c>
      <c r="E1206" s="2"/>
    </row>
    <row r="1207">
      <c r="A1207" s="2"/>
      <c r="B1207" s="8" t="str">
        <f>IFERROR(__xludf.DUMMYFUNCTION("""COMPUTED_VALUE"""),"LIE JAN KHIM")</f>
        <v>LIE JAN KHIM</v>
      </c>
      <c r="C1207" s="8" t="str">
        <f>IFERROR(__xludf.DUMMYFUNCTION("""COMPUTED_VALUE"""),"L8324032555")</f>
        <v>L8324032555</v>
      </c>
      <c r="D1207" s="8">
        <f>IFERROR(__xludf.DUMMYFUNCTION("""COMPUTED_VALUE"""),43.0)</f>
        <v>43</v>
      </c>
      <c r="E1207" s="2"/>
    </row>
    <row r="1208">
      <c r="A1208" s="2"/>
      <c r="B1208" s="8" t="str">
        <f>IFERROR(__xludf.DUMMYFUNCTION("""COMPUTED_VALUE"""),"MICHAEL 0109")</f>
        <v>MICHAEL 0109</v>
      </c>
      <c r="C1208" s="8" t="str">
        <f>IFERROR(__xludf.DUMMYFUNCTION("""COMPUTED_VALUE"""),"M0124030509")</f>
        <v>M0124030509</v>
      </c>
      <c r="D1208" s="8">
        <f>IFERROR(__xludf.DUMMYFUNCTION("""COMPUTED_VALUE"""),24.0)</f>
        <v>24</v>
      </c>
      <c r="E1208" s="2"/>
    </row>
    <row r="1209">
      <c r="A1209" s="2"/>
      <c r="B1209" s="8" t="str">
        <f>IFERROR(__xludf.DUMMYFUNCTION("""COMPUTED_VALUE"""),"MAISUNAH")</f>
        <v>MAISUNAH</v>
      </c>
      <c r="C1209" s="8" t="str">
        <f>IFERROR(__xludf.DUMMYFUNCTION("""COMPUTED_VALUE"""),"M9324038120")</f>
        <v>M9324038120</v>
      </c>
      <c r="D1209" s="8">
        <f>IFERROR(__xludf.DUMMYFUNCTION("""COMPUTED_VALUE"""),33.0)</f>
        <v>33</v>
      </c>
      <c r="E1209" s="2"/>
    </row>
    <row r="1210">
      <c r="A1210" s="2"/>
      <c r="B1210" s="8" t="str">
        <f>IFERROR(__xludf.DUMMYFUNCTION("""COMPUTED_VALUE"""),"SITI ROHAMA")</f>
        <v>SITI ROHAMA</v>
      </c>
      <c r="C1210" s="8" t="str">
        <f>IFERROR(__xludf.DUMMYFUNCTION("""COMPUTED_VALUE"""),"S7524035777")</f>
        <v>S7524035777</v>
      </c>
      <c r="D1210" s="8">
        <f>IFERROR(__xludf.DUMMYFUNCTION("""COMPUTED_VALUE"""),51.0)</f>
        <v>51</v>
      </c>
      <c r="E1210" s="2"/>
    </row>
    <row r="1211">
      <c r="A1211" s="2"/>
      <c r="B1211" s="8" t="str">
        <f>IFERROR(__xludf.DUMMYFUNCTION("""COMPUTED_VALUE"""),"JUNIANSYAH")</f>
        <v>JUNIANSYAH</v>
      </c>
      <c r="C1211" s="8" t="str">
        <f>IFERROR(__xludf.DUMMYFUNCTION("""COMPUTED_VALUE"""),"J9824032203")</f>
        <v>J9824032203</v>
      </c>
      <c r="D1211" s="8">
        <f>IFERROR(__xludf.DUMMYFUNCTION("""COMPUTED_VALUE"""),28.0)</f>
        <v>28</v>
      </c>
      <c r="E1211" s="2"/>
    </row>
    <row r="1212">
      <c r="A1212" s="2"/>
      <c r="B1212" s="8" t="str">
        <f>IFERROR(__xludf.DUMMYFUNCTION("""COMPUTED_VALUE"""),"TISYA YUNISAFIRA LUBIS")</f>
        <v>TISYA YUNISAFIRA LUBIS</v>
      </c>
      <c r="C1212" s="8" t="str">
        <f>IFERROR(__xludf.DUMMYFUNCTION("""COMPUTED_VALUE"""),"T9824039027")</f>
        <v>T9824039027</v>
      </c>
      <c r="D1212" s="8">
        <f>IFERROR(__xludf.DUMMYFUNCTION("""COMPUTED_VALUE"""),28.0)</f>
        <v>28</v>
      </c>
      <c r="E1212" s="2"/>
    </row>
    <row r="1213">
      <c r="A1213" s="2"/>
      <c r="B1213" s="8" t="str">
        <f>IFERROR(__xludf.DUMMYFUNCTION("""COMPUTED_VALUE"""),"TANIA ANDIKA PUTRI")</f>
        <v>TANIA ANDIKA PUTRI</v>
      </c>
      <c r="C1213" s="8" t="str">
        <f>IFERROR(__xludf.DUMMYFUNCTION("""COMPUTED_VALUE"""),"T8024046639")</f>
        <v>T8024046639</v>
      </c>
      <c r="D1213" s="8">
        <f>IFERROR(__xludf.DUMMYFUNCTION("""COMPUTED_VALUE"""),46.0)</f>
        <v>46</v>
      </c>
      <c r="E1213" s="2"/>
    </row>
    <row r="1214">
      <c r="A1214" s="2"/>
      <c r="B1214" s="8" t="str">
        <f>IFERROR(__xludf.DUMMYFUNCTION("""COMPUTED_VALUE"""),"KHAIRUL IMAN")</f>
        <v>KHAIRUL IMAN</v>
      </c>
      <c r="C1214" s="8" t="str">
        <f>IFERROR(__xludf.DUMMYFUNCTION("""COMPUTED_VALUE"""),"K2424046307")</f>
        <v>K2424046307</v>
      </c>
      <c r="D1214" s="8">
        <f>IFERROR(__xludf.DUMMYFUNCTION("""COMPUTED_VALUE"""),2.0)</f>
        <v>2</v>
      </c>
      <c r="E1214" s="2"/>
    </row>
    <row r="1215">
      <c r="A1215" s="2"/>
      <c r="B1215" s="8" t="str">
        <f>IFERROR(__xludf.DUMMYFUNCTION("""COMPUTED_VALUE"""),"ZUMASHADY")</f>
        <v>ZUMASHADY</v>
      </c>
      <c r="C1215" s="8" t="str">
        <f>IFERROR(__xludf.DUMMYFUNCTION("""COMPUTED_VALUE"""),"Z5524041510")</f>
        <v>Z5524041510</v>
      </c>
      <c r="D1215" s="8">
        <f>IFERROR(__xludf.DUMMYFUNCTION("""COMPUTED_VALUE"""),70.0)</f>
        <v>70</v>
      </c>
      <c r="E1215" s="2"/>
    </row>
    <row r="1216">
      <c r="A1216" s="2"/>
      <c r="B1216" s="8" t="str">
        <f>IFERROR(__xludf.DUMMYFUNCTION("""COMPUTED_VALUE"""),"TAUFIQURACHMAN A")</f>
        <v>TAUFIQURACHMAN A</v>
      </c>
      <c r="C1216" s="8" t="str">
        <f>IFERROR(__xludf.DUMMYFUNCTION("""COMPUTED_VALUE"""),"T9724045003")</f>
        <v>T9724045003</v>
      </c>
      <c r="D1216" s="8">
        <f>IFERROR(__xludf.DUMMYFUNCTION("""COMPUTED_VALUE"""),29.0)</f>
        <v>29</v>
      </c>
      <c r="E1216" s="2"/>
    </row>
    <row r="1217">
      <c r="A1217" s="2"/>
      <c r="B1217" s="8" t="str">
        <f>IFERROR(__xludf.DUMMYFUNCTION("""COMPUTED_VALUE"""),"MUHAMMAD IQBAL HARIRI")</f>
        <v>MUHAMMAD IQBAL HARIRI</v>
      </c>
      <c r="C1217" s="8" t="str">
        <f>IFERROR(__xludf.DUMMYFUNCTION("""COMPUTED_VALUE"""),"M9724046001")</f>
        <v>M9724046001</v>
      </c>
      <c r="D1217" s="8">
        <f>IFERROR(__xludf.DUMMYFUNCTION("""COMPUTED_VALUE"""),28.0)</f>
        <v>28</v>
      </c>
      <c r="E1217" s="2"/>
    </row>
    <row r="1218">
      <c r="A1218" s="2"/>
      <c r="B1218" s="8" t="str">
        <f>IFERROR(__xludf.DUMMYFUNCTION("""COMPUTED_VALUE"""),"HESTY MARHAENDRIYANA")</f>
        <v>HESTY MARHAENDRIYANA</v>
      </c>
      <c r="C1218" s="8" t="str">
        <f>IFERROR(__xludf.DUMMYFUNCTION("""COMPUTED_VALUE"""),"H64240408")</f>
        <v>H64240408</v>
      </c>
      <c r="D1218" s="8">
        <f>IFERROR(__xludf.DUMMYFUNCTION("""COMPUTED_VALUE"""),62.0)</f>
        <v>62</v>
      </c>
      <c r="E1218" s="2"/>
    </row>
    <row r="1219">
      <c r="A1219" s="2"/>
      <c r="B1219" s="8" t="str">
        <f>IFERROR(__xludf.DUMMYFUNCTION("""COMPUTED_VALUE"""),"SIGIT PRASETYO")</f>
        <v>SIGIT PRASETYO</v>
      </c>
      <c r="C1219" s="8" t="str">
        <f>IFERROR(__xludf.DUMMYFUNCTION("""COMPUTED_VALUE"""),"S2424044089")</f>
        <v>S2424044089</v>
      </c>
      <c r="D1219" s="8">
        <f>IFERROR(__xludf.DUMMYFUNCTION("""COMPUTED_VALUE"""),2.0)</f>
        <v>2</v>
      </c>
      <c r="E1219" s="2"/>
    </row>
    <row r="1220">
      <c r="A1220" s="2"/>
      <c r="B1220" s="8" t="str">
        <f>IFERROR(__xludf.DUMMYFUNCTION("""COMPUTED_VALUE"""),"HARI YUDA")</f>
        <v>HARI YUDA</v>
      </c>
      <c r="C1220" s="8" t="str">
        <f>IFERROR(__xludf.DUMMYFUNCTION("""COMPUTED_VALUE"""),"H0424046629")</f>
        <v>H0424046629</v>
      </c>
      <c r="D1220" s="8">
        <f>IFERROR(__xludf.DUMMYFUNCTION("""COMPUTED_VALUE"""),21.0)</f>
        <v>21</v>
      </c>
      <c r="E1220" s="2"/>
    </row>
    <row r="1221">
      <c r="A1221" s="2"/>
      <c r="B1221" s="8" t="str">
        <f>IFERROR(__xludf.DUMMYFUNCTION("""COMPUTED_VALUE"""),"ZAMIR FATURRAHMAN")</f>
        <v>ZAMIR FATURRAHMAN</v>
      </c>
      <c r="C1221" s="8" t="str">
        <f>IFERROR(__xludf.DUMMYFUNCTION("""COMPUTED_VALUE"""),"Z1124042066")</f>
        <v>Z1124042066</v>
      </c>
      <c r="D1221" s="8">
        <f>IFERROR(__xludf.DUMMYFUNCTION("""COMPUTED_VALUE"""),15.0)</f>
        <v>15</v>
      </c>
      <c r="E1221" s="2"/>
    </row>
    <row r="1222">
      <c r="A1222" s="2"/>
      <c r="B1222" s="8" t="str">
        <f>IFERROR(__xludf.DUMMYFUNCTION("""COMPUTED_VALUE"""),"AGUNG YUDANTO")</f>
        <v>AGUNG YUDANTO</v>
      </c>
      <c r="C1222" s="8" t="str">
        <f>IFERROR(__xludf.DUMMYFUNCTION("""COMPUTED_VALUE"""),"A9024045543")</f>
        <v>A9024045543</v>
      </c>
      <c r="D1222" s="8">
        <f>IFERROR(__xludf.DUMMYFUNCTION("""COMPUTED_VALUE"""),36.0)</f>
        <v>36</v>
      </c>
      <c r="E1222" s="2"/>
    </row>
    <row r="1223">
      <c r="A1223" s="2"/>
      <c r="B1223" s="8" t="str">
        <f>IFERROR(__xludf.DUMMYFUNCTION("""COMPUTED_VALUE"""),"MARTINA N YANSENS")</f>
        <v>MARTINA N YANSENS</v>
      </c>
      <c r="C1223" s="8" t="str">
        <f>IFERROR(__xludf.DUMMYFUNCTION("""COMPUTED_VALUE"""),"M8224040432")</f>
        <v>M8224040432</v>
      </c>
      <c r="D1223" s="8">
        <f>IFERROR(__xludf.DUMMYFUNCTION("""COMPUTED_VALUE"""),44.0)</f>
        <v>44</v>
      </c>
      <c r="E1223" s="2"/>
    </row>
    <row r="1224">
      <c r="A1224" s="2"/>
      <c r="B1224" s="8" t="str">
        <f>IFERROR(__xludf.DUMMYFUNCTION("""COMPUTED_VALUE"""),"SAAD")</f>
        <v>SAAD</v>
      </c>
      <c r="C1224" s="8" t="str">
        <f>IFERROR(__xludf.DUMMYFUNCTION("""COMPUTED_VALUE"""),"S7924047787")</f>
        <v>S7924047787</v>
      </c>
      <c r="D1224" s="8">
        <f>IFERROR(__xludf.DUMMYFUNCTION("""COMPUTED_VALUE"""),47.0)</f>
        <v>47</v>
      </c>
      <c r="E1224" s="2"/>
    </row>
    <row r="1225">
      <c r="A1225" s="2"/>
      <c r="B1225" s="8" t="str">
        <f>IFERROR(__xludf.DUMMYFUNCTION("""COMPUTED_VALUE"""),"FAIRUS NADHIR AMRULLAH")</f>
        <v>FAIRUS NADHIR AMRULLAH</v>
      </c>
      <c r="C1225" s="8" t="str">
        <f>IFERROR(__xludf.DUMMYFUNCTION("""COMPUTED_VALUE"""),"F1224043252")</f>
        <v>F1224043252</v>
      </c>
      <c r="D1225" s="8">
        <f>IFERROR(__xludf.DUMMYFUNCTION("""COMPUTED_VALUE"""),14.0)</f>
        <v>14</v>
      </c>
      <c r="E1225" s="2"/>
    </row>
    <row r="1226">
      <c r="A1226" s="2"/>
      <c r="B1226" s="8" t="str">
        <f>IFERROR(__xludf.DUMMYFUNCTION("""COMPUTED_VALUE"""),"ENDANG VERI KOLAGA")</f>
        <v>ENDANG VERI KOLAGA</v>
      </c>
      <c r="C1226" s="8" t="str">
        <f>IFERROR(__xludf.DUMMYFUNCTION("""COMPUTED_VALUE"""),"E6524049197")</f>
        <v>E6524049197</v>
      </c>
      <c r="D1226" s="8">
        <f>IFERROR(__xludf.DUMMYFUNCTION("""COMPUTED_VALUE"""),60.0)</f>
        <v>60</v>
      </c>
      <c r="E1226" s="2"/>
    </row>
    <row r="1227">
      <c r="A1227" s="2"/>
      <c r="B1227" s="8" t="str">
        <f>IFERROR(__xludf.DUMMYFUNCTION("""COMPUTED_VALUE"""),"FAKRUL ILMI")</f>
        <v>FAKRUL ILMI</v>
      </c>
      <c r="C1227" s="8" t="str">
        <f>IFERROR(__xludf.DUMMYFUNCTION("""COMPUTED_VALUE"""),"F9224043355")</f>
        <v>F9224043355</v>
      </c>
      <c r="D1227" s="8">
        <f>IFERROR(__xludf.DUMMYFUNCTION("""COMPUTED_VALUE"""),33.0)</f>
        <v>33</v>
      </c>
      <c r="E1227" s="2"/>
    </row>
    <row r="1228">
      <c r="A1228" s="2"/>
      <c r="B1228" s="8" t="str">
        <f>IFERROR(__xludf.DUMMYFUNCTION("""COMPUTED_VALUE"""),"BOBBY FERI SETIAWAN")</f>
        <v>BOBBY FERI SETIAWAN</v>
      </c>
      <c r="C1228" s="8" t="str">
        <f>IFERROR(__xludf.DUMMYFUNCTION("""COMPUTED_VALUE"""),"B9724047081")</f>
        <v>B9724047081</v>
      </c>
      <c r="D1228" s="8">
        <f>IFERROR(__xludf.DUMMYFUNCTION("""COMPUTED_VALUE"""),29.0)</f>
        <v>29</v>
      </c>
      <c r="E1228" s="2"/>
    </row>
    <row r="1229">
      <c r="A1229" s="2"/>
      <c r="B1229" s="8" t="str">
        <f>IFERROR(__xludf.DUMMYFUNCTION("""COMPUTED_VALUE"""),"TEOFILUS HAGIE, S.I.P")</f>
        <v>TEOFILUS HAGIE, S.I.P</v>
      </c>
      <c r="C1229" s="8" t="str">
        <f>IFERROR(__xludf.DUMMYFUNCTION("""COMPUTED_VALUE"""),"T9724048662")</f>
        <v>T9724048662</v>
      </c>
      <c r="D1229" s="8">
        <f>IFERROR(__xludf.DUMMYFUNCTION("""COMPUTED_VALUE"""),29.0)</f>
        <v>29</v>
      </c>
      <c r="E1229" s="2"/>
    </row>
    <row r="1230">
      <c r="A1230" s="2"/>
      <c r="B1230" s="8" t="str">
        <f>IFERROR(__xludf.DUMMYFUNCTION("""COMPUTED_VALUE"""),"KIANG SE")</f>
        <v>KIANG SE</v>
      </c>
      <c r="C1230" s="8" t="str">
        <f>IFERROR(__xludf.DUMMYFUNCTION("""COMPUTED_VALUE"""),"K6524047777")</f>
        <v>K6524047777</v>
      </c>
      <c r="D1230" s="8">
        <f>IFERROR(__xludf.DUMMYFUNCTION("""COMPUTED_VALUE"""),61.0)</f>
        <v>61</v>
      </c>
      <c r="E1230" s="2"/>
    </row>
    <row r="1231">
      <c r="A1231" s="2"/>
      <c r="B1231" s="8" t="str">
        <f>IFERROR(__xludf.DUMMYFUNCTION("""COMPUTED_VALUE"""),"OKTAVIANUS ANDRI")</f>
        <v>OKTAVIANUS ANDRI</v>
      </c>
      <c r="C1231" s="8" t="str">
        <f>IFERROR(__xludf.DUMMYFUNCTION("""COMPUTED_VALUE"""),"O9124042069")</f>
        <v>O9124042069</v>
      </c>
      <c r="D1231" s="8">
        <f>IFERROR(__xludf.DUMMYFUNCTION("""COMPUTED_VALUE"""),34.0)</f>
        <v>34</v>
      </c>
      <c r="E1231" s="2"/>
    </row>
    <row r="1232">
      <c r="A1232" s="2"/>
      <c r="B1232" s="8" t="str">
        <f>IFERROR(__xludf.DUMMYFUNCTION("""COMPUTED_VALUE"""),"EVY MAHARANI")</f>
        <v>EVY MAHARANI</v>
      </c>
      <c r="C1232" s="8" t="str">
        <f>IFERROR(__xludf.DUMMYFUNCTION("""COMPUTED_VALUE"""),"E8324049827")</f>
        <v>E8324049827</v>
      </c>
      <c r="D1232" s="8">
        <f>IFERROR(__xludf.DUMMYFUNCTION("""COMPUTED_VALUE"""),43.0)</f>
        <v>43</v>
      </c>
      <c r="E1232" s="2"/>
    </row>
    <row r="1233">
      <c r="A1233" s="2"/>
      <c r="B1233" s="8" t="str">
        <f>IFERROR(__xludf.DUMMYFUNCTION("""COMPUTED_VALUE"""),"SANDY SAPUTRA")</f>
        <v>SANDY SAPUTRA</v>
      </c>
      <c r="C1233" s="8" t="str">
        <f>IFERROR(__xludf.DUMMYFUNCTION("""COMPUTED_VALUE"""),"S8924045678")</f>
        <v>S8924045678</v>
      </c>
      <c r="D1233" s="8">
        <f>IFERROR(__xludf.DUMMYFUNCTION("""COMPUTED_VALUE"""),36.0)</f>
        <v>36</v>
      </c>
      <c r="E1233" s="2"/>
    </row>
    <row r="1234">
      <c r="A1234" s="2"/>
      <c r="B1234" s="8" t="str">
        <f>IFERROR(__xludf.DUMMYFUNCTION("""COMPUTED_VALUE"""),"BENY RIANO DARMANSYAH")</f>
        <v>BENY RIANO DARMANSYAH</v>
      </c>
      <c r="C1234" s="8" t="str">
        <f>IFERROR(__xludf.DUMMYFUNCTION("""COMPUTED_VALUE"""),"B6924043490")</f>
        <v>B6924043490</v>
      </c>
      <c r="D1234" s="8">
        <f>IFERROR(__xludf.DUMMYFUNCTION("""COMPUTED_VALUE"""),57.0)</f>
        <v>57</v>
      </c>
      <c r="E1234" s="2"/>
    </row>
    <row r="1235">
      <c r="A1235" s="2"/>
      <c r="B1235" s="8" t="str">
        <f>IFERROR(__xludf.DUMMYFUNCTION("""COMPUTED_VALUE"""),"EN RUMAJAR")</f>
        <v>EN RUMAJAR</v>
      </c>
      <c r="C1235" s="8" t="str">
        <f>IFERROR(__xludf.DUMMYFUNCTION("""COMPUTED_VALUE"""),"E8724046722")</f>
        <v>E8724046722</v>
      </c>
      <c r="D1235" s="8">
        <f>IFERROR(__xludf.DUMMYFUNCTION("""COMPUTED_VALUE"""),38.0)</f>
        <v>38</v>
      </c>
      <c r="E1235" s="2"/>
    </row>
    <row r="1236">
      <c r="A1236" s="2"/>
      <c r="B1236" s="8" t="str">
        <f>IFERROR(__xludf.DUMMYFUNCTION("""COMPUTED_VALUE"""),"SRI RAHAYU")</f>
        <v>SRI RAHAYU</v>
      </c>
      <c r="C1236" s="8" t="str">
        <f>IFERROR(__xludf.DUMMYFUNCTION("""COMPUTED_VALUE"""),"S7024043490")</f>
        <v>S7024043490</v>
      </c>
      <c r="D1236" s="8">
        <f>IFERROR(__xludf.DUMMYFUNCTION("""COMPUTED_VALUE"""),55.0)</f>
        <v>55</v>
      </c>
      <c r="E1236" s="2"/>
    </row>
    <row r="1237">
      <c r="A1237" s="2"/>
      <c r="B1237" s="8" t="str">
        <f>IFERROR(__xludf.DUMMYFUNCTION("""COMPUTED_VALUE"""),"CICI PUTRIANINGSIH")</f>
        <v>CICI PUTRIANINGSIH</v>
      </c>
      <c r="C1237" s="8" t="str">
        <f>IFERROR(__xludf.DUMMYFUNCTION("""COMPUTED_VALUE"""),"C9424041594")</f>
        <v>C9424041594</v>
      </c>
      <c r="D1237" s="8">
        <f>IFERROR(__xludf.DUMMYFUNCTION("""COMPUTED_VALUE"""),32.0)</f>
        <v>32</v>
      </c>
      <c r="E1237" s="2"/>
    </row>
    <row r="1238">
      <c r="A1238" s="2"/>
      <c r="B1238" s="8" t="str">
        <f>IFERROR(__xludf.DUMMYFUNCTION("""COMPUTED_VALUE"""),"RAHMAN FITRIADI")</f>
        <v>RAHMAN FITRIADI</v>
      </c>
      <c r="C1238" s="8" t="str">
        <f>IFERROR(__xludf.DUMMYFUNCTION("""COMPUTED_VALUE"""),"R8624047770")</f>
        <v>R8624047770</v>
      </c>
      <c r="D1238" s="8">
        <f>IFERROR(__xludf.DUMMYFUNCTION("""COMPUTED_VALUE"""),40.0)</f>
        <v>40</v>
      </c>
      <c r="E1238" s="2"/>
    </row>
    <row r="1239">
      <c r="A1239" s="2"/>
      <c r="B1239" s="8" t="str">
        <f>IFERROR(__xludf.DUMMYFUNCTION("""COMPUTED_VALUE"""),"ARYANSYAH")</f>
        <v>ARYANSYAH</v>
      </c>
      <c r="C1239" s="8" t="str">
        <f>IFERROR(__xludf.DUMMYFUNCTION("""COMPUTED_VALUE"""),"A8624042824")</f>
        <v>A8624042824</v>
      </c>
      <c r="D1239" s="8">
        <f>IFERROR(__xludf.DUMMYFUNCTION("""COMPUTED_VALUE"""),40.0)</f>
        <v>40</v>
      </c>
      <c r="E1239" s="2"/>
    </row>
    <row r="1240">
      <c r="A1240" s="2"/>
      <c r="B1240" s="8" t="str">
        <f>IFERROR(__xludf.DUMMYFUNCTION("""COMPUTED_VALUE"""),"AULIA RAMADANTI")</f>
        <v>AULIA RAMADANTI</v>
      </c>
      <c r="C1240" s="8" t="str">
        <f>IFERROR(__xludf.DUMMYFUNCTION("""COMPUTED_VALUE"""),"A0324041182")</f>
        <v>A0324041182</v>
      </c>
      <c r="D1240" s="8">
        <f>IFERROR(__xludf.DUMMYFUNCTION("""COMPUTED_VALUE"""),22.0)</f>
        <v>22</v>
      </c>
      <c r="E1240" s="2"/>
    </row>
    <row r="1241">
      <c r="A1241" s="2"/>
      <c r="B1241" s="8" t="str">
        <f>IFERROR(__xludf.DUMMYFUNCTION("""COMPUTED_VALUE"""),"DHEO")</f>
        <v>DHEO</v>
      </c>
      <c r="C1241" s="8" t="str">
        <f>IFERROR(__xludf.DUMMYFUNCTION("""COMPUTED_VALUE"""),"D0324046764")</f>
        <v>D0324046764</v>
      </c>
      <c r="D1241" s="8">
        <f>IFERROR(__xludf.DUMMYFUNCTION("""COMPUTED_VALUE"""),23.0)</f>
        <v>23</v>
      </c>
      <c r="E1241" s="2"/>
    </row>
    <row r="1242">
      <c r="A1242" s="2"/>
      <c r="B1242" s="8" t="str">
        <f>IFERROR(__xludf.DUMMYFUNCTION("""COMPUTED_VALUE"""),"DIAH PITALOKA")</f>
        <v>DIAH PITALOKA</v>
      </c>
      <c r="C1242" s="8" t="str">
        <f>IFERROR(__xludf.DUMMYFUNCTION("""COMPUTED_VALUE"""),"D8424041114")</f>
        <v>D8424041114</v>
      </c>
      <c r="D1242" s="8">
        <f>IFERROR(__xludf.DUMMYFUNCTION("""COMPUTED_VALUE"""),41.0)</f>
        <v>41</v>
      </c>
      <c r="E1242" s="2"/>
    </row>
    <row r="1243">
      <c r="A1243" s="2"/>
      <c r="B1243" s="8" t="str">
        <f>IFERROR(__xludf.DUMMYFUNCTION("""COMPUTED_VALUE"""),"ERRY RUSTIANSYAH")</f>
        <v>ERRY RUSTIANSYAH</v>
      </c>
      <c r="C1243" s="8" t="str">
        <f>IFERROR(__xludf.DUMMYFUNCTION("""COMPUTED_VALUE"""),"E8424049865")</f>
        <v>E8424049865</v>
      </c>
      <c r="D1243" s="8">
        <f>IFERROR(__xludf.DUMMYFUNCTION("""COMPUTED_VALUE"""),41.0)</f>
        <v>41</v>
      </c>
      <c r="E1243" s="2"/>
    </row>
    <row r="1244">
      <c r="A1244" s="2"/>
      <c r="B1244" s="8" t="str">
        <f>IFERROR(__xludf.DUMMYFUNCTION("""COMPUTED_VALUE"""),"TIENO HALIM")</f>
        <v>TIENO HALIM</v>
      </c>
      <c r="C1244" s="8" t="str">
        <f>IFERROR(__xludf.DUMMYFUNCTION("""COMPUTED_VALUE"""),"T8424049108")</f>
        <v>T8424049108</v>
      </c>
      <c r="D1244" s="8">
        <f>IFERROR(__xludf.DUMMYFUNCTION("""COMPUTED_VALUE"""),42.0)</f>
        <v>42</v>
      </c>
      <c r="E1244" s="2"/>
    </row>
    <row r="1245">
      <c r="A1245" s="2"/>
      <c r="B1245" s="8" t="str">
        <f>IFERROR(__xludf.DUMMYFUNCTION("""COMPUTED_VALUE"""),"HARTINI NELLY")</f>
        <v>HARTINI NELLY</v>
      </c>
      <c r="C1245" s="8" t="str">
        <f>IFERROR(__xludf.DUMMYFUNCTION("""COMPUTED_VALUE"""),"H9124041991")</f>
        <v>H9124041991</v>
      </c>
      <c r="D1245" s="8">
        <f>IFERROR(__xludf.DUMMYFUNCTION("""COMPUTED_VALUE"""),35.0)</f>
        <v>35</v>
      </c>
      <c r="E1245" s="2"/>
    </row>
    <row r="1246">
      <c r="A1246" s="2"/>
      <c r="B1246" s="8" t="str">
        <f>IFERROR(__xludf.DUMMYFUNCTION("""COMPUTED_VALUE"""),"MUHAMMAD HENDRO LAKSONO")</f>
        <v>MUHAMMAD HENDRO LAKSONO</v>
      </c>
      <c r="C1246" s="8" t="str">
        <f>IFERROR(__xludf.DUMMYFUNCTION("""COMPUTED_VALUE"""),"M0324040156")</f>
        <v>M0324040156</v>
      </c>
      <c r="D1246" s="8">
        <f>IFERROR(__xludf.DUMMYFUNCTION("""COMPUTED_VALUE"""),22.0)</f>
        <v>22</v>
      </c>
      <c r="E1246" s="2"/>
    </row>
    <row r="1247">
      <c r="A1247" s="2"/>
      <c r="B1247" s="8" t="str">
        <f>IFERROR(__xludf.DUMMYFUNCTION("""COMPUTED_VALUE"""),"MAYU FENTAMI")</f>
        <v>MAYU FENTAMI</v>
      </c>
      <c r="C1247" s="8" t="str">
        <f>IFERROR(__xludf.DUMMYFUNCTION("""COMPUTED_VALUE"""),"M8724040771")</f>
        <v>M8724040771</v>
      </c>
      <c r="D1247" s="8">
        <f>IFERROR(__xludf.DUMMYFUNCTION("""COMPUTED_VALUE"""),39.0)</f>
        <v>39</v>
      </c>
      <c r="E1247" s="2"/>
    </row>
    <row r="1248">
      <c r="A1248" s="2"/>
      <c r="B1248" s="8" t="str">
        <f>IFERROR(__xludf.DUMMYFUNCTION("""COMPUTED_VALUE"""),"DIAN EDI SARWONO")</f>
        <v>DIAN EDI SARWONO</v>
      </c>
      <c r="C1248" s="8" t="str">
        <f>IFERROR(__xludf.DUMMYFUNCTION("""COMPUTED_VALUE"""),"D8424048863")</f>
        <v>D8424048863</v>
      </c>
      <c r="D1248" s="8">
        <f>IFERROR(__xludf.DUMMYFUNCTION("""COMPUTED_VALUE"""),41.0)</f>
        <v>41</v>
      </c>
      <c r="E1248" s="2"/>
    </row>
    <row r="1249">
      <c r="A1249" s="2"/>
      <c r="B1249" s="8" t="str">
        <f>IFERROR(__xludf.DUMMYFUNCTION("""COMPUTED_VALUE"""),"REZA FACHRUDIN")</f>
        <v>REZA FACHRUDIN</v>
      </c>
      <c r="C1249" s="8" t="str">
        <f>IFERROR(__xludf.DUMMYFUNCTION("""COMPUTED_VALUE"""),"R8524041666")</f>
        <v>R8524041666</v>
      </c>
      <c r="D1249" s="8">
        <f>IFERROR(__xludf.DUMMYFUNCTION("""COMPUTED_VALUE"""),41.0)</f>
        <v>41</v>
      </c>
      <c r="E1249" s="2"/>
    </row>
    <row r="1250">
      <c r="A1250" s="2"/>
      <c r="B1250" s="8" t="str">
        <f>IFERROR(__xludf.DUMMYFUNCTION("""COMPUTED_VALUE"""),"NUR HASANAH")</f>
        <v>NUR HASANAH</v>
      </c>
      <c r="C1250" s="8" t="str">
        <f>IFERROR(__xludf.DUMMYFUNCTION("""COMPUTED_VALUE"""),"N9424049331")</f>
        <v>N9424049331</v>
      </c>
      <c r="D1250" s="8">
        <f>IFERROR(__xludf.DUMMYFUNCTION("""COMPUTED_VALUE"""),32.0)</f>
        <v>32</v>
      </c>
      <c r="E1250" s="2"/>
    </row>
    <row r="1251">
      <c r="A1251" s="2"/>
      <c r="B1251" s="8" t="str">
        <f>IFERROR(__xludf.DUMMYFUNCTION("""COMPUTED_VALUE"""),"ERNANDO WIRANATA LINGGA")</f>
        <v>ERNANDO WIRANATA LINGGA</v>
      </c>
      <c r="C1251" s="8" t="str">
        <f>IFERROR(__xludf.DUMMYFUNCTION("""COMPUTED_VALUE"""),"E8824041645")</f>
        <v>E8824041645</v>
      </c>
      <c r="D1251" s="8">
        <f>IFERROR(__xludf.DUMMYFUNCTION("""COMPUTED_VALUE"""),37.0)</f>
        <v>37</v>
      </c>
      <c r="E1251" s="2"/>
    </row>
    <row r="1252">
      <c r="A1252" s="2"/>
      <c r="B1252" s="8" t="str">
        <f>IFERROR(__xludf.DUMMYFUNCTION("""COMPUTED_VALUE"""),"JEFRI PRIHADI")</f>
        <v>JEFRI PRIHADI</v>
      </c>
      <c r="C1252" s="8" t="str">
        <f>IFERROR(__xludf.DUMMYFUNCTION("""COMPUTED_VALUE"""),"J9124049686")</f>
        <v>J9124049686</v>
      </c>
      <c r="D1252" s="8">
        <f>IFERROR(__xludf.DUMMYFUNCTION("""COMPUTED_VALUE"""),35.0)</f>
        <v>35</v>
      </c>
      <c r="E1252" s="2"/>
    </row>
    <row r="1253">
      <c r="A1253" s="2"/>
      <c r="B1253" s="8" t="str">
        <f>IFERROR(__xludf.DUMMYFUNCTION("""COMPUTED_VALUE"""),"ADIL HAFIDZ NURFAJRI")</f>
        <v>ADIL HAFIDZ NURFAJRI</v>
      </c>
      <c r="C1253" s="8" t="str">
        <f>IFERROR(__xludf.DUMMYFUNCTION("""COMPUTED_VALUE"""),"A9424045500")</f>
        <v>A9424045500</v>
      </c>
      <c r="D1253" s="8">
        <f>IFERROR(__xludf.DUMMYFUNCTION("""COMPUTED_VALUE"""),32.0)</f>
        <v>32</v>
      </c>
      <c r="E1253" s="2"/>
    </row>
    <row r="1254">
      <c r="A1254" s="2"/>
      <c r="B1254" s="8" t="str">
        <f>IFERROR(__xludf.DUMMYFUNCTION("""COMPUTED_VALUE"""),"LUKAS RAGU")</f>
        <v>LUKAS RAGU</v>
      </c>
      <c r="C1254" s="8" t="str">
        <f>IFERROR(__xludf.DUMMYFUNCTION("""COMPUTED_VALUE"""),"L7224047449")</f>
        <v>L7224047449</v>
      </c>
      <c r="D1254" s="8">
        <f>IFERROR(__xludf.DUMMYFUNCTION("""COMPUTED_VALUE"""),54.0)</f>
        <v>54</v>
      </c>
      <c r="E1254" s="2"/>
    </row>
    <row r="1255">
      <c r="A1255" s="2"/>
      <c r="B1255" s="8" t="str">
        <f>IFERROR(__xludf.DUMMYFUNCTION("""COMPUTED_VALUE"""),"NURBAYU SAPUTRA")</f>
        <v>NURBAYU SAPUTRA</v>
      </c>
      <c r="C1255" s="8" t="str">
        <f>IFERROR(__xludf.DUMMYFUNCTION("""COMPUTED_VALUE"""),"N8624042332")</f>
        <v>N8624042332</v>
      </c>
      <c r="D1255" s="8">
        <f>IFERROR(__xludf.DUMMYFUNCTION("""COMPUTED_VALUE"""),39.0)</f>
        <v>39</v>
      </c>
      <c r="E1255" s="2"/>
    </row>
    <row r="1256">
      <c r="A1256" s="2"/>
      <c r="B1256" s="8" t="str">
        <f>IFERROR(__xludf.DUMMYFUNCTION("""COMPUTED_VALUE"""),"GIRY XAVIRA PUTRI")</f>
        <v>GIRY XAVIRA PUTRI</v>
      </c>
      <c r="C1256" s="8" t="str">
        <f>IFERROR(__xludf.DUMMYFUNCTION("""COMPUTED_VALUE"""),"G9924046563")</f>
        <v>G9924046563</v>
      </c>
      <c r="D1256" s="8">
        <f>IFERROR(__xludf.DUMMYFUNCTION("""COMPUTED_VALUE"""),27.0)</f>
        <v>27</v>
      </c>
      <c r="E1256" s="2"/>
    </row>
    <row r="1257">
      <c r="A1257" s="2"/>
      <c r="B1257" s="8" t="str">
        <f>IFERROR(__xludf.DUMMYFUNCTION("""COMPUTED_VALUE"""),"LINDA SAFITRI")</f>
        <v>LINDA SAFITRI</v>
      </c>
      <c r="C1257" s="8" t="str">
        <f>IFERROR(__xludf.DUMMYFUNCTION("""COMPUTED_VALUE"""),"L9024043637")</f>
        <v>L9024043637</v>
      </c>
      <c r="D1257" s="8">
        <f>IFERROR(__xludf.DUMMYFUNCTION("""COMPUTED_VALUE"""),35.0)</f>
        <v>35</v>
      </c>
      <c r="E1257" s="2"/>
    </row>
    <row r="1258">
      <c r="A1258" s="2"/>
      <c r="B1258" s="8" t="str">
        <f>IFERROR(__xludf.DUMMYFUNCTION("""COMPUTED_VALUE"""),"WITRI")</f>
        <v>WITRI</v>
      </c>
      <c r="C1258" s="8" t="str">
        <f>IFERROR(__xludf.DUMMYFUNCTION("""COMPUTED_VALUE"""),"W9524046041")</f>
        <v>W9524046041</v>
      </c>
      <c r="D1258" s="8">
        <f>IFERROR(__xludf.DUMMYFUNCTION("""COMPUTED_VALUE"""),31.0)</f>
        <v>31</v>
      </c>
      <c r="E1258" s="2"/>
    </row>
    <row r="1259">
      <c r="A1259" s="2"/>
      <c r="B1259" s="8" t="str">
        <f>IFERROR(__xludf.DUMMYFUNCTION("""COMPUTED_VALUE"""),"RAFIZ KAMILI ALKADRIE")</f>
        <v>RAFIZ KAMILI ALKADRIE</v>
      </c>
      <c r="C1259" s="8" t="str">
        <f>IFERROR(__xludf.DUMMYFUNCTION("""COMPUTED_VALUE"""),"R0124040528")</f>
        <v>R0124040528</v>
      </c>
      <c r="D1259" s="8">
        <f>IFERROR(__xludf.DUMMYFUNCTION("""COMPUTED_VALUE"""),25.0)</f>
        <v>25</v>
      </c>
      <c r="E1259" s="2"/>
    </row>
    <row r="1260">
      <c r="A1260" s="2"/>
      <c r="B1260" s="8" t="str">
        <f>IFERROR(__xludf.DUMMYFUNCTION("""COMPUTED_VALUE"""),"RAIHANAH SYAFIIQAH ULYANI")</f>
        <v>RAIHANAH SYAFIIQAH ULYANI</v>
      </c>
      <c r="C1260" s="8" t="str">
        <f>IFERROR(__xludf.DUMMYFUNCTION("""COMPUTED_VALUE"""),"R1224042496")</f>
        <v>R1224042496</v>
      </c>
      <c r="D1260" s="8">
        <f>IFERROR(__xludf.DUMMYFUNCTION("""COMPUTED_VALUE"""),14.0)</f>
        <v>14</v>
      </c>
      <c r="E1260" s="2"/>
    </row>
    <row r="1261">
      <c r="A1261" s="2"/>
      <c r="B1261" s="8" t="str">
        <f>IFERROR(__xludf.DUMMYFUNCTION("""COMPUTED_VALUE"""),"MIKAIL ZOVIC ROMADHADN")</f>
        <v>MIKAIL ZOVIC ROMADHADN</v>
      </c>
      <c r="C1261" s="8" t="str">
        <f>IFERROR(__xludf.DUMMYFUNCTION("""COMPUTED_VALUE"""),"M2024042777")</f>
        <v>M2024042777</v>
      </c>
      <c r="D1261" s="8">
        <f>IFERROR(__xludf.DUMMYFUNCTION("""COMPUTED_VALUE"""),5.0)</f>
        <v>5</v>
      </c>
      <c r="E1261" s="2"/>
    </row>
    <row r="1262">
      <c r="A1262" s="2"/>
      <c r="B1262" s="8" t="str">
        <f>IFERROR(__xludf.DUMMYFUNCTION("""COMPUTED_VALUE"""),"TUTI ERAWATI")</f>
        <v>TUTI ERAWATI</v>
      </c>
      <c r="C1262" s="8" t="str">
        <f>IFERROR(__xludf.DUMMYFUNCTION("""COMPUTED_VALUE"""),"T8724049963")</f>
        <v>T8724049963</v>
      </c>
      <c r="D1262" s="8">
        <f>IFERROR(__xludf.DUMMYFUNCTION("""COMPUTED_VALUE"""),39.0)</f>
        <v>39</v>
      </c>
      <c r="E1262" s="2"/>
    </row>
    <row r="1263">
      <c r="A1263" s="2"/>
      <c r="B1263" s="8" t="str">
        <f>IFERROR(__xludf.DUMMYFUNCTION("""COMPUTED_VALUE"""),"PURNI RAHMATTULLAH")</f>
        <v>PURNI RAHMATTULLAH</v>
      </c>
      <c r="C1263" s="8" t="str">
        <f>IFERROR(__xludf.DUMMYFUNCTION("""COMPUTED_VALUE"""),"P7524040300")</f>
        <v>P7524040300</v>
      </c>
      <c r="D1263" s="8">
        <f>IFERROR(__xludf.DUMMYFUNCTION("""COMPUTED_VALUE"""),50.0)</f>
        <v>50</v>
      </c>
      <c r="E1263" s="2"/>
    </row>
    <row r="1264">
      <c r="A1264" s="2"/>
      <c r="B1264" s="8" t="str">
        <f>IFERROR(__xludf.DUMMYFUNCTION("""COMPUTED_VALUE"""),"SUKATI")</f>
        <v>SUKATI</v>
      </c>
      <c r="C1264" s="8" t="str">
        <f>IFERROR(__xludf.DUMMYFUNCTION("""COMPUTED_VALUE"""),"S4424041838")</f>
        <v>S4424041838</v>
      </c>
      <c r="D1264" s="8">
        <f>IFERROR(__xludf.DUMMYFUNCTION("""COMPUTED_VALUE"""),82.0)</f>
        <v>82</v>
      </c>
      <c r="E1264" s="2"/>
    </row>
    <row r="1265">
      <c r="A1265" s="2"/>
      <c r="B1265" s="8" t="str">
        <f>IFERROR(__xludf.DUMMYFUNCTION("""COMPUTED_VALUE"""),"ARAM")</f>
        <v>ARAM</v>
      </c>
      <c r="C1265" s="8" t="str">
        <f>IFERROR(__xludf.DUMMYFUNCTION("""COMPUTED_VALUE"""),"A6924042802")</f>
        <v>A6924042802</v>
      </c>
      <c r="D1265" s="8">
        <f>IFERROR(__xludf.DUMMYFUNCTION("""COMPUTED_VALUE"""),57.0)</f>
        <v>57</v>
      </c>
      <c r="E1265" s="2"/>
    </row>
    <row r="1266">
      <c r="A1266" s="2"/>
      <c r="B1266" s="8" t="str">
        <f>IFERROR(__xludf.DUMMYFUNCTION("""COMPUTED_VALUE"""),"MUHAMMAD HABIBI AL KAYYISI")</f>
        <v>MUHAMMAD HABIBI AL KAYYISI</v>
      </c>
      <c r="C1266" s="8" t="str">
        <f>IFERROR(__xludf.DUMMYFUNCTION("""COMPUTED_VALUE"""),"M0624043218")</f>
        <v>M0624043218</v>
      </c>
      <c r="D1266" s="8">
        <f>IFERROR(__xludf.DUMMYFUNCTION("""COMPUTED_VALUE"""),19.0)</f>
        <v>19</v>
      </c>
      <c r="E1266" s="2"/>
    </row>
    <row r="1267">
      <c r="A1267" s="2"/>
      <c r="B1267" s="8" t="str">
        <f>IFERROR(__xludf.DUMMYFUNCTION("""COMPUTED_VALUE"""),"LISNA WARDATI")</f>
        <v>LISNA WARDATI</v>
      </c>
      <c r="C1267" s="8" t="str">
        <f>IFERROR(__xludf.DUMMYFUNCTION("""COMPUTED_VALUE"""),"L6524043399")</f>
        <v>L6524043399</v>
      </c>
      <c r="D1267" s="8">
        <f>IFERROR(__xludf.DUMMYFUNCTION("""COMPUTED_VALUE"""),60.0)</f>
        <v>60</v>
      </c>
      <c r="E1267" s="2"/>
    </row>
    <row r="1268">
      <c r="A1268" s="2"/>
      <c r="B1268" s="8" t="str">
        <f>IFERROR(__xludf.DUMMYFUNCTION("""COMPUTED_VALUE"""),"NOVIANDRA")</f>
        <v>NOVIANDRA</v>
      </c>
      <c r="C1268" s="8" t="str">
        <f>IFERROR(__xludf.DUMMYFUNCTION("""COMPUTED_VALUE"""),"N9324048307")</f>
        <v>N9324048307</v>
      </c>
      <c r="D1268" s="8">
        <f>IFERROR(__xludf.DUMMYFUNCTION("""COMPUTED_VALUE"""),32.0)</f>
        <v>32</v>
      </c>
      <c r="E1268" s="2"/>
    </row>
    <row r="1269">
      <c r="A1269" s="2"/>
      <c r="B1269" s="8" t="str">
        <f>IFERROR(__xludf.DUMMYFUNCTION("""COMPUTED_VALUE"""),"DANDI")</f>
        <v>DANDI</v>
      </c>
      <c r="C1269" s="8" t="str">
        <f>IFERROR(__xludf.DUMMYFUNCTION("""COMPUTED_VALUE"""),"D0324046730")</f>
        <v>D0324046730</v>
      </c>
      <c r="D1269" s="8">
        <f>IFERROR(__xludf.DUMMYFUNCTION("""COMPUTED_VALUE"""),23.0)</f>
        <v>23</v>
      </c>
      <c r="E1269" s="2"/>
    </row>
    <row r="1270">
      <c r="A1270" s="2"/>
      <c r="B1270" s="8" t="str">
        <f>IFERROR(__xludf.DUMMYFUNCTION("""COMPUTED_VALUE"""),"TOMMY TEGUH SAPUTRA")</f>
        <v>TOMMY TEGUH SAPUTRA</v>
      </c>
      <c r="C1270" s="8" t="str">
        <f>IFERROR(__xludf.DUMMYFUNCTION("""COMPUTED_VALUE"""),"T9024045516")</f>
        <v>T9024045516</v>
      </c>
      <c r="D1270" s="8">
        <f>IFERROR(__xludf.DUMMYFUNCTION("""COMPUTED_VALUE"""),36.0)</f>
        <v>36</v>
      </c>
      <c r="E1270" s="2"/>
    </row>
    <row r="1271">
      <c r="A1271" s="2"/>
      <c r="B1271" s="8" t="str">
        <f>IFERROR(__xludf.DUMMYFUNCTION("""COMPUTED_VALUE"""),"PUTRI RESTU AWALIYAH")</f>
        <v>PUTRI RESTU AWALIYAH</v>
      </c>
      <c r="C1271" s="8" t="str">
        <f>IFERROR(__xludf.DUMMYFUNCTION("""COMPUTED_VALUE"""),"P9824042265")</f>
        <v>P9824042265</v>
      </c>
      <c r="D1271" s="8">
        <f>IFERROR(__xludf.DUMMYFUNCTION("""COMPUTED_VALUE"""),28.0)</f>
        <v>28</v>
      </c>
      <c r="E1271" s="2"/>
    </row>
    <row r="1272">
      <c r="A1272" s="2"/>
      <c r="B1272" s="8" t="str">
        <f>IFERROR(__xludf.DUMMYFUNCTION("""COMPUTED_VALUE"""),"ARION TIO PANDAPOTAN SIMATUPANG")</f>
        <v>ARION TIO PANDAPOTAN SIMATUPANG</v>
      </c>
      <c r="C1272" s="8" t="str">
        <f>IFERROR(__xludf.DUMMYFUNCTION("""COMPUTED_VALUE"""),"A9824044310")</f>
        <v>A9824044310</v>
      </c>
      <c r="D1272" s="8">
        <f>IFERROR(__xludf.DUMMYFUNCTION("""COMPUTED_VALUE"""),28.0)</f>
        <v>28</v>
      </c>
      <c r="E1272" s="2"/>
    </row>
    <row r="1273">
      <c r="A1273" s="2"/>
      <c r="B1273" s="8" t="str">
        <f>IFERROR(__xludf.DUMMYFUNCTION("""COMPUTED_VALUE"""),"EDDY HANAFI")</f>
        <v>EDDY HANAFI</v>
      </c>
      <c r="C1273" s="8" t="str">
        <f>IFERROR(__xludf.DUMMYFUNCTION("""COMPUTED_VALUE"""),"E4924043235")</f>
        <v>E4924043235</v>
      </c>
      <c r="D1273" s="8">
        <f>IFERROR(__xludf.DUMMYFUNCTION("""COMPUTED_VALUE"""),76.0)</f>
        <v>76</v>
      </c>
      <c r="E1273" s="2"/>
    </row>
    <row r="1274">
      <c r="A1274" s="2"/>
      <c r="B1274" s="8" t="str">
        <f>IFERROR(__xludf.DUMMYFUNCTION("""COMPUTED_VALUE"""),"YULI YANTI")</f>
        <v>YULI YANTI</v>
      </c>
      <c r="C1274" s="8" t="str">
        <f>IFERROR(__xludf.DUMMYFUNCTION("""COMPUTED_VALUE"""),"Y7424047557")</f>
        <v>Y7424047557</v>
      </c>
      <c r="D1274" s="8">
        <f>IFERROR(__xludf.DUMMYFUNCTION("""COMPUTED_VALUE"""),52.0)</f>
        <v>52</v>
      </c>
      <c r="E1274" s="2"/>
    </row>
    <row r="1275">
      <c r="A1275" s="2"/>
      <c r="B1275" s="8" t="str">
        <f>IFERROR(__xludf.DUMMYFUNCTION("""COMPUTED_VALUE"""),"ERIK LINGGA")</f>
        <v>ERIK LINGGA</v>
      </c>
      <c r="C1275" s="8" t="str">
        <f>IFERROR(__xludf.DUMMYFUNCTION("""COMPUTED_VALUE"""),"E8224048300")</f>
        <v>E8224048300</v>
      </c>
      <c r="D1275" s="8">
        <f>IFERROR(__xludf.DUMMYFUNCTION("""COMPUTED_VALUE"""),44.0)</f>
        <v>44</v>
      </c>
      <c r="E1275" s="2"/>
    </row>
    <row r="1276">
      <c r="A1276" s="2"/>
      <c r="B1276" s="8" t="str">
        <f>IFERROR(__xludf.DUMMYFUNCTION("""COMPUTED_VALUE"""),"EDY PERDANA")</f>
        <v>EDY PERDANA</v>
      </c>
      <c r="C1276" s="8" t="str">
        <f>IFERROR(__xludf.DUMMYFUNCTION("""COMPUTED_VALUE"""),"E8124045507")</f>
        <v>E8124045507</v>
      </c>
      <c r="D1276" s="8">
        <f>IFERROR(__xludf.DUMMYFUNCTION("""COMPUTED_VALUE"""),44.0)</f>
        <v>44</v>
      </c>
      <c r="E1276" s="2"/>
    </row>
    <row r="1277">
      <c r="A1277" s="2"/>
      <c r="B1277" s="8" t="str">
        <f>IFERROR(__xludf.DUMMYFUNCTION("""COMPUTED_VALUE"""),"SILVIA DESRI")</f>
        <v>SILVIA DESRI</v>
      </c>
      <c r="C1277" s="8" t="str">
        <f>IFERROR(__xludf.DUMMYFUNCTION("""COMPUTED_VALUE"""),"S8024042496")</f>
        <v>S8024042496</v>
      </c>
      <c r="D1277" s="8">
        <f>IFERROR(__xludf.DUMMYFUNCTION("""COMPUTED_VALUE"""),45.0)</f>
        <v>45</v>
      </c>
      <c r="E1277" s="2"/>
    </row>
    <row r="1278">
      <c r="A1278" s="2"/>
      <c r="B1278" s="8" t="str">
        <f>IFERROR(__xludf.DUMMYFUNCTION("""COMPUTED_VALUE"""),"EKA PURWATI")</f>
        <v>EKA PURWATI</v>
      </c>
      <c r="C1278" s="8" t="str">
        <f>IFERROR(__xludf.DUMMYFUNCTION("""COMPUTED_VALUE"""),"E8024049995")</f>
        <v>E8024049995</v>
      </c>
      <c r="D1278" s="8">
        <f>IFERROR(__xludf.DUMMYFUNCTION("""COMPUTED_VALUE"""),45.0)</f>
        <v>45</v>
      </c>
      <c r="E1278" s="2"/>
    </row>
    <row r="1279">
      <c r="A1279" s="2"/>
      <c r="B1279" s="8" t="str">
        <f>IFERROR(__xludf.DUMMYFUNCTION("""COMPUTED_VALUE"""),"ANDRIYANI")</f>
        <v>ANDRIYANI</v>
      </c>
      <c r="C1279" s="8" t="str">
        <f>IFERROR(__xludf.DUMMYFUNCTION("""COMPUTED_VALUE"""),"A9624048555")</f>
        <v>A9624048555</v>
      </c>
      <c r="D1279" s="8">
        <f>IFERROR(__xludf.DUMMYFUNCTION("""COMPUTED_VALUE"""),29.0)</f>
        <v>29</v>
      </c>
      <c r="E1279" s="2"/>
    </row>
    <row r="1280">
      <c r="A1280" s="2"/>
      <c r="B1280" s="8" t="str">
        <f>IFERROR(__xludf.DUMMYFUNCTION("""COMPUTED_VALUE"""),"ZULIANSYAH MAULUDIN")</f>
        <v>ZULIANSYAH MAULUDIN</v>
      </c>
      <c r="C1280" s="8" t="str">
        <f>IFERROR(__xludf.DUMMYFUNCTION("""COMPUTED_VALUE"""),"Z9724047029")</f>
        <v>Z9724047029</v>
      </c>
      <c r="D1280" s="8">
        <f>IFERROR(__xludf.DUMMYFUNCTION("""COMPUTED_VALUE"""),29.0)</f>
        <v>29</v>
      </c>
      <c r="E1280" s="2"/>
    </row>
    <row r="1281">
      <c r="A1281" s="2"/>
      <c r="B1281" s="8" t="str">
        <f>IFERROR(__xludf.DUMMYFUNCTION("""COMPUTED_VALUE"""),"M TOHA SUSILO UTOMO")</f>
        <v>M TOHA SUSILO UTOMO</v>
      </c>
      <c r="C1281" s="8" t="str">
        <f>IFERROR(__xludf.DUMMYFUNCTION("""COMPUTED_VALUE"""),"M7624048000")</f>
        <v>M7624048000</v>
      </c>
      <c r="D1281" s="8">
        <f>IFERROR(__xludf.DUMMYFUNCTION("""COMPUTED_VALUE"""),49.0)</f>
        <v>49</v>
      </c>
      <c r="E1281" s="2"/>
    </row>
    <row r="1282">
      <c r="A1282" s="2"/>
      <c r="B1282" s="8" t="str">
        <f>IFERROR(__xludf.DUMMYFUNCTION("""COMPUTED_VALUE"""),"FELIX LIANDO")</f>
        <v>FELIX LIANDO</v>
      </c>
      <c r="C1282" s="8" t="str">
        <f>IFERROR(__xludf.DUMMYFUNCTION("""COMPUTED_VALUE"""),"F0324045452")</f>
        <v>F0324045452</v>
      </c>
      <c r="D1282" s="8">
        <f>IFERROR(__xludf.DUMMYFUNCTION("""COMPUTED_VALUE"""),22.0)</f>
        <v>22</v>
      </c>
      <c r="E1282" s="2"/>
    </row>
    <row r="1283">
      <c r="A1283" s="2"/>
      <c r="B1283" s="8" t="str">
        <f>IFERROR(__xludf.DUMMYFUNCTION("""COMPUTED_VALUE"""),"NOVIRA LATARISSA")</f>
        <v>NOVIRA LATARISSA</v>
      </c>
      <c r="C1283" s="8" t="str">
        <f>IFERROR(__xludf.DUMMYFUNCTION("""COMPUTED_VALUE"""),"N9024045176")</f>
        <v>N9024045176</v>
      </c>
      <c r="D1283" s="8">
        <f>IFERROR(__xludf.DUMMYFUNCTION("""COMPUTED_VALUE"""),35.0)</f>
        <v>35</v>
      </c>
      <c r="E1283" s="2"/>
    </row>
    <row r="1284">
      <c r="A1284" s="2"/>
      <c r="B1284" s="8" t="str">
        <f>IFERROR(__xludf.DUMMYFUNCTION("""COMPUTED_VALUE"""),"MAULIDATUN NI'MAH")</f>
        <v>MAULIDATUN NI'MAH</v>
      </c>
      <c r="C1284" s="8" t="str">
        <f>IFERROR(__xludf.DUMMYFUNCTION("""COMPUTED_VALUE"""),"M8624049783")</f>
        <v>M8624049783</v>
      </c>
      <c r="D1284" s="8">
        <f>IFERROR(__xludf.DUMMYFUNCTION("""COMPUTED_VALUE"""),39.0)</f>
        <v>39</v>
      </c>
      <c r="E1284" s="2"/>
    </row>
    <row r="1285">
      <c r="A1285" s="2"/>
      <c r="B1285" s="8" t="str">
        <f>IFERROR(__xludf.DUMMYFUNCTION("""COMPUTED_VALUE"""),"BUJANG DARWIS")</f>
        <v>BUJANG DARWIS</v>
      </c>
      <c r="C1285" s="8" t="str">
        <f>IFERROR(__xludf.DUMMYFUNCTION("""COMPUTED_VALUE"""),"B0524040352")</f>
        <v>B0524040352</v>
      </c>
      <c r="D1285" s="8">
        <f>IFERROR(__xludf.DUMMYFUNCTION("""COMPUTED_VALUE"""),21.0)</f>
        <v>21</v>
      </c>
      <c r="E1285" s="2"/>
    </row>
    <row r="1286">
      <c r="A1286" s="2"/>
      <c r="B1286" s="8" t="str">
        <f>IFERROR(__xludf.DUMMYFUNCTION("""COMPUTED_VALUE"""),"KUSILO WIBOWO")</f>
        <v>KUSILO WIBOWO</v>
      </c>
      <c r="C1286" s="8" t="str">
        <f>IFERROR(__xludf.DUMMYFUNCTION("""COMPUTED_VALUE"""),"K6324041880")</f>
        <v>K6324041880</v>
      </c>
      <c r="D1286" s="8">
        <f>IFERROR(__xludf.DUMMYFUNCTION("""COMPUTED_VALUE"""),63.0)</f>
        <v>63</v>
      </c>
      <c r="E1286" s="2"/>
    </row>
    <row r="1287">
      <c r="A1287" s="2"/>
      <c r="B1287" s="8" t="str">
        <f>IFERROR(__xludf.DUMMYFUNCTION("""COMPUTED_VALUE"""),"YONGKI DUARTA")</f>
        <v>YONGKI DUARTA</v>
      </c>
      <c r="C1287" s="8" t="str">
        <f>IFERROR(__xludf.DUMMYFUNCTION("""COMPUTED_VALUE"""),"Y0624049684")</f>
        <v>Y0624049684</v>
      </c>
      <c r="D1287" s="8">
        <f>IFERROR(__xludf.DUMMYFUNCTION("""COMPUTED_VALUE"""),19.0)</f>
        <v>19</v>
      </c>
      <c r="E1287" s="2"/>
    </row>
    <row r="1288">
      <c r="A1288" s="2"/>
      <c r="B1288" s="8" t="str">
        <f>IFERROR(__xludf.DUMMYFUNCTION("""COMPUTED_VALUE"""),"HERMANUS")</f>
        <v>HERMANUS</v>
      </c>
      <c r="C1288" s="8" t="str">
        <f>IFERROR(__xludf.DUMMYFUNCTION("""COMPUTED_VALUE"""),"H7324049684")</f>
        <v>H7324049684</v>
      </c>
      <c r="D1288" s="8">
        <f>IFERROR(__xludf.DUMMYFUNCTION("""COMPUTED_VALUE"""),53.0)</f>
        <v>53</v>
      </c>
      <c r="E1288" s="2"/>
    </row>
    <row r="1289">
      <c r="A1289" s="2"/>
      <c r="B1289" s="8" t="str">
        <f>IFERROR(__xludf.DUMMYFUNCTION("""COMPUTED_VALUE"""),"KATISIA")</f>
        <v>KATISIA</v>
      </c>
      <c r="C1289" s="8" t="str">
        <f>IFERROR(__xludf.DUMMYFUNCTION("""COMPUTED_VALUE"""),"K7524049684")</f>
        <v>K7524049684</v>
      </c>
      <c r="D1289" s="8">
        <f>IFERROR(__xludf.DUMMYFUNCTION("""COMPUTED_VALUE"""),51.0)</f>
        <v>51</v>
      </c>
      <c r="E1289" s="2"/>
    </row>
    <row r="1290">
      <c r="A1290" s="2"/>
      <c r="B1290" s="8" t="str">
        <f>IFERROR(__xludf.DUMMYFUNCTION("""COMPUTED_VALUE"""),"PUTRI PRATIWI UTAMI")</f>
        <v>PUTRI PRATIWI UTAMI</v>
      </c>
      <c r="C1290" s="8" t="str">
        <f>IFERROR(__xludf.DUMMYFUNCTION("""COMPUTED_VALUE"""),"P9524042449")</f>
        <v>P9524042449</v>
      </c>
      <c r="D1290" s="8">
        <f>IFERROR(__xludf.DUMMYFUNCTION("""COMPUTED_VALUE"""),30.0)</f>
        <v>30</v>
      </c>
      <c r="E1290" s="2"/>
    </row>
    <row r="1291">
      <c r="A1291" s="2"/>
      <c r="B1291" s="8" t="str">
        <f>IFERROR(__xludf.DUMMYFUNCTION("""COMPUTED_VALUE"""),"MUHAMMAD RIFKY ARDANTO")</f>
        <v>MUHAMMAD RIFKY ARDANTO</v>
      </c>
      <c r="C1291" s="8" t="str">
        <f>IFERROR(__xludf.DUMMYFUNCTION("""COMPUTED_VALUE"""),"M0424041828")</f>
        <v>M0424041828</v>
      </c>
      <c r="D1291" s="8">
        <f>IFERROR(__xludf.DUMMYFUNCTION("""COMPUTED_VALUE"""),21.0)</f>
        <v>21</v>
      </c>
      <c r="E1291" s="2"/>
    </row>
    <row r="1292">
      <c r="A1292" s="2"/>
      <c r="B1292" s="8" t="str">
        <f>IFERROR(__xludf.DUMMYFUNCTION("""COMPUTED_VALUE"""),"ANGGUN RACHMAWATI")</f>
        <v>ANGGUN RACHMAWATI</v>
      </c>
      <c r="C1292" s="8" t="str">
        <f>IFERROR(__xludf.DUMMYFUNCTION("""COMPUTED_VALUE"""),"A9124047242")</f>
        <v>A9124047242</v>
      </c>
      <c r="D1292" s="8">
        <f>IFERROR(__xludf.DUMMYFUNCTION("""COMPUTED_VALUE"""),35.0)</f>
        <v>35</v>
      </c>
      <c r="E1292" s="2"/>
    </row>
    <row r="1293">
      <c r="A1293" s="2"/>
      <c r="B1293" s="8" t="str">
        <f>IFERROR(__xludf.DUMMYFUNCTION("""COMPUTED_VALUE"""),"REZA PRASTYA")</f>
        <v>REZA PRASTYA</v>
      </c>
      <c r="C1293" s="8" t="str">
        <f>IFERROR(__xludf.DUMMYFUNCTION("""COMPUTED_VALUE"""),"R9224047774")</f>
        <v>R9224047774</v>
      </c>
      <c r="D1293" s="8">
        <f>IFERROR(__xludf.DUMMYFUNCTION("""COMPUTED_VALUE"""),34.0)</f>
        <v>34</v>
      </c>
      <c r="E1293" s="2"/>
    </row>
    <row r="1294">
      <c r="A1294" s="2"/>
      <c r="B1294" s="8" t="str">
        <f>IFERROR(__xludf.DUMMYFUNCTION("""COMPUTED_VALUE"""),"MICHAEL 0103")</f>
        <v>MICHAEL 0103</v>
      </c>
      <c r="C1294" s="8" t="str">
        <f>IFERROR(__xludf.DUMMYFUNCTION("""COMPUTED_VALUE"""),"M0124055324")</f>
        <v>M0124055324</v>
      </c>
      <c r="D1294" s="8">
        <f>IFERROR(__xludf.DUMMYFUNCTION("""COMPUTED_VALUE"""),25.0)</f>
        <v>25</v>
      </c>
      <c r="E1294" s="2"/>
    </row>
    <row r="1295">
      <c r="A1295" s="2"/>
      <c r="B1295" s="8" t="str">
        <f>IFERROR(__xludf.DUMMYFUNCTION("""COMPUTED_VALUE"""),"ZULFAHMI EKI FINALDA")</f>
        <v>ZULFAHMI EKI FINALDA</v>
      </c>
      <c r="C1295" s="8" t="str">
        <f>IFERROR(__xludf.DUMMYFUNCTION("""COMPUTED_VALUE"""),"Z9524058455")</f>
        <v>Z9524058455</v>
      </c>
      <c r="D1295" s="8">
        <f>IFERROR(__xludf.DUMMYFUNCTION("""COMPUTED_VALUE"""),31.0)</f>
        <v>31</v>
      </c>
      <c r="E1295" s="2"/>
    </row>
    <row r="1296">
      <c r="A1296" s="2"/>
      <c r="B1296" s="8" t="str">
        <f>IFERROR(__xludf.DUMMYFUNCTION("""COMPUTED_VALUE"""),"MAULANA OKTAVIAN PRADANA")</f>
        <v>MAULANA OKTAVIAN PRADANA</v>
      </c>
      <c r="C1296" s="8" t="str">
        <f>IFERROR(__xludf.DUMMYFUNCTION("""COMPUTED_VALUE"""),"M9024054025")</f>
        <v>M9024054025</v>
      </c>
      <c r="D1296" s="8">
        <f>IFERROR(__xludf.DUMMYFUNCTION("""COMPUTED_VALUE"""),35.0)</f>
        <v>35</v>
      </c>
      <c r="E1296" s="2"/>
    </row>
    <row r="1297">
      <c r="A1297" s="2"/>
      <c r="B1297" s="8" t="str">
        <f>IFERROR(__xludf.DUMMYFUNCTION("""COMPUTED_VALUE"""),"JOKO SLAMET PRIYANTO")</f>
        <v>JOKO SLAMET PRIYANTO</v>
      </c>
      <c r="C1297" s="8" t="str">
        <f>IFERROR(__xludf.DUMMYFUNCTION("""COMPUTED_VALUE"""),"J9024059211")</f>
        <v>J9024059211</v>
      </c>
      <c r="D1297" s="8">
        <f>IFERROR(__xludf.DUMMYFUNCTION("""COMPUTED_VALUE"""),36.0)</f>
        <v>36</v>
      </c>
      <c r="E1297" s="2"/>
    </row>
    <row r="1298">
      <c r="A1298" s="2"/>
      <c r="B1298" s="8" t="str">
        <f>IFERROR(__xludf.DUMMYFUNCTION("""COMPUTED_VALUE"""),"BATISTUTA YUSLYADI")</f>
        <v>BATISTUTA YUSLYADI</v>
      </c>
      <c r="C1298" s="8" t="str">
        <f>IFERROR(__xludf.DUMMYFUNCTION("""COMPUTED_VALUE"""),"B9924053678")</f>
        <v>B9924053678</v>
      </c>
      <c r="D1298" s="8">
        <f>IFERROR(__xludf.DUMMYFUNCTION("""COMPUTED_VALUE"""),27.0)</f>
        <v>27</v>
      </c>
      <c r="E1298" s="2"/>
    </row>
    <row r="1299">
      <c r="A1299" s="2"/>
      <c r="B1299" s="8" t="str">
        <f>IFERROR(__xludf.DUMMYFUNCTION("""COMPUTED_VALUE"""),"STEPHAN SUSANTO")</f>
        <v>STEPHAN SUSANTO</v>
      </c>
      <c r="C1299" s="8" t="str">
        <f>IFERROR(__xludf.DUMMYFUNCTION("""COMPUTED_VALUE"""),"S9224059787")</f>
        <v>S9224059787</v>
      </c>
      <c r="D1299" s="8">
        <f>IFERROR(__xludf.DUMMYFUNCTION("""COMPUTED_VALUE"""),33.0)</f>
        <v>33</v>
      </c>
      <c r="E1299" s="2"/>
    </row>
    <row r="1300">
      <c r="A1300" s="2"/>
      <c r="B1300" s="8" t="str">
        <f>IFERROR(__xludf.DUMMYFUNCTION("""COMPUTED_VALUE"""),"ALBERTUS WENDY")</f>
        <v>ALBERTUS WENDY</v>
      </c>
      <c r="C1300" s="8" t="str">
        <f>IFERROR(__xludf.DUMMYFUNCTION("""COMPUTED_VALUE"""),"A042405\")</f>
        <v>A042405\</v>
      </c>
      <c r="D1300" s="8">
        <f>IFERROR(__xludf.DUMMYFUNCTION("""COMPUTED_VALUE"""),21.0)</f>
        <v>21</v>
      </c>
      <c r="E1300" s="2"/>
    </row>
    <row r="1301">
      <c r="A1301" s="2"/>
      <c r="B1301" s="8" t="str">
        <f>IFERROR(__xludf.DUMMYFUNCTION("""COMPUTED_VALUE"""),"EKO NUGROHO PUTRANTONO")</f>
        <v>EKO NUGROHO PUTRANTONO</v>
      </c>
      <c r="C1301" s="8" t="str">
        <f>IFERROR(__xludf.DUMMYFUNCTION("""COMPUTED_VALUE"""),"E9424050360")</f>
        <v>E9424050360</v>
      </c>
      <c r="D1301" s="8">
        <f>IFERROR(__xludf.DUMMYFUNCTION("""COMPUTED_VALUE"""),31.0)</f>
        <v>31</v>
      </c>
      <c r="E1301" s="2"/>
    </row>
    <row r="1302">
      <c r="A1302" s="2"/>
      <c r="B1302" s="8" t="str">
        <f>IFERROR(__xludf.DUMMYFUNCTION("""COMPUTED_VALUE"""),"ACHIEN")</f>
        <v>ACHIEN</v>
      </c>
      <c r="C1302" s="8" t="str">
        <f>IFERROR(__xludf.DUMMYFUNCTION("""COMPUTED_VALUE"""),"A5724054530")</f>
        <v>A5724054530</v>
      </c>
      <c r="D1302" s="8">
        <f>IFERROR(__xludf.DUMMYFUNCTION("""COMPUTED_VALUE"""),68.0)</f>
        <v>68</v>
      </c>
      <c r="E1302" s="2"/>
    </row>
    <row r="1303">
      <c r="A1303" s="2"/>
      <c r="B1303" s="8" t="str">
        <f>IFERROR(__xludf.DUMMYFUNCTION("""COMPUTED_VALUE"""),"MUHAMMAD VARELL BINTANG SUMAHARJA")</f>
        <v>MUHAMMAD VARELL BINTANG SUMAHARJA</v>
      </c>
      <c r="C1303" s="8" t="str">
        <f>IFERROR(__xludf.DUMMYFUNCTION("""COMPUTED_VALUE"""),"M0624050774")</f>
        <v>M0624050774</v>
      </c>
      <c r="D1303" s="8">
        <f>IFERROR(__xludf.DUMMYFUNCTION("""COMPUTED_VALUE"""),20.0)</f>
        <v>20</v>
      </c>
      <c r="E1303" s="2"/>
    </row>
    <row r="1304">
      <c r="A1304" s="2"/>
      <c r="B1304" s="8" t="str">
        <f>IFERROR(__xludf.DUMMYFUNCTION("""COMPUTED_VALUE"""),"IDA SUHARNI")</f>
        <v>IDA SUHARNI</v>
      </c>
      <c r="C1304" s="8" t="str">
        <f>IFERROR(__xludf.DUMMYFUNCTION("""COMPUTED_VALUE"""),"I6524056344")</f>
        <v>I6524056344</v>
      </c>
      <c r="D1304" s="8">
        <f>IFERROR(__xludf.DUMMYFUNCTION("""COMPUTED_VALUE"""),60.0)</f>
        <v>60</v>
      </c>
      <c r="E1304" s="2"/>
    </row>
    <row r="1305">
      <c r="A1305" s="2"/>
      <c r="B1305" s="8" t="str">
        <f>IFERROR(__xludf.DUMMYFUNCTION("""COMPUTED_VALUE"""),"KENNY ADITYA PRATAMA")</f>
        <v>KENNY ADITYA PRATAMA</v>
      </c>
      <c r="C1305" s="8" t="str">
        <f>IFERROR(__xludf.DUMMYFUNCTION("""COMPUTED_VALUE"""),"K9524054054")</f>
        <v>K9524054054</v>
      </c>
      <c r="D1305" s="8">
        <f>IFERROR(__xludf.DUMMYFUNCTION("""COMPUTED_VALUE"""),30.0)</f>
        <v>30</v>
      </c>
      <c r="E1305" s="2"/>
    </row>
    <row r="1306">
      <c r="A1306" s="2"/>
      <c r="B1306" s="8" t="str">
        <f>IFERROR(__xludf.DUMMYFUNCTION("""COMPUTED_VALUE"""),"GITA RAHAYU")</f>
        <v>GITA RAHAYU</v>
      </c>
      <c r="C1306" s="8" t="str">
        <f>IFERROR(__xludf.DUMMYFUNCTION("""COMPUTED_VALUE"""),"G9224053884")</f>
        <v>G9224053884</v>
      </c>
      <c r="D1306" s="8">
        <f>IFERROR(__xludf.DUMMYFUNCTION("""COMPUTED_VALUE"""),34.0)</f>
        <v>34</v>
      </c>
      <c r="E1306" s="2"/>
    </row>
    <row r="1307">
      <c r="A1307" s="2"/>
      <c r="B1307" s="8" t="str">
        <f>IFERROR(__xludf.DUMMYFUNCTION("""COMPUTED_VALUE"""),"NOVIYANTO")</f>
        <v>NOVIYANTO</v>
      </c>
      <c r="C1307" s="8" t="str">
        <f>IFERROR(__xludf.DUMMYFUNCTION("""COMPUTED_VALUE"""),"N0124050522")</f>
        <v>N0124050522</v>
      </c>
      <c r="D1307" s="8">
        <f>IFERROR(__xludf.DUMMYFUNCTION("""COMPUTED_VALUE"""),24.0)</f>
        <v>24</v>
      </c>
      <c r="E1307" s="2"/>
    </row>
    <row r="1308">
      <c r="A1308" s="2"/>
      <c r="B1308" s="8" t="str">
        <f>IFERROR(__xludf.DUMMYFUNCTION("""COMPUTED_VALUE"""),"FEBIANTO")</f>
        <v>FEBIANTO</v>
      </c>
      <c r="C1308" s="8" t="str">
        <f>IFERROR(__xludf.DUMMYFUNCTION("""COMPUTED_VALUE"""),"F9124059886")</f>
        <v>F9124059886</v>
      </c>
      <c r="D1308" s="8">
        <f>IFERROR(__xludf.DUMMYFUNCTION("""COMPUTED_VALUE"""),35.0)</f>
        <v>35</v>
      </c>
      <c r="E1308" s="2"/>
    </row>
    <row r="1309">
      <c r="A1309" s="2"/>
      <c r="B1309" s="8" t="str">
        <f>IFERROR(__xludf.DUMMYFUNCTION("""COMPUTED_VALUE"""),"ELLY")</f>
        <v>ELLY</v>
      </c>
      <c r="C1309" s="8" t="str">
        <f>IFERROR(__xludf.DUMMYFUNCTION("""COMPUTED_VALUE"""),"E8924055253")</f>
        <v>E8924055253</v>
      </c>
      <c r="D1309" s="8">
        <f>IFERROR(__xludf.DUMMYFUNCTION("""COMPUTED_VALUE"""),37.0)</f>
        <v>37</v>
      </c>
      <c r="E1309" s="2"/>
    </row>
    <row r="1310">
      <c r="A1310" s="2"/>
      <c r="B1310" s="8" t="str">
        <f>IFERROR(__xludf.DUMMYFUNCTION("""COMPUTED_VALUE"""),"DESSY")</f>
        <v>DESSY</v>
      </c>
      <c r="C1310" s="8" t="str">
        <f>IFERROR(__xludf.DUMMYFUNCTION("""COMPUTED_VALUE"""),"D8724050975")</f>
        <v>D8724050975</v>
      </c>
      <c r="D1310" s="8">
        <f>IFERROR(__xludf.DUMMYFUNCTION("""COMPUTED_VALUE"""),39.0)</f>
        <v>39</v>
      </c>
      <c r="E1310" s="2"/>
    </row>
    <row r="1311">
      <c r="A1311" s="2"/>
      <c r="B1311" s="8" t="str">
        <f>IFERROR(__xludf.DUMMYFUNCTION("""COMPUTED_VALUE"""),"DESY YUNIATI")</f>
        <v>DESY YUNIATI</v>
      </c>
      <c r="C1311" s="8" t="str">
        <f>IFERROR(__xludf.DUMMYFUNCTION("""COMPUTED_VALUE"""),"D9024054652")</f>
        <v>D9024054652</v>
      </c>
      <c r="D1311" s="8">
        <f>IFERROR(__xludf.DUMMYFUNCTION("""COMPUTED_VALUE"""),36.0)</f>
        <v>36</v>
      </c>
      <c r="E1311" s="2"/>
    </row>
    <row r="1312">
      <c r="A1312" s="2"/>
      <c r="B1312" s="8" t="str">
        <f>IFERROR(__xludf.DUMMYFUNCTION("""COMPUTED_VALUE"""),"RIYAN FITRA")</f>
        <v>RIYAN FITRA</v>
      </c>
      <c r="C1312" s="8" t="str">
        <f>IFERROR(__xludf.DUMMYFUNCTION("""COMPUTED_VALUE"""),"R0024056479")</f>
        <v>R0024056479</v>
      </c>
      <c r="D1312" s="8">
        <f>IFERROR(__xludf.DUMMYFUNCTION("""COMPUTED_VALUE"""),26.0)</f>
        <v>26</v>
      </c>
      <c r="E1312" s="2"/>
    </row>
    <row r="1313">
      <c r="A1313" s="2"/>
      <c r="B1313" s="8" t="str">
        <f>IFERROR(__xludf.DUMMYFUNCTION("""COMPUTED_VALUE"""),"BAMBANG RIO AGRIAWAN")</f>
        <v>BAMBANG RIO AGRIAWAN</v>
      </c>
      <c r="C1313" s="8" t="str">
        <f>IFERROR(__xludf.DUMMYFUNCTION("""COMPUTED_VALUE"""),"B9124050605")</f>
        <v>B9124050605</v>
      </c>
      <c r="D1313" s="8">
        <f>IFERROR(__xludf.DUMMYFUNCTION("""COMPUTED_VALUE"""),35.0)</f>
        <v>35</v>
      </c>
      <c r="E1313" s="2"/>
    </row>
    <row r="1314">
      <c r="A1314" s="2"/>
      <c r="B1314" s="8" t="str">
        <f>IFERROR(__xludf.DUMMYFUNCTION("""COMPUTED_VALUE"""),"EDWARD YANUAR SUSANTO")</f>
        <v>EDWARD YANUAR SUSANTO</v>
      </c>
      <c r="C1314" s="8" t="str">
        <f>IFERROR(__xludf.DUMMYFUNCTION("""COMPUTED_VALUE"""),"E8924059039")</f>
        <v>E8924059039</v>
      </c>
      <c r="D1314" s="8">
        <f>IFERROR(__xludf.DUMMYFUNCTION("""COMPUTED_VALUE"""),37.0)</f>
        <v>37</v>
      </c>
      <c r="E1314" s="2"/>
    </row>
    <row r="1315">
      <c r="A1315" s="2"/>
      <c r="B1315" s="8" t="str">
        <f>IFERROR(__xludf.DUMMYFUNCTION("""COMPUTED_VALUE"""),"DONATILA KARENIA IGNALISTA")</f>
        <v>DONATILA KARENIA IGNALISTA</v>
      </c>
      <c r="C1315" s="8" t="str">
        <f>IFERROR(__xludf.DUMMYFUNCTION("""COMPUTED_VALUE"""),"D0524056876")</f>
        <v>D0524056876</v>
      </c>
      <c r="D1315" s="8">
        <f>IFERROR(__xludf.DUMMYFUNCTION("""COMPUTED_VALUE"""),21.0)</f>
        <v>21</v>
      </c>
      <c r="E1315" s="2"/>
    </row>
    <row r="1316">
      <c r="A1316" s="2"/>
      <c r="B1316" s="8" t="str">
        <f>IFERROR(__xludf.DUMMYFUNCTION("""COMPUTED_VALUE"""),"RAHMAT FARIZ RAMADHAN")</f>
        <v>RAHMAT FARIZ RAMADHAN</v>
      </c>
      <c r="C1316" s="8" t="str">
        <f>IFERROR(__xludf.DUMMYFUNCTION("""COMPUTED_VALUE"""),"R0524056851")</f>
        <v>R0524056851</v>
      </c>
      <c r="D1316" s="8">
        <f>IFERROR(__xludf.DUMMYFUNCTION("""COMPUTED_VALUE"""),20.0)</f>
        <v>20</v>
      </c>
      <c r="E1316" s="2"/>
    </row>
    <row r="1317">
      <c r="A1317" s="2"/>
      <c r="B1317" s="8" t="str">
        <f>IFERROR(__xludf.DUMMYFUNCTION("""COMPUTED_VALUE"""),"SITI ATIKA AZZAHRA")</f>
        <v>SITI ATIKA AZZAHRA</v>
      </c>
      <c r="C1317" s="8" t="str">
        <f>IFERROR(__xludf.DUMMYFUNCTION("""COMPUTED_VALUE"""),"S0024053054")</f>
        <v>S0024053054</v>
      </c>
      <c r="D1317" s="8">
        <f>IFERROR(__xludf.DUMMYFUNCTION("""COMPUTED_VALUE"""),25.0)</f>
        <v>25</v>
      </c>
      <c r="E1317" s="2"/>
    </row>
    <row r="1318">
      <c r="A1318" s="2"/>
      <c r="B1318" s="8" t="str">
        <f>IFERROR(__xludf.DUMMYFUNCTION("""COMPUTED_VALUE"""),"URAY ARYA FAVIAN JIWANI")</f>
        <v>URAY ARYA FAVIAN JIWANI</v>
      </c>
      <c r="C1318" s="8" t="str">
        <f>IFERROR(__xludf.DUMMYFUNCTION("""COMPUTED_VALUE"""),"U0224056408")</f>
        <v>U0224056408</v>
      </c>
      <c r="D1318" s="8">
        <f>IFERROR(__xludf.DUMMYFUNCTION("""COMPUTED_VALUE"""),23.0)</f>
        <v>23</v>
      </c>
      <c r="E1318" s="2"/>
    </row>
    <row r="1319">
      <c r="A1319" s="2"/>
      <c r="B1319" s="8" t="str">
        <f>IFERROR(__xludf.DUMMYFUNCTION("""COMPUTED_VALUE"""),"HANDY YOSUA THOMAS")</f>
        <v>HANDY YOSUA THOMAS</v>
      </c>
      <c r="C1319" s="8" t="str">
        <f>IFERROR(__xludf.DUMMYFUNCTION("""COMPUTED_VALUE"""),"H9224057775")</f>
        <v>H9224057775</v>
      </c>
      <c r="D1319" s="8">
        <f>IFERROR(__xludf.DUMMYFUNCTION("""COMPUTED_VALUE"""),34.0)</f>
        <v>34</v>
      </c>
      <c r="E1319" s="2"/>
    </row>
    <row r="1320">
      <c r="A1320" s="2"/>
      <c r="B1320" s="8" t="str">
        <f>IFERROR(__xludf.DUMMYFUNCTION("""COMPUTED_VALUE"""),"ANINDA NABILA WIDMAN P.")</f>
        <v>ANINDA NABILA WIDMAN P.</v>
      </c>
      <c r="C1320" s="8" t="str">
        <f>IFERROR(__xludf.DUMMYFUNCTION("""COMPUTED_VALUE"""),"A0224053501")</f>
        <v>A0224053501</v>
      </c>
      <c r="D1320" s="8">
        <f>IFERROR(__xludf.DUMMYFUNCTION("""COMPUTED_VALUE"""),24.0)</f>
        <v>24</v>
      </c>
      <c r="E1320" s="2"/>
    </row>
    <row r="1321">
      <c r="A1321" s="2"/>
      <c r="B1321" s="8" t="str">
        <f>IFERROR(__xludf.DUMMYFUNCTION("""COMPUTED_VALUE"""),"ANGGI PERWITASARI")</f>
        <v>ANGGI PERWITASARI</v>
      </c>
      <c r="C1321" s="8" t="str">
        <f>IFERROR(__xludf.DUMMYFUNCTION("""COMPUTED_VALUE"""),"A8924059959")</f>
        <v>A8924059959</v>
      </c>
      <c r="D1321" s="8">
        <f>IFERROR(__xludf.DUMMYFUNCTION("""COMPUTED_VALUE"""),36.0)</f>
        <v>36</v>
      </c>
      <c r="E1321" s="2"/>
    </row>
    <row r="1322">
      <c r="A1322" s="2"/>
      <c r="B1322" s="8" t="str">
        <f>IFERROR(__xludf.DUMMYFUNCTION("""COMPUTED_VALUE"""),"UTIN NUR ALIA")</f>
        <v>UTIN NUR ALIA</v>
      </c>
      <c r="C1322" s="8" t="str">
        <f>IFERROR(__xludf.DUMMYFUNCTION("""COMPUTED_VALUE"""),"U9624055631")</f>
        <v>U9624055631</v>
      </c>
      <c r="D1322" s="8">
        <f>IFERROR(__xludf.DUMMYFUNCTION("""COMPUTED_VALUE"""),29.0)</f>
        <v>29</v>
      </c>
      <c r="E1322" s="2"/>
    </row>
    <row r="1323">
      <c r="A1323" s="2"/>
      <c r="B1323" s="8" t="str">
        <f>IFERROR(__xludf.DUMMYFUNCTION("""COMPUTED_VALUE"""),"MUHAMMAD RIZKY ASLAMSYAH")</f>
        <v>MUHAMMAD RIZKY ASLAMSYAH</v>
      </c>
      <c r="C1323" s="8" t="str">
        <f>IFERROR(__xludf.DUMMYFUNCTION("""COMPUTED_VALUE"""),"M9324050815")</f>
        <v>M9324050815</v>
      </c>
      <c r="D1323" s="8">
        <f>IFERROR(__xludf.DUMMYFUNCTION("""COMPUTED_VALUE"""),33.0)</f>
        <v>33</v>
      </c>
      <c r="E1323" s="2"/>
    </row>
    <row r="1324">
      <c r="A1324" s="2"/>
      <c r="B1324" s="8" t="str">
        <f>IFERROR(__xludf.DUMMYFUNCTION("""COMPUTED_VALUE"""),"SYARIF MAULANA")</f>
        <v>SYARIF MAULANA</v>
      </c>
      <c r="C1324" s="8" t="str">
        <f>IFERROR(__xludf.DUMMYFUNCTION("""COMPUTED_VALUE"""),"S0224056365")</f>
        <v>S0224056365</v>
      </c>
      <c r="D1324" s="8">
        <f>IFERROR(__xludf.DUMMYFUNCTION("""COMPUTED_VALUE"""),24.0)</f>
        <v>24</v>
      </c>
      <c r="E1324" s="2"/>
    </row>
    <row r="1325">
      <c r="A1325" s="2"/>
      <c r="B1325" s="8" t="str">
        <f>IFERROR(__xludf.DUMMYFUNCTION("""COMPUTED_VALUE"""),"LIM LIE FONG")</f>
        <v>LIM LIE FONG</v>
      </c>
      <c r="C1325" s="8" t="str">
        <f>IFERROR(__xludf.DUMMYFUNCTION("""COMPUTED_VALUE"""),"L6224053235")</f>
        <v>L6224053235</v>
      </c>
      <c r="D1325" s="8">
        <f>IFERROR(__xludf.DUMMYFUNCTION("""COMPUTED_VALUE"""),64.0)</f>
        <v>64</v>
      </c>
      <c r="E1325" s="2"/>
    </row>
    <row r="1326">
      <c r="A1326" s="2"/>
      <c r="B1326" s="8" t="str">
        <f>IFERROR(__xludf.DUMMYFUNCTION("""COMPUTED_VALUE"""),"AGUS ARIANSYAH")</f>
        <v>AGUS ARIANSYAH</v>
      </c>
      <c r="C1326" s="8" t="str">
        <f>IFERROR(__xludf.DUMMYFUNCTION("""COMPUTED_VALUE"""),"A0524052429")</f>
        <v>A0524052429</v>
      </c>
      <c r="D1326" s="8">
        <f>IFERROR(__xludf.DUMMYFUNCTION("""COMPUTED_VALUE"""),20.0)</f>
        <v>20</v>
      </c>
      <c r="E1326" s="2"/>
    </row>
    <row r="1327">
      <c r="A1327" s="2"/>
      <c r="B1327" s="8" t="str">
        <f>IFERROR(__xludf.DUMMYFUNCTION("""COMPUTED_VALUE"""),"ADE FERDINAN")</f>
        <v>ADE FERDINAN</v>
      </c>
      <c r="C1327" s="8" t="str">
        <f>IFERROR(__xludf.DUMMYFUNCTION("""COMPUTED_VALUE"""),"A8124059026")</f>
        <v>A8124059026</v>
      </c>
      <c r="D1327" s="8">
        <f>IFERROR(__xludf.DUMMYFUNCTION("""COMPUTED_VALUE"""),44.0)</f>
        <v>44</v>
      </c>
      <c r="E1327" s="2"/>
    </row>
    <row r="1328">
      <c r="A1328" s="2"/>
      <c r="B1328" s="8" t="str">
        <f>IFERROR(__xludf.DUMMYFUNCTION("""COMPUTED_VALUE"""),"NYEMAS SHAINAH")</f>
        <v>NYEMAS SHAINAH</v>
      </c>
      <c r="C1328" s="8" t="str">
        <f>IFERROR(__xludf.DUMMYFUNCTION("""COMPUTED_VALUE"""),"N6124050003")</f>
        <v>N6124050003</v>
      </c>
      <c r="D1328" s="8">
        <f>IFERROR(__xludf.DUMMYFUNCTION("""COMPUTED_VALUE"""),65.0)</f>
        <v>65</v>
      </c>
      <c r="E1328" s="2"/>
    </row>
    <row r="1329">
      <c r="A1329" s="2"/>
      <c r="B1329" s="8" t="str">
        <f>IFERROR(__xludf.DUMMYFUNCTION("""COMPUTED_VALUE"""),"NANI YUSNANINGSIH")</f>
        <v>NANI YUSNANINGSIH</v>
      </c>
      <c r="C1329" s="8" t="str">
        <f>IFERROR(__xludf.DUMMYFUNCTION("""COMPUTED_VALUE"""),"N7124057969")</f>
        <v>N7124057969</v>
      </c>
      <c r="D1329" s="8">
        <f>IFERROR(__xludf.DUMMYFUNCTION("""COMPUTED_VALUE"""),55.0)</f>
        <v>55</v>
      </c>
      <c r="E1329" s="2"/>
    </row>
    <row r="1330">
      <c r="A1330" s="2"/>
      <c r="B1330" s="8" t="str">
        <f>IFERROR(__xludf.DUMMYFUNCTION("""COMPUTED_VALUE"""),"MUSLIMAH")</f>
        <v>MUSLIMAH</v>
      </c>
      <c r="C1330" s="8" t="str">
        <f>IFERROR(__xludf.DUMMYFUNCTION("""COMPUTED_VALUE"""),"M4824050181")</f>
        <v>M4824050181</v>
      </c>
      <c r="D1330" s="8">
        <f>IFERROR(__xludf.DUMMYFUNCTION("""COMPUTED_VALUE"""),77.0)</f>
        <v>77</v>
      </c>
      <c r="E1330" s="2"/>
    </row>
    <row r="1331">
      <c r="A1331" s="2"/>
      <c r="B1331" s="8" t="str">
        <f>IFERROR(__xludf.DUMMYFUNCTION("""COMPUTED_VALUE"""),"NURUL IZZA")</f>
        <v>NURUL IZZA</v>
      </c>
      <c r="C1331" s="8" t="str">
        <f>IFERROR(__xludf.DUMMYFUNCTION("""COMPUTED_VALUE"""),"N0224054540")</f>
        <v>N0224054540</v>
      </c>
      <c r="D1331" s="8">
        <f>IFERROR(__xludf.DUMMYFUNCTION("""COMPUTED_VALUE"""),24.0)</f>
        <v>24</v>
      </c>
      <c r="E1331" s="2"/>
    </row>
    <row r="1332">
      <c r="A1332" s="2"/>
      <c r="B1332" s="8" t="str">
        <f>IFERROR(__xludf.DUMMYFUNCTION("""COMPUTED_VALUE"""),"FAUZIAH")</f>
        <v>FAUZIAH</v>
      </c>
      <c r="C1332" s="8" t="str">
        <f>IFERROR(__xludf.DUMMYFUNCTION("""COMPUTED_VALUE"""),"F7424054053")</f>
        <v>F7424054053</v>
      </c>
      <c r="D1332" s="8">
        <f>IFERROR(__xludf.DUMMYFUNCTION("""COMPUTED_VALUE"""),52.0)</f>
        <v>52</v>
      </c>
      <c r="E1332" s="2"/>
    </row>
    <row r="1333">
      <c r="A1333" s="2"/>
      <c r="B1333" s="8" t="str">
        <f>IFERROR(__xludf.DUMMYFUNCTION("""COMPUTED_VALUE"""),"FIRTA RAHAYU")</f>
        <v>FIRTA RAHAYU</v>
      </c>
      <c r="C1333" s="8" t="str">
        <f>IFERROR(__xludf.DUMMYFUNCTION("""COMPUTED_VALUE"""),"F8924053335")</f>
        <v>F8924053335</v>
      </c>
      <c r="D1333" s="8">
        <f>IFERROR(__xludf.DUMMYFUNCTION("""COMPUTED_VALUE"""),37.0)</f>
        <v>37</v>
      </c>
      <c r="E1333" s="2"/>
    </row>
    <row r="1334">
      <c r="A1334" s="2"/>
      <c r="B1334" s="8" t="str">
        <f>IFERROR(__xludf.DUMMYFUNCTION("""COMPUTED_VALUE"""),"DADAN FANDIYANA")</f>
        <v>DADAN FANDIYANA</v>
      </c>
      <c r="C1334" s="8" t="str">
        <f>IFERROR(__xludf.DUMMYFUNCTION("""COMPUTED_VALUE"""),"D8724059947")</f>
        <v>D8724059947</v>
      </c>
      <c r="D1334" s="8">
        <f>IFERROR(__xludf.DUMMYFUNCTION("""COMPUTED_VALUE"""),39.0)</f>
        <v>39</v>
      </c>
      <c r="E1334" s="2"/>
    </row>
    <row r="1335">
      <c r="A1335" s="2"/>
      <c r="B1335" s="8" t="str">
        <f>IFERROR(__xludf.DUMMYFUNCTION("""COMPUTED_VALUE"""),"BUDI CANDRAWIRA")</f>
        <v>BUDI CANDRAWIRA</v>
      </c>
      <c r="C1335" s="8" t="str">
        <f>IFERROR(__xludf.DUMMYFUNCTION("""COMPUTED_VALUE"""),"B8724052707")</f>
        <v>B8724052707</v>
      </c>
      <c r="D1335" s="8">
        <f>IFERROR(__xludf.DUMMYFUNCTION("""COMPUTED_VALUE"""),39.0)</f>
        <v>39</v>
      </c>
      <c r="E1335" s="2"/>
    </row>
    <row r="1336">
      <c r="A1336" s="2"/>
      <c r="B1336" s="8" t="str">
        <f>IFERROR(__xludf.DUMMYFUNCTION("""COMPUTED_VALUE"""),"ENI SETYAWATI")</f>
        <v>ENI SETYAWATI</v>
      </c>
      <c r="C1336" s="8" t="str">
        <f>IFERROR(__xludf.DUMMYFUNCTION("""COMPUTED_VALUE"""),"E8324053960")</f>
        <v>E8324053960</v>
      </c>
      <c r="D1336" s="8">
        <f>IFERROR(__xludf.DUMMYFUNCTION("""COMPUTED_VALUE"""),42.0)</f>
        <v>42</v>
      </c>
      <c r="E1336" s="2"/>
    </row>
    <row r="1337">
      <c r="A1337" s="2"/>
      <c r="B1337" s="8" t="str">
        <f>IFERROR(__xludf.DUMMYFUNCTION("""COMPUTED_VALUE"""),"ARAY DUADUAL HAMIJAYA")</f>
        <v>ARAY DUADUAL HAMIJAYA</v>
      </c>
      <c r="C1337" s="8" t="str">
        <f>IFERROR(__xludf.DUMMYFUNCTION("""COMPUTED_VALUE"""),"A0124056622")</f>
        <v>A0124056622</v>
      </c>
      <c r="D1337" s="8">
        <f>IFERROR(__xludf.DUMMYFUNCTION("""COMPUTED_VALUE"""),25.0)</f>
        <v>25</v>
      </c>
      <c r="E1337" s="2"/>
    </row>
    <row r="1338">
      <c r="A1338" s="2"/>
      <c r="B1338" s="8" t="str">
        <f>IFERROR(__xludf.DUMMYFUNCTION("""COMPUTED_VALUE"""),"NURBAJATI")</f>
        <v>NURBAJATI</v>
      </c>
      <c r="C1338" s="8" t="str">
        <f>IFERROR(__xludf.DUMMYFUNCTION("""COMPUTED_VALUE"""),"N6224053383")</f>
        <v>N6224053383</v>
      </c>
      <c r="D1338" s="8">
        <f>IFERROR(__xludf.DUMMYFUNCTION("""COMPUTED_VALUE"""),64.0)</f>
        <v>64</v>
      </c>
      <c r="E1338" s="2"/>
    </row>
    <row r="1339">
      <c r="A1339" s="2"/>
      <c r="B1339" s="8" t="str">
        <f>IFERROR(__xludf.DUMMYFUNCTION("""COMPUTED_VALUE"""),"MAS LASTIAN LA RIFATI")</f>
        <v>MAS LASTIAN LA RIFATI</v>
      </c>
      <c r="C1339" s="8" t="str">
        <f>IFERROR(__xludf.DUMMYFUNCTION("""COMPUTED_VALUE"""),"M9024057798")</f>
        <v>M9024057798</v>
      </c>
      <c r="D1339" s="8">
        <f>IFERROR(__xludf.DUMMYFUNCTION("""COMPUTED_VALUE"""),36.0)</f>
        <v>36</v>
      </c>
      <c r="E1339" s="2"/>
    </row>
    <row r="1340">
      <c r="A1340" s="2"/>
      <c r="B1340" s="8" t="str">
        <f>IFERROR(__xludf.DUMMYFUNCTION("""COMPUTED_VALUE"""),"MUHSON NURROCHMAT S")</f>
        <v>MUHSON NURROCHMAT S</v>
      </c>
      <c r="C1340" s="8" t="str">
        <f>IFERROR(__xludf.DUMMYFUNCTION("""COMPUTED_VALUE"""),"M7324056255")</f>
        <v>M7324056255</v>
      </c>
      <c r="D1340" s="8">
        <f>IFERROR(__xludf.DUMMYFUNCTION("""COMPUTED_VALUE"""),52.0)</f>
        <v>52</v>
      </c>
      <c r="E1340" s="2"/>
    </row>
    <row r="1341">
      <c r="A1341" s="2"/>
      <c r="B1341" s="8" t="str">
        <f>IFERROR(__xludf.DUMMYFUNCTION("""COMPUTED_VALUE"""),"SEPTIAN JOKO PUJIANTO")</f>
        <v>SEPTIAN JOKO PUJIANTO</v>
      </c>
      <c r="C1341" s="8" t="str">
        <f>IFERROR(__xludf.DUMMYFUNCTION("""COMPUTED_VALUE"""),"S9624051445")</f>
        <v>S9624051445</v>
      </c>
      <c r="D1341" s="8">
        <f>IFERROR(__xludf.DUMMYFUNCTION("""COMPUTED_VALUE"""),29.0)</f>
        <v>29</v>
      </c>
      <c r="E1341" s="2"/>
    </row>
    <row r="1342">
      <c r="A1342" s="2"/>
      <c r="B1342" s="8" t="str">
        <f>IFERROR(__xludf.DUMMYFUNCTION("""COMPUTED_VALUE"""),"PRATAMA ARIE PHERDOAN")</f>
        <v>PRATAMA ARIE PHERDOAN</v>
      </c>
      <c r="C1342" s="8" t="str">
        <f>IFERROR(__xludf.DUMMYFUNCTION("""COMPUTED_VALUE"""),"P0224056714")</f>
        <v>P0224056714</v>
      </c>
      <c r="D1342" s="8">
        <f>IFERROR(__xludf.DUMMYFUNCTION("""COMPUTED_VALUE"""),24.0)</f>
        <v>24</v>
      </c>
      <c r="E1342" s="2"/>
    </row>
    <row r="1343">
      <c r="A1343" s="2"/>
      <c r="B1343" s="8" t="str">
        <f>IFERROR(__xludf.DUMMYFUNCTION("""COMPUTED_VALUE"""),"RYAN MAULANA")</f>
        <v>RYAN MAULANA</v>
      </c>
      <c r="C1343" s="8" t="str">
        <f>IFERROR(__xludf.DUMMYFUNCTION("""COMPUTED_VALUE"""),"R0524059574")</f>
        <v>R0524059574</v>
      </c>
      <c r="D1343" s="8">
        <f>IFERROR(__xludf.DUMMYFUNCTION("""COMPUTED_VALUE"""),21.0)</f>
        <v>21</v>
      </c>
      <c r="E1343" s="2"/>
    </row>
    <row r="1344">
      <c r="A1344" s="2"/>
      <c r="B1344" s="8" t="str">
        <f>IFERROR(__xludf.DUMMYFUNCTION("""COMPUTED_VALUE"""),"RENDY FEBRIAN")</f>
        <v>RENDY FEBRIAN</v>
      </c>
      <c r="C1344" s="8" t="str">
        <f>IFERROR(__xludf.DUMMYFUNCTION("""COMPUTED_VALUE"""),"R8924052182")</f>
        <v>R8924052182</v>
      </c>
      <c r="D1344" s="8">
        <f>IFERROR(__xludf.DUMMYFUNCTION("""COMPUTED_VALUE"""),37.0)</f>
        <v>37</v>
      </c>
      <c r="E1344" s="2"/>
    </row>
    <row r="1345">
      <c r="A1345" s="2"/>
      <c r="B1345" s="8" t="str">
        <f>IFERROR(__xludf.DUMMYFUNCTION("""COMPUTED_VALUE"""),"VINSENSIUS MALETA")</f>
        <v>VINSENSIUS MALETA</v>
      </c>
      <c r="C1345" s="8" t="str">
        <f>IFERROR(__xludf.DUMMYFUNCTION("""COMPUTED_VALUE"""),"V5724056503")</f>
        <v>V5724056503</v>
      </c>
      <c r="D1345" s="8">
        <f>IFERROR(__xludf.DUMMYFUNCTION("""COMPUTED_VALUE"""),69.0)</f>
        <v>69</v>
      </c>
      <c r="E1345" s="2"/>
    </row>
    <row r="1346">
      <c r="A1346" s="2"/>
      <c r="B1346" s="8" t="str">
        <f>IFERROR(__xludf.DUMMYFUNCTION("""COMPUTED_VALUE"""),"MUHAMMAD RANDA")</f>
        <v>MUHAMMAD RANDA</v>
      </c>
      <c r="C1346" s="8" t="str">
        <f>IFERROR(__xludf.DUMMYFUNCTION("""COMPUTED_VALUE"""),"M8724054827")</f>
        <v>M8724054827</v>
      </c>
      <c r="D1346" s="8">
        <f>IFERROR(__xludf.DUMMYFUNCTION("""COMPUTED_VALUE"""),39.0)</f>
        <v>39</v>
      </c>
      <c r="E1346" s="2"/>
    </row>
    <row r="1347">
      <c r="A1347" s="2"/>
      <c r="B1347" s="8" t="str">
        <f>IFERROR(__xludf.DUMMYFUNCTION("""COMPUTED_VALUE"""),"TJHIA DJUN TJHIN")</f>
        <v>TJHIA DJUN TJHIN</v>
      </c>
      <c r="C1347" s="8" t="str">
        <f>IFERROR(__xludf.DUMMYFUNCTION("""COMPUTED_VALUE"""),"T4524055128")</f>
        <v>T4524055128</v>
      </c>
      <c r="D1347" s="8">
        <f>IFERROR(__xludf.DUMMYFUNCTION("""COMPUTED_VALUE"""),81.0)</f>
        <v>81</v>
      </c>
      <c r="E1347" s="2"/>
    </row>
    <row r="1348">
      <c r="A1348" s="2"/>
      <c r="B1348" s="8" t="str">
        <f>IFERROR(__xludf.DUMMYFUNCTION("""COMPUTED_VALUE"""),"SARTINAWATI")</f>
        <v>SARTINAWATI</v>
      </c>
      <c r="C1348" s="8" t="str">
        <f>IFERROR(__xludf.DUMMYFUNCTION("""COMPUTED_VALUE"""),"S7724054274")</f>
        <v>S7724054274</v>
      </c>
      <c r="D1348" s="8">
        <f>IFERROR(__xludf.DUMMYFUNCTION("""COMPUTED_VALUE"""),49.0)</f>
        <v>49</v>
      </c>
      <c r="E1348" s="2"/>
    </row>
    <row r="1349">
      <c r="A1349" s="2"/>
      <c r="B1349" s="8" t="str">
        <f>IFERROR(__xludf.DUMMYFUNCTION("""COMPUTED_VALUE"""),"BENI SETIYANTO")</f>
        <v>BENI SETIYANTO</v>
      </c>
      <c r="C1349" s="8" t="str">
        <f>IFERROR(__xludf.DUMMYFUNCTION("""COMPUTED_VALUE"""),"B9124051354")</f>
        <v>B9124051354</v>
      </c>
      <c r="D1349" s="8">
        <f>IFERROR(__xludf.DUMMYFUNCTION("""COMPUTED_VALUE"""),34.0)</f>
        <v>34</v>
      </c>
      <c r="E1349" s="2"/>
    </row>
    <row r="1350">
      <c r="A1350" s="2"/>
      <c r="B1350" s="8" t="str">
        <f>IFERROR(__xludf.DUMMYFUNCTION("""COMPUTED_VALUE"""),"AGUS PURNOMO")</f>
        <v>AGUS PURNOMO</v>
      </c>
      <c r="C1350" s="8" t="str">
        <f>IFERROR(__xludf.DUMMYFUNCTION("""COMPUTED_VALUE"""),"A6624052879")</f>
        <v>A6624052879</v>
      </c>
      <c r="D1350" s="8">
        <f>IFERROR(__xludf.DUMMYFUNCTION("""COMPUTED_VALUE"""),59.0)</f>
        <v>59</v>
      </c>
      <c r="E1350" s="2"/>
    </row>
    <row r="1351">
      <c r="A1351" s="2"/>
      <c r="B1351" s="8" t="str">
        <f>IFERROR(__xludf.DUMMYFUNCTION("""COMPUTED_VALUE"""),"M. FACHROZI AKBAR")</f>
        <v>M. FACHROZI AKBAR</v>
      </c>
      <c r="C1351" s="8" t="str">
        <f>IFERROR(__xludf.DUMMYFUNCTION("""COMPUTED_VALUE"""),"M0024058791")</f>
        <v>M0024058791</v>
      </c>
      <c r="D1351" s="8">
        <f>IFERROR(__xludf.DUMMYFUNCTION("""COMPUTED_VALUE"""),26.0)</f>
        <v>26</v>
      </c>
      <c r="E1351" s="2"/>
    </row>
    <row r="1352">
      <c r="A1352" s="2"/>
      <c r="B1352" s="8" t="str">
        <f>IFERROR(__xludf.DUMMYFUNCTION("""COMPUTED_VALUE"""),"LUSIA ASIAT")</f>
        <v>LUSIA ASIAT</v>
      </c>
      <c r="C1352" s="8" t="str">
        <f>IFERROR(__xludf.DUMMYFUNCTION("""COMPUTED_VALUE"""),"L2424051496")</f>
        <v>L2424051496</v>
      </c>
      <c r="D1352" s="8">
        <f>IFERROR(__xludf.DUMMYFUNCTION("""COMPUTED_VALUE"""),1.0)</f>
        <v>1</v>
      </c>
      <c r="E1352" s="2"/>
    </row>
    <row r="1353">
      <c r="A1353" s="2"/>
      <c r="B1353" s="8" t="str">
        <f>IFERROR(__xludf.DUMMYFUNCTION("""COMPUTED_VALUE"""),"ALBERT TIRTO")</f>
        <v>ALBERT TIRTO</v>
      </c>
      <c r="C1353" s="8" t="str">
        <f>IFERROR(__xludf.DUMMYFUNCTION("""COMPUTED_VALUE"""),"A9624053321")</f>
        <v>A9624053321</v>
      </c>
      <c r="D1353" s="8">
        <f>IFERROR(__xludf.DUMMYFUNCTION("""COMPUTED_VALUE"""),29.0)</f>
        <v>29</v>
      </c>
      <c r="E1353" s="2"/>
    </row>
    <row r="1354">
      <c r="A1354" s="2"/>
      <c r="B1354" s="8" t="str">
        <f>IFERROR(__xludf.DUMMYFUNCTION("""COMPUTED_VALUE"""),"SUKARNI 7004")</f>
        <v>SUKARNI 7004</v>
      </c>
      <c r="C1354" s="8" t="str">
        <f>IFERROR(__xludf.DUMMYFUNCTION("""COMPUTED_VALUE"""),"S7024056023")</f>
        <v>S7024056023</v>
      </c>
      <c r="D1354" s="8">
        <f>IFERROR(__xludf.DUMMYFUNCTION("""COMPUTED_VALUE"""),56.0)</f>
        <v>56</v>
      </c>
      <c r="E1354" s="2"/>
    </row>
    <row r="1355">
      <c r="A1355" s="2"/>
      <c r="B1355" s="8" t="str">
        <f>IFERROR(__xludf.DUMMYFUNCTION("""COMPUTED_VALUE"""),"AHMAD ABDUL AZIZ")</f>
        <v>AHMAD ABDUL AZIZ</v>
      </c>
      <c r="C1355" s="8" t="str">
        <f>IFERROR(__xludf.DUMMYFUNCTION("""COMPUTED_VALUE"""),"A9424056548")</f>
        <v>A9424056548</v>
      </c>
      <c r="D1355" s="8">
        <f>IFERROR(__xludf.DUMMYFUNCTION("""COMPUTED_VALUE"""),31.0)</f>
        <v>31</v>
      </c>
      <c r="E1355" s="2"/>
    </row>
    <row r="1356">
      <c r="A1356" s="2"/>
      <c r="B1356" s="8" t="str">
        <f>IFERROR(__xludf.DUMMYFUNCTION("""COMPUTED_VALUE"""),"ASMIAH")</f>
        <v>ASMIAH</v>
      </c>
      <c r="C1356" s="8" t="str">
        <f>IFERROR(__xludf.DUMMYFUNCTION("""COMPUTED_VALUE"""),"A8024058129")</f>
        <v>A8024058129</v>
      </c>
      <c r="D1356" s="8">
        <f>IFERROR(__xludf.DUMMYFUNCTION("""COMPUTED_VALUE"""),46.0)</f>
        <v>46</v>
      </c>
      <c r="E1356" s="2"/>
    </row>
    <row r="1357">
      <c r="A1357" s="2"/>
      <c r="B1357" s="8" t="str">
        <f>IFERROR(__xludf.DUMMYFUNCTION("""COMPUTED_VALUE"""),"INDRA")</f>
        <v>INDRA</v>
      </c>
      <c r="C1357" s="8" t="str">
        <f>IFERROR(__xludf.DUMMYFUNCTION("""COMPUTED_VALUE"""),"I8424054474")</f>
        <v>I8424054474</v>
      </c>
      <c r="D1357" s="8">
        <f>IFERROR(__xludf.DUMMYFUNCTION("""COMPUTED_VALUE"""),42.0)</f>
        <v>42</v>
      </c>
      <c r="E1357" s="2"/>
    </row>
    <row r="1358">
      <c r="A1358" s="2"/>
      <c r="B1358" s="8" t="str">
        <f>IFERROR(__xludf.DUMMYFUNCTION("""COMPUTED_VALUE"""),"MEINAR ANGGRAINI")</f>
        <v>MEINAR ANGGRAINI</v>
      </c>
      <c r="C1358" s="8" t="str">
        <f>IFERROR(__xludf.DUMMYFUNCTION("""COMPUTED_VALUE"""),"M6724057637")</f>
        <v>M6724057637</v>
      </c>
      <c r="D1358" s="8">
        <f>IFERROR(__xludf.DUMMYFUNCTION("""COMPUTED_VALUE"""),59.0)</f>
        <v>59</v>
      </c>
      <c r="E1358" s="2"/>
    </row>
    <row r="1359">
      <c r="A1359" s="2"/>
      <c r="B1359" s="8" t="str">
        <f>IFERROR(__xludf.DUMMYFUNCTION("""COMPUTED_VALUE"""),"FAEYZA DIQTY NADA SYAFIA")</f>
        <v>FAEYZA DIQTY NADA SYAFIA</v>
      </c>
      <c r="C1359" s="8" t="str">
        <f>IFERROR(__xludf.DUMMYFUNCTION("""COMPUTED_VALUE"""),"F1324050775")</f>
        <v>F1324050775</v>
      </c>
      <c r="D1359" s="8">
        <f>IFERROR(__xludf.DUMMYFUNCTION("""COMPUTED_VALUE"""),12.0)</f>
        <v>12</v>
      </c>
      <c r="E1359" s="2"/>
    </row>
    <row r="1360">
      <c r="A1360" s="2"/>
      <c r="B1360" s="8" t="str">
        <f>IFERROR(__xludf.DUMMYFUNCTION("""COMPUTED_VALUE"""),"HANDIKA")</f>
        <v>HANDIKA</v>
      </c>
      <c r="C1360" s="8" t="str">
        <f>IFERROR(__xludf.DUMMYFUNCTION("""COMPUTED_VALUE"""),"H9124051709")</f>
        <v>H9124051709</v>
      </c>
      <c r="D1360" s="8">
        <f>IFERROR(__xludf.DUMMYFUNCTION("""COMPUTED_VALUE"""),34.0)</f>
        <v>34</v>
      </c>
      <c r="E1360" s="2"/>
    </row>
    <row r="1361">
      <c r="A1361" s="2"/>
      <c r="B1361" s="8" t="str">
        <f>IFERROR(__xludf.DUMMYFUNCTION("""COMPUTED_VALUE"""),"MUHAMMAD NABHIL DHOYFULLOH")</f>
        <v>MUHAMMAD NABHIL DHOYFULLOH</v>
      </c>
      <c r="C1361" s="8" t="str">
        <f>IFERROR(__xludf.DUMMYFUNCTION("""COMPUTED_VALUE"""),"M0524055808")</f>
        <v>M0524055808</v>
      </c>
      <c r="D1361" s="8">
        <f>IFERROR(__xludf.DUMMYFUNCTION("""COMPUTED_VALUE"""),20.0)</f>
        <v>20</v>
      </c>
      <c r="E1361" s="2"/>
    </row>
    <row r="1362">
      <c r="A1362" s="2"/>
      <c r="B1362" s="8" t="str">
        <f>IFERROR(__xludf.DUMMYFUNCTION("""COMPUTED_VALUE"""),"ANNA DARLINA")</f>
        <v>ANNA DARLINA</v>
      </c>
      <c r="C1362" s="8" t="str">
        <f>IFERROR(__xludf.DUMMYFUNCTION("""COMPUTED_VALUE"""),"A6624051497")</f>
        <v>A6624051497</v>
      </c>
      <c r="D1362" s="8">
        <f>IFERROR(__xludf.DUMMYFUNCTION("""COMPUTED_VALUE"""),60.0)</f>
        <v>60</v>
      </c>
      <c r="E1362" s="2"/>
    </row>
    <row r="1363">
      <c r="A1363" s="2"/>
      <c r="B1363" s="8" t="str">
        <f>IFERROR(__xludf.DUMMYFUNCTION("""COMPUTED_VALUE"""),"LOLITA SUKASA")</f>
        <v>LOLITA SUKASA</v>
      </c>
      <c r="C1363" s="8" t="str">
        <f>IFERROR(__xludf.DUMMYFUNCTION("""COMPUTED_VALUE"""),"L9424052601")</f>
        <v>L9424052601</v>
      </c>
      <c r="D1363" s="8">
        <f>IFERROR(__xludf.DUMMYFUNCTION("""COMPUTED_VALUE"""),32.0)</f>
        <v>32</v>
      </c>
      <c r="E1363" s="2"/>
    </row>
    <row r="1364">
      <c r="A1364" s="2"/>
      <c r="B1364" s="8" t="str">
        <f>IFERROR(__xludf.DUMMYFUNCTION("""COMPUTED_VALUE"""),"SYAHRIAL EFANI SIREGAR")</f>
        <v>SYAHRIAL EFANI SIREGAR</v>
      </c>
      <c r="C1364" s="8" t="str">
        <f>IFERROR(__xludf.DUMMYFUNCTION("""COMPUTED_VALUE"""),"S8124057616")</f>
        <v>S8124057616</v>
      </c>
      <c r="D1364" s="8">
        <f>IFERROR(__xludf.DUMMYFUNCTION("""COMPUTED_VALUE"""),45.0)</f>
        <v>45</v>
      </c>
      <c r="E1364" s="2"/>
    </row>
    <row r="1365">
      <c r="A1365" s="2"/>
      <c r="B1365" s="8" t="str">
        <f>IFERROR(__xludf.DUMMYFUNCTION("""COMPUTED_VALUE"""),"VINNY SUSANTI")</f>
        <v>VINNY SUSANTI</v>
      </c>
      <c r="C1365" s="8" t="str">
        <f>IFERROR(__xludf.DUMMYFUNCTION("""COMPUTED_VALUE"""),"V9124051709")</f>
        <v>V9124051709</v>
      </c>
      <c r="D1365" s="8">
        <f>IFERROR(__xludf.DUMMYFUNCTION("""COMPUTED_VALUE"""),35.0)</f>
        <v>35</v>
      </c>
      <c r="E1365" s="2"/>
    </row>
    <row r="1366">
      <c r="A1366" s="2"/>
      <c r="B1366" s="8" t="str">
        <f>IFERROR(__xludf.DUMMYFUNCTION("""COMPUTED_VALUE"""),"ANDIKA WAHYU P")</f>
        <v>ANDIKA WAHYU P</v>
      </c>
      <c r="C1366" s="8" t="str">
        <f>IFERROR(__xludf.DUMMYFUNCTION("""COMPUTED_VALUE"""),"A9024050310")</f>
        <v>A9024050310</v>
      </c>
      <c r="D1366" s="8">
        <f>IFERROR(__xludf.DUMMYFUNCTION("""COMPUTED_VALUE"""),36.0)</f>
        <v>36</v>
      </c>
      <c r="E1366" s="2"/>
    </row>
    <row r="1367">
      <c r="A1367" s="2"/>
      <c r="B1367" s="8" t="str">
        <f>IFERROR(__xludf.DUMMYFUNCTION("""COMPUTED_VALUE"""),"WILLY WONGSO TIO")</f>
        <v>WILLY WONGSO TIO</v>
      </c>
      <c r="C1367" s="8" t="str">
        <f>IFERROR(__xludf.DUMMYFUNCTION("""COMPUTED_VALUE"""),"W9624059928")</f>
        <v>W9624059928</v>
      </c>
      <c r="D1367" s="8">
        <f>IFERROR(__xludf.DUMMYFUNCTION("""COMPUTED_VALUE"""),30.0)</f>
        <v>30</v>
      </c>
      <c r="E1367" s="2"/>
    </row>
    <row r="1368">
      <c r="A1368" s="2"/>
      <c r="B1368" s="8" t="str">
        <f>IFERROR(__xludf.DUMMYFUNCTION("""COMPUTED_VALUE"""),"MIFTAHUDIN RAMADHANI")</f>
        <v>MIFTAHUDIN RAMADHANI</v>
      </c>
      <c r="C1368" s="8" t="str">
        <f>IFERROR(__xludf.DUMMYFUNCTION("""COMPUTED_VALUE"""),"M8824056007")</f>
        <v>M8824056007</v>
      </c>
      <c r="D1368" s="8">
        <f>IFERROR(__xludf.DUMMYFUNCTION("""COMPUTED_VALUE"""),38.0)</f>
        <v>38</v>
      </c>
      <c r="E1368" s="2"/>
    </row>
    <row r="1369">
      <c r="A1369" s="2"/>
      <c r="B1369" s="8" t="str">
        <f>IFERROR(__xludf.DUMMYFUNCTION("""COMPUTED_VALUE"""),"MIAU TIN")</f>
        <v>MIAU TIN</v>
      </c>
      <c r="C1369" s="8" t="str">
        <f>IFERROR(__xludf.DUMMYFUNCTION("""COMPUTED_VALUE"""),"M7424058221")</f>
        <v>M7424058221</v>
      </c>
      <c r="D1369" s="8">
        <f>IFERROR(__xludf.DUMMYFUNCTION("""COMPUTED_VALUE"""),52.0)</f>
        <v>52</v>
      </c>
      <c r="E1369" s="2"/>
    </row>
    <row r="1370">
      <c r="A1370" s="2"/>
      <c r="B1370" s="8" t="str">
        <f>IFERROR(__xludf.DUMMYFUNCTION("""COMPUTED_VALUE"""),"YENI MARIANI")</f>
        <v>YENI MARIANI</v>
      </c>
      <c r="C1370" s="8" t="str">
        <f>IFERROR(__xludf.DUMMYFUNCTION("""COMPUTED_VALUE"""),"Y8824058157")</f>
        <v>Y8824058157</v>
      </c>
      <c r="D1370" s="8">
        <f>IFERROR(__xludf.DUMMYFUNCTION("""COMPUTED_VALUE"""),38.0)</f>
        <v>38</v>
      </c>
      <c r="E1370" s="2"/>
    </row>
    <row r="1371">
      <c r="A1371" s="2"/>
      <c r="B1371" s="8" t="str">
        <f>IFERROR(__xludf.DUMMYFUNCTION("""COMPUTED_VALUE"""),"CIPTO PRIYONO")</f>
        <v>CIPTO PRIYONO</v>
      </c>
      <c r="C1371" s="8" t="str">
        <f>IFERROR(__xludf.DUMMYFUNCTION("""COMPUTED_VALUE"""),"C8324059169")</f>
        <v>C8324059169</v>
      </c>
      <c r="D1371" s="8">
        <f>IFERROR(__xludf.DUMMYFUNCTION("""COMPUTED_VALUE"""),43.0)</f>
        <v>43</v>
      </c>
      <c r="E1371" s="2"/>
    </row>
    <row r="1372">
      <c r="A1372" s="2"/>
      <c r="B1372" s="8" t="str">
        <f>IFERROR(__xludf.DUMMYFUNCTION("""COMPUTED_VALUE"""),"BENNY LIM")</f>
        <v>BENNY LIM</v>
      </c>
      <c r="C1372" s="8" t="str">
        <f>IFERROR(__xludf.DUMMYFUNCTION("""COMPUTED_VALUE"""),"B9524053322")</f>
        <v>B9524053322</v>
      </c>
      <c r="D1372" s="8">
        <f>IFERROR(__xludf.DUMMYFUNCTION("""COMPUTED_VALUE"""),30.0)</f>
        <v>30</v>
      </c>
      <c r="E1372" s="2"/>
    </row>
    <row r="1373">
      <c r="A1373" s="2"/>
      <c r="B1373" s="8" t="str">
        <f>IFERROR(__xludf.DUMMYFUNCTION("""COMPUTED_VALUE"""),"INDAH AYU YUDISTIRA")</f>
        <v>INDAH AYU YUDISTIRA</v>
      </c>
      <c r="C1373" s="8" t="str">
        <f>IFERROR(__xludf.DUMMYFUNCTION("""COMPUTED_VALUE"""),"I8524054704")</f>
        <v>I8524054704</v>
      </c>
      <c r="D1373" s="8">
        <f>IFERROR(__xludf.DUMMYFUNCTION("""COMPUTED_VALUE"""),41.0)</f>
        <v>41</v>
      </c>
      <c r="E1373" s="2"/>
    </row>
    <row r="1374">
      <c r="A1374" s="2"/>
      <c r="B1374" s="8" t="str">
        <f>IFERROR(__xludf.DUMMYFUNCTION("""COMPUTED_VALUE"""),"AMELIA SUSANTI")</f>
        <v>AMELIA SUSANTI</v>
      </c>
      <c r="C1374" s="8" t="str">
        <f>IFERROR(__xludf.DUMMYFUNCTION("""COMPUTED_VALUE"""),"A9324055554")</f>
        <v>A9324055554</v>
      </c>
      <c r="D1374" s="8">
        <f>IFERROR(__xludf.DUMMYFUNCTION("""COMPUTED_VALUE"""),33.0)</f>
        <v>33</v>
      </c>
      <c r="E1374" s="2"/>
    </row>
    <row r="1375">
      <c r="A1375" s="2"/>
      <c r="B1375" s="8" t="str">
        <f>IFERROR(__xludf.DUMMYFUNCTION("""COMPUTED_VALUE"""),"SYARIFAH AISYAH")</f>
        <v>SYARIFAH AISYAH</v>
      </c>
      <c r="C1375" s="8" t="str">
        <f>IFERROR(__xludf.DUMMYFUNCTION("""COMPUTED_VALUE"""),"S4524057449")</f>
        <v>S4524057449</v>
      </c>
      <c r="D1375" s="8">
        <f>IFERROR(__xludf.DUMMYFUNCTION("""COMPUTED_VALUE"""),81.0)</f>
        <v>81</v>
      </c>
      <c r="E1375" s="2"/>
    </row>
    <row r="1376">
      <c r="A1376" s="2"/>
      <c r="B1376" s="8" t="str">
        <f>IFERROR(__xludf.DUMMYFUNCTION("""COMPUTED_VALUE"""),"HANGGA TAQWA REZA")</f>
        <v>HANGGA TAQWA REZA</v>
      </c>
      <c r="C1376" s="8" t="str">
        <f>IFERROR(__xludf.DUMMYFUNCTION("""COMPUTED_VALUE"""),"H8624050200")</f>
        <v>H8624050200</v>
      </c>
      <c r="D1376" s="8">
        <f>IFERROR(__xludf.DUMMYFUNCTION("""COMPUTED_VALUE"""),40.0)</f>
        <v>40</v>
      </c>
      <c r="E1376" s="2"/>
    </row>
    <row r="1377">
      <c r="A1377" s="2"/>
      <c r="B1377" s="8" t="str">
        <f>IFERROR(__xludf.DUMMYFUNCTION("""COMPUTED_VALUE"""),"GILANG AHMAD YUDHASTAR")</f>
        <v>GILANG AHMAD YUDHASTAR</v>
      </c>
      <c r="C1377" s="8" t="str">
        <f>IFERROR(__xludf.DUMMYFUNCTION("""COMPUTED_VALUE"""),"G0924057746")</f>
        <v>G0924057746</v>
      </c>
      <c r="D1377" s="8">
        <f>IFERROR(__xludf.DUMMYFUNCTION("""COMPUTED_VALUE"""),17.0)</f>
        <v>17</v>
      </c>
      <c r="E1377" s="2"/>
    </row>
    <row r="1378">
      <c r="A1378" s="2"/>
      <c r="B1378" s="8" t="str">
        <f>IFERROR(__xludf.DUMMYFUNCTION("""COMPUTED_VALUE"""),"RAFI ACHMAD JULIANNIZAR")</f>
        <v>RAFI ACHMAD JULIANNIZAR</v>
      </c>
      <c r="C1378" s="8" t="str">
        <f>IFERROR(__xludf.DUMMYFUNCTION("""COMPUTED_VALUE"""),"R0724054977")</f>
        <v>R0724054977</v>
      </c>
      <c r="D1378" s="8">
        <f>IFERROR(__xludf.DUMMYFUNCTION("""COMPUTED_VALUE"""),19.0)</f>
        <v>19</v>
      </c>
      <c r="E1378" s="2"/>
    </row>
    <row r="1379">
      <c r="A1379" s="2"/>
      <c r="B1379" s="8" t="str">
        <f>IFERROR(__xludf.DUMMYFUNCTION("""COMPUTED_VALUE"""),"BOY SIANIPAR")</f>
        <v>BOY SIANIPAR</v>
      </c>
      <c r="C1379" s="8" t="str">
        <f>IFERROR(__xludf.DUMMYFUNCTION("""COMPUTED_VALUE"""),"B9524053190")</f>
        <v>B9524053190</v>
      </c>
      <c r="D1379" s="8">
        <f>IFERROR(__xludf.DUMMYFUNCTION("""COMPUTED_VALUE"""),31.0)</f>
        <v>31</v>
      </c>
      <c r="E1379" s="2"/>
    </row>
    <row r="1380">
      <c r="A1380" s="2"/>
      <c r="B1380" s="8" t="str">
        <f>IFERROR(__xludf.DUMMYFUNCTION("""COMPUTED_VALUE"""),"KARNELA")</f>
        <v>KARNELA</v>
      </c>
      <c r="C1380" s="8" t="str">
        <f>IFERROR(__xludf.DUMMYFUNCTION("""COMPUTED_VALUE"""),"K8824050066")</f>
        <v>K8824050066</v>
      </c>
      <c r="D1380" s="8">
        <f>IFERROR(__xludf.DUMMYFUNCTION("""COMPUTED_VALUE"""),38.0)</f>
        <v>38</v>
      </c>
      <c r="E1380" s="2"/>
    </row>
    <row r="1381">
      <c r="A1381" s="2"/>
      <c r="B1381" s="8" t="str">
        <f>IFERROR(__xludf.DUMMYFUNCTION("""COMPUTED_VALUE"""),"LIM SU PIN")</f>
        <v>LIM SU PIN</v>
      </c>
      <c r="C1381" s="8" t="str">
        <f>IFERROR(__xludf.DUMMYFUNCTION("""COMPUTED_VALUE"""),"L7524054495")</f>
        <v>L7524054495</v>
      </c>
      <c r="D1381" s="8">
        <f>IFERROR(__xludf.DUMMYFUNCTION("""COMPUTED_VALUE"""),50.0)</f>
        <v>50</v>
      </c>
      <c r="E1381" s="2"/>
    </row>
    <row r="1382">
      <c r="A1382" s="2"/>
      <c r="B1382" s="8" t="str">
        <f>IFERROR(__xludf.DUMMYFUNCTION("""COMPUTED_VALUE"""),"RINDA ABDILLA")</f>
        <v>RINDA ABDILLA</v>
      </c>
      <c r="C1382" s="8" t="str">
        <f>IFERROR(__xludf.DUMMYFUNCTION("""COMPUTED_VALUE"""),"R9524056100")</f>
        <v>R9524056100</v>
      </c>
      <c r="D1382" s="8">
        <f>IFERROR(__xludf.DUMMYFUNCTION("""COMPUTED_VALUE"""),30.0)</f>
        <v>30</v>
      </c>
      <c r="E1382" s="2"/>
    </row>
    <row r="1383">
      <c r="A1383" s="2"/>
      <c r="B1383" s="8" t="str">
        <f>IFERROR(__xludf.DUMMYFUNCTION("""COMPUTED_VALUE"""),"MUHAMMAD FARHAN")</f>
        <v>MUHAMMAD FARHAN</v>
      </c>
      <c r="C1383" s="8" t="str">
        <f>IFERROR(__xludf.DUMMYFUNCTION("""COMPUTED_VALUE"""),"M0224065625")</f>
        <v>M0224065625</v>
      </c>
      <c r="D1383" s="8">
        <f>IFERROR(__xludf.DUMMYFUNCTION("""COMPUTED_VALUE"""),23.0)</f>
        <v>23</v>
      </c>
      <c r="E1383" s="2"/>
    </row>
    <row r="1384">
      <c r="A1384" s="2"/>
      <c r="B1384" s="8" t="str">
        <f>IFERROR(__xludf.DUMMYFUNCTION("""COMPUTED_VALUE"""),"NURUL RAHMAH")</f>
        <v>NURUL RAHMAH</v>
      </c>
      <c r="C1384" s="8" t="str">
        <f>IFERROR(__xludf.DUMMYFUNCTION("""COMPUTED_VALUE"""),"N8624066594")</f>
        <v>N8624066594</v>
      </c>
      <c r="D1384" s="8">
        <f>IFERROR(__xludf.DUMMYFUNCTION("""COMPUTED_VALUE"""),40.0)</f>
        <v>40</v>
      </c>
      <c r="E1384" s="2"/>
    </row>
    <row r="1385">
      <c r="A1385" s="2"/>
      <c r="B1385" s="8" t="str">
        <f>IFERROR(__xludf.DUMMYFUNCTION("""COMPUTED_VALUE"""),"ISMED")</f>
        <v>ISMED</v>
      </c>
      <c r="C1385" s="8" t="str">
        <f>IFERROR(__xludf.DUMMYFUNCTION("""COMPUTED_VALUE"""),"I7624067150")</f>
        <v>I7624067150</v>
      </c>
      <c r="D1385" s="8">
        <f>IFERROR(__xludf.DUMMYFUNCTION("""COMPUTED_VALUE"""),49.0)</f>
        <v>49</v>
      </c>
      <c r="E1385" s="2"/>
    </row>
    <row r="1386">
      <c r="A1386" s="2"/>
      <c r="B1386" s="8" t="str">
        <f>IFERROR(__xludf.DUMMYFUNCTION("""COMPUTED_VALUE"""),"VONNY")</f>
        <v>VONNY</v>
      </c>
      <c r="C1386" s="8" t="str">
        <f>IFERROR(__xludf.DUMMYFUNCTION("""COMPUTED_VALUE"""),"V8724060900")</f>
        <v>V8724060900</v>
      </c>
      <c r="D1386" s="8">
        <f>IFERROR(__xludf.DUMMYFUNCTION("""COMPUTED_VALUE"""),39.0)</f>
        <v>39</v>
      </c>
      <c r="E1386" s="2"/>
    </row>
    <row r="1387">
      <c r="A1387" s="2"/>
      <c r="B1387" s="8" t="str">
        <f>IFERROR(__xludf.DUMMYFUNCTION("""COMPUTED_VALUE"""),"NURHAYATI 57")</f>
        <v>NURHAYATI 57</v>
      </c>
      <c r="C1387" s="8" t="str">
        <f>IFERROR(__xludf.DUMMYFUNCTION("""COMPUTED_VALUE"""),"N6624068771")</f>
        <v>N6624068771</v>
      </c>
      <c r="D1387" s="8">
        <f>IFERROR(__xludf.DUMMYFUNCTION("""COMPUTED_VALUE"""),60.0)</f>
        <v>60</v>
      </c>
      <c r="E1387" s="2"/>
    </row>
    <row r="1388">
      <c r="A1388" s="2"/>
      <c r="B1388" s="8" t="str">
        <f>IFERROR(__xludf.DUMMYFUNCTION("""COMPUTED_VALUE"""),"IMAM FADHIL AKBAR")</f>
        <v>IMAM FADHIL AKBAR</v>
      </c>
      <c r="C1388" s="8" t="str">
        <f>IFERROR(__xludf.DUMMYFUNCTION("""COMPUTED_VALUE"""),"I0624068921")</f>
        <v>I0624068921</v>
      </c>
      <c r="D1388" s="8">
        <f>IFERROR(__xludf.DUMMYFUNCTION("""COMPUTED_VALUE"""),20.0)</f>
        <v>20</v>
      </c>
      <c r="E1388" s="2"/>
    </row>
    <row r="1389">
      <c r="A1389" s="2"/>
      <c r="B1389" s="8" t="str">
        <f>IFERROR(__xludf.DUMMYFUNCTION("""COMPUTED_VALUE"""),"ANGELINA LARASATI")</f>
        <v>ANGELINA LARASATI</v>
      </c>
      <c r="C1389" s="8" t="str">
        <f>IFERROR(__xludf.DUMMYFUNCTION("""COMPUTED_VALUE"""),"A9424067121")</f>
        <v>A9424067121</v>
      </c>
      <c r="D1389" s="8">
        <f>IFERROR(__xludf.DUMMYFUNCTION("""COMPUTED_VALUE"""),32.0)</f>
        <v>32</v>
      </c>
      <c r="E1389" s="2"/>
    </row>
    <row r="1390">
      <c r="A1390" s="2"/>
      <c r="B1390" s="8" t="str">
        <f>IFERROR(__xludf.DUMMYFUNCTION("""COMPUTED_VALUE"""),"ROBERTO ANTONIUS GULTOM")</f>
        <v>ROBERTO ANTONIUS GULTOM</v>
      </c>
      <c r="C1390" s="8" t="str">
        <f>IFERROR(__xludf.DUMMYFUNCTION("""COMPUTED_VALUE"""),"R9524061985")</f>
        <v>R9524061985</v>
      </c>
      <c r="D1390" s="8">
        <f>IFERROR(__xludf.DUMMYFUNCTION("""COMPUTED_VALUE"""),30.0)</f>
        <v>30</v>
      </c>
      <c r="E1390" s="2"/>
    </row>
    <row r="1391">
      <c r="A1391" s="2"/>
      <c r="B1391" s="8" t="str">
        <f>IFERROR(__xludf.DUMMYFUNCTION("""COMPUTED_VALUE"""),"GILAR LUKMANUDDIN MUSTIKA")</f>
        <v>GILAR LUKMANUDDIN MUSTIKA</v>
      </c>
      <c r="C1391" s="8" t="str">
        <f>IFERROR(__xludf.DUMMYFUNCTION("""COMPUTED_VALUE"""),"G8624062324")</f>
        <v>G8624062324</v>
      </c>
      <c r="D1391" s="8">
        <f>IFERROR(__xludf.DUMMYFUNCTION("""COMPUTED_VALUE"""),40.0)</f>
        <v>40</v>
      </c>
      <c r="E1391" s="2"/>
    </row>
    <row r="1392">
      <c r="A1392" s="2"/>
      <c r="B1392" s="8" t="str">
        <f>IFERROR(__xludf.DUMMYFUNCTION("""COMPUTED_VALUE"""),"WIDODO")</f>
        <v>WIDODO</v>
      </c>
      <c r="C1392" s="8" t="str">
        <f>IFERROR(__xludf.DUMMYFUNCTION("""COMPUTED_VALUE"""),"W9624066949")</f>
        <v>W9624066949</v>
      </c>
      <c r="D1392" s="8">
        <f>IFERROR(__xludf.DUMMYFUNCTION("""COMPUTED_VALUE"""),30.0)</f>
        <v>30</v>
      </c>
      <c r="E1392" s="2"/>
    </row>
    <row r="1393">
      <c r="A1393" s="2"/>
      <c r="B1393" s="8" t="str">
        <f>IFERROR(__xludf.DUMMYFUNCTION("""COMPUTED_VALUE"""),"GUSTI ADZAHARI ARDIMA")</f>
        <v>GUSTI ADZAHARI ARDIMA</v>
      </c>
      <c r="C1393" s="8" t="str">
        <f>IFERROR(__xludf.DUMMYFUNCTION("""COMPUTED_VALUE"""),"G0424068167")</f>
        <v>G0424068167</v>
      </c>
      <c r="D1393" s="8">
        <f>IFERROR(__xludf.DUMMYFUNCTION("""COMPUTED_VALUE"""),21.0)</f>
        <v>21</v>
      </c>
      <c r="E1393" s="2"/>
    </row>
    <row r="1394">
      <c r="A1394" s="2"/>
      <c r="B1394" s="8" t="str">
        <f>IFERROR(__xludf.DUMMYFUNCTION("""COMPUTED_VALUE"""),"MAS WARDANI")</f>
        <v>MAS WARDANI</v>
      </c>
      <c r="C1394" s="8" t="str">
        <f>IFERROR(__xludf.DUMMYFUNCTION("""COMPUTED_VALUE"""),"M5724067745")</f>
        <v>M5724067745</v>
      </c>
      <c r="D1394" s="8">
        <f>IFERROR(__xludf.DUMMYFUNCTION("""COMPUTED_VALUE"""),68.0)</f>
        <v>68</v>
      </c>
      <c r="E1394" s="2"/>
    </row>
    <row r="1395">
      <c r="A1395" s="2"/>
      <c r="B1395" s="8" t="str">
        <f>IFERROR(__xludf.DUMMYFUNCTION("""COMPUTED_VALUE"""),"SUPANDI")</f>
        <v>SUPANDI</v>
      </c>
      <c r="C1395" s="8" t="str">
        <f>IFERROR(__xludf.DUMMYFUNCTION("""COMPUTED_VALUE"""),"S9624064338")</f>
        <v>S9624064338</v>
      </c>
      <c r="D1395" s="8">
        <f>IFERROR(__xludf.DUMMYFUNCTION("""COMPUTED_VALUE"""),30.0)</f>
        <v>30</v>
      </c>
      <c r="E1395" s="2"/>
    </row>
    <row r="1396">
      <c r="A1396" s="2"/>
      <c r="B1396" s="8" t="str">
        <f>IFERROR(__xludf.DUMMYFUNCTION("""COMPUTED_VALUE"""),"ABU RIZA BAKRI AYATULLAH KHUMAINI")</f>
        <v>ABU RIZA BAKRI AYATULLAH KHUMAINI</v>
      </c>
      <c r="C1396" s="8" t="str">
        <f>IFERROR(__xludf.DUMMYFUNCTION("""COMPUTED_VALUE"""),"A9924066261")</f>
        <v>A9924066261</v>
      </c>
      <c r="D1396" s="8">
        <f>IFERROR(__xludf.DUMMYFUNCTION("""COMPUTED_VALUE"""),27.0)</f>
        <v>27</v>
      </c>
      <c r="E1396" s="2"/>
    </row>
    <row r="1397">
      <c r="A1397" s="2"/>
      <c r="B1397" s="8" t="str">
        <f>IFERROR(__xludf.DUMMYFUNCTION("""COMPUTED_VALUE"""),"DEDE ADETIA")</f>
        <v>DEDE ADETIA</v>
      </c>
      <c r="C1397" s="8" t="str">
        <f>IFERROR(__xludf.DUMMYFUNCTION("""COMPUTED_VALUE"""),"D0024068247")</f>
        <v>D0024068247</v>
      </c>
      <c r="D1397" s="8">
        <f>IFERROR(__xludf.DUMMYFUNCTION("""COMPUTED_VALUE"""),25.0)</f>
        <v>25</v>
      </c>
      <c r="E1397" s="2"/>
    </row>
    <row r="1398">
      <c r="A1398" s="2"/>
      <c r="B1398" s="8" t="str">
        <f>IFERROR(__xludf.DUMMYFUNCTION("""COMPUTED_VALUE"""),"DICKY KURNIAWAN")</f>
        <v>DICKY KURNIAWAN</v>
      </c>
      <c r="C1398" s="8" t="str">
        <f>IFERROR(__xludf.DUMMYFUNCTION("""COMPUTED_VALUE"""),"D9724069980")</f>
        <v>D9724069980</v>
      </c>
      <c r="D1398" s="8">
        <f>IFERROR(__xludf.DUMMYFUNCTION("""COMPUTED_VALUE"""),29.0)</f>
        <v>29</v>
      </c>
      <c r="E1398" s="2"/>
    </row>
    <row r="1399">
      <c r="A1399" s="2"/>
      <c r="B1399" s="8" t="str">
        <f>IFERROR(__xludf.DUMMYFUNCTION("""COMPUTED_VALUE"""),"MELLY SHILFANI WULANDARI")</f>
        <v>MELLY SHILFANI WULANDARI</v>
      </c>
      <c r="C1399" s="8" t="str">
        <f>IFERROR(__xludf.DUMMYFUNCTION("""COMPUTED_VALUE"""),"M9224060256")</f>
        <v>M9224060256</v>
      </c>
      <c r="D1399" s="8">
        <f>IFERROR(__xludf.DUMMYFUNCTION("""COMPUTED_VALUE"""),34.0)</f>
        <v>34</v>
      </c>
      <c r="E1399" s="2"/>
    </row>
    <row r="1400">
      <c r="A1400" s="2"/>
      <c r="B1400" s="8" t="str">
        <f>IFERROR(__xludf.DUMMYFUNCTION("""COMPUTED_VALUE"""),"GINNI VIATI SUPARNO")</f>
        <v>GINNI VIATI SUPARNO</v>
      </c>
      <c r="C1400" s="8" t="str">
        <f>IFERROR(__xludf.DUMMYFUNCTION("""COMPUTED_VALUE"""),"G7624065798")</f>
        <v>G7624065798</v>
      </c>
      <c r="D1400" s="8">
        <f>IFERROR(__xludf.DUMMYFUNCTION("""COMPUTED_VALUE"""),49.0)</f>
        <v>49</v>
      </c>
      <c r="E1400" s="2"/>
    </row>
    <row r="1401">
      <c r="A1401" s="2"/>
      <c r="B1401" s="8" t="str">
        <f>IFERROR(__xludf.DUMMYFUNCTION("""COMPUTED_VALUE"""),"MAHENDRA UTOMO")</f>
        <v>MAHENDRA UTOMO</v>
      </c>
      <c r="C1401" s="8" t="str">
        <f>IFERROR(__xludf.DUMMYFUNCTION("""COMPUTED_VALUE"""),"M8824064848")</f>
        <v>M8824064848</v>
      </c>
      <c r="D1401" s="8">
        <f>IFERROR(__xludf.DUMMYFUNCTION("""COMPUTED_VALUE"""),37.0)</f>
        <v>37</v>
      </c>
      <c r="E1401" s="2"/>
    </row>
    <row r="1402">
      <c r="A1402" s="2"/>
      <c r="B1402" s="8" t="str">
        <f>IFERROR(__xludf.DUMMYFUNCTION("""COMPUTED_VALUE"""),"RAFIF PRATAMA")</f>
        <v>RAFIF PRATAMA</v>
      </c>
      <c r="C1402" s="8" t="str">
        <f>IFERROR(__xludf.DUMMYFUNCTION("""COMPUTED_VALUE"""),"R9924061767")</f>
        <v>R9924061767</v>
      </c>
      <c r="D1402" s="8">
        <f>IFERROR(__xludf.DUMMYFUNCTION("""COMPUTED_VALUE"""),27.0)</f>
        <v>27</v>
      </c>
      <c r="E1402" s="2"/>
    </row>
    <row r="1403">
      <c r="A1403" s="2"/>
      <c r="B1403" s="8" t="str">
        <f>IFERROR(__xludf.DUMMYFUNCTION("""COMPUTED_VALUE"""),"WAGIYANTO")</f>
        <v>WAGIYANTO</v>
      </c>
      <c r="C1403" s="8" t="str">
        <f>IFERROR(__xludf.DUMMYFUNCTION("""COMPUTED_VALUE"""),"W6524066023")</f>
        <v>W6524066023</v>
      </c>
      <c r="D1403" s="8">
        <f>IFERROR(__xludf.DUMMYFUNCTION("""COMPUTED_VALUE"""),60.0)</f>
        <v>60</v>
      </c>
      <c r="E1403" s="2"/>
    </row>
    <row r="1404">
      <c r="A1404" s="2"/>
      <c r="B1404" s="8" t="str">
        <f>IFERROR(__xludf.DUMMYFUNCTION("""COMPUTED_VALUE"""),"VIVI OKTAVIA")</f>
        <v>VIVI OKTAVIA</v>
      </c>
      <c r="C1404" s="8" t="str">
        <f>IFERROR(__xludf.DUMMYFUNCTION("""COMPUTED_VALUE"""),"V9024063482")</f>
        <v>V9024063482</v>
      </c>
      <c r="D1404" s="8">
        <f>IFERROR(__xludf.DUMMYFUNCTION("""COMPUTED_VALUE"""),35.0)</f>
        <v>35</v>
      </c>
      <c r="E1404" s="2"/>
    </row>
    <row r="1405">
      <c r="A1405" s="2"/>
      <c r="B1405" s="8" t="str">
        <f>IFERROR(__xludf.DUMMYFUNCTION("""COMPUTED_VALUE"""),"SRI HARYANTY")</f>
        <v>SRI HARYANTY</v>
      </c>
      <c r="C1405" s="8" t="str">
        <f>IFERROR(__xludf.DUMMYFUNCTION("""COMPUTED_VALUE"""),"S2525063599")</f>
        <v>S2525063599</v>
      </c>
      <c r="D1405" s="8">
        <f>IFERROR(__xludf.DUMMYFUNCTION("""COMPUTED_VALUE"""),1.0)</f>
        <v>1</v>
      </c>
      <c r="E1405" s="2"/>
    </row>
    <row r="1406">
      <c r="A1406" s="2"/>
      <c r="B1406" s="8" t="str">
        <f>IFERROR(__xludf.DUMMYFUNCTION("""COMPUTED_VALUE"""),"FACHRY RAYHAN YUDHA")</f>
        <v>FACHRY RAYHAN YUDHA</v>
      </c>
      <c r="C1406" s="8" t="str">
        <f>IFERROR(__xludf.DUMMYFUNCTION("""COMPUTED_VALUE"""),"F0524068726")</f>
        <v>F0524068726</v>
      </c>
      <c r="D1406" s="8">
        <f>IFERROR(__xludf.DUMMYFUNCTION("""COMPUTED_VALUE"""),20.0)</f>
        <v>20</v>
      </c>
      <c r="E1406" s="2"/>
    </row>
    <row r="1407">
      <c r="A1407" s="2"/>
      <c r="B1407" s="8" t="str">
        <f>IFERROR(__xludf.DUMMYFUNCTION("""COMPUTED_VALUE"""),"IMAM SANTOSO")</f>
        <v>IMAM SANTOSO</v>
      </c>
      <c r="C1407" s="8" t="str">
        <f>IFERROR(__xludf.DUMMYFUNCTION("""COMPUTED_VALUE"""),"I8624063340")</f>
        <v>I8624063340</v>
      </c>
      <c r="D1407" s="8">
        <f>IFERROR(__xludf.DUMMYFUNCTION("""COMPUTED_VALUE"""),40.0)</f>
        <v>40</v>
      </c>
      <c r="E1407" s="2"/>
    </row>
    <row r="1408">
      <c r="A1408" s="2"/>
      <c r="B1408" s="8" t="str">
        <f>IFERROR(__xludf.DUMMYFUNCTION("""COMPUTED_VALUE"""),"AHMAD FAUZI RAHMAN")</f>
        <v>AHMAD FAUZI RAHMAN</v>
      </c>
      <c r="C1408" s="8" t="str">
        <f>IFERROR(__xludf.DUMMYFUNCTION("""COMPUTED_VALUE"""),"A9624066147")</f>
        <v>A9624066147</v>
      </c>
      <c r="D1408" s="8">
        <f>IFERROR(__xludf.DUMMYFUNCTION("""COMPUTED_VALUE"""),30.0)</f>
        <v>30</v>
      </c>
      <c r="E1408" s="2"/>
    </row>
    <row r="1409">
      <c r="A1409" s="2"/>
      <c r="B1409" s="8" t="str">
        <f>IFERROR(__xludf.DUMMYFUNCTION("""COMPUTED_VALUE"""),"RAJA SURYA")</f>
        <v>RAJA SURYA</v>
      </c>
      <c r="C1409" s="8" t="str">
        <f>IFERROR(__xludf.DUMMYFUNCTION("""COMPUTED_VALUE"""),"R7424069064")</f>
        <v>R7424069064</v>
      </c>
      <c r="D1409" s="8">
        <f>IFERROR(__xludf.DUMMYFUNCTION("""COMPUTED_VALUE"""),52.0)</f>
        <v>52</v>
      </c>
      <c r="E1409" s="2"/>
    </row>
    <row r="1410">
      <c r="A1410" s="2"/>
      <c r="B1410" s="8" t="str">
        <f>IFERROR(__xludf.DUMMYFUNCTION("""COMPUTED_VALUE"""),"SUARDI AZIZ")</f>
        <v>SUARDI AZIZ</v>
      </c>
      <c r="C1410" s="8" t="str">
        <f>IFERROR(__xludf.DUMMYFUNCTION("""COMPUTED_VALUE"""),"S4824064177")</f>
        <v>S4824064177</v>
      </c>
      <c r="D1410" s="8">
        <f>IFERROR(__xludf.DUMMYFUNCTION("""COMPUTED_VALUE"""),78.0)</f>
        <v>78</v>
      </c>
      <c r="E1410" s="2"/>
    </row>
    <row r="1411">
      <c r="A1411" s="2"/>
      <c r="B1411" s="8" t="str">
        <f>IFERROR(__xludf.DUMMYFUNCTION("""COMPUTED_VALUE"""),"EVY PHING")</f>
        <v>EVY PHING</v>
      </c>
      <c r="C1411" s="8" t="str">
        <f>IFERROR(__xludf.DUMMYFUNCTION("""COMPUTED_VALUE"""),"E8224063522")</f>
        <v>E8224063522</v>
      </c>
      <c r="D1411" s="8">
        <f>IFERROR(__xludf.DUMMYFUNCTION("""COMPUTED_VALUE"""),43.0)</f>
        <v>43</v>
      </c>
      <c r="E1411" s="2"/>
    </row>
    <row r="1412">
      <c r="A1412" s="2"/>
      <c r="B1412" s="8" t="str">
        <f>IFERROR(__xludf.DUMMYFUNCTION("""COMPUTED_VALUE"""),"DHANA ARYANA")</f>
        <v>DHANA ARYANA</v>
      </c>
      <c r="C1412" s="8" t="str">
        <f>IFERROR(__xludf.DUMMYFUNCTION("""COMPUTED_VALUE"""),"D2424062713")</f>
        <v>D2424062713</v>
      </c>
      <c r="D1412" s="8">
        <f>IFERROR(__xludf.DUMMYFUNCTION("""COMPUTED_VALUE"""),2.0)</f>
        <v>2</v>
      </c>
      <c r="E1412" s="2"/>
    </row>
    <row r="1413">
      <c r="A1413" s="2"/>
      <c r="B1413" s="8" t="str">
        <f>IFERROR(__xludf.DUMMYFUNCTION("""COMPUTED_VALUE"""),"HADI FAHRIZA")</f>
        <v>HADI FAHRIZA</v>
      </c>
      <c r="C1413" s="8" t="str">
        <f>IFERROR(__xludf.DUMMYFUNCTION("""COMPUTED_VALUE"""),"H9824068946")</f>
        <v>H9824068946</v>
      </c>
      <c r="D1413" s="8">
        <f>IFERROR(__xludf.DUMMYFUNCTION("""COMPUTED_VALUE"""),27.0)</f>
        <v>27</v>
      </c>
      <c r="E1413" s="2"/>
    </row>
    <row r="1414">
      <c r="A1414" s="2"/>
      <c r="B1414" s="8" t="str">
        <f>IFERROR(__xludf.DUMMYFUNCTION("""COMPUTED_VALUE"""),"TOMMY ABDUL GHANI")</f>
        <v>TOMMY ABDUL GHANI</v>
      </c>
      <c r="C1414" s="8" t="str">
        <f>IFERROR(__xludf.DUMMYFUNCTION("""COMPUTED_VALUE"""),"T9424061583")</f>
        <v>T9424061583</v>
      </c>
      <c r="D1414" s="8">
        <f>IFERROR(__xludf.DUMMYFUNCTION("""COMPUTED_VALUE"""),31.0)</f>
        <v>31</v>
      </c>
      <c r="E1414" s="2"/>
    </row>
    <row r="1415">
      <c r="A1415" s="2"/>
      <c r="B1415" s="8" t="str">
        <f>IFERROR(__xludf.DUMMYFUNCTION("""COMPUTED_VALUE"""),"WENNY SURIANTI")</f>
        <v>WENNY SURIANTI</v>
      </c>
      <c r="C1415" s="8" t="str">
        <f>IFERROR(__xludf.DUMMYFUNCTION("""COMPUTED_VALUE"""),"W7824065667")</f>
        <v>W7824065667</v>
      </c>
      <c r="D1415" s="8">
        <f>IFERROR(__xludf.DUMMYFUNCTION("""COMPUTED_VALUE"""),48.0)</f>
        <v>48</v>
      </c>
      <c r="E1415" s="2"/>
    </row>
    <row r="1416">
      <c r="A1416" s="2"/>
      <c r="B1416" s="8" t="str">
        <f>IFERROR(__xludf.DUMMYFUNCTION("""COMPUTED_VALUE"""),"TITO RIYAN PUTRA")</f>
        <v>TITO RIYAN PUTRA</v>
      </c>
      <c r="C1416" s="8" t="str">
        <f>IFERROR(__xludf.DUMMYFUNCTION("""COMPUTED_VALUE"""),"T9624067315")</f>
        <v>T9624067315</v>
      </c>
      <c r="D1416" s="8">
        <f>IFERROR(__xludf.DUMMYFUNCTION("""COMPUTED_VALUE"""),29.0)</f>
        <v>29</v>
      </c>
      <c r="E1416" s="2"/>
    </row>
    <row r="1417">
      <c r="A1417" s="2"/>
      <c r="B1417" s="8" t="str">
        <f>IFERROR(__xludf.DUMMYFUNCTION("""COMPUTED_VALUE"""),"JERRI VIANTO")</f>
        <v>JERRI VIANTO</v>
      </c>
      <c r="C1417" s="8" t="str">
        <f>IFERROR(__xludf.DUMMYFUNCTION("""COMPUTED_VALUE"""),"J0424063790")</f>
        <v>J0424063790</v>
      </c>
      <c r="D1417" s="8">
        <f>IFERROR(__xludf.DUMMYFUNCTION("""COMPUTED_VALUE"""),22.0)</f>
        <v>22</v>
      </c>
      <c r="E1417" s="2"/>
    </row>
    <row r="1418">
      <c r="A1418" s="2"/>
      <c r="B1418" s="8" t="str">
        <f>IFERROR(__xludf.DUMMYFUNCTION("""COMPUTED_VALUE"""),"WULAN NURFADILLAH")</f>
        <v>WULAN NURFADILLAH</v>
      </c>
      <c r="C1418" s="8" t="str">
        <f>IFERROR(__xludf.DUMMYFUNCTION("""COMPUTED_VALUE"""),"W0124066662")</f>
        <v>W0124066662</v>
      </c>
      <c r="D1418" s="8">
        <f>IFERROR(__xludf.DUMMYFUNCTION("""COMPUTED_VALUE"""),25.0)</f>
        <v>25</v>
      </c>
      <c r="E1418" s="2"/>
    </row>
    <row r="1419">
      <c r="A1419" s="2"/>
      <c r="B1419" s="8" t="str">
        <f>IFERROR(__xludf.DUMMYFUNCTION("""COMPUTED_VALUE"""),"ALDI PONDRA NOVRIZA")</f>
        <v>ALDI PONDRA NOVRIZA</v>
      </c>
      <c r="C1419" s="8" t="str">
        <f>IFERROR(__xludf.DUMMYFUNCTION("""COMPUTED_VALUE"""),"A0124065223")</f>
        <v>A0124065223</v>
      </c>
      <c r="D1419" s="8">
        <f>IFERROR(__xludf.DUMMYFUNCTION("""COMPUTED_VALUE"""),24.0)</f>
        <v>24</v>
      </c>
      <c r="E1419" s="2"/>
    </row>
    <row r="1420">
      <c r="A1420" s="2"/>
      <c r="B1420" s="8" t="str">
        <f>IFERROR(__xludf.DUMMYFUNCTION("""COMPUTED_VALUE"""),"M. IMRON FATCHURROZI")</f>
        <v>M. IMRON FATCHURROZI</v>
      </c>
      <c r="C1420" s="8" t="str">
        <f>IFERROR(__xludf.DUMMYFUNCTION("""COMPUTED_VALUE"""),"M9524069037")</f>
        <v>M9524069037</v>
      </c>
      <c r="D1420" s="8">
        <f>IFERROR(__xludf.DUMMYFUNCTION("""COMPUTED_VALUE"""),31.0)</f>
        <v>31</v>
      </c>
      <c r="E1420" s="2"/>
    </row>
    <row r="1421">
      <c r="A1421" s="2"/>
      <c r="B1421" s="8" t="str">
        <f>IFERROR(__xludf.DUMMYFUNCTION("""COMPUTED_VALUE"""),"UKI BASUKIQ")</f>
        <v>UKI BASUKIQ</v>
      </c>
      <c r="C1421" s="8" t="str">
        <f>IFERROR(__xludf.DUMMYFUNCTION("""COMPUTED_VALUE"""),"U6824061794")</f>
        <v>U6824061794</v>
      </c>
      <c r="D1421" s="8">
        <f>IFERROR(__xludf.DUMMYFUNCTION("""COMPUTED_VALUE"""),58.0)</f>
        <v>58</v>
      </c>
      <c r="E1421" s="2"/>
    </row>
    <row r="1422">
      <c r="A1422" s="2"/>
      <c r="B1422" s="8" t="str">
        <f>IFERROR(__xludf.DUMMYFUNCTION("""COMPUTED_VALUE"""),"BERNADUS WINARDI")</f>
        <v>BERNADUS WINARDI</v>
      </c>
      <c r="C1422" s="8" t="str">
        <f>IFERROR(__xludf.DUMMYFUNCTION("""COMPUTED_VALUE"""),"B7124063424")</f>
        <v>B7124063424</v>
      </c>
      <c r="D1422" s="8">
        <f>IFERROR(__xludf.DUMMYFUNCTION("""COMPUTED_VALUE"""),55.0)</f>
        <v>55</v>
      </c>
      <c r="E1422" s="2"/>
    </row>
    <row r="1423">
      <c r="A1423" s="2"/>
      <c r="B1423" s="8" t="str">
        <f>IFERROR(__xludf.DUMMYFUNCTION("""COMPUTED_VALUE"""),"SUHARDIANSYAH")</f>
        <v>SUHARDIANSYAH</v>
      </c>
      <c r="C1423" s="8" t="str">
        <f>IFERROR(__xludf.DUMMYFUNCTION("""COMPUTED_VALUE"""),"S9324065406")</f>
        <v>S9324065406</v>
      </c>
      <c r="D1423" s="8">
        <f>IFERROR(__xludf.DUMMYFUNCTION("""COMPUTED_VALUE"""),32.0)</f>
        <v>32</v>
      </c>
      <c r="E1423" s="2"/>
    </row>
    <row r="1424">
      <c r="A1424" s="2"/>
      <c r="B1424" s="8" t="str">
        <f>IFERROR(__xludf.DUMMYFUNCTION("""COMPUTED_VALUE"""),"TRI HARTANTO PAMUNGKAS")</f>
        <v>TRI HARTANTO PAMUNGKAS</v>
      </c>
      <c r="C1424" s="8" t="str">
        <f>IFERROR(__xludf.DUMMYFUNCTION("""COMPUTED_VALUE"""),"T9424068713")</f>
        <v>T9424068713</v>
      </c>
      <c r="D1424" s="8">
        <f>IFERROR(__xludf.DUMMYFUNCTION("""COMPUTED_VALUE"""),32.0)</f>
        <v>32</v>
      </c>
      <c r="E1424" s="2"/>
    </row>
    <row r="1425">
      <c r="A1425" s="2"/>
      <c r="B1425" s="8" t="str">
        <f>IFERROR(__xludf.DUMMYFUNCTION("""COMPUTED_VALUE"""),"M KHORYADITYA RAHMAN")</f>
        <v>M KHORYADITYA RAHMAN</v>
      </c>
      <c r="C1425" s="8" t="str">
        <f>IFERROR(__xludf.DUMMYFUNCTION("""COMPUTED_VALUE"""),"M9124060454")</f>
        <v>M9124060454</v>
      </c>
      <c r="D1425" s="8">
        <f>IFERROR(__xludf.DUMMYFUNCTION("""COMPUTED_VALUE"""),34.0)</f>
        <v>34</v>
      </c>
      <c r="E1425" s="2"/>
    </row>
    <row r="1426">
      <c r="A1426" s="2"/>
      <c r="B1426" s="8" t="str">
        <f>IFERROR(__xludf.DUMMYFUNCTION("""COMPUTED_VALUE"""),"KHERU SETIARNO")</f>
        <v>KHERU SETIARNO</v>
      </c>
      <c r="C1426" s="8" t="str">
        <f>IFERROR(__xludf.DUMMYFUNCTION("""COMPUTED_VALUE"""),"K9324069606")</f>
        <v>K9324069606</v>
      </c>
      <c r="D1426" s="8">
        <f>IFERROR(__xludf.DUMMYFUNCTION("""COMPUTED_VALUE"""),33.0)</f>
        <v>33</v>
      </c>
      <c r="E1426" s="2"/>
    </row>
    <row r="1427">
      <c r="A1427" s="2"/>
      <c r="B1427" s="8" t="str">
        <f>IFERROR(__xludf.DUMMYFUNCTION("""COMPUTED_VALUE"""),"NANDA")</f>
        <v>NANDA</v>
      </c>
      <c r="C1427" s="8" t="str">
        <f>IFERROR(__xludf.DUMMYFUNCTION("""COMPUTED_VALUE"""),"N0324067881")</f>
        <v>N0324067881</v>
      </c>
      <c r="D1427" s="8">
        <f>IFERROR(__xludf.DUMMYFUNCTION("""COMPUTED_VALUE"""),23.0)</f>
        <v>23</v>
      </c>
      <c r="E1427" s="2"/>
    </row>
    <row r="1428">
      <c r="A1428" s="2"/>
      <c r="B1428" s="8" t="str">
        <f>IFERROR(__xludf.DUMMYFUNCTION("""COMPUTED_VALUE"""),"BUNAIYAH")</f>
        <v>BUNAIYAH</v>
      </c>
      <c r="C1428" s="8" t="str">
        <f>IFERROR(__xludf.DUMMYFUNCTION("""COMPUTED_VALUE"""),"B5524067307")</f>
        <v>B5524067307</v>
      </c>
      <c r="D1428" s="8">
        <f>IFERROR(__xludf.DUMMYFUNCTION("""COMPUTED_VALUE"""),71.0)</f>
        <v>71</v>
      </c>
      <c r="E1428" s="2"/>
    </row>
    <row r="1429">
      <c r="A1429" s="2"/>
      <c r="B1429" s="8" t="str">
        <f>IFERROR(__xludf.DUMMYFUNCTION("""COMPUTED_VALUE"""),"IGNATIUS SUTIKNO WARDOYO")</f>
        <v>IGNATIUS SUTIKNO WARDOYO</v>
      </c>
      <c r="C1429" s="8" t="str">
        <f>IFERROR(__xludf.DUMMYFUNCTION("""COMPUTED_VALUE"""),"I7724068586")</f>
        <v>I7724068586</v>
      </c>
      <c r="D1429" s="8">
        <f>IFERROR(__xludf.DUMMYFUNCTION("""COMPUTED_VALUE"""),48.0)</f>
        <v>48</v>
      </c>
      <c r="E1429" s="2"/>
    </row>
    <row r="1430">
      <c r="A1430" s="2"/>
      <c r="B1430" s="8" t="str">
        <f>IFERROR(__xludf.DUMMYFUNCTION("""COMPUTED_VALUE"""),"RAJA AHMAD HUSAIN")</f>
        <v>RAJA AHMAD HUSAIN</v>
      </c>
      <c r="C1430" s="8" t="str">
        <f>IFERROR(__xludf.DUMMYFUNCTION("""COMPUTED_VALUE"""),"R0524069064")</f>
        <v>R0524069064</v>
      </c>
      <c r="D1430" s="8">
        <f>IFERROR(__xludf.DUMMYFUNCTION("""COMPUTED_VALUE"""),20.0)</f>
        <v>20</v>
      </c>
      <c r="E1430" s="2"/>
    </row>
    <row r="1431">
      <c r="A1431" s="2"/>
      <c r="B1431" s="8" t="str">
        <f>IFERROR(__xludf.DUMMYFUNCTION("""COMPUTED_VALUE"""),"KURNIAWATI 6611")</f>
        <v>KURNIAWATI 6611</v>
      </c>
      <c r="C1431" s="8" t="str">
        <f>IFERROR(__xludf.DUMMYFUNCTION("""COMPUTED_VALUE"""),"K6624067283")</f>
        <v>K6624067283</v>
      </c>
      <c r="D1431" s="8">
        <f>IFERROR(__xludf.DUMMYFUNCTION("""COMPUTED_VALUE"""),59.0)</f>
        <v>59</v>
      </c>
      <c r="E1431" s="2"/>
    </row>
    <row r="1432">
      <c r="A1432" s="2"/>
      <c r="B1432" s="8" t="str">
        <f>IFERROR(__xludf.DUMMYFUNCTION("""COMPUTED_VALUE"""),"ASHA RIDHAYANA")</f>
        <v>ASHA RIDHAYANA</v>
      </c>
      <c r="C1432" s="8" t="str">
        <f>IFERROR(__xludf.DUMMYFUNCTION("""COMPUTED_VALUE"""),"A1124060540")</f>
        <v>A1124060540</v>
      </c>
      <c r="D1432" s="8">
        <f>IFERROR(__xludf.DUMMYFUNCTION("""COMPUTED_VALUE"""),15.0)</f>
        <v>15</v>
      </c>
      <c r="E1432" s="2"/>
    </row>
    <row r="1433">
      <c r="A1433" s="2"/>
      <c r="B1433" s="8" t="str">
        <f>IFERROR(__xludf.DUMMYFUNCTION("""COMPUTED_VALUE"""),"BOBBY ASHARI")</f>
        <v>BOBBY ASHARI</v>
      </c>
      <c r="C1433" s="8" t="str">
        <f>IFERROR(__xludf.DUMMYFUNCTION("""COMPUTED_VALUE"""),"B6924065020")</f>
        <v>B6924065020</v>
      </c>
      <c r="D1433" s="8">
        <f>IFERROR(__xludf.DUMMYFUNCTION("""COMPUTED_VALUE"""),56.0)</f>
        <v>56</v>
      </c>
      <c r="E1433" s="2"/>
    </row>
    <row r="1434">
      <c r="A1434" s="2"/>
      <c r="B1434" s="8" t="str">
        <f>IFERROR(__xludf.DUMMYFUNCTION("""COMPUTED_VALUE"""),"HENDRI GUNAWAN0005")</f>
        <v>HENDRI GUNAWAN0005</v>
      </c>
      <c r="C1434" s="8" t="str">
        <f>IFERROR(__xludf.DUMMYFUNCTION("""COMPUTED_VALUE"""),"H0024065411")</f>
        <v>H0024065411</v>
      </c>
      <c r="D1434" s="8">
        <f>IFERROR(__xludf.DUMMYFUNCTION("""COMPUTED_VALUE"""),26.0)</f>
        <v>26</v>
      </c>
      <c r="E1434" s="2"/>
    </row>
    <row r="1435">
      <c r="A1435" s="2"/>
      <c r="B1435" s="8" t="str">
        <f>IFERROR(__xludf.DUMMYFUNCTION("""COMPUTED_VALUE"""),"ANGGELA ASTRI YANTI")</f>
        <v>ANGGELA ASTRI YANTI</v>
      </c>
      <c r="C1435" s="8" t="str">
        <f>IFERROR(__xludf.DUMMYFUNCTION("""COMPUTED_VALUE"""),"A0024061718")</f>
        <v>A0024061718</v>
      </c>
      <c r="D1435" s="8">
        <f>IFERROR(__xludf.DUMMYFUNCTION("""COMPUTED_VALUE"""),25.0)</f>
        <v>25</v>
      </c>
      <c r="E1435" s="2"/>
    </row>
    <row r="1436">
      <c r="A1436" s="2"/>
      <c r="B1436" s="8" t="str">
        <f>IFERROR(__xludf.DUMMYFUNCTION("""COMPUTED_VALUE"""),"YANUAR IRVAN")</f>
        <v>YANUAR IRVAN</v>
      </c>
      <c r="C1436" s="8" t="str">
        <f>IFERROR(__xludf.DUMMYFUNCTION("""COMPUTED_VALUE"""),"Y8824069669")</f>
        <v>Y8824069669</v>
      </c>
      <c r="D1436" s="8">
        <f>IFERROR(__xludf.DUMMYFUNCTION("""COMPUTED_VALUE"""),38.0)</f>
        <v>38</v>
      </c>
      <c r="E1436" s="2"/>
    </row>
    <row r="1437">
      <c r="A1437" s="2"/>
      <c r="B1437" s="8" t="str">
        <f>IFERROR(__xludf.DUMMYFUNCTION("""COMPUTED_VALUE"""),"SAMUEL PIETER THOMAS MAMANUA")</f>
        <v>SAMUEL PIETER THOMAS MAMANUA</v>
      </c>
      <c r="C1437" s="8" t="str">
        <f>IFERROR(__xludf.DUMMYFUNCTION("""COMPUTED_VALUE"""),"S9524061546")</f>
        <v>S9524061546</v>
      </c>
      <c r="D1437" s="8">
        <f>IFERROR(__xludf.DUMMYFUNCTION("""COMPUTED_VALUE"""),30.0)</f>
        <v>30</v>
      </c>
      <c r="E1437" s="2"/>
    </row>
    <row r="1438">
      <c r="A1438" s="2"/>
      <c r="B1438" s="8" t="str">
        <f>IFERROR(__xludf.DUMMYFUNCTION("""COMPUTED_VALUE"""),"JEVVIE AGUS PRANANDA")</f>
        <v>JEVVIE AGUS PRANANDA</v>
      </c>
      <c r="C1438" s="8" t="str">
        <f>IFERROR(__xludf.DUMMYFUNCTION("""COMPUTED_VALUE"""),"J8924063773")</f>
        <v>J8924063773</v>
      </c>
      <c r="D1438" s="8">
        <f>IFERROR(__xludf.DUMMYFUNCTION("""COMPUTED_VALUE"""),36.0)</f>
        <v>36</v>
      </c>
      <c r="E1438" s="2"/>
    </row>
    <row r="1439">
      <c r="A1439" s="2"/>
      <c r="B1439" s="8" t="str">
        <f>IFERROR(__xludf.DUMMYFUNCTION("""COMPUTED_VALUE"""),"YULIUS TEHAU")</f>
        <v>YULIUS TEHAU</v>
      </c>
      <c r="C1439" s="8" t="str">
        <f>IFERROR(__xludf.DUMMYFUNCTION("""COMPUTED_VALUE"""),"Y7424061299")</f>
        <v>Y7424061299</v>
      </c>
      <c r="D1439" s="8">
        <f>IFERROR(__xludf.DUMMYFUNCTION("""COMPUTED_VALUE"""),52.0)</f>
        <v>52</v>
      </c>
      <c r="E1439" s="2"/>
    </row>
    <row r="1440">
      <c r="A1440" s="2"/>
      <c r="B1440" s="8" t="str">
        <f>IFERROR(__xludf.DUMMYFUNCTION("""COMPUTED_VALUE"""),"DEVI ANGREANI")</f>
        <v>DEVI ANGREANI</v>
      </c>
      <c r="C1440" s="8" t="str">
        <f>IFERROR(__xludf.DUMMYFUNCTION("""COMPUTED_VALUE"""),"D9124063534")</f>
        <v>D9124063534</v>
      </c>
      <c r="D1440" s="8">
        <f>IFERROR(__xludf.DUMMYFUNCTION("""COMPUTED_VALUE"""),34.0)</f>
        <v>34</v>
      </c>
      <c r="E1440" s="2"/>
    </row>
    <row r="1441">
      <c r="A1441" s="2"/>
      <c r="B1441" s="8" t="str">
        <f>IFERROR(__xludf.DUMMYFUNCTION("""COMPUTED_VALUE"""),"AMANDA SHARLEEN")</f>
        <v>AMANDA SHARLEEN</v>
      </c>
      <c r="C1441" s="8" t="str">
        <f>IFERROR(__xludf.DUMMYFUNCTION("""COMPUTED_VALUE"""),"A0124067134")</f>
        <v>A0124067134</v>
      </c>
      <c r="D1441" s="8">
        <f>IFERROR(__xludf.DUMMYFUNCTION("""COMPUTED_VALUE"""),24.0)</f>
        <v>24</v>
      </c>
      <c r="E1441" s="2"/>
    </row>
    <row r="1442">
      <c r="A1442" s="2"/>
      <c r="B1442" s="8" t="str">
        <f>IFERROR(__xludf.DUMMYFUNCTION("""COMPUTED_VALUE"""),"ANGGER PRAKOSO")</f>
        <v>ANGGER PRAKOSO</v>
      </c>
      <c r="C1442" s="8" t="str">
        <f>IFERROR(__xludf.DUMMYFUNCTION("""COMPUTED_VALUE"""),"A9724069014")</f>
        <v>A9724069014</v>
      </c>
      <c r="D1442" s="8">
        <f>IFERROR(__xludf.DUMMYFUNCTION("""COMPUTED_VALUE"""),29.0)</f>
        <v>29</v>
      </c>
      <c r="E1442" s="2"/>
    </row>
    <row r="1443">
      <c r="A1443" s="2"/>
      <c r="B1443" s="8" t="str">
        <f>IFERROR(__xludf.DUMMYFUNCTION("""COMPUTED_VALUE"""),"AMRAZI ZAKSO")</f>
        <v>AMRAZI ZAKSO</v>
      </c>
      <c r="C1443" s="8" t="str">
        <f>IFERROR(__xludf.DUMMYFUNCTION("""COMPUTED_VALUE"""),"A6324060396")</f>
        <v>A6324060396</v>
      </c>
      <c r="D1443" s="8">
        <f>IFERROR(__xludf.DUMMYFUNCTION("""COMPUTED_VALUE"""),63.0)</f>
        <v>63</v>
      </c>
      <c r="E1443" s="2"/>
    </row>
    <row r="1444">
      <c r="A1444" s="2"/>
      <c r="B1444" s="8" t="str">
        <f>IFERROR(__xludf.DUMMYFUNCTION("""COMPUTED_VALUE"""),"MISHBAH IZZATUR RABBANI")</f>
        <v>MISHBAH IZZATUR RABBANI</v>
      </c>
      <c r="C1444" s="8" t="str">
        <f>IFERROR(__xludf.DUMMYFUNCTION("""COMPUTED_VALUE"""),"M1124069783")</f>
        <v>M1124069783</v>
      </c>
      <c r="D1444" s="8">
        <f>IFERROR(__xludf.DUMMYFUNCTION("""COMPUTED_VALUE"""),15.0)</f>
        <v>15</v>
      </c>
      <c r="E1444" s="2"/>
    </row>
    <row r="1445">
      <c r="A1445" s="2"/>
      <c r="B1445" s="8" t="str">
        <f>IFERROR(__xludf.DUMMYFUNCTION("""COMPUTED_VALUE"""),"AZWAR")</f>
        <v>AZWAR</v>
      </c>
      <c r="C1445" s="8" t="str">
        <f>IFERROR(__xludf.DUMMYFUNCTION("""COMPUTED_VALUE"""),"A2424062525")</f>
        <v>A2424062525</v>
      </c>
      <c r="D1445" s="8">
        <f>IFERROR(__xludf.DUMMYFUNCTION("""COMPUTED_VALUE"""),2.0)</f>
        <v>2</v>
      </c>
      <c r="E1445" s="2"/>
    </row>
    <row r="1446">
      <c r="A1446" s="2"/>
      <c r="B1446" s="8" t="str">
        <f>IFERROR(__xludf.DUMMYFUNCTION("""COMPUTED_VALUE"""),"FAJAR PRIMA")</f>
        <v>FAJAR PRIMA</v>
      </c>
      <c r="C1446" s="8" t="str">
        <f>IFERROR(__xludf.DUMMYFUNCTION("""COMPUTED_VALUE"""),"F9324062565")</f>
        <v>F9324062565</v>
      </c>
      <c r="D1446" s="8">
        <f>IFERROR(__xludf.DUMMYFUNCTION("""COMPUTED_VALUE"""),33.0)</f>
        <v>33</v>
      </c>
      <c r="E1446" s="2"/>
    </row>
    <row r="1447">
      <c r="A1447" s="2"/>
      <c r="B1447" s="8" t="str">
        <f>IFERROR(__xludf.DUMMYFUNCTION("""COMPUTED_VALUE"""),"SYARUL REZA")</f>
        <v>SYARUL REZA</v>
      </c>
      <c r="C1447" s="8" t="str">
        <f>IFERROR(__xludf.DUMMYFUNCTION("""COMPUTED_VALUE"""),"S0024064050")</f>
        <v>S0024064050</v>
      </c>
      <c r="D1447" s="8">
        <f>IFERROR(__xludf.DUMMYFUNCTION("""COMPUTED_VALUE"""),26.0)</f>
        <v>26</v>
      </c>
      <c r="E1447" s="2"/>
    </row>
    <row r="1448">
      <c r="A1448" s="2"/>
      <c r="B1448" s="8" t="str">
        <f>IFERROR(__xludf.DUMMYFUNCTION("""COMPUTED_VALUE"""),"YULIANA PUYANG")</f>
        <v>YULIANA PUYANG</v>
      </c>
      <c r="C1448" s="8" t="str">
        <f>IFERROR(__xludf.DUMMYFUNCTION("""COMPUTED_VALUE"""),"Y6624063668")</f>
        <v>Y6624063668</v>
      </c>
      <c r="D1448" s="8">
        <f>IFERROR(__xludf.DUMMYFUNCTION("""COMPUTED_VALUE"""),59.0)</f>
        <v>59</v>
      </c>
      <c r="E1448" s="2"/>
    </row>
    <row r="1449">
      <c r="A1449" s="2"/>
      <c r="B1449" s="8" t="str">
        <f>IFERROR(__xludf.DUMMYFUNCTION("""COMPUTED_VALUE"""),"NI PUTU IRMA PURNAMA DEWI")</f>
        <v>NI PUTU IRMA PURNAMA DEWI</v>
      </c>
      <c r="C1449" s="8" t="str">
        <f>IFERROR(__xludf.DUMMYFUNCTION("""COMPUTED_VALUE"""),"N9024068538")</f>
        <v>N9024068538</v>
      </c>
      <c r="D1449" s="8">
        <f>IFERROR(__xludf.DUMMYFUNCTION("""COMPUTED_VALUE"""),35.0)</f>
        <v>35</v>
      </c>
      <c r="E1449" s="2"/>
    </row>
    <row r="1450">
      <c r="A1450" s="2"/>
      <c r="B1450" s="8" t="str">
        <f>IFERROR(__xludf.DUMMYFUNCTION("""COMPUTED_VALUE"""),"SALMIYAH")</f>
        <v>SALMIYAH</v>
      </c>
      <c r="C1450" s="8" t="str">
        <f>IFERROR(__xludf.DUMMYFUNCTION("""COMPUTED_VALUE"""),"S5924066249")</f>
        <v>S5924066249</v>
      </c>
      <c r="D1450" s="8">
        <f>IFERROR(__xludf.DUMMYFUNCTION("""COMPUTED_VALUE"""),67.0)</f>
        <v>67</v>
      </c>
      <c r="E1450" s="2"/>
    </row>
    <row r="1451">
      <c r="A1451" s="2"/>
      <c r="B1451" s="8" t="str">
        <f>IFERROR(__xludf.DUMMYFUNCTION("""COMPUTED_VALUE"""),"ATIQAH ZAHRA FITRIA")</f>
        <v>ATIQAH ZAHRA FITRIA</v>
      </c>
      <c r="C1451" s="8" t="str">
        <f>IFERROR(__xludf.DUMMYFUNCTION("""COMPUTED_VALUE"""),"A1224069412")</f>
        <v>A1224069412</v>
      </c>
      <c r="D1451" s="8">
        <f>IFERROR(__xludf.DUMMYFUNCTION("""COMPUTED_VALUE"""),13.0)</f>
        <v>13</v>
      </c>
      <c r="E1451" s="2"/>
    </row>
    <row r="1452">
      <c r="A1452" s="2"/>
      <c r="B1452" s="8" t="str">
        <f>IFERROR(__xludf.DUMMYFUNCTION("""COMPUTED_VALUE"""),"HANIF WAKHAIYOR")</f>
        <v>HANIF WAKHAIYOR</v>
      </c>
      <c r="C1452" s="8" t="str">
        <f>IFERROR(__xludf.DUMMYFUNCTION("""COMPUTED_VALUE"""),"H0824062269")</f>
        <v>H0824062269</v>
      </c>
      <c r="D1452" s="8">
        <f>IFERROR(__xludf.DUMMYFUNCTION("""COMPUTED_VALUE"""),18.0)</f>
        <v>18</v>
      </c>
      <c r="E1452" s="2"/>
    </row>
    <row r="1453">
      <c r="A1453" s="2"/>
      <c r="B1453" s="8" t="str">
        <f>IFERROR(__xludf.DUMMYFUNCTION("""COMPUTED_VALUE"""),"LIA INDRIARTINI")</f>
        <v>LIA INDRIARTINI</v>
      </c>
      <c r="C1453" s="8" t="str">
        <f>IFERROR(__xludf.DUMMYFUNCTION("""COMPUTED_VALUE"""),"L7924064997")</f>
        <v>L7924064997</v>
      </c>
      <c r="D1453" s="8">
        <f>IFERROR(__xludf.DUMMYFUNCTION("""COMPUTED_VALUE"""),47.0)</f>
        <v>47</v>
      </c>
      <c r="E1453" s="2"/>
    </row>
    <row r="1454">
      <c r="A1454" s="2"/>
      <c r="B1454" s="8" t="str">
        <f>IFERROR(__xludf.DUMMYFUNCTION("""COMPUTED_VALUE"""),"EMI WATU")</f>
        <v>EMI WATU</v>
      </c>
      <c r="C1454" s="8" t="str">
        <f>IFERROR(__xludf.DUMMYFUNCTION("""COMPUTED_VALUE"""),"E6724067200")</f>
        <v>E6724067200</v>
      </c>
      <c r="D1454" s="8">
        <f>IFERROR(__xludf.DUMMYFUNCTION("""COMPUTED_VALUE"""),59.0)</f>
        <v>59</v>
      </c>
      <c r="E1454" s="2"/>
    </row>
    <row r="1455">
      <c r="A1455" s="2"/>
      <c r="B1455" s="8" t="str">
        <f>IFERROR(__xludf.DUMMYFUNCTION("""COMPUTED_VALUE"""),"KASWANTO")</f>
        <v>KASWANTO</v>
      </c>
      <c r="C1455" s="8" t="str">
        <f>IFERROR(__xludf.DUMMYFUNCTION("""COMPUTED_VALUE"""),"K7824064990")</f>
        <v>K7824064990</v>
      </c>
      <c r="D1455" s="8">
        <f>IFERROR(__xludf.DUMMYFUNCTION("""COMPUTED_VALUE"""),48.0)</f>
        <v>48</v>
      </c>
      <c r="E1455" s="2"/>
    </row>
    <row r="1456">
      <c r="A1456" s="2"/>
      <c r="B1456" s="8" t="str">
        <f>IFERROR(__xludf.DUMMYFUNCTION("""COMPUTED_VALUE"""),"YOGA APRI YONO")</f>
        <v>YOGA APRI YONO</v>
      </c>
      <c r="C1456" s="8" t="str">
        <f>IFERROR(__xludf.DUMMYFUNCTION("""COMPUTED_VALUE"""),"Y9724063986")</f>
        <v>Y9724063986</v>
      </c>
      <c r="D1456" s="8">
        <f>IFERROR(__xludf.DUMMYFUNCTION("""COMPUTED_VALUE"""),29.0)</f>
        <v>29</v>
      </c>
      <c r="E1456" s="2"/>
    </row>
    <row r="1457">
      <c r="A1457" s="2"/>
      <c r="B1457" s="8" t="str">
        <f>IFERROR(__xludf.DUMMYFUNCTION("""COMPUTED_VALUE"""),"SRI AULIA MAHARANI")</f>
        <v>SRI AULIA MAHARANI</v>
      </c>
      <c r="C1457" s="8" t="str">
        <f>IFERROR(__xludf.DUMMYFUNCTION("""COMPUTED_VALUE"""),"S0624065253")</f>
        <v>S0624065253</v>
      </c>
      <c r="D1457" s="8">
        <f>IFERROR(__xludf.DUMMYFUNCTION("""COMPUTED_VALUE"""),19.0)</f>
        <v>19</v>
      </c>
      <c r="E1457" s="2"/>
    </row>
    <row r="1458">
      <c r="A1458" s="2"/>
      <c r="B1458" s="8" t="str">
        <f>IFERROR(__xludf.DUMMYFUNCTION("""COMPUTED_VALUE"""),"EDO DARMAWAN,S.T")</f>
        <v>EDO DARMAWAN,S.T</v>
      </c>
      <c r="C1458" s="8" t="str">
        <f>IFERROR(__xludf.DUMMYFUNCTION("""COMPUTED_VALUE"""),"E9124061441")</f>
        <v>E9124061441</v>
      </c>
      <c r="D1458" s="8">
        <f>IFERROR(__xludf.DUMMYFUNCTION("""COMPUTED_VALUE"""),35.0)</f>
        <v>35</v>
      </c>
      <c r="E1458" s="2"/>
    </row>
    <row r="1459">
      <c r="A1459" s="2"/>
      <c r="B1459" s="8" t="str">
        <f>IFERROR(__xludf.DUMMYFUNCTION("""COMPUTED_VALUE"""),"SULIS SETIOWATI")</f>
        <v>SULIS SETIOWATI</v>
      </c>
      <c r="C1459" s="8" t="str">
        <f>IFERROR(__xludf.DUMMYFUNCTION("""COMPUTED_VALUE"""),"S7324068151")</f>
        <v>S7324068151</v>
      </c>
      <c r="D1459" s="8">
        <f>IFERROR(__xludf.DUMMYFUNCTION("""COMPUTED_VALUE"""),52.0)</f>
        <v>52</v>
      </c>
      <c r="E1459" s="2"/>
    </row>
    <row r="1460">
      <c r="A1460" s="2"/>
      <c r="B1460" s="8" t="str">
        <f>IFERROR(__xludf.DUMMYFUNCTION("""COMPUTED_VALUE"""),"FATIMAH 6202")</f>
        <v>FATIMAH 6202</v>
      </c>
      <c r="C1460" s="8" t="str">
        <f>IFERROR(__xludf.DUMMYFUNCTION("""COMPUTED_VALUE"""),"F6224068426")</f>
        <v>F6224068426</v>
      </c>
      <c r="D1460" s="8">
        <f>IFERROR(__xludf.DUMMYFUNCTION("""COMPUTED_VALUE"""),64.0)</f>
        <v>64</v>
      </c>
      <c r="E1460" s="2"/>
    </row>
    <row r="1461">
      <c r="A1461" s="2"/>
      <c r="B1461" s="8" t="str">
        <f>IFERROR(__xludf.DUMMYFUNCTION("""COMPUTED_VALUE"""),"YULIANTI STEVIANI")</f>
        <v>YULIANTI STEVIANI</v>
      </c>
      <c r="C1461" s="8" t="str">
        <f>IFERROR(__xludf.DUMMYFUNCTION("""COMPUTED_VALUE"""),"Y9724063373")</f>
        <v>Y9724063373</v>
      </c>
      <c r="D1461" s="8">
        <f>IFERROR(__xludf.DUMMYFUNCTION("""COMPUTED_VALUE"""),29.0)</f>
        <v>29</v>
      </c>
      <c r="E1461" s="2"/>
    </row>
    <row r="1462">
      <c r="A1462" s="2"/>
      <c r="B1462" s="8" t="str">
        <f>IFERROR(__xludf.DUMMYFUNCTION("""COMPUTED_VALUE"""),"JOHN COLLINS ANDI PRATAMA")</f>
        <v>JOHN COLLINS ANDI PRATAMA</v>
      </c>
      <c r="C1462" s="8" t="str">
        <f>IFERROR(__xludf.DUMMYFUNCTION("""COMPUTED_VALUE"""),"J8924064228")</f>
        <v>J8924064228</v>
      </c>
      <c r="D1462" s="8">
        <f>IFERROR(__xludf.DUMMYFUNCTION("""COMPUTED_VALUE"""),37.0)</f>
        <v>37</v>
      </c>
      <c r="E1462" s="2"/>
    </row>
    <row r="1463">
      <c r="A1463" s="2"/>
      <c r="B1463" s="8" t="str">
        <f>IFERROR(__xludf.DUMMYFUNCTION("""COMPUTED_VALUE"""),"MUTIA MARISA, S TR AK")</f>
        <v>MUTIA MARISA, S TR AK</v>
      </c>
      <c r="C1463" s="8" t="str">
        <f>IFERROR(__xludf.DUMMYFUNCTION("""COMPUTED_VALUE"""),"M9624062482")</f>
        <v>M9624062482</v>
      </c>
      <c r="D1463" s="8">
        <f>IFERROR(__xludf.DUMMYFUNCTION("""COMPUTED_VALUE"""),29.0)</f>
        <v>29</v>
      </c>
      <c r="E1463" s="2"/>
    </row>
    <row r="1464">
      <c r="A1464" s="2"/>
      <c r="B1464" s="8" t="str">
        <f>IFERROR(__xludf.DUMMYFUNCTION("""COMPUTED_VALUE"""),"EINSTEINIUS")</f>
        <v>EINSTEINIUS</v>
      </c>
      <c r="C1464" s="8" t="str">
        <f>IFERROR(__xludf.DUMMYFUNCTION("""COMPUTED_VALUE"""),"E9324066207")</f>
        <v>E9324066207</v>
      </c>
      <c r="D1464" s="8">
        <f>IFERROR(__xludf.DUMMYFUNCTION("""COMPUTED_VALUE"""),32.0)</f>
        <v>32</v>
      </c>
      <c r="E1464" s="2"/>
    </row>
    <row r="1465">
      <c r="A1465" s="2"/>
      <c r="B1465" s="8" t="str">
        <f>IFERROR(__xludf.DUMMYFUNCTION("""COMPUTED_VALUE"""),"FIRZA AMRI")</f>
        <v>FIRZA AMRI</v>
      </c>
      <c r="C1465" s="8" t="str">
        <f>IFERROR(__xludf.DUMMYFUNCTION("""COMPUTED_VALUE"""),"F7724067007")</f>
        <v>F7724067007</v>
      </c>
      <c r="D1465" s="8">
        <f>IFERROR(__xludf.DUMMYFUNCTION("""COMPUTED_VALUE"""),48.0)</f>
        <v>48</v>
      </c>
      <c r="E1465" s="2"/>
    </row>
    <row r="1466">
      <c r="A1466" s="2"/>
      <c r="B1466" s="8" t="str">
        <f>IFERROR(__xludf.DUMMYFUNCTION("""COMPUTED_VALUE"""),"RAIHANUL ADZMAR")</f>
        <v>RAIHANUL ADZMAR</v>
      </c>
      <c r="C1466" s="8" t="str">
        <f>IFERROR(__xludf.DUMMYFUNCTION("""COMPUTED_VALUE"""),"R1224062181")</f>
        <v>R1224062181</v>
      </c>
      <c r="D1466" s="8">
        <f>IFERROR(__xludf.DUMMYFUNCTION("""COMPUTED_VALUE"""),13.0)</f>
        <v>13</v>
      </c>
      <c r="E1466" s="2"/>
    </row>
    <row r="1467">
      <c r="A1467" s="2"/>
      <c r="B1467" s="8" t="str">
        <f>IFERROR(__xludf.DUMMYFUNCTION("""COMPUTED_VALUE"""),"INDERIYANI")</f>
        <v>INDERIYANI</v>
      </c>
      <c r="C1467" s="8" t="str">
        <f>IFERROR(__xludf.DUMMYFUNCTION("""COMPUTED_VALUE"""),"I9024065878")</f>
        <v>I9024065878</v>
      </c>
      <c r="D1467" s="8">
        <f>IFERROR(__xludf.DUMMYFUNCTION("""COMPUTED_VALUE"""),36.0)</f>
        <v>36</v>
      </c>
      <c r="E1467" s="2"/>
    </row>
    <row r="1468">
      <c r="A1468" s="2"/>
      <c r="B1468" s="8" t="str">
        <f>IFERROR(__xludf.DUMMYFUNCTION("""COMPUTED_VALUE"""),"SUNARTO 7002")</f>
        <v>SUNARTO 7002</v>
      </c>
      <c r="C1468" s="8" t="str">
        <f>IFERROR(__xludf.DUMMYFUNCTION("""COMPUTED_VALUE"""),"S7024068300")</f>
        <v>S7024068300</v>
      </c>
      <c r="D1468" s="8">
        <f>IFERROR(__xludf.DUMMYFUNCTION("""COMPUTED_VALUE"""),56.0)</f>
        <v>56</v>
      </c>
      <c r="E1468" s="2"/>
    </row>
    <row r="1469">
      <c r="A1469" s="2"/>
      <c r="B1469" s="8" t="str">
        <f>IFERROR(__xludf.DUMMYFUNCTION("""COMPUTED_VALUE"""),"AHID ABDULLAH")</f>
        <v>AHID ABDULLAH</v>
      </c>
      <c r="C1469" s="8" t="str">
        <f>IFERROR(__xludf.DUMMYFUNCTION("""COMPUTED_VALUE"""),"A9024063847")</f>
        <v>A9024063847</v>
      </c>
      <c r="D1469" s="8">
        <f>IFERROR(__xludf.DUMMYFUNCTION("""COMPUTED_VALUE"""),35.0)</f>
        <v>35</v>
      </c>
      <c r="E1469" s="2"/>
    </row>
    <row r="1470">
      <c r="A1470" s="2"/>
      <c r="B1470" s="8" t="str">
        <f>IFERROR(__xludf.DUMMYFUNCTION("""COMPUTED_VALUE"""),"JEKI")</f>
        <v>JEKI</v>
      </c>
      <c r="C1470" s="8" t="str">
        <f>IFERROR(__xludf.DUMMYFUNCTION("""COMPUTED_VALUE"""),"J9424064848")</f>
        <v>J9424064848</v>
      </c>
      <c r="D1470" s="8">
        <f>IFERROR(__xludf.DUMMYFUNCTION("""COMPUTED_VALUE"""),31.0)</f>
        <v>31</v>
      </c>
      <c r="E1470" s="2"/>
    </row>
    <row r="1471">
      <c r="A1471" s="2"/>
      <c r="B1471" s="8" t="str">
        <f>IFERROR(__xludf.DUMMYFUNCTION("""COMPUTED_VALUE"""),"HANSEN GUNAWAN")</f>
        <v>HANSEN GUNAWAN</v>
      </c>
      <c r="C1471" s="8" t="str">
        <f>IFERROR(__xludf.DUMMYFUNCTION("""COMPUTED_VALUE"""),"H9924069973")</f>
        <v>H9924069973</v>
      </c>
      <c r="D1471" s="8">
        <f>IFERROR(__xludf.DUMMYFUNCTION("""COMPUTED_VALUE"""),26.0)</f>
        <v>26</v>
      </c>
      <c r="E1471" s="2"/>
    </row>
    <row r="1472">
      <c r="A1472" s="2"/>
      <c r="B1472" s="8" t="str">
        <f>IFERROR(__xludf.DUMMYFUNCTION("""COMPUTED_VALUE"""),"PRISCA LIANTY NUR ZULAIKHA")</f>
        <v>PRISCA LIANTY NUR ZULAIKHA</v>
      </c>
      <c r="C1472" s="8" t="str">
        <f>IFERROR(__xludf.DUMMYFUNCTION("""COMPUTED_VALUE"""),"P0724071001")</f>
        <v>P0724071001</v>
      </c>
      <c r="D1472" s="8">
        <f>IFERROR(__xludf.DUMMYFUNCTION("""COMPUTED_VALUE"""),19.0)</f>
        <v>19</v>
      </c>
      <c r="E1472" s="2"/>
    </row>
    <row r="1473">
      <c r="A1473" s="2"/>
      <c r="B1473" s="8" t="str">
        <f>IFERROR(__xludf.DUMMYFUNCTION("""COMPUTED_VALUE"""),"JONATAN SATRIA ANGGARA HUTAPEA")</f>
        <v>JONATAN SATRIA ANGGARA HUTAPEA</v>
      </c>
      <c r="C1473" s="8" t="str">
        <f>IFERROR(__xludf.DUMMYFUNCTION("""COMPUTED_VALUE"""),"J0724079044")</f>
        <v>J0724079044</v>
      </c>
      <c r="D1473" s="8">
        <f>IFERROR(__xludf.DUMMYFUNCTION("""COMPUTED_VALUE"""),19.0)</f>
        <v>19</v>
      </c>
      <c r="E1473" s="2"/>
    </row>
    <row r="1474">
      <c r="A1474" s="2"/>
      <c r="B1474" s="8" t="str">
        <f>IFERROR(__xludf.DUMMYFUNCTION("""COMPUTED_VALUE"""),"CLAUDYA YUNI")</f>
        <v>CLAUDYA YUNI</v>
      </c>
      <c r="C1474" s="8" t="str">
        <f>IFERROR(__xludf.DUMMYFUNCTION("""COMPUTED_VALUE"""),"C9824078383")</f>
        <v>C9824078383</v>
      </c>
      <c r="D1474" s="8">
        <f>IFERROR(__xludf.DUMMYFUNCTION("""COMPUTED_VALUE"""),28.0)</f>
        <v>28</v>
      </c>
      <c r="E1474" s="2"/>
    </row>
    <row r="1475">
      <c r="A1475" s="2"/>
      <c r="B1475" s="8" t="str">
        <f>IFERROR(__xludf.DUMMYFUNCTION("""COMPUTED_VALUE"""),"MARDIAH ANUR, B.SC")</f>
        <v>MARDIAH ANUR, B.SC</v>
      </c>
      <c r="C1475" s="8" t="str">
        <f>IFERROR(__xludf.DUMMYFUNCTION("""COMPUTED_VALUE"""),"M6424070261")</f>
        <v>M6424070261</v>
      </c>
      <c r="D1475" s="8">
        <f>IFERROR(__xludf.DUMMYFUNCTION("""COMPUTED_VALUE"""),62.0)</f>
        <v>62</v>
      </c>
      <c r="E1475" s="2"/>
    </row>
    <row r="1476">
      <c r="A1476" s="2"/>
      <c r="B1476" s="8" t="str">
        <f>IFERROR(__xludf.DUMMYFUNCTION("""COMPUTED_VALUE"""),"ERFANDO RAMANDA ILHAM")</f>
        <v>ERFANDO RAMANDA ILHAM</v>
      </c>
      <c r="C1476" s="8" t="str">
        <f>IFERROR(__xludf.DUMMYFUNCTION("""COMPUTED_VALUE"""),"E0524071681")</f>
        <v>E0524071681</v>
      </c>
      <c r="D1476" s="8">
        <f>IFERROR(__xludf.DUMMYFUNCTION("""COMPUTED_VALUE"""),20.0)</f>
        <v>20</v>
      </c>
      <c r="E1476" s="2"/>
    </row>
    <row r="1477">
      <c r="A1477" s="2"/>
      <c r="B1477" s="8" t="str">
        <f>IFERROR(__xludf.DUMMYFUNCTION("""COMPUTED_VALUE"""),"WILL NATHANAEL THENALDY")</f>
        <v>WILL NATHANAEL THENALDY</v>
      </c>
      <c r="C1477" s="8" t="str">
        <f>IFERROR(__xludf.DUMMYFUNCTION("""COMPUTED_VALUE"""),"W0824076799")</f>
        <v>W0824076799</v>
      </c>
      <c r="D1477" s="8">
        <f>IFERROR(__xludf.DUMMYFUNCTION("""COMPUTED_VALUE"""),17.0)</f>
        <v>17</v>
      </c>
      <c r="E1477" s="2"/>
    </row>
    <row r="1478">
      <c r="A1478" s="2"/>
      <c r="B1478" s="8" t="str">
        <f>IFERROR(__xludf.DUMMYFUNCTION("""COMPUTED_VALUE"""),"MUHAMMAD FEBRINO")</f>
        <v>MUHAMMAD FEBRINO</v>
      </c>
      <c r="C1478" s="8" t="str">
        <f>IFERROR(__xludf.DUMMYFUNCTION("""COMPUTED_VALUE"""),"M0324070556")</f>
        <v>M0324070556</v>
      </c>
      <c r="D1478" s="8">
        <f>IFERROR(__xludf.DUMMYFUNCTION("""COMPUTED_VALUE"""),23.0)</f>
        <v>23</v>
      </c>
      <c r="E1478" s="2"/>
    </row>
    <row r="1479">
      <c r="A1479" s="2"/>
      <c r="B1479" s="8" t="str">
        <f>IFERROR(__xludf.DUMMYFUNCTION("""COMPUTED_VALUE"""),"SAFITRI RAMADHANI NOVIANA")</f>
        <v>SAFITRI RAMADHANI NOVIANA</v>
      </c>
      <c r="C1479" s="8" t="str">
        <f>IFERROR(__xludf.DUMMYFUNCTION("""COMPUTED_VALUE"""),"S0224072705")</f>
        <v>S0224072705</v>
      </c>
      <c r="D1479" s="8">
        <f>IFERROR(__xludf.DUMMYFUNCTION("""COMPUTED_VALUE"""),23.0)</f>
        <v>23</v>
      </c>
      <c r="E1479" s="2"/>
    </row>
    <row r="1480">
      <c r="A1480" s="2"/>
      <c r="B1480" s="8" t="str">
        <f>IFERROR(__xludf.DUMMYFUNCTION("""COMPUTED_VALUE"""),"OKTARIANA TRI SUSANTI")</f>
        <v>OKTARIANA TRI SUSANTI</v>
      </c>
      <c r="C1480" s="8" t="str">
        <f>IFERROR(__xludf.DUMMYFUNCTION("""COMPUTED_VALUE"""),"O0424074824")</f>
        <v>O0424074824</v>
      </c>
      <c r="D1480" s="8">
        <f>IFERROR(__xludf.DUMMYFUNCTION("""COMPUTED_VALUE"""),21.0)</f>
        <v>21</v>
      </c>
      <c r="E1480" s="2"/>
    </row>
    <row r="1481">
      <c r="A1481" s="2"/>
      <c r="B1481" s="8" t="str">
        <f>IFERROR(__xludf.DUMMYFUNCTION("""COMPUTED_VALUE"""),"ENGELIA")</f>
        <v>ENGELIA</v>
      </c>
      <c r="C1481" s="8" t="str">
        <f>IFERROR(__xludf.DUMMYFUNCTION("""COMPUTED_VALUE"""),"E0124075378")</f>
        <v>E0124075378</v>
      </c>
      <c r="D1481" s="8">
        <f>IFERROR(__xludf.DUMMYFUNCTION("""COMPUTED_VALUE"""),25.0)</f>
        <v>25</v>
      </c>
      <c r="E1481" s="2"/>
    </row>
    <row r="1482">
      <c r="A1482" s="2"/>
      <c r="B1482" s="8" t="str">
        <f>IFERROR(__xludf.DUMMYFUNCTION("""COMPUTED_VALUE"""),"PAULINA ROSALIA")</f>
        <v>PAULINA ROSALIA</v>
      </c>
      <c r="C1482" s="8" t="str">
        <f>IFERROR(__xludf.DUMMYFUNCTION("""COMPUTED_VALUE"""),"P7224074888")</f>
        <v>P7224074888</v>
      </c>
      <c r="D1482" s="8">
        <f>IFERROR(__xludf.DUMMYFUNCTION("""COMPUTED_VALUE"""),53.0)</f>
        <v>53</v>
      </c>
      <c r="E1482" s="2"/>
    </row>
    <row r="1483">
      <c r="A1483" s="2"/>
      <c r="B1483" s="8" t="str">
        <f>IFERROR(__xludf.DUMMYFUNCTION("""COMPUTED_VALUE"""),"ELVIN NAMORA RAJA PASARIBU")</f>
        <v>ELVIN NAMORA RAJA PASARIBU</v>
      </c>
      <c r="C1483" s="8" t="str">
        <f>IFERROR(__xludf.DUMMYFUNCTION("""COMPUTED_VALUE"""),"E0724076970")</f>
        <v>E0724076970</v>
      </c>
      <c r="D1483" s="8">
        <f>IFERROR(__xludf.DUMMYFUNCTION("""COMPUTED_VALUE"""),19.0)</f>
        <v>19</v>
      </c>
      <c r="E1483" s="2"/>
    </row>
    <row r="1484">
      <c r="A1484" s="2"/>
      <c r="B1484" s="8" t="str">
        <f>IFERROR(__xludf.DUMMYFUNCTION("""COMPUTED_VALUE"""),"AMALYA SUCI WIDHIAMURTI")</f>
        <v>AMALYA SUCI WIDHIAMURTI</v>
      </c>
      <c r="C1484" s="8" t="str">
        <f>IFERROR(__xludf.DUMMYFUNCTION("""COMPUTED_VALUE"""),"A9624077408")</f>
        <v>A9624077408</v>
      </c>
      <c r="D1484" s="8">
        <f>IFERROR(__xludf.DUMMYFUNCTION("""COMPUTED_VALUE"""),30.0)</f>
        <v>30</v>
      </c>
      <c r="E1484" s="2"/>
    </row>
    <row r="1485">
      <c r="A1485" s="2"/>
      <c r="B1485" s="8" t="str">
        <f>IFERROR(__xludf.DUMMYFUNCTION("""COMPUTED_VALUE"""),"PANJI AKBAR")</f>
        <v>PANJI AKBAR</v>
      </c>
      <c r="C1485" s="8" t="str">
        <f>IFERROR(__xludf.DUMMYFUNCTION("""COMPUTED_VALUE"""),"P7924078118")</f>
        <v>P7924078118</v>
      </c>
      <c r="D1485" s="8">
        <f>IFERROR(__xludf.DUMMYFUNCTION("""COMPUTED_VALUE"""),46.0)</f>
        <v>46</v>
      </c>
      <c r="E1485" s="2"/>
    </row>
    <row r="1486">
      <c r="A1486" s="2"/>
      <c r="B1486" s="8" t="str">
        <f>IFERROR(__xludf.DUMMYFUNCTION("""COMPUTED_VALUE"""),"ABANG SUGANDI")</f>
        <v>ABANG SUGANDI</v>
      </c>
      <c r="C1486" s="8" t="str">
        <f>IFERROR(__xludf.DUMMYFUNCTION("""COMPUTED_VALUE"""),"A9424078319")</f>
        <v>A9424078319</v>
      </c>
      <c r="D1486" s="8">
        <f>IFERROR(__xludf.DUMMYFUNCTION("""COMPUTED_VALUE"""),32.0)</f>
        <v>32</v>
      </c>
      <c r="E1486" s="2"/>
    </row>
    <row r="1487">
      <c r="A1487" s="2"/>
      <c r="B1487" s="8" t="str">
        <f>IFERROR(__xludf.DUMMYFUNCTION("""COMPUTED_VALUE"""),"FATHIR MUHAMMAD ADIAMIN")</f>
        <v>FATHIR MUHAMMAD ADIAMIN</v>
      </c>
      <c r="C1487" s="8" t="str">
        <f>IFERROR(__xludf.DUMMYFUNCTION("""COMPUTED_VALUE"""),"F0724077441")</f>
        <v>F0724077441</v>
      </c>
      <c r="D1487" s="8">
        <f>IFERROR(__xludf.DUMMYFUNCTION("""COMPUTED_VALUE"""),19.0)</f>
        <v>19</v>
      </c>
      <c r="E1487" s="2"/>
    </row>
    <row r="1488">
      <c r="A1488" s="2"/>
      <c r="B1488" s="8" t="str">
        <f>IFERROR(__xludf.DUMMYFUNCTION("""COMPUTED_VALUE"""),"REZA LUQMAN FATHONI")</f>
        <v>REZA LUQMAN FATHONI</v>
      </c>
      <c r="C1488" s="8" t="str">
        <f>IFERROR(__xludf.DUMMYFUNCTION("""COMPUTED_VALUE"""),"R9424073598")</f>
        <v>R9424073598</v>
      </c>
      <c r="D1488" s="8">
        <f>IFERROR(__xludf.DUMMYFUNCTION("""COMPUTED_VALUE"""),32.0)</f>
        <v>32</v>
      </c>
      <c r="E1488" s="2"/>
    </row>
    <row r="1489">
      <c r="A1489" s="2"/>
      <c r="B1489" s="8" t="str">
        <f>IFERROR(__xludf.DUMMYFUNCTION("""COMPUTED_VALUE"""),"DIFRA HAIRULLAH")</f>
        <v>DIFRA HAIRULLAH</v>
      </c>
      <c r="C1489" s="8" t="str">
        <f>IFERROR(__xludf.DUMMYFUNCTION("""COMPUTED_VALUE"""),"D0724073753")</f>
        <v>D0724073753</v>
      </c>
      <c r="D1489" s="8">
        <f>IFERROR(__xludf.DUMMYFUNCTION("""COMPUTED_VALUE"""),19.0)</f>
        <v>19</v>
      </c>
      <c r="E1489" s="2"/>
    </row>
    <row r="1490">
      <c r="A1490" s="2"/>
      <c r="B1490" s="8" t="str">
        <f>IFERROR(__xludf.DUMMYFUNCTION("""COMPUTED_VALUE"""),"FERDY")</f>
        <v>FERDY</v>
      </c>
      <c r="C1490" s="8" t="str">
        <f>IFERROR(__xludf.DUMMYFUNCTION("""COMPUTED_VALUE"""),"F9224078140")</f>
        <v>F9224078140</v>
      </c>
      <c r="D1490" s="8">
        <f>IFERROR(__xludf.DUMMYFUNCTION("""COMPUTED_VALUE"""),34.0)</f>
        <v>34</v>
      </c>
      <c r="E1490" s="2"/>
    </row>
    <row r="1491">
      <c r="A1491" s="2"/>
      <c r="B1491" s="8" t="str">
        <f>IFERROR(__xludf.DUMMYFUNCTION("""COMPUTED_VALUE"""),"DRA. HJ. MARHAENY SUCIATIN, M.MPD")</f>
        <v>DRA. HJ. MARHAENY SUCIATIN, M.MPD</v>
      </c>
      <c r="C1491" s="8" t="str">
        <f>IFERROR(__xludf.DUMMYFUNCTION("""COMPUTED_VALUE"""),"D6024074266")</f>
        <v>D6024074266</v>
      </c>
      <c r="D1491" s="8">
        <f>IFERROR(__xludf.DUMMYFUNCTION("""COMPUTED_VALUE"""),65.0)</f>
        <v>65</v>
      </c>
      <c r="E1491" s="2"/>
    </row>
    <row r="1492">
      <c r="A1492" s="2"/>
      <c r="B1492" s="8" t="str">
        <f>IFERROR(__xludf.DUMMYFUNCTION("""COMPUTED_VALUE"""),"DAFFA DZAKY ALMAIR")</f>
        <v>DAFFA DZAKY ALMAIR</v>
      </c>
      <c r="C1492" s="8" t="str">
        <f>IFERROR(__xludf.DUMMYFUNCTION("""COMPUTED_VALUE"""),"D1424075222")</f>
        <v>D1424075222</v>
      </c>
      <c r="D1492" s="8">
        <f>IFERROR(__xludf.DUMMYFUNCTION("""COMPUTED_VALUE"""),12.0)</f>
        <v>12</v>
      </c>
      <c r="E1492" s="2"/>
    </row>
    <row r="1493">
      <c r="A1493" s="2"/>
      <c r="B1493" s="8" t="str">
        <f>IFERROR(__xludf.DUMMYFUNCTION("""COMPUTED_VALUE"""),"YA’YALATAMA IZMAYANA")</f>
        <v>YA’YALATAMA IZMAYANA</v>
      </c>
      <c r="C1493" s="8" t="str">
        <f>IFERROR(__xludf.DUMMYFUNCTION("""COMPUTED_VALUE"""),"Y0124071611")</f>
        <v>Y0124071611</v>
      </c>
      <c r="D1493" s="8">
        <f>IFERROR(__xludf.DUMMYFUNCTION("""COMPUTED_VALUE"""),25.0)</f>
        <v>25</v>
      </c>
      <c r="E1493" s="2"/>
    </row>
    <row r="1494">
      <c r="A1494" s="2"/>
      <c r="B1494" s="8" t="str">
        <f>IFERROR(__xludf.DUMMYFUNCTION("""COMPUTED_VALUE"""),"MUHAMMAD SODIQ")</f>
        <v>MUHAMMAD SODIQ</v>
      </c>
      <c r="C1494" s="8" t="str">
        <f>IFERROR(__xludf.DUMMYFUNCTION("""COMPUTED_VALUE"""),"M0124075599")</f>
        <v>M0124075599</v>
      </c>
      <c r="D1494" s="8">
        <f>IFERROR(__xludf.DUMMYFUNCTION("""COMPUTED_VALUE"""),25.0)</f>
        <v>25</v>
      </c>
      <c r="E1494" s="2"/>
    </row>
    <row r="1495">
      <c r="A1495" s="2"/>
      <c r="B1495" s="8" t="str">
        <f>IFERROR(__xludf.DUMMYFUNCTION("""COMPUTED_VALUE"""),"RULIAN")</f>
        <v>RULIAN</v>
      </c>
      <c r="C1495" s="8" t="str">
        <f>IFERROR(__xludf.DUMMYFUNCTION("""COMPUTED_VALUE"""),"R9324072383")</f>
        <v>R9324072383</v>
      </c>
      <c r="D1495" s="8">
        <f>IFERROR(__xludf.DUMMYFUNCTION("""COMPUTED_VALUE"""),33.0)</f>
        <v>33</v>
      </c>
      <c r="E1495" s="2"/>
    </row>
    <row r="1496">
      <c r="A1496" s="2"/>
      <c r="B1496" s="8" t="str">
        <f>IFERROR(__xludf.DUMMYFUNCTION("""COMPUTED_VALUE"""),"UTIN NURBAITY")</f>
        <v>UTIN NURBAITY</v>
      </c>
      <c r="C1496" s="8" t="str">
        <f>IFERROR(__xludf.DUMMYFUNCTION("""COMPUTED_VALUE"""),"U7724077949")</f>
        <v>U7724077949</v>
      </c>
      <c r="D1496" s="8">
        <f>IFERROR(__xludf.DUMMYFUNCTION("""COMPUTED_VALUE"""),49.0)</f>
        <v>49</v>
      </c>
      <c r="E1496" s="2"/>
    </row>
    <row r="1497">
      <c r="A1497" s="2"/>
      <c r="B1497" s="8" t="str">
        <f>IFERROR(__xludf.DUMMYFUNCTION("""COMPUTED_VALUE"""),"DEMI AKHIRIL SULBI MUHARRAMWATI")</f>
        <v>DEMI AKHIRIL SULBI MUHARRAMWATI</v>
      </c>
      <c r="C1497" s="8" t="str">
        <f>IFERROR(__xludf.DUMMYFUNCTION("""COMPUTED_VALUE"""),"D7724075563")</f>
        <v>D7724075563</v>
      </c>
      <c r="D1497" s="8">
        <f>IFERROR(__xludf.DUMMYFUNCTION("""COMPUTED_VALUE"""),48.0)</f>
        <v>48</v>
      </c>
      <c r="E1497" s="2"/>
    </row>
    <row r="1498">
      <c r="A1498" s="2"/>
      <c r="B1498" s="8" t="str">
        <f>IFERROR(__xludf.DUMMYFUNCTION("""COMPUTED_VALUE"""),"MUHAMAD AGUS KURNIAWAN")</f>
        <v>MUHAMAD AGUS KURNIAWAN</v>
      </c>
      <c r="C1498" s="8" t="str">
        <f>IFERROR(__xludf.DUMMYFUNCTION("""COMPUTED_VALUE"""),"M9824078882")</f>
        <v>M9824078882</v>
      </c>
      <c r="D1498" s="8">
        <f>IFERROR(__xludf.DUMMYFUNCTION("""COMPUTED_VALUE"""),27.0)</f>
        <v>27</v>
      </c>
      <c r="E1498" s="2"/>
    </row>
    <row r="1499">
      <c r="A1499" s="2"/>
      <c r="B1499" s="8" t="str">
        <f>IFERROR(__xludf.DUMMYFUNCTION("""COMPUTED_VALUE"""),"GUNTUR SISWONO")</f>
        <v>GUNTUR SISWONO</v>
      </c>
      <c r="C1499" s="8" t="str">
        <f>IFERROR(__xludf.DUMMYFUNCTION("""COMPUTED_VALUE"""),"G8324070999")</f>
        <v>G8324070999</v>
      </c>
      <c r="D1499" s="8">
        <f>IFERROR(__xludf.DUMMYFUNCTION("""COMPUTED_VALUE"""),43.0)</f>
        <v>43</v>
      </c>
      <c r="E1499" s="2"/>
    </row>
    <row r="1500">
      <c r="A1500" s="2"/>
      <c r="B1500" s="8" t="str">
        <f>IFERROR(__xludf.DUMMYFUNCTION("""COMPUTED_VALUE"""),"ANGELIA TANSURI")</f>
        <v>ANGELIA TANSURI</v>
      </c>
      <c r="C1500" s="8" t="str">
        <f>IFERROR(__xludf.DUMMYFUNCTION("""COMPUTED_VALUE"""),"A9824075140")</f>
        <v>A9824075140</v>
      </c>
      <c r="D1500" s="8">
        <f>IFERROR(__xludf.DUMMYFUNCTION("""COMPUTED_VALUE"""),28.0)</f>
        <v>28</v>
      </c>
      <c r="E1500" s="2"/>
    </row>
    <row r="1501">
      <c r="A1501" s="2"/>
      <c r="B1501" s="8" t="str">
        <f>IFERROR(__xludf.DUMMYFUNCTION("""COMPUTED_VALUE"""),"ERICTHIAMDY")</f>
        <v>ERICTHIAMDY</v>
      </c>
      <c r="C1501" s="8" t="str">
        <f>IFERROR(__xludf.DUMMYFUNCTION("""COMPUTED_VALUE"""),"E9524072177")</f>
        <v>E9524072177</v>
      </c>
      <c r="D1501" s="8">
        <f>IFERROR(__xludf.DUMMYFUNCTION("""COMPUTED_VALUE"""),31.0)</f>
        <v>31</v>
      </c>
      <c r="E1501" s="2"/>
    </row>
    <row r="1502">
      <c r="A1502" s="2"/>
      <c r="B1502" s="8" t="str">
        <f>IFERROR(__xludf.DUMMYFUNCTION("""COMPUTED_VALUE"""),"WILLIAM SIMAN")</f>
        <v>WILLIAM SIMAN</v>
      </c>
      <c r="C1502" s="8" t="str">
        <f>IFERROR(__xludf.DUMMYFUNCTION("""COMPUTED_VALUE"""),"W9924070563")</f>
        <v>W9924070563</v>
      </c>
      <c r="D1502" s="8">
        <f>IFERROR(__xludf.DUMMYFUNCTION("""COMPUTED_VALUE"""),26.0)</f>
        <v>26</v>
      </c>
      <c r="E1502" s="2"/>
    </row>
    <row r="1503">
      <c r="A1503" s="2"/>
      <c r="B1503" s="8" t="str">
        <f>IFERROR(__xludf.DUMMYFUNCTION("""COMPUTED_VALUE"""),"PRASETYO PANJI ANGGONO")</f>
        <v>PRASETYO PANJI ANGGONO</v>
      </c>
      <c r="C1503" s="8" t="str">
        <f>IFERROR(__xludf.DUMMYFUNCTION("""COMPUTED_VALUE"""),"P9024075511")</f>
        <v>P9024075511</v>
      </c>
      <c r="D1503" s="8">
        <f>IFERROR(__xludf.DUMMYFUNCTION("""COMPUTED_VALUE"""),35.0)</f>
        <v>35</v>
      </c>
      <c r="E1503" s="2"/>
    </row>
    <row r="1504">
      <c r="A1504" s="2"/>
      <c r="B1504" s="8" t="str">
        <f>IFERROR(__xludf.DUMMYFUNCTION("""COMPUTED_VALUE"""),"FAHRURROZI NURAHIM")</f>
        <v>FAHRURROZI NURAHIM</v>
      </c>
      <c r="C1504" s="8" t="str">
        <f>IFERROR(__xludf.DUMMYFUNCTION("""COMPUTED_VALUE"""),"F0224072778")</f>
        <v>F0224072778</v>
      </c>
      <c r="D1504" s="8">
        <f>IFERROR(__xludf.DUMMYFUNCTION("""COMPUTED_VALUE"""),24.0)</f>
        <v>24</v>
      </c>
      <c r="E1504" s="2"/>
    </row>
    <row r="1505">
      <c r="A1505" s="2"/>
      <c r="B1505" s="8" t="str">
        <f>IFERROR(__xludf.DUMMYFUNCTION("""COMPUTED_VALUE"""),"ADE APRIYANSYAH")</f>
        <v>ADE APRIYANSYAH</v>
      </c>
      <c r="C1505" s="8" t="str">
        <f>IFERROR(__xludf.DUMMYFUNCTION("""COMPUTED_VALUE"""),"A9324074330")</f>
        <v>A9324074330</v>
      </c>
      <c r="D1505" s="8">
        <f>IFERROR(__xludf.DUMMYFUNCTION("""COMPUTED_VALUE"""),33.0)</f>
        <v>33</v>
      </c>
      <c r="E1505" s="2"/>
    </row>
    <row r="1506">
      <c r="A1506" s="2"/>
      <c r="B1506" s="8" t="str">
        <f>IFERROR(__xludf.DUMMYFUNCTION("""COMPUTED_VALUE"""),"MARYANA")</f>
        <v>MARYANA</v>
      </c>
      <c r="C1506" s="8" t="str">
        <f>IFERROR(__xludf.DUMMYFUNCTION("""COMPUTED_VALUE"""),"M6924078913")</f>
        <v>M6924078913</v>
      </c>
      <c r="D1506" s="8">
        <f>IFERROR(__xludf.DUMMYFUNCTION("""COMPUTED_VALUE"""),56.0)</f>
        <v>56</v>
      </c>
      <c r="E1506" s="2"/>
    </row>
    <row r="1507">
      <c r="A1507" s="2"/>
      <c r="B1507" s="8" t="str">
        <f>IFERROR(__xludf.DUMMYFUNCTION("""COMPUTED_VALUE"""),"ALFREDO JHON KENZO")</f>
        <v>ALFREDO JHON KENZO</v>
      </c>
      <c r="C1507" s="8" t="str">
        <f>IFERROR(__xludf.DUMMYFUNCTION("""COMPUTED_VALUE"""),"A0924072172")</f>
        <v>A0924072172</v>
      </c>
      <c r="D1507" s="8">
        <f>IFERROR(__xludf.DUMMYFUNCTION("""COMPUTED_VALUE"""),17.0)</f>
        <v>17</v>
      </c>
      <c r="E1507" s="2"/>
    </row>
    <row r="1508">
      <c r="A1508" s="2"/>
      <c r="B1508" s="8" t="str">
        <f>IFERROR(__xludf.DUMMYFUNCTION("""COMPUTED_VALUE"""),"ALI IBRAHIM")</f>
        <v>ALI IBRAHIM</v>
      </c>
      <c r="C1508" s="8" t="str">
        <f>IFERROR(__xludf.DUMMYFUNCTION("""COMPUTED_VALUE"""),"A9424070374")</f>
        <v>A9424070374</v>
      </c>
      <c r="D1508" s="8">
        <f>IFERROR(__xludf.DUMMYFUNCTION("""COMPUTED_VALUE"""),31.0)</f>
        <v>31</v>
      </c>
      <c r="E1508" s="2"/>
    </row>
    <row r="1509">
      <c r="A1509" s="2"/>
      <c r="B1509" s="8" t="str">
        <f>IFERROR(__xludf.DUMMYFUNCTION("""COMPUTED_VALUE"""),"KIERA PRANATA")</f>
        <v>KIERA PRANATA</v>
      </c>
      <c r="C1509" s="8" t="str">
        <f>IFERROR(__xludf.DUMMYFUNCTION("""COMPUTED_VALUE"""),"K1224078129")</f>
        <v>K1224078129</v>
      </c>
      <c r="D1509" s="8">
        <f>IFERROR(__xludf.DUMMYFUNCTION("""COMPUTED_VALUE"""),14.0)</f>
        <v>14</v>
      </c>
      <c r="E1509" s="2"/>
    </row>
    <row r="1510">
      <c r="A1510" s="2"/>
      <c r="B1510" s="8" t="str">
        <f>IFERROR(__xludf.DUMMYFUNCTION("""COMPUTED_VALUE"""),"DITTA KRISJAYANTI")</f>
        <v>DITTA KRISJAYANTI</v>
      </c>
      <c r="C1510" s="8" t="str">
        <f>IFERROR(__xludf.DUMMYFUNCTION("""COMPUTED_VALUE"""),"D9524071864")</f>
        <v>D9524071864</v>
      </c>
      <c r="D1510" s="8">
        <f>IFERROR(__xludf.DUMMYFUNCTION("""COMPUTED_VALUE"""),31.0)</f>
        <v>31</v>
      </c>
      <c r="E1510" s="2"/>
    </row>
    <row r="1511">
      <c r="A1511" s="2"/>
      <c r="B1511" s="8" t="str">
        <f>IFERROR(__xludf.DUMMYFUNCTION("""COMPUTED_VALUE"""),"WAHYUDI SRIDADI")</f>
        <v>WAHYUDI SRIDADI</v>
      </c>
      <c r="C1511" s="8" t="str">
        <f>IFERROR(__xludf.DUMMYFUNCTION("""COMPUTED_VALUE"""),"W8024079678")</f>
        <v>W8024079678</v>
      </c>
      <c r="D1511" s="8">
        <f>IFERROR(__xludf.DUMMYFUNCTION("""COMPUTED_VALUE"""),46.0)</f>
        <v>46</v>
      </c>
      <c r="E1511" s="2"/>
    </row>
    <row r="1512">
      <c r="A1512" s="2"/>
      <c r="B1512" s="8" t="str">
        <f>IFERROR(__xludf.DUMMYFUNCTION("""COMPUTED_VALUE"""),"TANTRI HIDAYAH NINGTYAS")</f>
        <v>TANTRI HIDAYAH NINGTYAS</v>
      </c>
      <c r="C1512" s="8" t="str">
        <f>IFERROR(__xludf.DUMMYFUNCTION("""COMPUTED_VALUE"""),"T0624073059")</f>
        <v>T0624073059</v>
      </c>
      <c r="D1512" s="8">
        <f>IFERROR(__xludf.DUMMYFUNCTION("""COMPUTED_VALUE"""),19.0)</f>
        <v>19</v>
      </c>
      <c r="E1512" s="2"/>
    </row>
    <row r="1513">
      <c r="A1513" s="2"/>
      <c r="B1513" s="8" t="str">
        <f>IFERROR(__xludf.DUMMYFUNCTION("""COMPUTED_VALUE"""),"AMANDA YANASARI UTAMI")</f>
        <v>AMANDA YANASARI UTAMI</v>
      </c>
      <c r="C1513" s="8" t="str">
        <f>IFERROR(__xludf.DUMMYFUNCTION("""COMPUTED_VALUE"""),"A0224072092")</f>
        <v>A0224072092</v>
      </c>
      <c r="D1513" s="8">
        <f>IFERROR(__xludf.DUMMYFUNCTION("""COMPUTED_VALUE"""),23.0)</f>
        <v>23</v>
      </c>
      <c r="E1513" s="2"/>
    </row>
    <row r="1514">
      <c r="A1514" s="2"/>
      <c r="B1514" s="8" t="str">
        <f>IFERROR(__xludf.DUMMYFUNCTION("""COMPUTED_VALUE"""),"ABANG ARI TRI DARMAWAN")</f>
        <v>ABANG ARI TRI DARMAWAN</v>
      </c>
      <c r="C1514" s="8" t="str">
        <f>IFERROR(__xludf.DUMMYFUNCTION("""COMPUTED_VALUE"""),"A0224072527")</f>
        <v>A0224072527</v>
      </c>
      <c r="D1514" s="8">
        <f>IFERROR(__xludf.DUMMYFUNCTION("""COMPUTED_VALUE"""),23.0)</f>
        <v>23</v>
      </c>
      <c r="E1514" s="2"/>
    </row>
    <row r="1515">
      <c r="A1515" s="2"/>
      <c r="B1515" s="8" t="str">
        <f>IFERROR(__xludf.DUMMYFUNCTION("""COMPUTED_VALUE"""),"DOMINIKUS SAVIO JANIEL")</f>
        <v>DOMINIKUS SAVIO JANIEL</v>
      </c>
      <c r="C1515" s="8" t="str">
        <f>IFERROR(__xludf.DUMMYFUNCTION("""COMPUTED_VALUE"""),"D0524078570")</f>
        <v>D0524078570</v>
      </c>
      <c r="D1515" s="8">
        <f>IFERROR(__xludf.DUMMYFUNCTION("""COMPUTED_VALUE"""),21.0)</f>
        <v>21</v>
      </c>
      <c r="E1515" s="2"/>
    </row>
    <row r="1516">
      <c r="A1516" s="2"/>
      <c r="B1516" s="8" t="str">
        <f>IFERROR(__xludf.DUMMYFUNCTION("""COMPUTED_VALUE"""),"SARIJAN")</f>
        <v>SARIJAN</v>
      </c>
      <c r="C1516" s="8" t="str">
        <f>IFERROR(__xludf.DUMMYFUNCTION("""COMPUTED_VALUE"""),"S6324071456")</f>
        <v>S6324071456</v>
      </c>
      <c r="D1516" s="8">
        <f>IFERROR(__xludf.DUMMYFUNCTION("""COMPUTED_VALUE"""),63.0)</f>
        <v>63</v>
      </c>
      <c r="E1516" s="2"/>
    </row>
    <row r="1517">
      <c r="A1517" s="2"/>
      <c r="B1517" s="8" t="str">
        <f>IFERROR(__xludf.DUMMYFUNCTION("""COMPUTED_VALUE"""),"HAMDAN KURNIAWAN")</f>
        <v>HAMDAN KURNIAWAN</v>
      </c>
      <c r="C1517" s="8" t="str">
        <f>IFERROR(__xludf.DUMMYFUNCTION("""COMPUTED_VALUE"""),"H9024077488")</f>
        <v>H9024077488</v>
      </c>
      <c r="D1517" s="8">
        <f>IFERROR(__xludf.DUMMYFUNCTION("""COMPUTED_VALUE"""),36.0)</f>
        <v>36</v>
      </c>
      <c r="E1517" s="2"/>
    </row>
    <row r="1518">
      <c r="A1518" s="2"/>
      <c r="B1518" s="8" t="str">
        <f>IFERROR(__xludf.DUMMYFUNCTION("""COMPUTED_VALUE"""),"DIMAS IBNU HAZAR")</f>
        <v>DIMAS IBNU HAZAR</v>
      </c>
      <c r="C1518" s="8" t="str">
        <f>IFERROR(__xludf.DUMMYFUNCTION("""COMPUTED_VALUE"""),"D0024071908")</f>
        <v>D0024071908</v>
      </c>
      <c r="D1518" s="8">
        <f>IFERROR(__xludf.DUMMYFUNCTION("""COMPUTED_VALUE"""),25.0)</f>
        <v>25</v>
      </c>
      <c r="E1518" s="2"/>
    </row>
    <row r="1519">
      <c r="A1519" s="2"/>
      <c r="B1519" s="8" t="str">
        <f>IFERROR(__xludf.DUMMYFUNCTION("""COMPUTED_VALUE"""),"JACKLYN")</f>
        <v>JACKLYN</v>
      </c>
      <c r="C1519" s="8" t="str">
        <f>IFERROR(__xludf.DUMMYFUNCTION("""COMPUTED_VALUE"""),"J0724070909")</f>
        <v>J0724070909</v>
      </c>
      <c r="D1519" s="8">
        <f>IFERROR(__xludf.DUMMYFUNCTION("""COMPUTED_VALUE"""),19.0)</f>
        <v>19</v>
      </c>
      <c r="E1519" s="2"/>
    </row>
    <row r="1520">
      <c r="A1520" s="2"/>
      <c r="B1520" s="8" t="str">
        <f>IFERROR(__xludf.DUMMYFUNCTION("""COMPUTED_VALUE"""),"FITRIANA LATHIFAH")</f>
        <v>FITRIANA LATHIFAH</v>
      </c>
      <c r="C1520" s="8" t="str">
        <f>IFERROR(__xludf.DUMMYFUNCTION("""COMPUTED_VALUE"""),"F9324074539")</f>
        <v>F9324074539</v>
      </c>
      <c r="D1520" s="8">
        <f>IFERROR(__xludf.DUMMYFUNCTION("""COMPUTED_VALUE"""),32.0)</f>
        <v>32</v>
      </c>
      <c r="E1520" s="2"/>
    </row>
    <row r="1521">
      <c r="A1521" s="2"/>
      <c r="B1521" s="8" t="str">
        <f>IFERROR(__xludf.DUMMYFUNCTION("""COMPUTED_VALUE"""),"RAHAYU MARIA")</f>
        <v>RAHAYU MARIA</v>
      </c>
      <c r="C1521" s="8" t="str">
        <f>IFERROR(__xludf.DUMMYFUNCTION("""COMPUTED_VALUE"""),"R9524072395")</f>
        <v>R9524072395</v>
      </c>
      <c r="D1521" s="8">
        <f>IFERROR(__xludf.DUMMYFUNCTION("""COMPUTED_VALUE"""),30.0)</f>
        <v>30</v>
      </c>
      <c r="E1521" s="2"/>
    </row>
    <row r="1522">
      <c r="A1522" s="2"/>
      <c r="B1522" s="8" t="str">
        <f>IFERROR(__xludf.DUMMYFUNCTION("""COMPUTED_VALUE"""),"ELISKA NATALIA")</f>
        <v>ELISKA NATALIA</v>
      </c>
      <c r="C1522" s="8" t="str">
        <f>IFERROR(__xludf.DUMMYFUNCTION("""COMPUTED_VALUE"""),"E9524076996")</f>
        <v>E9524076996</v>
      </c>
      <c r="D1522" s="8">
        <f>IFERROR(__xludf.DUMMYFUNCTION("""COMPUTED_VALUE"""),30.0)</f>
        <v>30</v>
      </c>
      <c r="E1522" s="2"/>
    </row>
    <row r="1523">
      <c r="A1523" s="2"/>
      <c r="B1523" s="8" t="str">
        <f>IFERROR(__xludf.DUMMYFUNCTION("""COMPUTED_VALUE"""),"SELVI LOSIANA")</f>
        <v>SELVI LOSIANA</v>
      </c>
      <c r="C1523" s="8" t="str">
        <f>IFERROR(__xludf.DUMMYFUNCTION("""COMPUTED_VALUE"""),"S9524070417")</f>
        <v>S9524070417</v>
      </c>
      <c r="D1523" s="8">
        <f>IFERROR(__xludf.DUMMYFUNCTION("""COMPUTED_VALUE"""),31.0)</f>
        <v>31</v>
      </c>
      <c r="E1523" s="2"/>
    </row>
    <row r="1524">
      <c r="A1524" s="2"/>
      <c r="B1524" s="8" t="str">
        <f>IFERROR(__xludf.DUMMYFUNCTION("""COMPUTED_VALUE"""),"SURIANSYAH")</f>
        <v>SURIANSYAH</v>
      </c>
      <c r="C1524" s="8" t="str">
        <f>IFERROR(__xludf.DUMMYFUNCTION("""COMPUTED_VALUE"""),"S8424076006")</f>
        <v>S8424076006</v>
      </c>
      <c r="D1524" s="8">
        <f>IFERROR(__xludf.DUMMYFUNCTION("""COMPUTED_VALUE"""),41.0)</f>
        <v>41</v>
      </c>
      <c r="E1524" s="2"/>
    </row>
    <row r="1525">
      <c r="A1525" s="2"/>
      <c r="B1525" s="8" t="str">
        <f>IFERROR(__xludf.DUMMYFUNCTION("""COMPUTED_VALUE"""),"ENGKUS KUSNADI")</f>
        <v>ENGKUS KUSNADI</v>
      </c>
      <c r="C1525" s="8" t="str">
        <f>IFERROR(__xludf.DUMMYFUNCTION("""COMPUTED_VALUE"""),"E7124073212")</f>
        <v>E7124073212</v>
      </c>
      <c r="D1525" s="8">
        <f>IFERROR(__xludf.DUMMYFUNCTION("""COMPUTED_VALUE"""),54.0)</f>
        <v>54</v>
      </c>
      <c r="E1525" s="2"/>
    </row>
    <row r="1526">
      <c r="A1526" s="2"/>
      <c r="B1526" s="8" t="str">
        <f>IFERROR(__xludf.DUMMYFUNCTION("""COMPUTED_VALUE"""),"HAFIDZAKY HAYKAL")</f>
        <v>HAFIDZAKY HAYKAL</v>
      </c>
      <c r="C1526" s="8" t="str">
        <f>IFERROR(__xludf.DUMMYFUNCTION("""COMPUTED_VALUE"""),"H1124079019")</f>
        <v>H1124079019</v>
      </c>
      <c r="D1526" s="8">
        <f>IFERROR(__xludf.DUMMYFUNCTION("""COMPUTED_VALUE"""),14.0)</f>
        <v>14</v>
      </c>
      <c r="E1526" s="2"/>
    </row>
    <row r="1527">
      <c r="A1527" s="2"/>
      <c r="B1527" s="8" t="str">
        <f>IFERROR(__xludf.DUMMYFUNCTION("""COMPUTED_VALUE"""),"RESTU RAGYL HARIYANTO")</f>
        <v>RESTU RAGYL HARIYANTO</v>
      </c>
      <c r="C1527" s="8" t="str">
        <f>IFERROR(__xludf.DUMMYFUNCTION("""COMPUTED_VALUE"""),"R0124077723")</f>
        <v>R0124077723</v>
      </c>
      <c r="D1527" s="8">
        <f>IFERROR(__xludf.DUMMYFUNCTION("""COMPUTED_VALUE"""),25.0)</f>
        <v>25</v>
      </c>
      <c r="E1527" s="2"/>
    </row>
    <row r="1528">
      <c r="A1528" s="2"/>
      <c r="B1528" s="8" t="str">
        <f>IFERROR(__xludf.DUMMYFUNCTION("""COMPUTED_VALUE"""),"DHAIFULLAH IRFAN HAFIZH")</f>
        <v>DHAIFULLAH IRFAN HAFIZH</v>
      </c>
      <c r="C1528" s="8" t="str">
        <f>IFERROR(__xludf.DUMMYFUNCTION("""COMPUTED_VALUE"""),"D0924079294")</f>
        <v>D0924079294</v>
      </c>
      <c r="D1528" s="8">
        <f>IFERROR(__xludf.DUMMYFUNCTION("""COMPUTED_VALUE"""),17.0)</f>
        <v>17</v>
      </c>
      <c r="E1528" s="2"/>
    </row>
    <row r="1529">
      <c r="A1529" s="2"/>
      <c r="B1529" s="8" t="str">
        <f>IFERROR(__xludf.DUMMYFUNCTION("""COMPUTED_VALUE"""),"ABDIAS ANDESTA LASENO KAGAUK")</f>
        <v>ABDIAS ANDESTA LASENO KAGAUK</v>
      </c>
      <c r="C1529" s="8" t="str">
        <f>IFERROR(__xludf.DUMMYFUNCTION("""COMPUTED_VALUE"""),"A9624079070")</f>
        <v>A9624079070</v>
      </c>
      <c r="D1529" s="8">
        <f>IFERROR(__xludf.DUMMYFUNCTION("""COMPUTED_VALUE"""),29.0)</f>
        <v>29</v>
      </c>
      <c r="E1529" s="2"/>
    </row>
    <row r="1530">
      <c r="A1530" s="2"/>
      <c r="B1530" s="8" t="str">
        <f>IFERROR(__xludf.DUMMYFUNCTION("""COMPUTED_VALUE"""),"GALIH NOFRIO NANDA")</f>
        <v>GALIH NOFRIO NANDA</v>
      </c>
      <c r="C1530" s="8" t="str">
        <f>IFERROR(__xludf.DUMMYFUNCTION("""COMPUTED_VALUE"""),"G8424078873")</f>
        <v>G8424078873</v>
      </c>
      <c r="D1530" s="8">
        <f>IFERROR(__xludf.DUMMYFUNCTION("""COMPUTED_VALUE"""),41.0)</f>
        <v>41</v>
      </c>
      <c r="E1530" s="2"/>
    </row>
    <row r="1531">
      <c r="A1531" s="2"/>
      <c r="B1531" s="8" t="str">
        <f>IFERROR(__xludf.DUMMYFUNCTION("""COMPUTED_VALUE"""),"GUNAWAN")</f>
        <v>GUNAWAN</v>
      </c>
      <c r="C1531" s="8" t="str">
        <f>IFERROR(__xludf.DUMMYFUNCTION("""COMPUTED_VALUE"""),"G5724071605")</f>
        <v>G5724071605</v>
      </c>
      <c r="D1531" s="8">
        <f>IFERROR(__xludf.DUMMYFUNCTION("""COMPUTED_VALUE"""),69.0)</f>
        <v>69</v>
      </c>
      <c r="E1531" s="2"/>
    </row>
    <row r="1532">
      <c r="A1532" s="2"/>
      <c r="B1532" s="8" t="str">
        <f>IFERROR(__xludf.DUMMYFUNCTION("""COMPUTED_VALUE"""),"SARIMIN")</f>
        <v>SARIMIN</v>
      </c>
      <c r="C1532" s="8" t="str">
        <f>IFERROR(__xludf.DUMMYFUNCTION("""COMPUTED_VALUE"""),"S5024073330")</f>
        <v>S5024073330</v>
      </c>
      <c r="D1532" s="8">
        <f>IFERROR(__xludf.DUMMYFUNCTION("""COMPUTED_VALUE"""),76.0)</f>
        <v>76</v>
      </c>
      <c r="E1532" s="2"/>
    </row>
    <row r="1533">
      <c r="A1533" s="2"/>
      <c r="B1533" s="8" t="str">
        <f>IFERROR(__xludf.DUMMYFUNCTION("""COMPUTED_VALUE"""),"MARCO TJAYADI")</f>
        <v>MARCO TJAYADI</v>
      </c>
      <c r="C1533" s="8" t="str">
        <f>IFERROR(__xludf.DUMMYFUNCTION("""COMPUTED_VALUE"""),"M8924078828")</f>
        <v>M8924078828</v>
      </c>
      <c r="D1533" s="8">
        <f>IFERROR(__xludf.DUMMYFUNCTION("""COMPUTED_VALUE"""),37.0)</f>
        <v>37</v>
      </c>
      <c r="E1533" s="2"/>
    </row>
    <row r="1534">
      <c r="A1534" s="2"/>
      <c r="B1534" s="8" t="str">
        <f>IFERROR(__xludf.DUMMYFUNCTION("""COMPUTED_VALUE"""),"LUSI NURYANTI")</f>
        <v>LUSI NURYANTI</v>
      </c>
      <c r="C1534" s="8" t="str">
        <f>IFERROR(__xludf.DUMMYFUNCTION("""COMPUTED_VALUE"""),"L8524078597")</f>
        <v>L8524078597</v>
      </c>
      <c r="D1534" s="8">
        <f>IFERROR(__xludf.DUMMYFUNCTION("""COMPUTED_VALUE"""),41.0)</f>
        <v>41</v>
      </c>
      <c r="E1534" s="2"/>
    </row>
    <row r="1535">
      <c r="A1535" s="2"/>
      <c r="B1535" s="8" t="str">
        <f>IFERROR(__xludf.DUMMYFUNCTION("""COMPUTED_VALUE"""),"NURBAYA")</f>
        <v>NURBAYA</v>
      </c>
      <c r="C1535" s="8" t="str">
        <f>IFERROR(__xludf.DUMMYFUNCTION("""COMPUTED_VALUE"""),"N5124077864")</f>
        <v>N5124077864</v>
      </c>
      <c r="D1535" s="8">
        <f>IFERROR(__xludf.DUMMYFUNCTION("""COMPUTED_VALUE"""),75.0)</f>
        <v>75</v>
      </c>
      <c r="E1535" s="2"/>
    </row>
    <row r="1536">
      <c r="A1536" s="2"/>
      <c r="B1536" s="8" t="str">
        <f>IFERROR(__xludf.DUMMYFUNCTION("""COMPUTED_VALUE"""),"BINTANG NUGROHO")</f>
        <v>BINTANG NUGROHO</v>
      </c>
      <c r="C1536" s="8" t="str">
        <f>IFERROR(__xludf.DUMMYFUNCTION("""COMPUTED_VALUE"""),"B0824070067")</f>
        <v>B0824070067</v>
      </c>
      <c r="D1536" s="8">
        <f>IFERROR(__xludf.DUMMYFUNCTION("""COMPUTED_VALUE"""),18.0)</f>
        <v>18</v>
      </c>
      <c r="E1536" s="2"/>
    </row>
    <row r="1537">
      <c r="A1537" s="2"/>
      <c r="B1537" s="8" t="str">
        <f>IFERROR(__xludf.DUMMYFUNCTION("""COMPUTED_VALUE"""),"MARLON BERNARD NATHANAEL")</f>
        <v>MARLON BERNARD NATHANAEL</v>
      </c>
      <c r="C1537" s="8" t="str">
        <f>IFERROR(__xludf.DUMMYFUNCTION("""COMPUTED_VALUE"""),"M9524072381")</f>
        <v>M9524072381</v>
      </c>
      <c r="D1537" s="8">
        <f>IFERROR(__xludf.DUMMYFUNCTION("""COMPUTED_VALUE"""),31.0)</f>
        <v>31</v>
      </c>
      <c r="E1537" s="2"/>
    </row>
    <row r="1538">
      <c r="A1538" s="2"/>
      <c r="B1538" s="8" t="str">
        <f>IFERROR(__xludf.DUMMYFUNCTION("""COMPUTED_VALUE"""),"MOCH TOPAN")</f>
        <v>MOCH TOPAN</v>
      </c>
      <c r="C1538" s="8" t="str">
        <f>IFERROR(__xludf.DUMMYFUNCTION("""COMPUTED_VALUE"""),"M6824079692")</f>
        <v>M6824079692</v>
      </c>
      <c r="D1538" s="8">
        <f>IFERROR(__xludf.DUMMYFUNCTION("""COMPUTED_VALUE"""),58.0)</f>
        <v>58</v>
      </c>
      <c r="E1538" s="2"/>
    </row>
    <row r="1539">
      <c r="A1539" s="2"/>
      <c r="B1539" s="8" t="str">
        <f>IFERROR(__xludf.DUMMYFUNCTION("""COMPUTED_VALUE"""),"CORISINEA")</f>
        <v>CORISINEA</v>
      </c>
      <c r="C1539" s="8" t="str">
        <f>IFERROR(__xludf.DUMMYFUNCTION("""COMPUTED_VALUE"""),"C9724073403")</f>
        <v>C9724073403</v>
      </c>
      <c r="D1539" s="8">
        <f>IFERROR(__xludf.DUMMYFUNCTION("""COMPUTED_VALUE"""),28.0)</f>
        <v>28</v>
      </c>
      <c r="E1539" s="2"/>
    </row>
    <row r="1540">
      <c r="A1540" s="2"/>
      <c r="B1540" s="8" t="str">
        <f>IFERROR(__xludf.DUMMYFUNCTION("""COMPUTED_VALUE"""),"MERCIA CHARISTA")</f>
        <v>MERCIA CHARISTA</v>
      </c>
      <c r="C1540" s="8" t="str">
        <f>IFERROR(__xludf.DUMMYFUNCTION("""COMPUTED_VALUE"""),"M0924073800")</f>
        <v>M0924073800</v>
      </c>
      <c r="D1540" s="8">
        <f>IFERROR(__xludf.DUMMYFUNCTION("""COMPUTED_VALUE"""),17.0)</f>
        <v>17</v>
      </c>
      <c r="E1540" s="2"/>
    </row>
    <row r="1541">
      <c r="A1541" s="2"/>
      <c r="B1541" s="8" t="str">
        <f>IFERROR(__xludf.DUMMYFUNCTION("""COMPUTED_VALUE"""),"NADYA MUTMAINAH")</f>
        <v>NADYA MUTMAINAH</v>
      </c>
      <c r="C1541" s="8" t="str">
        <f>IFERROR(__xludf.DUMMYFUNCTION("""COMPUTED_VALUE"""),"N8524074321")</f>
        <v>N8524074321</v>
      </c>
      <c r="D1541" s="8">
        <f>IFERROR(__xludf.DUMMYFUNCTION("""COMPUTED_VALUE"""),40.0)</f>
        <v>40</v>
      </c>
      <c r="E1541" s="2"/>
    </row>
    <row r="1542">
      <c r="A1542" s="2"/>
      <c r="B1542" s="8" t="str">
        <f>IFERROR(__xludf.DUMMYFUNCTION("""COMPUTED_VALUE"""),"MUHAMMAD KHADAFI BOFA")</f>
        <v>MUHAMMAD KHADAFI BOFA</v>
      </c>
      <c r="C1542" s="8" t="str">
        <f>IFERROR(__xludf.DUMMYFUNCTION("""COMPUTED_VALUE"""),"M0924078200")</f>
        <v>M0924078200</v>
      </c>
      <c r="D1542" s="8">
        <f>IFERROR(__xludf.DUMMYFUNCTION("""COMPUTED_VALUE"""),17.0)</f>
        <v>17</v>
      </c>
      <c r="E1542" s="2"/>
    </row>
    <row r="1543">
      <c r="A1543" s="2"/>
      <c r="B1543" s="8" t="str">
        <f>IFERROR(__xludf.DUMMYFUNCTION("""COMPUTED_VALUE"""),"ANDY DARWIN KASAN HIDAYAT")</f>
        <v>ANDY DARWIN KASAN HIDAYAT</v>
      </c>
      <c r="C1543" s="8" t="str">
        <f>IFERROR(__xludf.DUMMYFUNCTION("""COMPUTED_VALUE"""),"A8424077888")</f>
        <v>A8424077888</v>
      </c>
      <c r="D1543" s="8">
        <f>IFERROR(__xludf.DUMMYFUNCTION("""COMPUTED_VALUE"""),42.0)</f>
        <v>42</v>
      </c>
      <c r="E1543" s="2"/>
    </row>
    <row r="1544">
      <c r="A1544" s="2"/>
      <c r="B1544" s="8" t="str">
        <f>IFERROR(__xludf.DUMMYFUNCTION("""COMPUTED_VALUE"""),"SITI MUALIFAH")</f>
        <v>SITI MUALIFAH</v>
      </c>
      <c r="C1544" s="8" t="str">
        <f>IFERROR(__xludf.DUMMYFUNCTION("""COMPUTED_VALUE"""),"S8224078010")</f>
        <v>S8224078010</v>
      </c>
      <c r="D1544" s="8">
        <f>IFERROR(__xludf.DUMMYFUNCTION("""COMPUTED_VALUE"""),44.0)</f>
        <v>44</v>
      </c>
      <c r="E1544" s="2"/>
    </row>
    <row r="1545">
      <c r="A1545" s="2"/>
      <c r="B1545" s="8" t="str">
        <f>IFERROR(__xludf.DUMMYFUNCTION("""COMPUTED_VALUE"""),"PUJI LESTARI")</f>
        <v>PUJI LESTARI</v>
      </c>
      <c r="C1545" s="8" t="str">
        <f>IFERROR(__xludf.DUMMYFUNCTION("""COMPUTED_VALUE"""),"P8924072133")</f>
        <v>P8924072133</v>
      </c>
      <c r="D1545" s="8">
        <f>IFERROR(__xludf.DUMMYFUNCTION("""COMPUTED_VALUE"""),36.0)</f>
        <v>36</v>
      </c>
      <c r="E1545" s="2"/>
    </row>
    <row r="1546">
      <c r="A1546" s="2"/>
      <c r="B1546" s="8" t="str">
        <f>IFERROR(__xludf.DUMMYFUNCTION("""COMPUTED_VALUE"""),"ARTON ARDIMANSYAH")</f>
        <v>ARTON ARDIMANSYAH</v>
      </c>
      <c r="C1546" s="8" t="str">
        <f>IFERROR(__xludf.DUMMYFUNCTION("""COMPUTED_VALUE"""),"A9624078908")</f>
        <v>A9624078908</v>
      </c>
      <c r="D1546" s="8">
        <f>IFERROR(__xludf.DUMMYFUNCTION("""COMPUTED_VALUE"""),30.0)</f>
        <v>30</v>
      </c>
      <c r="E1546" s="2"/>
    </row>
    <row r="1547">
      <c r="A1547" s="2"/>
      <c r="B1547" s="8" t="str">
        <f>IFERROR(__xludf.DUMMYFUNCTION("""COMPUTED_VALUE"""),"BUCHARI")</f>
        <v>BUCHARI</v>
      </c>
      <c r="C1547" s="8" t="str">
        <f>IFERROR(__xludf.DUMMYFUNCTION("""COMPUTED_VALUE"""),"B5524073253")</f>
        <v>B5524073253</v>
      </c>
      <c r="D1547" s="8">
        <f>IFERROR(__xludf.DUMMYFUNCTION("""COMPUTED_VALUE"""),70.0)</f>
        <v>70</v>
      </c>
      <c r="E1547" s="2"/>
    </row>
    <row r="1548">
      <c r="A1548" s="2"/>
      <c r="B1548" s="8" t="str">
        <f>IFERROR(__xludf.DUMMYFUNCTION("""COMPUTED_VALUE"""),"YOGIE TIRTANA ANSOR")</f>
        <v>YOGIE TIRTANA ANSOR</v>
      </c>
      <c r="C1548" s="8" t="str">
        <f>IFERROR(__xludf.DUMMYFUNCTION("""COMPUTED_VALUE"""),"Y8524079991")</f>
        <v>Y8524079991</v>
      </c>
      <c r="D1548" s="8">
        <f>IFERROR(__xludf.DUMMYFUNCTION("""COMPUTED_VALUE"""),41.0)</f>
        <v>41</v>
      </c>
      <c r="E1548" s="2"/>
    </row>
    <row r="1549">
      <c r="A1549" s="2"/>
      <c r="B1549" s="8" t="str">
        <f>IFERROR(__xludf.DUMMYFUNCTION("""COMPUTED_VALUE"""),"CANDRA WH LUMBANTORUAN")</f>
        <v>CANDRA WH LUMBANTORUAN</v>
      </c>
      <c r="C1549" s="8" t="str">
        <f>IFERROR(__xludf.DUMMYFUNCTION("""COMPUTED_VALUE"""),"C9124073456")</f>
        <v>C9124073456</v>
      </c>
      <c r="D1549" s="8">
        <f>IFERROR(__xludf.DUMMYFUNCTION("""COMPUTED_VALUE"""),35.0)</f>
        <v>35</v>
      </c>
      <c r="E1549" s="2"/>
    </row>
    <row r="1550">
      <c r="A1550" s="2"/>
      <c r="B1550" s="8" t="str">
        <f>IFERROR(__xludf.DUMMYFUNCTION("""COMPUTED_VALUE"""),"RINALDY ANDARSIH")</f>
        <v>RINALDY ANDARSIH</v>
      </c>
      <c r="C1550" s="8" t="str">
        <f>IFERROR(__xludf.DUMMYFUNCTION("""COMPUTED_VALUE"""),"R9824071044")</f>
        <v>R9824071044</v>
      </c>
      <c r="D1550" s="8">
        <f>IFERROR(__xludf.DUMMYFUNCTION("""COMPUTED_VALUE"""),27.0)</f>
        <v>27</v>
      </c>
      <c r="E1550" s="2"/>
    </row>
    <row r="1551">
      <c r="A1551" s="2"/>
      <c r="B1551" s="8" t="str">
        <f>IFERROR(__xludf.DUMMYFUNCTION("""COMPUTED_VALUE"""),"SITI KHOTIJAH")</f>
        <v>SITI KHOTIJAH</v>
      </c>
      <c r="C1551" s="8" t="str">
        <f>IFERROR(__xludf.DUMMYFUNCTION("""COMPUTED_VALUE"""),"S9324077992")</f>
        <v>S9324077992</v>
      </c>
      <c r="D1551" s="8">
        <f>IFERROR(__xludf.DUMMYFUNCTION("""COMPUTED_VALUE"""),33.0)</f>
        <v>33</v>
      </c>
      <c r="E1551" s="2"/>
    </row>
    <row r="1552">
      <c r="A1552" s="2"/>
      <c r="B1552" s="8" t="str">
        <f>IFERROR(__xludf.DUMMYFUNCTION("""COMPUTED_VALUE"""),"AGNI NUR ANNISA")</f>
        <v>AGNI NUR ANNISA</v>
      </c>
      <c r="C1552" s="8" t="str">
        <f>IFERROR(__xludf.DUMMYFUNCTION("""COMPUTED_VALUE"""),"A0724070715")</f>
        <v>A0724070715</v>
      </c>
      <c r="D1552" s="8">
        <f>IFERROR(__xludf.DUMMYFUNCTION("""COMPUTED_VALUE"""),18.0)</f>
        <v>18</v>
      </c>
      <c r="E1552" s="2"/>
    </row>
    <row r="1553">
      <c r="A1553" s="2"/>
      <c r="B1553" s="8" t="str">
        <f>IFERROR(__xludf.DUMMYFUNCTION("""COMPUTED_VALUE"""),"YESSY MAYASARI")</f>
        <v>YESSY MAYASARI</v>
      </c>
      <c r="C1553" s="8" t="str">
        <f>IFERROR(__xludf.DUMMYFUNCTION("""COMPUTED_VALUE"""),"Y6024076590")</f>
        <v>Y6024076590</v>
      </c>
      <c r="D1553" s="8">
        <f>IFERROR(__xludf.DUMMYFUNCTION("""COMPUTED_VALUE"""),66.0)</f>
        <v>66</v>
      </c>
      <c r="E1553" s="2"/>
    </row>
    <row r="1554">
      <c r="A1554" s="2"/>
      <c r="B1554" s="8" t="str">
        <f>IFERROR(__xludf.DUMMYFUNCTION("""COMPUTED_VALUE"""),"MUHAMMAD ASKARI AZZAM")</f>
        <v>MUHAMMAD ASKARI AZZAM</v>
      </c>
      <c r="C1554" s="8" t="str">
        <f>IFERROR(__xludf.DUMMYFUNCTION("""COMPUTED_VALUE"""),"M0924080923")</f>
        <v>M0924080923</v>
      </c>
      <c r="D1554" s="8">
        <f>IFERROR(__xludf.DUMMYFUNCTION("""COMPUTED_VALUE"""),17.0)</f>
        <v>17</v>
      </c>
      <c r="E1554" s="2"/>
    </row>
    <row r="1555">
      <c r="A1555" s="2"/>
      <c r="B1555" s="8" t="str">
        <f>IFERROR(__xludf.DUMMYFUNCTION("""COMPUTED_VALUE"""),"MUHAMMAD ZULFIKAR")</f>
        <v>MUHAMMAD ZULFIKAR</v>
      </c>
      <c r="C1555" s="8" t="str">
        <f>IFERROR(__xludf.DUMMYFUNCTION("""COMPUTED_VALUE"""),"M9424089040")</f>
        <v>M9424089040</v>
      </c>
      <c r="D1555" s="8">
        <f>IFERROR(__xludf.DUMMYFUNCTION("""COMPUTED_VALUE"""),32.0)</f>
        <v>32</v>
      </c>
      <c r="E1555" s="2"/>
    </row>
    <row r="1556">
      <c r="A1556" s="2"/>
      <c r="B1556" s="8" t="str">
        <f>IFERROR(__xludf.DUMMYFUNCTION("""COMPUTED_VALUE"""),"MARIO GOTHEDY")</f>
        <v>MARIO GOTHEDY</v>
      </c>
      <c r="C1556" s="8" t="str">
        <f>IFERROR(__xludf.DUMMYFUNCTION("""COMPUTED_VALUE"""),"M0224087001")</f>
        <v>M0224087001</v>
      </c>
      <c r="D1556" s="8">
        <f>IFERROR(__xludf.DUMMYFUNCTION("""COMPUTED_VALUE"""),24.0)</f>
        <v>24</v>
      </c>
      <c r="E1556" s="2"/>
    </row>
    <row r="1557">
      <c r="A1557" s="2"/>
      <c r="B1557" s="8" t="str">
        <f>IFERROR(__xludf.DUMMYFUNCTION("""COMPUTED_VALUE"""),"REZA RADITYA")</f>
        <v>REZA RADITYA</v>
      </c>
      <c r="C1557" s="8" t="str">
        <f>IFERROR(__xludf.DUMMYFUNCTION("""COMPUTED_VALUE"""),"R9724083584")</f>
        <v>R9724083584</v>
      </c>
      <c r="D1557" s="8">
        <f>IFERROR(__xludf.DUMMYFUNCTION("""COMPUTED_VALUE"""),28.0)</f>
        <v>28</v>
      </c>
      <c r="E1557" s="2"/>
    </row>
    <row r="1558">
      <c r="A1558" s="2"/>
      <c r="B1558" s="8" t="str">
        <f>IFERROR(__xludf.DUMMYFUNCTION("""COMPUTED_VALUE"""),"INDAH ROSANTI")</f>
        <v>INDAH ROSANTI</v>
      </c>
      <c r="C1558" s="8" t="str">
        <f>IFERROR(__xludf.DUMMYFUNCTION("""COMPUTED_VALUE"""),"I6924083855")</f>
        <v>I6924083855</v>
      </c>
      <c r="D1558" s="8">
        <f>IFERROR(__xludf.DUMMYFUNCTION("""COMPUTED_VALUE"""),56.0)</f>
        <v>56</v>
      </c>
      <c r="E1558" s="2"/>
    </row>
    <row r="1559">
      <c r="A1559" s="2"/>
      <c r="B1559" s="8" t="str">
        <f>IFERROR(__xludf.DUMMYFUNCTION("""COMPUTED_VALUE"""),"ABDURROHMAN AL FIKRI")</f>
        <v>ABDURROHMAN AL FIKRI</v>
      </c>
      <c r="C1559" s="8" t="str">
        <f>IFERROR(__xludf.DUMMYFUNCTION("""COMPUTED_VALUE"""),"A9924088313")</f>
        <v>A9924088313</v>
      </c>
      <c r="D1559" s="8">
        <f>IFERROR(__xludf.DUMMYFUNCTION("""COMPUTED_VALUE"""),26.0)</f>
        <v>26</v>
      </c>
      <c r="E1559" s="2"/>
    </row>
    <row r="1560">
      <c r="A1560" s="2"/>
      <c r="B1560" s="8" t="str">
        <f>IFERROR(__xludf.DUMMYFUNCTION("""COMPUTED_VALUE"""),"MUHAMMAD GAVIN BYANTARA")</f>
        <v>MUHAMMAD GAVIN BYANTARA</v>
      </c>
      <c r="C1560" s="8" t="str">
        <f>IFERROR(__xludf.DUMMYFUNCTION("""COMPUTED_VALUE"""),"M1424088888")</f>
        <v>M1424088888</v>
      </c>
      <c r="D1560" s="8">
        <f>IFERROR(__xludf.DUMMYFUNCTION("""COMPUTED_VALUE"""),12.0)</f>
        <v>12</v>
      </c>
      <c r="E1560" s="2"/>
    </row>
    <row r="1561">
      <c r="A1561" s="2"/>
      <c r="B1561" s="8" t="str">
        <f>IFERROR(__xludf.DUMMYFUNCTION("""COMPUTED_VALUE"""),"ROS")</f>
        <v>ROS</v>
      </c>
      <c r="C1561" s="8" t="str">
        <f>IFERROR(__xludf.DUMMYFUNCTION("""COMPUTED_VALUE"""),"R6424087967")</f>
        <v>R6424087967</v>
      </c>
      <c r="D1561" s="8">
        <f>IFERROR(__xludf.DUMMYFUNCTION("""COMPUTED_VALUE"""),62.0)</f>
        <v>62</v>
      </c>
      <c r="E1561" s="2"/>
    </row>
    <row r="1562">
      <c r="A1562" s="2"/>
      <c r="B1562" s="8" t="str">
        <f>IFERROR(__xludf.DUMMYFUNCTION("""COMPUTED_VALUE"""),"NABILAH")</f>
        <v>NABILAH</v>
      </c>
      <c r="C1562" s="8" t="str">
        <f>IFERROR(__xludf.DUMMYFUNCTION("""COMPUTED_VALUE"""),"N9824084755")</f>
        <v>N9824084755</v>
      </c>
      <c r="D1562" s="8">
        <f>IFERROR(__xludf.DUMMYFUNCTION("""COMPUTED_VALUE"""),28.0)</f>
        <v>28</v>
      </c>
      <c r="E1562" s="2"/>
    </row>
    <row r="1563">
      <c r="A1563" s="2"/>
      <c r="B1563" s="8" t="str">
        <f>IFERROR(__xludf.DUMMYFUNCTION("""COMPUTED_VALUE"""),"RAIHAN PAHRAZI")</f>
        <v>RAIHAN PAHRAZI</v>
      </c>
      <c r="C1563" s="8" t="str">
        <f>IFERROR(__xludf.DUMMYFUNCTION("""COMPUTED_VALUE"""),"R0024080705")</f>
        <v>R0024080705</v>
      </c>
      <c r="D1563" s="8">
        <f>IFERROR(__xludf.DUMMYFUNCTION("""COMPUTED_VALUE"""),26.0)</f>
        <v>26</v>
      </c>
      <c r="E1563" s="2"/>
    </row>
    <row r="1564">
      <c r="A1564" s="2"/>
      <c r="B1564" s="8" t="str">
        <f>IFERROR(__xludf.DUMMYFUNCTION("""COMPUTED_VALUE"""),"YOGI ADI FAHREZIE")</f>
        <v>YOGI ADI FAHREZIE</v>
      </c>
      <c r="C1564" s="8" t="str">
        <f>IFERROR(__xludf.DUMMYFUNCTION("""COMPUTED_VALUE"""),"Y0024087171")</f>
        <v>Y0024087171</v>
      </c>
      <c r="D1564" s="8">
        <f>IFERROR(__xludf.DUMMYFUNCTION("""COMPUTED_VALUE"""),26.0)</f>
        <v>26</v>
      </c>
      <c r="E1564" s="2"/>
    </row>
    <row r="1565">
      <c r="A1565" s="2"/>
      <c r="B1565" s="8" t="str">
        <f>IFERROR(__xludf.DUMMYFUNCTION("""COMPUTED_VALUE"""),"MARIA TETI")</f>
        <v>MARIA TETI</v>
      </c>
      <c r="C1565" s="8" t="str">
        <f>IFERROR(__xludf.DUMMYFUNCTION("""COMPUTED_VALUE"""),"M7124083553")</f>
        <v>M7124083553</v>
      </c>
      <c r="D1565" s="8">
        <f>IFERROR(__xludf.DUMMYFUNCTION("""COMPUTED_VALUE"""),55.0)</f>
        <v>55</v>
      </c>
      <c r="E1565" s="2"/>
    </row>
    <row r="1566">
      <c r="A1566" s="2"/>
      <c r="B1566" s="8" t="str">
        <f>IFERROR(__xludf.DUMMYFUNCTION("""COMPUTED_VALUE"""),"RANDI GUSNADI")</f>
        <v>RANDI GUSNADI</v>
      </c>
      <c r="C1566" s="8" t="str">
        <f>IFERROR(__xludf.DUMMYFUNCTION("""COMPUTED_VALUE"""),"R0324080181")</f>
        <v>R0324080181</v>
      </c>
      <c r="D1566" s="8">
        <f>IFERROR(__xludf.DUMMYFUNCTION("""COMPUTED_VALUE"""),23.0)</f>
        <v>23</v>
      </c>
      <c r="E1566" s="2"/>
    </row>
    <row r="1567">
      <c r="A1567" s="2"/>
      <c r="B1567" s="8" t="str">
        <f>IFERROR(__xludf.DUMMYFUNCTION("""COMPUTED_VALUE"""),"BRYAN JOHANES")</f>
        <v>BRYAN JOHANES</v>
      </c>
      <c r="C1567" s="8" t="str">
        <f>IFERROR(__xludf.DUMMYFUNCTION("""COMPUTED_VALUE"""),"B0924081489")</f>
        <v>B0924081489</v>
      </c>
      <c r="D1567" s="8">
        <f>IFERROR(__xludf.DUMMYFUNCTION("""COMPUTED_VALUE"""),16.0)</f>
        <v>16</v>
      </c>
      <c r="E1567" s="2"/>
    </row>
    <row r="1568">
      <c r="A1568" s="2"/>
      <c r="B1568" s="8" t="str">
        <f>IFERROR(__xludf.DUMMYFUNCTION("""COMPUTED_VALUE"""),"CALLISTA FERJIENIA WONG")</f>
        <v>CALLISTA FERJIENIA WONG</v>
      </c>
      <c r="C1568" s="8" t="str">
        <f>IFERROR(__xludf.DUMMYFUNCTION("""COMPUTED_VALUE"""),"C0724082394")</f>
        <v>C0724082394</v>
      </c>
      <c r="D1568" s="8">
        <f>IFERROR(__xludf.DUMMYFUNCTION("""COMPUTED_VALUE"""),18.0)</f>
        <v>18</v>
      </c>
      <c r="E1568" s="2"/>
    </row>
    <row r="1569">
      <c r="A1569" s="2"/>
      <c r="B1569" s="8" t="str">
        <f>IFERROR(__xludf.DUMMYFUNCTION("""COMPUTED_VALUE"""),"AHMADI")</f>
        <v>AHMADI</v>
      </c>
      <c r="C1569" s="8" t="str">
        <f>IFERROR(__xludf.DUMMYFUNCTION("""COMPUTED_VALUE"""),"A9624089701")</f>
        <v>A9624089701</v>
      </c>
      <c r="D1569" s="8">
        <f>IFERROR(__xludf.DUMMYFUNCTION("""COMPUTED_VALUE"""),29.0)</f>
        <v>29</v>
      </c>
      <c r="E1569" s="2"/>
    </row>
    <row r="1570">
      <c r="A1570" s="2"/>
      <c r="B1570" s="8" t="str">
        <f>IFERROR(__xludf.DUMMYFUNCTION("""COMPUTED_VALUE"""),"ABAS ARATIB")</f>
        <v>ABAS ARATIB</v>
      </c>
      <c r="C1570" s="8" t="str">
        <f>IFERROR(__xludf.DUMMYFUNCTION("""COMPUTED_VALUE"""),"A8824082559")</f>
        <v>A8824082559</v>
      </c>
      <c r="D1570" s="8">
        <f>IFERROR(__xludf.DUMMYFUNCTION("""COMPUTED_VALUE"""),37.0)</f>
        <v>37</v>
      </c>
      <c r="E1570" s="2"/>
    </row>
    <row r="1571">
      <c r="A1571" s="2"/>
      <c r="B1571" s="8" t="str">
        <f>IFERROR(__xludf.DUMMYFUNCTION("""COMPUTED_VALUE"""),"SULASTRI 6305")</f>
        <v>SULASTRI 6305</v>
      </c>
      <c r="C1571" s="8" t="str">
        <f>IFERROR(__xludf.DUMMYFUNCTION("""COMPUTED_VALUE"""),"S6324088474")</f>
        <v>S6324088474</v>
      </c>
      <c r="D1571" s="8">
        <f>IFERROR(__xludf.DUMMYFUNCTION("""COMPUTED_VALUE"""),63.0)</f>
        <v>63</v>
      </c>
      <c r="E1571" s="2"/>
    </row>
    <row r="1572">
      <c r="A1572" s="2"/>
      <c r="B1572" s="8" t="str">
        <f>IFERROR(__xludf.DUMMYFUNCTION("""COMPUTED_VALUE"""),"ABDURRAHMAN AUF LAKSAMANA")</f>
        <v>ABDURRAHMAN AUF LAKSAMANA</v>
      </c>
      <c r="C1572" s="8" t="str">
        <f>IFERROR(__xludf.DUMMYFUNCTION("""COMPUTED_VALUE"""),"A0624087321")</f>
        <v>A0624087321</v>
      </c>
      <c r="D1572" s="8">
        <f>IFERROR(__xludf.DUMMYFUNCTION("""COMPUTED_VALUE"""),19.0)</f>
        <v>19</v>
      </c>
      <c r="E1572" s="2"/>
    </row>
    <row r="1573">
      <c r="A1573" s="2"/>
      <c r="B1573" s="8" t="str">
        <f>IFERROR(__xludf.DUMMYFUNCTION("""COMPUTED_VALUE"""),"MUHAMMAD RIFQI SYABANA")</f>
        <v>MUHAMMAD RIFQI SYABANA</v>
      </c>
      <c r="C1573" s="8" t="str">
        <f>IFERROR(__xludf.DUMMYFUNCTION("""COMPUTED_VALUE"""),"M9624087645")</f>
        <v>M9624087645</v>
      </c>
      <c r="D1573" s="8">
        <f>IFERROR(__xludf.DUMMYFUNCTION("""COMPUTED_VALUE"""),30.0)</f>
        <v>30</v>
      </c>
      <c r="E1573" s="2"/>
    </row>
    <row r="1574">
      <c r="A1574" s="2"/>
      <c r="B1574" s="8" t="str">
        <f>IFERROR(__xludf.DUMMYFUNCTION("""COMPUTED_VALUE"""),"KEYLA DANANG PADHENDRA RAMADHANI")</f>
        <v>KEYLA DANANG PADHENDRA RAMADHANI</v>
      </c>
      <c r="C1574" s="8" t="str">
        <f>IFERROR(__xludf.DUMMYFUNCTION("""COMPUTED_VALUE"""),"K0224080292")</f>
        <v>K0224080292</v>
      </c>
      <c r="D1574" s="8">
        <f>IFERROR(__xludf.DUMMYFUNCTION("""COMPUTED_VALUE"""),23.0)</f>
        <v>23</v>
      </c>
      <c r="E1574" s="2"/>
    </row>
    <row r="1575">
      <c r="A1575" s="2"/>
      <c r="B1575" s="8" t="str">
        <f>IFERROR(__xludf.DUMMYFUNCTION("""COMPUTED_VALUE"""),"RIDHO")</f>
        <v>RIDHO</v>
      </c>
      <c r="C1575" s="8" t="str">
        <f>IFERROR(__xludf.DUMMYFUNCTION("""COMPUTED_VALUE"""),"R0524084736")</f>
        <v>R0524084736</v>
      </c>
      <c r="D1575" s="8">
        <f>IFERROR(__xludf.DUMMYFUNCTION("""COMPUTED_VALUE"""),20.0)</f>
        <v>20</v>
      </c>
      <c r="E1575" s="2"/>
    </row>
    <row r="1576">
      <c r="A1576" s="2"/>
      <c r="B1576" s="8" t="str">
        <f>IFERROR(__xludf.DUMMYFUNCTION("""COMPUTED_VALUE"""),"RATNA MEILIAWATI NUGRAHENI, SE")</f>
        <v>RATNA MEILIAWATI NUGRAHENI, SE</v>
      </c>
      <c r="C1576" s="8" t="str">
        <f>IFERROR(__xludf.DUMMYFUNCTION("""COMPUTED_VALUE"""),"R7224088605")</f>
        <v>R7224088605</v>
      </c>
      <c r="D1576" s="8">
        <f>IFERROR(__xludf.DUMMYFUNCTION("""COMPUTED_VALUE"""),54.0)</f>
        <v>54</v>
      </c>
      <c r="E1576" s="2"/>
    </row>
    <row r="1577">
      <c r="A1577" s="2"/>
      <c r="B1577" s="8" t="str">
        <f>IFERROR(__xludf.DUMMYFUNCTION("""COMPUTED_VALUE"""),"NINA AMINAH")</f>
        <v>NINA AMINAH</v>
      </c>
      <c r="C1577" s="8" t="str">
        <f>IFERROR(__xludf.DUMMYFUNCTION("""COMPUTED_VALUE"""),"N7924086790")</f>
        <v>N7924086790</v>
      </c>
      <c r="D1577" s="8">
        <f>IFERROR(__xludf.DUMMYFUNCTION("""COMPUTED_VALUE"""),47.0)</f>
        <v>47</v>
      </c>
      <c r="E1577" s="2"/>
    </row>
    <row r="1578">
      <c r="A1578" s="2"/>
      <c r="B1578" s="8" t="str">
        <f>IFERROR(__xludf.DUMMYFUNCTION("""COMPUTED_VALUE"""),"FERRY ISKANDAR")</f>
        <v>FERRY ISKANDAR</v>
      </c>
      <c r="C1578" s="8" t="str">
        <f>IFERROR(__xludf.DUMMYFUNCTION("""COMPUTED_VALUE"""),"F7524087907")</f>
        <v>F7524087907</v>
      </c>
      <c r="D1578" s="8">
        <f>IFERROR(__xludf.DUMMYFUNCTION("""COMPUTED_VALUE"""),50.0)</f>
        <v>50</v>
      </c>
      <c r="E1578" s="2"/>
    </row>
    <row r="1579">
      <c r="A1579" s="2"/>
      <c r="B1579" s="8" t="str">
        <f>IFERROR(__xludf.DUMMYFUNCTION("""COMPUTED_VALUE"""),"OLLY ANWAR")</f>
        <v>OLLY ANWAR</v>
      </c>
      <c r="C1579" s="8" t="str">
        <f>IFERROR(__xludf.DUMMYFUNCTION("""COMPUTED_VALUE"""),"O6424087777")</f>
        <v>O6424087777</v>
      </c>
      <c r="D1579" s="8">
        <f>IFERROR(__xludf.DUMMYFUNCTION("""COMPUTED_VALUE"""),61.0)</f>
        <v>61</v>
      </c>
      <c r="E1579" s="2"/>
    </row>
    <row r="1580">
      <c r="A1580" s="2"/>
      <c r="B1580" s="8" t="str">
        <f>IFERROR(__xludf.DUMMYFUNCTION("""COMPUTED_VALUE"""),"MARGARETHA KOYONGIAN")</f>
        <v>MARGARETHA KOYONGIAN</v>
      </c>
      <c r="C1580" s="8" t="str">
        <f>IFERROR(__xludf.DUMMYFUNCTION("""COMPUTED_VALUE"""),"M5224088131")</f>
        <v>M5224088131</v>
      </c>
      <c r="D1580" s="8">
        <f>IFERROR(__xludf.DUMMYFUNCTION("""COMPUTED_VALUE"""),74.0)</f>
        <v>74</v>
      </c>
      <c r="E1580" s="2"/>
    </row>
    <row r="1581">
      <c r="A1581" s="2"/>
      <c r="B1581" s="8" t="str">
        <f>IFERROR(__xludf.DUMMYFUNCTION("""COMPUTED_VALUE"""),"AGUS SAPUTRA")</f>
        <v>AGUS SAPUTRA</v>
      </c>
      <c r="C1581" s="8" t="str">
        <f>IFERROR(__xludf.DUMMYFUNCTION("""COMPUTED_VALUE"""),"A9324087798")</f>
        <v>A9324087798</v>
      </c>
      <c r="D1581" s="8">
        <f>IFERROR(__xludf.DUMMYFUNCTION("""COMPUTED_VALUE"""),32.0)</f>
        <v>32</v>
      </c>
      <c r="E1581" s="2"/>
    </row>
    <row r="1582">
      <c r="A1582" s="2"/>
      <c r="B1582" s="8" t="str">
        <f>IFERROR(__xludf.DUMMYFUNCTION("""COMPUTED_VALUE"""),"SUPARJONO")</f>
        <v>SUPARJONO</v>
      </c>
      <c r="C1582" s="8" t="str">
        <f>IFERROR(__xludf.DUMMYFUNCTION("""COMPUTED_VALUE"""),"S6424088095")</f>
        <v>S6424088095</v>
      </c>
      <c r="D1582" s="8">
        <f>IFERROR(__xludf.DUMMYFUNCTION("""COMPUTED_VALUE"""),62.0)</f>
        <v>62</v>
      </c>
      <c r="E1582" s="2"/>
    </row>
    <row r="1583">
      <c r="A1583" s="2"/>
      <c r="B1583" s="8" t="str">
        <f>IFERROR(__xludf.DUMMYFUNCTION("""COMPUTED_VALUE"""),"ZULKARNAIN 9803")</f>
        <v>ZULKARNAIN 9803</v>
      </c>
      <c r="C1583" s="8" t="str">
        <f>IFERROR(__xludf.DUMMYFUNCTION("""COMPUTED_VALUE"""),"Z9824082920")</f>
        <v>Z9824082920</v>
      </c>
      <c r="D1583" s="8">
        <f>IFERROR(__xludf.DUMMYFUNCTION("""COMPUTED_VALUE"""),28.0)</f>
        <v>28</v>
      </c>
      <c r="E1583" s="2"/>
    </row>
    <row r="1584">
      <c r="A1584" s="2"/>
      <c r="B1584" s="8" t="str">
        <f>IFERROR(__xludf.DUMMYFUNCTION("""COMPUTED_VALUE"""),"HABIBI QURRATA A'YUNI")</f>
        <v>HABIBI QURRATA A'YUNI</v>
      </c>
      <c r="C1584" s="8" t="str">
        <f>IFERROR(__xludf.DUMMYFUNCTION("""COMPUTED_VALUE"""),"H9424081013")</f>
        <v>H9424081013</v>
      </c>
      <c r="D1584" s="8">
        <f>IFERROR(__xludf.DUMMYFUNCTION("""COMPUTED_VALUE"""),31.0)</f>
        <v>31</v>
      </c>
      <c r="E1584" s="2"/>
    </row>
    <row r="1585">
      <c r="A1585" s="2"/>
      <c r="B1585" s="8" t="str">
        <f>IFERROR(__xludf.DUMMYFUNCTION("""COMPUTED_VALUE"""),"HAMIDAH")</f>
        <v>HAMIDAH</v>
      </c>
      <c r="C1585" s="8" t="str">
        <f>IFERROR(__xludf.DUMMYFUNCTION("""COMPUTED_VALUE"""),"H7124088885")</f>
        <v>H7124088885</v>
      </c>
      <c r="D1585" s="8">
        <f>IFERROR(__xludf.DUMMYFUNCTION("""COMPUTED_VALUE"""),55.0)</f>
        <v>55</v>
      </c>
      <c r="E1585" s="2"/>
    </row>
    <row r="1586">
      <c r="A1586" s="2"/>
      <c r="B1586" s="8" t="str">
        <f>IFERROR(__xludf.DUMMYFUNCTION("""COMPUTED_VALUE"""),"AGUS RIYANTO")</f>
        <v>AGUS RIYANTO</v>
      </c>
      <c r="C1586" s="8" t="str">
        <f>IFERROR(__xludf.DUMMYFUNCTION("""COMPUTED_VALUE"""),"A8224081655")</f>
        <v>A8224081655</v>
      </c>
      <c r="D1586" s="8">
        <f>IFERROR(__xludf.DUMMYFUNCTION("""COMPUTED_VALUE"""),43.0)</f>
        <v>43</v>
      </c>
      <c r="E1586" s="2"/>
    </row>
    <row r="1587">
      <c r="A1587" s="2"/>
      <c r="B1587" s="8" t="str">
        <f>IFERROR(__xludf.DUMMYFUNCTION("""COMPUTED_VALUE"""),"IDRIS 7807")</f>
        <v>IDRIS 7807</v>
      </c>
      <c r="C1587" s="8" t="str">
        <f>IFERROR(__xludf.DUMMYFUNCTION("""COMPUTED_VALUE"""),"I7824084676")</f>
        <v>I7824084676</v>
      </c>
      <c r="D1587" s="8">
        <f>IFERROR(__xludf.DUMMYFUNCTION("""COMPUTED_VALUE"""),48.0)</f>
        <v>48</v>
      </c>
      <c r="E1587" s="2"/>
    </row>
    <row r="1588">
      <c r="A1588" s="2"/>
      <c r="B1588" s="8" t="str">
        <f>IFERROR(__xludf.DUMMYFUNCTION("""COMPUTED_VALUE"""),"ENDANG SUSWATI")</f>
        <v>ENDANG SUSWATI</v>
      </c>
      <c r="C1588" s="8" t="str">
        <f>IFERROR(__xludf.DUMMYFUNCTION("""COMPUTED_VALUE"""),"E7424085423")</f>
        <v>E7424085423</v>
      </c>
      <c r="D1588" s="8">
        <f>IFERROR(__xludf.DUMMYFUNCTION("""COMPUTED_VALUE"""),52.0)</f>
        <v>52</v>
      </c>
      <c r="E1588" s="2"/>
    </row>
    <row r="1589">
      <c r="A1589" s="2"/>
      <c r="B1589" s="8" t="str">
        <f>IFERROR(__xludf.DUMMYFUNCTION("""COMPUTED_VALUE"""),"AHMADINEJAD AL FIQRI")</f>
        <v>AHMADINEJAD AL FIQRI</v>
      </c>
      <c r="C1589" s="8" t="str">
        <f>IFERROR(__xludf.DUMMYFUNCTION("""COMPUTED_VALUE"""),"A0724080558")</f>
        <v>A0724080558</v>
      </c>
      <c r="D1589" s="8">
        <f>IFERROR(__xludf.DUMMYFUNCTION("""COMPUTED_VALUE"""),19.0)</f>
        <v>19</v>
      </c>
      <c r="E1589" s="2"/>
    </row>
    <row r="1590">
      <c r="A1590" s="2"/>
      <c r="B1590" s="8" t="str">
        <f>IFERROR(__xludf.DUMMYFUNCTION("""COMPUTED_VALUE"""),"JUSTIN MANGGALA")</f>
        <v>JUSTIN MANGGALA</v>
      </c>
      <c r="C1590" s="8" t="str">
        <f>IFERROR(__xludf.DUMMYFUNCTION("""COMPUTED_VALUE"""),"J0724085418")</f>
        <v>J0724085418</v>
      </c>
      <c r="D1590" s="8">
        <f>IFERROR(__xludf.DUMMYFUNCTION("""COMPUTED_VALUE"""),19.0)</f>
        <v>19</v>
      </c>
      <c r="E1590" s="2"/>
    </row>
    <row r="1591">
      <c r="A1591" s="2"/>
      <c r="B1591" s="8" t="str">
        <f>IFERROR(__xludf.DUMMYFUNCTION("""COMPUTED_VALUE"""),"SIM HARTINI")</f>
        <v>SIM HARTINI</v>
      </c>
      <c r="C1591" s="8" t="str">
        <f>IFERROR(__xludf.DUMMYFUNCTION("""COMPUTED_VALUE"""),"S6424080356")</f>
        <v>S6424080356</v>
      </c>
      <c r="D1591" s="8">
        <f>IFERROR(__xludf.DUMMYFUNCTION("""COMPUTED_VALUE"""),62.0)</f>
        <v>62</v>
      </c>
      <c r="E1591" s="2"/>
    </row>
    <row r="1592">
      <c r="A1592" s="2"/>
      <c r="B1592" s="8" t="str">
        <f>IFERROR(__xludf.DUMMYFUNCTION("""COMPUTED_VALUE"""),"SUPARYANI")</f>
        <v>SUPARYANI</v>
      </c>
      <c r="C1592" s="8" t="str">
        <f>IFERROR(__xludf.DUMMYFUNCTION("""COMPUTED_VALUE"""),"S7024086880")</f>
        <v>S7024086880</v>
      </c>
      <c r="D1592" s="8">
        <f>IFERROR(__xludf.DUMMYFUNCTION("""COMPUTED_VALUE"""),56.0)</f>
        <v>56</v>
      </c>
      <c r="E1592" s="2"/>
    </row>
    <row r="1593">
      <c r="A1593" s="2"/>
      <c r="B1593" s="8" t="str">
        <f>IFERROR(__xludf.DUMMYFUNCTION("""COMPUTED_VALUE"""),"DAHLIA 6804")</f>
        <v>DAHLIA 6804</v>
      </c>
      <c r="C1593" s="8" t="str">
        <f>IFERROR(__xludf.DUMMYFUNCTION("""COMPUTED_VALUE"""),"D6824086725")</f>
        <v>D6824086725</v>
      </c>
      <c r="D1593" s="8">
        <f>IFERROR(__xludf.DUMMYFUNCTION("""COMPUTED_VALUE"""),58.0)</f>
        <v>58</v>
      </c>
      <c r="E1593" s="2"/>
    </row>
    <row r="1594">
      <c r="A1594" s="2"/>
      <c r="B1594" s="8" t="str">
        <f>IFERROR(__xludf.DUMMYFUNCTION("""COMPUTED_VALUE"""),"HAKAM RADJA UCCA MAHENDRA")</f>
        <v>HAKAM RADJA UCCA MAHENDRA</v>
      </c>
      <c r="C1594" s="8" t="str">
        <f>IFERROR(__xludf.DUMMYFUNCTION("""COMPUTED_VALUE"""),"H0124081100")</f>
        <v>H0124081100</v>
      </c>
      <c r="D1594" s="8">
        <f>IFERROR(__xludf.DUMMYFUNCTION("""COMPUTED_VALUE"""),25.0)</f>
        <v>25</v>
      </c>
      <c r="E1594" s="2"/>
    </row>
    <row r="1595">
      <c r="A1595" s="2"/>
      <c r="B1595" s="8" t="str">
        <f>IFERROR(__xludf.DUMMYFUNCTION("""COMPUTED_VALUE"""),"M. ADI WIBOWO")</f>
        <v>M. ADI WIBOWO</v>
      </c>
      <c r="C1595" s="8" t="str">
        <f>IFERROR(__xludf.DUMMYFUNCTION("""COMPUTED_VALUE"""),"M0024086800")</f>
        <v>M0024086800</v>
      </c>
      <c r="D1595" s="8">
        <f>IFERROR(__xludf.DUMMYFUNCTION("""COMPUTED_VALUE"""),25.0)</f>
        <v>25</v>
      </c>
      <c r="E1595" s="2"/>
    </row>
    <row r="1596">
      <c r="A1596" s="2"/>
      <c r="B1596" s="8" t="str">
        <f>IFERROR(__xludf.DUMMYFUNCTION("""COMPUTED_VALUE"""),"KHAIRUL ARIFIN KUSYAIRI")</f>
        <v>KHAIRUL ARIFIN KUSYAIRI</v>
      </c>
      <c r="C1596" s="8" t="str">
        <f>IFERROR(__xludf.DUMMYFUNCTION("""COMPUTED_VALUE"""),"K0724082956")</f>
        <v>K0724082956</v>
      </c>
      <c r="D1596" s="8">
        <f>IFERROR(__xludf.DUMMYFUNCTION("""COMPUTED_VALUE"""),19.0)</f>
        <v>19</v>
      </c>
      <c r="E1596" s="2"/>
    </row>
    <row r="1597">
      <c r="A1597" s="2"/>
      <c r="B1597" s="8" t="str">
        <f>IFERROR(__xludf.DUMMYFUNCTION("""COMPUTED_VALUE"""),"RIVANI KESWARA")</f>
        <v>RIVANI KESWARA</v>
      </c>
      <c r="C1597" s="8" t="str">
        <f>IFERROR(__xludf.DUMMYFUNCTION("""COMPUTED_VALUE"""),"R7124082374")</f>
        <v>R7124082374</v>
      </c>
      <c r="D1597" s="8">
        <f>IFERROR(__xludf.DUMMYFUNCTION("""COMPUTED_VALUE"""),55.0)</f>
        <v>55</v>
      </c>
      <c r="E1597" s="2"/>
    </row>
    <row r="1598">
      <c r="A1598" s="2"/>
      <c r="B1598" s="8" t="str">
        <f>IFERROR(__xludf.DUMMYFUNCTION("""COMPUTED_VALUE"""),"AQIL ANIRSYAH")</f>
        <v>AQIL ANIRSYAH</v>
      </c>
      <c r="C1598" s="8" t="str">
        <f>IFERROR(__xludf.DUMMYFUNCTION("""COMPUTED_VALUE"""),"A0724084604")</f>
        <v>A0724084604</v>
      </c>
      <c r="D1598" s="8">
        <f>IFERROR(__xludf.DUMMYFUNCTION("""COMPUTED_VALUE"""),19.0)</f>
        <v>19</v>
      </c>
      <c r="E1598" s="2"/>
    </row>
    <row r="1599">
      <c r="A1599" s="2"/>
      <c r="B1599" s="8" t="str">
        <f>IFERROR(__xludf.DUMMYFUNCTION("""COMPUTED_VALUE"""),"RIKO SYAFUTRA")</f>
        <v>RIKO SYAFUTRA</v>
      </c>
      <c r="C1599" s="8" t="str">
        <f>IFERROR(__xludf.DUMMYFUNCTION("""COMPUTED_VALUE"""),"R8424082429")</f>
        <v>R8424082429</v>
      </c>
      <c r="D1599" s="8">
        <f>IFERROR(__xludf.DUMMYFUNCTION("""COMPUTED_VALUE"""),42.0)</f>
        <v>42</v>
      </c>
      <c r="E1599" s="2"/>
    </row>
    <row r="1600">
      <c r="A1600" s="2"/>
      <c r="B1600" s="8" t="str">
        <f>IFERROR(__xludf.DUMMYFUNCTION("""COMPUTED_VALUE"""),"THALIA FELECIA")</f>
        <v>THALIA FELECIA</v>
      </c>
      <c r="C1600" s="8" t="str">
        <f>IFERROR(__xludf.DUMMYFUNCTION("""COMPUTED_VALUE"""),"T0324089369")</f>
        <v>T0324089369</v>
      </c>
      <c r="D1600" s="8">
        <f>IFERROR(__xludf.DUMMYFUNCTION("""COMPUTED_VALUE"""),22.0)</f>
        <v>22</v>
      </c>
      <c r="E1600" s="2"/>
    </row>
    <row r="1601">
      <c r="A1601" s="2"/>
      <c r="B1601" s="8" t="str">
        <f>IFERROR(__xludf.DUMMYFUNCTION("""COMPUTED_VALUE"""),"YANA MARDIANA")</f>
        <v>YANA MARDIANA</v>
      </c>
      <c r="C1601" s="8" t="str">
        <f>IFERROR(__xludf.DUMMYFUNCTION("""COMPUTED_VALUE"""),"Y8724082652")</f>
        <v>Y8724082652</v>
      </c>
      <c r="D1601" s="8">
        <f>IFERROR(__xludf.DUMMYFUNCTION("""COMPUTED_VALUE"""),39.0)</f>
        <v>39</v>
      </c>
      <c r="E1601" s="2"/>
    </row>
    <row r="1602">
      <c r="A1602" s="2"/>
      <c r="B1602" s="8" t="str">
        <f>IFERROR(__xludf.DUMMYFUNCTION("""COMPUTED_VALUE"""),"RODIYAH MUNAWWARAH")</f>
        <v>RODIYAH MUNAWWARAH</v>
      </c>
      <c r="C1602" s="8" t="str">
        <f>IFERROR(__xludf.DUMMYFUNCTION("""COMPUTED_VALUE"""),"R9624081112")</f>
        <v>R9624081112</v>
      </c>
      <c r="D1602" s="8">
        <f>IFERROR(__xludf.DUMMYFUNCTION("""COMPUTED_VALUE"""),30.0)</f>
        <v>30</v>
      </c>
      <c r="E1602" s="2"/>
    </row>
    <row r="1603">
      <c r="A1603" s="2"/>
      <c r="B1603" s="8" t="str">
        <f>IFERROR(__xludf.DUMMYFUNCTION("""COMPUTED_VALUE"""),"SYARIF FAYED FAHLEVI ALQADRIE")</f>
        <v>SYARIF FAYED FAHLEVI ALQADRIE</v>
      </c>
      <c r="C1603" s="8" t="str">
        <f>IFERROR(__xludf.DUMMYFUNCTION("""COMPUTED_VALUE"""),"S9724084270")</f>
        <v>S9724084270</v>
      </c>
      <c r="D1603" s="8">
        <f>IFERROR(__xludf.DUMMYFUNCTION("""COMPUTED_VALUE"""),28.0)</f>
        <v>28</v>
      </c>
      <c r="E1603" s="2"/>
    </row>
    <row r="1604">
      <c r="A1604" s="2"/>
      <c r="B1604" s="8" t="str">
        <f>IFERROR(__xludf.DUMMYFUNCTION("""COMPUTED_VALUE"""),"RENNY ALFINA MEKBAR PURBA")</f>
        <v>RENNY ALFINA MEKBAR PURBA</v>
      </c>
      <c r="C1604" s="8" t="str">
        <f>IFERROR(__xludf.DUMMYFUNCTION("""COMPUTED_VALUE"""),"R9024082946")</f>
        <v>R9024082946</v>
      </c>
      <c r="D1604" s="8">
        <f>IFERROR(__xludf.DUMMYFUNCTION("""COMPUTED_VALUE"""),36.0)</f>
        <v>36</v>
      </c>
      <c r="E1604" s="2"/>
    </row>
    <row r="1605">
      <c r="A1605" s="2"/>
      <c r="B1605" s="8" t="str">
        <f>IFERROR(__xludf.DUMMYFUNCTION("""COMPUTED_VALUE"""),"ARIF RAHMAN")</f>
        <v>ARIF RAHMAN</v>
      </c>
      <c r="C1605" s="8" t="str">
        <f>IFERROR(__xludf.DUMMYFUNCTION("""COMPUTED_VALUE"""),"A0124085166")</f>
        <v>A0124085166</v>
      </c>
      <c r="D1605" s="8">
        <f>IFERROR(__xludf.DUMMYFUNCTION("""COMPUTED_VALUE"""),25.0)</f>
        <v>25</v>
      </c>
      <c r="E1605" s="2"/>
    </row>
    <row r="1606">
      <c r="A1606" s="2"/>
      <c r="B1606" s="8" t="str">
        <f>IFERROR(__xludf.DUMMYFUNCTION("""COMPUTED_VALUE"""),"FADLI SITOMPUL")</f>
        <v>FADLI SITOMPUL</v>
      </c>
      <c r="C1606" s="8" t="str">
        <f>IFERROR(__xludf.DUMMYFUNCTION("""COMPUTED_VALUE"""),"F8224088826")</f>
        <v>F8224088826</v>
      </c>
      <c r="D1606" s="8">
        <f>IFERROR(__xludf.DUMMYFUNCTION("""COMPUTED_VALUE"""),44.0)</f>
        <v>44</v>
      </c>
      <c r="E1606" s="2"/>
    </row>
    <row r="1607">
      <c r="A1607" s="2"/>
      <c r="B1607" s="8" t="str">
        <f>IFERROR(__xludf.DUMMYFUNCTION("""COMPUTED_VALUE"""),"RUDI RIYANTAMA")</f>
        <v>RUDI RIYANTAMA</v>
      </c>
      <c r="C1607" s="8" t="str">
        <f>IFERROR(__xludf.DUMMYFUNCTION("""COMPUTED_VALUE"""),"R0024087369")</f>
        <v>R0024087369</v>
      </c>
      <c r="D1607" s="8">
        <f>IFERROR(__xludf.DUMMYFUNCTION("""COMPUTED_VALUE"""),26.0)</f>
        <v>26</v>
      </c>
      <c r="E1607" s="2"/>
    </row>
    <row r="1608">
      <c r="A1608" s="2"/>
      <c r="B1608" s="8" t="str">
        <f>IFERROR(__xludf.DUMMYFUNCTION("""COMPUTED_VALUE"""),"DIAN PRIMAYUDI")</f>
        <v>DIAN PRIMAYUDI</v>
      </c>
      <c r="C1608" s="8" t="str">
        <f>IFERROR(__xludf.DUMMYFUNCTION("""COMPUTED_VALUE"""),"D8524082221")</f>
        <v>D8524082221</v>
      </c>
      <c r="D1608" s="8">
        <f>IFERROR(__xludf.DUMMYFUNCTION("""COMPUTED_VALUE"""),40.0)</f>
        <v>40</v>
      </c>
      <c r="E1608" s="2"/>
    </row>
    <row r="1609">
      <c r="A1609" s="2"/>
      <c r="B1609" s="8" t="str">
        <f>IFERROR(__xludf.DUMMYFUNCTION("""COMPUTED_VALUE"""),"NURMARDIAH")</f>
        <v>NURMARDIAH</v>
      </c>
      <c r="C1609" s="8" t="str">
        <f>IFERROR(__xludf.DUMMYFUNCTION("""COMPUTED_VALUE"""),"N7024089668")</f>
        <v>N7024089668</v>
      </c>
      <c r="D1609" s="8">
        <f>IFERROR(__xludf.DUMMYFUNCTION("""COMPUTED_VALUE"""),55.0)</f>
        <v>55</v>
      </c>
      <c r="E1609" s="2"/>
    </row>
    <row r="1610">
      <c r="A1610" s="2"/>
      <c r="B1610" s="8" t="str">
        <f>IFERROR(__xludf.DUMMYFUNCTION("""COMPUTED_VALUE"""),"CHAIRIL ANWAR")</f>
        <v>CHAIRIL ANWAR</v>
      </c>
      <c r="C1610" s="8" t="str">
        <f>IFERROR(__xludf.DUMMYFUNCTION("""COMPUTED_VALUE"""),"C5124083366")</f>
        <v>C5124083366</v>
      </c>
      <c r="D1610" s="8">
        <f>IFERROR(__xludf.DUMMYFUNCTION("""COMPUTED_VALUE"""),75.0)</f>
        <v>75</v>
      </c>
      <c r="E1610" s="2"/>
    </row>
    <row r="1611">
      <c r="A1611" s="2"/>
      <c r="B1611" s="8" t="str">
        <f>IFERROR(__xludf.DUMMYFUNCTION("""COMPUTED_VALUE"""),"AREF RISMANTO")</f>
        <v>AREF RISMANTO</v>
      </c>
      <c r="C1611" s="8" t="str">
        <f>IFERROR(__xludf.DUMMYFUNCTION("""COMPUTED_VALUE"""),"A9824084841")</f>
        <v>A9824084841</v>
      </c>
      <c r="D1611" s="8">
        <f>IFERROR(__xludf.DUMMYFUNCTION("""COMPUTED_VALUE"""),28.0)</f>
        <v>28</v>
      </c>
      <c r="E1611" s="2"/>
    </row>
    <row r="1612">
      <c r="A1612" s="2"/>
      <c r="B1612" s="8" t="str">
        <f>IFERROR(__xludf.DUMMYFUNCTION("""COMPUTED_VALUE"""),"MUHAMMAD OMAR ATTA")</f>
        <v>MUHAMMAD OMAR ATTA</v>
      </c>
      <c r="C1612" s="8" t="str">
        <f>IFERROR(__xludf.DUMMYFUNCTION("""COMPUTED_VALUE"""),"M1324088118")</f>
        <v>M1324088118</v>
      </c>
      <c r="D1612" s="8">
        <f>IFERROR(__xludf.DUMMYFUNCTION("""COMPUTED_VALUE"""),13.0)</f>
        <v>13</v>
      </c>
      <c r="E1612" s="2"/>
    </row>
    <row r="1613">
      <c r="A1613" s="2"/>
      <c r="B1613" s="8" t="str">
        <f>IFERROR(__xludf.DUMMYFUNCTION("""COMPUTED_VALUE"""),"AHMAD DHIYAUL HAQ")</f>
        <v>AHMAD DHIYAUL HAQ</v>
      </c>
      <c r="C1613" s="8" t="str">
        <f>IFERROR(__xludf.DUMMYFUNCTION("""COMPUTED_VALUE"""),"A9724082123")</f>
        <v>A9724082123</v>
      </c>
      <c r="D1613" s="8">
        <f>IFERROR(__xludf.DUMMYFUNCTION("""COMPUTED_VALUE"""),28.0)</f>
        <v>28</v>
      </c>
      <c r="E1613" s="2"/>
    </row>
    <row r="1614">
      <c r="A1614" s="2"/>
      <c r="B1614" s="8" t="str">
        <f>IFERROR(__xludf.DUMMYFUNCTION("""COMPUTED_VALUE"""),"ADI BAIHAQI")</f>
        <v>ADI BAIHAQI</v>
      </c>
      <c r="C1614" s="8" t="str">
        <f>IFERROR(__xludf.DUMMYFUNCTION("""COMPUTED_VALUE"""),"A7824082013")</f>
        <v>A7824082013</v>
      </c>
      <c r="D1614" s="8">
        <f>IFERROR(__xludf.DUMMYFUNCTION("""COMPUTED_VALUE"""),48.0)</f>
        <v>48</v>
      </c>
      <c r="E1614" s="2"/>
    </row>
    <row r="1615">
      <c r="A1615" s="2"/>
      <c r="B1615" s="8" t="str">
        <f>IFERROR(__xludf.DUMMYFUNCTION("""COMPUTED_VALUE"""),"AKHMAD RIFKY SETYA ANUGRAH")</f>
        <v>AKHMAD RIFKY SETYA ANUGRAH</v>
      </c>
      <c r="C1615" s="8" t="str">
        <f>IFERROR(__xludf.DUMMYFUNCTION("""COMPUTED_VALUE"""),"A9224087137")</f>
        <v>A9224087137</v>
      </c>
      <c r="D1615" s="8">
        <f>IFERROR(__xludf.DUMMYFUNCTION("""COMPUTED_VALUE"""),33.0)</f>
        <v>33</v>
      </c>
      <c r="E1615" s="2"/>
    </row>
    <row r="1616">
      <c r="A1616" s="2"/>
      <c r="B1616" s="8" t="str">
        <f>IFERROR(__xludf.DUMMYFUNCTION("""COMPUTED_VALUE"""),"MUSLIMIN")</f>
        <v>MUSLIMIN</v>
      </c>
      <c r="C1616" s="8" t="str">
        <f>IFERROR(__xludf.DUMMYFUNCTION("""COMPUTED_VALUE"""),"M8724085261")</f>
        <v>M8724085261</v>
      </c>
      <c r="D1616" s="8">
        <f>IFERROR(__xludf.DUMMYFUNCTION("""COMPUTED_VALUE"""),38.0)</f>
        <v>38</v>
      </c>
      <c r="E1616" s="2"/>
    </row>
    <row r="1617">
      <c r="A1617" s="2"/>
      <c r="B1617" s="8" t="str">
        <f>IFERROR(__xludf.DUMMYFUNCTION("""COMPUTED_VALUE"""),"RIDLEY BORIS")</f>
        <v>RIDLEY BORIS</v>
      </c>
      <c r="C1617" s="8" t="str">
        <f>IFERROR(__xludf.DUMMYFUNCTION("""COMPUTED_VALUE"""),"R8924087777")</f>
        <v>R8924087777</v>
      </c>
      <c r="D1617" s="8">
        <f>IFERROR(__xludf.DUMMYFUNCTION("""COMPUTED_VALUE"""),36.0)</f>
        <v>36</v>
      </c>
      <c r="E1617" s="2"/>
    </row>
    <row r="1618">
      <c r="A1618" s="2"/>
      <c r="B1618" s="8" t="str">
        <f>IFERROR(__xludf.DUMMYFUNCTION("""COMPUTED_VALUE"""),"SRI SUSANTI AMD KEB")</f>
        <v>SRI SUSANTI AMD KEB</v>
      </c>
      <c r="C1618" s="8" t="str">
        <f>IFERROR(__xludf.DUMMYFUNCTION("""COMPUTED_VALUE"""),"S7724088455")</f>
        <v>S7724088455</v>
      </c>
      <c r="D1618" s="8">
        <f>IFERROR(__xludf.DUMMYFUNCTION("""COMPUTED_VALUE"""),48.0)</f>
        <v>48</v>
      </c>
      <c r="E1618" s="2"/>
    </row>
    <row r="1619">
      <c r="A1619" s="2"/>
      <c r="B1619" s="8" t="str">
        <f>IFERROR(__xludf.DUMMYFUNCTION("""COMPUTED_VALUE"""),"BAGUS TEGUH HARTONO")</f>
        <v>BAGUS TEGUH HARTONO</v>
      </c>
      <c r="C1619" s="8" t="str">
        <f>IFERROR(__xludf.DUMMYFUNCTION("""COMPUTED_VALUE"""),"B9324088276")</f>
        <v>B9324088276</v>
      </c>
      <c r="D1619" s="8">
        <f>IFERROR(__xludf.DUMMYFUNCTION("""COMPUTED_VALUE"""),33.0)</f>
        <v>33</v>
      </c>
      <c r="E1619" s="2"/>
    </row>
    <row r="1620">
      <c r="A1620" s="2"/>
      <c r="B1620" s="8" t="str">
        <f>IFERROR(__xludf.DUMMYFUNCTION("""COMPUTED_VALUE"""),"MUSLEHUDDIN")</f>
        <v>MUSLEHUDDIN</v>
      </c>
      <c r="C1620" s="8" t="str">
        <f>IFERROR(__xludf.DUMMYFUNCTION("""COMPUTED_VALUE"""),"M0424084316")</f>
        <v>M0424084316</v>
      </c>
      <c r="D1620" s="8">
        <f>IFERROR(__xludf.DUMMYFUNCTION("""COMPUTED_VALUE"""),21.0)</f>
        <v>21</v>
      </c>
      <c r="E1620" s="2"/>
    </row>
    <row r="1621">
      <c r="A1621" s="2"/>
      <c r="B1621" s="8" t="str">
        <f>IFERROR(__xludf.DUMMYFUNCTION("""COMPUTED_VALUE"""),"RAMA")</f>
        <v>RAMA</v>
      </c>
      <c r="C1621" s="8" t="str">
        <f>IFERROR(__xludf.DUMMYFUNCTION("""COMPUTED_VALUE"""),"R8624082890")</f>
        <v>R8624082890</v>
      </c>
      <c r="D1621" s="8">
        <f>IFERROR(__xludf.DUMMYFUNCTION("""COMPUTED_VALUE"""),39.0)</f>
        <v>39</v>
      </c>
      <c r="E1621" s="2"/>
    </row>
    <row r="1622">
      <c r="A1622" s="2"/>
      <c r="B1622" s="8" t="str">
        <f>IFERROR(__xludf.DUMMYFUNCTION("""COMPUTED_VALUE"""),"VICKA LAIFA APRILYA")</f>
        <v>VICKA LAIFA APRILYA</v>
      </c>
      <c r="C1622" s="8" t="str">
        <f>IFERROR(__xludf.DUMMYFUNCTION("""COMPUTED_VALUE"""),"V9124082026")</f>
        <v>V9124082026</v>
      </c>
      <c r="D1622" s="8">
        <f>IFERROR(__xludf.DUMMYFUNCTION("""COMPUTED_VALUE"""),35.0)</f>
        <v>35</v>
      </c>
      <c r="E1622" s="2"/>
    </row>
    <row r="1623">
      <c r="A1623" s="2"/>
      <c r="B1623" s="8" t="str">
        <f>IFERROR(__xludf.DUMMYFUNCTION("""COMPUTED_VALUE"""),"TRI DEWI PURWANTI")</f>
        <v>TRI DEWI PURWANTI</v>
      </c>
      <c r="C1623" s="8" t="str">
        <f>IFERROR(__xludf.DUMMYFUNCTION("""COMPUTED_VALUE"""),"T8624082229")</f>
        <v>T8624082229</v>
      </c>
      <c r="D1623" s="8">
        <f>IFERROR(__xludf.DUMMYFUNCTION("""COMPUTED_VALUE"""),39.0)</f>
        <v>39</v>
      </c>
      <c r="E1623" s="2"/>
    </row>
    <row r="1624">
      <c r="A1624" s="2"/>
      <c r="B1624" s="8" t="str">
        <f>IFERROR(__xludf.DUMMYFUNCTION("""COMPUTED_VALUE"""),"RATNA DEWI")</f>
        <v>RATNA DEWI</v>
      </c>
      <c r="C1624" s="8" t="str">
        <f>IFERROR(__xludf.DUMMYFUNCTION("""COMPUTED_VALUE"""),"R9024087560")</f>
        <v>R9024087560</v>
      </c>
      <c r="D1624" s="8">
        <f>IFERROR(__xludf.DUMMYFUNCTION("""COMPUTED_VALUE"""),35.0)</f>
        <v>35</v>
      </c>
      <c r="E1624" s="2"/>
    </row>
    <row r="1625">
      <c r="A1625" s="2"/>
      <c r="B1625" s="8" t="str">
        <f>IFERROR(__xludf.DUMMYFUNCTION("""COMPUTED_VALUE"""),"ALY AL DASTAN")</f>
        <v>ALY AL DASTAN</v>
      </c>
      <c r="C1625" s="8" t="str">
        <f>IFERROR(__xludf.DUMMYFUNCTION("""COMPUTED_VALUE"""),"A2424089584")</f>
        <v>A2424089584</v>
      </c>
      <c r="D1625" s="8">
        <f>IFERROR(__xludf.DUMMYFUNCTION("""COMPUTED_VALUE"""),1.0)</f>
        <v>1</v>
      </c>
      <c r="E1625" s="2"/>
    </row>
    <row r="1626">
      <c r="A1626" s="2"/>
      <c r="B1626" s="8" t="str">
        <f>IFERROR(__xludf.DUMMYFUNCTION("""COMPUTED_VALUE"""),"BUNGA MITASARI")</f>
        <v>BUNGA MITASARI</v>
      </c>
      <c r="C1626" s="8" t="str">
        <f>IFERROR(__xludf.DUMMYFUNCTION("""COMPUTED_VALUE"""),"B9324087527")</f>
        <v>B9324087527</v>
      </c>
      <c r="D1626" s="8">
        <f>IFERROR(__xludf.DUMMYFUNCTION("""COMPUTED_VALUE"""),33.0)</f>
        <v>33</v>
      </c>
      <c r="E1626" s="2"/>
    </row>
    <row r="1627">
      <c r="A1627" s="2"/>
      <c r="B1627" s="8" t="str">
        <f>IFERROR(__xludf.DUMMYFUNCTION("""COMPUTED_VALUE"""),"HERY 9107")</f>
        <v>HERY 9107</v>
      </c>
      <c r="C1627" s="8" t="str">
        <f>IFERROR(__xludf.DUMMYFUNCTION("""COMPUTED_VALUE"""),"H9124088998")</f>
        <v>H9124088998</v>
      </c>
      <c r="D1627" s="8">
        <f>IFERROR(__xludf.DUMMYFUNCTION("""COMPUTED_VALUE"""),35.0)</f>
        <v>35</v>
      </c>
      <c r="E1627" s="2"/>
    </row>
    <row r="1628">
      <c r="A1628" s="2"/>
      <c r="B1628" s="8" t="str">
        <f>IFERROR(__xludf.DUMMYFUNCTION("""COMPUTED_VALUE"""),"SILVIA LARASATY DEWI")</f>
        <v>SILVIA LARASATY DEWI</v>
      </c>
      <c r="C1628" s="8" t="str">
        <f>IFERROR(__xludf.DUMMYFUNCTION("""COMPUTED_VALUE"""),"S9924085802")</f>
        <v>S9924085802</v>
      </c>
      <c r="D1628" s="8">
        <f>IFERROR(__xludf.DUMMYFUNCTION("""COMPUTED_VALUE"""),26.0)</f>
        <v>26</v>
      </c>
      <c r="E1628" s="2"/>
    </row>
    <row r="1629">
      <c r="A1629" s="2"/>
      <c r="B1629" s="8" t="str">
        <f>IFERROR(__xludf.DUMMYFUNCTION("""COMPUTED_VALUE"""),"MENTARI RACHMANIAZ RIZKI")</f>
        <v>MENTARI RACHMANIAZ RIZKI</v>
      </c>
      <c r="C1629" s="8" t="str">
        <f>IFERROR(__xludf.DUMMYFUNCTION("""COMPUTED_VALUE"""),"M9924081266")</f>
        <v>M9924081266</v>
      </c>
      <c r="D1629" s="8">
        <f>IFERROR(__xludf.DUMMYFUNCTION("""COMPUTED_VALUE"""),27.0)</f>
        <v>27</v>
      </c>
      <c r="E1629" s="2"/>
    </row>
    <row r="1630">
      <c r="A1630" s="2"/>
      <c r="B1630" s="8" t="str">
        <f>IFERROR(__xludf.DUMMYFUNCTION("""COMPUTED_VALUE"""),"JENSHEN DARMA")</f>
        <v>JENSHEN DARMA</v>
      </c>
      <c r="C1630" s="8" t="str">
        <f>IFERROR(__xludf.DUMMYFUNCTION("""COMPUTED_VALUE"""),"J0324089832")</f>
        <v>J0324089832</v>
      </c>
      <c r="D1630" s="8">
        <f>IFERROR(__xludf.DUMMYFUNCTION("""COMPUTED_VALUE"""),23.0)</f>
        <v>23</v>
      </c>
      <c r="E1630" s="2"/>
    </row>
    <row r="1631">
      <c r="A1631" s="2"/>
      <c r="B1631" s="8" t="str">
        <f>IFERROR(__xludf.DUMMYFUNCTION("""COMPUTED_VALUE"""),"YONG REN AUGUSTO")</f>
        <v>YONG REN AUGUSTO</v>
      </c>
      <c r="C1631" s="8" t="str">
        <f>IFERROR(__xludf.DUMMYFUNCTION("""COMPUTED_VALUE"""),"Y0524086988")</f>
        <v>Y0524086988</v>
      </c>
      <c r="D1631" s="8">
        <f>IFERROR(__xludf.DUMMYFUNCTION("""COMPUTED_VALUE"""),20.0)</f>
        <v>20</v>
      </c>
      <c r="E1631" s="2"/>
    </row>
    <row r="1632">
      <c r="A1632" s="2"/>
      <c r="B1632" s="8" t="str">
        <f>IFERROR(__xludf.DUMMYFUNCTION("""COMPUTED_VALUE"""),"FARIS RAHMADIAN ARMADHANI")</f>
        <v>FARIS RAHMADIAN ARMADHANI</v>
      </c>
      <c r="C1632" s="8" t="str">
        <f>IFERROR(__xludf.DUMMYFUNCTION("""COMPUTED_VALUE"""),"F9424084583")</f>
        <v>F9424084583</v>
      </c>
      <c r="D1632" s="8">
        <f>IFERROR(__xludf.DUMMYFUNCTION("""COMPUTED_VALUE"""),32.0)</f>
        <v>32</v>
      </c>
      <c r="E1632" s="2"/>
    </row>
    <row r="1633">
      <c r="A1633" s="2"/>
      <c r="B1633" s="8" t="str">
        <f>IFERROR(__xludf.DUMMYFUNCTION("""COMPUTED_VALUE"""),"AFIF ZULFA NURHAYATI")</f>
        <v>AFIF ZULFA NURHAYATI</v>
      </c>
      <c r="C1633" s="8" t="str">
        <f>IFERROR(__xludf.DUMMYFUNCTION("""COMPUTED_VALUE"""),"A9924081439")</f>
        <v>A9924081439</v>
      </c>
      <c r="D1633" s="8">
        <f>IFERROR(__xludf.DUMMYFUNCTION("""COMPUTED_VALUE"""),26.0)</f>
        <v>26</v>
      </c>
      <c r="E1633" s="2"/>
    </row>
    <row r="1634">
      <c r="A1634" s="2"/>
      <c r="B1634" s="8" t="str">
        <f>IFERROR(__xludf.DUMMYFUNCTION("""COMPUTED_VALUE"""),"ERWIN CHUA")</f>
        <v>ERWIN CHUA</v>
      </c>
      <c r="C1634" s="8" t="str">
        <f>IFERROR(__xludf.DUMMYFUNCTION("""COMPUTED_VALUE"""),"E9524080950")</f>
        <v>E9524080950</v>
      </c>
      <c r="D1634" s="8">
        <f>IFERROR(__xludf.DUMMYFUNCTION("""COMPUTED_VALUE"""),31.0)</f>
        <v>31</v>
      </c>
      <c r="E1634" s="2"/>
    </row>
    <row r="1635">
      <c r="A1635" s="2"/>
      <c r="B1635" s="8" t="str">
        <f>IFERROR(__xludf.DUMMYFUNCTION("""COMPUTED_VALUE"""),"ALFANI AMINUDDIN")</f>
        <v>ALFANI AMINUDDIN</v>
      </c>
      <c r="C1635" s="8" t="str">
        <f>IFERROR(__xludf.DUMMYFUNCTION("""COMPUTED_VALUE"""),"A9124080813")</f>
        <v>A9124080813</v>
      </c>
      <c r="D1635" s="8">
        <f>IFERROR(__xludf.DUMMYFUNCTION("""COMPUTED_VALUE"""),34.0)</f>
        <v>34</v>
      </c>
      <c r="E1635" s="2"/>
    </row>
    <row r="1636">
      <c r="A1636" s="2"/>
      <c r="B1636" s="8" t="str">
        <f>IFERROR(__xludf.DUMMYFUNCTION("""COMPUTED_VALUE"""),"VEREN HALIM")</f>
        <v>VEREN HALIM</v>
      </c>
      <c r="C1636" s="8" t="str">
        <f>IFERROR(__xludf.DUMMYFUNCTION("""COMPUTED_VALUE"""),"V0324086033")</f>
        <v>V0324086033</v>
      </c>
      <c r="D1636" s="8">
        <f>IFERROR(__xludf.DUMMYFUNCTION("""COMPUTED_VALUE"""),23.0)</f>
        <v>23</v>
      </c>
      <c r="E1636" s="2"/>
    </row>
    <row r="1637">
      <c r="A1637" s="2"/>
      <c r="B1637" s="8" t="str">
        <f>IFERROR(__xludf.DUMMYFUNCTION("""COMPUTED_VALUE"""),"YENI ANDIKAWATI")</f>
        <v>YENI ANDIKAWATI</v>
      </c>
      <c r="C1637" s="8" t="str">
        <f>IFERROR(__xludf.DUMMYFUNCTION("""COMPUTED_VALUE"""),"Y2424089584")</f>
        <v>Y2424089584</v>
      </c>
      <c r="D1637" s="8">
        <f>IFERROR(__xludf.DUMMYFUNCTION("""COMPUTED_VALUE"""),2.0)</f>
        <v>2</v>
      </c>
      <c r="E1637" s="2"/>
    </row>
    <row r="1638">
      <c r="A1638" s="2"/>
      <c r="B1638" s="8" t="str">
        <f>IFERROR(__xludf.DUMMYFUNCTION("""COMPUTED_VALUE"""),"ALAN NUARI")</f>
        <v>ALAN NUARI</v>
      </c>
      <c r="C1638" s="8" t="str">
        <f>IFERROR(__xludf.DUMMYFUNCTION("""COMPUTED_VALUE"""),"A9024082325")</f>
        <v>A9024082325</v>
      </c>
      <c r="D1638" s="8">
        <f>IFERROR(__xludf.DUMMYFUNCTION("""COMPUTED_VALUE"""),36.0)</f>
        <v>36</v>
      </c>
      <c r="E1638" s="2"/>
    </row>
    <row r="1639">
      <c r="A1639" s="2"/>
      <c r="B1639" s="8" t="str">
        <f>IFERROR(__xludf.DUMMYFUNCTION("""COMPUTED_VALUE"""),"MUHAMMAD MURDIAN")</f>
        <v>MUHAMMAD MURDIAN</v>
      </c>
      <c r="C1639" s="8" t="str">
        <f>IFERROR(__xludf.DUMMYFUNCTION("""COMPUTED_VALUE"""),"M9924086918")</f>
        <v>M9924086918</v>
      </c>
      <c r="D1639" s="8">
        <f>IFERROR(__xludf.DUMMYFUNCTION("""COMPUTED_VALUE"""),27.0)</f>
        <v>27</v>
      </c>
      <c r="E1639" s="2"/>
    </row>
    <row r="1640">
      <c r="A1640" s="2"/>
      <c r="B1640" s="8" t="str">
        <f>IFERROR(__xludf.DUMMYFUNCTION("""COMPUTED_VALUE"""),"RAHMIATI DUWIK SUARNI")</f>
        <v>RAHMIATI DUWIK SUARNI</v>
      </c>
      <c r="C1640" s="8" t="str">
        <f>IFERROR(__xludf.DUMMYFUNCTION("""COMPUTED_VALUE"""),"R0324083730")</f>
        <v>R0324083730</v>
      </c>
      <c r="D1640" s="8">
        <f>IFERROR(__xludf.DUMMYFUNCTION("""COMPUTED_VALUE"""),22.0)</f>
        <v>22</v>
      </c>
      <c r="E1640" s="2"/>
    </row>
    <row r="1641">
      <c r="A1641" s="2"/>
      <c r="B1641" s="8" t="str">
        <f>IFERROR(__xludf.DUMMYFUNCTION("""COMPUTED_VALUE"""),"TIANAR SIMANJUNTAK")</f>
        <v>TIANAR SIMANJUNTAK</v>
      </c>
      <c r="C1641" s="8" t="str">
        <f>IFERROR(__xludf.DUMMYFUNCTION("""COMPUTED_VALUE"""),"T5824082036")</f>
        <v>T5824082036</v>
      </c>
      <c r="D1641" s="8">
        <f>IFERROR(__xludf.DUMMYFUNCTION("""COMPUTED_VALUE"""),68.0)</f>
        <v>68</v>
      </c>
      <c r="E1641" s="2"/>
    </row>
    <row r="1642">
      <c r="A1642" s="2"/>
      <c r="B1642" s="8" t="str">
        <f>IFERROR(__xludf.DUMMYFUNCTION("""COMPUTED_VALUE"""),"BENYAMIN BAYE")</f>
        <v>BENYAMIN BAYE</v>
      </c>
      <c r="C1642" s="8" t="str">
        <f>IFERROR(__xludf.DUMMYFUNCTION("""COMPUTED_VALUE"""),"B2424086325")</f>
        <v>B2424086325</v>
      </c>
      <c r="D1642" s="8">
        <f>IFERROR(__xludf.DUMMYFUNCTION("""COMPUTED_VALUE"""),1.0)</f>
        <v>1</v>
      </c>
      <c r="E1642" s="2"/>
    </row>
    <row r="1643">
      <c r="A1643" s="2"/>
      <c r="B1643" s="8" t="str">
        <f>IFERROR(__xludf.DUMMYFUNCTION("""COMPUTED_VALUE"""),"HENGKY KAKI")</f>
        <v>HENGKY KAKI</v>
      </c>
      <c r="C1643" s="8" t="str">
        <f>IFERROR(__xludf.DUMMYFUNCTION("""COMPUTED_VALUE"""),"H8024086788")</f>
        <v>H8024086788</v>
      </c>
      <c r="D1643" s="8">
        <f>IFERROR(__xludf.DUMMYFUNCTION("""COMPUTED_VALUE"""),45.0)</f>
        <v>45</v>
      </c>
      <c r="E1643" s="2"/>
    </row>
    <row r="1644">
      <c r="A1644" s="2"/>
      <c r="B1644" s="8" t="str">
        <f>IFERROR(__xludf.DUMMYFUNCTION("""COMPUTED_VALUE"""),"HENDRA BUDIMAN")</f>
        <v>HENDRA BUDIMAN</v>
      </c>
      <c r="C1644" s="8" t="str">
        <f>IFERROR(__xludf.DUMMYFUNCTION("""COMPUTED_VALUE"""),"H8624085048")</f>
        <v>H8624085048</v>
      </c>
      <c r="D1644" s="8">
        <f>IFERROR(__xludf.DUMMYFUNCTION("""COMPUTED_VALUE"""),40.0)</f>
        <v>40</v>
      </c>
      <c r="E1644" s="2"/>
    </row>
    <row r="1645">
      <c r="A1645" s="2"/>
      <c r="B1645" s="8" t="str">
        <f>IFERROR(__xludf.DUMMYFUNCTION("""COMPUTED_VALUE"""),"DEWI KURNIATI")</f>
        <v>DEWI KURNIATI</v>
      </c>
      <c r="C1645" s="8" t="str">
        <f>IFERROR(__xludf.DUMMYFUNCTION("""COMPUTED_VALUE"""),"D7724087711")</f>
        <v>D7724087711</v>
      </c>
      <c r="D1645" s="8">
        <f>IFERROR(__xludf.DUMMYFUNCTION("""COMPUTED_VALUE"""),48.0)</f>
        <v>48</v>
      </c>
      <c r="E1645" s="2"/>
    </row>
    <row r="1646">
      <c r="A1646" s="2"/>
      <c r="B1646" s="8" t="str">
        <f>IFERROR(__xludf.DUMMYFUNCTION("""COMPUTED_VALUE"""),"ELIS YUNELITA")</f>
        <v>ELIS YUNELITA</v>
      </c>
      <c r="C1646" s="8" t="str">
        <f>IFERROR(__xludf.DUMMYFUNCTION("""COMPUTED_VALUE"""),"E6624089477")</f>
        <v>E6624089477</v>
      </c>
      <c r="D1646" s="8">
        <f>IFERROR(__xludf.DUMMYFUNCTION("""COMPUTED_VALUE"""),60.0)</f>
        <v>60</v>
      </c>
      <c r="E1646" s="2"/>
    </row>
    <row r="1647">
      <c r="A1647" s="2"/>
      <c r="B1647" s="8" t="str">
        <f>IFERROR(__xludf.DUMMYFUNCTION("""COMPUTED_VALUE"""),"EVI SILVANA")</f>
        <v>EVI SILVANA</v>
      </c>
      <c r="C1647" s="8" t="str">
        <f>IFERROR(__xludf.DUMMYFUNCTION("""COMPUTED_VALUE"""),"E6324084907")</f>
        <v>E6324084907</v>
      </c>
      <c r="D1647" s="8">
        <f>IFERROR(__xludf.DUMMYFUNCTION("""COMPUTED_VALUE"""),63.0)</f>
        <v>63</v>
      </c>
      <c r="E1647" s="2"/>
    </row>
    <row r="1648">
      <c r="A1648" s="2"/>
      <c r="B1648" s="8" t="str">
        <f>IFERROR(__xludf.DUMMYFUNCTION("""COMPUTED_VALUE"""),"SIGIT PRAYOGA")</f>
        <v>SIGIT PRAYOGA</v>
      </c>
      <c r="C1648" s="8" t="str">
        <f>IFERROR(__xludf.DUMMYFUNCTION("""COMPUTED_VALUE"""),"S0324084073")</f>
        <v>S0324084073</v>
      </c>
      <c r="D1648" s="8">
        <f>IFERROR(__xludf.DUMMYFUNCTION("""COMPUTED_VALUE"""),23.0)</f>
        <v>23</v>
      </c>
      <c r="E1648" s="2"/>
    </row>
    <row r="1649">
      <c r="A1649" s="2"/>
      <c r="B1649" s="8" t="str">
        <f>IFERROR(__xludf.DUMMYFUNCTION("""COMPUTED_VALUE"""),"LILIK INDRAWATI")</f>
        <v>LILIK INDRAWATI</v>
      </c>
      <c r="C1649" s="8" t="str">
        <f>IFERROR(__xludf.DUMMYFUNCTION("""COMPUTED_VALUE"""),"L7324084510")</f>
        <v>L7324084510</v>
      </c>
      <c r="D1649" s="8">
        <f>IFERROR(__xludf.DUMMYFUNCTION("""COMPUTED_VALUE"""),53.0)</f>
        <v>53</v>
      </c>
      <c r="E1649" s="2"/>
    </row>
    <row r="1650">
      <c r="A1650" s="2"/>
      <c r="B1650" s="8" t="str">
        <f>IFERROR(__xludf.DUMMYFUNCTION("""COMPUTED_VALUE"""),"ANKLE KANAN TERKILIR ")</f>
        <v>ANKLE KANAN TERKILIR </v>
      </c>
      <c r="C1650" s="8" t="str">
        <f>IFERROR(__xludf.DUMMYFUNCTION("""COMPUTED_VALUE"""),"A0424089008")</f>
        <v>A0424089008</v>
      </c>
      <c r="D1650" s="8">
        <f>IFERROR(__xludf.DUMMYFUNCTION("""COMPUTED_VALUE"""),22.0)</f>
        <v>22</v>
      </c>
      <c r="E1650" s="2"/>
    </row>
    <row r="1651">
      <c r="A1651" s="2"/>
      <c r="B1651" s="8" t="str">
        <f>IFERROR(__xludf.DUMMYFUNCTION("""COMPUTED_VALUE"""),"MUHAMMAD FAJRIYAN")</f>
        <v>MUHAMMAD FAJRIYAN</v>
      </c>
      <c r="C1651" s="8" t="str">
        <f>IFERROR(__xludf.DUMMYFUNCTION("""COMPUTED_VALUE"""),"M9724085312")</f>
        <v>M9724085312</v>
      </c>
      <c r="D1651" s="8">
        <f>IFERROR(__xludf.DUMMYFUNCTION("""COMPUTED_VALUE"""),28.0)</f>
        <v>28</v>
      </c>
      <c r="E1651" s="2"/>
    </row>
    <row r="1652">
      <c r="A1652" s="2"/>
      <c r="B1652" s="8" t="str">
        <f>IFERROR(__xludf.DUMMYFUNCTION("""COMPUTED_VALUE"""),"ZULFITA")</f>
        <v>ZULFITA</v>
      </c>
      <c r="C1652" s="8" t="str">
        <f>IFERROR(__xludf.DUMMYFUNCTION("""COMPUTED_VALUE"""),"Z6624087005")</f>
        <v>Z6624087005</v>
      </c>
      <c r="D1652" s="8">
        <f>IFERROR(__xludf.DUMMYFUNCTION("""COMPUTED_VALUE"""),60.0)</f>
        <v>60</v>
      </c>
      <c r="E1652" s="2"/>
    </row>
    <row r="1653">
      <c r="A1653" s="2"/>
      <c r="B1653" s="8" t="str">
        <f>IFERROR(__xludf.DUMMYFUNCTION("""COMPUTED_VALUE"""),"DANANG BAYU TRANGGONO")</f>
        <v>DANANG BAYU TRANGGONO</v>
      </c>
      <c r="C1653" s="8" t="str">
        <f>IFERROR(__xludf.DUMMYFUNCTION("""COMPUTED_VALUE"""),"D9024082492")</f>
        <v>D9024082492</v>
      </c>
      <c r="D1653" s="8">
        <f>IFERROR(__xludf.DUMMYFUNCTION("""COMPUTED_VALUE"""),36.0)</f>
        <v>36</v>
      </c>
      <c r="E1653" s="2"/>
    </row>
    <row r="1654">
      <c r="A1654" s="2"/>
      <c r="B1654" s="8" t="str">
        <f>IFERROR(__xludf.DUMMYFUNCTION("""COMPUTED_VALUE"""),"SUTAN RAIHAN ALIFRYAN")</f>
        <v>SUTAN RAIHAN ALIFRYAN</v>
      </c>
      <c r="C1654" s="8" t="str">
        <f>IFERROR(__xludf.DUMMYFUNCTION("""COMPUTED_VALUE"""),"S0724088254")</f>
        <v>S0724088254</v>
      </c>
      <c r="D1654" s="8">
        <f>IFERROR(__xludf.DUMMYFUNCTION("""COMPUTED_VALUE"""),19.0)</f>
        <v>19</v>
      </c>
      <c r="E1654" s="2"/>
    </row>
    <row r="1655">
      <c r="A1655" s="2"/>
      <c r="B1655" s="8" t="str">
        <f>IFERROR(__xludf.DUMMYFUNCTION("""COMPUTED_VALUE"""),"DWI ZULFITA")</f>
        <v>DWI ZULFITA</v>
      </c>
      <c r="C1655" s="8" t="str">
        <f>IFERROR(__xludf.DUMMYFUNCTION("""COMPUTED_VALUE"""),"D8624089243")</f>
        <v>D8624089243</v>
      </c>
      <c r="D1655" s="8">
        <f>IFERROR(__xludf.DUMMYFUNCTION("""COMPUTED_VALUE"""),39.0)</f>
        <v>39</v>
      </c>
      <c r="E1655" s="2"/>
    </row>
    <row r="1656">
      <c r="A1656" s="2"/>
      <c r="B1656" s="8" t="str">
        <f>IFERROR(__xludf.DUMMYFUNCTION("""COMPUTED_VALUE"""),"NOVIANTY")</f>
        <v>NOVIANTY</v>
      </c>
      <c r="C1656" s="8" t="str">
        <f>IFERROR(__xludf.DUMMYFUNCTION("""COMPUTED_VALUE"""),"N8424083002")</f>
        <v>N8424083002</v>
      </c>
      <c r="D1656" s="8">
        <f>IFERROR(__xludf.DUMMYFUNCTION("""COMPUTED_VALUE"""),41.0)</f>
        <v>41</v>
      </c>
      <c r="E1656" s="2"/>
    </row>
    <row r="1657">
      <c r="A1657" s="2"/>
      <c r="B1657" s="8" t="str">
        <f>IFERROR(__xludf.DUMMYFUNCTION("""COMPUTED_VALUE"""),"HENGKY PINGGANG")</f>
        <v>HENGKY PINGGANG</v>
      </c>
      <c r="C1657" s="8" t="str">
        <f>IFERROR(__xludf.DUMMYFUNCTION("""COMPUTED_VALUE"""),"H7924082626")</f>
        <v>H7924082626</v>
      </c>
      <c r="D1657" s="8">
        <f>IFERROR(__xludf.DUMMYFUNCTION("""COMPUTED_VALUE"""),46.0)</f>
        <v>46</v>
      </c>
      <c r="E1657" s="2"/>
    </row>
    <row r="1658">
      <c r="A1658" s="2"/>
      <c r="B1658" s="8" t="str">
        <f>IFERROR(__xludf.DUMMYFUNCTION("""COMPUTED_VALUE"""),"OPIC ADRIANSYAH")</f>
        <v>OPIC ADRIANSYAH</v>
      </c>
      <c r="C1658" s="8" t="str">
        <f>IFERROR(__xludf.DUMMYFUNCTION("""COMPUTED_VALUE"""),"O0624098314")</f>
        <v>O0624098314</v>
      </c>
      <c r="D1658" s="8">
        <f>IFERROR(__xludf.DUMMYFUNCTION("""COMPUTED_VALUE"""),20.0)</f>
        <v>20</v>
      </c>
      <c r="E1658" s="2"/>
    </row>
    <row r="1659">
      <c r="A1659" s="2"/>
      <c r="B1659" s="8" t="str">
        <f>IFERROR(__xludf.DUMMYFUNCTION("""COMPUTED_VALUE"""),"DELSY KARINZA PUTA")</f>
        <v>DELSY KARINZA PUTA</v>
      </c>
      <c r="C1659" s="8" t="str">
        <f>IFERROR(__xludf.DUMMYFUNCTION("""COMPUTED_VALUE"""),"D0024096983")</f>
        <v>D0024096983</v>
      </c>
      <c r="D1659" s="8">
        <f>IFERROR(__xludf.DUMMYFUNCTION("""COMPUTED_VALUE"""),26.0)</f>
        <v>26</v>
      </c>
      <c r="E1659" s="2"/>
    </row>
    <row r="1660">
      <c r="A1660" s="2"/>
      <c r="B1660" s="8" t="str">
        <f>IFERROR(__xludf.DUMMYFUNCTION("""COMPUTED_VALUE"""),"REINALDO DEDE PUTRA")</f>
        <v>REINALDO DEDE PUTRA</v>
      </c>
      <c r="C1660" s="8" t="str">
        <f>IFERROR(__xludf.DUMMYFUNCTION("""COMPUTED_VALUE"""),"R0424094609")</f>
        <v>R0424094609</v>
      </c>
      <c r="D1660" s="8">
        <f>IFERROR(__xludf.DUMMYFUNCTION("""COMPUTED_VALUE"""),22.0)</f>
        <v>22</v>
      </c>
      <c r="E1660" s="2"/>
    </row>
    <row r="1661">
      <c r="A1661" s="2"/>
      <c r="B1661" s="8" t="str">
        <f>IFERROR(__xludf.DUMMYFUNCTION("""COMPUTED_VALUE"""),"NENENG SUNDARI")</f>
        <v>NENENG SUNDARI</v>
      </c>
      <c r="C1661" s="8" t="str">
        <f>IFERROR(__xludf.DUMMYFUNCTION("""COMPUTED_VALUE"""),"N7224091197")</f>
        <v>N7224091197</v>
      </c>
      <c r="D1661" s="8">
        <f>IFERROR(__xludf.DUMMYFUNCTION("""COMPUTED_VALUE"""),53.0)</f>
        <v>53</v>
      </c>
      <c r="E1661" s="2"/>
    </row>
    <row r="1662">
      <c r="A1662" s="2"/>
      <c r="B1662" s="8" t="str">
        <f>IFERROR(__xludf.DUMMYFUNCTION("""COMPUTED_VALUE"""),"FATRUHAFID")</f>
        <v>FATRUHAFID</v>
      </c>
      <c r="C1662" s="8" t="str">
        <f>IFERROR(__xludf.DUMMYFUNCTION("""COMPUTED_VALUE"""),"F8924095341")</f>
        <v>F8924095341</v>
      </c>
      <c r="D1662" s="8">
        <f>IFERROR(__xludf.DUMMYFUNCTION("""COMPUTED_VALUE"""),37.0)</f>
        <v>37</v>
      </c>
      <c r="E1662" s="2"/>
    </row>
    <row r="1663">
      <c r="A1663" s="2"/>
      <c r="B1663" s="8" t="str">
        <f>IFERROR(__xludf.DUMMYFUNCTION("""COMPUTED_VALUE"""),"FEBERLINDA PURBA")</f>
        <v>FEBERLINDA PURBA</v>
      </c>
      <c r="C1663" s="8" t="str">
        <f>IFERROR(__xludf.DUMMYFUNCTION("""COMPUTED_VALUE"""),"F7424099974")</f>
        <v>F7424099974</v>
      </c>
      <c r="D1663" s="8">
        <f>IFERROR(__xludf.DUMMYFUNCTION("""COMPUTED_VALUE"""),52.0)</f>
        <v>52</v>
      </c>
      <c r="E1663" s="2"/>
    </row>
    <row r="1664">
      <c r="A1664" s="2"/>
      <c r="B1664" s="8" t="str">
        <f>IFERROR(__xludf.DUMMYFUNCTION("""COMPUTED_VALUE"""),"ERWANSYAH")</f>
        <v>ERWANSYAH</v>
      </c>
      <c r="C1664" s="8" t="str">
        <f>IFERROR(__xludf.DUMMYFUNCTION("""COMPUTED_VALUE"""),"E8624096655")</f>
        <v>E8624096655</v>
      </c>
      <c r="D1664" s="8">
        <f>IFERROR(__xludf.DUMMYFUNCTION("""COMPUTED_VALUE"""),40.0)</f>
        <v>40</v>
      </c>
      <c r="E1664" s="2"/>
    </row>
    <row r="1665">
      <c r="A1665" s="2"/>
      <c r="B1665" s="8" t="str">
        <f>IFERROR(__xludf.DUMMYFUNCTION("""COMPUTED_VALUE"""),"ABQARY RAFFA PRAMANA")</f>
        <v>ABQARY RAFFA PRAMANA</v>
      </c>
      <c r="C1665" s="8" t="str">
        <f>IFERROR(__xludf.DUMMYFUNCTION("""COMPUTED_VALUE"""),"A1024090212")</f>
        <v>A1024090212</v>
      </c>
      <c r="D1665" s="8">
        <f>IFERROR(__xludf.DUMMYFUNCTION("""COMPUTED_VALUE"""),16.0)</f>
        <v>16</v>
      </c>
      <c r="E1665" s="2"/>
    </row>
    <row r="1666">
      <c r="A1666" s="2"/>
      <c r="B1666" s="8" t="str">
        <f>IFERROR(__xludf.DUMMYFUNCTION("""COMPUTED_VALUE"""),"M. MALIK AL-FAJRI")</f>
        <v>M. MALIK AL-FAJRI</v>
      </c>
      <c r="C1666" s="8" t="str">
        <f>IFERROR(__xludf.DUMMYFUNCTION("""COMPUTED_VALUE"""),"M1124091600")</f>
        <v>M1124091600</v>
      </c>
      <c r="D1666" s="8">
        <f>IFERROR(__xludf.DUMMYFUNCTION("""COMPUTED_VALUE"""),15.0)</f>
        <v>15</v>
      </c>
      <c r="E1666" s="2"/>
    </row>
    <row r="1667">
      <c r="A1667" s="2"/>
      <c r="B1667" s="8" t="str">
        <f>IFERROR(__xludf.DUMMYFUNCTION("""COMPUTED_VALUE"""),"AEIRA SABILLAH AGRI TRIYANTI")</f>
        <v>AEIRA SABILLAH AGRI TRIYANTI</v>
      </c>
      <c r="C1667" s="8" t="str">
        <f>IFERROR(__xludf.DUMMYFUNCTION("""COMPUTED_VALUE"""),"A0824098041")</f>
        <v>A0824098041</v>
      </c>
      <c r="D1667" s="8">
        <f>IFERROR(__xludf.DUMMYFUNCTION("""COMPUTED_VALUE"""),17.0)</f>
        <v>17</v>
      </c>
      <c r="E1667" s="2"/>
    </row>
    <row r="1668">
      <c r="A1668" s="2"/>
      <c r="B1668" s="8" t="str">
        <f>IFERROR(__xludf.DUMMYFUNCTION("""COMPUTED_VALUE"""),"AHMAD FATHU ROJI")</f>
        <v>AHMAD FATHU ROJI</v>
      </c>
      <c r="C1668" s="8" t="str">
        <f>IFERROR(__xludf.DUMMYFUNCTION("""COMPUTED_VALUE"""),"A0024096054")</f>
        <v>A0024096054</v>
      </c>
      <c r="D1668" s="8">
        <f>IFERROR(__xludf.DUMMYFUNCTION("""COMPUTED_VALUE"""),26.0)</f>
        <v>26</v>
      </c>
      <c r="E1668" s="2"/>
    </row>
    <row r="1669">
      <c r="A1669" s="2"/>
      <c r="B1669" s="8" t="str">
        <f>IFERROR(__xludf.DUMMYFUNCTION("""COMPUTED_VALUE"""),"WINDA EVELUN")</f>
        <v>WINDA EVELUN</v>
      </c>
      <c r="C1669" s="8" t="str">
        <f>IFERROR(__xludf.DUMMYFUNCTION("""COMPUTED_VALUE"""),"W8924098998")</f>
        <v>W8924098998</v>
      </c>
      <c r="D1669" s="8">
        <f>IFERROR(__xludf.DUMMYFUNCTION("""COMPUTED_VALUE"""),37.0)</f>
        <v>37</v>
      </c>
      <c r="E1669" s="2"/>
    </row>
    <row r="1670">
      <c r="A1670" s="2"/>
      <c r="B1670" s="8" t="str">
        <f>IFERROR(__xludf.DUMMYFUNCTION("""COMPUTED_VALUE"""),"HO HIAN KI")</f>
        <v>HO HIAN KI</v>
      </c>
      <c r="C1670" s="8" t="str">
        <f>IFERROR(__xludf.DUMMYFUNCTION("""COMPUTED_VALUE"""),"H5024091565")</f>
        <v>H5024091565</v>
      </c>
      <c r="D1670" s="8">
        <f>IFERROR(__xludf.DUMMYFUNCTION("""COMPUTED_VALUE"""),75.0)</f>
        <v>75</v>
      </c>
      <c r="E1670" s="2"/>
    </row>
    <row r="1671">
      <c r="A1671" s="2"/>
      <c r="B1671" s="8" t="str">
        <f>IFERROR(__xludf.DUMMYFUNCTION("""COMPUTED_VALUE"""),"LISA")</f>
        <v>LISA</v>
      </c>
      <c r="C1671" s="8" t="str">
        <f>IFERROR(__xludf.DUMMYFUNCTION("""COMPUTED_VALUE"""),"L0624097337")</f>
        <v>L0624097337</v>
      </c>
      <c r="D1671" s="8">
        <f>IFERROR(__xludf.DUMMYFUNCTION("""COMPUTED_VALUE"""),19.0)</f>
        <v>19</v>
      </c>
      <c r="E1671" s="2"/>
    </row>
    <row r="1672">
      <c r="A1672" s="2"/>
      <c r="B1672" s="8" t="str">
        <f>IFERROR(__xludf.DUMMYFUNCTION("""COMPUTED_VALUE"""),"MEDIANA")</f>
        <v>MEDIANA</v>
      </c>
      <c r="C1672" s="8" t="str">
        <f>IFERROR(__xludf.DUMMYFUNCTION("""COMPUTED_VALUE"""),"M8624092030")</f>
        <v>M8624092030</v>
      </c>
      <c r="D1672" s="8">
        <f>IFERROR(__xludf.DUMMYFUNCTION("""COMPUTED_VALUE"""),39.0)</f>
        <v>39</v>
      </c>
      <c r="E1672" s="2"/>
    </row>
    <row r="1673">
      <c r="A1673" s="2"/>
      <c r="B1673" s="8" t="str">
        <f>IFERROR(__xludf.DUMMYFUNCTION("""COMPUTED_VALUE"""),"SUSAN BAHU")</f>
        <v>SUSAN BAHU</v>
      </c>
      <c r="C1673" s="8" t="str">
        <f>IFERROR(__xludf.DUMMYFUNCTION("""COMPUTED_VALUE"""),"S8324092435")</f>
        <v>S8324092435</v>
      </c>
      <c r="D1673" s="8">
        <f>IFERROR(__xludf.DUMMYFUNCTION("""COMPUTED_VALUE"""),43.0)</f>
        <v>43</v>
      </c>
      <c r="E1673" s="2"/>
    </row>
    <row r="1674">
      <c r="A1674" s="2"/>
      <c r="B1674" s="8" t="str">
        <f>IFERROR(__xludf.DUMMYFUNCTION("""COMPUTED_VALUE"""),"VIVI SUSANTI")</f>
        <v>VIVI SUSANTI</v>
      </c>
      <c r="C1674" s="8" t="str">
        <f>IFERROR(__xludf.DUMMYFUNCTION("""COMPUTED_VALUE"""),"V8824092657")</f>
        <v>V8824092657</v>
      </c>
      <c r="D1674" s="8">
        <f>IFERROR(__xludf.DUMMYFUNCTION("""COMPUTED_VALUE"""),38.0)</f>
        <v>38</v>
      </c>
      <c r="E1674" s="2"/>
    </row>
    <row r="1675">
      <c r="A1675" s="2"/>
      <c r="B1675" s="8" t="str">
        <f>IFERROR(__xludf.DUMMYFUNCTION("""COMPUTED_VALUE"""),"ISKANDAR 7512")</f>
        <v>ISKANDAR 7512</v>
      </c>
      <c r="C1675" s="8" t="str">
        <f>IFERROR(__xludf.DUMMYFUNCTION("""COMPUTED_VALUE"""),"I7524093781")</f>
        <v>I7524093781</v>
      </c>
      <c r="D1675" s="8">
        <f>IFERROR(__xludf.DUMMYFUNCTION("""COMPUTED_VALUE"""),50.0)</f>
        <v>50</v>
      </c>
      <c r="E1675" s="2"/>
    </row>
    <row r="1676">
      <c r="A1676" s="2"/>
      <c r="B1676" s="8" t="str">
        <f>IFERROR(__xludf.DUMMYFUNCTION("""COMPUTED_VALUE"""),"KALSUM")</f>
        <v>KALSUM</v>
      </c>
      <c r="C1676" s="8" t="str">
        <f>IFERROR(__xludf.DUMMYFUNCTION("""COMPUTED_VALUE"""),"K5724099990")</f>
        <v>K5724099990</v>
      </c>
      <c r="D1676" s="8">
        <f>IFERROR(__xludf.DUMMYFUNCTION("""COMPUTED_VALUE"""),68.0)</f>
        <v>68</v>
      </c>
      <c r="E1676" s="2"/>
    </row>
    <row r="1677">
      <c r="A1677" s="2"/>
      <c r="B1677" s="8" t="str">
        <f>IFERROR(__xludf.DUMMYFUNCTION("""COMPUTED_VALUE"""),"ELISABET NETTY")</f>
        <v>ELISABET NETTY</v>
      </c>
      <c r="C1677" s="8" t="str">
        <f>IFERROR(__xludf.DUMMYFUNCTION("""COMPUTED_VALUE"""),"E6924096234")</f>
        <v>E6924096234</v>
      </c>
      <c r="D1677" s="8">
        <f>IFERROR(__xludf.DUMMYFUNCTION("""COMPUTED_VALUE"""),56.0)</f>
        <v>56</v>
      </c>
      <c r="E1677" s="2"/>
    </row>
    <row r="1678">
      <c r="A1678" s="2"/>
      <c r="B1678" s="8" t="str">
        <f>IFERROR(__xludf.DUMMYFUNCTION("""COMPUTED_VALUE"""),"ARIF IFRAN NGALIMAN")</f>
        <v>ARIF IFRAN NGALIMAN</v>
      </c>
      <c r="C1678" s="8" t="str">
        <f>IFERROR(__xludf.DUMMYFUNCTION("""COMPUTED_VALUE"""),"A9424090524")</f>
        <v>A9424090524</v>
      </c>
      <c r="D1678" s="8">
        <f>IFERROR(__xludf.DUMMYFUNCTION("""COMPUTED_VALUE"""),31.0)</f>
        <v>31</v>
      </c>
      <c r="E1678" s="2"/>
    </row>
    <row r="1679">
      <c r="A1679" s="2"/>
      <c r="B1679" s="8" t="str">
        <f>IFERROR(__xludf.DUMMYFUNCTION("""COMPUTED_VALUE"""),"YAU SIANG")</f>
        <v>YAU SIANG</v>
      </c>
      <c r="C1679" s="8" t="str">
        <f>IFERROR(__xludf.DUMMYFUNCTION("""COMPUTED_VALUE"""),"Y8824092626")</f>
        <v>Y8824092626</v>
      </c>
      <c r="D1679" s="8">
        <f>IFERROR(__xludf.DUMMYFUNCTION("""COMPUTED_VALUE"""),38.0)</f>
        <v>38</v>
      </c>
      <c r="E1679" s="2"/>
    </row>
    <row r="1680">
      <c r="A1680" s="2"/>
      <c r="B1680" s="8" t="str">
        <f>IFERROR(__xludf.DUMMYFUNCTION("""COMPUTED_VALUE"""),"RENALDI PUTRA MARSELTYO")</f>
        <v>RENALDI PUTRA MARSELTYO</v>
      </c>
      <c r="C1680" s="8" t="str">
        <f>IFERROR(__xludf.DUMMYFUNCTION("""COMPUTED_VALUE"""),"R0524098236")</f>
        <v>R0524098236</v>
      </c>
      <c r="D1680" s="8">
        <f>IFERROR(__xludf.DUMMYFUNCTION("""COMPUTED_VALUE"""),21.0)</f>
        <v>21</v>
      </c>
      <c r="E1680" s="2"/>
    </row>
    <row r="1681">
      <c r="A1681" s="2"/>
      <c r="B1681" s="8" t="str">
        <f>IFERROR(__xludf.DUMMYFUNCTION("""COMPUTED_VALUE"""),"MUYES")</f>
        <v>MUYES</v>
      </c>
      <c r="C1681" s="8" t="str">
        <f>IFERROR(__xludf.DUMMYFUNCTION("""COMPUTED_VALUE"""),"M6024090699")</f>
        <v>M6024090699</v>
      </c>
      <c r="D1681" s="8">
        <f>IFERROR(__xludf.DUMMYFUNCTION("""COMPUTED_VALUE"""),66.0)</f>
        <v>66</v>
      </c>
      <c r="E1681" s="2"/>
    </row>
    <row r="1682">
      <c r="A1682" s="2"/>
      <c r="B1682" s="8" t="str">
        <f>IFERROR(__xludf.DUMMYFUNCTION("""COMPUTED_VALUE"""),"KLAUDIUS DEO")</f>
        <v>KLAUDIUS DEO</v>
      </c>
      <c r="C1682" s="8" t="str">
        <f>IFERROR(__xludf.DUMMYFUNCTION("""COMPUTED_VALUE"""),"K0424094556")</f>
        <v>K0424094556</v>
      </c>
      <c r="D1682" s="8">
        <f>IFERROR(__xludf.DUMMYFUNCTION("""COMPUTED_VALUE"""),22.0)</f>
        <v>22</v>
      </c>
      <c r="E1682" s="2"/>
    </row>
    <row r="1683">
      <c r="A1683" s="2"/>
      <c r="B1683" s="8" t="str">
        <f>IFERROR(__xludf.DUMMYFUNCTION("""COMPUTED_VALUE"""),"BAMBANG WIJIANTO")</f>
        <v>BAMBANG WIJIANTO</v>
      </c>
      <c r="C1683" s="8" t="str">
        <f>IFERROR(__xludf.DUMMYFUNCTION("""COMPUTED_VALUE"""),"B8424095588")</f>
        <v>B8424095588</v>
      </c>
      <c r="D1683" s="8">
        <f>IFERROR(__xludf.DUMMYFUNCTION("""COMPUTED_VALUE"""),41.0)</f>
        <v>41</v>
      </c>
      <c r="E1683" s="2"/>
    </row>
    <row r="1684">
      <c r="A1684" s="2"/>
      <c r="B1684" s="8" t="str">
        <f>IFERROR(__xludf.DUMMYFUNCTION("""COMPUTED_VALUE"""),"LIATRIYANI")</f>
        <v>LIATRIYANI</v>
      </c>
      <c r="C1684" s="8" t="str">
        <f>IFERROR(__xludf.DUMMYFUNCTION("""COMPUTED_VALUE"""),"L0124091962")</f>
        <v>L0124091962</v>
      </c>
      <c r="D1684" s="8">
        <f>IFERROR(__xludf.DUMMYFUNCTION("""COMPUTED_VALUE"""),25.0)</f>
        <v>25</v>
      </c>
      <c r="E1684" s="2"/>
    </row>
    <row r="1685">
      <c r="A1685" s="2"/>
      <c r="B1685" s="8" t="str">
        <f>IFERROR(__xludf.DUMMYFUNCTION("""COMPUTED_VALUE"""),"HIAGIANTARA FERNANDA")</f>
        <v>HIAGIANTARA FERNANDA</v>
      </c>
      <c r="C1685" s="8" t="str">
        <f>IFERROR(__xludf.DUMMYFUNCTION("""COMPUTED_VALUE"""),"H9024091923")</f>
        <v>H9024091923</v>
      </c>
      <c r="D1685" s="8">
        <f>IFERROR(__xludf.DUMMYFUNCTION("""COMPUTED_VALUE"""),36.0)</f>
        <v>36</v>
      </c>
      <c r="E1685" s="2"/>
    </row>
    <row r="1686">
      <c r="A1686" s="2"/>
      <c r="B1686" s="8" t="str">
        <f>IFERROR(__xludf.DUMMYFUNCTION("""COMPUTED_VALUE"""),"TAUFIK NUR FITRIANTO")</f>
        <v>TAUFIK NUR FITRIANTO</v>
      </c>
      <c r="C1686" s="8" t="str">
        <f>IFERROR(__xludf.DUMMYFUNCTION("""COMPUTED_VALUE"""),"T9424090333")</f>
        <v>T9424090333</v>
      </c>
      <c r="D1686" s="8">
        <f>IFERROR(__xludf.DUMMYFUNCTION("""COMPUTED_VALUE"""),32.0)</f>
        <v>32</v>
      </c>
      <c r="E1686" s="2"/>
    </row>
    <row r="1687">
      <c r="A1687" s="2"/>
      <c r="B1687" s="8" t="str">
        <f>IFERROR(__xludf.DUMMYFUNCTION("""COMPUTED_VALUE"""),"ANASTASIA")</f>
        <v>ANASTASIA</v>
      </c>
      <c r="C1687" s="8" t="str">
        <f>IFERROR(__xludf.DUMMYFUNCTION("""COMPUTED_VALUE"""),"A6424098891")</f>
        <v>A6424098891</v>
      </c>
      <c r="D1687" s="8">
        <f>IFERROR(__xludf.DUMMYFUNCTION("""COMPUTED_VALUE"""),61.0)</f>
        <v>61</v>
      </c>
      <c r="E1687" s="2"/>
    </row>
    <row r="1688">
      <c r="A1688" s="2"/>
      <c r="B1688" s="8" t="str">
        <f>IFERROR(__xludf.DUMMYFUNCTION("""COMPUTED_VALUE"""),"MOH. HILMAN ZAKIRI")</f>
        <v>MOH. HILMAN ZAKIRI</v>
      </c>
      <c r="C1688" s="8" t="str">
        <f>IFERROR(__xludf.DUMMYFUNCTION("""COMPUTED_VALUE"""),"M9224097571")</f>
        <v>M9224097571</v>
      </c>
      <c r="D1688" s="8">
        <f>IFERROR(__xludf.DUMMYFUNCTION("""COMPUTED_VALUE"""),34.0)</f>
        <v>34</v>
      </c>
      <c r="E1688" s="2"/>
    </row>
    <row r="1689">
      <c r="A1689" s="2"/>
      <c r="B1689" s="8" t="str">
        <f>IFERROR(__xludf.DUMMYFUNCTION("""COMPUTED_VALUE"""),"LARASATI ERMA FEBRANINGRUM")</f>
        <v>LARASATI ERMA FEBRANINGRUM</v>
      </c>
      <c r="C1689" s="8" t="str">
        <f>IFERROR(__xludf.DUMMYFUNCTION("""COMPUTED_VALUE"""),"L9824098428")</f>
        <v>L9824098428</v>
      </c>
      <c r="D1689" s="8">
        <f>IFERROR(__xludf.DUMMYFUNCTION("""COMPUTED_VALUE"""),28.0)</f>
        <v>28</v>
      </c>
      <c r="E1689" s="2"/>
    </row>
    <row r="1690">
      <c r="A1690" s="2"/>
      <c r="B1690" s="8" t="str">
        <f>IFERROR(__xludf.DUMMYFUNCTION("""COMPUTED_VALUE"""),"ENDANG MASRONI")</f>
        <v>ENDANG MASRONI</v>
      </c>
      <c r="C1690" s="8" t="str">
        <f>IFERROR(__xludf.DUMMYFUNCTION("""COMPUTED_VALUE"""),"E6824099926")</f>
        <v>E6824099926</v>
      </c>
      <c r="D1690" s="8">
        <f>IFERROR(__xludf.DUMMYFUNCTION("""COMPUTED_VALUE"""),58.0)</f>
        <v>58</v>
      </c>
      <c r="E1690" s="2"/>
    </row>
    <row r="1691">
      <c r="A1691" s="2"/>
      <c r="B1691" s="8" t="str">
        <f>IFERROR(__xludf.DUMMYFUNCTION("""COMPUTED_VALUE"""),"EDY SUMANTO")</f>
        <v>EDY SUMANTO</v>
      </c>
      <c r="C1691" s="8" t="str">
        <f>IFERROR(__xludf.DUMMYFUNCTION("""COMPUTED_VALUE"""),"E9024090888")</f>
        <v>E9024090888</v>
      </c>
      <c r="D1691" s="8">
        <f>IFERROR(__xludf.DUMMYFUNCTION("""COMPUTED_VALUE"""),1937.0)</f>
        <v>1937</v>
      </c>
      <c r="E1691" s="2"/>
    </row>
    <row r="1692">
      <c r="A1692" s="2"/>
      <c r="B1692" s="8" t="str">
        <f>IFERROR(__xludf.DUMMYFUNCTION("""COMPUTED_VALUE"""),"HENGKI KURNIAWAN")</f>
        <v>HENGKI KURNIAWAN</v>
      </c>
      <c r="C1692" s="8" t="str">
        <f>IFERROR(__xludf.DUMMYFUNCTION("""COMPUTED_VALUE"""),"H9624094749")</f>
        <v>H9624094749</v>
      </c>
      <c r="D1692" s="8">
        <f>IFERROR(__xludf.DUMMYFUNCTION("""COMPUTED_VALUE"""),30.0)</f>
        <v>30</v>
      </c>
      <c r="E1692" s="2"/>
    </row>
    <row r="1693">
      <c r="A1693" s="2"/>
      <c r="B1693" s="8" t="str">
        <f>IFERROR(__xludf.DUMMYFUNCTION("""COMPUTED_VALUE"""),"CORDELIA QUEENNA LAI")</f>
        <v>CORDELIA QUEENNA LAI</v>
      </c>
      <c r="C1693" s="8" t="str">
        <f>IFERROR(__xludf.DUMMYFUNCTION("""COMPUTED_VALUE"""),"C0324094226")</f>
        <v>C0324094226</v>
      </c>
      <c r="D1693" s="8">
        <f>IFERROR(__xludf.DUMMYFUNCTION("""COMPUTED_VALUE"""),22.0)</f>
        <v>22</v>
      </c>
      <c r="E1693" s="2"/>
    </row>
    <row r="1694">
      <c r="A1694" s="2"/>
      <c r="B1694" s="8" t="str">
        <f>IFERROR(__xludf.DUMMYFUNCTION("""COMPUTED_VALUE"""),"LATIFAH")</f>
        <v>LATIFAH</v>
      </c>
      <c r="C1694" s="8" t="str">
        <f>IFERROR(__xludf.DUMMYFUNCTION("""COMPUTED_VALUE"""),"L6824098333")</f>
        <v>L6824098333</v>
      </c>
      <c r="D1694" s="8">
        <f>IFERROR(__xludf.DUMMYFUNCTION("""COMPUTED_VALUE"""),57.0)</f>
        <v>57</v>
      </c>
      <c r="E1694" s="2"/>
    </row>
    <row r="1695">
      <c r="A1695" s="2"/>
      <c r="B1695" s="8" t="str">
        <f>IFERROR(__xludf.DUMMYFUNCTION("""COMPUTED_VALUE"""),"TURMIATI")</f>
        <v>TURMIATI</v>
      </c>
      <c r="C1695" s="8" t="str">
        <f>IFERROR(__xludf.DUMMYFUNCTION("""COMPUTED_VALUE"""),"T7124094030")</f>
        <v>T7124094030</v>
      </c>
      <c r="D1695" s="8">
        <f>IFERROR(__xludf.DUMMYFUNCTION("""COMPUTED_VALUE"""),55.0)</f>
        <v>55</v>
      </c>
      <c r="E1695" s="2"/>
    </row>
    <row r="1696">
      <c r="A1696" s="2"/>
      <c r="B1696" s="8" t="str">
        <f>IFERROR(__xludf.DUMMYFUNCTION("""COMPUTED_VALUE"""),"HIZKIA SHANDIKA GABRIEL")</f>
        <v>HIZKIA SHANDIKA GABRIEL</v>
      </c>
      <c r="C1696" s="8" t="str">
        <f>IFERROR(__xludf.DUMMYFUNCTION("""COMPUTED_VALUE"""),"H0624094112")</f>
        <v>H0624094112</v>
      </c>
      <c r="D1696" s="8">
        <f>IFERROR(__xludf.DUMMYFUNCTION("""COMPUTED_VALUE"""),19.0)</f>
        <v>19</v>
      </c>
      <c r="E1696" s="2"/>
    </row>
    <row r="1697">
      <c r="A1697" s="2"/>
      <c r="B1697" s="8" t="str">
        <f>IFERROR(__xludf.DUMMYFUNCTION("""COMPUTED_VALUE"""),"RIDWANSYAH WD")</f>
        <v>RIDWANSYAH WD</v>
      </c>
      <c r="C1697" s="8" t="str">
        <f>IFERROR(__xludf.DUMMYFUNCTION("""COMPUTED_VALUE"""),"R8324091505")</f>
        <v>R8324091505</v>
      </c>
      <c r="D1697" s="8">
        <f>IFERROR(__xludf.DUMMYFUNCTION("""COMPUTED_VALUE"""),42.0)</f>
        <v>42</v>
      </c>
      <c r="E1697" s="2"/>
    </row>
    <row r="1698">
      <c r="A1698" s="2"/>
      <c r="B1698" s="8" t="str">
        <f>IFERROR(__xludf.DUMMYFUNCTION("""COMPUTED_VALUE"""),"SUMIATI SUTONO")</f>
        <v>SUMIATI SUTONO</v>
      </c>
      <c r="C1698" s="8" t="str">
        <f>IFERROR(__xludf.DUMMYFUNCTION("""COMPUTED_VALUE"""),"S6424093373")</f>
        <v>S6424093373</v>
      </c>
      <c r="D1698" s="8">
        <f>IFERROR(__xludf.DUMMYFUNCTION("""COMPUTED_VALUE"""),61.0)</f>
        <v>61</v>
      </c>
      <c r="E1698" s="2"/>
    </row>
    <row r="1699">
      <c r="A1699" s="2"/>
      <c r="B1699" s="8" t="str">
        <f>IFERROR(__xludf.DUMMYFUNCTION("""COMPUTED_VALUE"""),"MIRACLLE FREDI")</f>
        <v>MIRACLLE FREDI</v>
      </c>
      <c r="C1699" s="8" t="str">
        <f>IFERROR(__xludf.DUMMYFUNCTION("""COMPUTED_VALUE"""),"M9824096777")</f>
        <v>M9824096777</v>
      </c>
      <c r="D1699" s="8">
        <f>IFERROR(__xludf.DUMMYFUNCTION("""COMPUTED_VALUE"""),27.0)</f>
        <v>27</v>
      </c>
      <c r="E1699" s="2"/>
    </row>
    <row r="1700">
      <c r="A1700" s="2"/>
      <c r="B1700" s="8" t="str">
        <f>IFERROR(__xludf.DUMMYFUNCTION("""COMPUTED_VALUE"""),"IBNU HABIB SHETA ADHIPRAYA")</f>
        <v>IBNU HABIB SHETA ADHIPRAYA</v>
      </c>
      <c r="C1700" s="8" t="str">
        <f>IFERROR(__xludf.DUMMYFUNCTION("""COMPUTED_VALUE"""),"I0424090618")</f>
        <v>I0424090618</v>
      </c>
      <c r="D1700" s="8">
        <f>IFERROR(__xludf.DUMMYFUNCTION("""COMPUTED_VALUE"""),22.0)</f>
        <v>22</v>
      </c>
      <c r="E1700" s="2"/>
    </row>
    <row r="1701">
      <c r="A1701" s="2"/>
      <c r="B1701" s="8" t="str">
        <f>IFERROR(__xludf.DUMMYFUNCTION("""COMPUTED_VALUE"""),"MAULIANDRA ALVARO KURNIAWAN")</f>
        <v>MAULIANDRA ALVARO KURNIAWAN</v>
      </c>
      <c r="C1701" s="8" t="str">
        <f>IFERROR(__xludf.DUMMYFUNCTION("""COMPUTED_VALUE"""),"M1124090767")</f>
        <v>M1124090767</v>
      </c>
      <c r="D1701" s="8">
        <f>IFERROR(__xludf.DUMMYFUNCTION("""COMPUTED_VALUE"""),15.0)</f>
        <v>15</v>
      </c>
      <c r="E1701" s="2"/>
    </row>
    <row r="1702">
      <c r="A1702" s="2"/>
      <c r="B1702" s="8" t="str">
        <f>IFERROR(__xludf.DUMMYFUNCTION("""COMPUTED_VALUE"""),"RENDI SUPIYANTO")</f>
        <v>RENDI SUPIYANTO</v>
      </c>
      <c r="C1702" s="8" t="str">
        <f>IFERROR(__xludf.DUMMYFUNCTION("""COMPUTED_VALUE"""),"R0424090842")</f>
        <v>R0424090842</v>
      </c>
      <c r="D1702" s="8">
        <f>IFERROR(__xludf.DUMMYFUNCTION("""COMPUTED_VALUE"""),21.0)</f>
        <v>21</v>
      </c>
      <c r="E1702" s="2"/>
    </row>
    <row r="1703">
      <c r="A1703" s="2"/>
      <c r="B1703" s="8" t="str">
        <f>IFERROR(__xludf.DUMMYFUNCTION("""COMPUTED_VALUE"""),"ABDURRACHMAN RIZLEY AL GHIFARI")</f>
        <v>ABDURRACHMAN RIZLEY AL GHIFARI</v>
      </c>
      <c r="C1703" s="8" t="str">
        <f>IFERROR(__xludf.DUMMYFUNCTION("""COMPUTED_VALUE"""),"A1124096060")</f>
        <v>A1124096060</v>
      </c>
      <c r="D1703" s="8">
        <f>IFERROR(__xludf.DUMMYFUNCTION("""COMPUTED_VALUE"""),15.0)</f>
        <v>15</v>
      </c>
      <c r="E1703" s="2"/>
    </row>
    <row r="1704">
      <c r="A1704" s="2"/>
      <c r="B1704" s="8" t="str">
        <f>IFERROR(__xludf.DUMMYFUNCTION("""COMPUTED_VALUE"""),"ADI CHANDRA")</f>
        <v>ADI CHANDRA</v>
      </c>
      <c r="C1704" s="8" t="str">
        <f>IFERROR(__xludf.DUMMYFUNCTION("""COMPUTED_VALUE"""),"A0624097305")</f>
        <v>A0624097305</v>
      </c>
      <c r="D1704" s="8">
        <f>IFERROR(__xludf.DUMMYFUNCTION("""COMPUTED_VALUE"""),20.0)</f>
        <v>20</v>
      </c>
      <c r="E1704" s="2"/>
    </row>
    <row r="1705">
      <c r="A1705" s="2"/>
      <c r="B1705" s="8" t="str">
        <f>IFERROR(__xludf.DUMMYFUNCTION("""COMPUTED_VALUE"""),"MAKPUL SOFWAN")</f>
        <v>MAKPUL SOFWAN</v>
      </c>
      <c r="C1705" s="8" t="str">
        <f>IFERROR(__xludf.DUMMYFUNCTION("""COMPUTED_VALUE"""),"M6524090093")</f>
        <v>M6524090093</v>
      </c>
      <c r="D1705" s="8">
        <f>IFERROR(__xludf.DUMMYFUNCTION("""COMPUTED_VALUE"""),60.0)</f>
        <v>60</v>
      </c>
      <c r="E1705" s="2"/>
    </row>
    <row r="1706">
      <c r="A1706" s="2"/>
      <c r="B1706" s="8" t="str">
        <f>IFERROR(__xludf.DUMMYFUNCTION("""COMPUTED_VALUE"""),"DWI MELANI")</f>
        <v>DWI MELANI</v>
      </c>
      <c r="C1706" s="8" t="str">
        <f>IFERROR(__xludf.DUMMYFUNCTION("""COMPUTED_VALUE"""),"D8224095471")</f>
        <v>D8224095471</v>
      </c>
      <c r="D1706" s="8">
        <f>IFERROR(__xludf.DUMMYFUNCTION("""COMPUTED_VALUE"""),44.0)</f>
        <v>44</v>
      </c>
      <c r="E1706" s="2"/>
    </row>
    <row r="1707">
      <c r="A1707" s="2"/>
      <c r="B1707" s="8" t="str">
        <f>IFERROR(__xludf.DUMMYFUNCTION("""COMPUTED_VALUE"""),"EKA SUNARYA")</f>
        <v>EKA SUNARYA</v>
      </c>
      <c r="C1707" s="8" t="str">
        <f>IFERROR(__xludf.DUMMYFUNCTION("""COMPUTED_VALUE"""),"E9524098006")</f>
        <v>E9524098006</v>
      </c>
      <c r="D1707" s="8">
        <f>IFERROR(__xludf.DUMMYFUNCTION("""COMPUTED_VALUE"""),31.0)</f>
        <v>31</v>
      </c>
      <c r="E1707" s="2"/>
    </row>
    <row r="1708">
      <c r="A1708" s="2"/>
      <c r="B1708" s="8" t="str">
        <f>IFERROR(__xludf.DUMMYFUNCTION("""COMPUTED_VALUE"""),"RIDHO DOSEN")</f>
        <v>RIDHO DOSEN</v>
      </c>
      <c r="C1708" s="8" t="str">
        <f>IFERROR(__xludf.DUMMYFUNCTION("""COMPUTED_VALUE"""),"R9024096527")</f>
        <v>R9024096527</v>
      </c>
      <c r="D1708" s="8">
        <f>IFERROR(__xludf.DUMMYFUNCTION("""COMPUTED_VALUE"""),36.0)</f>
        <v>36</v>
      </c>
      <c r="E1708" s="2"/>
    </row>
    <row r="1709">
      <c r="A1709" s="2"/>
      <c r="B1709" s="8" t="str">
        <f>IFERROR(__xludf.DUMMYFUNCTION("""COMPUTED_VALUE"""),"DIMAS ZAKI DHAIFULLAH")</f>
        <v>DIMAS ZAKI DHAIFULLAH</v>
      </c>
      <c r="C1709" s="8" t="str">
        <f>IFERROR(__xludf.DUMMYFUNCTION("""COMPUTED_VALUE"""),"D0724098341")</f>
        <v>D0724098341</v>
      </c>
      <c r="D1709" s="8">
        <f>IFERROR(__xludf.DUMMYFUNCTION("""COMPUTED_VALUE"""),18.0)</f>
        <v>18</v>
      </c>
      <c r="E1709" s="2"/>
    </row>
    <row r="1710">
      <c r="A1710" s="2"/>
      <c r="B1710" s="8" t="str">
        <f>IFERROR(__xludf.DUMMYFUNCTION("""COMPUTED_VALUE"""),"AGUSTINA")</f>
        <v>AGUSTINA</v>
      </c>
      <c r="C1710" s="8" t="str">
        <f>IFERROR(__xludf.DUMMYFUNCTION("""COMPUTED_VALUE"""),"A6024092004")</f>
        <v>A6024092004</v>
      </c>
      <c r="D1710" s="8">
        <f>IFERROR(__xludf.DUMMYFUNCTION("""COMPUTED_VALUE"""),66.0)</f>
        <v>66</v>
      </c>
      <c r="E1710" s="2"/>
    </row>
    <row r="1711">
      <c r="A1711" s="2"/>
      <c r="B1711" s="8" t="str">
        <f>IFERROR(__xludf.DUMMYFUNCTION("""COMPUTED_VALUE"""),"REZKA YUDHA DN")</f>
        <v>REZKA YUDHA DN</v>
      </c>
      <c r="C1711" s="8" t="str">
        <f>IFERROR(__xludf.DUMMYFUNCTION("""COMPUTED_VALUE"""),"R8824096629")</f>
        <v>R8824096629</v>
      </c>
      <c r="D1711" s="8">
        <f>IFERROR(__xludf.DUMMYFUNCTION("""COMPUTED_VALUE"""),38.0)</f>
        <v>38</v>
      </c>
      <c r="E1711" s="2"/>
    </row>
    <row r="1712">
      <c r="A1712" s="2"/>
      <c r="B1712" s="8" t="str">
        <f>IFERROR(__xludf.DUMMYFUNCTION("""COMPUTED_VALUE"""),"RIDUANSAH")</f>
        <v>RIDUANSAH</v>
      </c>
      <c r="C1712" s="8" t="str">
        <f>IFERROR(__xludf.DUMMYFUNCTION("""COMPUTED_VALUE"""),"R8624098779")</f>
        <v>R8624098779</v>
      </c>
      <c r="D1712" s="8">
        <f>IFERROR(__xludf.DUMMYFUNCTION("""COMPUTED_VALUE"""),39.0)</f>
        <v>39</v>
      </c>
      <c r="E1712" s="2"/>
    </row>
    <row r="1713">
      <c r="A1713" s="2"/>
      <c r="B1713" s="8" t="str">
        <f>IFERROR(__xludf.DUMMYFUNCTION("""COMPUTED_VALUE"""),"CHIA LI FA")</f>
        <v>CHIA LI FA</v>
      </c>
      <c r="C1713" s="8" t="str">
        <f>IFERROR(__xludf.DUMMYFUNCTION("""COMPUTED_VALUE"""),"C7224092673")</f>
        <v>C7224092673</v>
      </c>
      <c r="D1713" s="8">
        <f>IFERROR(__xludf.DUMMYFUNCTION("""COMPUTED_VALUE"""),54.0)</f>
        <v>54</v>
      </c>
      <c r="E1713" s="2"/>
    </row>
    <row r="1714">
      <c r="A1714" s="2"/>
      <c r="B1714" s="8" t="str">
        <f>IFERROR(__xludf.DUMMYFUNCTION("""COMPUTED_VALUE"""),"MAULENI")</f>
        <v>MAULENI</v>
      </c>
      <c r="C1714" s="8" t="str">
        <f>IFERROR(__xludf.DUMMYFUNCTION("""COMPUTED_VALUE"""),"M7824094987")</f>
        <v>M7824094987</v>
      </c>
      <c r="D1714" s="8">
        <f>IFERROR(__xludf.DUMMYFUNCTION("""COMPUTED_VALUE"""),48.0)</f>
        <v>48</v>
      </c>
      <c r="E1714" s="2"/>
    </row>
    <row r="1715">
      <c r="A1715" s="2"/>
      <c r="B1715" s="8" t="str">
        <f>IFERROR(__xludf.DUMMYFUNCTION("""COMPUTED_VALUE"""),"LUTHFI AL-HAKIM HARAHAP")</f>
        <v>LUTHFI AL-HAKIM HARAHAP</v>
      </c>
      <c r="C1715" s="8" t="str">
        <f>IFERROR(__xludf.DUMMYFUNCTION("""COMPUTED_VALUE"""),"L0924090922")</f>
        <v>L0924090922</v>
      </c>
      <c r="D1715" s="8">
        <f>IFERROR(__xludf.DUMMYFUNCTION("""COMPUTED_VALUE"""),17.0)</f>
        <v>17</v>
      </c>
      <c r="E1715" s="2"/>
    </row>
    <row r="1716">
      <c r="A1716" s="2"/>
      <c r="B1716" s="8" t="str">
        <f>IFERROR(__xludf.DUMMYFUNCTION("""COMPUTED_VALUE"""),"RAHMAWATI PINGGANG")</f>
        <v>RAHMAWATI PINGGANG</v>
      </c>
      <c r="C1716" s="8" t="str">
        <f>IFERROR(__xludf.DUMMYFUNCTION("""COMPUTED_VALUE"""),"R0024095355")</f>
        <v>R0024095355</v>
      </c>
      <c r="D1716" s="8">
        <f>IFERROR(__xludf.DUMMYFUNCTION("""COMPUTED_VALUE"""),25.0)</f>
        <v>25</v>
      </c>
      <c r="E1716" s="2"/>
    </row>
    <row r="1717">
      <c r="A1717" s="2"/>
      <c r="B1717" s="8" t="str">
        <f>IFERROR(__xludf.DUMMYFUNCTION("""COMPUTED_VALUE"""),"ANGGORO HASTOMO PUTRA")</f>
        <v>ANGGORO HASTOMO PUTRA</v>
      </c>
      <c r="C1717" s="8" t="str">
        <f>IFERROR(__xludf.DUMMYFUNCTION("""COMPUTED_VALUE"""),"A8724096367")</f>
        <v>A8724096367</v>
      </c>
      <c r="D1717" s="8">
        <f>IFERROR(__xludf.DUMMYFUNCTION("""COMPUTED_VALUE"""),39.0)</f>
        <v>39</v>
      </c>
      <c r="E1717" s="2"/>
    </row>
    <row r="1718">
      <c r="A1718" s="2"/>
      <c r="B1718" s="8" t="str">
        <f>IFERROR(__xludf.DUMMYFUNCTION("""COMPUTED_VALUE"""),"LENTEK")</f>
        <v>LENTEK</v>
      </c>
      <c r="C1718" s="8" t="str">
        <f>IFERROR(__xludf.DUMMYFUNCTION("""COMPUTED_VALUE"""),"L5024093300")</f>
        <v>L5024093300</v>
      </c>
      <c r="D1718" s="8">
        <f>IFERROR(__xludf.DUMMYFUNCTION("""COMPUTED_VALUE"""),76.0)</f>
        <v>76</v>
      </c>
      <c r="E1718" s="2"/>
    </row>
    <row r="1719">
      <c r="A1719" s="2"/>
      <c r="B1719" s="8" t="str">
        <f>IFERROR(__xludf.DUMMYFUNCTION("""COMPUTED_VALUE"""),"AMALIA GIOWINDA ISLAMI")</f>
        <v>AMALIA GIOWINDA ISLAMI</v>
      </c>
      <c r="C1719" s="8" t="str">
        <f>IFERROR(__xludf.DUMMYFUNCTION("""COMPUTED_VALUE"""),"A9524092185")</f>
        <v>A9524092185</v>
      </c>
      <c r="D1719" s="8">
        <f>IFERROR(__xludf.DUMMYFUNCTION("""COMPUTED_VALUE"""),31.0)</f>
        <v>31</v>
      </c>
      <c r="E1719" s="2"/>
    </row>
    <row r="1720">
      <c r="A1720" s="2"/>
      <c r="B1720" s="8" t="str">
        <f>IFERROR(__xludf.DUMMYFUNCTION("""COMPUTED_VALUE"""),"MARSIANA RIKA")</f>
        <v>MARSIANA RIKA</v>
      </c>
      <c r="C1720" s="8" t="str">
        <f>IFERROR(__xludf.DUMMYFUNCTION("""COMPUTED_VALUE"""),"M9324091171")</f>
        <v>M9324091171</v>
      </c>
      <c r="D1720" s="8">
        <f>IFERROR(__xludf.DUMMYFUNCTION("""COMPUTED_VALUE"""),33.0)</f>
        <v>33</v>
      </c>
      <c r="E1720" s="2"/>
    </row>
    <row r="1721">
      <c r="A1721" s="2"/>
      <c r="B1721" s="8" t="str">
        <f>IFERROR(__xludf.DUMMYFUNCTION("""COMPUTED_VALUE"""),"M. BYAN FARRELDIPO CAHYADI")</f>
        <v>M. BYAN FARRELDIPO CAHYADI</v>
      </c>
      <c r="C1721" s="8" t="str">
        <f>IFERROR(__xludf.DUMMYFUNCTION("""COMPUTED_VALUE"""),"M9924091461")</f>
        <v>M9924091461</v>
      </c>
      <c r="D1721" s="8">
        <f>IFERROR(__xludf.DUMMYFUNCTION("""COMPUTED_VALUE"""),26.0)</f>
        <v>26</v>
      </c>
      <c r="E1721" s="2"/>
    </row>
    <row r="1722">
      <c r="A1722" s="2"/>
      <c r="B1722" s="8" t="str">
        <f>IFERROR(__xludf.DUMMYFUNCTION("""COMPUTED_VALUE"""),"JURI")</f>
        <v>JURI</v>
      </c>
      <c r="C1722" s="8" t="str">
        <f>IFERROR(__xludf.DUMMYFUNCTION("""COMPUTED_VALUE"""),"J0124095418")</f>
        <v>J0124095418</v>
      </c>
      <c r="D1722" s="8">
        <f>IFERROR(__xludf.DUMMYFUNCTION("""COMPUTED_VALUE"""),25.0)</f>
        <v>25</v>
      </c>
      <c r="E1722" s="2"/>
    </row>
    <row r="1723">
      <c r="A1723" s="2"/>
      <c r="B1723" s="8" t="str">
        <f>IFERROR(__xludf.DUMMYFUNCTION("""COMPUTED_VALUE"""),"SABTO JULINO")</f>
        <v>SABTO JULINO</v>
      </c>
      <c r="C1723" s="8" t="str">
        <f>IFERROR(__xludf.DUMMYFUNCTION("""COMPUTED_VALUE"""),"S9124093030")</f>
        <v>S9124093030</v>
      </c>
      <c r="D1723" s="8">
        <f>IFERROR(__xludf.DUMMYFUNCTION("""COMPUTED_VALUE"""),35.0)</f>
        <v>35</v>
      </c>
      <c r="E1723" s="2"/>
    </row>
    <row r="1724">
      <c r="A1724" s="2"/>
      <c r="B1724" s="8" t="str">
        <f>IFERROR(__xludf.DUMMYFUNCTION("""COMPUTED_VALUE"""),"MICHAEL RYAN BIMA SUPARMAN SIANIPAR")</f>
        <v>MICHAEL RYAN BIMA SUPARMAN SIANIPAR</v>
      </c>
      <c r="C1724" s="8" t="str">
        <f>IFERROR(__xludf.DUMMYFUNCTION("""COMPUTED_VALUE"""),"M9324093583")</f>
        <v>M9324093583</v>
      </c>
      <c r="D1724" s="8">
        <f>IFERROR(__xludf.DUMMYFUNCTION("""COMPUTED_VALUE"""),33.0)</f>
        <v>33</v>
      </c>
      <c r="E1724" s="2"/>
    </row>
    <row r="1725">
      <c r="A1725" s="2"/>
      <c r="B1725" s="8" t="str">
        <f>IFERROR(__xludf.DUMMYFUNCTION("""COMPUTED_VALUE"""),"SAFIRA PUSPITA PRASASYA AULIA")</f>
        <v>SAFIRA PUSPITA PRASASYA AULIA</v>
      </c>
      <c r="C1725" s="8" t="str">
        <f>IFERROR(__xludf.DUMMYFUNCTION("""COMPUTED_VALUE"""),"S9824097619")</f>
        <v>S9824097619</v>
      </c>
      <c r="D1725" s="8">
        <f>IFERROR(__xludf.DUMMYFUNCTION("""COMPUTED_VALUE"""),27.0)</f>
        <v>27</v>
      </c>
      <c r="E1725" s="2"/>
    </row>
    <row r="1726">
      <c r="A1726" s="2"/>
      <c r="B1726" s="8" t="str">
        <f>IFERROR(__xludf.DUMMYFUNCTION("""COMPUTED_VALUE"""),"ANDREAS TRI PUTRA")</f>
        <v>ANDREAS TRI PUTRA</v>
      </c>
      <c r="C1726" s="8" t="str">
        <f>IFERROR(__xludf.DUMMYFUNCTION("""COMPUTED_VALUE"""),"A9924094156")</f>
        <v>A9924094156</v>
      </c>
      <c r="D1726" s="8">
        <f>IFERROR(__xludf.DUMMYFUNCTION("""COMPUTED_VALUE"""),27.0)</f>
        <v>27</v>
      </c>
      <c r="E1726" s="2"/>
    </row>
    <row r="1727">
      <c r="A1727" s="2"/>
      <c r="B1727" s="8" t="str">
        <f>IFERROR(__xludf.DUMMYFUNCTION("""COMPUTED_VALUE"""),"DEVID")</f>
        <v>DEVID</v>
      </c>
      <c r="C1727" s="8" t="str">
        <f>IFERROR(__xludf.DUMMYFUNCTION("""COMPUTED_VALUE"""),"D9924099063")</f>
        <v>D9924099063</v>
      </c>
      <c r="D1727" s="8">
        <f>IFERROR(__xludf.DUMMYFUNCTION("""COMPUTED_VALUE"""),27.0)</f>
        <v>27</v>
      </c>
      <c r="E1727" s="2"/>
    </row>
    <row r="1728">
      <c r="A1728" s="2"/>
      <c r="B1728" s="8" t="str">
        <f>IFERROR(__xludf.DUMMYFUNCTION("""COMPUTED_VALUE"""),"ALFA GILBERD")</f>
        <v>ALFA GILBERD</v>
      </c>
      <c r="C1728" s="8" t="str">
        <f>IFERROR(__xludf.DUMMYFUNCTION("""COMPUTED_VALUE"""),"A9424099103")</f>
        <v>A9424099103</v>
      </c>
      <c r="D1728" s="8">
        <f>IFERROR(__xludf.DUMMYFUNCTION("""COMPUTED_VALUE"""),32.0)</f>
        <v>32</v>
      </c>
      <c r="E1728" s="2"/>
    </row>
    <row r="1729">
      <c r="A1729" s="2"/>
      <c r="B1729" s="8" t="str">
        <f>IFERROR(__xludf.DUMMYFUNCTION("""COMPUTED_VALUE"""),"ALYA NDASARI MARASIN")</f>
        <v>ALYA NDASARI MARASIN</v>
      </c>
      <c r="C1729" s="8" t="str">
        <f>IFERROR(__xludf.DUMMYFUNCTION("""COMPUTED_VALUE"""),"A0224091046")</f>
        <v>A0224091046</v>
      </c>
      <c r="D1729" s="8">
        <f>IFERROR(__xludf.DUMMYFUNCTION("""COMPUTED_VALUE"""),23.0)</f>
        <v>23</v>
      </c>
      <c r="E1729" s="2"/>
    </row>
    <row r="1730">
      <c r="A1730" s="2"/>
      <c r="B1730" s="8" t="str">
        <f>IFERROR(__xludf.DUMMYFUNCTION("""COMPUTED_VALUE"""),"RAMA PURNOMO")</f>
        <v>RAMA PURNOMO</v>
      </c>
      <c r="C1730" s="8" t="str">
        <f>IFERROR(__xludf.DUMMYFUNCTION("""COMPUTED_VALUE"""),"R9824094962")</f>
        <v>R9824094962</v>
      </c>
      <c r="D1730" s="8">
        <f>IFERROR(__xludf.DUMMYFUNCTION("""COMPUTED_VALUE"""),28.0)</f>
        <v>28</v>
      </c>
      <c r="E1730" s="2"/>
    </row>
    <row r="1731">
      <c r="A1731" s="2"/>
      <c r="B1731" s="8" t="str">
        <f>IFERROR(__xludf.DUMMYFUNCTION("""COMPUTED_VALUE"""),"ABDURAHMAN")</f>
        <v>ABDURAHMAN</v>
      </c>
      <c r="C1731" s="8" t="str">
        <f>IFERROR(__xludf.DUMMYFUNCTION("""COMPUTED_VALUE"""),"A6324097081")</f>
        <v>A6324097081</v>
      </c>
      <c r="D1731" s="8">
        <f>IFERROR(__xludf.DUMMYFUNCTION("""COMPUTED_VALUE"""),62.0)</f>
        <v>62</v>
      </c>
      <c r="E1731" s="2"/>
    </row>
    <row r="1732">
      <c r="A1732" s="2"/>
      <c r="B1732" s="8" t="str">
        <f>IFERROR(__xludf.DUMMYFUNCTION("""COMPUTED_VALUE"""),"MUHAMMAD ILHAM")</f>
        <v>MUHAMMAD ILHAM</v>
      </c>
      <c r="C1732" s="8" t="str">
        <f>IFERROR(__xludf.DUMMYFUNCTION("""COMPUTED_VALUE"""),"M9424094291")</f>
        <v>M9424094291</v>
      </c>
      <c r="D1732" s="8">
        <f>IFERROR(__xludf.DUMMYFUNCTION("""COMPUTED_VALUE"""),32.0)</f>
        <v>32</v>
      </c>
      <c r="E1732" s="2"/>
    </row>
    <row r="1733">
      <c r="A1733" s="2"/>
      <c r="B1733" s="8" t="str">
        <f>IFERROR(__xludf.DUMMYFUNCTION("""COMPUTED_VALUE"""),"SYARIF FAEYZA NAZMI")</f>
        <v>SYARIF FAEYZA NAZMI</v>
      </c>
      <c r="C1733" s="8" t="str">
        <f>IFERROR(__xludf.DUMMYFUNCTION("""COMPUTED_VALUE"""),"S0224095266")</f>
        <v>S0224095266</v>
      </c>
      <c r="D1733" s="8">
        <f>IFERROR(__xludf.DUMMYFUNCTION("""COMPUTED_VALUE"""),24.0)</f>
        <v>24</v>
      </c>
      <c r="E1733" s="2"/>
    </row>
    <row r="1734">
      <c r="A1734" s="2"/>
      <c r="B1734" s="8" t="str">
        <f>IFERROR(__xludf.DUMMYFUNCTION("""COMPUTED_VALUE"""),"FREMITAMA NABILA ZAHRA")</f>
        <v>FREMITAMA NABILA ZAHRA</v>
      </c>
      <c r="C1734" s="8" t="str">
        <f>IFERROR(__xludf.DUMMYFUNCTION("""COMPUTED_VALUE"""),"F0924093867")</f>
        <v>F0924093867</v>
      </c>
      <c r="D1734" s="8">
        <f>IFERROR(__xludf.DUMMYFUNCTION("""COMPUTED_VALUE"""),17.0)</f>
        <v>17</v>
      </c>
      <c r="E1734" s="2"/>
    </row>
    <row r="1735">
      <c r="A1735" s="2"/>
      <c r="B1735" s="8" t="str">
        <f>IFERROR(__xludf.DUMMYFUNCTION("""COMPUTED_VALUE"""),"EKO DERMAWAN")</f>
        <v>EKO DERMAWAN</v>
      </c>
      <c r="C1735" s="8" t="str">
        <f>IFERROR(__xludf.DUMMYFUNCTION("""COMPUTED_VALUE"""),"E8724093400")</f>
        <v>E8724093400</v>
      </c>
      <c r="D1735" s="8">
        <f>IFERROR(__xludf.DUMMYFUNCTION("""COMPUTED_VALUE"""),39.0)</f>
        <v>39</v>
      </c>
      <c r="E1735" s="2"/>
    </row>
    <row r="1736">
      <c r="A1736" s="2"/>
      <c r="B1736" s="8" t="str">
        <f>IFERROR(__xludf.DUMMYFUNCTION("""COMPUTED_VALUE"""),"FEBRILINI")</f>
        <v>FEBRILINI</v>
      </c>
      <c r="C1736" s="8" t="str">
        <f>IFERROR(__xludf.DUMMYFUNCTION("""COMPUTED_VALUE"""),"F9724092882")</f>
        <v>F9724092882</v>
      </c>
      <c r="D1736" s="8">
        <f>IFERROR(__xludf.DUMMYFUNCTION("""COMPUTED_VALUE"""),29.0)</f>
        <v>29</v>
      </c>
      <c r="E1736" s="2"/>
    </row>
    <row r="1737">
      <c r="A1737" s="2"/>
      <c r="B1737" s="8" t="str">
        <f>IFERROR(__xludf.DUMMYFUNCTION("""COMPUTED_VALUE"""),"HENDRA SASTRA")</f>
        <v>HENDRA SASTRA</v>
      </c>
      <c r="C1737" s="8" t="str">
        <f>IFERROR(__xludf.DUMMYFUNCTION("""COMPUTED_VALUE"""),"H7824096076")</f>
        <v>H7824096076</v>
      </c>
      <c r="D1737" s="8">
        <f>IFERROR(__xludf.DUMMYFUNCTION("""COMPUTED_VALUE"""),47.0)</f>
        <v>47</v>
      </c>
      <c r="E1737" s="2"/>
    </row>
    <row r="1738">
      <c r="A1738" s="2"/>
      <c r="B1738" s="8" t="str">
        <f>IFERROR(__xludf.DUMMYFUNCTION("""COMPUTED_VALUE"""),"MARGULAN")</f>
        <v>MARGULAN</v>
      </c>
      <c r="C1738" s="8" t="str">
        <f>IFERROR(__xludf.DUMMYFUNCTION("""COMPUTED_VALUE"""),"M6424096540")</f>
        <v>M6424096540</v>
      </c>
      <c r="D1738" s="8">
        <f>IFERROR(__xludf.DUMMYFUNCTION("""COMPUTED_VALUE"""),61.0)</f>
        <v>61</v>
      </c>
      <c r="E1738" s="2"/>
    </row>
    <row r="1739">
      <c r="A1739" s="2"/>
      <c r="B1739" s="8" t="str">
        <f>IFERROR(__xludf.DUMMYFUNCTION("""COMPUTED_VALUE"""),"APRILIA ISTI ASMOROWATO")</f>
        <v>APRILIA ISTI ASMOROWATO</v>
      </c>
      <c r="C1739" s="8" t="str">
        <f>IFERROR(__xludf.DUMMYFUNCTION("""COMPUTED_VALUE"""),"A9524090357")</f>
        <v>A9524090357</v>
      </c>
      <c r="D1739" s="8">
        <f>IFERROR(__xludf.DUMMYFUNCTION("""COMPUTED_VALUE"""),31.0)</f>
        <v>31</v>
      </c>
      <c r="E1739" s="2"/>
    </row>
    <row r="1740">
      <c r="A1740" s="2"/>
      <c r="B1740" s="8" t="str">
        <f>IFERROR(__xludf.DUMMYFUNCTION("""COMPUTED_VALUE"""),"WAHYU SETYO WIJAYA KUSUMA")</f>
        <v>WAHYU SETYO WIJAYA KUSUMA</v>
      </c>
      <c r="C1740" s="8" t="str">
        <f>IFERROR(__xludf.DUMMYFUNCTION("""COMPUTED_VALUE"""),"W9224099325")</f>
        <v>W9224099325</v>
      </c>
      <c r="D1740" s="8">
        <f>IFERROR(__xludf.DUMMYFUNCTION("""COMPUTED_VALUE"""),34.0)</f>
        <v>34</v>
      </c>
      <c r="E1740" s="2"/>
    </row>
    <row r="1741">
      <c r="A1741" s="2"/>
      <c r="B1741" s="8" t="str">
        <f>IFERROR(__xludf.DUMMYFUNCTION("""COMPUTED_VALUE"""),"RIO FERDY ERANIO")</f>
        <v>RIO FERDY ERANIO</v>
      </c>
      <c r="C1741" s="8" t="str">
        <f>IFERROR(__xludf.DUMMYFUNCTION("""COMPUTED_VALUE"""),"R9924093707")</f>
        <v>R9924093707</v>
      </c>
      <c r="D1741" s="8">
        <f>IFERROR(__xludf.DUMMYFUNCTION("""COMPUTED_VALUE"""),27.0)</f>
        <v>27</v>
      </c>
      <c r="E1741" s="2"/>
    </row>
    <row r="1742">
      <c r="A1742" s="2"/>
      <c r="B1742" s="8" t="str">
        <f>IFERROR(__xludf.DUMMYFUNCTION("""COMPUTED_VALUE"""),"CHARIS TRIJAYANTO WELLY")</f>
        <v>CHARIS TRIJAYANTO WELLY</v>
      </c>
      <c r="C1742" s="8" t="str">
        <f>IFERROR(__xludf.DUMMYFUNCTION("""COMPUTED_VALUE"""),"C9824098240")</f>
        <v>C9824098240</v>
      </c>
      <c r="D1742" s="8">
        <f>IFERROR(__xludf.DUMMYFUNCTION("""COMPUTED_VALUE"""),28.0)</f>
        <v>28</v>
      </c>
      <c r="E1742" s="2"/>
    </row>
    <row r="1743">
      <c r="A1743" s="2"/>
      <c r="B1743" s="8" t="str">
        <f>IFERROR(__xludf.DUMMYFUNCTION("""COMPUTED_VALUE"""),"IDA ISMAIL")</f>
        <v>IDA ISMAIL</v>
      </c>
      <c r="C1743" s="8" t="str">
        <f>IFERROR(__xludf.DUMMYFUNCTION("""COMPUTED_VALUE"""),"I6824099799")</f>
        <v>I6824099799</v>
      </c>
      <c r="D1743" s="8">
        <f>IFERROR(__xludf.DUMMYFUNCTION("""COMPUTED_VALUE"""),57.0)</f>
        <v>57</v>
      </c>
      <c r="E1743" s="2"/>
    </row>
    <row r="1744">
      <c r="A1744" s="2"/>
      <c r="B1744" s="8" t="str">
        <f>IFERROR(__xludf.DUMMYFUNCTION("""COMPUTED_VALUE"""),"TAN ANANDA MERDEKA")</f>
        <v>TAN ANANDA MERDEKA</v>
      </c>
      <c r="C1744" s="8" t="str">
        <f>IFERROR(__xludf.DUMMYFUNCTION("""COMPUTED_VALUE"""),"T0124099043")</f>
        <v>T0124099043</v>
      </c>
      <c r="D1744" s="8">
        <f>IFERROR(__xludf.DUMMYFUNCTION("""COMPUTED_VALUE"""),25.0)</f>
        <v>25</v>
      </c>
      <c r="E1744" s="2"/>
    </row>
    <row r="1745">
      <c r="A1745" s="2"/>
      <c r="B1745" s="8" t="str">
        <f>IFERROR(__xludf.DUMMYFUNCTION("""COMPUTED_VALUE"""),"MICHAEL GONSALES PARERA")</f>
        <v>MICHAEL GONSALES PARERA</v>
      </c>
      <c r="C1745" s="8" t="str">
        <f>IFERROR(__xludf.DUMMYFUNCTION("""COMPUTED_VALUE"""),"M0324099484")</f>
        <v>M0324099484</v>
      </c>
      <c r="D1745" s="8">
        <f>IFERROR(__xludf.DUMMYFUNCTION("""COMPUTED_VALUE"""),23.0)</f>
        <v>23</v>
      </c>
      <c r="E1745" s="2"/>
    </row>
    <row r="1746">
      <c r="A1746" s="2"/>
      <c r="B1746" s="8" t="str">
        <f>IFERROR(__xludf.DUMMYFUNCTION("""COMPUTED_VALUE"""),"SHEREN CHARISTA")</f>
        <v>SHEREN CHARISTA</v>
      </c>
      <c r="C1746" s="8" t="str">
        <f>IFERROR(__xludf.DUMMYFUNCTION("""COMPUTED_VALUE"""),"S0124094836")</f>
        <v>S0124094836</v>
      </c>
      <c r="D1746" s="8">
        <f>IFERROR(__xludf.DUMMYFUNCTION("""COMPUTED_VALUE"""),24.0)</f>
        <v>24</v>
      </c>
      <c r="E1746" s="2"/>
    </row>
    <row r="1747">
      <c r="A1747" s="2"/>
      <c r="B1747" s="8" t="str">
        <f>IFERROR(__xludf.DUMMYFUNCTION("""COMPUTED_VALUE"""),"SAHIRA BIBIE")</f>
        <v>SAHIRA BIBIE</v>
      </c>
      <c r="C1747" s="8" t="str">
        <f>IFERROR(__xludf.DUMMYFUNCTION("""COMPUTED_VALUE"""),"S7624098484")</f>
        <v>S7624098484</v>
      </c>
      <c r="D1747" s="8">
        <f>IFERROR(__xludf.DUMMYFUNCTION("""COMPUTED_VALUE"""),49.0)</f>
        <v>49</v>
      </c>
      <c r="E1747" s="2"/>
    </row>
    <row r="1748">
      <c r="A1748" s="2"/>
      <c r="B1748" s="8" t="str">
        <f>IFERROR(__xludf.DUMMYFUNCTION("""COMPUTED_VALUE"""),"ANDRIANTO")</f>
        <v>ANDRIANTO</v>
      </c>
      <c r="C1748" s="8" t="str">
        <f>IFERROR(__xludf.DUMMYFUNCTION("""COMPUTED_VALUE"""),"A9424097788")</f>
        <v>A9424097788</v>
      </c>
      <c r="D1748" s="8">
        <f>IFERROR(__xludf.DUMMYFUNCTION("""COMPUTED_VALUE"""),32.0)</f>
        <v>32</v>
      </c>
      <c r="E1748" s="2"/>
    </row>
    <row r="1749">
      <c r="A1749" s="2"/>
      <c r="B1749" s="8" t="str">
        <f>IFERROR(__xludf.DUMMYFUNCTION("""COMPUTED_VALUE"""),"LIZA JULIARTY")</f>
        <v>LIZA JULIARTY</v>
      </c>
      <c r="C1749" s="8" t="str">
        <f>IFERROR(__xludf.DUMMYFUNCTION("""COMPUTED_VALUE"""),"L8924090999")</f>
        <v>L8924090999</v>
      </c>
      <c r="D1749" s="8">
        <f>IFERROR(__xludf.DUMMYFUNCTION("""COMPUTED_VALUE"""),37.0)</f>
        <v>37</v>
      </c>
      <c r="E1749" s="2"/>
    </row>
    <row r="1750">
      <c r="A1750" s="2"/>
      <c r="B1750" s="8" t="str">
        <f>IFERROR(__xludf.DUMMYFUNCTION("""COMPUTED_VALUE"""),"ENOK ASMANAH")</f>
        <v>ENOK ASMANAH</v>
      </c>
      <c r="C1750" s="8" t="str">
        <f>IFERROR(__xludf.DUMMYFUNCTION("""COMPUTED_VALUE"""),"E7824091820")</f>
        <v>E7824091820</v>
      </c>
      <c r="D1750" s="8">
        <f>IFERROR(__xludf.DUMMYFUNCTION("""COMPUTED_VALUE"""),48.0)</f>
        <v>48</v>
      </c>
      <c r="E1750" s="2"/>
    </row>
    <row r="1751">
      <c r="A1751" s="2"/>
      <c r="B1751" s="8" t="str">
        <f>IFERROR(__xludf.DUMMYFUNCTION("""COMPUTED_VALUE"""),"MOCHAMMAD FADHIIL NAUFAL SYAUQI S. PSI")</f>
        <v>MOCHAMMAD FADHIIL NAUFAL SYAUQI S. PSI</v>
      </c>
      <c r="C1751" s="8" t="str">
        <f>IFERROR(__xludf.DUMMYFUNCTION("""COMPUTED_VALUE"""),"M9624090922")</f>
        <v>M9624090922</v>
      </c>
      <c r="D1751" s="8">
        <f>IFERROR(__xludf.DUMMYFUNCTION("""COMPUTED_VALUE"""),30.0)</f>
        <v>30</v>
      </c>
      <c r="E1751" s="2"/>
    </row>
    <row r="1752">
      <c r="A1752" s="2"/>
      <c r="B1752" s="8" t="str">
        <f>IFERROR(__xludf.DUMMYFUNCTION("""COMPUTED_VALUE"""),"NURIDAWATI")</f>
        <v>NURIDAWATI</v>
      </c>
      <c r="C1752" s="8" t="str">
        <f>IFERROR(__xludf.DUMMYFUNCTION("""COMPUTED_VALUE"""),"N6624090790")</f>
        <v>N6624090790</v>
      </c>
      <c r="D1752" s="8">
        <f>IFERROR(__xludf.DUMMYFUNCTION("""COMPUTED_VALUE"""),60.0)</f>
        <v>60</v>
      </c>
      <c r="E1752" s="2"/>
    </row>
    <row r="1753">
      <c r="A1753" s="2"/>
      <c r="B1753" s="8" t="str">
        <f>IFERROR(__xludf.DUMMYFUNCTION("""COMPUTED_VALUE"""),"IDA JULIANTI")</f>
        <v>IDA JULIANTI</v>
      </c>
      <c r="C1753" s="8" t="str">
        <f>IFERROR(__xludf.DUMMYFUNCTION("""COMPUTED_VALUE"""),"I5824099786")</f>
        <v>I5824099786</v>
      </c>
      <c r="D1753" s="8">
        <f>IFERROR(__xludf.DUMMYFUNCTION("""COMPUTED_VALUE"""),68.0)</f>
        <v>68</v>
      </c>
      <c r="E1753" s="2"/>
    </row>
    <row r="1754">
      <c r="A1754" s="2"/>
      <c r="B1754" s="8" t="str">
        <f>IFERROR(__xludf.DUMMYFUNCTION("""COMPUTED_VALUE"""),"SULIANDI")</f>
        <v>SULIANDI</v>
      </c>
      <c r="C1754" s="8" t="str">
        <f>IFERROR(__xludf.DUMMYFUNCTION("""COMPUTED_VALUE"""),"S7224091950")</f>
        <v>S7224091950</v>
      </c>
      <c r="D1754" s="8">
        <f>IFERROR(__xludf.DUMMYFUNCTION("""COMPUTED_VALUE"""),53.0)</f>
        <v>53</v>
      </c>
      <c r="E1754" s="2"/>
    </row>
    <row r="1755">
      <c r="A1755" s="2"/>
      <c r="B1755" s="8" t="str">
        <f>IFERROR(__xludf.DUMMYFUNCTION("""COMPUTED_VALUE"""),"RONY GUNAWAN")</f>
        <v>RONY GUNAWAN</v>
      </c>
      <c r="C1755" s="8" t="str">
        <f>IFERROR(__xludf.DUMMYFUNCTION("""COMPUTED_VALUE"""),"R9324090370")</f>
        <v>R9324090370</v>
      </c>
      <c r="D1755" s="8">
        <f>IFERROR(__xludf.DUMMYFUNCTION("""COMPUTED_VALUE"""),33.0)</f>
        <v>33</v>
      </c>
      <c r="E1755" s="2"/>
    </row>
    <row r="1756">
      <c r="A1756" s="2"/>
      <c r="B1756" s="8" t="str">
        <f>IFERROR(__xludf.DUMMYFUNCTION("""COMPUTED_VALUE"""),"ETTY MARWATI")</f>
        <v>ETTY MARWATI</v>
      </c>
      <c r="C1756" s="8" t="str">
        <f>IFERROR(__xludf.DUMMYFUNCTION("""COMPUTED_VALUE"""),"E7624097458")</f>
        <v>E7624097458</v>
      </c>
      <c r="D1756" s="8">
        <f>IFERROR(__xludf.DUMMYFUNCTION("""COMPUTED_VALUE"""),49.0)</f>
        <v>49</v>
      </c>
      <c r="E1756" s="2"/>
    </row>
    <row r="1757">
      <c r="A1757" s="2"/>
      <c r="B1757" s="8" t="str">
        <f>IFERROR(__xludf.DUMMYFUNCTION("""COMPUTED_VALUE"""),"TUNGGAL ADIGORO")</f>
        <v>TUNGGAL ADIGORO</v>
      </c>
      <c r="C1757" s="8" t="str">
        <f>IFERROR(__xludf.DUMMYFUNCTION("""COMPUTED_VALUE"""),"T9424092013")</f>
        <v>T9424092013</v>
      </c>
      <c r="D1757" s="8">
        <f>IFERROR(__xludf.DUMMYFUNCTION("""COMPUTED_VALUE"""),31.0)</f>
        <v>31</v>
      </c>
      <c r="E1757" s="2"/>
    </row>
    <row r="1758">
      <c r="A1758" s="2"/>
      <c r="B1758" s="8" t="str">
        <f>IFERROR(__xludf.DUMMYFUNCTION("""COMPUTED_VALUE"""),"YOHANES ADAM ABBAH")</f>
        <v>YOHANES ADAM ABBAH</v>
      </c>
      <c r="C1758" s="8" t="str">
        <f>IFERROR(__xludf.DUMMYFUNCTION("""COMPUTED_VALUE"""),"Y8624101986")</f>
        <v>Y8624101986</v>
      </c>
      <c r="D1758" s="8">
        <f>IFERROR(__xludf.DUMMYFUNCTION("""COMPUTED_VALUE"""),40.0)</f>
        <v>40</v>
      </c>
      <c r="E1758" s="2"/>
    </row>
    <row r="1759">
      <c r="A1759" s="2"/>
      <c r="B1759" s="8" t="str">
        <f>IFERROR(__xludf.DUMMYFUNCTION("""COMPUTED_VALUE"""),"TALITHA NOREEN NITYA")</f>
        <v>TALITHA NOREEN NITYA</v>
      </c>
      <c r="C1759" s="8" t="str">
        <f>IFERROR(__xludf.DUMMYFUNCTION("""COMPUTED_VALUE"""),"T0924105735")</f>
        <v>T0924105735</v>
      </c>
      <c r="D1759" s="8">
        <f>IFERROR(__xludf.DUMMYFUNCTION("""COMPUTED_VALUE"""),16.0)</f>
        <v>16</v>
      </c>
      <c r="E1759" s="2"/>
    </row>
    <row r="1760">
      <c r="A1760" s="2"/>
      <c r="B1760" s="8" t="str">
        <f>IFERROR(__xludf.DUMMYFUNCTION("""COMPUTED_VALUE"""),"FRIESCHA SEPTIYANI")</f>
        <v>FRIESCHA SEPTIYANI</v>
      </c>
      <c r="C1760" s="8" t="str">
        <f>IFERROR(__xludf.DUMMYFUNCTION("""COMPUTED_VALUE"""),"F9324104783")</f>
        <v>F9324104783</v>
      </c>
      <c r="D1760" s="8">
        <f>IFERROR(__xludf.DUMMYFUNCTION("""COMPUTED_VALUE"""),32.0)</f>
        <v>32</v>
      </c>
      <c r="E1760" s="2"/>
    </row>
    <row r="1761">
      <c r="A1761" s="2"/>
      <c r="B1761" s="8" t="str">
        <f>IFERROR(__xludf.DUMMYFUNCTION("""COMPUTED_VALUE"""),"DWI YADI")</f>
        <v>DWI YADI</v>
      </c>
      <c r="C1761" s="8" t="str">
        <f>IFERROR(__xludf.DUMMYFUNCTION("""COMPUTED_VALUE"""),"D8724103845")</f>
        <v>D8724103845</v>
      </c>
      <c r="D1761" s="8">
        <f>IFERROR(__xludf.DUMMYFUNCTION("""COMPUTED_VALUE"""),39.0)</f>
        <v>39</v>
      </c>
      <c r="E1761" s="2"/>
    </row>
    <row r="1762">
      <c r="A1762" s="2"/>
      <c r="B1762" s="8" t="str">
        <f>IFERROR(__xludf.DUMMYFUNCTION("""COMPUTED_VALUE"""),"ALI/SYAWALLUDIN")</f>
        <v>ALI/SYAWALLUDIN</v>
      </c>
      <c r="C1762" s="8" t="str">
        <f>IFERROR(__xludf.DUMMYFUNCTION("""COMPUTED_VALUE"""),"A9224100307")</f>
        <v>A9224100307</v>
      </c>
      <c r="D1762" s="8">
        <f>IFERROR(__xludf.DUMMYFUNCTION("""COMPUTED_VALUE"""),34.0)</f>
        <v>34</v>
      </c>
      <c r="E1762" s="2"/>
    </row>
    <row r="1763">
      <c r="A1763" s="2"/>
      <c r="B1763" s="8" t="str">
        <f>IFERROR(__xludf.DUMMYFUNCTION("""COMPUTED_VALUE"""),"SAMSUL SANI")</f>
        <v>SAMSUL SANI</v>
      </c>
      <c r="C1763" s="8" t="str">
        <f>IFERROR(__xludf.DUMMYFUNCTION("""COMPUTED_VALUE"""),"S7424104411")</f>
        <v>S7424104411</v>
      </c>
      <c r="D1763" s="8">
        <f>IFERROR(__xludf.DUMMYFUNCTION("""COMPUTED_VALUE"""),52.0)</f>
        <v>52</v>
      </c>
      <c r="E1763" s="2"/>
    </row>
    <row r="1764">
      <c r="A1764" s="2"/>
      <c r="B1764" s="8" t="str">
        <f>IFERROR(__xludf.DUMMYFUNCTION("""COMPUTED_VALUE"""),"RAINA AINUN NOOR")</f>
        <v>RAINA AINUN NOOR</v>
      </c>
      <c r="C1764" s="8" t="str">
        <f>IFERROR(__xludf.DUMMYFUNCTION("""COMPUTED_VALUE"""),"R5124105756")</f>
        <v>R5124105756</v>
      </c>
      <c r="D1764" s="8">
        <f>IFERROR(__xludf.DUMMYFUNCTION("""COMPUTED_VALUE"""),74.0)</f>
        <v>74</v>
      </c>
      <c r="E1764" s="2"/>
    </row>
    <row r="1765">
      <c r="A1765" s="2"/>
      <c r="B1765" s="8" t="str">
        <f>IFERROR(__xludf.DUMMYFUNCTION("""COMPUTED_VALUE"""),"ABDULLAH SALMAN HARIZ")</f>
        <v>ABDULLAH SALMAN HARIZ</v>
      </c>
      <c r="C1765" s="8" t="str">
        <f>IFERROR(__xludf.DUMMYFUNCTION("""COMPUTED_VALUE"""),"A0924102496")</f>
        <v>A0924102496</v>
      </c>
      <c r="D1765" s="8">
        <f>IFERROR(__xludf.DUMMYFUNCTION("""COMPUTED_VALUE"""),17.0)</f>
        <v>17</v>
      </c>
      <c r="E1765" s="2"/>
    </row>
    <row r="1766">
      <c r="A1766" s="2"/>
      <c r="B1766" s="8" t="str">
        <f>IFERROR(__xludf.DUMMYFUNCTION("""COMPUTED_VALUE"""),"WILLI")</f>
        <v>WILLI</v>
      </c>
      <c r="C1766" s="8" t="str">
        <f>IFERROR(__xludf.DUMMYFUNCTION("""COMPUTED_VALUE"""),"W9524101624")</f>
        <v>W9524101624</v>
      </c>
      <c r="D1766" s="8">
        <f>IFERROR(__xludf.DUMMYFUNCTION("""COMPUTED_VALUE"""),31.0)</f>
        <v>31</v>
      </c>
      <c r="E1766" s="2"/>
    </row>
    <row r="1767">
      <c r="A1767" s="2"/>
      <c r="B1767" s="8" t="str">
        <f>IFERROR(__xludf.DUMMYFUNCTION("""COMPUTED_VALUE"""),"FAUZIAH BATUBARA")</f>
        <v>FAUZIAH BATUBARA</v>
      </c>
      <c r="C1767" s="8" t="str">
        <f>IFERROR(__xludf.DUMMYFUNCTION("""COMPUTED_VALUE"""),"F9224109183")</f>
        <v>F9224109183</v>
      </c>
      <c r="D1767" s="8">
        <f>IFERROR(__xludf.DUMMYFUNCTION("""COMPUTED_VALUE"""),33.0)</f>
        <v>33</v>
      </c>
      <c r="E1767" s="2"/>
    </row>
    <row r="1768">
      <c r="A1768" s="2"/>
      <c r="B1768" s="8" t="str">
        <f>IFERROR(__xludf.DUMMYFUNCTION("""COMPUTED_VALUE"""),"SULAIMAN 9601")</f>
        <v>SULAIMAN 9601</v>
      </c>
      <c r="C1768" s="8" t="str">
        <f>IFERROR(__xludf.DUMMYFUNCTION("""COMPUTED_VALUE"""),"S9624106365")</f>
        <v>S9624106365</v>
      </c>
      <c r="D1768" s="8">
        <f>IFERROR(__xludf.DUMMYFUNCTION("""COMPUTED_VALUE"""),30.0)</f>
        <v>30</v>
      </c>
      <c r="E1768" s="2"/>
    </row>
    <row r="1769">
      <c r="A1769" s="2"/>
      <c r="B1769" s="8" t="str">
        <f>IFERROR(__xludf.DUMMYFUNCTION("""COMPUTED_VALUE"""),"IKEU SUGIARTI")</f>
        <v>IKEU SUGIARTI</v>
      </c>
      <c r="C1769" s="8" t="str">
        <f>IFERROR(__xludf.DUMMYFUNCTION("""COMPUTED_VALUE"""),"I8624101030")</f>
        <v>I8624101030</v>
      </c>
      <c r="D1769" s="8">
        <f>IFERROR(__xludf.DUMMYFUNCTION("""COMPUTED_VALUE"""),39.0)</f>
        <v>39</v>
      </c>
      <c r="E1769" s="2"/>
    </row>
    <row r="1770">
      <c r="A1770" s="2"/>
      <c r="B1770" s="8" t="str">
        <f>IFERROR(__xludf.DUMMYFUNCTION("""COMPUTED_VALUE"""),"MEIKO SYAHPUTRA")</f>
        <v>MEIKO SYAHPUTRA</v>
      </c>
      <c r="C1770" s="8" t="str">
        <f>IFERROR(__xludf.DUMMYFUNCTION("""COMPUTED_VALUE"""),"M0224105894")</f>
        <v>M0224105894</v>
      </c>
      <c r="D1770" s="8">
        <f>IFERROR(__xludf.DUMMYFUNCTION("""COMPUTED_VALUE"""),23.0)</f>
        <v>23</v>
      </c>
      <c r="E1770" s="2"/>
    </row>
    <row r="1771">
      <c r="A1771" s="2"/>
      <c r="B1771" s="8" t="str">
        <f>IFERROR(__xludf.DUMMYFUNCTION("""COMPUTED_VALUE"""),"DARWIN")</f>
        <v>DARWIN</v>
      </c>
      <c r="C1771" s="8" t="str">
        <f>IFERROR(__xludf.DUMMYFUNCTION("""COMPUTED_VALUE"""),"D8024104918")</f>
        <v>D8024104918</v>
      </c>
      <c r="D1771" s="8">
        <f>IFERROR(__xludf.DUMMYFUNCTION("""COMPUTED_VALUE"""),45.0)</f>
        <v>45</v>
      </c>
      <c r="E1771" s="2"/>
    </row>
    <row r="1772">
      <c r="A1772" s="2"/>
      <c r="B1772" s="8" t="str">
        <f>IFERROR(__xludf.DUMMYFUNCTION("""COMPUTED_VALUE"""),"JEFFRY SURYADI")</f>
        <v>JEFFRY SURYADI</v>
      </c>
      <c r="C1772" s="8" t="str">
        <f>IFERROR(__xludf.DUMMYFUNCTION("""COMPUTED_VALUE"""),"J6724103118")</f>
        <v>J6724103118</v>
      </c>
      <c r="D1772" s="8">
        <f>IFERROR(__xludf.DUMMYFUNCTION("""COMPUTED_VALUE"""),59.0)</f>
        <v>59</v>
      </c>
      <c r="E1772" s="2"/>
    </row>
    <row r="1773">
      <c r="A1773" s="2"/>
      <c r="B1773" s="8" t="str">
        <f>IFERROR(__xludf.DUMMYFUNCTION("""COMPUTED_VALUE"""),"LIE FUN")</f>
        <v>LIE FUN</v>
      </c>
      <c r="C1773" s="8" t="str">
        <f>IFERROR(__xludf.DUMMYFUNCTION("""COMPUTED_VALUE"""),"L7124106558")</f>
        <v>L7124106558</v>
      </c>
      <c r="D1773" s="8">
        <f>IFERROR(__xludf.DUMMYFUNCTION("""COMPUTED_VALUE"""),55.0)</f>
        <v>55</v>
      </c>
      <c r="E1773" s="2"/>
    </row>
    <row r="1774">
      <c r="A1774" s="2"/>
      <c r="B1774" s="8" t="str">
        <f>IFERROR(__xludf.DUMMYFUNCTION("""COMPUTED_VALUE"""),"RIZKY ARDIANSYAH")</f>
        <v>RIZKY ARDIANSYAH</v>
      </c>
      <c r="C1774" s="8" t="str">
        <f>IFERROR(__xludf.DUMMYFUNCTION("""COMPUTED_VALUE"""),"R0624106967")</f>
        <v>R0624106967</v>
      </c>
      <c r="D1774" s="8">
        <f>IFERROR(__xludf.DUMMYFUNCTION("""COMPUTED_VALUE"""),20.0)</f>
        <v>20</v>
      </c>
      <c r="E1774" s="2"/>
    </row>
    <row r="1775">
      <c r="A1775" s="2"/>
      <c r="B1775" s="8" t="str">
        <f>IFERROR(__xludf.DUMMYFUNCTION("""COMPUTED_VALUE"""),"NEFRI MATIPA")</f>
        <v>NEFRI MATIPA</v>
      </c>
      <c r="C1775" s="8" t="str">
        <f>IFERROR(__xludf.DUMMYFUNCTION("""COMPUTED_VALUE"""),"N8224100407")</f>
        <v>N8224100407</v>
      </c>
      <c r="D1775" s="8">
        <f>IFERROR(__xludf.DUMMYFUNCTION("""COMPUTED_VALUE"""),44.0)</f>
        <v>44</v>
      </c>
      <c r="E1775" s="2"/>
    </row>
    <row r="1776">
      <c r="A1776" s="2"/>
      <c r="B1776" s="8" t="str">
        <f>IFERROR(__xludf.DUMMYFUNCTION("""COMPUTED_VALUE"""),"M REDHA MAULINDRA")</f>
        <v>M REDHA MAULINDRA</v>
      </c>
      <c r="C1776" s="8" t="str">
        <f>IFERROR(__xludf.DUMMYFUNCTION("""COMPUTED_VALUE"""),"M9724105171")</f>
        <v>M9724105171</v>
      </c>
      <c r="D1776" s="8">
        <f>IFERROR(__xludf.DUMMYFUNCTION("""COMPUTED_VALUE"""),29.0)</f>
        <v>29</v>
      </c>
      <c r="E1776" s="2"/>
    </row>
    <row r="1777">
      <c r="A1777" s="2"/>
      <c r="B1777" s="8" t="str">
        <f>IFERROR(__xludf.DUMMYFUNCTION("""COMPUTED_VALUE"""),"IRFAN MAHDI")</f>
        <v>IRFAN MAHDI</v>
      </c>
      <c r="C1777" s="8" t="str">
        <f>IFERROR(__xludf.DUMMYFUNCTION("""COMPUTED_VALUE"""),"I9324104890")</f>
        <v>I9324104890</v>
      </c>
      <c r="D1777" s="8">
        <f>IFERROR(__xludf.DUMMYFUNCTION("""COMPUTED_VALUE"""),33.0)</f>
        <v>33</v>
      </c>
      <c r="E1777" s="2"/>
    </row>
    <row r="1778">
      <c r="A1778" s="2"/>
      <c r="B1778" s="8" t="str">
        <f>IFERROR(__xludf.DUMMYFUNCTION("""COMPUTED_VALUE"""),"AYU ARTIKANDI")</f>
        <v>AYU ARTIKANDI</v>
      </c>
      <c r="C1778" s="8" t="str">
        <f>IFERROR(__xludf.DUMMYFUNCTION("""COMPUTED_VALUE"""),"A9124107890")</f>
        <v>A9124107890</v>
      </c>
      <c r="D1778" s="8">
        <f>IFERROR(__xludf.DUMMYFUNCTION("""COMPUTED_VALUE"""),35.0)</f>
        <v>35</v>
      </c>
      <c r="E1778" s="2"/>
    </row>
    <row r="1779">
      <c r="A1779" s="2"/>
      <c r="B1779" s="8" t="str">
        <f>IFERROR(__xludf.DUMMYFUNCTION("""COMPUTED_VALUE"""),"ABDUL AZIS")</f>
        <v>ABDUL AZIS</v>
      </c>
      <c r="C1779" s="8" t="str">
        <f>IFERROR(__xludf.DUMMYFUNCTION("""COMPUTED_VALUE"""),"A9324103375")</f>
        <v>A9324103375</v>
      </c>
      <c r="D1779" s="8">
        <f>IFERROR(__xludf.DUMMYFUNCTION("""COMPUTED_VALUE"""),32.0)</f>
        <v>32</v>
      </c>
      <c r="E1779" s="2"/>
    </row>
    <row r="1780">
      <c r="A1780" s="2"/>
      <c r="B1780" s="8" t="str">
        <f>IFERROR(__xludf.DUMMYFUNCTION("""COMPUTED_VALUE"""),"STEFANUS ANDHIKA PUTRA UTAMA")</f>
        <v>STEFANUS ANDHIKA PUTRA UTAMA</v>
      </c>
      <c r="C1780" s="8" t="str">
        <f>IFERROR(__xludf.DUMMYFUNCTION("""COMPUTED_VALUE"""),"S8624103421")</f>
        <v>S8624103421</v>
      </c>
      <c r="D1780" s="8">
        <f>IFERROR(__xludf.DUMMYFUNCTION("""COMPUTED_VALUE"""),40.0)</f>
        <v>40</v>
      </c>
      <c r="E1780" s="2"/>
    </row>
    <row r="1781">
      <c r="A1781" s="2"/>
      <c r="B1781" s="8" t="str">
        <f>IFERROR(__xludf.DUMMYFUNCTION("""COMPUTED_VALUE"""),"MEITY")</f>
        <v>MEITY</v>
      </c>
      <c r="C1781" s="8" t="str">
        <f>IFERROR(__xludf.DUMMYFUNCTION("""COMPUTED_VALUE"""),"M8624106229")</f>
        <v>M8624106229</v>
      </c>
      <c r="D1781" s="8">
        <f>IFERROR(__xludf.DUMMYFUNCTION("""COMPUTED_VALUE"""),40.0)</f>
        <v>40</v>
      </c>
      <c r="E1781" s="2"/>
    </row>
    <row r="1782">
      <c r="A1782" s="2"/>
      <c r="B1782" s="8" t="str">
        <f>IFERROR(__xludf.DUMMYFUNCTION("""COMPUTED_VALUE"""),"HENKI")</f>
        <v>HENKI</v>
      </c>
      <c r="C1782" s="8" t="str">
        <f>IFERROR(__xludf.DUMMYFUNCTION("""COMPUTED_VALUE"""),"H8224102675")</f>
        <v>H8224102675</v>
      </c>
      <c r="D1782" s="8">
        <f>IFERROR(__xludf.DUMMYFUNCTION("""COMPUTED_VALUE"""),43.0)</f>
        <v>43</v>
      </c>
      <c r="E1782" s="2"/>
    </row>
    <row r="1783">
      <c r="A1783" s="2"/>
      <c r="B1783" s="8" t="str">
        <f>IFERROR(__xludf.DUMMYFUNCTION("""COMPUTED_VALUE"""),"VERY")</f>
        <v>VERY</v>
      </c>
      <c r="C1783" s="8" t="str">
        <f>IFERROR(__xludf.DUMMYFUNCTION("""COMPUTED_VALUE"""),"V9524108771")</f>
        <v>V9524108771</v>
      </c>
      <c r="D1783" s="8">
        <f>IFERROR(__xludf.DUMMYFUNCTION("""COMPUTED_VALUE"""),31.0)</f>
        <v>31</v>
      </c>
      <c r="E1783" s="2"/>
    </row>
    <row r="1784">
      <c r="A1784" s="2"/>
      <c r="B1784" s="8" t="str">
        <f>IFERROR(__xludf.DUMMYFUNCTION("""COMPUTED_VALUE"""),"WISNU PRABOWO")</f>
        <v>WISNU PRABOWO</v>
      </c>
      <c r="C1784" s="8" t="str">
        <f>IFERROR(__xludf.DUMMYFUNCTION("""COMPUTED_VALUE"""),"W9424109880")</f>
        <v>W9424109880</v>
      </c>
      <c r="D1784" s="8">
        <f>IFERROR(__xludf.DUMMYFUNCTION("""COMPUTED_VALUE"""),32.0)</f>
        <v>32</v>
      </c>
      <c r="E1784" s="2"/>
    </row>
    <row r="1785">
      <c r="A1785" s="2"/>
      <c r="B1785" s="8" t="str">
        <f>IFERROR(__xludf.DUMMYFUNCTION("""COMPUTED_VALUE"""),"TOMMY SURYA ATMAJA")</f>
        <v>TOMMY SURYA ATMAJA</v>
      </c>
      <c r="C1785" s="8" t="str">
        <f>IFERROR(__xludf.DUMMYFUNCTION("""COMPUTED_VALUE"""),"T9224101112")</f>
        <v>T9224101112</v>
      </c>
      <c r="D1785" s="8">
        <f>IFERROR(__xludf.DUMMYFUNCTION("""COMPUTED_VALUE"""),34.0)</f>
        <v>34</v>
      </c>
      <c r="E1785" s="2"/>
    </row>
    <row r="1786">
      <c r="A1786" s="2"/>
      <c r="B1786" s="8" t="str">
        <f>IFERROR(__xludf.DUMMYFUNCTION("""COMPUTED_VALUE"""),"EDI HADANI")</f>
        <v>EDI HADANI</v>
      </c>
      <c r="C1786" s="8" t="str">
        <f>IFERROR(__xludf.DUMMYFUNCTION("""COMPUTED_VALUE"""),"E9424106349")</f>
        <v>E9424106349</v>
      </c>
      <c r="D1786" s="8">
        <f>IFERROR(__xludf.DUMMYFUNCTION("""COMPUTED_VALUE"""),32.0)</f>
        <v>32</v>
      </c>
      <c r="E1786" s="2"/>
    </row>
    <row r="1787">
      <c r="A1787" s="2"/>
      <c r="B1787" s="8" t="str">
        <f>IFERROR(__xludf.DUMMYFUNCTION("""COMPUTED_VALUE"""),"DJUNG TONG")</f>
        <v>DJUNG TONG</v>
      </c>
      <c r="C1787" s="8" t="str">
        <f>IFERROR(__xludf.DUMMYFUNCTION("""COMPUTED_VALUE"""),"D7824104286")</f>
        <v>D7824104286</v>
      </c>
      <c r="D1787" s="8">
        <f>IFERROR(__xludf.DUMMYFUNCTION("""COMPUTED_VALUE"""),47.0)</f>
        <v>47</v>
      </c>
      <c r="E1787" s="2"/>
    </row>
    <row r="1788">
      <c r="A1788" s="2"/>
      <c r="B1788" s="8" t="str">
        <f>IFERROR(__xludf.DUMMYFUNCTION("""COMPUTED_VALUE"""),"LINA JULINA, SE")</f>
        <v>LINA JULINA, SE</v>
      </c>
      <c r="C1788" s="8" t="str">
        <f>IFERROR(__xludf.DUMMYFUNCTION("""COMPUTED_VALUE"""),"L7324104090")</f>
        <v>L7324104090</v>
      </c>
      <c r="D1788" s="8">
        <f>IFERROR(__xludf.DUMMYFUNCTION("""COMPUTED_VALUE"""),53.0)</f>
        <v>53</v>
      </c>
      <c r="E1788" s="2"/>
    </row>
    <row r="1789">
      <c r="A1789" s="2"/>
      <c r="B1789" s="8" t="str">
        <f>IFERROR(__xludf.DUMMYFUNCTION("""COMPUTED_VALUE"""),"WENDY WIJAYA")</f>
        <v>WENDY WIJAYA</v>
      </c>
      <c r="C1789" s="8" t="str">
        <f>IFERROR(__xludf.DUMMYFUNCTION("""COMPUTED_VALUE"""),"W9324108899")</f>
        <v>W9324108899</v>
      </c>
      <c r="D1789" s="8">
        <f>IFERROR(__xludf.DUMMYFUNCTION("""COMPUTED_VALUE"""),33.0)</f>
        <v>33</v>
      </c>
      <c r="E1789" s="2"/>
    </row>
    <row r="1790">
      <c r="A1790" s="2"/>
      <c r="B1790" s="8" t="str">
        <f>IFERROR(__xludf.DUMMYFUNCTION("""COMPUTED_VALUE"""),"LAILA HUSNA")</f>
        <v>LAILA HUSNA</v>
      </c>
      <c r="C1790" s="8" t="str">
        <f>IFERROR(__xludf.DUMMYFUNCTION("""COMPUTED_VALUE"""),"L6224108253")</f>
        <v>L6224108253</v>
      </c>
      <c r="D1790" s="8">
        <f>IFERROR(__xludf.DUMMYFUNCTION("""COMPUTED_VALUE"""),63.0)</f>
        <v>63</v>
      </c>
      <c r="E1790" s="2"/>
    </row>
    <row r="1791">
      <c r="A1791" s="2"/>
      <c r="B1791" s="8" t="str">
        <f>IFERROR(__xludf.DUMMYFUNCTION("""COMPUTED_VALUE"""),"AGISCA MAULIDYAH PERMANA")</f>
        <v>AGISCA MAULIDYAH PERMANA</v>
      </c>
      <c r="C1791" s="8" t="str">
        <f>IFERROR(__xludf.DUMMYFUNCTION("""COMPUTED_VALUE"""),"A0724100417")</f>
        <v>A0724100417</v>
      </c>
      <c r="D1791" s="8">
        <f>IFERROR(__xludf.DUMMYFUNCTION("""COMPUTED_VALUE"""),19.0)</f>
        <v>19</v>
      </c>
      <c r="E1791" s="2"/>
    </row>
    <row r="1792">
      <c r="A1792" s="2"/>
      <c r="B1792" s="8" t="str">
        <f>IFERROR(__xludf.DUMMYFUNCTION("""COMPUTED_VALUE"""),"WINDA ANGGRAINI")</f>
        <v>WINDA ANGGRAINI</v>
      </c>
      <c r="C1792" s="8" t="str">
        <f>IFERROR(__xludf.DUMMYFUNCTION("""COMPUTED_VALUE"""),"W7224108009")</f>
        <v>W7224108009</v>
      </c>
      <c r="D1792" s="8">
        <f>IFERROR(__xludf.DUMMYFUNCTION("""COMPUTED_VALUE"""),53.0)</f>
        <v>53</v>
      </c>
      <c r="E1792" s="2"/>
    </row>
    <row r="1793">
      <c r="A1793" s="2"/>
      <c r="B1793" s="8" t="str">
        <f>IFERROR(__xludf.DUMMYFUNCTION("""COMPUTED_VALUE"""),"SURYA YULIYANTO")</f>
        <v>SURYA YULIYANTO</v>
      </c>
      <c r="C1793" s="8" t="str">
        <f>IFERROR(__xludf.DUMMYFUNCTION("""COMPUTED_VALUE"""),"S0524104015")</f>
        <v>S0524104015</v>
      </c>
      <c r="D1793" s="8">
        <f>IFERROR(__xludf.DUMMYFUNCTION("""COMPUTED_VALUE"""),20.0)</f>
        <v>20</v>
      </c>
      <c r="E1793" s="2"/>
    </row>
    <row r="1794">
      <c r="A1794" s="2"/>
      <c r="B1794" s="8" t="str">
        <f>IFERROR(__xludf.DUMMYFUNCTION("""COMPUTED_VALUE"""),"NAJWA ANANDA DESFIRIANI")</f>
        <v>NAJWA ANANDA DESFIRIANI</v>
      </c>
      <c r="C1794" s="8" t="str">
        <f>IFERROR(__xludf.DUMMYFUNCTION("""COMPUTED_VALUE"""),"N0724105061")</f>
        <v>N0724105061</v>
      </c>
      <c r="D1794" s="8">
        <f>IFERROR(__xludf.DUMMYFUNCTION("""COMPUTED_VALUE"""),18.0)</f>
        <v>18</v>
      </c>
      <c r="E1794" s="2"/>
    </row>
    <row r="1795">
      <c r="A1795" s="2"/>
      <c r="B1795" s="8" t="str">
        <f>IFERROR(__xludf.DUMMYFUNCTION("""COMPUTED_VALUE"""),"ANUGRAH DWI SATTRIO")</f>
        <v>ANUGRAH DWI SATTRIO</v>
      </c>
      <c r="C1795" s="8" t="str">
        <f>IFERROR(__xludf.DUMMYFUNCTION("""COMPUTED_VALUE"""),"A0624102006")</f>
        <v>A0624102006</v>
      </c>
      <c r="D1795" s="8">
        <f>IFERROR(__xludf.DUMMYFUNCTION("""COMPUTED_VALUE"""),19.0)</f>
        <v>19</v>
      </c>
      <c r="E1795" s="2"/>
    </row>
    <row r="1796">
      <c r="A1796" s="2"/>
      <c r="B1796" s="8" t="str">
        <f>IFERROR(__xludf.DUMMYFUNCTION("""COMPUTED_VALUE"""),"RIKA HAFIANTI")</f>
        <v>RIKA HAFIANTI</v>
      </c>
      <c r="C1796" s="8" t="str">
        <f>IFERROR(__xludf.DUMMYFUNCTION("""COMPUTED_VALUE"""),"R7724104227")</f>
        <v>R7724104227</v>
      </c>
      <c r="D1796" s="8">
        <f>IFERROR(__xludf.DUMMYFUNCTION("""COMPUTED_VALUE"""),49.0)</f>
        <v>49</v>
      </c>
      <c r="E1796" s="2"/>
    </row>
    <row r="1797">
      <c r="A1797" s="2"/>
      <c r="B1797" s="8" t="str">
        <f>IFERROR(__xludf.DUMMYFUNCTION("""COMPUTED_VALUE"""),"MARLENI")</f>
        <v>MARLENI</v>
      </c>
      <c r="C1797" s="8" t="str">
        <f>IFERROR(__xludf.DUMMYFUNCTION("""COMPUTED_VALUE"""),"M7824100000")</f>
        <v>M7824100000</v>
      </c>
      <c r="D1797" s="8">
        <f>IFERROR(__xludf.DUMMYFUNCTION("""COMPUTED_VALUE"""),48.0)</f>
        <v>48</v>
      </c>
      <c r="E1797" s="2"/>
    </row>
    <row r="1798">
      <c r="A1798" s="2"/>
      <c r="B1798" s="8" t="str">
        <f>IFERROR(__xludf.DUMMYFUNCTION("""COMPUTED_VALUE"""),"ARIEP NURALAM")</f>
        <v>ARIEP NURALAM</v>
      </c>
      <c r="C1798" s="8" t="str">
        <f>IFERROR(__xludf.DUMMYFUNCTION("""COMPUTED_VALUE"""),"A9924102495")</f>
        <v>A9924102495</v>
      </c>
      <c r="D1798" s="8">
        <f>IFERROR(__xludf.DUMMYFUNCTION("""COMPUTED_VALUE"""),27.0)</f>
        <v>27</v>
      </c>
      <c r="E1798" s="2"/>
    </row>
    <row r="1799">
      <c r="A1799" s="2"/>
      <c r="B1799" s="8" t="str">
        <f>IFERROR(__xludf.DUMMYFUNCTION("""COMPUTED_VALUE"""),"RAVLI AGUS VASHIA")</f>
        <v>RAVLI AGUS VASHIA</v>
      </c>
      <c r="C1799" s="8" t="str">
        <f>IFERROR(__xludf.DUMMYFUNCTION("""COMPUTED_VALUE"""),"R9824106383")</f>
        <v>R9824106383</v>
      </c>
      <c r="D1799" s="8">
        <f>IFERROR(__xludf.DUMMYFUNCTION("""COMPUTED_VALUE"""),27.0)</f>
        <v>27</v>
      </c>
      <c r="E1799" s="2"/>
    </row>
    <row r="1800">
      <c r="A1800" s="2"/>
      <c r="B1800" s="8" t="str">
        <f>IFERROR(__xludf.DUMMYFUNCTION("""COMPUTED_VALUE"""),"HENRIS")</f>
        <v>HENRIS</v>
      </c>
      <c r="C1800" s="8" t="str">
        <f>IFERROR(__xludf.DUMMYFUNCTION("""COMPUTED_VALUE"""),"H0024107515")</f>
        <v>H0024107515</v>
      </c>
      <c r="D1800" s="8">
        <f>IFERROR(__xludf.DUMMYFUNCTION("""COMPUTED_VALUE"""),26.0)</f>
        <v>26</v>
      </c>
      <c r="E1800" s="2"/>
    </row>
    <row r="1801">
      <c r="A1801" s="2"/>
      <c r="B1801" s="8" t="str">
        <f>IFERROR(__xludf.DUMMYFUNCTION("""COMPUTED_VALUE"""),"SOLIHIN AGUS")</f>
        <v>SOLIHIN AGUS</v>
      </c>
      <c r="C1801" s="8" t="str">
        <f>IFERROR(__xludf.DUMMYFUNCTION("""COMPUTED_VALUE"""),"S6724108986")</f>
        <v>S6724108986</v>
      </c>
      <c r="D1801" s="8">
        <f>IFERROR(__xludf.DUMMYFUNCTION("""COMPUTED_VALUE"""),59.0)</f>
        <v>59</v>
      </c>
      <c r="E1801" s="2"/>
    </row>
    <row r="1802">
      <c r="A1802" s="2"/>
      <c r="B1802" s="8" t="str">
        <f>IFERROR(__xludf.DUMMYFUNCTION("""COMPUTED_VALUE"""),"KRISTIN")</f>
        <v>KRISTIN</v>
      </c>
      <c r="C1802" s="8" t="str">
        <f>IFERROR(__xludf.DUMMYFUNCTION("""COMPUTED_VALUE"""),"K7724104788")</f>
        <v>K7724104788</v>
      </c>
      <c r="D1802" s="8">
        <f>IFERROR(__xludf.DUMMYFUNCTION("""COMPUTED_VALUE"""),48.0)</f>
        <v>48</v>
      </c>
      <c r="E1802" s="2"/>
    </row>
    <row r="1803">
      <c r="A1803" s="2"/>
      <c r="B1803" s="8" t="str">
        <f>IFERROR(__xludf.DUMMYFUNCTION("""COMPUTED_VALUE"""),"SUTARMO")</f>
        <v>SUTARMO</v>
      </c>
      <c r="C1803" s="8" t="str">
        <f>IFERROR(__xludf.DUMMYFUNCTION("""COMPUTED_VALUE"""),"S9624103200")</f>
        <v>S9624103200</v>
      </c>
      <c r="D1803" s="8">
        <f>IFERROR(__xludf.DUMMYFUNCTION("""COMPUTED_VALUE"""),30.0)</f>
        <v>30</v>
      </c>
      <c r="E1803" s="2"/>
    </row>
    <row r="1804">
      <c r="A1804" s="2"/>
      <c r="B1804" s="8" t="str">
        <f>IFERROR(__xludf.DUMMYFUNCTION("""COMPUTED_VALUE"""),"SUMARNI,S.STP")</f>
        <v>SUMARNI,S.STP</v>
      </c>
      <c r="C1804" s="8" t="str">
        <f>IFERROR(__xludf.DUMMYFUNCTION("""COMPUTED_VALUE"""),"S8224100509")</f>
        <v>S8224100509</v>
      </c>
      <c r="D1804" s="8">
        <f>IFERROR(__xludf.DUMMYFUNCTION("""COMPUTED_VALUE"""),44.0)</f>
        <v>44</v>
      </c>
      <c r="E1804" s="2"/>
    </row>
    <row r="1805">
      <c r="A1805" s="2"/>
      <c r="B1805" s="8" t="str">
        <f>IFERROR(__xludf.DUMMYFUNCTION("""COMPUTED_VALUE"""),"MOHAMAD SYAZIMMI HERSYAPUTRA")</f>
        <v>MOHAMAD SYAZIMMI HERSYAPUTRA</v>
      </c>
      <c r="C1805" s="8" t="str">
        <f>IFERROR(__xludf.DUMMYFUNCTION("""COMPUTED_VALUE"""),"M0024102451")</f>
        <v>M0024102451</v>
      </c>
      <c r="D1805" s="8">
        <f>IFERROR(__xludf.DUMMYFUNCTION("""COMPUTED_VALUE"""),26.0)</f>
        <v>26</v>
      </c>
      <c r="E1805" s="2"/>
    </row>
    <row r="1806">
      <c r="A1806" s="2"/>
      <c r="B1806" s="8" t="str">
        <f>IFERROR(__xludf.DUMMYFUNCTION("""COMPUTED_VALUE"""),"SAMUEL DAZHILL")</f>
        <v>SAMUEL DAZHILL</v>
      </c>
      <c r="C1806" s="8" t="str">
        <f>IFERROR(__xludf.DUMMYFUNCTION("""COMPUTED_VALUE"""),"S0824108899")</f>
        <v>S0824108899</v>
      </c>
      <c r="D1806" s="8">
        <f>IFERROR(__xludf.DUMMYFUNCTION("""COMPUTED_VALUE"""),17.0)</f>
        <v>17</v>
      </c>
      <c r="E1806" s="2"/>
    </row>
    <row r="1807">
      <c r="A1807" s="2"/>
      <c r="B1807" s="8" t="str">
        <f>IFERROR(__xludf.DUMMYFUNCTION("""COMPUTED_VALUE"""),"RISKI FEBRIADI")</f>
        <v>RISKI FEBRIADI</v>
      </c>
      <c r="C1807" s="8" t="str">
        <f>IFERROR(__xludf.DUMMYFUNCTION("""COMPUTED_VALUE"""),"R9624109097")</f>
        <v>R9624109097</v>
      </c>
      <c r="D1807" s="8">
        <f>IFERROR(__xludf.DUMMYFUNCTION("""COMPUTED_VALUE"""),30.0)</f>
        <v>30</v>
      </c>
      <c r="E1807" s="2"/>
    </row>
    <row r="1808">
      <c r="A1808" s="2"/>
      <c r="B1808" s="8" t="str">
        <f>IFERROR(__xludf.DUMMYFUNCTION("""COMPUTED_VALUE"""),"YOHANITHA LIZA OKTAVIANI")</f>
        <v>YOHANITHA LIZA OKTAVIANI</v>
      </c>
      <c r="C1808" s="8" t="str">
        <f>IFERROR(__xludf.DUMMYFUNCTION("""COMPUTED_VALUE"""),"Y9324109873")</f>
        <v>Y9324109873</v>
      </c>
      <c r="D1808" s="8">
        <f>IFERROR(__xludf.DUMMYFUNCTION("""COMPUTED_VALUE"""),32.0)</f>
        <v>32</v>
      </c>
      <c r="E1808" s="2"/>
    </row>
    <row r="1809">
      <c r="A1809" s="2"/>
      <c r="B1809" s="8" t="str">
        <f>IFERROR(__xludf.DUMMYFUNCTION("""COMPUTED_VALUE"""),"ROBY SUGIANTARA")</f>
        <v>ROBY SUGIANTARA</v>
      </c>
      <c r="C1809" s="8" t="str">
        <f>IFERROR(__xludf.DUMMYFUNCTION("""COMPUTED_VALUE"""),"R9124108100")</f>
        <v>R9124108100</v>
      </c>
      <c r="D1809" s="8">
        <f>IFERROR(__xludf.DUMMYFUNCTION("""COMPUTED_VALUE"""),35.0)</f>
        <v>35</v>
      </c>
      <c r="E1809" s="2"/>
    </row>
    <row r="1810">
      <c r="A1810" s="2"/>
      <c r="B1810" s="8" t="str">
        <f>IFERROR(__xludf.DUMMYFUNCTION("""COMPUTED_VALUE"""),"MASRINI")</f>
        <v>MASRINI</v>
      </c>
      <c r="C1810" s="8" t="str">
        <f>IFERROR(__xludf.DUMMYFUNCTION("""COMPUTED_VALUE"""),"M5024101477")</f>
        <v>M5024101477</v>
      </c>
      <c r="D1810" s="8">
        <f>IFERROR(__xludf.DUMMYFUNCTION("""COMPUTED_VALUE"""),76.0)</f>
        <v>76</v>
      </c>
      <c r="E1810" s="2"/>
    </row>
    <row r="1811">
      <c r="A1811" s="2"/>
      <c r="B1811" s="8" t="str">
        <f>IFERROR(__xludf.DUMMYFUNCTION("""COMPUTED_VALUE"""),"LEONARDO WONG")</f>
        <v>LEONARDO WONG</v>
      </c>
      <c r="C1811" s="8" t="str">
        <f>IFERROR(__xludf.DUMMYFUNCTION("""COMPUTED_VALUE"""),"L9824109191")</f>
        <v>L9824109191</v>
      </c>
      <c r="D1811" s="8">
        <f>IFERROR(__xludf.DUMMYFUNCTION("""COMPUTED_VALUE"""),27.0)</f>
        <v>27</v>
      </c>
      <c r="E1811" s="2"/>
    </row>
    <row r="1812">
      <c r="A1812" s="2"/>
      <c r="B1812" s="8" t="str">
        <f>IFERROR(__xludf.DUMMYFUNCTION("""COMPUTED_VALUE"""),"ILHAM ROSI AKBAR")</f>
        <v>ILHAM ROSI AKBAR</v>
      </c>
      <c r="C1812" s="8" t="str">
        <f>IFERROR(__xludf.DUMMYFUNCTION("""COMPUTED_VALUE"""),"I9524108125")</f>
        <v>I9524108125</v>
      </c>
      <c r="D1812" s="8">
        <f>IFERROR(__xludf.DUMMYFUNCTION("""COMPUTED_VALUE"""),30.0)</f>
        <v>30</v>
      </c>
      <c r="E1812" s="2"/>
    </row>
    <row r="1813">
      <c r="A1813" s="2"/>
      <c r="B1813" s="8" t="str">
        <f>IFERROR(__xludf.DUMMYFUNCTION("""COMPUTED_VALUE"""),"SUMIATI (PENITI)")</f>
        <v>SUMIATI (PENITI)</v>
      </c>
      <c r="C1813" s="8" t="str">
        <f>IFERROR(__xludf.DUMMYFUNCTION("""COMPUTED_VALUE"""),"S7224106820")</f>
        <v>S7224106820</v>
      </c>
      <c r="D1813" s="8">
        <f>IFERROR(__xludf.DUMMYFUNCTION("""COMPUTED_VALUE"""),53.0)</f>
        <v>53</v>
      </c>
      <c r="E1813" s="2"/>
    </row>
    <row r="1814">
      <c r="A1814" s="2"/>
      <c r="B1814" s="8" t="str">
        <f>IFERROR(__xludf.DUMMYFUNCTION("""COMPUTED_VALUE"""),"TJAN TIONG HONG")</f>
        <v>TJAN TIONG HONG</v>
      </c>
      <c r="C1814" s="8" t="str">
        <f>IFERROR(__xludf.DUMMYFUNCTION("""COMPUTED_VALUE"""),"T7524104338")</f>
        <v>T7524104338</v>
      </c>
      <c r="D1814" s="8">
        <f>IFERROR(__xludf.DUMMYFUNCTION("""COMPUTED_VALUE"""),51.0)</f>
        <v>51</v>
      </c>
      <c r="E1814" s="2"/>
    </row>
    <row r="1815">
      <c r="A1815" s="2"/>
      <c r="B1815" s="8" t="str">
        <f>IFERROR(__xludf.DUMMYFUNCTION("""COMPUTED_VALUE"""),"UTIN NADIA JUWITA")</f>
        <v>UTIN NADIA JUWITA</v>
      </c>
      <c r="C1815" s="8" t="str">
        <f>IFERROR(__xludf.DUMMYFUNCTION("""COMPUTED_VALUE"""),"U8224105120")</f>
        <v>U8224105120</v>
      </c>
      <c r="D1815" s="8">
        <f>IFERROR(__xludf.DUMMYFUNCTION("""COMPUTED_VALUE"""),44.0)</f>
        <v>44</v>
      </c>
      <c r="E1815" s="2"/>
    </row>
    <row r="1816">
      <c r="A1816" s="2"/>
      <c r="B1816" s="8" t="str">
        <f>IFERROR(__xludf.DUMMYFUNCTION("""COMPUTED_VALUE"""),"ETHAN EFFENDY")</f>
        <v>ETHAN EFFENDY</v>
      </c>
      <c r="C1816" s="8" t="str">
        <f>IFERROR(__xludf.DUMMYFUNCTION("""COMPUTED_VALUE"""),"E1824109688")</f>
        <v>E1824109688</v>
      </c>
      <c r="D1816" s="8">
        <f>IFERROR(__xludf.DUMMYFUNCTION("""COMPUTED_VALUE"""),8.0)</f>
        <v>8</v>
      </c>
      <c r="E1816" s="2"/>
    </row>
    <row r="1817">
      <c r="A1817" s="2"/>
      <c r="B1817" s="8" t="str">
        <f>IFERROR(__xludf.DUMMYFUNCTION("""COMPUTED_VALUE"""),"YOGA PRASETIA RAMADHANI")</f>
        <v>YOGA PRASETIA RAMADHANI</v>
      </c>
      <c r="C1817" s="8" t="str">
        <f>IFERROR(__xludf.DUMMYFUNCTION("""COMPUTED_VALUE"""),"Y9824108905")</f>
        <v>Y9824108905</v>
      </c>
      <c r="D1817" s="8">
        <f>IFERROR(__xludf.DUMMYFUNCTION("""COMPUTED_VALUE"""),28.0)</f>
        <v>28</v>
      </c>
      <c r="E1817" s="2"/>
    </row>
    <row r="1818">
      <c r="A1818" s="2"/>
      <c r="B1818" s="8" t="str">
        <f>IFERROR(__xludf.DUMMYFUNCTION("""COMPUTED_VALUE"""),"TJIA SUI NGIAM")</f>
        <v>TJIA SUI NGIAM</v>
      </c>
      <c r="C1818" s="8" t="str">
        <f>IFERROR(__xludf.DUMMYFUNCTION("""COMPUTED_VALUE"""),"T7124107338")</f>
        <v>T7124107338</v>
      </c>
      <c r="D1818" s="8">
        <f>IFERROR(__xludf.DUMMYFUNCTION("""COMPUTED_VALUE"""),54.0)</f>
        <v>54</v>
      </c>
      <c r="E1818" s="2"/>
    </row>
    <row r="1819">
      <c r="A1819" s="2"/>
      <c r="B1819" s="8" t="str">
        <f>IFERROR(__xludf.DUMMYFUNCTION("""COMPUTED_VALUE"""),"RAHMADHANI ADIYATMA")</f>
        <v>RAHMADHANI ADIYATMA</v>
      </c>
      <c r="C1819" s="8" t="str">
        <f>IFERROR(__xludf.DUMMYFUNCTION("""COMPUTED_VALUE"""),"R9724105694")</f>
        <v>R9724105694</v>
      </c>
      <c r="D1819" s="8">
        <f>IFERROR(__xludf.DUMMYFUNCTION("""COMPUTED_VALUE"""),29.0)</f>
        <v>29</v>
      </c>
      <c r="E1819" s="2"/>
    </row>
    <row r="1820">
      <c r="A1820" s="2"/>
      <c r="B1820" s="8" t="str">
        <f>IFERROR(__xludf.DUMMYFUNCTION("""COMPUTED_VALUE"""),"MUHAMMAD IRZA ALFARIZI")</f>
        <v>MUHAMMAD IRZA ALFARIZI</v>
      </c>
      <c r="C1820" s="8" t="str">
        <f>IFERROR(__xludf.DUMMYFUNCTION("""COMPUTED_VALUE"""),"M0024104285")</f>
        <v>M0024104285</v>
      </c>
      <c r="D1820" s="8">
        <f>IFERROR(__xludf.DUMMYFUNCTION("""COMPUTED_VALUE"""),26.0)</f>
        <v>26</v>
      </c>
      <c r="E1820" s="2"/>
    </row>
    <row r="1821">
      <c r="A1821" s="2"/>
      <c r="B1821" s="8" t="str">
        <f>IFERROR(__xludf.DUMMYFUNCTION("""COMPUTED_VALUE"""),"FERI KURNIAWAN")</f>
        <v>FERI KURNIAWAN</v>
      </c>
      <c r="C1821" s="8" t="str">
        <f>IFERROR(__xludf.DUMMYFUNCTION("""COMPUTED_VALUE"""),"F9224107928")</f>
        <v>F9224107928</v>
      </c>
      <c r="D1821" s="8">
        <f>IFERROR(__xludf.DUMMYFUNCTION("""COMPUTED_VALUE"""),34.0)</f>
        <v>34</v>
      </c>
      <c r="E1821" s="2"/>
    </row>
    <row r="1822">
      <c r="A1822" s="2"/>
      <c r="B1822" s="8" t="str">
        <f>IFERROR(__xludf.DUMMYFUNCTION("""COMPUTED_VALUE"""),"ANTHONY")</f>
        <v>ANTHONY</v>
      </c>
      <c r="C1822" s="8" t="str">
        <f>IFERROR(__xludf.DUMMYFUNCTION("""COMPUTED_VALUE"""),"A9424104742")</f>
        <v>A9424104742</v>
      </c>
      <c r="D1822" s="8">
        <f>IFERROR(__xludf.DUMMYFUNCTION("""COMPUTED_VALUE"""),31.0)</f>
        <v>31</v>
      </c>
      <c r="E1822" s="2"/>
    </row>
    <row r="1823">
      <c r="A1823" s="2"/>
      <c r="B1823" s="8" t="str">
        <f>IFERROR(__xludf.DUMMYFUNCTION("""COMPUTED_VALUE"""),"ROMI YUNIARDI")</f>
        <v>ROMI YUNIARDI</v>
      </c>
      <c r="C1823" s="8" t="str">
        <f>IFERROR(__xludf.DUMMYFUNCTION("""COMPUTED_VALUE"""),"R8924100046")</f>
        <v>R8924100046</v>
      </c>
      <c r="D1823" s="8">
        <f>IFERROR(__xludf.DUMMYFUNCTION("""COMPUTED_VALUE"""),37.0)</f>
        <v>37</v>
      </c>
      <c r="E1823" s="2"/>
    </row>
    <row r="1824">
      <c r="A1824" s="2"/>
      <c r="B1824" s="8" t="str">
        <f>IFERROR(__xludf.DUMMYFUNCTION("""COMPUTED_VALUE"""),"WILDA")</f>
        <v>WILDA</v>
      </c>
      <c r="C1824" s="8" t="str">
        <f>IFERROR(__xludf.DUMMYFUNCTION("""COMPUTED_VALUE"""),"W9324106433")</f>
        <v>W9324106433</v>
      </c>
      <c r="D1824" s="8">
        <f>IFERROR(__xludf.DUMMYFUNCTION("""COMPUTED_VALUE"""),33.0)</f>
        <v>33</v>
      </c>
      <c r="E1824" s="2"/>
    </row>
    <row r="1825">
      <c r="A1825" s="2"/>
      <c r="B1825" s="8" t="str">
        <f>IFERROR(__xludf.DUMMYFUNCTION("""COMPUTED_VALUE"""),"CHRISTY THIA HARTIANA")</f>
        <v>CHRISTY THIA HARTIANA</v>
      </c>
      <c r="C1825" s="8" t="str">
        <f>IFERROR(__xludf.DUMMYFUNCTION("""COMPUTED_VALUE"""),"C8724100311")</f>
        <v>C8724100311</v>
      </c>
      <c r="D1825" s="8">
        <f>IFERROR(__xludf.DUMMYFUNCTION("""COMPUTED_VALUE"""),38.0)</f>
        <v>38</v>
      </c>
      <c r="E1825" s="2"/>
    </row>
    <row r="1826">
      <c r="A1826" s="2"/>
      <c r="B1826" s="8" t="str">
        <f>IFERROR(__xludf.DUMMYFUNCTION("""COMPUTED_VALUE"""),"HARIS FIRMANSYAH")</f>
        <v>HARIS FIRMANSYAH</v>
      </c>
      <c r="C1826" s="8" t="str">
        <f>IFERROR(__xludf.DUMMYFUNCTION("""COMPUTED_VALUE"""),"H8924108463")</f>
        <v>H8924108463</v>
      </c>
      <c r="D1826" s="8">
        <f>IFERROR(__xludf.DUMMYFUNCTION("""COMPUTED_VALUE"""),37.0)</f>
        <v>37</v>
      </c>
      <c r="E1826" s="2"/>
    </row>
    <row r="1827">
      <c r="A1827" s="2"/>
      <c r="B1827" s="8" t="str">
        <f>IFERROR(__xludf.DUMMYFUNCTION("""COMPUTED_VALUE"""),"ZASKIA BUNGA SENJA")</f>
        <v>ZASKIA BUNGA SENJA</v>
      </c>
      <c r="C1827" s="8" t="str">
        <f>IFERROR(__xludf.DUMMYFUNCTION("""COMPUTED_VALUE"""),"Z1024104619")</f>
        <v>Z1024104619</v>
      </c>
      <c r="D1827" s="8">
        <f>IFERROR(__xludf.DUMMYFUNCTION("""COMPUTED_VALUE"""),16.0)</f>
        <v>16</v>
      </c>
      <c r="E1827" s="2"/>
    </row>
    <row r="1828">
      <c r="A1828" s="2"/>
      <c r="B1828" s="8" t="str">
        <f>IFERROR(__xludf.DUMMYFUNCTION("""COMPUTED_VALUE"""),"ZEIN GIBRAN ALGHIFARY")</f>
        <v>ZEIN GIBRAN ALGHIFARY</v>
      </c>
      <c r="C1828" s="8" t="str">
        <f>IFERROR(__xludf.DUMMYFUNCTION("""COMPUTED_VALUE"""),"Z1224100240")</f>
        <v>Z1224100240</v>
      </c>
      <c r="D1828" s="8">
        <f>IFERROR(__xludf.DUMMYFUNCTION("""COMPUTED_VALUE"""),14.0)</f>
        <v>14</v>
      </c>
      <c r="E1828" s="2"/>
    </row>
    <row r="1829">
      <c r="A1829" s="2"/>
      <c r="B1829" s="8" t="str">
        <f>IFERROR(__xludf.DUMMYFUNCTION("""COMPUTED_VALUE"""),"MUHAMMAD FATHIIN MUYASSAR")</f>
        <v>MUHAMMAD FATHIIN MUYASSAR</v>
      </c>
      <c r="C1829" s="8" t="str">
        <f>IFERROR(__xludf.DUMMYFUNCTION("""COMPUTED_VALUE"""),"M1124109997")</f>
        <v>M1124109997</v>
      </c>
      <c r="D1829" s="8">
        <f>IFERROR(__xludf.DUMMYFUNCTION("""COMPUTED_VALUE"""),15.0)</f>
        <v>15</v>
      </c>
      <c r="E1829" s="2"/>
    </row>
    <row r="1830">
      <c r="A1830" s="2"/>
      <c r="B1830" s="8" t="str">
        <f>IFERROR(__xludf.DUMMYFUNCTION("""COMPUTED_VALUE"""),"MUHAMMAD ISNU FAHRURROZI")</f>
        <v>MUHAMMAD ISNU FAHRURROZI</v>
      </c>
      <c r="C1830" s="8" t="str">
        <f>IFERROR(__xludf.DUMMYFUNCTION("""COMPUTED_VALUE"""),"M9824105171")</f>
        <v>M9824105171</v>
      </c>
      <c r="D1830" s="8">
        <f>IFERROR(__xludf.DUMMYFUNCTION("""COMPUTED_VALUE"""),27.0)</f>
        <v>27</v>
      </c>
      <c r="E1830" s="2"/>
    </row>
    <row r="1831">
      <c r="A1831" s="2"/>
      <c r="B1831" s="8" t="str">
        <f>IFERROR(__xludf.DUMMYFUNCTION("""COMPUTED_VALUE"""),"NICHOLAS ARINDA PRASETYO")</f>
        <v>NICHOLAS ARINDA PRASETYO</v>
      </c>
      <c r="C1831" s="8" t="str">
        <f>IFERROR(__xludf.DUMMYFUNCTION("""COMPUTED_VALUE"""),"N0324108818")</f>
        <v>N0324108818</v>
      </c>
      <c r="D1831" s="8">
        <f>IFERROR(__xludf.DUMMYFUNCTION("""COMPUTED_VALUE"""),23.0)</f>
        <v>23</v>
      </c>
      <c r="E1831" s="2"/>
    </row>
    <row r="1832">
      <c r="A1832" s="2"/>
      <c r="B1832" s="8" t="str">
        <f>IFERROR(__xludf.DUMMYFUNCTION("""COMPUTED_VALUE"""),"MUHAMMAD MUSA HARAHAP")</f>
        <v>MUHAMMAD MUSA HARAHAP</v>
      </c>
      <c r="C1832" s="8" t="str">
        <f>IFERROR(__xludf.DUMMYFUNCTION("""COMPUTED_VALUE"""),"M0124109721")</f>
        <v>M0124109721</v>
      </c>
      <c r="D1832" s="8">
        <f>IFERROR(__xludf.DUMMYFUNCTION("""COMPUTED_VALUE"""),25.0)</f>
        <v>25</v>
      </c>
      <c r="E1832" s="2"/>
    </row>
    <row r="1833">
      <c r="A1833" s="2"/>
      <c r="B1833" s="8" t="str">
        <f>IFERROR(__xludf.DUMMYFUNCTION("""COMPUTED_VALUE"""),"MUHAMMAD NAGIB FARHAN")</f>
        <v>MUHAMMAD NAGIB FARHAN</v>
      </c>
      <c r="C1833" s="8" t="str">
        <f>IFERROR(__xludf.DUMMYFUNCTION("""COMPUTED_VALUE"""),"M9724105951")</f>
        <v>M9724105951</v>
      </c>
      <c r="D1833" s="8">
        <f>IFERROR(__xludf.DUMMYFUNCTION("""COMPUTED_VALUE"""),29.0)</f>
        <v>29</v>
      </c>
      <c r="E1833" s="2"/>
    </row>
    <row r="1834">
      <c r="A1834" s="2"/>
      <c r="B1834" s="8" t="str">
        <f>IFERROR(__xludf.DUMMYFUNCTION("""COMPUTED_VALUE"""),"RIFWARTI")</f>
        <v>RIFWARTI</v>
      </c>
      <c r="C1834" s="8" t="str">
        <f>IFERROR(__xludf.DUMMYFUNCTION("""COMPUTED_VALUE"""),"R5724104031")</f>
        <v>R5724104031</v>
      </c>
      <c r="D1834" s="8">
        <f>IFERROR(__xludf.DUMMYFUNCTION("""COMPUTED_VALUE"""),69.0)</f>
        <v>69</v>
      </c>
      <c r="E1834" s="2"/>
    </row>
    <row r="1835">
      <c r="A1835" s="2"/>
      <c r="B1835" s="8" t="str">
        <f>IFERROR(__xludf.DUMMYFUNCTION("""COMPUTED_VALUE"""),"USMAN ARIF MURTOPO")</f>
        <v>USMAN ARIF MURTOPO</v>
      </c>
      <c r="C1835" s="8" t="str">
        <f>IFERROR(__xludf.DUMMYFUNCTION("""COMPUTED_VALUE"""),"U7624100738")</f>
        <v>U7624100738</v>
      </c>
      <c r="D1835" s="8">
        <f>IFERROR(__xludf.DUMMYFUNCTION("""COMPUTED_VALUE"""),50.0)</f>
        <v>50</v>
      </c>
      <c r="E1835" s="2"/>
    </row>
    <row r="1836">
      <c r="A1836" s="2"/>
      <c r="B1836" s="8" t="str">
        <f>IFERROR(__xludf.DUMMYFUNCTION("""COMPUTED_VALUE"""),"SY YUSUF")</f>
        <v>SY YUSUF</v>
      </c>
      <c r="C1836" s="8" t="str">
        <f>IFERROR(__xludf.DUMMYFUNCTION("""COMPUTED_VALUE"""),"S7524101869")</f>
        <v>S7524101869</v>
      </c>
      <c r="D1836" s="8">
        <f>IFERROR(__xludf.DUMMYFUNCTION("""COMPUTED_VALUE"""),50.0)</f>
        <v>50</v>
      </c>
      <c r="E1836" s="2"/>
    </row>
    <row r="1837">
      <c r="A1837" s="2"/>
      <c r="B1837" s="8" t="str">
        <f>IFERROR(__xludf.DUMMYFUNCTION("""COMPUTED_VALUE"""),"ARDIKA GUMILANG KAMAJAYA")</f>
        <v>ARDIKA GUMILANG KAMAJAYA</v>
      </c>
      <c r="C1837" s="8" t="str">
        <f>IFERROR(__xludf.DUMMYFUNCTION("""COMPUTED_VALUE"""),"A9424116266")</f>
        <v>A9424116266</v>
      </c>
      <c r="D1837" s="8">
        <f>IFERROR(__xludf.DUMMYFUNCTION("""COMPUTED_VALUE"""),32.0)</f>
        <v>32</v>
      </c>
      <c r="E1837" s="2"/>
    </row>
    <row r="1838">
      <c r="A1838" s="2"/>
      <c r="B1838" s="8" t="str">
        <f>IFERROR(__xludf.DUMMYFUNCTION("""COMPUTED_VALUE"""),"SUYANTO 9210")</f>
        <v>SUYANTO 9210</v>
      </c>
      <c r="C1838" s="8" t="str">
        <f>IFERROR(__xludf.DUMMYFUNCTION("""COMPUTED_VALUE"""),"S9224119037")</f>
        <v>S9224119037</v>
      </c>
      <c r="D1838" s="8">
        <f>IFERROR(__xludf.DUMMYFUNCTION("""COMPUTED_VALUE"""),33.0)</f>
        <v>33</v>
      </c>
      <c r="E1838" s="2"/>
    </row>
    <row r="1839">
      <c r="A1839" s="2"/>
      <c r="B1839" s="8" t="str">
        <f>IFERROR(__xludf.DUMMYFUNCTION("""COMPUTED_VALUE"""),"ALVIN DWI APRIYADHI")</f>
        <v>ALVIN DWI APRIYADHI</v>
      </c>
      <c r="C1839" s="8" t="str">
        <f>IFERROR(__xludf.DUMMYFUNCTION("""COMPUTED_VALUE"""),"A0724111041")</f>
        <v>A0724111041</v>
      </c>
      <c r="D1839" s="8">
        <f>IFERROR(__xludf.DUMMYFUNCTION("""COMPUTED_VALUE"""),19.0)</f>
        <v>19</v>
      </c>
      <c r="E1839" s="2"/>
    </row>
    <row r="1840">
      <c r="A1840" s="2"/>
      <c r="B1840" s="8" t="str">
        <f>IFERROR(__xludf.DUMMYFUNCTION("""COMPUTED_VALUE"""),"SURIRAH")</f>
        <v>SURIRAH</v>
      </c>
      <c r="C1840" s="8" t="str">
        <f>IFERROR(__xludf.DUMMYFUNCTION("""COMPUTED_VALUE"""),"S7624116404")</f>
        <v>S7624116404</v>
      </c>
      <c r="D1840" s="8">
        <f>IFERROR(__xludf.DUMMYFUNCTION("""COMPUTED_VALUE"""),50.0)</f>
        <v>50</v>
      </c>
      <c r="E1840" s="2"/>
    </row>
    <row r="1841">
      <c r="A1841" s="2"/>
      <c r="B1841" s="8" t="str">
        <f>IFERROR(__xludf.DUMMYFUNCTION("""COMPUTED_VALUE"""),"CHRESTELLA NOVEDA")</f>
        <v>CHRESTELLA NOVEDA</v>
      </c>
      <c r="C1841" s="8" t="str">
        <f>IFERROR(__xludf.DUMMYFUNCTION("""COMPUTED_VALUE"""),"C9424111787")</f>
        <v>C9424111787</v>
      </c>
      <c r="D1841" s="8">
        <f>IFERROR(__xludf.DUMMYFUNCTION("""COMPUTED_VALUE"""),31.0)</f>
        <v>31</v>
      </c>
      <c r="E1841" s="2"/>
    </row>
    <row r="1842">
      <c r="A1842" s="2"/>
      <c r="B1842" s="8" t="str">
        <f>IFERROR(__xludf.DUMMYFUNCTION("""COMPUTED_VALUE"""),"PARSIYEM")</f>
        <v>PARSIYEM</v>
      </c>
      <c r="C1842" s="8" t="str">
        <f>IFERROR(__xludf.DUMMYFUNCTION("""COMPUTED_VALUE"""),"P6224114722")</f>
        <v>P6224114722</v>
      </c>
      <c r="D1842" s="8">
        <f>IFERROR(__xludf.DUMMYFUNCTION("""COMPUTED_VALUE"""),64.0)</f>
        <v>64</v>
      </c>
      <c r="E1842" s="2"/>
    </row>
    <row r="1843">
      <c r="A1843" s="2"/>
      <c r="B1843" s="8" t="str">
        <f>IFERROR(__xludf.DUMMYFUNCTION("""COMPUTED_VALUE"""),"BUDI SATRIO")</f>
        <v>BUDI SATRIO</v>
      </c>
      <c r="C1843" s="8" t="str">
        <f>IFERROR(__xludf.DUMMYFUNCTION("""COMPUTED_VALUE"""),"B9224111126")</f>
        <v>B9224111126</v>
      </c>
      <c r="D1843" s="8">
        <f>IFERROR(__xludf.DUMMYFUNCTION("""COMPUTED_VALUE"""),34.0)</f>
        <v>34</v>
      </c>
      <c r="E1843" s="2"/>
    </row>
    <row r="1844">
      <c r="A1844" s="2"/>
      <c r="B1844" s="8" t="str">
        <f>IFERROR(__xludf.DUMMYFUNCTION("""COMPUTED_VALUE"""),"DELIMA FAJAR LIANA")</f>
        <v>DELIMA FAJAR LIANA</v>
      </c>
      <c r="C1844" s="8" t="str">
        <f>IFERROR(__xludf.DUMMYFUNCTION("""COMPUTED_VALUE"""),"D8624112017")</f>
        <v>D8624112017</v>
      </c>
      <c r="D1844" s="8">
        <f>IFERROR(__xludf.DUMMYFUNCTION("""COMPUTED_VALUE"""),39.0)</f>
        <v>39</v>
      </c>
      <c r="E1844" s="2"/>
    </row>
    <row r="1845">
      <c r="A1845" s="2"/>
      <c r="B1845" s="8" t="str">
        <f>IFERROR(__xludf.DUMMYFUNCTION("""COMPUTED_VALUE"""),"MUHAMMAD ARIF PUTRA SH MH")</f>
        <v>MUHAMMAD ARIF PUTRA SH MH</v>
      </c>
      <c r="C1845" s="8" t="str">
        <f>IFERROR(__xludf.DUMMYFUNCTION("""COMPUTED_VALUE"""),"M9424116640")</f>
        <v>M9424116640</v>
      </c>
      <c r="D1845" s="8">
        <f>IFERROR(__xludf.DUMMYFUNCTION("""COMPUTED_VALUE"""),31.0)</f>
        <v>31</v>
      </c>
      <c r="E1845" s="2"/>
    </row>
    <row r="1846">
      <c r="A1846" s="2"/>
      <c r="B1846" s="8" t="str">
        <f>IFERROR(__xludf.DUMMYFUNCTION("""COMPUTED_VALUE"""),"M. IDRIS MACHMUD")</f>
        <v>M. IDRIS MACHMUD</v>
      </c>
      <c r="C1846" s="8" t="str">
        <f>IFERROR(__xludf.DUMMYFUNCTION("""COMPUTED_VALUE"""),"M7024117374")</f>
        <v>M7024117374</v>
      </c>
      <c r="D1846" s="8">
        <f>IFERROR(__xludf.DUMMYFUNCTION("""COMPUTED_VALUE"""),56.0)</f>
        <v>56</v>
      </c>
      <c r="E1846" s="2"/>
    </row>
    <row r="1847">
      <c r="A1847" s="2"/>
      <c r="B1847" s="8" t="str">
        <f>IFERROR(__xludf.DUMMYFUNCTION("""COMPUTED_VALUE"""),"ARIF HIDAYAT")</f>
        <v>ARIF HIDAYAT</v>
      </c>
      <c r="C1847" s="8" t="str">
        <f>IFERROR(__xludf.DUMMYFUNCTION("""COMPUTED_VALUE"""),"A9524112021")</f>
        <v>A9524112021</v>
      </c>
      <c r="D1847" s="8">
        <f>IFERROR(__xludf.DUMMYFUNCTION("""COMPUTED_VALUE"""),30.0)</f>
        <v>30</v>
      </c>
      <c r="E1847" s="2"/>
    </row>
    <row r="1848">
      <c r="A1848" s="2"/>
      <c r="B1848" s="8" t="str">
        <f>IFERROR(__xludf.DUMMYFUNCTION("""COMPUTED_VALUE"""),"M.YANIS")</f>
        <v>M.YANIS</v>
      </c>
      <c r="C1848" s="8" t="str">
        <f>IFERROR(__xludf.DUMMYFUNCTION("""COMPUTED_VALUE"""),"M6224119945")</f>
        <v>M6224119945</v>
      </c>
      <c r="D1848" s="8">
        <f>IFERROR(__xludf.DUMMYFUNCTION("""COMPUTED_VALUE"""),63.0)</f>
        <v>63</v>
      </c>
      <c r="E1848" s="2"/>
    </row>
    <row r="1849">
      <c r="A1849" s="2"/>
      <c r="B1849" s="8" t="str">
        <f>IFERROR(__xludf.DUMMYFUNCTION("""COMPUTED_VALUE"""),"WANTIKA YUNINGTYAS")</f>
        <v>WANTIKA YUNINGTYAS</v>
      </c>
      <c r="C1849" s="8" t="str">
        <f>IFERROR(__xludf.DUMMYFUNCTION("""COMPUTED_VALUE"""),"W8924115368")</f>
        <v>W8924115368</v>
      </c>
      <c r="D1849" s="8">
        <f>IFERROR(__xludf.DUMMYFUNCTION("""COMPUTED_VALUE"""),37.0)</f>
        <v>37</v>
      </c>
      <c r="E1849" s="2"/>
    </row>
    <row r="1850">
      <c r="A1850" s="2"/>
      <c r="B1850" s="8" t="str">
        <f>IFERROR(__xludf.DUMMYFUNCTION("""COMPUTED_VALUE"""),"CIN JUNG")</f>
        <v>CIN JUNG</v>
      </c>
      <c r="C1850" s="8" t="str">
        <f>IFERROR(__xludf.DUMMYFUNCTION("""COMPUTED_VALUE"""),"C6224117033")</f>
        <v>C6224117033</v>
      </c>
      <c r="D1850" s="8">
        <f>IFERROR(__xludf.DUMMYFUNCTION("""COMPUTED_VALUE"""),64.0)</f>
        <v>64</v>
      </c>
      <c r="E1850" s="2"/>
    </row>
    <row r="1851">
      <c r="A1851" s="2"/>
      <c r="B1851" s="8" t="str">
        <f>IFERROR(__xludf.DUMMYFUNCTION("""COMPUTED_VALUE"""),"MERRY SONYA")</f>
        <v>MERRY SONYA</v>
      </c>
      <c r="C1851" s="8" t="str">
        <f>IFERROR(__xludf.DUMMYFUNCTION("""COMPUTED_VALUE"""),"M9224118835")</f>
        <v>M9224118835</v>
      </c>
      <c r="D1851" s="8">
        <f>IFERROR(__xludf.DUMMYFUNCTION("""COMPUTED_VALUE"""),34.0)</f>
        <v>34</v>
      </c>
      <c r="E1851" s="2"/>
    </row>
    <row r="1852">
      <c r="A1852" s="2"/>
      <c r="B1852" s="8" t="str">
        <f>IFERROR(__xludf.DUMMYFUNCTION("""COMPUTED_VALUE"""),"SRI HARTIN6708")</f>
        <v>SRI HARTIN6708</v>
      </c>
      <c r="C1852" s="8" t="str">
        <f>IFERROR(__xludf.DUMMYFUNCTION("""COMPUTED_VALUE"""),"S6724114505")</f>
        <v>S6724114505</v>
      </c>
      <c r="D1852" s="8">
        <f>IFERROR(__xludf.DUMMYFUNCTION("""COMPUTED_VALUE"""),58.0)</f>
        <v>58</v>
      </c>
      <c r="E1852" s="2"/>
    </row>
    <row r="1853">
      <c r="A1853" s="2"/>
      <c r="B1853" s="8" t="str">
        <f>IFERROR(__xludf.DUMMYFUNCTION("""COMPUTED_VALUE"""),"HENDRI 9004")</f>
        <v>HENDRI 9004</v>
      </c>
      <c r="C1853" s="8" t="str">
        <f>IFERROR(__xludf.DUMMYFUNCTION("""COMPUTED_VALUE"""),"H9024119477")</f>
        <v>H9024119477</v>
      </c>
      <c r="D1853" s="8">
        <f>IFERROR(__xludf.DUMMYFUNCTION("""COMPUTED_VALUE"""),36.0)</f>
        <v>36</v>
      </c>
      <c r="E1853" s="2"/>
    </row>
    <row r="1854">
      <c r="A1854" s="2"/>
      <c r="B1854" s="8" t="str">
        <f>IFERROR(__xludf.DUMMYFUNCTION("""COMPUTED_VALUE"""),"DESANDO VAVA BANJARNAHOR")</f>
        <v>DESANDO VAVA BANJARNAHOR</v>
      </c>
      <c r="C1854" s="8" t="str">
        <f>IFERROR(__xludf.DUMMYFUNCTION("""COMPUTED_VALUE"""),"D0924117420")</f>
        <v>D0924117420</v>
      </c>
      <c r="D1854" s="8">
        <f>IFERROR(__xludf.DUMMYFUNCTION("""COMPUTED_VALUE"""),16.0)</f>
        <v>16</v>
      </c>
      <c r="E1854" s="2"/>
    </row>
    <row r="1855">
      <c r="A1855" s="2"/>
      <c r="B1855" s="8" t="str">
        <f>IFERROR(__xludf.DUMMYFUNCTION("""COMPUTED_VALUE"""),"KAMAL SUMARJI")</f>
        <v>KAMAL SUMARJI</v>
      </c>
      <c r="C1855" s="8" t="str">
        <f>IFERROR(__xludf.DUMMYFUNCTION("""COMPUTED_VALUE"""),"K9424111365")</f>
        <v>K9424111365</v>
      </c>
      <c r="D1855" s="8">
        <f>IFERROR(__xludf.DUMMYFUNCTION("""COMPUTED_VALUE"""),31.0)</f>
        <v>31</v>
      </c>
      <c r="E1855" s="2"/>
    </row>
    <row r="1856">
      <c r="A1856" s="2"/>
      <c r="B1856" s="8" t="str">
        <f>IFERROR(__xludf.DUMMYFUNCTION("""COMPUTED_VALUE"""),"WIWI RESITA JUNIARTI")</f>
        <v>WIWI RESITA JUNIARTI</v>
      </c>
      <c r="C1856" s="8" t="str">
        <f>IFERROR(__xludf.DUMMYFUNCTION("""COMPUTED_VALUE"""),"W9324118119")</f>
        <v>W9324118119</v>
      </c>
      <c r="D1856" s="8">
        <f>IFERROR(__xludf.DUMMYFUNCTION("""COMPUTED_VALUE"""),33.0)</f>
        <v>33</v>
      </c>
      <c r="E1856" s="2"/>
    </row>
    <row r="1857">
      <c r="A1857" s="2"/>
      <c r="B1857" s="8" t="str">
        <f>IFERROR(__xludf.DUMMYFUNCTION("""COMPUTED_VALUE"""),"ERDIANTI")</f>
        <v>ERDIANTI</v>
      </c>
      <c r="C1857" s="8" t="str">
        <f>IFERROR(__xludf.DUMMYFUNCTION("""COMPUTED_VALUE"""),"E6524112905")</f>
        <v>E6524112905</v>
      </c>
      <c r="D1857" s="8">
        <f>IFERROR(__xludf.DUMMYFUNCTION("""COMPUTED_VALUE"""),61.0)</f>
        <v>61</v>
      </c>
      <c r="E1857" s="2"/>
    </row>
    <row r="1858">
      <c r="A1858" s="2"/>
      <c r="B1858" s="8" t="str">
        <f>IFERROR(__xludf.DUMMYFUNCTION("""COMPUTED_VALUE"""),"IKA NURHASANA")</f>
        <v>IKA NURHASANA</v>
      </c>
      <c r="C1858" s="8" t="str">
        <f>IFERROR(__xludf.DUMMYFUNCTION("""COMPUTED_VALUE"""),"I9424119075")</f>
        <v>I9424119075</v>
      </c>
      <c r="D1858" s="8">
        <f>IFERROR(__xludf.DUMMYFUNCTION("""COMPUTED_VALUE"""),32.0)</f>
        <v>32</v>
      </c>
      <c r="E1858" s="2"/>
    </row>
    <row r="1859">
      <c r="A1859" s="2"/>
      <c r="B1859" s="8" t="str">
        <f>IFERROR(__xludf.DUMMYFUNCTION("""COMPUTED_VALUE"""),"GIVEN SHAHIENOV CHAVA")</f>
        <v>GIVEN SHAHIENOV CHAVA</v>
      </c>
      <c r="C1859" s="8" t="str">
        <f>IFERROR(__xludf.DUMMYFUNCTION("""COMPUTED_VALUE"""),"G1024118551")</f>
        <v>G1024118551</v>
      </c>
      <c r="D1859" s="8">
        <f>IFERROR(__xludf.DUMMYFUNCTION("""COMPUTED_VALUE"""),15.0)</f>
        <v>15</v>
      </c>
      <c r="E1859" s="2"/>
    </row>
    <row r="1860">
      <c r="A1860" s="2"/>
      <c r="B1860" s="8" t="str">
        <f>IFERROR(__xludf.DUMMYFUNCTION("""COMPUTED_VALUE"""),"AMALIA VEGA")</f>
        <v>AMALIA VEGA</v>
      </c>
      <c r="C1860" s="8" t="str">
        <f>IFERROR(__xludf.DUMMYFUNCTION("""COMPUTED_VALUE"""),"A0324110628")</f>
        <v>A0324110628</v>
      </c>
      <c r="D1860" s="8">
        <f>IFERROR(__xludf.DUMMYFUNCTION("""COMPUTED_VALUE"""),23.0)</f>
        <v>23</v>
      </c>
      <c r="E1860" s="2"/>
    </row>
    <row r="1861">
      <c r="A1861" s="2"/>
      <c r="B1861" s="8" t="str">
        <f>IFERROR(__xludf.DUMMYFUNCTION("""COMPUTED_VALUE"""),"HASEP PURWALID")</f>
        <v>HASEP PURWALID</v>
      </c>
      <c r="C1861" s="8" t="str">
        <f>IFERROR(__xludf.DUMMYFUNCTION("""COMPUTED_VALUE"""),"H8124112533")</f>
        <v>H8124112533</v>
      </c>
      <c r="D1861" s="8">
        <f>IFERROR(__xludf.DUMMYFUNCTION("""COMPUTED_VALUE"""),45.0)</f>
        <v>45</v>
      </c>
      <c r="E1861" s="2"/>
    </row>
    <row r="1862">
      <c r="A1862" s="2"/>
      <c r="B1862" s="8" t="str">
        <f>IFERROR(__xludf.DUMMYFUNCTION("""COMPUTED_VALUE"""),"YUDI WIDODO")</f>
        <v>YUDI WIDODO</v>
      </c>
      <c r="C1862" s="8" t="str">
        <f>IFERROR(__xludf.DUMMYFUNCTION("""COMPUTED_VALUE"""),"Y7524118079")</f>
        <v>Y7524118079</v>
      </c>
      <c r="D1862" s="8">
        <f>IFERROR(__xludf.DUMMYFUNCTION("""COMPUTED_VALUE"""),51.0)</f>
        <v>51</v>
      </c>
      <c r="E1862" s="2"/>
    </row>
    <row r="1863">
      <c r="A1863" s="2"/>
      <c r="B1863" s="8" t="str">
        <f>IFERROR(__xludf.DUMMYFUNCTION("""COMPUTED_VALUE"""),"MUHAMMAD FIRMAN RUSTANDI")</f>
        <v>MUHAMMAD FIRMAN RUSTANDI</v>
      </c>
      <c r="C1863" s="8" t="str">
        <f>IFERROR(__xludf.DUMMYFUNCTION("""COMPUTED_VALUE"""),"M0724118512")</f>
        <v>M0724118512</v>
      </c>
      <c r="D1863" s="8">
        <f>IFERROR(__xludf.DUMMYFUNCTION("""COMPUTED_VALUE"""),18.0)</f>
        <v>18</v>
      </c>
      <c r="E1863" s="2"/>
    </row>
    <row r="1864">
      <c r="A1864" s="2"/>
      <c r="B1864" s="8" t="str">
        <f>IFERROR(__xludf.DUMMYFUNCTION("""COMPUTED_VALUE"""),"ARZIWANSYAH")</f>
        <v>ARZIWANSYAH</v>
      </c>
      <c r="C1864" s="8" t="str">
        <f>IFERROR(__xludf.DUMMYFUNCTION("""COMPUTED_VALUE"""),"A9524119414")</f>
        <v>A9524119414</v>
      </c>
      <c r="D1864" s="8">
        <f>IFERROR(__xludf.DUMMYFUNCTION("""COMPUTED_VALUE"""),30.0)</f>
        <v>30</v>
      </c>
      <c r="E1864" s="2"/>
    </row>
    <row r="1865">
      <c r="A1865" s="2"/>
      <c r="B1865" s="8" t="str">
        <f>IFERROR(__xludf.DUMMYFUNCTION("""COMPUTED_VALUE"""),"BINTI")</f>
        <v>BINTI</v>
      </c>
      <c r="C1865" s="8" t="str">
        <f>IFERROR(__xludf.DUMMYFUNCTION("""COMPUTED_VALUE"""),"B6624119000")</f>
        <v>B6624119000</v>
      </c>
      <c r="D1865" s="8">
        <f>IFERROR(__xludf.DUMMYFUNCTION("""COMPUTED_VALUE"""),60.0)</f>
        <v>60</v>
      </c>
      <c r="E1865" s="2"/>
    </row>
    <row r="1866">
      <c r="A1866" s="2"/>
      <c r="B1866" s="8" t="str">
        <f>IFERROR(__xludf.DUMMYFUNCTION("""COMPUTED_VALUE"""),"REIHAN FAHREZA")</f>
        <v>REIHAN FAHREZA</v>
      </c>
      <c r="C1866" s="8" t="str">
        <f>IFERROR(__xludf.DUMMYFUNCTION("""COMPUTED_VALUE"""),"R0724111379")</f>
        <v>R0724111379</v>
      </c>
      <c r="D1866" s="8">
        <f>IFERROR(__xludf.DUMMYFUNCTION("""COMPUTED_VALUE"""),19.0)</f>
        <v>19</v>
      </c>
      <c r="E1866" s="2"/>
    </row>
    <row r="1867">
      <c r="A1867" s="2"/>
      <c r="B1867" s="8" t="str">
        <f>IFERROR(__xludf.DUMMYFUNCTION("""COMPUTED_VALUE"""),"YULIANA 7307")</f>
        <v>YULIANA 7307</v>
      </c>
      <c r="C1867" s="8" t="str">
        <f>IFERROR(__xludf.DUMMYFUNCTION("""COMPUTED_VALUE"""),"Y7324111717")</f>
        <v>Y7324111717</v>
      </c>
      <c r="D1867" s="8">
        <f>IFERROR(__xludf.DUMMYFUNCTION("""COMPUTED_VALUE"""),53.0)</f>
        <v>53</v>
      </c>
      <c r="E1867" s="2"/>
    </row>
    <row r="1868">
      <c r="A1868" s="2"/>
      <c r="B1868" s="8" t="str">
        <f>IFERROR(__xludf.DUMMYFUNCTION("""COMPUTED_VALUE"""),"TJIE LIE LIE")</f>
        <v>TJIE LIE LIE</v>
      </c>
      <c r="C1868" s="8" t="str">
        <f>IFERROR(__xludf.DUMMYFUNCTION("""COMPUTED_VALUE"""),"T8724107982")</f>
        <v>T8724107982</v>
      </c>
      <c r="D1868" s="8">
        <f>IFERROR(__xludf.DUMMYFUNCTION("""COMPUTED_VALUE"""),39.0)</f>
        <v>39</v>
      </c>
      <c r="E1868" s="2"/>
    </row>
    <row r="1869">
      <c r="A1869" s="2"/>
      <c r="B1869" s="8" t="str">
        <f>IFERROR(__xludf.DUMMYFUNCTION("""COMPUTED_VALUE"""),"PAINO")</f>
        <v>PAINO</v>
      </c>
      <c r="C1869" s="8" t="str">
        <f>IFERROR(__xludf.DUMMYFUNCTION("""COMPUTED_VALUE"""),"P8224110388")</f>
        <v>P8224110388</v>
      </c>
      <c r="D1869" s="8">
        <f>IFERROR(__xludf.DUMMYFUNCTION("""COMPUTED_VALUE"""),43.0)</f>
        <v>43</v>
      </c>
      <c r="E1869" s="2"/>
    </row>
    <row r="1870">
      <c r="A1870" s="2"/>
      <c r="B1870" s="8" t="str">
        <f>IFERROR(__xludf.DUMMYFUNCTION("""COMPUTED_VALUE"""),"DARREL OZORA SIGIRO")</f>
        <v>DARREL OZORA SIGIRO</v>
      </c>
      <c r="C1870" s="8" t="str">
        <f>IFERROR(__xludf.DUMMYFUNCTION("""COMPUTED_VALUE"""),"D1424104746")</f>
        <v>D1424104746</v>
      </c>
      <c r="D1870" s="8">
        <f>IFERROR(__xludf.DUMMYFUNCTION("""COMPUTED_VALUE"""),12.0)</f>
        <v>12</v>
      </c>
      <c r="E1870" s="2"/>
    </row>
    <row r="1871">
      <c r="A1871" s="2"/>
      <c r="B1871" s="8" t="str">
        <f>IFERROR(__xludf.DUMMYFUNCTION("""COMPUTED_VALUE"""),"KUKUH HERMONO")</f>
        <v>KUKUH HERMONO</v>
      </c>
      <c r="C1871" s="8" t="str">
        <f>IFERROR(__xludf.DUMMYFUNCTION("""COMPUTED_VALUE"""),"K6824109020")</f>
        <v>K6824109020</v>
      </c>
      <c r="D1871" s="8">
        <f>IFERROR(__xludf.DUMMYFUNCTION("""COMPUTED_VALUE"""),58.0)</f>
        <v>58</v>
      </c>
      <c r="E1871" s="2"/>
    </row>
    <row r="1872">
      <c r="A1872" s="2"/>
      <c r="B1872" s="8" t="str">
        <f>IFERROR(__xludf.DUMMYFUNCTION("""COMPUTED_VALUE"""),"NUNUNG NURYANA")</f>
        <v>NUNUNG NURYANA</v>
      </c>
      <c r="C1872" s="8" t="str">
        <f>IFERROR(__xludf.DUMMYFUNCTION("""COMPUTED_VALUE"""),"N7624100026")</f>
        <v>N7624100026</v>
      </c>
      <c r="D1872" s="8">
        <f>IFERROR(__xludf.DUMMYFUNCTION("""COMPUTED_VALUE"""),49.0)</f>
        <v>49</v>
      </c>
      <c r="E1872" s="2"/>
    </row>
    <row r="1873">
      <c r="A1873" s="2"/>
      <c r="B1873" s="8" t="str">
        <f>IFERROR(__xludf.DUMMYFUNCTION("""COMPUTED_VALUE"""),"YADI")</f>
        <v>YADI</v>
      </c>
      <c r="C1873" s="8" t="str">
        <f>IFERROR(__xludf.DUMMYFUNCTION("""COMPUTED_VALUE"""),"Y7824109596")</f>
        <v>Y7824109596</v>
      </c>
      <c r="D1873" s="8">
        <f>IFERROR(__xludf.DUMMYFUNCTION("""COMPUTED_VALUE"""),47.0)</f>
        <v>47</v>
      </c>
      <c r="E1873" s="2"/>
    </row>
    <row r="1874">
      <c r="A1874" s="2"/>
      <c r="B1874" s="8" t="str">
        <f>IFERROR(__xludf.DUMMYFUNCTION("""COMPUTED_VALUE"""),"HAIKAL")</f>
        <v>HAIKAL</v>
      </c>
      <c r="C1874" s="8" t="str">
        <f>IFERROR(__xludf.DUMMYFUNCTION("""COMPUTED_VALUE"""),"H0024101188")</f>
        <v>H0024101188</v>
      </c>
      <c r="D1874" s="8">
        <f>IFERROR(__xludf.DUMMYFUNCTION("""COMPUTED_VALUE"""),25.0)</f>
        <v>25</v>
      </c>
      <c r="E1874" s="2"/>
    </row>
    <row r="1875">
      <c r="A1875" s="2"/>
      <c r="B1875" s="8" t="str">
        <f>IFERROR(__xludf.DUMMYFUNCTION("""COMPUTED_VALUE"""),"IDA FARIDA")</f>
        <v>IDA FARIDA</v>
      </c>
      <c r="C1875" s="8" t="str">
        <f>IFERROR(__xludf.DUMMYFUNCTION("""COMPUTED_VALUE"""),"I8024103828")</f>
        <v>I8024103828</v>
      </c>
      <c r="D1875" s="8">
        <f>IFERROR(__xludf.DUMMYFUNCTION("""COMPUTED_VALUE"""),46.0)</f>
        <v>46</v>
      </c>
      <c r="E1875" s="2"/>
    </row>
    <row r="1876">
      <c r="A1876" s="2"/>
      <c r="B1876" s="8" t="str">
        <f>IFERROR(__xludf.DUMMYFUNCTION("""COMPUTED_VALUE"""),"BAGAS BIMANTORO HARYONO")</f>
        <v>BAGAS BIMANTORO HARYONO</v>
      </c>
      <c r="C1876" s="8" t="str">
        <f>IFERROR(__xludf.DUMMYFUNCTION("""COMPUTED_VALUE"""),"B0924114293")</f>
        <v>B0924114293</v>
      </c>
      <c r="D1876" s="8">
        <f>IFERROR(__xludf.DUMMYFUNCTION("""COMPUTED_VALUE"""),16.0)</f>
        <v>16</v>
      </c>
      <c r="E1876" s="2"/>
    </row>
    <row r="1877">
      <c r="A1877" s="2"/>
      <c r="B1877" s="8" t="str">
        <f>IFERROR(__xludf.DUMMYFUNCTION("""COMPUTED_VALUE"""),"FAHRURRAZI")</f>
        <v>FAHRURRAZI</v>
      </c>
      <c r="C1877" s="8" t="str">
        <f>IFERROR(__xludf.DUMMYFUNCTION("""COMPUTED_VALUE"""),"F8624117888")</f>
        <v>F8624117888</v>
      </c>
      <c r="D1877" s="8">
        <f>IFERROR(__xludf.DUMMYFUNCTION("""COMPUTED_VALUE"""),39.0)</f>
        <v>39</v>
      </c>
      <c r="E1877" s="2"/>
    </row>
    <row r="1878">
      <c r="A1878" s="2"/>
      <c r="B1878" s="8" t="str">
        <f>IFERROR(__xludf.DUMMYFUNCTION("""COMPUTED_VALUE"""),"CAHAYA RAMADANI")</f>
        <v>CAHAYA RAMADANI</v>
      </c>
      <c r="C1878" s="8" t="str">
        <f>IFERROR(__xludf.DUMMYFUNCTION("""COMPUTED_VALUE"""),"C1024113135")</f>
        <v>C1024113135</v>
      </c>
      <c r="D1878" s="8">
        <f>IFERROR(__xludf.DUMMYFUNCTION("""COMPUTED_VALUE"""),15.0)</f>
        <v>15</v>
      </c>
      <c r="E1878" s="2"/>
    </row>
    <row r="1879">
      <c r="A1879" s="2"/>
      <c r="B1879" s="8" t="str">
        <f>IFERROR(__xludf.DUMMYFUNCTION("""COMPUTED_VALUE"""),"TONI")</f>
        <v>TONI</v>
      </c>
      <c r="C1879" s="8" t="str">
        <f>IFERROR(__xludf.DUMMYFUNCTION("""COMPUTED_VALUE"""),"T9424113898")</f>
        <v>T9424113898</v>
      </c>
      <c r="D1879" s="8">
        <f>IFERROR(__xludf.DUMMYFUNCTION("""COMPUTED_VALUE"""),31.0)</f>
        <v>31</v>
      </c>
      <c r="E1879" s="2"/>
    </row>
    <row r="1880">
      <c r="A1880" s="2"/>
      <c r="B1880" s="8" t="str">
        <f>IFERROR(__xludf.DUMMYFUNCTION("""COMPUTED_VALUE"""),"SUSI")</f>
        <v>SUSI</v>
      </c>
      <c r="C1880" s="8" t="str">
        <f>IFERROR(__xludf.DUMMYFUNCTION("""COMPUTED_VALUE"""),"S9124111289")</f>
        <v>S9124111289</v>
      </c>
      <c r="D1880" s="8">
        <f>IFERROR(__xludf.DUMMYFUNCTION("""COMPUTED_VALUE"""),35.0)</f>
        <v>35</v>
      </c>
      <c r="E1880" s="2"/>
    </row>
    <row r="1881">
      <c r="A1881" s="2"/>
      <c r="B1881" s="8" t="str">
        <f>IFERROR(__xludf.DUMMYFUNCTION("""COMPUTED_VALUE"""),"CITRA YUNITA")</f>
        <v>CITRA YUNITA</v>
      </c>
      <c r="C1881" s="8" t="str">
        <f>IFERROR(__xludf.DUMMYFUNCTION("""COMPUTED_VALUE"""),"C8324119865")</f>
        <v>C8324119865</v>
      </c>
      <c r="D1881" s="8">
        <f>IFERROR(__xludf.DUMMYFUNCTION("""COMPUTED_VALUE"""),43.0)</f>
        <v>43</v>
      </c>
      <c r="E1881" s="2"/>
    </row>
    <row r="1882">
      <c r="A1882" s="2"/>
      <c r="B1882" s="8" t="str">
        <f>IFERROR(__xludf.DUMMYFUNCTION("""COMPUTED_VALUE"""),"BNICIE LIM")</f>
        <v>BNICIE LIM</v>
      </c>
      <c r="C1882" s="8" t="str">
        <f>IFERROR(__xludf.DUMMYFUNCTION("""COMPUTED_VALUE"""),"B0424117695")</f>
        <v>B0424117695</v>
      </c>
      <c r="D1882" s="8">
        <f>IFERROR(__xludf.DUMMYFUNCTION("""COMPUTED_VALUE"""),21.0)</f>
        <v>21</v>
      </c>
      <c r="E1882" s="2"/>
    </row>
    <row r="1883">
      <c r="A1883" s="2"/>
      <c r="B1883" s="8" t="str">
        <f>IFERROR(__xludf.DUMMYFUNCTION("""COMPUTED_VALUE"""),"FERRY PANGKE")</f>
        <v>FERRY PANGKE</v>
      </c>
      <c r="C1883" s="8" t="str">
        <f>IFERROR(__xludf.DUMMYFUNCTION("""COMPUTED_VALUE"""),"F8924116996")</f>
        <v>F8924116996</v>
      </c>
      <c r="D1883" s="8">
        <f>IFERROR(__xludf.DUMMYFUNCTION("""COMPUTED_VALUE"""),37.0)</f>
        <v>37</v>
      </c>
      <c r="E1883" s="2"/>
    </row>
    <row r="1884">
      <c r="A1884" s="2"/>
      <c r="B1884" s="8" t="str">
        <f>IFERROR(__xludf.DUMMYFUNCTION("""COMPUTED_VALUE"""),"ERIN")</f>
        <v>ERIN</v>
      </c>
      <c r="C1884" s="8" t="str">
        <f>IFERROR(__xludf.DUMMYFUNCTION("""COMPUTED_VALUE"""),"E9624119244")</f>
        <v>E9624119244</v>
      </c>
      <c r="D1884" s="8">
        <f>IFERROR(__xludf.DUMMYFUNCTION("""COMPUTED_VALUE"""),30.0)</f>
        <v>30</v>
      </c>
      <c r="E1884" s="2"/>
    </row>
    <row r="1885">
      <c r="A1885" s="2"/>
      <c r="B1885" s="8" t="str">
        <f>IFERROR(__xludf.DUMMYFUNCTION("""COMPUTED_VALUE"""),"BAHARUDIN")</f>
        <v>BAHARUDIN</v>
      </c>
      <c r="C1885" s="8" t="str">
        <f>IFERROR(__xludf.DUMMYFUNCTION("""COMPUTED_VALUE"""),"B6424116506")</f>
        <v>B6424116506</v>
      </c>
      <c r="D1885" s="8">
        <f>IFERROR(__xludf.DUMMYFUNCTION("""COMPUTED_VALUE"""),62.0)</f>
        <v>62</v>
      </c>
      <c r="E1885" s="2"/>
    </row>
    <row r="1886">
      <c r="A1886" s="2"/>
      <c r="B1886" s="8" t="str">
        <f>IFERROR(__xludf.DUMMYFUNCTION("""COMPUTED_VALUE"""),"FITRI YANI")</f>
        <v>FITRI YANI</v>
      </c>
      <c r="C1886" s="8" t="str">
        <f>IFERROR(__xludf.DUMMYFUNCTION("""COMPUTED_VALUE"""),"F8324112363")</f>
        <v>F8324112363</v>
      </c>
      <c r="D1886" s="8">
        <f>IFERROR(__xludf.DUMMYFUNCTION("""COMPUTED_VALUE"""),42.0)</f>
        <v>42</v>
      </c>
      <c r="E1886" s="2"/>
    </row>
    <row r="1887">
      <c r="A1887" s="2"/>
      <c r="B1887" s="8" t="str">
        <f>IFERROR(__xludf.DUMMYFUNCTION("""COMPUTED_VALUE"""),"FRIZI ALFARIZI")</f>
        <v>FRIZI ALFARIZI</v>
      </c>
      <c r="C1887" s="8" t="str">
        <f>IFERROR(__xludf.DUMMYFUNCTION("""COMPUTED_VALUE"""),"F0824116507")</f>
        <v>F0824116507</v>
      </c>
      <c r="D1887" s="8">
        <f>IFERROR(__xludf.DUMMYFUNCTION("""COMPUTED_VALUE"""),18.0)</f>
        <v>18</v>
      </c>
      <c r="E1887" s="2"/>
    </row>
    <row r="1888">
      <c r="A1888" s="2"/>
      <c r="B1888" s="8" t="str">
        <f>IFERROR(__xludf.DUMMYFUNCTION("""COMPUTED_VALUE"""),"SUGONDO LIMIN")</f>
        <v>SUGONDO LIMIN</v>
      </c>
      <c r="C1888" s="8" t="str">
        <f>IFERROR(__xludf.DUMMYFUNCTION("""COMPUTED_VALUE"""),"S0024112112")</f>
        <v>S0024112112</v>
      </c>
      <c r="D1888" s="8">
        <f>IFERROR(__xludf.DUMMYFUNCTION("""COMPUTED_VALUE"""),25.0)</f>
        <v>25</v>
      </c>
      <c r="E1888" s="2"/>
    </row>
    <row r="1889">
      <c r="A1889" s="2"/>
      <c r="B1889" s="8" t="str">
        <f>IFERROR(__xludf.DUMMYFUNCTION("""COMPUTED_VALUE"""),"SYF. HAYATI ABDULLAH")</f>
        <v>SYF. HAYATI ABDULLAH</v>
      </c>
      <c r="C1889" s="8" t="str">
        <f>IFERROR(__xludf.DUMMYFUNCTION("""COMPUTED_VALUE"""),"S6324111358")</f>
        <v>S6324111358</v>
      </c>
      <c r="D1889" s="8">
        <f>IFERROR(__xludf.DUMMYFUNCTION("""COMPUTED_VALUE"""),63.0)</f>
        <v>63</v>
      </c>
      <c r="E1889" s="2"/>
    </row>
    <row r="1890">
      <c r="A1890" s="2"/>
      <c r="B1890" s="8" t="str">
        <f>IFERROR(__xludf.DUMMYFUNCTION("""COMPUTED_VALUE"""),"MUHAMMAD GIBRAN DIRGANTARA")</f>
        <v>MUHAMMAD GIBRAN DIRGANTARA</v>
      </c>
      <c r="C1890" s="8" t="str">
        <f>IFERROR(__xludf.DUMMYFUNCTION("""COMPUTED_VALUE"""),"M1124115025")</f>
        <v>M1124115025</v>
      </c>
      <c r="D1890" s="8">
        <f>IFERROR(__xludf.DUMMYFUNCTION("""COMPUTED_VALUE"""),15.0)</f>
        <v>15</v>
      </c>
      <c r="E1890" s="2"/>
    </row>
    <row r="1891">
      <c r="A1891" s="2"/>
      <c r="B1891" s="8" t="str">
        <f>IFERROR(__xludf.DUMMYFUNCTION("""COMPUTED_VALUE"""),"MUHAMMAD AMMAR TASNIM")</f>
        <v>MUHAMMAD AMMAR TASNIM</v>
      </c>
      <c r="C1891" s="8" t="str">
        <f>IFERROR(__xludf.DUMMYFUNCTION("""COMPUTED_VALUE"""),"M0724113222")</f>
        <v>M0724113222</v>
      </c>
      <c r="D1891" s="8">
        <f>IFERROR(__xludf.DUMMYFUNCTION("""COMPUTED_VALUE"""),19.0)</f>
        <v>19</v>
      </c>
      <c r="E1891" s="2"/>
    </row>
    <row r="1892">
      <c r="A1892" s="2"/>
      <c r="B1892" s="8" t="str">
        <f>IFERROR(__xludf.DUMMYFUNCTION("""COMPUTED_VALUE"""),"DEDDY TANJAYA")</f>
        <v>DEDDY TANJAYA</v>
      </c>
      <c r="C1892" s="8" t="str">
        <f>IFERROR(__xludf.DUMMYFUNCTION("""COMPUTED_VALUE"""),"D9824114431")</f>
        <v>D9824114431</v>
      </c>
      <c r="D1892" s="8">
        <f>IFERROR(__xludf.DUMMYFUNCTION("""COMPUTED_VALUE"""),28.0)</f>
        <v>28</v>
      </c>
      <c r="E1892" s="2"/>
    </row>
    <row r="1893">
      <c r="A1893" s="2"/>
      <c r="B1893" s="8" t="str">
        <f>IFERROR(__xludf.DUMMYFUNCTION("""COMPUTED_VALUE"""),"NESA LISIANA")</f>
        <v>NESA LISIANA</v>
      </c>
      <c r="C1893" s="8" t="str">
        <f>IFERROR(__xludf.DUMMYFUNCTION("""COMPUTED_VALUE"""),"N8424118008")</f>
        <v>N8424118008</v>
      </c>
      <c r="D1893" s="8">
        <f>IFERROR(__xludf.DUMMYFUNCTION("""COMPUTED_VALUE"""),41.0)</f>
        <v>41</v>
      </c>
      <c r="E1893" s="2"/>
    </row>
    <row r="1894">
      <c r="A1894" s="2"/>
      <c r="B1894" s="8" t="str">
        <f>IFERROR(__xludf.DUMMYFUNCTION("""COMPUTED_VALUE"""),"DEWI ANNA RAINA")</f>
        <v>DEWI ANNA RAINA</v>
      </c>
      <c r="C1894" s="8" t="str">
        <f>IFERROR(__xludf.DUMMYFUNCTION("""COMPUTED_VALUE"""),"D7224110444")</f>
        <v>D7224110444</v>
      </c>
      <c r="D1894" s="8">
        <f>IFERROR(__xludf.DUMMYFUNCTION("""COMPUTED_VALUE"""),54.0)</f>
        <v>54</v>
      </c>
      <c r="E1894" s="2"/>
    </row>
    <row r="1895">
      <c r="A1895" s="2"/>
      <c r="B1895" s="8" t="str">
        <f>IFERROR(__xludf.DUMMYFUNCTION("""COMPUTED_VALUE"""),"DITO CAHYA RENALDI")</f>
        <v>DITO CAHYA RENALDI</v>
      </c>
      <c r="C1895" s="8" t="str">
        <f>IFERROR(__xludf.DUMMYFUNCTION("""COMPUTED_VALUE"""),"D8624112210")</f>
        <v>D8624112210</v>
      </c>
      <c r="D1895" s="8">
        <f>IFERROR(__xludf.DUMMYFUNCTION("""COMPUTED_VALUE"""),40.0)</f>
        <v>40</v>
      </c>
      <c r="E1895" s="2"/>
    </row>
    <row r="1896">
      <c r="A1896" s="2"/>
      <c r="B1896" s="8" t="str">
        <f>IFERROR(__xludf.DUMMYFUNCTION("""COMPUTED_VALUE"""),"EDBERT MARCHELYO")</f>
        <v>EDBERT MARCHELYO</v>
      </c>
      <c r="C1896" s="8" t="str">
        <f>IFERROR(__xludf.DUMMYFUNCTION("""COMPUTED_VALUE"""),"E0724112565")</f>
        <v>E0724112565</v>
      </c>
      <c r="D1896" s="8">
        <f>IFERROR(__xludf.DUMMYFUNCTION("""COMPUTED_VALUE"""),19.0)</f>
        <v>19</v>
      </c>
      <c r="E1896" s="2"/>
    </row>
    <row r="1897">
      <c r="A1897" s="2"/>
      <c r="B1897" s="8" t="str">
        <f>IFERROR(__xludf.DUMMYFUNCTION("""COMPUTED_VALUE"""),"HESTI RAMADHANTI")</f>
        <v>HESTI RAMADHANTI</v>
      </c>
      <c r="C1897" s="8" t="str">
        <f>IFERROR(__xludf.DUMMYFUNCTION("""COMPUTED_VALUE"""),"H9424119337")</f>
        <v>H9424119337</v>
      </c>
      <c r="D1897" s="8">
        <f>IFERROR(__xludf.DUMMYFUNCTION("""COMPUTED_VALUE"""),32.0)</f>
        <v>32</v>
      </c>
      <c r="E1897" s="2"/>
    </row>
    <row r="1898">
      <c r="A1898" s="2"/>
      <c r="B1898" s="8" t="str">
        <f>IFERROR(__xludf.DUMMYFUNCTION("""COMPUTED_VALUE"""),"SUNARTO 5601")</f>
        <v>SUNARTO 5601</v>
      </c>
      <c r="C1898" s="8" t="str">
        <f>IFERROR(__xludf.DUMMYFUNCTION("""COMPUTED_VALUE"""),"S5624118008")</f>
        <v>S5624118008</v>
      </c>
      <c r="D1898" s="8">
        <f>IFERROR(__xludf.DUMMYFUNCTION("""COMPUTED_VALUE"""),70.0)</f>
        <v>70</v>
      </c>
      <c r="E1898" s="2"/>
    </row>
    <row r="1899">
      <c r="A1899" s="2"/>
      <c r="B1899" s="8" t="str">
        <f>IFERROR(__xludf.DUMMYFUNCTION("""COMPUTED_VALUE"""),"SHERA MIRANDA")</f>
        <v>SHERA MIRANDA</v>
      </c>
      <c r="C1899" s="8" t="str">
        <f>IFERROR(__xludf.DUMMYFUNCTION("""COMPUTED_VALUE"""),"S9524110570")</f>
        <v>S9524110570</v>
      </c>
      <c r="D1899" s="8">
        <f>IFERROR(__xludf.DUMMYFUNCTION("""COMPUTED_VALUE"""),31.0)</f>
        <v>31</v>
      </c>
      <c r="E1899" s="2"/>
    </row>
    <row r="1900">
      <c r="A1900" s="2"/>
      <c r="B1900" s="8" t="str">
        <f>IFERROR(__xludf.DUMMYFUNCTION("""COMPUTED_VALUE"""),"DJOKO SANTOSO")</f>
        <v>DJOKO SANTOSO</v>
      </c>
      <c r="C1900" s="8" t="str">
        <f>IFERROR(__xludf.DUMMYFUNCTION("""COMPUTED_VALUE"""),"D7324116663")</f>
        <v>D7324116663</v>
      </c>
      <c r="D1900" s="8">
        <f>IFERROR(__xludf.DUMMYFUNCTION("""COMPUTED_VALUE"""),52.0)</f>
        <v>52</v>
      </c>
      <c r="E1900" s="2"/>
    </row>
    <row r="1901">
      <c r="A1901" s="2"/>
      <c r="B1901" s="8" t="str">
        <f>IFERROR(__xludf.DUMMYFUNCTION("""COMPUTED_VALUE"""),"RIDHOALDY ERISAPUTRA")</f>
        <v>RIDHOALDY ERISAPUTRA</v>
      </c>
      <c r="C1901" s="8" t="str">
        <f>IFERROR(__xludf.DUMMYFUNCTION("""COMPUTED_VALUE"""),"R9824118810")</f>
        <v>R9824118810</v>
      </c>
      <c r="D1901" s="8">
        <f>IFERROR(__xludf.DUMMYFUNCTION("""COMPUTED_VALUE"""),27.0)</f>
        <v>27</v>
      </c>
      <c r="E1901" s="2"/>
    </row>
    <row r="1902">
      <c r="A1902" s="2"/>
      <c r="B1902" s="8" t="str">
        <f>IFERROR(__xludf.DUMMYFUNCTION("""COMPUTED_VALUE"""),"ANDIEN MAHESWARI DINANTI")</f>
        <v>ANDIEN MAHESWARI DINANTI</v>
      </c>
      <c r="C1902" s="8" t="str">
        <f>IFERROR(__xludf.DUMMYFUNCTION("""COMPUTED_VALUE"""),"A1224118008")</f>
        <v>A1224118008</v>
      </c>
      <c r="D1902" s="8">
        <f>IFERROR(__xludf.DUMMYFUNCTION("""COMPUTED_VALUE"""),14.0)</f>
        <v>14</v>
      </c>
      <c r="E1902" s="2"/>
    </row>
    <row r="1903">
      <c r="A1903" s="2"/>
      <c r="B1903" s="8" t="str">
        <f>IFERROR(__xludf.DUMMYFUNCTION("""COMPUTED_VALUE"""),"MUHAMMAD ALFATIH")</f>
        <v>MUHAMMAD ALFATIH</v>
      </c>
      <c r="C1903" s="8" t="str">
        <f>IFERROR(__xludf.DUMMYFUNCTION("""COMPUTED_VALUE"""),"M1424110570")</f>
        <v>M1424110570</v>
      </c>
      <c r="D1903" s="8">
        <f>IFERROR(__xludf.DUMMYFUNCTION("""COMPUTED_VALUE"""),11.0)</f>
        <v>11</v>
      </c>
      <c r="E1903" s="2"/>
    </row>
    <row r="1904">
      <c r="A1904" s="2"/>
      <c r="B1904" s="8" t="str">
        <f>IFERROR(__xludf.DUMMYFUNCTION("""COMPUTED_VALUE"""),"NELY SUHARTINI")</f>
        <v>NELY SUHARTINI</v>
      </c>
      <c r="C1904" s="8" t="str">
        <f>IFERROR(__xludf.DUMMYFUNCTION("""COMPUTED_VALUE"""),"N6924116663")</f>
        <v>N6924116663</v>
      </c>
      <c r="D1904" s="8">
        <f>IFERROR(__xludf.DUMMYFUNCTION("""COMPUTED_VALUE"""),57.0)</f>
        <v>57</v>
      </c>
      <c r="E1904" s="2"/>
    </row>
    <row r="1905">
      <c r="A1905" s="2"/>
      <c r="B1905" s="8" t="str">
        <f>IFERROR(__xludf.DUMMYFUNCTION("""COMPUTED_VALUE"""),"KHOLIS AGUSTIAN")</f>
        <v>KHOLIS AGUSTIAN</v>
      </c>
      <c r="C1905" s="8" t="str">
        <f>IFERROR(__xludf.DUMMYFUNCTION("""COMPUTED_VALUE"""),"K9224112556")</f>
        <v>K9224112556</v>
      </c>
      <c r="D1905" s="8">
        <f>IFERROR(__xludf.DUMMYFUNCTION("""COMPUTED_VALUE"""),33.0)</f>
        <v>33</v>
      </c>
      <c r="E1905" s="2"/>
    </row>
    <row r="1906">
      <c r="A1906" s="2"/>
      <c r="B1906" s="8" t="str">
        <f>IFERROR(__xludf.DUMMYFUNCTION("""COMPUTED_VALUE"""),"R. BANU NUGROHO")</f>
        <v>R. BANU NUGROHO</v>
      </c>
      <c r="C1906" s="8" t="str">
        <f>IFERROR(__xludf.DUMMYFUNCTION("""COMPUTED_VALUE"""),"R8124118509")</f>
        <v>R8124118509</v>
      </c>
      <c r="D1906" s="8">
        <f>IFERROR(__xludf.DUMMYFUNCTION("""COMPUTED_VALUE"""),45.0)</f>
        <v>45</v>
      </c>
      <c r="E1906" s="2"/>
    </row>
    <row r="1907">
      <c r="A1907" s="2"/>
      <c r="B1907" s="8" t="str">
        <f>IFERROR(__xludf.DUMMYFUNCTION("""COMPUTED_VALUE"""),"SURYA FEBRANI")</f>
        <v>SURYA FEBRANI</v>
      </c>
      <c r="C1907" s="8" t="str">
        <f>IFERROR(__xludf.DUMMYFUNCTION("""COMPUTED_VALUE"""),"S8624110878")</f>
        <v>S8624110878</v>
      </c>
      <c r="D1907" s="8">
        <f>IFERROR(__xludf.DUMMYFUNCTION("""COMPUTED_VALUE"""),40.0)</f>
        <v>40</v>
      </c>
      <c r="E1907" s="2"/>
    </row>
    <row r="1908">
      <c r="A1908" s="2"/>
      <c r="B1908" s="8" t="str">
        <f>IFERROR(__xludf.DUMMYFUNCTION("""COMPUTED_VALUE"""),"HARRY RONALDI M.")</f>
        <v>HARRY RONALDI M.</v>
      </c>
      <c r="C1908" s="8" t="str">
        <f>IFERROR(__xludf.DUMMYFUNCTION("""COMPUTED_VALUE"""),"H7724119988")</f>
        <v>H7724119988</v>
      </c>
      <c r="D1908" s="8">
        <f>IFERROR(__xludf.DUMMYFUNCTION("""COMPUTED_VALUE"""),49.0)</f>
        <v>49</v>
      </c>
      <c r="E1908" s="2"/>
    </row>
    <row r="1909">
      <c r="A1909" s="2"/>
      <c r="B1909" s="8" t="str">
        <f>IFERROR(__xludf.DUMMYFUNCTION("""COMPUTED_VALUE"""),"MUHAMMAD HASYA UBAIDILLAH")</f>
        <v>MUHAMMAD HASYA UBAIDILLAH</v>
      </c>
      <c r="C1909" s="8" t="str">
        <f>IFERROR(__xludf.DUMMYFUNCTION("""COMPUTED_VALUE"""),"M0724114151")</f>
        <v>M0724114151</v>
      </c>
      <c r="D1909" s="8">
        <f>IFERROR(__xludf.DUMMYFUNCTION("""COMPUTED_VALUE"""),19.0)</f>
        <v>19</v>
      </c>
      <c r="E1909" s="2"/>
    </row>
    <row r="1910">
      <c r="A1910" s="2"/>
      <c r="B1910" s="8" t="str">
        <f>IFERROR(__xludf.DUMMYFUNCTION("""COMPUTED_VALUE"""),"PRICILIA FORZACHITA")</f>
        <v>PRICILIA FORZACHITA</v>
      </c>
      <c r="C1910" s="8" t="str">
        <f>IFERROR(__xludf.DUMMYFUNCTION("""COMPUTED_VALUE"""),"P0224110020")</f>
        <v>P0224110020</v>
      </c>
      <c r="D1910" s="8">
        <f>IFERROR(__xludf.DUMMYFUNCTION("""COMPUTED_VALUE"""),23.0)</f>
        <v>23</v>
      </c>
      <c r="E1910" s="2"/>
    </row>
    <row r="1911">
      <c r="A1911" s="2"/>
      <c r="B1911" s="8" t="str">
        <f>IFERROR(__xludf.DUMMYFUNCTION("""COMPUTED_VALUE"""),"FAUZAN ADI HIDAYAT")</f>
        <v>FAUZAN ADI HIDAYAT</v>
      </c>
      <c r="C1911" s="8" t="str">
        <f>IFERROR(__xludf.DUMMYFUNCTION("""COMPUTED_VALUE"""),"F1124111188")</f>
        <v>F1124111188</v>
      </c>
      <c r="D1911" s="8">
        <f>IFERROR(__xludf.DUMMYFUNCTION("""COMPUTED_VALUE"""),14.0)</f>
        <v>14</v>
      </c>
      <c r="E1911" s="2"/>
    </row>
    <row r="1912">
      <c r="A1912" s="2"/>
      <c r="B1912" s="8" t="str">
        <f>IFERROR(__xludf.DUMMYFUNCTION("""COMPUTED_VALUE"""),"KASHMIANDARI")</f>
        <v>KASHMIANDARI</v>
      </c>
      <c r="C1912" s="8" t="str">
        <f>IFERROR(__xludf.DUMMYFUNCTION("""COMPUTED_VALUE"""),"K7324118181")</f>
        <v>K7324118181</v>
      </c>
      <c r="D1912" s="8">
        <f>IFERROR(__xludf.DUMMYFUNCTION("""COMPUTED_VALUE"""),53.0)</f>
        <v>53</v>
      </c>
      <c r="E1912" s="2"/>
    </row>
    <row r="1913">
      <c r="A1913" s="2"/>
      <c r="B1913" s="8" t="str">
        <f>IFERROR(__xludf.DUMMYFUNCTION("""COMPUTED_VALUE"""),"RUGAYAH")</f>
        <v>RUGAYAH</v>
      </c>
      <c r="C1913" s="8" t="str">
        <f>IFERROR(__xludf.DUMMYFUNCTION("""COMPUTED_VALUE"""),"R5124115104")</f>
        <v>R5124115104</v>
      </c>
      <c r="D1913" s="8">
        <f>IFERROR(__xludf.DUMMYFUNCTION("""COMPUTED_VALUE"""),74.0)</f>
        <v>74</v>
      </c>
      <c r="E1913" s="2"/>
    </row>
    <row r="1914">
      <c r="A1914" s="2"/>
      <c r="B1914" s="8" t="str">
        <f>IFERROR(__xludf.DUMMYFUNCTION("""COMPUTED_VALUE"""),"MIRZAM FAHMA QIHAJ")</f>
        <v>MIRZAM FAHMA QIHAJ</v>
      </c>
      <c r="C1914" s="8" t="str">
        <f>IFERROR(__xludf.DUMMYFUNCTION("""COMPUTED_VALUE"""),"M0124118989")</f>
        <v>M0124118989</v>
      </c>
      <c r="D1914" s="8">
        <f>IFERROR(__xludf.DUMMYFUNCTION("""COMPUTED_VALUE"""),24.0)</f>
        <v>24</v>
      </c>
      <c r="E1914" s="2"/>
    </row>
    <row r="1915">
      <c r="A1915" s="2"/>
      <c r="B1915" s="8" t="str">
        <f>IFERROR(__xludf.DUMMYFUNCTION("""COMPUTED_VALUE"""),"AMALIA MAHARANI")</f>
        <v>AMALIA MAHARANI</v>
      </c>
      <c r="C1915" s="8" t="str">
        <f>IFERROR(__xludf.DUMMYFUNCTION("""COMPUTED_VALUE"""),"A0024119820")</f>
        <v>A0024119820</v>
      </c>
      <c r="D1915" s="8">
        <f>IFERROR(__xludf.DUMMYFUNCTION("""COMPUTED_VALUE"""),26.0)</f>
        <v>26</v>
      </c>
      <c r="E1915" s="2"/>
    </row>
    <row r="1916">
      <c r="A1916" s="2"/>
      <c r="B1916" s="8" t="str">
        <f>IFERROR(__xludf.DUMMYFUNCTION("""COMPUTED_VALUE"""),"BUDY SETIAWAN LIM")</f>
        <v>BUDY SETIAWAN LIM</v>
      </c>
      <c r="C1916" s="8" t="str">
        <f>IFERROR(__xludf.DUMMYFUNCTION("""COMPUTED_VALUE"""),"B5924113489")</f>
        <v>B5924113489</v>
      </c>
      <c r="D1916" s="8">
        <f>IFERROR(__xludf.DUMMYFUNCTION("""COMPUTED_VALUE"""),67.0)</f>
        <v>67</v>
      </c>
      <c r="E1916" s="2"/>
    </row>
    <row r="1917">
      <c r="A1917" s="2"/>
      <c r="B1917" s="8" t="str">
        <f>IFERROR(__xludf.DUMMYFUNCTION("""COMPUTED_VALUE"""),"REVI MARISKA")</f>
        <v>REVI MARISKA</v>
      </c>
      <c r="C1917" s="8" t="str">
        <f>IFERROR(__xludf.DUMMYFUNCTION("""COMPUTED_VALUE"""),"R9924122185")</f>
        <v>R9924122185</v>
      </c>
      <c r="D1917" s="8">
        <f>IFERROR(__xludf.DUMMYFUNCTION("""COMPUTED_VALUE"""),26.0)</f>
        <v>26</v>
      </c>
      <c r="E1917" s="2"/>
    </row>
    <row r="1918">
      <c r="A1918" s="2"/>
      <c r="B1918" s="8" t="str">
        <f>IFERROR(__xludf.DUMMYFUNCTION("""COMPUTED_VALUE"""),"FAHRI MAULINDA")</f>
        <v>FAHRI MAULINDA</v>
      </c>
      <c r="C1918" s="8" t="str">
        <f>IFERROR(__xludf.DUMMYFUNCTION("""COMPUTED_VALUE"""),"F7924114747")</f>
        <v>F7924114747</v>
      </c>
      <c r="D1918" s="8">
        <f>IFERROR(__xludf.DUMMYFUNCTION("""COMPUTED_VALUE"""),47.0)</f>
        <v>47</v>
      </c>
      <c r="E1918" s="2"/>
    </row>
    <row r="1919">
      <c r="A1919" s="2"/>
      <c r="B1919" s="8" t="str">
        <f>IFERROR(__xludf.DUMMYFUNCTION("""COMPUTED_VALUE"""),"CYNTIA STEFI FONDA")</f>
        <v>CYNTIA STEFI FONDA</v>
      </c>
      <c r="C1919" s="8" t="str">
        <f>IFERROR(__xludf.DUMMYFUNCTION("""COMPUTED_VALUE"""),"C9124113378")</f>
        <v>C9124113378</v>
      </c>
      <c r="D1919" s="8">
        <f>IFERROR(__xludf.DUMMYFUNCTION("""COMPUTED_VALUE"""),34.0)</f>
        <v>34</v>
      </c>
      <c r="E1919" s="2"/>
    </row>
    <row r="1920">
      <c r="A1920" s="2"/>
      <c r="B1920" s="8" t="str">
        <f>IFERROR(__xludf.DUMMYFUNCTION("""COMPUTED_VALUE"""),"ADIT FEBRIANTO")</f>
        <v>ADIT FEBRIANTO</v>
      </c>
      <c r="C1920" s="8" t="str">
        <f>IFERROR(__xludf.DUMMYFUNCTION("""COMPUTED_VALUE"""),"A8624112720")</f>
        <v>A8624112720</v>
      </c>
      <c r="D1920" s="8">
        <f>IFERROR(__xludf.DUMMYFUNCTION("""COMPUTED_VALUE"""),40.0)</f>
        <v>40</v>
      </c>
      <c r="E1920" s="2"/>
    </row>
    <row r="1921">
      <c r="A1921" s="2"/>
      <c r="B1921" s="8" t="str">
        <f>IFERROR(__xludf.DUMMYFUNCTION("""COMPUTED_VALUE"""),"NOVACHRISTO JOSEPH SILANGEN")</f>
        <v>NOVACHRISTO JOSEPH SILANGEN</v>
      </c>
      <c r="C1921" s="8" t="str">
        <f>IFERROR(__xludf.DUMMYFUNCTION("""COMPUTED_VALUE"""),"N6924112241")</f>
        <v>N6924112241</v>
      </c>
      <c r="D1921" s="8">
        <f>IFERROR(__xludf.DUMMYFUNCTION("""COMPUTED_VALUE"""),56.0)</f>
        <v>56</v>
      </c>
      <c r="E1921" s="2"/>
    </row>
    <row r="1922">
      <c r="A1922" s="2"/>
      <c r="B1922" s="8" t="str">
        <f>IFERROR(__xludf.DUMMYFUNCTION("""COMPUTED_VALUE"""),"DEDI HERMAWAN")</f>
        <v>DEDI HERMAWAN</v>
      </c>
      <c r="C1922" s="8" t="str">
        <f>IFERROR(__xludf.DUMMYFUNCTION("""COMPUTED_VALUE"""),"D7024114344")</f>
        <v>D7024114344</v>
      </c>
      <c r="D1922" s="8">
        <f>IFERROR(__xludf.DUMMYFUNCTION("""COMPUTED_VALUE"""),55.0)</f>
        <v>55</v>
      </c>
      <c r="E1922" s="2"/>
    </row>
    <row r="1923">
      <c r="A1923" s="2"/>
      <c r="B1923" s="8" t="str">
        <f>IFERROR(__xludf.DUMMYFUNCTION("""COMPUTED_VALUE"""),"FURQON DZAKI AZZAM")</f>
        <v>FURQON DZAKI AZZAM</v>
      </c>
      <c r="C1923" s="8" t="str">
        <f>IFERROR(__xludf.DUMMYFUNCTION("""COMPUTED_VALUE"""),"F9924116883")</f>
        <v>F9924116883</v>
      </c>
      <c r="D1923" s="8">
        <f>IFERROR(__xludf.DUMMYFUNCTION("""COMPUTED_VALUE"""),26.0)</f>
        <v>26</v>
      </c>
      <c r="E1923" s="2"/>
    </row>
    <row r="1924">
      <c r="A1924" s="2"/>
      <c r="B1924" s="8" t="str">
        <f>IFERROR(__xludf.DUMMYFUNCTION("""COMPUTED_VALUE"""),"FERENTIKA PUTRI UTAMU")</f>
        <v>FERENTIKA PUTRI UTAMU</v>
      </c>
      <c r="C1924" s="8" t="str">
        <f>IFERROR(__xludf.DUMMYFUNCTION("""COMPUTED_VALUE"""),"F9924116619")</f>
        <v>F9924116619</v>
      </c>
      <c r="D1924" s="8">
        <f>IFERROR(__xludf.DUMMYFUNCTION("""COMPUTED_VALUE"""),27.0)</f>
        <v>27</v>
      </c>
      <c r="E1924" s="2"/>
    </row>
    <row r="1925">
      <c r="A1925" s="2"/>
      <c r="B1925" s="8" t="str">
        <f>IFERROR(__xludf.DUMMYFUNCTION("""COMPUTED_VALUE"""),"STEFANUS FERDINAN")</f>
        <v>STEFANUS FERDINAN</v>
      </c>
      <c r="C1925" s="8" t="str">
        <f>IFERROR(__xludf.DUMMYFUNCTION("""COMPUTED_VALUE"""),"S8424116922")</f>
        <v>S8424116922</v>
      </c>
      <c r="D1925" s="8">
        <f>IFERROR(__xludf.DUMMYFUNCTION("""COMPUTED_VALUE"""),42.0)</f>
        <v>42</v>
      </c>
      <c r="E1925" s="2"/>
    </row>
    <row r="1926">
      <c r="A1926" s="2"/>
      <c r="B1926" s="8" t="str">
        <f>IFERROR(__xludf.DUMMYFUNCTION("""COMPUTED_VALUE"""),"NAWAL ATTAMIMI")</f>
        <v>NAWAL ATTAMIMI</v>
      </c>
      <c r="C1926" s="8" t="str">
        <f>IFERROR(__xludf.DUMMYFUNCTION("""COMPUTED_VALUE"""),"N0924113339")</f>
        <v>N0924113339</v>
      </c>
      <c r="D1926" s="8">
        <f>IFERROR(__xludf.DUMMYFUNCTION("""COMPUTED_VALUE"""),17.0)</f>
        <v>17</v>
      </c>
      <c r="E1926" s="2"/>
    </row>
    <row r="1927">
      <c r="A1927" s="2"/>
      <c r="B1927" s="8" t="str">
        <f>IFERROR(__xludf.DUMMYFUNCTION("""COMPUTED_VALUE"""),"HERRIANSYAH")</f>
        <v>HERRIANSYAH</v>
      </c>
      <c r="C1927" s="8" t="str">
        <f>IFERROR(__xludf.DUMMYFUNCTION("""COMPUTED_VALUE"""),"H6624124010")</f>
        <v>H6624124010</v>
      </c>
      <c r="D1927" s="8">
        <f>IFERROR(__xludf.DUMMYFUNCTION("""COMPUTED_VALUE"""),60.0)</f>
        <v>60</v>
      </c>
      <c r="E1927" s="2"/>
    </row>
    <row r="1928">
      <c r="A1928" s="2"/>
      <c r="B1928" s="8" t="str">
        <f>IFERROR(__xludf.DUMMYFUNCTION("""COMPUTED_VALUE"""),"HARDIANSYAH ABDI G")</f>
        <v>HARDIANSYAH ABDI G</v>
      </c>
      <c r="C1928" s="8" t="str">
        <f>IFERROR(__xludf.DUMMYFUNCTION("""COMPUTED_VALUE"""),"H9524112127")</f>
        <v>H9524112127</v>
      </c>
      <c r="D1928" s="8">
        <f>IFERROR(__xludf.DUMMYFUNCTION("""COMPUTED_VALUE"""),31.0)</f>
        <v>31</v>
      </c>
      <c r="E1928" s="2"/>
    </row>
    <row r="1929">
      <c r="A1929" s="2"/>
      <c r="B1929" s="8" t="str">
        <f>IFERROR(__xludf.DUMMYFUNCTION("""COMPUTED_VALUE"""),"KIM JUNG")</f>
        <v>KIM JUNG</v>
      </c>
      <c r="C1929" s="8" t="str">
        <f>IFERROR(__xludf.DUMMYFUNCTION("""COMPUTED_VALUE"""),"K5124111621")</f>
        <v>K5124111621</v>
      </c>
      <c r="D1929" s="8">
        <f>IFERROR(__xludf.DUMMYFUNCTION("""COMPUTED_VALUE"""),75.0)</f>
        <v>75</v>
      </c>
      <c r="E1929" s="2"/>
    </row>
    <row r="1930">
      <c r="A1930" s="2"/>
      <c r="B1930" s="8" t="str">
        <f>IFERROR(__xludf.DUMMYFUNCTION("""COMPUTED_VALUE"""),"HENDRI KOSASIH")</f>
        <v>HENDRI KOSASIH</v>
      </c>
      <c r="C1930" s="8" t="str">
        <f>IFERROR(__xludf.DUMMYFUNCTION("""COMPUTED_VALUE"""),"H9324111993")</f>
        <v>H9324111993</v>
      </c>
      <c r="D1930" s="8">
        <f>IFERROR(__xludf.DUMMYFUNCTION("""COMPUTED_VALUE"""),33.0)</f>
        <v>33</v>
      </c>
      <c r="E1930" s="2"/>
    </row>
    <row r="1931">
      <c r="A1931" s="2"/>
      <c r="B1931" s="8" t="str">
        <f>IFERROR(__xludf.DUMMYFUNCTION("""COMPUTED_VALUE"""),"TIMOTHY ANDYLIANTHO")</f>
        <v>TIMOTHY ANDYLIANTHO</v>
      </c>
      <c r="C1931" s="8" t="str">
        <f>IFERROR(__xludf.DUMMYFUNCTION("""COMPUTED_VALUE"""),"T9824114560")</f>
        <v>T9824114560</v>
      </c>
      <c r="D1931" s="8">
        <f>IFERROR(__xludf.DUMMYFUNCTION("""COMPUTED_VALUE"""),27.0)</f>
        <v>27</v>
      </c>
      <c r="E1931" s="2"/>
    </row>
    <row r="1932">
      <c r="A1932" s="2"/>
      <c r="B1932" s="8" t="str">
        <f>IFERROR(__xludf.DUMMYFUNCTION("""COMPUTED_VALUE"""),"MICHAEL 9706")</f>
        <v>MICHAEL 9706</v>
      </c>
      <c r="C1932" s="8" t="str">
        <f>IFERROR(__xludf.DUMMYFUNCTION("""COMPUTED_VALUE"""),"M9724111997")</f>
        <v>M9724111997</v>
      </c>
      <c r="D1932" s="8">
        <f>IFERROR(__xludf.DUMMYFUNCTION("""COMPUTED_VALUE"""),29.0)</f>
        <v>29</v>
      </c>
      <c r="E1932" s="2"/>
    </row>
    <row r="1933">
      <c r="A1933" s="2"/>
      <c r="B1933" s="8" t="str">
        <f>IFERROR(__xludf.DUMMYFUNCTION("""COMPUTED_VALUE"""),"SAIFUL")</f>
        <v>SAIFUL</v>
      </c>
      <c r="C1933" s="8" t="str">
        <f>IFERROR(__xludf.DUMMYFUNCTION("""COMPUTED_VALUE"""),"S7424116040")</f>
        <v>S7424116040</v>
      </c>
      <c r="D1933" s="8">
        <f>IFERROR(__xludf.DUMMYFUNCTION("""COMPUTED_VALUE"""),51.0)</f>
        <v>51</v>
      </c>
      <c r="E1933" s="2"/>
    </row>
    <row r="1934">
      <c r="A1934" s="2"/>
      <c r="B1934" s="8" t="str">
        <f>IFERROR(__xludf.DUMMYFUNCTION("""COMPUTED_VALUE"""),"ERICK MARGA LUKI PUTRA")</f>
        <v>ERICK MARGA LUKI PUTRA</v>
      </c>
      <c r="C1934" s="8" t="str">
        <f>IFERROR(__xludf.DUMMYFUNCTION("""COMPUTED_VALUE"""),"E0124117909")</f>
        <v>E0124117909</v>
      </c>
      <c r="D1934" s="8">
        <f>IFERROR(__xludf.DUMMYFUNCTION("""COMPUTED_VALUE"""),25.0)</f>
        <v>25</v>
      </c>
      <c r="E1934" s="2"/>
    </row>
    <row r="1935">
      <c r="A1935" s="2"/>
      <c r="B1935" s="8" t="str">
        <f>IFERROR(__xludf.DUMMYFUNCTION("""COMPUTED_VALUE"""),"DONI SALIM")</f>
        <v>DONI SALIM</v>
      </c>
      <c r="C1935" s="8" t="str">
        <f>IFERROR(__xludf.DUMMYFUNCTION("""COMPUTED_VALUE"""),"D0024119242")</f>
        <v>D0024119242</v>
      </c>
      <c r="D1935" s="8">
        <f>IFERROR(__xludf.DUMMYFUNCTION("""COMPUTED_VALUE"""),25.0)</f>
        <v>25</v>
      </c>
      <c r="E1935" s="2"/>
    </row>
    <row r="1936">
      <c r="A1936" s="2"/>
      <c r="B1936" s="8" t="str">
        <f>IFERROR(__xludf.DUMMYFUNCTION("""COMPUTED_VALUE"""),"FEBRY DWI ARUM SARI")</f>
        <v>FEBRY DWI ARUM SARI</v>
      </c>
      <c r="C1936" s="8" t="str">
        <f>IFERROR(__xludf.DUMMYFUNCTION("""COMPUTED_VALUE"""),"F0024113191")</f>
        <v>F0024113191</v>
      </c>
      <c r="D1936" s="8">
        <f>IFERROR(__xludf.DUMMYFUNCTION("""COMPUTED_VALUE"""),26.0)</f>
        <v>26</v>
      </c>
      <c r="E1936" s="2"/>
    </row>
    <row r="1937">
      <c r="A1937" s="2"/>
      <c r="B1937" s="8" t="str">
        <f>IFERROR(__xludf.DUMMYFUNCTION("""COMPUTED_VALUE"""),"PRADITYO LAKSONO")</f>
        <v>PRADITYO LAKSONO</v>
      </c>
      <c r="C1937" s="8" t="str">
        <f>IFERROR(__xludf.DUMMYFUNCTION("""COMPUTED_VALUE"""),"P8424113999")</f>
        <v>P8424113999</v>
      </c>
      <c r="D1937" s="8">
        <f>IFERROR(__xludf.DUMMYFUNCTION("""COMPUTED_VALUE"""),41.0)</f>
        <v>41</v>
      </c>
      <c r="E1937" s="2"/>
    </row>
    <row r="1938">
      <c r="A1938" s="2"/>
      <c r="B1938" s="8" t="str">
        <f>IFERROR(__xludf.DUMMYFUNCTION("""COMPUTED_VALUE"""),"CATHERINE")</f>
        <v>CATHERINE</v>
      </c>
      <c r="C1938" s="8" t="str">
        <f>IFERROR(__xludf.DUMMYFUNCTION("""COMPUTED_VALUE"""),"C9224119835")</f>
        <v>C9224119835</v>
      </c>
      <c r="D1938" s="8">
        <f>IFERROR(__xludf.DUMMYFUNCTION("""COMPUTED_VALUE"""),34.0)</f>
        <v>34</v>
      </c>
      <c r="E1938" s="2"/>
    </row>
    <row r="1939">
      <c r="A1939" s="2"/>
      <c r="B1939" s="8" t="str">
        <f>IFERROR(__xludf.DUMMYFUNCTION("""COMPUTED_VALUE"""),"SUYANTO 8906")</f>
        <v>SUYANTO 8906</v>
      </c>
      <c r="C1939" s="8" t="str">
        <f>IFERROR(__xludf.DUMMYFUNCTION("""COMPUTED_VALUE"""),"S8924114750")</f>
        <v>S8924114750</v>
      </c>
      <c r="D1939" s="8">
        <f>IFERROR(__xludf.DUMMYFUNCTION("""COMPUTED_VALUE"""),37.0)</f>
        <v>37</v>
      </c>
      <c r="E1939" s="2"/>
    </row>
    <row r="1940">
      <c r="A1940" s="2"/>
      <c r="B1940" s="8" t="str">
        <f>IFERROR(__xludf.DUMMYFUNCTION("""COMPUTED_VALUE"""),"LEONARDO DA VINCI")</f>
        <v>LEONARDO DA VINCI</v>
      </c>
      <c r="C1940" s="8" t="str">
        <f>IFERROR(__xludf.DUMMYFUNCTION("""COMPUTED_VALUE"""),"L0024110231")</f>
        <v>L0024110231</v>
      </c>
      <c r="D1940" s="8">
        <f>IFERROR(__xludf.DUMMYFUNCTION("""COMPUTED_VALUE"""),26.0)</f>
        <v>26</v>
      </c>
      <c r="E1940" s="2"/>
    </row>
    <row r="1941">
      <c r="A1941" s="2"/>
      <c r="B1941" s="8" t="str">
        <f>IFERROR(__xludf.DUMMYFUNCTION("""COMPUTED_VALUE"""),"SYARIF MUHAMMAD XAKI")</f>
        <v>SYARIF MUHAMMAD XAKI</v>
      </c>
      <c r="C1941" s="8" t="str">
        <f>IFERROR(__xludf.DUMMYFUNCTION("""COMPUTED_VALUE"""),"S9824117801")</f>
        <v>S9824117801</v>
      </c>
      <c r="D1941" s="8">
        <f>IFERROR(__xludf.DUMMYFUNCTION("""COMPUTED_VALUE"""),27.0)</f>
        <v>27</v>
      </c>
      <c r="E1941" s="2"/>
    </row>
    <row r="1942">
      <c r="A1942" s="2"/>
      <c r="B1942" s="8" t="str">
        <f>IFERROR(__xludf.DUMMYFUNCTION("""COMPUTED_VALUE"""),"MARZUKI PASARIBU")</f>
        <v>MARZUKI PASARIBU</v>
      </c>
      <c r="C1942" s="8" t="str">
        <f>IFERROR(__xludf.DUMMYFUNCTION("""COMPUTED_VALUE"""),"M4624118157")</f>
        <v>M4624118157</v>
      </c>
      <c r="D1942" s="8">
        <f>IFERROR(__xludf.DUMMYFUNCTION("""COMPUTED_VALUE"""),79.0)</f>
        <v>79</v>
      </c>
      <c r="E1942" s="2"/>
    </row>
    <row r="1943">
      <c r="A1943" s="2"/>
      <c r="B1943" s="8" t="str">
        <f>IFERROR(__xludf.DUMMYFUNCTION("""COMPUTED_VALUE"""),"SUGITO 6463")</f>
        <v>SUGITO 6463</v>
      </c>
      <c r="C1943" s="8" t="str">
        <f>IFERROR(__xludf.DUMMYFUNCTION("""COMPUTED_VALUE"""),"S6424113012")</f>
        <v>S6424113012</v>
      </c>
      <c r="D1943" s="8">
        <f>IFERROR(__xludf.DUMMYFUNCTION("""COMPUTED_VALUE"""),61.0)</f>
        <v>61</v>
      </c>
      <c r="E1943" s="2"/>
    </row>
    <row r="1944">
      <c r="A1944" s="2"/>
      <c r="B1944" s="8" t="str">
        <f>IFERROR(__xludf.DUMMYFUNCTION("""COMPUTED_VALUE"""),"ALIUDDIN")</f>
        <v>ALIUDDIN</v>
      </c>
      <c r="C1944" s="8" t="str">
        <f>IFERROR(__xludf.DUMMYFUNCTION("""COMPUTED_VALUE"""),"A6624118869")</f>
        <v>A6624118869</v>
      </c>
      <c r="D1944" s="8">
        <f>IFERROR(__xludf.DUMMYFUNCTION("""COMPUTED_VALUE"""),59.0)</f>
        <v>59</v>
      </c>
      <c r="E1944" s="2"/>
    </row>
    <row r="1945">
      <c r="A1945" s="2"/>
      <c r="B1945" s="8" t="str">
        <f>IFERROR(__xludf.DUMMYFUNCTION("""COMPUTED_VALUE"""),"SUNARWAN")</f>
        <v>SUNARWAN</v>
      </c>
      <c r="C1945" s="8" t="str">
        <f>IFERROR(__xludf.DUMMYFUNCTION("""COMPUTED_VALUE"""),"S7124117652")</f>
        <v>S7124117652</v>
      </c>
      <c r="D1945" s="8">
        <f>IFERROR(__xludf.DUMMYFUNCTION("""COMPUTED_VALUE"""),54.0)</f>
        <v>54</v>
      </c>
      <c r="E1945" s="2"/>
    </row>
    <row r="1946">
      <c r="A1946" s="2"/>
      <c r="B1946" s="8" t="str">
        <f>IFERROR(__xludf.DUMMYFUNCTION("""COMPUTED_VALUE"""),"NUR ASIA")</f>
        <v>NUR ASIA</v>
      </c>
      <c r="C1946" s="8" t="str">
        <f>IFERROR(__xludf.DUMMYFUNCTION("""COMPUTED_VALUE"""),"N7824110848")</f>
        <v>N7824110848</v>
      </c>
      <c r="D1946" s="8">
        <f>IFERROR(__xludf.DUMMYFUNCTION("""COMPUTED_VALUE"""),47.0)</f>
        <v>47</v>
      </c>
      <c r="E1946" s="2"/>
    </row>
    <row r="1947">
      <c r="A1947" s="2"/>
      <c r="B1947" s="8" t="str">
        <f>IFERROR(__xludf.DUMMYFUNCTION("""COMPUTED_VALUE"""),"MUHAMMAD DAVI")</f>
        <v>MUHAMMAD DAVI</v>
      </c>
      <c r="C1947" s="8" t="str">
        <f>IFERROR(__xludf.DUMMYFUNCTION("""COMPUTED_VALUE"""),"M0824113025")</f>
        <v>M0824113025</v>
      </c>
      <c r="D1947" s="8">
        <f>IFERROR(__xludf.DUMMYFUNCTION("""COMPUTED_VALUE"""),17.0)</f>
        <v>17</v>
      </c>
      <c r="E1947" s="2"/>
    </row>
    <row r="1948">
      <c r="A1948" s="2"/>
      <c r="B1948" s="8" t="str">
        <f>IFERROR(__xludf.DUMMYFUNCTION("""COMPUTED_VALUE"""),"ILHAM AZIZ")</f>
        <v>ILHAM AZIZ</v>
      </c>
      <c r="C1948" s="8" t="str">
        <f>IFERROR(__xludf.DUMMYFUNCTION("""COMPUTED_VALUE"""),"I0624117160")</f>
        <v>I0624117160</v>
      </c>
      <c r="D1948" s="8">
        <f>IFERROR(__xludf.DUMMYFUNCTION("""COMPUTED_VALUE"""),20.0)</f>
        <v>20</v>
      </c>
      <c r="E1948" s="2"/>
    </row>
    <row r="1949">
      <c r="A1949" s="2"/>
      <c r="B1949" s="8" t="str">
        <f>IFERROR(__xludf.DUMMYFUNCTION("""COMPUTED_VALUE"""),"VIVA DARMA PUTRI")</f>
        <v>VIVA DARMA PUTRI</v>
      </c>
      <c r="C1949" s="8" t="str">
        <f>IFERROR(__xludf.DUMMYFUNCTION("""COMPUTED_VALUE"""),"V8924117131")</f>
        <v>V8924117131</v>
      </c>
      <c r="D1949" s="8">
        <f>IFERROR(__xludf.DUMMYFUNCTION("""COMPUTED_VALUE"""),36.0)</f>
        <v>36</v>
      </c>
      <c r="E1949" s="2"/>
    </row>
    <row r="1950">
      <c r="A1950" s="2"/>
      <c r="B1950" s="8" t="str">
        <f>IFERROR(__xludf.DUMMYFUNCTION("""COMPUTED_VALUE"""),"SRI SETIATI")</f>
        <v>SRI SETIATI</v>
      </c>
      <c r="C1950" s="8" t="str">
        <f>IFERROR(__xludf.DUMMYFUNCTION("""COMPUTED_VALUE"""),"S5224111226")</f>
        <v>S5224111226</v>
      </c>
      <c r="D1950" s="8">
        <f>IFERROR(__xludf.DUMMYFUNCTION("""COMPUTED_VALUE"""),73.0)</f>
        <v>73</v>
      </c>
      <c r="E1950" s="2"/>
    </row>
    <row r="1951">
      <c r="A1951" s="2"/>
      <c r="B1951" s="8" t="str">
        <f>IFERROR(__xludf.DUMMYFUNCTION("""COMPUTED_VALUE"""),"ANGGER CHESTA HIDAYAT")</f>
        <v>ANGGER CHESTA HIDAYAT</v>
      </c>
      <c r="C1951" s="8" t="str">
        <f>IFERROR(__xludf.DUMMYFUNCTION("""COMPUTED_VALUE"""),"A0724125118")</f>
        <v>A0724125118</v>
      </c>
      <c r="D1951" s="8">
        <f>IFERROR(__xludf.DUMMYFUNCTION("""COMPUTED_VALUE"""),18.0)</f>
        <v>18</v>
      </c>
      <c r="E1951" s="2"/>
    </row>
    <row r="1952">
      <c r="A1952" s="2"/>
      <c r="B1952" s="8" t="str">
        <f>IFERROR(__xludf.DUMMYFUNCTION("""COMPUTED_VALUE"""),"HENDRA KRISMA")</f>
        <v>HENDRA KRISMA</v>
      </c>
      <c r="C1952" s="8" t="str">
        <f>IFERROR(__xludf.DUMMYFUNCTION("""COMPUTED_VALUE"""),"H9524120422")</f>
        <v>H9524120422</v>
      </c>
      <c r="D1952" s="8">
        <f>IFERROR(__xludf.DUMMYFUNCTION("""COMPUTED_VALUE"""),30.0)</f>
        <v>30</v>
      </c>
      <c r="E1952" s="2"/>
    </row>
    <row r="1953">
      <c r="A1953" s="2"/>
      <c r="B1953" s="8" t="str">
        <f>IFERROR(__xludf.DUMMYFUNCTION("""COMPUTED_VALUE"""),"FEBRIANSYAH")</f>
        <v>FEBRIANSYAH</v>
      </c>
      <c r="C1953" s="8" t="str">
        <f>IFERROR(__xludf.DUMMYFUNCTION("""COMPUTED_VALUE"""),"F0224122707")</f>
        <v>F0224122707</v>
      </c>
      <c r="D1953" s="8">
        <f>IFERROR(__xludf.DUMMYFUNCTION("""COMPUTED_VALUE"""),24.0)</f>
        <v>24</v>
      </c>
      <c r="E1953" s="2"/>
    </row>
    <row r="1954">
      <c r="A1954" s="2"/>
      <c r="B1954" s="8" t="str">
        <f>IFERROR(__xludf.DUMMYFUNCTION("""COMPUTED_VALUE"""),"DEASY TRIANA")</f>
        <v>DEASY TRIANA</v>
      </c>
      <c r="C1954" s="8" t="str">
        <f>IFERROR(__xludf.DUMMYFUNCTION("""COMPUTED_VALUE"""),"D8124125074")</f>
        <v>D8124125074</v>
      </c>
      <c r="D1954" s="8">
        <f>IFERROR(__xludf.DUMMYFUNCTION("""COMPUTED_VALUE"""),44.0)</f>
        <v>44</v>
      </c>
      <c r="E1954" s="2"/>
    </row>
    <row r="1955">
      <c r="A1955" s="2"/>
      <c r="B1955" s="8" t="str">
        <f>IFERROR(__xludf.DUMMYFUNCTION("""COMPUTED_VALUE"""),"JABARKIS")</f>
        <v>JABARKIS</v>
      </c>
      <c r="C1955" s="8" t="str">
        <f>IFERROR(__xludf.DUMMYFUNCTION("""COMPUTED_VALUE"""),"J9824127677")</f>
        <v>J9824127677</v>
      </c>
      <c r="D1955" s="8">
        <f>IFERROR(__xludf.DUMMYFUNCTION("""COMPUTED_VALUE"""),28.0)</f>
        <v>28</v>
      </c>
      <c r="E1955" s="2"/>
    </row>
    <row r="1956">
      <c r="A1956" s="2"/>
      <c r="B1956" s="8" t="str">
        <f>IFERROR(__xludf.DUMMYFUNCTION("""COMPUTED_VALUE"""),"ANDYKA FILANI")</f>
        <v>ANDYKA FILANI</v>
      </c>
      <c r="C1956" s="8" t="str">
        <f>IFERROR(__xludf.DUMMYFUNCTION("""COMPUTED_VALUE"""),"A8824129408")</f>
        <v>A8824129408</v>
      </c>
      <c r="D1956" s="8">
        <f>IFERROR(__xludf.DUMMYFUNCTION("""COMPUTED_VALUE"""),37.0)</f>
        <v>37</v>
      </c>
      <c r="E1956" s="2"/>
    </row>
    <row r="1957">
      <c r="A1957" s="2"/>
      <c r="B1957" s="8" t="str">
        <f>IFERROR(__xludf.DUMMYFUNCTION("""COMPUTED_VALUE"""),"RENTI OCTIVIANI")</f>
        <v>RENTI OCTIVIANI</v>
      </c>
      <c r="C1957" s="8" t="str">
        <f>IFERROR(__xludf.DUMMYFUNCTION("""COMPUTED_VALUE"""),"R9524125629")</f>
        <v>R9524125629</v>
      </c>
      <c r="D1957" s="8">
        <f>IFERROR(__xludf.DUMMYFUNCTION("""COMPUTED_VALUE"""),30.0)</f>
        <v>30</v>
      </c>
      <c r="E1957" s="2"/>
    </row>
    <row r="1958">
      <c r="A1958" s="2"/>
      <c r="B1958" s="8" t="str">
        <f>IFERROR(__xludf.DUMMYFUNCTION("""COMPUTED_VALUE"""),"ELOK SARASWATI")</f>
        <v>ELOK SARASWATI</v>
      </c>
      <c r="C1958" s="8" t="str">
        <f>IFERROR(__xludf.DUMMYFUNCTION("""COMPUTED_VALUE"""),"E9224129831")</f>
        <v>E9224129831</v>
      </c>
      <c r="D1958" s="8">
        <f>IFERROR(__xludf.DUMMYFUNCTION("""COMPUTED_VALUE"""),33.0)</f>
        <v>33</v>
      </c>
      <c r="E1958" s="2"/>
    </row>
    <row r="1959">
      <c r="A1959" s="2"/>
      <c r="B1959" s="8" t="str">
        <f>IFERROR(__xludf.DUMMYFUNCTION("""COMPUTED_VALUE"""),"SUTIYAH")</f>
        <v>SUTIYAH</v>
      </c>
      <c r="C1959" s="8" t="str">
        <f>IFERROR(__xludf.DUMMYFUNCTION("""COMPUTED_VALUE"""),"S3924123105")</f>
        <v>S3924123105</v>
      </c>
      <c r="D1959" s="8">
        <f>IFERROR(__xludf.DUMMYFUNCTION("""COMPUTED_VALUE"""),87.0)</f>
        <v>87</v>
      </c>
      <c r="E1959" s="2"/>
    </row>
    <row r="1960">
      <c r="A1960" s="2"/>
      <c r="B1960" s="8" t="str">
        <f>IFERROR(__xludf.DUMMYFUNCTION("""COMPUTED_VALUE"""),"SABRANI")</f>
        <v>SABRANI</v>
      </c>
      <c r="C1960" s="8" t="str">
        <f>IFERROR(__xludf.DUMMYFUNCTION("""COMPUTED_VALUE"""),"S9324121773")</f>
        <v>S9324121773</v>
      </c>
      <c r="D1960" s="8">
        <f>IFERROR(__xludf.DUMMYFUNCTION("""COMPUTED_VALUE"""),32.0)</f>
        <v>32</v>
      </c>
      <c r="E1960" s="2"/>
    </row>
    <row r="1961">
      <c r="A1961" s="2"/>
      <c r="B1961" s="8" t="str">
        <f>IFERROR(__xludf.DUMMYFUNCTION("""COMPUTED_VALUE"""),"ALFREDO ARINDA PRATAMA")</f>
        <v>ALFREDO ARINDA PRATAMA</v>
      </c>
      <c r="C1961" s="8" t="str">
        <f>IFERROR(__xludf.DUMMYFUNCTION("""COMPUTED_VALUE"""),"A9924128900")</f>
        <v>A9924128900</v>
      </c>
      <c r="D1961" s="8">
        <f>IFERROR(__xludf.DUMMYFUNCTION("""COMPUTED_VALUE"""),26.0)</f>
        <v>26</v>
      </c>
      <c r="E1961" s="2"/>
    </row>
    <row r="1962">
      <c r="A1962" s="2"/>
      <c r="B1962" s="8" t="str">
        <f>IFERROR(__xludf.DUMMYFUNCTION("""COMPUTED_VALUE"""),"ELLA PUSPITASARI")</f>
        <v>ELLA PUSPITASARI</v>
      </c>
      <c r="C1962" s="8" t="str">
        <f>IFERROR(__xludf.DUMMYFUNCTION("""COMPUTED_VALUE"""),"E8624124446")</f>
        <v>E8624124446</v>
      </c>
      <c r="D1962" s="8">
        <f>IFERROR(__xludf.DUMMYFUNCTION("""COMPUTED_VALUE"""),40.0)</f>
        <v>40</v>
      </c>
      <c r="E1962" s="2"/>
    </row>
    <row r="1963">
      <c r="A1963" s="2"/>
      <c r="B1963" s="8" t="str">
        <f>IFERROR(__xludf.DUMMYFUNCTION("""COMPUTED_VALUE"""),"FRENDI")</f>
        <v>FRENDI</v>
      </c>
      <c r="C1963" s="8" t="str">
        <f>IFERROR(__xludf.DUMMYFUNCTION("""COMPUTED_VALUE"""),"F9624127985")</f>
        <v>F9624127985</v>
      </c>
      <c r="D1963" s="8">
        <f>IFERROR(__xludf.DUMMYFUNCTION("""COMPUTED_VALUE"""),29.0)</f>
        <v>29</v>
      </c>
      <c r="E1963" s="2"/>
    </row>
    <row r="1964">
      <c r="A1964" s="2"/>
      <c r="B1964" s="8" t="str">
        <f>IFERROR(__xludf.DUMMYFUNCTION("""COMPUTED_VALUE"""),"ABDUL HAFIZH")</f>
        <v>ABDUL HAFIZH</v>
      </c>
      <c r="C1964" s="8" t="str">
        <f>IFERROR(__xludf.DUMMYFUNCTION("""COMPUTED_VALUE"""),"A9224121673")</f>
        <v>A9224121673</v>
      </c>
      <c r="D1964" s="8">
        <f>IFERROR(__xludf.DUMMYFUNCTION("""COMPUTED_VALUE"""),33.0)</f>
        <v>33</v>
      </c>
      <c r="E1964" s="2"/>
    </row>
    <row r="1965">
      <c r="A1965" s="2"/>
      <c r="B1965" s="8" t="str">
        <f>IFERROR(__xludf.DUMMYFUNCTION("""COMPUTED_VALUE"""),"FERZA SETIO MAULIDANTO")</f>
        <v>FERZA SETIO MAULIDANTO</v>
      </c>
      <c r="C1965" s="8" t="str">
        <f>IFERROR(__xludf.DUMMYFUNCTION("""COMPUTED_VALUE"""),"F1124122710")</f>
        <v>F1124122710</v>
      </c>
      <c r="D1965" s="8">
        <f>IFERROR(__xludf.DUMMYFUNCTION("""COMPUTED_VALUE"""),15.0)</f>
        <v>15</v>
      </c>
      <c r="E1965" s="2"/>
    </row>
    <row r="1966">
      <c r="A1966" s="2"/>
      <c r="B1966" s="8" t="str">
        <f>IFERROR(__xludf.DUMMYFUNCTION("""COMPUTED_VALUE"""),"YUDI PRAWIRATMAN")</f>
        <v>YUDI PRAWIRATMAN</v>
      </c>
      <c r="C1966" s="8" t="str">
        <f>IFERROR(__xludf.DUMMYFUNCTION("""COMPUTED_VALUE"""),"Y752412")</f>
        <v>Y752412</v>
      </c>
      <c r="D1966" s="8">
        <f>IFERROR(__xludf.DUMMYFUNCTION("""COMPUTED_VALUE"""),51.0)</f>
        <v>51</v>
      </c>
      <c r="E1966" s="2"/>
    </row>
    <row r="1967">
      <c r="A1967" s="2"/>
      <c r="B1967" s="8" t="str">
        <f>IFERROR(__xludf.DUMMYFUNCTION("""COMPUTED_VALUE"""),"MANIZAR")</f>
        <v>MANIZAR</v>
      </c>
      <c r="C1967" s="8" t="str">
        <f>IFERROR(__xludf.DUMMYFUNCTION("""COMPUTED_VALUE"""),"M5524129905")</f>
        <v>M5524129905</v>
      </c>
      <c r="D1967" s="8">
        <f>IFERROR(__xludf.DUMMYFUNCTION("""COMPUTED_VALUE"""),71.0)</f>
        <v>71</v>
      </c>
      <c r="E1967" s="2"/>
    </row>
    <row r="1968">
      <c r="A1968" s="2"/>
      <c r="B1968" s="8" t="str">
        <f>IFERROR(__xludf.DUMMYFUNCTION("""COMPUTED_VALUE"""),"ALVARO KAHFI RAIANDRA")</f>
        <v>ALVARO KAHFI RAIANDRA</v>
      </c>
      <c r="C1968" s="8" t="str">
        <f>IFERROR(__xludf.DUMMYFUNCTION("""COMPUTED_VALUE"""),"A1224123334")</f>
        <v>A1224123334</v>
      </c>
      <c r="D1968" s="8">
        <f>IFERROR(__xludf.DUMMYFUNCTION("""COMPUTED_VALUE"""),14.0)</f>
        <v>14</v>
      </c>
      <c r="E1968" s="2"/>
    </row>
    <row r="1969">
      <c r="A1969" s="2"/>
      <c r="B1969" s="8" t="str">
        <f>IFERROR(__xludf.DUMMYFUNCTION("""COMPUTED_VALUE"""),"FATUR MAULANA ARFANSYAH")</f>
        <v>FATUR MAULANA ARFANSYAH</v>
      </c>
      <c r="C1969" s="8" t="str">
        <f>IFERROR(__xludf.DUMMYFUNCTION("""COMPUTED_VALUE"""),"F0624125155")</f>
        <v>F0624125155</v>
      </c>
      <c r="D1969" s="8">
        <f>IFERROR(__xludf.DUMMYFUNCTION("""COMPUTED_VALUE"""),20.0)</f>
        <v>20</v>
      </c>
      <c r="E1969" s="2"/>
    </row>
    <row r="1970">
      <c r="A1970" s="2"/>
      <c r="B1970" s="8" t="str">
        <f>IFERROR(__xludf.DUMMYFUNCTION("""COMPUTED_VALUE"""),"HASAN ASY'ARY")</f>
        <v>HASAN ASY'ARY</v>
      </c>
      <c r="C1970" s="8" t="str">
        <f>IFERROR(__xludf.DUMMYFUNCTION("""COMPUTED_VALUE"""),"H8024128839")</f>
        <v>H8024128839</v>
      </c>
      <c r="D1970" s="8">
        <f>IFERROR(__xludf.DUMMYFUNCTION("""COMPUTED_VALUE"""),46.0)</f>
        <v>46</v>
      </c>
      <c r="E1970" s="2"/>
    </row>
    <row r="1971">
      <c r="A1971" s="2"/>
      <c r="B1971" s="8" t="str">
        <f>IFERROR(__xludf.DUMMYFUNCTION("""COMPUTED_VALUE"""),"ASRIFAH")</f>
        <v>ASRIFAH</v>
      </c>
      <c r="C1971" s="8" t="str">
        <f>IFERROR(__xludf.DUMMYFUNCTION("""COMPUTED_VALUE"""),"A8424124283")</f>
        <v>A8424124283</v>
      </c>
      <c r="D1971" s="8">
        <f>IFERROR(__xludf.DUMMYFUNCTION("""COMPUTED_VALUE"""),42.0)</f>
        <v>42</v>
      </c>
      <c r="E1971" s="2"/>
    </row>
    <row r="1972">
      <c r="A1972" s="2"/>
      <c r="B1972" s="8" t="str">
        <f>IFERROR(__xludf.DUMMYFUNCTION("""COMPUTED_VALUE"""),"SAPRY EKEH")</f>
        <v>SAPRY EKEH</v>
      </c>
      <c r="C1972" s="8" t="str">
        <f>IFERROR(__xludf.DUMMYFUNCTION("""COMPUTED_VALUE"""),"S5424126888")</f>
        <v>S5424126888</v>
      </c>
      <c r="D1972" s="8">
        <f>IFERROR(__xludf.DUMMYFUNCTION("""COMPUTED_VALUE"""),72.0)</f>
        <v>72</v>
      </c>
      <c r="E1972" s="2"/>
    </row>
    <row r="1973">
      <c r="A1973" s="2"/>
      <c r="B1973" s="8" t="str">
        <f>IFERROR(__xludf.DUMMYFUNCTION("""COMPUTED_VALUE"""),"ARWIN EKA SETIAWAN")</f>
        <v>ARWIN EKA SETIAWAN</v>
      </c>
      <c r="C1973" s="8" t="str">
        <f>IFERROR(__xludf.DUMMYFUNCTION("""COMPUTED_VALUE"""),"A0524127098")</f>
        <v>A0524127098</v>
      </c>
      <c r="D1973" s="8">
        <f>IFERROR(__xludf.DUMMYFUNCTION("""COMPUTED_VALUE"""),20.0)</f>
        <v>20</v>
      </c>
      <c r="E1973" s="2"/>
    </row>
    <row r="1974">
      <c r="A1974" s="2"/>
      <c r="B1974" s="8" t="str">
        <f>IFERROR(__xludf.DUMMYFUNCTION("""COMPUTED_VALUE"""),"ANDREA GUNAWAN")</f>
        <v>ANDREA GUNAWAN</v>
      </c>
      <c r="C1974" s="8" t="str">
        <f>IFERROR(__xludf.DUMMYFUNCTION("""COMPUTED_VALUE"""),"A9124121799")</f>
        <v>A9124121799</v>
      </c>
      <c r="D1974" s="8">
        <f>IFERROR(__xludf.DUMMYFUNCTION("""COMPUTED_VALUE"""),34.0)</f>
        <v>34</v>
      </c>
      <c r="E1974" s="2"/>
    </row>
    <row r="1975">
      <c r="A1975" s="2"/>
      <c r="B1975" s="8" t="str">
        <f>IFERROR(__xludf.DUMMYFUNCTION("""COMPUTED_VALUE"""),"KRISTIANUS KIMSEN")</f>
        <v>KRISTIANUS KIMSEN</v>
      </c>
      <c r="C1975" s="8" t="str">
        <f>IFERROR(__xludf.DUMMYFUNCTION("""COMPUTED_VALUE"""),"K6624121896")</f>
        <v>K6624121896</v>
      </c>
      <c r="D1975" s="8">
        <f>IFERROR(__xludf.DUMMYFUNCTION("""COMPUTED_VALUE"""),60.0)</f>
        <v>60</v>
      </c>
      <c r="E1975" s="2"/>
    </row>
    <row r="1976">
      <c r="A1976" s="2"/>
      <c r="B1976" s="8" t="str">
        <f>IFERROR(__xludf.DUMMYFUNCTION("""COMPUTED_VALUE"""),"BONG TJHU KIE")</f>
        <v>BONG TJHU KIE</v>
      </c>
      <c r="C1976" s="8" t="str">
        <f>IFERROR(__xludf.DUMMYFUNCTION("""COMPUTED_VALUE"""),"B6224124272")</f>
        <v>B6224124272</v>
      </c>
      <c r="D1976" s="8">
        <f>IFERROR(__xludf.DUMMYFUNCTION("""COMPUTED_VALUE"""),64.0)</f>
        <v>64</v>
      </c>
      <c r="E1976" s="2"/>
    </row>
    <row r="1977">
      <c r="A1977" s="2"/>
      <c r="B1977" s="8" t="str">
        <f>IFERROR(__xludf.DUMMYFUNCTION("""COMPUTED_VALUE"""),"ELSATIA HERMAWAN")</f>
        <v>ELSATIA HERMAWAN</v>
      </c>
      <c r="C1977" s="8" t="str">
        <f>IFERROR(__xludf.DUMMYFUNCTION("""COMPUTED_VALUE"""),"E9124120075")</f>
        <v>E9124120075</v>
      </c>
      <c r="D1977" s="8">
        <f>IFERROR(__xludf.DUMMYFUNCTION("""COMPUTED_VALUE"""),34.0)</f>
        <v>34</v>
      </c>
      <c r="E1977" s="2"/>
    </row>
    <row r="1978">
      <c r="A1978" s="2"/>
      <c r="B1978" s="8" t="str">
        <f>IFERROR(__xludf.DUMMYFUNCTION("""COMPUTED_VALUE"""),"SITI NURFAH")</f>
        <v>SITI NURFAH</v>
      </c>
      <c r="C1978" s="8" t="str">
        <f>IFERROR(__xludf.DUMMYFUNCTION("""COMPUTED_VALUE"""),"S9824121996")</f>
        <v>S9824121996</v>
      </c>
      <c r="D1978" s="8">
        <f>IFERROR(__xludf.DUMMYFUNCTION("""COMPUTED_VALUE"""),28.0)</f>
        <v>28</v>
      </c>
      <c r="E1978" s="2"/>
    </row>
    <row r="1979">
      <c r="A1979" s="2"/>
      <c r="B1979" s="8" t="str">
        <f>IFERROR(__xludf.DUMMYFUNCTION("""COMPUTED_VALUE"""),"DAVIN ARIFIN")</f>
        <v>DAVIN ARIFIN</v>
      </c>
      <c r="C1979" s="8" t="str">
        <f>IFERROR(__xludf.DUMMYFUNCTION("""COMPUTED_VALUE"""),"D9724128118")</f>
        <v>D9724128118</v>
      </c>
      <c r="D1979" s="8">
        <f>IFERROR(__xludf.DUMMYFUNCTION("""COMPUTED_VALUE"""),29.0)</f>
        <v>29</v>
      </c>
      <c r="E1979" s="2"/>
    </row>
    <row r="1980">
      <c r="A1980" s="2"/>
      <c r="B1980" s="8" t="str">
        <f>IFERROR(__xludf.DUMMYFUNCTION("""COMPUTED_VALUE"""),"ERWIN CIPTA WIJAYA")</f>
        <v>ERWIN CIPTA WIJAYA</v>
      </c>
      <c r="C1980" s="8" t="str">
        <f>IFERROR(__xludf.DUMMYFUNCTION("""COMPUTED_VALUE"""),"E8924128386")</f>
        <v>E8924128386</v>
      </c>
      <c r="D1980" s="8">
        <f>IFERROR(__xludf.DUMMYFUNCTION("""COMPUTED_VALUE"""),37.0)</f>
        <v>37</v>
      </c>
      <c r="E1980" s="2"/>
    </row>
    <row r="1981">
      <c r="A1981" s="2"/>
      <c r="B1981" s="8" t="str">
        <f>IFERROR(__xludf.DUMMYFUNCTION("""COMPUTED_VALUE"""),"ALI RIDHO")</f>
        <v>ALI RIDHO</v>
      </c>
      <c r="C1981" s="8" t="str">
        <f>IFERROR(__xludf.DUMMYFUNCTION("""COMPUTED_VALUE"""),"A8324120778")</f>
        <v>A8324120778</v>
      </c>
      <c r="D1981" s="8">
        <f>IFERROR(__xludf.DUMMYFUNCTION("""COMPUTED_VALUE"""),42.0)</f>
        <v>42</v>
      </c>
      <c r="E1981" s="2"/>
    </row>
    <row r="1982">
      <c r="A1982" s="2"/>
      <c r="B1982" s="8" t="str">
        <f>IFERROR(__xludf.DUMMYFUNCTION("""COMPUTED_VALUE"""),"CHANDRA ALIP PRATAMA")</f>
        <v>CHANDRA ALIP PRATAMA</v>
      </c>
      <c r="C1982" s="8" t="str">
        <f>IFERROR(__xludf.DUMMYFUNCTION("""COMPUTED_VALUE"""),"C9524123795")</f>
        <v>C9524123795</v>
      </c>
      <c r="D1982" s="8">
        <f>IFERROR(__xludf.DUMMYFUNCTION("""COMPUTED_VALUE"""),30.0)</f>
        <v>30</v>
      </c>
      <c r="E1982" s="2"/>
    </row>
    <row r="1983">
      <c r="A1983" s="2"/>
      <c r="B1983" s="8" t="str">
        <f>IFERROR(__xludf.DUMMYFUNCTION("""COMPUTED_VALUE"""),"CAREEN CHANDRA")</f>
        <v>CAREEN CHANDRA</v>
      </c>
      <c r="C1983" s="8" t="str">
        <f>IFERROR(__xludf.DUMMYFUNCTION("""COMPUTED_VALUE"""),"C9624126650")</f>
        <v>C9624126650</v>
      </c>
      <c r="D1983" s="8">
        <f>IFERROR(__xludf.DUMMYFUNCTION("""COMPUTED_VALUE"""),29.0)</f>
        <v>29</v>
      </c>
      <c r="E1983" s="2"/>
    </row>
    <row r="1984">
      <c r="A1984" s="2"/>
      <c r="B1984" s="8" t="str">
        <f>IFERROR(__xludf.DUMMYFUNCTION("""COMPUTED_VALUE"""),"DEDI KURNIAWAN")</f>
        <v>DEDI KURNIAWAN</v>
      </c>
      <c r="C1984" s="8" t="str">
        <f>IFERROR(__xludf.DUMMYFUNCTION("""COMPUTED_VALUE"""),"D0424120515")</f>
        <v>D0424120515</v>
      </c>
      <c r="D1984" s="8">
        <f>IFERROR(__xludf.DUMMYFUNCTION("""COMPUTED_VALUE"""),22.0)</f>
        <v>22</v>
      </c>
      <c r="E1984" s="2"/>
    </row>
    <row r="1985">
      <c r="A1985" s="2"/>
      <c r="B1985" s="8" t="str">
        <f>IFERROR(__xludf.DUMMYFUNCTION("""COMPUTED_VALUE"""),"MUHAMMAD ALVIN HIDAYAT")</f>
        <v>MUHAMMAD ALVIN HIDAYAT</v>
      </c>
      <c r="C1985" s="8" t="str">
        <f>IFERROR(__xludf.DUMMYFUNCTION("""COMPUTED_VALUE"""),"M1124123015")</f>
        <v>M1124123015</v>
      </c>
      <c r="D1985" s="8">
        <f>IFERROR(__xludf.DUMMYFUNCTION("""COMPUTED_VALUE"""),15.0)</f>
        <v>15</v>
      </c>
      <c r="E1985" s="2"/>
    </row>
    <row r="1986">
      <c r="A1986" s="2"/>
      <c r="B1986" s="8" t="str">
        <f>IFERROR(__xludf.DUMMYFUNCTION("""COMPUTED_VALUE"""),"RIZKI HENDRAWAN")</f>
        <v>RIZKI HENDRAWAN</v>
      </c>
      <c r="C1986" s="8" t="str">
        <f>IFERROR(__xludf.DUMMYFUNCTION("""COMPUTED_VALUE"""),"R9924126490")</f>
        <v>R9924126490</v>
      </c>
      <c r="D1986" s="8">
        <f>IFERROR(__xludf.DUMMYFUNCTION("""COMPUTED_VALUE"""),26.0)</f>
        <v>26</v>
      </c>
      <c r="E1986" s="2"/>
    </row>
    <row r="1987">
      <c r="A1987" s="2"/>
      <c r="B1987" s="8" t="str">
        <f>IFERROR(__xludf.DUMMYFUNCTION("""COMPUTED_VALUE"""),"MARIANI")</f>
        <v>MARIANI</v>
      </c>
      <c r="C1987" s="8" t="str">
        <f>IFERROR(__xludf.DUMMYFUNCTION("""COMPUTED_VALUE"""),"M7324123032")</f>
        <v>M7324123032</v>
      </c>
      <c r="D1987" s="8">
        <f>IFERROR(__xludf.DUMMYFUNCTION("""COMPUTED_VALUE"""),52.0)</f>
        <v>52</v>
      </c>
      <c r="E1987" s="2"/>
    </row>
    <row r="1988">
      <c r="A1988" s="2"/>
      <c r="B1988" s="8" t="str">
        <f>IFERROR(__xludf.DUMMYFUNCTION("""COMPUTED_VALUE"""),"PONIJO")</f>
        <v>PONIJO</v>
      </c>
      <c r="C1988" s="8" t="str">
        <f>IFERROR(__xludf.DUMMYFUNCTION("""COMPUTED_VALUE"""),"P8324126348")</f>
        <v>P8324126348</v>
      </c>
      <c r="D1988" s="8">
        <f>IFERROR(__xludf.DUMMYFUNCTION("""COMPUTED_VALUE"""),42.0)</f>
        <v>42</v>
      </c>
      <c r="E1988" s="2"/>
    </row>
    <row r="1989">
      <c r="A1989" s="2"/>
      <c r="B1989" s="8" t="str">
        <f>IFERROR(__xludf.DUMMYFUNCTION("""COMPUTED_VALUE"""),"SUKARNA")</f>
        <v>SUKARNA</v>
      </c>
      <c r="C1989" s="8" t="str">
        <f>IFERROR(__xludf.DUMMYFUNCTION("""COMPUTED_VALUE"""),"S5824126415")</f>
        <v>S5824126415</v>
      </c>
      <c r="D1989" s="8">
        <f>IFERROR(__xludf.DUMMYFUNCTION("""COMPUTED_VALUE"""),68.0)</f>
        <v>68</v>
      </c>
      <c r="E1989" s="2"/>
    </row>
    <row r="1990">
      <c r="A1990" s="2"/>
      <c r="B1990" s="8" t="str">
        <f>IFERROR(__xludf.DUMMYFUNCTION("""COMPUTED_VALUE"""),"FRANSISKUS ADI SASMITA")</f>
        <v>FRANSISKUS ADI SASMITA</v>
      </c>
      <c r="C1990" s="8" t="str">
        <f>IFERROR(__xludf.DUMMYFUNCTION("""COMPUTED_VALUE"""),"F9324124641")</f>
        <v>F9324124641</v>
      </c>
      <c r="D1990" s="8">
        <f>IFERROR(__xludf.DUMMYFUNCTION("""COMPUTED_VALUE"""),33.0)</f>
        <v>33</v>
      </c>
      <c r="E1990" s="2"/>
    </row>
    <row r="1991">
      <c r="A1991" s="2"/>
      <c r="B1991" s="8" t="str">
        <f>IFERROR(__xludf.DUMMYFUNCTION("""COMPUTED_VALUE"""),"ANDI MUHAMMAD ZAINUL ABROR")</f>
        <v>ANDI MUHAMMAD ZAINUL ABROR</v>
      </c>
      <c r="C1991" s="8" t="str">
        <f>IFERROR(__xludf.DUMMYFUNCTION("""COMPUTED_VALUE"""),"A9424120305")</f>
        <v>A9424120305</v>
      </c>
      <c r="D1991" s="8">
        <f>IFERROR(__xludf.DUMMYFUNCTION("""COMPUTED_VALUE"""),32.0)</f>
        <v>32</v>
      </c>
      <c r="E1991" s="2"/>
    </row>
    <row r="1992">
      <c r="A1992" s="2"/>
      <c r="B1992" s="8" t="str">
        <f>IFERROR(__xludf.DUMMYFUNCTION("""COMPUTED_VALUE"""),"ANNAJMUTSAQIB SIREGAR")</f>
        <v>ANNAJMUTSAQIB SIREGAR</v>
      </c>
      <c r="C1992" s="8" t="str">
        <f>IFERROR(__xludf.DUMMYFUNCTION("""COMPUTED_VALUE"""),"A0824120706")</f>
        <v>A0824120706</v>
      </c>
      <c r="D1992" s="8">
        <f>IFERROR(__xludf.DUMMYFUNCTION("""COMPUTED_VALUE"""),18.0)</f>
        <v>18</v>
      </c>
      <c r="E1992" s="2"/>
    </row>
    <row r="1993">
      <c r="A1993" s="2"/>
      <c r="B1993" s="8" t="str">
        <f>IFERROR(__xludf.DUMMYFUNCTION("""COMPUTED_VALUE"""),"SRI RAHAYU NINGSIH")</f>
        <v>SRI RAHAYU NINGSIH</v>
      </c>
      <c r="C1993" s="8" t="str">
        <f>IFERROR(__xludf.DUMMYFUNCTION("""COMPUTED_VALUE"""),"S6624127000")</f>
        <v>S6624127000</v>
      </c>
      <c r="D1993" s="8">
        <f>IFERROR(__xludf.DUMMYFUNCTION("""COMPUTED_VALUE"""),59.0)</f>
        <v>59</v>
      </c>
      <c r="E1993" s="2"/>
    </row>
    <row r="1994">
      <c r="A1994" s="2"/>
      <c r="B1994" s="8" t="str">
        <f>IFERROR(__xludf.DUMMYFUNCTION("""COMPUTED_VALUE"""),"R. WENNY AGUSTRINI")</f>
        <v>R. WENNY AGUSTRINI</v>
      </c>
      <c r="C1994" s="8" t="str">
        <f>IFERROR(__xludf.DUMMYFUNCTION("""COMPUTED_VALUE"""),"R7824123631")</f>
        <v>R7824123631</v>
      </c>
      <c r="D1994" s="8">
        <f>IFERROR(__xludf.DUMMYFUNCTION("""COMPUTED_VALUE"""),48.0)</f>
        <v>48</v>
      </c>
      <c r="E1994" s="2"/>
    </row>
    <row r="1995">
      <c r="A1995" s="2"/>
      <c r="B1995" s="8" t="str">
        <f>IFERROR(__xludf.DUMMYFUNCTION("""COMPUTED_VALUE"""),"HALIDA INDRASARI")</f>
        <v>HALIDA INDRASARI</v>
      </c>
      <c r="C1995" s="8" t="str">
        <f>IFERROR(__xludf.DUMMYFUNCTION("""COMPUTED_VALUE"""),"H7924127776")</f>
        <v>H7924127776</v>
      </c>
      <c r="D1995" s="8">
        <f>IFERROR(__xludf.DUMMYFUNCTION("""COMPUTED_VALUE"""),47.0)</f>
        <v>47</v>
      </c>
      <c r="E1995" s="2"/>
    </row>
    <row r="1996">
      <c r="A1996" s="2"/>
      <c r="B1996" s="8" t="str">
        <f>IFERROR(__xludf.DUMMYFUNCTION("""COMPUTED_VALUE"""),"ZAMAIYAH")</f>
        <v>ZAMAIYAH</v>
      </c>
      <c r="C1996" s="8" t="str">
        <f>IFERROR(__xludf.DUMMYFUNCTION("""COMPUTED_VALUE"""),"Z5824124397")</f>
        <v>Z5824124397</v>
      </c>
      <c r="D1996" s="8">
        <f>IFERROR(__xludf.DUMMYFUNCTION("""COMPUTED_VALUE"""),67.0)</f>
        <v>67</v>
      </c>
      <c r="E1996" s="2"/>
    </row>
    <row r="1997">
      <c r="A1997" s="2"/>
      <c r="B1997" s="8" t="str">
        <f>IFERROR(__xludf.DUMMYFUNCTION("""COMPUTED_VALUE"""),"CYNTHIA GRESTANTICA")</f>
        <v>CYNTHIA GRESTANTICA</v>
      </c>
      <c r="C1997" s="8" t="str">
        <f>IFERROR(__xludf.DUMMYFUNCTION("""COMPUTED_VALUE"""),"C7024128033")</f>
        <v>C7024128033</v>
      </c>
      <c r="D1997" s="8">
        <f>IFERROR(__xludf.DUMMYFUNCTION("""COMPUTED_VALUE"""),55.0)</f>
        <v>55</v>
      </c>
      <c r="E1997" s="2"/>
    </row>
    <row r="1998">
      <c r="A1998" s="2"/>
      <c r="B1998" s="8" t="str">
        <f>IFERROR(__xludf.DUMMYFUNCTION("""COMPUTED_VALUE"""),"YOSAPHAT TRI UTOMO")</f>
        <v>YOSAPHAT TRI UTOMO</v>
      </c>
      <c r="C1998" s="8" t="str">
        <f>IFERROR(__xludf.DUMMYFUNCTION("""COMPUTED_VALUE"""),"Y9425017232")</f>
        <v>Y9425017232</v>
      </c>
      <c r="D1998" s="8">
        <f>IFERROR(__xludf.DUMMYFUNCTION("""COMPUTED_VALUE"""),31.0)</f>
        <v>31</v>
      </c>
      <c r="E1998" s="2"/>
    </row>
    <row r="1999">
      <c r="A1999" s="2"/>
      <c r="B1999" s="8" t="str">
        <f>IFERROR(__xludf.DUMMYFUNCTION("""COMPUTED_VALUE"""),"HEPPY")</f>
        <v>HEPPY</v>
      </c>
      <c r="C1999" s="8" t="str">
        <f>IFERROR(__xludf.DUMMYFUNCTION("""COMPUTED_VALUE"""),"H6725017219")</f>
        <v>H6725017219</v>
      </c>
      <c r="D1999" s="8">
        <f>IFERROR(__xludf.DUMMYFUNCTION("""COMPUTED_VALUE"""),59.0)</f>
        <v>59</v>
      </c>
      <c r="E1999" s="2"/>
    </row>
    <row r="2000">
      <c r="A2000" s="2"/>
      <c r="B2000" s="8" t="str">
        <f>IFERROR(__xludf.DUMMYFUNCTION("""COMPUTED_VALUE"""),"MUHAMMAD HAMZAH")</f>
        <v>MUHAMMAD HAMZAH</v>
      </c>
      <c r="C2000" s="8" t="str">
        <f>IFERROR(__xludf.DUMMYFUNCTION("""COMPUTED_VALUE"""),"M9125019014")</f>
        <v>M9125019014</v>
      </c>
      <c r="D2000" s="8">
        <f>IFERROR(__xludf.DUMMYFUNCTION("""COMPUTED_VALUE"""),35.0)</f>
        <v>35</v>
      </c>
      <c r="E2000" s="2"/>
    </row>
    <row r="2001">
      <c r="A2001" s="2"/>
      <c r="B2001" s="8" t="str">
        <f>IFERROR(__xludf.DUMMYFUNCTION("""COMPUTED_VALUE"""),"ALIF BAINAL KHAFI")</f>
        <v>ALIF BAINAL KHAFI</v>
      </c>
      <c r="C2001" s="8" t="str">
        <f>IFERROR(__xludf.DUMMYFUNCTION("""COMPUTED_VALUE"""),"A0425014441")</f>
        <v>A0425014441</v>
      </c>
      <c r="D2001" s="8">
        <f>IFERROR(__xludf.DUMMYFUNCTION("""COMPUTED_VALUE"""),21.0)</f>
        <v>21</v>
      </c>
      <c r="E2001" s="2"/>
    </row>
    <row r="2002">
      <c r="A2002" s="2"/>
      <c r="B2002" s="8" t="str">
        <f>IFERROR(__xludf.DUMMYFUNCTION("""COMPUTED_VALUE"""),"DRAJAT SUBYAKTO")</f>
        <v>DRAJAT SUBYAKTO</v>
      </c>
      <c r="C2002" s="8" t="str">
        <f>IFERROR(__xludf.DUMMYFUNCTION("""COMPUTED_VALUE"""),"D5625014272")</f>
        <v>D5625014272</v>
      </c>
      <c r="D2002" s="8">
        <f>IFERROR(__xludf.DUMMYFUNCTION("""COMPUTED_VALUE"""),69.0)</f>
        <v>69</v>
      </c>
      <c r="E2002" s="2"/>
    </row>
    <row r="2003">
      <c r="A2003" s="2"/>
      <c r="B2003" s="8" t="str">
        <f>IFERROR(__xludf.DUMMYFUNCTION("""COMPUTED_VALUE"""),"MIRNAWATI")</f>
        <v>MIRNAWATI</v>
      </c>
      <c r="C2003" s="8" t="str">
        <f>IFERROR(__xludf.DUMMYFUNCTION("""COMPUTED_VALUE"""),"M6025016880")</f>
        <v>M6025016880</v>
      </c>
      <c r="D2003" s="8">
        <f>IFERROR(__xludf.DUMMYFUNCTION("""COMPUTED_VALUE"""),66.0)</f>
        <v>66</v>
      </c>
      <c r="E2003" s="2"/>
    </row>
    <row r="2004">
      <c r="A2004" s="2"/>
      <c r="B2004" s="8" t="str">
        <f>IFERROR(__xludf.DUMMYFUNCTION("""COMPUTED_VALUE"""),"JAM SENG")</f>
        <v>JAM SENG</v>
      </c>
      <c r="C2004" s="8" t="str">
        <f>IFERROR(__xludf.DUMMYFUNCTION("""COMPUTED_VALUE"""),"J6225015559")</f>
        <v>J6225015559</v>
      </c>
      <c r="D2004" s="8">
        <f>IFERROR(__xludf.DUMMYFUNCTION("""COMPUTED_VALUE"""),63.0)</f>
        <v>63</v>
      </c>
      <c r="E2004" s="2"/>
    </row>
    <row r="2005">
      <c r="A2005" s="2"/>
      <c r="B2005" s="8" t="str">
        <f>IFERROR(__xludf.DUMMYFUNCTION("""COMPUTED_VALUE"""),"MUHAMMAD AGUNG KURNIAWAN")</f>
        <v>MUHAMMAD AGUNG KURNIAWAN</v>
      </c>
      <c r="C2005" s="8" t="str">
        <f>IFERROR(__xludf.DUMMYFUNCTION("""COMPUTED_VALUE"""),"M0225017300")</f>
        <v>M0225017300</v>
      </c>
      <c r="D2005" s="8">
        <f>IFERROR(__xludf.DUMMYFUNCTION("""COMPUTED_VALUE"""),24.0)</f>
        <v>24</v>
      </c>
      <c r="E2005" s="2"/>
    </row>
    <row r="2006">
      <c r="A2006" s="2"/>
      <c r="B2006" s="8" t="str">
        <f>IFERROR(__xludf.DUMMYFUNCTION("""COMPUTED_VALUE"""),"MUHAMMAD RAYHAN JADDU")</f>
        <v>MUHAMMAD RAYHAN JADDU</v>
      </c>
      <c r="C2006" s="8" t="str">
        <f>IFERROR(__xludf.DUMMYFUNCTION("""COMPUTED_VALUE"""),"M0425019897")</f>
        <v>M0425019897</v>
      </c>
      <c r="D2006" s="8">
        <f>IFERROR(__xludf.DUMMYFUNCTION("""COMPUTED_VALUE"""),22.0)</f>
        <v>22</v>
      </c>
      <c r="E2006" s="2"/>
    </row>
    <row r="2007">
      <c r="A2007" s="2"/>
      <c r="B2007" s="8" t="str">
        <f>IFERROR(__xludf.DUMMYFUNCTION("""COMPUTED_VALUE"""),"BOBY GUNAWAN")</f>
        <v>BOBY GUNAWAN</v>
      </c>
      <c r="C2007" s="8" t="str">
        <f>IFERROR(__xludf.DUMMYFUNCTION("""COMPUTED_VALUE"""),"B9525013700")</f>
        <v>B9525013700</v>
      </c>
      <c r="D2007" s="8">
        <f>IFERROR(__xludf.DUMMYFUNCTION("""COMPUTED_VALUE"""),30.0)</f>
        <v>30</v>
      </c>
      <c r="E2007" s="2"/>
    </row>
    <row r="2008">
      <c r="A2008" s="2"/>
      <c r="B2008" s="8" t="str">
        <f>IFERROR(__xludf.DUMMYFUNCTION("""COMPUTED_VALUE"""),"II SUMIRAT")</f>
        <v>II SUMIRAT</v>
      </c>
      <c r="C2008" s="8" t="str">
        <f>IFERROR(__xludf.DUMMYFUNCTION("""COMPUTED_VALUE"""),"I0225016604")</f>
        <v>I0225016604</v>
      </c>
      <c r="D2008" s="8">
        <f>IFERROR(__xludf.DUMMYFUNCTION("""COMPUTED_VALUE"""),23.0)</f>
        <v>23</v>
      </c>
      <c r="E2008" s="2"/>
    </row>
    <row r="2009">
      <c r="A2009" s="2"/>
      <c r="B2009" s="8" t="str">
        <f>IFERROR(__xludf.DUMMYFUNCTION("""COMPUTED_VALUE"""),"JAMALUDIN8902")</f>
        <v>JAMALUDIN8902</v>
      </c>
      <c r="C2009" s="8" t="str">
        <f>IFERROR(__xludf.DUMMYFUNCTION("""COMPUTED_VALUE"""),"J8925018848")</f>
        <v>J8925018848</v>
      </c>
      <c r="D2009" s="8">
        <f>IFERROR(__xludf.DUMMYFUNCTION("""COMPUTED_VALUE"""),37.0)</f>
        <v>37</v>
      </c>
      <c r="E2009" s="2"/>
    </row>
    <row r="2010">
      <c r="A2010" s="2"/>
      <c r="B2010" s="8" t="str">
        <f>IFERROR(__xludf.DUMMYFUNCTION("""COMPUTED_VALUE"""),"MUHAMMAD HAZIEL GADHI")</f>
        <v>MUHAMMAD HAZIEL GADHI</v>
      </c>
      <c r="C2010" s="8" t="str">
        <f>IFERROR(__xludf.DUMMYFUNCTION("""COMPUTED_VALUE"""),"M8825015705")</f>
        <v>M8825015705</v>
      </c>
      <c r="D2010" s="8">
        <f>IFERROR(__xludf.DUMMYFUNCTION("""COMPUTED_VALUE"""),38.0)</f>
        <v>38</v>
      </c>
      <c r="E2010" s="2"/>
    </row>
    <row r="2011">
      <c r="A2011" s="2"/>
      <c r="B2011" s="8" t="str">
        <f>IFERROR(__xludf.DUMMYFUNCTION("""COMPUTED_VALUE"""),"ZULFARIDA")</f>
        <v>ZULFARIDA</v>
      </c>
      <c r="C2011" s="8" t="str">
        <f>IFERROR(__xludf.DUMMYFUNCTION("""COMPUTED_VALUE"""),"Z992501")</f>
        <v>Z992501</v>
      </c>
      <c r="D2011" s="8" t="str">
        <f>IFERROR(__xludf.DUMMYFUNCTION("""COMPUTED_VALUE"""),"")</f>
        <v/>
      </c>
      <c r="E2011" s="2"/>
    </row>
    <row r="2012">
      <c r="A2012" s="2"/>
      <c r="B2012" s="8" t="str">
        <f>IFERROR(__xludf.DUMMYFUNCTION("""COMPUTED_VALUE"""),"NOVITA")</f>
        <v>NOVITA</v>
      </c>
      <c r="C2012" s="8" t="str">
        <f>IFERROR(__xludf.DUMMYFUNCTION("""COMPUTED_VALUE"""),"N7925019928")</f>
        <v>N7925019928</v>
      </c>
      <c r="D2012" s="8">
        <f>IFERROR(__xludf.DUMMYFUNCTION("""COMPUTED_VALUE"""),47.0)</f>
        <v>47</v>
      </c>
      <c r="E2012" s="2"/>
    </row>
    <row r="2013">
      <c r="A2013" s="2"/>
      <c r="B2013" s="8" t="str">
        <f>IFERROR(__xludf.DUMMYFUNCTION("""COMPUTED_VALUE"""),"DESSY FAJARWATI")</f>
        <v>DESSY FAJARWATI</v>
      </c>
      <c r="C2013" s="8" t="str">
        <f>IFERROR(__xludf.DUMMYFUNCTION("""COMPUTED_VALUE"""),"D8825013040")</f>
        <v>D8825013040</v>
      </c>
      <c r="D2013" s="8">
        <f>IFERROR(__xludf.DUMMYFUNCTION("""COMPUTED_VALUE"""),37.0)</f>
        <v>37</v>
      </c>
      <c r="E2013" s="2"/>
    </row>
    <row r="2014">
      <c r="A2014" s="2"/>
      <c r="B2014" s="8" t="str">
        <f>IFERROR(__xludf.DUMMYFUNCTION("""COMPUTED_VALUE"""),"HENDRI PUTRA WAHYUDIN")</f>
        <v>HENDRI PUTRA WAHYUDIN</v>
      </c>
      <c r="C2014" s="8" t="str">
        <f>IFERROR(__xludf.DUMMYFUNCTION("""COMPUTED_VALUE"""),"H8625015566")</f>
        <v>H8625015566</v>
      </c>
      <c r="D2014" s="8">
        <f>IFERROR(__xludf.DUMMYFUNCTION("""COMPUTED_VALUE"""),40.0)</f>
        <v>40</v>
      </c>
      <c r="E2014" s="2"/>
    </row>
    <row r="2015">
      <c r="A2015" s="2"/>
      <c r="B2015" s="8" t="str">
        <f>IFERROR(__xludf.DUMMYFUNCTION("""COMPUTED_VALUE"""),"REI KHALFANI")</f>
        <v>REI KHALFANI</v>
      </c>
      <c r="C2015" s="8" t="str">
        <f>IFERROR(__xludf.DUMMYFUNCTION("""COMPUTED_VALUE"""),"R1125017999")</f>
        <v>R1125017999</v>
      </c>
      <c r="D2015" s="8">
        <f>IFERROR(__xludf.DUMMYFUNCTION("""COMPUTED_VALUE"""),14.0)</f>
        <v>14</v>
      </c>
      <c r="E2015" s="2"/>
    </row>
    <row r="2016">
      <c r="A2016" s="2"/>
      <c r="B2016" s="8" t="str">
        <f>IFERROR(__xludf.DUMMYFUNCTION("""COMPUTED_VALUE"""),"SRI SAMARIAH")</f>
        <v>SRI SAMARIAH</v>
      </c>
      <c r="C2016" s="8" t="str">
        <f>IFERROR(__xludf.DUMMYFUNCTION("""COMPUTED_VALUE"""),"S8325012483")</f>
        <v>S8325012483</v>
      </c>
      <c r="D2016" s="8">
        <f>IFERROR(__xludf.DUMMYFUNCTION("""COMPUTED_VALUE"""),43.0)</f>
        <v>43</v>
      </c>
      <c r="E2016" s="2"/>
    </row>
    <row r="2017">
      <c r="A2017" s="2"/>
      <c r="B2017" s="8" t="str">
        <f>IFERROR(__xludf.DUMMYFUNCTION("""COMPUTED_VALUE"""),"RIZKY FAJARIANI")</f>
        <v>RIZKY FAJARIANI</v>
      </c>
      <c r="C2017" s="8" t="str">
        <f>IFERROR(__xludf.DUMMYFUNCTION("""COMPUTED_VALUE"""),"R9325010511")</f>
        <v>R9325010511</v>
      </c>
      <c r="D2017" s="8">
        <f>IFERROR(__xludf.DUMMYFUNCTION("""COMPUTED_VALUE"""),32.0)</f>
        <v>32</v>
      </c>
      <c r="E2017" s="2"/>
    </row>
    <row r="2018">
      <c r="A2018" s="2"/>
      <c r="B2018" s="8" t="str">
        <f>IFERROR(__xludf.DUMMYFUNCTION("""COMPUTED_VALUE"""),"NURJAYA")</f>
        <v>NURJAYA</v>
      </c>
      <c r="C2018" s="8" t="str">
        <f>IFERROR(__xludf.DUMMYFUNCTION("""COMPUTED_VALUE"""),"N6925011616")</f>
        <v>N6925011616</v>
      </c>
      <c r="D2018" s="8">
        <f>IFERROR(__xludf.DUMMYFUNCTION("""COMPUTED_VALUE"""),57.0)</f>
        <v>57</v>
      </c>
      <c r="E2018" s="2"/>
    </row>
    <row r="2019">
      <c r="A2019" s="2"/>
      <c r="B2019" s="8" t="str">
        <f>IFERROR(__xludf.DUMMYFUNCTION("""COMPUTED_VALUE"""),"MUHAMMAD DZADISSAKHA ATHAR")</f>
        <v>MUHAMMAD DZADISSAKHA ATHAR</v>
      </c>
      <c r="C2019" s="8" t="str">
        <f>IFERROR(__xludf.DUMMYFUNCTION("""COMPUTED_VALUE"""),"M0625018788")</f>
        <v>M0625018788</v>
      </c>
      <c r="D2019" s="8">
        <f>IFERROR(__xludf.DUMMYFUNCTION("""COMPUTED_VALUE"""),19.0)</f>
        <v>19</v>
      </c>
      <c r="E2019" s="2"/>
    </row>
    <row r="2020">
      <c r="A2020" s="2"/>
      <c r="B2020" s="8" t="str">
        <f>IFERROR(__xludf.DUMMYFUNCTION("""COMPUTED_VALUE"""),"BENNY SEPTIYADI")</f>
        <v>BENNY SEPTIYADI</v>
      </c>
      <c r="C2020" s="8" t="str">
        <f>IFERROR(__xludf.DUMMYFUNCTION("""COMPUTED_VALUE"""),"B8625014446")</f>
        <v>B8625014446</v>
      </c>
      <c r="D2020" s="8">
        <f>IFERROR(__xludf.DUMMYFUNCTION("""COMPUTED_VALUE"""),39.0)</f>
        <v>39</v>
      </c>
      <c r="E2020" s="2"/>
    </row>
    <row r="2021">
      <c r="A2021" s="2"/>
      <c r="B2021" s="8" t="str">
        <f>IFERROR(__xludf.DUMMYFUNCTION("""COMPUTED_VALUE"""),"RAISULI")</f>
        <v>RAISULI</v>
      </c>
      <c r="C2021" s="8" t="str">
        <f>IFERROR(__xludf.DUMMYFUNCTION("""COMPUTED_VALUE"""),"R8325017271")</f>
        <v>R8325017271</v>
      </c>
      <c r="D2021" s="8">
        <f>IFERROR(__xludf.DUMMYFUNCTION("""COMPUTED_VALUE"""),42.0)</f>
        <v>42</v>
      </c>
      <c r="E2021" s="2"/>
    </row>
    <row r="2022">
      <c r="A2022" s="2"/>
      <c r="B2022" s="8" t="str">
        <f>IFERROR(__xludf.DUMMYFUNCTION("""COMPUTED_VALUE"""),"M RAFIF ALVIRDANI PUTRA SAHERMAN")</f>
        <v>M RAFIF ALVIRDANI PUTRA SAHERMAN</v>
      </c>
      <c r="C2022" s="8" t="str">
        <f>IFERROR(__xludf.DUMMYFUNCTION("""COMPUTED_VALUE"""),"M0525017055")</f>
        <v>M0525017055</v>
      </c>
      <c r="D2022" s="8">
        <f>IFERROR(__xludf.DUMMYFUNCTION("""COMPUTED_VALUE"""),20.0)</f>
        <v>20</v>
      </c>
      <c r="E2022" s="2"/>
    </row>
    <row r="2023">
      <c r="A2023" s="2"/>
      <c r="B2023" s="8" t="str">
        <f>IFERROR(__xludf.DUMMYFUNCTION("""COMPUTED_VALUE"""),"EKA FRANSISKA")</f>
        <v>EKA FRANSISKA</v>
      </c>
      <c r="C2023" s="8" t="str">
        <f>IFERROR(__xludf.DUMMYFUNCTION("""COMPUTED_VALUE"""),"E7025015900")</f>
        <v>E7025015900</v>
      </c>
      <c r="D2023" s="8">
        <f>IFERROR(__xludf.DUMMYFUNCTION("""COMPUTED_VALUE"""),55.0)</f>
        <v>55</v>
      </c>
      <c r="E2023" s="2"/>
    </row>
    <row r="2024">
      <c r="A2024" s="2"/>
      <c r="B2024" s="8" t="str">
        <f>IFERROR(__xludf.DUMMYFUNCTION("""COMPUTED_VALUE"""),"AGNES BRIGITHA YOLANDA")</f>
        <v>AGNES BRIGITHA YOLANDA</v>
      </c>
      <c r="C2024" s="8" t="str">
        <f>IFERROR(__xludf.DUMMYFUNCTION("""COMPUTED_VALUE"""),"A8725010431")</f>
        <v>A8725010431</v>
      </c>
      <c r="D2024" s="8">
        <f>IFERROR(__xludf.DUMMYFUNCTION("""COMPUTED_VALUE"""),39.0)</f>
        <v>39</v>
      </c>
      <c r="E2024" s="2"/>
    </row>
    <row r="2025">
      <c r="A2025" s="2"/>
      <c r="B2025" s="8" t="str">
        <f>IFERROR(__xludf.DUMMYFUNCTION("""COMPUTED_VALUE"""),"MUHAMMAD ALIF NABIL MUTAWAKKIL")</f>
        <v>MUHAMMAD ALIF NABIL MUTAWAKKIL</v>
      </c>
      <c r="C2025" s="8" t="str">
        <f>IFERROR(__xludf.DUMMYFUNCTION("""COMPUTED_VALUE"""),"M0725011810")</f>
        <v>M0725011810</v>
      </c>
      <c r="D2025" s="8">
        <f>IFERROR(__xludf.DUMMYFUNCTION("""COMPUTED_VALUE"""),18.0)</f>
        <v>18</v>
      </c>
      <c r="E2025" s="2"/>
    </row>
    <row r="2026">
      <c r="A2026" s="2"/>
      <c r="B2026" s="8" t="str">
        <f>IFERROR(__xludf.DUMMYFUNCTION("""COMPUTED_VALUE"""),"ACHMAD SYABID")</f>
        <v>ACHMAD SYABID</v>
      </c>
      <c r="C2026" s="8" t="str">
        <f>IFERROR(__xludf.DUMMYFUNCTION("""COMPUTED_VALUE"""),"A0225018552")</f>
        <v>A0225018552</v>
      </c>
      <c r="D2026" s="8">
        <f>IFERROR(__xludf.DUMMYFUNCTION("""COMPUTED_VALUE"""),24.0)</f>
        <v>24</v>
      </c>
      <c r="E2026" s="2"/>
    </row>
    <row r="2027">
      <c r="A2027" s="2"/>
      <c r="B2027" s="8" t="str">
        <f>IFERROR(__xludf.DUMMYFUNCTION("""COMPUTED_VALUE"""),"AMELIA")</f>
        <v>AMELIA</v>
      </c>
      <c r="C2027" s="8" t="str">
        <f>IFERROR(__xludf.DUMMYFUNCTION("""COMPUTED_VALUE"""),"A9025017002")</f>
        <v>A9025017002</v>
      </c>
      <c r="D2027" s="8">
        <f>IFERROR(__xludf.DUMMYFUNCTION("""COMPUTED_VALUE"""),36.0)</f>
        <v>36</v>
      </c>
      <c r="E2027" s="2"/>
    </row>
    <row r="2028">
      <c r="A2028" s="2"/>
      <c r="B2028" s="8" t="str">
        <f>IFERROR(__xludf.DUMMYFUNCTION("""COMPUTED_VALUE"""),"RETNO AYU WINDIATI KARTIKA")</f>
        <v>RETNO AYU WINDIATI KARTIKA</v>
      </c>
      <c r="C2028" s="8" t="str">
        <f>IFERROR(__xludf.DUMMYFUNCTION("""COMPUTED_VALUE"""),"R7825017858")</f>
        <v>R7825017858</v>
      </c>
      <c r="D2028" s="8">
        <f>IFERROR(__xludf.DUMMYFUNCTION("""COMPUTED_VALUE"""),47.0)</f>
        <v>47</v>
      </c>
      <c r="E2028" s="2"/>
    </row>
    <row r="2029">
      <c r="A2029" s="2"/>
      <c r="B2029" s="8" t="str">
        <f>IFERROR(__xludf.DUMMYFUNCTION("""COMPUTED_VALUE"""),"DWI HELIASTUTI")</f>
        <v>DWI HELIASTUTI</v>
      </c>
      <c r="C2029" s="8" t="str">
        <f>IFERROR(__xludf.DUMMYFUNCTION("""COMPUTED_VALUE"""),"D8025010077")</f>
        <v>D8025010077</v>
      </c>
      <c r="D2029" s="8">
        <f>IFERROR(__xludf.DUMMYFUNCTION("""COMPUTED_VALUE"""),46.0)</f>
        <v>46</v>
      </c>
      <c r="E2029" s="2"/>
    </row>
    <row r="2030">
      <c r="A2030" s="2"/>
      <c r="B2030" s="8" t="str">
        <f>IFERROR(__xludf.DUMMYFUNCTION("""COMPUTED_VALUE"""),"DAHLAN")</f>
        <v>DAHLAN</v>
      </c>
      <c r="C2030" s="8" t="str">
        <f>IFERROR(__xludf.DUMMYFUNCTION("""COMPUTED_VALUE"""),"D9025019992")</f>
        <v>D9025019992</v>
      </c>
      <c r="D2030" s="8">
        <f>IFERROR(__xludf.DUMMYFUNCTION("""COMPUTED_VALUE"""),36.0)</f>
        <v>36</v>
      </c>
      <c r="E2030" s="2"/>
    </row>
    <row r="2031">
      <c r="A2031" s="2"/>
      <c r="B2031" s="8" t="str">
        <f>IFERROR(__xludf.DUMMYFUNCTION("""COMPUTED_VALUE"""),"SHAFIRA ANNISA")</f>
        <v>SHAFIRA ANNISA</v>
      </c>
      <c r="C2031" s="8" t="str">
        <f>IFERROR(__xludf.DUMMYFUNCTION("""COMPUTED_VALUE"""),"S9725018060")</f>
        <v>S9725018060</v>
      </c>
      <c r="D2031" s="8">
        <f>IFERROR(__xludf.DUMMYFUNCTION("""COMPUTED_VALUE"""),28.0)</f>
        <v>28</v>
      </c>
      <c r="E2031" s="2"/>
    </row>
    <row r="2032">
      <c r="A2032" s="2"/>
      <c r="B2032" s="8" t="str">
        <f>IFERROR(__xludf.DUMMYFUNCTION("""COMPUTED_VALUE"""),"BULDANI")</f>
        <v>BULDANI</v>
      </c>
      <c r="C2032" s="8" t="str">
        <f>IFERROR(__xludf.DUMMYFUNCTION("""COMPUTED_VALUE"""),"B6325013230")</f>
        <v>B6325013230</v>
      </c>
      <c r="D2032" s="8">
        <f>IFERROR(__xludf.DUMMYFUNCTION("""COMPUTED_VALUE"""),63.0)</f>
        <v>63</v>
      </c>
      <c r="E2032" s="2"/>
    </row>
    <row r="2033">
      <c r="A2033" s="2"/>
      <c r="B2033" s="8" t="str">
        <f>IFERROR(__xludf.DUMMYFUNCTION("""COMPUTED_VALUE"""),"NINA RICI")</f>
        <v>NINA RICI</v>
      </c>
      <c r="C2033" s="8" t="str">
        <f>IFERROR(__xludf.DUMMYFUNCTION("""COMPUTED_VALUE"""),"N8925012433")</f>
        <v>N8925012433</v>
      </c>
      <c r="D2033" s="8">
        <f>IFERROR(__xludf.DUMMYFUNCTION("""COMPUTED_VALUE"""),37.0)</f>
        <v>37</v>
      </c>
      <c r="E2033" s="2"/>
    </row>
    <row r="2034">
      <c r="A2034" s="2"/>
      <c r="B2034" s="8" t="str">
        <f>IFERROR(__xludf.DUMMYFUNCTION("""COMPUTED_VALUE"""),"ASWAN HADI")</f>
        <v>ASWAN HADI</v>
      </c>
      <c r="C2034" s="8" t="str">
        <f>IFERROR(__xludf.DUMMYFUNCTION("""COMPUTED_VALUE"""),"A6225010146")</f>
        <v>A6225010146</v>
      </c>
      <c r="D2034" s="8">
        <f>IFERROR(__xludf.DUMMYFUNCTION("""COMPUTED_VALUE"""),64.0)</f>
        <v>64</v>
      </c>
      <c r="E2034" s="2"/>
    </row>
    <row r="2035">
      <c r="A2035" s="2"/>
      <c r="B2035" s="8" t="str">
        <f>IFERROR(__xludf.DUMMYFUNCTION("""COMPUTED_VALUE"""),"HAMDAN IDRIS")</f>
        <v>HAMDAN IDRIS</v>
      </c>
      <c r="C2035" s="8" t="str">
        <f>IFERROR(__xludf.DUMMYFUNCTION("""COMPUTED_VALUE"""),"H5325012017")</f>
        <v>H5325012017</v>
      </c>
      <c r="D2035" s="8">
        <f>IFERROR(__xludf.DUMMYFUNCTION("""COMPUTED_VALUE"""),73.0)</f>
        <v>73</v>
      </c>
      <c r="E2035" s="2"/>
    </row>
    <row r="2036">
      <c r="A2036" s="2"/>
      <c r="B2036" s="8" t="str">
        <f>IFERROR(__xludf.DUMMYFUNCTION("""COMPUTED_VALUE"""),"DEVINA KARINA")</f>
        <v>DEVINA KARINA</v>
      </c>
      <c r="C2036" s="8" t="str">
        <f>IFERROR(__xludf.DUMMYFUNCTION("""COMPUTED_VALUE"""),"D9225016767")</f>
        <v>D9225016767</v>
      </c>
      <c r="D2036" s="8">
        <f>IFERROR(__xludf.DUMMYFUNCTION("""COMPUTED_VALUE"""),34.0)</f>
        <v>34</v>
      </c>
      <c r="E2036" s="2"/>
    </row>
    <row r="2037">
      <c r="A2037" s="2"/>
      <c r="B2037" s="8" t="str">
        <f>IFERROR(__xludf.DUMMYFUNCTION("""COMPUTED_VALUE"""),"RICARDO MARGA CIPTA")</f>
        <v>RICARDO MARGA CIPTA</v>
      </c>
      <c r="C2037" s="8" t="str">
        <f>IFERROR(__xludf.DUMMYFUNCTION("""COMPUTED_VALUE"""),"R0025016071")</f>
        <v>R0025016071</v>
      </c>
      <c r="D2037" s="8">
        <f>IFERROR(__xludf.DUMMYFUNCTION("""COMPUTED_VALUE"""),25.0)</f>
        <v>25</v>
      </c>
      <c r="E2037" s="2"/>
    </row>
    <row r="2038">
      <c r="A2038" s="2"/>
      <c r="B2038" s="8" t="str">
        <f>IFERROR(__xludf.DUMMYFUNCTION("""COMPUTED_VALUE"""),"HENDRO 89")</f>
        <v>HENDRO 89</v>
      </c>
      <c r="C2038" s="8" t="str">
        <f>IFERROR(__xludf.DUMMYFUNCTION("""COMPUTED_VALUE"""),"H8925014479")</f>
        <v>H8925014479</v>
      </c>
      <c r="D2038" s="8">
        <f>IFERROR(__xludf.DUMMYFUNCTION("""COMPUTED_VALUE"""),36.0)</f>
        <v>36</v>
      </c>
      <c r="E2038" s="2"/>
    </row>
    <row r="2039">
      <c r="A2039" s="2"/>
      <c r="B2039" s="8" t="str">
        <f>IFERROR(__xludf.DUMMYFUNCTION("""COMPUTED_VALUE"""),"NURHAYATI (IBU BANG EDO)")</f>
        <v>NURHAYATI (IBU BANG EDO)</v>
      </c>
      <c r="C2039" s="8" t="str">
        <f>IFERROR(__xludf.DUMMYFUNCTION("""COMPUTED_VALUE"""),"N992501")</f>
        <v>N992501</v>
      </c>
      <c r="D2039" s="8" t="str">
        <f>IFERROR(__xludf.DUMMYFUNCTION("""COMPUTED_VALUE"""),"")</f>
        <v/>
      </c>
      <c r="E2039" s="2"/>
    </row>
    <row r="2040">
      <c r="A2040" s="2"/>
      <c r="B2040" s="8" t="str">
        <f>IFERROR(__xludf.DUMMYFUNCTION("""COMPUTED_VALUE"""),"MADI")</f>
        <v>MADI</v>
      </c>
      <c r="C2040" s="8" t="str">
        <f>IFERROR(__xludf.DUMMYFUNCTION("""COMPUTED_VALUE"""),"M6225018585")</f>
        <v>M6225018585</v>
      </c>
      <c r="D2040" s="8">
        <f>IFERROR(__xludf.DUMMYFUNCTION("""COMPUTED_VALUE"""),64.0)</f>
        <v>64</v>
      </c>
      <c r="E2040" s="2"/>
    </row>
    <row r="2041">
      <c r="A2041" s="2"/>
      <c r="B2041" s="8" t="str">
        <f>IFERROR(__xludf.DUMMYFUNCTION("""COMPUTED_VALUE"""),"MITCHELL VALERI FREDI")</f>
        <v>MITCHELL VALERI FREDI</v>
      </c>
      <c r="C2041" s="8" t="str">
        <f>IFERROR(__xludf.DUMMYFUNCTION("""COMPUTED_VALUE"""),"M0125016471")</f>
        <v>M0125016471</v>
      </c>
      <c r="D2041" s="8">
        <f>IFERROR(__xludf.DUMMYFUNCTION("""COMPUTED_VALUE"""),24.0)</f>
        <v>24</v>
      </c>
      <c r="E2041" s="2"/>
    </row>
    <row r="2042">
      <c r="A2042" s="2"/>
      <c r="B2042" s="8" t="str">
        <f>IFERROR(__xludf.DUMMYFUNCTION("""COMPUTED_VALUE"""),"YANTI WIDIANTARI")</f>
        <v>YANTI WIDIANTARI</v>
      </c>
      <c r="C2042" s="8" t="str">
        <f>IFERROR(__xludf.DUMMYFUNCTION("""COMPUTED_VALUE"""),"Y9425016690")</f>
        <v>Y9425016690</v>
      </c>
      <c r="D2042" s="8">
        <f>IFERROR(__xludf.DUMMYFUNCTION("""COMPUTED_VALUE"""),32.0)</f>
        <v>32</v>
      </c>
      <c r="E2042" s="2"/>
    </row>
    <row r="2043">
      <c r="A2043" s="2"/>
      <c r="B2043" s="8" t="str">
        <f>IFERROR(__xludf.DUMMYFUNCTION("""COMPUTED_VALUE"""),"DARLIANA")</f>
        <v>DARLIANA</v>
      </c>
      <c r="C2043" s="8" t="str">
        <f>IFERROR(__xludf.DUMMYFUNCTION("""COMPUTED_VALUE"""),"D6125012817")</f>
        <v>D6125012817</v>
      </c>
      <c r="D2043" s="8">
        <f>IFERROR(__xludf.DUMMYFUNCTION("""COMPUTED_VALUE"""),65.0)</f>
        <v>65</v>
      </c>
      <c r="E2043" s="2"/>
    </row>
    <row r="2044">
      <c r="A2044" s="2"/>
      <c r="B2044" s="8" t="str">
        <f>IFERROR(__xludf.DUMMYFUNCTION("""COMPUTED_VALUE"""),"GUSTI MUHAMMAD PUTRA AKBAR")</f>
        <v>GUSTI MUHAMMAD PUTRA AKBAR</v>
      </c>
      <c r="C2044" s="8" t="str">
        <f>IFERROR(__xludf.DUMMYFUNCTION("""COMPUTED_VALUE"""),"G0525019090")</f>
        <v>G0525019090</v>
      </c>
      <c r="D2044" s="8">
        <f>IFERROR(__xludf.DUMMYFUNCTION("""COMPUTED_VALUE"""),21.0)</f>
        <v>21</v>
      </c>
      <c r="E2044" s="2"/>
    </row>
    <row r="2045">
      <c r="A2045" s="2"/>
      <c r="B2045" s="8" t="str">
        <f>IFERROR(__xludf.DUMMYFUNCTION("""COMPUTED_VALUE"""),"RUMINAH")</f>
        <v>RUMINAH</v>
      </c>
      <c r="C2045" s="8" t="str">
        <f>IFERROR(__xludf.DUMMYFUNCTION("""COMPUTED_VALUE"""),"R5825012760")</f>
        <v>R5825012760</v>
      </c>
      <c r="D2045" s="8">
        <f>IFERROR(__xludf.DUMMYFUNCTION("""COMPUTED_VALUE"""),68.0)</f>
        <v>68</v>
      </c>
      <c r="E2045" s="2"/>
    </row>
    <row r="2046">
      <c r="A2046" s="2"/>
      <c r="B2046" s="8" t="str">
        <f>IFERROR(__xludf.DUMMYFUNCTION("""COMPUTED_VALUE"""),"FESTI RITA HANDINI")</f>
        <v>FESTI RITA HANDINI</v>
      </c>
      <c r="C2046" s="8" t="str">
        <f>IFERROR(__xludf.DUMMYFUNCTION("""COMPUTED_VALUE"""),"F6425014764")</f>
        <v>F6425014764</v>
      </c>
      <c r="D2046" s="8">
        <f>IFERROR(__xludf.DUMMYFUNCTION("""COMPUTED_VALUE"""),62.0)</f>
        <v>62</v>
      </c>
      <c r="E2046" s="2"/>
    </row>
    <row r="2047">
      <c r="A2047" s="2"/>
      <c r="B2047" s="8" t="str">
        <f>IFERROR(__xludf.DUMMYFUNCTION("""COMPUTED_VALUE"""),"FIDYA")</f>
        <v>FIDYA</v>
      </c>
      <c r="C2047" s="8" t="str">
        <f>IFERROR(__xludf.DUMMYFUNCTION("""COMPUTED_VALUE"""),"F7325011413")</f>
        <v>F7325011413</v>
      </c>
      <c r="D2047" s="8">
        <f>IFERROR(__xludf.DUMMYFUNCTION("""COMPUTED_VALUE"""),52.0)</f>
        <v>52</v>
      </c>
      <c r="E2047" s="2"/>
    </row>
    <row r="2048">
      <c r="A2048" s="2"/>
      <c r="B2048" s="8" t="str">
        <f>IFERROR(__xludf.DUMMYFUNCTION("""COMPUTED_VALUE"""),"BAYU AGIL SAMPURNO")</f>
        <v>BAYU AGIL SAMPURNO</v>
      </c>
      <c r="C2048" s="8" t="str">
        <f>IFERROR(__xludf.DUMMYFUNCTION("""COMPUTED_VALUE"""),"B0525015519")</f>
        <v>B0525015519</v>
      </c>
      <c r="D2048" s="8">
        <f>IFERROR(__xludf.DUMMYFUNCTION("""COMPUTED_VALUE"""),20.0)</f>
        <v>20</v>
      </c>
      <c r="E2048" s="2"/>
    </row>
    <row r="2049">
      <c r="A2049" s="2"/>
      <c r="B2049" s="8" t="str">
        <f>IFERROR(__xludf.DUMMYFUNCTION("""COMPUTED_VALUE"""),"HENGKY HERAWAN")</f>
        <v>HENGKY HERAWAN</v>
      </c>
      <c r="C2049" s="8" t="str">
        <f>IFERROR(__xludf.DUMMYFUNCTION("""COMPUTED_VALUE"""),"H7325013959")</f>
        <v>H7325013959</v>
      </c>
      <c r="D2049" s="8">
        <f>IFERROR(__xludf.DUMMYFUNCTION("""COMPUTED_VALUE"""),52.0)</f>
        <v>52</v>
      </c>
      <c r="E2049" s="2"/>
    </row>
    <row r="2050">
      <c r="A2050" s="2"/>
      <c r="B2050" s="8" t="str">
        <f>IFERROR(__xludf.DUMMYFUNCTION("""COMPUTED_VALUE"""),"MUHAMAD FIRDAUS")</f>
        <v>MUHAMAD FIRDAUS</v>
      </c>
      <c r="C2050" s="8" t="str">
        <f>IFERROR(__xludf.DUMMYFUNCTION("""COMPUTED_VALUE"""),"M8125018018")</f>
        <v>M8125018018</v>
      </c>
      <c r="D2050" s="8">
        <f>IFERROR(__xludf.DUMMYFUNCTION("""COMPUTED_VALUE"""),44.0)</f>
        <v>44</v>
      </c>
      <c r="E2050" s="2"/>
    </row>
    <row r="2051">
      <c r="A2051" s="2"/>
      <c r="B2051" s="8" t="str">
        <f>IFERROR(__xludf.DUMMYFUNCTION("""COMPUTED_VALUE"""),"CHANG SIN KOR")</f>
        <v>CHANG SIN KOR</v>
      </c>
      <c r="C2051" s="8" t="str">
        <f>IFERROR(__xludf.DUMMYFUNCTION("""COMPUTED_VALUE"""),"C9025010990")</f>
        <v>C9025010990</v>
      </c>
      <c r="D2051" s="8">
        <f>IFERROR(__xludf.DUMMYFUNCTION("""COMPUTED_VALUE"""),35.0)</f>
        <v>35</v>
      </c>
      <c r="E2051" s="2"/>
    </row>
    <row r="2052">
      <c r="A2052" s="2"/>
      <c r="B2052" s="8" t="str">
        <f>IFERROR(__xludf.DUMMYFUNCTION("""COMPUTED_VALUE"""),"MUHAMMAD FIKAR KHADAFI")</f>
        <v>MUHAMMAD FIKAR KHADAFI</v>
      </c>
      <c r="C2052" s="8" t="str">
        <f>IFERROR(__xludf.DUMMYFUNCTION("""COMPUTED_VALUE"""),"M0125019008")</f>
        <v>M0125019008</v>
      </c>
      <c r="D2052" s="8">
        <f>IFERROR(__xludf.DUMMYFUNCTION("""COMPUTED_VALUE"""),25.0)</f>
        <v>25</v>
      </c>
      <c r="E2052" s="2"/>
    </row>
    <row r="2053">
      <c r="A2053" s="2"/>
      <c r="B2053" s="8" t="str">
        <f>IFERROR(__xludf.DUMMYFUNCTION("""COMPUTED_VALUE"""),"KRESNA K")</f>
        <v>KRESNA K</v>
      </c>
      <c r="C2053" s="8" t="str">
        <f>IFERROR(__xludf.DUMMYFUNCTION("""COMPUTED_VALUE"""),"K9525013702")</f>
        <v>K9525013702</v>
      </c>
      <c r="D2053" s="8">
        <f>IFERROR(__xludf.DUMMYFUNCTION("""COMPUTED_VALUE"""),31.0)</f>
        <v>31</v>
      </c>
      <c r="E2053" s="2"/>
    </row>
    <row r="2054">
      <c r="A2054" s="2"/>
      <c r="B2054" s="8" t="str">
        <f>IFERROR(__xludf.DUMMYFUNCTION("""COMPUTED_VALUE"""),"H. SITORUS")</f>
        <v>H. SITORUS</v>
      </c>
      <c r="C2054" s="8" t="str">
        <f>IFERROR(__xludf.DUMMYFUNCTION("""COMPUTED_VALUE"""),"H3825015858")</f>
        <v>H3825015858</v>
      </c>
      <c r="D2054" s="8">
        <f>IFERROR(__xludf.DUMMYFUNCTION("""COMPUTED_VALUE"""),87.0)</f>
        <v>87</v>
      </c>
      <c r="E2054" s="2"/>
    </row>
    <row r="2055">
      <c r="A2055" s="2"/>
      <c r="B2055" s="8" t="str">
        <f>IFERROR(__xludf.DUMMYFUNCTION("""COMPUTED_VALUE"""),"LENA8403")</f>
        <v>LENA8403</v>
      </c>
      <c r="C2055" s="8" t="str">
        <f>IFERROR(__xludf.DUMMYFUNCTION("""COMPUTED_VALUE"""),"L8425016424")</f>
        <v>L8425016424</v>
      </c>
      <c r="D2055" s="8">
        <f>IFERROR(__xludf.DUMMYFUNCTION("""COMPUTED_VALUE"""),42.0)</f>
        <v>42</v>
      </c>
      <c r="E2055" s="2"/>
    </row>
    <row r="2056">
      <c r="A2056" s="2"/>
      <c r="B2056" s="8" t="str">
        <f>IFERROR(__xludf.DUMMYFUNCTION("""COMPUTED_VALUE"""),"KARJANA")</f>
        <v>KARJANA</v>
      </c>
      <c r="C2056" s="8" t="str">
        <f>IFERROR(__xludf.DUMMYFUNCTION("""COMPUTED_VALUE"""),"K6225014184")</f>
        <v>K6225014184</v>
      </c>
      <c r="D2056" s="8">
        <f>IFERROR(__xludf.DUMMYFUNCTION("""COMPUTED_VALUE"""),63.0)</f>
        <v>63</v>
      </c>
      <c r="E2056" s="2"/>
    </row>
    <row r="2057">
      <c r="A2057" s="2"/>
      <c r="B2057" s="8" t="str">
        <f>IFERROR(__xludf.DUMMYFUNCTION("""COMPUTED_VALUE"""),"RAHMAD")</f>
        <v>RAHMAD</v>
      </c>
      <c r="C2057" s="8" t="str">
        <f>IFERROR(__xludf.DUMMYFUNCTION("""COMPUTED_VALUE"""),"R6825015274")</f>
        <v>R6825015274</v>
      </c>
      <c r="D2057" s="8">
        <f>IFERROR(__xludf.DUMMYFUNCTION("""COMPUTED_VALUE"""),57.0)</f>
        <v>57</v>
      </c>
      <c r="E2057" s="2"/>
    </row>
    <row r="2058">
      <c r="A2058" s="2"/>
      <c r="B2058" s="8" t="str">
        <f>IFERROR(__xludf.DUMMYFUNCTION("""COMPUTED_VALUE"""),"PRANAYOGA")</f>
        <v>PRANAYOGA</v>
      </c>
      <c r="C2058" s="8" t="str">
        <f>IFERROR(__xludf.DUMMYFUNCTION("""COMPUTED_VALUE"""),"P8425017811")</f>
        <v>P8425017811</v>
      </c>
      <c r="D2058" s="8">
        <f>IFERROR(__xludf.DUMMYFUNCTION("""COMPUTED_VALUE"""),41.0)</f>
        <v>41</v>
      </c>
      <c r="E2058" s="2"/>
    </row>
    <row r="2059">
      <c r="A2059" s="2"/>
      <c r="B2059" s="8" t="str">
        <f>IFERROR(__xludf.DUMMYFUNCTION("""COMPUTED_VALUE"""),"ABDUL MUKTI")</f>
        <v>ABDUL MUKTI</v>
      </c>
      <c r="C2059" s="8" t="str">
        <f>IFERROR(__xludf.DUMMYFUNCTION("""COMPUTED_VALUE"""),"A0425010169")</f>
        <v>A0425010169</v>
      </c>
      <c r="D2059" s="8">
        <f>IFERROR(__xludf.DUMMYFUNCTION("""COMPUTED_VALUE"""),21.0)</f>
        <v>21</v>
      </c>
      <c r="E2059" s="2"/>
    </row>
    <row r="2060">
      <c r="A2060" s="2"/>
      <c r="B2060" s="8" t="str">
        <f>IFERROR(__xludf.DUMMYFUNCTION("""COMPUTED_VALUE"""),"CELLYNE ANDRIANNE")</f>
        <v>CELLYNE ANDRIANNE</v>
      </c>
      <c r="C2060" s="8" t="str">
        <f>IFERROR(__xludf.DUMMYFUNCTION("""COMPUTED_VALUE"""),"C0125019242")</f>
        <v>C0125019242</v>
      </c>
      <c r="D2060" s="8">
        <f>IFERROR(__xludf.DUMMYFUNCTION("""COMPUTED_VALUE"""),25.0)</f>
        <v>25</v>
      </c>
      <c r="E2060" s="2"/>
    </row>
    <row r="2061">
      <c r="A2061" s="2"/>
      <c r="B2061" s="8" t="str">
        <f>IFERROR(__xludf.DUMMYFUNCTION("""COMPUTED_VALUE"""),"KAYLA ANNISA AZZAHRA")</f>
        <v>KAYLA ANNISA AZZAHRA</v>
      </c>
      <c r="C2061" s="8" t="str">
        <f>IFERROR(__xludf.DUMMYFUNCTION("""COMPUTED_VALUE"""),"K0325013403")</f>
        <v>K0325013403</v>
      </c>
      <c r="D2061" s="8">
        <f>IFERROR(__xludf.DUMMYFUNCTION("""COMPUTED_VALUE"""),23.0)</f>
        <v>23</v>
      </c>
      <c r="E2061" s="2"/>
    </row>
    <row r="2062">
      <c r="A2062" s="2"/>
      <c r="B2062" s="8" t="str">
        <f>IFERROR(__xludf.DUMMYFUNCTION("""COMPUTED_VALUE"""),"BAGUS RINO CAHYADI")</f>
        <v>BAGUS RINO CAHYADI</v>
      </c>
      <c r="C2062" s="8" t="str">
        <f>IFERROR(__xludf.DUMMYFUNCTION("""COMPUTED_VALUE"""),"B6925019669")</f>
        <v>B6925019669</v>
      </c>
      <c r="D2062" s="8">
        <f>IFERROR(__xludf.DUMMYFUNCTION("""COMPUTED_VALUE"""),56.0)</f>
        <v>56</v>
      </c>
      <c r="E2062" s="2"/>
    </row>
    <row r="2063">
      <c r="A2063" s="2"/>
      <c r="B2063" s="8" t="str">
        <f>IFERROR(__xludf.DUMMYFUNCTION("""COMPUTED_VALUE"""),"ALBERT NUGRAHA")</f>
        <v>ALBERT NUGRAHA</v>
      </c>
      <c r="C2063" s="8" t="str">
        <f>IFERROR(__xludf.DUMMYFUNCTION("""COMPUTED_VALUE"""),"A8725012348")</f>
        <v>A8725012348</v>
      </c>
      <c r="D2063" s="8">
        <f>IFERROR(__xludf.DUMMYFUNCTION("""COMPUTED_VALUE"""),38.0)</f>
        <v>38</v>
      </c>
      <c r="E2063" s="2"/>
    </row>
    <row r="2064">
      <c r="A2064" s="2"/>
      <c r="B2064" s="8" t="str">
        <f>IFERROR(__xludf.DUMMYFUNCTION("""COMPUTED_VALUE"""),"YULIA PRATIWI")</f>
        <v>YULIA PRATIWI</v>
      </c>
      <c r="C2064" s="8" t="str">
        <f>IFERROR(__xludf.DUMMYFUNCTION("""COMPUTED_VALUE"""),"Y9625019716")</f>
        <v>Y9625019716</v>
      </c>
      <c r="D2064" s="8">
        <f>IFERROR(__xludf.DUMMYFUNCTION("""COMPUTED_VALUE"""),29.0)</f>
        <v>29</v>
      </c>
      <c r="E2064" s="2"/>
    </row>
    <row r="2065">
      <c r="A2065" s="2"/>
      <c r="B2065" s="8" t="str">
        <f>IFERROR(__xludf.DUMMYFUNCTION("""COMPUTED_VALUE"""),"LIAN DAMERO")</f>
        <v>LIAN DAMERO</v>
      </c>
      <c r="C2065" s="8" t="str">
        <f>IFERROR(__xludf.DUMMYFUNCTION("""COMPUTED_VALUE"""),"L9025012644")</f>
        <v>L9025012644</v>
      </c>
      <c r="D2065" s="8">
        <f>IFERROR(__xludf.DUMMYFUNCTION("""COMPUTED_VALUE"""),36.0)</f>
        <v>36</v>
      </c>
      <c r="E2065" s="2"/>
    </row>
    <row r="2066">
      <c r="A2066" s="2"/>
      <c r="B2066" s="8" t="str">
        <f>IFERROR(__xludf.DUMMYFUNCTION("""COMPUTED_VALUE"""),"OMNIAH M. BASRI")</f>
        <v>OMNIAH M. BASRI</v>
      </c>
      <c r="C2066" s="8" t="str">
        <f>IFERROR(__xludf.DUMMYFUNCTION("""COMPUTED_VALUE"""),"O4625012228")</f>
        <v>O4625012228</v>
      </c>
      <c r="D2066" s="8">
        <f>IFERROR(__xludf.DUMMYFUNCTION("""COMPUTED_VALUE"""),80.0)</f>
        <v>80</v>
      </c>
      <c r="E2066" s="2"/>
    </row>
    <row r="2067">
      <c r="A2067" s="2"/>
      <c r="B2067" s="8" t="str">
        <f>IFERROR(__xludf.DUMMYFUNCTION("""COMPUTED_VALUE"""),"ROBBI MUHAMMAD ILHAMI")</f>
        <v>ROBBI MUHAMMAD ILHAMI</v>
      </c>
      <c r="C2067" s="8" t="str">
        <f>IFERROR(__xludf.DUMMYFUNCTION("""COMPUTED_VALUE"""),"R9725012256")</f>
        <v>R9725012256</v>
      </c>
      <c r="D2067" s="8">
        <f>IFERROR(__xludf.DUMMYFUNCTION("""COMPUTED_VALUE"""),28.0)</f>
        <v>28</v>
      </c>
      <c r="E2067" s="2"/>
    </row>
    <row r="2068">
      <c r="A2068" s="2"/>
      <c r="B2068" s="8" t="str">
        <f>IFERROR(__xludf.DUMMYFUNCTION("""COMPUTED_VALUE"""),"ETHAN ORLANDO")</f>
        <v>ETHAN ORLANDO</v>
      </c>
      <c r="C2068" s="8" t="str">
        <f>IFERROR(__xludf.DUMMYFUNCTION("""COMPUTED_VALUE"""),"E1525018209")</f>
        <v>E1525018209</v>
      </c>
      <c r="D2068" s="8">
        <f>IFERROR(__xludf.DUMMYFUNCTION("""COMPUTED_VALUE"""),10.0)</f>
        <v>10</v>
      </c>
      <c r="E2068" s="2"/>
    </row>
    <row r="2069">
      <c r="A2069" s="2"/>
      <c r="B2069" s="8" t="str">
        <f>IFERROR(__xludf.DUMMYFUNCTION("""COMPUTED_VALUE"""),"RERY KURNIAWAN")</f>
        <v>RERY KURNIAWAN</v>
      </c>
      <c r="C2069" s="8" t="str">
        <f>IFERROR(__xludf.DUMMYFUNCTION("""COMPUTED_VALUE"""),"R9425012977")</f>
        <v>R9425012977</v>
      </c>
      <c r="D2069" s="8">
        <f>IFERROR(__xludf.DUMMYFUNCTION("""COMPUTED_VALUE"""),31.0)</f>
        <v>31</v>
      </c>
      <c r="E2069" s="2"/>
    </row>
    <row r="2070">
      <c r="A2070" s="2"/>
      <c r="B2070" s="8" t="str">
        <f>IFERROR(__xludf.DUMMYFUNCTION("""COMPUTED_VALUE"""),"M DZAKI NUR FAKHRI")</f>
        <v>M DZAKI NUR FAKHRI</v>
      </c>
      <c r="C2070" s="8" t="str">
        <f>IFERROR(__xludf.DUMMYFUNCTION("""COMPUTED_VALUE"""),"M0625012662")</f>
        <v>M0625012662</v>
      </c>
      <c r="D2070" s="8">
        <f>IFERROR(__xludf.DUMMYFUNCTION("""COMPUTED_VALUE"""),20.0)</f>
        <v>20</v>
      </c>
      <c r="E2070" s="2"/>
    </row>
    <row r="2071">
      <c r="A2071" s="2"/>
      <c r="B2071" s="8" t="str">
        <f>IFERROR(__xludf.DUMMYFUNCTION("""COMPUTED_VALUE"""),"AYI SEBASTIAN")</f>
        <v>AYI SEBASTIAN</v>
      </c>
      <c r="C2071" s="8" t="str">
        <f>IFERROR(__xludf.DUMMYFUNCTION("""COMPUTED_VALUE"""),"A0025017268")</f>
        <v>A0025017268</v>
      </c>
      <c r="D2071" s="8">
        <f>IFERROR(__xludf.DUMMYFUNCTION("""COMPUTED_VALUE"""),25.0)</f>
        <v>25</v>
      </c>
      <c r="E2071" s="2"/>
    </row>
    <row r="2072">
      <c r="A2072" s="2"/>
      <c r="B2072" s="8" t="str">
        <f>IFERROR(__xludf.DUMMYFUNCTION("""COMPUTED_VALUE"""),"RACHMI WULAN")</f>
        <v>RACHMI WULAN</v>
      </c>
      <c r="C2072" s="8" t="str">
        <f>IFERROR(__xludf.DUMMYFUNCTION("""COMPUTED_VALUE"""),"R9625012853")</f>
        <v>R9625012853</v>
      </c>
      <c r="D2072" s="8">
        <f>IFERROR(__xludf.DUMMYFUNCTION("""COMPUTED_VALUE"""),30.0)</f>
        <v>30</v>
      </c>
      <c r="E2072" s="2"/>
    </row>
    <row r="2073">
      <c r="A2073" s="2"/>
      <c r="B2073" s="8" t="str">
        <f>IFERROR(__xludf.DUMMYFUNCTION("""COMPUTED_VALUE"""),"M.RAFI ALFAID")</f>
        <v>M.RAFI ALFAID</v>
      </c>
      <c r="C2073" s="8" t="str">
        <f>IFERROR(__xludf.DUMMYFUNCTION("""COMPUTED_VALUE"""),"M1425012130")</f>
        <v>M1425012130</v>
      </c>
      <c r="D2073" s="8">
        <f>IFERROR(__xludf.DUMMYFUNCTION("""COMPUTED_VALUE"""),12.0)</f>
        <v>12</v>
      </c>
      <c r="E2073" s="2"/>
    </row>
    <row r="2074">
      <c r="A2074" s="2"/>
      <c r="B2074" s="8" t="str">
        <f>IFERROR(__xludf.DUMMYFUNCTION("""COMPUTED_VALUE"""),"EGI KARYANTO")</f>
        <v>EGI KARYANTO</v>
      </c>
      <c r="C2074" s="8" t="str">
        <f>IFERROR(__xludf.DUMMYFUNCTION("""COMPUTED_VALUE"""),"E9425013599")</f>
        <v>E9425013599</v>
      </c>
      <c r="D2074" s="8">
        <f>IFERROR(__xludf.DUMMYFUNCTION("""COMPUTED_VALUE"""),31.0)</f>
        <v>31</v>
      </c>
      <c r="E2074" s="2"/>
    </row>
    <row r="2075">
      <c r="A2075" s="2"/>
      <c r="B2075" s="8" t="str">
        <f>IFERROR(__xludf.DUMMYFUNCTION("""COMPUTED_VALUE"""),"RYANTO HARTONO")</f>
        <v>RYANTO HARTONO</v>
      </c>
      <c r="C2075" s="8" t="str">
        <f>IFERROR(__xludf.DUMMYFUNCTION("""COMPUTED_VALUE"""),"R9325015851")</f>
        <v>R9325015851</v>
      </c>
      <c r="D2075" s="8">
        <f>IFERROR(__xludf.DUMMYFUNCTION("""COMPUTED_VALUE"""),32.0)</f>
        <v>32</v>
      </c>
      <c r="E2075" s="2"/>
    </row>
    <row r="2076">
      <c r="A2076" s="2"/>
      <c r="B2076" s="8" t="str">
        <f>IFERROR(__xludf.DUMMYFUNCTION("""COMPUTED_VALUE"""),"SITI RUKASIH")</f>
        <v>SITI RUKASIH</v>
      </c>
      <c r="C2076" s="8" t="str">
        <f>IFERROR(__xludf.DUMMYFUNCTION("""COMPUTED_VALUE"""),"S5925017897")</f>
        <v>S5925017897</v>
      </c>
      <c r="D2076" s="8">
        <f>IFERROR(__xludf.DUMMYFUNCTION("""COMPUTED_VALUE"""),67.0)</f>
        <v>67</v>
      </c>
      <c r="E2076" s="2"/>
    </row>
    <row r="2077">
      <c r="A2077" s="2"/>
      <c r="B2077" s="8" t="str">
        <f>IFERROR(__xludf.DUMMYFUNCTION("""COMPUTED_VALUE"""),"AHLUN NAZHA DE'AIRLANGGA")</f>
        <v>AHLUN NAZHA DE'AIRLANGGA</v>
      </c>
      <c r="C2077" s="8" t="str">
        <f>IFERROR(__xludf.DUMMYFUNCTION("""COMPUTED_VALUE"""),"A0225013775")</f>
        <v>A0225013775</v>
      </c>
      <c r="D2077" s="8">
        <f>IFERROR(__xludf.DUMMYFUNCTION("""COMPUTED_VALUE"""),24.0)</f>
        <v>24</v>
      </c>
      <c r="E2077" s="2"/>
    </row>
    <row r="2078">
      <c r="A2078" s="2"/>
      <c r="B2078" s="8" t="str">
        <f>IFERROR(__xludf.DUMMYFUNCTION("""COMPUTED_VALUE"""),"YANTI")</f>
        <v>YANTI</v>
      </c>
      <c r="C2078" s="8" t="str">
        <f>IFERROR(__xludf.DUMMYFUNCTION("""COMPUTED_VALUE"""),"Y6225011402")</f>
        <v>Y6225011402</v>
      </c>
      <c r="D2078" s="8">
        <f>IFERROR(__xludf.DUMMYFUNCTION("""COMPUTED_VALUE"""),64.0)</f>
        <v>64</v>
      </c>
      <c r="E2078" s="2"/>
    </row>
    <row r="2079">
      <c r="A2079" s="2"/>
      <c r="B2079" s="8" t="str">
        <f>IFERROR(__xludf.DUMMYFUNCTION("""COMPUTED_VALUE"""),"SUDIRMAN")</f>
        <v>SUDIRMAN</v>
      </c>
      <c r="C2079" s="8" t="str">
        <f>IFERROR(__xludf.DUMMYFUNCTION("""COMPUTED_VALUE"""),"S8225012500")</f>
        <v>S8225012500</v>
      </c>
      <c r="D2079" s="8">
        <f>IFERROR(__xludf.DUMMYFUNCTION("""COMPUTED_VALUE"""),44.0)</f>
        <v>44</v>
      </c>
      <c r="E2079" s="2"/>
    </row>
    <row r="2080">
      <c r="A2080" s="2"/>
      <c r="B2080" s="8" t="str">
        <f>IFERROR(__xludf.DUMMYFUNCTION("""COMPUTED_VALUE"""),"HARYA PAMUNGKAS")</f>
        <v>HARYA PAMUNGKAS</v>
      </c>
      <c r="C2080" s="8" t="str">
        <f>IFERROR(__xludf.DUMMYFUNCTION("""COMPUTED_VALUE"""),"H9225017791")</f>
        <v>H9225017791</v>
      </c>
      <c r="D2080" s="8">
        <f>IFERROR(__xludf.DUMMYFUNCTION("""COMPUTED_VALUE"""),33.0)</f>
        <v>33</v>
      </c>
      <c r="E2080" s="2"/>
    </row>
    <row r="2081">
      <c r="A2081" s="2"/>
      <c r="B2081" s="8" t="str">
        <f>IFERROR(__xludf.DUMMYFUNCTION("""COMPUTED_VALUE"""),"LOUIS GERALDO LAYARDA")</f>
        <v>LOUIS GERALDO LAYARDA</v>
      </c>
      <c r="C2081" s="8" t="str">
        <f>IFERROR(__xludf.DUMMYFUNCTION("""COMPUTED_VALUE"""),"L0425016507")</f>
        <v>L0425016507</v>
      </c>
      <c r="D2081" s="8">
        <f>IFERROR(__xludf.DUMMYFUNCTION("""COMPUTED_VALUE"""),22.0)</f>
        <v>22</v>
      </c>
      <c r="E2081" s="2"/>
    </row>
    <row r="2082">
      <c r="A2082" s="2"/>
      <c r="B2082" s="8" t="str">
        <f>IFERROR(__xludf.DUMMYFUNCTION("""COMPUTED_VALUE"""),"MUHAMMAD VIKI SYURIANSAH")</f>
        <v>MUHAMMAD VIKI SYURIANSAH</v>
      </c>
      <c r="C2082" s="8" t="str">
        <f>IFERROR(__xludf.DUMMYFUNCTION("""COMPUTED_VALUE"""),"M8625010468")</f>
        <v>M8625010468</v>
      </c>
      <c r="D2082" s="8">
        <f>IFERROR(__xludf.DUMMYFUNCTION("""COMPUTED_VALUE"""),39.0)</f>
        <v>39</v>
      </c>
      <c r="E2082" s="2"/>
    </row>
    <row r="2083">
      <c r="A2083" s="2"/>
      <c r="B2083" s="8" t="str">
        <f>IFERROR(__xludf.DUMMYFUNCTION("""COMPUTED_VALUE"""),"YOGI DANAR KARISMANTO")</f>
        <v>YOGI DANAR KARISMANTO</v>
      </c>
      <c r="C2083" s="8" t="str">
        <f>IFERROR(__xludf.DUMMYFUNCTION("""COMPUTED_VALUE"""),"Y0025018210")</f>
        <v>Y0025018210</v>
      </c>
      <c r="D2083" s="8">
        <f>IFERROR(__xludf.DUMMYFUNCTION("""COMPUTED_VALUE"""),26.0)</f>
        <v>26</v>
      </c>
      <c r="E2083" s="2"/>
    </row>
    <row r="2084">
      <c r="A2084" s="2"/>
      <c r="B2084" s="8" t="str">
        <f>IFERROR(__xludf.DUMMYFUNCTION("""COMPUTED_VALUE"""),"Muhammad Oktafiriandi")</f>
        <v>Muhammad Oktafiriandi</v>
      </c>
      <c r="C2084" s="8" t="str">
        <f>IFERROR(__xludf.DUMMYFUNCTION("""COMPUTED_VALUE"""),"M0425018638")</f>
        <v>M0425018638</v>
      </c>
      <c r="D2084" s="8">
        <f>IFERROR(__xludf.DUMMYFUNCTION("""COMPUTED_VALUE"""),21.0)</f>
        <v>21</v>
      </c>
      <c r="E2084" s="2"/>
    </row>
    <row r="2085">
      <c r="A2085" s="2"/>
      <c r="B2085" s="8" t="str">
        <f>IFERROR(__xludf.DUMMYFUNCTION("""COMPUTED_VALUE"""),"SLAMET")</f>
        <v>SLAMET</v>
      </c>
      <c r="C2085" s="8" t="str">
        <f>IFERROR(__xludf.DUMMYFUNCTION("""COMPUTED_VALUE"""),"S632501")</f>
        <v>S632501</v>
      </c>
      <c r="D2085" s="8">
        <f>IFERROR(__xludf.DUMMYFUNCTION("""COMPUTED_VALUE"""),63.0)</f>
        <v>63</v>
      </c>
      <c r="E2085" s="2"/>
    </row>
    <row r="2086">
      <c r="A2086" s="2"/>
      <c r="B2086" s="8" t="str">
        <f>IFERROR(__xludf.DUMMYFUNCTION("""COMPUTED_VALUE"""),"PHANDYA GRIYA HANDARU")</f>
        <v>PHANDYA GRIYA HANDARU</v>
      </c>
      <c r="C2086" s="8" t="str">
        <f>IFERROR(__xludf.DUMMYFUNCTION("""COMPUTED_VALUE"""),"P0025013445")</f>
        <v>P0025013445</v>
      </c>
      <c r="D2086" s="8">
        <f>IFERROR(__xludf.DUMMYFUNCTION("""COMPUTED_VALUE"""),26.0)</f>
        <v>26</v>
      </c>
      <c r="E2086" s="2"/>
    </row>
    <row r="2087">
      <c r="A2087" s="2"/>
      <c r="B2087" s="8" t="str">
        <f>IFERROR(__xludf.DUMMYFUNCTION("""COMPUTED_VALUE"""),"RICKY ALEXANDER KAM")</f>
        <v>RICKY ALEXANDER KAM</v>
      </c>
      <c r="C2087" s="8" t="str">
        <f>IFERROR(__xludf.DUMMYFUNCTION("""COMPUTED_VALUE"""),"R9425011160")</f>
        <v>R9425011160</v>
      </c>
      <c r="D2087" s="8">
        <f>IFERROR(__xludf.DUMMYFUNCTION("""COMPUTED_VALUE"""),31.0)</f>
        <v>31</v>
      </c>
      <c r="E2087" s="2"/>
    </row>
    <row r="2088">
      <c r="A2088" s="2"/>
      <c r="B2088" s="8" t="str">
        <f>IFERROR(__xludf.DUMMYFUNCTION("""COMPUTED_VALUE"""),"LUCKY ARYA SUMANTRI")</f>
        <v>LUCKY ARYA SUMANTRI</v>
      </c>
      <c r="C2088" s="8" t="str">
        <f>IFERROR(__xludf.DUMMYFUNCTION("""COMPUTED_VALUE"""),"L1725010840")</f>
        <v>L1725010840</v>
      </c>
      <c r="D2088" s="8">
        <f>IFERROR(__xludf.DUMMYFUNCTION("""COMPUTED_VALUE"""),8.0)</f>
        <v>8</v>
      </c>
      <c r="E2088" s="2"/>
    </row>
    <row r="2089">
      <c r="A2089" s="2"/>
      <c r="B2089" s="8" t="str">
        <f>IFERROR(__xludf.DUMMYFUNCTION("""COMPUTED_VALUE"""),"ARY CANDRA")</f>
        <v>ARY CANDRA</v>
      </c>
      <c r="C2089" s="8" t="str">
        <f>IFERROR(__xludf.DUMMYFUNCTION("""COMPUTED_VALUE"""),"A0125012070")</f>
        <v>A0125012070</v>
      </c>
      <c r="D2089" s="8">
        <f>IFERROR(__xludf.DUMMYFUNCTION("""COMPUTED_VALUE"""),25.0)</f>
        <v>25</v>
      </c>
      <c r="E2089" s="2"/>
    </row>
    <row r="2090">
      <c r="A2090" s="2"/>
      <c r="B2090" s="8" t="str">
        <f>IFERROR(__xludf.DUMMYFUNCTION("""COMPUTED_VALUE"""),"FAIZ DHIYAUL HAQ NURMANDA")</f>
        <v>FAIZ DHIYAUL HAQ NURMANDA</v>
      </c>
      <c r="C2090" s="8" t="str">
        <f>IFERROR(__xludf.DUMMYFUNCTION("""COMPUTED_VALUE"""),"F9425010404")</f>
        <v>F9425010404</v>
      </c>
      <c r="D2090" s="8">
        <f>IFERROR(__xludf.DUMMYFUNCTION("""COMPUTED_VALUE"""),32.0)</f>
        <v>32</v>
      </c>
      <c r="E2090" s="2"/>
    </row>
    <row r="2091">
      <c r="A2091" s="2"/>
      <c r="B2091" s="8" t="str">
        <f>IFERROR(__xludf.DUMMYFUNCTION("""COMPUTED_VALUE"""),"YOSEP")</f>
        <v>YOSEP</v>
      </c>
      <c r="C2091" s="8" t="str">
        <f>IFERROR(__xludf.DUMMYFUNCTION("""COMPUTED_VALUE"""),"Y8425016286")</f>
        <v>Y8425016286</v>
      </c>
      <c r="D2091" s="8">
        <f>IFERROR(__xludf.DUMMYFUNCTION("""COMPUTED_VALUE"""),41.0)</f>
        <v>41</v>
      </c>
      <c r="E2091" s="2"/>
    </row>
    <row r="2092">
      <c r="A2092" s="2"/>
      <c r="B2092" s="8" t="str">
        <f>IFERROR(__xludf.DUMMYFUNCTION("""COMPUTED_VALUE"""),"FENY ARYANI")</f>
        <v>FENY ARYANI</v>
      </c>
      <c r="C2092" s="8" t="str">
        <f>IFERROR(__xludf.DUMMYFUNCTION("""COMPUTED_VALUE"""),"F9525010167")</f>
        <v>F9525010167</v>
      </c>
      <c r="D2092" s="8">
        <f>IFERROR(__xludf.DUMMYFUNCTION("""COMPUTED_VALUE"""),31.0)</f>
        <v>31</v>
      </c>
      <c r="E2092" s="2"/>
    </row>
    <row r="2093">
      <c r="A2093" s="2"/>
      <c r="B2093" s="8" t="str">
        <f>IFERROR(__xludf.DUMMYFUNCTION("""COMPUTED_VALUE"""),"RANDY EKO JULIANTO")</f>
        <v>RANDY EKO JULIANTO</v>
      </c>
      <c r="C2093" s="8" t="str">
        <f>IFERROR(__xludf.DUMMYFUNCTION("""COMPUTED_VALUE"""),"R0225015617")</f>
        <v>R0225015617</v>
      </c>
      <c r="D2093" s="8">
        <f>IFERROR(__xludf.DUMMYFUNCTION("""COMPUTED_VALUE"""),24.0)</f>
        <v>24</v>
      </c>
      <c r="E2093" s="2"/>
    </row>
    <row r="2094">
      <c r="A2094" s="2"/>
      <c r="B2094" s="8" t="str">
        <f>IFERROR(__xludf.DUMMYFUNCTION("""COMPUTED_VALUE"""),"ALDI RANDY YUDO")</f>
        <v>ALDI RANDY YUDO</v>
      </c>
      <c r="C2094" s="8" t="str">
        <f>IFERROR(__xludf.DUMMYFUNCTION("""COMPUTED_VALUE"""),"A9225012020")</f>
        <v>A9225012020</v>
      </c>
      <c r="D2094" s="8">
        <f>IFERROR(__xludf.DUMMYFUNCTION("""COMPUTED_VALUE"""),34.0)</f>
        <v>34</v>
      </c>
      <c r="E2094" s="2"/>
    </row>
    <row r="2095">
      <c r="A2095" s="2"/>
      <c r="B2095" s="8" t="str">
        <f>IFERROR(__xludf.DUMMYFUNCTION("""COMPUTED_VALUE"""),"ELI HERLINA")</f>
        <v>ELI HERLINA</v>
      </c>
      <c r="C2095" s="8" t="str">
        <f>IFERROR(__xludf.DUMMYFUNCTION("""COMPUTED_VALUE"""),"E6025018936")</f>
        <v>E6025018936</v>
      </c>
      <c r="D2095" s="8">
        <f>IFERROR(__xludf.DUMMYFUNCTION("""COMPUTED_VALUE"""),66.0)</f>
        <v>66</v>
      </c>
      <c r="E2095" s="2"/>
    </row>
    <row r="2096">
      <c r="A2096" s="2"/>
      <c r="B2096" s="8" t="str">
        <f>IFERROR(__xludf.DUMMYFUNCTION("""COMPUTED_VALUE"""),"YADI RUSTANDI, SH")</f>
        <v>YADI RUSTANDI, SH</v>
      </c>
      <c r="C2096" s="8" t="str">
        <f>IFERROR(__xludf.DUMMYFUNCTION("""COMPUTED_VALUE"""),"Y7525028393")</f>
        <v>Y7525028393</v>
      </c>
      <c r="D2096" s="8">
        <f>IFERROR(__xludf.DUMMYFUNCTION("""COMPUTED_VALUE"""),51.0)</f>
        <v>51</v>
      </c>
      <c r="E2096" s="2"/>
    </row>
    <row r="2097">
      <c r="A2097" s="2"/>
      <c r="B2097" s="8" t="str">
        <f>IFERROR(__xludf.DUMMYFUNCTION("""COMPUTED_VALUE"""),"ADAM SURYA")</f>
        <v>ADAM SURYA</v>
      </c>
      <c r="C2097" s="8" t="str">
        <f>IFERROR(__xludf.DUMMYFUNCTION("""COMPUTED_VALUE"""),"A9825014940")</f>
        <v>A9825014940</v>
      </c>
      <c r="D2097" s="8">
        <f>IFERROR(__xludf.DUMMYFUNCTION("""COMPUTED_VALUE"""),27.0)</f>
        <v>27</v>
      </c>
      <c r="E2097" s="2"/>
    </row>
    <row r="2098">
      <c r="A2098" s="2"/>
      <c r="B2098" s="8" t="str">
        <f>IFERROR(__xludf.DUMMYFUNCTION("""COMPUTED_VALUE"""),"AGUS BUDIARTI")</f>
        <v>AGUS BUDIARTI</v>
      </c>
      <c r="C2098" s="8" t="str">
        <f>IFERROR(__xludf.DUMMYFUNCTION("""COMPUTED_VALUE"""),"A7625011477")</f>
        <v>A7625011477</v>
      </c>
      <c r="D2098" s="8">
        <f>IFERROR(__xludf.DUMMYFUNCTION("""COMPUTED_VALUE"""),49.0)</f>
        <v>49</v>
      </c>
      <c r="E2098" s="2"/>
    </row>
    <row r="2099">
      <c r="A2099" s="2"/>
      <c r="B2099" s="8" t="str">
        <f>IFERROR(__xludf.DUMMYFUNCTION("""COMPUTED_VALUE"""),"ROSSY MARVITA")</f>
        <v>ROSSY MARVITA</v>
      </c>
      <c r="C2099" s="8" t="str">
        <f>IFERROR(__xludf.DUMMYFUNCTION("""COMPUTED_VALUE"""),"R9325015150")</f>
        <v>R9325015150</v>
      </c>
      <c r="D2099" s="8">
        <f>IFERROR(__xludf.DUMMYFUNCTION("""COMPUTED_VALUE"""),33.0)</f>
        <v>33</v>
      </c>
      <c r="E2099" s="2"/>
    </row>
    <row r="2100">
      <c r="A2100" s="2"/>
      <c r="B2100" s="8" t="str">
        <f>IFERROR(__xludf.DUMMYFUNCTION("""COMPUTED_VALUE"""),"ANITA")</f>
        <v>ANITA</v>
      </c>
      <c r="C2100" s="8" t="str">
        <f>IFERROR(__xludf.DUMMYFUNCTION("""COMPUTED_VALUE"""),"A6925019797")</f>
        <v>A6925019797</v>
      </c>
      <c r="D2100" s="8">
        <f>IFERROR(__xludf.DUMMYFUNCTION("""COMPUTED_VALUE"""),56.0)</f>
        <v>56</v>
      </c>
      <c r="E2100" s="2"/>
    </row>
    <row r="2101">
      <c r="A2101" s="2"/>
      <c r="B2101" s="8" t="str">
        <f>IFERROR(__xludf.DUMMYFUNCTION("""COMPUTED_VALUE"""),"NOVA KASIANTO")</f>
        <v>NOVA KASIANTO</v>
      </c>
      <c r="C2101" s="8" t="str">
        <f>IFERROR(__xludf.DUMMYFUNCTION("""COMPUTED_VALUE"""),"N9025011999")</f>
        <v>N9025011999</v>
      </c>
      <c r="D2101" s="8">
        <f>IFERROR(__xludf.DUMMYFUNCTION("""COMPUTED_VALUE"""),35.0)</f>
        <v>35</v>
      </c>
      <c r="E2101" s="2"/>
    </row>
    <row r="2102">
      <c r="A2102" s="2"/>
      <c r="B2102" s="8" t="str">
        <f>IFERROR(__xludf.DUMMYFUNCTION("""COMPUTED_VALUE"""),"SYA'BAN PRATAMA VADLI")</f>
        <v>SYA'BAN PRATAMA VADLI</v>
      </c>
      <c r="C2102" s="8" t="str">
        <f>IFERROR(__xludf.DUMMYFUNCTION("""COMPUTED_VALUE"""),"S9225019677")</f>
        <v>S9225019677</v>
      </c>
      <c r="D2102" s="8">
        <f>IFERROR(__xludf.DUMMYFUNCTION("""COMPUTED_VALUE"""),34.0)</f>
        <v>34</v>
      </c>
      <c r="E2102" s="2"/>
    </row>
    <row r="2103">
      <c r="A2103" s="2"/>
      <c r="B2103" s="8" t="str">
        <f>IFERROR(__xludf.DUMMYFUNCTION("""COMPUTED_VALUE"""),"DIAN NOVITA IRIANI, S.STP")</f>
        <v>DIAN NOVITA IRIANI, S.STP</v>
      </c>
      <c r="C2103" s="8" t="str">
        <f>IFERROR(__xludf.DUMMYFUNCTION("""COMPUTED_VALUE"""),"D8625021898")</f>
        <v>D8625021898</v>
      </c>
      <c r="D2103" s="8">
        <f>IFERROR(__xludf.DUMMYFUNCTION("""COMPUTED_VALUE"""),40.0)</f>
        <v>40</v>
      </c>
      <c r="E2103" s="2"/>
    </row>
    <row r="2104">
      <c r="A2104" s="2"/>
      <c r="B2104" s="8" t="str">
        <f>IFERROR(__xludf.DUMMYFUNCTION("""COMPUTED_VALUE"""),"RADITYA GEMILANG ARYANDA")</f>
        <v>RADITYA GEMILANG ARYANDA</v>
      </c>
      <c r="C2104" s="8" t="str">
        <f>IFERROR(__xludf.DUMMYFUNCTION("""COMPUTED_VALUE"""),"R9125021636")</f>
        <v>R9125021636</v>
      </c>
      <c r="D2104" s="8">
        <f>IFERROR(__xludf.DUMMYFUNCTION("""COMPUTED_VALUE"""),35.0)</f>
        <v>35</v>
      </c>
      <c r="E2104" s="2"/>
    </row>
    <row r="2105">
      <c r="A2105" s="2"/>
      <c r="B2105" s="8" t="str">
        <f>IFERROR(__xludf.DUMMYFUNCTION("""COMPUTED_VALUE"""),"WAHDIYATI")</f>
        <v>WAHDIYATI</v>
      </c>
      <c r="C2105" s="8" t="str">
        <f>IFERROR(__xludf.DUMMYFUNCTION("""COMPUTED_VALUE"""),"W6225027911")</f>
        <v>W6225027911</v>
      </c>
      <c r="D2105" s="8">
        <f>IFERROR(__xludf.DUMMYFUNCTION("""COMPUTED_VALUE"""),64.0)</f>
        <v>64</v>
      </c>
      <c r="E2105" s="2"/>
    </row>
    <row r="2106">
      <c r="A2106" s="2"/>
      <c r="B2106" s="8" t="str">
        <f>IFERROR(__xludf.DUMMYFUNCTION("""COMPUTED_VALUE"""),"RAFFY PRATAMA PUTRA")</f>
        <v>RAFFY PRATAMA PUTRA</v>
      </c>
      <c r="C2106" s="8" t="str">
        <f>IFERROR(__xludf.DUMMYFUNCTION("""COMPUTED_VALUE"""),"R9725029709")</f>
        <v>R9725029709</v>
      </c>
      <c r="D2106" s="8">
        <f>IFERROR(__xludf.DUMMYFUNCTION("""COMPUTED_VALUE"""),29.0)</f>
        <v>29</v>
      </c>
      <c r="E2106" s="2"/>
    </row>
    <row r="2107">
      <c r="A2107" s="2"/>
      <c r="B2107" s="8" t="str">
        <f>IFERROR(__xludf.DUMMYFUNCTION("""COMPUTED_VALUE"""),"SURYA MAULANA TANJUNG")</f>
        <v>SURYA MAULANA TANJUNG</v>
      </c>
      <c r="C2107" s="8" t="str">
        <f>IFERROR(__xludf.DUMMYFUNCTION("""COMPUTED_VALUE"""),"S2525024647")</f>
        <v>S2525024647</v>
      </c>
      <c r="D2107" s="8">
        <f>IFERROR(__xludf.DUMMYFUNCTION("""COMPUTED_VALUE"""),1.0)</f>
        <v>1</v>
      </c>
      <c r="E2107" s="2"/>
    </row>
    <row r="2108">
      <c r="A2108" s="2"/>
      <c r="B2108" s="8" t="str">
        <f>IFERROR(__xludf.DUMMYFUNCTION("""COMPUTED_VALUE"""),"DWI SANTHIKA")</f>
        <v>DWI SANTHIKA</v>
      </c>
      <c r="C2108" s="8" t="str">
        <f>IFERROR(__xludf.DUMMYFUNCTION("""COMPUTED_VALUE"""),"D7225029198")</f>
        <v>D7225029198</v>
      </c>
      <c r="D2108" s="8">
        <f>IFERROR(__xludf.DUMMYFUNCTION("""COMPUTED_VALUE"""),54.0)</f>
        <v>54</v>
      </c>
      <c r="E2108" s="2"/>
    </row>
    <row r="2109">
      <c r="A2109" s="2"/>
      <c r="B2109" s="8" t="str">
        <f>IFERROR(__xludf.DUMMYFUNCTION("""COMPUTED_VALUE"""),"DODI WISDIANSYAH")</f>
        <v>DODI WISDIANSYAH</v>
      </c>
      <c r="C2109" s="8" t="str">
        <f>IFERROR(__xludf.DUMMYFUNCTION("""COMPUTED_VALUE"""),"D9525020410")</f>
        <v>D9525020410</v>
      </c>
      <c r="D2109" s="8">
        <f>IFERROR(__xludf.DUMMYFUNCTION("""COMPUTED_VALUE"""),31.0)</f>
        <v>31</v>
      </c>
      <c r="E2109" s="2"/>
    </row>
    <row r="2110">
      <c r="A2110" s="2"/>
      <c r="B2110" s="8" t="str">
        <f>IFERROR(__xludf.DUMMYFUNCTION("""COMPUTED_VALUE"""),"MARIO EXSEL SIAHAAN")</f>
        <v>MARIO EXSEL SIAHAAN</v>
      </c>
      <c r="C2110" s="8" t="str">
        <f>IFERROR(__xludf.DUMMYFUNCTION("""COMPUTED_VALUE"""),"M0625023012")</f>
        <v>M0625023012</v>
      </c>
      <c r="D2110" s="8">
        <f>IFERROR(__xludf.DUMMYFUNCTION("""COMPUTED_VALUE"""),19.0)</f>
        <v>19</v>
      </c>
      <c r="E2110" s="2"/>
    </row>
    <row r="2111">
      <c r="A2111" s="2"/>
      <c r="B2111" s="8" t="str">
        <f>IFERROR(__xludf.DUMMYFUNCTION("""COMPUTED_VALUE"""),"INDRA WIBOWO")</f>
        <v>INDRA WIBOWO</v>
      </c>
      <c r="C2111" s="8" t="str">
        <f>IFERROR(__xludf.DUMMYFUNCTION("""COMPUTED_VALUE"""),"I9825029801")</f>
        <v>I9825029801</v>
      </c>
      <c r="D2111" s="8">
        <f>IFERROR(__xludf.DUMMYFUNCTION("""COMPUTED_VALUE"""),28.0)</f>
        <v>28</v>
      </c>
      <c r="E2111" s="2"/>
    </row>
    <row r="2112">
      <c r="A2112" s="2"/>
      <c r="B2112" s="8" t="str">
        <f>IFERROR(__xludf.DUMMYFUNCTION("""COMPUTED_VALUE"""),"MEGAWATI LANIA VIDYA")</f>
        <v>MEGAWATI LANIA VIDYA</v>
      </c>
      <c r="C2112" s="8" t="str">
        <f>IFERROR(__xludf.DUMMYFUNCTION("""COMPUTED_VALUE"""),"M9825020363")</f>
        <v>M9825020363</v>
      </c>
      <c r="D2112" s="8">
        <f>IFERROR(__xludf.DUMMYFUNCTION("""COMPUTED_VALUE"""),27.0)</f>
        <v>27</v>
      </c>
      <c r="E2112" s="2"/>
    </row>
    <row r="2113">
      <c r="A2113" s="2"/>
      <c r="B2113" s="8" t="str">
        <f>IFERROR(__xludf.DUMMYFUNCTION("""COMPUTED_VALUE"""),"ANISA B.SIMARE-MARE")</f>
        <v>ANISA B.SIMARE-MARE</v>
      </c>
      <c r="C2113" s="8" t="str">
        <f>IFERROR(__xludf.DUMMYFUNCTION("""COMPUTED_VALUE"""),"A0225027764")</f>
        <v>A0225027764</v>
      </c>
      <c r="D2113" s="8">
        <f>IFERROR(__xludf.DUMMYFUNCTION("""COMPUTED_VALUE"""),23.0)</f>
        <v>23</v>
      </c>
      <c r="E2113" s="2"/>
    </row>
    <row r="2114">
      <c r="A2114" s="2"/>
      <c r="B2114" s="8" t="str">
        <f>IFERROR(__xludf.DUMMYFUNCTION("""COMPUTED_VALUE"""),"RACHEL HANNY AULIA SILALAHI")</f>
        <v>RACHEL HANNY AULIA SILALAHI</v>
      </c>
      <c r="C2114" s="8" t="str">
        <f>IFERROR(__xludf.DUMMYFUNCTION("""COMPUTED_VALUE"""),"R0725025855")</f>
        <v>R0725025855</v>
      </c>
      <c r="D2114" s="8">
        <f>IFERROR(__xludf.DUMMYFUNCTION("""COMPUTED_VALUE"""),19.0)</f>
        <v>19</v>
      </c>
      <c r="E2114" s="2"/>
    </row>
    <row r="2115">
      <c r="A2115" s="2"/>
      <c r="B2115" s="8" t="str">
        <f>IFERROR(__xludf.DUMMYFUNCTION("""COMPUTED_VALUE"""),"VIOLET PUTRI ANGELIE")</f>
        <v>VIOLET PUTRI ANGELIE</v>
      </c>
      <c r="C2115" s="8" t="str">
        <f>IFERROR(__xludf.DUMMYFUNCTION("""COMPUTED_VALUE"""),"V0825023480")</f>
        <v>V0825023480</v>
      </c>
      <c r="D2115" s="8">
        <f>IFERROR(__xludf.DUMMYFUNCTION("""COMPUTED_VALUE"""),18.0)</f>
        <v>18</v>
      </c>
      <c r="E2115" s="2"/>
    </row>
    <row r="2116">
      <c r="A2116" s="2"/>
      <c r="B2116" s="8" t="str">
        <f>IFERROR(__xludf.DUMMYFUNCTION("""COMPUTED_VALUE"""),"SAMUEL SETIAWAN")</f>
        <v>SAMUEL SETIAWAN</v>
      </c>
      <c r="C2116" s="8" t="str">
        <f>IFERROR(__xludf.DUMMYFUNCTION("""COMPUTED_VALUE"""),"S9225021055")</f>
        <v>S9225021055</v>
      </c>
      <c r="D2116" s="8">
        <f>IFERROR(__xludf.DUMMYFUNCTION("""COMPUTED_VALUE"""),33.0)</f>
        <v>33</v>
      </c>
      <c r="E2116" s="2"/>
    </row>
    <row r="2117">
      <c r="A2117" s="2"/>
      <c r="B2117" s="8" t="str">
        <f>IFERROR(__xludf.DUMMYFUNCTION("""COMPUTED_VALUE"""),"RAMADHAN 9402")</f>
        <v>RAMADHAN 9402</v>
      </c>
      <c r="C2117" s="8" t="str">
        <f>IFERROR(__xludf.DUMMYFUNCTION("""COMPUTED_VALUE"""),"R9425021905")</f>
        <v>R9425021905</v>
      </c>
      <c r="D2117" s="8">
        <f>IFERROR(__xludf.DUMMYFUNCTION("""COMPUTED_VALUE"""),32.0)</f>
        <v>32</v>
      </c>
      <c r="E2117" s="2"/>
    </row>
    <row r="2118">
      <c r="A2118" s="2"/>
      <c r="B2118" s="8" t="str">
        <f>IFERROR(__xludf.DUMMYFUNCTION("""COMPUTED_VALUE"""),"HADINATA SAPUTRA LIM")</f>
        <v>HADINATA SAPUTRA LIM</v>
      </c>
      <c r="C2118" s="8" t="str">
        <f>IFERROR(__xludf.DUMMYFUNCTION("""COMPUTED_VALUE"""),"H9125028670")</f>
        <v>H9125028670</v>
      </c>
      <c r="D2118" s="8">
        <f>IFERROR(__xludf.DUMMYFUNCTION("""COMPUTED_VALUE"""),34.0)</f>
        <v>34</v>
      </c>
      <c r="E2118" s="2"/>
    </row>
    <row r="2119">
      <c r="A2119" s="2"/>
      <c r="B2119" s="8" t="str">
        <f>IFERROR(__xludf.DUMMYFUNCTION("""COMPUTED_VALUE"""),"PIETER ANDAS PARINATHA")</f>
        <v>PIETER ANDAS PARINATHA</v>
      </c>
      <c r="C2119" s="8" t="str">
        <f>IFERROR(__xludf.DUMMYFUNCTION("""COMPUTED_VALUE"""),"P8925028614")</f>
        <v>P8925028614</v>
      </c>
      <c r="D2119" s="8">
        <f>IFERROR(__xludf.DUMMYFUNCTION("""COMPUTED_VALUE"""),37.0)</f>
        <v>37</v>
      </c>
      <c r="E2119" s="2"/>
    </row>
    <row r="2120">
      <c r="A2120" s="2"/>
      <c r="B2120" s="8" t="str">
        <f>IFERROR(__xludf.DUMMYFUNCTION("""COMPUTED_VALUE"""),"SUGITO 6304")</f>
        <v>SUGITO 6304</v>
      </c>
      <c r="C2120" s="8" t="str">
        <f>IFERROR(__xludf.DUMMYFUNCTION("""COMPUTED_VALUE"""),"S6325021205")</f>
        <v>S6325021205</v>
      </c>
      <c r="D2120" s="8">
        <f>IFERROR(__xludf.DUMMYFUNCTION("""COMPUTED_VALUE"""),63.0)</f>
        <v>63</v>
      </c>
      <c r="E2120" s="2"/>
    </row>
    <row r="2121">
      <c r="A2121" s="2"/>
      <c r="B2121" s="8" t="str">
        <f>IFERROR(__xludf.DUMMYFUNCTION("""COMPUTED_VALUE"""),"FAJAR KURNIANINGSIH")</f>
        <v>FAJAR KURNIANINGSIH</v>
      </c>
      <c r="C2121" s="8" t="str">
        <f>IFERROR(__xludf.DUMMYFUNCTION("""COMPUTED_VALUE"""),"F7725026500")</f>
        <v>F7725026500</v>
      </c>
      <c r="D2121" s="8">
        <f>IFERROR(__xludf.DUMMYFUNCTION("""COMPUTED_VALUE"""),49.0)</f>
        <v>49</v>
      </c>
      <c r="E2121" s="2"/>
    </row>
    <row r="2122">
      <c r="A2122" s="2"/>
      <c r="B2122" s="8" t="str">
        <f>IFERROR(__xludf.DUMMYFUNCTION("""COMPUTED_VALUE"""),"MEIDI AHDIYAT KARUNIA")</f>
        <v>MEIDI AHDIYAT KARUNIA</v>
      </c>
      <c r="C2122" s="8" t="str">
        <f>IFERROR(__xludf.DUMMYFUNCTION("""COMPUTED_VALUE"""),"M9325024140")</f>
        <v>M9325024140</v>
      </c>
      <c r="D2122" s="8">
        <f>IFERROR(__xludf.DUMMYFUNCTION("""COMPUTED_VALUE"""),33.0)</f>
        <v>33</v>
      </c>
      <c r="E2122" s="2"/>
    </row>
    <row r="2123">
      <c r="A2123" s="2"/>
      <c r="B2123" s="8" t="str">
        <f>IFERROR(__xludf.DUMMYFUNCTION("""COMPUTED_VALUE"""),"EKO DARMADI")</f>
        <v>EKO DARMADI</v>
      </c>
      <c r="C2123" s="8" t="str">
        <f>IFERROR(__xludf.DUMMYFUNCTION("""COMPUTED_VALUE"""),"E8825027712")</f>
        <v>E8825027712</v>
      </c>
      <c r="D2123" s="8">
        <f>IFERROR(__xludf.DUMMYFUNCTION("""COMPUTED_VALUE"""),37.0)</f>
        <v>37</v>
      </c>
      <c r="E2123" s="2"/>
    </row>
    <row r="2124">
      <c r="A2124" s="2"/>
      <c r="B2124" s="8" t="str">
        <f>IFERROR(__xludf.DUMMYFUNCTION("""COMPUTED_VALUE"""),"JAFAR MUSTOPA")</f>
        <v>JAFAR MUSTOPA</v>
      </c>
      <c r="C2124" s="8" t="str">
        <f>IFERROR(__xludf.DUMMYFUNCTION("""COMPUTED_VALUE"""),"J872502")</f>
        <v>J872502</v>
      </c>
      <c r="D2124" s="8">
        <f>IFERROR(__xludf.DUMMYFUNCTION("""COMPUTED_VALUE"""),38.0)</f>
        <v>38</v>
      </c>
      <c r="E2124" s="2"/>
    </row>
    <row r="2125">
      <c r="A2125" s="2"/>
      <c r="B2125" s="8" t="str">
        <f>IFERROR(__xludf.DUMMYFUNCTION("""COMPUTED_VALUE"""),"EKO WAHYUDI")</f>
        <v>EKO WAHYUDI</v>
      </c>
      <c r="C2125" s="8" t="str">
        <f>IFERROR(__xludf.DUMMYFUNCTION("""COMPUTED_VALUE"""),"E9825027790")</f>
        <v>E9825027790</v>
      </c>
      <c r="D2125" s="8">
        <f>IFERROR(__xludf.DUMMYFUNCTION("""COMPUTED_VALUE"""),27.0)</f>
        <v>27</v>
      </c>
      <c r="E2125" s="2"/>
    </row>
    <row r="2126">
      <c r="A2126" s="2"/>
      <c r="B2126" s="8" t="str">
        <f>IFERROR(__xludf.DUMMYFUNCTION("""COMPUTED_VALUE"""),"IKHSAN SYAMSI")</f>
        <v>IKHSAN SYAMSI</v>
      </c>
      <c r="C2126" s="8" t="str">
        <f>IFERROR(__xludf.DUMMYFUNCTION("""COMPUTED_VALUE"""),"I7225027415")</f>
        <v>I7225027415</v>
      </c>
      <c r="D2126" s="8">
        <f>IFERROR(__xludf.DUMMYFUNCTION("""COMPUTED_VALUE"""),53.0)</f>
        <v>53</v>
      </c>
      <c r="E2126" s="2"/>
    </row>
    <row r="2127">
      <c r="A2127" s="2"/>
      <c r="B2127" s="8" t="str">
        <f>IFERROR(__xludf.DUMMYFUNCTION("""COMPUTED_VALUE"""),"RIFQI AUNUR RAHMAN")</f>
        <v>RIFQI AUNUR RAHMAN</v>
      </c>
      <c r="C2127" s="8" t="str">
        <f>IFERROR(__xludf.DUMMYFUNCTION("""COMPUTED_VALUE"""),"R1125029192")</f>
        <v>R1125029192</v>
      </c>
      <c r="D2127" s="8">
        <f>IFERROR(__xludf.DUMMYFUNCTION("""COMPUTED_VALUE"""),14.0)</f>
        <v>14</v>
      </c>
      <c r="E2127" s="2"/>
    </row>
    <row r="2128">
      <c r="A2128" s="2"/>
      <c r="B2128" s="8" t="str">
        <f>IFERROR(__xludf.DUMMYFUNCTION("""COMPUTED_VALUE"""),"RIO HARIS SETIAWAN")</f>
        <v>RIO HARIS SETIAWAN</v>
      </c>
      <c r="C2128" s="8" t="str">
        <f>IFERROR(__xludf.DUMMYFUNCTION("""COMPUTED_VALUE"""),"R8825027949")</f>
        <v>R8825027949</v>
      </c>
      <c r="D2128" s="8">
        <f>IFERROR(__xludf.DUMMYFUNCTION("""COMPUTED_VALUE"""),38.0)</f>
        <v>38</v>
      </c>
      <c r="E2128" s="2"/>
    </row>
    <row r="2129">
      <c r="A2129" s="2"/>
      <c r="B2129" s="8" t="str">
        <f>IFERROR(__xludf.DUMMYFUNCTION("""COMPUTED_VALUE"""),"ZULKIFLI 9302")</f>
        <v>ZULKIFLI 9302</v>
      </c>
      <c r="C2129" s="8" t="str">
        <f>IFERROR(__xludf.DUMMYFUNCTION("""COMPUTED_VALUE"""),"Z9325021191")</f>
        <v>Z9325021191</v>
      </c>
      <c r="D2129" s="8">
        <f>IFERROR(__xludf.DUMMYFUNCTION("""COMPUTED_VALUE"""),33.0)</f>
        <v>33</v>
      </c>
      <c r="E2129" s="2"/>
    </row>
    <row r="2130">
      <c r="A2130" s="2"/>
      <c r="B2130" s="8" t="str">
        <f>IFERROR(__xludf.DUMMYFUNCTION("""COMPUTED_VALUE"""),"SHANE VICILIA SIM")</f>
        <v>SHANE VICILIA SIM</v>
      </c>
      <c r="C2130" s="8" t="str">
        <f>IFERROR(__xludf.DUMMYFUNCTION("""COMPUTED_VALUE"""),"S1525026960")</f>
        <v>S1525026960</v>
      </c>
      <c r="D2130" s="8">
        <f>IFERROR(__xludf.DUMMYFUNCTION("""COMPUTED_VALUE"""),10.0)</f>
        <v>10</v>
      </c>
      <c r="E2130" s="2"/>
    </row>
    <row r="2131">
      <c r="A2131" s="2"/>
      <c r="B2131" s="8" t="str">
        <f>IFERROR(__xludf.DUMMYFUNCTION("""COMPUTED_VALUE"""),"HENDI GUSNADI")</f>
        <v>HENDI GUSNADI</v>
      </c>
      <c r="C2131" s="8" t="str">
        <f>IFERROR(__xludf.DUMMYFUNCTION("""COMPUTED_VALUE"""),"H0025022473")</f>
        <v>H0025022473</v>
      </c>
      <c r="D2131" s="8">
        <f>IFERROR(__xludf.DUMMYFUNCTION("""COMPUTED_VALUE"""),26.0)</f>
        <v>26</v>
      </c>
      <c r="E2131" s="2"/>
    </row>
    <row r="2132">
      <c r="A2132" s="2"/>
      <c r="B2132" s="8" t="str">
        <f>IFERROR(__xludf.DUMMYFUNCTION("""COMPUTED_VALUE"""),"ANGGITA WAHYUNINGRUM")</f>
        <v>ANGGITA WAHYUNINGRUM</v>
      </c>
      <c r="C2132" s="8" t="str">
        <f>IFERROR(__xludf.DUMMYFUNCTION("""COMPUTED_VALUE"""),"A0125026454")</f>
        <v>A0125026454</v>
      </c>
      <c r="D2132" s="8">
        <f>IFERROR(__xludf.DUMMYFUNCTION("""COMPUTED_VALUE"""),25.0)</f>
        <v>25</v>
      </c>
      <c r="E2132" s="2"/>
    </row>
    <row r="2133">
      <c r="A2133" s="2"/>
      <c r="B2133" s="8" t="str">
        <f>IFERROR(__xludf.DUMMYFUNCTION("""COMPUTED_VALUE"""),"EKA NOVI D")</f>
        <v>EKA NOVI D</v>
      </c>
      <c r="C2133" s="8" t="str">
        <f>IFERROR(__xludf.DUMMYFUNCTION("""COMPUTED_VALUE"""),"E9925029678")</f>
        <v>E9925029678</v>
      </c>
      <c r="D2133" s="8" t="str">
        <f>IFERROR(__xludf.DUMMYFUNCTION("""COMPUTED_VALUE"""),"")</f>
        <v/>
      </c>
      <c r="E2133" s="2"/>
    </row>
    <row r="2134">
      <c r="A2134" s="2"/>
      <c r="B2134" s="8" t="str">
        <f>IFERROR(__xludf.DUMMYFUNCTION("""COMPUTED_VALUE"""),"HAFIZLY")</f>
        <v>HAFIZLY</v>
      </c>
      <c r="C2134" s="8" t="str">
        <f>IFERROR(__xludf.DUMMYFUNCTION("""COMPUTED_VALUE"""),"H9525023848")</f>
        <v>H9525023848</v>
      </c>
      <c r="D2134" s="8">
        <f>IFERROR(__xludf.DUMMYFUNCTION("""COMPUTED_VALUE"""),30.0)</f>
        <v>30</v>
      </c>
      <c r="E2134" s="2"/>
    </row>
    <row r="2135">
      <c r="A2135" s="2"/>
      <c r="B2135" s="8" t="str">
        <f>IFERROR(__xludf.DUMMYFUNCTION("""COMPUTED_VALUE"""),"SUSANTO")</f>
        <v>SUSANTO</v>
      </c>
      <c r="C2135" s="8" t="str">
        <f>IFERROR(__xludf.DUMMYFUNCTION("""COMPUTED_VALUE"""),"S8625023996")</f>
        <v>S8625023996</v>
      </c>
      <c r="D2135" s="8">
        <f>IFERROR(__xludf.DUMMYFUNCTION("""COMPUTED_VALUE"""),39.0)</f>
        <v>39</v>
      </c>
      <c r="E2135" s="2"/>
    </row>
    <row r="2136">
      <c r="A2136" s="2"/>
      <c r="B2136" s="8" t="str">
        <f>IFERROR(__xludf.DUMMYFUNCTION("""COMPUTED_VALUE"""),"ALHIQNA SHOLIHIN")</f>
        <v>ALHIQNA SHOLIHIN</v>
      </c>
      <c r="C2136" s="8" t="str">
        <f>IFERROR(__xludf.DUMMYFUNCTION("""COMPUTED_VALUE"""),"A0925020044")</f>
        <v>A0925020044</v>
      </c>
      <c r="D2136" s="8">
        <f>IFERROR(__xludf.DUMMYFUNCTION("""COMPUTED_VALUE"""),17.0)</f>
        <v>17</v>
      </c>
      <c r="E2136" s="2"/>
    </row>
    <row r="2137">
      <c r="A2137" s="2"/>
      <c r="B2137" s="8" t="str">
        <f>IFERROR(__xludf.DUMMYFUNCTION("""COMPUTED_VALUE"""),"MEILANI")</f>
        <v>MEILANI</v>
      </c>
      <c r="C2137" s="8" t="str">
        <f>IFERROR(__xludf.DUMMYFUNCTION("""COMPUTED_VALUE"""),"M9925029894")</f>
        <v>M9925029894</v>
      </c>
      <c r="D2137" s="8">
        <f>IFERROR(__xludf.DUMMYFUNCTION("""COMPUTED_VALUE"""),27.0)</f>
        <v>27</v>
      </c>
      <c r="E2137" s="2"/>
    </row>
    <row r="2138">
      <c r="A2138" s="2"/>
      <c r="B2138" s="8" t="str">
        <f>IFERROR(__xludf.DUMMYFUNCTION("""COMPUTED_VALUE"""),"AGUNG WAHYU SUPRIONO")</f>
        <v>AGUNG WAHYU SUPRIONO</v>
      </c>
      <c r="C2138" s="8" t="str">
        <f>IFERROR(__xludf.DUMMYFUNCTION("""COMPUTED_VALUE"""),"A9325026893")</f>
        <v>A9325026893</v>
      </c>
      <c r="D2138" s="8">
        <f>IFERROR(__xludf.DUMMYFUNCTION("""COMPUTED_VALUE"""),32.0)</f>
        <v>32</v>
      </c>
      <c r="E2138" s="2"/>
    </row>
    <row r="2139">
      <c r="A2139" s="2"/>
      <c r="B2139" s="8" t="str">
        <f>IFERROR(__xludf.DUMMYFUNCTION("""COMPUTED_VALUE"""),"JESSI MIRANDA")</f>
        <v>JESSI MIRANDA</v>
      </c>
      <c r="C2139" s="8" t="str">
        <f>IFERROR(__xludf.DUMMYFUNCTION("""COMPUTED_VALUE"""),"J9725028777")</f>
        <v>J9725028777</v>
      </c>
      <c r="D2139" s="8">
        <f>IFERROR(__xludf.DUMMYFUNCTION("""COMPUTED_VALUE"""),29.0)</f>
        <v>29</v>
      </c>
      <c r="E2139" s="2"/>
    </row>
    <row r="2140">
      <c r="A2140" s="2"/>
      <c r="B2140" s="8" t="str">
        <f>IFERROR(__xludf.DUMMYFUNCTION("""COMPUTED_VALUE"""),"YUNI HERDIANAWATI")</f>
        <v>YUNI HERDIANAWATI</v>
      </c>
      <c r="C2140" s="8" t="str">
        <f>IFERROR(__xludf.DUMMYFUNCTION("""COMPUTED_VALUE"""),"Y8325029600")</f>
        <v>Y8325029600</v>
      </c>
      <c r="D2140" s="8">
        <f>IFERROR(__xludf.DUMMYFUNCTION("""COMPUTED_VALUE"""),43.0)</f>
        <v>43</v>
      </c>
      <c r="E2140" s="2"/>
    </row>
    <row r="2141">
      <c r="A2141" s="2"/>
      <c r="B2141" s="8" t="str">
        <f>IFERROR(__xludf.DUMMYFUNCTION("""COMPUTED_VALUE"""),"FAJAR FITRIYANTO")</f>
        <v>FAJAR FITRIYANTO</v>
      </c>
      <c r="C2141" s="8" t="str">
        <f>IFERROR(__xludf.DUMMYFUNCTION("""COMPUTED_VALUE"""),"F8625020983")</f>
        <v>F8625020983</v>
      </c>
      <c r="D2141" s="8">
        <f>IFERROR(__xludf.DUMMYFUNCTION("""COMPUTED_VALUE"""),40.0)</f>
        <v>40</v>
      </c>
      <c r="E2141" s="2"/>
    </row>
    <row r="2142">
      <c r="A2142" s="2"/>
      <c r="B2142" s="8" t="str">
        <f>IFERROR(__xludf.DUMMYFUNCTION("""COMPUTED_VALUE"""),"MUHAMMAD ALI HUSEIN")</f>
        <v>MUHAMMAD ALI HUSEIN</v>
      </c>
      <c r="C2142" s="8" t="str">
        <f>IFERROR(__xludf.DUMMYFUNCTION("""COMPUTED_VALUE"""),"M2325026481")</f>
        <v>M2325026481</v>
      </c>
      <c r="D2142" s="8">
        <f>IFERROR(__xludf.DUMMYFUNCTION("""COMPUTED_VALUE"""),2.0)</f>
        <v>2</v>
      </c>
      <c r="E2142" s="2"/>
    </row>
    <row r="2143">
      <c r="A2143" s="2"/>
      <c r="B2143" s="8" t="str">
        <f>IFERROR(__xludf.DUMMYFUNCTION("""COMPUTED_VALUE"""),"SYAKIRAH")</f>
        <v>SYAKIRAH</v>
      </c>
      <c r="C2143" s="8" t="str">
        <f>IFERROR(__xludf.DUMMYFUNCTION("""COMPUTED_VALUE"""),"S1525023428")</f>
        <v>S1525023428</v>
      </c>
      <c r="D2143" s="8">
        <f>IFERROR(__xludf.DUMMYFUNCTION("""COMPUTED_VALUE"""),11.0)</f>
        <v>11</v>
      </c>
      <c r="E2143" s="2"/>
    </row>
    <row r="2144">
      <c r="A2144" s="2"/>
      <c r="B2144" s="8" t="str">
        <f>IFERROR(__xludf.DUMMYFUNCTION("""COMPUTED_VALUE"""),"SUSIANTI")</f>
        <v>SUSIANTI</v>
      </c>
      <c r="C2144" s="8" t="str">
        <f>IFERROR(__xludf.DUMMYFUNCTION("""COMPUTED_VALUE"""),"S8225023258")</f>
        <v>S8225023258</v>
      </c>
      <c r="D2144" s="8">
        <f>IFERROR(__xludf.DUMMYFUNCTION("""COMPUTED_VALUE"""),44.0)</f>
        <v>44</v>
      </c>
      <c r="E2144" s="2"/>
    </row>
    <row r="2145">
      <c r="A2145" s="2"/>
      <c r="B2145" s="8" t="str">
        <f>IFERROR(__xludf.DUMMYFUNCTION("""COMPUTED_VALUE"""),"EDGAR SYARU AZIM")</f>
        <v>EDGAR SYARU AZIM</v>
      </c>
      <c r="C2145" s="8" t="str">
        <f>IFERROR(__xludf.DUMMYFUNCTION("""COMPUTED_VALUE"""),"E1925020223")</f>
        <v>E1925020223</v>
      </c>
      <c r="D2145" s="8">
        <f>IFERROR(__xludf.DUMMYFUNCTION("""COMPUTED_VALUE"""),7.0)</f>
        <v>7</v>
      </c>
      <c r="E2145" s="2"/>
    </row>
    <row r="2146">
      <c r="A2146" s="2"/>
      <c r="B2146" s="8" t="str">
        <f>IFERROR(__xludf.DUMMYFUNCTION("""COMPUTED_VALUE"""),"SUWINDA KUSRINI")</f>
        <v>SUWINDA KUSRINI</v>
      </c>
      <c r="C2146" s="8" t="str">
        <f>IFERROR(__xludf.DUMMYFUNCTION("""COMPUTED_VALUE"""),"S8225023252")</f>
        <v>S8225023252</v>
      </c>
      <c r="D2146" s="8">
        <f>IFERROR(__xludf.DUMMYFUNCTION("""COMPUTED_VALUE"""),44.0)</f>
        <v>44</v>
      </c>
      <c r="E2146" s="2"/>
    </row>
    <row r="2147">
      <c r="A2147" s="2"/>
      <c r="B2147" s="8" t="str">
        <f>IFERROR(__xludf.DUMMYFUNCTION("""COMPUTED_VALUE"""),"GEMA KHATULISTIWA")</f>
        <v>GEMA KHATULISTIWA</v>
      </c>
      <c r="C2147" s="8" t="str">
        <f>IFERROR(__xludf.DUMMYFUNCTION("""COMPUTED_VALUE"""),"G9325026982")</f>
        <v>G9325026982</v>
      </c>
      <c r="D2147" s="8">
        <f>IFERROR(__xludf.DUMMYFUNCTION("""COMPUTED_VALUE"""),33.0)</f>
        <v>33</v>
      </c>
      <c r="E2147" s="2"/>
    </row>
    <row r="2148">
      <c r="A2148" s="2"/>
      <c r="B2148" s="8" t="str">
        <f>IFERROR(__xludf.DUMMYFUNCTION("""COMPUTED_VALUE"""),"SYARIF M FARIS")</f>
        <v>SYARIF M FARIS</v>
      </c>
      <c r="C2148" s="8" t="str">
        <f>IFERROR(__xludf.DUMMYFUNCTION("""COMPUTED_VALUE"""),"S8225020635")</f>
        <v>S8225020635</v>
      </c>
      <c r="D2148" s="8">
        <f>IFERROR(__xludf.DUMMYFUNCTION("""COMPUTED_VALUE"""),44.0)</f>
        <v>44</v>
      </c>
      <c r="E2148" s="2"/>
    </row>
    <row r="2149">
      <c r="A2149" s="2"/>
      <c r="B2149" s="8" t="str">
        <f>IFERROR(__xludf.DUMMYFUNCTION("""COMPUTED_VALUE"""),"RENDY ARYADY PUTRA")</f>
        <v>RENDY ARYADY PUTRA</v>
      </c>
      <c r="C2149" s="8" t="str">
        <f>IFERROR(__xludf.DUMMYFUNCTION("""COMPUTED_VALUE"""),"R0425029757")</f>
        <v>R0425029757</v>
      </c>
      <c r="D2149" s="8">
        <f>IFERROR(__xludf.DUMMYFUNCTION("""COMPUTED_VALUE"""),22.0)</f>
        <v>22</v>
      </c>
      <c r="E2149" s="2"/>
    </row>
    <row r="2150">
      <c r="A2150" s="2"/>
      <c r="B2150" s="8" t="str">
        <f>IFERROR(__xludf.DUMMYFUNCTION("""COMPUTED_VALUE"""),"BONG SI KHIUN")</f>
        <v>BONG SI KHIUN</v>
      </c>
      <c r="C2150" s="8" t="str">
        <f>IFERROR(__xludf.DUMMYFUNCTION("""COMPUTED_VALUE"""),"B992502")</f>
        <v>B992502</v>
      </c>
      <c r="D2150" s="8" t="str">
        <f>IFERROR(__xludf.DUMMYFUNCTION("""COMPUTED_VALUE"""),"")</f>
        <v/>
      </c>
      <c r="E2150" s="2"/>
    </row>
    <row r="2151">
      <c r="A2151" s="2"/>
      <c r="B2151" s="8" t="str">
        <f>IFERROR(__xludf.DUMMYFUNCTION("""COMPUTED_VALUE"""),"DIAZ MUHAMMAD FADEL")</f>
        <v>DIAZ MUHAMMAD FADEL</v>
      </c>
      <c r="C2151" s="8" t="str">
        <f>IFERROR(__xludf.DUMMYFUNCTION("""COMPUTED_VALUE"""),"D9225026374")</f>
        <v>D9225026374</v>
      </c>
      <c r="D2151" s="8">
        <f>IFERROR(__xludf.DUMMYFUNCTION("""COMPUTED_VALUE"""),33.0)</f>
        <v>33</v>
      </c>
      <c r="E2151" s="2"/>
    </row>
    <row r="2152">
      <c r="A2152" s="2"/>
      <c r="B2152" s="8" t="str">
        <f>IFERROR(__xludf.DUMMYFUNCTION("""COMPUTED_VALUE"""),"MURTI JULIANDARI")</f>
        <v>MURTI JULIANDARI</v>
      </c>
      <c r="C2152" s="8" t="str">
        <f>IFERROR(__xludf.DUMMYFUNCTION("""COMPUTED_VALUE"""),"M9025021870")</f>
        <v>M9025021870</v>
      </c>
      <c r="D2152" s="8">
        <f>IFERROR(__xludf.DUMMYFUNCTION("""COMPUTED_VALUE"""),36.0)</f>
        <v>36</v>
      </c>
      <c r="E2152" s="2"/>
    </row>
    <row r="2153">
      <c r="A2153" s="2"/>
      <c r="B2153" s="8" t="str">
        <f>IFERROR(__xludf.DUMMYFUNCTION("""COMPUTED_VALUE"""),"IRAMAYATI")</f>
        <v>IRAMAYATI</v>
      </c>
      <c r="C2153" s="8" t="str">
        <f>IFERROR(__xludf.DUMMYFUNCTION("""COMPUTED_VALUE"""),"I6925023190")</f>
        <v>I6925023190</v>
      </c>
      <c r="D2153" s="8">
        <f>IFERROR(__xludf.DUMMYFUNCTION("""COMPUTED_VALUE"""),57.0)</f>
        <v>57</v>
      </c>
      <c r="E2153" s="2"/>
    </row>
    <row r="2154">
      <c r="A2154" s="2"/>
      <c r="B2154" s="8" t="str">
        <f>IFERROR(__xludf.DUMMYFUNCTION("""COMPUTED_VALUE"""),"DENI ACHMAD NURULAEN")</f>
        <v>DENI ACHMAD NURULAEN</v>
      </c>
      <c r="C2154" s="8" t="str">
        <f>IFERROR(__xludf.DUMMYFUNCTION("""COMPUTED_VALUE"""),"D7025021749")</f>
        <v>D7025021749</v>
      </c>
      <c r="D2154" s="8">
        <f>IFERROR(__xludf.DUMMYFUNCTION("""COMPUTED_VALUE"""),56.0)</f>
        <v>56</v>
      </c>
      <c r="E2154" s="2"/>
    </row>
    <row r="2155">
      <c r="A2155" s="2"/>
      <c r="B2155" s="8" t="str">
        <f>IFERROR(__xludf.DUMMYFUNCTION("""COMPUTED_VALUE"""),"6171016609550002")</f>
        <v>6171016609550002</v>
      </c>
      <c r="C2155" s="8" t="str">
        <f>IFERROR(__xludf.DUMMYFUNCTION("""COMPUTED_VALUE"""),"65525028384")</f>
        <v>65525028384</v>
      </c>
      <c r="D2155" s="8">
        <f>IFERROR(__xludf.DUMMYFUNCTION("""COMPUTED_VALUE"""),70.0)</f>
        <v>70</v>
      </c>
      <c r="E2155" s="2"/>
    </row>
    <row r="2156">
      <c r="A2156" s="2"/>
      <c r="B2156" s="8" t="str">
        <f>IFERROR(__xludf.DUMMYFUNCTION("""COMPUTED_VALUE"""),"IRWANDA")</f>
        <v>IRWANDA</v>
      </c>
      <c r="C2156" s="8" t="str">
        <f>IFERROR(__xludf.DUMMYFUNCTION("""COMPUTED_VALUE"""),"I9525021880")</f>
        <v>I9525021880</v>
      </c>
      <c r="D2156" s="8">
        <f>IFERROR(__xludf.DUMMYFUNCTION("""COMPUTED_VALUE"""),30.0)</f>
        <v>30</v>
      </c>
      <c r="E2156" s="2"/>
    </row>
    <row r="2157">
      <c r="A2157" s="2"/>
      <c r="B2157" s="8" t="str">
        <f>IFERROR(__xludf.DUMMYFUNCTION("""COMPUTED_VALUE"""),"ABDURRACHMAN")</f>
        <v>ABDURRACHMAN</v>
      </c>
      <c r="C2157" s="8" t="str">
        <f>IFERROR(__xludf.DUMMYFUNCTION("""COMPUTED_VALUE"""),"A5925029667")</f>
        <v>A5925029667</v>
      </c>
      <c r="D2157" s="8">
        <f>IFERROR(__xludf.DUMMYFUNCTION("""COMPUTED_VALUE"""),66.0)</f>
        <v>66</v>
      </c>
      <c r="E2157" s="2"/>
    </row>
    <row r="2158">
      <c r="A2158" s="2"/>
      <c r="B2158" s="8" t="str">
        <f>IFERROR(__xludf.DUMMYFUNCTION("""COMPUTED_VALUE"""),"ADAM GHAFFAR QURNIA")</f>
        <v>ADAM GHAFFAR QURNIA</v>
      </c>
      <c r="C2158" s="8" t="str">
        <f>IFERROR(__xludf.DUMMYFUNCTION("""COMPUTED_VALUE"""),"A1725020042")</f>
        <v>A1725020042</v>
      </c>
      <c r="D2158" s="8">
        <f>IFERROR(__xludf.DUMMYFUNCTION("""COMPUTED_VALUE"""),9.0)</f>
        <v>9</v>
      </c>
      <c r="E2158" s="2"/>
    </row>
    <row r="2159">
      <c r="A2159" s="2"/>
      <c r="B2159" s="8" t="str">
        <f>IFERROR(__xludf.DUMMYFUNCTION("""COMPUTED_VALUE"""),"HJ. ASNAH")</f>
        <v>HJ. ASNAH</v>
      </c>
      <c r="C2159" s="8" t="str">
        <f>IFERROR(__xludf.DUMMYFUNCTION("""COMPUTED_VALUE"""),"H5725022666")</f>
        <v>H5725022666</v>
      </c>
      <c r="D2159" s="8">
        <f>IFERROR(__xludf.DUMMYFUNCTION("""COMPUTED_VALUE"""),69.0)</f>
        <v>69</v>
      </c>
      <c r="E2159" s="2"/>
    </row>
    <row r="2160">
      <c r="A2160" s="2"/>
      <c r="B2160" s="8" t="str">
        <f>IFERROR(__xludf.DUMMYFUNCTION("""COMPUTED_VALUE"""),"ZAID MUHAMMAD DZAKI RAKHIM")</f>
        <v>ZAID MUHAMMAD DZAKI RAKHIM</v>
      </c>
      <c r="C2160" s="8" t="str">
        <f>IFERROR(__xludf.DUMMYFUNCTION("""COMPUTED_VALUE"""),"Z1225023682")</f>
        <v>Z1225023682</v>
      </c>
      <c r="D2160" s="8">
        <f>IFERROR(__xludf.DUMMYFUNCTION("""COMPUTED_VALUE"""),14.0)</f>
        <v>14</v>
      </c>
      <c r="E2160" s="2"/>
    </row>
    <row r="2161">
      <c r="A2161" s="2"/>
      <c r="B2161" s="8" t="str">
        <f>IFERROR(__xludf.DUMMYFUNCTION("""COMPUTED_VALUE"""),"WAHYU WIRA PRATAMA")</f>
        <v>WAHYU WIRA PRATAMA</v>
      </c>
      <c r="C2161" s="8" t="str">
        <f>IFERROR(__xludf.DUMMYFUNCTION("""COMPUTED_VALUE"""),"W9125025566")</f>
        <v>W9125025566</v>
      </c>
      <c r="D2161" s="8">
        <f>IFERROR(__xludf.DUMMYFUNCTION("""COMPUTED_VALUE"""),35.0)</f>
        <v>35</v>
      </c>
      <c r="E2161" s="2"/>
    </row>
    <row r="2162">
      <c r="A2162" s="2"/>
      <c r="B2162" s="8" t="str">
        <f>IFERROR(__xludf.DUMMYFUNCTION("""COMPUTED_VALUE"""),"ROMY KAPILANI")</f>
        <v>ROMY KAPILANI</v>
      </c>
      <c r="C2162" s="8" t="str">
        <f>IFERROR(__xludf.DUMMYFUNCTION("""COMPUTED_VALUE"""),"R8525027743")</f>
        <v>R8525027743</v>
      </c>
      <c r="D2162" s="8">
        <f>IFERROR(__xludf.DUMMYFUNCTION("""COMPUTED_VALUE"""),41.0)</f>
        <v>41</v>
      </c>
      <c r="E2162" s="2"/>
    </row>
    <row r="2163">
      <c r="A2163" s="2"/>
      <c r="B2163" s="8" t="str">
        <f>IFERROR(__xludf.DUMMYFUNCTION("""COMPUTED_VALUE"""),"ABDUL RAZAQ AZWI")</f>
        <v>ABDUL RAZAQ AZWI</v>
      </c>
      <c r="C2163" s="8" t="str">
        <f>IFERROR(__xludf.DUMMYFUNCTION("""COMPUTED_VALUE"""),"A9625022196")</f>
        <v>A9625022196</v>
      </c>
      <c r="D2163" s="8">
        <f>IFERROR(__xludf.DUMMYFUNCTION("""COMPUTED_VALUE"""),30.0)</f>
        <v>30</v>
      </c>
      <c r="E2163" s="2"/>
    </row>
    <row r="2164">
      <c r="A2164" s="2"/>
      <c r="B2164" s="8" t="str">
        <f>IFERROR(__xludf.DUMMYFUNCTION("""COMPUTED_VALUE"""),"DHARMITA GINTING")</f>
        <v>DHARMITA GINTING</v>
      </c>
      <c r="C2164" s="8" t="str">
        <f>IFERROR(__xludf.DUMMYFUNCTION("""COMPUTED_VALUE"""),"D8525023558")</f>
        <v>D8525023558</v>
      </c>
      <c r="D2164" s="8">
        <f>IFERROR(__xludf.DUMMYFUNCTION("""COMPUTED_VALUE"""),41.0)</f>
        <v>41</v>
      </c>
      <c r="E2164" s="2"/>
    </row>
    <row r="2165">
      <c r="A2165" s="2"/>
      <c r="B2165" s="8" t="str">
        <f>IFERROR(__xludf.DUMMYFUNCTION("""COMPUTED_VALUE"""),"SULAIMAN 6407")</f>
        <v>SULAIMAN 6407</v>
      </c>
      <c r="C2165" s="8" t="str">
        <f>IFERROR(__xludf.DUMMYFUNCTION("""COMPUTED_VALUE"""),"S6425029234")</f>
        <v>S6425029234</v>
      </c>
      <c r="D2165" s="8">
        <f>IFERROR(__xludf.DUMMYFUNCTION("""COMPUTED_VALUE"""),62.0)</f>
        <v>62</v>
      </c>
      <c r="E2165" s="2"/>
    </row>
    <row r="2166">
      <c r="A2166" s="2"/>
      <c r="B2166" s="8" t="str">
        <f>IFERROR(__xludf.DUMMYFUNCTION("""COMPUTED_VALUE"""),"NI NI LO")</f>
        <v>NI NI LO</v>
      </c>
      <c r="C2166" s="8" t="str">
        <f>IFERROR(__xludf.DUMMYFUNCTION("""COMPUTED_VALUE"""),"N8225029009")</f>
        <v>N8225029009</v>
      </c>
      <c r="D2166" s="8">
        <f>IFERROR(__xludf.DUMMYFUNCTION("""COMPUTED_VALUE"""),43.0)</f>
        <v>43</v>
      </c>
      <c r="E2166" s="2"/>
    </row>
    <row r="2167">
      <c r="A2167" s="2"/>
      <c r="B2167" s="8" t="str">
        <f>IFERROR(__xludf.DUMMYFUNCTION("""COMPUTED_VALUE"""),"AHMAD WAGEANSYAH")</f>
        <v>AHMAD WAGEANSYAH</v>
      </c>
      <c r="C2167" s="8" t="str">
        <f>IFERROR(__xludf.DUMMYFUNCTION("""COMPUTED_VALUE"""),"A9425025683")</f>
        <v>A9425025683</v>
      </c>
      <c r="D2167" s="8">
        <f>IFERROR(__xludf.DUMMYFUNCTION("""COMPUTED_VALUE"""),31.0)</f>
        <v>31</v>
      </c>
      <c r="E2167" s="2"/>
    </row>
    <row r="2168">
      <c r="A2168" s="2"/>
      <c r="B2168" s="8" t="str">
        <f>IFERROR(__xludf.DUMMYFUNCTION("""COMPUTED_VALUE"""),"HARIANI")</f>
        <v>HARIANI</v>
      </c>
      <c r="C2168" s="8" t="str">
        <f>IFERROR(__xludf.DUMMYFUNCTION("""COMPUTED_VALUE"""),"H6225028455")</f>
        <v>H6225028455</v>
      </c>
      <c r="D2168" s="8">
        <f>IFERROR(__xludf.DUMMYFUNCTION("""COMPUTED_VALUE"""),64.0)</f>
        <v>64</v>
      </c>
      <c r="E2168" s="2"/>
    </row>
    <row r="2169">
      <c r="A2169" s="2"/>
      <c r="B2169" s="8" t="str">
        <f>IFERROR(__xludf.DUMMYFUNCTION("""COMPUTED_VALUE"""),"ARIF PARABI")</f>
        <v>ARIF PARABI</v>
      </c>
      <c r="C2169" s="8" t="str">
        <f>IFERROR(__xludf.DUMMYFUNCTION("""COMPUTED_VALUE"""),"A6825027525")</f>
        <v>A6825027525</v>
      </c>
      <c r="D2169" s="8">
        <f>IFERROR(__xludf.DUMMYFUNCTION("""COMPUTED_VALUE"""),57.0)</f>
        <v>57</v>
      </c>
      <c r="E2169" s="2"/>
    </row>
    <row r="2170">
      <c r="A2170" s="2"/>
      <c r="B2170" s="8" t="str">
        <f>IFERROR(__xludf.DUMMYFUNCTION("""COMPUTED_VALUE"""),"ABDUL HAFIDH, SE")</f>
        <v>ABDUL HAFIDH, SE</v>
      </c>
      <c r="C2170" s="8" t="str">
        <f>IFERROR(__xludf.DUMMYFUNCTION("""COMPUTED_VALUE"""),"A7625028278")</f>
        <v>A7625028278</v>
      </c>
      <c r="D2170" s="8">
        <f>IFERROR(__xludf.DUMMYFUNCTION("""COMPUTED_VALUE"""),50.0)</f>
        <v>50</v>
      </c>
      <c r="E2170" s="2"/>
    </row>
    <row r="2171">
      <c r="A2171" s="2"/>
      <c r="B2171" s="8" t="str">
        <f>IFERROR(__xludf.DUMMYFUNCTION("""COMPUTED_VALUE"""),"HENDRY")</f>
        <v>HENDRY</v>
      </c>
      <c r="C2171" s="8" t="str">
        <f>IFERROR(__xludf.DUMMYFUNCTION("""COMPUTED_VALUE"""),"H8725027680")</f>
        <v>H8725027680</v>
      </c>
      <c r="D2171" s="8">
        <f>IFERROR(__xludf.DUMMYFUNCTION("""COMPUTED_VALUE"""),39.0)</f>
        <v>39</v>
      </c>
      <c r="E2171" s="2"/>
    </row>
    <row r="2172">
      <c r="A2172" s="2"/>
      <c r="B2172" s="8" t="str">
        <f>IFERROR(__xludf.DUMMYFUNCTION("""COMPUTED_VALUE"""),"ANGGARA APRIYAN PRADANA")</f>
        <v>ANGGARA APRIYAN PRADANA</v>
      </c>
      <c r="C2172" s="8" t="str">
        <f>IFERROR(__xludf.DUMMYFUNCTION("""COMPUTED_VALUE"""),"A8925021574")</f>
        <v>A8925021574</v>
      </c>
      <c r="D2172" s="8">
        <f>IFERROR(__xludf.DUMMYFUNCTION("""COMPUTED_VALUE"""),36.0)</f>
        <v>36</v>
      </c>
      <c r="E2172" s="2"/>
    </row>
    <row r="2173">
      <c r="A2173" s="2"/>
      <c r="B2173" s="8" t="str">
        <f>IFERROR(__xludf.DUMMYFUNCTION("""COMPUTED_VALUE"""),"SITI KHAIRUZIA LAZUWARDINI")</f>
        <v>SITI KHAIRUZIA LAZUWARDINI</v>
      </c>
      <c r="C2173" s="8" t="str">
        <f>IFERROR(__xludf.DUMMYFUNCTION("""COMPUTED_VALUE"""),"S9925028925")</f>
        <v>S9925028925</v>
      </c>
      <c r="D2173" s="8">
        <f>IFERROR(__xludf.DUMMYFUNCTION("""COMPUTED_VALUE"""),27.0)</f>
        <v>27</v>
      </c>
      <c r="E2173" s="2"/>
    </row>
    <row r="2174">
      <c r="A2174" s="2"/>
      <c r="B2174" s="8" t="str">
        <f>IFERROR(__xludf.DUMMYFUNCTION("""COMPUTED_VALUE"""),"ONGKY SURYADI")</f>
        <v>ONGKY SURYADI</v>
      </c>
      <c r="C2174" s="8" t="str">
        <f>IFERROR(__xludf.DUMMYFUNCTION("""COMPUTED_VALUE"""),"O9525023593")</f>
        <v>O9525023593</v>
      </c>
      <c r="D2174" s="8">
        <f>IFERROR(__xludf.DUMMYFUNCTION("""COMPUTED_VALUE"""),30.0)</f>
        <v>30</v>
      </c>
      <c r="E2174" s="2"/>
    </row>
    <row r="2175">
      <c r="A2175" s="2"/>
      <c r="B2175" s="8" t="str">
        <f>IFERROR(__xludf.DUMMYFUNCTION("""COMPUTED_VALUE"""),"HENDRA MAULANA")</f>
        <v>HENDRA MAULANA</v>
      </c>
      <c r="C2175" s="8" t="str">
        <f>IFERROR(__xludf.DUMMYFUNCTION("""COMPUTED_VALUE"""),"H8025020268")</f>
        <v>H8025020268</v>
      </c>
      <c r="D2175" s="8">
        <f>IFERROR(__xludf.DUMMYFUNCTION("""COMPUTED_VALUE"""),46.0)</f>
        <v>46</v>
      </c>
      <c r="E2175" s="2"/>
    </row>
    <row r="2176">
      <c r="A2176" s="2"/>
      <c r="B2176" s="8" t="str">
        <f>IFERROR(__xludf.DUMMYFUNCTION("""COMPUTED_VALUE"""),"MARADIEN MILANIE")</f>
        <v>MARADIEN MILANIE</v>
      </c>
      <c r="C2176" s="8" t="str">
        <f>IFERROR(__xludf.DUMMYFUNCTION("""COMPUTED_VALUE"""),"M8125029436")</f>
        <v>M8125029436</v>
      </c>
      <c r="D2176" s="8">
        <f>IFERROR(__xludf.DUMMYFUNCTION("""COMPUTED_VALUE"""),45.0)</f>
        <v>45</v>
      </c>
      <c r="E2176" s="2"/>
    </row>
    <row r="2177">
      <c r="A2177" s="2"/>
      <c r="B2177" s="8" t="str">
        <f>IFERROR(__xludf.DUMMYFUNCTION("""COMPUTED_VALUE"""),"BUDI PRASETYO")</f>
        <v>BUDI PRASETYO</v>
      </c>
      <c r="C2177" s="8" t="str">
        <f>IFERROR(__xludf.DUMMYFUNCTION("""COMPUTED_VALUE"""),"B9225021410")</f>
        <v>B9225021410</v>
      </c>
      <c r="D2177" s="8">
        <f>IFERROR(__xludf.DUMMYFUNCTION("""COMPUTED_VALUE"""),34.0)</f>
        <v>34</v>
      </c>
      <c r="E2177" s="2"/>
    </row>
    <row r="2178">
      <c r="A2178" s="2"/>
      <c r="B2178" s="8" t="str">
        <f>IFERROR(__xludf.DUMMYFUNCTION("""COMPUTED_VALUE"""),"SAID ABY HUSNI")</f>
        <v>SAID ABY HUSNI</v>
      </c>
      <c r="C2178" s="8" t="str">
        <f>IFERROR(__xludf.DUMMYFUNCTION("""COMPUTED_VALUE"""),"S9325022893")</f>
        <v>S9325022893</v>
      </c>
      <c r="D2178" s="8">
        <f>IFERROR(__xludf.DUMMYFUNCTION("""COMPUTED_VALUE"""),32.0)</f>
        <v>32</v>
      </c>
      <c r="E2178" s="2"/>
    </row>
    <row r="2179">
      <c r="A2179" s="2"/>
      <c r="B2179" s="8" t="str">
        <f>IFERROR(__xludf.DUMMYFUNCTION("""COMPUTED_VALUE"""),"FERYAWAN")</f>
        <v>FERYAWAN</v>
      </c>
      <c r="C2179" s="8" t="str">
        <f>IFERROR(__xludf.DUMMYFUNCTION("""COMPUTED_VALUE"""),"F8325024685")</f>
        <v>F8325024685</v>
      </c>
      <c r="D2179" s="8">
        <f>IFERROR(__xludf.DUMMYFUNCTION("""COMPUTED_VALUE"""),43.0)</f>
        <v>43</v>
      </c>
      <c r="E2179" s="2"/>
    </row>
    <row r="2180">
      <c r="A2180" s="2"/>
      <c r="B2180" s="8" t="str">
        <f>IFERROR(__xludf.DUMMYFUNCTION("""COMPUTED_VALUE"""),"ANGGIAT JUNIAR")</f>
        <v>ANGGIAT JUNIAR</v>
      </c>
      <c r="C2180" s="8" t="str">
        <f>IFERROR(__xludf.DUMMYFUNCTION("""COMPUTED_VALUE"""),"A9025022018")</f>
        <v>A9025022018</v>
      </c>
      <c r="D2180" s="8">
        <f>IFERROR(__xludf.DUMMYFUNCTION("""COMPUTED_VALUE"""),36.0)</f>
        <v>36</v>
      </c>
      <c r="E2180" s="2"/>
    </row>
    <row r="2181">
      <c r="A2181" s="2"/>
      <c r="B2181" s="8" t="str">
        <f>IFERROR(__xludf.DUMMYFUNCTION("""COMPUTED_VALUE"""),"KALEO JAVAS LIANDRA")</f>
        <v>KALEO JAVAS LIANDRA</v>
      </c>
      <c r="C2181" s="8" t="str">
        <f>IFERROR(__xludf.DUMMYFUNCTION("""COMPUTED_VALUE"""),"K1025027455")</f>
        <v>K1025027455</v>
      </c>
      <c r="D2181" s="8">
        <f>IFERROR(__xludf.DUMMYFUNCTION("""COMPUTED_VALUE"""),16.0)</f>
        <v>16</v>
      </c>
      <c r="E2181" s="2"/>
    </row>
    <row r="2182">
      <c r="A2182" s="2"/>
      <c r="B2182" s="8" t="str">
        <f>IFERROR(__xludf.DUMMYFUNCTION("""COMPUTED_VALUE"""),"RISA AUDINA")</f>
        <v>RISA AUDINA</v>
      </c>
      <c r="C2182" s="8" t="str">
        <f>IFERROR(__xludf.DUMMYFUNCTION("""COMPUTED_VALUE"""),"R9625037907")</f>
        <v>R9625037907</v>
      </c>
      <c r="D2182" s="8">
        <f>IFERROR(__xludf.DUMMYFUNCTION("""COMPUTED_VALUE"""),30.0)</f>
        <v>30</v>
      </c>
      <c r="E2182" s="2"/>
    </row>
    <row r="2183">
      <c r="A2183" s="2"/>
      <c r="B2183" s="8" t="str">
        <f>IFERROR(__xludf.DUMMYFUNCTION("""COMPUTED_VALUE"""),"SUNARDI")</f>
        <v>SUNARDI</v>
      </c>
      <c r="C2183" s="8" t="str">
        <f>IFERROR(__xludf.DUMMYFUNCTION("""COMPUTED_VALUE"""),"S6825032444")</f>
        <v>S6825032444</v>
      </c>
      <c r="D2183" s="8">
        <f>IFERROR(__xludf.DUMMYFUNCTION("""COMPUTED_VALUE"""),57.0)</f>
        <v>57</v>
      </c>
      <c r="E2183" s="2"/>
    </row>
    <row r="2184">
      <c r="A2184" s="2"/>
      <c r="B2184" s="8" t="str">
        <f>IFERROR(__xludf.DUMMYFUNCTION("""COMPUTED_VALUE"""),"JULIANTO 8807")</f>
        <v>JULIANTO 8807</v>
      </c>
      <c r="C2184" s="8" t="str">
        <f>IFERROR(__xludf.DUMMYFUNCTION("""COMPUTED_VALUE"""),"J8825034075")</f>
        <v>J8825034075</v>
      </c>
      <c r="D2184" s="8">
        <f>IFERROR(__xludf.DUMMYFUNCTION("""COMPUTED_VALUE"""),38.0)</f>
        <v>38</v>
      </c>
      <c r="E2184" s="2"/>
    </row>
    <row r="2185">
      <c r="A2185" s="2"/>
      <c r="B2185" s="8" t="str">
        <f>IFERROR(__xludf.DUMMYFUNCTION("""COMPUTED_VALUE"""),"ANDAS DJIE")</f>
        <v>ANDAS DJIE</v>
      </c>
      <c r="C2185" s="8" t="str">
        <f>IFERROR(__xludf.DUMMYFUNCTION("""COMPUTED_VALUE"""),"A7225038989")</f>
        <v>A7225038989</v>
      </c>
      <c r="D2185" s="8">
        <f>IFERROR(__xludf.DUMMYFUNCTION("""COMPUTED_VALUE"""),53.0)</f>
        <v>53</v>
      </c>
      <c r="E2185" s="2"/>
    </row>
    <row r="2186">
      <c r="A2186" s="2"/>
      <c r="B2186" s="8" t="str">
        <f>IFERROR(__xludf.DUMMYFUNCTION("""COMPUTED_VALUE"""),"KASIPAH")</f>
        <v>KASIPAH</v>
      </c>
      <c r="C2186" s="8" t="str">
        <f>IFERROR(__xludf.DUMMYFUNCTION("""COMPUTED_VALUE"""),"K5425031410")</f>
        <v>K5425031410</v>
      </c>
      <c r="D2186" s="8">
        <f>IFERROR(__xludf.DUMMYFUNCTION("""COMPUTED_VALUE"""),72.0)</f>
        <v>72</v>
      </c>
      <c r="E2186" s="2"/>
    </row>
    <row r="2187">
      <c r="A2187" s="2"/>
      <c r="B2187" s="8" t="str">
        <f>IFERROR(__xludf.DUMMYFUNCTION("""COMPUTED_VALUE"""),"MELVERN AARON SANJAYA")</f>
        <v>MELVERN AARON SANJAYA</v>
      </c>
      <c r="C2187" s="8" t="str">
        <f>IFERROR(__xludf.DUMMYFUNCTION("""COMPUTED_VALUE"""),"M0925036212")</f>
        <v>M0925036212</v>
      </c>
      <c r="D2187" s="8">
        <f>IFERROR(__xludf.DUMMYFUNCTION("""COMPUTED_VALUE"""),17.0)</f>
        <v>17</v>
      </c>
      <c r="E2187" s="2"/>
    </row>
    <row r="2188">
      <c r="A2188" s="2"/>
      <c r="B2188" s="8" t="str">
        <f>IFERROR(__xludf.DUMMYFUNCTION("""COMPUTED_VALUE"""),"ALYA GHAISANI")</f>
        <v>ALYA GHAISANI</v>
      </c>
      <c r="C2188" s="8" t="str">
        <f>IFERROR(__xludf.DUMMYFUNCTION("""COMPUTED_VALUE"""),"A1625031346")</f>
        <v>A1625031346</v>
      </c>
      <c r="D2188" s="8">
        <f>IFERROR(__xludf.DUMMYFUNCTION("""COMPUTED_VALUE"""),9.0)</f>
        <v>9</v>
      </c>
      <c r="E2188" s="2"/>
    </row>
    <row r="2189">
      <c r="A2189" s="2"/>
      <c r="B2189" s="8" t="str">
        <f>IFERROR(__xludf.DUMMYFUNCTION("""COMPUTED_VALUE"""),"ANGGA")</f>
        <v>ANGGA</v>
      </c>
      <c r="C2189" s="8" t="str">
        <f>IFERROR(__xludf.DUMMYFUNCTION("""COMPUTED_VALUE"""),"A9225032065")</f>
        <v>A9225032065</v>
      </c>
      <c r="D2189" s="8">
        <f>IFERROR(__xludf.DUMMYFUNCTION("""COMPUTED_VALUE"""),34.0)</f>
        <v>34</v>
      </c>
      <c r="E2189" s="2"/>
    </row>
    <row r="2190">
      <c r="A2190" s="2"/>
      <c r="B2190" s="8" t="str">
        <f>IFERROR(__xludf.DUMMYFUNCTION("""COMPUTED_VALUE"""),"INDRAWATY")</f>
        <v>INDRAWATY</v>
      </c>
      <c r="C2190" s="8" t="str">
        <f>IFERROR(__xludf.DUMMYFUNCTION("""COMPUTED_VALUE"""),"I7525033289")</f>
        <v>I7525033289</v>
      </c>
      <c r="D2190" s="8">
        <f>IFERROR(__xludf.DUMMYFUNCTION("""COMPUTED_VALUE"""),50.0)</f>
        <v>50</v>
      </c>
      <c r="E2190" s="2"/>
    </row>
    <row r="2191">
      <c r="A2191" s="2"/>
      <c r="B2191" s="8" t="str">
        <f>IFERROR(__xludf.DUMMYFUNCTION("""COMPUTED_VALUE"""),"RASMINAH")</f>
        <v>RASMINAH</v>
      </c>
      <c r="C2191" s="8" t="str">
        <f>IFERROR(__xludf.DUMMYFUNCTION("""COMPUTED_VALUE"""),"R5225032022")</f>
        <v>R5225032022</v>
      </c>
      <c r="D2191" s="8">
        <f>IFERROR(__xludf.DUMMYFUNCTION("""COMPUTED_VALUE"""),74.0)</f>
        <v>74</v>
      </c>
      <c r="E2191" s="2"/>
    </row>
    <row r="2192">
      <c r="A2192" s="2"/>
      <c r="B2192" s="8" t="str">
        <f>IFERROR(__xludf.DUMMYFUNCTION("""COMPUTED_VALUE"""),"TULUS GOVER SIRINGORINGO")</f>
        <v>TULUS GOVER SIRINGORINGO</v>
      </c>
      <c r="C2192" s="8" t="str">
        <f>IFERROR(__xludf.DUMMYFUNCTION("""COMPUTED_VALUE"""),"T7225037288")</f>
        <v>T7225037288</v>
      </c>
      <c r="D2192" s="8">
        <f>IFERROR(__xludf.DUMMYFUNCTION("""COMPUTED_VALUE"""),54.0)</f>
        <v>54</v>
      </c>
      <c r="E2192" s="2"/>
    </row>
    <row r="2193">
      <c r="A2193" s="2"/>
      <c r="B2193" s="8" t="str">
        <f>IFERROR(__xludf.DUMMYFUNCTION("""COMPUTED_VALUE"""),"JAP HUI KHENG")</f>
        <v>JAP HUI KHENG</v>
      </c>
      <c r="C2193" s="8" t="str">
        <f>IFERROR(__xludf.DUMMYFUNCTION("""COMPUTED_VALUE"""),"J5325031312")</f>
        <v>J5325031312</v>
      </c>
      <c r="D2193" s="8">
        <f>IFERROR(__xludf.DUMMYFUNCTION("""COMPUTED_VALUE"""),72.0)</f>
        <v>72</v>
      </c>
      <c r="E2193" s="2"/>
    </row>
    <row r="2194">
      <c r="A2194" s="2"/>
      <c r="B2194" s="8" t="str">
        <f>IFERROR(__xludf.DUMMYFUNCTION("""COMPUTED_VALUE"""),"WIDYA RINI")</f>
        <v>WIDYA RINI</v>
      </c>
      <c r="C2194" s="8" t="str">
        <f>IFERROR(__xludf.DUMMYFUNCTION("""COMPUTED_VALUE"""),"W7625032999")</f>
        <v>W7625032999</v>
      </c>
      <c r="D2194" s="8">
        <f>IFERROR(__xludf.DUMMYFUNCTION("""COMPUTED_VALUE"""),50.0)</f>
        <v>50</v>
      </c>
      <c r="E2194" s="2"/>
    </row>
    <row r="2195">
      <c r="A2195" s="2"/>
      <c r="B2195" s="8" t="str">
        <f>IFERROR(__xludf.DUMMYFUNCTION("""COMPUTED_VALUE"""),"SURY")</f>
        <v>SURY</v>
      </c>
      <c r="C2195" s="8" t="str">
        <f>IFERROR(__xludf.DUMMYFUNCTION("""COMPUTED_VALUE"""),"S9625036365")</f>
        <v>S9625036365</v>
      </c>
      <c r="D2195" s="8">
        <f>IFERROR(__xludf.DUMMYFUNCTION("""COMPUTED_VALUE"""),30.0)</f>
        <v>30</v>
      </c>
      <c r="E2195" s="2"/>
    </row>
    <row r="2196">
      <c r="A2196" s="2"/>
      <c r="B2196" s="8" t="str">
        <f>IFERROR(__xludf.DUMMYFUNCTION("""COMPUTED_VALUE"""),"NUR DAMAYANTI")</f>
        <v>NUR DAMAYANTI</v>
      </c>
      <c r="C2196" s="8" t="str">
        <f>IFERROR(__xludf.DUMMYFUNCTION("""COMPUTED_VALUE"""),"N6925037736")</f>
        <v>N6925037736</v>
      </c>
      <c r="D2196" s="8">
        <f>IFERROR(__xludf.DUMMYFUNCTION("""COMPUTED_VALUE"""),56.0)</f>
        <v>56</v>
      </c>
      <c r="E2196" s="2"/>
    </row>
    <row r="2197">
      <c r="A2197" s="2"/>
      <c r="B2197" s="8" t="str">
        <f>IFERROR(__xludf.DUMMYFUNCTION("""COMPUTED_VALUE"""),"ADI RAHMANTO")</f>
        <v>ADI RAHMANTO</v>
      </c>
      <c r="C2197" s="8" t="str">
        <f>IFERROR(__xludf.DUMMYFUNCTION("""COMPUTED_VALUE"""),"A8425033201")</f>
        <v>A8425033201</v>
      </c>
      <c r="D2197" s="8">
        <f>IFERROR(__xludf.DUMMYFUNCTION("""COMPUTED_VALUE"""),42.0)</f>
        <v>42</v>
      </c>
      <c r="E2197" s="2"/>
    </row>
    <row r="2198">
      <c r="A2198" s="2"/>
      <c r="B2198" s="8" t="str">
        <f>IFERROR(__xludf.DUMMYFUNCTION("""COMPUTED_VALUE"""),"M ROFIQ")</f>
        <v>M ROFIQ</v>
      </c>
      <c r="C2198" s="8" t="str">
        <f>IFERROR(__xludf.DUMMYFUNCTION("""COMPUTED_VALUE"""),"M0025036480")</f>
        <v>M0025036480</v>
      </c>
      <c r="D2198" s="8">
        <f>IFERROR(__xludf.DUMMYFUNCTION("""COMPUTED_VALUE"""),26.0)</f>
        <v>26</v>
      </c>
      <c r="E2198" s="2"/>
    </row>
    <row r="2199">
      <c r="A2199" s="2"/>
      <c r="B2199" s="8" t="str">
        <f>IFERROR(__xludf.DUMMYFUNCTION("""COMPUTED_VALUE"""),"YUSSY IRZATI MARDANI")</f>
        <v>YUSSY IRZATI MARDANI</v>
      </c>
      <c r="C2199" s="8" t="str">
        <f>IFERROR(__xludf.DUMMYFUNCTION("""COMPUTED_VALUE"""),"Y0725037043")</f>
        <v>Y0725037043</v>
      </c>
      <c r="D2199" s="8">
        <f>IFERROR(__xludf.DUMMYFUNCTION("""COMPUTED_VALUE"""),19.0)</f>
        <v>19</v>
      </c>
      <c r="E2199" s="2"/>
    </row>
    <row r="2200">
      <c r="A2200" s="2"/>
      <c r="B2200" s="8" t="str">
        <f>IFERROR(__xludf.DUMMYFUNCTION("""COMPUTED_VALUE"""),"WASKITHA ADI WIBOWO")</f>
        <v>WASKITHA ADI WIBOWO</v>
      </c>
      <c r="C2200" s="8" t="str">
        <f>IFERROR(__xludf.DUMMYFUNCTION("""COMPUTED_VALUE"""),"W8925035671")</f>
        <v>W8925035671</v>
      </c>
      <c r="D2200" s="8">
        <f>IFERROR(__xludf.DUMMYFUNCTION("""COMPUTED_VALUE"""),37.0)</f>
        <v>37</v>
      </c>
      <c r="E2200" s="2"/>
    </row>
    <row r="2201">
      <c r="A2201" s="2"/>
      <c r="B2201" s="8" t="str">
        <f>IFERROR(__xludf.DUMMYFUNCTION("""COMPUTED_VALUE"""),"DIGO SAPUTRA")</f>
        <v>DIGO SAPUTRA</v>
      </c>
      <c r="C2201" s="8" t="str">
        <f>IFERROR(__xludf.DUMMYFUNCTION("""COMPUTED_VALUE"""),"D0825035630")</f>
        <v>D0825035630</v>
      </c>
      <c r="D2201" s="8">
        <f>IFERROR(__xludf.DUMMYFUNCTION("""COMPUTED_VALUE"""),17.0)</f>
        <v>17</v>
      </c>
      <c r="E2201" s="2"/>
    </row>
    <row r="2202">
      <c r="A2202" s="2"/>
      <c r="B2202" s="8" t="str">
        <f>IFERROR(__xludf.DUMMYFUNCTION("""COMPUTED_VALUE"""),"MULYADI HALIM KRISNO")</f>
        <v>MULYADI HALIM KRISNO</v>
      </c>
      <c r="C2202" s="8" t="str">
        <f>IFERROR(__xludf.DUMMYFUNCTION("""COMPUTED_VALUE"""),"M8525033556")</f>
        <v>M8525033556</v>
      </c>
      <c r="D2202" s="8">
        <f>IFERROR(__xludf.DUMMYFUNCTION("""COMPUTED_VALUE"""),40.0)</f>
        <v>40</v>
      </c>
      <c r="E2202" s="2"/>
    </row>
    <row r="2203">
      <c r="A2203" s="2"/>
      <c r="B2203" s="8" t="str">
        <f>IFERROR(__xludf.DUMMYFUNCTION("""COMPUTED_VALUE"""),"HENDRI GUNAWAN9208")</f>
        <v>HENDRI GUNAWAN9208</v>
      </c>
      <c r="C2203" s="8" t="str">
        <f>IFERROR(__xludf.DUMMYFUNCTION("""COMPUTED_VALUE"""),"H9225034996")</f>
        <v>H9225034996</v>
      </c>
      <c r="D2203" s="8">
        <f>IFERROR(__xludf.DUMMYFUNCTION("""COMPUTED_VALUE"""),33.0)</f>
        <v>33</v>
      </c>
      <c r="E2203" s="2"/>
    </row>
    <row r="2204">
      <c r="A2204" s="2"/>
      <c r="B2204" s="8" t="str">
        <f>IFERROR(__xludf.DUMMYFUNCTION("""COMPUTED_VALUE"""),"SUTRISNO WICAKSONO SIM")</f>
        <v>SUTRISNO WICAKSONO SIM</v>
      </c>
      <c r="C2204" s="8" t="str">
        <f>IFERROR(__xludf.DUMMYFUNCTION("""COMPUTED_VALUE"""),"S8825033513")</f>
        <v>S8825033513</v>
      </c>
      <c r="D2204" s="8">
        <f>IFERROR(__xludf.DUMMYFUNCTION("""COMPUTED_VALUE"""),38.0)</f>
        <v>38</v>
      </c>
      <c r="E2204" s="2"/>
    </row>
    <row r="2205">
      <c r="A2205" s="2"/>
      <c r="B2205" s="8" t="str">
        <f>IFERROR(__xludf.DUMMYFUNCTION("""COMPUTED_VALUE"""),"IBNUR RASYID")</f>
        <v>IBNUR RASYID</v>
      </c>
      <c r="C2205" s="8" t="str">
        <f>IFERROR(__xludf.DUMMYFUNCTION("""COMPUTED_VALUE"""),"I9325036593")</f>
        <v>I9325036593</v>
      </c>
      <c r="D2205" s="8">
        <f>IFERROR(__xludf.DUMMYFUNCTION("""COMPUTED_VALUE"""),32.0)</f>
        <v>32</v>
      </c>
      <c r="E2205" s="2"/>
    </row>
    <row r="2206">
      <c r="A2206" s="2"/>
      <c r="B2206" s="8" t="str">
        <f>IFERROR(__xludf.DUMMYFUNCTION("""COMPUTED_VALUE"""),"DESTRIANDY")</f>
        <v>DESTRIANDY</v>
      </c>
      <c r="C2206" s="8" t="str">
        <f>IFERROR(__xludf.DUMMYFUNCTION("""COMPUTED_VALUE"""),"D8625031328")</f>
        <v>D8625031328</v>
      </c>
      <c r="D2206" s="8">
        <f>IFERROR(__xludf.DUMMYFUNCTION("""COMPUTED_VALUE"""),39.0)</f>
        <v>39</v>
      </c>
      <c r="E2206" s="2"/>
    </row>
    <row r="2207">
      <c r="A2207" s="2"/>
      <c r="B2207" s="8" t="str">
        <f>IFERROR(__xludf.DUMMYFUNCTION("""COMPUTED_VALUE"""),"LIM CHAI SENG")</f>
        <v>LIM CHAI SENG</v>
      </c>
      <c r="C2207" s="8" t="str">
        <f>IFERROR(__xludf.DUMMYFUNCTION("""COMPUTED_VALUE"""),"L0025039768")</f>
        <v>L0025039768</v>
      </c>
      <c r="D2207" s="8">
        <f>IFERROR(__xludf.DUMMYFUNCTION("""COMPUTED_VALUE"""),25.0)</f>
        <v>25</v>
      </c>
      <c r="E2207" s="2"/>
    </row>
    <row r="2208">
      <c r="A2208" s="2"/>
      <c r="B2208" s="8" t="str">
        <f>IFERROR(__xludf.DUMMYFUNCTION("""COMPUTED_VALUE"""),"DWI BARI LUTHFIANUR")</f>
        <v>DWI BARI LUTHFIANUR</v>
      </c>
      <c r="C2208" s="8" t="str">
        <f>IFERROR(__xludf.DUMMYFUNCTION("""COMPUTED_VALUE"""),"D8825037244")</f>
        <v>D8825037244</v>
      </c>
      <c r="D2208" s="8">
        <f>IFERROR(__xludf.DUMMYFUNCTION("""COMPUTED_VALUE"""),38.0)</f>
        <v>38</v>
      </c>
      <c r="E2208" s="2"/>
    </row>
    <row r="2209">
      <c r="A2209" s="2"/>
      <c r="B2209" s="8" t="str">
        <f>IFERROR(__xludf.DUMMYFUNCTION("""COMPUTED_VALUE"""),"HAJIJAH")</f>
        <v>HAJIJAH</v>
      </c>
      <c r="C2209" s="8" t="str">
        <f>IFERROR(__xludf.DUMMYFUNCTION("""COMPUTED_VALUE"""),"H6125034253")</f>
        <v>H6125034253</v>
      </c>
      <c r="D2209" s="8">
        <f>IFERROR(__xludf.DUMMYFUNCTION("""COMPUTED_VALUE"""),65.0)</f>
        <v>65</v>
      </c>
      <c r="E2209" s="2"/>
    </row>
    <row r="2210">
      <c r="A2210" s="2"/>
      <c r="B2210" s="8" t="str">
        <f>IFERROR(__xludf.DUMMYFUNCTION("""COMPUTED_VALUE"""),"FEBRANS FERNANDO SITORUS")</f>
        <v>FEBRANS FERNANDO SITORUS</v>
      </c>
      <c r="C2210" s="8" t="str">
        <f>IFERROR(__xludf.DUMMYFUNCTION("""COMPUTED_VALUE"""),"F9525035304")</f>
        <v>F9525035304</v>
      </c>
      <c r="D2210" s="8">
        <f>IFERROR(__xludf.DUMMYFUNCTION("""COMPUTED_VALUE"""),31.0)</f>
        <v>31</v>
      </c>
      <c r="E2210" s="2"/>
    </row>
    <row r="2211">
      <c r="A2211" s="2"/>
      <c r="B2211" s="8" t="str">
        <f>IFERROR(__xludf.DUMMYFUNCTION("""COMPUTED_VALUE"""),"ZAINUDIN")</f>
        <v>ZAINUDIN</v>
      </c>
      <c r="C2211" s="8" t="str">
        <f>IFERROR(__xludf.DUMMYFUNCTION("""COMPUTED_VALUE"""),"Z9825039148")</f>
        <v>Z9825039148</v>
      </c>
      <c r="D2211" s="8">
        <f>IFERROR(__xludf.DUMMYFUNCTION("""COMPUTED_VALUE"""),28.0)</f>
        <v>28</v>
      </c>
      <c r="E2211" s="2"/>
    </row>
    <row r="2212">
      <c r="A2212" s="2"/>
      <c r="B2212" s="8" t="str">
        <f>IFERROR(__xludf.DUMMYFUNCTION("""COMPUTED_VALUE"""),"AZHARI")</f>
        <v>AZHARI</v>
      </c>
      <c r="C2212" s="8" t="str">
        <f>IFERROR(__xludf.DUMMYFUNCTION("""COMPUTED_VALUE"""),"A6025032388")</f>
        <v>A6025032388</v>
      </c>
      <c r="D2212" s="8">
        <f>IFERROR(__xludf.DUMMYFUNCTION("""COMPUTED_VALUE"""),65.0)</f>
        <v>65</v>
      </c>
      <c r="E2212" s="2"/>
    </row>
    <row r="2213">
      <c r="A2213" s="2"/>
      <c r="B2213" s="8" t="str">
        <f>IFERROR(__xludf.DUMMYFUNCTION("""COMPUTED_VALUE"""),"DEDE SUBANDI N")</f>
        <v>DEDE SUBANDI N</v>
      </c>
      <c r="C2213" s="8" t="str">
        <f>IFERROR(__xludf.DUMMYFUNCTION("""COMPUTED_VALUE"""),"D8925037556")</f>
        <v>D8925037556</v>
      </c>
      <c r="D2213" s="8">
        <f>IFERROR(__xludf.DUMMYFUNCTION("""COMPUTED_VALUE"""),37.0)</f>
        <v>37</v>
      </c>
      <c r="E2213" s="2"/>
    </row>
    <row r="2214">
      <c r="A2214" s="2"/>
      <c r="B2214" s="8" t="str">
        <f>IFERROR(__xludf.DUMMYFUNCTION("""COMPUTED_VALUE"""),"DIANA")</f>
        <v>DIANA</v>
      </c>
      <c r="C2214" s="8" t="str">
        <f>IFERROR(__xludf.DUMMYFUNCTION("""COMPUTED_VALUE"""),"D6925037525")</f>
        <v>D6925037525</v>
      </c>
      <c r="D2214" s="8">
        <f>IFERROR(__xludf.DUMMYFUNCTION("""COMPUTED_VALUE"""),57.0)</f>
        <v>57</v>
      </c>
      <c r="E2214" s="2"/>
    </row>
    <row r="2215">
      <c r="A2215" s="2"/>
      <c r="B2215" s="8" t="str">
        <f>IFERROR(__xludf.DUMMYFUNCTION("""COMPUTED_VALUE"""),"DICKY KUSUMA SAKTI")</f>
        <v>DICKY KUSUMA SAKTI</v>
      </c>
      <c r="C2215" s="8" t="str">
        <f>IFERROR(__xludf.DUMMYFUNCTION("""COMPUTED_VALUE"""),"D9525039860")</f>
        <v>D9525039860</v>
      </c>
      <c r="D2215" s="8">
        <f>IFERROR(__xludf.DUMMYFUNCTION("""COMPUTED_VALUE"""),31.0)</f>
        <v>31</v>
      </c>
      <c r="E2215" s="2"/>
    </row>
    <row r="2216">
      <c r="A2216" s="2"/>
      <c r="B2216" s="8" t="str">
        <f>IFERROR(__xludf.DUMMYFUNCTION("""COMPUTED_VALUE"""),"ELMON UTOMO")</f>
        <v>ELMON UTOMO</v>
      </c>
      <c r="C2216" s="8" t="str">
        <f>IFERROR(__xludf.DUMMYFUNCTION("""COMPUTED_VALUE"""),"E8825039292")</f>
        <v>E8825039292</v>
      </c>
      <c r="D2216" s="8">
        <f>IFERROR(__xludf.DUMMYFUNCTION("""COMPUTED_VALUE"""),38.0)</f>
        <v>38</v>
      </c>
      <c r="E2216" s="2"/>
    </row>
    <row r="2217">
      <c r="A2217" s="2"/>
      <c r="B2217" s="8" t="str">
        <f>IFERROR(__xludf.DUMMYFUNCTION("""COMPUTED_VALUE"""),"TERA VICIANI")</f>
        <v>TERA VICIANI</v>
      </c>
      <c r="C2217" s="8" t="str">
        <f>IFERROR(__xludf.DUMMYFUNCTION("""COMPUTED_VALUE"""),"T8825037433")</f>
        <v>T8825037433</v>
      </c>
      <c r="D2217" s="8">
        <f>IFERROR(__xludf.DUMMYFUNCTION("""COMPUTED_VALUE"""),37.0)</f>
        <v>37</v>
      </c>
      <c r="E2217" s="2"/>
    </row>
    <row r="2218">
      <c r="A2218" s="2"/>
      <c r="B2218" s="8" t="str">
        <f>IFERROR(__xludf.DUMMYFUNCTION("""COMPUTED_VALUE"""),"ABROORZA AHMAD YUSRA")</f>
        <v>ABROORZA AHMAD YUSRA</v>
      </c>
      <c r="C2218" s="8" t="str">
        <f>IFERROR(__xludf.DUMMYFUNCTION("""COMPUTED_VALUE"""),"A8725031614")</f>
        <v>A8725031614</v>
      </c>
      <c r="D2218" s="8">
        <f>IFERROR(__xludf.DUMMYFUNCTION("""COMPUTED_VALUE"""),39.0)</f>
        <v>39</v>
      </c>
      <c r="E2218" s="2"/>
    </row>
    <row r="2219">
      <c r="A2219" s="2"/>
      <c r="B2219" s="8" t="str">
        <f>IFERROR(__xludf.DUMMYFUNCTION("""COMPUTED_VALUE"""),"RENNY MARYUNI")</f>
        <v>RENNY MARYUNI</v>
      </c>
      <c r="C2219" s="8" t="str">
        <f>IFERROR(__xludf.DUMMYFUNCTION("""COMPUTED_VALUE"""),"R7625034547")</f>
        <v>R7625034547</v>
      </c>
      <c r="D2219" s="8">
        <f>IFERROR(__xludf.DUMMYFUNCTION("""COMPUTED_VALUE"""),50.0)</f>
        <v>50</v>
      </c>
      <c r="E2219" s="2"/>
    </row>
    <row r="2220">
      <c r="A2220" s="2"/>
      <c r="B2220" s="8" t="str">
        <f>IFERROR(__xludf.DUMMYFUNCTION("""COMPUTED_VALUE"""),"WAHYU TITIANTO NUGROHO")</f>
        <v>WAHYU TITIANTO NUGROHO</v>
      </c>
      <c r="C2220" s="8" t="str">
        <f>IFERROR(__xludf.DUMMYFUNCTION("""COMPUTED_VALUE"""),"W9225037286")</f>
        <v>W9225037286</v>
      </c>
      <c r="D2220" s="8">
        <f>IFERROR(__xludf.DUMMYFUNCTION("""COMPUTED_VALUE"""),34.0)</f>
        <v>34</v>
      </c>
      <c r="E2220" s="2"/>
    </row>
    <row r="2221">
      <c r="A2221" s="2"/>
      <c r="B2221" s="8" t="str">
        <f>IFERROR(__xludf.DUMMYFUNCTION("""COMPUTED_VALUE"""),"SYALSABILLA FARWA")</f>
        <v>SYALSABILLA FARWA</v>
      </c>
      <c r="C2221" s="8" t="str">
        <f>IFERROR(__xludf.DUMMYFUNCTION("""COMPUTED_VALUE"""),"S0225036749")</f>
        <v>S0225036749</v>
      </c>
      <c r="D2221" s="8">
        <f>IFERROR(__xludf.DUMMYFUNCTION("""COMPUTED_VALUE"""),24.0)</f>
        <v>24</v>
      </c>
      <c r="E2221" s="2"/>
    </row>
    <row r="2222">
      <c r="A2222" s="2"/>
      <c r="B2222" s="8" t="str">
        <f>IFERROR(__xludf.DUMMYFUNCTION("""COMPUTED_VALUE"""),"DEWI RAHMI SALSABILLA CAHYANTO")</f>
        <v>DEWI RAHMI SALSABILLA CAHYANTO</v>
      </c>
      <c r="C2222" s="8" t="str">
        <f>IFERROR(__xludf.DUMMYFUNCTION("""COMPUTED_VALUE"""),"D0025032820")</f>
        <v>D0025032820</v>
      </c>
      <c r="D2222" s="8">
        <f>IFERROR(__xludf.DUMMYFUNCTION("""COMPUTED_VALUE"""),26.0)</f>
        <v>26</v>
      </c>
      <c r="E2222" s="2"/>
    </row>
    <row r="2223">
      <c r="A2223" s="2"/>
      <c r="B2223" s="8" t="str">
        <f>IFERROR(__xludf.DUMMYFUNCTION("""COMPUTED_VALUE"""),"CELINE GUNAWAN")</f>
        <v>CELINE GUNAWAN</v>
      </c>
      <c r="C2223" s="8" t="str">
        <f>IFERROR(__xludf.DUMMYFUNCTION("""COMPUTED_VALUE"""),"C9825037715")</f>
        <v>C9825037715</v>
      </c>
      <c r="D2223" s="8">
        <f>IFERROR(__xludf.DUMMYFUNCTION("""COMPUTED_VALUE"""),28.0)</f>
        <v>28</v>
      </c>
      <c r="E2223" s="2"/>
    </row>
    <row r="2224">
      <c r="A2224" s="2"/>
      <c r="B2224" s="8" t="str">
        <f>IFERROR(__xludf.DUMMYFUNCTION("""COMPUTED_VALUE"""),"ABELARD CAECAR NAMASKAR")</f>
        <v>ABELARD CAECAR NAMASKAR</v>
      </c>
      <c r="C2224" s="8" t="str">
        <f>IFERROR(__xludf.DUMMYFUNCTION("""COMPUTED_VALUE"""),"A0525033158")</f>
        <v>A0525033158</v>
      </c>
      <c r="D2224" s="8">
        <f>IFERROR(__xludf.DUMMYFUNCTION("""COMPUTED_VALUE"""),21.0)</f>
        <v>21</v>
      </c>
      <c r="E2224" s="2"/>
    </row>
    <row r="2225">
      <c r="A2225" s="2"/>
      <c r="B2225" s="8" t="str">
        <f>IFERROR(__xludf.DUMMYFUNCTION("""COMPUTED_VALUE"""),"MAHDIANA")</f>
        <v>MAHDIANA</v>
      </c>
      <c r="C2225" s="8" t="str">
        <f>IFERROR(__xludf.DUMMYFUNCTION("""COMPUTED_VALUE"""),"M7725039998")</f>
        <v>M7725039998</v>
      </c>
      <c r="D2225" s="8">
        <f>IFERROR(__xludf.DUMMYFUNCTION("""COMPUTED_VALUE"""),49.0)</f>
        <v>49</v>
      </c>
      <c r="E2225" s="2"/>
    </row>
    <row r="2226">
      <c r="A2226" s="2"/>
      <c r="B2226" s="8" t="str">
        <f>IFERROR(__xludf.DUMMYFUNCTION("""COMPUTED_VALUE"""),"HASNUL BAKRI")</f>
        <v>HASNUL BAKRI</v>
      </c>
      <c r="C2226" s="8" t="str">
        <f>IFERROR(__xludf.DUMMYFUNCTION("""COMPUTED_VALUE"""),"H5625037772")</f>
        <v>H5625037772</v>
      </c>
      <c r="D2226" s="8">
        <f>IFERROR(__xludf.DUMMYFUNCTION("""COMPUTED_VALUE"""),70.0)</f>
        <v>70</v>
      </c>
      <c r="E2226" s="2"/>
    </row>
    <row r="2227">
      <c r="A2227" s="2"/>
      <c r="B2227" s="8" t="str">
        <f>IFERROR(__xludf.DUMMYFUNCTION("""COMPUTED_VALUE"""),"SUNARTI")</f>
        <v>SUNARTI</v>
      </c>
      <c r="C2227" s="8" t="str">
        <f>IFERROR(__xludf.DUMMYFUNCTION("""COMPUTED_VALUE"""),"S8125033417")</f>
        <v>S8125033417</v>
      </c>
      <c r="D2227" s="8">
        <f>IFERROR(__xludf.DUMMYFUNCTION("""COMPUTED_VALUE"""),44.0)</f>
        <v>44</v>
      </c>
      <c r="E2227" s="2"/>
    </row>
    <row r="2228">
      <c r="A2228" s="2"/>
      <c r="B2228" s="8" t="str">
        <f>IFERROR(__xludf.DUMMYFUNCTION("""COMPUTED_VALUE"""),"NENENG R")</f>
        <v>NENENG R</v>
      </c>
      <c r="C2228" s="8" t="str">
        <f>IFERROR(__xludf.DUMMYFUNCTION("""COMPUTED_VALUE"""),"N7725036621")</f>
        <v>N7725036621</v>
      </c>
      <c r="D2228" s="8">
        <f>IFERROR(__xludf.DUMMYFUNCTION("""COMPUTED_VALUE"""),49.0)</f>
        <v>49</v>
      </c>
      <c r="E2228" s="2"/>
    </row>
    <row r="2229">
      <c r="A2229" s="2"/>
      <c r="B2229" s="8" t="str">
        <f>IFERROR(__xludf.DUMMYFUNCTION("""COMPUTED_VALUE"""),"INDA DHANIA")</f>
        <v>INDA DHANIA</v>
      </c>
      <c r="C2229" s="8" t="str">
        <f>IFERROR(__xludf.DUMMYFUNCTION("""COMPUTED_VALUE"""),"I9125033942")</f>
        <v>I9125033942</v>
      </c>
      <c r="D2229" s="8">
        <f>IFERROR(__xludf.DUMMYFUNCTION("""COMPUTED_VALUE"""),35.0)</f>
        <v>35</v>
      </c>
      <c r="E2229" s="2"/>
    </row>
    <row r="2230">
      <c r="A2230" s="2"/>
      <c r="B2230" s="8" t="str">
        <f>IFERROR(__xludf.DUMMYFUNCTION("""COMPUTED_VALUE"""),"ALIU")</f>
        <v>ALIU</v>
      </c>
      <c r="C2230" s="8" t="str">
        <f>IFERROR(__xludf.DUMMYFUNCTION("""COMPUTED_VALUE"""),"A6225031027")</f>
        <v>A6225031027</v>
      </c>
      <c r="D2230" s="8">
        <f>IFERROR(__xludf.DUMMYFUNCTION("""COMPUTED_VALUE"""),63.0)</f>
        <v>63</v>
      </c>
      <c r="E2230" s="2"/>
    </row>
    <row r="2231">
      <c r="A2231" s="2"/>
      <c r="B2231" s="8" t="str">
        <f>IFERROR(__xludf.DUMMYFUNCTION("""COMPUTED_VALUE"""),"RIDHO ARIHTA BANCIN")</f>
        <v>RIDHO ARIHTA BANCIN</v>
      </c>
      <c r="C2231" s="8" t="str">
        <f>IFERROR(__xludf.DUMMYFUNCTION("""COMPUTED_VALUE"""),"R0025032344")</f>
        <v>R0025032344</v>
      </c>
      <c r="D2231" s="8">
        <f>IFERROR(__xludf.DUMMYFUNCTION("""COMPUTED_VALUE"""),25.0)</f>
        <v>25</v>
      </c>
      <c r="E2231" s="2"/>
    </row>
    <row r="2232">
      <c r="A2232" s="2"/>
      <c r="B2232" s="8" t="str">
        <f>IFERROR(__xludf.DUMMYFUNCTION("""COMPUTED_VALUE"""),"HERMAN SALIM")</f>
        <v>HERMAN SALIM</v>
      </c>
      <c r="C2232" s="8" t="str">
        <f>IFERROR(__xludf.DUMMYFUNCTION("""COMPUTED_VALUE"""),"H7825036900")</f>
        <v>H7825036900</v>
      </c>
      <c r="D2232" s="8">
        <f>IFERROR(__xludf.DUMMYFUNCTION("""COMPUTED_VALUE"""),48.0)</f>
        <v>48</v>
      </c>
      <c r="E2232" s="2"/>
    </row>
    <row r="2233">
      <c r="A2233" s="2"/>
      <c r="B2233" s="8" t="str">
        <f>IFERROR(__xludf.DUMMYFUNCTION("""COMPUTED_VALUE"""),"EVAN FERNANDO")</f>
        <v>EVAN FERNANDO</v>
      </c>
      <c r="C2233" s="8" t="str">
        <f>IFERROR(__xludf.DUMMYFUNCTION("""COMPUTED_VALUE"""),"E9725035374")</f>
        <v>E9725035374</v>
      </c>
      <c r="D2233" s="8">
        <f>IFERROR(__xludf.DUMMYFUNCTION("""COMPUTED_VALUE"""),29.0)</f>
        <v>29</v>
      </c>
      <c r="E2233" s="2"/>
    </row>
    <row r="2234">
      <c r="A2234" s="2"/>
      <c r="B2234" s="8" t="str">
        <f>IFERROR(__xludf.DUMMYFUNCTION("""COMPUTED_VALUE"""),"GHALIB IBNU HAADY")</f>
        <v>GHALIB IBNU HAADY</v>
      </c>
      <c r="C2234" s="8" t="str">
        <f>IFERROR(__xludf.DUMMYFUNCTION("""COMPUTED_VALUE"""),"G0925037845")</f>
        <v>G0925037845</v>
      </c>
      <c r="D2234" s="8">
        <f>IFERROR(__xludf.DUMMYFUNCTION("""COMPUTED_VALUE"""),16.0)</f>
        <v>16</v>
      </c>
      <c r="E2234" s="2"/>
    </row>
    <row r="2235">
      <c r="A2235" s="2"/>
      <c r="B2235" s="8" t="str">
        <f>IFERROR(__xludf.DUMMYFUNCTION("""COMPUTED_VALUE"""),"YENI ROSDIANA")</f>
        <v>YENI ROSDIANA</v>
      </c>
      <c r="C2235" s="8" t="str">
        <f>IFERROR(__xludf.DUMMYFUNCTION("""COMPUTED_VALUE"""),"Y7525039091")</f>
        <v>Y7525039091</v>
      </c>
      <c r="D2235" s="8">
        <f>IFERROR(__xludf.DUMMYFUNCTION("""COMPUTED_VALUE"""),51.0)</f>
        <v>51</v>
      </c>
      <c r="E2235" s="2"/>
    </row>
    <row r="2236">
      <c r="A2236" s="2"/>
      <c r="B2236" s="8" t="str">
        <f>IFERROR(__xludf.DUMMYFUNCTION("""COMPUTED_VALUE"""),"SYIFA HAYATUN NURTAQWA")</f>
        <v>SYIFA HAYATUN NURTAQWA</v>
      </c>
      <c r="C2236" s="8" t="str">
        <f>IFERROR(__xludf.DUMMYFUNCTION("""COMPUTED_VALUE"""),"S9925035218")</f>
        <v>S9925035218</v>
      </c>
      <c r="D2236" s="8">
        <f>IFERROR(__xludf.DUMMYFUNCTION("""COMPUTED_VALUE"""),26.0)</f>
        <v>26</v>
      </c>
      <c r="E2236" s="2"/>
    </row>
    <row r="2237">
      <c r="A2237" s="2"/>
      <c r="B2237" s="8" t="str">
        <f>IFERROR(__xludf.DUMMYFUNCTION("""COMPUTED_VALUE"""),"ASPARAYATI")</f>
        <v>ASPARAYATI</v>
      </c>
      <c r="C2237" s="8" t="str">
        <f>IFERROR(__xludf.DUMMYFUNCTION("""COMPUTED_VALUE"""),"A6825034878")</f>
        <v>A6825034878</v>
      </c>
      <c r="D2237" s="8">
        <f>IFERROR(__xludf.DUMMYFUNCTION("""COMPUTED_VALUE"""),58.0)</f>
        <v>58</v>
      </c>
      <c r="E2237" s="2"/>
    </row>
    <row r="2238">
      <c r="A2238" s="2"/>
      <c r="B2238" s="8" t="str">
        <f>IFERROR(__xludf.DUMMYFUNCTION("""COMPUTED_VALUE"""),"MARSITA WINANDA")</f>
        <v>MARSITA WINANDA</v>
      </c>
      <c r="C2238" s="8" t="str">
        <f>IFERROR(__xludf.DUMMYFUNCTION("""COMPUTED_VALUE"""),"M0025039227")</f>
        <v>M0025039227</v>
      </c>
      <c r="D2238" s="8">
        <f>IFERROR(__xludf.DUMMYFUNCTION("""COMPUTED_VALUE"""),26.0)</f>
        <v>26</v>
      </c>
      <c r="E2238" s="2"/>
    </row>
    <row r="2239">
      <c r="A2239" s="2"/>
      <c r="B2239" s="8" t="str">
        <f>IFERROR(__xludf.DUMMYFUNCTION("""COMPUTED_VALUE"""),"FEBRIANTO EKA PRASTYO")</f>
        <v>FEBRIANTO EKA PRASTYO</v>
      </c>
      <c r="C2239" s="8" t="str">
        <f>IFERROR(__xludf.DUMMYFUNCTION("""COMPUTED_VALUE"""),"F0025032002")</f>
        <v>F0025032002</v>
      </c>
      <c r="D2239" s="8">
        <f>IFERROR(__xludf.DUMMYFUNCTION("""COMPUTED_VALUE"""),26.0)</f>
        <v>26</v>
      </c>
      <c r="E2239" s="2"/>
    </row>
    <row r="2240">
      <c r="A2240" s="2"/>
      <c r="B2240" s="8" t="str">
        <f>IFERROR(__xludf.DUMMYFUNCTION("""COMPUTED_VALUE"""),"POLINA A")</f>
        <v>POLINA A</v>
      </c>
      <c r="C2240" s="8" t="str">
        <f>IFERROR(__xludf.DUMMYFUNCTION("""COMPUTED_VALUE"""),"P7725034262")</f>
        <v>P7725034262</v>
      </c>
      <c r="D2240" s="8">
        <f>IFERROR(__xludf.DUMMYFUNCTION("""COMPUTED_VALUE"""),48.0)</f>
        <v>48</v>
      </c>
      <c r="E2240" s="2"/>
    </row>
    <row r="2241">
      <c r="A2241" s="2"/>
      <c r="B2241" s="8" t="str">
        <f>IFERROR(__xludf.DUMMYFUNCTION("""COMPUTED_VALUE"""),"JULIANA EDWYN")</f>
        <v>JULIANA EDWYN</v>
      </c>
      <c r="C2241" s="8" t="str">
        <f>IFERROR(__xludf.DUMMYFUNCTION("""COMPUTED_VALUE"""),"J6925031006")</f>
        <v>J6925031006</v>
      </c>
      <c r="D2241" s="8">
        <f>IFERROR(__xludf.DUMMYFUNCTION("""COMPUTED_VALUE"""),57.0)</f>
        <v>57</v>
      </c>
      <c r="E2241" s="2"/>
    </row>
    <row r="2242">
      <c r="A2242" s="2"/>
      <c r="B2242" s="8" t="str">
        <f>IFERROR(__xludf.DUMMYFUNCTION("""COMPUTED_VALUE"""),"YULIANA APIN")</f>
        <v>YULIANA APIN</v>
      </c>
      <c r="C2242" s="8" t="str">
        <f>IFERROR(__xludf.DUMMYFUNCTION("""COMPUTED_VALUE"""),"Y6125037171")</f>
        <v>Y6125037171</v>
      </c>
      <c r="D2242" s="8">
        <f>IFERROR(__xludf.DUMMYFUNCTION("""COMPUTED_VALUE"""),65.0)</f>
        <v>65</v>
      </c>
      <c r="E2242" s="2"/>
    </row>
    <row r="2243">
      <c r="A2243" s="2"/>
      <c r="B2243" s="8" t="str">
        <f>IFERROR(__xludf.DUMMYFUNCTION("""COMPUTED_VALUE"""),"KASIDINI RAMADHANI")</f>
        <v>KASIDINI RAMADHANI</v>
      </c>
      <c r="C2243" s="8" t="str">
        <f>IFERROR(__xludf.DUMMYFUNCTION("""COMPUTED_VALUE"""),"K9725036022")</f>
        <v>K9725036022</v>
      </c>
      <c r="D2243" s="8">
        <f>IFERROR(__xludf.DUMMYFUNCTION("""COMPUTED_VALUE"""),29.0)</f>
        <v>29</v>
      </c>
      <c r="E2243" s="2"/>
    </row>
    <row r="2244">
      <c r="A2244" s="2"/>
      <c r="B2244" s="8" t="str">
        <f>IFERROR(__xludf.DUMMYFUNCTION("""COMPUTED_VALUE"""),"CICI")</f>
        <v>CICI</v>
      </c>
      <c r="C2244" s="8" t="str">
        <f>IFERROR(__xludf.DUMMYFUNCTION("""COMPUTED_VALUE"""),"C8125036535")</f>
        <v>C8125036535</v>
      </c>
      <c r="D2244" s="8">
        <f>IFERROR(__xludf.DUMMYFUNCTION("""COMPUTED_VALUE"""),45.0)</f>
        <v>45</v>
      </c>
      <c r="E2244" s="2"/>
    </row>
    <row r="2245">
      <c r="A2245" s="2"/>
      <c r="B2245" s="8" t="str">
        <f>IFERROR(__xludf.DUMMYFUNCTION("""COMPUTED_VALUE"""),"LINDA SUSANTI")</f>
        <v>LINDA SUSANTI</v>
      </c>
      <c r="C2245" s="8" t="str">
        <f>IFERROR(__xludf.DUMMYFUNCTION("""COMPUTED_VALUE"""),"L8225031617")</f>
        <v>L8225031617</v>
      </c>
      <c r="D2245" s="8">
        <f>IFERROR(__xludf.DUMMYFUNCTION("""COMPUTED_VALUE"""),43.0)</f>
        <v>43</v>
      </c>
      <c r="E2245" s="2"/>
    </row>
    <row r="2246">
      <c r="A2246" s="2"/>
      <c r="B2246" s="8" t="str">
        <f>IFERROR(__xludf.DUMMYFUNCTION("""COMPUTED_VALUE"""),"HERI SUWARDI")</f>
        <v>HERI SUWARDI</v>
      </c>
      <c r="C2246" s="8" t="str">
        <f>IFERROR(__xludf.DUMMYFUNCTION("""COMPUTED_VALUE"""),"H8825037111")</f>
        <v>H8825037111</v>
      </c>
      <c r="D2246" s="8">
        <f>IFERROR(__xludf.DUMMYFUNCTION("""COMPUTED_VALUE"""),37.0)</f>
        <v>37</v>
      </c>
      <c r="E2246" s="2"/>
    </row>
    <row r="2247">
      <c r="A2247" s="2"/>
      <c r="B2247" s="8" t="str">
        <f>IFERROR(__xludf.DUMMYFUNCTION("""COMPUTED_VALUE"""),"BUTI’AH")</f>
        <v>BUTI’AH</v>
      </c>
      <c r="C2247" s="8" t="str">
        <f>IFERROR(__xludf.DUMMYFUNCTION("""COMPUTED_VALUE"""),"B6125039680")</f>
        <v>B6125039680</v>
      </c>
      <c r="D2247" s="8">
        <f>IFERROR(__xludf.DUMMYFUNCTION("""COMPUTED_VALUE"""),64.0)</f>
        <v>64</v>
      </c>
      <c r="E2247" s="2"/>
    </row>
    <row r="2248">
      <c r="A2248" s="2"/>
      <c r="B2248" s="8" t="str">
        <f>IFERROR(__xludf.DUMMYFUNCTION("""COMPUTED_VALUE"""),"SYF SIFAH")</f>
        <v>SYF SIFAH</v>
      </c>
      <c r="C2248" s="8" t="str">
        <f>IFERROR(__xludf.DUMMYFUNCTION("""COMPUTED_VALUE"""),"S6025038415")</f>
        <v>S6025038415</v>
      </c>
      <c r="D2248" s="8">
        <f>IFERROR(__xludf.DUMMYFUNCTION("""COMPUTED_VALUE"""),66.0)</f>
        <v>66</v>
      </c>
      <c r="E2248" s="2"/>
    </row>
    <row r="2249">
      <c r="A2249" s="2"/>
      <c r="B2249" s="8" t="str">
        <f>IFERROR(__xludf.DUMMYFUNCTION("""COMPUTED_VALUE"""),"FERONIKA ROSMA ROTUA P")</f>
        <v>FERONIKA ROSMA ROTUA P</v>
      </c>
      <c r="C2249" s="8" t="str">
        <f>IFERROR(__xludf.DUMMYFUNCTION("""COMPUTED_VALUE"""),"F9625039988")</f>
        <v>F9625039988</v>
      </c>
      <c r="D2249" s="8">
        <f>IFERROR(__xludf.DUMMYFUNCTION("""COMPUTED_VALUE"""),29.0)</f>
        <v>29</v>
      </c>
      <c r="E2249" s="2"/>
    </row>
    <row r="2250">
      <c r="A2250" s="2"/>
      <c r="B2250" s="8" t="str">
        <f>IFERROR(__xludf.DUMMYFUNCTION("""COMPUTED_VALUE"""),"MARDIANA 5706")</f>
        <v>MARDIANA 5706</v>
      </c>
      <c r="C2250" s="8" t="str">
        <f>IFERROR(__xludf.DUMMYFUNCTION("""COMPUTED_VALUE"""),"M5725037674")</f>
        <v>M5725037674</v>
      </c>
      <c r="D2250" s="8">
        <f>IFERROR(__xludf.DUMMYFUNCTION("""COMPUTED_VALUE"""),69.0)</f>
        <v>69</v>
      </c>
      <c r="E2250" s="2"/>
    </row>
    <row r="2251">
      <c r="A2251" s="2"/>
      <c r="B2251" s="8" t="str">
        <f>IFERROR(__xludf.DUMMYFUNCTION("""COMPUTED_VALUE"""),"DIVO")</f>
        <v>DIVO</v>
      </c>
      <c r="C2251" s="8" t="str">
        <f>IFERROR(__xludf.DUMMYFUNCTION("""COMPUTED_VALUE"""),"D0925034440")</f>
        <v>D0925034440</v>
      </c>
      <c r="D2251" s="8">
        <f>IFERROR(__xludf.DUMMYFUNCTION("""COMPUTED_VALUE"""),17.0)</f>
        <v>17</v>
      </c>
      <c r="E2251" s="2"/>
    </row>
    <row r="2252">
      <c r="A2252" s="2"/>
      <c r="B2252" s="8" t="str">
        <f>IFERROR(__xludf.DUMMYFUNCTION("""COMPUTED_VALUE"""),"PANDU ANDRI LIESTYANTO NUGROGO")</f>
        <v>PANDU ANDRI LIESTYANTO NUGROGO</v>
      </c>
      <c r="C2252" s="8" t="str">
        <f>IFERROR(__xludf.DUMMYFUNCTION("""COMPUTED_VALUE"""),"P9725036493")</f>
        <v>P9725036493</v>
      </c>
      <c r="D2252" s="8">
        <f>IFERROR(__xludf.DUMMYFUNCTION("""COMPUTED_VALUE"""),28.0)</f>
        <v>28</v>
      </c>
      <c r="E2252" s="2"/>
    </row>
    <row r="2253">
      <c r="A2253" s="2"/>
      <c r="B2253" s="8" t="str">
        <f>IFERROR(__xludf.DUMMYFUNCTION("""COMPUTED_VALUE"""),"M. RAFI 'IE RINALDI")</f>
        <v>M. RAFI 'IE RINALDI</v>
      </c>
      <c r="C2253" s="8" t="str">
        <f>IFERROR(__xludf.DUMMYFUNCTION("""COMPUTED_VALUE"""),"M9625039977")</f>
        <v>M9625039977</v>
      </c>
      <c r="D2253" s="8">
        <f>IFERROR(__xludf.DUMMYFUNCTION("""COMPUTED_VALUE"""),30.0)</f>
        <v>30</v>
      </c>
      <c r="E2253" s="2"/>
    </row>
    <row r="2254">
      <c r="A2254" s="2"/>
      <c r="B2254" s="8" t="str">
        <f>IFERROR(__xludf.DUMMYFUNCTION("""COMPUTED_VALUE"""),"HENDRA.M")</f>
        <v>HENDRA.M</v>
      </c>
      <c r="C2254" s="8" t="str">
        <f>IFERROR(__xludf.DUMMYFUNCTION("""COMPUTED_VALUE"""),"H7725039177")</f>
        <v>H7725039177</v>
      </c>
      <c r="D2254" s="8">
        <f>IFERROR(__xludf.DUMMYFUNCTION("""COMPUTED_VALUE"""),49.0)</f>
        <v>49</v>
      </c>
      <c r="E2254" s="2"/>
    </row>
    <row r="2255">
      <c r="A2255" s="2"/>
      <c r="B2255" s="8" t="str">
        <f>IFERROR(__xludf.DUMMYFUNCTION("""COMPUTED_VALUE"""),"MUHAMMAD SUTAN ARIIQ FARREL")</f>
        <v>MUHAMMAD SUTAN ARIIQ FARREL</v>
      </c>
      <c r="C2255" s="8" t="str">
        <f>IFERROR(__xludf.DUMMYFUNCTION("""COMPUTED_VALUE"""),"M0425033778")</f>
        <v>M0425033778</v>
      </c>
      <c r="D2255" s="8">
        <f>IFERROR(__xludf.DUMMYFUNCTION("""COMPUTED_VALUE"""),21.0)</f>
        <v>21</v>
      </c>
      <c r="E2255" s="2"/>
    </row>
    <row r="2256">
      <c r="A2256" s="2"/>
      <c r="B2256" s="8" t="str">
        <f>IFERROR(__xludf.DUMMYFUNCTION("""COMPUTED_VALUE"""),"ASEP KURNIAWAN")</f>
        <v>ASEP KURNIAWAN</v>
      </c>
      <c r="C2256" s="8" t="str">
        <f>IFERROR(__xludf.DUMMYFUNCTION("""COMPUTED_VALUE"""),"A8725038799")</f>
        <v>A8725038799</v>
      </c>
      <c r="D2256" s="8">
        <f>IFERROR(__xludf.DUMMYFUNCTION("""COMPUTED_VALUE"""),39.0)</f>
        <v>39</v>
      </c>
      <c r="E2256" s="2"/>
    </row>
    <row r="2257">
      <c r="A2257" s="2"/>
      <c r="B2257" s="8" t="str">
        <f>IFERROR(__xludf.DUMMYFUNCTION("""COMPUTED_VALUE"""),"EDY DARMAWAN")</f>
        <v>EDY DARMAWAN</v>
      </c>
      <c r="C2257" s="8" t="str">
        <f>IFERROR(__xludf.DUMMYFUNCTION("""COMPUTED_VALUE"""),"E0225030144")</f>
        <v>E0225030144</v>
      </c>
      <c r="D2257" s="8">
        <f>IFERROR(__xludf.DUMMYFUNCTION("""COMPUTED_VALUE"""),23.0)</f>
        <v>23</v>
      </c>
      <c r="E2257" s="2"/>
    </row>
    <row r="2258">
      <c r="A2258" s="2"/>
      <c r="B2258" s="8" t="str">
        <f>IFERROR(__xludf.DUMMYFUNCTION("""COMPUTED_VALUE"""),"SITI RINA APRILIANI")</f>
        <v>SITI RINA APRILIANI</v>
      </c>
      <c r="C2258" s="8" t="str">
        <f>IFERROR(__xludf.DUMMYFUNCTION("""COMPUTED_VALUE"""),"S9625030245")</f>
        <v>S9625030245</v>
      </c>
      <c r="D2258" s="8">
        <f>IFERROR(__xludf.DUMMYFUNCTION("""COMPUTED_VALUE"""),30.0)</f>
        <v>30</v>
      </c>
      <c r="E2258" s="2"/>
    </row>
    <row r="2259">
      <c r="A2259" s="2"/>
      <c r="B2259" s="8" t="str">
        <f>IFERROR(__xludf.DUMMYFUNCTION("""COMPUTED_VALUE"""),"ISKANDAR 8209")</f>
        <v>ISKANDAR 8209</v>
      </c>
      <c r="C2259" s="8" t="str">
        <f>IFERROR(__xludf.DUMMYFUNCTION("""COMPUTED_VALUE"""),"I8225038889")</f>
        <v>I8225038889</v>
      </c>
      <c r="D2259" s="8">
        <f>IFERROR(__xludf.DUMMYFUNCTION("""COMPUTED_VALUE"""),43.0)</f>
        <v>43</v>
      </c>
      <c r="E2259" s="2"/>
    </row>
    <row r="2260">
      <c r="A2260" s="2"/>
      <c r="B2260" s="8" t="str">
        <f>IFERROR(__xludf.DUMMYFUNCTION("""COMPUTED_VALUE"""),"ANTONI")</f>
        <v>ANTONI</v>
      </c>
      <c r="C2260" s="8" t="str">
        <f>IFERROR(__xludf.DUMMYFUNCTION("""COMPUTED_VALUE"""),"A0325033157")</f>
        <v>A0325033157</v>
      </c>
      <c r="D2260" s="8">
        <f>IFERROR(__xludf.DUMMYFUNCTION("""COMPUTED_VALUE"""),23.0)</f>
        <v>23</v>
      </c>
      <c r="E2260" s="2"/>
    </row>
    <row r="2261">
      <c r="A2261" s="2"/>
      <c r="B2261" s="8" t="str">
        <f>IFERROR(__xludf.DUMMYFUNCTION("""COMPUTED_VALUE"""),"NADIWATA")</f>
        <v>NADIWATA</v>
      </c>
      <c r="C2261" s="8" t="str">
        <f>IFERROR(__xludf.DUMMYFUNCTION("""COMPUTED_VALUE"""),"N7725031111")</f>
        <v>N7725031111</v>
      </c>
      <c r="D2261" s="8">
        <f>IFERROR(__xludf.DUMMYFUNCTION("""COMPUTED_VALUE"""),48.0)</f>
        <v>48</v>
      </c>
      <c r="E2261" s="2"/>
    </row>
    <row r="2262">
      <c r="A2262" s="2"/>
      <c r="B2262" s="8" t="str">
        <f>IFERROR(__xludf.DUMMYFUNCTION("""COMPUTED_VALUE"""),"FERY KURNIADI")</f>
        <v>FERY KURNIADI</v>
      </c>
      <c r="C2262" s="8" t="str">
        <f>IFERROR(__xludf.DUMMYFUNCTION("""COMPUTED_VALUE"""),"F8325034303")</f>
        <v>F8325034303</v>
      </c>
      <c r="D2262" s="8">
        <f>IFERROR(__xludf.DUMMYFUNCTION("""COMPUTED_VALUE"""),43.0)</f>
        <v>43</v>
      </c>
      <c r="E2262" s="2"/>
    </row>
    <row r="2263">
      <c r="A2263" s="2"/>
      <c r="B2263" s="8" t="str">
        <f>IFERROR(__xludf.DUMMYFUNCTION("""COMPUTED_VALUE"""),"SUSILO HARTATI")</f>
        <v>SUSILO HARTATI</v>
      </c>
      <c r="C2263" s="8" t="str">
        <f>IFERROR(__xludf.DUMMYFUNCTION("""COMPUTED_VALUE"""),"S8425039305")</f>
        <v>S8425039305</v>
      </c>
      <c r="D2263" s="8">
        <f>IFERROR(__xludf.DUMMYFUNCTION("""COMPUTED_VALUE"""),41.0)</f>
        <v>41</v>
      </c>
      <c r="E2263" s="2"/>
    </row>
    <row r="2264">
      <c r="A2264" s="2"/>
      <c r="B2264" s="8" t="str">
        <f>IFERROR(__xludf.DUMMYFUNCTION("""COMPUTED_VALUE"""),"BIMA ADITYA")</f>
        <v>BIMA ADITYA</v>
      </c>
      <c r="C2264" s="8" t="str">
        <f>IFERROR(__xludf.DUMMYFUNCTION("""COMPUTED_VALUE"""),"B9625030865")</f>
        <v>B9625030865</v>
      </c>
      <c r="D2264" s="8">
        <f>IFERROR(__xludf.DUMMYFUNCTION("""COMPUTED_VALUE"""),29.0)</f>
        <v>29</v>
      </c>
      <c r="E2264" s="2"/>
    </row>
    <row r="2265">
      <c r="A2265" s="2"/>
      <c r="B2265" s="8" t="str">
        <f>IFERROR(__xludf.DUMMYFUNCTION("""COMPUTED_VALUE"""),"MUHAMAD RAFFANI SYAWAL")</f>
        <v>MUHAMAD RAFFANI SYAWAL</v>
      </c>
      <c r="C2265" s="8" t="str">
        <f>IFERROR(__xludf.DUMMYFUNCTION("""COMPUTED_VALUE"""),"M0325037749")</f>
        <v>M0325037749</v>
      </c>
      <c r="D2265" s="8">
        <f>IFERROR(__xludf.DUMMYFUNCTION("""COMPUTED_VALUE"""),22.0)</f>
        <v>22</v>
      </c>
      <c r="E2265" s="2"/>
    </row>
    <row r="2266">
      <c r="A2266" s="2"/>
      <c r="B2266" s="8" t="str">
        <f>IFERROR(__xludf.DUMMYFUNCTION("""COMPUTED_VALUE"""),"SHANDY ANGGIAN")</f>
        <v>SHANDY ANGGIAN</v>
      </c>
      <c r="C2266" s="8" t="str">
        <f>IFERROR(__xludf.DUMMYFUNCTION("""COMPUTED_VALUE"""),"S9825036649")</f>
        <v>S9825036649</v>
      </c>
      <c r="D2266" s="8">
        <f>IFERROR(__xludf.DUMMYFUNCTION("""COMPUTED_VALUE"""),28.0)</f>
        <v>28</v>
      </c>
      <c r="E2266" s="2"/>
    </row>
    <row r="2267">
      <c r="A2267" s="2"/>
      <c r="B2267" s="8" t="str">
        <f>IFERROR(__xludf.DUMMYFUNCTION("""COMPUTED_VALUE"""),"SALMAWATI")</f>
        <v>SALMAWATI</v>
      </c>
      <c r="C2267" s="8" t="str">
        <f>IFERROR(__xludf.DUMMYFUNCTION("""COMPUTED_VALUE"""),"S5925039081")</f>
        <v>S5925039081</v>
      </c>
      <c r="D2267" s="8">
        <f>IFERROR(__xludf.DUMMYFUNCTION("""COMPUTED_VALUE"""),66.0)</f>
        <v>66</v>
      </c>
      <c r="E2267" s="2"/>
    </row>
    <row r="2268">
      <c r="A2268" s="2"/>
      <c r="B2268" s="8" t="str">
        <f>IFERROR(__xludf.DUMMYFUNCTION("""COMPUTED_VALUE"""),"FIRDAUS LIMAN")</f>
        <v>FIRDAUS LIMAN</v>
      </c>
      <c r="C2268" s="8" t="str">
        <f>IFERROR(__xludf.DUMMYFUNCTION("""COMPUTED_VALUE"""),"F9225032817")</f>
        <v>F9225032817</v>
      </c>
      <c r="D2268" s="8">
        <f>IFERROR(__xludf.DUMMYFUNCTION("""COMPUTED_VALUE"""),33.0)</f>
        <v>33</v>
      </c>
      <c r="E2268" s="2"/>
    </row>
    <row r="2269">
      <c r="A2269" s="2"/>
      <c r="B2269" s="8" t="str">
        <f>IFERROR(__xludf.DUMMYFUNCTION("""COMPUTED_VALUE"""),"PUSPITA RAHMASARI")</f>
        <v>PUSPITA RAHMASARI</v>
      </c>
      <c r="C2269" s="8" t="str">
        <f>IFERROR(__xludf.DUMMYFUNCTION("""COMPUTED_VALUE"""),"P9425035723")</f>
        <v>P9425035723</v>
      </c>
      <c r="D2269" s="8">
        <f>IFERROR(__xludf.DUMMYFUNCTION("""COMPUTED_VALUE"""),31.0)</f>
        <v>31</v>
      </c>
      <c r="E2269" s="2"/>
    </row>
    <row r="2270">
      <c r="A2270" s="2"/>
      <c r="B2270" s="8" t="str">
        <f>IFERROR(__xludf.DUMMYFUNCTION("""COMPUTED_VALUE"""),"FAHRIZA")</f>
        <v>FAHRIZA</v>
      </c>
      <c r="C2270" s="8" t="str">
        <f>IFERROR(__xludf.DUMMYFUNCTION("""COMPUTED_VALUE"""),"F9725034300")</f>
        <v>F9725034300</v>
      </c>
      <c r="D2270" s="8">
        <f>IFERROR(__xludf.DUMMYFUNCTION("""COMPUTED_VALUE"""),28.0)</f>
        <v>28</v>
      </c>
      <c r="E2270" s="2"/>
    </row>
    <row r="2271">
      <c r="A2271" s="2"/>
      <c r="B2271" s="8" t="str">
        <f>IFERROR(__xludf.DUMMYFUNCTION("""COMPUTED_VALUE"""),"ADI SETIAWAN")</f>
        <v>ADI SETIAWAN</v>
      </c>
      <c r="C2271" s="8" t="str">
        <f>IFERROR(__xludf.DUMMYFUNCTION("""COMPUTED_VALUE"""),"A7925041303")</f>
        <v>A7925041303</v>
      </c>
      <c r="D2271" s="8">
        <f>IFERROR(__xludf.DUMMYFUNCTION("""COMPUTED_VALUE"""),47.0)</f>
        <v>47</v>
      </c>
      <c r="E2271" s="2"/>
    </row>
    <row r="2272">
      <c r="A2272" s="2"/>
      <c r="B2272" s="8" t="str">
        <f>IFERROR(__xludf.DUMMYFUNCTION("""COMPUTED_VALUE"""),"MELANI")</f>
        <v>MELANI</v>
      </c>
      <c r="C2272" s="8" t="str">
        <f>IFERROR(__xludf.DUMMYFUNCTION("""COMPUTED_VALUE"""),"M7925042960")</f>
        <v>M7925042960</v>
      </c>
      <c r="D2272" s="8">
        <f>IFERROR(__xludf.DUMMYFUNCTION("""COMPUTED_VALUE"""),47.0)</f>
        <v>47</v>
      </c>
      <c r="E2272" s="2"/>
    </row>
    <row r="2273">
      <c r="A2273" s="2"/>
      <c r="B2273" s="8" t="str">
        <f>IFERROR(__xludf.DUMMYFUNCTION("""COMPUTED_VALUE"""),"RUBY NADHIRA SUBEKTI")</f>
        <v>RUBY NADHIRA SUBEKTI</v>
      </c>
      <c r="C2273" s="8" t="str">
        <f>IFERROR(__xludf.DUMMYFUNCTION("""COMPUTED_VALUE"""),"R0725041904")</f>
        <v>R0725041904</v>
      </c>
      <c r="D2273" s="8">
        <f>IFERROR(__xludf.DUMMYFUNCTION("""COMPUTED_VALUE"""),19.0)</f>
        <v>19</v>
      </c>
      <c r="E2273" s="2"/>
    </row>
    <row r="2274">
      <c r="A2274" s="2"/>
      <c r="B2274" s="8" t="str">
        <f>IFERROR(__xludf.DUMMYFUNCTION("""COMPUTED_VALUE"""),"ERWIN")</f>
        <v>ERWIN</v>
      </c>
      <c r="C2274" s="8" t="str">
        <f>IFERROR(__xludf.DUMMYFUNCTION("""COMPUTED_VALUE"""),"E7825046700")</f>
        <v>E7825046700</v>
      </c>
      <c r="D2274" s="8">
        <f>IFERROR(__xludf.DUMMYFUNCTION("""COMPUTED_VALUE"""),47.0)</f>
        <v>47</v>
      </c>
      <c r="E2274" s="2"/>
    </row>
    <row r="2275">
      <c r="A2275" s="2"/>
      <c r="B2275" s="8" t="str">
        <f>IFERROR(__xludf.DUMMYFUNCTION("""COMPUTED_VALUE"""),"FELIX FERNANDES")</f>
        <v>FELIX FERNANDES</v>
      </c>
      <c r="C2275" s="8" t="str">
        <f>IFERROR(__xludf.DUMMYFUNCTION("""COMPUTED_VALUE"""),"F9925043339")</f>
        <v>F9925043339</v>
      </c>
      <c r="D2275" s="8">
        <f>IFERROR(__xludf.DUMMYFUNCTION("""COMPUTED_VALUE"""),27.0)</f>
        <v>27</v>
      </c>
      <c r="E2275" s="2"/>
    </row>
    <row r="2276">
      <c r="A2276" s="2"/>
      <c r="B2276" s="8" t="str">
        <f>IFERROR(__xludf.DUMMYFUNCTION("""COMPUTED_VALUE"""),"DEWI RAHAYU")</f>
        <v>DEWI RAHAYU</v>
      </c>
      <c r="C2276" s="8" t="str">
        <f>IFERROR(__xludf.DUMMYFUNCTION("""COMPUTED_VALUE"""),"D9125048938")</f>
        <v>D9125048938</v>
      </c>
      <c r="D2276" s="8">
        <f>IFERROR(__xludf.DUMMYFUNCTION("""COMPUTED_VALUE"""),35.0)</f>
        <v>35</v>
      </c>
      <c r="E2276" s="2"/>
    </row>
    <row r="2277">
      <c r="A2277" s="2"/>
      <c r="B2277" s="8" t="str">
        <f>IFERROR(__xludf.DUMMYFUNCTION("""COMPUTED_VALUE"""),"TOMI FACHRURRAZI")</f>
        <v>TOMI FACHRURRAZI</v>
      </c>
      <c r="C2277" s="8" t="str">
        <f>IFERROR(__xludf.DUMMYFUNCTION("""COMPUTED_VALUE"""),"T8525047357")</f>
        <v>T8525047357</v>
      </c>
      <c r="D2277" s="8">
        <f>IFERROR(__xludf.DUMMYFUNCTION("""COMPUTED_VALUE"""),41.0)</f>
        <v>41</v>
      </c>
      <c r="E2277" s="2"/>
    </row>
    <row r="2278">
      <c r="A2278" s="2"/>
      <c r="B2278" s="8" t="str">
        <f>IFERROR(__xludf.DUMMYFUNCTION("""COMPUTED_VALUE"""),"RYAN ACHMAD BASIR")</f>
        <v>RYAN ACHMAD BASIR</v>
      </c>
      <c r="C2278" s="8" t="str">
        <f>IFERROR(__xludf.DUMMYFUNCTION("""COMPUTED_VALUE"""),"R0225042129")</f>
        <v>R0225042129</v>
      </c>
      <c r="D2278" s="8">
        <f>IFERROR(__xludf.DUMMYFUNCTION("""COMPUTED_VALUE"""),24.0)</f>
        <v>24</v>
      </c>
      <c r="E2278" s="2"/>
    </row>
    <row r="2279">
      <c r="A2279" s="2"/>
      <c r="B2279" s="8" t="str">
        <f>IFERROR(__xludf.DUMMYFUNCTION("""COMPUTED_VALUE"""),"BION SALIM")</f>
        <v>BION SALIM</v>
      </c>
      <c r="C2279" s="8" t="str">
        <f>IFERROR(__xludf.DUMMYFUNCTION("""COMPUTED_VALUE"""),"B8925045599")</f>
        <v>B8925045599</v>
      </c>
      <c r="D2279" s="8">
        <f>IFERROR(__xludf.DUMMYFUNCTION("""COMPUTED_VALUE"""),37.0)</f>
        <v>37</v>
      </c>
      <c r="E2279" s="2"/>
    </row>
    <row r="2280">
      <c r="A2280" s="2"/>
      <c r="B2280" s="8" t="str">
        <f>IFERROR(__xludf.DUMMYFUNCTION("""COMPUTED_VALUE"""),"ERVA SURIYANTI")</f>
        <v>ERVA SURIYANTI</v>
      </c>
      <c r="C2280" s="8" t="str">
        <f>IFERROR(__xludf.DUMMYFUNCTION("""COMPUTED_VALUE"""),"E9025044888")</f>
        <v>E9025044888</v>
      </c>
      <c r="D2280" s="8">
        <f>IFERROR(__xludf.DUMMYFUNCTION("""COMPUTED_VALUE"""),36.0)</f>
        <v>36</v>
      </c>
      <c r="E2280" s="2"/>
    </row>
    <row r="2281">
      <c r="A2281" s="2"/>
      <c r="B2281" s="8" t="str">
        <f>IFERROR(__xludf.DUMMYFUNCTION("""COMPUTED_VALUE"""),"AFRIANTO TEGUH WIBOWO")</f>
        <v>AFRIANTO TEGUH WIBOWO</v>
      </c>
      <c r="C2281" s="8" t="str">
        <f>IFERROR(__xludf.DUMMYFUNCTION("""COMPUTED_VALUE"""),"A8525032200")</f>
        <v>A8525032200</v>
      </c>
      <c r="D2281" s="8">
        <f>IFERROR(__xludf.DUMMYFUNCTION("""COMPUTED_VALUE"""),41.0)</f>
        <v>41</v>
      </c>
      <c r="E2281" s="2"/>
    </row>
    <row r="2282">
      <c r="A2282" s="2"/>
      <c r="B2282" s="8" t="str">
        <f>IFERROR(__xludf.DUMMYFUNCTION("""COMPUTED_VALUE"""),"VALENTINUS WONGSO")</f>
        <v>VALENTINUS WONGSO</v>
      </c>
      <c r="C2282" s="8" t="str">
        <f>IFERROR(__xludf.DUMMYFUNCTION("""COMPUTED_VALUE"""),"V0125043049")</f>
        <v>V0125043049</v>
      </c>
      <c r="D2282" s="8">
        <f>IFERROR(__xludf.DUMMYFUNCTION("""COMPUTED_VALUE"""),25.0)</f>
        <v>25</v>
      </c>
      <c r="E2282" s="2"/>
    </row>
    <row r="2283">
      <c r="A2283" s="2"/>
      <c r="B2283" s="8" t="str">
        <f>IFERROR(__xludf.DUMMYFUNCTION("""COMPUTED_VALUE"""),"MUHAMMAD DZAKI PRATAMA")</f>
        <v>MUHAMMAD DZAKI PRATAMA</v>
      </c>
      <c r="C2283" s="8" t="str">
        <f>IFERROR(__xludf.DUMMYFUNCTION("""COMPUTED_VALUE"""),"M9925046487")</f>
        <v>M9925046487</v>
      </c>
      <c r="D2283" s="8">
        <f>IFERROR(__xludf.DUMMYFUNCTION("""COMPUTED_VALUE"""),26.0)</f>
        <v>26</v>
      </c>
      <c r="E2283" s="2"/>
    </row>
    <row r="2284">
      <c r="A2284" s="2"/>
      <c r="B2284" s="8" t="str">
        <f>IFERROR(__xludf.DUMMYFUNCTION("""COMPUTED_VALUE"""),"AHMAD FAHRULLAH")</f>
        <v>AHMAD FAHRULLAH</v>
      </c>
      <c r="C2284" s="8" t="str">
        <f>IFERROR(__xludf.DUMMYFUNCTION("""COMPUTED_VALUE"""),"A9125043332")</f>
        <v>A9125043332</v>
      </c>
      <c r="D2284" s="8">
        <f>IFERROR(__xludf.DUMMYFUNCTION("""COMPUTED_VALUE"""),34.0)</f>
        <v>34</v>
      </c>
      <c r="E2284" s="2"/>
    </row>
    <row r="2285">
      <c r="A2285" s="2"/>
      <c r="B2285" s="8" t="str">
        <f>IFERROR(__xludf.DUMMYFUNCTION("""COMPUTED_VALUE"""),"NAIM IKSAN NUDIN")</f>
        <v>NAIM IKSAN NUDIN</v>
      </c>
      <c r="C2285" s="8" t="str">
        <f>IFERROR(__xludf.DUMMYFUNCTION("""COMPUTED_VALUE"""),"N0125048970")</f>
        <v>N0125048970</v>
      </c>
      <c r="D2285" s="8">
        <f>IFERROR(__xludf.DUMMYFUNCTION("""COMPUTED_VALUE"""),25.0)</f>
        <v>25</v>
      </c>
      <c r="E2285" s="2"/>
    </row>
    <row r="2286">
      <c r="A2286" s="2"/>
      <c r="B2286" s="8" t="str">
        <f>IFERROR(__xludf.DUMMYFUNCTION("""COMPUTED_VALUE"""),"ALEX RENALDY")</f>
        <v>ALEX RENALDY</v>
      </c>
      <c r="C2286" s="8" t="str">
        <f>IFERROR(__xludf.DUMMYFUNCTION("""COMPUTED_VALUE"""),"A0125047404")</f>
        <v>A0125047404</v>
      </c>
      <c r="D2286" s="8">
        <f>IFERROR(__xludf.DUMMYFUNCTION("""COMPUTED_VALUE"""),24.0)</f>
        <v>24</v>
      </c>
      <c r="E2286" s="2"/>
    </row>
    <row r="2287">
      <c r="A2287" s="2"/>
      <c r="B2287" s="8" t="str">
        <f>IFERROR(__xludf.DUMMYFUNCTION("""COMPUTED_VALUE"""),"DASWATI")</f>
        <v>DASWATI</v>
      </c>
      <c r="C2287" s="8" t="str">
        <f>IFERROR(__xludf.DUMMYFUNCTION("""COMPUTED_VALUE"""),"D6125047020")</f>
        <v>D6125047020</v>
      </c>
      <c r="D2287" s="8">
        <f>IFERROR(__xludf.DUMMYFUNCTION("""COMPUTED_VALUE"""),64.0)</f>
        <v>64</v>
      </c>
      <c r="E2287" s="2"/>
    </row>
    <row r="2288">
      <c r="A2288" s="2"/>
      <c r="B2288" s="8" t="str">
        <f>IFERROR(__xludf.DUMMYFUNCTION("""COMPUTED_VALUE"""),"HENDRI MIN")</f>
        <v>HENDRI MIN</v>
      </c>
      <c r="C2288" s="8" t="str">
        <f>IFERROR(__xludf.DUMMYFUNCTION("""COMPUTED_VALUE"""),"H6325042095")</f>
        <v>H6325042095</v>
      </c>
      <c r="D2288" s="8">
        <f>IFERROR(__xludf.DUMMYFUNCTION("""COMPUTED_VALUE"""),63.0)</f>
        <v>63</v>
      </c>
      <c r="E2288" s="2"/>
    </row>
    <row r="2289">
      <c r="A2289" s="2"/>
      <c r="B2289" s="8" t="str">
        <f>IFERROR(__xludf.DUMMYFUNCTION("""COMPUTED_VALUE"""),"JUNIARDI")</f>
        <v>JUNIARDI</v>
      </c>
      <c r="C2289" s="8" t="str">
        <f>IFERROR(__xludf.DUMMYFUNCTION("""COMPUTED_VALUE"""),"J9425047717")</f>
        <v>J9425047717</v>
      </c>
      <c r="D2289" s="8">
        <f>IFERROR(__xludf.DUMMYFUNCTION("""COMPUTED_VALUE"""),32.0)</f>
        <v>32</v>
      </c>
      <c r="E2289" s="2"/>
    </row>
    <row r="2290">
      <c r="A2290" s="2"/>
      <c r="B2290" s="8" t="str">
        <f>IFERROR(__xludf.DUMMYFUNCTION("""COMPUTED_VALUE"""),"ANGGRAINI AUGUSTA")</f>
        <v>ANGGRAINI AUGUSTA</v>
      </c>
      <c r="C2290" s="8" t="str">
        <f>IFERROR(__xludf.DUMMYFUNCTION("""COMPUTED_VALUE"""),"A9125041169")</f>
        <v>A9125041169</v>
      </c>
      <c r="D2290" s="8">
        <f>IFERROR(__xludf.DUMMYFUNCTION("""COMPUTED_VALUE"""),34.0)</f>
        <v>34</v>
      </c>
      <c r="E2290" s="2"/>
    </row>
    <row r="2291">
      <c r="A2291" s="2"/>
      <c r="B2291" s="8" t="str">
        <f>IFERROR(__xludf.DUMMYFUNCTION("""COMPUTED_VALUE"""),"SYARIFAH NURLAILA")</f>
        <v>SYARIFAH NURLAILA</v>
      </c>
      <c r="C2291" s="8" t="str">
        <f>IFERROR(__xludf.DUMMYFUNCTION("""COMPUTED_VALUE"""),"S8625041003")</f>
        <v>S8625041003</v>
      </c>
      <c r="D2291" s="8">
        <f>IFERROR(__xludf.DUMMYFUNCTION("""COMPUTED_VALUE"""),39.0)</f>
        <v>39</v>
      </c>
      <c r="E2291" s="2"/>
    </row>
    <row r="2292">
      <c r="A2292" s="2"/>
      <c r="B2292" s="8" t="str">
        <f>IFERROR(__xludf.DUMMYFUNCTION("""COMPUTED_VALUE"""),"KUNTI LESTARI")</f>
        <v>KUNTI LESTARI</v>
      </c>
      <c r="C2292" s="8" t="str">
        <f>IFERROR(__xludf.DUMMYFUNCTION("""COMPUTED_VALUE"""),"K6225048028")</f>
        <v>K6225048028</v>
      </c>
      <c r="D2292" s="8">
        <f>IFERROR(__xludf.DUMMYFUNCTION("""COMPUTED_VALUE"""),63.0)</f>
        <v>63</v>
      </c>
      <c r="E2292" s="2"/>
    </row>
    <row r="2293">
      <c r="A2293" s="2"/>
      <c r="B2293" s="8" t="str">
        <f>IFERROR(__xludf.DUMMYFUNCTION("""COMPUTED_VALUE"""),"JAILANI")</f>
        <v>JAILANI</v>
      </c>
      <c r="C2293" s="8" t="str">
        <f>IFERROR(__xludf.DUMMYFUNCTION("""COMPUTED_VALUE"""),"J7225046710")</f>
        <v>J7225046710</v>
      </c>
      <c r="D2293" s="8">
        <f>IFERROR(__xludf.DUMMYFUNCTION("""COMPUTED_VALUE"""),53.0)</f>
        <v>53</v>
      </c>
      <c r="E2293" s="2"/>
    </row>
    <row r="2294">
      <c r="A2294" s="2"/>
      <c r="B2294" s="8" t="str">
        <f>IFERROR(__xludf.DUMMYFUNCTION("""COMPUTED_VALUE"""),"SANINTEN")</f>
        <v>SANINTEN</v>
      </c>
      <c r="C2294" s="8" t="str">
        <f>IFERROR(__xludf.DUMMYFUNCTION("""COMPUTED_VALUE"""),"S6325047278")</f>
        <v>S6325047278</v>
      </c>
      <c r="D2294" s="8">
        <f>IFERROR(__xludf.DUMMYFUNCTION("""COMPUTED_VALUE"""),63.0)</f>
        <v>63</v>
      </c>
      <c r="E2294" s="2"/>
    </row>
    <row r="2295">
      <c r="A2295" s="2"/>
      <c r="B2295" s="8" t="str">
        <f>IFERROR(__xludf.DUMMYFUNCTION("""COMPUTED_VALUE"""),"ISNAN LUTHFI")</f>
        <v>ISNAN LUTHFI</v>
      </c>
      <c r="C2295" s="8" t="str">
        <f>IFERROR(__xludf.DUMMYFUNCTION("""COMPUTED_VALUE"""),"I9825044864")</f>
        <v>I9825044864</v>
      </c>
      <c r="D2295" s="8">
        <f>IFERROR(__xludf.DUMMYFUNCTION("""COMPUTED_VALUE"""),28.0)</f>
        <v>28</v>
      </c>
      <c r="E2295" s="2"/>
    </row>
    <row r="2296">
      <c r="A2296" s="2"/>
      <c r="B2296" s="8" t="str">
        <f>IFERROR(__xludf.DUMMYFUNCTION("""COMPUTED_VALUE"""),"MAURA MEILYA DE ANDALUSU")</f>
        <v>MAURA MEILYA DE ANDALUSU</v>
      </c>
      <c r="C2296" s="8" t="str">
        <f>IFERROR(__xludf.DUMMYFUNCTION("""COMPUTED_VALUE"""),"M0625044829")</f>
        <v>M0625044829</v>
      </c>
      <c r="D2296" s="8">
        <f>IFERROR(__xludf.DUMMYFUNCTION("""COMPUTED_VALUE"""),20.0)</f>
        <v>20</v>
      </c>
      <c r="E2296" s="2"/>
    </row>
    <row r="2297">
      <c r="A2297" s="2"/>
      <c r="B2297" s="8" t="str">
        <f>IFERROR(__xludf.DUMMYFUNCTION("""COMPUTED_VALUE"""),"RUSNAINI")</f>
        <v>RUSNAINI</v>
      </c>
      <c r="C2297" s="8" t="str">
        <f>IFERROR(__xludf.DUMMYFUNCTION("""COMPUTED_VALUE"""),"R6925046024")</f>
        <v>R6925046024</v>
      </c>
      <c r="D2297" s="8">
        <f>IFERROR(__xludf.DUMMYFUNCTION("""COMPUTED_VALUE"""),56.0)</f>
        <v>56</v>
      </c>
      <c r="E2297" s="2"/>
    </row>
    <row r="2298">
      <c r="A2298" s="2"/>
      <c r="B2298" s="8" t="str">
        <f>IFERROR(__xludf.DUMMYFUNCTION("""COMPUTED_VALUE"""),"RIKY REYNALDI")</f>
        <v>RIKY REYNALDI</v>
      </c>
      <c r="C2298" s="8" t="str">
        <f>IFERROR(__xludf.DUMMYFUNCTION("""COMPUTED_VALUE"""),"R0025046707")</f>
        <v>R0025046707</v>
      </c>
      <c r="D2298" s="8">
        <f>IFERROR(__xludf.DUMMYFUNCTION("""COMPUTED_VALUE"""),26.0)</f>
        <v>26</v>
      </c>
      <c r="E2298" s="2"/>
    </row>
    <row r="2299">
      <c r="A2299" s="2"/>
      <c r="B2299" s="8" t="str">
        <f>IFERROR(__xludf.DUMMYFUNCTION("""COMPUTED_VALUE"""),"M. AHZA SYAHMI ARDI")</f>
        <v>M. AHZA SYAHMI ARDI</v>
      </c>
      <c r="C2299" s="8" t="str">
        <f>IFERROR(__xludf.DUMMYFUNCTION("""COMPUTED_VALUE"""),"M1025044555")</f>
        <v>M1025044555</v>
      </c>
      <c r="D2299" s="8">
        <f>IFERROR(__xludf.DUMMYFUNCTION("""COMPUTED_VALUE"""),16.0)</f>
        <v>16</v>
      </c>
      <c r="E2299" s="2"/>
    </row>
    <row r="2300">
      <c r="A2300" s="2"/>
      <c r="B2300" s="8" t="str">
        <f>IFERROR(__xludf.DUMMYFUNCTION("""COMPUTED_VALUE"""),"LICA")</f>
        <v>LICA</v>
      </c>
      <c r="C2300" s="8" t="str">
        <f>IFERROR(__xludf.DUMMYFUNCTION("""COMPUTED_VALUE"""),"L9925048099")</f>
        <v>L9925048099</v>
      </c>
      <c r="D2300" s="8">
        <f>IFERROR(__xludf.DUMMYFUNCTION("""COMPUTED_VALUE"""),26.0)</f>
        <v>26</v>
      </c>
      <c r="E2300" s="2"/>
    </row>
    <row r="2301">
      <c r="A2301" s="2"/>
      <c r="B2301" s="8" t="str">
        <f>IFERROR(__xludf.DUMMYFUNCTION("""COMPUTED_VALUE"""),"ARDI TAQWQDI")</f>
        <v>ARDI TAQWQDI</v>
      </c>
      <c r="C2301" s="8" t="str">
        <f>IFERROR(__xludf.DUMMYFUNCTION("""COMPUTED_VALUE"""),"A9225048766")</f>
        <v>A9225048766</v>
      </c>
      <c r="D2301" s="8">
        <f>IFERROR(__xludf.DUMMYFUNCTION("""COMPUTED_VALUE"""),34.0)</f>
        <v>34</v>
      </c>
      <c r="E2301" s="2"/>
    </row>
    <row r="2302">
      <c r="A2302" s="2"/>
      <c r="B2302" s="8" t="str">
        <f>IFERROR(__xludf.DUMMYFUNCTION("""COMPUTED_VALUE"""),"JOSE")</f>
        <v>JOSE</v>
      </c>
      <c r="C2302" s="8" t="str">
        <f>IFERROR(__xludf.DUMMYFUNCTION("""COMPUTED_VALUE"""),"J1225042193")</f>
        <v>J1225042193</v>
      </c>
      <c r="D2302" s="8">
        <f>IFERROR(__xludf.DUMMYFUNCTION("""COMPUTED_VALUE"""),13.0)</f>
        <v>13</v>
      </c>
      <c r="E2302" s="2"/>
    </row>
    <row r="2303">
      <c r="A2303" s="2"/>
      <c r="B2303" s="8" t="str">
        <f>IFERROR(__xludf.DUMMYFUNCTION("""COMPUTED_VALUE"""),"KUSUMAWATI")</f>
        <v>KUSUMAWATI</v>
      </c>
      <c r="C2303" s="8" t="str">
        <f>IFERROR(__xludf.DUMMYFUNCTION("""COMPUTED_VALUE"""),"K7025044099")</f>
        <v>K7025044099</v>
      </c>
      <c r="D2303" s="8">
        <f>IFERROR(__xludf.DUMMYFUNCTION("""COMPUTED_VALUE"""),56.0)</f>
        <v>56</v>
      </c>
      <c r="E2303" s="2"/>
    </row>
    <row r="2304">
      <c r="A2304" s="2"/>
      <c r="B2304" s="8" t="str">
        <f>IFERROR(__xludf.DUMMYFUNCTION("""COMPUTED_VALUE"""),"SISKA VEDIYANTIKA")</f>
        <v>SISKA VEDIYANTIKA</v>
      </c>
      <c r="C2304" s="8" t="str">
        <f>IFERROR(__xludf.DUMMYFUNCTION("""COMPUTED_VALUE"""),"S8525048522")</f>
        <v>S8525048522</v>
      </c>
      <c r="D2304" s="8">
        <f>IFERROR(__xludf.DUMMYFUNCTION("""COMPUTED_VALUE"""),41.0)</f>
        <v>41</v>
      </c>
      <c r="E2304" s="2"/>
    </row>
    <row r="2305">
      <c r="A2305" s="2"/>
      <c r="B2305" s="8" t="str">
        <f>IFERROR(__xludf.DUMMYFUNCTION("""COMPUTED_VALUE"""),"ELEAZAR MARPAUNG")</f>
        <v>ELEAZAR MARPAUNG</v>
      </c>
      <c r="C2305" s="8" t="str">
        <f>IFERROR(__xludf.DUMMYFUNCTION("""COMPUTED_VALUE"""),"E0425042106")</f>
        <v>E0425042106</v>
      </c>
      <c r="D2305" s="8">
        <f>IFERROR(__xludf.DUMMYFUNCTION("""COMPUTED_VALUE"""),22.0)</f>
        <v>22</v>
      </c>
      <c r="E2305" s="2"/>
    </row>
    <row r="2306">
      <c r="A2306" s="2"/>
      <c r="B2306" s="8" t="str">
        <f>IFERROR(__xludf.DUMMYFUNCTION("""COMPUTED_VALUE"""),"MUHAMMAD HAVIZ RAMDHANI")</f>
        <v>MUHAMMAD HAVIZ RAMDHANI</v>
      </c>
      <c r="C2306" s="8" t="str">
        <f>IFERROR(__xludf.DUMMYFUNCTION("""COMPUTED_VALUE"""),"M0025049695")</f>
        <v>M0025049695</v>
      </c>
      <c r="D2306" s="8">
        <f>IFERROR(__xludf.DUMMYFUNCTION("""COMPUTED_VALUE"""),25.0)</f>
        <v>25</v>
      </c>
      <c r="E2306" s="2"/>
    </row>
    <row r="2307">
      <c r="A2307" s="2"/>
      <c r="B2307" s="8" t="str">
        <f>IFERROR(__xludf.DUMMYFUNCTION("""COMPUTED_VALUE"""),"YUSANTIKA MAULUDINA RIYANTI")</f>
        <v>YUSANTIKA MAULUDINA RIYANTI</v>
      </c>
      <c r="C2307" s="8" t="str">
        <f>IFERROR(__xludf.DUMMYFUNCTION("""COMPUTED_VALUE"""),"Y9825044957")</f>
        <v>Y9825044957</v>
      </c>
      <c r="D2307" s="8">
        <f>IFERROR(__xludf.DUMMYFUNCTION("""COMPUTED_VALUE"""),28.0)</f>
        <v>28</v>
      </c>
      <c r="E2307" s="2"/>
    </row>
    <row r="2308">
      <c r="A2308" s="2"/>
      <c r="B2308" s="8" t="str">
        <f>IFERROR(__xludf.DUMMYFUNCTION("""COMPUTED_VALUE"""),"SYARIF BAHARI")</f>
        <v>SYARIF BAHARI</v>
      </c>
      <c r="C2308" s="8" t="str">
        <f>IFERROR(__xludf.DUMMYFUNCTION("""COMPUTED_VALUE"""),"S9225041553")</f>
        <v>S9225041553</v>
      </c>
      <c r="D2308" s="8">
        <f>IFERROR(__xludf.DUMMYFUNCTION("""COMPUTED_VALUE"""),33.0)</f>
        <v>33</v>
      </c>
      <c r="E2308" s="2"/>
    </row>
    <row r="2309">
      <c r="A2309" s="2"/>
      <c r="B2309" s="8" t="str">
        <f>IFERROR(__xludf.DUMMYFUNCTION("""COMPUTED_VALUE"""),"NOVI SISILIA PINA")</f>
        <v>NOVI SISILIA PINA</v>
      </c>
      <c r="C2309" s="8" t="str">
        <f>IFERROR(__xludf.DUMMYFUNCTION("""COMPUTED_VALUE"""),"N9325049928")</f>
        <v>N9325049928</v>
      </c>
      <c r="D2309" s="8">
        <f>IFERROR(__xludf.DUMMYFUNCTION("""COMPUTED_VALUE"""),32.0)</f>
        <v>32</v>
      </c>
      <c r="E2309" s="2"/>
    </row>
    <row r="2310">
      <c r="A2310" s="2"/>
      <c r="B2310" s="8" t="str">
        <f>IFERROR(__xludf.DUMMYFUNCTION("""COMPUTED_VALUE"""),"ELKJAER")</f>
        <v>ELKJAER</v>
      </c>
      <c r="C2310" s="8" t="str">
        <f>IFERROR(__xludf.DUMMYFUNCTION("""COMPUTED_VALUE"""),"E2525044910")</f>
        <v>E2525044910</v>
      </c>
      <c r="D2310" s="8">
        <f>IFERROR(__xludf.DUMMYFUNCTION("""COMPUTED_VALUE"""),1.0)</f>
        <v>1</v>
      </c>
      <c r="E2310" s="2"/>
    </row>
    <row r="2311">
      <c r="A2311" s="2"/>
      <c r="B2311" s="8" t="str">
        <f>IFERROR(__xludf.DUMMYFUNCTION("""COMPUTED_VALUE"""),"SY. AHMAD ZEIN")</f>
        <v>SY. AHMAD ZEIN</v>
      </c>
      <c r="C2311" s="8" t="str">
        <f>IFERROR(__xludf.DUMMYFUNCTION("""COMPUTED_VALUE"""),"S7325047610")</f>
        <v>S7325047610</v>
      </c>
      <c r="D2311" s="8">
        <f>IFERROR(__xludf.DUMMYFUNCTION("""COMPUTED_VALUE"""),52.0)</f>
        <v>52</v>
      </c>
      <c r="E2311" s="2"/>
    </row>
    <row r="2312">
      <c r="A2312" s="2"/>
      <c r="B2312" s="8" t="str">
        <f>IFERROR(__xludf.DUMMYFUNCTION("""COMPUTED_VALUE"""),"LIM BUN LIANG")</f>
        <v>LIM BUN LIANG</v>
      </c>
      <c r="C2312" s="8" t="str">
        <f>IFERROR(__xludf.DUMMYFUNCTION("""COMPUTED_VALUE"""),"L5725044448")</f>
        <v>L5725044448</v>
      </c>
      <c r="D2312" s="8">
        <f>IFERROR(__xludf.DUMMYFUNCTION("""COMPUTED_VALUE"""),69.0)</f>
        <v>69</v>
      </c>
      <c r="E2312" s="2"/>
    </row>
    <row r="2313">
      <c r="A2313" s="2"/>
      <c r="B2313" s="8" t="str">
        <f>IFERROR(__xludf.DUMMYFUNCTION("""COMPUTED_VALUE"""),"DESY MARITA")</f>
        <v>DESY MARITA</v>
      </c>
      <c r="C2313" s="8" t="str">
        <f>IFERROR(__xludf.DUMMYFUNCTION("""COMPUTED_VALUE"""),"D8025043130")</f>
        <v>D8025043130</v>
      </c>
      <c r="D2313" s="8">
        <f>IFERROR(__xludf.DUMMYFUNCTION("""COMPUTED_VALUE"""),45.0)</f>
        <v>45</v>
      </c>
      <c r="E2313" s="2"/>
    </row>
    <row r="2314">
      <c r="A2314" s="2"/>
      <c r="B2314" s="8" t="str">
        <f>IFERROR(__xludf.DUMMYFUNCTION("""COMPUTED_VALUE"""),"RADINDA FARIDZYA FITRIYANTO")</f>
        <v>RADINDA FARIDZYA FITRIYANTO</v>
      </c>
      <c r="C2314" s="8" t="str">
        <f>IFERROR(__xludf.DUMMYFUNCTION("""COMPUTED_VALUE"""),"R0125045992")</f>
        <v>R0125045992</v>
      </c>
      <c r="D2314" s="8">
        <f>IFERROR(__xludf.DUMMYFUNCTION("""COMPUTED_VALUE"""),25.0)</f>
        <v>25</v>
      </c>
      <c r="E2314" s="2"/>
    </row>
    <row r="2315">
      <c r="A2315" s="2"/>
      <c r="B2315" s="8" t="str">
        <f>IFERROR(__xludf.DUMMYFUNCTION("""COMPUTED_VALUE"""),"MEISYA FITRI")</f>
        <v>MEISYA FITRI</v>
      </c>
      <c r="C2315" s="8" t="str">
        <f>IFERROR(__xludf.DUMMYFUNCTION("""COMPUTED_VALUE"""),"M8925040551")</f>
        <v>M8925040551</v>
      </c>
      <c r="D2315" s="8">
        <f>IFERROR(__xludf.DUMMYFUNCTION("""COMPUTED_VALUE"""),37.0)</f>
        <v>37</v>
      </c>
      <c r="E2315" s="2"/>
    </row>
    <row r="2316">
      <c r="A2316" s="2"/>
      <c r="B2316" s="8" t="str">
        <f>IFERROR(__xludf.DUMMYFUNCTION("""COMPUTED_VALUE"""),"GUSTI AZLAN KHALID AYYUBI")</f>
        <v>GUSTI AZLAN KHALID AYYUBI</v>
      </c>
      <c r="C2316" s="8" t="str">
        <f>IFERROR(__xludf.DUMMYFUNCTION("""COMPUTED_VALUE"""),"G1525041290")</f>
        <v>G1525041290</v>
      </c>
      <c r="D2316" s="8">
        <f>IFERROR(__xludf.DUMMYFUNCTION("""COMPUTED_VALUE"""),11.0)</f>
        <v>11</v>
      </c>
      <c r="E2316" s="2"/>
    </row>
    <row r="2317">
      <c r="A2317" s="2"/>
      <c r="B2317" s="8" t="str">
        <f>IFERROR(__xludf.DUMMYFUNCTION("""COMPUTED_VALUE"""),"PUTRI NABILAH")</f>
        <v>PUTRI NABILAH</v>
      </c>
      <c r="C2317" s="8" t="str">
        <f>IFERROR(__xludf.DUMMYFUNCTION("""COMPUTED_VALUE"""),"P9825048208")</f>
        <v>P9825048208</v>
      </c>
      <c r="D2317" s="8">
        <f>IFERROR(__xludf.DUMMYFUNCTION("""COMPUTED_VALUE"""),28.0)</f>
        <v>28</v>
      </c>
      <c r="E2317" s="2"/>
    </row>
    <row r="2318">
      <c r="A2318" s="2"/>
      <c r="B2318" s="8" t="str">
        <f>IFERROR(__xludf.DUMMYFUNCTION("""COMPUTED_VALUE"""),"HERRY")</f>
        <v>HERRY</v>
      </c>
      <c r="C2318" s="8" t="str">
        <f>IFERROR(__xludf.DUMMYFUNCTION("""COMPUTED_VALUE"""),"H9125041999")</f>
        <v>H9125041999</v>
      </c>
      <c r="D2318" s="8">
        <f>IFERROR(__xludf.DUMMYFUNCTION("""COMPUTED_VALUE"""),34.0)</f>
        <v>34</v>
      </c>
      <c r="E2318" s="2"/>
    </row>
    <row r="2319">
      <c r="A2319" s="2"/>
      <c r="B2319" s="8" t="str">
        <f>IFERROR(__xludf.DUMMYFUNCTION("""COMPUTED_VALUE"""),"JANI HARI BOWO")</f>
        <v>JANI HARI BOWO</v>
      </c>
      <c r="C2319" s="8" t="str">
        <f>IFERROR(__xludf.DUMMYFUNCTION("""COMPUTED_VALUE"""),"J9025040906")</f>
        <v>J9025040906</v>
      </c>
      <c r="D2319" s="8">
        <f>IFERROR(__xludf.DUMMYFUNCTION("""COMPUTED_VALUE"""),36.0)</f>
        <v>36</v>
      </c>
      <c r="E2319" s="2"/>
    </row>
    <row r="2320">
      <c r="A2320" s="2"/>
      <c r="B2320" s="8" t="str">
        <f>IFERROR(__xludf.DUMMYFUNCTION("""COMPUTED_VALUE"""),"MEIDI9305")</f>
        <v>MEIDI9305</v>
      </c>
      <c r="C2320" s="8" t="str">
        <f>IFERROR(__xludf.DUMMYFUNCTION("""COMPUTED_VALUE"""),"M9325048884")</f>
        <v>M9325048884</v>
      </c>
      <c r="D2320" s="8">
        <f>IFERROR(__xludf.DUMMYFUNCTION("""COMPUTED_VALUE"""),33.0)</f>
        <v>33</v>
      </c>
      <c r="E2320" s="2"/>
    </row>
    <row r="2321">
      <c r="A2321" s="2"/>
      <c r="B2321" s="8" t="str">
        <f>IFERROR(__xludf.DUMMYFUNCTION("""COMPUTED_VALUE"""),"SELENA")</f>
        <v>SELENA</v>
      </c>
      <c r="C2321" s="8" t="str">
        <f>IFERROR(__xludf.DUMMYFUNCTION("""COMPUTED_VALUE"""),"S1225046229")</f>
        <v>S1225046229</v>
      </c>
      <c r="D2321" s="8">
        <f>IFERROR(__xludf.DUMMYFUNCTION("""COMPUTED_VALUE"""),14.0)</f>
        <v>14</v>
      </c>
      <c r="E2321" s="2"/>
    </row>
    <row r="2322">
      <c r="A2322" s="2"/>
      <c r="B2322" s="8" t="str">
        <f>IFERROR(__xludf.DUMMYFUNCTION("""COMPUTED_VALUE"""),"SOPIYA UMMI")</f>
        <v>SOPIYA UMMI</v>
      </c>
      <c r="C2322" s="8" t="str">
        <f>IFERROR(__xludf.DUMMYFUNCTION("""COMPUTED_VALUE"""),"S0525044977")</f>
        <v>S0525044977</v>
      </c>
      <c r="D2322" s="8">
        <f>IFERROR(__xludf.DUMMYFUNCTION("""COMPUTED_VALUE"""),21.0)</f>
        <v>21</v>
      </c>
      <c r="E2322" s="2"/>
    </row>
    <row r="2323">
      <c r="A2323" s="2"/>
      <c r="B2323" s="8" t="str">
        <f>IFERROR(__xludf.DUMMYFUNCTION("""COMPUTED_VALUE"""),"DWI ARIFYANDI")</f>
        <v>DWI ARIFYANDI</v>
      </c>
      <c r="C2323" s="8" t="str">
        <f>IFERROR(__xludf.DUMMYFUNCTION("""COMPUTED_VALUE"""),"D9925044697")</f>
        <v>D9925044697</v>
      </c>
      <c r="D2323" s="8">
        <f>IFERROR(__xludf.DUMMYFUNCTION("""COMPUTED_VALUE"""),27.0)</f>
        <v>27</v>
      </c>
      <c r="E2323" s="2"/>
    </row>
    <row r="2324">
      <c r="A2324" s="2"/>
      <c r="B2324" s="8" t="str">
        <f>IFERROR(__xludf.DUMMYFUNCTION("""COMPUTED_VALUE"""),"ERITA FITRIANI")</f>
        <v>ERITA FITRIANI</v>
      </c>
      <c r="C2324" s="8" t="str">
        <f>IFERROR(__xludf.DUMMYFUNCTION("""COMPUTED_VALUE"""),"E7025044684")</f>
        <v>E7025044684</v>
      </c>
      <c r="D2324" s="8">
        <f>IFERROR(__xludf.DUMMYFUNCTION("""COMPUTED_VALUE"""),55.0)</f>
        <v>55</v>
      </c>
      <c r="E2324" s="2"/>
    </row>
    <row r="2325">
      <c r="A2325" s="2"/>
      <c r="B2325" s="8" t="str">
        <f>IFERROR(__xludf.DUMMYFUNCTION("""COMPUTED_VALUE"""),"ARIEF SAPTA WENDRIANTO")</f>
        <v>ARIEF SAPTA WENDRIANTO</v>
      </c>
      <c r="C2325" s="8" t="str">
        <f>IFERROR(__xludf.DUMMYFUNCTION("""COMPUTED_VALUE"""),"A6025048900")</f>
        <v>A6025048900</v>
      </c>
      <c r="D2325" s="8">
        <f>IFERROR(__xludf.DUMMYFUNCTION("""COMPUTED_VALUE"""),66.0)</f>
        <v>66</v>
      </c>
      <c r="E2325" s="2"/>
    </row>
    <row r="2326">
      <c r="A2326" s="2"/>
      <c r="B2326" s="8" t="str">
        <f>IFERROR(__xludf.DUMMYFUNCTION("""COMPUTED_VALUE"""),"DEWI MASHARANI")</f>
        <v>DEWI MASHARANI</v>
      </c>
      <c r="C2326" s="8" t="str">
        <f>IFERROR(__xludf.DUMMYFUNCTION("""COMPUTED_VALUE"""),"D6325049536")</f>
        <v>D6325049536</v>
      </c>
      <c r="D2326" s="8">
        <f>IFERROR(__xludf.DUMMYFUNCTION("""COMPUTED_VALUE"""),63.0)</f>
        <v>63</v>
      </c>
      <c r="E2326" s="2"/>
    </row>
    <row r="2327">
      <c r="A2327" s="2"/>
      <c r="B2327" s="8" t="str">
        <f>IFERROR(__xludf.DUMMYFUNCTION("""COMPUTED_VALUE"""),"SATRIYANTO")</f>
        <v>SATRIYANTO</v>
      </c>
      <c r="C2327" s="8" t="str">
        <f>IFERROR(__xludf.DUMMYFUNCTION("""COMPUTED_VALUE"""),"S9625040113")</f>
        <v>S9625040113</v>
      </c>
      <c r="D2327" s="8">
        <f>IFERROR(__xludf.DUMMYFUNCTION("""COMPUTED_VALUE"""),30.0)</f>
        <v>30</v>
      </c>
      <c r="E2327" s="2"/>
    </row>
    <row r="2328">
      <c r="A2328" s="2"/>
      <c r="B2328" s="8" t="str">
        <f>IFERROR(__xludf.DUMMYFUNCTION("""COMPUTED_VALUE"""),"FATHAN AYATURROHMAN")</f>
        <v>FATHAN AYATURROHMAN</v>
      </c>
      <c r="C2328" s="8" t="str">
        <f>IFERROR(__xludf.DUMMYFUNCTION("""COMPUTED_VALUE"""),"F0425040311")</f>
        <v>F0425040311</v>
      </c>
      <c r="D2328" s="8">
        <f>IFERROR(__xludf.DUMMYFUNCTION("""COMPUTED_VALUE"""),21.0)</f>
        <v>21</v>
      </c>
      <c r="E2328" s="2"/>
    </row>
    <row r="2329">
      <c r="A2329" s="2"/>
      <c r="B2329" s="8" t="str">
        <f>IFERROR(__xludf.DUMMYFUNCTION("""COMPUTED_VALUE"""),"WARNO YULISTIO")</f>
        <v>WARNO YULISTIO</v>
      </c>
      <c r="C2329" s="8" t="str">
        <f>IFERROR(__xludf.DUMMYFUNCTION("""COMPUTED_VALUE"""),"W9325043069")</f>
        <v>W9325043069</v>
      </c>
      <c r="D2329" s="8">
        <f>IFERROR(__xludf.DUMMYFUNCTION("""COMPUTED_VALUE"""),33.0)</f>
        <v>33</v>
      </c>
      <c r="E2329" s="2"/>
    </row>
    <row r="2330">
      <c r="A2330" s="2"/>
      <c r="B2330" s="8" t="str">
        <f>IFERROR(__xludf.DUMMYFUNCTION("""COMPUTED_VALUE"""),"HASAN")</f>
        <v>HASAN</v>
      </c>
      <c r="C2330" s="8" t="str">
        <f>IFERROR(__xludf.DUMMYFUNCTION("""COMPUTED_VALUE"""),"H7825048850")</f>
        <v>H7825048850</v>
      </c>
      <c r="D2330" s="8">
        <f>IFERROR(__xludf.DUMMYFUNCTION("""COMPUTED_VALUE"""),48.0)</f>
        <v>48</v>
      </c>
      <c r="E2330" s="2"/>
    </row>
    <row r="2331">
      <c r="A2331" s="2"/>
      <c r="B2331" s="8" t="str">
        <f>IFERROR(__xludf.DUMMYFUNCTION("""COMPUTED_VALUE"""),"TIFANI FARISKA")</f>
        <v>TIFANI FARISKA</v>
      </c>
      <c r="C2331" s="8" t="str">
        <f>IFERROR(__xludf.DUMMYFUNCTION("""COMPUTED_VALUE"""),"T9325043895")</f>
        <v>T9325043895</v>
      </c>
      <c r="D2331" s="8">
        <f>IFERROR(__xludf.DUMMYFUNCTION("""COMPUTED_VALUE"""),33.0)</f>
        <v>33</v>
      </c>
      <c r="E2331" s="2"/>
    </row>
    <row r="2332">
      <c r="A2332" s="2"/>
      <c r="B2332" s="8" t="str">
        <f>IFERROR(__xludf.DUMMYFUNCTION("""COMPUTED_VALUE"""),"IWAN SETIAWAN8204")</f>
        <v>IWAN SETIAWAN8204</v>
      </c>
      <c r="C2332" s="8" t="str">
        <f>IFERROR(__xludf.DUMMYFUNCTION("""COMPUTED_VALUE"""),"I8225042012")</f>
        <v>I8225042012</v>
      </c>
      <c r="D2332" s="8">
        <f>IFERROR(__xludf.DUMMYFUNCTION("""COMPUTED_VALUE"""),44.0)</f>
        <v>44</v>
      </c>
      <c r="E2332" s="2"/>
    </row>
    <row r="2333">
      <c r="A2333" s="2"/>
      <c r="B2333" s="8" t="str">
        <f>IFERROR(__xludf.DUMMYFUNCTION("""COMPUTED_VALUE"""),"ADIL")</f>
        <v>ADIL</v>
      </c>
      <c r="C2333" s="8" t="str">
        <f>IFERROR(__xludf.DUMMYFUNCTION("""COMPUTED_VALUE"""),"A9425045500")</f>
        <v>A9425045500</v>
      </c>
      <c r="D2333" s="8">
        <f>IFERROR(__xludf.DUMMYFUNCTION("""COMPUTED_VALUE"""),32.0)</f>
        <v>32</v>
      </c>
      <c r="E2333" s="2"/>
    </row>
    <row r="2334">
      <c r="A2334" s="2"/>
      <c r="B2334" s="8" t="str">
        <f>IFERROR(__xludf.DUMMYFUNCTION("""COMPUTED_VALUE"""),"HANAPI")</f>
        <v>HANAPI</v>
      </c>
      <c r="C2334" s="8" t="str">
        <f>IFERROR(__xludf.DUMMYFUNCTION("""COMPUTED_VALUE"""),"H6725049807")</f>
        <v>H6725049807</v>
      </c>
      <c r="D2334" s="8">
        <f>IFERROR(__xludf.DUMMYFUNCTION("""COMPUTED_VALUE"""),59.0)</f>
        <v>59</v>
      </c>
      <c r="E2334" s="2"/>
    </row>
    <row r="2335">
      <c r="A2335" s="2"/>
      <c r="B2335" s="8" t="str">
        <f>IFERROR(__xludf.DUMMYFUNCTION("""COMPUTED_VALUE"""),"DIMAS WAHYU PRASETYO")</f>
        <v>DIMAS WAHYU PRASETYO</v>
      </c>
      <c r="C2335" s="8" t="str">
        <f>IFERROR(__xludf.DUMMYFUNCTION("""COMPUTED_VALUE"""),"D9925044006")</f>
        <v>D9925044006</v>
      </c>
      <c r="D2335" s="8">
        <f>IFERROR(__xludf.DUMMYFUNCTION("""COMPUTED_VALUE"""),26.0)</f>
        <v>26</v>
      </c>
      <c r="E2335" s="2"/>
    </row>
    <row r="2336">
      <c r="A2336" s="2"/>
      <c r="B2336" s="8" t="str">
        <f>IFERROR(__xludf.DUMMYFUNCTION("""COMPUTED_VALUE"""),"WAHYU HIDAYATI")</f>
        <v>WAHYU HIDAYATI</v>
      </c>
      <c r="C2336" s="8" t="str">
        <f>IFERROR(__xludf.DUMMYFUNCTION("""COMPUTED_VALUE"""),"W8525044141")</f>
        <v>W8525044141</v>
      </c>
      <c r="D2336" s="8">
        <f>IFERROR(__xludf.DUMMYFUNCTION("""COMPUTED_VALUE"""),41.0)</f>
        <v>41</v>
      </c>
      <c r="E2336" s="2"/>
    </row>
    <row r="2337">
      <c r="A2337" s="2"/>
      <c r="B2337" s="8" t="str">
        <f>IFERROR(__xludf.DUMMYFUNCTION("""COMPUTED_VALUE"""),"BRIAN AFRIANSYAH")</f>
        <v>BRIAN AFRIANSYAH</v>
      </c>
      <c r="C2337" s="8" t="str">
        <f>IFERROR(__xludf.DUMMYFUNCTION("""COMPUTED_VALUE"""),"B0625048038")</f>
        <v>B0625048038</v>
      </c>
      <c r="D2337" s="8">
        <f>IFERROR(__xludf.DUMMYFUNCTION("""COMPUTED_VALUE"""),20.0)</f>
        <v>20</v>
      </c>
      <c r="E2337" s="2"/>
    </row>
    <row r="2338">
      <c r="A2338" s="2"/>
      <c r="B2338" s="8" t="str">
        <f>IFERROR(__xludf.DUMMYFUNCTION("""COMPUTED_VALUE"""),"DWI DAYU SAMPURNA")</f>
        <v>DWI DAYU SAMPURNA</v>
      </c>
      <c r="C2338" s="8" t="str">
        <f>IFERROR(__xludf.DUMMYFUNCTION("""COMPUTED_VALUE"""),"D9925042118")</f>
        <v>D9925042118</v>
      </c>
      <c r="D2338" s="8">
        <f>IFERROR(__xludf.DUMMYFUNCTION("""COMPUTED_VALUE"""),27.0)</f>
        <v>27</v>
      </c>
      <c r="E2338" s="2"/>
    </row>
    <row r="2339">
      <c r="A2339" s="2"/>
      <c r="B2339" s="8" t="str">
        <f>IFERROR(__xludf.DUMMYFUNCTION("""COMPUTED_VALUE"""),"TIUR MANURUNG")</f>
        <v>TIUR MANURUNG</v>
      </c>
      <c r="C2339" s="8" t="str">
        <f>IFERROR(__xludf.DUMMYFUNCTION("""COMPUTED_VALUE"""),"T7425044460")</f>
        <v>T7425044460</v>
      </c>
      <c r="D2339" s="8">
        <f>IFERROR(__xludf.DUMMYFUNCTION("""COMPUTED_VALUE"""),51.0)</f>
        <v>51</v>
      </c>
      <c r="E2339" s="2"/>
    </row>
    <row r="2340">
      <c r="A2340" s="2"/>
      <c r="B2340" s="8" t="str">
        <f>IFERROR(__xludf.DUMMYFUNCTION("""COMPUTED_VALUE"""),"ZAINAL")</f>
        <v>ZAINAL</v>
      </c>
      <c r="C2340" s="8" t="str">
        <f>IFERROR(__xludf.DUMMYFUNCTION("""COMPUTED_VALUE"""),"Z7325041282")</f>
        <v>Z7325041282</v>
      </c>
      <c r="D2340" s="8">
        <f>IFERROR(__xludf.DUMMYFUNCTION("""COMPUTED_VALUE"""),52.0)</f>
        <v>52</v>
      </c>
      <c r="E2340" s="2"/>
    </row>
    <row r="2341">
      <c r="A2341" s="2"/>
      <c r="B2341" s="8" t="str">
        <f>IFERROR(__xludf.DUMMYFUNCTION("""COMPUTED_VALUE"""),"AHMAN")</f>
        <v>AHMAN</v>
      </c>
      <c r="C2341" s="8" t="str">
        <f>IFERROR(__xludf.DUMMYFUNCTION("""COMPUTED_VALUE"""),"A7625049356")</f>
        <v>A7625049356</v>
      </c>
      <c r="D2341" s="8">
        <f>IFERROR(__xludf.DUMMYFUNCTION("""COMPUTED_VALUE"""),50.0)</f>
        <v>50</v>
      </c>
      <c r="E2341" s="2"/>
    </row>
    <row r="2342">
      <c r="A2342" s="2"/>
      <c r="B2342" s="8" t="str">
        <f>IFERROR(__xludf.DUMMYFUNCTION("""COMPUTED_VALUE"""),"MUHSON NURROCHMAT")</f>
        <v>MUHSON NURROCHMAT</v>
      </c>
      <c r="C2342" s="8" t="str">
        <f>IFERROR(__xludf.DUMMYFUNCTION("""COMPUTED_VALUE"""),"M7325046255")</f>
        <v>M7325046255</v>
      </c>
      <c r="D2342" s="8">
        <f>IFERROR(__xludf.DUMMYFUNCTION("""COMPUTED_VALUE"""),52.0)</f>
        <v>52</v>
      </c>
      <c r="E2342" s="2"/>
    </row>
    <row r="2343">
      <c r="A2343" s="2"/>
      <c r="B2343" s="8" t="str">
        <f>IFERROR(__xludf.DUMMYFUNCTION("""COMPUTED_VALUE"""),"HJ. RAMLAH")</f>
        <v>HJ. RAMLAH</v>
      </c>
      <c r="C2343" s="8" t="str">
        <f>IFERROR(__xludf.DUMMYFUNCTION("""COMPUTED_VALUE"""),"H5625047624")</f>
        <v>H5625047624</v>
      </c>
      <c r="D2343" s="8">
        <f>IFERROR(__xludf.DUMMYFUNCTION("""COMPUTED_VALUE"""),69.0)</f>
        <v>69</v>
      </c>
      <c r="E2343" s="2"/>
    </row>
    <row r="2344">
      <c r="A2344" s="2"/>
      <c r="B2344" s="8" t="str">
        <f>IFERROR(__xludf.DUMMYFUNCTION("""COMPUTED_VALUE"""),"INDRIANUS")</f>
        <v>INDRIANUS</v>
      </c>
      <c r="C2344" s="8" t="str">
        <f>IFERROR(__xludf.DUMMYFUNCTION("""COMPUTED_VALUE"""),"I7525045977")</f>
        <v>I7525045977</v>
      </c>
      <c r="D2344" s="8">
        <f>IFERROR(__xludf.DUMMYFUNCTION("""COMPUTED_VALUE"""),51.0)</f>
        <v>51</v>
      </c>
      <c r="E2344" s="2"/>
    </row>
    <row r="2345">
      <c r="A2345" s="2"/>
      <c r="B2345" s="8" t="str">
        <f>IFERROR(__xludf.DUMMYFUNCTION("""COMPUTED_VALUE"""),"IDA WIDIYASTUTI")</f>
        <v>IDA WIDIYASTUTI</v>
      </c>
      <c r="C2345" s="8" t="str">
        <f>IFERROR(__xludf.DUMMYFUNCTION("""COMPUTED_VALUE"""),"I7525045099")</f>
        <v>I7525045099</v>
      </c>
      <c r="D2345" s="8">
        <f>IFERROR(__xludf.DUMMYFUNCTION("""COMPUTED_VALUE"""),51.0)</f>
        <v>51</v>
      </c>
      <c r="E2345" s="2"/>
    </row>
    <row r="2346">
      <c r="A2346" s="2"/>
      <c r="B2346" s="8" t="str">
        <f>IFERROR(__xludf.DUMMYFUNCTION("""COMPUTED_VALUE"""),"AIKO ZINKY")</f>
        <v>AIKO ZINKY</v>
      </c>
      <c r="C2346" s="8" t="str">
        <f>IFERROR(__xludf.DUMMYFUNCTION("""COMPUTED_VALUE"""),"A1225043715")</f>
        <v>A1225043715</v>
      </c>
      <c r="D2346" s="8">
        <f>IFERROR(__xludf.DUMMYFUNCTION("""COMPUTED_VALUE"""),14.0)</f>
        <v>14</v>
      </c>
      <c r="E2346" s="2"/>
    </row>
    <row r="2347">
      <c r="A2347" s="2"/>
      <c r="B2347" s="8" t="str">
        <f>IFERROR(__xludf.DUMMYFUNCTION("""COMPUTED_VALUE"""),"PUTRI MIRANDA")</f>
        <v>PUTRI MIRANDA</v>
      </c>
      <c r="C2347" s="8" t="str">
        <f>IFERROR(__xludf.DUMMYFUNCTION("""COMPUTED_VALUE"""),"P0125047300")</f>
        <v>P0125047300</v>
      </c>
      <c r="D2347" s="8">
        <f>IFERROR(__xludf.DUMMYFUNCTION("""COMPUTED_VALUE"""),25.0)</f>
        <v>25</v>
      </c>
      <c r="E2347" s="2"/>
    </row>
    <row r="2348">
      <c r="A2348" s="2"/>
      <c r="B2348" s="8" t="str">
        <f>IFERROR(__xludf.DUMMYFUNCTION("""COMPUTED_VALUE"""),"ARI YANUARIF")</f>
        <v>ARI YANUARIF</v>
      </c>
      <c r="C2348" s="8" t="str">
        <f>IFERROR(__xludf.DUMMYFUNCTION("""COMPUTED_VALUE"""),"A6825042168")</f>
        <v>A6825042168</v>
      </c>
      <c r="D2348" s="8">
        <f>IFERROR(__xludf.DUMMYFUNCTION("""COMPUTED_VALUE"""),58.0)</f>
        <v>58</v>
      </c>
      <c r="E2348" s="2"/>
    </row>
    <row r="2349">
      <c r="A2349" s="2"/>
      <c r="B2349" s="8" t="str">
        <f>IFERROR(__xludf.DUMMYFUNCTION("""COMPUTED_VALUE"""),"RENDI ARDIAN")</f>
        <v>RENDI ARDIAN</v>
      </c>
      <c r="C2349" s="8" t="str">
        <f>IFERROR(__xludf.DUMMYFUNCTION("""COMPUTED_VALUE"""),"R8525040080")</f>
        <v>R8525040080</v>
      </c>
      <c r="D2349" s="8">
        <f>IFERROR(__xludf.DUMMYFUNCTION("""COMPUTED_VALUE"""),41.0)</f>
        <v>41</v>
      </c>
      <c r="E2349" s="2"/>
    </row>
    <row r="2350">
      <c r="A2350" s="2"/>
      <c r="B2350" s="8" t="str">
        <f>IFERROR(__xludf.DUMMYFUNCTION("""COMPUTED_VALUE"""),"FIDLIS MERING")</f>
        <v>FIDLIS MERING</v>
      </c>
      <c r="C2350" s="8" t="str">
        <f>IFERROR(__xludf.DUMMYFUNCTION("""COMPUTED_VALUE"""),"F8525043145")</f>
        <v>F8525043145</v>
      </c>
      <c r="D2350" s="8">
        <f>IFERROR(__xludf.DUMMYFUNCTION("""COMPUTED_VALUE"""),40.0)</f>
        <v>40</v>
      </c>
      <c r="E2350" s="2"/>
    </row>
    <row r="2351">
      <c r="A2351" s="2"/>
      <c r="B2351" s="8" t="str">
        <f>IFERROR(__xludf.DUMMYFUNCTION("""COMPUTED_VALUE"""),"FAHRUR HAMZAH")</f>
        <v>FAHRUR HAMZAH</v>
      </c>
      <c r="C2351" s="8" t="str">
        <f>IFERROR(__xludf.DUMMYFUNCTION("""COMPUTED_VALUE"""),"F8125046644")</f>
        <v>F8125046644</v>
      </c>
      <c r="D2351" s="8">
        <f>IFERROR(__xludf.DUMMYFUNCTION("""COMPUTED_VALUE"""),44.0)</f>
        <v>44</v>
      </c>
      <c r="E2351" s="2"/>
    </row>
    <row r="2352">
      <c r="A2352" s="2"/>
      <c r="B2352" s="8" t="str">
        <f>IFERROR(__xludf.DUMMYFUNCTION("""COMPUTED_VALUE"""),"DEWI MUSTIKA")</f>
        <v>DEWI MUSTIKA</v>
      </c>
      <c r="C2352" s="8" t="str">
        <f>IFERROR(__xludf.DUMMYFUNCTION("""COMPUTED_VALUE"""),"D7125046555")</f>
        <v>D7125046555</v>
      </c>
      <c r="D2352" s="8">
        <f>IFERROR(__xludf.DUMMYFUNCTION("""COMPUTED_VALUE"""),54.0)</f>
        <v>54</v>
      </c>
      <c r="E2352" s="2"/>
    </row>
    <row r="2353">
      <c r="A2353" s="2"/>
      <c r="B2353" s="8" t="str">
        <f>IFERROR(__xludf.DUMMYFUNCTION("""COMPUTED_VALUE"""),"CHRISTINA SUDARTI")</f>
        <v>CHRISTINA SUDARTI</v>
      </c>
      <c r="C2353" s="8" t="str">
        <f>IFERROR(__xludf.DUMMYFUNCTION("""COMPUTED_VALUE"""),"C6425047200")</f>
        <v>C6425047200</v>
      </c>
      <c r="D2353" s="8">
        <f>IFERROR(__xludf.DUMMYFUNCTION("""COMPUTED_VALUE"""),62.0)</f>
        <v>62</v>
      </c>
      <c r="E2353" s="2"/>
    </row>
    <row r="2354">
      <c r="A2354" s="2"/>
      <c r="B2354" s="8" t="str">
        <f>IFERROR(__xludf.DUMMYFUNCTION("""COMPUTED_VALUE"""),"SRI RIZQY AMALIA")</f>
        <v>SRI RIZQY AMALIA</v>
      </c>
      <c r="C2354" s="8" t="str">
        <f>IFERROR(__xludf.DUMMYFUNCTION("""COMPUTED_VALUE"""),"S0025047393")</f>
        <v>S0025047393</v>
      </c>
      <c r="D2354" s="8">
        <f>IFERROR(__xludf.DUMMYFUNCTION("""COMPUTED_VALUE"""),26.0)</f>
        <v>26</v>
      </c>
      <c r="E2354" s="2"/>
    </row>
    <row r="2355">
      <c r="A2355" s="2"/>
      <c r="B2355" s="8" t="str">
        <f>IFERROR(__xludf.DUMMYFUNCTION("""COMPUTED_VALUE"""),"ALGI FAHRI")</f>
        <v>ALGI FAHRI</v>
      </c>
      <c r="C2355" s="8" t="str">
        <f>IFERROR(__xludf.DUMMYFUNCTION("""COMPUTED_VALUE"""),"A0825042223")</f>
        <v>A0825042223</v>
      </c>
      <c r="D2355" s="8">
        <f>IFERROR(__xludf.DUMMYFUNCTION("""COMPUTED_VALUE"""),18.0)</f>
        <v>18</v>
      </c>
      <c r="E2355" s="2"/>
    </row>
    <row r="2356">
      <c r="A2356" s="2"/>
      <c r="B2356" s="8" t="str">
        <f>IFERROR(__xludf.DUMMYFUNCTION("""COMPUTED_VALUE"""),"MUAMMAR HAFIZI")</f>
        <v>MUAMMAR HAFIZI</v>
      </c>
      <c r="C2356" s="8" t="str">
        <f>IFERROR(__xludf.DUMMYFUNCTION("""COMPUTED_VALUE"""),"M8625049884")</f>
        <v>M8625049884</v>
      </c>
      <c r="D2356" s="8">
        <f>IFERROR(__xludf.DUMMYFUNCTION("""COMPUTED_VALUE"""),39.0)</f>
        <v>39</v>
      </c>
      <c r="E2356" s="2"/>
    </row>
    <row r="2357">
      <c r="A2357" s="2"/>
      <c r="B2357" s="8" t="str">
        <f>IFERROR(__xludf.DUMMYFUNCTION("""COMPUTED_VALUE"""),"JAMALUDIN7406")</f>
        <v>JAMALUDIN7406</v>
      </c>
      <c r="C2357" s="8" t="str">
        <f>IFERROR(__xludf.DUMMYFUNCTION("""COMPUTED_VALUE"""),"J7425044865")</f>
        <v>J7425044865</v>
      </c>
      <c r="D2357" s="8">
        <f>IFERROR(__xludf.DUMMYFUNCTION("""COMPUTED_VALUE"""),52.0)</f>
        <v>52</v>
      </c>
      <c r="E2357" s="2"/>
    </row>
    <row r="2358">
      <c r="A2358" s="2"/>
      <c r="B2358" s="8" t="str">
        <f>IFERROR(__xludf.DUMMYFUNCTION("""COMPUTED_VALUE"""),"ENI KUAMIATI")</f>
        <v>ENI KUAMIATI</v>
      </c>
      <c r="C2358" s="8" t="str">
        <f>IFERROR(__xludf.DUMMYFUNCTION("""COMPUTED_VALUE"""),"E7525042936")</f>
        <v>E7525042936</v>
      </c>
      <c r="D2358" s="8">
        <f>IFERROR(__xludf.DUMMYFUNCTION("""COMPUTED_VALUE"""),51.0)</f>
        <v>51</v>
      </c>
      <c r="E2358" s="2"/>
    </row>
    <row r="2359">
      <c r="A2359" s="2"/>
      <c r="B2359" s="8" t="str">
        <f>IFERROR(__xludf.DUMMYFUNCTION("""COMPUTED_VALUE"""),"ISKANDAR ZULKARNAEN")</f>
        <v>ISKANDAR ZULKARNAEN</v>
      </c>
      <c r="C2359" s="8" t="str">
        <f>IFERROR(__xludf.DUMMYFUNCTION("""COMPUTED_VALUE"""),"I7525042292")</f>
        <v>I7525042292</v>
      </c>
      <c r="D2359" s="8">
        <f>IFERROR(__xludf.DUMMYFUNCTION("""COMPUTED_VALUE"""),51.0)</f>
        <v>51</v>
      </c>
      <c r="E2359" s="2"/>
    </row>
    <row r="2360">
      <c r="A2360" s="2"/>
      <c r="B2360" s="8" t="str">
        <f>IFERROR(__xludf.DUMMYFUNCTION("""COMPUTED_VALUE"""),"DYNA LIESTARI")</f>
        <v>DYNA LIESTARI</v>
      </c>
      <c r="C2360" s="8" t="str">
        <f>IFERROR(__xludf.DUMMYFUNCTION("""COMPUTED_VALUE"""),"D8625044371")</f>
        <v>D8625044371</v>
      </c>
      <c r="D2360" s="8">
        <f>IFERROR(__xludf.DUMMYFUNCTION("""COMPUTED_VALUE"""),39.0)</f>
        <v>39</v>
      </c>
      <c r="E2360" s="2"/>
    </row>
    <row r="2361">
      <c r="A2361" s="2"/>
      <c r="B2361" s="8" t="str">
        <f>IFERROR(__xludf.DUMMYFUNCTION("""COMPUTED_VALUE"""),"MUHAMAD ZAIN AL FARIZI")</f>
        <v>MUHAMAD ZAIN AL FARIZI</v>
      </c>
      <c r="C2361" s="8" t="str">
        <f>IFERROR(__xludf.DUMMYFUNCTION("""COMPUTED_VALUE"""),"M0425046594")</f>
        <v>M0425046594</v>
      </c>
      <c r="D2361" s="8">
        <f>IFERROR(__xludf.DUMMYFUNCTION("""COMPUTED_VALUE"""),22.0)</f>
        <v>22</v>
      </c>
      <c r="E2361" s="2"/>
    </row>
    <row r="2362">
      <c r="A2362" s="2"/>
      <c r="B2362" s="8" t="str">
        <f>IFERROR(__xludf.DUMMYFUNCTION("""COMPUTED_VALUE"""),"SUZY INGKIRIWANG")</f>
        <v>SUZY INGKIRIWANG</v>
      </c>
      <c r="C2362" s="8" t="str">
        <f>IFERROR(__xludf.DUMMYFUNCTION("""COMPUTED_VALUE"""),"S6925041888")</f>
        <v>S6925041888</v>
      </c>
      <c r="D2362" s="8">
        <f>IFERROR(__xludf.DUMMYFUNCTION("""COMPUTED_VALUE"""),56.0)</f>
        <v>56</v>
      </c>
      <c r="E2362" s="2"/>
    </row>
    <row r="2363">
      <c r="A2363" s="2"/>
      <c r="B2363" s="8" t="str">
        <f>IFERROR(__xludf.DUMMYFUNCTION("""COMPUTED_VALUE"""),"DAYANG KARINA MAULIDIA")</f>
        <v>DAYANG KARINA MAULIDIA</v>
      </c>
      <c r="C2363" s="8" t="str">
        <f>IFERROR(__xludf.DUMMYFUNCTION("""COMPUTED_VALUE"""),"D9625049610")</f>
        <v>D9625049610</v>
      </c>
      <c r="D2363" s="8">
        <f>IFERROR(__xludf.DUMMYFUNCTION("""COMPUTED_VALUE"""),30.0)</f>
        <v>30</v>
      </c>
      <c r="E2363" s="2"/>
    </row>
    <row r="2364">
      <c r="A2364" s="2"/>
      <c r="B2364" s="8" t="str">
        <f>IFERROR(__xludf.DUMMYFUNCTION("""COMPUTED_VALUE"""),"ANUGRAH PRATAMA")</f>
        <v>ANUGRAH PRATAMA</v>
      </c>
      <c r="C2364" s="8" t="str">
        <f>IFERROR(__xludf.DUMMYFUNCTION("""COMPUTED_VALUE"""),"A1225046490")</f>
        <v>A1225046490</v>
      </c>
      <c r="D2364" s="8">
        <f>IFERROR(__xludf.DUMMYFUNCTION("""COMPUTED_VALUE"""),14.0)</f>
        <v>14</v>
      </c>
      <c r="E2364" s="2"/>
    </row>
    <row r="2365">
      <c r="A2365" s="2"/>
      <c r="B2365" s="8" t="str">
        <f>IFERROR(__xludf.DUMMYFUNCTION("""COMPUTED_VALUE"""),"MARTONO")</f>
        <v>MARTONO</v>
      </c>
      <c r="C2365" s="8" t="str">
        <f>IFERROR(__xludf.DUMMYFUNCTION("""COMPUTED_VALUE"""),"M7225041593")</f>
        <v>M7225041593</v>
      </c>
      <c r="D2365" s="8">
        <f>IFERROR(__xludf.DUMMYFUNCTION("""COMPUTED_VALUE"""),54.0)</f>
        <v>54</v>
      </c>
      <c r="E2365" s="2"/>
    </row>
    <row r="2366">
      <c r="A2366" s="2"/>
      <c r="B2366" s="8" t="str">
        <f>IFERROR(__xludf.DUMMYFUNCTION("""COMPUTED_VALUE"""),"H MUHAMMAD BIN H ABDULLAH")</f>
        <v>H MUHAMMAD BIN H ABDULLAH</v>
      </c>
      <c r="C2366" s="8" t="str">
        <f>IFERROR(__xludf.DUMMYFUNCTION("""COMPUTED_VALUE"""),"H5125045553")</f>
        <v>H5125045553</v>
      </c>
      <c r="D2366" s="8">
        <f>IFERROR(__xludf.DUMMYFUNCTION("""COMPUTED_VALUE"""),75.0)</f>
        <v>75</v>
      </c>
      <c r="E2366" s="2"/>
    </row>
    <row r="2367">
      <c r="A2367" s="2"/>
      <c r="B2367" s="8" t="str">
        <f>IFERROR(__xludf.DUMMYFUNCTION("""COMPUTED_VALUE"""),"MARTHEN IECHUANDA")</f>
        <v>MARTHEN IECHUANDA</v>
      </c>
      <c r="C2367" s="8" t="str">
        <f>IFERROR(__xludf.DUMMYFUNCTION("""COMPUTED_VALUE"""),"M0725049095")</f>
        <v>M0725049095</v>
      </c>
      <c r="D2367" s="8">
        <f>IFERROR(__xludf.DUMMYFUNCTION("""COMPUTED_VALUE"""),19.0)</f>
        <v>19</v>
      </c>
      <c r="E2367" s="2"/>
    </row>
    <row r="2368">
      <c r="A2368" s="2"/>
      <c r="B2368" s="8" t="str">
        <f>IFERROR(__xludf.DUMMYFUNCTION("""COMPUTED_VALUE"""),"ZULKIFLI 8105")</f>
        <v>ZULKIFLI 8105</v>
      </c>
      <c r="C2368" s="8" t="str">
        <f>IFERROR(__xludf.DUMMYFUNCTION("""COMPUTED_VALUE"""),"Z8125047588")</f>
        <v>Z8125047588</v>
      </c>
      <c r="D2368" s="8">
        <f>IFERROR(__xludf.DUMMYFUNCTION("""COMPUTED_VALUE"""),45.0)</f>
        <v>45</v>
      </c>
      <c r="E2368" s="2"/>
    </row>
    <row r="2369">
      <c r="A2369" s="2"/>
      <c r="B2369" s="8" t="str">
        <f>IFERROR(__xludf.DUMMYFUNCTION("""COMPUTED_VALUE"""),"ELVIRA NAURA SASMITA")</f>
        <v>ELVIRA NAURA SASMITA</v>
      </c>
      <c r="C2369" s="8" t="str">
        <f>IFERROR(__xludf.DUMMYFUNCTION("""COMPUTED_VALUE"""),"E1125041282")</f>
        <v>E1125041282</v>
      </c>
      <c r="D2369" s="8">
        <f>IFERROR(__xludf.DUMMYFUNCTION("""COMPUTED_VALUE"""),14.0)</f>
        <v>14</v>
      </c>
      <c r="E2369" s="2"/>
    </row>
    <row r="2370">
      <c r="A2370" s="2"/>
      <c r="B2370" s="8" t="str">
        <f>IFERROR(__xludf.DUMMYFUNCTION("""COMPUTED_VALUE"""),"LOUW MENG TJU ALS ENNY")</f>
        <v>LOUW MENG TJU ALS ENNY</v>
      </c>
      <c r="C2370" s="8" t="str">
        <f>IFERROR(__xludf.DUMMYFUNCTION("""COMPUTED_VALUE"""),"L5025045140")</f>
        <v>L5025045140</v>
      </c>
      <c r="D2370" s="8">
        <f>IFERROR(__xludf.DUMMYFUNCTION("""COMPUTED_VALUE"""),75.0)</f>
        <v>75</v>
      </c>
      <c r="E2370" s="2"/>
    </row>
    <row r="2371">
      <c r="A2371" s="2"/>
      <c r="B2371" s="8" t="str">
        <f>IFERROR(__xludf.DUMMYFUNCTION("""COMPUTED_VALUE"""),"NETTY HASTUTI")</f>
        <v>NETTY HASTUTI</v>
      </c>
      <c r="C2371" s="8" t="str">
        <f>IFERROR(__xludf.DUMMYFUNCTION("""COMPUTED_VALUE"""),"N7425041601")</f>
        <v>N7425041601</v>
      </c>
      <c r="D2371" s="8">
        <f>IFERROR(__xludf.DUMMYFUNCTION("""COMPUTED_VALUE"""),52.0)</f>
        <v>52</v>
      </c>
      <c r="E2371" s="2"/>
    </row>
    <row r="2372">
      <c r="A2372" s="2"/>
      <c r="B2372" s="8" t="str">
        <f>IFERROR(__xludf.DUMMYFUNCTION("""COMPUTED_VALUE"""),"SUHARSONO")</f>
        <v>SUHARSONO</v>
      </c>
      <c r="C2372" s="8" t="str">
        <f>IFERROR(__xludf.DUMMYFUNCTION("""COMPUTED_VALUE"""),"S5625047949")</f>
        <v>S5625047949</v>
      </c>
      <c r="D2372" s="8">
        <f>IFERROR(__xludf.DUMMYFUNCTION("""COMPUTED_VALUE"""),70.0)</f>
        <v>70</v>
      </c>
      <c r="E2372" s="2"/>
    </row>
    <row r="2373">
      <c r="A2373" s="2"/>
      <c r="B2373" s="8" t="str">
        <f>IFERROR(__xludf.DUMMYFUNCTION("""COMPUTED_VALUE"""),"CALISTA MARIBELL")</f>
        <v>CALISTA MARIBELL</v>
      </c>
      <c r="C2373" s="8" t="str">
        <f>IFERROR(__xludf.DUMMYFUNCTION("""COMPUTED_VALUE"""),"C0925055444")</f>
        <v>C0925055444</v>
      </c>
      <c r="D2373" s="8">
        <f>IFERROR(__xludf.DUMMYFUNCTION("""COMPUTED_VALUE"""),16.0)</f>
        <v>16</v>
      </c>
      <c r="E2373" s="2"/>
    </row>
    <row r="2374">
      <c r="A2374" s="2"/>
      <c r="B2374" s="8" t="str">
        <f>IFERROR(__xludf.DUMMYFUNCTION("""COMPUTED_VALUE"""),"A . HALIM PERDANA")</f>
        <v>A . HALIM PERDANA</v>
      </c>
      <c r="C2374" s="8" t="str">
        <f>IFERROR(__xludf.DUMMYFUNCTION("""COMPUTED_VALUE"""),"A9725057359")</f>
        <v>A9725057359</v>
      </c>
      <c r="D2374" s="8">
        <f>IFERROR(__xludf.DUMMYFUNCTION("""COMPUTED_VALUE"""),28.0)</f>
        <v>28</v>
      </c>
      <c r="E2374" s="2"/>
    </row>
    <row r="2375">
      <c r="A2375" s="2"/>
      <c r="B2375" s="8" t="str">
        <f>IFERROR(__xludf.DUMMYFUNCTION("""COMPUTED_VALUE"""),"ANDI WAHYU ENDRIYANTO")</f>
        <v>ANDI WAHYU ENDRIYANTO</v>
      </c>
      <c r="C2375" s="8" t="str">
        <f>IFERROR(__xludf.DUMMYFUNCTION("""COMPUTED_VALUE"""),"A9325050486")</f>
        <v>A9325050486</v>
      </c>
      <c r="D2375" s="8">
        <f>IFERROR(__xludf.DUMMYFUNCTION("""COMPUTED_VALUE"""),33.0)</f>
        <v>33</v>
      </c>
      <c r="E2375" s="2"/>
    </row>
    <row r="2376">
      <c r="A2376" s="2"/>
      <c r="B2376" s="8" t="str">
        <f>IFERROR(__xludf.DUMMYFUNCTION("""COMPUTED_VALUE"""),"MUHAMMAD RUSTAM")</f>
        <v>MUHAMMAD RUSTAM</v>
      </c>
      <c r="C2376" s="8" t="str">
        <f>IFERROR(__xludf.DUMMYFUNCTION("""COMPUTED_VALUE"""),"M2525053348")</f>
        <v>M2525053348</v>
      </c>
      <c r="D2376" s="8">
        <f>IFERROR(__xludf.DUMMYFUNCTION("""COMPUTED_VALUE"""),1.0)</f>
        <v>1</v>
      </c>
      <c r="E2376" s="2"/>
    </row>
    <row r="2377">
      <c r="A2377" s="2"/>
      <c r="B2377" s="8" t="str">
        <f>IFERROR(__xludf.DUMMYFUNCTION("""COMPUTED_VALUE"""),"MUHIDDIN")</f>
        <v>MUHIDDIN</v>
      </c>
      <c r="C2377" s="8" t="str">
        <f>IFERROR(__xludf.DUMMYFUNCTION("""COMPUTED_VALUE"""),"M6625053102")</f>
        <v>M6625053102</v>
      </c>
      <c r="D2377" s="8">
        <f>IFERROR(__xludf.DUMMYFUNCTION("""COMPUTED_VALUE"""),60.0)</f>
        <v>60</v>
      </c>
      <c r="E2377" s="2"/>
    </row>
    <row r="2378">
      <c r="A2378" s="2"/>
      <c r="B2378" s="8" t="str">
        <f>IFERROR(__xludf.DUMMYFUNCTION("""COMPUTED_VALUE"""),"ISRA WAHYUNI")</f>
        <v>ISRA WAHYUNI</v>
      </c>
      <c r="C2378" s="8" t="str">
        <f>IFERROR(__xludf.DUMMYFUNCTION("""COMPUTED_VALUE"""),"I9525054075")</f>
        <v>I9525054075</v>
      </c>
      <c r="D2378" s="8">
        <f>IFERROR(__xludf.DUMMYFUNCTION("""COMPUTED_VALUE"""),30.0)</f>
        <v>30</v>
      </c>
      <c r="E2378" s="2"/>
    </row>
    <row r="2379">
      <c r="A2379" s="2"/>
      <c r="B2379" s="8" t="str">
        <f>IFERROR(__xludf.DUMMYFUNCTION("""COMPUTED_VALUE"""),"MUHAMMAD FAISAL LUBIS")</f>
        <v>MUHAMMAD FAISAL LUBIS</v>
      </c>
      <c r="C2379" s="8" t="str">
        <f>IFERROR(__xludf.DUMMYFUNCTION("""COMPUTED_VALUE"""),"M9725052929")</f>
        <v>M9725052929</v>
      </c>
      <c r="D2379" s="8">
        <f>IFERROR(__xludf.DUMMYFUNCTION("""COMPUTED_VALUE"""),29.0)</f>
        <v>29</v>
      </c>
      <c r="E2379" s="2"/>
    </row>
    <row r="2380">
      <c r="A2380" s="2"/>
      <c r="B2380" s="8" t="str">
        <f>IFERROR(__xludf.DUMMYFUNCTION("""COMPUTED_VALUE"""),"PANCA DRIA")</f>
        <v>PANCA DRIA</v>
      </c>
      <c r="C2380" s="8" t="str">
        <f>IFERROR(__xludf.DUMMYFUNCTION("""COMPUTED_VALUE"""),"P8425050000")</f>
        <v>P8425050000</v>
      </c>
      <c r="D2380" s="8">
        <f>IFERROR(__xludf.DUMMYFUNCTION("""COMPUTED_VALUE"""),42.0)</f>
        <v>42</v>
      </c>
      <c r="E2380" s="2"/>
    </row>
    <row r="2381">
      <c r="A2381" s="2"/>
      <c r="B2381" s="8" t="str">
        <f>IFERROR(__xludf.DUMMYFUNCTION("""COMPUTED_VALUE"""),"SITI RUMIYATI")</f>
        <v>SITI RUMIYATI</v>
      </c>
      <c r="C2381" s="8" t="str">
        <f>IFERROR(__xludf.DUMMYFUNCTION("""COMPUTED_VALUE"""),"S5225059977")</f>
        <v>S5225059977</v>
      </c>
      <c r="D2381" s="8">
        <f>IFERROR(__xludf.DUMMYFUNCTION("""COMPUTED_VALUE"""),74.0)</f>
        <v>74</v>
      </c>
      <c r="E2381" s="2"/>
    </row>
    <row r="2382">
      <c r="A2382" s="2"/>
      <c r="B2382" s="8" t="str">
        <f>IFERROR(__xludf.DUMMYFUNCTION("""COMPUTED_VALUE"""),"PUJI WIRANTI")</f>
        <v>PUJI WIRANTI</v>
      </c>
      <c r="C2382" s="8" t="str">
        <f>IFERROR(__xludf.DUMMYFUNCTION("""COMPUTED_VALUE"""),"P9625056007")</f>
        <v>P9625056007</v>
      </c>
      <c r="D2382" s="8">
        <f>IFERROR(__xludf.DUMMYFUNCTION("""COMPUTED_VALUE"""),29.0)</f>
        <v>29</v>
      </c>
      <c r="E2382" s="2"/>
    </row>
    <row r="2383">
      <c r="A2383" s="2"/>
      <c r="B2383" s="8" t="str">
        <f>IFERROR(__xludf.DUMMYFUNCTION("""COMPUTED_VALUE"""),"SAFRI ADAM")</f>
        <v>SAFRI ADAM</v>
      </c>
      <c r="C2383" s="8" t="str">
        <f>IFERROR(__xludf.DUMMYFUNCTION("""COMPUTED_VALUE"""),"S9425051801")</f>
        <v>S9425051801</v>
      </c>
      <c r="D2383" s="8">
        <f>IFERROR(__xludf.DUMMYFUNCTION("""COMPUTED_VALUE"""),32.0)</f>
        <v>32</v>
      </c>
      <c r="E2383" s="2"/>
    </row>
    <row r="2384">
      <c r="A2384" s="2"/>
      <c r="B2384" s="8" t="str">
        <f>IFERROR(__xludf.DUMMYFUNCTION("""COMPUTED_VALUE"""),"AZMI")</f>
        <v>AZMI</v>
      </c>
      <c r="C2384" s="8" t="str">
        <f>IFERROR(__xludf.DUMMYFUNCTION("""COMPUTED_VALUE"""),"A9425050290")</f>
        <v>A9425050290</v>
      </c>
      <c r="D2384" s="8">
        <f>IFERROR(__xludf.DUMMYFUNCTION("""COMPUTED_VALUE"""),32.0)</f>
        <v>32</v>
      </c>
      <c r="E2384" s="2"/>
    </row>
    <row r="2385">
      <c r="A2385" s="2"/>
      <c r="B2385" s="8" t="str">
        <f>IFERROR(__xludf.DUMMYFUNCTION("""COMPUTED_VALUE"""),"RENDRA NOVITO, SP")</f>
        <v>RENDRA NOVITO, SP</v>
      </c>
      <c r="C2385" s="8" t="str">
        <f>IFERROR(__xludf.DUMMYFUNCTION("""COMPUTED_VALUE"""),"R7625057125")</f>
        <v>R7625057125</v>
      </c>
      <c r="D2385" s="8">
        <f>IFERROR(__xludf.DUMMYFUNCTION("""COMPUTED_VALUE"""),49.0)</f>
        <v>49</v>
      </c>
      <c r="E2385" s="2"/>
    </row>
    <row r="2386">
      <c r="A2386" s="2"/>
      <c r="B2386" s="8" t="str">
        <f>IFERROR(__xludf.DUMMYFUNCTION("""COMPUTED_VALUE"""),"NILAM SANTIKA")</f>
        <v>NILAM SANTIKA</v>
      </c>
      <c r="C2386" s="8" t="str">
        <f>IFERROR(__xludf.DUMMYFUNCTION("""COMPUTED_VALUE"""),"N7225053377")</f>
        <v>N7225053377</v>
      </c>
      <c r="D2386" s="8">
        <f>IFERROR(__xludf.DUMMYFUNCTION("""COMPUTED_VALUE"""),54.0)</f>
        <v>54</v>
      </c>
      <c r="E2386" s="2"/>
    </row>
    <row r="2387">
      <c r="A2387" s="2"/>
      <c r="B2387" s="8" t="str">
        <f>IFERROR(__xludf.DUMMYFUNCTION("""COMPUTED_VALUE"""),"SITI HADIJAH 6201")</f>
        <v>SITI HADIJAH 6201</v>
      </c>
      <c r="C2387" s="8" t="str">
        <f>IFERROR(__xludf.DUMMYFUNCTION("""COMPUTED_VALUE"""),"S6225058540")</f>
        <v>S6225058540</v>
      </c>
      <c r="D2387" s="8">
        <f>IFERROR(__xludf.DUMMYFUNCTION("""COMPUTED_VALUE"""),64.0)</f>
        <v>64</v>
      </c>
      <c r="E2387" s="2"/>
    </row>
    <row r="2388">
      <c r="A2388" s="2"/>
      <c r="B2388" s="8" t="str">
        <f>IFERROR(__xludf.DUMMYFUNCTION("""COMPUTED_VALUE"""),"KHANSA ATALLAH PURUHITA")</f>
        <v>KHANSA ATALLAH PURUHITA</v>
      </c>
      <c r="C2388" s="8" t="str">
        <f>IFERROR(__xludf.DUMMYFUNCTION("""COMPUTED_VALUE"""),"K0025055631")</f>
        <v>K0025055631</v>
      </c>
      <c r="D2388" s="8">
        <f>IFERROR(__xludf.DUMMYFUNCTION("""COMPUTED_VALUE"""),25.0)</f>
        <v>25</v>
      </c>
      <c r="E2388" s="2"/>
    </row>
    <row r="2389">
      <c r="A2389" s="2"/>
      <c r="B2389" s="8" t="str">
        <f>IFERROR(__xludf.DUMMYFUNCTION("""COMPUTED_VALUE"""),"SATIMAN")</f>
        <v>SATIMAN</v>
      </c>
      <c r="C2389" s="8" t="str">
        <f>IFERROR(__xludf.DUMMYFUNCTION("""COMPUTED_VALUE"""),"S7525054125")</f>
        <v>S7525054125</v>
      </c>
      <c r="D2389" s="8">
        <f>IFERROR(__xludf.DUMMYFUNCTION("""COMPUTED_VALUE"""),50.0)</f>
        <v>50</v>
      </c>
      <c r="E2389" s="2"/>
    </row>
    <row r="2390">
      <c r="A2390" s="2"/>
      <c r="B2390" s="8" t="str">
        <f>IFERROR(__xludf.DUMMYFUNCTION("""COMPUTED_VALUE"""),"HERDI SETIAWAN JAYA")</f>
        <v>HERDI SETIAWAN JAYA</v>
      </c>
      <c r="C2390" s="8" t="str">
        <f>IFERROR(__xludf.DUMMYFUNCTION("""COMPUTED_VALUE"""),"H9125059720")</f>
        <v>H9125059720</v>
      </c>
      <c r="D2390" s="8">
        <f>IFERROR(__xludf.DUMMYFUNCTION("""COMPUTED_VALUE"""),35.0)</f>
        <v>35</v>
      </c>
      <c r="E2390" s="2"/>
    </row>
    <row r="2391">
      <c r="A2391" s="2"/>
      <c r="B2391" s="8" t="str">
        <f>IFERROR(__xludf.DUMMYFUNCTION("""COMPUTED_VALUE"""),"BENI BURHAN")</f>
        <v>BENI BURHAN</v>
      </c>
      <c r="C2391" s="8" t="str">
        <f>IFERROR(__xludf.DUMMYFUNCTION("""COMPUTED_VALUE"""),"B6225056543")</f>
        <v>B6225056543</v>
      </c>
      <c r="D2391" s="8">
        <f>IFERROR(__xludf.DUMMYFUNCTION("""COMPUTED_VALUE"""),64.0)</f>
        <v>64</v>
      </c>
      <c r="E2391" s="2"/>
    </row>
    <row r="2392">
      <c r="A2392" s="2"/>
      <c r="B2392" s="8" t="str">
        <f>IFERROR(__xludf.DUMMYFUNCTION("""COMPUTED_VALUE"""),"ASRUL FEBRA")</f>
        <v>ASRUL FEBRA</v>
      </c>
      <c r="C2392" s="8" t="str">
        <f>IFERROR(__xludf.DUMMYFUNCTION("""COMPUTED_VALUE"""),"A7625059626")</f>
        <v>A7625059626</v>
      </c>
      <c r="D2392" s="8">
        <f>IFERROR(__xludf.DUMMYFUNCTION("""COMPUTED_VALUE"""),50.0)</f>
        <v>50</v>
      </c>
      <c r="E2392" s="2"/>
    </row>
    <row r="2393">
      <c r="A2393" s="2"/>
      <c r="B2393" s="8" t="str">
        <f>IFERROR(__xludf.DUMMYFUNCTION("""COMPUTED_VALUE"""),"RIZQA KHAIRUNNISA")</f>
        <v>RIZQA KHAIRUNNISA</v>
      </c>
      <c r="C2393" s="8" t="str">
        <f>IFERROR(__xludf.DUMMYFUNCTION("""COMPUTED_VALUE"""),"R0025055284")</f>
        <v>R0025055284</v>
      </c>
      <c r="D2393" s="8">
        <f>IFERROR(__xludf.DUMMYFUNCTION("""COMPUTED_VALUE"""),26.0)</f>
        <v>26</v>
      </c>
      <c r="E2393" s="2"/>
    </row>
    <row r="2394">
      <c r="A2394" s="2"/>
      <c r="B2394" s="8" t="str">
        <f>IFERROR(__xludf.DUMMYFUNCTION("""COMPUTED_VALUE"""),"PEBRI GIANTO")</f>
        <v>PEBRI GIANTO</v>
      </c>
      <c r="C2394" s="8" t="str">
        <f>IFERROR(__xludf.DUMMYFUNCTION("""COMPUTED_VALUE"""),"P9625052580")</f>
        <v>P9625052580</v>
      </c>
      <c r="D2394" s="8">
        <f>IFERROR(__xludf.DUMMYFUNCTION("""COMPUTED_VALUE"""),29.0)</f>
        <v>29</v>
      </c>
      <c r="E2394" s="2"/>
    </row>
    <row r="2395">
      <c r="A2395" s="2"/>
      <c r="B2395" s="8" t="str">
        <f>IFERROR(__xludf.DUMMYFUNCTION("""COMPUTED_VALUE"""),"STEFANO")</f>
        <v>STEFANO</v>
      </c>
      <c r="C2395" s="8" t="str">
        <f>IFERROR(__xludf.DUMMYFUNCTION("""COMPUTED_VALUE"""),"S9025059890")</f>
        <v>S9025059890</v>
      </c>
      <c r="D2395" s="8">
        <f>IFERROR(__xludf.DUMMYFUNCTION("""COMPUTED_VALUE"""),35.0)</f>
        <v>35</v>
      </c>
      <c r="E2395" s="2"/>
    </row>
    <row r="2396">
      <c r="A2396" s="2"/>
      <c r="B2396" s="8" t="str">
        <f>IFERROR(__xludf.DUMMYFUNCTION("""COMPUTED_VALUE"""),"FIDIA SOFIYANTI")</f>
        <v>FIDIA SOFIYANTI</v>
      </c>
      <c r="C2396" s="8" t="str">
        <f>IFERROR(__xludf.DUMMYFUNCTION("""COMPUTED_VALUE"""),"F7725050")</f>
        <v>F7725050</v>
      </c>
      <c r="D2396" s="8">
        <f>IFERROR(__xludf.DUMMYFUNCTION("""COMPUTED_VALUE"""),49.0)</f>
        <v>49</v>
      </c>
      <c r="E2396" s="2"/>
    </row>
    <row r="2397">
      <c r="A2397" s="2"/>
      <c r="B2397" s="8" t="str">
        <f>IFERROR(__xludf.DUMMYFUNCTION("""COMPUTED_VALUE"""),"LENA6404")</f>
        <v>LENA6404</v>
      </c>
      <c r="C2397" s="8" t="str">
        <f>IFERROR(__xludf.DUMMYFUNCTION("""COMPUTED_VALUE"""),"L6425056487")</f>
        <v>L6425056487</v>
      </c>
      <c r="D2397" s="8">
        <f>IFERROR(__xludf.DUMMYFUNCTION("""COMPUTED_VALUE"""),62.0)</f>
        <v>62</v>
      </c>
      <c r="E2397" s="2"/>
    </row>
    <row r="2398">
      <c r="A2398" s="2"/>
      <c r="B2398" s="8" t="str">
        <f>IFERROR(__xludf.DUMMYFUNCTION("""COMPUTED_VALUE"""),"ARIFIN 73")</f>
        <v>ARIFIN 73</v>
      </c>
      <c r="C2398" s="8" t="str">
        <f>IFERROR(__xludf.DUMMYFUNCTION("""COMPUTED_VALUE"""),"A7325053389")</f>
        <v>A7325053389</v>
      </c>
      <c r="D2398" s="8">
        <f>IFERROR(__xludf.DUMMYFUNCTION("""COMPUTED_VALUE"""),53.0)</f>
        <v>53</v>
      </c>
      <c r="E2398" s="2"/>
    </row>
    <row r="2399">
      <c r="A2399" s="2"/>
      <c r="B2399" s="8" t="str">
        <f>IFERROR(__xludf.DUMMYFUNCTION("""COMPUTED_VALUE"""),"FELICIA ANNABELLE")</f>
        <v>FELICIA ANNABELLE</v>
      </c>
      <c r="C2399" s="8" t="str">
        <f>IFERROR(__xludf.DUMMYFUNCTION("""COMPUTED_VALUE"""),"F1223043218")</f>
        <v>F1223043218</v>
      </c>
      <c r="D2399" s="8">
        <f>IFERROR(__xludf.DUMMYFUNCTION("""COMPUTED_VALUE"""),13.0)</f>
        <v>13</v>
      </c>
      <c r="E2399" s="2"/>
    </row>
    <row r="2400">
      <c r="A2400" s="2"/>
      <c r="B2400" s="8" t="str">
        <f>IFERROR(__xludf.DUMMYFUNCTION("""COMPUTED_VALUE"""),"MUHAMMAD ZAKI")</f>
        <v>MUHAMMAD ZAKI</v>
      </c>
      <c r="C2400" s="8" t="str">
        <f>IFERROR(__xludf.DUMMYFUNCTION("""COMPUTED_VALUE"""),"M0425056491")</f>
        <v>M0425056491</v>
      </c>
      <c r="D2400" s="8">
        <f>IFERROR(__xludf.DUMMYFUNCTION("""COMPUTED_VALUE"""),21.0)</f>
        <v>21</v>
      </c>
      <c r="E2400" s="2"/>
    </row>
    <row r="2401">
      <c r="A2401" s="2"/>
      <c r="B2401" s="8" t="str">
        <f>IFERROR(__xludf.DUMMYFUNCTION("""COMPUTED_VALUE"""),"SALMAN")</f>
        <v>SALMAN</v>
      </c>
      <c r="C2401" s="8" t="str">
        <f>IFERROR(__xludf.DUMMYFUNCTION("""COMPUTED_VALUE"""),"S8925051746")</f>
        <v>S8925051746</v>
      </c>
      <c r="D2401" s="8">
        <f>IFERROR(__xludf.DUMMYFUNCTION("""COMPUTED_VALUE"""),36.0)</f>
        <v>36</v>
      </c>
      <c r="E2401" s="2"/>
    </row>
    <row r="2402">
      <c r="A2402" s="2"/>
      <c r="B2402" s="8" t="str">
        <f>IFERROR(__xludf.DUMMYFUNCTION("""COMPUTED_VALUE"""),"ADITYA MULYO HERJUNO")</f>
        <v>ADITYA MULYO HERJUNO</v>
      </c>
      <c r="C2402" s="8" t="str">
        <f>IFERROR(__xludf.DUMMYFUNCTION("""COMPUTED_VALUE"""),"A0725056290")</f>
        <v>A0725056290</v>
      </c>
      <c r="D2402" s="8">
        <f>IFERROR(__xludf.DUMMYFUNCTION("""COMPUTED_VALUE"""),19.0)</f>
        <v>19</v>
      </c>
      <c r="E2402" s="2"/>
    </row>
    <row r="2403">
      <c r="A2403" s="2"/>
      <c r="B2403" s="8" t="str">
        <f>IFERROR(__xludf.DUMMYFUNCTION("""COMPUTED_VALUE"""),"JOHANNES")</f>
        <v>JOHANNES</v>
      </c>
      <c r="C2403" s="8" t="str">
        <f>IFERROR(__xludf.DUMMYFUNCTION("""COMPUTED_VALUE"""),"J8225052187")</f>
        <v>J8225052187</v>
      </c>
      <c r="D2403" s="8">
        <f>IFERROR(__xludf.DUMMYFUNCTION("""COMPUTED_VALUE"""),43.0)</f>
        <v>43</v>
      </c>
      <c r="E2403" s="2"/>
    </row>
    <row r="2404">
      <c r="A2404" s="2"/>
      <c r="B2404" s="8" t="str">
        <f>IFERROR(__xludf.DUMMYFUNCTION("""COMPUTED_VALUE"""),"ARIF NURHADI")</f>
        <v>ARIF NURHADI</v>
      </c>
      <c r="C2404" s="8" t="str">
        <f>IFERROR(__xludf.DUMMYFUNCTION("""COMPUTED_VALUE"""),"A8925059898")</f>
        <v>A8925059898</v>
      </c>
      <c r="D2404" s="8">
        <f>IFERROR(__xludf.DUMMYFUNCTION("""COMPUTED_VALUE"""),36.0)</f>
        <v>36</v>
      </c>
      <c r="E2404" s="2"/>
    </row>
    <row r="2405">
      <c r="A2405" s="2"/>
      <c r="B2405" s="8" t="str">
        <f>IFERROR(__xludf.DUMMYFUNCTION("""COMPUTED_VALUE"""),"INDRI ISYANTI")</f>
        <v>INDRI ISYANTI</v>
      </c>
      <c r="C2405" s="8" t="str">
        <f>IFERROR(__xludf.DUMMYFUNCTION("""COMPUTED_VALUE"""),"I6525058028")</f>
        <v>I6525058028</v>
      </c>
      <c r="D2405" s="8">
        <f>IFERROR(__xludf.DUMMYFUNCTION("""COMPUTED_VALUE"""),61.0)</f>
        <v>61</v>
      </c>
      <c r="E2405" s="2"/>
    </row>
    <row r="2406">
      <c r="A2406" s="2"/>
      <c r="B2406" s="8" t="str">
        <f>IFERROR(__xludf.DUMMYFUNCTION("""COMPUTED_VALUE"""),"MUHAMMAD SATRIA WIBOWO")</f>
        <v>MUHAMMAD SATRIA WIBOWO</v>
      </c>
      <c r="C2406" s="8" t="str">
        <f>IFERROR(__xludf.DUMMYFUNCTION("""COMPUTED_VALUE"""),"M9925058511")</f>
        <v>M9925058511</v>
      </c>
      <c r="D2406" s="8">
        <f>IFERROR(__xludf.DUMMYFUNCTION("""COMPUTED_VALUE"""),26.0)</f>
        <v>26</v>
      </c>
      <c r="E2406" s="2"/>
    </row>
    <row r="2407">
      <c r="A2407" s="2"/>
      <c r="B2407" s="8" t="str">
        <f>IFERROR(__xludf.DUMMYFUNCTION("""COMPUTED_VALUE"""),"RAMA DINASTY")</f>
        <v>RAMA DINASTY</v>
      </c>
      <c r="C2407" s="8" t="str">
        <f>IFERROR(__xludf.DUMMYFUNCTION("""COMPUTED_VALUE"""),"R9825057737")</f>
        <v>R9825057737</v>
      </c>
      <c r="D2407" s="8">
        <f>IFERROR(__xludf.DUMMYFUNCTION("""COMPUTED_VALUE"""),28.0)</f>
        <v>28</v>
      </c>
      <c r="E2407" s="2"/>
    </row>
    <row r="2408">
      <c r="A2408" s="2"/>
      <c r="B2408" s="8" t="str">
        <f>IFERROR(__xludf.DUMMYFUNCTION("""COMPUTED_VALUE"""),"ANTONIUS")</f>
        <v>ANTONIUS</v>
      </c>
      <c r="C2408" s="8" t="str">
        <f>IFERROR(__xludf.DUMMYFUNCTION("""COMPUTED_VALUE"""),"A7425057345")</f>
        <v>A7425057345</v>
      </c>
      <c r="D2408" s="8">
        <f>IFERROR(__xludf.DUMMYFUNCTION("""COMPUTED_VALUE"""),52.0)</f>
        <v>52</v>
      </c>
      <c r="E2408" s="2"/>
    </row>
    <row r="2409">
      <c r="A2409" s="2"/>
      <c r="B2409" s="8" t="str">
        <f>IFERROR(__xludf.DUMMYFUNCTION("""COMPUTED_VALUE"""),"TJHIN FA KHIONG")</f>
        <v>TJHIN FA KHIONG</v>
      </c>
      <c r="C2409" s="8" t="str">
        <f>IFERROR(__xludf.DUMMYFUNCTION("""COMPUTED_VALUE"""),"T5425058686")</f>
        <v>T5425058686</v>
      </c>
      <c r="D2409" s="8">
        <f>IFERROR(__xludf.DUMMYFUNCTION("""COMPUTED_VALUE"""),72.0)</f>
        <v>72</v>
      </c>
      <c r="E2409" s="2"/>
    </row>
    <row r="2410">
      <c r="A2410" s="2"/>
      <c r="B2410" s="8" t="str">
        <f>IFERROR(__xludf.DUMMYFUNCTION("""COMPUTED_VALUE"""),"JO GEK TJU")</f>
        <v>JO GEK TJU</v>
      </c>
      <c r="C2410" s="8" t="str">
        <f>IFERROR(__xludf.DUMMYFUNCTION("""COMPUTED_VALUE"""),"J6125058686")</f>
        <v>J6125058686</v>
      </c>
      <c r="D2410" s="8">
        <f>IFERROR(__xludf.DUMMYFUNCTION("""COMPUTED_VALUE"""),64.0)</f>
        <v>64</v>
      </c>
      <c r="E2410" s="2"/>
    </row>
    <row r="2411">
      <c r="A2411" s="2"/>
      <c r="B2411" s="8" t="str">
        <f>IFERROR(__xludf.DUMMYFUNCTION("""COMPUTED_VALUE"""),"MARDIANASARI")</f>
        <v>MARDIANASARI</v>
      </c>
      <c r="C2411" s="8" t="str">
        <f>IFERROR(__xludf.DUMMYFUNCTION("""COMPUTED_VALUE"""),"M7225050046")</f>
        <v>M7225050046</v>
      </c>
      <c r="D2411" s="8">
        <f>IFERROR(__xludf.DUMMYFUNCTION("""COMPUTED_VALUE"""),54.0)</f>
        <v>54</v>
      </c>
      <c r="E2411" s="2"/>
    </row>
    <row r="2412">
      <c r="A2412" s="2"/>
      <c r="B2412" s="8" t="str">
        <f>IFERROR(__xludf.DUMMYFUNCTION("""COMPUTED_VALUE"""),"ABDUL MALIK")</f>
        <v>ABDUL MALIK</v>
      </c>
      <c r="C2412" s="8" t="str">
        <f>IFERROR(__xludf.DUMMYFUNCTION("""COMPUTED_VALUE"""),"A8625057258")</f>
        <v>A8625057258</v>
      </c>
      <c r="D2412" s="8">
        <f>IFERROR(__xludf.DUMMYFUNCTION("""COMPUTED_VALUE"""),40.0)</f>
        <v>40</v>
      </c>
      <c r="E2412" s="2"/>
    </row>
    <row r="2413">
      <c r="A2413" s="2"/>
      <c r="B2413" s="8" t="str">
        <f>IFERROR(__xludf.DUMMYFUNCTION("""COMPUTED_VALUE"""),"ANDRE GARRY MARCO")</f>
        <v>ANDRE GARRY MARCO</v>
      </c>
      <c r="C2413" s="8" t="str">
        <f>IFERROR(__xludf.DUMMYFUNCTION("""COMPUTED_VALUE"""),"A9725051214")</f>
        <v>A9725051214</v>
      </c>
      <c r="D2413" s="8">
        <f>IFERROR(__xludf.DUMMYFUNCTION("""COMPUTED_VALUE"""),29.0)</f>
        <v>29</v>
      </c>
      <c r="E2413" s="2"/>
    </row>
    <row r="2414">
      <c r="A2414" s="2"/>
      <c r="B2414" s="8" t="str">
        <f>IFERROR(__xludf.DUMMYFUNCTION("""COMPUTED_VALUE"""),"SUBARIYAH")</f>
        <v>SUBARIYAH</v>
      </c>
      <c r="C2414" s="8" t="str">
        <f>IFERROR(__xludf.DUMMYFUNCTION("""COMPUTED_VALUE"""),"S5725052657")</f>
        <v>S5725052657</v>
      </c>
      <c r="D2414" s="8">
        <f>IFERROR(__xludf.DUMMYFUNCTION("""COMPUTED_VALUE"""),69.0)</f>
        <v>69</v>
      </c>
      <c r="E2414" s="2"/>
    </row>
    <row r="2415">
      <c r="A2415" s="2"/>
      <c r="B2415" s="8" t="str">
        <f>IFERROR(__xludf.DUMMYFUNCTION("""COMPUTED_VALUE"""),"MASDIARTI")</f>
        <v>MASDIARTI</v>
      </c>
      <c r="C2415" s="8" t="str">
        <f>IFERROR(__xludf.DUMMYFUNCTION("""COMPUTED_VALUE"""),"M7525052841")</f>
        <v>M7525052841</v>
      </c>
      <c r="D2415" s="8">
        <f>IFERROR(__xludf.DUMMYFUNCTION("""COMPUTED_VALUE"""),50.0)</f>
        <v>50</v>
      </c>
      <c r="E2415" s="2"/>
    </row>
    <row r="2416">
      <c r="A2416" s="2"/>
      <c r="B2416" s="8" t="str">
        <f>IFERROR(__xludf.DUMMYFUNCTION("""COMPUTED_VALUE"""),"RITA MUSTARI")</f>
        <v>RITA MUSTARI</v>
      </c>
      <c r="C2416" s="8" t="str">
        <f>IFERROR(__xludf.DUMMYFUNCTION("""COMPUTED_VALUE"""),"R6725050750")</f>
        <v>R6725050750</v>
      </c>
      <c r="D2416" s="8">
        <f>IFERROR(__xludf.DUMMYFUNCTION("""COMPUTED_VALUE"""),58.0)</f>
        <v>58</v>
      </c>
      <c r="E2416" s="2"/>
    </row>
    <row r="2417">
      <c r="A2417" s="2"/>
      <c r="B2417" s="8" t="str">
        <f>IFERROR(__xludf.DUMMYFUNCTION("""COMPUTED_VALUE"""),"STELLA JESSICA")</f>
        <v>STELLA JESSICA</v>
      </c>
      <c r="C2417" s="8" t="str">
        <f>IFERROR(__xludf.DUMMYFUNCTION("""COMPUTED_VALUE"""),"S9425055188")</f>
        <v>S9425055188</v>
      </c>
      <c r="D2417" s="8">
        <f>IFERROR(__xludf.DUMMYFUNCTION("""COMPUTED_VALUE"""),32.0)</f>
        <v>32</v>
      </c>
      <c r="E2417" s="2"/>
    </row>
    <row r="2418">
      <c r="A2418" s="2"/>
      <c r="B2418" s="8" t="str">
        <f>IFERROR(__xludf.DUMMYFUNCTION("""COMPUTED_VALUE"""),"HENDRA PRAYITNO")</f>
        <v>HENDRA PRAYITNO</v>
      </c>
      <c r="C2418" s="8" t="str">
        <f>IFERROR(__xludf.DUMMYFUNCTION("""COMPUTED_VALUE"""),"H8225054202")</f>
        <v>H8225054202</v>
      </c>
      <c r="D2418" s="8">
        <f>IFERROR(__xludf.DUMMYFUNCTION("""COMPUTED_VALUE"""),44.0)</f>
        <v>44</v>
      </c>
      <c r="E2418" s="2"/>
    </row>
    <row r="2419">
      <c r="A2419" s="2"/>
      <c r="B2419" s="8" t="str">
        <f>IFERROR(__xludf.DUMMYFUNCTION("""COMPUTED_VALUE"""),"ABANG FATHIR USWANTO")</f>
        <v>ABANG FATHIR USWANTO</v>
      </c>
      <c r="C2419" s="8" t="str">
        <f>IFERROR(__xludf.DUMMYFUNCTION("""COMPUTED_VALUE"""),"A0725054890")</f>
        <v>A0725054890</v>
      </c>
      <c r="D2419" s="8">
        <f>IFERROR(__xludf.DUMMYFUNCTION("""COMPUTED_VALUE"""),19.0)</f>
        <v>19</v>
      </c>
      <c r="E2419" s="2"/>
    </row>
    <row r="2420">
      <c r="A2420" s="2"/>
      <c r="B2420" s="8" t="str">
        <f>IFERROR(__xludf.DUMMYFUNCTION("""COMPUTED_VALUE"""),"SEKAR KINANTI HERPRADANTI")</f>
        <v>SEKAR KINANTI HERPRADANTI</v>
      </c>
      <c r="C2420" s="8" t="str">
        <f>IFERROR(__xludf.DUMMYFUNCTION("""COMPUTED_VALUE"""),"S9825058991")</f>
        <v>S9825058991</v>
      </c>
      <c r="D2420" s="8">
        <f>IFERROR(__xludf.DUMMYFUNCTION("""COMPUTED_VALUE"""),27.0)</f>
        <v>27</v>
      </c>
      <c r="E2420" s="2"/>
    </row>
    <row r="2421">
      <c r="A2421" s="2"/>
      <c r="B2421" s="8" t="str">
        <f>IFERROR(__xludf.DUMMYFUNCTION("""COMPUTED_VALUE"""),"ARI WIBOWO")</f>
        <v>ARI WIBOWO</v>
      </c>
      <c r="C2421" s="8" t="str">
        <f>IFERROR(__xludf.DUMMYFUNCTION("""COMPUTED_VALUE"""),"A2425050699")</f>
        <v>A2425050699</v>
      </c>
      <c r="D2421" s="8">
        <f>IFERROR(__xludf.DUMMYFUNCTION("""COMPUTED_VALUE"""),2.0)</f>
        <v>2</v>
      </c>
      <c r="E2421" s="2"/>
    </row>
    <row r="2422">
      <c r="A2422" s="2"/>
      <c r="B2422" s="8" t="str">
        <f>IFERROR(__xludf.DUMMYFUNCTION("""COMPUTED_VALUE"""),"ZALBAWU")</f>
        <v>ZALBAWU</v>
      </c>
      <c r="C2422" s="8" t="str">
        <f>IFERROR(__xludf.DUMMYFUNCTION("""COMPUTED_VALUE"""),"Z9125054401")</f>
        <v>Z9125054401</v>
      </c>
      <c r="D2422" s="8">
        <f>IFERROR(__xludf.DUMMYFUNCTION("""COMPUTED_VALUE"""),34.0)</f>
        <v>34</v>
      </c>
      <c r="E2422" s="2"/>
    </row>
    <row r="2423">
      <c r="A2423" s="2"/>
      <c r="B2423" s="8" t="str">
        <f>IFERROR(__xludf.DUMMYFUNCTION("""COMPUTED_VALUE"""),"ERIK GUNAWAN")</f>
        <v>ERIK GUNAWAN</v>
      </c>
      <c r="C2423" s="8" t="str">
        <f>IFERROR(__xludf.DUMMYFUNCTION("""COMPUTED_VALUE"""),"E9525053208")</f>
        <v>E9525053208</v>
      </c>
      <c r="D2423" s="8">
        <f>IFERROR(__xludf.DUMMYFUNCTION("""COMPUTED_VALUE"""),31.0)</f>
        <v>31</v>
      </c>
      <c r="E2423" s="2"/>
    </row>
    <row r="2424">
      <c r="A2424" s="2"/>
      <c r="B2424" s="8" t="str">
        <f>IFERROR(__xludf.DUMMYFUNCTION("""COMPUTED_VALUE"""),"SOFIA LINDI")</f>
        <v>SOFIA LINDI</v>
      </c>
      <c r="C2424" s="8" t="str">
        <f>IFERROR(__xludf.DUMMYFUNCTION("""COMPUTED_VALUE"""),"S4425059065")</f>
        <v>S4425059065</v>
      </c>
      <c r="D2424" s="8">
        <f>IFERROR(__xludf.DUMMYFUNCTION("""COMPUTED_VALUE"""),82.0)</f>
        <v>82</v>
      </c>
      <c r="E2424" s="2"/>
    </row>
    <row r="2425">
      <c r="A2425" s="2"/>
      <c r="B2425" s="8" t="str">
        <f>IFERROR(__xludf.DUMMYFUNCTION("""COMPUTED_VALUE"""),"DAVID HERNANDO SIDABUTAR")</f>
        <v>DAVID HERNANDO SIDABUTAR</v>
      </c>
      <c r="C2425" s="8" t="str">
        <f>IFERROR(__xludf.DUMMYFUNCTION("""COMPUTED_VALUE"""),"D9825052611")</f>
        <v>D9825052611</v>
      </c>
      <c r="D2425" s="8">
        <f>IFERROR(__xludf.DUMMYFUNCTION("""COMPUTED_VALUE"""),27.0)</f>
        <v>27</v>
      </c>
      <c r="E2425" s="2"/>
    </row>
    <row r="2426">
      <c r="A2426" s="2"/>
      <c r="B2426" s="8" t="str">
        <f>IFERROR(__xludf.DUMMYFUNCTION("""COMPUTED_VALUE"""),"ADHE MAHENDRA")</f>
        <v>ADHE MAHENDRA</v>
      </c>
      <c r="C2426" s="8" t="str">
        <f>IFERROR(__xludf.DUMMYFUNCTION("""COMPUTED_VALUE"""),"A9625052149")</f>
        <v>A9625052149</v>
      </c>
      <c r="D2426" s="8">
        <f>IFERROR(__xludf.DUMMYFUNCTION("""COMPUTED_VALUE"""),30.0)</f>
        <v>30</v>
      </c>
      <c r="E2426" s="2"/>
    </row>
    <row r="2427">
      <c r="A2427" s="2"/>
      <c r="B2427" s="8" t="str">
        <f>IFERROR(__xludf.DUMMYFUNCTION("""COMPUTED_VALUE"""),"MARSALINA NENE")</f>
        <v>MARSALINA NENE</v>
      </c>
      <c r="C2427" s="8" t="str">
        <f>IFERROR(__xludf.DUMMYFUNCTION("""COMPUTED_VALUE"""),"M8125059115")</f>
        <v>M8125059115</v>
      </c>
      <c r="D2427" s="8">
        <f>IFERROR(__xludf.DUMMYFUNCTION("""COMPUTED_VALUE"""),44.0)</f>
        <v>44</v>
      </c>
      <c r="E2427" s="2"/>
    </row>
    <row r="2428">
      <c r="A2428" s="2"/>
      <c r="B2428" s="8" t="str">
        <f>IFERROR(__xludf.DUMMYFUNCTION("""COMPUTED_VALUE"""),"ROBI NUR FAHMI")</f>
        <v>ROBI NUR FAHMI</v>
      </c>
      <c r="C2428" s="8" t="str">
        <f>IFERROR(__xludf.DUMMYFUNCTION("""COMPUTED_VALUE"""),"R9625054528")</f>
        <v>R9625054528</v>
      </c>
      <c r="D2428" s="8">
        <f>IFERROR(__xludf.DUMMYFUNCTION("""COMPUTED_VALUE"""),29.0)</f>
        <v>29</v>
      </c>
      <c r="E2428" s="2"/>
    </row>
    <row r="2429">
      <c r="A2429" s="2"/>
      <c r="B2429" s="8" t="str">
        <f>IFERROR(__xludf.DUMMYFUNCTION("""COMPUTED_VALUE"""),"GENEVIE VALESKA")</f>
        <v>GENEVIE VALESKA</v>
      </c>
      <c r="C2429" s="8" t="str">
        <f>IFERROR(__xludf.DUMMYFUNCTION("""COMPUTED_VALUE"""),"G0925053655")</f>
        <v>G0925053655</v>
      </c>
      <c r="D2429" s="8">
        <f>IFERROR(__xludf.DUMMYFUNCTION("""COMPUTED_VALUE"""),17.0)</f>
        <v>17</v>
      </c>
      <c r="E2429" s="2"/>
    </row>
    <row r="2430">
      <c r="A2430" s="2"/>
      <c r="B2430" s="8" t="str">
        <f>IFERROR(__xludf.DUMMYFUNCTION("""COMPUTED_VALUE"""),"HANDAYANI")</f>
        <v>HANDAYANI</v>
      </c>
      <c r="C2430" s="8" t="str">
        <f>IFERROR(__xludf.DUMMYFUNCTION("""COMPUTED_VALUE"""),"H0125056559")</f>
        <v>H0125056559</v>
      </c>
      <c r="D2430" s="8">
        <f>IFERROR(__xludf.DUMMYFUNCTION("""COMPUTED_VALUE"""),25.0)</f>
        <v>25</v>
      </c>
      <c r="E2430" s="2"/>
    </row>
    <row r="2431">
      <c r="A2431" s="2"/>
      <c r="B2431" s="8" t="str">
        <f>IFERROR(__xludf.DUMMYFUNCTION("""COMPUTED_VALUE"""),"YESI FARADITA")</f>
        <v>YESI FARADITA</v>
      </c>
      <c r="C2431" s="8" t="str">
        <f>IFERROR(__xludf.DUMMYFUNCTION("""COMPUTED_VALUE"""),"Y9525051776")</f>
        <v>Y9525051776</v>
      </c>
      <c r="D2431" s="8">
        <f>IFERROR(__xludf.DUMMYFUNCTION("""COMPUTED_VALUE"""),30.0)</f>
        <v>30</v>
      </c>
      <c r="E2431" s="2"/>
    </row>
    <row r="2432">
      <c r="A2432" s="2"/>
      <c r="B2432" s="8" t="str">
        <f>IFERROR(__xludf.DUMMYFUNCTION("""COMPUTED_VALUE"""),"HENDRI 8902")</f>
        <v>HENDRI 8902</v>
      </c>
      <c r="C2432" s="8" t="str">
        <f>IFERROR(__xludf.DUMMYFUNCTION("""COMPUTED_VALUE"""),"H8925054905")</f>
        <v>H8925054905</v>
      </c>
      <c r="D2432" s="8">
        <f>IFERROR(__xludf.DUMMYFUNCTION("""COMPUTED_VALUE"""),37.0)</f>
        <v>37</v>
      </c>
      <c r="E2432" s="2"/>
    </row>
    <row r="2433">
      <c r="A2433" s="2"/>
      <c r="B2433" s="8" t="str">
        <f>IFERROR(__xludf.DUMMYFUNCTION("""COMPUTED_VALUE"""),"GRATIA MOCHALINA")</f>
        <v>GRATIA MOCHALINA</v>
      </c>
      <c r="C2433" s="8" t="str">
        <f>IFERROR(__xludf.DUMMYFUNCTION("""COMPUTED_VALUE"""),"G0625056807")</f>
        <v>G0625056807</v>
      </c>
      <c r="D2433" s="8">
        <f>IFERROR(__xludf.DUMMYFUNCTION("""COMPUTED_VALUE"""),19.0)</f>
        <v>19</v>
      </c>
      <c r="E2433" s="2"/>
    </row>
    <row r="2434">
      <c r="A2434" s="2"/>
      <c r="B2434" s="8" t="str">
        <f>IFERROR(__xludf.DUMMYFUNCTION("""COMPUTED_VALUE"""),"SUWANRY")</f>
        <v>SUWANRY</v>
      </c>
      <c r="C2434" s="8" t="str">
        <f>IFERROR(__xludf.DUMMYFUNCTION("""COMPUTED_VALUE"""),"S6825050166")</f>
        <v>S6825050166</v>
      </c>
      <c r="D2434" s="8">
        <f>IFERROR(__xludf.DUMMYFUNCTION("""COMPUTED_VALUE"""),58.0)</f>
        <v>58</v>
      </c>
      <c r="E2434" s="2"/>
    </row>
    <row r="2435">
      <c r="A2435" s="2"/>
      <c r="B2435" s="8" t="str">
        <f>IFERROR(__xludf.DUMMYFUNCTION("""COMPUTED_VALUE"""),"MUHAMMAD NAUFAL ARYOSTIA PRATAMA")</f>
        <v>MUHAMMAD NAUFAL ARYOSTIA PRATAMA</v>
      </c>
      <c r="C2435" s="8" t="str">
        <f>IFERROR(__xludf.DUMMYFUNCTION("""COMPUTED_VALUE"""),"M0725054401")</f>
        <v>M0725054401</v>
      </c>
      <c r="D2435" s="8">
        <f>IFERROR(__xludf.DUMMYFUNCTION("""COMPUTED_VALUE"""),18.0)</f>
        <v>18</v>
      </c>
      <c r="E2435" s="2"/>
    </row>
    <row r="2436">
      <c r="A2436" s="2"/>
      <c r="B2436" s="8" t="str">
        <f>IFERROR(__xludf.DUMMYFUNCTION("""COMPUTED_VALUE"""),"SUWANDI 7609")</f>
        <v>SUWANDI 7609</v>
      </c>
      <c r="C2436" s="8" t="str">
        <f>IFERROR(__xludf.DUMMYFUNCTION("""COMPUTED_VALUE"""),"S7625058881")</f>
        <v>S7625058881</v>
      </c>
      <c r="D2436" s="8">
        <f>IFERROR(__xludf.DUMMYFUNCTION("""COMPUTED_VALUE"""),49.0)</f>
        <v>49</v>
      </c>
      <c r="E2436" s="2"/>
    </row>
    <row r="2437">
      <c r="A2437" s="2"/>
      <c r="B2437" s="8" t="str">
        <f>IFERROR(__xludf.DUMMYFUNCTION("""COMPUTED_VALUE"""),"SHELLA NOVIYANSHE")</f>
        <v>SHELLA NOVIYANSHE</v>
      </c>
      <c r="C2437" s="8" t="str">
        <f>IFERROR(__xludf.DUMMYFUNCTION("""COMPUTED_VALUE"""),"S9725054040")</f>
        <v>S9725054040</v>
      </c>
      <c r="D2437" s="8">
        <f>IFERROR(__xludf.DUMMYFUNCTION("""COMPUTED_VALUE"""),28.0)</f>
        <v>28</v>
      </c>
      <c r="E2437" s="2"/>
    </row>
    <row r="2438">
      <c r="A2438" s="2"/>
      <c r="B2438" s="8" t="str">
        <f>IFERROR(__xludf.DUMMYFUNCTION("""COMPUTED_VALUE"""),"NOEVAL")</f>
        <v>NOEVAL</v>
      </c>
      <c r="C2438" s="8" t="str">
        <f>IFERROR(__xludf.DUMMYFUNCTION("""COMPUTED_VALUE"""),"N0425055874")</f>
        <v>N0425055874</v>
      </c>
      <c r="D2438" s="8">
        <f>IFERROR(__xludf.DUMMYFUNCTION("""COMPUTED_VALUE"""),22.0)</f>
        <v>22</v>
      </c>
      <c r="E2438" s="2"/>
    </row>
    <row r="2439">
      <c r="A2439" s="2"/>
      <c r="B2439" s="8" t="str">
        <f>IFERROR(__xludf.DUMMYFUNCTION("""COMPUTED_VALUE"""),"ADE RIDHANTO")</f>
        <v>ADE RIDHANTO</v>
      </c>
      <c r="C2439" s="8" t="str">
        <f>IFERROR(__xludf.DUMMYFUNCTION("""COMPUTED_VALUE"""),"A9725052312")</f>
        <v>A9725052312</v>
      </c>
      <c r="D2439" s="8">
        <f>IFERROR(__xludf.DUMMYFUNCTION("""COMPUTED_VALUE"""),29.0)</f>
        <v>29</v>
      </c>
      <c r="E2439" s="2"/>
    </row>
    <row r="2440">
      <c r="A2440" s="2"/>
      <c r="B2440" s="8" t="str">
        <f>IFERROR(__xludf.DUMMYFUNCTION("""COMPUTED_VALUE"""),"WELDA OCTAVIANNI")</f>
        <v>WELDA OCTAVIANNI</v>
      </c>
      <c r="C2440" s="8" t="str">
        <f>IFERROR(__xludf.DUMMYFUNCTION("""COMPUTED_VALUE"""),"W9425059670")</f>
        <v>W9425059670</v>
      </c>
      <c r="D2440" s="8">
        <f>IFERROR(__xludf.DUMMYFUNCTION("""COMPUTED_VALUE"""),31.0)</f>
        <v>31</v>
      </c>
      <c r="E2440" s="2"/>
    </row>
    <row r="2441">
      <c r="A2441" s="2"/>
      <c r="B2441" s="8" t="str">
        <f>IFERROR(__xludf.DUMMYFUNCTION("""COMPUTED_VALUE"""),"BELLY")</f>
        <v>BELLY</v>
      </c>
      <c r="C2441" s="8" t="str">
        <f>IFERROR(__xludf.DUMMYFUNCTION("""COMPUTED_VALUE"""),"B8825057611")</f>
        <v>B8825057611</v>
      </c>
      <c r="D2441" s="8">
        <f>IFERROR(__xludf.DUMMYFUNCTION("""COMPUTED_VALUE"""),37.0)</f>
        <v>37</v>
      </c>
      <c r="E2441" s="2"/>
    </row>
    <row r="2442">
      <c r="A2442" s="2"/>
      <c r="B2442" s="8" t="str">
        <f>IFERROR(__xludf.DUMMYFUNCTION("""COMPUTED_VALUE"""),"ULIANA SARA MARPAUNG")</f>
        <v>ULIANA SARA MARPAUNG</v>
      </c>
      <c r="C2442" s="8" t="str">
        <f>IFERROR(__xludf.DUMMYFUNCTION("""COMPUTED_VALUE"""),"U9625058921")</f>
        <v>U9625058921</v>
      </c>
      <c r="D2442" s="8">
        <f>IFERROR(__xludf.DUMMYFUNCTION("""COMPUTED_VALUE"""),29.0)</f>
        <v>29</v>
      </c>
      <c r="E2442" s="2"/>
    </row>
    <row r="2443">
      <c r="A2443" s="2"/>
      <c r="B2443" s="8" t="str">
        <f>IFERROR(__xludf.DUMMYFUNCTION("""COMPUTED_VALUE"""),"AGUS SETIADI")</f>
        <v>AGUS SETIADI</v>
      </c>
      <c r="C2443" s="8" t="str">
        <f>IFERROR(__xludf.DUMMYFUNCTION("""COMPUTED_VALUE"""),"A8525055150")</f>
        <v>A8525055150</v>
      </c>
      <c r="D2443" s="8">
        <f>IFERROR(__xludf.DUMMYFUNCTION("""COMPUTED_VALUE"""),40.0)</f>
        <v>40</v>
      </c>
      <c r="E2443" s="2"/>
    </row>
    <row r="2444">
      <c r="A2444" s="2"/>
      <c r="B2444" s="8" t="str">
        <f>IFERROR(__xludf.DUMMYFUNCTION("""COMPUTED_VALUE"""),"BOENG LIN FAH")</f>
        <v>BOENG LIN FAH</v>
      </c>
      <c r="C2444" s="8" t="str">
        <f>IFERROR(__xludf.DUMMYFUNCTION("""COMPUTED_VALUE"""),"B4825051059")</f>
        <v>B4825051059</v>
      </c>
      <c r="D2444" s="8">
        <f>IFERROR(__xludf.DUMMYFUNCTION("""COMPUTED_VALUE"""),77.0)</f>
        <v>77</v>
      </c>
      <c r="E2444" s="2"/>
    </row>
    <row r="2445">
      <c r="A2445" s="2"/>
      <c r="B2445" s="8" t="str">
        <f>IFERROR(__xludf.DUMMYFUNCTION("""COMPUTED_VALUE"""),"ENDANG SUGIARTI")</f>
        <v>ENDANG SUGIARTI</v>
      </c>
      <c r="C2445" s="8" t="str">
        <f>IFERROR(__xludf.DUMMYFUNCTION("""COMPUTED_VALUE"""),"E6425050218")</f>
        <v>E6425050218</v>
      </c>
      <c r="D2445" s="8">
        <f>IFERROR(__xludf.DUMMYFUNCTION("""COMPUTED_VALUE"""),62.0)</f>
        <v>62</v>
      </c>
      <c r="E2445" s="2"/>
    </row>
    <row r="2446">
      <c r="A2446" s="2"/>
      <c r="B2446" s="8" t="str">
        <f>IFERROR(__xludf.DUMMYFUNCTION("""COMPUTED_VALUE"""),"FIRMAN MULYANA")</f>
        <v>FIRMAN MULYANA</v>
      </c>
      <c r="C2446" s="8" t="str">
        <f>IFERROR(__xludf.DUMMYFUNCTION("""COMPUTED_VALUE"""),"F7825058577")</f>
        <v>F7825058577</v>
      </c>
      <c r="D2446" s="8">
        <f>IFERROR(__xludf.DUMMYFUNCTION("""COMPUTED_VALUE"""),48.0)</f>
        <v>48</v>
      </c>
      <c r="E2446" s="2"/>
    </row>
    <row r="2447">
      <c r="A2447" s="2"/>
      <c r="B2447" s="8" t="str">
        <f>IFERROR(__xludf.DUMMYFUNCTION("""COMPUTED_VALUE"""),"FEBRI PRIBADI SETYO")</f>
        <v>FEBRI PRIBADI SETYO</v>
      </c>
      <c r="C2447" s="8" t="str">
        <f>IFERROR(__xludf.DUMMYFUNCTION("""COMPUTED_VALUE"""),"F9525050229")</f>
        <v>F9525050229</v>
      </c>
      <c r="D2447" s="8">
        <f>IFERROR(__xludf.DUMMYFUNCTION("""COMPUTED_VALUE"""),31.0)</f>
        <v>31</v>
      </c>
      <c r="E2447" s="2"/>
    </row>
    <row r="2448">
      <c r="A2448" s="2"/>
      <c r="B2448" s="8" t="str">
        <f>IFERROR(__xludf.DUMMYFUNCTION("""COMPUTED_VALUE"""),"TIMOTIUS HARTANTO")</f>
        <v>TIMOTIUS HARTANTO</v>
      </c>
      <c r="C2448" s="8" t="str">
        <f>IFERROR(__xludf.DUMMYFUNCTION("""COMPUTED_VALUE"""),"T6225057369")</f>
        <v>T6225057369</v>
      </c>
      <c r="D2448" s="8">
        <f>IFERROR(__xludf.DUMMYFUNCTION("""COMPUTED_VALUE"""),64.0)</f>
        <v>64</v>
      </c>
      <c r="E2448" s="2"/>
    </row>
    <row r="2449">
      <c r="A2449" s="2"/>
      <c r="B2449" s="8" t="str">
        <f>IFERROR(__xludf.DUMMYFUNCTION("""COMPUTED_VALUE"""),"RUSMINI")</f>
        <v>RUSMINI</v>
      </c>
      <c r="C2449" s="8" t="str">
        <f>IFERROR(__xludf.DUMMYFUNCTION("""COMPUTED_VALUE"""),"R6125052762")</f>
        <v>R6125052762</v>
      </c>
      <c r="D2449" s="8">
        <f>IFERROR(__xludf.DUMMYFUNCTION("""COMPUTED_VALUE"""),64.0)</f>
        <v>64</v>
      </c>
      <c r="E2449" s="2"/>
    </row>
    <row r="2450">
      <c r="A2450" s="2"/>
      <c r="B2450" s="8" t="str">
        <f>IFERROR(__xludf.DUMMYFUNCTION("""COMPUTED_VALUE"""),"K. E. ANANTA UTAMI")</f>
        <v>K. E. ANANTA UTAMI</v>
      </c>
      <c r="C2450" s="8" t="str">
        <f>IFERROR(__xludf.DUMMYFUNCTION("""COMPUTED_VALUE"""),"K6925057763")</f>
        <v>K6925057763</v>
      </c>
      <c r="D2450" s="8">
        <f>IFERROR(__xludf.DUMMYFUNCTION("""COMPUTED_VALUE"""),56.0)</f>
        <v>56</v>
      </c>
      <c r="E2450" s="2"/>
    </row>
    <row r="2451">
      <c r="A2451" s="2"/>
      <c r="B2451" s="8" t="str">
        <f>IFERROR(__xludf.DUMMYFUNCTION("""COMPUTED_VALUE"""),"JUWAIRIYAH")</f>
        <v>JUWAIRIYAH</v>
      </c>
      <c r="C2451" s="8" t="str">
        <f>IFERROR(__xludf.DUMMYFUNCTION("""COMPUTED_VALUE"""),"J6825051908")</f>
        <v>J6825051908</v>
      </c>
      <c r="D2451" s="8">
        <f>IFERROR(__xludf.DUMMYFUNCTION("""COMPUTED_VALUE"""),58.0)</f>
        <v>58</v>
      </c>
      <c r="E2451" s="2"/>
    </row>
    <row r="2452">
      <c r="A2452" s="2"/>
      <c r="B2452" s="8" t="str">
        <f>IFERROR(__xludf.DUMMYFUNCTION("""COMPUTED_VALUE"""),"BAMBANG WARDANI")</f>
        <v>BAMBANG WARDANI</v>
      </c>
      <c r="C2452" s="8" t="str">
        <f>IFERROR(__xludf.DUMMYFUNCTION("""COMPUTED_VALUE"""),"B6025057727")</f>
        <v>B6025057727</v>
      </c>
      <c r="D2452" s="8">
        <f>IFERROR(__xludf.DUMMYFUNCTION("""COMPUTED_VALUE"""),65.0)</f>
        <v>65</v>
      </c>
      <c r="E2452" s="2"/>
    </row>
    <row r="2453">
      <c r="A2453" s="2"/>
      <c r="B2453" s="8" t="str">
        <f>IFERROR(__xludf.DUMMYFUNCTION("""COMPUTED_VALUE"""),"E. SUGINI")</f>
        <v>E. SUGINI</v>
      </c>
      <c r="C2453" s="8" t="str">
        <f>IFERROR(__xludf.DUMMYFUNCTION("""COMPUTED_VALUE"""),"E5125059981")</f>
        <v>E5125059981</v>
      </c>
      <c r="D2453" s="8">
        <f>IFERROR(__xludf.DUMMYFUNCTION("""COMPUTED_VALUE"""),74.0)</f>
        <v>74</v>
      </c>
      <c r="E2453" s="2"/>
    </row>
    <row r="2454">
      <c r="A2454" s="2"/>
      <c r="B2454" s="8" t="str">
        <f>IFERROR(__xludf.DUMMYFUNCTION("""COMPUTED_VALUE"""),"NOVI GUNADI")</f>
        <v>NOVI GUNADI</v>
      </c>
      <c r="C2454" s="8" t="str">
        <f>IFERROR(__xludf.DUMMYFUNCTION("""COMPUTED_VALUE"""),"N9625054742")</f>
        <v>N9625054742</v>
      </c>
      <c r="D2454" s="8">
        <f>IFERROR(__xludf.DUMMYFUNCTION("""COMPUTED_VALUE"""),29.0)</f>
        <v>29</v>
      </c>
      <c r="E2454" s="2"/>
    </row>
    <row r="2455">
      <c r="A2455" s="2"/>
      <c r="B2455" s="8" t="str">
        <f>IFERROR(__xludf.DUMMYFUNCTION("""COMPUTED_VALUE"""),"TRACY")</f>
        <v>TRACY</v>
      </c>
      <c r="C2455" s="8" t="str">
        <f>IFERROR(__xludf.DUMMYFUNCTION("""COMPUTED_VALUE"""),"T0225053119")</f>
        <v>T0225053119</v>
      </c>
      <c r="D2455" s="8">
        <f>IFERROR(__xludf.DUMMYFUNCTION("""COMPUTED_VALUE"""),24.0)</f>
        <v>24</v>
      </c>
      <c r="E2455" s="2"/>
    </row>
    <row r="2456">
      <c r="A2456" s="2"/>
      <c r="B2456" s="8" t="str">
        <f>IFERROR(__xludf.DUMMYFUNCTION("""COMPUTED_VALUE"""),"LARAS SASTI PRATIWI")</f>
        <v>LARAS SASTI PRATIWI</v>
      </c>
      <c r="C2456" s="8" t="str">
        <f>IFERROR(__xludf.DUMMYFUNCTION("""COMPUTED_VALUE"""),"L9325058829")</f>
        <v>L9325058829</v>
      </c>
      <c r="D2456" s="8">
        <f>IFERROR(__xludf.DUMMYFUNCTION("""COMPUTED_VALUE"""),33.0)</f>
        <v>33</v>
      </c>
      <c r="E2456" s="2"/>
    </row>
    <row r="2457">
      <c r="A2457" s="2"/>
      <c r="B2457" s="8" t="str">
        <f>IFERROR(__xludf.DUMMYFUNCTION("""COMPUTED_VALUE"""),"MUHAMMAD SARWANI")</f>
        <v>MUHAMMAD SARWANI</v>
      </c>
      <c r="C2457" s="8" t="str">
        <f>IFERROR(__xludf.DUMMYFUNCTION("""COMPUTED_VALUE"""),"M9925058467")</f>
        <v>M9925058467</v>
      </c>
      <c r="D2457" s="8">
        <f>IFERROR(__xludf.DUMMYFUNCTION("""COMPUTED_VALUE"""),26.0)</f>
        <v>26</v>
      </c>
      <c r="E2457" s="2"/>
    </row>
    <row r="2458">
      <c r="A2458" s="2"/>
      <c r="B2458" s="8" t="str">
        <f>IFERROR(__xludf.DUMMYFUNCTION("""COMPUTED_VALUE"""),"HENDRO 95")</f>
        <v>HENDRO 95</v>
      </c>
      <c r="C2458" s="8" t="str">
        <f>IFERROR(__xludf.DUMMYFUNCTION("""COMPUTED_VALUE"""),"H9525069172")</f>
        <v>H9525069172</v>
      </c>
      <c r="D2458" s="8">
        <f>IFERROR(__xludf.DUMMYFUNCTION("""COMPUTED_VALUE"""),30.0)</f>
        <v>30</v>
      </c>
      <c r="E2458" s="2"/>
    </row>
    <row r="2459">
      <c r="A2459" s="2"/>
      <c r="B2459" s="8" t="str">
        <f>IFERROR(__xludf.DUMMYFUNCTION("""COMPUTED_VALUE"""),"HERMAN 7802")</f>
        <v>HERMAN 7802</v>
      </c>
      <c r="C2459" s="8" t="str">
        <f>IFERROR(__xludf.DUMMYFUNCTION("""COMPUTED_VALUE"""),"H7825063633")</f>
        <v>H7825063633</v>
      </c>
      <c r="D2459" s="8">
        <f>IFERROR(__xludf.DUMMYFUNCTION("""COMPUTED_VALUE"""),48.0)</f>
        <v>48</v>
      </c>
      <c r="E2459" s="2"/>
    </row>
    <row r="2460">
      <c r="A2460" s="2"/>
      <c r="B2460" s="8" t="str">
        <f>IFERROR(__xludf.DUMMYFUNCTION("""COMPUTED_VALUE"""),"IIN EKA PUTRI")</f>
        <v>IIN EKA PUTRI</v>
      </c>
      <c r="C2460" s="8" t="str">
        <f>IFERROR(__xludf.DUMMYFUNCTION("""COMPUTED_VALUE"""),"I8225066978")</f>
        <v>I8225066978</v>
      </c>
      <c r="D2460" s="8">
        <f>IFERROR(__xludf.DUMMYFUNCTION("""COMPUTED_VALUE"""),44.0)</f>
        <v>44</v>
      </c>
      <c r="E2460" s="2"/>
    </row>
    <row r="2461">
      <c r="A2461" s="2"/>
      <c r="B2461" s="8" t="str">
        <f>IFERROR(__xludf.DUMMYFUNCTION("""COMPUTED_VALUE"""),"KAM TJIN TJON")</f>
        <v>KAM TJIN TJON</v>
      </c>
      <c r="C2461" s="8" t="str">
        <f>IFERROR(__xludf.DUMMYFUNCTION("""COMPUTED_VALUE"""),"K5125069057")</f>
        <v>K5125069057</v>
      </c>
      <c r="D2461" s="8">
        <f>IFERROR(__xludf.DUMMYFUNCTION("""COMPUTED_VALUE"""),75.0)</f>
        <v>75</v>
      </c>
      <c r="E2461" s="2"/>
    </row>
    <row r="2462">
      <c r="A2462" s="2"/>
      <c r="B2462" s="8" t="str">
        <f>IFERROR(__xludf.DUMMYFUNCTION("""COMPUTED_VALUE"""),"FARHAN 0306")</f>
        <v>FARHAN 0306</v>
      </c>
      <c r="C2462" s="8" t="str">
        <f>IFERROR(__xludf.DUMMYFUNCTION("""COMPUTED_VALUE"""),"F0325067874")</f>
        <v>F0325067874</v>
      </c>
      <c r="D2462" s="8">
        <f>IFERROR(__xludf.DUMMYFUNCTION("""COMPUTED_VALUE"""),23.0)</f>
        <v>23</v>
      </c>
      <c r="E2462" s="2"/>
    </row>
    <row r="2463">
      <c r="A2463" s="2"/>
      <c r="B2463" s="8" t="str">
        <f>IFERROR(__xludf.DUMMYFUNCTION("""COMPUTED_VALUE"""),"WASITO")</f>
        <v>WASITO</v>
      </c>
      <c r="C2463" s="8" t="str">
        <f>IFERROR(__xludf.DUMMYFUNCTION("""COMPUTED_VALUE"""),"W5325063189")</f>
        <v>W5325063189</v>
      </c>
      <c r="D2463" s="8">
        <f>IFERROR(__xludf.DUMMYFUNCTION("""COMPUTED_VALUE"""),73.0)</f>
        <v>73</v>
      </c>
      <c r="E2463" s="2"/>
    </row>
    <row r="2464">
      <c r="A2464" s="2"/>
      <c r="B2464" s="8" t="str">
        <f>IFERROR(__xludf.DUMMYFUNCTION("""COMPUTED_VALUE"""),"DONI ARI SETIANTO")</f>
        <v>DONI ARI SETIANTO</v>
      </c>
      <c r="C2464" s="8" t="str">
        <f>IFERROR(__xludf.DUMMYFUNCTION("""COMPUTED_VALUE"""),"D9625066495")</f>
        <v>D9625066495</v>
      </c>
      <c r="D2464" s="8">
        <f>IFERROR(__xludf.DUMMYFUNCTION("""COMPUTED_VALUE"""),29.0)</f>
        <v>29</v>
      </c>
      <c r="E2464" s="2"/>
    </row>
    <row r="2465">
      <c r="A2465" s="2"/>
      <c r="B2465" s="8" t="str">
        <f>IFERROR(__xludf.DUMMYFUNCTION("""COMPUTED_VALUE"""),"TAN REVAN ADIWITYA")</f>
        <v>TAN REVAN ADIWITYA</v>
      </c>
      <c r="C2465" s="8" t="str">
        <f>IFERROR(__xludf.DUMMYFUNCTION("""COMPUTED_VALUE"""),"T0925064832")</f>
        <v>T0925064832</v>
      </c>
      <c r="D2465" s="8">
        <f>IFERROR(__xludf.DUMMYFUNCTION("""COMPUTED_VALUE"""),17.0)</f>
        <v>17</v>
      </c>
      <c r="E2465" s="2"/>
    </row>
    <row r="2466">
      <c r="A2466" s="2"/>
      <c r="B2466" s="8" t="str">
        <f>IFERROR(__xludf.DUMMYFUNCTION("""COMPUTED_VALUE"""),"MAHILOT")</f>
        <v>MAHILOT</v>
      </c>
      <c r="C2466" s="8" t="str">
        <f>IFERROR(__xludf.DUMMYFUNCTION("""COMPUTED_VALUE"""),"M6025068934")</f>
        <v>M6025068934</v>
      </c>
      <c r="D2466" s="8">
        <f>IFERROR(__xludf.DUMMYFUNCTION("""COMPUTED_VALUE"""),65.0)</f>
        <v>65</v>
      </c>
      <c r="E2466" s="2"/>
    </row>
    <row r="2467">
      <c r="A2467" s="2"/>
      <c r="B2467" s="8" t="str">
        <f>IFERROR(__xludf.DUMMYFUNCTION("""COMPUTED_VALUE"""),"RAHADIAN FARANDI")</f>
        <v>RAHADIAN FARANDI</v>
      </c>
      <c r="C2467" s="8" t="str">
        <f>IFERROR(__xludf.DUMMYFUNCTION("""COMPUTED_VALUE"""),"R9425066090")</f>
        <v>R9425066090</v>
      </c>
      <c r="D2467" s="8">
        <f>IFERROR(__xludf.DUMMYFUNCTION("""COMPUTED_VALUE"""),32.0)</f>
        <v>32</v>
      </c>
      <c r="E2467" s="2"/>
    </row>
    <row r="2468">
      <c r="A2468" s="2"/>
      <c r="B2468" s="8" t="str">
        <f>IFERROR(__xludf.DUMMYFUNCTION("""COMPUTED_VALUE"""),"NURMEDITASARI")</f>
        <v>NURMEDITASARI</v>
      </c>
      <c r="C2468" s="8" t="str">
        <f>IFERROR(__xludf.DUMMYFUNCTION("""COMPUTED_VALUE"""),"N9625061460")</f>
        <v>N9625061460</v>
      </c>
      <c r="D2468" s="8">
        <f>IFERROR(__xludf.DUMMYFUNCTION("""COMPUTED_VALUE"""),30.0)</f>
        <v>30</v>
      </c>
      <c r="E2468" s="2"/>
    </row>
    <row r="2469">
      <c r="A2469" s="2"/>
      <c r="B2469" s="8" t="str">
        <f>IFERROR(__xludf.DUMMYFUNCTION("""COMPUTED_VALUE"""),"MUHAMMAD AKMAL JADID KURNIAWAN")</f>
        <v>MUHAMMAD AKMAL JADID KURNIAWAN</v>
      </c>
      <c r="C2469" s="8" t="str">
        <f>IFERROR(__xludf.DUMMYFUNCTION("""COMPUTED_VALUE"""),"M0825068440")</f>
        <v>M0825068440</v>
      </c>
      <c r="D2469" s="8">
        <f>IFERROR(__xludf.DUMMYFUNCTION("""COMPUTED_VALUE"""),18.0)</f>
        <v>18</v>
      </c>
      <c r="E2469" s="2"/>
    </row>
    <row r="2470">
      <c r="A2470" s="2"/>
      <c r="B2470" s="8" t="str">
        <f>IFERROR(__xludf.DUMMYFUNCTION("""COMPUTED_VALUE"""),"ERIK RADJALI")</f>
        <v>ERIK RADJALI</v>
      </c>
      <c r="C2470" s="8" t="str">
        <f>IFERROR(__xludf.DUMMYFUNCTION("""COMPUTED_VALUE"""),"E9125065078")</f>
        <v>E9125065078</v>
      </c>
      <c r="D2470" s="8">
        <f>IFERROR(__xludf.DUMMYFUNCTION("""COMPUTED_VALUE"""),35.0)</f>
        <v>35</v>
      </c>
      <c r="E2470" s="2"/>
    </row>
    <row r="2471">
      <c r="A2471" s="2"/>
      <c r="B2471" s="8" t="str">
        <f>IFERROR(__xludf.DUMMYFUNCTION("""COMPUTED_VALUE"""),"SYARIF HANIF RAMADHAN")</f>
        <v>SYARIF HANIF RAMADHAN</v>
      </c>
      <c r="C2471" s="8" t="str">
        <f>IFERROR(__xludf.DUMMYFUNCTION("""COMPUTED_VALUE"""),"S1625067980")</f>
        <v>S1625067980</v>
      </c>
      <c r="D2471" s="8">
        <f>IFERROR(__xludf.DUMMYFUNCTION("""COMPUTED_VALUE"""),10.0)</f>
        <v>10</v>
      </c>
      <c r="E2471" s="2"/>
    </row>
    <row r="2472">
      <c r="A2472" s="2"/>
      <c r="B2472" s="8" t="str">
        <f>IFERROR(__xludf.DUMMYFUNCTION("""COMPUTED_VALUE"""),"KATARINA APIN")</f>
        <v>KATARINA APIN</v>
      </c>
      <c r="C2472" s="8" t="str">
        <f>IFERROR(__xludf.DUMMYFUNCTION("""COMPUTED_VALUE"""),"K6025063145")</f>
        <v>K6025063145</v>
      </c>
      <c r="D2472" s="8">
        <f>IFERROR(__xludf.DUMMYFUNCTION("""COMPUTED_VALUE"""),66.0)</f>
        <v>66</v>
      </c>
      <c r="E2472" s="2"/>
    </row>
    <row r="2473">
      <c r="A2473" s="2"/>
      <c r="B2473" s="8" t="str">
        <f>IFERROR(__xludf.DUMMYFUNCTION("""COMPUTED_VALUE"""),"KEVINSIUS ALDITYA .P")</f>
        <v>KEVINSIUS ALDITYA .P</v>
      </c>
      <c r="C2473" s="8" t="str">
        <f>IFERROR(__xludf.DUMMYFUNCTION("""COMPUTED_VALUE"""),"K0725061871")</f>
        <v>K0725061871</v>
      </c>
      <c r="D2473" s="8">
        <f>IFERROR(__xludf.DUMMYFUNCTION("""COMPUTED_VALUE"""),19.0)</f>
        <v>19</v>
      </c>
      <c r="E2473" s="2"/>
    </row>
    <row r="2474">
      <c r="A2474" s="2"/>
      <c r="B2474" s="8" t="str">
        <f>IFERROR(__xludf.DUMMYFUNCTION("""COMPUTED_VALUE"""),"THE MOI HUN ALS TETTY YOSEPHINE")</f>
        <v>THE MOI HUN ALS TETTY YOSEPHINE</v>
      </c>
      <c r="C2474" s="8" t="str">
        <f>IFERROR(__xludf.DUMMYFUNCTION("""COMPUTED_VALUE"""),"T5825069990")</f>
        <v>T5825069990</v>
      </c>
      <c r="D2474" s="8">
        <f>IFERROR(__xludf.DUMMYFUNCTION("""COMPUTED_VALUE"""),68.0)</f>
        <v>68</v>
      </c>
      <c r="E2474" s="2"/>
    </row>
    <row r="2475">
      <c r="A2475" s="2"/>
      <c r="B2475" s="8" t="str">
        <f>IFERROR(__xludf.DUMMYFUNCTION("""COMPUTED_VALUE"""),"AYDA RIANI JOHAR")</f>
        <v>AYDA RIANI JOHAR</v>
      </c>
      <c r="C2475" s="8" t="str">
        <f>IFERROR(__xludf.DUMMYFUNCTION("""COMPUTED_VALUE"""),"A0025068439")</f>
        <v>A0025068439</v>
      </c>
      <c r="D2475" s="8">
        <f>IFERROR(__xludf.DUMMYFUNCTION("""COMPUTED_VALUE"""),25.0)</f>
        <v>25</v>
      </c>
      <c r="E2475" s="2"/>
    </row>
    <row r="2476">
      <c r="A2476" s="2"/>
      <c r="B2476" s="8" t="str">
        <f>IFERROR(__xludf.DUMMYFUNCTION("""COMPUTED_VALUE"""),"MUHAMMAD SUBHAN ILMI")</f>
        <v>MUHAMMAD SUBHAN ILMI</v>
      </c>
      <c r="C2476" s="8" t="str">
        <f>IFERROR(__xludf.DUMMYFUNCTION("""COMPUTED_VALUE"""),"M0125067791")</f>
        <v>M0125067791</v>
      </c>
      <c r="D2476" s="8">
        <f>IFERROR(__xludf.DUMMYFUNCTION("""COMPUTED_VALUE"""),25.0)</f>
        <v>25</v>
      </c>
      <c r="E2476" s="2"/>
    </row>
    <row r="2477">
      <c r="A2477" s="2"/>
      <c r="B2477" s="8" t="str">
        <f>IFERROR(__xludf.DUMMYFUNCTION("""COMPUTED_VALUE"""),"MUHAMMAD JUANDA")</f>
        <v>MUHAMMAD JUANDA</v>
      </c>
      <c r="C2477" s="8" t="str">
        <f>IFERROR(__xludf.DUMMYFUNCTION("""COMPUTED_VALUE"""),"M9023017121")</f>
        <v>M9023017121</v>
      </c>
      <c r="D2477" s="8">
        <f>IFERROR(__xludf.DUMMYFUNCTION("""COMPUTED_VALUE"""),36.0)</f>
        <v>36</v>
      </c>
      <c r="E2477" s="2"/>
    </row>
    <row r="2478">
      <c r="A2478" s="2"/>
      <c r="B2478" s="8" t="str">
        <f>IFERROR(__xludf.DUMMYFUNCTION("""COMPUTED_VALUE"""),"DECO DEMUS ASU")</f>
        <v>DECO DEMUS ASU</v>
      </c>
      <c r="C2478" s="8" t="str">
        <f>IFERROR(__xludf.DUMMYFUNCTION("""COMPUTED_VALUE"""),"D0625063400")</f>
        <v>D0625063400</v>
      </c>
      <c r="D2478" s="8">
        <f>IFERROR(__xludf.DUMMYFUNCTION("""COMPUTED_VALUE"""),20.0)</f>
        <v>20</v>
      </c>
      <c r="E2478" s="2"/>
    </row>
    <row r="2479">
      <c r="A2479" s="2"/>
      <c r="B2479" s="8" t="str">
        <f>IFERROR(__xludf.DUMMYFUNCTION("""COMPUTED_VALUE"""),"SALSAALIAPUTRI")</f>
        <v>SALSAALIAPUTRI</v>
      </c>
      <c r="C2479" s="8" t="str">
        <f>IFERROR(__xludf.DUMMYFUNCTION("""COMPUTED_VALUE"""),"S0125066746")</f>
        <v>S0125066746</v>
      </c>
      <c r="D2479" s="8">
        <f>IFERROR(__xludf.DUMMYFUNCTION("""COMPUTED_VALUE"""),24.0)</f>
        <v>24</v>
      </c>
      <c r="E2479" s="2"/>
    </row>
    <row r="2480">
      <c r="A2480" s="2"/>
      <c r="B2480" s="8" t="str">
        <f>IFERROR(__xludf.DUMMYFUNCTION("""COMPUTED_VALUE"""),"IVONNY")</f>
        <v>IVONNY</v>
      </c>
      <c r="C2480" s="8" t="str">
        <f>IFERROR(__xludf.DUMMYFUNCTION("""COMPUTED_VALUE"""),"I8825068889")</f>
        <v>I8825068889</v>
      </c>
      <c r="D2480" s="8">
        <f>IFERROR(__xludf.DUMMYFUNCTION("""COMPUTED_VALUE"""),37.0)</f>
        <v>37</v>
      </c>
      <c r="E2480" s="2"/>
    </row>
    <row r="2481">
      <c r="A2481" s="2"/>
      <c r="B2481" s="8" t="str">
        <f>IFERROR(__xludf.DUMMYFUNCTION("""COMPUTED_VALUE"""),"DIAZ KEMAL SHIHAB")</f>
        <v>DIAZ KEMAL SHIHAB</v>
      </c>
      <c r="C2481" s="8" t="str">
        <f>IFERROR(__xludf.DUMMYFUNCTION("""COMPUTED_VALUE"""),"D0925069602")</f>
        <v>D0925069602</v>
      </c>
      <c r="D2481" s="8">
        <f>IFERROR(__xludf.DUMMYFUNCTION("""COMPUTED_VALUE"""),16.0)</f>
        <v>16</v>
      </c>
      <c r="E2481" s="2"/>
    </row>
    <row r="2482">
      <c r="A2482" s="2"/>
      <c r="B2482" s="8" t="str">
        <f>IFERROR(__xludf.DUMMYFUNCTION("""COMPUTED_VALUE"""),"ADE IWAN KURNIAWAN")</f>
        <v>ADE IWAN KURNIAWAN</v>
      </c>
      <c r="C2482" s="8" t="str">
        <f>IFERROR(__xludf.DUMMYFUNCTION("""COMPUTED_VALUE"""),"A9025060759")</f>
        <v>A9025060759</v>
      </c>
      <c r="D2482" s="8">
        <f>IFERROR(__xludf.DUMMYFUNCTION("""COMPUTED_VALUE"""),35.0)</f>
        <v>35</v>
      </c>
      <c r="E2482" s="2"/>
    </row>
    <row r="2483">
      <c r="A2483" s="2"/>
      <c r="B2483" s="8" t="str">
        <f>IFERROR(__xludf.DUMMYFUNCTION("""COMPUTED_VALUE"""),"BUDIMAS TEGUH IMAN PERMATA")</f>
        <v>BUDIMAS TEGUH IMAN PERMATA</v>
      </c>
      <c r="C2483" s="8" t="str">
        <f>IFERROR(__xludf.DUMMYFUNCTION("""COMPUTED_VALUE"""),"B9525060808")</f>
        <v>B9525060808</v>
      </c>
      <c r="D2483" s="8">
        <f>IFERROR(__xludf.DUMMYFUNCTION("""COMPUTED_VALUE"""),30.0)</f>
        <v>30</v>
      </c>
      <c r="E2483" s="2"/>
    </row>
    <row r="2484">
      <c r="A2484" s="2"/>
      <c r="B2484" s="8" t="str">
        <f>IFERROR(__xludf.DUMMYFUNCTION("""COMPUTED_VALUE"""),"SHERRY MARLITA")</f>
        <v>SHERRY MARLITA</v>
      </c>
      <c r="C2484" s="8" t="str">
        <f>IFERROR(__xludf.DUMMYFUNCTION("""COMPUTED_VALUE"""),"S8025065081")</f>
        <v>S8025065081</v>
      </c>
      <c r="D2484" s="8">
        <f>IFERROR(__xludf.DUMMYFUNCTION("""COMPUTED_VALUE"""),46.0)</f>
        <v>46</v>
      </c>
      <c r="E2484" s="2"/>
    </row>
    <row r="2485">
      <c r="A2485" s="2"/>
      <c r="B2485" s="8" t="str">
        <f>IFERROR(__xludf.DUMMYFUNCTION("""COMPUTED_VALUE"""),"CANDRA EKA JAYA")</f>
        <v>CANDRA EKA JAYA</v>
      </c>
      <c r="C2485" s="8" t="str">
        <f>IFERROR(__xludf.DUMMYFUNCTION("""COMPUTED_VALUE"""),"C8525063300")</f>
        <v>C8525063300</v>
      </c>
      <c r="D2485" s="8">
        <f>IFERROR(__xludf.DUMMYFUNCTION("""COMPUTED_VALUE"""),41.0)</f>
        <v>41</v>
      </c>
      <c r="E2485" s="2"/>
    </row>
    <row r="2486">
      <c r="A2486" s="2"/>
      <c r="B2486" s="8" t="str">
        <f>IFERROR(__xludf.DUMMYFUNCTION("""COMPUTED_VALUE"""),"JO MIAUW MUI")</f>
        <v>JO MIAUW MUI</v>
      </c>
      <c r="C2486" s="8" t="str">
        <f>IFERROR(__xludf.DUMMYFUNCTION("""COMPUTED_VALUE"""),"J5525063513")</f>
        <v>J5525063513</v>
      </c>
      <c r="D2486" s="8">
        <f>IFERROR(__xludf.DUMMYFUNCTION("""COMPUTED_VALUE"""),71.0)</f>
        <v>71</v>
      </c>
      <c r="E2486" s="2"/>
    </row>
    <row r="2487">
      <c r="A2487" s="2"/>
      <c r="B2487" s="8" t="str">
        <f>IFERROR(__xludf.DUMMYFUNCTION("""COMPUTED_VALUE"""),"NIGITA KELIN")</f>
        <v>NIGITA KELIN</v>
      </c>
      <c r="C2487" s="8" t="str">
        <f>IFERROR(__xludf.DUMMYFUNCTION("""COMPUTED_VALUE"""),"N0125061553")</f>
        <v>N0125061553</v>
      </c>
      <c r="D2487" s="8">
        <f>IFERROR(__xludf.DUMMYFUNCTION("""COMPUTED_VALUE"""),25.0)</f>
        <v>25</v>
      </c>
      <c r="E2487" s="2"/>
    </row>
    <row r="2488">
      <c r="A2488" s="2"/>
      <c r="B2488" s="8" t="str">
        <f>IFERROR(__xludf.DUMMYFUNCTION("""COMPUTED_VALUE"""),"RENSA S. AKTADIVIA, S.H., S.I.K., M.H.")</f>
        <v>RENSA S. AKTADIVIA, S.H., S.I.K., M.H.</v>
      </c>
      <c r="C2488" s="8" t="str">
        <f>IFERROR(__xludf.DUMMYFUNCTION("""COMPUTED_VALUE"""),"R8625061186")</f>
        <v>R8625061186</v>
      </c>
      <c r="D2488" s="8">
        <f>IFERROR(__xludf.DUMMYFUNCTION("""COMPUTED_VALUE"""),39.0)</f>
        <v>39</v>
      </c>
      <c r="E2488" s="2"/>
    </row>
    <row r="2489">
      <c r="A2489" s="2"/>
      <c r="B2489" s="8" t="str">
        <f>IFERROR(__xludf.DUMMYFUNCTION("""COMPUTED_VALUE"""),"ASEP SETIAWAN")</f>
        <v>ASEP SETIAWAN</v>
      </c>
      <c r="C2489" s="8" t="str">
        <f>IFERROR(__xludf.DUMMYFUNCTION("""COMPUTED_VALUE"""),"A6825060057")</f>
        <v>A6825060057</v>
      </c>
      <c r="D2489" s="8">
        <f>IFERROR(__xludf.DUMMYFUNCTION("""COMPUTED_VALUE"""),58.0)</f>
        <v>58</v>
      </c>
      <c r="E2489" s="2"/>
    </row>
    <row r="2490">
      <c r="A2490" s="2"/>
      <c r="B2490" s="8" t="str">
        <f>IFERROR(__xludf.DUMMYFUNCTION("""COMPUTED_VALUE"""),"HESTI LUKITANINGSIH")</f>
        <v>HESTI LUKITANINGSIH</v>
      </c>
      <c r="C2490" s="8" t="str">
        <f>IFERROR(__xludf.DUMMYFUNCTION("""COMPUTED_VALUE"""),"H6925067845")</f>
        <v>H6925067845</v>
      </c>
      <c r="D2490" s="8">
        <f>IFERROR(__xludf.DUMMYFUNCTION("""COMPUTED_VALUE"""),56.0)</f>
        <v>56</v>
      </c>
      <c r="E2490" s="2"/>
    </row>
    <row r="2491">
      <c r="A2491" s="2"/>
      <c r="B2491" s="8" t="str">
        <f>IFERROR(__xludf.DUMMYFUNCTION("""COMPUTED_VALUE"""),"CATUR SEKAR DEWI")</f>
        <v>CATUR SEKAR DEWI</v>
      </c>
      <c r="C2491" s="8" t="str">
        <f>IFERROR(__xludf.DUMMYFUNCTION("""COMPUTED_VALUE"""),"C6825061613")</f>
        <v>C6825061613</v>
      </c>
      <c r="D2491" s="8">
        <f>IFERROR(__xludf.DUMMYFUNCTION("""COMPUTED_VALUE"""),58.0)</f>
        <v>58</v>
      </c>
      <c r="E2491" s="2"/>
    </row>
    <row r="2492">
      <c r="A2492" s="2"/>
      <c r="B2492" s="8" t="str">
        <f>IFERROR(__xludf.DUMMYFUNCTION("""COMPUTED_VALUE"""),"SARDO MARTHIN")</f>
        <v>SARDO MARTHIN</v>
      </c>
      <c r="C2492" s="8" t="str">
        <f>IFERROR(__xludf.DUMMYFUNCTION("""COMPUTED_VALUE"""),"S8525066357")</f>
        <v>S8525066357</v>
      </c>
      <c r="D2492" s="8">
        <f>IFERROR(__xludf.DUMMYFUNCTION("""COMPUTED_VALUE"""),41.0)</f>
        <v>41</v>
      </c>
      <c r="E2492" s="2"/>
    </row>
    <row r="2493">
      <c r="A2493" s="2"/>
      <c r="B2493" s="8" t="str">
        <f>IFERROR(__xludf.DUMMYFUNCTION("""COMPUTED_VALUE"""),"GAEL BENEDICT CHRISTAN")</f>
        <v>GAEL BENEDICT CHRISTAN</v>
      </c>
      <c r="C2493" s="8" t="str">
        <f>IFERROR(__xludf.DUMMYFUNCTION("""COMPUTED_VALUE"""),"G1125064924")</f>
        <v>G1125064924</v>
      </c>
      <c r="D2493" s="8">
        <f>IFERROR(__xludf.DUMMYFUNCTION("""COMPUTED_VALUE"""),15.0)</f>
        <v>15</v>
      </c>
      <c r="E2493" s="2"/>
    </row>
    <row r="2494">
      <c r="A2494" s="2"/>
      <c r="B2494" s="8" t="str">
        <f>IFERROR(__xludf.DUMMYFUNCTION("""COMPUTED_VALUE"""),"JOKO LULONO")</f>
        <v>JOKO LULONO</v>
      </c>
      <c r="C2494" s="8" t="str">
        <f>IFERROR(__xludf.DUMMYFUNCTION("""COMPUTED_VALUE"""),"J7825069000")</f>
        <v>J7825069000</v>
      </c>
      <c r="D2494" s="8">
        <f>IFERROR(__xludf.DUMMYFUNCTION("""COMPUTED_VALUE"""),47.0)</f>
        <v>47</v>
      </c>
      <c r="E2494" s="2"/>
    </row>
    <row r="2495">
      <c r="A2495" s="2"/>
      <c r="B2495" s="8" t="str">
        <f>IFERROR(__xludf.DUMMYFUNCTION("""COMPUTED_VALUE"""),"RIA NOVITA")</f>
        <v>RIA NOVITA</v>
      </c>
      <c r="C2495" s="8" t="str">
        <f>IFERROR(__xludf.DUMMYFUNCTION("""COMPUTED_VALUE"""),"R8225060222")</f>
        <v>R8225060222</v>
      </c>
      <c r="D2495" s="8">
        <f>IFERROR(__xludf.DUMMYFUNCTION("""COMPUTED_VALUE"""),43.0)</f>
        <v>43</v>
      </c>
      <c r="E2495" s="2"/>
    </row>
    <row r="2496">
      <c r="A2496" s="2"/>
      <c r="B2496" s="8" t="str">
        <f>IFERROR(__xludf.DUMMYFUNCTION("""COMPUTED_VALUE"""),"IQLIMA AZ-ZAHRA CIERSYA")</f>
        <v>IQLIMA AZ-ZAHRA CIERSYA</v>
      </c>
      <c r="C2496" s="8" t="str">
        <f>IFERROR(__xludf.DUMMYFUNCTION("""COMPUTED_VALUE"""),"I0225061117")</f>
        <v>I0225061117</v>
      </c>
      <c r="D2496" s="8">
        <f>IFERROR(__xludf.DUMMYFUNCTION("""COMPUTED_VALUE"""),24.0)</f>
        <v>24</v>
      </c>
      <c r="E2496" s="2"/>
    </row>
    <row r="2497">
      <c r="A2497" s="2"/>
      <c r="B2497" s="8" t="str">
        <f>IFERROR(__xludf.DUMMYFUNCTION("""COMPUTED_VALUE"""),"ZAIDAN KAFI RAHMAN")</f>
        <v>ZAIDAN KAFI RAHMAN</v>
      </c>
      <c r="C2497" s="8" t="str">
        <f>IFERROR(__xludf.DUMMYFUNCTION("""COMPUTED_VALUE"""),"Z1425067917")</f>
        <v>Z1425067917</v>
      </c>
      <c r="D2497" s="8">
        <f>IFERROR(__xludf.DUMMYFUNCTION("""COMPUTED_VALUE"""),12.0)</f>
        <v>12</v>
      </c>
      <c r="E2497" s="2"/>
    </row>
    <row r="2498">
      <c r="A2498" s="2"/>
      <c r="B2498" s="8" t="str">
        <f>IFERROR(__xludf.DUMMYFUNCTION("""COMPUTED_VALUE"""),"SETYA AJI")</f>
        <v>SETYA AJI</v>
      </c>
      <c r="C2498" s="8" t="str">
        <f>IFERROR(__xludf.DUMMYFUNCTION("""COMPUTED_VALUE"""),"S7025063552")</f>
        <v>S7025063552</v>
      </c>
      <c r="D2498" s="8">
        <f>IFERROR(__xludf.DUMMYFUNCTION("""COMPUTED_VALUE"""),56.0)</f>
        <v>56</v>
      </c>
      <c r="E2498" s="2"/>
    </row>
    <row r="2499">
      <c r="A2499" s="2"/>
      <c r="B2499" s="8" t="str">
        <f>IFERROR(__xludf.DUMMYFUNCTION("""COMPUTED_VALUE"""),"MUHAMMAD HAIDAR REDHA")</f>
        <v>MUHAMMAD HAIDAR REDHA</v>
      </c>
      <c r="C2499" s="8" t="str">
        <f>IFERROR(__xludf.DUMMYFUNCTION("""COMPUTED_VALUE"""),"M9025065907")</f>
        <v>M9025065907</v>
      </c>
      <c r="D2499" s="8">
        <f>IFERROR(__xludf.DUMMYFUNCTION("""COMPUTED_VALUE"""),35.0)</f>
        <v>35</v>
      </c>
      <c r="E2499" s="2"/>
    </row>
    <row r="2500">
      <c r="A2500" s="2"/>
      <c r="B2500" s="8" t="str">
        <f>IFERROR(__xludf.DUMMYFUNCTION("""COMPUTED_VALUE"""),"DRI KARI RUSMIARTI")</f>
        <v>DRI KARI RUSMIARTI</v>
      </c>
      <c r="C2500" s="8" t="str">
        <f>IFERROR(__xludf.DUMMYFUNCTION("""COMPUTED_VALUE"""),"D6725061890")</f>
        <v>D6725061890</v>
      </c>
      <c r="D2500" s="8">
        <f>IFERROR(__xludf.DUMMYFUNCTION("""COMPUTED_VALUE"""),58.0)</f>
        <v>58</v>
      </c>
      <c r="E2500" s="2"/>
    </row>
    <row r="2501">
      <c r="A2501" s="2"/>
      <c r="B2501" s="8" t="str">
        <f>IFERROR(__xludf.DUMMYFUNCTION("""COMPUTED_VALUE"""),"IRA FANIA")</f>
        <v>IRA FANIA</v>
      </c>
      <c r="C2501" s="8" t="str">
        <f>IFERROR(__xludf.DUMMYFUNCTION("""COMPUTED_VALUE"""),"I9625062006")</f>
        <v>I9625062006</v>
      </c>
      <c r="D2501" s="8">
        <f>IFERROR(__xludf.DUMMYFUNCTION("""COMPUTED_VALUE"""),30.0)</f>
        <v>30</v>
      </c>
      <c r="E2501" s="2"/>
    </row>
    <row r="2502">
      <c r="A2502" s="2"/>
      <c r="B2502" s="8" t="str">
        <f>IFERROR(__xludf.DUMMYFUNCTION("""COMPUTED_VALUE"""),"WAHONO")</f>
        <v>WAHONO</v>
      </c>
      <c r="C2502" s="8" t="str">
        <f>IFERROR(__xludf.DUMMYFUNCTION("""COMPUTED_VALUE"""),"W5325062288")</f>
        <v>W5325062288</v>
      </c>
      <c r="D2502" s="8">
        <f>IFERROR(__xludf.DUMMYFUNCTION("""COMPUTED_VALUE"""),73.0)</f>
        <v>73</v>
      </c>
      <c r="E2502" s="2"/>
    </row>
    <row r="2503">
      <c r="A2503" s="2"/>
      <c r="B2503" s="8" t="str">
        <f>IFERROR(__xludf.DUMMYFUNCTION("""COMPUTED_VALUE"""),"BRYAN CHIA PUTRA")</f>
        <v>BRYAN CHIA PUTRA</v>
      </c>
      <c r="C2503" s="8" t="str">
        <f>IFERROR(__xludf.DUMMYFUNCTION("""COMPUTED_VALUE"""),"B0625063076")</f>
        <v>B0625063076</v>
      </c>
      <c r="D2503" s="8">
        <f>IFERROR(__xludf.DUMMYFUNCTION("""COMPUTED_VALUE"""),20.0)</f>
        <v>20</v>
      </c>
      <c r="E2503" s="2"/>
    </row>
    <row r="2504">
      <c r="A2504" s="2"/>
      <c r="B2504" s="8" t="str">
        <f>IFERROR(__xludf.DUMMYFUNCTION("""COMPUTED_VALUE"""),"M EKA PUTRA YUANDA")</f>
        <v>M EKA PUTRA YUANDA</v>
      </c>
      <c r="C2504" s="8" t="str">
        <f>IFERROR(__xludf.DUMMYFUNCTION("""COMPUTED_VALUE"""),"M8725065724")</f>
        <v>M8725065724</v>
      </c>
      <c r="D2504" s="8">
        <f>IFERROR(__xludf.DUMMYFUNCTION("""COMPUTED_VALUE"""),38.0)</f>
        <v>38</v>
      </c>
      <c r="E2504" s="2"/>
    </row>
    <row r="2505">
      <c r="A2505" s="2"/>
      <c r="B2505" s="8" t="str">
        <f>IFERROR(__xludf.DUMMYFUNCTION("""COMPUTED_VALUE"""),"FAISAL")</f>
        <v>FAISAL</v>
      </c>
      <c r="C2505" s="8" t="str">
        <f>IFERROR(__xludf.DUMMYFUNCTION("""COMPUTED_VALUE"""),"F7325066880")</f>
        <v>F7325066880</v>
      </c>
      <c r="D2505" s="8">
        <f>IFERROR(__xludf.DUMMYFUNCTION("""COMPUTED_VALUE"""),52.0)</f>
        <v>52</v>
      </c>
      <c r="E2505" s="2"/>
    </row>
    <row r="2506">
      <c r="A2506" s="2"/>
      <c r="B2506" s="8" t="str">
        <f>IFERROR(__xludf.DUMMYFUNCTION("""COMPUTED_VALUE"""),"SELVIANA EFEN")</f>
        <v>SELVIANA EFEN</v>
      </c>
      <c r="C2506" s="8" t="str">
        <f>IFERROR(__xludf.DUMMYFUNCTION("""COMPUTED_VALUE"""),"S8825065555")</f>
        <v>S8825065555</v>
      </c>
      <c r="D2506" s="8">
        <f>IFERROR(__xludf.DUMMYFUNCTION("""COMPUTED_VALUE"""),37.0)</f>
        <v>37</v>
      </c>
      <c r="E2506" s="2"/>
    </row>
    <row r="2507">
      <c r="A2507" s="2"/>
      <c r="B2507" s="8" t="str">
        <f>IFERROR(__xludf.DUMMYFUNCTION("""COMPUTED_VALUE"""),"LIDIAWATI")</f>
        <v>LIDIAWATI</v>
      </c>
      <c r="C2507" s="8" t="str">
        <f>IFERROR(__xludf.DUMMYFUNCTION("""COMPUTED_VALUE"""),"L7425060706")</f>
        <v>L7425060706</v>
      </c>
      <c r="D2507" s="8">
        <f>IFERROR(__xludf.DUMMYFUNCTION("""COMPUTED_VALUE"""),52.0)</f>
        <v>52</v>
      </c>
      <c r="E2507" s="2"/>
    </row>
    <row r="2508">
      <c r="A2508" s="2"/>
      <c r="B2508" s="8" t="str">
        <f>IFERROR(__xludf.DUMMYFUNCTION("""COMPUTED_VALUE"""),"BINA INDRI HAPSARI")</f>
        <v>BINA INDRI HAPSARI</v>
      </c>
      <c r="C2508" s="8" t="str">
        <f>IFERROR(__xludf.DUMMYFUNCTION("""COMPUTED_VALUE"""),"B9325069236")</f>
        <v>B9325069236</v>
      </c>
      <c r="D2508" s="8">
        <f>IFERROR(__xludf.DUMMYFUNCTION("""COMPUTED_VALUE"""),33.0)</f>
        <v>33</v>
      </c>
      <c r="E2508" s="2"/>
    </row>
    <row r="2509">
      <c r="A2509" s="2"/>
      <c r="B2509" s="8" t="str">
        <f>IFERROR(__xludf.DUMMYFUNCTION("""COMPUTED_VALUE"""),"PARWANA")</f>
        <v>PARWANA</v>
      </c>
      <c r="C2509" s="8" t="str">
        <f>IFERROR(__xludf.DUMMYFUNCTION("""COMPUTED_VALUE"""),"P6525069010")</f>
        <v>P6525069010</v>
      </c>
      <c r="D2509" s="8">
        <f>IFERROR(__xludf.DUMMYFUNCTION("""COMPUTED_VALUE"""),60.0)</f>
        <v>60</v>
      </c>
      <c r="E2509" s="2"/>
    </row>
    <row r="2510">
      <c r="A2510" s="2"/>
      <c r="B2510" s="8" t="str">
        <f>IFERROR(__xludf.DUMMYFUNCTION("""COMPUTED_VALUE"""),"P. OBANG")</f>
        <v>P. OBANG</v>
      </c>
      <c r="C2510" s="8" t="str">
        <f>IFERROR(__xludf.DUMMYFUNCTION("""COMPUTED_VALUE"""),"P5925063080")</f>
        <v>P5925063080</v>
      </c>
      <c r="D2510" s="8">
        <f>IFERROR(__xludf.DUMMYFUNCTION("""COMPUTED_VALUE"""),67.0)</f>
        <v>67</v>
      </c>
      <c r="E2510" s="2"/>
    </row>
    <row r="2511">
      <c r="A2511" s="2"/>
      <c r="B2511" s="8" t="str">
        <f>IFERROR(__xludf.DUMMYFUNCTION("""COMPUTED_VALUE"""),"GERWYN ANDREA")</f>
        <v>GERWYN ANDREA</v>
      </c>
      <c r="C2511" s="8" t="str">
        <f>IFERROR(__xludf.DUMMYFUNCTION("""COMPUTED_VALUE"""),"G0025062792")</f>
        <v>G0025062792</v>
      </c>
      <c r="D2511" s="8">
        <f>IFERROR(__xludf.DUMMYFUNCTION("""COMPUTED_VALUE"""),25.0)</f>
        <v>25</v>
      </c>
      <c r="E2511" s="2"/>
    </row>
    <row r="2512">
      <c r="A2512" s="2"/>
      <c r="B2512" s="8" t="str">
        <f>IFERROR(__xludf.DUMMYFUNCTION("""COMPUTED_VALUE"""),"UTIN NABILA")</f>
        <v>UTIN NABILA</v>
      </c>
      <c r="C2512" s="8" t="str">
        <f>IFERROR(__xludf.DUMMYFUNCTION("""COMPUTED_VALUE"""),"U0325060116")</f>
        <v>U0325060116</v>
      </c>
      <c r="D2512" s="8">
        <f>IFERROR(__xludf.DUMMYFUNCTION("""COMPUTED_VALUE"""),23.0)</f>
        <v>23</v>
      </c>
      <c r="E2512" s="2"/>
    </row>
    <row r="2513">
      <c r="A2513" s="2"/>
      <c r="B2513" s="8" t="str">
        <f>IFERROR(__xludf.DUMMYFUNCTION("""COMPUTED_VALUE"""),"AGUS TRIYANA")</f>
        <v>AGUS TRIYANA</v>
      </c>
      <c r="C2513" s="8" t="str">
        <f>IFERROR(__xludf.DUMMYFUNCTION("""COMPUTED_VALUE"""),"A8325069005")</f>
        <v>A8325069005</v>
      </c>
      <c r="D2513" s="8">
        <f>IFERROR(__xludf.DUMMYFUNCTION("""COMPUTED_VALUE"""),42.0)</f>
        <v>42</v>
      </c>
      <c r="E2513" s="2"/>
    </row>
    <row r="2514">
      <c r="A2514" s="2"/>
      <c r="B2514" s="8" t="str">
        <f>IFERROR(__xludf.DUMMYFUNCTION("""COMPUTED_VALUE"""),"SAWITRI HERSUSANTI")</f>
        <v>SAWITRI HERSUSANTI</v>
      </c>
      <c r="C2514" s="8" t="str">
        <f>IFERROR(__xludf.DUMMYFUNCTION("""COMPUTED_VALUE"""),"S6425068991")</f>
        <v>S6425068991</v>
      </c>
      <c r="D2514" s="8">
        <f>IFERROR(__xludf.DUMMYFUNCTION("""COMPUTED_VALUE"""),61.0)</f>
        <v>61</v>
      </c>
      <c r="E2514" s="2"/>
    </row>
    <row r="2515">
      <c r="A2515" s="2"/>
      <c r="B2515" s="8" t="str">
        <f>IFERROR(__xludf.DUMMYFUNCTION("""COMPUTED_VALUE"""),"TERRA SAMIDDHA")</f>
        <v>TERRA SAMIDDHA</v>
      </c>
      <c r="C2515" s="8" t="str">
        <f>IFERROR(__xludf.DUMMYFUNCTION("""COMPUTED_VALUE"""),"T9325067779")</f>
        <v>T9325067779</v>
      </c>
      <c r="D2515" s="8">
        <f>IFERROR(__xludf.DUMMYFUNCTION("""COMPUTED_VALUE"""),33.0)</f>
        <v>33</v>
      </c>
      <c r="E2515" s="2"/>
    </row>
    <row r="2516">
      <c r="A2516" s="2"/>
      <c r="B2516" s="8" t="str">
        <f>IFERROR(__xludf.DUMMYFUNCTION("""COMPUTED_VALUE"""),"TOBIAS")</f>
        <v>TOBIAS</v>
      </c>
      <c r="C2516" s="8" t="str">
        <f>IFERROR(__xludf.DUMMYFUNCTION("""COMPUTED_VALUE"""),"T1725066978")</f>
        <v>T1725066978</v>
      </c>
      <c r="D2516" s="8">
        <f>IFERROR(__xludf.DUMMYFUNCTION("""COMPUTED_VALUE"""),9.0)</f>
        <v>9</v>
      </c>
      <c r="E2516" s="2"/>
    </row>
    <row r="2517">
      <c r="A2517" s="2"/>
      <c r="B2517" s="8" t="str">
        <f>IFERROR(__xludf.DUMMYFUNCTION("""COMPUTED_VALUE"""),"LUQMANUL HAKIM HARIS")</f>
        <v>LUQMANUL HAKIM HARIS</v>
      </c>
      <c r="C2517" s="8" t="str">
        <f>IFERROR(__xludf.DUMMYFUNCTION("""COMPUTED_VALUE"""),"L9725069360")</f>
        <v>L9725069360</v>
      </c>
      <c r="D2517" s="8">
        <f>IFERROR(__xludf.DUMMYFUNCTION("""COMPUTED_VALUE"""),29.0)</f>
        <v>29</v>
      </c>
      <c r="E2517" s="2"/>
    </row>
    <row r="2518">
      <c r="A2518" s="2"/>
      <c r="B2518" s="8" t="str">
        <f>IFERROR(__xludf.DUMMYFUNCTION("""COMPUTED_VALUE"""),"DIDI MUSBENO SIBRANI")</f>
        <v>DIDI MUSBENO SIBRANI</v>
      </c>
      <c r="C2518" s="8" t="str">
        <f>IFERROR(__xludf.DUMMYFUNCTION("""COMPUTED_VALUE"""),"D8225069447")</f>
        <v>D8225069447</v>
      </c>
      <c r="D2518" s="8">
        <f>IFERROR(__xludf.DUMMYFUNCTION("""COMPUTED_VALUE"""),44.0)</f>
        <v>44</v>
      </c>
      <c r="E2518" s="2"/>
    </row>
    <row r="2519">
      <c r="A2519" s="2"/>
      <c r="B2519" s="8" t="str">
        <f>IFERROR(__xludf.DUMMYFUNCTION("""COMPUTED_VALUE"""),"GOUW SOK HUN")</f>
        <v>GOUW SOK HUN</v>
      </c>
      <c r="C2519" s="8" t="str">
        <f>IFERROR(__xludf.DUMMYFUNCTION("""COMPUTED_VALUE"""),"G7125068416")</f>
        <v>G7125068416</v>
      </c>
      <c r="D2519" s="8">
        <f>IFERROR(__xludf.DUMMYFUNCTION("""COMPUTED_VALUE"""),55.0)</f>
        <v>55</v>
      </c>
      <c r="E2519" s="2"/>
    </row>
    <row r="2520">
      <c r="A2520" s="2"/>
      <c r="B2520" s="8" t="str">
        <f>IFERROR(__xludf.DUMMYFUNCTION("""COMPUTED_VALUE"""),"AMINA")</f>
        <v>AMINA</v>
      </c>
      <c r="C2520" s="8" t="str">
        <f>IFERROR(__xludf.DUMMYFUNCTION("""COMPUTED_VALUE"""),"A7025060822")</f>
        <v>A7025060822</v>
      </c>
      <c r="D2520" s="8">
        <f>IFERROR(__xludf.DUMMYFUNCTION("""COMPUTED_VALUE"""),55.0)</f>
        <v>55</v>
      </c>
      <c r="E2520" s="2"/>
    </row>
    <row r="2521">
      <c r="A2521" s="2"/>
      <c r="B2521" s="8" t="str">
        <f>IFERROR(__xludf.DUMMYFUNCTION("""COMPUTED_VALUE"""),"NATALIA ATA")</f>
        <v>NATALIA ATA</v>
      </c>
      <c r="C2521" s="8" t="str">
        <f>IFERROR(__xludf.DUMMYFUNCTION("""COMPUTED_VALUE"""),"N8225068799")</f>
        <v>N8225068799</v>
      </c>
      <c r="D2521" s="8">
        <f>IFERROR(__xludf.DUMMYFUNCTION("""COMPUTED_VALUE"""),43.0)</f>
        <v>43</v>
      </c>
      <c r="E2521" s="2"/>
    </row>
    <row r="2522">
      <c r="A2522" s="2"/>
      <c r="B2522" s="8" t="str">
        <f>IFERROR(__xludf.DUMMYFUNCTION("""COMPUTED_VALUE"""),"ARMANSYAH")</f>
        <v>ARMANSYAH</v>
      </c>
      <c r="C2522" s="8" t="str">
        <f>IFERROR(__xludf.DUMMYFUNCTION("""COMPUTED_VALUE"""),"A6625060750")</f>
        <v>A6625060750</v>
      </c>
      <c r="D2522" s="8">
        <f>IFERROR(__xludf.DUMMYFUNCTION("""COMPUTED_VALUE"""),59.0)</f>
        <v>59</v>
      </c>
      <c r="E2522" s="2"/>
    </row>
    <row r="2523">
      <c r="A2523" s="2"/>
      <c r="B2523" s="8" t="str">
        <f>IFERROR(__xludf.DUMMYFUNCTION("""COMPUTED_VALUE"""),"MAULANA MUHAMMAD THARIQ")</f>
        <v>MAULANA MUHAMMAD THARIQ</v>
      </c>
      <c r="C2523" s="8" t="str">
        <f>IFERROR(__xludf.DUMMYFUNCTION("""COMPUTED_VALUE"""),"M0125062135")</f>
        <v>M0125062135</v>
      </c>
      <c r="D2523" s="8">
        <f>IFERROR(__xludf.DUMMYFUNCTION("""COMPUTED_VALUE"""),25.0)</f>
        <v>25</v>
      </c>
      <c r="E2523" s="2"/>
    </row>
    <row r="2524">
      <c r="A2524" s="2"/>
      <c r="B2524" s="8" t="str">
        <f>IFERROR(__xludf.DUMMYFUNCTION("""COMPUTED_VALUE"""),"MUCHTARUDIN")</f>
        <v>MUCHTARUDIN</v>
      </c>
      <c r="C2524" s="8" t="str">
        <f>IFERROR(__xludf.DUMMYFUNCTION("""COMPUTED_VALUE"""),"M8625063338")</f>
        <v>M8625063338</v>
      </c>
      <c r="D2524" s="8">
        <f>IFERROR(__xludf.DUMMYFUNCTION("""COMPUTED_VALUE"""),40.0)</f>
        <v>40</v>
      </c>
      <c r="E2524" s="2"/>
    </row>
    <row r="2525">
      <c r="A2525" s="2"/>
      <c r="B2525" s="8" t="str">
        <f>IFERROR(__xludf.DUMMYFUNCTION("""COMPUTED_VALUE"""),"MIYO")</f>
        <v>MIYO</v>
      </c>
      <c r="C2525" s="8" t="str">
        <f>IFERROR(__xludf.DUMMYFUNCTION("""COMPUTED_VALUE"""),"M5825061742")</f>
        <v>M5825061742</v>
      </c>
      <c r="D2525" s="8">
        <f>IFERROR(__xludf.DUMMYFUNCTION("""COMPUTED_VALUE"""),68.0)</f>
        <v>68</v>
      </c>
      <c r="E2525" s="2"/>
    </row>
    <row r="2526">
      <c r="A2526" s="2"/>
      <c r="B2526" s="8" t="str">
        <f>IFERROR(__xludf.DUMMYFUNCTION("""COMPUTED_VALUE"""),"PARNINGOTAN ALOGO")</f>
        <v>PARNINGOTAN ALOGO</v>
      </c>
      <c r="C2526" s="8" t="str">
        <f>IFERROR(__xludf.DUMMYFUNCTION("""COMPUTED_VALUE"""),"P9925068917")</f>
        <v>P9925068917</v>
      </c>
      <c r="D2526" s="8">
        <f>IFERROR(__xludf.DUMMYFUNCTION("""COMPUTED_VALUE"""),27.0)</f>
        <v>27</v>
      </c>
      <c r="E2526" s="2"/>
    </row>
    <row r="2527">
      <c r="A2527" s="2"/>
      <c r="B2527" s="8" t="str">
        <f>IFERROR(__xludf.DUMMYFUNCTION("""COMPUTED_VALUE"""),"GRACIA CALLISTA VEGA")</f>
        <v>GRACIA CALLISTA VEGA</v>
      </c>
      <c r="C2527" s="8" t="str">
        <f>IFERROR(__xludf.DUMMYFUNCTION("""COMPUTED_VALUE"""),"G0725065625")</f>
        <v>G0725065625</v>
      </c>
      <c r="D2527" s="8">
        <f>IFERROR(__xludf.DUMMYFUNCTION("""COMPUTED_VALUE"""),19.0)</f>
        <v>19</v>
      </c>
      <c r="E2527" s="2"/>
    </row>
    <row r="2528">
      <c r="A2528" s="2"/>
      <c r="B2528" s="8" t="str">
        <f>IFERROR(__xludf.DUMMYFUNCTION("""COMPUTED_VALUE"""),"HAMSATUN")</f>
        <v>HAMSATUN</v>
      </c>
      <c r="C2528" s="8" t="str">
        <f>IFERROR(__xludf.DUMMYFUNCTION("""COMPUTED_VALUE"""),"H6825069401")</f>
        <v>H6825069401</v>
      </c>
      <c r="D2528" s="8">
        <f>IFERROR(__xludf.DUMMYFUNCTION("""COMPUTED_VALUE"""),58.0)</f>
        <v>58</v>
      </c>
      <c r="E2528" s="2"/>
    </row>
    <row r="2529">
      <c r="A2529" s="2"/>
      <c r="B2529" s="8" t="str">
        <f>IFERROR(__xludf.DUMMYFUNCTION("""COMPUTED_VALUE"""),"RIRIN SURYANI")</f>
        <v>RIRIN SURYANI</v>
      </c>
      <c r="C2529" s="8" t="str">
        <f>IFERROR(__xludf.DUMMYFUNCTION("""COMPUTED_VALUE"""),"R9325064715")</f>
        <v>R9325064715</v>
      </c>
      <c r="D2529" s="8">
        <f>IFERROR(__xludf.DUMMYFUNCTION("""COMPUTED_VALUE"""),33.0)</f>
        <v>33</v>
      </c>
      <c r="E2529" s="2"/>
    </row>
    <row r="2530">
      <c r="A2530" s="2"/>
      <c r="B2530" s="8" t="str">
        <f>IFERROR(__xludf.DUMMYFUNCTION("""COMPUTED_VALUE"""),"FADLI ANUGRAH")</f>
        <v>FADLI ANUGRAH</v>
      </c>
      <c r="C2530" s="8" t="str">
        <f>IFERROR(__xludf.DUMMYFUNCTION("""COMPUTED_VALUE"""),"F9925067379")</f>
        <v>F9925067379</v>
      </c>
      <c r="D2530" s="8">
        <f>IFERROR(__xludf.DUMMYFUNCTION("""COMPUTED_VALUE"""),27.0)</f>
        <v>27</v>
      </c>
      <c r="E2530" s="2"/>
    </row>
    <row r="2531">
      <c r="A2531" s="2"/>
      <c r="B2531" s="8" t="str">
        <f>IFERROR(__xludf.DUMMYFUNCTION("""COMPUTED_VALUE"""),"SUDIYANTI HO")</f>
        <v>SUDIYANTI HO</v>
      </c>
      <c r="C2531" s="8" t="str">
        <f>IFERROR(__xludf.DUMMYFUNCTION("""COMPUTED_VALUE"""),"S5325064712")</f>
        <v>S5325064712</v>
      </c>
      <c r="D2531" s="8">
        <f>IFERROR(__xludf.DUMMYFUNCTION("""COMPUTED_VALUE"""),73.0)</f>
        <v>73</v>
      </c>
      <c r="E2531" s="2"/>
    </row>
    <row r="2532">
      <c r="A2532" s="2"/>
      <c r="B2532" s="8" t="str">
        <f>IFERROR(__xludf.DUMMYFUNCTION("""COMPUTED_VALUE"""),"SAMARIA PANGESTU")</f>
        <v>SAMARIA PANGESTU</v>
      </c>
      <c r="C2532" s="8" t="str">
        <f>IFERROR(__xludf.DUMMYFUNCTION("""COMPUTED_VALUE"""),"S1025068800")</f>
        <v>S1025068800</v>
      </c>
      <c r="D2532" s="8">
        <f>IFERROR(__xludf.DUMMYFUNCTION("""COMPUTED_VALUE"""),15.0)</f>
        <v>15</v>
      </c>
      <c r="E2532" s="2"/>
    </row>
    <row r="2533">
      <c r="A2533" s="2"/>
      <c r="B2533" s="8" t="str">
        <f>IFERROR(__xludf.DUMMYFUNCTION("""COMPUTED_VALUE"""),"HERY 8410")</f>
        <v>HERY 8410</v>
      </c>
      <c r="C2533" s="8" t="str">
        <f>IFERROR(__xludf.DUMMYFUNCTION("""COMPUTED_VALUE"""),"H8425065535")</f>
        <v>H8425065535</v>
      </c>
      <c r="D2533" s="8">
        <f>IFERROR(__xludf.DUMMYFUNCTION("""COMPUTED_VALUE"""),41.0)</f>
        <v>41</v>
      </c>
      <c r="E2533" s="2"/>
    </row>
    <row r="2534">
      <c r="A2534" s="2"/>
      <c r="B2534" s="8" t="str">
        <f>IFERROR(__xludf.DUMMYFUNCTION("""COMPUTED_VALUE"""),"DIAZ MUHAMMAD REZA")</f>
        <v>DIAZ MUHAMMAD REZA</v>
      </c>
      <c r="C2534" s="8" t="str">
        <f>IFERROR(__xludf.DUMMYFUNCTION("""COMPUTED_VALUE"""),"D8925065661")</f>
        <v>D8925065661</v>
      </c>
      <c r="D2534" s="8">
        <f>IFERROR(__xludf.DUMMYFUNCTION("""COMPUTED_VALUE"""),37.0)</f>
        <v>37</v>
      </c>
      <c r="E2534" s="2"/>
    </row>
    <row r="2535">
      <c r="A2535" s="2"/>
      <c r="B2535" s="8" t="str">
        <f>IFERROR(__xludf.DUMMYFUNCTION("""COMPUTED_VALUE"""),"SYARIFAH UMMI KALTSUM")</f>
        <v>SYARIFAH UMMI KALTSUM</v>
      </c>
      <c r="C2535" s="8" t="str">
        <f>IFERROR(__xludf.DUMMYFUNCTION("""COMPUTED_VALUE"""),"S8325065820")</f>
        <v>S8325065820</v>
      </c>
      <c r="D2535" s="8">
        <f>IFERROR(__xludf.DUMMYFUNCTION("""COMPUTED_VALUE"""),42.0)</f>
        <v>42</v>
      </c>
      <c r="E2535" s="2"/>
    </row>
    <row r="2536">
      <c r="A2536" s="2"/>
      <c r="B2536" s="8" t="str">
        <f>IFERROR(__xludf.DUMMYFUNCTION("""COMPUTED_VALUE"""),"FRANS IMMANUEL SIAHAAN")</f>
        <v>FRANS IMMANUEL SIAHAAN</v>
      </c>
      <c r="C2536" s="8" t="str">
        <f>IFERROR(__xludf.DUMMYFUNCTION("""COMPUTED_VALUE"""),"F0325067556")</f>
        <v>F0325067556</v>
      </c>
      <c r="D2536" s="8">
        <f>IFERROR(__xludf.DUMMYFUNCTION("""COMPUTED_VALUE"""),22.0)</f>
        <v>22</v>
      </c>
      <c r="E2536" s="2"/>
    </row>
    <row r="2537">
      <c r="A2537" s="2"/>
      <c r="B2537" s="8" t="str">
        <f>IFERROR(__xludf.DUMMYFUNCTION("""COMPUTED_VALUE"""),"SEPTUTI MEGA POSROITO")</f>
        <v>SEPTUTI MEGA POSROITO</v>
      </c>
      <c r="C2537" s="8" t="str">
        <f>IFERROR(__xludf.DUMMYFUNCTION("""COMPUTED_VALUE"""),"S9325063633")</f>
        <v>S9325063633</v>
      </c>
      <c r="D2537" s="8">
        <f>IFERROR(__xludf.DUMMYFUNCTION("""COMPUTED_VALUE"""),32.0)</f>
        <v>32</v>
      </c>
      <c r="E2537" s="2"/>
    </row>
    <row r="2538">
      <c r="A2538" s="2"/>
      <c r="B2538" s="8" t="str">
        <f>IFERROR(__xludf.DUMMYFUNCTION("""COMPUTED_VALUE"""),"GUNTUR SUTANTO")</f>
        <v>GUNTUR SUTANTO</v>
      </c>
      <c r="C2538" s="8" t="str">
        <f>IFERROR(__xludf.DUMMYFUNCTION("""COMPUTED_VALUE"""),"G9325067202")</f>
        <v>G9325067202</v>
      </c>
      <c r="D2538" s="8">
        <f>IFERROR(__xludf.DUMMYFUNCTION("""COMPUTED_VALUE"""),32.0)</f>
        <v>32</v>
      </c>
      <c r="E2538" s="2"/>
    </row>
    <row r="2539">
      <c r="A2539" s="2"/>
      <c r="B2539" s="8" t="str">
        <f>IFERROR(__xludf.DUMMYFUNCTION("""COMPUTED_VALUE"""),"ANTONIO JANUARDI")</f>
        <v>ANTONIO JANUARDI</v>
      </c>
      <c r="C2539" s="8" t="str">
        <f>IFERROR(__xludf.DUMMYFUNCTION("""COMPUTED_VALUE"""),"A0325069944")</f>
        <v>A0325069944</v>
      </c>
      <c r="D2539" s="8">
        <f>IFERROR(__xludf.DUMMYFUNCTION("""COMPUTED_VALUE"""),23.0)</f>
        <v>23</v>
      </c>
      <c r="E2539" s="2"/>
    </row>
    <row r="2540">
      <c r="A2540" s="2"/>
      <c r="B2540" s="8" t="str">
        <f>IFERROR(__xludf.DUMMYFUNCTION("""COMPUTED_VALUE"""),"CILVA NABILAH PUTRI DANISA")</f>
        <v>CILVA NABILAH PUTRI DANISA</v>
      </c>
      <c r="C2540" s="8" t="str">
        <f>IFERROR(__xludf.DUMMYFUNCTION("""COMPUTED_VALUE"""),"C1025067758")</f>
        <v>C1025067758</v>
      </c>
      <c r="D2540" s="8">
        <f>IFERROR(__xludf.DUMMYFUNCTION("""COMPUTED_VALUE"""),15.0)</f>
        <v>15</v>
      </c>
      <c r="E2540" s="2"/>
    </row>
    <row r="2541">
      <c r="A2541" s="2"/>
      <c r="B2541" s="8" t="str">
        <f>IFERROR(__xludf.DUMMYFUNCTION("""COMPUTED_VALUE"""),"SYARIFAH NABILA AULIA RANTI")</f>
        <v>SYARIFAH NABILA AULIA RANTI</v>
      </c>
      <c r="C2541" s="8" t="str">
        <f>IFERROR(__xludf.DUMMYFUNCTION("""COMPUTED_VALUE"""),"S9425063337")</f>
        <v>S9425063337</v>
      </c>
      <c r="D2541" s="8">
        <f>IFERROR(__xludf.DUMMYFUNCTION("""COMPUTED_VALUE"""),32.0)</f>
        <v>32</v>
      </c>
      <c r="E2541" s="2"/>
    </row>
    <row r="2542">
      <c r="A2542" s="2"/>
      <c r="B2542" s="8" t="str">
        <f>IFERROR(__xludf.DUMMYFUNCTION("""COMPUTED_VALUE"""),"GIYASMAN")</f>
        <v>GIYASMAN</v>
      </c>
      <c r="C2542" s="8" t="str">
        <f>IFERROR(__xludf.DUMMYFUNCTION("""COMPUTED_VALUE"""),"G7625060554")</f>
        <v>G7625060554</v>
      </c>
      <c r="D2542" s="8">
        <f>IFERROR(__xludf.DUMMYFUNCTION("""COMPUTED_VALUE"""),50.0)</f>
        <v>50</v>
      </c>
      <c r="E2542" s="2"/>
    </row>
    <row r="2543">
      <c r="A2543" s="2"/>
      <c r="B2543" s="8" t="str">
        <f>IFERROR(__xludf.DUMMYFUNCTION("""COMPUTED_VALUE"""),"ANGELIQUE CHANDRA")</f>
        <v>ANGELIQUE CHANDRA</v>
      </c>
      <c r="C2543" s="8" t="str">
        <f>IFERROR(__xludf.DUMMYFUNCTION("""COMPUTED_VALUE"""),"A0225069051")</f>
        <v>A0225069051</v>
      </c>
      <c r="D2543" s="8">
        <f>IFERROR(__xludf.DUMMYFUNCTION("""COMPUTED_VALUE"""),24.0)</f>
        <v>24</v>
      </c>
      <c r="E2543" s="2"/>
    </row>
    <row r="2544">
      <c r="A2544" s="2"/>
      <c r="B2544" s="8" t="str">
        <f>IFERROR(__xludf.DUMMYFUNCTION("""COMPUTED_VALUE"""),"FERRIJANTO")</f>
        <v>FERRIJANTO</v>
      </c>
      <c r="C2544" s="8" t="str">
        <f>IFERROR(__xludf.DUMMYFUNCTION("""COMPUTED_VALUE"""),"F8025064580")</f>
        <v>F8025064580</v>
      </c>
      <c r="D2544" s="8">
        <f>IFERROR(__xludf.DUMMYFUNCTION("""COMPUTED_VALUE"""),45.0)</f>
        <v>45</v>
      </c>
      <c r="E2544" s="2"/>
    </row>
    <row r="2545">
      <c r="A2545" s="2"/>
      <c r="B2545" s="8" t="str">
        <f>IFERROR(__xludf.DUMMYFUNCTION("""COMPUTED_VALUE"""),"RHINO MADE S")</f>
        <v>RHINO MADE S</v>
      </c>
      <c r="C2545" s="8" t="str">
        <f>IFERROR(__xludf.DUMMYFUNCTION("""COMPUTED_VALUE"""),"R7225067974")</f>
        <v>R7225067974</v>
      </c>
      <c r="D2545" s="8">
        <f>IFERROR(__xludf.DUMMYFUNCTION("""COMPUTED_VALUE"""),54.0)</f>
        <v>54</v>
      </c>
      <c r="E2545" s="2"/>
    </row>
    <row r="2546">
      <c r="A2546" s="2"/>
      <c r="B2546" s="8" t="str">
        <f>IFERROR(__xludf.DUMMYFUNCTION("""COMPUTED_VALUE"""),"TOMMY YANSENS")</f>
        <v>TOMMY YANSENS</v>
      </c>
      <c r="C2546" s="8" t="str">
        <f>IFERROR(__xludf.DUMMYFUNCTION("""COMPUTED_VALUE"""),"T5525065588")</f>
        <v>T5525065588</v>
      </c>
      <c r="D2546" s="8">
        <f>IFERROR(__xludf.DUMMYFUNCTION("""COMPUTED_VALUE"""),71.0)</f>
        <v>71</v>
      </c>
      <c r="E2546" s="2"/>
    </row>
    <row r="2547">
      <c r="A2547" s="2"/>
      <c r="B2547" s="8" t="str">
        <f>IFERROR(__xludf.DUMMYFUNCTION("""COMPUTED_VALUE"""),"MUHAMMAD ALDHO SYAHPUTRA")</f>
        <v>MUHAMMAD ALDHO SYAHPUTRA</v>
      </c>
      <c r="C2547" s="8" t="str">
        <f>IFERROR(__xludf.DUMMYFUNCTION("""COMPUTED_VALUE"""),"M0325062614")</f>
        <v>M0325062614</v>
      </c>
      <c r="D2547" s="8">
        <f>IFERROR(__xludf.DUMMYFUNCTION("""COMPUTED_VALUE"""),22.0)</f>
        <v>22</v>
      </c>
      <c r="E2547" s="2"/>
    </row>
    <row r="2548">
      <c r="A2548" s="2"/>
      <c r="B2548" s="8" t="str">
        <f>IFERROR(__xludf.DUMMYFUNCTION("""COMPUTED_VALUE"""),"M. TRI ARIANSYAH")</f>
        <v>M. TRI ARIANSYAH</v>
      </c>
      <c r="C2548" s="8" t="str">
        <f>IFERROR(__xludf.DUMMYFUNCTION("""COMPUTED_VALUE"""),"M9525067669")</f>
        <v>M9525067669</v>
      </c>
      <c r="D2548" s="8">
        <f>IFERROR(__xludf.DUMMYFUNCTION("""COMPUTED_VALUE"""),31.0)</f>
        <v>31</v>
      </c>
      <c r="E2548" s="2"/>
    </row>
    <row r="2549">
      <c r="A2549" s="2"/>
      <c r="B2549" s="8" t="str">
        <f>IFERROR(__xludf.DUMMYFUNCTION("""COMPUTED_VALUE"""),"MARSALINA TAMPUBOLON")</f>
        <v>MARSALINA TAMPUBOLON</v>
      </c>
      <c r="C2549" s="8" t="str">
        <f>IFERROR(__xludf.DUMMYFUNCTION("""COMPUTED_VALUE"""),"M7225061366")</f>
        <v>M7225061366</v>
      </c>
      <c r="D2549" s="8">
        <f>IFERROR(__xludf.DUMMYFUNCTION("""COMPUTED_VALUE"""),54.0)</f>
        <v>54</v>
      </c>
      <c r="E2549" s="2"/>
    </row>
    <row r="2550">
      <c r="A2550" s="2"/>
      <c r="B2550" s="8" t="str">
        <f>IFERROR(__xludf.DUMMYFUNCTION("""COMPUTED_VALUE"""),"HERI PRIYONO")</f>
        <v>HERI PRIYONO</v>
      </c>
      <c r="C2550" s="8" t="str">
        <f>IFERROR(__xludf.DUMMYFUNCTION("""COMPUTED_VALUE"""),"H8925064542")</f>
        <v>H8925064542</v>
      </c>
      <c r="D2550" s="8">
        <f>IFERROR(__xludf.DUMMYFUNCTION("""COMPUTED_VALUE"""),37.0)</f>
        <v>37</v>
      </c>
      <c r="E2550" s="2"/>
    </row>
    <row r="2551">
      <c r="A2551" s="2"/>
      <c r="B2551" s="8" t="str">
        <f>IFERROR(__xludf.DUMMYFUNCTION("""COMPUTED_VALUE"""),"AGUD GUDIYAHMAN")</f>
        <v>AGUD GUDIYAHMAN</v>
      </c>
      <c r="C2551" s="8" t="str">
        <f>IFERROR(__xludf.DUMMYFUNCTION("""COMPUTED_VALUE"""),"A8625063000")</f>
        <v>A8625063000</v>
      </c>
      <c r="D2551" s="8">
        <f>IFERROR(__xludf.DUMMYFUNCTION("""COMPUTED_VALUE"""),39.0)</f>
        <v>39</v>
      </c>
      <c r="E2551" s="2"/>
    </row>
    <row r="2552">
      <c r="A2552" s="2"/>
      <c r="B2552" s="8" t="str">
        <f>IFERROR(__xludf.DUMMYFUNCTION("""COMPUTED_VALUE"""),"IMAM MAULUDDIN")</f>
        <v>IMAM MAULUDDIN</v>
      </c>
      <c r="C2552" s="8" t="str">
        <f>IFERROR(__xludf.DUMMYFUNCTION("""COMPUTED_VALUE"""),"I0325069949")</f>
        <v>I0325069949</v>
      </c>
      <c r="D2552" s="8">
        <f>IFERROR(__xludf.DUMMYFUNCTION("""COMPUTED_VALUE"""),23.0)</f>
        <v>23</v>
      </c>
      <c r="E2552" s="2"/>
    </row>
    <row r="2553">
      <c r="A2553" s="2"/>
      <c r="B2553" s="8" t="str">
        <f>IFERROR(__xludf.DUMMYFUNCTION("""COMPUTED_VALUE"""),"RESTU BINTANG NUGROHO")</f>
        <v>RESTU BINTANG NUGROHO</v>
      </c>
      <c r="C2553" s="8" t="str">
        <f>IFERROR(__xludf.DUMMYFUNCTION("""COMPUTED_VALUE"""),"R0625062913")</f>
        <v>R0625062913</v>
      </c>
      <c r="D2553" s="8">
        <f>IFERROR(__xludf.DUMMYFUNCTION("""COMPUTED_VALUE"""),19.0)</f>
        <v>19</v>
      </c>
      <c r="E2553" s="2"/>
    </row>
    <row r="2554">
      <c r="A2554" s="2"/>
      <c r="B2554" s="8" t="str">
        <f>IFERROR(__xludf.DUMMYFUNCTION("""COMPUTED_VALUE"""),"RIRIN KURNIAWATI")</f>
        <v>RIRIN KURNIAWATI</v>
      </c>
      <c r="C2554" s="8" t="str">
        <f>IFERROR(__xludf.DUMMYFUNCTION("""COMPUTED_VALUE"""),"R0025077421")</f>
        <v>R0025077421</v>
      </c>
      <c r="D2554" s="8">
        <f>IFERROR(__xludf.DUMMYFUNCTION("""COMPUTED_VALUE"""),26.0)</f>
        <v>26</v>
      </c>
      <c r="E2554" s="2"/>
    </row>
    <row r="2555">
      <c r="A2555" s="2"/>
      <c r="B2555" s="8" t="str">
        <f>IFERROR(__xludf.DUMMYFUNCTION("""COMPUTED_VALUE"""),"DRAJAT WAHYUDI")</f>
        <v>DRAJAT WAHYUDI</v>
      </c>
      <c r="C2555" s="8" t="str">
        <f>IFERROR(__xludf.DUMMYFUNCTION("""COMPUTED_VALUE"""),"D8825073113")</f>
        <v>D8825073113</v>
      </c>
      <c r="D2555" s="8">
        <f>IFERROR(__xludf.DUMMYFUNCTION("""COMPUTED_VALUE"""),38.0)</f>
        <v>38</v>
      </c>
      <c r="E2555" s="2"/>
    </row>
    <row r="2556">
      <c r="A2556" s="2"/>
      <c r="B2556" s="8" t="str">
        <f>IFERROR(__xludf.DUMMYFUNCTION("""COMPUTED_VALUE"""),"SHELLA PRASETIA")</f>
        <v>SHELLA PRASETIA</v>
      </c>
      <c r="C2556" s="8" t="str">
        <f>IFERROR(__xludf.DUMMYFUNCTION("""COMPUTED_VALUE"""),"S9425072111")</f>
        <v>S9425072111</v>
      </c>
      <c r="D2556" s="8">
        <f>IFERROR(__xludf.DUMMYFUNCTION("""COMPUTED_VALUE"""),32.0)</f>
        <v>32</v>
      </c>
      <c r="E2556" s="2"/>
    </row>
    <row r="2557">
      <c r="A2557" s="2"/>
      <c r="B2557" s="8" t="str">
        <f>IFERROR(__xludf.DUMMYFUNCTION("""COMPUTED_VALUE"""),"HENNY HO")</f>
        <v>HENNY HO</v>
      </c>
      <c r="C2557" s="8" t="str">
        <f>IFERROR(__xludf.DUMMYFUNCTION("""COMPUTED_VALUE"""),"H8325075759")</f>
        <v>H8325075759</v>
      </c>
      <c r="D2557" s="8">
        <f>IFERROR(__xludf.DUMMYFUNCTION("""COMPUTED_VALUE"""),43.0)</f>
        <v>43</v>
      </c>
      <c r="E2557" s="2"/>
    </row>
    <row r="2558">
      <c r="A2558" s="2"/>
      <c r="B2558" s="8" t="str">
        <f>IFERROR(__xludf.DUMMYFUNCTION("""COMPUTED_VALUE"""),"OLIVIA NOVELIANTI")</f>
        <v>OLIVIA NOVELIANTI</v>
      </c>
      <c r="C2558" s="8" t="str">
        <f>IFERROR(__xludf.DUMMYFUNCTION("""COMPUTED_VALUE"""),"O0925070649")</f>
        <v>O0925070649</v>
      </c>
      <c r="D2558" s="8">
        <f>IFERROR(__xludf.DUMMYFUNCTION("""COMPUTED_VALUE"""),16.0)</f>
        <v>16</v>
      </c>
      <c r="E2558" s="2"/>
    </row>
    <row r="2559">
      <c r="A2559" s="2"/>
      <c r="B2559" s="8" t="str">
        <f>IFERROR(__xludf.DUMMYFUNCTION("""COMPUTED_VALUE"""),"DAVID ACHMAD AFANDY")</f>
        <v>DAVID ACHMAD AFANDY</v>
      </c>
      <c r="C2559" s="8" t="str">
        <f>IFERROR(__xludf.DUMMYFUNCTION("""COMPUTED_VALUE"""),"D8825075568")</f>
        <v>D8825075568</v>
      </c>
      <c r="D2559" s="8">
        <f>IFERROR(__xludf.DUMMYFUNCTION("""COMPUTED_VALUE"""),38.0)</f>
        <v>38</v>
      </c>
      <c r="E2559" s="2"/>
    </row>
    <row r="2560">
      <c r="A2560" s="2"/>
      <c r="B2560" s="8" t="str">
        <f>IFERROR(__xludf.DUMMYFUNCTION("""COMPUTED_VALUE"""),"NURZAINI")</f>
        <v>NURZAINI</v>
      </c>
      <c r="C2560" s="8" t="str">
        <f>IFERROR(__xludf.DUMMYFUNCTION("""COMPUTED_VALUE"""),"N5125073362")</f>
        <v>N5125073362</v>
      </c>
      <c r="D2560" s="8">
        <f>IFERROR(__xludf.DUMMYFUNCTION("""COMPUTED_VALUE"""),74.0)</f>
        <v>74</v>
      </c>
      <c r="E2560" s="2"/>
    </row>
    <row r="2561">
      <c r="A2561" s="2"/>
      <c r="B2561" s="8" t="str">
        <f>IFERROR(__xludf.DUMMYFUNCTION("""COMPUTED_VALUE"""),"MARTAGUS")</f>
        <v>MARTAGUS</v>
      </c>
      <c r="C2561" s="8" t="str">
        <f>IFERROR(__xludf.DUMMYFUNCTION("""COMPUTED_VALUE"""),"M6725078307")</f>
        <v>M6725078307</v>
      </c>
      <c r="D2561" s="8">
        <f>IFERROR(__xludf.DUMMYFUNCTION("""COMPUTED_VALUE"""),58.0)</f>
        <v>58</v>
      </c>
      <c r="E2561" s="2"/>
    </row>
    <row r="2562">
      <c r="A2562" s="2"/>
      <c r="B2562" s="8" t="str">
        <f>IFERROR(__xludf.DUMMYFUNCTION("""COMPUTED_VALUE"""),"FADHILAH NUR ISLAMI MELINIA PUTRI")</f>
        <v>FADHILAH NUR ISLAMI MELINIA PUTRI</v>
      </c>
      <c r="C2562" s="8" t="str">
        <f>IFERROR(__xludf.DUMMYFUNCTION("""COMPUTED_VALUE"""),"F0025072040")</f>
        <v>F0025072040</v>
      </c>
      <c r="D2562" s="8">
        <f>IFERROR(__xludf.DUMMYFUNCTION("""COMPUTED_VALUE"""),26.0)</f>
        <v>26</v>
      </c>
      <c r="E2562" s="2"/>
    </row>
    <row r="2563">
      <c r="A2563" s="2"/>
      <c r="B2563" s="8" t="str">
        <f>IFERROR(__xludf.DUMMYFUNCTION("""COMPUTED_VALUE"""),"AZRIL FADILLAH")</f>
        <v>AZRIL FADILLAH</v>
      </c>
      <c r="C2563" s="8" t="str">
        <f>IFERROR(__xludf.DUMMYFUNCTION("""COMPUTED_VALUE"""),"A0225075588")</f>
        <v>A0225075588</v>
      </c>
      <c r="D2563" s="8">
        <f>IFERROR(__xludf.DUMMYFUNCTION("""COMPUTED_VALUE"""),24.0)</f>
        <v>24</v>
      </c>
      <c r="E2563" s="2"/>
    </row>
    <row r="2564">
      <c r="A2564" s="2"/>
      <c r="B2564" s="8" t="str">
        <f>IFERROR(__xludf.DUMMYFUNCTION("""COMPUTED_VALUE"""),"ELLISA RASIMIN")</f>
        <v>ELLISA RASIMIN</v>
      </c>
      <c r="C2564" s="8" t="str">
        <f>IFERROR(__xludf.DUMMYFUNCTION("""COMPUTED_VALUE"""),"E9325071431")</f>
        <v>E9325071431</v>
      </c>
      <c r="D2564" s="8">
        <f>IFERROR(__xludf.DUMMYFUNCTION("""COMPUTED_VALUE"""),33.0)</f>
        <v>33</v>
      </c>
      <c r="E2564" s="2"/>
    </row>
    <row r="2565">
      <c r="A2565" s="2"/>
      <c r="B2565" s="8" t="str">
        <f>IFERROR(__xludf.DUMMYFUNCTION("""COMPUTED_VALUE"""),"RENOET ARI DIKA")</f>
        <v>RENOET ARI DIKA</v>
      </c>
      <c r="C2565" s="8" t="str">
        <f>IFERROR(__xludf.DUMMYFUNCTION("""COMPUTED_VALUE"""),"R9725077594")</f>
        <v>R9725077594</v>
      </c>
      <c r="D2565" s="8">
        <f>IFERROR(__xludf.DUMMYFUNCTION("""COMPUTED_VALUE"""),29.0)</f>
        <v>29</v>
      </c>
      <c r="E2565" s="2"/>
    </row>
    <row r="2566">
      <c r="A2566" s="2"/>
      <c r="B2566" s="8" t="str">
        <f>IFERROR(__xludf.DUMMYFUNCTION("""COMPUTED_VALUE"""),"P. NENGSIH")</f>
        <v>P. NENGSIH</v>
      </c>
      <c r="C2566" s="8" t="str">
        <f>IFERROR(__xludf.DUMMYFUNCTION("""COMPUTED_VALUE"""),"P2525072448")</f>
        <v>P2525072448</v>
      </c>
      <c r="D2566" s="8">
        <f>IFERROR(__xludf.DUMMYFUNCTION("""COMPUTED_VALUE"""),1.0)</f>
        <v>1</v>
      </c>
      <c r="E2566" s="2"/>
    </row>
    <row r="2567">
      <c r="A2567" s="2"/>
      <c r="B2567" s="8" t="str">
        <f>IFERROR(__xludf.DUMMYFUNCTION("""COMPUTED_VALUE"""),"ERITA GUNAWAN")</f>
        <v>ERITA GUNAWAN</v>
      </c>
      <c r="C2567" s="8" t="str">
        <f>IFERROR(__xludf.DUMMYFUNCTION("""COMPUTED_VALUE"""),"E8025071596")</f>
        <v>E8025071596</v>
      </c>
      <c r="D2567" s="8">
        <f>IFERROR(__xludf.DUMMYFUNCTION("""COMPUTED_VALUE"""),46.0)</f>
        <v>46</v>
      </c>
      <c r="E2567" s="2"/>
    </row>
    <row r="2568">
      <c r="A2568" s="2"/>
      <c r="B2568" s="8" t="str">
        <f>IFERROR(__xludf.DUMMYFUNCTION("""COMPUTED_VALUE"""),"MICHAEL GIUSTI")</f>
        <v>MICHAEL GIUSTI</v>
      </c>
      <c r="C2568" s="8" t="str">
        <f>IFERROR(__xludf.DUMMYFUNCTION("""COMPUTED_VALUE"""),"M9525071318")</f>
        <v>M9525071318</v>
      </c>
      <c r="D2568" s="8">
        <f>IFERROR(__xludf.DUMMYFUNCTION("""COMPUTED_VALUE"""),31.0)</f>
        <v>31</v>
      </c>
      <c r="E2568" s="2"/>
    </row>
    <row r="2569">
      <c r="A2569" s="2"/>
      <c r="B2569" s="8" t="str">
        <f>IFERROR(__xludf.DUMMYFUNCTION("""COMPUTED_VALUE"""),"SOFIA MARLINA")</f>
        <v>SOFIA MARLINA</v>
      </c>
      <c r="C2569" s="8" t="str">
        <f>IFERROR(__xludf.DUMMYFUNCTION("""COMPUTED_VALUE"""),"S9525071318")</f>
        <v>S9525071318</v>
      </c>
      <c r="D2569" s="8">
        <f>IFERROR(__xludf.DUMMYFUNCTION("""COMPUTED_VALUE"""),31.0)</f>
        <v>31</v>
      </c>
      <c r="E2569" s="2"/>
    </row>
    <row r="2570">
      <c r="A2570" s="2"/>
      <c r="B2570" s="8" t="str">
        <f>IFERROR(__xludf.DUMMYFUNCTION("""COMPUTED_VALUE"""),"LIENA TJANDRA")</f>
        <v>LIENA TJANDRA</v>
      </c>
      <c r="C2570" s="8" t="str">
        <f>IFERROR(__xludf.DUMMYFUNCTION("""COMPUTED_VALUE"""),"L7225071788")</f>
        <v>L7225071788</v>
      </c>
      <c r="D2570" s="8">
        <f>IFERROR(__xludf.DUMMYFUNCTION("""COMPUTED_VALUE"""),53.0)</f>
        <v>53</v>
      </c>
      <c r="E2570" s="2"/>
    </row>
    <row r="2571">
      <c r="A2571" s="2"/>
      <c r="B2571" s="8" t="str">
        <f>IFERROR(__xludf.DUMMYFUNCTION("""COMPUTED_VALUE"""),"VIVIANTY")</f>
        <v>VIVIANTY</v>
      </c>
      <c r="C2571" s="8" t="str">
        <f>IFERROR(__xludf.DUMMYFUNCTION("""COMPUTED_VALUE"""),"V9225074870")</f>
        <v>V9225074870</v>
      </c>
      <c r="D2571" s="8">
        <f>IFERROR(__xludf.DUMMYFUNCTION("""COMPUTED_VALUE"""),33.0)</f>
        <v>33</v>
      </c>
      <c r="E2571" s="2"/>
    </row>
    <row r="2572">
      <c r="A2572" s="2"/>
      <c r="B2572" s="8" t="str">
        <f>IFERROR(__xludf.DUMMYFUNCTION("""COMPUTED_VALUE"""),"SUMITO WICAKSONO SIM")</f>
        <v>SUMITO WICAKSONO SIM</v>
      </c>
      <c r="C2572" s="8" t="str">
        <f>IFERROR(__xludf.DUMMYFUNCTION("""COMPUTED_VALUE"""),"S8825078486")</f>
        <v>S8825078486</v>
      </c>
      <c r="D2572" s="8">
        <f>IFERROR(__xludf.DUMMYFUNCTION("""COMPUTED_VALUE"""),38.0)</f>
        <v>38</v>
      </c>
      <c r="E2572" s="2"/>
    </row>
    <row r="2573">
      <c r="A2573" s="2"/>
      <c r="B2573" s="8" t="str">
        <f>IFERROR(__xludf.DUMMYFUNCTION("""COMPUTED_VALUE"""),"SALIMUN")</f>
        <v>SALIMUN</v>
      </c>
      <c r="C2573" s="8" t="str">
        <f>IFERROR(__xludf.DUMMYFUNCTION("""COMPUTED_VALUE"""),"S5725071186")</f>
        <v>S5725071186</v>
      </c>
      <c r="D2573" s="8">
        <f>IFERROR(__xludf.DUMMYFUNCTION("""COMPUTED_VALUE"""),69.0)</f>
        <v>69</v>
      </c>
      <c r="E2573" s="2"/>
    </row>
    <row r="2574">
      <c r="A2574" s="2"/>
      <c r="B2574" s="8" t="str">
        <f>IFERROR(__xludf.DUMMYFUNCTION("""COMPUTED_VALUE"""),"FILIPUS")</f>
        <v>FILIPUS</v>
      </c>
      <c r="C2574" s="8" t="str">
        <f>IFERROR(__xludf.DUMMYFUNCTION("""COMPUTED_VALUE"""),"F9125072332")</f>
        <v>F9125072332</v>
      </c>
      <c r="D2574" s="8">
        <f>IFERROR(__xludf.DUMMYFUNCTION("""COMPUTED_VALUE"""),35.0)</f>
        <v>35</v>
      </c>
      <c r="E2574" s="2"/>
    </row>
    <row r="2575">
      <c r="A2575" s="2"/>
      <c r="B2575" s="8" t="str">
        <f>IFERROR(__xludf.DUMMYFUNCTION("""COMPUTED_VALUE"""),"MUHAMMAD ZAMZAM QOMARUZZAMAN")</f>
        <v>MUHAMMAD ZAMZAM QOMARUZZAMAN</v>
      </c>
      <c r="C2575" s="8" t="str">
        <f>IFERROR(__xludf.DUMMYFUNCTION("""COMPUTED_VALUE"""),"M8925070454")</f>
        <v>M8925070454</v>
      </c>
      <c r="D2575" s="8">
        <f>IFERROR(__xludf.DUMMYFUNCTION("""COMPUTED_VALUE"""),37.0)</f>
        <v>37</v>
      </c>
      <c r="E2575" s="2"/>
    </row>
    <row r="2576">
      <c r="A2576" s="2"/>
      <c r="B2576" s="8" t="str">
        <f>IFERROR(__xludf.DUMMYFUNCTION("""COMPUTED_VALUE"""),"MOCHAMAD CHAFID")</f>
        <v>MOCHAMAD CHAFID</v>
      </c>
      <c r="C2576" s="8" t="str">
        <f>IFERROR(__xludf.DUMMYFUNCTION("""COMPUTED_VALUE"""),"M8525073410")</f>
        <v>M8525073410</v>
      </c>
      <c r="D2576" s="8">
        <f>IFERROR(__xludf.DUMMYFUNCTION("""COMPUTED_VALUE"""),41.0)</f>
        <v>41</v>
      </c>
      <c r="E2576" s="2"/>
    </row>
    <row r="2577">
      <c r="A2577" s="2"/>
      <c r="B2577" s="8" t="str">
        <f>IFERROR(__xludf.DUMMYFUNCTION("""COMPUTED_VALUE"""),"TOGARDO AMANTA")</f>
        <v>TOGARDO AMANTA</v>
      </c>
      <c r="C2577" s="8" t="str">
        <f>IFERROR(__xludf.DUMMYFUNCTION("""COMPUTED_VALUE"""),"T9725072362")</f>
        <v>T9725072362</v>
      </c>
      <c r="D2577" s="8">
        <f>IFERROR(__xludf.DUMMYFUNCTION("""COMPUTED_VALUE"""),28.0)</f>
        <v>28</v>
      </c>
      <c r="E2577" s="2"/>
    </row>
    <row r="2578">
      <c r="A2578" s="2"/>
      <c r="B2578" s="8" t="str">
        <f>IFERROR(__xludf.DUMMYFUNCTION("""COMPUTED_VALUE"""),"ERMA LESTARI")</f>
        <v>ERMA LESTARI</v>
      </c>
      <c r="C2578" s="8" t="str">
        <f>IFERROR(__xludf.DUMMYFUNCTION("""COMPUTED_VALUE"""),"E7125078890")</f>
        <v>E7125078890</v>
      </c>
      <c r="D2578" s="8">
        <f>IFERROR(__xludf.DUMMYFUNCTION("""COMPUTED_VALUE"""),54.0)</f>
        <v>54</v>
      </c>
      <c r="E2578" s="2"/>
    </row>
    <row r="2579">
      <c r="A2579" s="2"/>
      <c r="B2579" s="8" t="str">
        <f>IFERROR(__xludf.DUMMYFUNCTION("""COMPUTED_VALUE"""),"MICHAEL EVANDER")</f>
        <v>MICHAEL EVANDER</v>
      </c>
      <c r="C2579" s="8" t="str">
        <f>IFERROR(__xludf.DUMMYFUNCTION("""COMPUTED_VALUE"""),"M1225072448")</f>
        <v>M1225072448</v>
      </c>
      <c r="D2579" s="8">
        <f>IFERROR(__xludf.DUMMYFUNCTION("""COMPUTED_VALUE"""),14.0)</f>
        <v>14</v>
      </c>
      <c r="E2579" s="2"/>
    </row>
    <row r="2580">
      <c r="A2580" s="2"/>
      <c r="B2580" s="8" t="str">
        <f>IFERROR(__xludf.DUMMYFUNCTION("""COMPUTED_VALUE"""),"DANIEL CANDRA WIJAYA")</f>
        <v>DANIEL CANDRA WIJAYA</v>
      </c>
      <c r="C2580" s="8" t="str">
        <f>IFERROR(__xludf.DUMMYFUNCTION("""COMPUTED_VALUE"""),"D0625074544")</f>
        <v>D0625074544</v>
      </c>
      <c r="D2580" s="8">
        <f>IFERROR(__xludf.DUMMYFUNCTION("""COMPUTED_VALUE"""),20.0)</f>
        <v>20</v>
      </c>
      <c r="E2580" s="2"/>
    </row>
    <row r="2581">
      <c r="A2581" s="2"/>
      <c r="B2581" s="8" t="str">
        <f>IFERROR(__xludf.DUMMYFUNCTION("""COMPUTED_VALUE"""),"LISA PUJI UTAMI")</f>
        <v>LISA PUJI UTAMI</v>
      </c>
      <c r="C2581" s="8" t="str">
        <f>IFERROR(__xludf.DUMMYFUNCTION("""COMPUTED_VALUE"""),"L9425074540")</f>
        <v>L9425074540</v>
      </c>
      <c r="D2581" s="8">
        <f>IFERROR(__xludf.DUMMYFUNCTION("""COMPUTED_VALUE"""),31.0)</f>
        <v>31</v>
      </c>
      <c r="E2581" s="2"/>
    </row>
    <row r="2582">
      <c r="A2582" s="2"/>
      <c r="B2582" s="8" t="str">
        <f>IFERROR(__xludf.DUMMYFUNCTION("""COMPUTED_VALUE"""),"RUDI ABDI")</f>
        <v>RUDI ABDI</v>
      </c>
      <c r="C2582" s="8" t="str">
        <f>IFERROR(__xludf.DUMMYFUNCTION("""COMPUTED_VALUE"""),"R7925075957")</f>
        <v>R7925075957</v>
      </c>
      <c r="D2582" s="8">
        <f>IFERROR(__xludf.DUMMYFUNCTION("""COMPUTED_VALUE"""),47.0)</f>
        <v>47</v>
      </c>
      <c r="E2582" s="2"/>
    </row>
    <row r="2583">
      <c r="A2583" s="2"/>
      <c r="B2583" s="8" t="str">
        <f>IFERROR(__xludf.DUMMYFUNCTION("""COMPUTED_VALUE"""),"CAROLINA")</f>
        <v>CAROLINA</v>
      </c>
      <c r="C2583" s="8" t="str">
        <f>IFERROR(__xludf.DUMMYFUNCTION("""COMPUTED_VALUE"""),"C8825079359")</f>
        <v>C8825079359</v>
      </c>
      <c r="D2583" s="8">
        <f>IFERROR(__xludf.DUMMYFUNCTION("""COMPUTED_VALUE"""),38.0)</f>
        <v>38</v>
      </c>
      <c r="E2583" s="2"/>
    </row>
    <row r="2584">
      <c r="A2584" s="2"/>
      <c r="B2584" s="8" t="str">
        <f>IFERROR(__xludf.DUMMYFUNCTION("""COMPUTED_VALUE"""),"STEFANI")</f>
        <v>STEFANI</v>
      </c>
      <c r="C2584" s="8" t="str">
        <f>IFERROR(__xludf.DUMMYFUNCTION("""COMPUTED_VALUE"""),"S9425079998")</f>
        <v>S9425079998</v>
      </c>
      <c r="D2584" s="8">
        <f>IFERROR(__xludf.DUMMYFUNCTION("""COMPUTED_VALUE"""),31.0)</f>
        <v>31</v>
      </c>
      <c r="E2584" s="2"/>
    </row>
    <row r="2585">
      <c r="A2585" s="2"/>
      <c r="B2585" s="8" t="str">
        <f>IFERROR(__xludf.DUMMYFUNCTION("""COMPUTED_VALUE"""),"SUKARDI. SH MM")</f>
        <v>SUKARDI. SH MM</v>
      </c>
      <c r="C2585" s="8" t="str">
        <f>IFERROR(__xludf.DUMMYFUNCTION("""COMPUTED_VALUE"""),"S732507")</f>
        <v>S732507</v>
      </c>
      <c r="D2585" s="8">
        <f>IFERROR(__xludf.DUMMYFUNCTION("""COMPUTED_VALUE"""),52.0)</f>
        <v>52</v>
      </c>
      <c r="E2585" s="2"/>
    </row>
    <row r="2586">
      <c r="A2586" s="2"/>
      <c r="B2586" s="8" t="str">
        <f>IFERROR(__xludf.DUMMYFUNCTION("""COMPUTED_VALUE"""),"OLYVIA NUR AFIANI")</f>
        <v>OLYVIA NUR AFIANI</v>
      </c>
      <c r="C2586" s="8" t="str">
        <f>IFERROR(__xludf.DUMMYFUNCTION("""COMPUTED_VALUE"""),"O9625078188")</f>
        <v>O9625078188</v>
      </c>
      <c r="D2586" s="8">
        <f>IFERROR(__xludf.DUMMYFUNCTION("""COMPUTED_VALUE"""),30.0)</f>
        <v>30</v>
      </c>
      <c r="E2586" s="2"/>
    </row>
    <row r="2587">
      <c r="A2587" s="2"/>
      <c r="B2587" s="8" t="str">
        <f>IFERROR(__xludf.DUMMYFUNCTION("""COMPUTED_VALUE"""),"SHEREN WIYONA")</f>
        <v>SHEREN WIYONA</v>
      </c>
      <c r="C2587" s="8" t="str">
        <f>IFERROR(__xludf.DUMMYFUNCTION("""COMPUTED_VALUE"""),"S0225076469")</f>
        <v>S0225076469</v>
      </c>
      <c r="D2587" s="8">
        <f>IFERROR(__xludf.DUMMYFUNCTION("""COMPUTED_VALUE"""),23.0)</f>
        <v>23</v>
      </c>
      <c r="E2587" s="2"/>
    </row>
    <row r="2588">
      <c r="A2588" s="2"/>
      <c r="B2588" s="8" t="str">
        <f>IFERROR(__xludf.DUMMYFUNCTION("""COMPUTED_VALUE"""),"OKTAVIANUS LIO")</f>
        <v>OKTAVIANUS LIO</v>
      </c>
      <c r="C2588" s="8" t="str">
        <f>IFERROR(__xludf.DUMMYFUNCTION("""COMPUTED_VALUE"""),"O9525075555")</f>
        <v>O9525075555</v>
      </c>
      <c r="D2588" s="8">
        <f>IFERROR(__xludf.DUMMYFUNCTION("""COMPUTED_VALUE"""),30.0)</f>
        <v>30</v>
      </c>
      <c r="E2588" s="2"/>
    </row>
    <row r="2589">
      <c r="A2589" s="2"/>
      <c r="B2589" s="8" t="str">
        <f>IFERROR(__xludf.DUMMYFUNCTION("""COMPUTED_VALUE"""),"MERRY")</f>
        <v>MERRY</v>
      </c>
      <c r="C2589" s="8" t="str">
        <f>IFERROR(__xludf.DUMMYFUNCTION("""COMPUTED_VALUE"""),"M7625071479")</f>
        <v>M7625071479</v>
      </c>
      <c r="D2589" s="8">
        <f>IFERROR(__xludf.DUMMYFUNCTION("""COMPUTED_VALUE"""),50.0)</f>
        <v>50</v>
      </c>
      <c r="E2589" s="2"/>
    </row>
    <row r="2590">
      <c r="A2590" s="2"/>
      <c r="B2590" s="8" t="str">
        <f>IFERROR(__xludf.DUMMYFUNCTION("""COMPUTED_VALUE"""),"ISYAK BOY LASIMAY MAIFA")</f>
        <v>ISYAK BOY LASIMAY MAIFA</v>
      </c>
      <c r="C2590" s="8" t="str">
        <f>IFERROR(__xludf.DUMMYFUNCTION("""COMPUTED_VALUE"""),"I8825076284")</f>
        <v>I8825076284</v>
      </c>
      <c r="D2590" s="8">
        <f>IFERROR(__xludf.DUMMYFUNCTION("""COMPUTED_VALUE"""),38.0)</f>
        <v>38</v>
      </c>
      <c r="E2590" s="2"/>
    </row>
    <row r="2591">
      <c r="A2591" s="2"/>
      <c r="B2591" s="8" t="str">
        <f>IFERROR(__xludf.DUMMYFUNCTION("""COMPUTED_VALUE"""),"AFIF REFFYANDI")</f>
        <v>AFIF REFFYANDI</v>
      </c>
      <c r="C2591" s="8" t="str">
        <f>IFERROR(__xludf.DUMMYFUNCTION("""COMPUTED_VALUE"""),"A8725072306")</f>
        <v>A8725072306</v>
      </c>
      <c r="D2591" s="8">
        <f>IFERROR(__xludf.DUMMYFUNCTION("""COMPUTED_VALUE"""),39.0)</f>
        <v>39</v>
      </c>
      <c r="E2591" s="2"/>
    </row>
    <row r="2592">
      <c r="A2592" s="2"/>
      <c r="B2592" s="8" t="str">
        <f>IFERROR(__xludf.DUMMYFUNCTION("""COMPUTED_VALUE"""),"MUHAMMAD FITHRAH AQBILLAH")</f>
        <v>MUHAMMAD FITHRAH AQBILLAH</v>
      </c>
      <c r="C2592" s="8" t="str">
        <f>IFERROR(__xludf.DUMMYFUNCTION("""COMPUTED_VALUE"""),"M9825072499")</f>
        <v>M9825072499</v>
      </c>
      <c r="D2592" s="8">
        <f>IFERROR(__xludf.DUMMYFUNCTION("""COMPUTED_VALUE"""),28.0)</f>
        <v>28</v>
      </c>
      <c r="E2592" s="2"/>
    </row>
    <row r="2593">
      <c r="A2593" s="2"/>
      <c r="B2593" s="8" t="str">
        <f>IFERROR(__xludf.DUMMYFUNCTION("""COMPUTED_VALUE"""),"HENDRI 9205")</f>
        <v>HENDRI 9205</v>
      </c>
      <c r="C2593" s="8" t="str">
        <f>IFERROR(__xludf.DUMMYFUNCTION("""COMPUTED_VALUE"""),"H9225079902")</f>
        <v>H9225079902</v>
      </c>
      <c r="D2593" s="8">
        <f>IFERROR(__xludf.DUMMYFUNCTION("""COMPUTED_VALUE"""),34.0)</f>
        <v>34</v>
      </c>
      <c r="E2593" s="2"/>
    </row>
    <row r="2594">
      <c r="A2594" s="2"/>
      <c r="B2594" s="8" t="str">
        <f>IFERROR(__xludf.DUMMYFUNCTION("""COMPUTED_VALUE"""),"MELLYANI")</f>
        <v>MELLYANI</v>
      </c>
      <c r="C2594" s="8" t="str">
        <f>IFERROR(__xludf.DUMMYFUNCTION("""COMPUTED_VALUE"""),"M0125072047")</f>
        <v>M0125072047</v>
      </c>
      <c r="D2594" s="8">
        <f>IFERROR(__xludf.DUMMYFUNCTION("""COMPUTED_VALUE"""),24.0)</f>
        <v>24</v>
      </c>
      <c r="E2594" s="2"/>
    </row>
    <row r="2595">
      <c r="A2595" s="2"/>
      <c r="B2595" s="8" t="str">
        <f>IFERROR(__xludf.DUMMYFUNCTION("""COMPUTED_VALUE"""),"JAYANTA")</f>
        <v>JAYANTA</v>
      </c>
      <c r="C2595" s="8" t="str">
        <f>IFERROR(__xludf.DUMMYFUNCTION("""COMPUTED_VALUE"""),"J7825070033")</f>
        <v>J7825070033</v>
      </c>
      <c r="D2595" s="8">
        <f>IFERROR(__xludf.DUMMYFUNCTION("""COMPUTED_VALUE"""),48.0)</f>
        <v>48</v>
      </c>
      <c r="E2595" s="2"/>
    </row>
    <row r="2596">
      <c r="A2596" s="2"/>
      <c r="B2596" s="8" t="str">
        <f>IFERROR(__xludf.DUMMYFUNCTION("""COMPUTED_VALUE"""),"TANIA 0202")</f>
        <v>TANIA 0202</v>
      </c>
      <c r="C2596" s="8" t="str">
        <f>IFERROR(__xludf.DUMMYFUNCTION("""COMPUTED_VALUE"""),"T0225078504")</f>
        <v>T0225078504</v>
      </c>
      <c r="D2596" s="8">
        <f>IFERROR(__xludf.DUMMYFUNCTION("""COMPUTED_VALUE"""),24.0)</f>
        <v>24</v>
      </c>
      <c r="E2596" s="2"/>
    </row>
    <row r="2597">
      <c r="A2597" s="2"/>
      <c r="B2597" s="8" t="str">
        <f>IFERROR(__xludf.DUMMYFUNCTION("""COMPUTED_VALUE"""),"BUDI SANTOSO")</f>
        <v>BUDI SANTOSO</v>
      </c>
      <c r="C2597" s="8" t="str">
        <f>IFERROR(__xludf.DUMMYFUNCTION("""COMPUTED_VALUE"""),"B9025074942")</f>
        <v>B9025074942</v>
      </c>
      <c r="D2597" s="8">
        <f>IFERROR(__xludf.DUMMYFUNCTION("""COMPUTED_VALUE"""),35.0)</f>
        <v>35</v>
      </c>
      <c r="E2597" s="2"/>
    </row>
    <row r="2598">
      <c r="A2598" s="2"/>
      <c r="B2598" s="8" t="str">
        <f>IFERROR(__xludf.DUMMYFUNCTION("""COMPUTED_VALUE"""),"SURYATI UMAYAH")</f>
        <v>SURYATI UMAYAH</v>
      </c>
      <c r="C2598" s="8" t="str">
        <f>IFERROR(__xludf.DUMMYFUNCTION("""COMPUTED_VALUE"""),"S5925076211")</f>
        <v>S5925076211</v>
      </c>
      <c r="D2598" s="8">
        <f>IFERROR(__xludf.DUMMYFUNCTION("""COMPUTED_VALUE"""),67.0)</f>
        <v>67</v>
      </c>
      <c r="E2598" s="2"/>
    </row>
    <row r="2599">
      <c r="A2599" s="2"/>
      <c r="B2599" s="8" t="str">
        <f>IFERROR(__xludf.DUMMYFUNCTION("""COMPUTED_VALUE"""),"HILDA AZKIYA")</f>
        <v>HILDA AZKIYA</v>
      </c>
      <c r="C2599" s="8" t="str">
        <f>IFERROR(__xludf.DUMMYFUNCTION("""COMPUTED_VALUE"""),"H9225070708")</f>
        <v>H9225070708</v>
      </c>
      <c r="D2599" s="8">
        <f>IFERROR(__xludf.DUMMYFUNCTION("""COMPUTED_VALUE"""),33.0)</f>
        <v>33</v>
      </c>
      <c r="E2599" s="2"/>
    </row>
    <row r="2600">
      <c r="A2600" s="2"/>
      <c r="B2600" s="8" t="str">
        <f>IFERROR(__xludf.DUMMYFUNCTION("""COMPUTED_VALUE"""),"JUNAIDI")</f>
        <v>JUNAIDI</v>
      </c>
      <c r="C2600" s="8" t="str">
        <f>IFERROR(__xludf.DUMMYFUNCTION("""COMPUTED_VALUE"""),"J7125077595")</f>
        <v>J7125077595</v>
      </c>
      <c r="D2600" s="8">
        <f>IFERROR(__xludf.DUMMYFUNCTION("""COMPUTED_VALUE"""),55.0)</f>
        <v>55</v>
      </c>
      <c r="E2600" s="2"/>
    </row>
    <row r="2601">
      <c r="A2601" s="2"/>
      <c r="B2601" s="8" t="str">
        <f>IFERROR(__xludf.DUMMYFUNCTION("""COMPUTED_VALUE"""),"YULIANTI 8707")</f>
        <v>YULIANTI 8707</v>
      </c>
      <c r="C2601" s="8" t="str">
        <f>IFERROR(__xludf.DUMMYFUNCTION("""COMPUTED_VALUE"""),"Y8725078318")</f>
        <v>Y8725078318</v>
      </c>
      <c r="D2601" s="8">
        <f>IFERROR(__xludf.DUMMYFUNCTION("""COMPUTED_VALUE"""),39.0)</f>
        <v>39</v>
      </c>
      <c r="E2601" s="2"/>
    </row>
    <row r="2602">
      <c r="A2602" s="2"/>
      <c r="B2602" s="8" t="str">
        <f>IFERROR(__xludf.DUMMYFUNCTION("""COMPUTED_VALUE"""),"RAKA MALDINI B")</f>
        <v>RAKA MALDINI B</v>
      </c>
      <c r="C2602" s="8" t="str">
        <f>IFERROR(__xludf.DUMMYFUNCTION("""COMPUTED_VALUE"""),"R0225070099")</f>
        <v>R0225070099</v>
      </c>
      <c r="D2602" s="8">
        <f>IFERROR(__xludf.DUMMYFUNCTION("""COMPUTED_VALUE"""),24.0)</f>
        <v>24</v>
      </c>
      <c r="E2602" s="2"/>
    </row>
    <row r="2603">
      <c r="A2603" s="2"/>
      <c r="B2603" s="8" t="str">
        <f>IFERROR(__xludf.DUMMYFUNCTION("""COMPUTED_VALUE"""),"ELLEN ARIFIN")</f>
        <v>ELLEN ARIFIN</v>
      </c>
      <c r="C2603" s="8" t="str">
        <f>IFERROR(__xludf.DUMMYFUNCTION("""COMPUTED_VALUE"""),"E8925075615")</f>
        <v>E8925075615</v>
      </c>
      <c r="D2603" s="8">
        <f>IFERROR(__xludf.DUMMYFUNCTION("""COMPUTED_VALUE"""),37.0)</f>
        <v>37</v>
      </c>
      <c r="E2603" s="2"/>
    </row>
    <row r="2604">
      <c r="A2604" s="2"/>
      <c r="B2604" s="8" t="str">
        <f>IFERROR(__xludf.DUMMYFUNCTION("""COMPUTED_VALUE"""),"RIKA RIYANTI")</f>
        <v>RIKA RIYANTI</v>
      </c>
      <c r="C2604" s="8" t="str">
        <f>IFERROR(__xludf.DUMMYFUNCTION("""COMPUTED_VALUE"""),"R9225072190")</f>
        <v>R9225072190</v>
      </c>
      <c r="D2604" s="8">
        <f>IFERROR(__xludf.DUMMYFUNCTION("""COMPUTED_VALUE"""),34.0)</f>
        <v>34</v>
      </c>
      <c r="E2604" s="2"/>
    </row>
    <row r="2605">
      <c r="A2605" s="2"/>
      <c r="B2605" s="8" t="str">
        <f>IFERROR(__xludf.DUMMYFUNCTION("""COMPUTED_VALUE"""),"JULIANTO 9007")</f>
        <v>JULIANTO 9007</v>
      </c>
      <c r="C2605" s="8" t="str">
        <f>IFERROR(__xludf.DUMMYFUNCTION("""COMPUTED_VALUE"""),"J9025070228")</f>
        <v>J9025070228</v>
      </c>
      <c r="D2605" s="8">
        <f>IFERROR(__xludf.DUMMYFUNCTION("""COMPUTED_VALUE"""),36.0)</f>
        <v>36</v>
      </c>
      <c r="E2605" s="2"/>
    </row>
    <row r="2606">
      <c r="A2606" s="2"/>
      <c r="B2606" s="8" t="str">
        <f>IFERROR(__xludf.DUMMYFUNCTION("""COMPUTED_VALUE"""),"RIVHANI JUNYANDARI")</f>
        <v>RIVHANI JUNYANDARI</v>
      </c>
      <c r="C2606" s="8" t="str">
        <f>IFERROR(__xludf.DUMMYFUNCTION("""COMPUTED_VALUE"""),"R8925076962")</f>
        <v>R8925076962</v>
      </c>
      <c r="D2606" s="8">
        <f>IFERROR(__xludf.DUMMYFUNCTION("""COMPUTED_VALUE"""),37.0)</f>
        <v>37</v>
      </c>
      <c r="E2606" s="2"/>
    </row>
    <row r="2607">
      <c r="A2607" s="2"/>
      <c r="B2607" s="8" t="str">
        <f>IFERROR(__xludf.DUMMYFUNCTION("""COMPUTED_VALUE"""),"EVELYN")</f>
        <v>EVELYN</v>
      </c>
      <c r="C2607" s="8" t="str">
        <f>IFERROR(__xludf.DUMMYFUNCTION("""COMPUTED_VALUE"""),"E9225074142")</f>
        <v>E9225074142</v>
      </c>
      <c r="D2607" s="8">
        <f>IFERROR(__xludf.DUMMYFUNCTION("""COMPUTED_VALUE"""),33.0)</f>
        <v>33</v>
      </c>
      <c r="E2607" s="2"/>
    </row>
    <row r="2608">
      <c r="A2608" s="2"/>
      <c r="B2608" s="8" t="str">
        <f>IFERROR(__xludf.DUMMYFUNCTION("""COMPUTED_VALUE"""),"AGUNG MULYONO PUTRA")</f>
        <v>AGUNG MULYONO PUTRA</v>
      </c>
      <c r="C2608" s="8" t="str">
        <f>IFERROR(__xludf.DUMMYFUNCTION("""COMPUTED_VALUE"""),"A0125076474")</f>
        <v>A0125076474</v>
      </c>
      <c r="D2608" s="8">
        <f>IFERROR(__xludf.DUMMYFUNCTION("""COMPUTED_VALUE"""),25.0)</f>
        <v>25</v>
      </c>
      <c r="E2608" s="2"/>
    </row>
    <row r="2609">
      <c r="A2609" s="2"/>
      <c r="B2609" s="8" t="str">
        <f>IFERROR(__xludf.DUMMYFUNCTION("""COMPUTED_VALUE"""),"MARSALENA")</f>
        <v>MARSALENA</v>
      </c>
      <c r="C2609" s="8" t="str">
        <f>IFERROR(__xludf.DUMMYFUNCTION("""COMPUTED_VALUE"""),"M7125075867")</f>
        <v>M7125075867</v>
      </c>
      <c r="D2609" s="8">
        <f>IFERROR(__xludf.DUMMYFUNCTION("""COMPUTED_VALUE"""),54.0)</f>
        <v>54</v>
      </c>
      <c r="E2609" s="2"/>
    </row>
    <row r="2610">
      <c r="A2610" s="2"/>
      <c r="B2610" s="8" t="str">
        <f>IFERROR(__xludf.DUMMYFUNCTION("""COMPUTED_VALUE"""),"DANIEL PRANATA LIM")</f>
        <v>DANIEL PRANATA LIM</v>
      </c>
      <c r="C2610" s="8" t="str">
        <f>IFERROR(__xludf.DUMMYFUNCTION("""COMPUTED_VALUE"""),"D9325075655")</f>
        <v>D9325075655</v>
      </c>
      <c r="D2610" s="8">
        <f>IFERROR(__xludf.DUMMYFUNCTION("""COMPUTED_VALUE"""),33.0)</f>
        <v>33</v>
      </c>
      <c r="E2610" s="2"/>
    </row>
    <row r="2611">
      <c r="A2611" s="2"/>
      <c r="B2611" s="8" t="str">
        <f>IFERROR(__xludf.DUMMYFUNCTION("""COMPUTED_VALUE"""),"RAHMAD FADILAH")</f>
        <v>RAHMAD FADILAH</v>
      </c>
      <c r="C2611" s="8" t="str">
        <f>IFERROR(__xludf.DUMMYFUNCTION("""COMPUTED_VALUE"""),"R0125079414")</f>
        <v>R0125079414</v>
      </c>
      <c r="D2611" s="8">
        <f>IFERROR(__xludf.DUMMYFUNCTION("""COMPUTED_VALUE"""),24.0)</f>
        <v>24</v>
      </c>
      <c r="E2611" s="2"/>
    </row>
    <row r="2612">
      <c r="A2612" s="2"/>
      <c r="B2612" s="8" t="str">
        <f>IFERROR(__xludf.DUMMYFUNCTION("""COMPUTED_VALUE"""),"ANNA ROSIYANTI")</f>
        <v>ANNA ROSIYANTI</v>
      </c>
      <c r="C2612" s="8" t="str">
        <f>IFERROR(__xludf.DUMMYFUNCTION("""COMPUTED_VALUE"""),"A6625072226")</f>
        <v>A6625072226</v>
      </c>
      <c r="D2612" s="8">
        <f>IFERROR(__xludf.DUMMYFUNCTION("""COMPUTED_VALUE"""),60.0)</f>
        <v>60</v>
      </c>
      <c r="E2612" s="2"/>
    </row>
    <row r="2613">
      <c r="A2613" s="2"/>
      <c r="B2613" s="8" t="str">
        <f>IFERROR(__xludf.DUMMYFUNCTION("""COMPUTED_VALUE"""),"URAY DJAHARANI")</f>
        <v>URAY DJAHARANI</v>
      </c>
      <c r="C2613" s="8" t="str">
        <f>IFERROR(__xludf.DUMMYFUNCTION("""COMPUTED_VALUE"""),"U6025070873")</f>
        <v>U6025070873</v>
      </c>
      <c r="D2613" s="8">
        <f>IFERROR(__xludf.DUMMYFUNCTION("""COMPUTED_VALUE"""),66.0)</f>
        <v>66</v>
      </c>
      <c r="E2613" s="2"/>
    </row>
    <row r="2614">
      <c r="A2614" s="2"/>
      <c r="B2614" s="8" t="str">
        <f>IFERROR(__xludf.DUMMYFUNCTION("""COMPUTED_VALUE"""),"SUWARNI")</f>
        <v>SUWARNI</v>
      </c>
      <c r="C2614" s="8" t="str">
        <f>IFERROR(__xludf.DUMMYFUNCTION("""COMPUTED_VALUE"""),"S6225076415")</f>
        <v>S6225076415</v>
      </c>
      <c r="D2614" s="8">
        <f>IFERROR(__xludf.DUMMYFUNCTION("""COMPUTED_VALUE"""),64.0)</f>
        <v>64</v>
      </c>
      <c r="E2614" s="2"/>
    </row>
    <row r="2615">
      <c r="A2615" s="2"/>
      <c r="B2615" s="8" t="str">
        <f>IFERROR(__xludf.DUMMYFUNCTION("""COMPUTED_VALUE"""),"SELVIA RATNA SARIWEDI")</f>
        <v>SELVIA RATNA SARIWEDI</v>
      </c>
      <c r="C2615" s="8" t="str">
        <f>IFERROR(__xludf.DUMMYFUNCTION("""COMPUTED_VALUE"""),"S4525075406")</f>
        <v>S4525075406</v>
      </c>
      <c r="D2615" s="8">
        <f>IFERROR(__xludf.DUMMYFUNCTION("""COMPUTED_VALUE"""),80.0)</f>
        <v>80</v>
      </c>
      <c r="E2615" s="2"/>
    </row>
    <row r="2616">
      <c r="A2616" s="2"/>
      <c r="B2616" s="8" t="str">
        <f>IFERROR(__xludf.DUMMYFUNCTION("""COMPUTED_VALUE"""),"VERA WARAWATY")</f>
        <v>VERA WARAWATY</v>
      </c>
      <c r="C2616" s="8" t="str">
        <f>IFERROR(__xludf.DUMMYFUNCTION("""COMPUTED_VALUE"""),"V8025076847")</f>
        <v>V8025076847</v>
      </c>
      <c r="D2616" s="8">
        <f>IFERROR(__xludf.DUMMYFUNCTION("""COMPUTED_VALUE"""),46.0)</f>
        <v>46</v>
      </c>
      <c r="E2616" s="2"/>
    </row>
    <row r="2617">
      <c r="A2617" s="2"/>
      <c r="B2617" s="8" t="str">
        <f>IFERROR(__xludf.DUMMYFUNCTION("""COMPUTED_VALUE"""),"JONI")</f>
        <v>JONI</v>
      </c>
      <c r="C2617" s="8" t="str">
        <f>IFERROR(__xludf.DUMMYFUNCTION("""COMPUTED_VALUE"""),"J7725076552")</f>
        <v>J7725076552</v>
      </c>
      <c r="D2617" s="8">
        <f>IFERROR(__xludf.DUMMYFUNCTION("""COMPUTED_VALUE"""),48.0)</f>
        <v>48</v>
      </c>
      <c r="E2617" s="2"/>
    </row>
    <row r="2618">
      <c r="A2618" s="2"/>
      <c r="B2618" s="8" t="str">
        <f>IFERROR(__xludf.DUMMYFUNCTION("""COMPUTED_VALUE"""),"MIKTAMI CHRISTOFEN TANG")</f>
        <v>MIKTAMI CHRISTOFEN TANG</v>
      </c>
      <c r="C2618" s="8" t="str">
        <f>IFERROR(__xludf.DUMMYFUNCTION("""COMPUTED_VALUE"""),"M9525072439")</f>
        <v>M9525072439</v>
      </c>
      <c r="D2618" s="8">
        <f>IFERROR(__xludf.DUMMYFUNCTION("""COMPUTED_VALUE"""),31.0)</f>
        <v>31</v>
      </c>
      <c r="E2618" s="2"/>
    </row>
    <row r="2619">
      <c r="A2619" s="2"/>
      <c r="B2619" s="8" t="str">
        <f>IFERROR(__xludf.DUMMYFUNCTION("""COMPUTED_VALUE"""),"MARZUKI")</f>
        <v>MARZUKI</v>
      </c>
      <c r="C2619" s="8" t="str">
        <f>IFERROR(__xludf.DUMMYFUNCTION("""COMPUTED_VALUE"""),"M6425072111")</f>
        <v>M6425072111</v>
      </c>
      <c r="D2619" s="8">
        <f>IFERROR(__xludf.DUMMYFUNCTION("""COMPUTED_VALUE"""),62.0)</f>
        <v>62</v>
      </c>
      <c r="E2619" s="2"/>
    </row>
    <row r="2620">
      <c r="A2620" s="2"/>
      <c r="B2620" s="8" t="str">
        <f>IFERROR(__xludf.DUMMYFUNCTION("""COMPUTED_VALUE"""),"SALIMAN")</f>
        <v>SALIMAN</v>
      </c>
      <c r="C2620" s="8" t="str">
        <f>IFERROR(__xludf.DUMMYFUNCTION("""COMPUTED_VALUE"""),"S7425075731")</f>
        <v>S7425075731</v>
      </c>
      <c r="D2620" s="8">
        <f>IFERROR(__xludf.DUMMYFUNCTION("""COMPUTED_VALUE"""),52.0)</f>
        <v>52</v>
      </c>
      <c r="E2620" s="2"/>
    </row>
    <row r="2621">
      <c r="A2621" s="2"/>
      <c r="B2621" s="8" t="str">
        <f>IFERROR(__xludf.DUMMYFUNCTION("""COMPUTED_VALUE"""),"M. NUR")</f>
        <v>M. NUR</v>
      </c>
      <c r="C2621" s="8" t="str">
        <f>IFERROR(__xludf.DUMMYFUNCTION("""COMPUTED_VALUE"""),"M5625071964")</f>
        <v>M5625071964</v>
      </c>
      <c r="D2621" s="8">
        <f>IFERROR(__xludf.DUMMYFUNCTION("""COMPUTED_VALUE"""),69.0)</f>
        <v>69</v>
      </c>
      <c r="E2621" s="2"/>
    </row>
    <row r="2622">
      <c r="A2622" s="2"/>
      <c r="B2622" s="8" t="str">
        <f>IFERROR(__xludf.DUMMYFUNCTION("""COMPUTED_VALUE"""),"KURNIYAWATI")</f>
        <v>KURNIYAWATI</v>
      </c>
      <c r="C2622" s="8" t="str">
        <f>IFERROR(__xludf.DUMMYFUNCTION("""COMPUTED_VALUE"""),"K0325071771")</f>
        <v>K0325071771</v>
      </c>
      <c r="D2622" s="8">
        <f>IFERROR(__xludf.DUMMYFUNCTION("""COMPUTED_VALUE"""),22.0)</f>
        <v>22</v>
      </c>
      <c r="E2622" s="2"/>
    </row>
    <row r="2623">
      <c r="A2623" s="2"/>
      <c r="B2623" s="8" t="str">
        <f>IFERROR(__xludf.DUMMYFUNCTION("""COMPUTED_VALUE"""),"ILHAM MUTTAKIN")</f>
        <v>ILHAM MUTTAKIN</v>
      </c>
      <c r="C2623" s="8" t="str">
        <f>IFERROR(__xludf.DUMMYFUNCTION("""COMPUTED_VALUE"""),"I9925074687")</f>
        <v>I9925074687</v>
      </c>
      <c r="D2623" s="8">
        <f>IFERROR(__xludf.DUMMYFUNCTION("""COMPUTED_VALUE"""),27.0)</f>
        <v>27</v>
      </c>
      <c r="E2623" s="2"/>
    </row>
    <row r="2624">
      <c r="A2624" s="2"/>
      <c r="B2624" s="8" t="str">
        <f>IFERROR(__xludf.DUMMYFUNCTION("""COMPUTED_VALUE"""),"FAJAR RIYANTO")</f>
        <v>FAJAR RIYANTO</v>
      </c>
      <c r="C2624" s="8" t="str">
        <f>IFERROR(__xludf.DUMMYFUNCTION("""COMPUTED_VALUE"""),"F8425079993")</f>
        <v>F8425079993</v>
      </c>
      <c r="D2624" s="8">
        <f>IFERROR(__xludf.DUMMYFUNCTION("""COMPUTED_VALUE"""),41.0)</f>
        <v>41</v>
      </c>
      <c r="E2624" s="2"/>
    </row>
    <row r="2625">
      <c r="A2625" s="2"/>
      <c r="B2625" s="8" t="str">
        <f>IFERROR(__xludf.DUMMYFUNCTION("""COMPUTED_VALUE"""),"NURHASIAH")</f>
        <v>NURHASIAH</v>
      </c>
      <c r="C2625" s="8" t="str">
        <f>IFERROR(__xludf.DUMMYFUNCTION("""COMPUTED_VALUE"""),"N5525070477")</f>
        <v>N5525070477</v>
      </c>
      <c r="D2625" s="8">
        <f>IFERROR(__xludf.DUMMYFUNCTION("""COMPUTED_VALUE"""),71.0)</f>
        <v>71</v>
      </c>
      <c r="E2625" s="2"/>
    </row>
    <row r="2626">
      <c r="A2626" s="2"/>
      <c r="B2626" s="8" t="str">
        <f>IFERROR(__xludf.DUMMYFUNCTION("""COMPUTED_VALUE"""),"NELLY MARLINA AMD.KG")</f>
        <v>NELLY MARLINA AMD.KG</v>
      </c>
      <c r="C2626" s="8" t="str">
        <f>IFERROR(__xludf.DUMMYFUNCTION("""COMPUTED_VALUE"""),"N7725070477")</f>
        <v>N7725070477</v>
      </c>
      <c r="D2626" s="8">
        <f>IFERROR(__xludf.DUMMYFUNCTION("""COMPUTED_VALUE"""),49.0)</f>
        <v>49</v>
      </c>
      <c r="E2626" s="2"/>
    </row>
    <row r="2627">
      <c r="A2627" s="2"/>
      <c r="B2627" s="8" t="str">
        <f>IFERROR(__xludf.DUMMYFUNCTION("""COMPUTED_VALUE"""),"SRI YULI ASTUTI")</f>
        <v>SRI YULI ASTUTI</v>
      </c>
      <c r="C2627" s="8" t="str">
        <f>IFERROR(__xludf.DUMMYFUNCTION("""COMPUTED_VALUE"""),"S7225076622")</f>
        <v>S7225076622</v>
      </c>
      <c r="D2627" s="8">
        <f>IFERROR(__xludf.DUMMYFUNCTION("""COMPUTED_VALUE"""),54.0)</f>
        <v>54</v>
      </c>
      <c r="E2627" s="2"/>
    </row>
    <row r="2628">
      <c r="A2628" s="2"/>
      <c r="B2628" s="8" t="str">
        <f>IFERROR(__xludf.DUMMYFUNCTION("""COMPUTED_VALUE"""),"RICHARD HAMONANGAN SAMOSIR")</f>
        <v>RICHARD HAMONANGAN SAMOSIR</v>
      </c>
      <c r="C2628" s="8" t="str">
        <f>IFERROR(__xludf.DUMMYFUNCTION("""COMPUTED_VALUE"""),"R0425076187")</f>
        <v>R0425076187</v>
      </c>
      <c r="D2628" s="8">
        <f>IFERROR(__xludf.DUMMYFUNCTION("""COMPUTED_VALUE"""),22.0)</f>
        <v>22</v>
      </c>
      <c r="E2628" s="2"/>
    </row>
    <row r="2629">
      <c r="A2629" s="2"/>
      <c r="B2629" s="8" t="str">
        <f>IFERROR(__xludf.DUMMYFUNCTION("""COMPUTED_VALUE"""),"IMMANUEL STEVE HASIHOLAN LUMBANTORUAN")</f>
        <v>IMMANUEL STEVE HASIHOLAN LUMBANTORUAN</v>
      </c>
      <c r="C2629" s="8" t="str">
        <f>IFERROR(__xludf.DUMMYFUNCTION("""COMPUTED_VALUE"""),"I0325070012")</f>
        <v>I0325070012</v>
      </c>
      <c r="D2629" s="8">
        <f>IFERROR(__xludf.DUMMYFUNCTION("""COMPUTED_VALUE"""),23.0)</f>
        <v>23</v>
      </c>
      <c r="E2629" s="2"/>
    </row>
    <row r="2630">
      <c r="A2630" s="2"/>
      <c r="B2630" s="8" t="str">
        <f>IFERROR(__xludf.DUMMYFUNCTION("""COMPUTED_VALUE"""),"MEMBER RADIT")</f>
        <v>MEMBER RADIT</v>
      </c>
      <c r="C2630" s="8" t="str">
        <f>IFERROR(__xludf.DUMMYFUNCTION("""COMPUTED_VALUE"""),"M2525079811")</f>
        <v>M2525079811</v>
      </c>
      <c r="D2630" s="8">
        <f>IFERROR(__xludf.DUMMYFUNCTION("""COMPUTED_VALUE"""),1.0)</f>
        <v>1</v>
      </c>
      <c r="E2630" s="2"/>
    </row>
    <row r="2631">
      <c r="A2631" s="2"/>
      <c r="B2631" s="8" t="str">
        <f>IFERROR(__xludf.DUMMYFUNCTION("""COMPUTED_VALUE"""),"RAMADHAN 9604")</f>
        <v>RAMADHAN 9604</v>
      </c>
      <c r="C2631" s="8" t="str">
        <f>IFERROR(__xludf.DUMMYFUNCTION("""COMPUTED_VALUE"""),"R9625074119")</f>
        <v>R9625074119</v>
      </c>
      <c r="D2631" s="8">
        <f>IFERROR(__xludf.DUMMYFUNCTION("""COMPUTED_VALUE"""),30.0)</f>
        <v>30</v>
      </c>
      <c r="E2631" s="2"/>
    </row>
    <row r="2632">
      <c r="A2632" s="2"/>
      <c r="B2632" s="8" t="str">
        <f>IFERROR(__xludf.DUMMYFUNCTION("""COMPUTED_VALUE"""),"SANDY SHEVA JULIAN")</f>
        <v>SANDY SHEVA JULIAN</v>
      </c>
      <c r="C2632" s="8" t="str">
        <f>IFERROR(__xludf.DUMMYFUNCTION("""COMPUTED_VALUE"""),"S0825078376")</f>
        <v>S0825078376</v>
      </c>
      <c r="D2632" s="8">
        <f>IFERROR(__xludf.DUMMYFUNCTION("""COMPUTED_VALUE"""),18.0)</f>
        <v>18</v>
      </c>
      <c r="E2632" s="2"/>
    </row>
    <row r="2633">
      <c r="A2633" s="2"/>
      <c r="B2633" s="8" t="str">
        <f>IFERROR(__xludf.DUMMYFUNCTION("""COMPUTED_VALUE"""),"MUHAMMAD RISKY FIRMANSYAH")</f>
        <v>MUHAMMAD RISKY FIRMANSYAH</v>
      </c>
      <c r="C2633" s="8" t="str">
        <f>IFERROR(__xludf.DUMMYFUNCTION("""COMPUTED_VALUE"""),"M0425076023")</f>
        <v>M0425076023</v>
      </c>
      <c r="D2633" s="8">
        <f>IFERROR(__xludf.DUMMYFUNCTION("""COMPUTED_VALUE"""),22.0)</f>
        <v>22</v>
      </c>
      <c r="E2633" s="2"/>
    </row>
    <row r="2634">
      <c r="A2634" s="2"/>
      <c r="B2634" s="8" t="str">
        <f>IFERROR(__xludf.DUMMYFUNCTION("""COMPUTED_VALUE"""),"BOBY ANTA MAULANA")</f>
        <v>BOBY ANTA MAULANA</v>
      </c>
      <c r="C2634" s="8" t="str">
        <f>IFERROR(__xludf.DUMMYFUNCTION("""COMPUTED_VALUE"""),"B8525075344")</f>
        <v>B8525075344</v>
      </c>
      <c r="D2634" s="8">
        <f>IFERROR(__xludf.DUMMYFUNCTION("""COMPUTED_VALUE"""),40.0)</f>
        <v>40</v>
      </c>
      <c r="E2634" s="2"/>
    </row>
    <row r="2635">
      <c r="A2635" s="2"/>
      <c r="B2635" s="8" t="str">
        <f>IFERROR(__xludf.DUMMYFUNCTION("""COMPUTED_VALUE"""),"MUHAMMAD NADLY ALNOV")</f>
        <v>MUHAMMAD NADLY ALNOV</v>
      </c>
      <c r="C2635" s="8" t="str">
        <f>IFERROR(__xludf.DUMMYFUNCTION("""COMPUTED_VALUE"""),"M0825073380")</f>
        <v>M0825073380</v>
      </c>
      <c r="D2635" s="8">
        <f>IFERROR(__xludf.DUMMYFUNCTION("""COMPUTED_VALUE"""),17.0)</f>
        <v>17</v>
      </c>
      <c r="E2635" s="2"/>
    </row>
    <row r="2636">
      <c r="A2636" s="2"/>
      <c r="B2636" s="8" t="str">
        <f>IFERROR(__xludf.DUMMYFUNCTION("""COMPUTED_VALUE"""),"MISNAWATI")</f>
        <v>MISNAWATI</v>
      </c>
      <c r="C2636" s="8" t="str">
        <f>IFERROR(__xludf.DUMMYFUNCTION("""COMPUTED_VALUE"""),"M8525072053")</f>
        <v>M8525072053</v>
      </c>
      <c r="D2636" s="8">
        <f>IFERROR(__xludf.DUMMYFUNCTION("""COMPUTED_VALUE"""),41.0)</f>
        <v>41</v>
      </c>
      <c r="E2636" s="2"/>
    </row>
    <row r="2637">
      <c r="A2637" s="2"/>
      <c r="B2637" s="8" t="str">
        <f>IFERROR(__xludf.DUMMYFUNCTION("""COMPUTED_VALUE"""),"WELY")</f>
        <v>WELY</v>
      </c>
      <c r="C2637" s="8" t="str">
        <f>IFERROR(__xludf.DUMMYFUNCTION("""COMPUTED_VALUE"""),"W8025078200")</f>
        <v>W8025078200</v>
      </c>
      <c r="D2637" s="8">
        <f>IFERROR(__xludf.DUMMYFUNCTION("""COMPUTED_VALUE"""),45.0)</f>
        <v>45</v>
      </c>
      <c r="E2637" s="2"/>
    </row>
    <row r="2638">
      <c r="A2638" s="2"/>
      <c r="B2638" s="8" t="str">
        <f>IFERROR(__xludf.DUMMYFUNCTION("""COMPUTED_VALUE"""),"MARDIAH")</f>
        <v>MARDIAH</v>
      </c>
      <c r="C2638" s="8" t="str">
        <f>IFERROR(__xludf.DUMMYFUNCTION("""COMPUTED_VALUE"""),"M9525074050")</f>
        <v>M9525074050</v>
      </c>
      <c r="D2638" s="8">
        <f>IFERROR(__xludf.DUMMYFUNCTION("""COMPUTED_VALUE"""),31.0)</f>
        <v>31</v>
      </c>
      <c r="E2638" s="2"/>
    </row>
    <row r="2639">
      <c r="A2639" s="2"/>
      <c r="B2639" s="8" t="str">
        <f>IFERROR(__xludf.DUMMYFUNCTION("""COMPUTED_VALUE"""),"EKA LESTARI")</f>
        <v>EKA LESTARI</v>
      </c>
      <c r="C2639" s="8" t="str">
        <f>IFERROR(__xludf.DUMMYFUNCTION("""COMPUTED_VALUE"""),"E8825071979")</f>
        <v>E8825071979</v>
      </c>
      <c r="D2639" s="8">
        <f>IFERROR(__xludf.DUMMYFUNCTION("""COMPUTED_VALUE"""),37.0)</f>
        <v>37</v>
      </c>
      <c r="E2639" s="2"/>
    </row>
    <row r="2640">
      <c r="A2640" s="2"/>
      <c r="B2640" s="8" t="str">
        <f>IFERROR(__xludf.DUMMYFUNCTION("""COMPUTED_VALUE"""),"MARDIANA 6909")</f>
        <v>MARDIANA 6909</v>
      </c>
      <c r="C2640" s="8" t="str">
        <f>IFERROR(__xludf.DUMMYFUNCTION("""COMPUTED_VALUE"""),"M6925074405")</f>
        <v>M6925074405</v>
      </c>
      <c r="D2640" s="8">
        <f>IFERROR(__xludf.DUMMYFUNCTION("""COMPUTED_VALUE"""),56.0)</f>
        <v>56</v>
      </c>
      <c r="E2640" s="2"/>
    </row>
    <row r="2641">
      <c r="A2641" s="2"/>
      <c r="B2641" s="8" t="str">
        <f>IFERROR(__xludf.DUMMYFUNCTION("""COMPUTED_VALUE"""),"CECILIA SULISTIANI")</f>
        <v>CECILIA SULISTIANI</v>
      </c>
      <c r="C2641" s="8" t="str">
        <f>IFERROR(__xludf.DUMMYFUNCTION("""COMPUTED_VALUE"""),"C9425077017")</f>
        <v>C9425077017</v>
      </c>
      <c r="D2641" s="8">
        <f>IFERROR(__xludf.DUMMYFUNCTION("""COMPUTED_VALUE"""),32.0)</f>
        <v>32</v>
      </c>
      <c r="E2641" s="2"/>
    </row>
    <row r="2642">
      <c r="A2642" s="2"/>
      <c r="B2642" s="8" t="str">
        <f>IFERROR(__xludf.DUMMYFUNCTION("""COMPUTED_VALUE"""),"AB. IQBAL PRATAMA")</f>
        <v>AB. IQBAL PRATAMA</v>
      </c>
      <c r="C2642" s="8" t="str">
        <f>IFERROR(__xludf.DUMMYFUNCTION("""COMPUTED_VALUE"""),"A0625072853")</f>
        <v>A0625072853</v>
      </c>
      <c r="D2642" s="8">
        <f>IFERROR(__xludf.DUMMYFUNCTION("""COMPUTED_VALUE"""),20.0)</f>
        <v>20</v>
      </c>
      <c r="E2642" s="2"/>
    </row>
    <row r="2643">
      <c r="A2643" s="2"/>
      <c r="B2643" s="8" t="str">
        <f>IFERROR(__xludf.DUMMYFUNCTION("""COMPUTED_VALUE"""),"YANNI")</f>
        <v>YANNI</v>
      </c>
      <c r="C2643" s="8" t="str">
        <f>IFERROR(__xludf.DUMMYFUNCTION("""COMPUTED_VALUE"""),"Y7425070607")</f>
        <v>Y7425070607</v>
      </c>
      <c r="D2643" s="8">
        <f>IFERROR(__xludf.DUMMYFUNCTION("""COMPUTED_VALUE"""),52.0)</f>
        <v>52</v>
      </c>
      <c r="E2643" s="2"/>
    </row>
    <row r="2644">
      <c r="A2644" s="2"/>
      <c r="B2644" s="8" t="str">
        <f>IFERROR(__xludf.DUMMYFUNCTION("""COMPUTED_VALUE"""),"RIKA YOLANDA HUTAGAOL")</f>
        <v>RIKA YOLANDA HUTAGAOL</v>
      </c>
      <c r="C2644" s="8" t="str">
        <f>IFERROR(__xludf.DUMMYFUNCTION("""COMPUTED_VALUE"""),"R9525070095")</f>
        <v>R9525070095</v>
      </c>
      <c r="D2644" s="8">
        <f>IFERROR(__xludf.DUMMYFUNCTION("""COMPUTED_VALUE"""),30.0)</f>
        <v>30</v>
      </c>
      <c r="E2644" s="2"/>
    </row>
    <row r="2645">
      <c r="A2645" s="2"/>
      <c r="B2645" s="8" t="str">
        <f>IFERROR(__xludf.DUMMYFUNCTION("""COMPUTED_VALUE"""),"ETA NOVITA ARSANTY")</f>
        <v>ETA NOVITA ARSANTY</v>
      </c>
      <c r="C2645" s="8" t="str">
        <f>IFERROR(__xludf.DUMMYFUNCTION("""COMPUTED_VALUE"""),"E7625070157")</f>
        <v>E7625070157</v>
      </c>
      <c r="D2645" s="8">
        <f>IFERROR(__xludf.DUMMYFUNCTION("""COMPUTED_VALUE"""),49.0)</f>
        <v>49</v>
      </c>
      <c r="E2645" s="2"/>
    </row>
    <row r="2646">
      <c r="A2646" s="2"/>
      <c r="B2646" s="8" t="str">
        <f>IFERROR(__xludf.DUMMYFUNCTION("""COMPUTED_VALUE"""),"STEFFI")</f>
        <v>STEFFI</v>
      </c>
      <c r="C2646" s="8" t="str">
        <f>IFERROR(__xludf.DUMMYFUNCTION("""COMPUTED_VALUE"""),"S9225075336")</f>
        <v>S9225075336</v>
      </c>
      <c r="D2646" s="8">
        <f>IFERROR(__xludf.DUMMYFUNCTION("""COMPUTED_VALUE"""),33.0)</f>
        <v>33</v>
      </c>
      <c r="E2646" s="2"/>
    </row>
    <row r="2647">
      <c r="A2647" s="2"/>
      <c r="B2647" s="8" t="str">
        <f>IFERROR(__xludf.DUMMYFUNCTION("""COMPUTED_VALUE"""),"ANDREW KURNIAWAN")</f>
        <v>ANDREW KURNIAWAN</v>
      </c>
      <c r="C2647" s="8" t="str">
        <f>IFERROR(__xludf.DUMMYFUNCTION("""COMPUTED_VALUE"""),"A1125075396")</f>
        <v>A1125075396</v>
      </c>
      <c r="D2647" s="8">
        <f>IFERROR(__xludf.DUMMYFUNCTION("""COMPUTED_VALUE"""),15.0)</f>
        <v>15</v>
      </c>
      <c r="E2647" s="2"/>
    </row>
    <row r="2648">
      <c r="A2648" s="2"/>
      <c r="B2648" s="8" t="str">
        <f>IFERROR(__xludf.DUMMYFUNCTION("""COMPUTED_VALUE"""),"NGAKAN MADE GOTAMA")</f>
        <v>NGAKAN MADE GOTAMA</v>
      </c>
      <c r="C2648" s="8" t="str">
        <f>IFERROR(__xludf.DUMMYFUNCTION("""COMPUTED_VALUE"""),"N7425071015")</f>
        <v>N7425071015</v>
      </c>
      <c r="D2648" s="8">
        <f>IFERROR(__xludf.DUMMYFUNCTION("""COMPUTED_VALUE"""),52.0)</f>
        <v>52</v>
      </c>
      <c r="E2648" s="2"/>
    </row>
    <row r="2649">
      <c r="A2649" s="2"/>
      <c r="B2649" s="8" t="str">
        <f>IFERROR(__xludf.DUMMYFUNCTION("""COMPUTED_VALUE"""),"BAYU PUTRA NGUDI PERSADA")</f>
        <v>BAYU PUTRA NGUDI PERSADA</v>
      </c>
      <c r="C2649" s="8" t="str">
        <f>IFERROR(__xludf.DUMMYFUNCTION("""COMPUTED_VALUE"""),"B9925074472")</f>
        <v>B9925074472</v>
      </c>
      <c r="D2649" s="8">
        <f>IFERROR(__xludf.DUMMYFUNCTION("""COMPUTED_VALUE"""),27.0)</f>
        <v>27</v>
      </c>
      <c r="E2649" s="2"/>
    </row>
    <row r="2650">
      <c r="A2650" s="2"/>
      <c r="B2650" s="8" t="str">
        <f>IFERROR(__xludf.DUMMYFUNCTION("""COMPUTED_VALUE"""),"BONITA DWI ANGGREINI")</f>
        <v>BONITA DWI ANGGREINI</v>
      </c>
      <c r="C2650" s="8" t="str">
        <f>IFERROR(__xludf.DUMMYFUNCTION("""COMPUTED_VALUE"""),"B9125074477")</f>
        <v>B9125074477</v>
      </c>
      <c r="D2650" s="8">
        <f>IFERROR(__xludf.DUMMYFUNCTION("""COMPUTED_VALUE"""),35.0)</f>
        <v>35</v>
      </c>
      <c r="E2650" s="2"/>
    </row>
    <row r="2651">
      <c r="A2651" s="2"/>
      <c r="B2651" s="8" t="str">
        <f>IFERROR(__xludf.DUMMYFUNCTION("""COMPUTED_VALUE"""),"NABILA RIFDA WACHDANNISA")</f>
        <v>NABILA RIFDA WACHDANNISA</v>
      </c>
      <c r="C2651" s="8" t="str">
        <f>IFERROR(__xludf.DUMMYFUNCTION("""COMPUTED_VALUE"""),"N0225072830")</f>
        <v>N0225072830</v>
      </c>
      <c r="D2651" s="8">
        <f>IFERROR(__xludf.DUMMYFUNCTION("""COMPUTED_VALUE"""),23.0)</f>
        <v>23</v>
      </c>
      <c r="E2651" s="2"/>
    </row>
    <row r="2652">
      <c r="A2652" s="2"/>
      <c r="B2652" s="8" t="str">
        <f>IFERROR(__xludf.DUMMYFUNCTION("""COMPUTED_VALUE"""),"MUHAMMAD ILYAS HASBI")</f>
        <v>MUHAMMAD ILYAS HASBI</v>
      </c>
      <c r="C2652" s="8" t="str">
        <f>IFERROR(__xludf.DUMMYFUNCTION("""COMPUTED_VALUE"""),"M0225070251")</f>
        <v>M0225070251</v>
      </c>
      <c r="D2652" s="8">
        <f>IFERROR(__xludf.DUMMYFUNCTION("""COMPUTED_VALUE"""),23.0)</f>
        <v>23</v>
      </c>
      <c r="E2652" s="2"/>
    </row>
    <row r="2653">
      <c r="A2653" s="2"/>
      <c r="B2653" s="8" t="str">
        <f>IFERROR(__xludf.DUMMYFUNCTION("""COMPUTED_VALUE"""),"AJENG DWI SINTIYA DEWI")</f>
        <v>AJENG DWI SINTIYA DEWI</v>
      </c>
      <c r="C2653" s="8" t="str">
        <f>IFERROR(__xludf.DUMMYFUNCTION("""COMPUTED_VALUE"""),"A9625072535")</f>
        <v>A9625072535</v>
      </c>
      <c r="D2653" s="8">
        <f>IFERROR(__xludf.DUMMYFUNCTION("""COMPUTED_VALUE"""),29.0)</f>
        <v>29</v>
      </c>
      <c r="E2653" s="2"/>
    </row>
    <row r="2654">
      <c r="A2654" s="2"/>
      <c r="B2654" s="8" t="str">
        <f>IFERROR(__xludf.DUMMYFUNCTION("""COMPUTED_VALUE"""),"ARDILES SANTOS JR")</f>
        <v>ARDILES SANTOS JR</v>
      </c>
      <c r="C2654" s="8" t="str">
        <f>IFERROR(__xludf.DUMMYFUNCTION("""COMPUTED_VALUE"""),"A7825078966")</f>
        <v>A7825078966</v>
      </c>
      <c r="D2654" s="8">
        <f>IFERROR(__xludf.DUMMYFUNCTION("""COMPUTED_VALUE"""),48.0)</f>
        <v>48</v>
      </c>
      <c r="E2654" s="2"/>
    </row>
    <row r="2655">
      <c r="A2655" s="2"/>
      <c r="B2655" s="8" t="str">
        <f>IFERROR(__xludf.DUMMYFUNCTION("""COMPUTED_VALUE"""),"ASTIA")</f>
        <v>ASTIA</v>
      </c>
      <c r="C2655" s="8" t="str">
        <f>IFERROR(__xludf.DUMMYFUNCTION("""COMPUTED_VALUE"""),"A7525079700")</f>
        <v>A7525079700</v>
      </c>
      <c r="D2655" s="8">
        <f>IFERROR(__xludf.DUMMYFUNCTION("""COMPUTED_VALUE"""),50.0)</f>
        <v>50</v>
      </c>
      <c r="E2655" s="2"/>
    </row>
    <row r="2656">
      <c r="A2656" s="2"/>
      <c r="B2656" s="8" t="str">
        <f>IFERROR(__xludf.DUMMYFUNCTION("""COMPUTED_VALUE"""),"YANTI TANTRA")</f>
        <v>YANTI TANTRA</v>
      </c>
      <c r="C2656" s="8" t="str">
        <f>IFERROR(__xludf.DUMMYFUNCTION("""COMPUTED_VALUE"""),"Y8225078319")</f>
        <v>Y8225078319</v>
      </c>
      <c r="D2656" s="8">
        <f>IFERROR(__xludf.DUMMYFUNCTION("""COMPUTED_VALUE"""),43.0)</f>
        <v>43</v>
      </c>
      <c r="E2656" s="2"/>
    </row>
    <row r="2657">
      <c r="A2657" s="2"/>
      <c r="B2657" s="8" t="str">
        <f>IFERROR(__xludf.DUMMYFUNCTION("""COMPUTED_VALUE"""),"JAHFAL")</f>
        <v>JAHFAL</v>
      </c>
      <c r="C2657" s="8" t="str">
        <f>IFERROR(__xludf.DUMMYFUNCTION("""COMPUTED_VALUE"""),"J1025075435")</f>
        <v>J1025075435</v>
      </c>
      <c r="D2657" s="8">
        <f>IFERROR(__xludf.DUMMYFUNCTION("""COMPUTED_VALUE"""),15.0)</f>
        <v>15</v>
      </c>
      <c r="E2657" s="2"/>
    </row>
    <row r="2658">
      <c r="A2658" s="2"/>
      <c r="B2658" s="8" t="str">
        <f>IFERROR(__xludf.DUMMYFUNCTION("""COMPUTED_VALUE"""),"NABEELA ARVYANI")</f>
        <v>NABEELA ARVYANI</v>
      </c>
      <c r="C2658" s="8" t="str">
        <f>IFERROR(__xludf.DUMMYFUNCTION("""COMPUTED_VALUE"""),"N0125076145")</f>
        <v>N0125076145</v>
      </c>
      <c r="D2658" s="8">
        <f>IFERROR(__xludf.DUMMYFUNCTION("""COMPUTED_VALUE"""),25.0)</f>
        <v>25</v>
      </c>
      <c r="E2658" s="2"/>
    </row>
    <row r="2659">
      <c r="A2659" s="2"/>
      <c r="B2659" s="8" t="str">
        <f>IFERROR(__xludf.DUMMYFUNCTION("""COMPUTED_VALUE"""),"WAN REVALDO RIZKI NATAKUSUMA")</f>
        <v>WAN REVALDO RIZKI NATAKUSUMA</v>
      </c>
      <c r="C2659" s="8" t="str">
        <f>IFERROR(__xludf.DUMMYFUNCTION("""COMPUTED_VALUE"""),"W9625074211")</f>
        <v>W9625074211</v>
      </c>
      <c r="D2659" s="8">
        <f>IFERROR(__xludf.DUMMYFUNCTION("""COMPUTED_VALUE"""),30.0)</f>
        <v>30</v>
      </c>
      <c r="E2659" s="2"/>
    </row>
    <row r="2660">
      <c r="A2660" s="2"/>
      <c r="B2660" s="8" t="str">
        <f>IFERROR(__xludf.DUMMYFUNCTION("""COMPUTED_VALUE"""),"MIMI RESTUTI")</f>
        <v>MIMI RESTUTI</v>
      </c>
      <c r="C2660" s="8" t="str">
        <f>IFERROR(__xludf.DUMMYFUNCTION("""COMPUTED_VALUE"""),"M7525070460")</f>
        <v>M7525070460</v>
      </c>
      <c r="D2660" s="8">
        <f>IFERROR(__xludf.DUMMYFUNCTION("""COMPUTED_VALUE"""),51.0)</f>
        <v>51</v>
      </c>
      <c r="E2660" s="2"/>
    </row>
    <row r="2661">
      <c r="A2661" s="2"/>
      <c r="B2661" s="8" t="str">
        <f>IFERROR(__xludf.DUMMYFUNCTION("""COMPUTED_VALUE"""),"RAFI’AH 5508")</f>
        <v>RAFI’AH 5508</v>
      </c>
      <c r="C2661" s="8" t="str">
        <f>IFERROR(__xludf.DUMMYFUNCTION("""COMPUTED_VALUE"""),"R5525074162")</f>
        <v>R5525074162</v>
      </c>
      <c r="D2661" s="8">
        <f>IFERROR(__xludf.DUMMYFUNCTION("""COMPUTED_VALUE"""),70.0)</f>
        <v>70</v>
      </c>
      <c r="E2661" s="2"/>
    </row>
    <row r="2662">
      <c r="A2662" s="2"/>
      <c r="B2662" s="8" t="str">
        <f>IFERROR(__xludf.DUMMYFUNCTION("""COMPUTED_VALUE"""),"WANDY TANDRA")</f>
        <v>WANDY TANDRA</v>
      </c>
      <c r="C2662" s="8" t="str">
        <f>IFERROR(__xludf.DUMMYFUNCTION("""COMPUTED_VALUE"""),"W2525077966")</f>
        <v>W2525077966</v>
      </c>
      <c r="D2662" s="8">
        <f>IFERROR(__xludf.DUMMYFUNCTION("""COMPUTED_VALUE"""),1.0)</f>
        <v>1</v>
      </c>
      <c r="E2662" s="2"/>
    </row>
    <row r="2663">
      <c r="A2663" s="2"/>
      <c r="B2663" s="8" t="str">
        <f>IFERROR(__xludf.DUMMYFUNCTION("""COMPUTED_VALUE"""),"RAKHMAD")</f>
        <v>RAKHMAD</v>
      </c>
      <c r="C2663" s="8" t="str">
        <f>IFERROR(__xludf.DUMMYFUNCTION("""COMPUTED_VALUE"""),"R5325079977")</f>
        <v>R5325079977</v>
      </c>
      <c r="D2663" s="8">
        <f>IFERROR(__xludf.DUMMYFUNCTION("""COMPUTED_VALUE"""),73.0)</f>
        <v>73</v>
      </c>
      <c r="E2663" s="2"/>
    </row>
    <row r="2664">
      <c r="A2664" s="2"/>
      <c r="B2664" s="8" t="str">
        <f>IFERROR(__xludf.DUMMYFUNCTION("""COMPUTED_VALUE"""),"HENI YULIKARWATI")</f>
        <v>HENI YULIKARWATI</v>
      </c>
      <c r="C2664" s="8" t="str">
        <f>IFERROR(__xludf.DUMMYFUNCTION("""COMPUTED_VALUE"""),"H6725078818")</f>
        <v>H6725078818</v>
      </c>
      <c r="D2664" s="8">
        <f>IFERROR(__xludf.DUMMYFUNCTION("""COMPUTED_VALUE"""),59.0)</f>
        <v>59</v>
      </c>
      <c r="E2664" s="2"/>
    </row>
    <row r="2665">
      <c r="A2665" s="2"/>
      <c r="B2665" s="8" t="str">
        <f>IFERROR(__xludf.DUMMYFUNCTION("""COMPUTED_VALUE"""),"FAJRINA HASNI")</f>
        <v>FAJRINA HASNI</v>
      </c>
      <c r="C2665" s="8" t="str">
        <f>IFERROR(__xludf.DUMMYFUNCTION("""COMPUTED_VALUE"""),"F8525077772")</f>
        <v>F8525077772</v>
      </c>
      <c r="D2665" s="8">
        <f>IFERROR(__xludf.DUMMYFUNCTION("""COMPUTED_VALUE"""),41.0)</f>
        <v>41</v>
      </c>
      <c r="E2665" s="2"/>
    </row>
    <row r="2666">
      <c r="A2666" s="2"/>
      <c r="B2666" s="8" t="str">
        <f>IFERROR(__xludf.DUMMYFUNCTION("""COMPUTED_VALUE"""),"NELLA FARAS")</f>
        <v>NELLA FARAS</v>
      </c>
      <c r="C2666" s="8" t="str">
        <f>IFERROR(__xludf.DUMMYFUNCTION("""COMPUTED_VALUE"""),"N9425071768")</f>
        <v>N9425071768</v>
      </c>
      <c r="D2666" s="8">
        <f>IFERROR(__xludf.DUMMYFUNCTION("""COMPUTED_VALUE"""),32.0)</f>
        <v>32</v>
      </c>
      <c r="E2666" s="2"/>
    </row>
    <row r="2667">
      <c r="A2667" s="2"/>
      <c r="B2667" s="8" t="str">
        <f>IFERROR(__xludf.DUMMYFUNCTION("""COMPUTED_VALUE"""),"TANIA 0004")</f>
        <v>TANIA 0004</v>
      </c>
      <c r="C2667" s="8" t="str">
        <f>IFERROR(__xludf.DUMMYFUNCTION("""COMPUTED_VALUE"""),"T0025078451")</f>
        <v>T0025078451</v>
      </c>
      <c r="D2667" s="8">
        <f>IFERROR(__xludf.DUMMYFUNCTION("""COMPUTED_VALUE"""),26.0)</f>
        <v>26</v>
      </c>
      <c r="E2667" s="2"/>
    </row>
    <row r="2668">
      <c r="A2668" s="2"/>
      <c r="B2668" s="8" t="str">
        <f>IFERROR(__xludf.DUMMYFUNCTION("""COMPUTED_VALUE"""),"NG IE BUI")</f>
        <v>NG IE BUI</v>
      </c>
      <c r="C2668" s="8" t="str">
        <f>IFERROR(__xludf.DUMMYFUNCTION("""COMPUTED_VALUE"""),"N6225074612")</f>
        <v>N6225074612</v>
      </c>
      <c r="D2668" s="8">
        <f>IFERROR(__xludf.DUMMYFUNCTION("""COMPUTED_VALUE"""),64.0)</f>
        <v>64</v>
      </c>
      <c r="E2668" s="2"/>
    </row>
    <row r="2669">
      <c r="A2669" s="2"/>
      <c r="B2669" s="8" t="str">
        <f>IFERROR(__xludf.DUMMYFUNCTION("""COMPUTED_VALUE"""),"SISWADI")</f>
        <v>SISWADI</v>
      </c>
      <c r="C2669" s="8" t="str">
        <f>IFERROR(__xludf.DUMMYFUNCTION("""COMPUTED_VALUE"""),"S6125077278")</f>
        <v>S6125077278</v>
      </c>
      <c r="D2669" s="8">
        <f>IFERROR(__xludf.DUMMYFUNCTION("""COMPUTED_VALUE"""),65.0)</f>
        <v>65</v>
      </c>
      <c r="E2669" s="2"/>
    </row>
    <row r="2670">
      <c r="A2670" s="2"/>
      <c r="B2670" s="8" t="str">
        <f>IFERROR(__xludf.DUMMYFUNCTION("""COMPUTED_VALUE"""),"M.BAGUS TOMY")</f>
        <v>M.BAGUS TOMY</v>
      </c>
      <c r="C2670" s="8" t="str">
        <f>IFERROR(__xludf.DUMMYFUNCTION("""COMPUTED_VALUE"""),"M0025073908")</f>
        <v>M0025073908</v>
      </c>
      <c r="D2670" s="8">
        <f>IFERROR(__xludf.DUMMYFUNCTION("""COMPUTED_VALUE"""),25.0)</f>
        <v>25</v>
      </c>
      <c r="E2670" s="2"/>
    </row>
    <row r="2671">
      <c r="A2671" s="2"/>
      <c r="B2671" s="8" t="str">
        <f>IFERROR(__xludf.DUMMYFUNCTION("""COMPUTED_VALUE"""),"ZAMAL KENEDY")</f>
        <v>ZAMAL KENEDY</v>
      </c>
      <c r="C2671" s="8" t="str">
        <f>IFERROR(__xludf.DUMMYFUNCTION("""COMPUTED_VALUE"""),"Z5925079237")</f>
        <v>Z5925079237</v>
      </c>
      <c r="D2671" s="8">
        <f>IFERROR(__xludf.DUMMYFUNCTION("""COMPUTED_VALUE"""),66.0)</f>
        <v>66</v>
      </c>
      <c r="E2671" s="2"/>
    </row>
    <row r="2672">
      <c r="A2672" s="2"/>
      <c r="B2672" s="8" t="str">
        <f>IFERROR(__xludf.DUMMYFUNCTION("""COMPUTED_VALUE"""),"WINDRO HALIM")</f>
        <v>WINDRO HALIM</v>
      </c>
      <c r="C2672" s="8" t="str">
        <f>IFERROR(__xludf.DUMMYFUNCTION("""COMPUTED_VALUE"""),"W0025070339")</f>
        <v>W0025070339</v>
      </c>
      <c r="D2672" s="8">
        <f>IFERROR(__xludf.DUMMYFUNCTION("""COMPUTED_VALUE"""),26.0)</f>
        <v>26</v>
      </c>
      <c r="E2672" s="2"/>
    </row>
    <row r="2673">
      <c r="A2673" s="2"/>
      <c r="B2673" s="8" t="str">
        <f>IFERROR(__xludf.DUMMYFUNCTION("""COMPUTED_VALUE"""),"LIVIA TANIA PUTERI")</f>
        <v>LIVIA TANIA PUTERI</v>
      </c>
      <c r="C2673" s="8" t="str">
        <f>IFERROR(__xludf.DUMMYFUNCTION("""COMPUTED_VALUE"""),"L0025079190")</f>
        <v>L0025079190</v>
      </c>
      <c r="D2673" s="8">
        <f>IFERROR(__xludf.DUMMYFUNCTION("""COMPUTED_VALUE"""),25.0)</f>
        <v>25</v>
      </c>
      <c r="E2673" s="2"/>
    </row>
    <row r="2674">
      <c r="A2674" s="2"/>
      <c r="B2674" s="8" t="str">
        <f>IFERROR(__xludf.DUMMYFUNCTION("""COMPUTED_VALUE"""),"MARSHERLA LOVESENZIA")</f>
        <v>MARSHERLA LOVESENZIA</v>
      </c>
      <c r="C2674" s="8" t="str">
        <f>IFERROR(__xludf.DUMMYFUNCTION("""COMPUTED_VALUE"""),"M0025078448")</f>
        <v>M0025078448</v>
      </c>
      <c r="D2674" s="8">
        <f>IFERROR(__xludf.DUMMYFUNCTION("""COMPUTED_VALUE"""),26.0)</f>
        <v>26</v>
      </c>
      <c r="E2674" s="2"/>
    </row>
    <row r="2675">
      <c r="A2675" s="2"/>
      <c r="B2675" s="8" t="str">
        <f>IFERROR(__xludf.DUMMYFUNCTION("""COMPUTED_VALUE"""),"MARSHERLY LOVESENZIA")</f>
        <v>MARSHERLY LOVESENZIA</v>
      </c>
      <c r="C2675" s="8" t="str">
        <f>IFERROR(__xludf.DUMMYFUNCTION("""COMPUTED_VALUE"""),"M0025078448")</f>
        <v>M0025078448</v>
      </c>
      <c r="D2675" s="8">
        <f>IFERROR(__xludf.DUMMYFUNCTION("""COMPUTED_VALUE"""),26.0)</f>
        <v>26</v>
      </c>
      <c r="E2675" s="2"/>
    </row>
    <row r="2676">
      <c r="A2676" s="2"/>
      <c r="B2676" s="8" t="str">
        <f>IFERROR(__xludf.DUMMYFUNCTION("""COMPUTED_VALUE"""),"ASTRI YULIANI")</f>
        <v>ASTRI YULIANI</v>
      </c>
      <c r="C2676" s="8" t="str">
        <f>IFERROR(__xludf.DUMMYFUNCTION("""COMPUTED_VALUE"""),"A0325072559")</f>
        <v>A0325072559</v>
      </c>
      <c r="D2676" s="8">
        <f>IFERROR(__xludf.DUMMYFUNCTION("""COMPUTED_VALUE"""),22.0)</f>
        <v>22</v>
      </c>
      <c r="E2676" s="2"/>
    </row>
    <row r="2677">
      <c r="A2677" s="2"/>
      <c r="B2677" s="8" t="str">
        <f>IFERROR(__xludf.DUMMYFUNCTION("""COMPUTED_VALUE"""),"IGNATIUS PUSPO AJI WIDAGDO")</f>
        <v>IGNATIUS PUSPO AJI WIDAGDO</v>
      </c>
      <c r="C2677" s="8" t="str">
        <f>IFERROR(__xludf.DUMMYFUNCTION("""COMPUTED_VALUE"""),"I7925074734")</f>
        <v>I7925074734</v>
      </c>
      <c r="D2677" s="8">
        <f>IFERROR(__xludf.DUMMYFUNCTION("""COMPUTED_VALUE"""),47.0)</f>
        <v>47</v>
      </c>
      <c r="E2677" s="2"/>
    </row>
    <row r="2678">
      <c r="A2678" s="2"/>
      <c r="B2678" s="8" t="str">
        <f>IFERROR(__xludf.DUMMYFUNCTION("""COMPUTED_VALUE"""),"SELOMITA SIGIRO")</f>
        <v>SELOMITA SIGIRO</v>
      </c>
      <c r="C2678" s="8" t="str">
        <f>IFERROR(__xludf.DUMMYFUNCTION("""COMPUTED_VALUE"""),"S1925071014")</f>
        <v>S1925071014</v>
      </c>
      <c r="D2678" s="8">
        <f>IFERROR(__xludf.DUMMYFUNCTION("""COMPUTED_VALUE"""),7.0)</f>
        <v>7</v>
      </c>
      <c r="E2678" s="2"/>
    </row>
    <row r="2679">
      <c r="A2679" s="2"/>
      <c r="B2679" s="8" t="str">
        <f>IFERROR(__xludf.DUMMYFUNCTION("""COMPUTED_VALUE"""),"ELIANA")</f>
        <v>ELIANA</v>
      </c>
      <c r="C2679" s="8" t="str">
        <f>IFERROR(__xludf.DUMMYFUNCTION("""COMPUTED_VALUE"""),"E8025070020")</f>
        <v>E8025070020</v>
      </c>
      <c r="D2679" s="8">
        <f>IFERROR(__xludf.DUMMYFUNCTION("""COMPUTED_VALUE"""),45.0)</f>
        <v>45</v>
      </c>
      <c r="E2679" s="2"/>
    </row>
    <row r="2680">
      <c r="A2680" s="2"/>
      <c r="B2680" s="8" t="str">
        <f>IFERROR(__xludf.DUMMYFUNCTION("""COMPUTED_VALUE"""),"NURSUAN HO")</f>
        <v>NURSUAN HO</v>
      </c>
      <c r="C2680" s="8" t="str">
        <f>IFERROR(__xludf.DUMMYFUNCTION("""COMPUTED_VALUE"""),"N6925072882")</f>
        <v>N6925072882</v>
      </c>
      <c r="D2680" s="8">
        <f>IFERROR(__xludf.DUMMYFUNCTION("""COMPUTED_VALUE"""),57.0)</f>
        <v>57</v>
      </c>
      <c r="E2680" s="2"/>
    </row>
    <row r="2681">
      <c r="A2681" s="2"/>
      <c r="B2681" s="8" t="str">
        <f>IFERROR(__xludf.DUMMYFUNCTION("""COMPUTED_VALUE"""),"THE GWEK KHIAUW")</f>
        <v>THE GWEK KHIAUW</v>
      </c>
      <c r="C2681" s="8" t="str">
        <f>IFERROR(__xludf.DUMMYFUNCTION("""COMPUTED_VALUE"""),"T3625075669")</f>
        <v>T3625075669</v>
      </c>
      <c r="D2681" s="8">
        <f>IFERROR(__xludf.DUMMYFUNCTION("""COMPUTED_VALUE"""),90.0)</f>
        <v>90</v>
      </c>
      <c r="E2681" s="2"/>
    </row>
    <row r="2682">
      <c r="A2682" s="2"/>
      <c r="B2682" s="8" t="str">
        <f>IFERROR(__xludf.DUMMYFUNCTION("""COMPUTED_VALUE"""),"DESI")</f>
        <v>DESI</v>
      </c>
      <c r="C2682" s="8" t="str">
        <f>IFERROR(__xludf.DUMMYFUNCTION("""COMPUTED_VALUE"""),"D9525070035")</f>
        <v>D9525070035</v>
      </c>
      <c r="D2682" s="8">
        <f>IFERROR(__xludf.DUMMYFUNCTION("""COMPUTED_VALUE"""),31.0)</f>
        <v>31</v>
      </c>
      <c r="E2682" s="2"/>
    </row>
    <row r="2683">
      <c r="A2683" s="2"/>
      <c r="B2683" s="8" t="str">
        <f>IFERROR(__xludf.DUMMYFUNCTION("""COMPUTED_VALUE"""),"GAVRIEL")</f>
        <v>GAVRIEL</v>
      </c>
      <c r="C2683" s="8" t="str">
        <f>IFERROR(__xludf.DUMMYFUNCTION("""COMPUTED_VALUE"""),"G1425070067")</f>
        <v>G1425070067</v>
      </c>
      <c r="D2683" s="8">
        <f>IFERROR(__xludf.DUMMYFUNCTION("""COMPUTED_VALUE"""),12.0)</f>
        <v>12</v>
      </c>
      <c r="E2683" s="2"/>
    </row>
    <row r="2684">
      <c r="A2684" s="2"/>
      <c r="B2684" s="8" t="str">
        <f>IFERROR(__xludf.DUMMYFUNCTION("""COMPUTED_VALUE"""),"WAHYU SATRIA")</f>
        <v>WAHYU SATRIA</v>
      </c>
      <c r="C2684" s="8" t="str">
        <f>IFERROR(__xludf.DUMMYFUNCTION("""COMPUTED_VALUE"""),"W0025075225")</f>
        <v>W0025075225</v>
      </c>
      <c r="D2684" s="8">
        <f>IFERROR(__xludf.DUMMYFUNCTION("""COMPUTED_VALUE"""),26.0)</f>
        <v>26</v>
      </c>
      <c r="E2684" s="2"/>
    </row>
    <row r="2685">
      <c r="A2685" s="2"/>
      <c r="B2685" s="8" t="str">
        <f>IFERROR(__xludf.DUMMYFUNCTION("""COMPUTED_VALUE"""),"NOLLIE NOVELLA TANAJO")</f>
        <v>NOLLIE NOVELLA TANAJO</v>
      </c>
      <c r="C2685" s="8" t="str">
        <f>IFERROR(__xludf.DUMMYFUNCTION("""COMPUTED_VALUE"""),"N0725085070")</f>
        <v>N0725085070</v>
      </c>
      <c r="D2685" s="8">
        <f>IFERROR(__xludf.DUMMYFUNCTION("""COMPUTED_VALUE"""),18.0)</f>
        <v>18</v>
      </c>
      <c r="E2685" s="2"/>
    </row>
    <row r="2686">
      <c r="A2686" s="2"/>
      <c r="B2686" s="8" t="str">
        <f>IFERROR(__xludf.DUMMYFUNCTION("""COMPUTED_VALUE"""),"CHOTIJAH")</f>
        <v>CHOTIJAH</v>
      </c>
      <c r="C2686" s="8" t="str">
        <f>IFERROR(__xludf.DUMMYFUNCTION("""COMPUTED_VALUE"""),"C5325089599")</f>
        <v>C5325089599</v>
      </c>
      <c r="D2686" s="8">
        <f>IFERROR(__xludf.DUMMYFUNCTION("""COMPUTED_VALUE"""),72.0)</f>
        <v>72</v>
      </c>
      <c r="E2686" s="2"/>
    </row>
    <row r="2687">
      <c r="A2687" s="2"/>
      <c r="B2687" s="8" t="str">
        <f>IFERROR(__xludf.DUMMYFUNCTION("""COMPUTED_VALUE"""),"CHINTIA OKTAVIANY")</f>
        <v>CHINTIA OKTAVIANY</v>
      </c>
      <c r="C2687" s="8" t="str">
        <f>IFERROR(__xludf.DUMMYFUNCTION("""COMPUTED_VALUE"""),"C8525081338")</f>
        <v>C8525081338</v>
      </c>
      <c r="D2687" s="8">
        <f>IFERROR(__xludf.DUMMYFUNCTION("""COMPUTED_VALUE"""),40.0)</f>
        <v>40</v>
      </c>
      <c r="E2687" s="2"/>
    </row>
    <row r="2688">
      <c r="A2688" s="2"/>
      <c r="B2688" s="8" t="str">
        <f>IFERROR(__xludf.DUMMYFUNCTION("""COMPUTED_VALUE"""),"GILANG MAULANA")</f>
        <v>GILANG MAULANA</v>
      </c>
      <c r="C2688" s="8" t="str">
        <f>IFERROR(__xludf.DUMMYFUNCTION("""COMPUTED_VALUE"""),"G0025085646")</f>
        <v>G0025085646</v>
      </c>
      <c r="D2688" s="8">
        <f>IFERROR(__xludf.DUMMYFUNCTION("""COMPUTED_VALUE"""),26.0)</f>
        <v>26</v>
      </c>
      <c r="E2688" s="2"/>
    </row>
    <row r="2689">
      <c r="A2689" s="2"/>
      <c r="B2689" s="8" t="str">
        <f>IFERROR(__xludf.DUMMYFUNCTION("""COMPUTED_VALUE"""),"HAMDANI")</f>
        <v>HAMDANI</v>
      </c>
      <c r="C2689" s="8" t="str">
        <f>IFERROR(__xludf.DUMMYFUNCTION("""COMPUTED_VALUE"""),"H0625081751")</f>
        <v>H0625081751</v>
      </c>
      <c r="D2689" s="8">
        <f>IFERROR(__xludf.DUMMYFUNCTION("""COMPUTED_VALUE"""),19.0)</f>
        <v>19</v>
      </c>
      <c r="E2689" s="2"/>
    </row>
    <row r="2690">
      <c r="A2690" s="2"/>
      <c r="B2690" s="8" t="str">
        <f>IFERROR(__xludf.DUMMYFUNCTION("""COMPUTED_VALUE"""),"ALFIAN BONE PUTRA")</f>
        <v>ALFIAN BONE PUTRA</v>
      </c>
      <c r="C2690" s="8" t="str">
        <f>IFERROR(__xludf.DUMMYFUNCTION("""COMPUTED_VALUE"""),"A8925087212")</f>
        <v>A8925087212</v>
      </c>
      <c r="D2690" s="8">
        <f>IFERROR(__xludf.DUMMYFUNCTION("""COMPUTED_VALUE"""),36.0)</f>
        <v>36</v>
      </c>
      <c r="E2690" s="2"/>
    </row>
    <row r="2691">
      <c r="A2691" s="2"/>
      <c r="B2691" s="8" t="str">
        <f>IFERROR(__xludf.DUMMYFUNCTION("""COMPUTED_VALUE"""),"GUSTINAH")</f>
        <v>GUSTINAH</v>
      </c>
      <c r="C2691" s="8" t="str">
        <f>IFERROR(__xludf.DUMMYFUNCTION("""COMPUTED_VALUE"""),"G6024066302")</f>
        <v>G6024066302</v>
      </c>
      <c r="D2691" s="8">
        <f>IFERROR(__xludf.DUMMYFUNCTION("""COMPUTED_VALUE"""),65.0)</f>
        <v>65</v>
      </c>
      <c r="E2691" s="2"/>
    </row>
    <row r="2692">
      <c r="A2692" s="2"/>
      <c r="B2692" s="8" t="str">
        <f>IFERROR(__xludf.DUMMYFUNCTION("""COMPUTED_VALUE"""),"LEONARDO DANENDRA")</f>
        <v>LEONARDO DANENDRA</v>
      </c>
      <c r="C2692" s="8" t="str">
        <f>IFERROR(__xludf.DUMMYFUNCTION("""COMPUTED_VALUE"""),"L0125089460")</f>
        <v>L0125089460</v>
      </c>
      <c r="D2692" s="8">
        <f>IFERROR(__xludf.DUMMYFUNCTION("""COMPUTED_VALUE"""),24.0)</f>
        <v>24</v>
      </c>
      <c r="E2692" s="2"/>
    </row>
    <row r="2693">
      <c r="A2693" s="2"/>
      <c r="B2693" s="8" t="str">
        <f>IFERROR(__xludf.DUMMYFUNCTION("""COMPUTED_VALUE"""),"HJ. MARIA ULFAH")</f>
        <v>HJ. MARIA ULFAH</v>
      </c>
      <c r="C2693" s="8" t="str">
        <f>IFERROR(__xludf.DUMMYFUNCTION("""COMPUTED_VALUE"""),"H4825087125")</f>
        <v>H4825087125</v>
      </c>
      <c r="D2693" s="8">
        <f>IFERROR(__xludf.DUMMYFUNCTION("""COMPUTED_VALUE"""),78.0)</f>
        <v>78</v>
      </c>
      <c r="E2693" s="2"/>
    </row>
    <row r="2694">
      <c r="A2694" s="2"/>
      <c r="B2694" s="8" t="str">
        <f>IFERROR(__xludf.DUMMYFUNCTION("""COMPUTED_VALUE"""),"JESSANDRA PUSPARANI")</f>
        <v>JESSANDRA PUSPARANI</v>
      </c>
      <c r="C2694" s="8" t="str">
        <f>IFERROR(__xludf.DUMMYFUNCTION("""COMPUTED_VALUE"""),"J9925081874")</f>
        <v>J9925081874</v>
      </c>
      <c r="D2694" s="8">
        <f>IFERROR(__xludf.DUMMYFUNCTION("""COMPUTED_VALUE"""),26.0)</f>
        <v>26</v>
      </c>
      <c r="E2694" s="2"/>
    </row>
    <row r="2695">
      <c r="A2695" s="2"/>
      <c r="B2695" s="8" t="str">
        <f>IFERROR(__xludf.DUMMYFUNCTION("""COMPUTED_VALUE"""),"FLORENSIUS EFRENDI")</f>
        <v>FLORENSIUS EFRENDI</v>
      </c>
      <c r="C2695" s="8" t="str">
        <f>IFERROR(__xludf.DUMMYFUNCTION("""COMPUTED_VALUE"""),"F9125088080")</f>
        <v>F9125088080</v>
      </c>
      <c r="D2695" s="8">
        <f>IFERROR(__xludf.DUMMYFUNCTION("""COMPUTED_VALUE"""),35.0)</f>
        <v>35</v>
      </c>
      <c r="E2695" s="2"/>
    </row>
    <row r="2696">
      <c r="A2696" s="2"/>
      <c r="B2696" s="8" t="str">
        <f>IFERROR(__xludf.DUMMYFUNCTION("""COMPUTED_VALUE"""),"SYAHRUL MUNIR")</f>
        <v>SYAHRUL MUNIR</v>
      </c>
      <c r="C2696" s="8" t="str">
        <f>IFERROR(__xludf.DUMMYFUNCTION("""COMPUTED_VALUE"""),"S8225088794")</f>
        <v>S8225088794</v>
      </c>
      <c r="D2696" s="8">
        <f>IFERROR(__xludf.DUMMYFUNCTION("""COMPUTED_VALUE"""),43.0)</f>
        <v>43</v>
      </c>
      <c r="E2696" s="2"/>
    </row>
    <row r="2697">
      <c r="A2697" s="2"/>
      <c r="B2697" s="8" t="str">
        <f>IFERROR(__xludf.DUMMYFUNCTION("""COMPUTED_VALUE"""),"VIONY FRANSISKA")</f>
        <v>VIONY FRANSISKA</v>
      </c>
      <c r="C2697" s="8" t="str">
        <f>IFERROR(__xludf.DUMMYFUNCTION("""COMPUTED_VALUE"""),"V0225082178")</f>
        <v>V0225082178</v>
      </c>
      <c r="D2697" s="8">
        <f>IFERROR(__xludf.DUMMYFUNCTION("""COMPUTED_VALUE"""),23.0)</f>
        <v>23</v>
      </c>
      <c r="E2697" s="2"/>
    </row>
    <row r="2698">
      <c r="A2698" s="2"/>
      <c r="B2698" s="8" t="str">
        <f>IFERROR(__xludf.DUMMYFUNCTION("""COMPUTED_VALUE"""),"JANNUAR WIN")</f>
        <v>JANNUAR WIN</v>
      </c>
      <c r="C2698" s="8" t="str">
        <f>IFERROR(__xludf.DUMMYFUNCTION("""COMPUTED_VALUE"""),"J8725080200")</f>
        <v>J8725080200</v>
      </c>
      <c r="D2698" s="8">
        <f>IFERROR(__xludf.DUMMYFUNCTION("""COMPUTED_VALUE"""),39.0)</f>
        <v>39</v>
      </c>
      <c r="E2698" s="2"/>
    </row>
    <row r="2699">
      <c r="A2699" s="2"/>
      <c r="B2699" s="8" t="str">
        <f>IFERROR(__xludf.DUMMYFUNCTION("""COMPUTED_VALUE"""),"MARIVA")</f>
        <v>MARIVA</v>
      </c>
      <c r="C2699" s="8" t="str">
        <f>IFERROR(__xludf.DUMMYFUNCTION("""COMPUTED_VALUE"""),"M7925080330")</f>
        <v>M7925080330</v>
      </c>
      <c r="D2699" s="8">
        <f>IFERROR(__xludf.DUMMYFUNCTION("""COMPUTED_VALUE"""),47.0)</f>
        <v>47</v>
      </c>
      <c r="E2699" s="2"/>
    </row>
    <row r="2700">
      <c r="A2700" s="2"/>
      <c r="B2700" s="8" t="str">
        <f>IFERROR(__xludf.DUMMYFUNCTION("""COMPUTED_VALUE"""),"VINI KURNIA NINGSIH")</f>
        <v>VINI KURNIA NINGSIH</v>
      </c>
      <c r="C2700" s="8" t="str">
        <f>IFERROR(__xludf.DUMMYFUNCTION("""COMPUTED_VALUE"""),"V9425088267")</f>
        <v>V9425088267</v>
      </c>
      <c r="D2700" s="8">
        <f>IFERROR(__xludf.DUMMYFUNCTION("""COMPUTED_VALUE"""),31.0)</f>
        <v>31</v>
      </c>
      <c r="E2700" s="2"/>
    </row>
    <row r="2701">
      <c r="A2701" s="2"/>
      <c r="B2701" s="8" t="str">
        <f>IFERROR(__xludf.DUMMYFUNCTION("""COMPUTED_VALUE"""),"FELIX LUTHER DITYADI")</f>
        <v>FELIX LUTHER DITYADI</v>
      </c>
      <c r="C2701" s="8" t="str">
        <f>IFERROR(__xludf.DUMMYFUNCTION("""COMPUTED_VALUE"""),"F0325086499")</f>
        <v>F0325086499</v>
      </c>
      <c r="D2701" s="8">
        <f>IFERROR(__xludf.DUMMYFUNCTION("""COMPUTED_VALUE"""),23.0)</f>
        <v>23</v>
      </c>
      <c r="E2701" s="2"/>
    </row>
    <row r="2702">
      <c r="A2702" s="2"/>
      <c r="B2702" s="8" t="str">
        <f>IFERROR(__xludf.DUMMYFUNCTION("""COMPUTED_VALUE"""),"YUBANADI")</f>
        <v>YUBANADI</v>
      </c>
      <c r="C2702" s="8" t="str">
        <f>IFERROR(__xludf.DUMMYFUNCTION("""COMPUTED_VALUE"""),"Y5125088477")</f>
        <v>Y5125088477</v>
      </c>
      <c r="D2702" s="8">
        <f>IFERROR(__xludf.DUMMYFUNCTION("""COMPUTED_VALUE"""),75.0)</f>
        <v>75</v>
      </c>
      <c r="E2702" s="2"/>
    </row>
    <row r="2703">
      <c r="A2703" s="2"/>
      <c r="B2703" s="8" t="str">
        <f>IFERROR(__xludf.DUMMYFUNCTION("""COMPUTED_VALUE"""),"SUSY IRAWATY, NG")</f>
        <v>SUSY IRAWATY, NG</v>
      </c>
      <c r="C2703" s="8" t="str">
        <f>IFERROR(__xludf.DUMMYFUNCTION("""COMPUTED_VALUE"""),"S5825088319")</f>
        <v>S5825088319</v>
      </c>
      <c r="D2703" s="8">
        <f>IFERROR(__xludf.DUMMYFUNCTION("""COMPUTED_VALUE"""),68.0)</f>
        <v>68</v>
      </c>
      <c r="E2703" s="2"/>
    </row>
    <row r="2704">
      <c r="A2704" s="2"/>
      <c r="B2704" s="8" t="str">
        <f>IFERROR(__xludf.DUMMYFUNCTION("""COMPUTED_VALUE"""),"ARPAN DWI CAHYA")</f>
        <v>ARPAN DWI CAHYA</v>
      </c>
      <c r="C2704" s="8" t="str">
        <f>IFERROR(__xludf.DUMMYFUNCTION("""COMPUTED_VALUE"""),"A9625083700")</f>
        <v>A9625083700</v>
      </c>
      <c r="D2704" s="8">
        <f>IFERROR(__xludf.DUMMYFUNCTION("""COMPUTED_VALUE"""),29.0)</f>
        <v>29</v>
      </c>
      <c r="E2704" s="2"/>
    </row>
    <row r="2705">
      <c r="A2705" s="2"/>
      <c r="B2705" s="8" t="str">
        <f>IFERROR(__xludf.DUMMYFUNCTION("""COMPUTED_VALUE"""),"SYARIF MUHAMAAD RAHMAN")</f>
        <v>SYARIF MUHAMAAD RAHMAN</v>
      </c>
      <c r="C2705" s="8" t="str">
        <f>IFERROR(__xludf.DUMMYFUNCTION("""COMPUTED_VALUE"""),"S8225085959")</f>
        <v>S8225085959</v>
      </c>
      <c r="D2705" s="8">
        <f>IFERROR(__xludf.DUMMYFUNCTION("""COMPUTED_VALUE"""),43.0)</f>
        <v>43</v>
      </c>
      <c r="E2705" s="2"/>
    </row>
    <row r="2706">
      <c r="A2706" s="2"/>
      <c r="B2706" s="8" t="str">
        <f>IFERROR(__xludf.DUMMYFUNCTION("""COMPUTED_VALUE"""),"ANDRIADI")</f>
        <v>ANDRIADI</v>
      </c>
      <c r="C2706" s="8" t="str">
        <f>IFERROR(__xludf.DUMMYFUNCTION("""COMPUTED_VALUE"""),"A8725088071")</f>
        <v>A8725088071</v>
      </c>
      <c r="D2706" s="8">
        <f>IFERROR(__xludf.DUMMYFUNCTION("""COMPUTED_VALUE"""),38.0)</f>
        <v>38</v>
      </c>
      <c r="E2706" s="2"/>
    </row>
    <row r="2707">
      <c r="A2707" s="2"/>
      <c r="B2707" s="8" t="str">
        <f>IFERROR(__xludf.DUMMYFUNCTION("""COMPUTED_VALUE"""),"YAYUK SUKESI")</f>
        <v>YAYUK SUKESI</v>
      </c>
      <c r="C2707" s="8" t="str">
        <f>IFERROR(__xludf.DUMMYFUNCTION("""COMPUTED_VALUE"""),"Y7525084160")</f>
        <v>Y7525084160</v>
      </c>
      <c r="D2707" s="8">
        <f>IFERROR(__xludf.DUMMYFUNCTION("""COMPUTED_VALUE"""),50.0)</f>
        <v>50</v>
      </c>
      <c r="E2707" s="2"/>
    </row>
    <row r="2708">
      <c r="A2708" s="2"/>
      <c r="B2708" s="8" t="str">
        <f>IFERROR(__xludf.DUMMYFUNCTION("""COMPUTED_VALUE"""),"AGIL VERNANDO")</f>
        <v>AGIL VERNANDO</v>
      </c>
      <c r="C2708" s="8" t="str">
        <f>IFERROR(__xludf.DUMMYFUNCTION("""COMPUTED_VALUE"""),"A0625083764")</f>
        <v>A0625083764</v>
      </c>
      <c r="D2708" s="8">
        <f>IFERROR(__xludf.DUMMYFUNCTION("""COMPUTED_VALUE"""),19.0)</f>
        <v>19</v>
      </c>
      <c r="E2708" s="2"/>
    </row>
    <row r="2709">
      <c r="A2709" s="2"/>
      <c r="B2709" s="8" t="str">
        <f>IFERROR(__xludf.DUMMYFUNCTION("""COMPUTED_VALUE"""),"HAIFA")</f>
        <v>HAIFA</v>
      </c>
      <c r="C2709" s="8" t="str">
        <f>IFERROR(__xludf.DUMMYFUNCTION("""COMPUTED_VALUE"""),"H8525085959")</f>
        <v>H8525085959</v>
      </c>
      <c r="D2709" s="8">
        <f>IFERROR(__xludf.DUMMYFUNCTION("""COMPUTED_VALUE"""),40.0)</f>
        <v>40</v>
      </c>
      <c r="E2709" s="2"/>
    </row>
    <row r="2710">
      <c r="A2710" s="2"/>
      <c r="B2710" s="8" t="str">
        <f>IFERROR(__xludf.DUMMYFUNCTION("""COMPUTED_VALUE"""),"ANDRO BAO")</f>
        <v>ANDRO BAO</v>
      </c>
      <c r="C2710" s="8" t="str">
        <f>IFERROR(__xludf.DUMMYFUNCTION("""COMPUTED_VALUE"""),"A9925088893")</f>
        <v>A9925088893</v>
      </c>
      <c r="D2710" s="8">
        <f>IFERROR(__xludf.DUMMYFUNCTION("""COMPUTED_VALUE"""),26.0)</f>
        <v>26</v>
      </c>
      <c r="E2710" s="2"/>
    </row>
    <row r="2711">
      <c r="A2711" s="2"/>
      <c r="B2711" s="8" t="str">
        <f>IFERROR(__xludf.DUMMYFUNCTION("""COMPUTED_VALUE"""),"ARRON")</f>
        <v>ARRON</v>
      </c>
      <c r="C2711" s="8" t="str">
        <f>IFERROR(__xludf.DUMMYFUNCTION("""COMPUTED_VALUE"""),"A9225082999")</f>
        <v>A9225082999</v>
      </c>
      <c r="D2711" s="8">
        <f>IFERROR(__xludf.DUMMYFUNCTION("""COMPUTED_VALUE"""),33.0)</f>
        <v>33</v>
      </c>
      <c r="E2711" s="2"/>
    </row>
    <row r="2712">
      <c r="A2712" s="2"/>
      <c r="B2712" s="8" t="str">
        <f>IFERROR(__xludf.DUMMYFUNCTION("""COMPUTED_VALUE"""),"HENDRA GUNAWAN")</f>
        <v>HENDRA GUNAWAN</v>
      </c>
      <c r="C2712" s="8" t="str">
        <f>IFERROR(__xludf.DUMMYFUNCTION("""COMPUTED_VALUE"""),"H9525080524")</f>
        <v>H9525080524</v>
      </c>
      <c r="D2712" s="8">
        <f>IFERROR(__xludf.DUMMYFUNCTION("""COMPUTED_VALUE"""),30.0)</f>
        <v>30</v>
      </c>
      <c r="E2712" s="2"/>
    </row>
    <row r="2713">
      <c r="A2713" s="2"/>
      <c r="B2713" s="8" t="str">
        <f>IFERROR(__xludf.DUMMYFUNCTION("""COMPUTED_VALUE"""),"NUR HAYATI 9611")</f>
        <v>NUR HAYATI 9611</v>
      </c>
      <c r="C2713" s="8" t="str">
        <f>IFERROR(__xludf.DUMMYFUNCTION("""COMPUTED_VALUE"""),"N9625083579")</f>
        <v>N9625083579</v>
      </c>
      <c r="D2713" s="8">
        <f>IFERROR(__xludf.DUMMYFUNCTION("""COMPUTED_VALUE"""),29.0)</f>
        <v>29</v>
      </c>
      <c r="E2713" s="2"/>
    </row>
    <row r="2714">
      <c r="A2714" s="2"/>
      <c r="B2714" s="8" t="str">
        <f>IFERROR(__xludf.DUMMYFUNCTION("""COMPUTED_VALUE"""),"RAINASYA PUTRI KURNIAWAN")</f>
        <v>RAINASYA PUTRI KURNIAWAN</v>
      </c>
      <c r="C2714" s="8" t="str">
        <f>IFERROR(__xludf.DUMMYFUNCTION("""COMPUTED_VALUE"""),"R2525087850")</f>
        <v>R2525087850</v>
      </c>
      <c r="D2714" s="8">
        <f>IFERROR(__xludf.DUMMYFUNCTION("""COMPUTED_VALUE"""),0.0)</f>
        <v>0</v>
      </c>
      <c r="E2714" s="2"/>
    </row>
    <row r="2715">
      <c r="A2715" s="2"/>
      <c r="B2715" s="8" t="str">
        <f>IFERROR(__xludf.DUMMYFUNCTION("""COMPUTED_VALUE"""),"DAFID")</f>
        <v>DAFID</v>
      </c>
      <c r="C2715" s="8" t="str">
        <f>IFERROR(__xludf.DUMMYFUNCTION("""COMPUTED_VALUE"""),"D8725087201")</f>
        <v>D8725087201</v>
      </c>
      <c r="D2715" s="8">
        <f>IFERROR(__xludf.DUMMYFUNCTION("""COMPUTED_VALUE"""),38.0)</f>
        <v>38</v>
      </c>
      <c r="E2715" s="2"/>
    </row>
    <row r="2716">
      <c r="A2716" s="2"/>
      <c r="B2716" s="8" t="str">
        <f>IFERROR(__xludf.DUMMYFUNCTION("""COMPUTED_VALUE"""),"BAYU YOGA SEPTIAN")</f>
        <v>BAYU YOGA SEPTIAN</v>
      </c>
      <c r="C2716" s="8" t="str">
        <f>IFERROR(__xludf.DUMMYFUNCTION("""COMPUTED_VALUE"""),"B0025081615")</f>
        <v>B0025081615</v>
      </c>
      <c r="D2716" s="8">
        <f>IFERROR(__xludf.DUMMYFUNCTION("""COMPUTED_VALUE"""),25.0)</f>
        <v>25</v>
      </c>
      <c r="E2716" s="2"/>
    </row>
    <row r="2717">
      <c r="A2717" s="2"/>
      <c r="B2717" s="8" t="str">
        <f>IFERROR(__xludf.DUMMYFUNCTION("""COMPUTED_VALUE"""),"DIEGO RUMANIA")</f>
        <v>DIEGO RUMANIA</v>
      </c>
      <c r="C2717" s="8" t="str">
        <f>IFERROR(__xludf.DUMMYFUNCTION("""COMPUTED_VALUE"""),"D9125084788")</f>
        <v>D9125084788</v>
      </c>
      <c r="D2717" s="8">
        <f>IFERROR(__xludf.DUMMYFUNCTION("""COMPUTED_VALUE"""),35.0)</f>
        <v>35</v>
      </c>
      <c r="E2717" s="2"/>
    </row>
    <row r="2718">
      <c r="A2718" s="2"/>
      <c r="B2718" s="8" t="str">
        <f>IFERROR(__xludf.DUMMYFUNCTION("""COMPUTED_VALUE"""),"ZEA ARDELIA ALIKA JAUZA")</f>
        <v>ZEA ARDELIA ALIKA JAUZA</v>
      </c>
      <c r="C2718" s="8" t="str">
        <f>IFERROR(__xludf.DUMMYFUNCTION("""COMPUTED_VALUE"""),"Z0725083883")</f>
        <v>Z0725083883</v>
      </c>
      <c r="D2718" s="8">
        <f>IFERROR(__xludf.DUMMYFUNCTION("""COMPUTED_VALUE"""),18.0)</f>
        <v>18</v>
      </c>
      <c r="E2718" s="2"/>
    </row>
    <row r="2719">
      <c r="A2719" s="2"/>
      <c r="B2719" s="8" t="str">
        <f>IFERROR(__xludf.DUMMYFUNCTION("""COMPUTED_VALUE"""),"YOVINKA")</f>
        <v>YOVINKA</v>
      </c>
      <c r="C2719" s="8" t="str">
        <f>IFERROR(__xludf.DUMMYFUNCTION("""COMPUTED_VALUE"""),"Y9525082999")</f>
        <v>Y9525082999</v>
      </c>
      <c r="D2719" s="8">
        <f>IFERROR(__xludf.DUMMYFUNCTION("""COMPUTED_VALUE"""),30.0)</f>
        <v>30</v>
      </c>
      <c r="E2719" s="2"/>
    </row>
    <row r="2720">
      <c r="A2720" s="2"/>
      <c r="B2720" s="8" t="str">
        <f>IFERROR(__xludf.DUMMYFUNCTION("""COMPUTED_VALUE"""),"HERRI WASONO")</f>
        <v>HERRI WASONO</v>
      </c>
      <c r="C2720" s="8" t="str">
        <f>IFERROR(__xludf.DUMMYFUNCTION("""COMPUTED_VALUE"""),"H8425087651")</f>
        <v>H8425087651</v>
      </c>
      <c r="D2720" s="8">
        <f>IFERROR(__xludf.DUMMYFUNCTION("""COMPUTED_VALUE"""),42.0)</f>
        <v>42</v>
      </c>
      <c r="E2720" s="2"/>
    </row>
    <row r="2721">
      <c r="A2721" s="2"/>
      <c r="B2721" s="8" t="str">
        <f>IFERROR(__xludf.DUMMYFUNCTION("""COMPUTED_VALUE"""),"I DEWA AYU SARIPUTRI")</f>
        <v>I DEWA AYU SARIPUTRI</v>
      </c>
      <c r="C2721" s="8" t="str">
        <f>IFERROR(__xludf.DUMMYFUNCTION("""COMPUTED_VALUE"""),"I9825088872")</f>
        <v>I9825088872</v>
      </c>
      <c r="D2721" s="8">
        <f>IFERROR(__xludf.DUMMYFUNCTION("""COMPUTED_VALUE"""),28.0)</f>
        <v>28</v>
      </c>
      <c r="E2721" s="2"/>
    </row>
    <row r="2722">
      <c r="A2722" s="2"/>
      <c r="B2722" s="8" t="str">
        <f>IFERROR(__xludf.DUMMYFUNCTION("""COMPUTED_VALUE"""),"SOFHIA LEKA")</f>
        <v>SOFHIA LEKA</v>
      </c>
      <c r="C2722" s="8" t="str">
        <f>IFERROR(__xludf.DUMMYFUNCTION("""COMPUTED_VALUE"""),"S9025083777")</f>
        <v>S9025083777</v>
      </c>
      <c r="D2722" s="8">
        <f>IFERROR(__xludf.DUMMYFUNCTION("""COMPUTED_VALUE"""),36.0)</f>
        <v>36</v>
      </c>
      <c r="E2722" s="2"/>
    </row>
    <row r="2723">
      <c r="A2723" s="2"/>
      <c r="B2723" s="8" t="str">
        <f>IFERROR(__xludf.DUMMYFUNCTION("""COMPUTED_VALUE"""),"BARRY EKA PUTRA")</f>
        <v>BARRY EKA PUTRA</v>
      </c>
      <c r="C2723" s="8" t="str">
        <f>IFERROR(__xludf.DUMMYFUNCTION("""COMPUTED_VALUE"""),"B9025083777")</f>
        <v>B9025083777</v>
      </c>
      <c r="D2723" s="8">
        <f>IFERROR(__xludf.DUMMYFUNCTION("""COMPUTED_VALUE"""),36.0)</f>
        <v>36</v>
      </c>
      <c r="E2723" s="2"/>
    </row>
    <row r="2724">
      <c r="A2724" s="2"/>
      <c r="B2724" s="8" t="str">
        <f>IFERROR(__xludf.DUMMYFUNCTION("""COMPUTED_VALUE"""),"ALAMIN MZ")</f>
        <v>ALAMIN MZ</v>
      </c>
      <c r="C2724" s="8" t="str">
        <f>IFERROR(__xludf.DUMMYFUNCTION("""COMPUTED_VALUE"""),"A0125089175")</f>
        <v>A0125089175</v>
      </c>
      <c r="D2724" s="8">
        <f>IFERROR(__xludf.DUMMYFUNCTION("""COMPUTED_VALUE"""),24.0)</f>
        <v>24</v>
      </c>
      <c r="E2724" s="2"/>
    </row>
    <row r="2725">
      <c r="A2725" s="2"/>
      <c r="B2725" s="8" t="str">
        <f>IFERROR(__xludf.DUMMYFUNCTION("""COMPUTED_VALUE"""),"YUNITA")</f>
        <v>YUNITA</v>
      </c>
      <c r="C2725" s="8" t="str">
        <f>IFERROR(__xludf.DUMMYFUNCTION("""COMPUTED_VALUE"""),"Y9524111515")</f>
        <v>Y9524111515</v>
      </c>
      <c r="D2725" s="8">
        <f>IFERROR(__xludf.DUMMYFUNCTION("""COMPUTED_VALUE"""),31.0)</f>
        <v>31</v>
      </c>
      <c r="E2725" s="2"/>
    </row>
    <row r="2726">
      <c r="A2726" s="2"/>
      <c r="B2726" s="8" t="str">
        <f>IFERROR(__xludf.DUMMYFUNCTION("""COMPUTED_VALUE"""),"FRANSISKA MARIA NUR")</f>
        <v>FRANSISKA MARIA NUR</v>
      </c>
      <c r="C2726" s="8" t="str">
        <f>IFERROR(__xludf.DUMMYFUNCTION("""COMPUTED_VALUE"""),"F0425082598")</f>
        <v>F0425082598</v>
      </c>
      <c r="D2726" s="8">
        <f>IFERROR(__xludf.DUMMYFUNCTION("""COMPUTED_VALUE"""),22.0)</f>
        <v>22</v>
      </c>
      <c r="E2726" s="2"/>
    </row>
    <row r="2727">
      <c r="A2727" s="2"/>
      <c r="B2727" s="8" t="str">
        <f>IFERROR(__xludf.DUMMYFUNCTION("""COMPUTED_VALUE"""),"ALIANSYAH")</f>
        <v>ALIANSYAH</v>
      </c>
      <c r="C2727" s="8" t="str">
        <f>IFERROR(__xludf.DUMMYFUNCTION("""COMPUTED_VALUE"""),"A9925083027")</f>
        <v>A9925083027</v>
      </c>
      <c r="D2727" s="8">
        <f>IFERROR(__xludf.DUMMYFUNCTION("""COMPUTED_VALUE"""),26.0)</f>
        <v>26</v>
      </c>
      <c r="E2727" s="2"/>
    </row>
    <row r="2728">
      <c r="A2728" s="2"/>
      <c r="B2728" s="8" t="str">
        <f>IFERROR(__xludf.DUMMYFUNCTION("""COMPUTED_VALUE"""),"INDRA WIJAYA")</f>
        <v>INDRA WIJAYA</v>
      </c>
      <c r="C2728" s="8" t="str">
        <f>IFERROR(__xludf.DUMMYFUNCTION("""COMPUTED_VALUE"""),"I0425088859")</f>
        <v>I0425088859</v>
      </c>
      <c r="D2728" s="8">
        <f>IFERROR(__xludf.DUMMYFUNCTION("""COMPUTED_VALUE"""),21.0)</f>
        <v>21</v>
      </c>
      <c r="E2728" s="2"/>
    </row>
    <row r="2729">
      <c r="A2729" s="2"/>
      <c r="B2729" s="8" t="str">
        <f>IFERROR(__xludf.DUMMYFUNCTION("""COMPUTED_VALUE"""),"ALEX ALSHEN")</f>
        <v>ALEX ALSHEN</v>
      </c>
      <c r="C2729" s="8" t="str">
        <f>IFERROR(__xludf.DUMMYFUNCTION("""COMPUTED_VALUE"""),"A0425086343")</f>
        <v>A0425086343</v>
      </c>
      <c r="D2729" s="8">
        <f>IFERROR(__xludf.DUMMYFUNCTION("""COMPUTED_VALUE"""),22.0)</f>
        <v>22</v>
      </c>
      <c r="E2729" s="2"/>
    </row>
    <row r="2730">
      <c r="A2730" s="2"/>
      <c r="B2730" s="8" t="str">
        <f>IFERROR(__xludf.DUMMYFUNCTION("""COMPUTED_VALUE"""),"KHOE LIE HIA")</f>
        <v>KHOE LIE HIA</v>
      </c>
      <c r="C2730" s="8" t="str">
        <f>IFERROR(__xludf.DUMMYFUNCTION("""COMPUTED_VALUE"""),"K5625087628")</f>
        <v>K5625087628</v>
      </c>
      <c r="D2730" s="8">
        <f>IFERROR(__xludf.DUMMYFUNCTION("""COMPUTED_VALUE"""),69.0)</f>
        <v>69</v>
      </c>
      <c r="E2730" s="2"/>
    </row>
    <row r="2731">
      <c r="A2731" s="2"/>
      <c r="B2731" s="8" t="str">
        <f>IFERROR(__xludf.DUMMYFUNCTION("""COMPUTED_VALUE"""),"YULIANA 9606")</f>
        <v>YULIANA 9606</v>
      </c>
      <c r="C2731" s="8" t="str">
        <f>IFERROR(__xludf.DUMMYFUNCTION("""COMPUTED_VALUE"""),"Y9625087682")</f>
        <v>Y9625087682</v>
      </c>
      <c r="D2731" s="8">
        <f>IFERROR(__xludf.DUMMYFUNCTION("""COMPUTED_VALUE"""),30.0)</f>
        <v>30</v>
      </c>
      <c r="E2731" s="2"/>
    </row>
    <row r="2732">
      <c r="A2732" s="2"/>
      <c r="B2732" s="8" t="str">
        <f>IFERROR(__xludf.DUMMYFUNCTION("""COMPUTED_VALUE"""),"ANDRY LODIYANTO")</f>
        <v>ANDRY LODIYANTO</v>
      </c>
      <c r="C2732" s="8" t="str">
        <f>IFERROR(__xludf.DUMMYFUNCTION("""COMPUTED_VALUE"""),"A9125086876")</f>
        <v>A9125086876</v>
      </c>
      <c r="D2732" s="8">
        <f>IFERROR(__xludf.DUMMYFUNCTION("""COMPUTED_VALUE"""),35.0)</f>
        <v>35</v>
      </c>
      <c r="E2732" s="2"/>
    </row>
    <row r="2733">
      <c r="A2733" s="2"/>
      <c r="B2733" s="8" t="str">
        <f>IFERROR(__xludf.DUMMYFUNCTION("""COMPUTED_VALUE"""),"STELLA NADIA GOWINDRA")</f>
        <v>STELLA NADIA GOWINDRA</v>
      </c>
      <c r="C2733" s="8" t="str">
        <f>IFERROR(__xludf.DUMMYFUNCTION("""COMPUTED_VALUE"""),"S8725087777")</f>
        <v>S8725087777</v>
      </c>
      <c r="D2733" s="8">
        <f>IFERROR(__xludf.DUMMYFUNCTION("""COMPUTED_VALUE"""),38.0)</f>
        <v>38</v>
      </c>
      <c r="E2733" s="2"/>
    </row>
    <row r="2734">
      <c r="A2734" s="2"/>
      <c r="B2734" s="8" t="str">
        <f>IFERROR(__xludf.DUMMYFUNCTION("""COMPUTED_VALUE"""),"TAUPIQUR RAIHAN")</f>
        <v>TAUPIQUR RAIHAN</v>
      </c>
      <c r="C2734" s="8" t="str">
        <f>IFERROR(__xludf.DUMMYFUNCTION("""COMPUTED_VALUE"""),"T0525084617")</f>
        <v>T0525084617</v>
      </c>
      <c r="D2734" s="8">
        <f>IFERROR(__xludf.DUMMYFUNCTION("""COMPUTED_VALUE"""),21.0)</f>
        <v>21</v>
      </c>
      <c r="E2734" s="2"/>
    </row>
    <row r="2735">
      <c r="A2735" s="2"/>
      <c r="B2735" s="8" t="str">
        <f>IFERROR(__xludf.DUMMYFUNCTION("""COMPUTED_VALUE"""),"NAILAH QEIZHA ALMAQHVIRA")</f>
        <v>NAILAH QEIZHA ALMAQHVIRA</v>
      </c>
      <c r="C2735" s="8" t="str">
        <f>IFERROR(__xludf.DUMMYFUNCTION("""COMPUTED_VALUE"""),"N0925081359")</f>
        <v>N0925081359</v>
      </c>
      <c r="D2735" s="8">
        <f>IFERROR(__xludf.DUMMYFUNCTION("""COMPUTED_VALUE"""),17.0)</f>
        <v>17</v>
      </c>
      <c r="E2735" s="2"/>
    </row>
    <row r="2736">
      <c r="A2736" s="2"/>
      <c r="B2736" s="8" t="str">
        <f>IFERROR(__xludf.DUMMYFUNCTION("""COMPUTED_VALUE"""),"RUDIYANSYAH")</f>
        <v>RUDIYANSYAH</v>
      </c>
      <c r="C2736" s="8" t="str">
        <f>IFERROR(__xludf.DUMMYFUNCTION("""COMPUTED_VALUE"""),"R7925089659")</f>
        <v>R7925089659</v>
      </c>
      <c r="D2736" s="8">
        <f>IFERROR(__xludf.DUMMYFUNCTION("""COMPUTED_VALUE"""),47.0)</f>
        <v>47</v>
      </c>
      <c r="E2736" s="2"/>
    </row>
    <row r="2737">
      <c r="A2737" s="2"/>
      <c r="B2737" s="8" t="str">
        <f>IFERROR(__xludf.DUMMYFUNCTION("""COMPUTED_VALUE"""),"KARMIN")</f>
        <v>KARMIN</v>
      </c>
      <c r="C2737" s="8" t="str">
        <f>IFERROR(__xludf.DUMMYFUNCTION("""COMPUTED_VALUE"""),"K6225088152")</f>
        <v>K6225088152</v>
      </c>
      <c r="D2737" s="8">
        <f>IFERROR(__xludf.DUMMYFUNCTION("""COMPUTED_VALUE"""),64.0)</f>
        <v>64</v>
      </c>
      <c r="E2737" s="2"/>
    </row>
    <row r="2738">
      <c r="A2738" s="2"/>
      <c r="B2738" s="8" t="str">
        <f>IFERROR(__xludf.DUMMYFUNCTION("""COMPUTED_VALUE"""),"EVANTIO")</f>
        <v>EVANTIO</v>
      </c>
      <c r="C2738" s="8" t="str">
        <f>IFERROR(__xludf.DUMMYFUNCTION("""COMPUTED_VALUE"""),"E9625083582")</f>
        <v>E9625083582</v>
      </c>
      <c r="D2738" s="8">
        <f>IFERROR(__xludf.DUMMYFUNCTION("""COMPUTED_VALUE"""),30.0)</f>
        <v>30</v>
      </c>
      <c r="E2738" s="2"/>
    </row>
    <row r="2739">
      <c r="A2739" s="2"/>
      <c r="B2739" s="8" t="str">
        <f>IFERROR(__xludf.DUMMYFUNCTION("""COMPUTED_VALUE"""),"WENNY YOSTIA")</f>
        <v>WENNY YOSTIA</v>
      </c>
      <c r="C2739" s="8" t="str">
        <f>IFERROR(__xludf.DUMMYFUNCTION("""COMPUTED_VALUE"""),"W9125089669")</f>
        <v>W9125089669</v>
      </c>
      <c r="D2739" s="8">
        <f>IFERROR(__xludf.DUMMYFUNCTION("""COMPUTED_VALUE"""),35.0)</f>
        <v>35</v>
      </c>
      <c r="E2739" s="2"/>
    </row>
    <row r="2740">
      <c r="A2740" s="2"/>
      <c r="B2740" s="8" t="str">
        <f>IFERROR(__xludf.DUMMYFUNCTION("""COMPUTED_VALUE"""),"KHOU AI KHENG")</f>
        <v>KHOU AI KHENG</v>
      </c>
      <c r="C2740" s="8" t="str">
        <f>IFERROR(__xludf.DUMMYFUNCTION("""COMPUTED_VALUE"""),"K7525084719")</f>
        <v>K7525084719</v>
      </c>
      <c r="D2740" s="8">
        <f>IFERROR(__xludf.DUMMYFUNCTION("""COMPUTED_VALUE"""),50.0)</f>
        <v>50</v>
      </c>
      <c r="E2740" s="2"/>
    </row>
    <row r="2741">
      <c r="A2741" s="2"/>
      <c r="B2741" s="8" t="str">
        <f>IFERROR(__xludf.DUMMYFUNCTION("""COMPUTED_VALUE"""),"ELBERT")</f>
        <v>ELBERT</v>
      </c>
      <c r="C2741" s="8" t="str">
        <f>IFERROR(__xludf.DUMMYFUNCTION("""COMPUTED_VALUE"""),"E9825083788")</f>
        <v>E9825083788</v>
      </c>
      <c r="D2741" s="8">
        <f>IFERROR(__xludf.DUMMYFUNCTION("""COMPUTED_VALUE"""),28.0)</f>
        <v>28</v>
      </c>
      <c r="E2741" s="2"/>
    </row>
    <row r="2742">
      <c r="A2742" s="2"/>
      <c r="B2742" s="8" t="str">
        <f>IFERROR(__xludf.DUMMYFUNCTION("""COMPUTED_VALUE"""),"SAFIRA PUTRI WIBOWO")</f>
        <v>SAFIRA PUTRI WIBOWO</v>
      </c>
      <c r="C2742" s="8" t="str">
        <f>IFERROR(__xludf.DUMMYFUNCTION("""COMPUTED_VALUE"""),"S0825081575")</f>
        <v>S0825081575</v>
      </c>
      <c r="D2742" s="8">
        <f>IFERROR(__xludf.DUMMYFUNCTION("""COMPUTED_VALUE"""),17.0)</f>
        <v>17</v>
      </c>
      <c r="E2742" s="2"/>
    </row>
    <row r="2743">
      <c r="A2743" s="2"/>
      <c r="B2743" s="8" t="str">
        <f>IFERROR(__xludf.DUMMYFUNCTION("""COMPUTED_VALUE"""),"DHIO ASRIL DWIYONO")</f>
        <v>DHIO ASRIL DWIYONO</v>
      </c>
      <c r="C2743" s="8" t="str">
        <f>IFERROR(__xludf.DUMMYFUNCTION("""COMPUTED_VALUE"""),"D9825088969")</f>
        <v>D9825088969</v>
      </c>
      <c r="D2743" s="8">
        <f>IFERROR(__xludf.DUMMYFUNCTION("""COMPUTED_VALUE"""),27.0)</f>
        <v>27</v>
      </c>
      <c r="E2743" s="2"/>
    </row>
    <row r="2744">
      <c r="A2744" s="2"/>
      <c r="B2744" s="8" t="str">
        <f>IFERROR(__xludf.DUMMYFUNCTION("""COMPUTED_VALUE"""),"VIVO TORAS RAKONDA")</f>
        <v>VIVO TORAS RAKONDA</v>
      </c>
      <c r="C2744" s="8" t="str">
        <f>IFERROR(__xludf.DUMMYFUNCTION("""COMPUTED_VALUE"""),"V0125082642")</f>
        <v>V0125082642</v>
      </c>
      <c r="D2744" s="8">
        <f>IFERROR(__xludf.DUMMYFUNCTION("""COMPUTED_VALUE"""),24.0)</f>
        <v>24</v>
      </c>
      <c r="E2744" s="2"/>
    </row>
    <row r="2745">
      <c r="A2745" s="2"/>
      <c r="B2745" s="8" t="str">
        <f>IFERROR(__xludf.DUMMYFUNCTION("""COMPUTED_VALUE"""),"FATIMAH 5612")</f>
        <v>FATIMAH 5612</v>
      </c>
      <c r="C2745" s="8" t="str">
        <f>IFERROR(__xludf.DUMMYFUNCTION("""COMPUTED_VALUE"""),"F5625080460")</f>
        <v>F5625080460</v>
      </c>
      <c r="D2745" s="8">
        <f>IFERROR(__xludf.DUMMYFUNCTION("""COMPUTED_VALUE"""),69.0)</f>
        <v>69</v>
      </c>
      <c r="E2745" s="2"/>
    </row>
    <row r="2746">
      <c r="A2746" s="2"/>
      <c r="B2746" s="8" t="str">
        <f>IFERROR(__xludf.DUMMYFUNCTION("""COMPUTED_VALUE"""),"FARID DZULHILMI")</f>
        <v>FARID DZULHILMI</v>
      </c>
      <c r="C2746" s="8" t="str">
        <f>IFERROR(__xludf.DUMMYFUNCTION("""COMPUTED_VALUE"""),"F0825085529")</f>
        <v>F0825085529</v>
      </c>
      <c r="D2746" s="8">
        <f>IFERROR(__xludf.DUMMYFUNCTION("""COMPUTED_VALUE"""),18.0)</f>
        <v>18</v>
      </c>
      <c r="E2746" s="2"/>
    </row>
    <row r="2747">
      <c r="A2747" s="2"/>
      <c r="B2747" s="8" t="str">
        <f>IFERROR(__xludf.DUMMYFUNCTION("""COMPUTED_VALUE"""),"FIA SULIANTI")</f>
        <v>FIA SULIANTI</v>
      </c>
      <c r="C2747" s="8" t="str">
        <f>IFERROR(__xludf.DUMMYFUNCTION("""COMPUTED_VALUE"""),"F7725084795")</f>
        <v>F7725084795</v>
      </c>
      <c r="D2747" s="8">
        <f>IFERROR(__xludf.DUMMYFUNCTION("""COMPUTED_VALUE"""),49.0)</f>
        <v>49</v>
      </c>
      <c r="E2747" s="2"/>
    </row>
    <row r="2748">
      <c r="A2748" s="2"/>
      <c r="B2748" s="8" t="str">
        <f>IFERROR(__xludf.DUMMYFUNCTION("""COMPUTED_VALUE"""),"MURHAMAH. MS")</f>
        <v>MURHAMAH. MS</v>
      </c>
      <c r="C2748" s="8" t="str">
        <f>IFERROR(__xludf.DUMMYFUNCTION("""COMPUTED_VALUE"""),"M5825088764")</f>
        <v>M5825088764</v>
      </c>
      <c r="D2748" s="8">
        <f>IFERROR(__xludf.DUMMYFUNCTION("""COMPUTED_VALUE"""),67.0)</f>
        <v>67</v>
      </c>
      <c r="E2748" s="2"/>
    </row>
    <row r="2749">
      <c r="A2749" s="2"/>
      <c r="B2749" s="8" t="str">
        <f>IFERROR(__xludf.DUMMYFUNCTION("""COMPUTED_VALUE"""),"DESTY AYU WULANSARI")</f>
        <v>DESTY AYU WULANSARI</v>
      </c>
      <c r="C2749" s="8" t="str">
        <f>IFERROR(__xludf.DUMMYFUNCTION("""COMPUTED_VALUE"""),"D9625081496")</f>
        <v>D9625081496</v>
      </c>
      <c r="D2749" s="8">
        <f>IFERROR(__xludf.DUMMYFUNCTION("""COMPUTED_VALUE"""),29.0)</f>
        <v>29</v>
      </c>
      <c r="E2749" s="2"/>
    </row>
    <row r="2750">
      <c r="A2750" s="2"/>
      <c r="B2750" s="8" t="str">
        <f>IFERROR(__xludf.DUMMYFUNCTION("""COMPUTED_VALUE"""),"LIANNA NATHANIA")</f>
        <v>LIANNA NATHANIA</v>
      </c>
      <c r="C2750" s="8" t="str">
        <f>IFERROR(__xludf.DUMMYFUNCTION("""COMPUTED_VALUE"""),"L9825085931")</f>
        <v>L9825085931</v>
      </c>
      <c r="D2750" s="8">
        <f>IFERROR(__xludf.DUMMYFUNCTION("""COMPUTED_VALUE"""),28.0)</f>
        <v>28</v>
      </c>
      <c r="E2750" s="2"/>
    </row>
    <row r="2751">
      <c r="A2751" s="2"/>
      <c r="B2751" s="8" t="str">
        <f>IFERROR(__xludf.DUMMYFUNCTION("""COMPUTED_VALUE"""),"DRA. ROSMANIAR")</f>
        <v>DRA. ROSMANIAR</v>
      </c>
      <c r="C2751" s="8" t="str">
        <f>IFERROR(__xludf.DUMMYFUNCTION("""COMPUTED_VALUE"""),"D6925087602")</f>
        <v>D6925087602</v>
      </c>
      <c r="D2751" s="8">
        <f>IFERROR(__xludf.DUMMYFUNCTION("""COMPUTED_VALUE"""),56.0)</f>
        <v>56</v>
      </c>
      <c r="E2751" s="2"/>
    </row>
    <row r="2752">
      <c r="A2752" s="2"/>
      <c r="B2752" s="8" t="str">
        <f>IFERROR(__xludf.DUMMYFUNCTION("""COMPUTED_VALUE"""),"RATNA DEVI")</f>
        <v>RATNA DEVI</v>
      </c>
      <c r="C2752" s="8" t="str">
        <f>IFERROR(__xludf.DUMMYFUNCTION("""COMPUTED_VALUE"""),"R8925087378")</f>
        <v>R8925087378</v>
      </c>
      <c r="D2752" s="8">
        <f>IFERROR(__xludf.DUMMYFUNCTION("""COMPUTED_VALUE"""),37.0)</f>
        <v>37</v>
      </c>
      <c r="E2752" s="2"/>
    </row>
    <row r="2753">
      <c r="A2753" s="2"/>
      <c r="B2753" s="8" t="str">
        <f>IFERROR(__xludf.DUMMYFUNCTION("""COMPUTED_VALUE"""),"MARTINI")</f>
        <v>MARTINI</v>
      </c>
      <c r="C2753" s="8" t="str">
        <f>IFERROR(__xludf.DUMMYFUNCTION("""COMPUTED_VALUE"""),"M7225080167")</f>
        <v>M7225080167</v>
      </c>
      <c r="D2753" s="8">
        <f>IFERROR(__xludf.DUMMYFUNCTION("""COMPUTED_VALUE"""),54.0)</f>
        <v>54</v>
      </c>
      <c r="E2753" s="2"/>
    </row>
    <row r="2754">
      <c r="A2754" s="2"/>
      <c r="B2754" s="8" t="str">
        <f>IFERROR(__xludf.DUMMYFUNCTION("""COMPUTED_VALUE"""),"YOGA PATRIA")</f>
        <v>YOGA PATRIA</v>
      </c>
      <c r="C2754" s="8" t="str">
        <f>IFERROR(__xludf.DUMMYFUNCTION("""COMPUTED_VALUE"""),"Y9725088298")</f>
        <v>Y9725088298</v>
      </c>
      <c r="D2754" s="8">
        <f>IFERROR(__xludf.DUMMYFUNCTION("""COMPUTED_VALUE"""),28.0)</f>
        <v>28</v>
      </c>
      <c r="E2754" s="2"/>
    </row>
    <row r="2755">
      <c r="A2755" s="2"/>
      <c r="B2755" s="8" t="str">
        <f>IFERROR(__xludf.DUMMYFUNCTION("""COMPUTED_VALUE"""),"ALFI ANANDA HIDAYAT")</f>
        <v>ALFI ANANDA HIDAYAT</v>
      </c>
      <c r="C2755" s="8" t="str">
        <f>IFERROR(__xludf.DUMMYFUNCTION("""COMPUTED_VALUE"""),"A9925081999")</f>
        <v>A9925081999</v>
      </c>
      <c r="D2755" s="8">
        <f>IFERROR(__xludf.DUMMYFUNCTION("""COMPUTED_VALUE"""),26.0)</f>
        <v>26</v>
      </c>
      <c r="E2755" s="2"/>
    </row>
    <row r="2756">
      <c r="A2756" s="2"/>
      <c r="B2756" s="8" t="str">
        <f>IFERROR(__xludf.DUMMYFUNCTION("""COMPUTED_VALUE"""),"KHUSA ZUNIAR MUHAROMAH")</f>
        <v>KHUSA ZUNIAR MUHAROMAH</v>
      </c>
      <c r="C2756" s="8" t="str">
        <f>IFERROR(__xludf.DUMMYFUNCTION("""COMPUTED_VALUE"""),"K0725083239")</f>
        <v>K0725083239</v>
      </c>
      <c r="D2756" s="8">
        <f>IFERROR(__xludf.DUMMYFUNCTION("""COMPUTED_VALUE"""),19.0)</f>
        <v>19</v>
      </c>
      <c r="E2756" s="2"/>
    </row>
    <row r="2757">
      <c r="A2757" s="2"/>
      <c r="B2757" s="8" t="str">
        <f>IFERROR(__xludf.DUMMYFUNCTION("""COMPUTED_VALUE"""),"YOCKY RIZKI EFFENDY")</f>
        <v>YOCKY RIZKI EFFENDY</v>
      </c>
      <c r="C2757" s="8" t="str">
        <f>IFERROR(__xludf.DUMMYFUNCTION("""COMPUTED_VALUE"""),"Y9925088546")</f>
        <v>Y9925088546</v>
      </c>
      <c r="D2757" s="8">
        <f>IFERROR(__xludf.DUMMYFUNCTION("""COMPUTED_VALUE"""),27.0)</f>
        <v>27</v>
      </c>
      <c r="E2757" s="2"/>
    </row>
    <row r="2758">
      <c r="A2758" s="2"/>
      <c r="B2758" s="8" t="str">
        <f>IFERROR(__xludf.DUMMYFUNCTION("""COMPUTED_VALUE"""),"MARIANITA DARA PABAYO")</f>
        <v>MARIANITA DARA PABAYO</v>
      </c>
      <c r="C2758" s="8" t="str">
        <f>IFERROR(__xludf.DUMMYFUNCTION("""COMPUTED_VALUE"""),"M9325080443")</f>
        <v>M9325080443</v>
      </c>
      <c r="D2758" s="8">
        <f>IFERROR(__xludf.DUMMYFUNCTION("""COMPUTED_VALUE"""),33.0)</f>
        <v>33</v>
      </c>
      <c r="E2758" s="2"/>
    </row>
    <row r="2759">
      <c r="A2759" s="2"/>
      <c r="B2759" s="8" t="str">
        <f>IFERROR(__xludf.DUMMYFUNCTION("""COMPUTED_VALUE"""),"ABDUL RAHIM 9411")</f>
        <v>ABDUL RAHIM 9411</v>
      </c>
      <c r="C2759" s="8" t="str">
        <f>IFERROR(__xludf.DUMMYFUNCTION("""COMPUTED_VALUE"""),"A9425088083")</f>
        <v>A9425088083</v>
      </c>
      <c r="D2759" s="8">
        <f>IFERROR(__xludf.DUMMYFUNCTION("""COMPUTED_VALUE"""),31.0)</f>
        <v>31</v>
      </c>
      <c r="E2759" s="2"/>
    </row>
    <row r="2760">
      <c r="A2760" s="2"/>
      <c r="B2760" s="8" t="str">
        <f>IFERROR(__xludf.DUMMYFUNCTION("""COMPUTED_VALUE"""),"RITA HARJANTI")</f>
        <v>RITA HARJANTI</v>
      </c>
      <c r="C2760" s="8" t="str">
        <f>IFERROR(__xludf.DUMMYFUNCTION("""COMPUTED_VALUE"""),"R8025084828")</f>
        <v>R8025084828</v>
      </c>
      <c r="D2760" s="8">
        <f>IFERROR(__xludf.DUMMYFUNCTION("""COMPUTED_VALUE"""),45.0)</f>
        <v>45</v>
      </c>
      <c r="E2760" s="2"/>
    </row>
    <row r="2761">
      <c r="A2761" s="2"/>
      <c r="B2761" s="8" t="str">
        <f>IFERROR(__xludf.DUMMYFUNCTION("""COMPUTED_VALUE"""),"DIAN GITA SAVITRI")</f>
        <v>DIAN GITA SAVITRI</v>
      </c>
      <c r="C2761" s="8" t="str">
        <f>IFERROR(__xludf.DUMMYFUNCTION("""COMPUTED_VALUE"""),"D8825084244")</f>
        <v>D8825084244</v>
      </c>
      <c r="D2761" s="8">
        <f>IFERROR(__xludf.DUMMYFUNCTION("""COMPUTED_VALUE"""),38.0)</f>
        <v>38</v>
      </c>
      <c r="E2761" s="2"/>
    </row>
    <row r="2762">
      <c r="A2762" s="2"/>
      <c r="B2762" s="8" t="str">
        <f>IFERROR(__xludf.DUMMYFUNCTION("""COMPUTED_VALUE"""),"YOSIA GALANG PUTRA BORNEO")</f>
        <v>YOSIA GALANG PUTRA BORNEO</v>
      </c>
      <c r="C2762" s="8" t="str">
        <f>IFERROR(__xludf.DUMMYFUNCTION("""COMPUTED_VALUE"""),"Y0825082296")</f>
        <v>Y0825082296</v>
      </c>
      <c r="D2762" s="8">
        <f>IFERROR(__xludf.DUMMYFUNCTION("""COMPUTED_VALUE"""),18.0)</f>
        <v>18</v>
      </c>
      <c r="E2762" s="2"/>
    </row>
    <row r="2763">
      <c r="A2763" s="2"/>
      <c r="B2763" s="8" t="str">
        <f>IFERROR(__xludf.DUMMYFUNCTION("""COMPUTED_VALUE"""),"FISCA NATALIA")</f>
        <v>FISCA NATALIA</v>
      </c>
      <c r="C2763" s="8" t="str">
        <f>IFERROR(__xludf.DUMMYFUNCTION("""COMPUTED_VALUE"""),"F0025087304")</f>
        <v>F0025087304</v>
      </c>
      <c r="D2763" s="8">
        <f>IFERROR(__xludf.DUMMYFUNCTION("""COMPUTED_VALUE"""),26.0)</f>
        <v>26</v>
      </c>
      <c r="E2763" s="2"/>
    </row>
    <row r="2764">
      <c r="A2764" s="2"/>
      <c r="B2764" s="8" t="str">
        <f>IFERROR(__xludf.DUMMYFUNCTION("""COMPUTED_VALUE"""),"KURNIAWATI 6009")</f>
        <v>KURNIAWATI 6009</v>
      </c>
      <c r="C2764" s="8" t="str">
        <f>IFERROR(__xludf.DUMMYFUNCTION("""COMPUTED_VALUE"""),"K6025085313")</f>
        <v>K6025085313</v>
      </c>
      <c r="D2764" s="8">
        <f>IFERROR(__xludf.DUMMYFUNCTION("""COMPUTED_VALUE"""),65.0)</f>
        <v>65</v>
      </c>
      <c r="E2764" s="2"/>
    </row>
    <row r="2765">
      <c r="A2765" s="2"/>
      <c r="B2765" s="8" t="str">
        <f>IFERROR(__xludf.DUMMYFUNCTION("""COMPUTED_VALUE"""),"SULASTRI 6507")</f>
        <v>SULASTRI 6507</v>
      </c>
      <c r="C2765" s="8" t="str">
        <f>IFERROR(__xludf.DUMMYFUNCTION("""COMPUTED_VALUE"""),"S6525087232")</f>
        <v>S6525087232</v>
      </c>
      <c r="D2765" s="8">
        <f>IFERROR(__xludf.DUMMYFUNCTION("""COMPUTED_VALUE"""),61.0)</f>
        <v>61</v>
      </c>
      <c r="E2765" s="2"/>
    </row>
    <row r="2766">
      <c r="A2766" s="2"/>
      <c r="B2766" s="8" t="str">
        <f>IFERROR(__xludf.DUMMYFUNCTION("""COMPUTED_VALUE"""),"TITA SIPTY WULANDARI FUTRI")</f>
        <v>TITA SIPTY WULANDARI FUTRI</v>
      </c>
      <c r="C2766" s="8" t="str">
        <f>IFERROR(__xludf.DUMMYFUNCTION("""COMPUTED_VALUE"""),"T9625089735")</f>
        <v>T9625089735</v>
      </c>
      <c r="D2766" s="8">
        <f>IFERROR(__xludf.DUMMYFUNCTION("""COMPUTED_VALUE"""),29.0)</f>
        <v>29</v>
      </c>
      <c r="E2766" s="2"/>
    </row>
    <row r="2767">
      <c r="A2767" s="2"/>
      <c r="B2767" s="8" t="str">
        <f>IFERROR(__xludf.DUMMYFUNCTION("""COMPUTED_VALUE"""),"AZIZ YOGO HANGGORO")</f>
        <v>AZIZ YOGO HANGGORO</v>
      </c>
      <c r="C2767" s="8" t="str">
        <f>IFERROR(__xludf.DUMMYFUNCTION("""COMPUTED_VALUE"""),"A9025086119")</f>
        <v>A9025086119</v>
      </c>
      <c r="D2767" s="8">
        <f>IFERROR(__xludf.DUMMYFUNCTION("""COMPUTED_VALUE"""),35.0)</f>
        <v>35</v>
      </c>
      <c r="E2767" s="2"/>
    </row>
    <row r="2768">
      <c r="A2768" s="2"/>
      <c r="B2768" s="8" t="str">
        <f>IFERROR(__xludf.DUMMYFUNCTION("""COMPUTED_VALUE"""),"GRACIA IVANA GOUWYN")</f>
        <v>GRACIA IVANA GOUWYN</v>
      </c>
      <c r="C2768" s="8" t="str">
        <f>IFERROR(__xludf.DUMMYFUNCTION("""COMPUTED_VALUE"""),"G0425088990")</f>
        <v>G0425088990</v>
      </c>
      <c r="D2768" s="8">
        <f>IFERROR(__xludf.DUMMYFUNCTION("""COMPUTED_VALUE"""),21.0)</f>
        <v>21</v>
      </c>
      <c r="E2768" s="2"/>
    </row>
    <row r="2769">
      <c r="A2769" s="2"/>
      <c r="B2769" s="8" t="str">
        <f>IFERROR(__xludf.DUMMYFUNCTION("""COMPUTED_VALUE"""),"ATIKA MUFLIHA")</f>
        <v>ATIKA MUFLIHA</v>
      </c>
      <c r="C2769" s="8" t="str">
        <f>IFERROR(__xludf.DUMMYFUNCTION("""COMPUTED_VALUE"""),"A9725086020")</f>
        <v>A9725086020</v>
      </c>
      <c r="D2769" s="8">
        <f>IFERROR(__xludf.DUMMYFUNCTION("""COMPUTED_VALUE"""),28.0)</f>
        <v>28</v>
      </c>
      <c r="E2769" s="2"/>
    </row>
    <row r="2770">
      <c r="A2770" s="2"/>
      <c r="B2770" s="8" t="str">
        <f>IFERROR(__xludf.DUMMYFUNCTION("""COMPUTED_VALUE"""),"WILDAN ANKY PUTRA")</f>
        <v>WILDAN ANKY PUTRA</v>
      </c>
      <c r="C2770" s="8" t="str">
        <f>IFERROR(__xludf.DUMMYFUNCTION("""COMPUTED_VALUE"""),"W9325089933")</f>
        <v>W9325089933</v>
      </c>
      <c r="D2770" s="8">
        <f>IFERROR(__xludf.DUMMYFUNCTION("""COMPUTED_VALUE"""),33.0)</f>
        <v>33</v>
      </c>
      <c r="E2770" s="2"/>
    </row>
    <row r="2771">
      <c r="A2771" s="2"/>
      <c r="B2771" s="8" t="str">
        <f>IFERROR(__xludf.DUMMYFUNCTION("""COMPUTED_VALUE"""),"RAFIF HANAN")</f>
        <v>RAFIF HANAN</v>
      </c>
      <c r="C2771" s="8" t="str">
        <f>IFERROR(__xludf.DUMMYFUNCTION("""COMPUTED_VALUE"""),"R1325084646")</f>
        <v>R1325084646</v>
      </c>
      <c r="D2771" s="8">
        <f>IFERROR(__xludf.DUMMYFUNCTION("""COMPUTED_VALUE"""),13.0)</f>
        <v>13</v>
      </c>
      <c r="E2771" s="2"/>
    </row>
    <row r="2772">
      <c r="A2772" s="2"/>
      <c r="B2772" s="8" t="str">
        <f>IFERROR(__xludf.DUMMYFUNCTION("""COMPUTED_VALUE"""),"FRITA OLIVIA")</f>
        <v>FRITA OLIVIA</v>
      </c>
      <c r="C2772" s="8" t="str">
        <f>IFERROR(__xludf.DUMMYFUNCTION("""COMPUTED_VALUE"""),"F9225081879")</f>
        <v>F9225081879</v>
      </c>
      <c r="D2772" s="8">
        <f>IFERROR(__xludf.DUMMYFUNCTION("""COMPUTED_VALUE"""),33.0)</f>
        <v>33</v>
      </c>
      <c r="E2772" s="2"/>
    </row>
    <row r="2773">
      <c r="A2773" s="2"/>
      <c r="B2773" s="8" t="str">
        <f>IFERROR(__xludf.DUMMYFUNCTION("""COMPUTED_VALUE"""),"SAKITO SUSANTO")</f>
        <v>SAKITO SUSANTO</v>
      </c>
      <c r="C2773" s="8" t="str">
        <f>IFERROR(__xludf.DUMMYFUNCTION("""COMPUTED_VALUE"""),"S7025082435")</f>
        <v>S7025082435</v>
      </c>
      <c r="D2773" s="8">
        <f>IFERROR(__xludf.DUMMYFUNCTION("""COMPUTED_VALUE"""),55.0)</f>
        <v>55</v>
      </c>
      <c r="E2773" s="2"/>
    </row>
    <row r="2774">
      <c r="A2774" s="2"/>
      <c r="B2774" s="8" t="str">
        <f>IFERROR(__xludf.DUMMYFUNCTION("""COMPUTED_VALUE"""),"YAYAN BINTORO")</f>
        <v>YAYAN BINTORO</v>
      </c>
      <c r="C2774" s="8" t="str">
        <f>IFERROR(__xludf.DUMMYFUNCTION("""COMPUTED_VALUE"""),"Y8925089797")</f>
        <v>Y8925089797</v>
      </c>
      <c r="D2774" s="8">
        <f>IFERROR(__xludf.DUMMYFUNCTION("""COMPUTED_VALUE"""),36.0)</f>
        <v>36</v>
      </c>
      <c r="E2774" s="2"/>
    </row>
    <row r="2775">
      <c r="A2775" s="2"/>
      <c r="B2775" s="8" t="str">
        <f>IFERROR(__xludf.DUMMYFUNCTION("""COMPUTED_VALUE"""),"HERMANSYAH")</f>
        <v>HERMANSYAH</v>
      </c>
      <c r="C2775" s="8" t="str">
        <f>IFERROR(__xludf.DUMMYFUNCTION("""COMPUTED_VALUE"""),"H6825088740")</f>
        <v>H6825088740</v>
      </c>
      <c r="D2775" s="8">
        <f>IFERROR(__xludf.DUMMYFUNCTION("""COMPUTED_VALUE"""),57.0)</f>
        <v>57</v>
      </c>
      <c r="E2775" s="2"/>
    </row>
    <row r="2776">
      <c r="A2776" s="2"/>
      <c r="B2776" s="8" t="str">
        <f>IFERROR(__xludf.DUMMYFUNCTION("""COMPUTED_VALUE"""),"YUDI RIZALDI")</f>
        <v>YUDI RIZALDI</v>
      </c>
      <c r="C2776" s="8" t="str">
        <f>IFERROR(__xludf.DUMMYFUNCTION("""COMPUTED_VALUE"""),"Y9425081430")</f>
        <v>Y9425081430</v>
      </c>
      <c r="D2776" s="8">
        <f>IFERROR(__xludf.DUMMYFUNCTION("""COMPUTED_VALUE"""),31.0)</f>
        <v>31</v>
      </c>
      <c r="E2776" s="2"/>
    </row>
    <row r="2777">
      <c r="A2777" s="2"/>
      <c r="B2777" s="8" t="str">
        <f>IFERROR(__xludf.DUMMYFUNCTION("""COMPUTED_VALUE"""),"M KRISNA MULYANA")</f>
        <v>M KRISNA MULYANA</v>
      </c>
      <c r="C2777" s="8" t="str">
        <f>IFERROR(__xludf.DUMMYFUNCTION("""COMPUTED_VALUE"""),"M0525088577")</f>
        <v>M0525088577</v>
      </c>
      <c r="D2777" s="8">
        <f>IFERROR(__xludf.DUMMYFUNCTION("""COMPUTED_VALUE"""),21.0)</f>
        <v>21</v>
      </c>
      <c r="E2777" s="2"/>
    </row>
    <row r="2778">
      <c r="A2778" s="2"/>
      <c r="B2778" s="8" t="str">
        <f>IFERROR(__xludf.DUMMYFUNCTION("""COMPUTED_VALUE"""),"DEDDY SUKMA")</f>
        <v>DEDDY SUKMA</v>
      </c>
      <c r="C2778" s="8" t="str">
        <f>IFERROR(__xludf.DUMMYFUNCTION("""COMPUTED_VALUE"""),"D9425080116")</f>
        <v>D9425080116</v>
      </c>
      <c r="D2778" s="8">
        <f>IFERROR(__xludf.DUMMYFUNCTION("""COMPUTED_VALUE"""),31.0)</f>
        <v>31</v>
      </c>
      <c r="E2778" s="2"/>
    </row>
    <row r="2779">
      <c r="A2779" s="2"/>
      <c r="B2779" s="8" t="str">
        <f>IFERROR(__xludf.DUMMYFUNCTION("""COMPUTED_VALUE"""),"ABDURAHIM")</f>
        <v>ABDURAHIM</v>
      </c>
      <c r="C2779" s="8" t="str">
        <f>IFERROR(__xludf.DUMMYFUNCTION("""COMPUTED_VALUE"""),"A6825080")</f>
        <v>A6825080</v>
      </c>
      <c r="D2779" s="8">
        <f>IFERROR(__xludf.DUMMYFUNCTION("""COMPUTED_VALUE"""),58.0)</f>
        <v>58</v>
      </c>
      <c r="E2779" s="2"/>
    </row>
    <row r="2780">
      <c r="A2780" s="2"/>
      <c r="B2780" s="8" t="str">
        <f>IFERROR(__xludf.DUMMYFUNCTION("""COMPUTED_VALUE"""),"HASAN8504")</f>
        <v>HASAN8504</v>
      </c>
      <c r="C2780" s="8" t="str">
        <f>IFERROR(__xludf.DUMMYFUNCTION("""COMPUTED_VALUE"""),"H8525089599")</f>
        <v>H8525089599</v>
      </c>
      <c r="D2780" s="8">
        <f>IFERROR(__xludf.DUMMYFUNCTION("""COMPUTED_VALUE"""),41.0)</f>
        <v>41</v>
      </c>
      <c r="E2780" s="2"/>
    </row>
    <row r="2781">
      <c r="A2781" s="2"/>
      <c r="B2781" s="8" t="str">
        <f>IFERROR(__xludf.DUMMYFUNCTION("""COMPUTED_VALUE"""),"IWAN SUPARDI")</f>
        <v>IWAN SUPARDI</v>
      </c>
      <c r="C2781" s="8" t="str">
        <f>IFERROR(__xludf.DUMMYFUNCTION("""COMPUTED_VALUE"""),"I6825089119")</f>
        <v>I6825089119</v>
      </c>
      <c r="D2781" s="8">
        <f>IFERROR(__xludf.DUMMYFUNCTION("""COMPUTED_VALUE"""),57.0)</f>
        <v>57</v>
      </c>
      <c r="E2781" s="2"/>
    </row>
    <row r="2782">
      <c r="A2782" s="2"/>
      <c r="B2782" s="8" t="str">
        <f>IFERROR(__xludf.DUMMYFUNCTION("""COMPUTED_VALUE"""),"WIDI ASTUTI")</f>
        <v>WIDI ASTUTI</v>
      </c>
      <c r="C2782" s="8" t="str">
        <f>IFERROR(__xludf.DUMMYFUNCTION("""COMPUTED_VALUE"""),"W6425084700")</f>
        <v>W6425084700</v>
      </c>
      <c r="D2782" s="8">
        <f>IFERROR(__xludf.DUMMYFUNCTION("""COMPUTED_VALUE"""),62.0)</f>
        <v>62</v>
      </c>
      <c r="E2782" s="2"/>
    </row>
    <row r="2783">
      <c r="A2783" s="2"/>
      <c r="B2783" s="8" t="str">
        <f>IFERROR(__xludf.DUMMYFUNCTION("""COMPUTED_VALUE"""),"IMAM MAULANA FATURRAHMAN")</f>
        <v>IMAM MAULANA FATURRAHMAN</v>
      </c>
      <c r="C2783" s="8" t="str">
        <f>IFERROR(__xludf.DUMMYFUNCTION("""COMPUTED_VALUE"""),"I9925080725")</f>
        <v>I9925080725</v>
      </c>
      <c r="D2783" s="8">
        <f>IFERROR(__xludf.DUMMYFUNCTION("""COMPUTED_VALUE"""),27.0)</f>
        <v>27</v>
      </c>
      <c r="E2783" s="2"/>
    </row>
    <row r="2784">
      <c r="A2784" s="2"/>
      <c r="B2784" s="8" t="str">
        <f>IFERROR(__xludf.DUMMYFUNCTION("""COMPUTED_VALUE"""),"ALKHAWARISMA")</f>
        <v>ALKHAWARISMA</v>
      </c>
      <c r="C2784" s="8" t="str">
        <f>IFERROR(__xludf.DUMMYFUNCTION("""COMPUTED_VALUE"""),"A9625081247")</f>
        <v>A9625081247</v>
      </c>
      <c r="D2784" s="8">
        <f>IFERROR(__xludf.DUMMYFUNCTION("""COMPUTED_VALUE"""),30.0)</f>
        <v>30</v>
      </c>
      <c r="E2784" s="2"/>
    </row>
    <row r="2785">
      <c r="A2785" s="2"/>
      <c r="B2785" s="8" t="str">
        <f>IFERROR(__xludf.DUMMYFUNCTION("""COMPUTED_VALUE"""),"SUHAIMI")</f>
        <v>SUHAIMI</v>
      </c>
      <c r="C2785" s="8" t="str">
        <f>IFERROR(__xludf.DUMMYFUNCTION("""COMPUTED_VALUE"""),"S8425084764")</f>
        <v>S8425084764</v>
      </c>
      <c r="D2785" s="8">
        <f>IFERROR(__xludf.DUMMYFUNCTION("""COMPUTED_VALUE"""),42.0)</f>
        <v>42</v>
      </c>
      <c r="E2785" s="2"/>
    </row>
    <row r="2786">
      <c r="A2786" s="2"/>
      <c r="B2786" s="8" t="str">
        <f>IFERROR(__xludf.DUMMYFUNCTION("""COMPUTED_VALUE"""),"UCU SUTRISNA")</f>
        <v>UCU SUTRISNA</v>
      </c>
      <c r="C2786" s="8" t="str">
        <f>IFERROR(__xludf.DUMMYFUNCTION("""COMPUTED_VALUE"""),"U7525080")</f>
        <v>U7525080</v>
      </c>
      <c r="D2786" s="8">
        <f>IFERROR(__xludf.DUMMYFUNCTION("""COMPUTED_VALUE"""),50.0)</f>
        <v>50</v>
      </c>
      <c r="E2786" s="2"/>
    </row>
    <row r="2787">
      <c r="A2787" s="2"/>
      <c r="B2787" s="8" t="str">
        <f>IFERROR(__xludf.DUMMYFUNCTION("""COMPUTED_VALUE"""),"AHMAD DANY NOVALDI")</f>
        <v>AHMAD DANY NOVALDI</v>
      </c>
      <c r="C2787" s="8" t="str">
        <f>IFERROR(__xludf.DUMMYFUNCTION("""COMPUTED_VALUE"""),"A0625085349")</f>
        <v>A0625085349</v>
      </c>
      <c r="D2787" s="8">
        <f>IFERROR(__xludf.DUMMYFUNCTION("""COMPUTED_VALUE"""),19.0)</f>
        <v>19</v>
      </c>
      <c r="E2787" s="2"/>
    </row>
    <row r="2788">
      <c r="A2788" s="2"/>
      <c r="B2788" s="8" t="str">
        <f>IFERROR(__xludf.DUMMYFUNCTION("""COMPUTED_VALUE"""),"SRI ESRI")</f>
        <v>SRI ESRI</v>
      </c>
      <c r="C2788" s="8" t="str">
        <f>IFERROR(__xludf.DUMMYFUNCTION("""COMPUTED_VALUE"""),"S6225086797")</f>
        <v>S6225086797</v>
      </c>
      <c r="D2788" s="8">
        <f>IFERROR(__xludf.DUMMYFUNCTION("""COMPUTED_VALUE"""),63.0)</f>
        <v>63</v>
      </c>
      <c r="E2788" s="2"/>
    </row>
    <row r="2789">
      <c r="A2789" s="2"/>
      <c r="B2789" s="8" t="str">
        <f>IFERROR(__xludf.DUMMYFUNCTION("""COMPUTED_VALUE"""),"MUNAGI")</f>
        <v>MUNAGI</v>
      </c>
      <c r="C2789" s="8" t="str">
        <f>IFERROR(__xludf.DUMMYFUNCTION("""COMPUTED_VALUE"""),"M6925081515")</f>
        <v>M6925081515</v>
      </c>
      <c r="D2789" s="8">
        <f>IFERROR(__xludf.DUMMYFUNCTION("""COMPUTED_VALUE"""),57.0)</f>
        <v>57</v>
      </c>
      <c r="E2789" s="2"/>
    </row>
    <row r="2790">
      <c r="A2790" s="2"/>
      <c r="B2790" s="8" t="str">
        <f>IFERROR(__xludf.DUMMYFUNCTION("""COMPUTED_VALUE"""),"EVANIA")</f>
        <v>EVANIA</v>
      </c>
      <c r="C2790" s="8" t="str">
        <f>IFERROR(__xludf.DUMMYFUNCTION("""COMPUTED_VALUE"""),"E9025088822")</f>
        <v>E9025088822</v>
      </c>
      <c r="D2790" s="8">
        <f>IFERROR(__xludf.DUMMYFUNCTION("""COMPUTED_VALUE"""),35.0)</f>
        <v>35</v>
      </c>
      <c r="E2790" s="2"/>
    </row>
    <row r="2791">
      <c r="A2791" s="2"/>
      <c r="B2791" s="8" t="str">
        <f>IFERROR(__xludf.DUMMYFUNCTION("""COMPUTED_VALUE"""),"RIDUANSYAH")</f>
        <v>RIDUANSYAH</v>
      </c>
      <c r="C2791" s="8" t="str">
        <f>IFERROR(__xludf.DUMMYFUNCTION("""COMPUTED_VALUE"""),"R9225087828")</f>
        <v>R9225087828</v>
      </c>
      <c r="D2791" s="8">
        <f>IFERROR(__xludf.DUMMYFUNCTION("""COMPUTED_VALUE"""),33.0)</f>
        <v>33</v>
      </c>
      <c r="E2791" s="2"/>
    </row>
    <row r="2792">
      <c r="A2792" s="2"/>
      <c r="B2792" s="8" t="str">
        <f>IFERROR(__xludf.DUMMYFUNCTION("""COMPUTED_VALUE"""),"TRI ASTUTI")</f>
        <v>TRI ASTUTI</v>
      </c>
      <c r="C2792" s="8" t="str">
        <f>IFERROR(__xludf.DUMMYFUNCTION("""COMPUTED_VALUE"""),"T6825081630")</f>
        <v>T6825081630</v>
      </c>
      <c r="D2792" s="8">
        <f>IFERROR(__xludf.DUMMYFUNCTION("""COMPUTED_VALUE"""),58.0)</f>
        <v>58</v>
      </c>
      <c r="E2792" s="2"/>
    </row>
    <row r="2793">
      <c r="A2793" s="2"/>
      <c r="B2793" s="8" t="str">
        <f>IFERROR(__xludf.DUMMYFUNCTION("""COMPUTED_VALUE"""),"MUTIARA DEWI A.Q")</f>
        <v>MUTIARA DEWI A.Q</v>
      </c>
      <c r="C2793" s="8" t="str">
        <f>IFERROR(__xludf.DUMMYFUNCTION("""COMPUTED_VALUE"""),"M0025084349")</f>
        <v>M0025084349</v>
      </c>
      <c r="D2793" s="8">
        <f>IFERROR(__xludf.DUMMYFUNCTION("""COMPUTED_VALUE"""),26.0)</f>
        <v>26</v>
      </c>
      <c r="E2793" s="2"/>
    </row>
    <row r="2794">
      <c r="A2794" s="2"/>
      <c r="B2794" s="8" t="str">
        <f>IFERROR(__xludf.DUMMYFUNCTION("""COMPUTED_VALUE"""),"MEIVIAN GOUWYN")</f>
        <v>MEIVIAN GOUWYN</v>
      </c>
      <c r="C2794" s="8" t="str">
        <f>IFERROR(__xludf.DUMMYFUNCTION("""COMPUTED_VALUE"""),"M9825086178")</f>
        <v>M9825086178</v>
      </c>
      <c r="D2794" s="8">
        <f>IFERROR(__xludf.DUMMYFUNCTION("""COMPUTED_VALUE"""),28.0)</f>
        <v>28</v>
      </c>
      <c r="E2794" s="2"/>
    </row>
    <row r="2795">
      <c r="A2795" s="2"/>
      <c r="B2795" s="8" t="str">
        <f>IFERROR(__xludf.DUMMYFUNCTION("""COMPUTED_VALUE"""),"BUSTAM")</f>
        <v>BUSTAM</v>
      </c>
      <c r="C2795" s="8" t="str">
        <f>IFERROR(__xludf.DUMMYFUNCTION("""COMPUTED_VALUE"""),"B7925083989")</f>
        <v>B7925083989</v>
      </c>
      <c r="D2795" s="8">
        <f>IFERROR(__xludf.DUMMYFUNCTION("""COMPUTED_VALUE"""),47.0)</f>
        <v>47</v>
      </c>
      <c r="E2795" s="2"/>
    </row>
    <row r="2796">
      <c r="A2796" s="2"/>
      <c r="B2796" s="8" t="str">
        <f>IFERROR(__xludf.DUMMYFUNCTION("""COMPUTED_VALUE"""),"YUDHA WIJAYANTO")</f>
        <v>YUDHA WIJAYANTO</v>
      </c>
      <c r="C2796" s="8" t="str">
        <f>IFERROR(__xludf.DUMMYFUNCTION("""COMPUTED_VALUE"""),"Y9725084045")</f>
        <v>Y9725084045</v>
      </c>
      <c r="D2796" s="8">
        <f>IFERROR(__xludf.DUMMYFUNCTION("""COMPUTED_VALUE"""),29.0)</f>
        <v>29</v>
      </c>
      <c r="E2796" s="2"/>
    </row>
    <row r="2797">
      <c r="A2797" s="2"/>
      <c r="B2797" s="8" t="str">
        <f>IFERROR(__xludf.DUMMYFUNCTION("""COMPUTED_VALUE"""),"ZULKIFLI HASANUDDIN")</f>
        <v>ZULKIFLI HASANUDDIN</v>
      </c>
      <c r="C2797" s="8" t="str">
        <f>IFERROR(__xludf.DUMMYFUNCTION("""COMPUTED_VALUE"""),"Z9325081191")</f>
        <v>Z9325081191</v>
      </c>
      <c r="D2797" s="8">
        <f>IFERROR(__xludf.DUMMYFUNCTION("""COMPUTED_VALUE"""),33.0)</f>
        <v>33</v>
      </c>
      <c r="E2797" s="2"/>
    </row>
    <row r="2798">
      <c r="A2798" s="2"/>
      <c r="B2798" s="8" t="str">
        <f>IFERROR(__xludf.DUMMYFUNCTION("""COMPUTED_VALUE"""),"TJUNG KHET THIN")</f>
        <v>TJUNG KHET THIN</v>
      </c>
      <c r="C2798" s="8" t="str">
        <f>IFERROR(__xludf.DUMMYFUNCTION("""COMPUTED_VALUE"""),"T5825085129")</f>
        <v>T5825085129</v>
      </c>
      <c r="D2798" s="8">
        <f>IFERROR(__xludf.DUMMYFUNCTION("""COMPUTED_VALUE"""),68.0)</f>
        <v>68</v>
      </c>
      <c r="E2798" s="2"/>
    </row>
    <row r="2799">
      <c r="A2799" s="2"/>
      <c r="B2799" s="8" t="str">
        <f>IFERROR(__xludf.DUMMYFUNCTION("""COMPUTED_VALUE"""),"MARKAL")</f>
        <v>MARKAL</v>
      </c>
      <c r="C2799" s="8" t="str">
        <f>IFERROR(__xludf.DUMMYFUNCTION("""COMPUTED_VALUE"""),"M6525082222")</f>
        <v>M6525082222</v>
      </c>
      <c r="D2799" s="8">
        <f>IFERROR(__xludf.DUMMYFUNCTION("""COMPUTED_VALUE"""),61.0)</f>
        <v>61</v>
      </c>
      <c r="E2799" s="2"/>
    </row>
    <row r="2800">
      <c r="A2800" s="2"/>
      <c r="B2800" s="8" t="str">
        <f>IFERROR(__xludf.DUMMYFUNCTION("""COMPUTED_VALUE"""),"YURWARTINI")</f>
        <v>YURWARTINI</v>
      </c>
      <c r="C2800" s="8" t="str">
        <f>IFERROR(__xludf.DUMMYFUNCTION("""COMPUTED_VALUE"""),"Y6225086451")</f>
        <v>Y6225086451</v>
      </c>
      <c r="D2800" s="8">
        <f>IFERROR(__xludf.DUMMYFUNCTION("""COMPUTED_VALUE"""),64.0)</f>
        <v>64</v>
      </c>
      <c r="E2800" s="2"/>
    </row>
    <row r="2801">
      <c r="A2801" s="2"/>
      <c r="B2801" s="8" t="str">
        <f>IFERROR(__xludf.DUMMYFUNCTION("""COMPUTED_VALUE"""),"IIN NUR INDAHSAH")</f>
        <v>IIN NUR INDAHSAH</v>
      </c>
      <c r="C2801" s="8" t="str">
        <f>IFERROR(__xludf.DUMMYFUNCTION("""COMPUTED_VALUE"""),"I9325088707")</f>
        <v>I9325088707</v>
      </c>
      <c r="D2801" s="8">
        <f>IFERROR(__xludf.DUMMYFUNCTION("""COMPUTED_VALUE"""),32.0)</f>
        <v>32</v>
      </c>
      <c r="E2801" s="2"/>
    </row>
    <row r="2802">
      <c r="A2802" s="2"/>
      <c r="B2802" s="8" t="str">
        <f>IFERROR(__xludf.DUMMYFUNCTION("""COMPUTED_VALUE"""),"ACHMAD RIKO JULIANSYA")</f>
        <v>ACHMAD RIKO JULIANSYA</v>
      </c>
      <c r="C2802" s="8" t="str">
        <f>IFERROR(__xludf.DUMMYFUNCTION("""COMPUTED_VALUE"""),"A0525084273")</f>
        <v>A0525084273</v>
      </c>
      <c r="D2802" s="8">
        <f>IFERROR(__xludf.DUMMYFUNCTION("""COMPUTED_VALUE"""),21.0)</f>
        <v>21</v>
      </c>
      <c r="E2802" s="2"/>
    </row>
    <row r="2803">
      <c r="A2803" s="2"/>
      <c r="B2803" s="8" t="str">
        <f>IFERROR(__xludf.DUMMYFUNCTION("""COMPUTED_VALUE"""),"LIZZA NURFITRIANA")</f>
        <v>LIZZA NURFITRIANA</v>
      </c>
      <c r="C2803" s="8" t="str">
        <f>IFERROR(__xludf.DUMMYFUNCTION("""COMPUTED_VALUE"""),"L9125089927")</f>
        <v>L9125089927</v>
      </c>
      <c r="D2803" s="8">
        <f>IFERROR(__xludf.DUMMYFUNCTION("""COMPUTED_VALUE"""),35.0)</f>
        <v>35</v>
      </c>
      <c r="E2803" s="2"/>
    </row>
    <row r="2804">
      <c r="A2804" s="2"/>
      <c r="B2804" s="8" t="str">
        <f>IFERROR(__xludf.DUMMYFUNCTION("""COMPUTED_VALUE"""),"NURDILA YULIANTI")</f>
        <v>NURDILA YULIANTI</v>
      </c>
      <c r="C2804" s="8" t="str">
        <f>IFERROR(__xludf.DUMMYFUNCTION("""COMPUTED_VALUE"""),"N9025080662")</f>
        <v>N9025080662</v>
      </c>
      <c r="D2804" s="8">
        <f>IFERROR(__xludf.DUMMYFUNCTION("""COMPUTED_VALUE"""),36.0)</f>
        <v>36</v>
      </c>
      <c r="E2804" s="2"/>
    </row>
    <row r="2805">
      <c r="A2805" s="2"/>
      <c r="B2805" s="8" t="str">
        <f>IFERROR(__xludf.DUMMYFUNCTION("""COMPUTED_VALUE"""),"RAFAEL GIOFANI")</f>
        <v>RAFAEL GIOFANI</v>
      </c>
      <c r="C2805" s="8" t="str">
        <f>IFERROR(__xludf.DUMMYFUNCTION("""COMPUTED_VALUE"""),"R0525089466")</f>
        <v>R0525089466</v>
      </c>
      <c r="D2805" s="8">
        <f>IFERROR(__xludf.DUMMYFUNCTION("""COMPUTED_VALUE"""),21.0)</f>
        <v>21</v>
      </c>
      <c r="E2805" s="2"/>
    </row>
    <row r="2806">
      <c r="A2806" s="2"/>
      <c r="B2806" s="8" t="str">
        <f>IFERROR(__xludf.DUMMYFUNCTION("""COMPUTED_VALUE"""),"LILI MARTINA")</f>
        <v>LILI MARTINA</v>
      </c>
      <c r="C2806" s="8" t="str">
        <f>IFERROR(__xludf.DUMMYFUNCTION("""COMPUTED_VALUE"""),"L7925087010")</f>
        <v>L7925087010</v>
      </c>
      <c r="D2806" s="8">
        <f>IFERROR(__xludf.DUMMYFUNCTION("""COMPUTED_VALUE"""),47.0)</f>
        <v>47</v>
      </c>
      <c r="E2806" s="2"/>
    </row>
    <row r="2807">
      <c r="A2807" s="2"/>
      <c r="B2807" s="8" t="str">
        <f>IFERROR(__xludf.DUMMYFUNCTION("""COMPUTED_VALUE"""),"MERRY 5903")</f>
        <v>MERRY 5903</v>
      </c>
      <c r="C2807" s="8" t="str">
        <f>IFERROR(__xludf.DUMMYFUNCTION("""COMPUTED_VALUE"""),"M5925092525")</f>
        <v>M5925092525</v>
      </c>
      <c r="D2807" s="8">
        <f>IFERROR(__xludf.DUMMYFUNCTION("""COMPUTED_VALUE"""),67.0)</f>
        <v>67</v>
      </c>
      <c r="E2807" s="2"/>
    </row>
    <row r="2808">
      <c r="A2808" s="2"/>
      <c r="B2808" s="8" t="str">
        <f>IFERROR(__xludf.DUMMYFUNCTION("""COMPUTED_VALUE"""),"ALBYAN RAFIF MAHESWARA")</f>
        <v>ALBYAN RAFIF MAHESWARA</v>
      </c>
      <c r="C2808" s="8" t="str">
        <f>IFERROR(__xludf.DUMMYFUNCTION("""COMPUTED_VALUE"""),"A0925094650")</f>
        <v>A0925094650</v>
      </c>
      <c r="D2808" s="8">
        <f>IFERROR(__xludf.DUMMYFUNCTION("""COMPUTED_VALUE"""),17.0)</f>
        <v>17</v>
      </c>
      <c r="E2808" s="2"/>
    </row>
    <row r="2809">
      <c r="A2809" s="2"/>
      <c r="B2809" s="8" t="str">
        <f>IFERROR(__xludf.DUMMYFUNCTION("""COMPUTED_VALUE"""),"ZULKARNAIN 6006")</f>
        <v>ZULKARNAIN 6006</v>
      </c>
      <c r="C2809" s="8" t="str">
        <f>IFERROR(__xludf.DUMMYFUNCTION("""COMPUTED_VALUE"""),"Z6025097242")</f>
        <v>Z6025097242</v>
      </c>
      <c r="D2809" s="8">
        <f>IFERROR(__xludf.DUMMYFUNCTION("""COMPUTED_VALUE"""),66.0)</f>
        <v>66</v>
      </c>
      <c r="E2809" s="2"/>
    </row>
    <row r="2810">
      <c r="A2810" s="2"/>
      <c r="B2810" s="8" t="str">
        <f>IFERROR(__xludf.DUMMYFUNCTION("""COMPUTED_VALUE"""),"SANIRIN")</f>
        <v>SANIRIN</v>
      </c>
      <c r="C2810" s="8" t="str">
        <f>IFERROR(__xludf.DUMMYFUNCTION("""COMPUTED_VALUE"""),"S7325095887")</f>
        <v>S7325095887</v>
      </c>
      <c r="D2810" s="8">
        <f>IFERROR(__xludf.DUMMYFUNCTION("""COMPUTED_VALUE"""),53.0)</f>
        <v>53</v>
      </c>
      <c r="E2810" s="2"/>
    </row>
    <row r="2811">
      <c r="A2811" s="2"/>
      <c r="B2811" s="8" t="str">
        <f>IFERROR(__xludf.DUMMYFUNCTION("""COMPUTED_VALUE"""),"WAHIDAH")</f>
        <v>WAHIDAH</v>
      </c>
      <c r="C2811" s="8" t="str">
        <f>IFERROR(__xludf.DUMMYFUNCTION("""COMPUTED_VALUE"""),"W8825090023")</f>
        <v>W8825090023</v>
      </c>
      <c r="D2811" s="8">
        <f>IFERROR(__xludf.DUMMYFUNCTION("""COMPUTED_VALUE"""),38.0)</f>
        <v>38</v>
      </c>
      <c r="E2811" s="2"/>
    </row>
    <row r="2812">
      <c r="A2812" s="2"/>
      <c r="B2812" s="8" t="str">
        <f>IFERROR(__xludf.DUMMYFUNCTION("""COMPUTED_VALUE"""),"RINA FAUZIAH")</f>
        <v>RINA FAUZIAH</v>
      </c>
      <c r="C2812" s="8" t="str">
        <f>IFERROR(__xludf.DUMMYFUNCTION("""COMPUTED_VALUE"""),"R7525093436")</f>
        <v>R7525093436</v>
      </c>
      <c r="D2812" s="8">
        <f>IFERROR(__xludf.DUMMYFUNCTION("""COMPUTED_VALUE"""),51.0)</f>
        <v>51</v>
      </c>
      <c r="E2812" s="2"/>
    </row>
    <row r="2813">
      <c r="A2813" s="2"/>
      <c r="B2813" s="8" t="str">
        <f>IFERROR(__xludf.DUMMYFUNCTION("""COMPUTED_VALUE"""),"HASANAH")</f>
        <v>HASANAH</v>
      </c>
      <c r="C2813" s="8" t="str">
        <f>IFERROR(__xludf.DUMMYFUNCTION("""COMPUTED_VALUE"""),"H7525095313")</f>
        <v>H7525095313</v>
      </c>
      <c r="D2813" s="8">
        <f>IFERROR(__xludf.DUMMYFUNCTION("""COMPUTED_VALUE"""),51.0)</f>
        <v>51</v>
      </c>
      <c r="E2813" s="2"/>
    </row>
    <row r="2814">
      <c r="A2814" s="2"/>
      <c r="B2814" s="8" t="str">
        <f>IFERROR(__xludf.DUMMYFUNCTION("""COMPUTED_VALUE"""),"ERWIN FIRMANSYAH")</f>
        <v>ERWIN FIRMANSYAH</v>
      </c>
      <c r="C2814" s="8" t="str">
        <f>IFERROR(__xludf.DUMMYFUNCTION("""COMPUTED_VALUE"""),"E9725098581")</f>
        <v>E9725098581</v>
      </c>
      <c r="D2814" s="8">
        <f>IFERROR(__xludf.DUMMYFUNCTION("""COMPUTED_VALUE"""),28.0)</f>
        <v>28</v>
      </c>
      <c r="E2814" s="2"/>
    </row>
    <row r="2815">
      <c r="A2815" s="2"/>
      <c r="B2815" s="8" t="str">
        <f>IFERROR(__xludf.DUMMYFUNCTION("""COMPUTED_VALUE"""),"MARTIN")</f>
        <v>MARTIN</v>
      </c>
      <c r="C2815" s="8" t="str">
        <f>IFERROR(__xludf.DUMMYFUNCTION("""COMPUTED_VALUE"""),"M0125099595")</f>
        <v>M0125099595</v>
      </c>
      <c r="D2815" s="8">
        <f>IFERROR(__xludf.DUMMYFUNCTION("""COMPUTED_VALUE"""),24.0)</f>
        <v>24</v>
      </c>
      <c r="E2815" s="2"/>
    </row>
    <row r="2816">
      <c r="A2816" s="2"/>
      <c r="B2816" s="8" t="str">
        <f>IFERROR(__xludf.DUMMYFUNCTION("""COMPUTED_VALUE"""),"FHITO MASTURI INSANI")</f>
        <v>FHITO MASTURI INSANI</v>
      </c>
      <c r="C2816" s="8" t="str">
        <f>IFERROR(__xludf.DUMMYFUNCTION("""COMPUTED_VALUE"""),"F0225095325")</f>
        <v>F0225095325</v>
      </c>
      <c r="D2816" s="8">
        <f>IFERROR(__xludf.DUMMYFUNCTION("""COMPUTED_VALUE"""),24.0)</f>
        <v>24</v>
      </c>
      <c r="E2816" s="2"/>
    </row>
    <row r="2817">
      <c r="A2817" s="2"/>
      <c r="B2817" s="8" t="str">
        <f>IFERROR(__xludf.DUMMYFUNCTION("""COMPUTED_VALUE"""),"GINA INDRI")</f>
        <v>GINA INDRI</v>
      </c>
      <c r="C2817" s="8" t="str">
        <f>IFERROR(__xludf.DUMMYFUNCTION("""COMPUTED_VALUE"""),"G8325090525")</f>
        <v>G8325090525</v>
      </c>
      <c r="D2817" s="8">
        <f>IFERROR(__xludf.DUMMYFUNCTION("""COMPUTED_VALUE"""),42.0)</f>
        <v>42</v>
      </c>
      <c r="E2817" s="2"/>
    </row>
    <row r="2818">
      <c r="A2818" s="2"/>
      <c r="B2818" s="8" t="str">
        <f>IFERROR(__xludf.DUMMYFUNCTION("""COMPUTED_VALUE"""),"KASBI")</f>
        <v>KASBI</v>
      </c>
      <c r="C2818" s="8" t="str">
        <f>IFERROR(__xludf.DUMMYFUNCTION("""COMPUTED_VALUE"""),"K5225090123")</f>
        <v>K5225090123</v>
      </c>
      <c r="D2818" s="8">
        <f>IFERROR(__xludf.DUMMYFUNCTION("""COMPUTED_VALUE"""),74.0)</f>
        <v>74</v>
      </c>
      <c r="E2818" s="2"/>
    </row>
    <row r="2819">
      <c r="A2819" s="2"/>
      <c r="B2819" s="8" t="str">
        <f>IFERROR(__xludf.DUMMYFUNCTION("""COMPUTED_VALUE"""),"ANGGA RAHMADANI")</f>
        <v>ANGGA RAHMADANI</v>
      </c>
      <c r="C2819" s="8" t="str">
        <f>IFERROR(__xludf.DUMMYFUNCTION("""COMPUTED_VALUE"""),"A9125097217")</f>
        <v>A9125097217</v>
      </c>
      <c r="D2819" s="8">
        <f>IFERROR(__xludf.DUMMYFUNCTION("""COMPUTED_VALUE"""),35.0)</f>
        <v>35</v>
      </c>
      <c r="E2819" s="2"/>
    </row>
    <row r="2820">
      <c r="A2820" s="2"/>
      <c r="B2820" s="8" t="str">
        <f>IFERROR(__xludf.DUMMYFUNCTION("""COMPUTED_VALUE"""),"CASILDA ZAHRANA")</f>
        <v>CASILDA ZAHRANA</v>
      </c>
      <c r="C2820" s="8" t="str">
        <f>IFERROR(__xludf.DUMMYFUNCTION("""COMPUTED_VALUE"""),"C1225093006")</f>
        <v>C1225093006</v>
      </c>
      <c r="D2820" s="8">
        <f>IFERROR(__xludf.DUMMYFUNCTION("""COMPUTED_VALUE"""),13.0)</f>
        <v>13</v>
      </c>
      <c r="E2820" s="2"/>
    </row>
    <row r="2821">
      <c r="A2821" s="2"/>
      <c r="B2821" s="8" t="str">
        <f>IFERROR(__xludf.DUMMYFUNCTION("""COMPUTED_VALUE"""),"RUDI")</f>
        <v>RUDI</v>
      </c>
      <c r="C2821" s="8" t="str">
        <f>IFERROR(__xludf.DUMMYFUNCTION("""COMPUTED_VALUE"""),"R9725092235")</f>
        <v>R9725092235</v>
      </c>
      <c r="D2821" s="8">
        <f>IFERROR(__xludf.DUMMYFUNCTION("""COMPUTED_VALUE"""),28.0)</f>
        <v>28</v>
      </c>
      <c r="E2821" s="2"/>
    </row>
    <row r="2822">
      <c r="A2822" s="2"/>
      <c r="B2822" s="8" t="str">
        <f>IFERROR(__xludf.DUMMYFUNCTION("""COMPUTED_VALUE"""),"NOVIA PRATIWI")</f>
        <v>NOVIA PRATIWI</v>
      </c>
      <c r="C2822" s="8" t="str">
        <f>IFERROR(__xludf.DUMMYFUNCTION("""COMPUTED_VALUE"""),"N9625090550")</f>
        <v>N9625090550</v>
      </c>
      <c r="D2822" s="8">
        <f>IFERROR(__xludf.DUMMYFUNCTION("""COMPUTED_VALUE"""),29.0)</f>
        <v>29</v>
      </c>
      <c r="E2822" s="2"/>
    </row>
    <row r="2823">
      <c r="A2823" s="2"/>
      <c r="B2823" s="8" t="str">
        <f>IFERROR(__xludf.DUMMYFUNCTION("""COMPUTED_VALUE"""),"SURIYANI")</f>
        <v>SURIYANI</v>
      </c>
      <c r="C2823" s="8" t="str">
        <f>IFERROR(__xludf.DUMMYFUNCTION("""COMPUTED_VALUE"""),"S8125096183")</f>
        <v>S8125096183</v>
      </c>
      <c r="D2823" s="8">
        <f>IFERROR(__xludf.DUMMYFUNCTION("""COMPUTED_VALUE"""),45.0)</f>
        <v>45</v>
      </c>
      <c r="E2823" s="2"/>
    </row>
    <row r="2824">
      <c r="A2824" s="2"/>
      <c r="B2824" s="8" t="str">
        <f>IFERROR(__xludf.DUMMYFUNCTION("""COMPUTED_VALUE"""),"SANTI")</f>
        <v>SANTI</v>
      </c>
      <c r="C2824" s="8" t="str">
        <f>IFERROR(__xludf.DUMMYFUNCTION("""COMPUTED_VALUE"""),"S7125090898")</f>
        <v>S7125090898</v>
      </c>
      <c r="D2824" s="8">
        <f>IFERROR(__xludf.DUMMYFUNCTION("""COMPUTED_VALUE"""),55.0)</f>
        <v>55</v>
      </c>
      <c r="E2824" s="2"/>
    </row>
    <row r="2825">
      <c r="A2825" s="2"/>
      <c r="B2825" s="8" t="str">
        <f>IFERROR(__xludf.DUMMYFUNCTION("""COMPUTED_VALUE"""),"LIA")</f>
        <v>LIA</v>
      </c>
      <c r="C2825" s="8" t="str">
        <f>IFERROR(__xludf.DUMMYFUNCTION("""COMPUTED_VALUE"""),"L8925090200")</f>
        <v>L8925090200</v>
      </c>
      <c r="D2825" s="8">
        <f>IFERROR(__xludf.DUMMYFUNCTION("""COMPUTED_VALUE"""),36.0)</f>
        <v>36</v>
      </c>
      <c r="E2825" s="2"/>
    </row>
    <row r="2826">
      <c r="A2826" s="2"/>
      <c r="B2826" s="8" t="str">
        <f>IFERROR(__xludf.DUMMYFUNCTION("""COMPUTED_VALUE"""),"EUFEMIA VIRGINNE MILLENIA")</f>
        <v>EUFEMIA VIRGINNE MILLENIA</v>
      </c>
      <c r="C2826" s="8" t="str">
        <f>IFERROR(__xludf.DUMMYFUNCTION("""COMPUTED_VALUE"""),"E0025090")</f>
        <v>E0025090</v>
      </c>
      <c r="D2826" s="8">
        <f>IFERROR(__xludf.DUMMYFUNCTION("""COMPUTED_VALUE"""),25.0)</f>
        <v>25</v>
      </c>
      <c r="E2826" s="2"/>
    </row>
    <row r="2827">
      <c r="A2827" s="2"/>
      <c r="B2827" s="8" t="str">
        <f>IFERROR(__xludf.DUMMYFUNCTION("""COMPUTED_VALUE"""),"FIKANTIYAS DINIATI")</f>
        <v>FIKANTIYAS DINIATI</v>
      </c>
      <c r="C2827" s="8" t="str">
        <f>IFERROR(__xludf.DUMMYFUNCTION("""COMPUTED_VALUE"""),"F8325094650")</f>
        <v>F8325094650</v>
      </c>
      <c r="D2827" s="8">
        <f>IFERROR(__xludf.DUMMYFUNCTION("""COMPUTED_VALUE"""),43.0)</f>
        <v>43</v>
      </c>
      <c r="E2827" s="2"/>
    </row>
    <row r="2828">
      <c r="A2828" s="2"/>
      <c r="B2828" s="8" t="str">
        <f>IFERROR(__xludf.DUMMYFUNCTION("""COMPUTED_VALUE"""),"ROYMOND CHANDRA P")</f>
        <v>ROYMOND CHANDRA P</v>
      </c>
      <c r="C2828" s="8" t="str">
        <f>IFERROR(__xludf.DUMMYFUNCTION("""COMPUTED_VALUE"""),"R9325090723")</f>
        <v>R9325090723</v>
      </c>
      <c r="D2828" s="8">
        <f>IFERROR(__xludf.DUMMYFUNCTION("""COMPUTED_VALUE"""),33.0)</f>
        <v>33</v>
      </c>
      <c r="E2828" s="2"/>
    </row>
    <row r="2829">
      <c r="A2829" s="2"/>
      <c r="B2829" s="8" t="str">
        <f>IFERROR(__xludf.DUMMYFUNCTION("""COMPUTED_VALUE"""),"EMYLIA TRIANA SAPUTRI")</f>
        <v>EMYLIA TRIANA SAPUTRI</v>
      </c>
      <c r="C2829" s="8" t="str">
        <f>IFERROR(__xludf.DUMMYFUNCTION("""COMPUTED_VALUE"""),"E0325098158")</f>
        <v>E0325098158</v>
      </c>
      <c r="D2829" s="8">
        <f>IFERROR(__xludf.DUMMYFUNCTION("""COMPUTED_VALUE"""),22.0)</f>
        <v>22</v>
      </c>
      <c r="E2829" s="2"/>
    </row>
    <row r="2830">
      <c r="A2830" s="2"/>
      <c r="B2830" s="8" t="str">
        <f>IFERROR(__xludf.DUMMYFUNCTION("""COMPUTED_VALUE"""),"ANDRIANI")</f>
        <v>ANDRIANI</v>
      </c>
      <c r="C2830" s="8" t="str">
        <f>IFERROR(__xludf.DUMMYFUNCTION("""COMPUTED_VALUE"""),"A5625092572")</f>
        <v>A5625092572</v>
      </c>
      <c r="D2830" s="8">
        <f>IFERROR(__xludf.DUMMYFUNCTION("""COMPUTED_VALUE"""),70.0)</f>
        <v>70</v>
      </c>
      <c r="E2830" s="2"/>
    </row>
    <row r="2831">
      <c r="A2831" s="2"/>
      <c r="B2831" s="8" t="str">
        <f>IFERROR(__xludf.DUMMYFUNCTION("""COMPUTED_VALUE"""),"JONG NYUK KIM ALS FATIMAH")</f>
        <v>JONG NYUK KIM ALS FATIMAH</v>
      </c>
      <c r="C2831" s="8" t="str">
        <f>IFERROR(__xludf.DUMMYFUNCTION("""COMPUTED_VALUE"""),"J6025097234")</f>
        <v>J6025097234</v>
      </c>
      <c r="D2831" s="8">
        <f>IFERROR(__xludf.DUMMYFUNCTION("""COMPUTED_VALUE"""),66.0)</f>
        <v>66</v>
      </c>
      <c r="E2831" s="2"/>
    </row>
    <row r="2832">
      <c r="A2832" s="2"/>
      <c r="B2832" s="8" t="str">
        <f>IFERROR(__xludf.DUMMYFUNCTION("""COMPUTED_VALUE"""),"MICHAEL EMERSON YANSENS")</f>
        <v>MICHAEL EMERSON YANSENS</v>
      </c>
      <c r="C2832" s="8" t="str">
        <f>IFERROR(__xludf.DUMMYFUNCTION("""COMPUTED_VALUE"""),"M8625091074")</f>
        <v>M8625091074</v>
      </c>
      <c r="D2832" s="8">
        <f>IFERROR(__xludf.DUMMYFUNCTION("""COMPUTED_VALUE"""),39.0)</f>
        <v>39</v>
      </c>
      <c r="E2832" s="2"/>
    </row>
    <row r="2833">
      <c r="A2833" s="2"/>
      <c r="B2833" s="8" t="str">
        <f>IFERROR(__xludf.DUMMYFUNCTION("""COMPUTED_VALUE"""),"DAULIAH")</f>
        <v>DAULIAH</v>
      </c>
      <c r="C2833" s="8" t="str">
        <f>IFERROR(__xludf.DUMMYFUNCTION("""COMPUTED_VALUE"""),"D7225090")</f>
        <v>D7225090</v>
      </c>
      <c r="D2833" s="8">
        <f>IFERROR(__xludf.DUMMYFUNCTION("""COMPUTED_VALUE"""),54.0)</f>
        <v>54</v>
      </c>
      <c r="E2833" s="2"/>
    </row>
    <row r="2834">
      <c r="A2834" s="2"/>
      <c r="B2834" s="8" t="str">
        <f>IFERROR(__xludf.DUMMYFUNCTION("""COMPUTED_VALUE"""),"WULAN SITI AISYAH")</f>
        <v>WULAN SITI AISYAH</v>
      </c>
      <c r="C2834" s="8" t="str">
        <f>IFERROR(__xludf.DUMMYFUNCTION("""COMPUTED_VALUE"""),"W0825093044")</f>
        <v>W0825093044</v>
      </c>
      <c r="D2834" s="8">
        <f>IFERROR(__xludf.DUMMYFUNCTION("""COMPUTED_VALUE"""),18.0)</f>
        <v>18</v>
      </c>
      <c r="E2834" s="2"/>
    </row>
    <row r="2835">
      <c r="A2835" s="2"/>
      <c r="B2835" s="8" t="str">
        <f>IFERROR(__xludf.DUMMYFUNCTION("""COMPUTED_VALUE"""),"MARIA ELLISA")</f>
        <v>MARIA ELLISA</v>
      </c>
      <c r="C2835" s="8" t="str">
        <f>IFERROR(__xludf.DUMMYFUNCTION("""COMPUTED_VALUE"""),"M0725093359")</f>
        <v>M0725093359</v>
      </c>
      <c r="D2835" s="8">
        <f>IFERROR(__xludf.DUMMYFUNCTION("""COMPUTED_VALUE"""),18.0)</f>
        <v>18</v>
      </c>
      <c r="E2835" s="2"/>
    </row>
    <row r="2836">
      <c r="A2836" s="2"/>
      <c r="B2836" s="8" t="str">
        <f>IFERROR(__xludf.DUMMYFUNCTION("""COMPUTED_VALUE"""),"M RAKHA WIBISANA")</f>
        <v>M RAKHA WIBISANA</v>
      </c>
      <c r="C2836" s="8" t="str">
        <f>IFERROR(__xludf.DUMMYFUNCTION("""COMPUTED_VALUE"""),"M9725099009")</f>
        <v>M9725099009</v>
      </c>
      <c r="D2836" s="8">
        <f>IFERROR(__xludf.DUMMYFUNCTION("""COMPUTED_VALUE"""),29.0)</f>
        <v>29</v>
      </c>
      <c r="E2836" s="2"/>
    </row>
    <row r="2837">
      <c r="A2837" s="2"/>
      <c r="B2837" s="8" t="str">
        <f>IFERROR(__xludf.DUMMYFUNCTION("""COMPUTED_VALUE"""),"INKA RUSADY")</f>
        <v>INKA RUSADY</v>
      </c>
      <c r="C2837" s="8" t="str">
        <f>IFERROR(__xludf.DUMMYFUNCTION("""COMPUTED_VALUE"""),"I9525094175")</f>
        <v>I9525094175</v>
      </c>
      <c r="D2837" s="8">
        <f>IFERROR(__xludf.DUMMYFUNCTION("""COMPUTED_VALUE"""),30.0)</f>
        <v>30</v>
      </c>
      <c r="E2837" s="2"/>
    </row>
    <row r="2838">
      <c r="A2838" s="2"/>
      <c r="B2838" s="8" t="str">
        <f>IFERROR(__xludf.DUMMYFUNCTION("""COMPUTED_VALUE"""),"RANDY GIAN SETIAWAN")</f>
        <v>RANDY GIAN SETIAWAN</v>
      </c>
      <c r="C2838" s="8" t="str">
        <f>IFERROR(__xludf.DUMMYFUNCTION("""COMPUTED_VALUE"""),"R9625094100")</f>
        <v>R9625094100</v>
      </c>
      <c r="D2838" s="8">
        <f>IFERROR(__xludf.DUMMYFUNCTION("""COMPUTED_VALUE"""),30.0)</f>
        <v>30</v>
      </c>
      <c r="E2838" s="2"/>
    </row>
    <row r="2839">
      <c r="A2839" s="2"/>
      <c r="B2839" s="8" t="str">
        <f>IFERROR(__xludf.DUMMYFUNCTION("""COMPUTED_VALUE"""),"INDINA SHINTA DEWI")</f>
        <v>INDINA SHINTA DEWI</v>
      </c>
      <c r="C2839" s="8" t="str">
        <f>IFERROR(__xludf.DUMMYFUNCTION("""COMPUTED_VALUE"""),"I8825095691")</f>
        <v>I8825095691</v>
      </c>
      <c r="D2839" s="8">
        <f>IFERROR(__xludf.DUMMYFUNCTION("""COMPUTED_VALUE"""),38.0)</f>
        <v>38</v>
      </c>
      <c r="E2839" s="2"/>
    </row>
    <row r="2840">
      <c r="A2840" s="2"/>
      <c r="B2840" s="8" t="str">
        <f>IFERROR(__xludf.DUMMYFUNCTION("""COMPUTED_VALUE"""),"ERLIN NURLIAWATY")</f>
        <v>ERLIN NURLIAWATY</v>
      </c>
      <c r="C2840" s="8" t="str">
        <f>IFERROR(__xludf.DUMMYFUNCTION("""COMPUTED_VALUE"""),"E8425098000")</f>
        <v>E8425098000</v>
      </c>
      <c r="D2840" s="8">
        <f>IFERROR(__xludf.DUMMYFUNCTION("""COMPUTED_VALUE"""),41.0)</f>
        <v>41</v>
      </c>
      <c r="E2840" s="2"/>
    </row>
    <row r="2841">
      <c r="A2841" s="2"/>
      <c r="B2841" s="8" t="str">
        <f>IFERROR(__xludf.DUMMYFUNCTION("""COMPUTED_VALUE"""),"GERHANA AISYAH")</f>
        <v>GERHANA AISYAH</v>
      </c>
      <c r="C2841" s="8" t="str">
        <f>IFERROR(__xludf.DUMMYFUNCTION("""COMPUTED_VALUE"""),"G9525099652")</f>
        <v>G9525099652</v>
      </c>
      <c r="D2841" s="8">
        <f>IFERROR(__xludf.DUMMYFUNCTION("""COMPUTED_VALUE"""),30.0)</f>
        <v>30</v>
      </c>
      <c r="E2841" s="2"/>
    </row>
    <row r="2842">
      <c r="A2842" s="2"/>
      <c r="B2842" s="8" t="str">
        <f>IFERROR(__xludf.DUMMYFUNCTION("""COMPUTED_VALUE"""),"RUDI HARTONO")</f>
        <v>RUDI HARTONO</v>
      </c>
      <c r="C2842" s="8" t="str">
        <f>IFERROR(__xludf.DUMMYFUNCTION("""COMPUTED_VALUE"""),"R2525091389")</f>
        <v>R2525091389</v>
      </c>
      <c r="D2842" s="8">
        <f>IFERROR(__xludf.DUMMYFUNCTION("""COMPUTED_VALUE"""),1.0)</f>
        <v>1</v>
      </c>
      <c r="E2842" s="2"/>
    </row>
    <row r="2843">
      <c r="A2843" s="2"/>
      <c r="B2843" s="8" t="str">
        <f>IFERROR(__xludf.DUMMYFUNCTION("""COMPUTED_VALUE"""),"SRI HARTINI9803")</f>
        <v>SRI HARTINI9803</v>
      </c>
      <c r="C2843" s="8" t="str">
        <f>IFERROR(__xludf.DUMMYFUNCTION("""COMPUTED_VALUE"""),"S9825099009")</f>
        <v>S9825099009</v>
      </c>
      <c r="D2843" s="8">
        <f>IFERROR(__xludf.DUMMYFUNCTION("""COMPUTED_VALUE"""),28.0)</f>
        <v>28</v>
      </c>
      <c r="E2843" s="2"/>
    </row>
    <row r="2844">
      <c r="A2844" s="2"/>
      <c r="B2844" s="8" t="str">
        <f>IFERROR(__xludf.DUMMYFUNCTION("""COMPUTED_VALUE"""),"VERREL QEYRICH WALIVIN")</f>
        <v>VERREL QEYRICH WALIVIN</v>
      </c>
      <c r="C2844" s="8" t="str">
        <f>IFERROR(__xludf.DUMMYFUNCTION("""COMPUTED_VALUE"""),"V1425096888")</f>
        <v>V1425096888</v>
      </c>
      <c r="D2844" s="8">
        <f>IFERROR(__xludf.DUMMYFUNCTION("""COMPUTED_VALUE"""),11.0)</f>
        <v>11</v>
      </c>
      <c r="E2844" s="2"/>
    </row>
    <row r="2845">
      <c r="A2845" s="2"/>
      <c r="B2845" s="8" t="str">
        <f>IFERROR(__xludf.DUMMYFUNCTION("""COMPUTED_VALUE"""),"SHERLYKA UTARI SYACHPULIANTI")</f>
        <v>SHERLYKA UTARI SYACHPULIANTI</v>
      </c>
      <c r="C2845" s="8" t="str">
        <f>IFERROR(__xludf.DUMMYFUNCTION("""COMPUTED_VALUE"""),"S9225097330")</f>
        <v>S9225097330</v>
      </c>
      <c r="D2845" s="8">
        <f>IFERROR(__xludf.DUMMYFUNCTION("""COMPUTED_VALUE"""),34.0)</f>
        <v>34</v>
      </c>
      <c r="E2845" s="2"/>
    </row>
    <row r="2846">
      <c r="A2846" s="2"/>
      <c r="B2846" s="8" t="str">
        <f>IFERROR(__xludf.DUMMYFUNCTION("""COMPUTED_VALUE"""),"LINAWARTI")</f>
        <v>LINAWARTI</v>
      </c>
      <c r="C2846" s="8" t="str">
        <f>IFERROR(__xludf.DUMMYFUNCTION("""COMPUTED_VALUE"""),"L8725091989")</f>
        <v>L8725091989</v>
      </c>
      <c r="D2846" s="8">
        <f>IFERROR(__xludf.DUMMYFUNCTION("""COMPUTED_VALUE"""),39.0)</f>
        <v>39</v>
      </c>
      <c r="E2846" s="2"/>
    </row>
    <row r="2847">
      <c r="A2847" s="2"/>
      <c r="B2847" s="8" t="str">
        <f>IFERROR(__xludf.DUMMYFUNCTION("""COMPUTED_VALUE"""),"HALIM MASNO SUTJIANTO")</f>
        <v>HALIM MASNO SUTJIANTO</v>
      </c>
      <c r="C2847" s="8" t="str">
        <f>IFERROR(__xludf.DUMMYFUNCTION("""COMPUTED_VALUE"""),"H7125097575")</f>
        <v>H7125097575</v>
      </c>
      <c r="D2847" s="8">
        <f>IFERROR(__xludf.DUMMYFUNCTION("""COMPUTED_VALUE"""),55.0)</f>
        <v>55</v>
      </c>
      <c r="E2847" s="2"/>
    </row>
    <row r="2848">
      <c r="A2848" s="2"/>
      <c r="B2848" s="8" t="str">
        <f>IFERROR(__xludf.DUMMYFUNCTION("""COMPUTED_VALUE"""),"MENG NIAN ALIAS RUDI")</f>
        <v>MENG NIAN ALIAS RUDI</v>
      </c>
      <c r="C2848" s="8" t="str">
        <f>IFERROR(__xludf.DUMMYFUNCTION("""COMPUTED_VALUE"""),"M6825090")</f>
        <v>M6825090</v>
      </c>
      <c r="D2848" s="8">
        <f>IFERROR(__xludf.DUMMYFUNCTION("""COMPUTED_VALUE"""),57.0)</f>
        <v>57</v>
      </c>
      <c r="E2848" s="2"/>
    </row>
    <row r="2849">
      <c r="A2849" s="2"/>
      <c r="B2849" s="8" t="str">
        <f>IFERROR(__xludf.DUMMYFUNCTION("""COMPUTED_VALUE"""),"MUHAMMAD HENDRI. SE")</f>
        <v>MUHAMMAD HENDRI. SE</v>
      </c>
      <c r="C2849" s="8" t="str">
        <f>IFERROR(__xludf.DUMMYFUNCTION("""COMPUTED_VALUE"""),"M8125099997")</f>
        <v>M8125099997</v>
      </c>
      <c r="D2849" s="8">
        <f>IFERROR(__xludf.DUMMYFUNCTION("""COMPUTED_VALUE"""),45.0)</f>
        <v>45</v>
      </c>
      <c r="E2849" s="2"/>
    </row>
    <row r="2850">
      <c r="A2850" s="2"/>
      <c r="B2850" s="8" t="str">
        <f>IFERROR(__xludf.DUMMYFUNCTION("""COMPUTED_VALUE"""),"NADYNE ARSYFA NUR AS’ADIYAH")</f>
        <v>NADYNE ARSYFA NUR AS’ADIYAH</v>
      </c>
      <c r="C2850" s="8" t="str">
        <f>IFERROR(__xludf.DUMMYFUNCTION("""COMPUTED_VALUE"""),"N2525095500")</f>
        <v>N2525095500</v>
      </c>
      <c r="D2850" s="8">
        <f>IFERROR(__xludf.DUMMYFUNCTION("""COMPUTED_VALUE"""),0.0)</f>
        <v>0</v>
      </c>
      <c r="E2850" s="2"/>
    </row>
    <row r="2851">
      <c r="A2851" s="2"/>
      <c r="B2851" s="8" t="str">
        <f>IFERROR(__xludf.DUMMYFUNCTION("""COMPUTED_VALUE"""),"NURIL HUDA ATHARIQ UKASAH")</f>
        <v>NURIL HUDA ATHARIQ UKASAH</v>
      </c>
      <c r="C2851" s="8" t="str">
        <f>IFERROR(__xludf.DUMMYFUNCTION("""COMPUTED_VALUE"""),"N9825094835")</f>
        <v>N9825094835</v>
      </c>
      <c r="D2851" s="8">
        <f>IFERROR(__xludf.DUMMYFUNCTION("""COMPUTED_VALUE"""),27.0)</f>
        <v>27</v>
      </c>
      <c r="E2851" s="2"/>
    </row>
    <row r="2852">
      <c r="A2852" s="2"/>
      <c r="B2852" s="8" t="str">
        <f>IFERROR(__xludf.DUMMYFUNCTION("""COMPUTED_VALUE"""),"LUQMAN ABDUL JABBAR")</f>
        <v>LUQMAN ABDUL JABBAR</v>
      </c>
      <c r="C2852" s="8" t="str">
        <f>IFERROR(__xludf.DUMMYFUNCTION("""COMPUTED_VALUE"""),"L7525094307")</f>
        <v>L7525094307</v>
      </c>
      <c r="D2852" s="8">
        <f>IFERROR(__xludf.DUMMYFUNCTION("""COMPUTED_VALUE"""),51.0)</f>
        <v>51</v>
      </c>
      <c r="E2852" s="2"/>
    </row>
    <row r="2853">
      <c r="A2853" s="2"/>
      <c r="B2853" s="8" t="str">
        <f>IFERROR(__xludf.DUMMYFUNCTION("""COMPUTED_VALUE"""),"ERLINA KURNIAWAN")</f>
        <v>ERLINA KURNIAWAN</v>
      </c>
      <c r="C2853" s="8" t="str">
        <f>IFERROR(__xludf.DUMMYFUNCTION("""COMPUTED_VALUE"""),"E8725098616")</f>
        <v>E8725098616</v>
      </c>
      <c r="D2853" s="8">
        <f>IFERROR(__xludf.DUMMYFUNCTION("""COMPUTED_VALUE"""),38.0)</f>
        <v>38</v>
      </c>
      <c r="E2853" s="2"/>
    </row>
    <row r="2854">
      <c r="A2854" s="2"/>
      <c r="B2854" s="8" t="str">
        <f>IFERROR(__xludf.DUMMYFUNCTION("""COMPUTED_VALUE"""),"ALDA KENDRA ARTANTI")</f>
        <v>ALDA KENDRA ARTANTI</v>
      </c>
      <c r="C2854" s="8" t="str">
        <f>IFERROR(__xludf.DUMMYFUNCTION("""COMPUTED_VALUE"""),"A2525091800")</f>
        <v>A2525091800</v>
      </c>
      <c r="D2854" s="8">
        <f>IFERROR(__xludf.DUMMYFUNCTION("""COMPUTED_VALUE"""),0.0)</f>
        <v>0</v>
      </c>
      <c r="E2854" s="2"/>
    </row>
    <row r="2855">
      <c r="A2855" s="2"/>
      <c r="B2855" s="8" t="str">
        <f>IFERROR(__xludf.DUMMYFUNCTION("""COMPUTED_VALUE"""),"KADE DESMILAWATI")</f>
        <v>KADE DESMILAWATI</v>
      </c>
      <c r="C2855" s="8" t="str">
        <f>IFERROR(__xludf.DUMMYFUNCTION("""COMPUTED_VALUE"""),"K8225090080")</f>
        <v>K8225090080</v>
      </c>
      <c r="D2855" s="8">
        <f>IFERROR(__xludf.DUMMYFUNCTION("""COMPUTED_VALUE"""),43.0)</f>
        <v>43</v>
      </c>
      <c r="E2855" s="2"/>
    </row>
    <row r="2856">
      <c r="A2856" s="2"/>
      <c r="B2856" s="8" t="str">
        <f>IFERROR(__xludf.DUMMYFUNCTION("""COMPUTED_VALUE"""),"MUHAFIDZAH NADZEEFA RASYADA")</f>
        <v>MUHAFIDZAH NADZEEFA RASYADA</v>
      </c>
      <c r="C2856" s="8" t="str">
        <f>IFERROR(__xludf.DUMMYFUNCTION("""COMPUTED_VALUE"""),"M1125093332")</f>
        <v>M1125093332</v>
      </c>
      <c r="D2856" s="8">
        <f>IFERROR(__xludf.DUMMYFUNCTION("""COMPUTED_VALUE"""),15.0)</f>
        <v>15</v>
      </c>
      <c r="E2856" s="2"/>
    </row>
    <row r="2857">
      <c r="A2857" s="2"/>
      <c r="B2857" s="8" t="str">
        <f>IFERROR(__xludf.DUMMYFUNCTION("""COMPUTED_VALUE"""),"HAIRIL AL-HAM")</f>
        <v>HAIRIL AL-HAM</v>
      </c>
      <c r="C2857" s="8" t="str">
        <f>IFERROR(__xludf.DUMMYFUNCTION("""COMPUTED_VALUE"""),"H0225090832")</f>
        <v>H0225090832</v>
      </c>
      <c r="D2857" s="8">
        <f>IFERROR(__xludf.DUMMYFUNCTION("""COMPUTED_VALUE"""),24.0)</f>
        <v>24</v>
      </c>
      <c r="E2857" s="2"/>
    </row>
    <row r="2858">
      <c r="A2858" s="2"/>
      <c r="B2858" s="8" t="str">
        <f>IFERROR(__xludf.DUMMYFUNCTION("""COMPUTED_VALUE"""),"ARENDRA BAYU WICAKSONO")</f>
        <v>ARENDRA BAYU WICAKSONO</v>
      </c>
      <c r="C2858" s="8" t="str">
        <f>IFERROR(__xludf.DUMMYFUNCTION("""COMPUTED_VALUE"""),"A9025096726")</f>
        <v>A9025096726</v>
      </c>
      <c r="D2858" s="8">
        <f>IFERROR(__xludf.DUMMYFUNCTION("""COMPUTED_VALUE"""),36.0)</f>
        <v>36</v>
      </c>
      <c r="E2858" s="2"/>
    </row>
    <row r="2859">
      <c r="A2859" s="2"/>
      <c r="B2859" s="8" t="str">
        <f>IFERROR(__xludf.DUMMYFUNCTION("""COMPUTED_VALUE"""),"RAIHANI")</f>
        <v>RAIHANI</v>
      </c>
      <c r="C2859" s="8" t="str">
        <f>IFERROR(__xludf.DUMMYFUNCTION("""COMPUTED_VALUE"""),"R2525095104")</f>
        <v>R2525095104</v>
      </c>
      <c r="D2859" s="8">
        <f>IFERROR(__xludf.DUMMYFUNCTION("""COMPUTED_VALUE"""),0.0)</f>
        <v>0</v>
      </c>
      <c r="E2859" s="2"/>
    </row>
    <row r="2860">
      <c r="A2860" s="2"/>
      <c r="B2860" s="8" t="str">
        <f>IFERROR(__xludf.DUMMYFUNCTION("""COMPUTED_VALUE"""),"EDY HARTONO")</f>
        <v>EDY HARTONO</v>
      </c>
      <c r="C2860" s="8" t="str">
        <f>IFERROR(__xludf.DUMMYFUNCTION("""COMPUTED_VALUE"""),"E7525090355")</f>
        <v>E7525090355</v>
      </c>
      <c r="D2860" s="8">
        <f>IFERROR(__xludf.DUMMYFUNCTION("""COMPUTED_VALUE"""),51.0)</f>
        <v>51</v>
      </c>
      <c r="E2860" s="2"/>
    </row>
    <row r="2861">
      <c r="A2861" s="2"/>
      <c r="B2861" s="8" t="str">
        <f>IFERROR(__xludf.DUMMYFUNCTION("""COMPUTED_VALUE"""),"KHOU AI NA")</f>
        <v>KHOU AI NA</v>
      </c>
      <c r="C2861" s="8" t="str">
        <f>IFERROR(__xludf.DUMMYFUNCTION("""COMPUTED_VALUE"""),"K7925099117")</f>
        <v>K7925099117</v>
      </c>
      <c r="D2861" s="8">
        <f>IFERROR(__xludf.DUMMYFUNCTION("""COMPUTED_VALUE"""),47.0)</f>
        <v>47</v>
      </c>
      <c r="E2861" s="2"/>
    </row>
    <row r="2862">
      <c r="A2862" s="2"/>
      <c r="B2862" s="8" t="str">
        <f>IFERROR(__xludf.DUMMYFUNCTION("""COMPUTED_VALUE"""),"ALIF FISAYIDIN")</f>
        <v>ALIF FISAYIDIN</v>
      </c>
      <c r="C2862" s="8" t="str">
        <f>IFERROR(__xludf.DUMMYFUNCTION("""COMPUTED_VALUE"""),"A9925094720")</f>
        <v>A9925094720</v>
      </c>
      <c r="D2862" s="8">
        <f>IFERROR(__xludf.DUMMYFUNCTION("""COMPUTED_VALUE"""),26.0)</f>
        <v>26</v>
      </c>
      <c r="E2862" s="2"/>
    </row>
    <row r="2863">
      <c r="A2863" s="2"/>
      <c r="B2863" s="8" t="str">
        <f>IFERROR(__xludf.DUMMYFUNCTION("""COMPUTED_VALUE"""),"RICKY THERISNO")</f>
        <v>RICKY THERISNO</v>
      </c>
      <c r="C2863" s="8" t="str">
        <f>IFERROR(__xludf.DUMMYFUNCTION("""COMPUTED_VALUE"""),"R9725098379")</f>
        <v>R9725098379</v>
      </c>
      <c r="D2863" s="8">
        <f>IFERROR(__xludf.DUMMYFUNCTION("""COMPUTED_VALUE"""),28.0)</f>
        <v>28</v>
      </c>
      <c r="E2863" s="2"/>
    </row>
    <row r="2864">
      <c r="A2864" s="2"/>
      <c r="B2864" s="8" t="str">
        <f>IFERROR(__xludf.DUMMYFUNCTION("""COMPUTED_VALUE"""),"NANANG RADENDRA")</f>
        <v>NANANG RADENDRA</v>
      </c>
      <c r="C2864" s="8" t="str">
        <f>IFERROR(__xludf.DUMMYFUNCTION("""COMPUTED_VALUE"""),"N8825093456")</f>
        <v>N8825093456</v>
      </c>
      <c r="D2864" s="8">
        <f>IFERROR(__xludf.DUMMYFUNCTION("""COMPUTED_VALUE"""),38.0)</f>
        <v>38</v>
      </c>
      <c r="E2864" s="2"/>
    </row>
    <row r="2865">
      <c r="A2865" s="2"/>
      <c r="B2865" s="8" t="str">
        <f>IFERROR(__xludf.DUMMYFUNCTION("""COMPUTED_VALUE"""),"PUJI MULYANI")</f>
        <v>PUJI MULYANI</v>
      </c>
      <c r="C2865" s="8" t="str">
        <f>IFERROR(__xludf.DUMMYFUNCTION("""COMPUTED_VALUE"""),"P7525096189")</f>
        <v>P7525096189</v>
      </c>
      <c r="D2865" s="8">
        <f>IFERROR(__xludf.DUMMYFUNCTION("""COMPUTED_VALUE"""),51.0)</f>
        <v>51</v>
      </c>
      <c r="E2865" s="2"/>
    </row>
    <row r="2866">
      <c r="A2866" s="2"/>
      <c r="B2866" s="8" t="str">
        <f>IFERROR(__xludf.DUMMYFUNCTION("""COMPUTED_VALUE"""),"FATMAWATI")</f>
        <v>FATMAWATI</v>
      </c>
      <c r="C2866" s="8" t="str">
        <f>IFERROR(__xludf.DUMMYFUNCTION("""COMPUTED_VALUE"""),"F6925098775")</f>
        <v>F6925098775</v>
      </c>
      <c r="D2866" s="8">
        <f>IFERROR(__xludf.DUMMYFUNCTION("""COMPUTED_VALUE"""),56.0)</f>
        <v>56</v>
      </c>
      <c r="E2866" s="2"/>
    </row>
    <row r="2867">
      <c r="A2867" s="2"/>
      <c r="B2867" s="8" t="str">
        <f>IFERROR(__xludf.DUMMYFUNCTION("""COMPUTED_VALUE"""),"HARTONO")</f>
        <v>HARTONO</v>
      </c>
      <c r="C2867" s="8" t="str">
        <f>IFERROR(__xludf.DUMMYFUNCTION("""COMPUTED_VALUE"""),"H8825094803")</f>
        <v>H8825094803</v>
      </c>
      <c r="D2867" s="8">
        <f>IFERROR(__xludf.DUMMYFUNCTION("""COMPUTED_VALUE"""),38.0)</f>
        <v>38</v>
      </c>
      <c r="E2867" s="2"/>
    </row>
    <row r="2868">
      <c r="A2868" s="2"/>
      <c r="B2868" s="8" t="str">
        <f>IFERROR(__xludf.DUMMYFUNCTION("""COMPUTED_VALUE"""),"NG SIA CIN")</f>
        <v>NG SIA CIN</v>
      </c>
      <c r="C2868" s="8" t="str">
        <f>IFERROR(__xludf.DUMMYFUNCTION("""COMPUTED_VALUE"""),"N5825097333")</f>
        <v>N5825097333</v>
      </c>
      <c r="D2868" s="8">
        <f>IFERROR(__xludf.DUMMYFUNCTION("""COMPUTED_VALUE"""),67.0)</f>
        <v>67</v>
      </c>
      <c r="E2868" s="2"/>
    </row>
    <row r="2869">
      <c r="A2869" s="2"/>
      <c r="B2869" s="8" t="str">
        <f>IFERROR(__xludf.DUMMYFUNCTION("""COMPUTED_VALUE"""),"DINDA SAFITRI")</f>
        <v>DINDA SAFITRI</v>
      </c>
      <c r="C2869" s="8" t="str">
        <f>IFERROR(__xludf.DUMMYFUNCTION("""COMPUTED_VALUE"""),"D0225093120")</f>
        <v>D0225093120</v>
      </c>
      <c r="D2869" s="8">
        <f>IFERROR(__xludf.DUMMYFUNCTION("""COMPUTED_VALUE"""),23.0)</f>
        <v>23</v>
      </c>
      <c r="E2869" s="2"/>
    </row>
    <row r="2870">
      <c r="A2870" s="2"/>
      <c r="B2870" s="8" t="str">
        <f>IFERROR(__xludf.DUMMYFUNCTION("""COMPUTED_VALUE"""),"LENY SUMANTRI")</f>
        <v>LENY SUMANTRI</v>
      </c>
      <c r="C2870" s="8" t="str">
        <f>IFERROR(__xludf.DUMMYFUNCTION("""COMPUTED_VALUE"""),"L8725094767")</f>
        <v>L8725094767</v>
      </c>
      <c r="D2870" s="8">
        <f>IFERROR(__xludf.DUMMYFUNCTION("""COMPUTED_VALUE"""),38.0)</f>
        <v>38</v>
      </c>
      <c r="E2870" s="2"/>
    </row>
    <row r="2871">
      <c r="A2871" s="2"/>
      <c r="B2871" s="8" t="str">
        <f>IFERROR(__xludf.DUMMYFUNCTION("""COMPUTED_VALUE"""),"FATHAN AUFA HAFIDZI")</f>
        <v>FATHAN AUFA HAFIDZI</v>
      </c>
      <c r="C2871" s="8" t="str">
        <f>IFERROR(__xludf.DUMMYFUNCTION("""COMPUTED_VALUE"""),"F1325098833")</f>
        <v>F1325098833</v>
      </c>
      <c r="D2871" s="8">
        <f>IFERROR(__xludf.DUMMYFUNCTION("""COMPUTED_VALUE"""),12.0)</f>
        <v>12</v>
      </c>
      <c r="E2871" s="2"/>
    </row>
    <row r="2872">
      <c r="A2872" s="2"/>
      <c r="B2872" s="8" t="str">
        <f>IFERROR(__xludf.DUMMYFUNCTION("""COMPUTED_VALUE"""),"JUNIARDY WONGSO")</f>
        <v>JUNIARDY WONGSO</v>
      </c>
      <c r="C2872" s="8" t="str">
        <f>IFERROR(__xludf.DUMMYFUNCTION("""COMPUTED_VALUE"""),"J9525098892")</f>
        <v>J9525098892</v>
      </c>
      <c r="D2872" s="8">
        <f>IFERROR(__xludf.DUMMYFUNCTION("""COMPUTED_VALUE"""),31.0)</f>
        <v>31</v>
      </c>
      <c r="E2872" s="2"/>
    </row>
    <row r="2873">
      <c r="A2873" s="2"/>
      <c r="B2873" s="8" t="str">
        <f>IFERROR(__xludf.DUMMYFUNCTION("""COMPUTED_VALUE"""),"MUTMAINAH")</f>
        <v>MUTMAINAH</v>
      </c>
      <c r="C2873" s="8" t="str">
        <f>IFERROR(__xludf.DUMMYFUNCTION("""COMPUTED_VALUE"""),"M7625091296")</f>
        <v>M7625091296</v>
      </c>
      <c r="D2873" s="8">
        <f>IFERROR(__xludf.DUMMYFUNCTION("""COMPUTED_VALUE"""),49.0)</f>
        <v>49</v>
      </c>
      <c r="E2873" s="2"/>
    </row>
    <row r="2874">
      <c r="A2874" s="2"/>
      <c r="B2874" s="8" t="str">
        <f>IFERROR(__xludf.DUMMYFUNCTION("""COMPUTED_VALUE"""),"SUDARMI")</f>
        <v>SUDARMI</v>
      </c>
      <c r="C2874" s="8" t="str">
        <f>IFERROR(__xludf.DUMMYFUNCTION("""COMPUTED_VALUE"""),"S5025099659")</f>
        <v>S5025099659</v>
      </c>
      <c r="D2874" s="8">
        <f>IFERROR(__xludf.DUMMYFUNCTION("""COMPUTED_VALUE"""),76.0)</f>
        <v>76</v>
      </c>
      <c r="E2874" s="2"/>
    </row>
    <row r="2875">
      <c r="A2875" s="2"/>
      <c r="B2875" s="8" t="str">
        <f>IFERROR(__xludf.DUMMYFUNCTION("""COMPUTED_VALUE"""),"ANAM SAPUTRO MARGO UTOMO")</f>
        <v>ANAM SAPUTRO MARGO UTOMO</v>
      </c>
      <c r="C2875" s="8" t="str">
        <f>IFERROR(__xludf.DUMMYFUNCTION("""COMPUTED_VALUE"""),"A9925090758")</f>
        <v>A9925090758</v>
      </c>
      <c r="D2875" s="8">
        <f>IFERROR(__xludf.DUMMYFUNCTION("""COMPUTED_VALUE"""),26.0)</f>
        <v>26</v>
      </c>
      <c r="E2875" s="2"/>
    </row>
    <row r="2876">
      <c r="A2876" s="2"/>
      <c r="B2876" s="8" t="str">
        <f>IFERROR(__xludf.DUMMYFUNCTION("""COMPUTED_VALUE"""),"MUHAMMAD CHAIRUDDIN, S.A.P")</f>
        <v>MUHAMMAD CHAIRUDDIN, S.A.P</v>
      </c>
      <c r="C2876" s="8" t="str">
        <f>IFERROR(__xludf.DUMMYFUNCTION("""COMPUTED_VALUE"""),"M7825098720")</f>
        <v>M7825098720</v>
      </c>
      <c r="D2876" s="8">
        <f>IFERROR(__xludf.DUMMYFUNCTION("""COMPUTED_VALUE"""),48.0)</f>
        <v>48</v>
      </c>
      <c r="E2876" s="2"/>
    </row>
    <row r="2877">
      <c r="A2877" s="2"/>
      <c r="B2877" s="8" t="str">
        <f>IFERROR(__xludf.DUMMYFUNCTION("""COMPUTED_VALUE"""),"MARIYAM")</f>
        <v>MARIYAM</v>
      </c>
      <c r="C2877" s="8" t="str">
        <f>IFERROR(__xludf.DUMMYFUNCTION("""COMPUTED_VALUE"""),"M6825093469")</f>
        <v>M6825093469</v>
      </c>
      <c r="D2877" s="8">
        <f>IFERROR(__xludf.DUMMYFUNCTION("""COMPUTED_VALUE"""),58.0)</f>
        <v>58</v>
      </c>
      <c r="E2877" s="2"/>
    </row>
    <row r="2878">
      <c r="A2878" s="2"/>
      <c r="B2878" s="8" t="str">
        <f>IFERROR(__xludf.DUMMYFUNCTION("""COMPUTED_VALUE"""),"FANRITA NABILA ISLAMY")</f>
        <v>FANRITA NABILA ISLAMY</v>
      </c>
      <c r="C2878" s="8" t="str">
        <f>IFERROR(__xludf.DUMMYFUNCTION("""COMPUTED_VALUE"""),"F9425098820")</f>
        <v>F9425098820</v>
      </c>
      <c r="D2878" s="8">
        <f>IFERROR(__xludf.DUMMYFUNCTION("""COMPUTED_VALUE"""),31.0)</f>
        <v>31</v>
      </c>
      <c r="E2878" s="2"/>
    </row>
    <row r="2879">
      <c r="A2879" s="2"/>
      <c r="B2879" s="8" t="str">
        <f>IFERROR(__xludf.DUMMYFUNCTION("""COMPUTED_VALUE"""),"BAENAH")</f>
        <v>BAENAH</v>
      </c>
      <c r="C2879" s="8" t="str">
        <f>IFERROR(__xludf.DUMMYFUNCTION("""COMPUTED_VALUE"""),"B6525099498")</f>
        <v>B6525099498</v>
      </c>
      <c r="D2879" s="8">
        <f>IFERROR(__xludf.DUMMYFUNCTION("""COMPUTED_VALUE"""),61.0)</f>
        <v>61</v>
      </c>
      <c r="E2879" s="2"/>
    </row>
    <row r="2880">
      <c r="A2880" s="2"/>
      <c r="B2880" s="8" t="str">
        <f>IFERROR(__xludf.DUMMYFUNCTION("""COMPUTED_VALUE"""),"PARANGE MANURUNG, S. H.")</f>
        <v>PARANGE MANURUNG, S. H.</v>
      </c>
      <c r="C2880" s="8" t="str">
        <f>IFERROR(__xludf.DUMMYFUNCTION("""COMPUTED_VALUE"""),"P7025095075")</f>
        <v>P7025095075</v>
      </c>
      <c r="D2880" s="8">
        <f>IFERROR(__xludf.DUMMYFUNCTION("""COMPUTED_VALUE"""),56.0)</f>
        <v>56</v>
      </c>
      <c r="E2880" s="2"/>
    </row>
    <row r="2881">
      <c r="A2881" s="2"/>
      <c r="B2881" s="8" t="str">
        <f>IFERROR(__xludf.DUMMYFUNCTION("""COMPUTED_VALUE"""),"DESTRIYANA DARMASTUTI")</f>
        <v>DESTRIYANA DARMASTUTI</v>
      </c>
      <c r="C2881" s="8" t="str">
        <f>IFERROR(__xludf.DUMMYFUNCTION("""COMPUTED_VALUE"""),"D9025090308")</f>
        <v>D9025090308</v>
      </c>
      <c r="D2881" s="8">
        <f>IFERROR(__xludf.DUMMYFUNCTION("""COMPUTED_VALUE"""),35.0)</f>
        <v>35</v>
      </c>
      <c r="E2881" s="2"/>
    </row>
    <row r="2882">
      <c r="A2882" s="2"/>
      <c r="B2882" s="8" t="str">
        <f>IFERROR(__xludf.DUMMYFUNCTION("""COMPUTED_VALUE"""),"MELINDA CAROLINA")</f>
        <v>MELINDA CAROLINA</v>
      </c>
      <c r="C2882" s="8" t="str">
        <f>IFERROR(__xludf.DUMMYFUNCTION("""COMPUTED_VALUE"""),"M9125091223")</f>
        <v>M9125091223</v>
      </c>
      <c r="D2882" s="8">
        <f>IFERROR(__xludf.DUMMYFUNCTION("""COMPUTED_VALUE"""),34.0)</f>
        <v>34</v>
      </c>
      <c r="E2882" s="2"/>
    </row>
    <row r="2883">
      <c r="A2883" s="2"/>
      <c r="B2883" s="8" t="str">
        <f>IFERROR(__xludf.DUMMYFUNCTION("""COMPUTED_VALUE"""),"SAMUEL LISHAN")</f>
        <v>SAMUEL LISHAN</v>
      </c>
      <c r="C2883" s="8" t="str">
        <f>IFERROR(__xludf.DUMMYFUNCTION("""COMPUTED_VALUE"""),"S9425090056")</f>
        <v>S9425090056</v>
      </c>
      <c r="D2883" s="8">
        <f>IFERROR(__xludf.DUMMYFUNCTION("""COMPUTED_VALUE"""),31.0)</f>
        <v>31</v>
      </c>
      <c r="E2883" s="2"/>
    </row>
    <row r="2884">
      <c r="A2884" s="2"/>
      <c r="B2884" s="8" t="str">
        <f>IFERROR(__xludf.DUMMYFUNCTION("""COMPUTED_VALUE"""),"LILI JARIAH")</f>
        <v>LILI JARIAH</v>
      </c>
      <c r="C2884" s="8" t="str">
        <f>IFERROR(__xludf.DUMMYFUNCTION("""COMPUTED_VALUE"""),"L8125099600")</f>
        <v>L8125099600</v>
      </c>
      <c r="D2884" s="8">
        <f>IFERROR(__xludf.DUMMYFUNCTION("""COMPUTED_VALUE"""),45.0)</f>
        <v>45</v>
      </c>
      <c r="E2884" s="2"/>
    </row>
    <row r="2885">
      <c r="A2885" s="2"/>
      <c r="B2885" s="8" t="str">
        <f>IFERROR(__xludf.DUMMYFUNCTION("""COMPUTED_VALUE"""),"A. SYUKUR H. JAFRI")</f>
        <v>A. SYUKUR H. JAFRI</v>
      </c>
      <c r="C2885" s="8" t="str">
        <f>IFERROR(__xludf.DUMMYFUNCTION("""COMPUTED_VALUE"""),"A6125094370")</f>
        <v>A6125094370</v>
      </c>
      <c r="D2885" s="8">
        <f>IFERROR(__xludf.DUMMYFUNCTION("""COMPUTED_VALUE"""),64.0)</f>
        <v>64</v>
      </c>
      <c r="E2885" s="2"/>
    </row>
    <row r="2886">
      <c r="A2886" s="2"/>
      <c r="B2886" s="8" t="str">
        <f>IFERROR(__xludf.DUMMYFUNCTION("""COMPUTED_VALUE"""),"AEGA YASA UTAMI")</f>
        <v>AEGA YASA UTAMI</v>
      </c>
      <c r="C2886" s="8" t="str">
        <f>IFERROR(__xludf.DUMMYFUNCTION("""COMPUTED_VALUE"""),"A8725092429")</f>
        <v>A8725092429</v>
      </c>
      <c r="D2886" s="8">
        <f>IFERROR(__xludf.DUMMYFUNCTION("""COMPUTED_VALUE"""),38.0)</f>
        <v>38</v>
      </c>
      <c r="E2886" s="2"/>
    </row>
    <row r="2887">
      <c r="A2887" s="2"/>
      <c r="B2887" s="8" t="str">
        <f>IFERROR(__xludf.DUMMYFUNCTION("""COMPUTED_VALUE"""),"SYAHRIL AKBARI")</f>
        <v>SYAHRIL AKBARI</v>
      </c>
      <c r="C2887" s="8" t="str">
        <f>IFERROR(__xludf.DUMMYFUNCTION("""COMPUTED_VALUE"""),"S9725092033")</f>
        <v>S9725092033</v>
      </c>
      <c r="D2887" s="8">
        <f>IFERROR(__xludf.DUMMYFUNCTION("""COMPUTED_VALUE"""),29.0)</f>
        <v>29</v>
      </c>
      <c r="E2887" s="2"/>
    </row>
    <row r="2888">
      <c r="A2888" s="2"/>
      <c r="B2888" s="8" t="str">
        <f>IFERROR(__xludf.DUMMYFUNCTION("""COMPUTED_VALUE"""),"PAYING")</f>
        <v>PAYING</v>
      </c>
      <c r="C2888" s="8" t="str">
        <f>IFERROR(__xludf.DUMMYFUNCTION("""COMPUTED_VALUE"""),"P6325090")</f>
        <v>P6325090</v>
      </c>
      <c r="D2888" s="8">
        <f>IFERROR(__xludf.DUMMYFUNCTION("""COMPUTED_VALUE"""),63.0)</f>
        <v>63</v>
      </c>
      <c r="E2888" s="2"/>
    </row>
    <row r="2889">
      <c r="A2889" s="2"/>
      <c r="B2889" s="8" t="str">
        <f>IFERROR(__xludf.DUMMYFUNCTION("""COMPUTED_VALUE"""),"DIKIFIRNANDA")</f>
        <v>DIKIFIRNANDA</v>
      </c>
      <c r="C2889" s="8" t="str">
        <f>IFERROR(__xludf.DUMMYFUNCTION("""COMPUTED_VALUE"""),"D0525097586")</f>
        <v>D0525097586</v>
      </c>
      <c r="D2889" s="8">
        <f>IFERROR(__xludf.DUMMYFUNCTION("""COMPUTED_VALUE"""),21.0)</f>
        <v>21</v>
      </c>
      <c r="E2889" s="2"/>
    </row>
    <row r="2890">
      <c r="A2890" s="2"/>
      <c r="B2890" s="8" t="str">
        <f>IFERROR(__xludf.DUMMYFUNCTION("""COMPUTED_VALUE"""),"SUPENDI")</f>
        <v>SUPENDI</v>
      </c>
      <c r="C2890" s="8" t="str">
        <f>IFERROR(__xludf.DUMMYFUNCTION("""COMPUTED_VALUE"""),"S8225092183")</f>
        <v>S8225092183</v>
      </c>
      <c r="D2890" s="8">
        <f>IFERROR(__xludf.DUMMYFUNCTION("""COMPUTED_VALUE"""),44.0)</f>
        <v>44</v>
      </c>
      <c r="E2890" s="2"/>
    </row>
    <row r="2891">
      <c r="A2891" s="2"/>
      <c r="B2891" s="8" t="str">
        <f>IFERROR(__xludf.DUMMYFUNCTION("""COMPUTED_VALUE"""),"HELIE")</f>
        <v>HELIE</v>
      </c>
      <c r="C2891" s="8" t="str">
        <f>IFERROR(__xludf.DUMMYFUNCTION("""COMPUTED_VALUE"""),"H7825098625")</f>
        <v>H7825098625</v>
      </c>
      <c r="D2891" s="8">
        <f>IFERROR(__xludf.DUMMYFUNCTION("""COMPUTED_VALUE"""),47.0)</f>
        <v>47</v>
      </c>
      <c r="E2891" s="2"/>
    </row>
    <row r="2892">
      <c r="A2892" s="2"/>
      <c r="B2892" s="8" t="str">
        <f>IFERROR(__xludf.DUMMYFUNCTION("""COMPUTED_VALUE"""),"M. FAIZ AZRIELRIANDRA")</f>
        <v>M. FAIZ AZRIELRIANDRA</v>
      </c>
      <c r="C2892" s="8" t="str">
        <f>IFERROR(__xludf.DUMMYFUNCTION("""COMPUTED_VALUE"""),"M0925093175")</f>
        <v>M0925093175</v>
      </c>
      <c r="D2892" s="8">
        <f>IFERROR(__xludf.DUMMYFUNCTION("""COMPUTED_VALUE"""),16.0)</f>
        <v>16</v>
      </c>
      <c r="E2892" s="2"/>
    </row>
    <row r="2893">
      <c r="A2893" s="2"/>
      <c r="B2893" s="8" t="str">
        <f>IFERROR(__xludf.DUMMYFUNCTION("""COMPUTED_VALUE"""),"LUHUT SIHOMBING")</f>
        <v>LUHUT SIHOMBING</v>
      </c>
      <c r="C2893" s="8" t="str">
        <f>IFERROR(__xludf.DUMMYFUNCTION("""COMPUTED_VALUE"""),"L6225093510")</f>
        <v>L6225093510</v>
      </c>
      <c r="D2893" s="8">
        <f>IFERROR(__xludf.DUMMYFUNCTION("""COMPUTED_VALUE"""),63.0)</f>
        <v>63</v>
      </c>
      <c r="E2893" s="2"/>
    </row>
    <row r="2894">
      <c r="A2894" s="2"/>
      <c r="B2894" s="8" t="str">
        <f>IFERROR(__xludf.DUMMYFUNCTION("""COMPUTED_VALUE"""),"MAWAR SARIANI")</f>
        <v>MAWAR SARIANI</v>
      </c>
      <c r="C2894" s="8" t="str">
        <f>IFERROR(__xludf.DUMMYFUNCTION("""COMPUTED_VALUE"""),"M9225090860")</f>
        <v>M9225090860</v>
      </c>
      <c r="D2894" s="8">
        <f>IFERROR(__xludf.DUMMYFUNCTION("""COMPUTED_VALUE"""),34.0)</f>
        <v>34</v>
      </c>
      <c r="E2894" s="2"/>
    </row>
    <row r="2895">
      <c r="A2895" s="2"/>
      <c r="B2895" s="8" t="str">
        <f>IFERROR(__xludf.DUMMYFUNCTION("""COMPUTED_VALUE"""),"YUNI ISHAFIZA")</f>
        <v>YUNI ISHAFIZA</v>
      </c>
      <c r="C2895" s="8" t="str">
        <f>IFERROR(__xludf.DUMMYFUNCTION("""COMPUTED_VALUE"""),"Y6625092191")</f>
        <v>Y6625092191</v>
      </c>
      <c r="D2895" s="8">
        <f>IFERROR(__xludf.DUMMYFUNCTION("""COMPUTED_VALUE"""),60.0)</f>
        <v>60</v>
      </c>
      <c r="E2895" s="2"/>
    </row>
    <row r="2896">
      <c r="A2896" s="2"/>
      <c r="B2896" s="8" t="str">
        <f>IFERROR(__xludf.DUMMYFUNCTION("""COMPUTED_VALUE"""),"KLEMENS SUADRIAN")</f>
        <v>KLEMENS SUADRIAN</v>
      </c>
      <c r="C2896" s="8" t="str">
        <f>IFERROR(__xludf.DUMMYFUNCTION("""COMPUTED_VALUE"""),"K8725099796")</f>
        <v>K8725099796</v>
      </c>
      <c r="D2896" s="8">
        <f>IFERROR(__xludf.DUMMYFUNCTION("""COMPUTED_VALUE"""),39.0)</f>
        <v>39</v>
      </c>
      <c r="E2896" s="2"/>
    </row>
    <row r="2897">
      <c r="A2897" s="2"/>
      <c r="B2897" s="8" t="str">
        <f>IFERROR(__xludf.DUMMYFUNCTION("""COMPUTED_VALUE"""),"ADRIANA")</f>
        <v>ADRIANA</v>
      </c>
      <c r="C2897" s="8" t="str">
        <f>IFERROR(__xludf.DUMMYFUNCTION("""COMPUTED_VALUE"""),"A6925093510")</f>
        <v>A6925093510</v>
      </c>
      <c r="D2897" s="8">
        <f>IFERROR(__xludf.DUMMYFUNCTION("""COMPUTED_VALUE"""),57.0)</f>
        <v>57</v>
      </c>
      <c r="E2897" s="2"/>
    </row>
    <row r="2898">
      <c r="A2898" s="2"/>
      <c r="B2898" s="8" t="str">
        <f>IFERROR(__xludf.DUMMYFUNCTION("""COMPUTED_VALUE"""),"RYUDINATA WILLIAM")</f>
        <v>RYUDINATA WILLIAM</v>
      </c>
      <c r="C2898" s="8" t="str">
        <f>IFERROR(__xludf.DUMMYFUNCTION("""COMPUTED_VALUE"""),"R1225091811")</f>
        <v>R1225091811</v>
      </c>
      <c r="D2898" s="8">
        <f>IFERROR(__xludf.DUMMYFUNCTION("""COMPUTED_VALUE"""),13.0)</f>
        <v>13</v>
      </c>
      <c r="E2898" s="2"/>
    </row>
    <row r="2899">
      <c r="A2899" s="2"/>
      <c r="B2899" s="8" t="str">
        <f>IFERROR(__xludf.DUMMYFUNCTION("""COMPUTED_VALUE"""),"FRANKY WILLIAM")</f>
        <v>FRANKY WILLIAM</v>
      </c>
      <c r="C2899" s="8" t="str">
        <f>IFERROR(__xludf.DUMMYFUNCTION("""COMPUTED_VALUE"""),"F4925091811")</f>
        <v>F4925091811</v>
      </c>
      <c r="D2899" s="8">
        <f>IFERROR(__xludf.DUMMYFUNCTION("""COMPUTED_VALUE"""),76.0)</f>
        <v>76</v>
      </c>
      <c r="E2899" s="2"/>
    </row>
    <row r="2900">
      <c r="A2900" s="2"/>
      <c r="B2900" s="8" t="str">
        <f>IFERROR(__xludf.DUMMYFUNCTION("""COMPUTED_VALUE"""),"LIU BI CUNG")</f>
        <v>LIU BI CUNG</v>
      </c>
      <c r="C2900" s="8" t="str">
        <f>IFERROR(__xludf.DUMMYFUNCTION("""COMPUTED_VALUE"""),"L6925096674")</f>
        <v>L6925096674</v>
      </c>
      <c r="D2900" s="8">
        <f>IFERROR(__xludf.DUMMYFUNCTION("""COMPUTED_VALUE"""),56.0)</f>
        <v>56</v>
      </c>
      <c r="E2900" s="2"/>
    </row>
    <row r="2901">
      <c r="A2901" s="2"/>
      <c r="B2901" s="8" t="str">
        <f>IFERROR(__xludf.DUMMYFUNCTION("""COMPUTED_VALUE"""),"SANTUN TOGATOROP")</f>
        <v>SANTUN TOGATOROP</v>
      </c>
      <c r="C2901" s="8" t="str">
        <f>IFERROR(__xludf.DUMMYFUNCTION("""COMPUTED_VALUE"""),"S5925098785")</f>
        <v>S5925098785</v>
      </c>
      <c r="D2901" s="8">
        <f>IFERROR(__xludf.DUMMYFUNCTION("""COMPUTED_VALUE"""),66.0)</f>
        <v>66</v>
      </c>
      <c r="E2901" s="2"/>
    </row>
    <row r="2902">
      <c r="A2902" s="2"/>
      <c r="B2902" s="8" t="str">
        <f>IFERROR(__xludf.DUMMYFUNCTION("""COMPUTED_VALUE"""),"AISHA NAJWA AQILA")</f>
        <v>AISHA NAJWA AQILA</v>
      </c>
      <c r="C2902" s="8" t="str">
        <f>IFERROR(__xludf.DUMMYFUNCTION("""COMPUTED_VALUE"""),"A0825098780")</f>
        <v>A0825098780</v>
      </c>
      <c r="D2902" s="8">
        <f>IFERROR(__xludf.DUMMYFUNCTION("""COMPUTED_VALUE"""),18.0)</f>
        <v>18</v>
      </c>
      <c r="E2902" s="2"/>
    </row>
    <row r="2903">
      <c r="A2903" s="2"/>
      <c r="B2903" s="8" t="str">
        <f>IFERROR(__xludf.DUMMYFUNCTION("""COMPUTED_VALUE"""),"ENNY RATNAWATI")</f>
        <v>ENNY RATNAWATI</v>
      </c>
      <c r="C2903" s="8" t="str">
        <f>IFERROR(__xludf.DUMMYFUNCTION("""COMPUTED_VALUE"""),"E6025095285")</f>
        <v>E6025095285</v>
      </c>
      <c r="D2903" s="8">
        <f>IFERROR(__xludf.DUMMYFUNCTION("""COMPUTED_VALUE"""),66.0)</f>
        <v>66</v>
      </c>
      <c r="E2903" s="2"/>
    </row>
    <row r="2904">
      <c r="A2904" s="2"/>
      <c r="B2904" s="8" t="str">
        <f>IFERROR(__xludf.DUMMYFUNCTION("""COMPUTED_VALUE"""),"SUYONO")</f>
        <v>SUYONO</v>
      </c>
      <c r="C2904" s="8" t="str">
        <f>IFERROR(__xludf.DUMMYFUNCTION("""COMPUTED_VALUE"""),"S7125096750")</f>
        <v>S7125096750</v>
      </c>
      <c r="D2904" s="8">
        <f>IFERROR(__xludf.DUMMYFUNCTION("""COMPUTED_VALUE"""),55.0)</f>
        <v>55</v>
      </c>
      <c r="E2904" s="2"/>
    </row>
    <row r="2905">
      <c r="A2905" s="2"/>
      <c r="B2905" s="8" t="str">
        <f>IFERROR(__xludf.DUMMYFUNCTION("""COMPUTED_VALUE"""),"SUHERMAN")</f>
        <v>SUHERMAN</v>
      </c>
      <c r="C2905" s="8" t="str">
        <f>IFERROR(__xludf.DUMMYFUNCTION("""COMPUTED_VALUE"""),"S7625091177")</f>
        <v>S7625091177</v>
      </c>
      <c r="D2905" s="8">
        <f>IFERROR(__xludf.DUMMYFUNCTION("""COMPUTED_VALUE"""),49.0)</f>
        <v>49</v>
      </c>
      <c r="E2905" s="2"/>
    </row>
    <row r="2906">
      <c r="A2906" s="2"/>
      <c r="B2906" s="8" t="str">
        <f>IFERROR(__xludf.DUMMYFUNCTION("""COMPUTED_VALUE"""),"HENG KENG SENG")</f>
        <v>HENG KENG SENG</v>
      </c>
      <c r="C2906" s="8" t="str">
        <f>IFERROR(__xludf.DUMMYFUNCTION("""COMPUTED_VALUE"""),"H5325098176")</f>
        <v>H5325098176</v>
      </c>
      <c r="D2906" s="8">
        <f>IFERROR(__xludf.DUMMYFUNCTION("""COMPUTED_VALUE"""),73.0)</f>
        <v>73</v>
      </c>
      <c r="E2906" s="2"/>
    </row>
    <row r="2907">
      <c r="A2907" s="2"/>
      <c r="B2907" s="8" t="str">
        <f>IFERROR(__xludf.DUMMYFUNCTION("""COMPUTED_VALUE"""),"CINDY KURNIA CHAIRUMIN")</f>
        <v>CINDY KURNIA CHAIRUMIN</v>
      </c>
      <c r="C2907" s="8" t="str">
        <f>IFERROR(__xludf.DUMMYFUNCTION("""COMPUTED_VALUE"""),"C9125097470")</f>
        <v>C9125097470</v>
      </c>
      <c r="D2907" s="8">
        <f>IFERROR(__xludf.DUMMYFUNCTION("""COMPUTED_VALUE"""),35.0)</f>
        <v>35</v>
      </c>
      <c r="E2907" s="2"/>
    </row>
    <row r="2908">
      <c r="A2908" s="2"/>
      <c r="B2908" s="8" t="str">
        <f>IFERROR(__xludf.DUMMYFUNCTION("""COMPUTED_VALUE"""),"NAI HAK KHIM")</f>
        <v>NAI HAK KHIM</v>
      </c>
      <c r="C2908" s="8" t="str">
        <f>IFERROR(__xludf.DUMMYFUNCTION("""COMPUTED_VALUE"""),"N6225097470")</f>
        <v>N6225097470</v>
      </c>
      <c r="D2908" s="8">
        <f>IFERROR(__xludf.DUMMYFUNCTION("""COMPUTED_VALUE"""),64.0)</f>
        <v>64</v>
      </c>
      <c r="E2908" s="2"/>
    </row>
    <row r="2909">
      <c r="A2909" s="2"/>
      <c r="B2909" s="8" t="str">
        <f>IFERROR(__xludf.DUMMYFUNCTION("""COMPUTED_VALUE"""),"FITRI HALUDIAWATI")</f>
        <v>FITRI HALUDIAWATI</v>
      </c>
      <c r="C2909" s="8" t="str">
        <f>IFERROR(__xludf.DUMMYFUNCTION("""COMPUTED_VALUE"""),"F9725096709")</f>
        <v>F9725096709</v>
      </c>
      <c r="D2909" s="8">
        <f>IFERROR(__xludf.DUMMYFUNCTION("""COMPUTED_VALUE"""),28.0)</f>
        <v>28</v>
      </c>
      <c r="E2909" s="2"/>
    </row>
    <row r="2910">
      <c r="A2910" s="2"/>
      <c r="B2910" s="8" t="str">
        <f>IFERROR(__xludf.DUMMYFUNCTION("""COMPUTED_VALUE"""),"LIM OI SIP ALS ERNY")</f>
        <v>LIM OI SIP ALS ERNY</v>
      </c>
      <c r="C2910" s="8" t="str">
        <f>IFERROR(__xludf.DUMMYFUNCTION("""COMPUTED_VALUE"""),"L5325099995")</f>
        <v>L5325099995</v>
      </c>
      <c r="D2910" s="8">
        <f>IFERROR(__xludf.DUMMYFUNCTION("""COMPUTED_VALUE"""),73.0)</f>
        <v>73</v>
      </c>
      <c r="E2910" s="2"/>
    </row>
    <row r="2911">
      <c r="A2911" s="2"/>
      <c r="B2911" s="8" t="str">
        <f>IFERROR(__xludf.DUMMYFUNCTION("""COMPUTED_VALUE"""),"HARRY FURQAN")</f>
        <v>HARRY FURQAN</v>
      </c>
      <c r="C2911" s="8" t="str">
        <f>IFERROR(__xludf.DUMMYFUNCTION("""COMPUTED_VALUE"""),"H9025092496")</f>
        <v>H9025092496</v>
      </c>
      <c r="D2911" s="8">
        <f>IFERROR(__xludf.DUMMYFUNCTION("""COMPUTED_VALUE"""),36.0)</f>
        <v>36</v>
      </c>
      <c r="E2911" s="2"/>
    </row>
    <row r="2912">
      <c r="A2912" s="2"/>
      <c r="B2912" s="8" t="str">
        <f>IFERROR(__xludf.DUMMYFUNCTION("""COMPUTED_VALUE"""),"TEGUH PANGESTU")</f>
        <v>TEGUH PANGESTU</v>
      </c>
      <c r="C2912" s="8" t="str">
        <f>IFERROR(__xludf.DUMMYFUNCTION("""COMPUTED_VALUE"""),"T0125096931")</f>
        <v>T0125096931</v>
      </c>
      <c r="D2912" s="8">
        <f>IFERROR(__xludf.DUMMYFUNCTION("""COMPUTED_VALUE"""),25.0)</f>
        <v>25</v>
      </c>
      <c r="E2912" s="2"/>
    </row>
    <row r="2913">
      <c r="A2913" s="2"/>
      <c r="B2913" s="8" t="str">
        <f>IFERROR(__xludf.DUMMYFUNCTION("""COMPUTED_VALUE"""),"IRFAN APRISON")</f>
        <v>IRFAN APRISON</v>
      </c>
      <c r="C2913" s="8" t="str">
        <f>IFERROR(__xludf.DUMMYFUNCTION("""COMPUTED_VALUE"""),"I9525090")</f>
        <v>I9525090</v>
      </c>
      <c r="D2913" s="8">
        <f>IFERROR(__xludf.DUMMYFUNCTION("""COMPUTED_VALUE"""),30.0)</f>
        <v>30</v>
      </c>
      <c r="E2913" s="2"/>
    </row>
    <row r="2914">
      <c r="A2914" s="2"/>
      <c r="B2914" s="8" t="str">
        <f>IFERROR(__xludf.DUMMYFUNCTION("""COMPUTED_VALUE"""),"SINTA CLARENCIA")</f>
        <v>SINTA CLARENCIA</v>
      </c>
      <c r="C2914" s="8" t="str">
        <f>IFERROR(__xludf.DUMMYFUNCTION("""COMPUTED_VALUE"""),"S8625097998")</f>
        <v>S8625097998</v>
      </c>
      <c r="D2914" s="8">
        <f>IFERROR(__xludf.DUMMYFUNCTION("""COMPUTED_VALUE"""),40.0)</f>
        <v>40</v>
      </c>
      <c r="E2914" s="2"/>
    </row>
    <row r="2915">
      <c r="A2915" s="2"/>
      <c r="B2915" s="8" t="str">
        <f>IFERROR(__xludf.DUMMYFUNCTION("""COMPUTED_VALUE"""),"ERWIN RAMDANI")</f>
        <v>ERWIN RAMDANI</v>
      </c>
      <c r="C2915" s="8" t="str">
        <f>IFERROR(__xludf.DUMMYFUNCTION("""COMPUTED_VALUE"""),"E9325090")</f>
        <v>E9325090</v>
      </c>
      <c r="D2915" s="8">
        <f>IFERROR(__xludf.DUMMYFUNCTION("""COMPUTED_VALUE"""),32.0)</f>
        <v>32</v>
      </c>
      <c r="E2915" s="2"/>
    </row>
    <row r="2916">
      <c r="A2916" s="2"/>
      <c r="B2916" s="8" t="str">
        <f>IFERROR(__xludf.DUMMYFUNCTION("""COMPUTED_VALUE"""),"BAI FURKON HILMI, SE")</f>
        <v>BAI FURKON HILMI, SE</v>
      </c>
      <c r="C2916" s="8" t="str">
        <f>IFERROR(__xludf.DUMMYFUNCTION("""COMPUTED_VALUE"""),"B7125094370")</f>
        <v>B7125094370</v>
      </c>
      <c r="D2916" s="8">
        <f>IFERROR(__xludf.DUMMYFUNCTION("""COMPUTED_VALUE"""),55.0)</f>
        <v>55</v>
      </c>
      <c r="E2916" s="2"/>
    </row>
    <row r="2917">
      <c r="A2917" s="2"/>
      <c r="B2917" s="8" t="str">
        <f>IFERROR(__xludf.DUMMYFUNCTION("""COMPUTED_VALUE"""),"REINHART ANANDA")</f>
        <v>REINHART ANANDA</v>
      </c>
      <c r="C2917" s="8" t="str">
        <f>IFERROR(__xludf.DUMMYFUNCTION("""COMPUTED_VALUE"""),"R0125092606")</f>
        <v>R0125092606</v>
      </c>
      <c r="D2917" s="8">
        <f>IFERROR(__xludf.DUMMYFUNCTION("""COMPUTED_VALUE"""),24.0)</f>
        <v>24</v>
      </c>
      <c r="E2917" s="2"/>
    </row>
    <row r="2918">
      <c r="A2918" s="2"/>
      <c r="B2918" s="8" t="str">
        <f>IFERROR(__xludf.DUMMYFUNCTION("""COMPUTED_VALUE"""),"FERDINAN")</f>
        <v>FERDINAN</v>
      </c>
      <c r="C2918" s="8" t="str">
        <f>IFERROR(__xludf.DUMMYFUNCTION("""COMPUTED_VALUE"""),"F7525096886")</f>
        <v>F7525096886</v>
      </c>
      <c r="D2918" s="8">
        <f>IFERROR(__xludf.DUMMYFUNCTION("""COMPUTED_VALUE"""),50.0)</f>
        <v>50</v>
      </c>
      <c r="E2918" s="2"/>
    </row>
    <row r="2919">
      <c r="A2919" s="2"/>
      <c r="B2919" s="8" t="str">
        <f>IFERROR(__xludf.DUMMYFUNCTION("""COMPUTED_VALUE"""),"DEVIN PANGESTU")</f>
        <v>DEVIN PANGESTU</v>
      </c>
      <c r="C2919" s="8" t="str">
        <f>IFERROR(__xludf.DUMMYFUNCTION("""COMPUTED_VALUE"""),"D1025091558")</f>
        <v>D1025091558</v>
      </c>
      <c r="D2919" s="8">
        <f>IFERROR(__xludf.DUMMYFUNCTION("""COMPUTED_VALUE"""),16.0)</f>
        <v>16</v>
      </c>
      <c r="E2919" s="2"/>
    </row>
    <row r="2920">
      <c r="A2920" s="2"/>
      <c r="B2920" s="8" t="str">
        <f>IFERROR(__xludf.DUMMYFUNCTION("""COMPUTED_VALUE"""),"DELILA")</f>
        <v>DELILA</v>
      </c>
      <c r="C2920" s="8" t="str">
        <f>IFERROR(__xludf.DUMMYFUNCTION("""COMPUTED_VALUE"""),"D9225097701")</f>
        <v>D9225097701</v>
      </c>
      <c r="D2920" s="8">
        <f>IFERROR(__xludf.DUMMYFUNCTION("""COMPUTED_VALUE"""),34.0)</f>
        <v>34</v>
      </c>
      <c r="E2920" s="2"/>
    </row>
    <row r="2921">
      <c r="A2921" s="2"/>
      <c r="B2921" s="8" t="str">
        <f>IFERROR(__xludf.DUMMYFUNCTION("""COMPUTED_VALUE"""),"RAFRIANDI SYAFLIADI")</f>
        <v>RAFRIANDI SYAFLIADI</v>
      </c>
      <c r="C2921" s="8" t="str">
        <f>IFERROR(__xludf.DUMMYFUNCTION("""COMPUTED_VALUE"""),"R8925093148")</f>
        <v>R8925093148</v>
      </c>
      <c r="D2921" s="8">
        <f>IFERROR(__xludf.DUMMYFUNCTION("""COMPUTED_VALUE"""),37.0)</f>
        <v>37</v>
      </c>
      <c r="E2921" s="2"/>
    </row>
    <row r="2922">
      <c r="A2922" s="2"/>
      <c r="B2922" s="8" t="str">
        <f>IFERROR(__xludf.DUMMYFUNCTION("""COMPUTED_VALUE"""),"AFNUR RIKI AMRULLAH")</f>
        <v>AFNUR RIKI AMRULLAH</v>
      </c>
      <c r="C2922" s="8" t="str">
        <f>IFERROR(__xludf.DUMMYFUNCTION("""COMPUTED_VALUE"""),"A9025092121")</f>
        <v>A9025092121</v>
      </c>
      <c r="D2922" s="8">
        <f>IFERROR(__xludf.DUMMYFUNCTION("""COMPUTED_VALUE"""),36.0)</f>
        <v>36</v>
      </c>
      <c r="E2922" s="2"/>
    </row>
    <row r="2923">
      <c r="A2923" s="2"/>
      <c r="B2923" s="8" t="str">
        <f>IFERROR(__xludf.DUMMYFUNCTION("""COMPUTED_VALUE"""),"FATI ARIFAH")</f>
        <v>FATI ARIFAH</v>
      </c>
      <c r="C2923" s="8" t="str">
        <f>IFERROR(__xludf.DUMMYFUNCTION("""COMPUTED_VALUE"""),"F1025103034")</f>
        <v>F1025103034</v>
      </c>
      <c r="D2923" s="8">
        <f>IFERROR(__xludf.DUMMYFUNCTION("""COMPUTED_VALUE"""),16.0)</f>
        <v>16</v>
      </c>
      <c r="E2923" s="2"/>
    </row>
    <row r="2924">
      <c r="A2924" s="2"/>
      <c r="B2924" s="8" t="str">
        <f>IFERROR(__xludf.DUMMYFUNCTION("""COMPUTED_VALUE"""),"LIM OI KHIUN ALS RIANA")</f>
        <v>LIM OI KHIUN ALS RIANA</v>
      </c>
      <c r="C2924" s="8" t="str">
        <f>IFERROR(__xludf.DUMMYFUNCTION("""COMPUTED_VALUE"""),"L5925109995")</f>
        <v>L5925109995</v>
      </c>
      <c r="D2924" s="8">
        <f>IFERROR(__xludf.DUMMYFUNCTION("""COMPUTED_VALUE"""),67.0)</f>
        <v>67</v>
      </c>
      <c r="E2924" s="2"/>
    </row>
    <row r="2925">
      <c r="A2925" s="2"/>
      <c r="B2925" s="8" t="str">
        <f>IFERROR(__xludf.DUMMYFUNCTION("""COMPUTED_VALUE"""),"SUHERDIYANTO, S.PD")</f>
        <v>SUHERDIYANTO, S.PD</v>
      </c>
      <c r="C2925" s="8" t="str">
        <f>IFERROR(__xludf.DUMMYFUNCTION("""COMPUTED_VALUE"""),"S8025102353")</f>
        <v>S8025102353</v>
      </c>
      <c r="D2925" s="8">
        <f>IFERROR(__xludf.DUMMYFUNCTION("""COMPUTED_VALUE"""),46.0)</f>
        <v>46</v>
      </c>
      <c r="E2925" s="2"/>
    </row>
    <row r="2926">
      <c r="A2926" s="2"/>
      <c r="B2926" s="8" t="str">
        <f>IFERROR(__xludf.DUMMYFUNCTION("""COMPUTED_VALUE"""),"LISA MEGASARI")</f>
        <v>LISA MEGASARI</v>
      </c>
      <c r="C2926" s="8" t="str">
        <f>IFERROR(__xludf.DUMMYFUNCTION("""COMPUTED_VALUE"""),"L8625105331")</f>
        <v>L8625105331</v>
      </c>
      <c r="D2926" s="8">
        <f>IFERROR(__xludf.DUMMYFUNCTION("""COMPUTED_VALUE"""),40.0)</f>
        <v>40</v>
      </c>
      <c r="E2926" s="2"/>
    </row>
    <row r="2927">
      <c r="A2927" s="2"/>
      <c r="B2927" s="8" t="str">
        <f>IFERROR(__xludf.DUMMYFUNCTION("""COMPUTED_VALUE"""),"ARIFIN NUR ROCHMAD")</f>
        <v>ARIFIN NUR ROCHMAD</v>
      </c>
      <c r="C2927" s="8" t="str">
        <f>IFERROR(__xludf.DUMMYFUNCTION("""COMPUTED_VALUE"""),"A9025108786")</f>
        <v>A9025108786</v>
      </c>
      <c r="D2927" s="8">
        <f>IFERROR(__xludf.DUMMYFUNCTION("""COMPUTED_VALUE"""),35.0)</f>
        <v>35</v>
      </c>
      <c r="E2927" s="2"/>
    </row>
    <row r="2928">
      <c r="A2928" s="2"/>
      <c r="B2928" s="8" t="str">
        <f>IFERROR(__xludf.DUMMYFUNCTION("""COMPUTED_VALUE"""),"SHAOUQI NASHUHA")</f>
        <v>SHAOUQI NASHUHA</v>
      </c>
      <c r="C2928" s="8" t="str">
        <f>IFERROR(__xludf.DUMMYFUNCTION("""COMPUTED_VALUE"""),"S9625108010")</f>
        <v>S9625108010</v>
      </c>
      <c r="D2928" s="8">
        <f>IFERROR(__xludf.DUMMYFUNCTION("""COMPUTED_VALUE"""),29.0)</f>
        <v>29</v>
      </c>
      <c r="E2928" s="2"/>
    </row>
    <row r="2929">
      <c r="A2929" s="2"/>
      <c r="B2929" s="8" t="str">
        <f>IFERROR(__xludf.DUMMYFUNCTION("""COMPUTED_VALUE"""),"RAHMAD PUNGKI WALUYO")</f>
        <v>RAHMAD PUNGKI WALUYO</v>
      </c>
      <c r="C2929" s="8" t="str">
        <f>IFERROR(__xludf.DUMMYFUNCTION("""COMPUTED_VALUE"""),"R7925105884")</f>
        <v>R7925105884</v>
      </c>
      <c r="D2929" s="8">
        <f>IFERROR(__xludf.DUMMYFUNCTION("""COMPUTED_VALUE"""),46.0)</f>
        <v>46</v>
      </c>
      <c r="E2929" s="2"/>
    </row>
    <row r="2930">
      <c r="A2930" s="2"/>
      <c r="B2930" s="8" t="str">
        <f>IFERROR(__xludf.DUMMYFUNCTION("""COMPUTED_VALUE"""),"ROBINSON NAINGGOLAN")</f>
        <v>ROBINSON NAINGGOLAN</v>
      </c>
      <c r="C2930" s="8" t="str">
        <f>IFERROR(__xludf.DUMMYFUNCTION("""COMPUTED_VALUE"""),"R9625100137")</f>
        <v>R9625100137</v>
      </c>
      <c r="D2930" s="8">
        <f>IFERROR(__xludf.DUMMYFUNCTION("""COMPUTED_VALUE"""),30.0)</f>
        <v>30</v>
      </c>
      <c r="E2930" s="2"/>
    </row>
    <row r="2931">
      <c r="A2931" s="2"/>
      <c r="B2931" s="8" t="str">
        <f>IFERROR(__xludf.DUMMYFUNCTION("""COMPUTED_VALUE"""),"LENI DIANTAMI")</f>
        <v>LENI DIANTAMI</v>
      </c>
      <c r="C2931" s="8" t="str">
        <f>IFERROR(__xludf.DUMMYFUNCTION("""COMPUTED_VALUE"""),"L2525104585")</f>
        <v>L2525104585</v>
      </c>
      <c r="D2931" s="8">
        <f>IFERROR(__xludf.DUMMYFUNCTION("""COMPUTED_VALUE"""),0.0)</f>
        <v>0</v>
      </c>
      <c r="E2931" s="2"/>
    </row>
    <row r="2932">
      <c r="A2932" s="2"/>
      <c r="B2932" s="8" t="str">
        <f>IFERROR(__xludf.DUMMYFUNCTION("""COMPUTED_VALUE"""),"AMARA PUTRI NAZARISKA")</f>
        <v>AMARA PUTRI NAZARISKA</v>
      </c>
      <c r="C2932" s="8" t="str">
        <f>IFERROR(__xludf.DUMMYFUNCTION("""COMPUTED_VALUE"""),"A0925107929")</f>
        <v>A0925107929</v>
      </c>
      <c r="D2932" s="8">
        <f>IFERROR(__xludf.DUMMYFUNCTION("""COMPUTED_VALUE"""),17.0)</f>
        <v>17</v>
      </c>
      <c r="E2932" s="2"/>
    </row>
    <row r="2933">
      <c r="A2933" s="2"/>
      <c r="B2933" s="8" t="str">
        <f>IFERROR(__xludf.DUMMYFUNCTION("""COMPUTED_VALUE"""),"ROSWITA")</f>
        <v>ROSWITA</v>
      </c>
      <c r="C2933" s="8" t="str">
        <f>IFERROR(__xludf.DUMMYFUNCTION("""COMPUTED_VALUE"""),"R7325101626")</f>
        <v>R7325101626</v>
      </c>
      <c r="D2933" s="8">
        <f>IFERROR(__xludf.DUMMYFUNCTION("""COMPUTED_VALUE"""),53.0)</f>
        <v>53</v>
      </c>
      <c r="E2933" s="2"/>
    </row>
    <row r="2934">
      <c r="A2934" s="2"/>
      <c r="B2934" s="8" t="str">
        <f>IFERROR(__xludf.DUMMYFUNCTION("""COMPUTED_VALUE"""),"BIBI NAIZA")</f>
        <v>BIBI NAIZA</v>
      </c>
      <c r="C2934" s="8" t="str">
        <f>IFERROR(__xludf.DUMMYFUNCTION("""COMPUTED_VALUE"""),"B8025102980")</f>
        <v>B8025102980</v>
      </c>
      <c r="D2934" s="8">
        <f>IFERROR(__xludf.DUMMYFUNCTION("""COMPUTED_VALUE"""),45.0)</f>
        <v>45</v>
      </c>
      <c r="E2934" s="2"/>
    </row>
    <row r="2935">
      <c r="A2935" s="2"/>
      <c r="B2935" s="8" t="str">
        <f>IFERROR(__xludf.DUMMYFUNCTION("""COMPUTED_VALUE"""),"TITIN MARIANTI S.PDI")</f>
        <v>TITIN MARIANTI S.PDI</v>
      </c>
      <c r="C2935" s="8" t="str">
        <f>IFERROR(__xludf.DUMMYFUNCTION("""COMPUTED_VALUE"""),"T6625103145")</f>
        <v>T6625103145</v>
      </c>
      <c r="D2935" s="8">
        <f>IFERROR(__xludf.DUMMYFUNCTION("""COMPUTED_VALUE"""),60.0)</f>
        <v>60</v>
      </c>
      <c r="E2935" s="2"/>
    </row>
    <row r="2936">
      <c r="A2936" s="2"/>
      <c r="B2936" s="8" t="str">
        <f>IFERROR(__xludf.DUMMYFUNCTION("""COMPUTED_VALUE"""),"MUHAMMAD AMSYARUL FIKRI")</f>
        <v>MUHAMMAD AMSYARUL FIKRI</v>
      </c>
      <c r="C2936" s="8" t="str">
        <f>IFERROR(__xludf.DUMMYFUNCTION("""COMPUTED_VALUE"""),"M1125104945")</f>
        <v>M1125104945</v>
      </c>
      <c r="D2936" s="8">
        <f>IFERROR(__xludf.DUMMYFUNCTION("""COMPUTED_VALUE"""),15.0)</f>
        <v>15</v>
      </c>
      <c r="E2936" s="2"/>
    </row>
    <row r="2937">
      <c r="A2937" s="2"/>
      <c r="B2937" s="8" t="str">
        <f>IFERROR(__xludf.DUMMYFUNCTION("""COMPUTED_VALUE"""),"DWI SARTIKA SARI")</f>
        <v>DWI SARTIKA SARI</v>
      </c>
      <c r="C2937" s="8" t="str">
        <f>IFERROR(__xludf.DUMMYFUNCTION("""COMPUTED_VALUE"""),"D8625106969")</f>
        <v>D8625106969</v>
      </c>
      <c r="D2937" s="8">
        <f>IFERROR(__xludf.DUMMYFUNCTION("""COMPUTED_VALUE"""),39.0)</f>
        <v>39</v>
      </c>
      <c r="E2937" s="2"/>
    </row>
    <row r="2938">
      <c r="A2938" s="2"/>
      <c r="B2938" s="8" t="str">
        <f>IFERROR(__xludf.DUMMYFUNCTION("""COMPUTED_VALUE"""),"RESTU WAHYUNI")</f>
        <v>RESTU WAHYUNI</v>
      </c>
      <c r="C2938" s="8" t="str">
        <f>IFERROR(__xludf.DUMMYFUNCTION("""COMPUTED_VALUE"""),"R2525109524")</f>
        <v>R2525109524</v>
      </c>
      <c r="D2938" s="8">
        <f>IFERROR(__xludf.DUMMYFUNCTION("""COMPUTED_VALUE"""),1.0)</f>
        <v>1</v>
      </c>
      <c r="E2938" s="2"/>
    </row>
    <row r="2939">
      <c r="A2939" s="2"/>
      <c r="B2939" s="8" t="str">
        <f>IFERROR(__xludf.DUMMYFUNCTION("""COMPUTED_VALUE"""),"MARISA HANDAYANI")</f>
        <v>MARISA HANDAYANI</v>
      </c>
      <c r="C2939" s="8" t="str">
        <f>IFERROR(__xludf.DUMMYFUNCTION("""COMPUTED_VALUE"""),"M9225108407")</f>
        <v>M9225108407</v>
      </c>
      <c r="D2939" s="8">
        <f>IFERROR(__xludf.DUMMYFUNCTION("""COMPUTED_VALUE"""),34.0)</f>
        <v>34</v>
      </c>
      <c r="E2939" s="2"/>
    </row>
    <row r="2940">
      <c r="A2940" s="2"/>
      <c r="B2940" s="8" t="str">
        <f>IFERROR(__xludf.DUMMYFUNCTION("""COMPUTED_VALUE"""),"CINTHYA MEILIZA")</f>
        <v>CINTHYA MEILIZA</v>
      </c>
      <c r="C2940" s="8" t="str">
        <f>IFERROR(__xludf.DUMMYFUNCTION("""COMPUTED_VALUE"""),"C9725104448")</f>
        <v>C9725104448</v>
      </c>
      <c r="D2940" s="8">
        <f>IFERROR(__xludf.DUMMYFUNCTION("""COMPUTED_VALUE"""),29.0)</f>
        <v>29</v>
      </c>
      <c r="E2940" s="2"/>
    </row>
    <row r="2941">
      <c r="A2941" s="2"/>
      <c r="B2941" s="8" t="str">
        <f>IFERROR(__xludf.DUMMYFUNCTION("""COMPUTED_VALUE"""),"SILVI AULIA")</f>
        <v>SILVI AULIA</v>
      </c>
      <c r="C2941" s="8" t="str">
        <f>IFERROR(__xludf.DUMMYFUNCTION("""COMPUTED_VALUE"""),"S0125102986")</f>
        <v>S0125102986</v>
      </c>
      <c r="D2941" s="8">
        <f>IFERROR(__xludf.DUMMYFUNCTION("""COMPUTED_VALUE"""),24.0)</f>
        <v>24</v>
      </c>
      <c r="E2941" s="2"/>
    </row>
    <row r="2942">
      <c r="A2942" s="2"/>
      <c r="B2942" s="8" t="str">
        <f>IFERROR(__xludf.DUMMYFUNCTION("""COMPUTED_VALUE"""),"BENI PRAYOGA")</f>
        <v>BENI PRAYOGA</v>
      </c>
      <c r="C2942" s="8" t="str">
        <f>IFERROR(__xludf.DUMMYFUNCTION("""COMPUTED_VALUE"""),"B9925104512")</f>
        <v>B9925104512</v>
      </c>
      <c r="D2942" s="8">
        <f>IFERROR(__xludf.DUMMYFUNCTION("""COMPUTED_VALUE"""),26.0)</f>
        <v>26</v>
      </c>
      <c r="E2942" s="2"/>
    </row>
    <row r="2943">
      <c r="A2943" s="2"/>
      <c r="B2943" s="8" t="str">
        <f>IFERROR(__xludf.DUMMYFUNCTION("""COMPUTED_VALUE"""),"UMI KHOLIFAH")</f>
        <v>UMI KHOLIFAH</v>
      </c>
      <c r="C2943" s="8" t="str">
        <f>IFERROR(__xludf.DUMMYFUNCTION("""COMPUTED_VALUE"""),"U7225107075")</f>
        <v>U7225107075</v>
      </c>
      <c r="D2943" s="8">
        <f>IFERROR(__xludf.DUMMYFUNCTION("""COMPUTED_VALUE"""),54.0)</f>
        <v>54</v>
      </c>
      <c r="E2943" s="2"/>
    </row>
    <row r="2944">
      <c r="A2944" s="2"/>
      <c r="B2944" s="8" t="str">
        <f>IFERROR(__xludf.DUMMYFUNCTION("""COMPUTED_VALUE"""),"ROSKIAMY")</f>
        <v>ROSKIAMY</v>
      </c>
      <c r="C2944" s="8" t="str">
        <f>IFERROR(__xludf.DUMMYFUNCTION("""COMPUTED_VALUE"""),"R5725106810")</f>
        <v>R5725106810</v>
      </c>
      <c r="D2944" s="8">
        <f>IFERROR(__xludf.DUMMYFUNCTION("""COMPUTED_VALUE"""),69.0)</f>
        <v>69</v>
      </c>
      <c r="E2944" s="2"/>
    </row>
    <row r="2945">
      <c r="A2945" s="2"/>
      <c r="B2945" s="8" t="str">
        <f>IFERROR(__xludf.DUMMYFUNCTION("""COMPUTED_VALUE"""),"MUHAMMAD ALIWA PASHYA")</f>
        <v>MUHAMMAD ALIWA PASHYA</v>
      </c>
      <c r="C2945" s="8" t="str">
        <f>IFERROR(__xludf.DUMMYFUNCTION("""COMPUTED_VALUE"""),"M0325109801")</f>
        <v>M0325109801</v>
      </c>
      <c r="D2945" s="8">
        <f>IFERROR(__xludf.DUMMYFUNCTION("""COMPUTED_VALUE"""),22.0)</f>
        <v>22</v>
      </c>
      <c r="E2945" s="2"/>
    </row>
    <row r="2946">
      <c r="A2946" s="2"/>
      <c r="B2946" s="8" t="str">
        <f>IFERROR(__xludf.DUMMYFUNCTION("""COMPUTED_VALUE"""),"SIGI WIRAPUTRA")</f>
        <v>SIGI WIRAPUTRA</v>
      </c>
      <c r="C2946" s="8" t="str">
        <f>IFERROR(__xludf.DUMMYFUNCTION("""COMPUTED_VALUE"""),"S1525106484")</f>
        <v>S1525106484</v>
      </c>
      <c r="D2946" s="8">
        <f>IFERROR(__xludf.DUMMYFUNCTION("""COMPUTED_VALUE"""),11.0)</f>
        <v>11</v>
      </c>
      <c r="E2946" s="2"/>
    </row>
    <row r="2947">
      <c r="A2947" s="2"/>
      <c r="B2947" s="8" t="str">
        <f>IFERROR(__xludf.DUMMYFUNCTION("""COMPUTED_VALUE"""),"ADIYATH RANDY YUDIMAMASE, SE.M.M")</f>
        <v>ADIYATH RANDY YUDIMAMASE, SE.M.M</v>
      </c>
      <c r="C2947" s="8" t="str">
        <f>IFERROR(__xludf.DUMMYFUNCTION("""COMPUTED_VALUE"""),"A9125100553")</f>
        <v>A9125100553</v>
      </c>
      <c r="D2947" s="8">
        <f>IFERROR(__xludf.DUMMYFUNCTION("""COMPUTED_VALUE"""),34.0)</f>
        <v>34</v>
      </c>
      <c r="E2947" s="2"/>
    </row>
    <row r="2948">
      <c r="A2948" s="2"/>
      <c r="B2948" s="8" t="str">
        <f>IFERROR(__xludf.DUMMYFUNCTION("""COMPUTED_VALUE"""),"SYLVIANI")</f>
        <v>SYLVIANI</v>
      </c>
      <c r="C2948" s="8" t="str">
        <f>IFERROR(__xludf.DUMMYFUNCTION("""COMPUTED_VALUE"""),"S5525103307")</f>
        <v>S5525103307</v>
      </c>
      <c r="D2948" s="8">
        <f>IFERROR(__xludf.DUMMYFUNCTION("""COMPUTED_VALUE"""),70.0)</f>
        <v>70</v>
      </c>
      <c r="E2948" s="2"/>
    </row>
    <row r="2949">
      <c r="A2949" s="2"/>
      <c r="B2949" s="8" t="str">
        <f>IFERROR(__xludf.DUMMYFUNCTION("""COMPUTED_VALUE"""),"BINTARI INDAH SAPUTRI")</f>
        <v>BINTARI INDAH SAPUTRI</v>
      </c>
      <c r="C2949" s="8" t="str">
        <f>IFERROR(__xludf.DUMMYFUNCTION("""COMPUTED_VALUE"""),"B8025102288")</f>
        <v>B8025102288</v>
      </c>
      <c r="D2949" s="8">
        <f>IFERROR(__xludf.DUMMYFUNCTION("""COMPUTED_VALUE"""),46.0)</f>
        <v>46</v>
      </c>
      <c r="E2949" s="2"/>
    </row>
    <row r="2950">
      <c r="A2950" s="2"/>
      <c r="B2950" s="8" t="str">
        <f>IFERROR(__xludf.DUMMYFUNCTION("""COMPUTED_VALUE"""),"ELWIN LAVEDA")</f>
        <v>ELWIN LAVEDA</v>
      </c>
      <c r="C2950" s="8" t="str">
        <f>IFERROR(__xludf.DUMMYFUNCTION("""COMPUTED_VALUE"""),"E0025103200")</f>
        <v>E0025103200</v>
      </c>
      <c r="D2950" s="8">
        <f>IFERROR(__xludf.DUMMYFUNCTION("""COMPUTED_VALUE"""),26.0)</f>
        <v>26</v>
      </c>
      <c r="E2950" s="2"/>
    </row>
    <row r="2951">
      <c r="A2951" s="2"/>
      <c r="B2951" s="8" t="str">
        <f>IFERROR(__xludf.DUMMYFUNCTION("""COMPUTED_VALUE"""),"RIA UTAMI")</f>
        <v>RIA UTAMI</v>
      </c>
      <c r="C2951" s="8" t="str">
        <f>IFERROR(__xludf.DUMMYFUNCTION("""COMPUTED_VALUE"""),"R7825108100")</f>
        <v>R7825108100</v>
      </c>
      <c r="D2951" s="8">
        <f>IFERROR(__xludf.DUMMYFUNCTION("""COMPUTED_VALUE"""),48.0)</f>
        <v>48</v>
      </c>
      <c r="E2951" s="2"/>
    </row>
    <row r="2952">
      <c r="A2952" s="2"/>
      <c r="B2952" s="8" t="str">
        <f>IFERROR(__xludf.DUMMYFUNCTION("""COMPUTED_VALUE"""),"FITRI ANGGRAINI")</f>
        <v>FITRI ANGGRAINI</v>
      </c>
      <c r="C2952" s="8" t="str">
        <f>IFERROR(__xludf.DUMMYFUNCTION("""COMPUTED_VALUE"""),"F0225101419")</f>
        <v>F0225101419</v>
      </c>
      <c r="D2952" s="8">
        <f>IFERROR(__xludf.DUMMYFUNCTION("""COMPUTED_VALUE"""),23.0)</f>
        <v>23</v>
      </c>
      <c r="E2952" s="2"/>
    </row>
    <row r="2953">
      <c r="A2953" s="2"/>
      <c r="B2953" s="8" t="str">
        <f>IFERROR(__xludf.DUMMYFUNCTION("""COMPUTED_VALUE"""),"JULIO ARIE PANANGIAN NAPITUPULU")</f>
        <v>JULIO ARIE PANANGIAN NAPITUPULU</v>
      </c>
      <c r="C2953" s="8" t="str">
        <f>IFERROR(__xludf.DUMMYFUNCTION("""COMPUTED_VALUE"""),"J9425106812")</f>
        <v>J9425106812</v>
      </c>
      <c r="D2953" s="8">
        <f>IFERROR(__xludf.DUMMYFUNCTION("""COMPUTED_VALUE"""),32.0)</f>
        <v>32</v>
      </c>
      <c r="E2953" s="2"/>
    </row>
    <row r="2954">
      <c r="A2954" s="2"/>
      <c r="B2954" s="8" t="str">
        <f>IFERROR(__xludf.DUMMYFUNCTION("""COMPUTED_VALUE"""),"TEGUH KURNIAWAN")</f>
        <v>TEGUH KURNIAWAN</v>
      </c>
      <c r="C2954" s="8" t="str">
        <f>IFERROR(__xludf.DUMMYFUNCTION("""COMPUTED_VALUE"""),"T8625107487")</f>
        <v>T8625107487</v>
      </c>
      <c r="D2954" s="8">
        <f>IFERROR(__xludf.DUMMYFUNCTION("""COMPUTED_VALUE"""),39.0)</f>
        <v>39</v>
      </c>
      <c r="E2954" s="2"/>
    </row>
    <row r="2955">
      <c r="A2955" s="2"/>
      <c r="B2955" s="8" t="str">
        <f>IFERROR(__xludf.DUMMYFUNCTION("""COMPUTED_VALUE"""),"NANI ERNIEYATI")</f>
        <v>NANI ERNIEYATI</v>
      </c>
      <c r="C2955" s="8" t="str">
        <f>IFERROR(__xludf.DUMMYFUNCTION("""COMPUTED_VALUE"""),"N7425100815")</f>
        <v>N7425100815</v>
      </c>
      <c r="D2955" s="8">
        <f>IFERROR(__xludf.DUMMYFUNCTION("""COMPUTED_VALUE"""),52.0)</f>
        <v>52</v>
      </c>
      <c r="E2955" s="2"/>
    </row>
    <row r="2956">
      <c r="A2956" s="2"/>
      <c r="B2956" s="8" t="str">
        <f>IFERROR(__xludf.DUMMYFUNCTION("""COMPUTED_VALUE"""),"HJ. NURDESWATI SH")</f>
        <v>HJ. NURDESWATI SH</v>
      </c>
      <c r="C2956" s="8" t="str">
        <f>IFERROR(__xludf.DUMMYFUNCTION("""COMPUTED_VALUE"""),"H2525100224")</f>
        <v>H2525100224</v>
      </c>
      <c r="D2956" s="8">
        <f>IFERROR(__xludf.DUMMYFUNCTION("""COMPUTED_VALUE"""),1.0)</f>
        <v>1</v>
      </c>
      <c r="E2956" s="2"/>
    </row>
    <row r="2957">
      <c r="A2957" s="2"/>
      <c r="B2957" s="8" t="str">
        <f>IFERROR(__xludf.DUMMYFUNCTION("""COMPUTED_VALUE"""),"GREGORIUS TACCHINARDI")</f>
        <v>GREGORIUS TACCHINARDI</v>
      </c>
      <c r="C2957" s="8" t="str">
        <f>IFERROR(__xludf.DUMMYFUNCTION("""COMPUTED_VALUE"""),"G0225101517")</f>
        <v>G0225101517</v>
      </c>
      <c r="D2957" s="8">
        <f>IFERROR(__xludf.DUMMYFUNCTION("""COMPUTED_VALUE"""),24.0)</f>
        <v>24</v>
      </c>
      <c r="E2957" s="2"/>
    </row>
    <row r="2958">
      <c r="A2958" s="2"/>
      <c r="B2958" s="8" t="str">
        <f>IFERROR(__xludf.DUMMYFUNCTION("""COMPUTED_VALUE"""),"ERIC JORDAN")</f>
        <v>ERIC JORDAN</v>
      </c>
      <c r="C2958" s="8" t="str">
        <f>IFERROR(__xludf.DUMMYFUNCTION("""COMPUTED_VALUE"""),"E9925108783")</f>
        <v>E9925108783</v>
      </c>
      <c r="D2958" s="8">
        <f>IFERROR(__xludf.DUMMYFUNCTION("""COMPUTED_VALUE"""),26.0)</f>
        <v>26</v>
      </c>
      <c r="E2958" s="2"/>
    </row>
    <row r="2959">
      <c r="A2959" s="2"/>
      <c r="B2959" s="8" t="str">
        <f>IFERROR(__xludf.DUMMYFUNCTION("""COMPUTED_VALUE"""),"FATIH HAWWARI")</f>
        <v>FATIH HAWWARI</v>
      </c>
      <c r="C2959" s="8" t="str">
        <f>IFERROR(__xludf.DUMMYFUNCTION("""COMPUTED_VALUE"""),"F1025100245")</f>
        <v>F1025100245</v>
      </c>
      <c r="D2959" s="8">
        <f>IFERROR(__xludf.DUMMYFUNCTION("""COMPUTED_VALUE"""),15.0)</f>
        <v>15</v>
      </c>
      <c r="E2959" s="2"/>
    </row>
    <row r="2960">
      <c r="A2960" s="2"/>
      <c r="B2960" s="8" t="str">
        <f>IFERROR(__xludf.DUMMYFUNCTION("""COMPUTED_VALUE"""),"AZARYA JADAYN ARYO")</f>
        <v>AZARYA JADAYN ARYO</v>
      </c>
      <c r="C2960" s="8" t="str">
        <f>IFERROR(__xludf.DUMMYFUNCTION("""COMPUTED_VALUE"""),"A1025102304")</f>
        <v>A1025102304</v>
      </c>
      <c r="D2960" s="8">
        <f>IFERROR(__xludf.DUMMYFUNCTION("""COMPUTED_VALUE"""),16.0)</f>
        <v>16</v>
      </c>
      <c r="E2960" s="2"/>
    </row>
    <row r="2961">
      <c r="A2961" s="2"/>
      <c r="B2961" s="8" t="str">
        <f>IFERROR(__xludf.DUMMYFUNCTION("""COMPUTED_VALUE"""),"MULLY ENDAH PRATIWI")</f>
        <v>MULLY ENDAH PRATIWI</v>
      </c>
      <c r="C2961" s="8" t="str">
        <f>IFERROR(__xludf.DUMMYFUNCTION("""COMPUTED_VALUE"""),"M7825100800")</f>
        <v>M7825100800</v>
      </c>
      <c r="D2961" s="8">
        <f>IFERROR(__xludf.DUMMYFUNCTION("""COMPUTED_VALUE"""),48.0)</f>
        <v>48</v>
      </c>
      <c r="E2961" s="2"/>
    </row>
    <row r="2962">
      <c r="A2962" s="2"/>
      <c r="B2962" s="8" t="str">
        <f>IFERROR(__xludf.DUMMYFUNCTION("""COMPUTED_VALUE"""),"FIKA DWI MEILISA")</f>
        <v>FIKA DWI MEILISA</v>
      </c>
      <c r="C2962" s="8" t="str">
        <f>IFERROR(__xludf.DUMMYFUNCTION("""COMPUTED_VALUE"""),"F0625102235")</f>
        <v>F0625102235</v>
      </c>
      <c r="D2962" s="8">
        <f>IFERROR(__xludf.DUMMYFUNCTION("""COMPUTED_VALUE"""),20.0)</f>
        <v>20</v>
      </c>
      <c r="E2962" s="2"/>
    </row>
    <row r="2963">
      <c r="A2963" s="2"/>
      <c r="B2963" s="8" t="str">
        <f>IFERROR(__xludf.DUMMYFUNCTION("""COMPUTED_VALUE"""),"RASIANI")</f>
        <v>RASIANI</v>
      </c>
      <c r="C2963" s="8" t="str">
        <f>IFERROR(__xludf.DUMMYFUNCTION("""COMPUTED_VALUE"""),"R8125102726")</f>
        <v>R8125102726</v>
      </c>
      <c r="D2963" s="8">
        <f>IFERROR(__xludf.DUMMYFUNCTION("""COMPUTED_VALUE"""),45.0)</f>
        <v>45</v>
      </c>
      <c r="E2963" s="2"/>
    </row>
    <row r="2964">
      <c r="A2964" s="2"/>
      <c r="B2964" s="8" t="str">
        <f>IFERROR(__xludf.DUMMYFUNCTION("""COMPUTED_VALUE"""),"RICKY ISKANDAR")</f>
        <v>RICKY ISKANDAR</v>
      </c>
      <c r="C2964" s="8" t="str">
        <f>IFERROR(__xludf.DUMMYFUNCTION("""COMPUTED_VALUE"""),"R8825109439")</f>
        <v>R8825109439</v>
      </c>
      <c r="D2964" s="8">
        <f>IFERROR(__xludf.DUMMYFUNCTION("""COMPUTED_VALUE"""),38.0)</f>
        <v>38</v>
      </c>
      <c r="E2964" s="2"/>
    </row>
    <row r="2965">
      <c r="A2965" s="2"/>
      <c r="B2965" s="8" t="str">
        <f>IFERROR(__xludf.DUMMYFUNCTION("""COMPUTED_VALUE"""),"UTIN ROSWITA")</f>
        <v>UTIN ROSWITA</v>
      </c>
      <c r="C2965" s="8" t="str">
        <f>IFERROR(__xludf.DUMMYFUNCTION("""COMPUTED_VALUE"""),"U6125104228")</f>
        <v>U6125104228</v>
      </c>
      <c r="D2965" s="8">
        <f>IFERROR(__xludf.DUMMYFUNCTION("""COMPUTED_VALUE"""),64.0)</f>
        <v>64</v>
      </c>
      <c r="E2965" s="2"/>
    </row>
    <row r="2966">
      <c r="A2966" s="2"/>
      <c r="B2966" s="8" t="str">
        <f>IFERROR(__xludf.DUMMYFUNCTION("""COMPUTED_VALUE"""),"FITRIYANI")</f>
        <v>FITRIYANI</v>
      </c>
      <c r="C2966" s="8" t="str">
        <f>IFERROR(__xludf.DUMMYFUNCTION("""COMPUTED_VALUE"""),"F8825103616")</f>
        <v>F8825103616</v>
      </c>
      <c r="D2966" s="8">
        <f>IFERROR(__xludf.DUMMYFUNCTION("""COMPUTED_VALUE"""),38.0)</f>
        <v>38</v>
      </c>
      <c r="E2966" s="2"/>
    </row>
    <row r="2967">
      <c r="A2967" s="2"/>
      <c r="B2967" s="8" t="str">
        <f>IFERROR(__xludf.DUMMYFUNCTION("""COMPUTED_VALUE"""),"AHMAD ZAINI")</f>
        <v>AHMAD ZAINI</v>
      </c>
      <c r="C2967" s="8" t="str">
        <f>IFERROR(__xludf.DUMMYFUNCTION("""COMPUTED_VALUE"""),"A2325109493")</f>
        <v>A2325109493</v>
      </c>
      <c r="D2967" s="8">
        <f>IFERROR(__xludf.DUMMYFUNCTION("""COMPUTED_VALUE"""),3.0)</f>
        <v>3</v>
      </c>
      <c r="E2967" s="2"/>
    </row>
    <row r="2968">
      <c r="A2968" s="2"/>
      <c r="B2968" s="8" t="str">
        <f>IFERROR(__xludf.DUMMYFUNCTION("""COMPUTED_VALUE"""),"HADIJAH")</f>
        <v>HADIJAH</v>
      </c>
      <c r="C2968" s="8" t="str">
        <f>IFERROR(__xludf.DUMMYFUNCTION("""COMPUTED_VALUE"""),"H6725101225")</f>
        <v>H6725101225</v>
      </c>
      <c r="D2968" s="8">
        <f>IFERROR(__xludf.DUMMYFUNCTION("""COMPUTED_VALUE"""),59.0)</f>
        <v>59</v>
      </c>
      <c r="E2968" s="2"/>
    </row>
    <row r="2969">
      <c r="A2969" s="2"/>
      <c r="B2969" s="8" t="str">
        <f>IFERROR(__xludf.DUMMYFUNCTION("""COMPUTED_VALUE"""),"ROKIDI")</f>
        <v>ROKIDI</v>
      </c>
      <c r="C2969" s="8" t="str">
        <f>IFERROR(__xludf.DUMMYFUNCTION("""COMPUTED_VALUE"""),"R6625106996")</f>
        <v>R6625106996</v>
      </c>
      <c r="D2969" s="8">
        <f>IFERROR(__xludf.DUMMYFUNCTION("""COMPUTED_VALUE"""),60.0)</f>
        <v>60</v>
      </c>
      <c r="E2969" s="2"/>
    </row>
    <row r="2970">
      <c r="A2970" s="2"/>
      <c r="B2970" s="8" t="str">
        <f>IFERROR(__xludf.DUMMYFUNCTION("""COMPUTED_VALUE"""),"ELLYSA FERONIKA HALIM")</f>
        <v>ELLYSA FERONIKA HALIM</v>
      </c>
      <c r="C2970" s="8" t="str">
        <f>IFERROR(__xludf.DUMMYFUNCTION("""COMPUTED_VALUE"""),"E9425102074")</f>
        <v>E9425102074</v>
      </c>
      <c r="D2970" s="8">
        <f>IFERROR(__xludf.DUMMYFUNCTION("""COMPUTED_VALUE"""),32.0)</f>
        <v>32</v>
      </c>
      <c r="E2970" s="2"/>
    </row>
    <row r="2971">
      <c r="A2971" s="2"/>
      <c r="B2971" s="8" t="str">
        <f>IFERROR(__xludf.DUMMYFUNCTION("""COMPUTED_VALUE"""),"RICKY FARIZA LUBIS")</f>
        <v>RICKY FARIZA LUBIS</v>
      </c>
      <c r="C2971" s="8" t="str">
        <f>IFERROR(__xludf.DUMMYFUNCTION("""COMPUTED_VALUE"""),"R8125108947")</f>
        <v>R8125108947</v>
      </c>
      <c r="D2971" s="8">
        <f>IFERROR(__xludf.DUMMYFUNCTION("""COMPUTED_VALUE"""),44.0)</f>
        <v>44</v>
      </c>
      <c r="E2971" s="2"/>
    </row>
    <row r="2972">
      <c r="A2972" s="2"/>
      <c r="B2972" s="8" t="str">
        <f>IFERROR(__xludf.DUMMYFUNCTION("""COMPUTED_VALUE"""),"ANDI")</f>
        <v>ANDI</v>
      </c>
      <c r="C2972" s="8" t="str">
        <f>IFERROR(__xludf.DUMMYFUNCTION("""COMPUTED_VALUE"""),"A9425105994")</f>
        <v>A9425105994</v>
      </c>
      <c r="D2972" s="8">
        <f>IFERROR(__xludf.DUMMYFUNCTION("""COMPUTED_VALUE"""),32.0)</f>
        <v>32</v>
      </c>
      <c r="E2972" s="2"/>
    </row>
    <row r="2973">
      <c r="A2973" s="2"/>
      <c r="B2973" s="8" t="str">
        <f>IFERROR(__xludf.DUMMYFUNCTION("""COMPUTED_VALUE"""),"RECKI SEPTIANDA")</f>
        <v>RECKI SEPTIANDA</v>
      </c>
      <c r="C2973" s="8" t="str">
        <f>IFERROR(__xludf.DUMMYFUNCTION("""COMPUTED_VALUE"""),"R9625105757")</f>
        <v>R9625105757</v>
      </c>
      <c r="D2973" s="8">
        <f>IFERROR(__xludf.DUMMYFUNCTION("""COMPUTED_VALUE"""),29.0)</f>
        <v>29</v>
      </c>
      <c r="E2973" s="2"/>
    </row>
    <row r="2974">
      <c r="A2974" s="2"/>
      <c r="B2974" s="8" t="str">
        <f>IFERROR(__xludf.DUMMYFUNCTION("""COMPUTED_VALUE"""),"KRISTIANI")</f>
        <v>KRISTIANI</v>
      </c>
      <c r="C2974" s="8" t="str">
        <f>IFERROR(__xludf.DUMMYFUNCTION("""COMPUTED_VALUE"""),"K9925107744")</f>
        <v>K9925107744</v>
      </c>
      <c r="D2974" s="8">
        <f>IFERROR(__xludf.DUMMYFUNCTION("""COMPUTED_VALUE"""),26.0)</f>
        <v>26</v>
      </c>
      <c r="E2974" s="2"/>
    </row>
    <row r="2975">
      <c r="A2975" s="2"/>
      <c r="B2975" s="8" t="str">
        <f>IFERROR(__xludf.DUMMYFUNCTION("""COMPUTED_VALUE"""),"SUHARMI")</f>
        <v>SUHARMI</v>
      </c>
      <c r="C2975" s="8" t="str">
        <f>IFERROR(__xludf.DUMMYFUNCTION("""COMPUTED_VALUE"""),"S6325104795")</f>
        <v>S6325104795</v>
      </c>
      <c r="D2975" s="8">
        <f>IFERROR(__xludf.DUMMYFUNCTION("""COMPUTED_VALUE"""),62.0)</f>
        <v>62</v>
      </c>
      <c r="E2975" s="2"/>
    </row>
    <row r="2976">
      <c r="A2976" s="2"/>
      <c r="B2976" s="8" t="str">
        <f>IFERROR(__xludf.DUMMYFUNCTION("""COMPUTED_VALUE"""),"AQILA AFIFAH OCTAFRIYANA")</f>
        <v>AQILA AFIFAH OCTAFRIYANA</v>
      </c>
      <c r="C2976" s="8" t="str">
        <f>IFERROR(__xludf.DUMMYFUNCTION("""COMPUTED_VALUE"""),"A0125104452")</f>
        <v>A0125104452</v>
      </c>
      <c r="D2976" s="8">
        <f>IFERROR(__xludf.DUMMYFUNCTION("""COMPUTED_VALUE"""),24.0)</f>
        <v>24</v>
      </c>
      <c r="E2976" s="2"/>
    </row>
    <row r="2977">
      <c r="A2977" s="2"/>
      <c r="B2977" s="8" t="str">
        <f>IFERROR(__xludf.DUMMYFUNCTION("""COMPUTED_VALUE"""),"HERDY")</f>
        <v>HERDY</v>
      </c>
      <c r="C2977" s="8" t="str">
        <f>IFERROR(__xludf.DUMMYFUNCTION("""COMPUTED_VALUE"""),"H0125105276")</f>
        <v>H0125105276</v>
      </c>
      <c r="D2977" s="8">
        <f>IFERROR(__xludf.DUMMYFUNCTION("""COMPUTED_VALUE"""),24.0)</f>
        <v>24</v>
      </c>
      <c r="E2977" s="2"/>
    </row>
    <row r="2978">
      <c r="A2978" s="2"/>
      <c r="B2978" s="8" t="str">
        <f>IFERROR(__xludf.DUMMYFUNCTION("""COMPUTED_VALUE"""),"MUHAMMAD FADLI LUTFIANDO")</f>
        <v>MUHAMMAD FADLI LUTFIANDO</v>
      </c>
      <c r="C2978" s="8" t="str">
        <f>IFERROR(__xludf.DUMMYFUNCTION("""COMPUTED_VALUE"""),"M9825103838")</f>
        <v>M9825103838</v>
      </c>
      <c r="D2978" s="8">
        <f>IFERROR(__xludf.DUMMYFUNCTION("""COMPUTED_VALUE"""),28.0)</f>
        <v>28</v>
      </c>
      <c r="E2978" s="2"/>
    </row>
    <row r="2979">
      <c r="A2979" s="2"/>
      <c r="B2979" s="8" t="str">
        <f>IFERROR(__xludf.DUMMYFUNCTION("""COMPUTED_VALUE"""),"LANDON CRYSANDER ALI")</f>
        <v>LANDON CRYSANDER ALI</v>
      </c>
      <c r="C2979" s="8" t="str">
        <f>IFERROR(__xludf.DUMMYFUNCTION("""COMPUTED_VALUE"""),"L0825103838")</f>
        <v>L0825103838</v>
      </c>
      <c r="D2979" s="8">
        <f>IFERROR(__xludf.DUMMYFUNCTION("""COMPUTED_VALUE"""),18.0)</f>
        <v>18</v>
      </c>
      <c r="E2979" s="2"/>
    </row>
    <row r="2980">
      <c r="A2980" s="2"/>
      <c r="B2980" s="8" t="str">
        <f>IFERROR(__xludf.DUMMYFUNCTION("""COMPUTED_VALUE"""),"TUTI TRISNAWATI")</f>
        <v>TUTI TRISNAWATI</v>
      </c>
      <c r="C2980" s="8" t="str">
        <f>IFERROR(__xludf.DUMMYFUNCTION("""COMPUTED_VALUE"""),"T7325100015")</f>
        <v>T7325100015</v>
      </c>
      <c r="D2980" s="8">
        <f>IFERROR(__xludf.DUMMYFUNCTION("""COMPUTED_VALUE"""),53.0)</f>
        <v>53</v>
      </c>
      <c r="E2980" s="2"/>
    </row>
    <row r="2981">
      <c r="A2981" s="2"/>
      <c r="B2981" s="8" t="str">
        <f>IFERROR(__xludf.DUMMYFUNCTION("""COMPUTED_VALUE"""),"BOBBY AUDITHA VANDRI")</f>
        <v>BOBBY AUDITHA VANDRI</v>
      </c>
      <c r="C2981" s="8" t="str">
        <f>IFERROR(__xludf.DUMMYFUNCTION("""COMPUTED_VALUE"""),"B9425106600")</f>
        <v>B9425106600</v>
      </c>
      <c r="D2981" s="8">
        <f>IFERROR(__xludf.DUMMYFUNCTION("""COMPUTED_VALUE"""),31.0)</f>
        <v>31</v>
      </c>
      <c r="E2981" s="2"/>
    </row>
    <row r="2982">
      <c r="A2982" s="2"/>
      <c r="B2982" s="8" t="str">
        <f>IFERROR(__xludf.DUMMYFUNCTION("""COMPUTED_VALUE"""),"MIFTAHUL BAROKY")</f>
        <v>MIFTAHUL BAROKY</v>
      </c>
      <c r="C2982" s="8" t="str">
        <f>IFERROR(__xludf.DUMMYFUNCTION("""COMPUTED_VALUE"""),"M0125103039")</f>
        <v>M0125103039</v>
      </c>
      <c r="D2982" s="8">
        <f>IFERROR(__xludf.DUMMYFUNCTION("""COMPUTED_VALUE"""),25.0)</f>
        <v>25</v>
      </c>
      <c r="E2982" s="2"/>
    </row>
    <row r="2983">
      <c r="A2983" s="2"/>
      <c r="B2983" s="8" t="str">
        <f>IFERROR(__xludf.DUMMYFUNCTION("""COMPUTED_VALUE"""),"IRRINA FAUZIARNI")</f>
        <v>IRRINA FAUZIARNI</v>
      </c>
      <c r="C2983" s="8" t="str">
        <f>IFERROR(__xludf.DUMMYFUNCTION("""COMPUTED_VALUE"""),"I8025109996")</f>
        <v>I8025109996</v>
      </c>
      <c r="D2983" s="8">
        <f>IFERROR(__xludf.DUMMYFUNCTION("""COMPUTED_VALUE"""),45.0)</f>
        <v>45</v>
      </c>
      <c r="E2983" s="2"/>
    </row>
    <row r="2984">
      <c r="A2984" s="2"/>
      <c r="B2984" s="8" t="str">
        <f>IFERROR(__xludf.DUMMYFUNCTION("""COMPUTED_VALUE"""),"ERWIN JULIANSAH")</f>
        <v>ERWIN JULIANSAH</v>
      </c>
      <c r="C2984" s="8" t="str">
        <f>IFERROR(__xludf.DUMMYFUNCTION("""COMPUTED_VALUE"""),"E0125101871")</f>
        <v>E0125101871</v>
      </c>
      <c r="D2984" s="8">
        <f>IFERROR(__xludf.DUMMYFUNCTION("""COMPUTED_VALUE"""),25.0)</f>
        <v>25</v>
      </c>
      <c r="E2984" s="2"/>
    </row>
    <row r="2985">
      <c r="A2985" s="2"/>
      <c r="B2985" s="8" t="str">
        <f>IFERROR(__xludf.DUMMYFUNCTION("""COMPUTED_VALUE"""),"BELLA BESTIANA TJANDRA")</f>
        <v>BELLA BESTIANA TJANDRA</v>
      </c>
      <c r="C2985" s="8" t="str">
        <f>IFERROR(__xludf.DUMMYFUNCTION("""COMPUTED_VALUE"""),"B9825108681")</f>
        <v>B9825108681</v>
      </c>
      <c r="D2985" s="8">
        <f>IFERROR(__xludf.DUMMYFUNCTION("""COMPUTED_VALUE"""),28.0)</f>
        <v>28</v>
      </c>
      <c r="E2985" s="2"/>
    </row>
    <row r="2986">
      <c r="A2986" s="2"/>
      <c r="B2986" s="8" t="str">
        <f>IFERROR(__xludf.DUMMYFUNCTION("""COMPUTED_VALUE"""),"SHARON LIE")</f>
        <v>SHARON LIE</v>
      </c>
      <c r="C2986" s="8" t="str">
        <f>IFERROR(__xludf.DUMMYFUNCTION("""COMPUTED_VALUE"""),"S0825106969")</f>
        <v>S0825106969</v>
      </c>
      <c r="D2986" s="8">
        <f>IFERROR(__xludf.DUMMYFUNCTION("""COMPUTED_VALUE"""),17.0)</f>
        <v>17</v>
      </c>
      <c r="E2986" s="2"/>
    </row>
    <row r="2987">
      <c r="A2987" s="2"/>
      <c r="B2987" s="8" t="str">
        <f>IFERROR(__xludf.DUMMYFUNCTION("""COMPUTED_VALUE"""),"ANDRE CORIYONGSEN TEDO")</f>
        <v>ANDRE CORIYONGSEN TEDO</v>
      </c>
      <c r="C2987" s="8" t="str">
        <f>IFERROR(__xludf.DUMMYFUNCTION("""COMPUTED_VALUE"""),"A9825105032")</f>
        <v>A9825105032</v>
      </c>
      <c r="D2987" s="8">
        <f>IFERROR(__xludf.DUMMYFUNCTION("""COMPUTED_VALUE"""),27.0)</f>
        <v>27</v>
      </c>
      <c r="E2987" s="2"/>
    </row>
    <row r="2988">
      <c r="A2988" s="2"/>
      <c r="B2988" s="8" t="str">
        <f>IFERROR(__xludf.DUMMYFUNCTION("""COMPUTED_VALUE"""),"KATELYN ELANOR LIM")</f>
        <v>KATELYN ELANOR LIM</v>
      </c>
      <c r="C2988" s="8" t="str">
        <f>IFERROR(__xludf.DUMMYFUNCTION("""COMPUTED_VALUE"""),"K1625104577")</f>
        <v>K1625104577</v>
      </c>
      <c r="D2988" s="8">
        <f>IFERROR(__xludf.DUMMYFUNCTION("""COMPUTED_VALUE"""),10.0)</f>
        <v>10</v>
      </c>
      <c r="E2988" s="2"/>
    </row>
    <row r="2989">
      <c r="A2989" s="2"/>
      <c r="B2989" s="8" t="str">
        <f>IFERROR(__xludf.DUMMYFUNCTION("""COMPUTED_VALUE"""),"BUJANG")</f>
        <v>BUJANG</v>
      </c>
      <c r="C2989" s="8" t="str">
        <f>IFERROR(__xludf.DUMMYFUNCTION("""COMPUTED_VALUE"""),"B7325109155")</f>
        <v>B7325109155</v>
      </c>
      <c r="D2989" s="8">
        <f>IFERROR(__xludf.DUMMYFUNCTION("""COMPUTED_VALUE"""),53.0)</f>
        <v>53</v>
      </c>
      <c r="E2989" s="2"/>
    </row>
    <row r="2990">
      <c r="A2990" s="2"/>
      <c r="B2990" s="8" t="str">
        <f>IFERROR(__xludf.DUMMYFUNCTION("""COMPUTED_VALUE"""),"DECKY WAHYUDI")</f>
        <v>DECKY WAHYUDI</v>
      </c>
      <c r="C2990" s="8" t="str">
        <f>IFERROR(__xludf.DUMMYFUNCTION("""COMPUTED_VALUE"""),"D9825108138")</f>
        <v>D9825108138</v>
      </c>
      <c r="D2990" s="8">
        <f>IFERROR(__xludf.DUMMYFUNCTION("""COMPUTED_VALUE"""),28.0)</f>
        <v>28</v>
      </c>
      <c r="E2990" s="2"/>
    </row>
    <row r="2991">
      <c r="A2991" s="2"/>
      <c r="B2991" s="8" t="str">
        <f>IFERROR(__xludf.DUMMYFUNCTION("""COMPUTED_VALUE"""),"NASYWA EDGINA HAPSARI")</f>
        <v>NASYWA EDGINA HAPSARI</v>
      </c>
      <c r="C2991" s="8" t="str">
        <f>IFERROR(__xludf.DUMMYFUNCTION("""COMPUTED_VALUE"""),"N0525103483")</f>
        <v>N0525103483</v>
      </c>
      <c r="D2991" s="8">
        <f>IFERROR(__xludf.DUMMYFUNCTION("""COMPUTED_VALUE"""),20.0)</f>
        <v>20</v>
      </c>
      <c r="E2991" s="2"/>
    </row>
    <row r="2992">
      <c r="A2992" s="2"/>
      <c r="B2992" s="8" t="str">
        <f>IFERROR(__xludf.DUMMYFUNCTION("""COMPUTED_VALUE"""),"WAZIAN ZIRA ANTANYA")</f>
        <v>WAZIAN ZIRA ANTANYA</v>
      </c>
      <c r="C2992" s="8" t="str">
        <f>IFERROR(__xludf.DUMMYFUNCTION("""COMPUTED_VALUE"""),"W0825106980")</f>
        <v>W0825106980</v>
      </c>
      <c r="D2992" s="8">
        <f>IFERROR(__xludf.DUMMYFUNCTION("""COMPUTED_VALUE"""),18.0)</f>
        <v>18</v>
      </c>
      <c r="E2992" s="2"/>
    </row>
    <row r="2993">
      <c r="A2993" s="2"/>
      <c r="B2993" s="8" t="str">
        <f>IFERROR(__xludf.DUMMYFUNCTION("""COMPUTED_VALUE"""),"M. ARSYAD")</f>
        <v>M. ARSYAD</v>
      </c>
      <c r="C2993" s="8" t="str">
        <f>IFERROR(__xludf.DUMMYFUNCTION("""COMPUTED_VALUE"""),"M6125100219")</f>
        <v>M6125100219</v>
      </c>
      <c r="D2993" s="8">
        <f>IFERROR(__xludf.DUMMYFUNCTION("""COMPUTED_VALUE"""),65.0)</f>
        <v>65</v>
      </c>
      <c r="E2993" s="2"/>
    </row>
    <row r="2994">
      <c r="A2994" s="2"/>
      <c r="B2994" s="8" t="str">
        <f>IFERROR(__xludf.DUMMYFUNCTION("""COMPUTED_VALUE"""),"DHUTA ERLANGGA SUPRAYITNO")</f>
        <v>DHUTA ERLANGGA SUPRAYITNO</v>
      </c>
      <c r="C2994" s="8" t="str">
        <f>IFERROR(__xludf.DUMMYFUNCTION("""COMPUTED_VALUE"""),"D0625102206")</f>
        <v>D0625102206</v>
      </c>
      <c r="D2994" s="8">
        <f>IFERROR(__xludf.DUMMYFUNCTION("""COMPUTED_VALUE"""),20.0)</f>
        <v>20</v>
      </c>
      <c r="E2994" s="2"/>
    </row>
    <row r="2995">
      <c r="A2995" s="2"/>
      <c r="B2995" s="8" t="str">
        <f>IFERROR(__xludf.DUMMYFUNCTION("""COMPUTED_VALUE"""),"ARDI ZAJULI")</f>
        <v>ARDI ZAJULI</v>
      </c>
      <c r="C2995" s="8" t="str">
        <f>IFERROR(__xludf.DUMMYFUNCTION("""COMPUTED_VALUE"""),"A9125109974")</f>
        <v>A9125109974</v>
      </c>
      <c r="D2995" s="8">
        <f>IFERROR(__xludf.DUMMYFUNCTION("""COMPUTED_VALUE"""),34.0)</f>
        <v>34</v>
      </c>
      <c r="E2995" s="2"/>
    </row>
    <row r="2996">
      <c r="A2996" s="2"/>
      <c r="B2996" s="8" t="str">
        <f>IFERROR(__xludf.DUMMYFUNCTION("""COMPUTED_VALUE"""),"NOEVAL MUZZAKY")</f>
        <v>NOEVAL MUZZAKY</v>
      </c>
      <c r="C2996" s="8" t="str">
        <f>IFERROR(__xludf.DUMMYFUNCTION("""COMPUTED_VALUE"""),"N0425105874")</f>
        <v>N0425105874</v>
      </c>
      <c r="D2996" s="8">
        <f>IFERROR(__xludf.DUMMYFUNCTION("""COMPUTED_VALUE"""),22.0)</f>
        <v>22</v>
      </c>
      <c r="E2996" s="2"/>
    </row>
    <row r="2997">
      <c r="A2997" s="2"/>
      <c r="B2997" s="8" t="str">
        <f>IFERROR(__xludf.DUMMYFUNCTION("""COMPUTED_VALUE"""),"RAJEMAH")</f>
        <v>RAJEMAH</v>
      </c>
      <c r="C2997" s="8" t="str">
        <f>IFERROR(__xludf.DUMMYFUNCTION("""COMPUTED_VALUE"""),"R6425100682")</f>
        <v>R6425100682</v>
      </c>
      <c r="D2997" s="8">
        <f>IFERROR(__xludf.DUMMYFUNCTION("""COMPUTED_VALUE"""),62.0)</f>
        <v>62</v>
      </c>
      <c r="E2997" s="2"/>
    </row>
    <row r="2998">
      <c r="A2998" s="2"/>
      <c r="B2998" s="8" t="str">
        <f>IFERROR(__xludf.DUMMYFUNCTION("""COMPUTED_VALUE"""),"ANGELICA BUNARDI")</f>
        <v>ANGELICA BUNARDI</v>
      </c>
      <c r="C2998" s="8" t="str">
        <f>IFERROR(__xludf.DUMMYFUNCTION("""COMPUTED_VALUE"""),"A9925105509")</f>
        <v>A9925105509</v>
      </c>
      <c r="D2998" s="8">
        <f>IFERROR(__xludf.DUMMYFUNCTION("""COMPUTED_VALUE"""),27.0)</f>
        <v>27</v>
      </c>
      <c r="E2998" s="2"/>
    </row>
    <row r="2999">
      <c r="A2999" s="2"/>
      <c r="B2999" s="8" t="str">
        <f>IFERROR(__xludf.DUMMYFUNCTION("""COMPUTED_VALUE"""),"OBIN")</f>
        <v>OBIN</v>
      </c>
      <c r="C2999" s="8" t="str">
        <f>IFERROR(__xludf.DUMMYFUNCTION("""COMPUTED_VALUE"""),"O7825104730")</f>
        <v>O7825104730</v>
      </c>
      <c r="D2999" s="8">
        <f>IFERROR(__xludf.DUMMYFUNCTION("""COMPUTED_VALUE"""),48.0)</f>
        <v>48</v>
      </c>
      <c r="E2999" s="2"/>
    </row>
    <row r="3000">
      <c r="A3000" s="2"/>
      <c r="B3000" s="8" t="str">
        <f>IFERROR(__xludf.DUMMYFUNCTION("""COMPUTED_VALUE"""),"RINA TJENDERA")</f>
        <v>RINA TJENDERA</v>
      </c>
      <c r="C3000" s="8" t="str">
        <f>IFERROR(__xludf.DUMMYFUNCTION("""COMPUTED_VALUE"""),"R5625107738")</f>
        <v>R5625107738</v>
      </c>
      <c r="D3000" s="8">
        <f>IFERROR(__xludf.DUMMYFUNCTION("""COMPUTED_VALUE"""),70.0)</f>
        <v>70</v>
      </c>
      <c r="E3000" s="2"/>
    </row>
    <row r="3001">
      <c r="A3001" s="2"/>
      <c r="B3001" s="8" t="str">
        <f>IFERROR(__xludf.DUMMYFUNCTION("""COMPUTED_VALUE"""),"MAHIYE")</f>
        <v>MAHIYE</v>
      </c>
      <c r="C3001" s="8" t="str">
        <f>IFERROR(__xludf.DUMMYFUNCTION("""COMPUTED_VALUE"""),"M7925108167")</f>
        <v>M7925108167</v>
      </c>
      <c r="D3001" s="8">
        <f>IFERROR(__xludf.DUMMYFUNCTION("""COMPUTED_VALUE"""),46.0)</f>
        <v>46</v>
      </c>
      <c r="E3001" s="2"/>
    </row>
    <row r="3002">
      <c r="A3002" s="2"/>
      <c r="B3002" s="8" t="str">
        <f>IFERROR(__xludf.DUMMYFUNCTION("""COMPUTED_VALUE"""),"TJANG JUN BU")</f>
        <v>TJANG JUN BU</v>
      </c>
      <c r="C3002" s="8" t="str">
        <f>IFERROR(__xludf.DUMMYFUNCTION("""COMPUTED_VALUE"""),"T6325109944")</f>
        <v>T6325109944</v>
      </c>
      <c r="D3002" s="8">
        <f>IFERROR(__xludf.DUMMYFUNCTION("""COMPUTED_VALUE"""),62.0)</f>
        <v>62</v>
      </c>
      <c r="E3002" s="2"/>
    </row>
    <row r="3003">
      <c r="A3003" s="2"/>
      <c r="B3003" s="8" t="str">
        <f>IFERROR(__xludf.DUMMYFUNCTION("""COMPUTED_VALUE"""),"RIKSON ARMAGEDON PURBA")</f>
        <v>RIKSON ARMAGEDON PURBA</v>
      </c>
      <c r="C3003" s="8" t="str">
        <f>IFERROR(__xludf.DUMMYFUNCTION("""COMPUTED_VALUE"""),"R6725103408")</f>
        <v>R6725103408</v>
      </c>
      <c r="D3003" s="8">
        <f>IFERROR(__xludf.DUMMYFUNCTION("""COMPUTED_VALUE"""),59.0)</f>
        <v>59</v>
      </c>
      <c r="E3003" s="2"/>
    </row>
    <row r="3004">
      <c r="A3004" s="2"/>
      <c r="B3004" s="8" t="str">
        <f>IFERROR(__xludf.DUMMYFUNCTION("""COMPUTED_VALUE"""),"RAHDIAN EDISON")</f>
        <v>RAHDIAN EDISON</v>
      </c>
      <c r="C3004" s="8" t="str">
        <f>IFERROR(__xludf.DUMMYFUNCTION("""COMPUTED_VALUE"""),"R9025103337")</f>
        <v>R9025103337</v>
      </c>
      <c r="D3004" s="8">
        <f>IFERROR(__xludf.DUMMYFUNCTION("""COMPUTED_VALUE"""),36.0)</f>
        <v>36</v>
      </c>
      <c r="E3004" s="2"/>
    </row>
    <row r="3005">
      <c r="A3005" s="2"/>
      <c r="B3005" s="8" t="str">
        <f>IFERROR(__xludf.DUMMYFUNCTION("""COMPUTED_VALUE"""),"WIWID YULIAN SAPUTRO")</f>
        <v>WIWID YULIAN SAPUTRO</v>
      </c>
      <c r="C3005" s="8" t="str">
        <f>IFERROR(__xludf.DUMMYFUNCTION("""COMPUTED_VALUE"""),"W9525106146")</f>
        <v>W9525106146</v>
      </c>
      <c r="D3005" s="8">
        <f>IFERROR(__xludf.DUMMYFUNCTION("""COMPUTED_VALUE"""),31.0)</f>
        <v>31</v>
      </c>
      <c r="E3005" s="2"/>
    </row>
    <row r="3006">
      <c r="A3006" s="2"/>
      <c r="B3006" s="8" t="str">
        <f>IFERROR(__xludf.DUMMYFUNCTION("""COMPUTED_VALUE"""),"TUKINEM")</f>
        <v>TUKINEM</v>
      </c>
      <c r="C3006" s="8" t="str">
        <f>IFERROR(__xludf.DUMMYFUNCTION("""COMPUTED_VALUE"""),"T6525103639")</f>
        <v>T6525103639</v>
      </c>
      <c r="D3006" s="8">
        <f>IFERROR(__xludf.DUMMYFUNCTION("""COMPUTED_VALUE"""),60.0)</f>
        <v>60</v>
      </c>
      <c r="E3006" s="2"/>
    </row>
    <row r="3007">
      <c r="A3007" s="2"/>
      <c r="B3007" s="8" t="str">
        <f>IFERROR(__xludf.DUMMYFUNCTION("""COMPUTED_VALUE"""),"DELLY MARINA")</f>
        <v>DELLY MARINA</v>
      </c>
      <c r="C3007" s="8" t="str">
        <f>IFERROR(__xludf.DUMMYFUNCTION("""COMPUTED_VALUE"""),"D8225100100")</f>
        <v>D8225100100</v>
      </c>
      <c r="D3007" s="8">
        <f>IFERROR(__xludf.DUMMYFUNCTION("""COMPUTED_VALUE"""),44.0)</f>
        <v>44</v>
      </c>
      <c r="E3007" s="2"/>
    </row>
    <row r="3008">
      <c r="A3008" s="2"/>
      <c r="B3008" s="8" t="str">
        <f>IFERROR(__xludf.DUMMYFUNCTION("""COMPUTED_VALUE"""),"AGUS BUDIANTO")</f>
        <v>AGUS BUDIANTO</v>
      </c>
      <c r="C3008" s="8" t="str">
        <f>IFERROR(__xludf.DUMMYFUNCTION("""COMPUTED_VALUE"""),"A8925106005")</f>
        <v>A8925106005</v>
      </c>
      <c r="D3008" s="8">
        <f>IFERROR(__xludf.DUMMYFUNCTION("""COMPUTED_VALUE"""),37.0)</f>
        <v>37</v>
      </c>
      <c r="E3008" s="2"/>
    </row>
    <row r="3009">
      <c r="A3009" s="2"/>
      <c r="B3009" s="8" t="str">
        <f>IFERROR(__xludf.DUMMYFUNCTION("""COMPUTED_VALUE"""),"RINI ADIYANTI K")</f>
        <v>RINI ADIYANTI K</v>
      </c>
      <c r="C3009" s="8" t="str">
        <f>IFERROR(__xludf.DUMMYFUNCTION("""COMPUTED_VALUE"""),"R7225102104")</f>
        <v>R7225102104</v>
      </c>
      <c r="D3009" s="8">
        <f>IFERROR(__xludf.DUMMYFUNCTION("""COMPUTED_VALUE"""),53.0)</f>
        <v>53</v>
      </c>
      <c r="E3009" s="2"/>
    </row>
    <row r="3010">
      <c r="A3010" s="2"/>
      <c r="B3010" s="8" t="str">
        <f>IFERROR(__xludf.DUMMYFUNCTION("""COMPUTED_VALUE"""),"FADLURROHMAN ASSHIDDIQI")</f>
        <v>FADLURROHMAN ASSHIDDIQI</v>
      </c>
      <c r="C3010" s="8" t="str">
        <f>IFERROR(__xludf.DUMMYFUNCTION("""COMPUTED_VALUE"""),"F0225102200")</f>
        <v>F0225102200</v>
      </c>
      <c r="D3010" s="8">
        <f>IFERROR(__xludf.DUMMYFUNCTION("""COMPUTED_VALUE"""),23.0)</f>
        <v>23</v>
      </c>
      <c r="E3010" s="2"/>
    </row>
    <row r="3011">
      <c r="A3011" s="2"/>
      <c r="B3011" s="8" t="str">
        <f>IFERROR(__xludf.DUMMYFUNCTION("""COMPUTED_VALUE"""),"DWI CHRISTIANA")</f>
        <v>DWI CHRISTIANA</v>
      </c>
      <c r="C3011" s="8" t="str">
        <f>IFERROR(__xludf.DUMMYFUNCTION("""COMPUTED_VALUE"""),"D7925106622")</f>
        <v>D7925106622</v>
      </c>
      <c r="D3011" s="8">
        <f>IFERROR(__xludf.DUMMYFUNCTION("""COMPUTED_VALUE"""),47.0)</f>
        <v>47</v>
      </c>
      <c r="E3011" s="2"/>
    </row>
    <row r="3012">
      <c r="A3012" s="2"/>
      <c r="B3012" s="8" t="str">
        <f>IFERROR(__xludf.DUMMYFUNCTION("""COMPUTED_VALUE"""),"SUKAWATI EFFENDY")</f>
        <v>SUKAWATI EFFENDY</v>
      </c>
      <c r="C3012" s="8" t="str">
        <f>IFERROR(__xludf.DUMMYFUNCTION("""COMPUTED_VALUE"""),"S4725109888")</f>
        <v>S4725109888</v>
      </c>
      <c r="D3012" s="8">
        <f>IFERROR(__xludf.DUMMYFUNCTION("""COMPUTED_VALUE"""),78.0)</f>
        <v>78</v>
      </c>
      <c r="E3012" s="2"/>
    </row>
    <row r="3013">
      <c r="A3013" s="2"/>
      <c r="B3013" s="8" t="str">
        <f>IFERROR(__xludf.DUMMYFUNCTION("""COMPUTED_VALUE"""),"TRI ALFAIRUS")</f>
        <v>TRI ALFAIRUS</v>
      </c>
      <c r="C3013" s="8" t="str">
        <f>IFERROR(__xludf.DUMMYFUNCTION("""COMPUTED_VALUE"""),"T1125116231")</f>
        <v>T1125116231</v>
      </c>
      <c r="D3013" s="8">
        <f>IFERROR(__xludf.DUMMYFUNCTION("""COMPUTED_VALUE"""),15.0)</f>
        <v>15</v>
      </c>
      <c r="E3013" s="2"/>
    </row>
    <row r="3014">
      <c r="A3014" s="2"/>
      <c r="B3014" s="8" t="str">
        <f>IFERROR(__xludf.DUMMYFUNCTION("""COMPUTED_VALUE"""),"TIURLAN RANIA SITOMPUL")</f>
        <v>TIURLAN RANIA SITOMPUL</v>
      </c>
      <c r="C3014" s="8" t="str">
        <f>IFERROR(__xludf.DUMMYFUNCTION("""COMPUTED_VALUE"""),"T9925112700")</f>
        <v>T9925112700</v>
      </c>
      <c r="D3014" s="8">
        <f>IFERROR(__xludf.DUMMYFUNCTION("""COMPUTED_VALUE"""),27.0)</f>
        <v>27</v>
      </c>
      <c r="E3014" s="2"/>
    </row>
    <row r="3015">
      <c r="A3015" s="2"/>
      <c r="B3015" s="8" t="str">
        <f>IFERROR(__xludf.DUMMYFUNCTION("""COMPUTED_VALUE"""),"NOVIANTO")</f>
        <v>NOVIANTO</v>
      </c>
      <c r="C3015" s="8" t="str">
        <f>IFERROR(__xludf.DUMMYFUNCTION("""COMPUTED_VALUE"""),"N8325117007")</f>
        <v>N8325117007</v>
      </c>
      <c r="D3015" s="8">
        <f>IFERROR(__xludf.DUMMYFUNCTION("""COMPUTED_VALUE"""),42.0)</f>
        <v>42</v>
      </c>
      <c r="E3015" s="2"/>
    </row>
    <row r="3016">
      <c r="A3016" s="2"/>
      <c r="B3016" s="8" t="str">
        <f>IFERROR(__xludf.DUMMYFUNCTION("""COMPUTED_VALUE"""),"SITI HALIMAH")</f>
        <v>SITI HALIMAH</v>
      </c>
      <c r="C3016" s="8" t="str">
        <f>IFERROR(__xludf.DUMMYFUNCTION("""COMPUTED_VALUE"""),"S8525111805")</f>
        <v>S8525111805</v>
      </c>
      <c r="D3016" s="8">
        <f>IFERROR(__xludf.DUMMYFUNCTION("""COMPUTED_VALUE"""),41.0)</f>
        <v>41</v>
      </c>
      <c r="E3016" s="2"/>
    </row>
    <row r="3017">
      <c r="A3017" s="2"/>
      <c r="B3017" s="8" t="str">
        <f>IFERROR(__xludf.DUMMYFUNCTION("""COMPUTED_VALUE"""),"VIONA PRICILA")</f>
        <v>VIONA PRICILA</v>
      </c>
      <c r="C3017" s="8" t="str">
        <f>IFERROR(__xludf.DUMMYFUNCTION("""COMPUTED_VALUE"""),"V9525116763")</f>
        <v>V9525116763</v>
      </c>
      <c r="D3017" s="8">
        <f>IFERROR(__xludf.DUMMYFUNCTION("""COMPUTED_VALUE"""),31.0)</f>
        <v>31</v>
      </c>
      <c r="E3017" s="2"/>
    </row>
    <row r="3018">
      <c r="A3018" s="2"/>
      <c r="B3018" s="8" t="str">
        <f>IFERROR(__xludf.DUMMYFUNCTION("""COMPUTED_VALUE"""),"LUCIA HIDAYAT")</f>
        <v>LUCIA HIDAYAT</v>
      </c>
      <c r="C3018" s="8" t="str">
        <f>IFERROR(__xludf.DUMMYFUNCTION("""COMPUTED_VALUE"""),"L7725110799")</f>
        <v>L7725110799</v>
      </c>
      <c r="D3018" s="8">
        <f>IFERROR(__xludf.DUMMYFUNCTION("""COMPUTED_VALUE"""),49.0)</f>
        <v>49</v>
      </c>
      <c r="E3018" s="2"/>
    </row>
    <row r="3019">
      <c r="A3019" s="2"/>
      <c r="B3019" s="8" t="str">
        <f>IFERROR(__xludf.DUMMYFUNCTION("""COMPUTED_VALUE"""),"DYAN ARISTA")</f>
        <v>DYAN ARISTA</v>
      </c>
      <c r="C3019" s="8" t="str">
        <f>IFERROR(__xludf.DUMMYFUNCTION("""COMPUTED_VALUE"""),"D9325118833")</f>
        <v>D9325118833</v>
      </c>
      <c r="D3019" s="8">
        <f>IFERROR(__xludf.DUMMYFUNCTION("""COMPUTED_VALUE"""),32.0)</f>
        <v>32</v>
      </c>
      <c r="E3019" s="2"/>
    </row>
    <row r="3020">
      <c r="A3020" s="2"/>
      <c r="B3020" s="8" t="str">
        <f>IFERROR(__xludf.DUMMYFUNCTION("""COMPUTED_VALUE"""),"ASTISZA SYAHLA LUDMILLA PARABI")</f>
        <v>ASTISZA SYAHLA LUDMILLA PARABI</v>
      </c>
      <c r="C3020" s="8" t="str">
        <f>IFERROR(__xludf.DUMMYFUNCTION("""COMPUTED_VALUE"""),"A9925114514")</f>
        <v>A9925114514</v>
      </c>
      <c r="D3020" s="8">
        <f>IFERROR(__xludf.DUMMYFUNCTION("""COMPUTED_VALUE"""),26.0)</f>
        <v>26</v>
      </c>
      <c r="E3020" s="2"/>
    </row>
    <row r="3021">
      <c r="A3021" s="2"/>
      <c r="B3021" s="8" t="str">
        <f>IFERROR(__xludf.DUMMYFUNCTION("""COMPUTED_VALUE"""),"MAULIDIA AKHIR")</f>
        <v>MAULIDIA AKHIR</v>
      </c>
      <c r="C3021" s="8" t="str">
        <f>IFERROR(__xludf.DUMMYFUNCTION("""COMPUTED_VALUE"""),"M9825114498")</f>
        <v>M9825114498</v>
      </c>
      <c r="D3021" s="8">
        <f>IFERROR(__xludf.DUMMYFUNCTION("""COMPUTED_VALUE"""),27.0)</f>
        <v>27</v>
      </c>
      <c r="E3021" s="2"/>
    </row>
    <row r="3022">
      <c r="A3022" s="2"/>
      <c r="B3022" s="8" t="str">
        <f>IFERROR(__xludf.DUMMYFUNCTION("""COMPUTED_VALUE"""),"GUSTI MURI IRFAN")</f>
        <v>GUSTI MURI IRFAN</v>
      </c>
      <c r="C3022" s="8" t="str">
        <f>IFERROR(__xludf.DUMMYFUNCTION("""COMPUTED_VALUE"""),"G9825110702")</f>
        <v>G9825110702</v>
      </c>
      <c r="D3022" s="8">
        <f>IFERROR(__xludf.DUMMYFUNCTION("""COMPUTED_VALUE"""),27.0)</f>
        <v>27</v>
      </c>
      <c r="E3022" s="2"/>
    </row>
    <row r="3023">
      <c r="A3023" s="2"/>
      <c r="B3023" s="8" t="str">
        <f>IFERROR(__xludf.DUMMYFUNCTION("""COMPUTED_VALUE"""),"HAUNAN FACHRY ROHILIE")</f>
        <v>HAUNAN FACHRY ROHILIE</v>
      </c>
      <c r="C3023" s="8" t="str">
        <f>IFERROR(__xludf.DUMMYFUNCTION("""COMPUTED_VALUE"""),"H9025119334")</f>
        <v>H9025119334</v>
      </c>
      <c r="D3023" s="8">
        <f>IFERROR(__xludf.DUMMYFUNCTION("""COMPUTED_VALUE"""),36.0)</f>
        <v>36</v>
      </c>
      <c r="E3023" s="2"/>
    </row>
    <row r="3024">
      <c r="A3024" s="2"/>
      <c r="B3024" s="8" t="str">
        <f>IFERROR(__xludf.DUMMYFUNCTION("""COMPUTED_VALUE"""),"AINIYATUL FITRIYAH")</f>
        <v>AINIYATUL FITRIYAH</v>
      </c>
      <c r="C3024" s="8" t="str">
        <f>IFERROR(__xludf.DUMMYFUNCTION("""COMPUTED_VALUE"""),"A9525119187")</f>
        <v>A9525119187</v>
      </c>
      <c r="D3024" s="8">
        <f>IFERROR(__xludf.DUMMYFUNCTION("""COMPUTED_VALUE"""),31.0)</f>
        <v>31</v>
      </c>
      <c r="E3024" s="2"/>
    </row>
    <row r="3025">
      <c r="A3025" s="2"/>
      <c r="B3025" s="8" t="str">
        <f>IFERROR(__xludf.DUMMYFUNCTION("""COMPUTED_VALUE"""),"NURJANAH 7203")</f>
        <v>NURJANAH 7203</v>
      </c>
      <c r="C3025" s="8" t="str">
        <f>IFERROR(__xludf.DUMMYFUNCTION("""COMPUTED_VALUE"""),"N7225117623")</f>
        <v>N7225117623</v>
      </c>
      <c r="D3025" s="8">
        <f>IFERROR(__xludf.DUMMYFUNCTION("""COMPUTED_VALUE"""),54.0)</f>
        <v>54</v>
      </c>
      <c r="E3025" s="2"/>
    </row>
    <row r="3026">
      <c r="A3026" s="2"/>
      <c r="B3026" s="8" t="str">
        <f>IFERROR(__xludf.DUMMYFUNCTION("""COMPUTED_VALUE"""),"BRAMA DARUSSALAM JATMIKO")</f>
        <v>BRAMA DARUSSALAM JATMIKO</v>
      </c>
      <c r="C3026" s="8" t="str">
        <f>IFERROR(__xludf.DUMMYFUNCTION("""COMPUTED_VALUE"""),"B0025116716")</f>
        <v>B0025116716</v>
      </c>
      <c r="D3026" s="8">
        <f>IFERROR(__xludf.DUMMYFUNCTION("""COMPUTED_VALUE"""),25.0)</f>
        <v>25</v>
      </c>
      <c r="E3026" s="2"/>
    </row>
    <row r="3027">
      <c r="A3027" s="2"/>
      <c r="B3027" s="8" t="str">
        <f>IFERROR(__xludf.DUMMYFUNCTION("""COMPUTED_VALUE"""),"MISSRIWATI")</f>
        <v>MISSRIWATI</v>
      </c>
      <c r="C3027" s="8" t="str">
        <f>IFERROR(__xludf.DUMMYFUNCTION("""COMPUTED_VALUE"""),"M8525119888")</f>
        <v>M8525119888</v>
      </c>
      <c r="D3027" s="8">
        <f>IFERROR(__xludf.DUMMYFUNCTION("""COMPUTED_VALUE"""),40.0)</f>
        <v>40</v>
      </c>
      <c r="E3027" s="2"/>
    </row>
    <row r="3028">
      <c r="A3028" s="2"/>
      <c r="B3028" s="8" t="str">
        <f>IFERROR(__xludf.DUMMYFUNCTION("""COMPUTED_VALUE"""),"NURHASANA")</f>
        <v>NURHASANA</v>
      </c>
      <c r="C3028" s="8" t="str">
        <f>IFERROR(__xludf.DUMMYFUNCTION("""COMPUTED_VALUE"""),"N8525112090")</f>
        <v>N8525112090</v>
      </c>
      <c r="D3028" s="8">
        <f>IFERROR(__xludf.DUMMYFUNCTION("""COMPUTED_VALUE"""),41.0)</f>
        <v>41</v>
      </c>
      <c r="E3028" s="2"/>
    </row>
    <row r="3029">
      <c r="A3029" s="2"/>
      <c r="B3029" s="8" t="str">
        <f>IFERROR(__xludf.DUMMYFUNCTION("""COMPUTED_VALUE"""),"SUKARNI 8012")</f>
        <v>SUKARNI 8012</v>
      </c>
      <c r="C3029" s="8" t="str">
        <f>IFERROR(__xludf.DUMMYFUNCTION("""COMPUTED_VALUE"""),"S8025117111")</f>
        <v>S8025117111</v>
      </c>
      <c r="D3029" s="8">
        <f>IFERROR(__xludf.DUMMYFUNCTION("""COMPUTED_VALUE"""),45.0)</f>
        <v>45</v>
      </c>
      <c r="E3029" s="2"/>
    </row>
    <row r="3030">
      <c r="A3030" s="2"/>
      <c r="B3030" s="8" t="str">
        <f>IFERROR(__xludf.DUMMYFUNCTION("""COMPUTED_VALUE"""),"MIA HARTE")</f>
        <v>MIA HARTE</v>
      </c>
      <c r="C3030" s="8" t="str">
        <f>IFERROR(__xludf.DUMMYFUNCTION("""COMPUTED_VALUE"""),"M6925117500")</f>
        <v>M6925117500</v>
      </c>
      <c r="D3030" s="8">
        <f>IFERROR(__xludf.DUMMYFUNCTION("""COMPUTED_VALUE"""),56.0)</f>
        <v>56</v>
      </c>
      <c r="E3030" s="2"/>
    </row>
    <row r="3031">
      <c r="A3031" s="2"/>
      <c r="B3031" s="8" t="str">
        <f>IFERROR(__xludf.DUMMYFUNCTION("""COMPUTED_VALUE"""),"MAWRICE CHUARESMO MARTIN")</f>
        <v>MAWRICE CHUARESMO MARTIN</v>
      </c>
      <c r="C3031" s="8" t="str">
        <f>IFERROR(__xludf.DUMMYFUNCTION("""COMPUTED_VALUE"""),"M0825116129")</f>
        <v>M0825116129</v>
      </c>
      <c r="D3031" s="8">
        <f>IFERROR(__xludf.DUMMYFUNCTION("""COMPUTED_VALUE"""),18.0)</f>
        <v>18</v>
      </c>
      <c r="E3031" s="2"/>
    </row>
    <row r="3032">
      <c r="A3032" s="2"/>
      <c r="B3032" s="8" t="str">
        <f>IFERROR(__xludf.DUMMYFUNCTION("""COMPUTED_VALUE"""),"BARTOLOMEUS LAUDY GALIH ARTO")</f>
        <v>BARTOLOMEUS LAUDY GALIH ARTO</v>
      </c>
      <c r="C3032" s="8" t="str">
        <f>IFERROR(__xludf.DUMMYFUNCTION("""COMPUTED_VALUE"""),"B0125112743")</f>
        <v>B0125112743</v>
      </c>
      <c r="D3032" s="8">
        <f>IFERROR(__xludf.DUMMYFUNCTION("""COMPUTED_VALUE"""),24.0)</f>
        <v>24</v>
      </c>
      <c r="E3032" s="2"/>
    </row>
    <row r="3033">
      <c r="A3033" s="2"/>
      <c r="B3033" s="8" t="str">
        <f>IFERROR(__xludf.DUMMYFUNCTION("""COMPUTED_VALUE"""),"TENORRIO")</f>
        <v>TENORRIO</v>
      </c>
      <c r="C3033" s="8" t="str">
        <f>IFERROR(__xludf.DUMMYFUNCTION("""COMPUTED_VALUE"""),"T0225118094")</f>
        <v>T0225118094</v>
      </c>
      <c r="D3033" s="8">
        <f>IFERROR(__xludf.DUMMYFUNCTION("""COMPUTED_VALUE"""),24.0)</f>
        <v>24</v>
      </c>
      <c r="E3033" s="2"/>
    </row>
    <row r="3034">
      <c r="A3034" s="2"/>
      <c r="B3034" s="8" t="str">
        <f>IFERROR(__xludf.DUMMYFUNCTION("""COMPUTED_VALUE"""),"ERVINAWATI KUSUMA")</f>
        <v>ERVINAWATI KUSUMA</v>
      </c>
      <c r="C3034" s="8" t="str">
        <f>IFERROR(__xludf.DUMMYFUNCTION("""COMPUTED_VALUE"""),"E8625112448")</f>
        <v>E8625112448</v>
      </c>
      <c r="D3034" s="8">
        <f>IFERROR(__xludf.DUMMYFUNCTION("""COMPUTED_VALUE"""),40.0)</f>
        <v>40</v>
      </c>
      <c r="E3034" s="2"/>
    </row>
    <row r="3035">
      <c r="A3035" s="2"/>
      <c r="B3035" s="8" t="str">
        <f>IFERROR(__xludf.DUMMYFUNCTION("""COMPUTED_VALUE"""),"OWEN LOWIRA")</f>
        <v>OWEN LOWIRA</v>
      </c>
      <c r="C3035" s="8" t="str">
        <f>IFERROR(__xludf.DUMMYFUNCTION("""COMPUTED_VALUE"""),"O0825111109")</f>
        <v>O0825111109</v>
      </c>
      <c r="D3035" s="8">
        <f>IFERROR(__xludf.DUMMYFUNCTION("""COMPUTED_VALUE"""),17.0)</f>
        <v>17</v>
      </c>
      <c r="E3035" s="2"/>
    </row>
    <row r="3036">
      <c r="A3036" s="2"/>
      <c r="B3036" s="8" t="str">
        <f>IFERROR(__xludf.DUMMYFUNCTION("""COMPUTED_VALUE"""),"RAHMAT REZA FAHLEVI")</f>
        <v>RAHMAT REZA FAHLEVI</v>
      </c>
      <c r="C3036" s="8" t="str">
        <f>IFERROR(__xludf.DUMMYFUNCTION("""COMPUTED_VALUE"""),"R0625117725")</f>
        <v>R0625117725</v>
      </c>
      <c r="D3036" s="8">
        <f>IFERROR(__xludf.DUMMYFUNCTION("""COMPUTED_VALUE"""),20.0)</f>
        <v>20</v>
      </c>
      <c r="E3036" s="2"/>
    </row>
    <row r="3037">
      <c r="A3037" s="2"/>
      <c r="B3037" s="8" t="str">
        <f>IFERROR(__xludf.DUMMYFUNCTION("""COMPUTED_VALUE"""),"DJAUW KHIE TJIN")</f>
        <v>DJAUW KHIE TJIN</v>
      </c>
      <c r="C3037" s="8" t="str">
        <f>IFERROR(__xludf.DUMMYFUNCTION("""COMPUTED_VALUE"""),"D6525119328")</f>
        <v>D6525119328</v>
      </c>
      <c r="D3037" s="8">
        <f>IFERROR(__xludf.DUMMYFUNCTION("""COMPUTED_VALUE"""),60.0)</f>
        <v>60</v>
      </c>
      <c r="E3037" s="2"/>
    </row>
    <row r="3038">
      <c r="A3038" s="2"/>
      <c r="B3038" s="8" t="str">
        <f>IFERROR(__xludf.DUMMYFUNCTION("""COMPUTED_VALUE"""),"JULIA KARUNIA")</f>
        <v>JULIA KARUNIA</v>
      </c>
      <c r="C3038" s="8" t="str">
        <f>IFERROR(__xludf.DUMMYFUNCTION("""COMPUTED_VALUE"""),"J8625111997")</f>
        <v>J8625111997</v>
      </c>
      <c r="D3038" s="8">
        <f>IFERROR(__xludf.DUMMYFUNCTION("""COMPUTED_VALUE"""),40.0)</f>
        <v>40</v>
      </c>
      <c r="E3038" s="2"/>
    </row>
    <row r="3039">
      <c r="A3039" s="2"/>
      <c r="B3039" s="8" t="str">
        <f>IFERROR(__xludf.DUMMYFUNCTION("""COMPUTED_VALUE"""),"ARYA KUSUMA RAMADAN")</f>
        <v>ARYA KUSUMA RAMADAN</v>
      </c>
      <c r="C3039" s="8" t="str">
        <f>IFERROR(__xludf.DUMMYFUNCTION("""COMPUTED_VALUE"""),"A0625113812")</f>
        <v>A0625113812</v>
      </c>
      <c r="D3039" s="8">
        <f>IFERROR(__xludf.DUMMYFUNCTION("""COMPUTED_VALUE"""),19.0)</f>
        <v>19</v>
      </c>
      <c r="E3039" s="2"/>
    </row>
    <row r="3040">
      <c r="A3040" s="2"/>
      <c r="B3040" s="8" t="str">
        <f>IFERROR(__xludf.DUMMYFUNCTION("""COMPUTED_VALUE"""),"SUGIANTO WIJAYA")</f>
        <v>SUGIANTO WIJAYA</v>
      </c>
      <c r="C3040" s="8" t="str">
        <f>IFERROR(__xludf.DUMMYFUNCTION("""COMPUTED_VALUE"""),"S9525118899")</f>
        <v>S9525118899</v>
      </c>
      <c r="D3040" s="8">
        <f>IFERROR(__xludf.DUMMYFUNCTION("""COMPUTED_VALUE"""),30.0)</f>
        <v>30</v>
      </c>
      <c r="E3040" s="2"/>
    </row>
    <row r="3041">
      <c r="A3041" s="2"/>
      <c r="B3041" s="8" t="str">
        <f>IFERROR(__xludf.DUMMYFUNCTION("""COMPUTED_VALUE"""),"MUHAMMAD TAUFIK")</f>
        <v>MUHAMMAD TAUFIK</v>
      </c>
      <c r="C3041" s="8" t="str">
        <f>IFERROR(__xludf.DUMMYFUNCTION("""COMPUTED_VALUE"""),"M8425111626")</f>
        <v>M8425111626</v>
      </c>
      <c r="D3041" s="8">
        <f>IFERROR(__xludf.DUMMYFUNCTION("""COMPUTED_VALUE"""),42.0)</f>
        <v>42</v>
      </c>
      <c r="E3041" s="2"/>
    </row>
    <row r="3042">
      <c r="A3042" s="2"/>
      <c r="B3042" s="8" t="str">
        <f>IFERROR(__xludf.DUMMYFUNCTION("""COMPUTED_VALUE"""),"KALYCA ANDANIA")</f>
        <v>KALYCA ANDANIA</v>
      </c>
      <c r="C3042" s="8" t="str">
        <f>IFERROR(__xludf.DUMMYFUNCTION("""COMPUTED_VALUE"""),"K0825116630")</f>
        <v>K0825116630</v>
      </c>
      <c r="D3042" s="8">
        <f>IFERROR(__xludf.DUMMYFUNCTION("""COMPUTED_VALUE"""),18.0)</f>
        <v>18</v>
      </c>
      <c r="E3042" s="2"/>
    </row>
    <row r="3043">
      <c r="A3043" s="2"/>
      <c r="B3043" s="8" t="str">
        <f>IFERROR(__xludf.DUMMYFUNCTION("""COMPUTED_VALUE"""),"CAMELIA DESNIGO")</f>
        <v>CAMELIA DESNIGO</v>
      </c>
      <c r="C3043" s="8" t="str">
        <f>IFERROR(__xludf.DUMMYFUNCTION("""COMPUTED_VALUE"""),"C0525114334")</f>
        <v>C0525114334</v>
      </c>
      <c r="D3043" s="8">
        <f>IFERROR(__xludf.DUMMYFUNCTION("""COMPUTED_VALUE"""),20.0)</f>
        <v>20</v>
      </c>
      <c r="E3043" s="2"/>
    </row>
    <row r="3044">
      <c r="A3044" s="2"/>
      <c r="B3044" s="8" t="str">
        <f>IFERROR(__xludf.DUMMYFUNCTION("""COMPUTED_VALUE"""),"ELLA FITRIA")</f>
        <v>ELLA FITRIA</v>
      </c>
      <c r="C3044" s="8" t="str">
        <f>IFERROR(__xludf.DUMMYFUNCTION("""COMPUTED_VALUE"""),"E9725118035")</f>
        <v>E9725118035</v>
      </c>
      <c r="D3044" s="8">
        <f>IFERROR(__xludf.DUMMYFUNCTION("""COMPUTED_VALUE"""),29.0)</f>
        <v>29</v>
      </c>
      <c r="E3044" s="2"/>
    </row>
    <row r="3045">
      <c r="A3045" s="2"/>
      <c r="B3045" s="8" t="str">
        <f>IFERROR(__xludf.DUMMYFUNCTION("""COMPUTED_VALUE"""),"MARIYAMINA RUPINA")</f>
        <v>MARIYAMINA RUPINA</v>
      </c>
      <c r="C3045" s="8" t="str">
        <f>IFERROR(__xludf.DUMMYFUNCTION("""COMPUTED_VALUE"""),"M5325110126")</f>
        <v>M5325110126</v>
      </c>
      <c r="D3045" s="8">
        <f>IFERROR(__xludf.DUMMYFUNCTION("""COMPUTED_VALUE"""),73.0)</f>
        <v>73</v>
      </c>
      <c r="E3045" s="2"/>
    </row>
    <row r="3046">
      <c r="A3046" s="2"/>
      <c r="B3046" s="8" t="str">
        <f>IFERROR(__xludf.DUMMYFUNCTION("""COMPUTED_VALUE"""),"DANY SUWARNO")</f>
        <v>DANY SUWARNO</v>
      </c>
      <c r="C3046" s="8" t="str">
        <f>IFERROR(__xludf.DUMMYFUNCTION("""COMPUTED_VALUE"""),"D8525114110")</f>
        <v>D8525114110</v>
      </c>
      <c r="D3046" s="8">
        <f>IFERROR(__xludf.DUMMYFUNCTION("""COMPUTED_VALUE"""),41.0)</f>
        <v>41</v>
      </c>
      <c r="E3046" s="2"/>
    </row>
    <row r="3047">
      <c r="A3047" s="2"/>
      <c r="B3047" s="8" t="str">
        <f>IFERROR(__xludf.DUMMYFUNCTION("""COMPUTED_VALUE"""),"FATIMA")</f>
        <v>FATIMA</v>
      </c>
      <c r="C3047" s="8" t="str">
        <f>IFERROR(__xludf.DUMMYFUNCTION("""COMPUTED_VALUE"""),"F2525111598")</f>
        <v>F2525111598</v>
      </c>
      <c r="D3047" s="8">
        <f>IFERROR(__xludf.DUMMYFUNCTION("""COMPUTED_VALUE"""),0.0)</f>
        <v>0</v>
      </c>
      <c r="E3047" s="2"/>
    </row>
    <row r="3048">
      <c r="A3048" s="2"/>
      <c r="B3048" s="8" t="str">
        <f>IFERROR(__xludf.DUMMYFUNCTION("""COMPUTED_VALUE"""),"MEDIANA SULISTIAWATI")</f>
        <v>MEDIANA SULISTIAWATI</v>
      </c>
      <c r="C3048" s="8" t="str">
        <f>IFERROR(__xludf.DUMMYFUNCTION("""COMPUTED_VALUE"""),"M0425117629")</f>
        <v>M0425117629</v>
      </c>
      <c r="D3048" s="8">
        <f>IFERROR(__xludf.DUMMYFUNCTION("""COMPUTED_VALUE"""),22.0)</f>
        <v>22</v>
      </c>
      <c r="E3048" s="2"/>
    </row>
    <row r="3049">
      <c r="A3049" s="2"/>
      <c r="B3049" s="8" t="str">
        <f>IFERROR(__xludf.DUMMYFUNCTION("""COMPUTED_VALUE"""),"SALLY ISKANDAR TAN")</f>
        <v>SALLY ISKANDAR TAN</v>
      </c>
      <c r="C3049" s="8" t="str">
        <f>IFERROR(__xludf.DUMMYFUNCTION("""COMPUTED_VALUE"""),"S0125112891")</f>
        <v>S0125112891</v>
      </c>
      <c r="D3049" s="8">
        <f>IFERROR(__xludf.DUMMYFUNCTION("""COMPUTED_VALUE"""),25.0)</f>
        <v>25</v>
      </c>
      <c r="E3049" s="2"/>
    </row>
    <row r="3050">
      <c r="A3050" s="2"/>
      <c r="B3050" s="8" t="str">
        <f>IFERROR(__xludf.DUMMYFUNCTION("""COMPUTED_VALUE"""),"SUMIATI")</f>
        <v>SUMIATI</v>
      </c>
      <c r="C3050" s="8" t="str">
        <f>IFERROR(__xludf.DUMMYFUNCTION("""COMPUTED_VALUE"""),"S8525116452")</f>
        <v>S8525116452</v>
      </c>
      <c r="D3050" s="8">
        <f>IFERROR(__xludf.DUMMYFUNCTION("""COMPUTED_VALUE"""),41.0)</f>
        <v>41</v>
      </c>
      <c r="E3050" s="2"/>
    </row>
    <row r="3051">
      <c r="A3051" s="2"/>
      <c r="B3051" s="8" t="str">
        <f>IFERROR(__xludf.DUMMYFUNCTION("""COMPUTED_VALUE"""),"WARRIN WIJAYA")</f>
        <v>WARRIN WIJAYA</v>
      </c>
      <c r="C3051" s="8" t="str">
        <f>IFERROR(__xludf.DUMMYFUNCTION("""COMPUTED_VALUE"""),"W9725116553")</f>
        <v>W9725116553</v>
      </c>
      <c r="D3051" s="8">
        <f>IFERROR(__xludf.DUMMYFUNCTION("""COMPUTED_VALUE"""),28.0)</f>
        <v>28</v>
      </c>
      <c r="E3051" s="2"/>
    </row>
    <row r="3052">
      <c r="A3052" s="2"/>
      <c r="B3052" s="8" t="str">
        <f>IFERROR(__xludf.DUMMYFUNCTION("""COMPUTED_VALUE"""),"TAN TJHUN TIE ALS ROBERT")</f>
        <v>TAN TJHUN TIE ALS ROBERT</v>
      </c>
      <c r="C3052" s="8" t="str">
        <f>IFERROR(__xludf.DUMMYFUNCTION("""COMPUTED_VALUE"""),"T5625119994")</f>
        <v>T5625119994</v>
      </c>
      <c r="D3052" s="8">
        <f>IFERROR(__xludf.DUMMYFUNCTION("""COMPUTED_VALUE"""),70.0)</f>
        <v>70</v>
      </c>
      <c r="E3052" s="2"/>
    </row>
    <row r="3053">
      <c r="A3053" s="2"/>
      <c r="B3053" s="8" t="str">
        <f>IFERROR(__xludf.DUMMYFUNCTION("""COMPUTED_VALUE"""),"SRI HERYANTI")</f>
        <v>SRI HERYANTI</v>
      </c>
      <c r="C3053" s="8" t="str">
        <f>IFERROR(__xludf.DUMMYFUNCTION("""COMPUTED_VALUE"""),"S6025112254")</f>
        <v>S6025112254</v>
      </c>
      <c r="D3053" s="8">
        <f>IFERROR(__xludf.DUMMYFUNCTION("""COMPUTED_VALUE"""),65.0)</f>
        <v>65</v>
      </c>
      <c r="E3053" s="2"/>
    </row>
    <row r="3054">
      <c r="A3054" s="2"/>
      <c r="B3054" s="8" t="str">
        <f>IFERROR(__xludf.DUMMYFUNCTION("""COMPUTED_VALUE"""),"THIAM NGOEAN")</f>
        <v>THIAM NGOEAN</v>
      </c>
      <c r="C3054" s="8" t="str">
        <f>IFERROR(__xludf.DUMMYFUNCTION("""COMPUTED_VALUE"""),"T5925115260")</f>
        <v>T5925115260</v>
      </c>
      <c r="D3054" s="8">
        <f>IFERROR(__xludf.DUMMYFUNCTION("""COMPUTED_VALUE"""),67.0)</f>
        <v>67</v>
      </c>
      <c r="E3054" s="2"/>
    </row>
    <row r="3055">
      <c r="A3055" s="2"/>
      <c r="B3055" s="8" t="str">
        <f>IFERROR(__xludf.DUMMYFUNCTION("""COMPUTED_VALUE"""),"SEBASTIAN")</f>
        <v>SEBASTIAN</v>
      </c>
      <c r="C3055" s="8" t="str">
        <f>IFERROR(__xludf.DUMMYFUNCTION("""COMPUTED_VALUE"""),"S0125117555")</f>
        <v>S0125117555</v>
      </c>
      <c r="D3055" s="8">
        <f>IFERROR(__xludf.DUMMYFUNCTION("""COMPUTED_VALUE"""),24.0)</f>
        <v>24</v>
      </c>
      <c r="E3055" s="2"/>
    </row>
    <row r="3056">
      <c r="A3056" s="2"/>
      <c r="B3056" s="8" t="str">
        <f>IFERROR(__xludf.DUMMYFUNCTION("""COMPUTED_VALUE"""),"CANDY WIBOWO")</f>
        <v>CANDY WIBOWO</v>
      </c>
      <c r="C3056" s="8" t="str">
        <f>IFERROR(__xludf.DUMMYFUNCTION("""COMPUTED_VALUE"""),"C9025117272")</f>
        <v>C9025117272</v>
      </c>
      <c r="D3056" s="8">
        <f>IFERROR(__xludf.DUMMYFUNCTION("""COMPUTED_VALUE"""),35.0)</f>
        <v>35</v>
      </c>
      <c r="E3056" s="2"/>
    </row>
    <row r="3057">
      <c r="A3057" s="2"/>
      <c r="B3057" s="8" t="str">
        <f>IFERROR(__xludf.DUMMYFUNCTION("""COMPUTED_VALUE"""),"ANDRI WIJAYA KUSUMA")</f>
        <v>ANDRI WIJAYA KUSUMA</v>
      </c>
      <c r="C3057" s="8" t="str">
        <f>IFERROR(__xludf.DUMMYFUNCTION("""COMPUTED_VALUE"""),"A8525117983")</f>
        <v>A8525117983</v>
      </c>
      <c r="D3057" s="8">
        <f>IFERROR(__xludf.DUMMYFUNCTION("""COMPUTED_VALUE"""),40.0)</f>
        <v>40</v>
      </c>
      <c r="E3057" s="2"/>
    </row>
    <row r="3058">
      <c r="A3058" s="2"/>
      <c r="B3058" s="8" t="str">
        <f>IFERROR(__xludf.DUMMYFUNCTION("""COMPUTED_VALUE"""),"SAITA")</f>
        <v>SAITA</v>
      </c>
      <c r="C3058" s="8" t="str">
        <f>IFERROR(__xludf.DUMMYFUNCTION("""COMPUTED_VALUE"""),"S5925119334")</f>
        <v>S5925119334</v>
      </c>
      <c r="D3058" s="8">
        <f>IFERROR(__xludf.DUMMYFUNCTION("""COMPUTED_VALUE"""),67.0)</f>
        <v>67</v>
      </c>
      <c r="E3058" s="2"/>
    </row>
    <row r="3059">
      <c r="A3059" s="2"/>
      <c r="B3059" s="8" t="str">
        <f>IFERROR(__xludf.DUMMYFUNCTION("""COMPUTED_VALUE"""),"SUSANTI 8501")</f>
        <v>SUSANTI 8501</v>
      </c>
      <c r="C3059" s="8" t="str">
        <f>IFERROR(__xludf.DUMMYFUNCTION("""COMPUTED_VALUE"""),"S8525111888")</f>
        <v>S8525111888</v>
      </c>
      <c r="D3059" s="8">
        <f>IFERROR(__xludf.DUMMYFUNCTION("""COMPUTED_VALUE"""),40.0)</f>
        <v>40</v>
      </c>
      <c r="E3059" s="2"/>
    </row>
    <row r="3060">
      <c r="A3060" s="2"/>
      <c r="B3060" s="8" t="str">
        <f>IFERROR(__xludf.DUMMYFUNCTION("""COMPUTED_VALUE"""),"GILANG RIDHO ANANDA")</f>
        <v>GILANG RIDHO ANANDA</v>
      </c>
      <c r="C3060" s="8" t="str">
        <f>IFERROR(__xludf.DUMMYFUNCTION("""COMPUTED_VALUE"""),"G9725111612")</f>
        <v>G9725111612</v>
      </c>
      <c r="D3060" s="8">
        <f>IFERROR(__xludf.DUMMYFUNCTION("""COMPUTED_VALUE"""),29.0)</f>
        <v>29</v>
      </c>
      <c r="E3060" s="2"/>
    </row>
    <row r="3061">
      <c r="A3061" s="2"/>
      <c r="B3061" s="8" t="str">
        <f>IFERROR(__xludf.DUMMYFUNCTION("""COMPUTED_VALUE"""),"YESI VERDIANTI")</f>
        <v>YESI VERDIANTI</v>
      </c>
      <c r="C3061" s="8" t="str">
        <f>IFERROR(__xludf.DUMMYFUNCTION("""COMPUTED_VALUE"""),"Y9325112254")</f>
        <v>Y9325112254</v>
      </c>
      <c r="D3061" s="8">
        <f>IFERROR(__xludf.DUMMYFUNCTION("""COMPUTED_VALUE"""),33.0)</f>
        <v>33</v>
      </c>
      <c r="E3061" s="2"/>
    </row>
    <row r="3062">
      <c r="A3062" s="2"/>
      <c r="B3062" s="8" t="str">
        <f>IFERROR(__xludf.DUMMYFUNCTION("""COMPUTED_VALUE"""),"FREDY TANDIONO")</f>
        <v>FREDY TANDIONO</v>
      </c>
      <c r="C3062" s="8" t="str">
        <f>IFERROR(__xludf.DUMMYFUNCTION("""COMPUTED_VALUE"""),"F8125119889")</f>
        <v>F8125119889</v>
      </c>
      <c r="D3062" s="8">
        <f>IFERROR(__xludf.DUMMYFUNCTION("""COMPUTED_VALUE"""),45.0)</f>
        <v>45</v>
      </c>
      <c r="E3062" s="2"/>
    </row>
    <row r="3063">
      <c r="A3063" s="2"/>
      <c r="B3063" s="8" t="str">
        <f>IFERROR(__xludf.DUMMYFUNCTION("""COMPUTED_VALUE"""),"STEVANI")</f>
        <v>STEVANI</v>
      </c>
      <c r="C3063" s="8" t="str">
        <f>IFERROR(__xludf.DUMMYFUNCTION("""COMPUTED_VALUE"""),"S0325118209")</f>
        <v>S0325118209</v>
      </c>
      <c r="D3063" s="8">
        <f>IFERROR(__xludf.DUMMYFUNCTION("""COMPUTED_VALUE"""),23.0)</f>
        <v>23</v>
      </c>
      <c r="E3063" s="2"/>
    </row>
    <row r="3064">
      <c r="A3064" s="2"/>
      <c r="B3064" s="8" t="str">
        <f>IFERROR(__xludf.DUMMYFUNCTION("""COMPUTED_VALUE"""),"M IQBAL")</f>
        <v>M IQBAL</v>
      </c>
      <c r="C3064" s="8" t="str">
        <f>IFERROR(__xludf.DUMMYFUNCTION("""COMPUTED_VALUE"""),"M0425114646")</f>
        <v>M0425114646</v>
      </c>
      <c r="D3064" s="8">
        <f>IFERROR(__xludf.DUMMYFUNCTION("""COMPUTED_VALUE"""),21.0)</f>
        <v>21</v>
      </c>
      <c r="E3064" s="2"/>
    </row>
    <row r="3065">
      <c r="A3065" s="2"/>
      <c r="B3065" s="8" t="str">
        <f>IFERROR(__xludf.DUMMYFUNCTION("""COMPUTED_VALUE"""),"NAJWA NUR AZWINA")</f>
        <v>NAJWA NUR AZWINA</v>
      </c>
      <c r="C3065" s="8" t="str">
        <f>IFERROR(__xludf.DUMMYFUNCTION("""COMPUTED_VALUE"""),"N0725118277")</f>
        <v>N0725118277</v>
      </c>
      <c r="D3065" s="8">
        <f>IFERROR(__xludf.DUMMYFUNCTION("""COMPUTED_VALUE"""),18.0)</f>
        <v>18</v>
      </c>
      <c r="E3065" s="2"/>
    </row>
    <row r="3066">
      <c r="A3066" s="2"/>
      <c r="B3066" s="8" t="str">
        <f>IFERROR(__xludf.DUMMYFUNCTION("""COMPUTED_VALUE"""),"AZMI 8804")</f>
        <v>AZMI 8804</v>
      </c>
      <c r="C3066" s="8" t="str">
        <f>IFERROR(__xludf.DUMMYFUNCTION("""COMPUTED_VALUE"""),"A8825114554")</f>
        <v>A8825114554</v>
      </c>
      <c r="D3066" s="8">
        <f>IFERROR(__xludf.DUMMYFUNCTION("""COMPUTED_VALUE"""),38.0)</f>
        <v>38</v>
      </c>
      <c r="E3066" s="2"/>
    </row>
    <row r="3067">
      <c r="A3067" s="2"/>
      <c r="B3067" s="8" t="str">
        <f>IFERROR(__xludf.DUMMYFUNCTION("""COMPUTED_VALUE"""),"MUHAMMAD DHUHA KUSUMA")</f>
        <v>MUHAMMAD DHUHA KUSUMA</v>
      </c>
      <c r="C3067" s="8" t="str">
        <f>IFERROR(__xludf.DUMMYFUNCTION("""COMPUTED_VALUE"""),"M0325114391")</f>
        <v>M0325114391</v>
      </c>
      <c r="D3067" s="8">
        <f>IFERROR(__xludf.DUMMYFUNCTION("""COMPUTED_VALUE"""),22.0)</f>
        <v>22</v>
      </c>
      <c r="E3067" s="2"/>
    </row>
    <row r="3068">
      <c r="A3068" s="2"/>
      <c r="B3068" s="8" t="str">
        <f>IFERROR(__xludf.DUMMYFUNCTION("""COMPUTED_VALUE"""),"MINARWATY")</f>
        <v>MINARWATY</v>
      </c>
      <c r="C3068" s="8" t="str">
        <f>IFERROR(__xludf.DUMMYFUNCTION("""COMPUTED_VALUE"""),"M7525114704")</f>
        <v>M7525114704</v>
      </c>
      <c r="D3068" s="8">
        <f>IFERROR(__xludf.DUMMYFUNCTION("""COMPUTED_VALUE"""),51.0)</f>
        <v>51</v>
      </c>
      <c r="E3068" s="2"/>
    </row>
    <row r="3069">
      <c r="A3069" s="2"/>
      <c r="B3069" s="8" t="str">
        <f>IFERROR(__xludf.DUMMYFUNCTION("""COMPUTED_VALUE"""),"VANES ALBERT")</f>
        <v>VANES ALBERT</v>
      </c>
      <c r="C3069" s="8" t="str">
        <f>IFERROR(__xludf.DUMMYFUNCTION("""COMPUTED_VALUE"""),"V0825111714")</f>
        <v>V0825111714</v>
      </c>
      <c r="D3069" s="8">
        <f>IFERROR(__xludf.DUMMYFUNCTION("""COMPUTED_VALUE"""),18.0)</f>
        <v>18</v>
      </c>
      <c r="E3069" s="2"/>
    </row>
    <row r="3070">
      <c r="A3070" s="2"/>
      <c r="B3070" s="8" t="str">
        <f>IFERROR(__xludf.DUMMYFUNCTION("""COMPUTED_VALUE"""),"RD RHAFLI HASSAN BISRI")</f>
        <v>RD RHAFLI HASSAN BISRI</v>
      </c>
      <c r="C3070" s="8" t="str">
        <f>IFERROR(__xludf.DUMMYFUNCTION("""COMPUTED_VALUE"""),"R0325114352")</f>
        <v>R0325114352</v>
      </c>
      <c r="D3070" s="8">
        <f>IFERROR(__xludf.DUMMYFUNCTION("""COMPUTED_VALUE"""),23.0)</f>
        <v>23</v>
      </c>
      <c r="E3070" s="2"/>
    </row>
    <row r="3071">
      <c r="A3071" s="2"/>
      <c r="B3071" s="8" t="str">
        <f>IFERROR(__xludf.DUMMYFUNCTION("""COMPUTED_VALUE"""),"RATNAWITA")</f>
        <v>RATNAWITA</v>
      </c>
      <c r="C3071" s="8" t="str">
        <f>IFERROR(__xludf.DUMMYFUNCTION("""COMPUTED_VALUE"""),"R6925118000")</f>
        <v>R6925118000</v>
      </c>
      <c r="D3071" s="8">
        <f>IFERROR(__xludf.DUMMYFUNCTION("""COMPUTED_VALUE"""),57.0)</f>
        <v>57</v>
      </c>
      <c r="E3071" s="2"/>
    </row>
    <row r="3072">
      <c r="A3072" s="2"/>
      <c r="B3072" s="8" t="str">
        <f>IFERROR(__xludf.DUMMYFUNCTION("""COMPUTED_VALUE"""),"SEPTIAN MARLI ARLISTA")</f>
        <v>SEPTIAN MARLI ARLISTA</v>
      </c>
      <c r="C3072" s="8" t="str">
        <f>IFERROR(__xludf.DUMMYFUNCTION("""COMPUTED_VALUE"""),"S9325115631")</f>
        <v>S9325115631</v>
      </c>
      <c r="D3072" s="8">
        <f>IFERROR(__xludf.DUMMYFUNCTION("""COMPUTED_VALUE"""),32.0)</f>
        <v>32</v>
      </c>
      <c r="E3072" s="2"/>
    </row>
    <row r="3073">
      <c r="A3073" s="2"/>
      <c r="B3073" s="8" t="str">
        <f>IFERROR(__xludf.DUMMYFUNCTION("""COMPUTED_VALUE"""),"RINI SATMAWATI")</f>
        <v>RINI SATMAWATI</v>
      </c>
      <c r="C3073" s="8" t="str">
        <f>IFERROR(__xludf.DUMMYFUNCTION("""COMPUTED_VALUE"""),"R6825110615")</f>
        <v>R6825110615</v>
      </c>
      <c r="D3073" s="8">
        <f>IFERROR(__xludf.DUMMYFUNCTION("""COMPUTED_VALUE"""),57.0)</f>
        <v>57</v>
      </c>
      <c r="E3073" s="2"/>
    </row>
    <row r="3074">
      <c r="A3074" s="2"/>
      <c r="B3074" s="8" t="str">
        <f>IFERROR(__xludf.DUMMYFUNCTION("""COMPUTED_VALUE"""),"JUSTIKA MAHAR RANI")</f>
        <v>JUSTIKA MAHAR RANI</v>
      </c>
      <c r="C3074" s="8" t="str">
        <f>IFERROR(__xludf.DUMMYFUNCTION("""COMPUTED_VALUE"""),"J9825115575")</f>
        <v>J9825115575</v>
      </c>
      <c r="D3074" s="8">
        <f>IFERROR(__xludf.DUMMYFUNCTION("""COMPUTED_VALUE"""),27.0)</f>
        <v>27</v>
      </c>
      <c r="E3074" s="2"/>
    </row>
    <row r="3075">
      <c r="A3075" s="2"/>
      <c r="B3075" s="8" t="str">
        <f>IFERROR(__xludf.DUMMYFUNCTION("""COMPUTED_VALUE"""),"HANY JULIANI")</f>
        <v>HANY JULIANI</v>
      </c>
      <c r="C3075" s="8" t="str">
        <f>IFERROR(__xludf.DUMMYFUNCTION("""COMPUTED_VALUE"""),"H1025113976")</f>
        <v>H1025113976</v>
      </c>
      <c r="D3075" s="8">
        <f>IFERROR(__xludf.DUMMYFUNCTION("""COMPUTED_VALUE"""),16.0)</f>
        <v>16</v>
      </c>
      <c r="E3075" s="2"/>
    </row>
    <row r="3076">
      <c r="A3076" s="2"/>
      <c r="B3076" s="8" t="str">
        <f>IFERROR(__xludf.DUMMYFUNCTION("""COMPUTED_VALUE"""),"NURHAYATI 6206")</f>
        <v>NURHAYATI 6206</v>
      </c>
      <c r="C3076" s="8" t="str">
        <f>IFERROR(__xludf.DUMMYFUNCTION("""COMPUTED_VALUE"""),"N6225110960")</f>
        <v>N6225110960</v>
      </c>
      <c r="D3076" s="8">
        <f>IFERROR(__xludf.DUMMYFUNCTION("""COMPUTED_VALUE"""),64.0)</f>
        <v>64</v>
      </c>
      <c r="E3076" s="2"/>
    </row>
    <row r="3077">
      <c r="A3077" s="2"/>
      <c r="B3077" s="8" t="str">
        <f>IFERROR(__xludf.DUMMYFUNCTION("""COMPUTED_VALUE"""),"MUHAMMAD DEVA ERLANGGA")</f>
        <v>MUHAMMAD DEVA ERLANGGA</v>
      </c>
      <c r="C3077" s="8" t="str">
        <f>IFERROR(__xludf.DUMMYFUNCTION("""COMPUTED_VALUE"""),"M0025117586")</f>
        <v>M0025117586</v>
      </c>
      <c r="D3077" s="8">
        <f>IFERROR(__xludf.DUMMYFUNCTION("""COMPUTED_VALUE"""),25.0)</f>
        <v>25</v>
      </c>
      <c r="E3077" s="2"/>
    </row>
    <row r="3078">
      <c r="A3078" s="2"/>
      <c r="B3078" s="8" t="str">
        <f>IFERROR(__xludf.DUMMYFUNCTION("""COMPUTED_VALUE"""),"ANDI DE")</f>
        <v>ANDI DE</v>
      </c>
      <c r="C3078" s="8" t="str">
        <f>IFERROR(__xludf.DUMMYFUNCTION("""COMPUTED_VALUE"""),"A7025110923")</f>
        <v>A7025110923</v>
      </c>
      <c r="D3078" s="8">
        <f>IFERROR(__xludf.DUMMYFUNCTION("""COMPUTED_VALUE"""),55.0)</f>
        <v>55</v>
      </c>
      <c r="E3078" s="2"/>
    </row>
    <row r="3079">
      <c r="A3079" s="2"/>
      <c r="B3079" s="8" t="str">
        <f>IFERROR(__xludf.DUMMYFUNCTION("""COMPUTED_VALUE"""),"SUPOMO")</f>
        <v>SUPOMO</v>
      </c>
      <c r="C3079" s="8" t="str">
        <f>IFERROR(__xludf.DUMMYFUNCTION("""COMPUTED_VALUE"""),"S7325111991")</f>
        <v>S7325111991</v>
      </c>
      <c r="D3079" s="8">
        <f>IFERROR(__xludf.DUMMYFUNCTION("""COMPUTED_VALUE"""),53.0)</f>
        <v>53</v>
      </c>
      <c r="E3079" s="2"/>
    </row>
    <row r="3080">
      <c r="A3080" s="2"/>
      <c r="B3080" s="8" t="str">
        <f>IFERROR(__xludf.DUMMYFUNCTION("""COMPUTED_VALUE"""),"HUMAIRA NOVRIYATI")</f>
        <v>HUMAIRA NOVRIYATI</v>
      </c>
      <c r="C3080" s="8" t="str">
        <f>IFERROR(__xludf.DUMMYFUNCTION("""COMPUTED_VALUE"""),"H7825116588")</f>
        <v>H7825116588</v>
      </c>
      <c r="D3080" s="8">
        <f>IFERROR(__xludf.DUMMYFUNCTION("""COMPUTED_VALUE"""),47.0)</f>
        <v>47</v>
      </c>
      <c r="E3080" s="2"/>
    </row>
    <row r="3081">
      <c r="A3081" s="2"/>
      <c r="B3081" s="8" t="str">
        <f>IFERROR(__xludf.DUMMYFUNCTION("""COMPUTED_VALUE"""),"AKIAN")</f>
        <v>AKIAN</v>
      </c>
      <c r="C3081" s="8" t="str">
        <f>IFERROR(__xludf.DUMMYFUNCTION("""COMPUTED_VALUE"""),"A9425110177")</f>
        <v>A9425110177</v>
      </c>
      <c r="D3081" s="8">
        <f>IFERROR(__xludf.DUMMYFUNCTION("""COMPUTED_VALUE"""),31.0)</f>
        <v>31</v>
      </c>
      <c r="E3081" s="2"/>
    </row>
    <row r="3082">
      <c r="A3082" s="2"/>
      <c r="B3082" s="8" t="str">
        <f>IFERROR(__xludf.DUMMYFUNCTION("""COMPUTED_VALUE"""),"WISNU")</f>
        <v>WISNU</v>
      </c>
      <c r="C3082" s="8" t="str">
        <f>IFERROR(__xludf.DUMMYFUNCTION("""COMPUTED_VALUE"""),"W0725110582")</f>
        <v>W0725110582</v>
      </c>
      <c r="D3082" s="8">
        <f>IFERROR(__xludf.DUMMYFUNCTION("""COMPUTED_VALUE"""),18.0)</f>
        <v>18</v>
      </c>
      <c r="E3082" s="2"/>
    </row>
    <row r="3083">
      <c r="A3083" s="2"/>
      <c r="B3083" s="8" t="str">
        <f>IFERROR(__xludf.DUMMYFUNCTION("""COMPUTED_VALUE"""),"SOFIA PHUA")</f>
        <v>SOFIA PHUA</v>
      </c>
      <c r="C3083" s="8" t="str">
        <f>IFERROR(__xludf.DUMMYFUNCTION("""COMPUTED_VALUE"""),"S4425117922")</f>
        <v>S4425117922</v>
      </c>
      <c r="D3083" s="8">
        <f>IFERROR(__xludf.DUMMYFUNCTION("""COMPUTED_VALUE"""),82.0)</f>
        <v>82</v>
      </c>
      <c r="E3083" s="2"/>
    </row>
    <row r="3084">
      <c r="A3084" s="2"/>
      <c r="B3084" s="8" t="str">
        <f>IFERROR(__xludf.DUMMYFUNCTION("""COMPUTED_VALUE"""),"AULI FATHIA PUTRIATI S.FARM, APT")</f>
        <v>AULI FATHIA PUTRIATI S.FARM, APT</v>
      </c>
      <c r="C3084" s="8" t="str">
        <f>IFERROR(__xludf.DUMMYFUNCTION("""COMPUTED_VALUE"""),"A8725115557")</f>
        <v>A8725115557</v>
      </c>
      <c r="D3084" s="8">
        <f>IFERROR(__xludf.DUMMYFUNCTION("""COMPUTED_VALUE"""),38.0)</f>
        <v>38</v>
      </c>
      <c r="E3084" s="2"/>
    </row>
    <row r="3085">
      <c r="A3085" s="2"/>
      <c r="B3085" s="8" t="str">
        <f>IFERROR(__xludf.DUMMYFUNCTION("""COMPUTED_VALUE"""),"SETIO BONO SAPUTRO")</f>
        <v>SETIO BONO SAPUTRO</v>
      </c>
      <c r="C3085" s="8" t="str">
        <f>IFERROR(__xludf.DUMMYFUNCTION("""COMPUTED_VALUE"""),"S7325119020")</f>
        <v>S7325119020</v>
      </c>
      <c r="D3085" s="8">
        <f>IFERROR(__xludf.DUMMYFUNCTION("""COMPUTED_VALUE"""),52.0)</f>
        <v>52</v>
      </c>
      <c r="E3085" s="2"/>
    </row>
    <row r="3086">
      <c r="A3086" s="2"/>
      <c r="B3086" s="8" t="str">
        <f>IFERROR(__xludf.DUMMYFUNCTION("""COMPUTED_VALUE"""),"IDRIS 5503")</f>
        <v>IDRIS 5503</v>
      </c>
      <c r="C3086" s="8" t="str">
        <f>IFERROR(__xludf.DUMMYFUNCTION("""COMPUTED_VALUE"""),"I5525110751")</f>
        <v>I5525110751</v>
      </c>
      <c r="D3086" s="8">
        <f>IFERROR(__xludf.DUMMYFUNCTION("""COMPUTED_VALUE"""),71.0)</f>
        <v>71</v>
      </c>
      <c r="E3086" s="2"/>
    </row>
    <row r="3087">
      <c r="A3087" s="2"/>
      <c r="B3087" s="8" t="str">
        <f>IFERROR(__xludf.DUMMYFUNCTION("""COMPUTED_VALUE"""),"CHIKI AMARA SYAHLITHA")</f>
        <v>CHIKI AMARA SYAHLITHA</v>
      </c>
      <c r="C3087" s="8" t="str">
        <f>IFERROR(__xludf.DUMMYFUNCTION("""COMPUTED_VALUE"""),"C9925116192")</f>
        <v>C9925116192</v>
      </c>
      <c r="D3087" s="8">
        <f>IFERROR(__xludf.DUMMYFUNCTION("""COMPUTED_VALUE"""),27.0)</f>
        <v>27</v>
      </c>
      <c r="E3087" s="2"/>
    </row>
    <row r="3088">
      <c r="A3088" s="2"/>
      <c r="B3088" s="8" t="str">
        <f>IFERROR(__xludf.DUMMYFUNCTION("""COMPUTED_VALUE"""),"ALYSSA SALSABILLA")</f>
        <v>ALYSSA SALSABILLA</v>
      </c>
      <c r="C3088" s="8" t="str">
        <f>IFERROR(__xludf.DUMMYFUNCTION("""COMPUTED_VALUE"""),"A0125119292")</f>
        <v>A0125119292</v>
      </c>
      <c r="D3088" s="8">
        <f>IFERROR(__xludf.DUMMYFUNCTION("""COMPUTED_VALUE"""),25.0)</f>
        <v>25</v>
      </c>
      <c r="E3088" s="2"/>
    </row>
    <row r="3089">
      <c r="A3089" s="2"/>
      <c r="B3089" s="8" t="str">
        <f>IFERROR(__xludf.DUMMYFUNCTION("""COMPUTED_VALUE"""),"CHRISTIAN WIDIYANTO")</f>
        <v>CHRISTIAN WIDIYANTO</v>
      </c>
      <c r="C3089" s="8" t="str">
        <f>IFERROR(__xludf.DUMMYFUNCTION("""COMPUTED_VALUE"""),"C0525115291")</f>
        <v>C0525115291</v>
      </c>
      <c r="D3089" s="8">
        <f>IFERROR(__xludf.DUMMYFUNCTION("""COMPUTED_VALUE"""),21.0)</f>
        <v>21</v>
      </c>
      <c r="E3089" s="2"/>
    </row>
    <row r="3090">
      <c r="A3090" s="2"/>
      <c r="B3090" s="8" t="str">
        <f>IFERROR(__xludf.DUMMYFUNCTION("""COMPUTED_VALUE"""),"MUH AGUS MAULANA")</f>
        <v>MUH AGUS MAULANA</v>
      </c>
      <c r="C3090" s="8" t="str">
        <f>IFERROR(__xludf.DUMMYFUNCTION("""COMPUTED_VALUE"""),"M9225117800")</f>
        <v>M9225117800</v>
      </c>
      <c r="D3090" s="8">
        <f>IFERROR(__xludf.DUMMYFUNCTION("""COMPUTED_VALUE"""),33.0)</f>
        <v>33</v>
      </c>
      <c r="E3090" s="2"/>
    </row>
    <row r="3091">
      <c r="A3091" s="2"/>
      <c r="B3091" s="8" t="str">
        <f>IFERROR(__xludf.DUMMYFUNCTION("""COMPUTED_VALUE"""),"IRIYANI")</f>
        <v>IRIYANI</v>
      </c>
      <c r="C3091" s="8" t="str">
        <f>IFERROR(__xludf.DUMMYFUNCTION("""COMPUTED_VALUE"""),"I5825112202")</f>
        <v>I5825112202</v>
      </c>
      <c r="D3091" s="8">
        <f>IFERROR(__xludf.DUMMYFUNCTION("""COMPUTED_VALUE"""),68.0)</f>
        <v>68</v>
      </c>
      <c r="E3091" s="2"/>
    </row>
    <row r="3092">
      <c r="A3092" s="2"/>
      <c r="B3092" s="8" t="str">
        <f>IFERROR(__xludf.DUMMYFUNCTION("""COMPUTED_VALUE"""),"HELGA MACHARA NOVIA")</f>
        <v>HELGA MACHARA NOVIA</v>
      </c>
      <c r="C3092" s="8" t="str">
        <f>IFERROR(__xludf.DUMMYFUNCTION("""COMPUTED_VALUE"""),"H8525115939")</f>
        <v>H8525115939</v>
      </c>
      <c r="D3092" s="8">
        <f>IFERROR(__xludf.DUMMYFUNCTION("""COMPUTED_VALUE"""),40.0)</f>
        <v>40</v>
      </c>
      <c r="E3092" s="2"/>
    </row>
    <row r="3093">
      <c r="A3093" s="2"/>
      <c r="B3093" s="8" t="str">
        <f>IFERROR(__xludf.DUMMYFUNCTION("""COMPUTED_VALUE"""),"OSKAR FEBRIANO HASITTO")</f>
        <v>OSKAR FEBRIANO HASITTO</v>
      </c>
      <c r="C3093" s="8" t="str">
        <f>IFERROR(__xludf.DUMMYFUNCTION("""COMPUTED_VALUE"""),"O0925115685")</f>
        <v>O0925115685</v>
      </c>
      <c r="D3093" s="8">
        <f>IFERROR(__xludf.DUMMYFUNCTION("""COMPUTED_VALUE"""),17.0)</f>
        <v>17</v>
      </c>
      <c r="E3093" s="2"/>
    </row>
    <row r="3094">
      <c r="A3094" s="2"/>
      <c r="B3094" s="8" t="str">
        <f>IFERROR(__xludf.DUMMYFUNCTION("""COMPUTED_VALUE"""),"JASON VALENCIUS")</f>
        <v>JASON VALENCIUS</v>
      </c>
      <c r="C3094" s="8" t="str">
        <f>IFERROR(__xludf.DUMMYFUNCTION("""COMPUTED_VALUE"""),"J0825113594")</f>
        <v>J0825113594</v>
      </c>
      <c r="D3094" s="8">
        <f>IFERROR(__xludf.DUMMYFUNCTION("""COMPUTED_VALUE"""),18.0)</f>
        <v>18</v>
      </c>
      <c r="E3094" s="2"/>
    </row>
    <row r="3095">
      <c r="A3095" s="2"/>
      <c r="B3095" s="8" t="str">
        <f>IFERROR(__xludf.DUMMYFUNCTION("""COMPUTED_VALUE"""),"MASKADARNI")</f>
        <v>MASKADARNI</v>
      </c>
      <c r="C3095" s="8" t="str">
        <f>IFERROR(__xludf.DUMMYFUNCTION("""COMPUTED_VALUE"""),"M7125117366")</f>
        <v>M7125117366</v>
      </c>
      <c r="D3095" s="8">
        <f>IFERROR(__xludf.DUMMYFUNCTION("""COMPUTED_VALUE"""),54.0)</f>
        <v>54</v>
      </c>
      <c r="E3095" s="2"/>
    </row>
    <row r="3096">
      <c r="A3096" s="2"/>
      <c r="B3096" s="8" t="str">
        <f>IFERROR(__xludf.DUMMYFUNCTION("""COMPUTED_VALUE"""),"FACHRUL APRIAN")</f>
        <v>FACHRUL APRIAN</v>
      </c>
      <c r="C3096" s="8" t="str">
        <f>IFERROR(__xludf.DUMMYFUNCTION("""COMPUTED_VALUE"""),"F9625115501")</f>
        <v>F9625115501</v>
      </c>
      <c r="D3096" s="8">
        <f>IFERROR(__xludf.DUMMYFUNCTION("""COMPUTED_VALUE"""),30.0)</f>
        <v>30</v>
      </c>
      <c r="E3096" s="2"/>
    </row>
    <row r="3097">
      <c r="A3097" s="2"/>
      <c r="B3097" s="8" t="str">
        <f>IFERROR(__xludf.DUMMYFUNCTION("""COMPUTED_VALUE"""),"EMA KULATA")</f>
        <v>EMA KULATA</v>
      </c>
      <c r="C3097" s="8" t="str">
        <f>IFERROR(__xludf.DUMMYFUNCTION("""COMPUTED_VALUE"""),"E7325114705")</f>
        <v>E7325114705</v>
      </c>
      <c r="D3097" s="8">
        <f>IFERROR(__xludf.DUMMYFUNCTION("""COMPUTED_VALUE"""),53.0)</f>
        <v>53</v>
      </c>
      <c r="E3097" s="2"/>
    </row>
    <row r="3098">
      <c r="A3098" s="2"/>
      <c r="B3098" s="8" t="str">
        <f>IFERROR(__xludf.DUMMYFUNCTION("""COMPUTED_VALUE"""),"GURUH PARYONO")</f>
        <v>GURUH PARYONO</v>
      </c>
      <c r="C3098" s="8" t="str">
        <f>IFERROR(__xludf.DUMMYFUNCTION("""COMPUTED_VALUE"""),"G6825114705")</f>
        <v>G6825114705</v>
      </c>
      <c r="D3098" s="8">
        <f>IFERROR(__xludf.DUMMYFUNCTION("""COMPUTED_VALUE"""),57.0)</f>
        <v>57</v>
      </c>
      <c r="E3098" s="2"/>
    </row>
    <row r="3099">
      <c r="A3099" s="2"/>
      <c r="B3099" s="8" t="str">
        <f>IFERROR(__xludf.DUMMYFUNCTION("""COMPUTED_VALUE"""),"SISKA DAMASTUTI")</f>
        <v>SISKA DAMASTUTI</v>
      </c>
      <c r="C3099" s="8" t="str">
        <f>IFERROR(__xludf.DUMMYFUNCTION("""COMPUTED_VALUE"""),"S9225116214")</f>
        <v>S9225116214</v>
      </c>
      <c r="D3099" s="8">
        <f>IFERROR(__xludf.DUMMYFUNCTION("""COMPUTED_VALUE"""),33.0)</f>
        <v>33</v>
      </c>
      <c r="E3099" s="2"/>
    </row>
    <row r="3100">
      <c r="A3100" s="2"/>
      <c r="B3100" s="8" t="str">
        <f>IFERROR(__xludf.DUMMYFUNCTION("""COMPUTED_VALUE"""),"TENGKU PUTRI DEVANTY")</f>
        <v>TENGKU PUTRI DEVANTY</v>
      </c>
      <c r="C3100" s="8" t="str">
        <f>IFERROR(__xludf.DUMMYFUNCTION("""COMPUTED_VALUE"""),"T8425110655")</f>
        <v>T8425110655</v>
      </c>
      <c r="D3100" s="8">
        <f>IFERROR(__xludf.DUMMYFUNCTION("""COMPUTED_VALUE"""),41.0)</f>
        <v>41</v>
      </c>
      <c r="E3100" s="2"/>
    </row>
    <row r="3101">
      <c r="A3101" s="2"/>
      <c r="B3101" s="8" t="str">
        <f>IFERROR(__xludf.DUMMYFUNCTION("""COMPUTED_VALUE"""),"RESYA NOVADITYA")</f>
        <v>RESYA NOVADITYA</v>
      </c>
      <c r="C3101" s="8" t="str">
        <f>IFERROR(__xludf.DUMMYFUNCTION("""COMPUTED_VALUE"""),"R0825114030")</f>
        <v>R0825114030</v>
      </c>
      <c r="D3101" s="8">
        <f>IFERROR(__xludf.DUMMYFUNCTION("""COMPUTED_VALUE"""),17.0)</f>
        <v>17</v>
      </c>
      <c r="E3101" s="2"/>
    </row>
    <row r="3102">
      <c r="A3102" s="2"/>
      <c r="B3102" s="8" t="str">
        <f>IFERROR(__xludf.DUMMYFUNCTION("""COMPUTED_VALUE"""),"RIA IRAWAN")</f>
        <v>RIA IRAWAN</v>
      </c>
      <c r="C3102" s="8" t="str">
        <f>IFERROR(__xludf.DUMMYFUNCTION("""COMPUTED_VALUE"""),"R9725110019")</f>
        <v>R9725110019</v>
      </c>
      <c r="D3102" s="8">
        <f>IFERROR(__xludf.DUMMYFUNCTION("""COMPUTED_VALUE"""),29.0)</f>
        <v>29</v>
      </c>
      <c r="E3102" s="2"/>
    </row>
    <row r="3103">
      <c r="A3103" s="2"/>
      <c r="B3103" s="8" t="str">
        <f>IFERROR(__xludf.DUMMYFUNCTION("""COMPUTED_VALUE"""),"VIVIYANTI")</f>
        <v>VIVIYANTI</v>
      </c>
      <c r="C3103" s="8" t="str">
        <f>IFERROR(__xludf.DUMMYFUNCTION("""COMPUTED_VALUE"""),"V8825112988")</f>
        <v>V8825112988</v>
      </c>
      <c r="D3103" s="8">
        <f>IFERROR(__xludf.DUMMYFUNCTION("""COMPUTED_VALUE"""),38.0)</f>
        <v>38</v>
      </c>
      <c r="E3103" s="2"/>
    </row>
    <row r="3104">
      <c r="A3104" s="2"/>
      <c r="B3104" s="8" t="str">
        <f>IFERROR(__xludf.DUMMYFUNCTION("""COMPUTED_VALUE"""),"WILLY WIJAYA")</f>
        <v>WILLY WIJAYA</v>
      </c>
      <c r="C3104" s="8" t="str">
        <f>IFERROR(__xludf.DUMMYFUNCTION("""COMPUTED_VALUE"""),"W9625110758")</f>
        <v>W9625110758</v>
      </c>
      <c r="D3104" s="8">
        <f>IFERROR(__xludf.DUMMYFUNCTION("""COMPUTED_VALUE"""),30.0)</f>
        <v>30</v>
      </c>
      <c r="E3104" s="2"/>
    </row>
    <row r="3105">
      <c r="A3105" s="2"/>
      <c r="B3105" s="8" t="str">
        <f>IFERROR(__xludf.DUMMYFUNCTION("""COMPUTED_VALUE"""),"DELA MASTIKA")</f>
        <v>DELA MASTIKA</v>
      </c>
      <c r="C3105" s="8" t="str">
        <f>IFERROR(__xludf.DUMMYFUNCTION("""COMPUTED_VALUE"""),"D0725113899")</f>
        <v>D0725113899</v>
      </c>
      <c r="D3105" s="8">
        <f>IFERROR(__xludf.DUMMYFUNCTION("""COMPUTED_VALUE"""),19.0)</f>
        <v>19</v>
      </c>
      <c r="E3105" s="2"/>
    </row>
    <row r="3106">
      <c r="A3106" s="2"/>
      <c r="B3106" s="8" t="str">
        <f>IFERROR(__xludf.DUMMYFUNCTION("""COMPUTED_VALUE"""),"JOVAN EDUARDO LO")</f>
        <v>JOVAN EDUARDO LO</v>
      </c>
      <c r="C3106" s="8" t="str">
        <f>IFERROR(__xludf.DUMMYFUNCTION("""COMPUTED_VALUE"""),"J0525113412")</f>
        <v>J0525113412</v>
      </c>
      <c r="D3106" s="8">
        <f>IFERROR(__xludf.DUMMYFUNCTION("""COMPUTED_VALUE"""),21.0)</f>
        <v>21</v>
      </c>
      <c r="E3106" s="2"/>
    </row>
    <row r="3107">
      <c r="A3107" s="2"/>
      <c r="B3107" s="8" t="str">
        <f>IFERROR(__xludf.DUMMYFUNCTION("""COMPUTED_VALUE"""),"DARA RANTI PURBASAR")</f>
        <v>DARA RANTI PURBASAR</v>
      </c>
      <c r="C3107" s="8" t="str">
        <f>IFERROR(__xludf.DUMMYFUNCTION("""COMPUTED_VALUE"""),"D9425115021")</f>
        <v>D9425115021</v>
      </c>
      <c r="D3107" s="8">
        <f>IFERROR(__xludf.DUMMYFUNCTION("""COMPUTED_VALUE"""),31.0)</f>
        <v>31</v>
      </c>
      <c r="E3107" s="2"/>
    </row>
    <row r="3108">
      <c r="A3108" s="2"/>
      <c r="B3108" s="8" t="str">
        <f>IFERROR(__xludf.DUMMYFUNCTION("""COMPUTED_VALUE"""),"ANDY")</f>
        <v>ANDY</v>
      </c>
      <c r="C3108" s="8" t="str">
        <f>IFERROR(__xludf.DUMMYFUNCTION("""COMPUTED_VALUE"""),"A9125115541")</f>
        <v>A9125115541</v>
      </c>
      <c r="D3108" s="8">
        <f>IFERROR(__xludf.DUMMYFUNCTION("""COMPUTED_VALUE"""),35.0)</f>
        <v>35</v>
      </c>
      <c r="E3108" s="2"/>
    </row>
    <row r="3109">
      <c r="A3109" s="2"/>
      <c r="B3109" s="8" t="str">
        <f>IFERROR(__xludf.DUMMYFUNCTION("""COMPUTED_VALUE"""),"SELVINUS ONOT")</f>
        <v>SELVINUS ONOT</v>
      </c>
      <c r="C3109" s="8" t="str">
        <f>IFERROR(__xludf.DUMMYFUNCTION("""COMPUTED_VALUE"""),"S6925111527")</f>
        <v>S6925111527</v>
      </c>
      <c r="D3109" s="8">
        <f>IFERROR(__xludf.DUMMYFUNCTION("""COMPUTED_VALUE"""),57.0)</f>
        <v>57</v>
      </c>
      <c r="E3109" s="2"/>
    </row>
    <row r="3110">
      <c r="A3110" s="2"/>
      <c r="B3110" s="8" t="str">
        <f>IFERROR(__xludf.DUMMYFUNCTION("""COMPUTED_VALUE"""),"VERDICO ARIEF")</f>
        <v>VERDICO ARIEF</v>
      </c>
      <c r="C3110" s="8" t="str">
        <f>IFERROR(__xludf.DUMMYFUNCTION("""COMPUTED_VALUE"""),"V8925118000")</f>
        <v>V8925118000</v>
      </c>
      <c r="D3110" s="8">
        <f>IFERROR(__xludf.DUMMYFUNCTION("""COMPUTED_VALUE"""),37.0)</f>
        <v>37</v>
      </c>
      <c r="E3110" s="2"/>
    </row>
    <row r="3111">
      <c r="A3111" s="2"/>
      <c r="B3111" s="8" t="str">
        <f>IFERROR(__xludf.DUMMYFUNCTION("""COMPUTED_VALUE"""),"JULIANA")</f>
        <v>JULIANA</v>
      </c>
      <c r="C3111" s="8" t="str">
        <f>IFERROR(__xludf.DUMMYFUNCTION("""COMPUTED_VALUE"""),"J8425110309")</f>
        <v>J8425110309</v>
      </c>
      <c r="D3111" s="8">
        <f>IFERROR(__xludf.DUMMYFUNCTION("""COMPUTED_VALUE"""),42.0)</f>
        <v>42</v>
      </c>
      <c r="E3111" s="2"/>
    </row>
    <row r="3112">
      <c r="A3112" s="2"/>
      <c r="B3112" s="8" t="str">
        <f>IFERROR(__xludf.DUMMYFUNCTION("""COMPUTED_VALUE"""),"LIM JONG HENG")</f>
        <v>LIM JONG HENG</v>
      </c>
      <c r="C3112" s="8" t="str">
        <f>IFERROR(__xludf.DUMMYFUNCTION("""COMPUTED_VALUE"""),"L5525111188")</f>
        <v>L5525111188</v>
      </c>
      <c r="D3112" s="8">
        <f>IFERROR(__xludf.DUMMYFUNCTION("""COMPUTED_VALUE"""),71.0)</f>
        <v>71</v>
      </c>
      <c r="E3112" s="2"/>
    </row>
    <row r="3113">
      <c r="A3113" s="2"/>
      <c r="B3113" s="8" t="str">
        <f>IFERROR(__xludf.DUMMYFUNCTION("""COMPUTED_VALUE"""),"HENGKI AFRIANUS")</f>
        <v>HENGKI AFRIANUS</v>
      </c>
      <c r="C3113" s="8" t="str">
        <f>IFERROR(__xludf.DUMMYFUNCTION("""COMPUTED_VALUE"""),"H0625118331")</f>
        <v>H0625118331</v>
      </c>
      <c r="D3113" s="8">
        <f>IFERROR(__xludf.DUMMYFUNCTION("""COMPUTED_VALUE"""),20.0)</f>
        <v>20</v>
      </c>
      <c r="E3113" s="2"/>
    </row>
    <row r="3114">
      <c r="A3114" s="2"/>
      <c r="B3114" s="8" t="str">
        <f>IFERROR(__xludf.DUMMYFUNCTION("""COMPUTED_VALUE"""),"RENA")</f>
        <v>RENA</v>
      </c>
      <c r="C3114" s="8" t="str">
        <f>IFERROR(__xludf.DUMMYFUNCTION("""COMPUTED_VALUE"""),"R0025116078")</f>
        <v>R0025116078</v>
      </c>
      <c r="D3114" s="8">
        <f>IFERROR(__xludf.DUMMYFUNCTION("""COMPUTED_VALUE"""),25.0)</f>
        <v>25</v>
      </c>
      <c r="E3114" s="2"/>
    </row>
    <row r="3115">
      <c r="A3115" s="2"/>
      <c r="B3115" s="8" t="str">
        <f>IFERROR(__xludf.DUMMYFUNCTION("""COMPUTED_VALUE"""),"BENHUR SITUMORANG")</f>
        <v>BENHUR SITUMORANG</v>
      </c>
      <c r="C3115" s="8" t="str">
        <f>IFERROR(__xludf.DUMMYFUNCTION("""COMPUTED_VALUE"""),"B8225112104")</f>
        <v>B8225112104</v>
      </c>
      <c r="D3115" s="8">
        <f>IFERROR(__xludf.DUMMYFUNCTION("""COMPUTED_VALUE"""),43.0)</f>
        <v>43</v>
      </c>
      <c r="E3115" s="2"/>
    </row>
    <row r="3116">
      <c r="A3116" s="2"/>
      <c r="B3116" s="8" t="str">
        <f>IFERROR(__xludf.DUMMYFUNCTION("""COMPUTED_VALUE"""),"KHIM FAT")</f>
        <v>KHIM FAT</v>
      </c>
      <c r="C3116" s="8" t="str">
        <f>IFERROR(__xludf.DUMMYFUNCTION("""COMPUTED_VALUE"""),"K6925117323")</f>
        <v>K6925117323</v>
      </c>
      <c r="D3116" s="8">
        <f>IFERROR(__xludf.DUMMYFUNCTION("""COMPUTED_VALUE"""),56.0)</f>
        <v>56</v>
      </c>
      <c r="E3116" s="2"/>
    </row>
    <row r="3117">
      <c r="A3117" s="2"/>
      <c r="B3117" s="8" t="str">
        <f>IFERROR(__xludf.DUMMYFUNCTION("""COMPUTED_VALUE"""),"IQLIMA ZAHRA")</f>
        <v>IQLIMA ZAHRA</v>
      </c>
      <c r="C3117" s="8" t="str">
        <f>IFERROR(__xludf.DUMMYFUNCTION("""COMPUTED_VALUE"""),"I0025112738")</f>
        <v>I0025112738</v>
      </c>
      <c r="D3117" s="8">
        <f>IFERROR(__xludf.DUMMYFUNCTION("""COMPUTED_VALUE"""),25.0)</f>
        <v>25</v>
      </c>
      <c r="E3117" s="2"/>
    </row>
    <row r="3118">
      <c r="A3118" s="2"/>
      <c r="B3118" s="8" t="str">
        <f>IFERROR(__xludf.DUMMYFUNCTION("""COMPUTED_VALUE"""),"REZA")</f>
        <v>REZA</v>
      </c>
      <c r="C3118" s="8" t="str">
        <f>IFERROR(__xludf.DUMMYFUNCTION("""COMPUTED_VALUE"""),"R0325117252")</f>
        <v>R0325117252</v>
      </c>
      <c r="D3118" s="8">
        <f>IFERROR(__xludf.DUMMYFUNCTION("""COMPUTED_VALUE"""),23.0)</f>
        <v>23</v>
      </c>
      <c r="E3118" s="2"/>
    </row>
    <row r="3119">
      <c r="A3119" s="2"/>
      <c r="B3119" s="8" t="str">
        <f>IFERROR(__xludf.DUMMYFUNCTION("""COMPUTED_VALUE"""),"ANSELMUS RINALDHY, SE.,MM")</f>
        <v>ANSELMUS RINALDHY, SE.,MM</v>
      </c>
      <c r="C3119" s="8" t="str">
        <f>IFERROR(__xludf.DUMMYFUNCTION("""COMPUTED_VALUE"""),"A8525119797")</f>
        <v>A8525119797</v>
      </c>
      <c r="D3119" s="8">
        <f>IFERROR(__xludf.DUMMYFUNCTION("""COMPUTED_VALUE"""),41.0)</f>
        <v>41</v>
      </c>
      <c r="E3119" s="2"/>
    </row>
    <row r="3120">
      <c r="A3120" s="2"/>
      <c r="B3120" s="8" t="str">
        <f>IFERROR(__xludf.DUMMYFUNCTION("""COMPUTED_VALUE"""),"VERTY SARI PUSPARINI")</f>
        <v>VERTY SARI PUSPARINI</v>
      </c>
      <c r="C3120" s="8" t="str">
        <f>IFERROR(__xludf.DUMMYFUNCTION("""COMPUTED_VALUE"""),"V8625117580")</f>
        <v>V8625117580</v>
      </c>
      <c r="D3120" s="8">
        <f>IFERROR(__xludf.DUMMYFUNCTION("""COMPUTED_VALUE"""),39.0)</f>
        <v>39</v>
      </c>
      <c r="E3120" s="2"/>
    </row>
    <row r="3121">
      <c r="A3121" s="2"/>
      <c r="B3121" s="8" t="str">
        <f>IFERROR(__xludf.DUMMYFUNCTION("""COMPUTED_VALUE"""),"YULIA WIDIANARTI")</f>
        <v>YULIA WIDIANARTI</v>
      </c>
      <c r="C3121" s="8" t="str">
        <f>IFERROR(__xludf.DUMMYFUNCTION("""COMPUTED_VALUE"""),"Y7025113569")</f>
        <v>Y7025113569</v>
      </c>
      <c r="D3121" s="8">
        <f>IFERROR(__xludf.DUMMYFUNCTION("""COMPUTED_VALUE"""),56.0)</f>
        <v>56</v>
      </c>
      <c r="E3121" s="2"/>
    </row>
    <row r="3122">
      <c r="A3122" s="2"/>
      <c r="B3122" s="8" t="str">
        <f>IFERROR(__xludf.DUMMYFUNCTION("""COMPUTED_VALUE"""),"DEVKY DERMAWANSYAH")</f>
        <v>DEVKY DERMAWANSYAH</v>
      </c>
      <c r="C3122" s="8" t="str">
        <f>IFERROR(__xludf.DUMMYFUNCTION("""COMPUTED_VALUE"""),"D9225112288")</f>
        <v>D9225112288</v>
      </c>
      <c r="D3122" s="8">
        <f>IFERROR(__xludf.DUMMYFUNCTION("""COMPUTED_VALUE"""),34.0)</f>
        <v>34</v>
      </c>
      <c r="E3122" s="2"/>
    </row>
    <row r="3123">
      <c r="A3123" s="2"/>
      <c r="B3123" s="8" t="str">
        <f>IFERROR(__xludf.DUMMYFUNCTION("""COMPUTED_VALUE"""),"ALPAWI")</f>
        <v>ALPAWI</v>
      </c>
      <c r="C3123" s="8" t="str">
        <f>IFERROR(__xludf.DUMMYFUNCTION("""COMPUTED_VALUE"""),"A5125112484")</f>
        <v>A5125112484</v>
      </c>
      <c r="D3123" s="8">
        <f>IFERROR(__xludf.DUMMYFUNCTION("""COMPUTED_VALUE"""),75.0)</f>
        <v>75</v>
      </c>
      <c r="E3123" s="2"/>
    </row>
    <row r="3124">
      <c r="A3124" s="2"/>
      <c r="B3124" s="8" t="str">
        <f>IFERROR(__xludf.DUMMYFUNCTION("""COMPUTED_VALUE"""),"DIMAS PRATAMA PUTRA")</f>
        <v>DIMAS PRATAMA PUTRA</v>
      </c>
      <c r="C3124" s="8" t="str">
        <f>IFERROR(__xludf.DUMMYFUNCTION("""COMPUTED_VALUE"""),"D9825113571")</f>
        <v>D9825113571</v>
      </c>
      <c r="D3124" s="8">
        <f>IFERROR(__xludf.DUMMYFUNCTION("""COMPUTED_VALUE"""),28.0)</f>
        <v>28</v>
      </c>
      <c r="E3124" s="2"/>
    </row>
    <row r="3125">
      <c r="A3125" s="2"/>
      <c r="B3125" s="8" t="str">
        <f>IFERROR(__xludf.DUMMYFUNCTION("""COMPUTED_VALUE"""),"ROHANI")</f>
        <v>ROHANI</v>
      </c>
      <c r="C3125" s="8" t="str">
        <f>IFERROR(__xludf.DUMMYFUNCTION("""COMPUTED_VALUE"""),"R5825110969")</f>
        <v>R5825110969</v>
      </c>
      <c r="D3125" s="8">
        <f>IFERROR(__xludf.DUMMYFUNCTION("""COMPUTED_VALUE"""),68.0)</f>
        <v>68</v>
      </c>
      <c r="E3125" s="2"/>
    </row>
    <row r="3126">
      <c r="A3126" s="2"/>
      <c r="B3126" s="8" t="str">
        <f>IFERROR(__xludf.DUMMYFUNCTION("""COMPUTED_VALUE"""),"YULIANA SST")</f>
        <v>YULIANA SST</v>
      </c>
      <c r="C3126" s="8" t="str">
        <f>IFERROR(__xludf.DUMMYFUNCTION("""COMPUTED_VALUE"""),"Y8625113524")</f>
        <v>Y8625113524</v>
      </c>
      <c r="D3126" s="8">
        <f>IFERROR(__xludf.DUMMYFUNCTION("""COMPUTED_VALUE"""),39.0)</f>
        <v>39</v>
      </c>
      <c r="E3126" s="2"/>
    </row>
    <row r="3127">
      <c r="A3127" s="2"/>
      <c r="B3127" s="8" t="str">
        <f>IFERROR(__xludf.DUMMYFUNCTION("""COMPUTED_VALUE"""),"RUSDI SULAIMAN")</f>
        <v>RUSDI SULAIMAN</v>
      </c>
      <c r="C3127" s="8" t="str">
        <f>IFERROR(__xludf.DUMMYFUNCTION("""COMPUTED_VALUE"""),"R7525118199")</f>
        <v>R7525118199</v>
      </c>
      <c r="D3127" s="8">
        <f>IFERROR(__xludf.DUMMYFUNCTION("""COMPUTED_VALUE"""),50.0)</f>
        <v>50</v>
      </c>
      <c r="E3127" s="2"/>
    </row>
    <row r="3128">
      <c r="A3128" s="2"/>
      <c r="B3128" s="8" t="str">
        <f>IFERROR(__xludf.DUMMYFUNCTION("""COMPUTED_VALUE"""),"WARI WALINGGA")</f>
        <v>WARI WALINGGA</v>
      </c>
      <c r="C3128" s="8" t="str">
        <f>IFERROR(__xludf.DUMMYFUNCTION("""COMPUTED_VALUE"""),"W9625114960")</f>
        <v>W9625114960</v>
      </c>
      <c r="D3128" s="8">
        <f>IFERROR(__xludf.DUMMYFUNCTION("""COMPUTED_VALUE"""),30.0)</f>
        <v>30</v>
      </c>
      <c r="E3128" s="2"/>
    </row>
    <row r="3129">
      <c r="A3129" s="2"/>
      <c r="B3129" s="8" t="str">
        <f>IFERROR(__xludf.DUMMYFUNCTION("""COMPUTED_VALUE"""),"WIWIN WAHYUNINGSIH")</f>
        <v>WIWIN WAHYUNINGSIH</v>
      </c>
      <c r="C3129" s="8" t="str">
        <f>IFERROR(__xludf.DUMMYFUNCTION("""COMPUTED_VALUE"""),"W7625111739")</f>
        <v>W7625111739</v>
      </c>
      <c r="D3129" s="8">
        <f>IFERROR(__xludf.DUMMYFUNCTION("""COMPUTED_VALUE"""),50.0)</f>
        <v>50</v>
      </c>
      <c r="E3129" s="2"/>
    </row>
    <row r="3130">
      <c r="A3130" s="2"/>
      <c r="B3130" s="8" t="str">
        <f>IFERROR(__xludf.DUMMYFUNCTION("""COMPUTED_VALUE"""),"SING SING")</f>
        <v>SING SING</v>
      </c>
      <c r="C3130" s="8" t="str">
        <f>IFERROR(__xludf.DUMMYFUNCTION("""COMPUTED_VALUE"""),"S2525120816")</f>
        <v>S2525120816</v>
      </c>
      <c r="D3130" s="8">
        <f>IFERROR(__xludf.DUMMYFUNCTION("""COMPUTED_VALUE"""),0.0)</f>
        <v>0</v>
      </c>
      <c r="E3130" s="2"/>
    </row>
    <row r="3131">
      <c r="A3131" s="2"/>
      <c r="B3131" s="8" t="str">
        <f>IFERROR(__xludf.DUMMYFUNCTION("""COMPUTED_VALUE"""),"EVELINE PARAMITHA LORINDA")</f>
        <v>EVELINE PARAMITHA LORINDA</v>
      </c>
      <c r="C3131" s="8" t="str">
        <f>IFERROR(__xludf.DUMMYFUNCTION("""COMPUTED_VALUE"""),"E9225127347")</f>
        <v>E9225127347</v>
      </c>
      <c r="D3131" s="8">
        <f>IFERROR(__xludf.DUMMYFUNCTION("""COMPUTED_VALUE"""),34.0)</f>
        <v>34</v>
      </c>
      <c r="E3131" s="2"/>
    </row>
    <row r="3132">
      <c r="A3132" s="2"/>
      <c r="B3132" s="8" t="str">
        <f>IFERROR(__xludf.DUMMYFUNCTION("""COMPUTED_VALUE"""),"MILLAH AULIYA")</f>
        <v>MILLAH AULIYA</v>
      </c>
      <c r="C3132" s="8" t="str">
        <f>IFERROR(__xludf.DUMMYFUNCTION("""COMPUTED_VALUE"""),"M0525128789")</f>
        <v>M0525128789</v>
      </c>
      <c r="D3132" s="8">
        <f>IFERROR(__xludf.DUMMYFUNCTION("""COMPUTED_VALUE"""),21.0)</f>
        <v>21</v>
      </c>
      <c r="E3132" s="2"/>
    </row>
    <row r="3133">
      <c r="A3133" s="2"/>
      <c r="B3133" s="8" t="str">
        <f>IFERROR(__xludf.DUMMYFUNCTION("""COMPUTED_VALUE"""),"FIRMAN HIDAYAT")</f>
        <v>FIRMAN HIDAYAT</v>
      </c>
      <c r="C3133" s="8" t="str">
        <f>IFERROR(__xludf.DUMMYFUNCTION("""COMPUTED_VALUE"""),"F7725120001")</f>
        <v>F7725120001</v>
      </c>
      <c r="D3133" s="8">
        <f>IFERROR(__xludf.DUMMYFUNCTION("""COMPUTED_VALUE"""),49.0)</f>
        <v>49</v>
      </c>
      <c r="E3133" s="2"/>
    </row>
    <row r="3134">
      <c r="A3134" s="2"/>
      <c r="B3134" s="8" t="str">
        <f>IFERROR(__xludf.DUMMYFUNCTION("""COMPUTED_VALUE"""),"WISNU WARDANA")</f>
        <v>WISNU WARDANA</v>
      </c>
      <c r="C3134" s="8" t="str">
        <f>IFERROR(__xludf.DUMMYFUNCTION("""COMPUTED_VALUE"""),"W8825126959")</f>
        <v>W8825126959</v>
      </c>
      <c r="D3134" s="8">
        <f>IFERROR(__xludf.DUMMYFUNCTION("""COMPUTED_VALUE"""),37.0)</f>
        <v>37</v>
      </c>
      <c r="E3134" s="2"/>
    </row>
    <row r="3135">
      <c r="A3135" s="2"/>
      <c r="B3135" s="8" t="str">
        <f>IFERROR(__xludf.DUMMYFUNCTION("""COMPUTED_VALUE"""),"APRILLIA SUSANTI")</f>
        <v>APRILLIA SUSANTI</v>
      </c>
      <c r="C3135" s="8" t="str">
        <f>IFERROR(__xludf.DUMMYFUNCTION("""COMPUTED_VALUE"""),"A8525127477")</f>
        <v>A8525127477</v>
      </c>
      <c r="D3135" s="8">
        <f>IFERROR(__xludf.DUMMYFUNCTION("""COMPUTED_VALUE"""),41.0)</f>
        <v>41</v>
      </c>
      <c r="E3135" s="2"/>
    </row>
    <row r="3136">
      <c r="A3136" s="2"/>
      <c r="B3136" s="8" t="str">
        <f>IFERROR(__xludf.DUMMYFUNCTION("""COMPUTED_VALUE"""),"SUYADI, A.MA. PD")</f>
        <v>SUYADI, A.MA. PD</v>
      </c>
      <c r="C3136" s="8" t="str">
        <f>IFERROR(__xludf.DUMMYFUNCTION("""COMPUTED_VALUE"""),"S5625122439")</f>
        <v>S5625122439</v>
      </c>
      <c r="D3136" s="8">
        <f>IFERROR(__xludf.DUMMYFUNCTION("""COMPUTED_VALUE"""),69.0)</f>
        <v>69</v>
      </c>
      <c r="E3136" s="2"/>
    </row>
    <row r="3137">
      <c r="A3137" s="2"/>
      <c r="B3137" s="8" t="str">
        <f>IFERROR(__xludf.DUMMYFUNCTION("""COMPUTED_VALUE"""),"WACHYU WIDAYAT")</f>
        <v>WACHYU WIDAYAT</v>
      </c>
      <c r="C3137" s="8" t="str">
        <f>IFERROR(__xludf.DUMMYFUNCTION("""COMPUTED_VALUE"""),"W6425129394")</f>
        <v>W6425129394</v>
      </c>
      <c r="D3137" s="8">
        <f>IFERROR(__xludf.DUMMYFUNCTION("""COMPUTED_VALUE"""),61.0)</f>
        <v>61</v>
      </c>
      <c r="E3137" s="2"/>
    </row>
    <row r="3138">
      <c r="A3138" s="2"/>
      <c r="B3138" s="8" t="str">
        <f>IFERROR(__xludf.DUMMYFUNCTION("""COMPUTED_VALUE"""),"RICO OSCARIO")</f>
        <v>RICO OSCARIO</v>
      </c>
      <c r="C3138" s="8" t="str">
        <f>IFERROR(__xludf.DUMMYFUNCTION("""COMPUTED_VALUE"""),"R9025120312")</f>
        <v>R9025120312</v>
      </c>
      <c r="D3138" s="8">
        <f>IFERROR(__xludf.DUMMYFUNCTION("""COMPUTED_VALUE"""),36.0)</f>
        <v>36</v>
      </c>
      <c r="E3138" s="2"/>
    </row>
    <row r="3139">
      <c r="A3139" s="2"/>
      <c r="B3139" s="8" t="str">
        <f>IFERROR(__xludf.DUMMYFUNCTION("""COMPUTED_VALUE"""),"YATMI")</f>
        <v>YATMI</v>
      </c>
      <c r="C3139" s="8" t="str">
        <f>IFERROR(__xludf.DUMMYFUNCTION("""COMPUTED_VALUE"""),"Y6225125478")</f>
        <v>Y6225125478</v>
      </c>
      <c r="D3139" s="8">
        <f>IFERROR(__xludf.DUMMYFUNCTION("""COMPUTED_VALUE"""),64.0)</f>
        <v>64</v>
      </c>
      <c r="E3139" s="2"/>
    </row>
    <row r="3140">
      <c r="A3140" s="2"/>
      <c r="B3140" s="8" t="str">
        <f>IFERROR(__xludf.DUMMYFUNCTION("""COMPUTED_VALUE"""),"SARWATI")</f>
        <v>SARWATI</v>
      </c>
      <c r="C3140" s="8" t="str">
        <f>IFERROR(__xludf.DUMMYFUNCTION("""COMPUTED_VALUE"""),"S7325124774")</f>
        <v>S7325124774</v>
      </c>
      <c r="D3140" s="8">
        <f>IFERROR(__xludf.DUMMYFUNCTION("""COMPUTED_VALUE"""),52.0)</f>
        <v>52</v>
      </c>
      <c r="E3140" s="2"/>
    </row>
    <row r="3141">
      <c r="A3141" s="2"/>
      <c r="B3141" s="8" t="str">
        <f>IFERROR(__xludf.DUMMYFUNCTION("""COMPUTED_VALUE"""),"SITI ALHUSNA NURUL AGUSTIN")</f>
        <v>SITI ALHUSNA NURUL AGUSTIN</v>
      </c>
      <c r="C3141" s="8" t="str">
        <f>IFERROR(__xludf.DUMMYFUNCTION("""COMPUTED_VALUE"""),"S9525127945")</f>
        <v>S9525127945</v>
      </c>
      <c r="D3141" s="8">
        <f>IFERROR(__xludf.DUMMYFUNCTION("""COMPUTED_VALUE"""),30.0)</f>
        <v>30</v>
      </c>
      <c r="E3141" s="2"/>
    </row>
    <row r="3142">
      <c r="A3142" s="2"/>
      <c r="B3142" s="8" t="str">
        <f>IFERROR(__xludf.DUMMYFUNCTION("""COMPUTED_VALUE"""),"DARMADI")</f>
        <v>DARMADI</v>
      </c>
      <c r="C3142" s="8" t="str">
        <f>IFERROR(__xludf.DUMMYFUNCTION("""COMPUTED_VALUE"""),"D7925125149")</f>
        <v>D7925125149</v>
      </c>
      <c r="D3142" s="8">
        <f>IFERROR(__xludf.DUMMYFUNCTION("""COMPUTED_VALUE"""),46.0)</f>
        <v>46</v>
      </c>
      <c r="E3142" s="2"/>
    </row>
    <row r="3143">
      <c r="A3143" s="2"/>
      <c r="B3143" s="8" t="str">
        <f>IFERROR(__xludf.DUMMYFUNCTION("""COMPUTED_VALUE"""),"TRI SUTRISNO")</f>
        <v>TRI SUTRISNO</v>
      </c>
      <c r="C3143" s="8" t="str">
        <f>IFERROR(__xludf.DUMMYFUNCTION("""COMPUTED_VALUE"""),"T9225125183")</f>
        <v>T9225125183</v>
      </c>
      <c r="D3143" s="8">
        <f>IFERROR(__xludf.DUMMYFUNCTION("""COMPUTED_VALUE"""),33.0)</f>
        <v>33</v>
      </c>
      <c r="E3143" s="2"/>
    </row>
    <row r="3144">
      <c r="A3144" s="2"/>
      <c r="B3144" s="8" t="str">
        <f>IFERROR(__xludf.DUMMYFUNCTION("""COMPUTED_VALUE"""),"MISLANA")</f>
        <v>MISLANA</v>
      </c>
      <c r="C3144" s="8" t="str">
        <f>IFERROR(__xludf.DUMMYFUNCTION("""COMPUTED_VALUE"""),"M6325122994")</f>
        <v>M6325122994</v>
      </c>
      <c r="D3144" s="8">
        <f>IFERROR(__xludf.DUMMYFUNCTION("""COMPUTED_VALUE"""),63.0)</f>
        <v>63</v>
      </c>
      <c r="E3144" s="2"/>
    </row>
    <row r="3145">
      <c r="A3145" s="2"/>
      <c r="B3145" s="8" t="str">
        <f>IFERROR(__xludf.DUMMYFUNCTION("""COMPUTED_VALUE"""),"DESA AYU NATALIA")</f>
        <v>DESA AYU NATALIA</v>
      </c>
      <c r="C3145" s="8" t="str">
        <f>IFERROR(__xludf.DUMMYFUNCTION("""COMPUTED_VALUE"""),"D9125126509")</f>
        <v>D9125126509</v>
      </c>
      <c r="D3145" s="8">
        <f>IFERROR(__xludf.DUMMYFUNCTION("""COMPUTED_VALUE"""),34.0)</f>
        <v>34</v>
      </c>
      <c r="E3145" s="2"/>
    </row>
    <row r="3146">
      <c r="A3146" s="2"/>
      <c r="B3146" s="8" t="str">
        <f>IFERROR(__xludf.DUMMYFUNCTION("""COMPUTED_VALUE"""),"LILI MANGKULIONO")</f>
        <v>LILI MANGKULIONO</v>
      </c>
      <c r="C3146" s="8" t="str">
        <f>IFERROR(__xludf.DUMMYFUNCTION("""COMPUTED_VALUE"""),"L6625122686")</f>
        <v>L6625122686</v>
      </c>
      <c r="D3146" s="8">
        <f>IFERROR(__xludf.DUMMYFUNCTION("""COMPUTED_VALUE"""),60.0)</f>
        <v>60</v>
      </c>
      <c r="E3146" s="2"/>
    </row>
    <row r="3147">
      <c r="A3147" s="2"/>
      <c r="B3147" s="8" t="str">
        <f>IFERROR(__xludf.DUMMYFUNCTION("""COMPUTED_VALUE"""),"HANAPI 7610")</f>
        <v>HANAPI 7610</v>
      </c>
      <c r="C3147" s="8" t="str">
        <f>IFERROR(__xludf.DUMMYFUNCTION("""COMPUTED_VALUE"""),"H7625123698")</f>
        <v>H7625123698</v>
      </c>
      <c r="D3147" s="8">
        <f>IFERROR(__xludf.DUMMYFUNCTION("""COMPUTED_VALUE"""),49.0)</f>
        <v>49</v>
      </c>
      <c r="E3147" s="2"/>
    </row>
    <row r="3148">
      <c r="A3148" s="2"/>
      <c r="B3148" s="8" t="str">
        <f>IFERROR(__xludf.DUMMYFUNCTION("""COMPUTED_VALUE"""),"MUHAMMAD FARIDH DIYAPRATAMA")</f>
        <v>MUHAMMAD FARIDH DIYAPRATAMA</v>
      </c>
      <c r="C3148" s="8" t="str">
        <f>IFERROR(__xludf.DUMMYFUNCTION("""COMPUTED_VALUE"""),"M9425123698")</f>
        <v>M9425123698</v>
      </c>
      <c r="D3148" s="8">
        <f>IFERROR(__xludf.DUMMYFUNCTION("""COMPUTED_VALUE"""),31.0)</f>
        <v>31</v>
      </c>
      <c r="E3148" s="2"/>
    </row>
    <row r="3149">
      <c r="A3149" s="2"/>
      <c r="B3149" s="8" t="str">
        <f>IFERROR(__xludf.DUMMYFUNCTION("""COMPUTED_VALUE"""),"LILI URIANTO")</f>
        <v>LILI URIANTO</v>
      </c>
      <c r="C3149" s="8" t="str">
        <f>IFERROR(__xludf.DUMMYFUNCTION("""COMPUTED_VALUE"""),"L7425128709")</f>
        <v>L7425128709</v>
      </c>
      <c r="D3149" s="8">
        <f>IFERROR(__xludf.DUMMYFUNCTION("""COMPUTED_VALUE"""),51.0)</f>
        <v>51</v>
      </c>
      <c r="E3149" s="2"/>
    </row>
    <row r="3150">
      <c r="A3150" s="2"/>
      <c r="B3150" s="8" t="str">
        <f>IFERROR(__xludf.DUMMYFUNCTION("""COMPUTED_VALUE"""),"TEGUH ADI PEASETYO")</f>
        <v>TEGUH ADI PEASETYO</v>
      </c>
      <c r="C3150" s="8" t="str">
        <f>IFERROR(__xludf.DUMMYFUNCTION("""COMPUTED_VALUE"""),"T8525127478")</f>
        <v>T8525127478</v>
      </c>
      <c r="D3150" s="8">
        <f>IFERROR(__xludf.DUMMYFUNCTION("""COMPUTED_VALUE"""),40.0)</f>
        <v>40</v>
      </c>
      <c r="E3150" s="2"/>
    </row>
    <row r="3151">
      <c r="A3151" s="2"/>
      <c r="B3151" s="8" t="str">
        <f>IFERROR(__xludf.DUMMYFUNCTION("""COMPUTED_VALUE"""),"SUGENG")</f>
        <v>SUGENG</v>
      </c>
      <c r="C3151" s="8" t="str">
        <f>IFERROR(__xludf.DUMMYFUNCTION("""COMPUTED_VALUE"""),"S6825128786")</f>
        <v>S6825128786</v>
      </c>
      <c r="D3151" s="8">
        <f>IFERROR(__xludf.DUMMYFUNCTION("""COMPUTED_VALUE"""),58.0)</f>
        <v>58</v>
      </c>
      <c r="E3151" s="2"/>
    </row>
    <row r="3152">
      <c r="A3152" s="2"/>
      <c r="B3152" s="8" t="str">
        <f>IFERROR(__xludf.DUMMYFUNCTION("""COMPUTED_VALUE"""),"WURAN KRISNAWATI")</f>
        <v>WURAN KRISNAWATI</v>
      </c>
      <c r="C3152" s="8" t="str">
        <f>IFERROR(__xludf.DUMMYFUNCTION("""COMPUTED_VALUE"""),"W9225123275")</f>
        <v>W9225123275</v>
      </c>
      <c r="D3152" s="8">
        <f>IFERROR(__xludf.DUMMYFUNCTION("""COMPUTED_VALUE"""),33.0)</f>
        <v>33</v>
      </c>
      <c r="E3152" s="2"/>
    </row>
    <row r="3153">
      <c r="A3153" s="2"/>
      <c r="B3153" s="8" t="str">
        <f>IFERROR(__xludf.DUMMYFUNCTION("""COMPUTED_VALUE"""),"ROSNIAR")</f>
        <v>ROSNIAR</v>
      </c>
      <c r="C3153" s="8" t="str">
        <f>IFERROR(__xludf.DUMMYFUNCTION("""COMPUTED_VALUE"""),"R5825122217")</f>
        <v>R5825122217</v>
      </c>
      <c r="D3153" s="8">
        <f>IFERROR(__xludf.DUMMYFUNCTION("""COMPUTED_VALUE"""),67.0)</f>
        <v>67</v>
      </c>
      <c r="E3153" s="2"/>
    </row>
    <row r="3154">
      <c r="A3154" s="2"/>
      <c r="B3154" s="8" t="str">
        <f>IFERROR(__xludf.DUMMYFUNCTION("""COMPUTED_VALUE"""),"FARREL")</f>
        <v>FARREL</v>
      </c>
      <c r="C3154" s="8" t="str">
        <f>IFERROR(__xludf.DUMMYFUNCTION("""COMPUTED_VALUE"""),"F1325121234")</f>
        <v>F1325121234</v>
      </c>
      <c r="D3154" s="8">
        <f>IFERROR(__xludf.DUMMYFUNCTION("""COMPUTED_VALUE"""),12.0)</f>
        <v>12</v>
      </c>
      <c r="E3154" s="2"/>
    </row>
    <row r="3155">
      <c r="A3155" s="2"/>
      <c r="B3155" s="8" t="str">
        <f>IFERROR(__xludf.DUMMYFUNCTION("""COMPUTED_VALUE"""),"INDRA JAYA AK MSI")</f>
        <v>INDRA JAYA AK MSI</v>
      </c>
      <c r="C3155" s="8" t="str">
        <f>IFERROR(__xludf.DUMMYFUNCTION("""COMPUTED_VALUE"""),"I7225127895")</f>
        <v>I7225127895</v>
      </c>
      <c r="D3155" s="8">
        <f>IFERROR(__xludf.DUMMYFUNCTION("""COMPUTED_VALUE"""),54.0)</f>
        <v>54</v>
      </c>
      <c r="E3155" s="2"/>
    </row>
    <row r="3156">
      <c r="A3156" s="2"/>
      <c r="B3156" s="8" t="str">
        <f>IFERROR(__xludf.DUMMYFUNCTION("""COMPUTED_VALUE"""),"NIKEN PASKALIA")</f>
        <v>NIKEN PASKALIA</v>
      </c>
      <c r="C3156" s="8" t="str">
        <f>IFERROR(__xludf.DUMMYFUNCTION("""COMPUTED_VALUE"""),"N9125121100")</f>
        <v>N9125121100</v>
      </c>
      <c r="D3156" s="8">
        <f>IFERROR(__xludf.DUMMYFUNCTION("""COMPUTED_VALUE"""),35.0)</f>
        <v>35</v>
      </c>
      <c r="E3156" s="2"/>
    </row>
    <row r="3157">
      <c r="A3157" s="2"/>
      <c r="B3157" s="8" t="str">
        <f>IFERROR(__xludf.DUMMYFUNCTION("""COMPUTED_VALUE"""),"SUSANTI 7401")</f>
        <v>SUSANTI 7401</v>
      </c>
      <c r="C3157" s="8" t="str">
        <f>IFERROR(__xludf.DUMMYFUNCTION("""COMPUTED_VALUE"""),"S7425124817")</f>
        <v>S7425124817</v>
      </c>
      <c r="D3157" s="8">
        <f>IFERROR(__xludf.DUMMYFUNCTION("""COMPUTED_VALUE"""),51.0)</f>
        <v>51</v>
      </c>
      <c r="E3157" s="2"/>
    </row>
    <row r="3158">
      <c r="A3158" s="2"/>
      <c r="B3158" s="8" t="str">
        <f>IFERROR(__xludf.DUMMYFUNCTION("""COMPUTED_VALUE"""),"BANU AJI NUGROHO")</f>
        <v>BANU AJI NUGROHO</v>
      </c>
      <c r="C3158" s="8" t="str">
        <f>IFERROR(__xludf.DUMMYFUNCTION("""COMPUTED_VALUE"""),"B0025121417")</f>
        <v>B0025121417</v>
      </c>
      <c r="D3158" s="8">
        <f>IFERROR(__xludf.DUMMYFUNCTION("""COMPUTED_VALUE"""),25.0)</f>
        <v>25</v>
      </c>
      <c r="E3158" s="2"/>
    </row>
    <row r="3159">
      <c r="A3159" s="2"/>
      <c r="B3159" s="8" t="str">
        <f>IFERROR(__xludf.DUMMYFUNCTION("""COMPUTED_VALUE"""),"ADAM DAMIRI")</f>
        <v>ADAM DAMIRI</v>
      </c>
      <c r="C3159" s="8" t="str">
        <f>IFERROR(__xludf.DUMMYFUNCTION("""COMPUTED_VALUE"""),"A9825122289")</f>
        <v>A9825122289</v>
      </c>
      <c r="D3159" s="8">
        <f>IFERROR(__xludf.DUMMYFUNCTION("""COMPUTED_VALUE"""),28.0)</f>
        <v>28</v>
      </c>
      <c r="E3159" s="2"/>
    </row>
    <row r="3160">
      <c r="A3160" s="2"/>
      <c r="B3160" s="8" t="str">
        <f>IFERROR(__xludf.DUMMYFUNCTION("""COMPUTED_VALUE"""),"URAY SHIEDQIE")</f>
        <v>URAY SHIEDQIE</v>
      </c>
      <c r="C3160" s="8" t="str">
        <f>IFERROR(__xludf.DUMMYFUNCTION("""COMPUTED_VALUE"""),"U6125123244")</f>
        <v>U6125123244</v>
      </c>
      <c r="D3160" s="8">
        <f>IFERROR(__xludf.DUMMYFUNCTION("""COMPUTED_VALUE"""),65.0)</f>
        <v>65</v>
      </c>
      <c r="E3160" s="2"/>
    </row>
    <row r="3161">
      <c r="A3161" s="2"/>
      <c r="B3161" s="8" t="str">
        <f>IFERROR(__xludf.DUMMYFUNCTION("""COMPUTED_VALUE"""),"GRACIA SHERLYTTA VALENSIA")</f>
        <v>GRACIA SHERLYTTA VALENSIA</v>
      </c>
      <c r="C3161" s="8" t="str">
        <f>IFERROR(__xludf.DUMMYFUNCTION("""COMPUTED_VALUE"""),"G0225127027")</f>
        <v>G0225127027</v>
      </c>
      <c r="D3161" s="8">
        <f>IFERROR(__xludf.DUMMYFUNCTION("""COMPUTED_VALUE"""),23.0)</f>
        <v>23</v>
      </c>
      <c r="E3161" s="2"/>
    </row>
    <row r="3162">
      <c r="A3162" s="2"/>
      <c r="B3162" s="8" t="str">
        <f>IFERROR(__xludf.DUMMYFUNCTION("""COMPUTED_VALUE"""),"KRIS YOGI DWI PUTRA SIBARANI")</f>
        <v>KRIS YOGI DWI PUTRA SIBARANI</v>
      </c>
      <c r="C3162" s="8" t="str">
        <f>IFERROR(__xludf.DUMMYFUNCTION("""COMPUTED_VALUE"""),"K8825128215")</f>
        <v>K8825128215</v>
      </c>
      <c r="D3162" s="8">
        <f>IFERROR(__xludf.DUMMYFUNCTION("""COMPUTED_VALUE"""),37.0)</f>
        <v>37</v>
      </c>
      <c r="E3162" s="2"/>
    </row>
    <row r="3163">
      <c r="A3163" s="2"/>
      <c r="B3163" s="8" t="str">
        <f>IFERROR(__xludf.DUMMYFUNCTION("""COMPUTED_VALUE"""),"ANGELINE OLIVIA")</f>
        <v>ANGELINE OLIVIA</v>
      </c>
      <c r="C3163" s="8" t="str">
        <f>IFERROR(__xludf.DUMMYFUNCTION("""COMPUTED_VALUE"""),"A0325126212")</f>
        <v>A0325126212</v>
      </c>
      <c r="D3163" s="8">
        <f>IFERROR(__xludf.DUMMYFUNCTION("""COMPUTED_VALUE"""),23.0)</f>
        <v>23</v>
      </c>
      <c r="E3163" s="2"/>
    </row>
    <row r="3164">
      <c r="A3164" s="2"/>
      <c r="B3164" s="8" t="str">
        <f>IFERROR(__xludf.DUMMYFUNCTION("""COMPUTED_VALUE"""),"NUZUL NURWAHYUDDIN")</f>
        <v>NUZUL NURWAHYUDDIN</v>
      </c>
      <c r="C3164" s="8" t="str">
        <f>IFERROR(__xludf.DUMMYFUNCTION("""COMPUTED_VALUE"""),"N8325126783")</f>
        <v>N8325126783</v>
      </c>
      <c r="D3164" s="8">
        <f>IFERROR(__xludf.DUMMYFUNCTION("""COMPUTED_VALUE"""),43.0)</f>
        <v>43</v>
      </c>
      <c r="E3164" s="2"/>
    </row>
    <row r="3165">
      <c r="A3165" s="2"/>
      <c r="B3165" s="8" t="str">
        <f>IFERROR(__xludf.DUMMYFUNCTION("""COMPUTED_VALUE"""),"NIKI TRIYANDI")</f>
        <v>NIKI TRIYANDI</v>
      </c>
      <c r="C3165" s="8" t="str">
        <f>IFERROR(__xludf.DUMMYFUNCTION("""COMPUTED_VALUE"""),"N8425122485")</f>
        <v>N8425122485</v>
      </c>
      <c r="D3165" s="8">
        <f>IFERROR(__xludf.DUMMYFUNCTION("""COMPUTED_VALUE"""),42.0)</f>
        <v>42</v>
      </c>
      <c r="E3165" s="2"/>
    </row>
    <row r="3166">
      <c r="A3166" s="2"/>
      <c r="B3166" s="8" t="str">
        <f>IFERROR(__xludf.DUMMYFUNCTION("""COMPUTED_VALUE"""),"HARMI CAHYANI")</f>
        <v>HARMI CAHYANI</v>
      </c>
      <c r="C3166" s="8" t="str">
        <f>IFERROR(__xludf.DUMMYFUNCTION("""COMPUTED_VALUE"""),"H8525124000")</f>
        <v>H8525124000</v>
      </c>
      <c r="D3166" s="8">
        <f>IFERROR(__xludf.DUMMYFUNCTION("""COMPUTED_VALUE"""),41.0)</f>
        <v>41</v>
      </c>
      <c r="E3166" s="2"/>
    </row>
    <row r="3167">
      <c r="A3167" s="2"/>
      <c r="B3167" s="8" t="str">
        <f>IFERROR(__xludf.DUMMYFUNCTION("""COMPUTED_VALUE"""),"ANDIKA HERMAWAN")</f>
        <v>ANDIKA HERMAWAN</v>
      </c>
      <c r="C3167" s="8" t="str">
        <f>IFERROR(__xludf.DUMMYFUNCTION("""COMPUTED_VALUE"""),"A0125120628")</f>
        <v>A0125120628</v>
      </c>
      <c r="D3167" s="8">
        <f>IFERROR(__xludf.DUMMYFUNCTION("""COMPUTED_VALUE"""),25.0)</f>
        <v>25</v>
      </c>
      <c r="E3167" s="2"/>
    </row>
    <row r="3168">
      <c r="A3168" s="2"/>
      <c r="B3168" s="8" t="str">
        <f>IFERROR(__xludf.DUMMYFUNCTION("""COMPUTED_VALUE"""),"MUHAMMAD ZUHRI")</f>
        <v>MUHAMMAD ZUHRI</v>
      </c>
      <c r="C3168" s="8" t="str">
        <f>IFERROR(__xludf.DUMMYFUNCTION("""COMPUTED_VALUE"""),"M7925122235")</f>
        <v>M7925122235</v>
      </c>
      <c r="D3168" s="8">
        <f>IFERROR(__xludf.DUMMYFUNCTION("""COMPUTED_VALUE"""),46.0)</f>
        <v>46</v>
      </c>
      <c r="E3168" s="2"/>
    </row>
    <row r="3169">
      <c r="A3169" s="2"/>
      <c r="B3169" s="8" t="str">
        <f>IFERROR(__xludf.DUMMYFUNCTION("""COMPUTED_VALUE"""),"GIOVANNI NASTASIO PARURERA")</f>
        <v>GIOVANNI NASTASIO PARURERA</v>
      </c>
      <c r="C3169" s="8" t="str">
        <f>IFERROR(__xludf.DUMMYFUNCTION("""COMPUTED_VALUE"""),"G0225127367")</f>
        <v>G0225127367</v>
      </c>
      <c r="D3169" s="8">
        <f>IFERROR(__xludf.DUMMYFUNCTION("""COMPUTED_VALUE"""),24.0)</f>
        <v>24</v>
      </c>
      <c r="E3169" s="2"/>
    </row>
    <row r="3170">
      <c r="A3170" s="2"/>
      <c r="B3170" s="8" t="str">
        <f>IFERROR(__xludf.DUMMYFUNCTION("""COMPUTED_VALUE"""),"AGUS HARYONO")</f>
        <v>AGUS HARYONO</v>
      </c>
      <c r="C3170" s="8" t="str">
        <f>IFERROR(__xludf.DUMMYFUNCTION("""COMPUTED_VALUE"""),"A7825121998")</f>
        <v>A7825121998</v>
      </c>
      <c r="D3170" s="8">
        <f>IFERROR(__xludf.DUMMYFUNCTION("""COMPUTED_VALUE"""),47.0)</f>
        <v>47</v>
      </c>
      <c r="E3170" s="2"/>
    </row>
    <row r="3171">
      <c r="A3171" s="2"/>
      <c r="B3171" s="8" t="str">
        <f>IFERROR(__xludf.DUMMYFUNCTION("""COMPUTED_VALUE"""),"DARREN LOWIRA")</f>
        <v>DARREN LOWIRA</v>
      </c>
      <c r="C3171" s="8" t="str">
        <f>IFERROR(__xludf.DUMMYFUNCTION("""COMPUTED_VALUE"""),"D0625121108")</f>
        <v>D0625121108</v>
      </c>
      <c r="D3171" s="8">
        <f>IFERROR(__xludf.DUMMYFUNCTION("""COMPUTED_VALUE"""),19.0)</f>
        <v>19</v>
      </c>
      <c r="E3171" s="2"/>
    </row>
    <row r="3172">
      <c r="A3172" s="2"/>
      <c r="B3172" s="8" t="str">
        <f>IFERROR(__xludf.DUMMYFUNCTION("""COMPUTED_VALUE"""),"LIE KIM FA/KESUMAJADI")</f>
        <v>LIE KIM FA/KESUMAJADI</v>
      </c>
      <c r="C3172" s="8" t="str">
        <f>IFERROR(__xludf.DUMMYFUNCTION("""COMPUTED_VALUE"""),"L6025128579")</f>
        <v>L6025128579</v>
      </c>
      <c r="D3172" s="8">
        <f>IFERROR(__xludf.DUMMYFUNCTION("""COMPUTED_VALUE"""),66.0)</f>
        <v>66</v>
      </c>
      <c r="E3172" s="2"/>
    </row>
    <row r="3173">
      <c r="A3173" s="2"/>
      <c r="B3173" s="8" t="str">
        <f>IFERROR(__xludf.DUMMYFUNCTION("""COMPUTED_VALUE"""),"JAMALUDIN MAULANA")</f>
        <v>JAMALUDIN MAULANA</v>
      </c>
      <c r="C3173" s="8" t="str">
        <f>IFERROR(__xludf.DUMMYFUNCTION("""COMPUTED_VALUE"""),"J9725129346")</f>
        <v>J9725129346</v>
      </c>
      <c r="D3173" s="8">
        <f>IFERROR(__xludf.DUMMYFUNCTION("""COMPUTED_VALUE"""),29.0)</f>
        <v>29</v>
      </c>
      <c r="E3173" s="2"/>
    </row>
    <row r="3174">
      <c r="A3174" s="2"/>
      <c r="B3174" s="8" t="str">
        <f>IFERROR(__xludf.DUMMYFUNCTION("""COMPUTED_VALUE"""),"ANGELIA IVANA")</f>
        <v>ANGELIA IVANA</v>
      </c>
      <c r="C3174" s="8" t="str">
        <f>IFERROR(__xludf.DUMMYFUNCTION("""COMPUTED_VALUE"""),"A0025123200")</f>
        <v>A0025123200</v>
      </c>
      <c r="D3174" s="8">
        <f>IFERROR(__xludf.DUMMYFUNCTION("""COMPUTED_VALUE"""),25.0)</f>
        <v>25</v>
      </c>
      <c r="E3174" s="2"/>
    </row>
    <row r="3175">
      <c r="A3175" s="2"/>
      <c r="B3175" s="8" t="str">
        <f>IFERROR(__xludf.DUMMYFUNCTION("""COMPUTED_VALUE"""),"FERY")</f>
        <v>FERY</v>
      </c>
      <c r="C3175" s="8" t="str">
        <f>IFERROR(__xludf.DUMMYFUNCTION("""COMPUTED_VALUE"""),"F9325121778")</f>
        <v>F9325121778</v>
      </c>
      <c r="D3175" s="8">
        <f>IFERROR(__xludf.DUMMYFUNCTION("""COMPUTED_VALUE"""),33.0)</f>
        <v>33</v>
      </c>
      <c r="E3175" s="2"/>
    </row>
    <row r="3176">
      <c r="A3176" s="2"/>
      <c r="B3176" s="8" t="str">
        <f>IFERROR(__xludf.DUMMYFUNCTION("""COMPUTED_VALUE"""),"CINTHYA TANJAYA")</f>
        <v>CINTHYA TANJAYA</v>
      </c>
      <c r="C3176" s="8" t="str">
        <f>IFERROR(__xludf.DUMMYFUNCTION("""COMPUTED_VALUE"""),"C0325128008")</f>
        <v>C0325128008</v>
      </c>
      <c r="D3176" s="8">
        <f>IFERROR(__xludf.DUMMYFUNCTION("""COMPUTED_VALUE"""),23.0)</f>
        <v>23</v>
      </c>
      <c r="E3176" s="2"/>
    </row>
    <row r="3177">
      <c r="A3177" s="2"/>
      <c r="B3177" s="8" t="str">
        <f>IFERROR(__xludf.DUMMYFUNCTION("""COMPUTED_VALUE"""),"NIKO BARKAH DAME PUTRA SIREGAR")</f>
        <v>NIKO BARKAH DAME PUTRA SIREGAR</v>
      </c>
      <c r="C3177" s="8" t="str">
        <f>IFERROR(__xludf.DUMMYFUNCTION("""COMPUTED_VALUE"""),"N0025126327")</f>
        <v>N0025126327</v>
      </c>
      <c r="D3177" s="8">
        <f>IFERROR(__xludf.DUMMYFUNCTION("""COMPUTED_VALUE"""),26.0)</f>
        <v>26</v>
      </c>
      <c r="E3177" s="2"/>
    </row>
    <row r="3178">
      <c r="A3178" s="2"/>
      <c r="B3178" s="8" t="str">
        <f>IFERROR(__xludf.DUMMYFUNCTION("""COMPUTED_VALUE"""),"LIAU TJONG POEN ALS YULIANA")</f>
        <v>LIAU TJONG POEN ALS YULIANA</v>
      </c>
      <c r="C3178" s="8" t="str">
        <f>IFERROR(__xludf.DUMMYFUNCTION("""COMPUTED_VALUE"""),"L5725121301")</f>
        <v>L5725121301</v>
      </c>
      <c r="D3178" s="8">
        <f>IFERROR(__xludf.DUMMYFUNCTION("""COMPUTED_VALUE"""),68.0)</f>
        <v>68</v>
      </c>
      <c r="E3178" s="2"/>
    </row>
    <row r="3179">
      <c r="A3179" s="2"/>
      <c r="B3179" s="8" t="str">
        <f>IFERROR(__xludf.DUMMYFUNCTION("""COMPUTED_VALUE"""),"YAYA MAULIDIA")</f>
        <v>YAYA MAULIDIA</v>
      </c>
      <c r="C3179" s="8" t="str">
        <f>IFERROR(__xludf.DUMMYFUNCTION("""COMPUTED_VALUE"""),"Y6825129986")</f>
        <v>Y6825129986</v>
      </c>
      <c r="D3179" s="8">
        <f>IFERROR(__xludf.DUMMYFUNCTION("""COMPUTED_VALUE"""),58.0)</f>
        <v>58</v>
      </c>
      <c r="E3179" s="2"/>
    </row>
    <row r="3180">
      <c r="A3180" s="2"/>
      <c r="B3180" s="8" t="str">
        <f>IFERROR(__xludf.DUMMYFUNCTION("""COMPUTED_VALUE"""),"WIEKE VERASTUTI")</f>
        <v>WIEKE VERASTUTI</v>
      </c>
      <c r="C3180" s="8" t="str">
        <f>IFERROR(__xludf.DUMMYFUNCTION("""COMPUTED_VALUE"""),"W7525122424")</f>
        <v>W7525122424</v>
      </c>
      <c r="D3180" s="8">
        <f>IFERROR(__xludf.DUMMYFUNCTION("""COMPUTED_VALUE"""),51.0)</f>
        <v>51</v>
      </c>
      <c r="E3180" s="2"/>
    </row>
    <row r="3181">
      <c r="A3181" s="2"/>
      <c r="B3181" s="8" t="str">
        <f>IFERROR(__xludf.DUMMYFUNCTION("""COMPUTED_VALUE"""),"JUNINHO")</f>
        <v>JUNINHO</v>
      </c>
      <c r="C3181" s="8" t="str">
        <f>IFERROR(__xludf.DUMMYFUNCTION("""COMPUTED_VALUE"""),"J9725122238")</f>
        <v>J9725122238</v>
      </c>
      <c r="D3181" s="8">
        <f>IFERROR(__xludf.DUMMYFUNCTION("""COMPUTED_VALUE"""),29.0)</f>
        <v>29</v>
      </c>
      <c r="E3181" s="2"/>
    </row>
    <row r="3182">
      <c r="A3182" s="2"/>
      <c r="B3182" s="8" t="str">
        <f>IFERROR(__xludf.DUMMYFUNCTION("""COMPUTED_VALUE"""),"NURMIATY SALMAH")</f>
        <v>NURMIATY SALMAH</v>
      </c>
      <c r="C3182" s="8" t="str">
        <f>IFERROR(__xludf.DUMMYFUNCTION("""COMPUTED_VALUE"""),"N5725121100")</f>
        <v>N5725121100</v>
      </c>
      <c r="D3182" s="8">
        <f>IFERROR(__xludf.DUMMYFUNCTION("""COMPUTED_VALUE"""),69.0)</f>
        <v>69</v>
      </c>
      <c r="E3182" s="2"/>
    </row>
    <row r="3183">
      <c r="A3183" s="2"/>
      <c r="B3183" s="8" t="str">
        <f>IFERROR(__xludf.DUMMYFUNCTION("""COMPUTED_VALUE"""),"DWI FITRIANINGSIH")</f>
        <v>DWI FITRIANINGSIH</v>
      </c>
      <c r="C3183" s="8" t="str">
        <f>IFERROR(__xludf.DUMMYFUNCTION("""COMPUTED_VALUE"""),"D8525121185")</f>
        <v>D8525121185</v>
      </c>
      <c r="D3183" s="8">
        <f>IFERROR(__xludf.DUMMYFUNCTION("""COMPUTED_VALUE"""),41.0)</f>
        <v>41</v>
      </c>
      <c r="E3183" s="2"/>
    </row>
    <row r="3184">
      <c r="A3184" s="2"/>
      <c r="B3184" s="8" t="str">
        <f>IFERROR(__xludf.DUMMYFUNCTION("""COMPUTED_VALUE"""),"JERI SUPRTIADI")</f>
        <v>JERI SUPRTIADI</v>
      </c>
      <c r="C3184" s="8" t="str">
        <f>IFERROR(__xludf.DUMMYFUNCTION("""COMPUTED_VALUE"""),"J9725124944")</f>
        <v>J9725124944</v>
      </c>
      <c r="D3184" s="8">
        <f>IFERROR(__xludf.DUMMYFUNCTION("""COMPUTED_VALUE"""),28.0)</f>
        <v>28</v>
      </c>
      <c r="E3184" s="2"/>
    </row>
    <row r="3185">
      <c r="A3185" s="2"/>
      <c r="B3185" s="8" t="str">
        <f>IFERROR(__xludf.DUMMYFUNCTION("""COMPUTED_VALUE"""),"ANDRI DOS SANTOS")</f>
        <v>ANDRI DOS SANTOS</v>
      </c>
      <c r="C3185" s="8" t="str">
        <f>IFERROR(__xludf.DUMMYFUNCTION("""COMPUTED_VALUE"""),"A9625120301")</f>
        <v>A9625120301</v>
      </c>
      <c r="D3185" s="8">
        <f>IFERROR(__xludf.DUMMYFUNCTION("""COMPUTED_VALUE"""),29.0)</f>
        <v>29</v>
      </c>
      <c r="E3185" s="2"/>
    </row>
    <row r="3186">
      <c r="A3186" s="2"/>
      <c r="B3186" s="8" t="str">
        <f>IFERROR(__xludf.DUMMYFUNCTION("""COMPUTED_VALUE"""),"ANGEL OLIVIA")</f>
        <v>ANGEL OLIVIA</v>
      </c>
      <c r="C3186" s="8" t="str">
        <f>IFERROR(__xludf.DUMMYFUNCTION("""COMPUTED_VALUE"""),"A0325125109")</f>
        <v>A0325125109</v>
      </c>
      <c r="D3186" s="8">
        <f>IFERROR(__xludf.DUMMYFUNCTION("""COMPUTED_VALUE"""),23.0)</f>
        <v>23</v>
      </c>
      <c r="E3186" s="2"/>
    </row>
    <row r="3187">
      <c r="A3187" s="2"/>
      <c r="B3187" s="8" t="str">
        <f>IFERROR(__xludf.DUMMYFUNCTION("""COMPUTED_VALUE"""),"GALIH HANDAYANI")</f>
        <v>GALIH HANDAYANI</v>
      </c>
      <c r="C3187" s="8" t="str">
        <f>IFERROR(__xludf.DUMMYFUNCTION("""COMPUTED_VALUE"""),"G8425125725")</f>
        <v>G8425125725</v>
      </c>
      <c r="D3187" s="8">
        <f>IFERROR(__xludf.DUMMYFUNCTION("""COMPUTED_VALUE"""),41.0)</f>
        <v>41</v>
      </c>
      <c r="E3187" s="2"/>
    </row>
    <row r="3188">
      <c r="A3188" s="2"/>
      <c r="B3188" s="8" t="str">
        <f>IFERROR(__xludf.DUMMYFUNCTION("""COMPUTED_VALUE"""),"DRA. HJ. SRI MULYANI")</f>
        <v>DRA. HJ. SRI MULYANI</v>
      </c>
      <c r="C3188" s="8" t="str">
        <f>IFERROR(__xludf.DUMMYFUNCTION("""COMPUTED_VALUE"""),"D6625125696")</f>
        <v>D6625125696</v>
      </c>
      <c r="D3188" s="8">
        <f>IFERROR(__xludf.DUMMYFUNCTION("""COMPUTED_VALUE"""),59.0)</f>
        <v>59</v>
      </c>
      <c r="E3188" s="2"/>
    </row>
    <row r="3189">
      <c r="A3189" s="2"/>
      <c r="B3189" s="8" t="str">
        <f>IFERROR(__xludf.DUMMYFUNCTION("""COMPUTED_VALUE"""),"ELLEN ARINDA PRATIWI")</f>
        <v>ELLEN ARINDA PRATIWI</v>
      </c>
      <c r="C3189" s="8" t="str">
        <f>IFERROR(__xludf.DUMMYFUNCTION("""COMPUTED_VALUE"""),"E9725120876")</f>
        <v>E9725120876</v>
      </c>
      <c r="D3189" s="8">
        <f>IFERROR(__xludf.DUMMYFUNCTION("""COMPUTED_VALUE"""),28.0)</f>
        <v>28</v>
      </c>
      <c r="E3189" s="2"/>
    </row>
    <row r="3190">
      <c r="A3190" s="2"/>
      <c r="B3190" s="8" t="str">
        <f>IFERROR(__xludf.DUMMYFUNCTION("""COMPUTED_VALUE"""),"FARIDA HASTUTI")</f>
        <v>FARIDA HASTUTI</v>
      </c>
      <c r="C3190" s="8" t="str">
        <f>IFERROR(__xludf.DUMMYFUNCTION("""COMPUTED_VALUE"""),"F6125128057")</f>
        <v>F6125128057</v>
      </c>
      <c r="D3190" s="8">
        <f>IFERROR(__xludf.DUMMYFUNCTION("""COMPUTED_VALUE"""),64.0)</f>
        <v>64</v>
      </c>
      <c r="E3190" s="2"/>
    </row>
    <row r="3191">
      <c r="A3191" s="2"/>
      <c r="B3191" s="8" t="str">
        <f>IFERROR(__xludf.DUMMYFUNCTION("""COMPUTED_VALUE"""),"JULIANA DELVINA SARI")</f>
        <v>JULIANA DELVINA SARI</v>
      </c>
      <c r="C3191" s="8" t="str">
        <f>IFERROR(__xludf.DUMMYFUNCTION("""COMPUTED_VALUE"""),"J0625127652")</f>
        <v>J0625127652</v>
      </c>
      <c r="D3191" s="8">
        <f>IFERROR(__xludf.DUMMYFUNCTION("""COMPUTED_VALUE"""),20.0)</f>
        <v>20</v>
      </c>
      <c r="E3191" s="2"/>
    </row>
    <row r="3192">
      <c r="A3192" s="2"/>
      <c r="B3192" s="8" t="str">
        <f>IFERROR(__xludf.DUMMYFUNCTION("""COMPUTED_VALUE"""),"RIZA SETYAWAN")</f>
        <v>RIZA SETYAWAN</v>
      </c>
      <c r="C3192" s="8" t="str">
        <f>IFERROR(__xludf.DUMMYFUNCTION("""COMPUTED_VALUE"""),"R9125121442")</f>
        <v>R9125121442</v>
      </c>
      <c r="D3192" s="8">
        <f>IFERROR(__xludf.DUMMYFUNCTION("""COMPUTED_VALUE"""),34.0)</f>
        <v>34</v>
      </c>
      <c r="E3192" s="2"/>
    </row>
    <row r="3193">
      <c r="A3193" s="2"/>
      <c r="B3193" s="8" t="str">
        <f>IFERROR(__xludf.DUMMYFUNCTION("""COMPUTED_VALUE"""),"RAFI AHMADY")</f>
        <v>RAFI AHMADY</v>
      </c>
      <c r="C3193" s="8" t="str">
        <f>IFERROR(__xludf.DUMMYFUNCTION("""COMPUTED_VALUE"""),"R1325123120")</f>
        <v>R1325123120</v>
      </c>
      <c r="D3193" s="8">
        <f>IFERROR(__xludf.DUMMYFUNCTION("""COMPUTED_VALUE"""),12.0)</f>
        <v>12</v>
      </c>
      <c r="E3193" s="2"/>
    </row>
    <row r="3194">
      <c r="A3194" s="2"/>
      <c r="B3194" s="8" t="str">
        <f>IFERROR(__xludf.DUMMYFUNCTION("""COMPUTED_VALUE"""),"SITI MAYUNI")</f>
        <v>SITI MAYUNI</v>
      </c>
      <c r="C3194" s="8" t="str">
        <f>IFERROR(__xludf.DUMMYFUNCTION("""COMPUTED_VALUE"""),"S6825123226")</f>
        <v>S6825123226</v>
      </c>
      <c r="D3194" s="8">
        <f>IFERROR(__xludf.DUMMYFUNCTION("""COMPUTED_VALUE"""),58.0)</f>
        <v>58</v>
      </c>
      <c r="E3194" s="2"/>
    </row>
    <row r="3195">
      <c r="A3195" s="2"/>
      <c r="B3195" s="8" t="str">
        <f>IFERROR(__xludf.DUMMYFUNCTION("""COMPUTED_VALUE"""),"JAINAL")</f>
        <v>JAINAL</v>
      </c>
      <c r="C3195" s="8" t="str">
        <f>IFERROR(__xludf.DUMMYFUNCTION("""COMPUTED_VALUE"""),"J6625120248")</f>
        <v>J6625120248</v>
      </c>
      <c r="D3195" s="8">
        <f>IFERROR(__xludf.DUMMYFUNCTION("""COMPUTED_VALUE"""),59.0)</f>
        <v>59</v>
      </c>
      <c r="E3195" s="2"/>
    </row>
    <row r="3196">
      <c r="A3196" s="2"/>
      <c r="B3196" s="8" t="str">
        <f>IFERROR(__xludf.DUMMYFUNCTION("""COMPUTED_VALUE"""),"RENDI")</f>
        <v>RENDI</v>
      </c>
      <c r="C3196" s="8" t="str">
        <f>IFERROR(__xludf.DUMMYFUNCTION("""COMPUTED_VALUE"""),"R0225129200")</f>
        <v>R0225129200</v>
      </c>
      <c r="D3196" s="8">
        <f>IFERROR(__xludf.DUMMYFUNCTION("""COMPUTED_VALUE"""),24.0)</f>
        <v>24</v>
      </c>
      <c r="E3196" s="2"/>
    </row>
    <row r="3197">
      <c r="A3197" s="2"/>
      <c r="B3197" s="8" t="str">
        <f>IFERROR(__xludf.DUMMYFUNCTION("""COMPUTED_VALUE"""),"DEYA NATHASYA RAHMADANY")</f>
        <v>DEYA NATHASYA RAHMADANY</v>
      </c>
      <c r="C3197" s="8" t="str">
        <f>IFERROR(__xludf.DUMMYFUNCTION("""COMPUTED_VALUE"""),"D9825126821")</f>
        <v>D9825126821</v>
      </c>
      <c r="D3197" s="8">
        <f>IFERROR(__xludf.DUMMYFUNCTION("""COMPUTED_VALUE"""),27.0)</f>
        <v>27</v>
      </c>
      <c r="E3197" s="2"/>
    </row>
    <row r="3198">
      <c r="A3198" s="2"/>
      <c r="B3198" s="8" t="str">
        <f>IFERROR(__xludf.DUMMYFUNCTION("""COMPUTED_VALUE"""),"AKHDAN NAUFAL")</f>
        <v>AKHDAN NAUFAL</v>
      </c>
      <c r="C3198" s="8" t="str">
        <f>IFERROR(__xludf.DUMMYFUNCTION("""COMPUTED_VALUE"""),"A9525120897")</f>
        <v>A9525120897</v>
      </c>
      <c r="D3198" s="8">
        <f>IFERROR(__xludf.DUMMYFUNCTION("""COMPUTED_VALUE"""),31.0)</f>
        <v>31</v>
      </c>
      <c r="E3198" s="2"/>
    </row>
    <row r="3199">
      <c r="A3199" s="2"/>
      <c r="B3199" s="8" t="str">
        <f>IFERROR(__xludf.DUMMYFUNCTION("""COMPUTED_VALUE"""),"DECKY TRIONO")</f>
        <v>DECKY TRIONO</v>
      </c>
      <c r="C3199" s="8" t="str">
        <f>IFERROR(__xludf.DUMMYFUNCTION("""COMPUTED_VALUE"""),"D7725120078")</f>
        <v>D7725120078</v>
      </c>
      <c r="D3199" s="8">
        <f>IFERROR(__xludf.DUMMYFUNCTION("""COMPUTED_VALUE"""),49.0)</f>
        <v>49</v>
      </c>
      <c r="E3199" s="2"/>
    </row>
    <row r="3200">
      <c r="A3200" s="2"/>
      <c r="B3200" s="8" t="str">
        <f>IFERROR(__xludf.DUMMYFUNCTION("""COMPUTED_VALUE"""),"SYARIF SUHERMAN")</f>
        <v>SYARIF SUHERMAN</v>
      </c>
      <c r="C3200" s="8" t="str">
        <f>IFERROR(__xludf.DUMMYFUNCTION("""COMPUTED_VALUE"""),"S7125124801")</f>
        <v>S7125124801</v>
      </c>
      <c r="D3200" s="8">
        <f>IFERROR(__xludf.DUMMYFUNCTION("""COMPUTED_VALUE"""),55.0)</f>
        <v>55</v>
      </c>
      <c r="E3200" s="2"/>
    </row>
    <row r="3201">
      <c r="A3201" s="2"/>
      <c r="B3201" s="8" t="str">
        <f>IFERROR(__xludf.DUMMYFUNCTION("""COMPUTED_VALUE"""),"JUN FONG")</f>
        <v>JUN FONG</v>
      </c>
      <c r="C3201" s="8" t="str">
        <f>IFERROR(__xludf.DUMMYFUNCTION("""COMPUTED_VALUE"""),"J9824114915")</f>
        <v>J9824114915</v>
      </c>
      <c r="D3201" s="8">
        <f>IFERROR(__xludf.DUMMYFUNCTION("""COMPUTED_VALUE"""),27.0)</f>
        <v>27</v>
      </c>
      <c r="E3201" s="2"/>
    </row>
    <row r="3202">
      <c r="A3202" s="2"/>
      <c r="B3202" s="8" t="str">
        <f>IFERROR(__xludf.DUMMYFUNCTION("""COMPUTED_VALUE"""),"TJONG LIE TJHIUN ALS SUKIMAN")</f>
        <v>TJONG LIE TJHIUN ALS SUKIMAN</v>
      </c>
      <c r="C3202" s="8" t="str">
        <f>IFERROR(__xludf.DUMMYFUNCTION("""COMPUTED_VALUE"""),"T4825127000")</f>
        <v>T4825127000</v>
      </c>
      <c r="D3202" s="8">
        <f>IFERROR(__xludf.DUMMYFUNCTION("""COMPUTED_VALUE"""),78.0)</f>
        <v>78</v>
      </c>
      <c r="E3202" s="2"/>
    </row>
    <row r="3203">
      <c r="A3203" s="2"/>
      <c r="B3203" s="8" t="str">
        <f>IFERROR(__xludf.DUMMYFUNCTION("""COMPUTED_VALUE"""),"SITI NURHAINI")</f>
        <v>SITI NURHAINI</v>
      </c>
      <c r="C3203" s="8" t="str">
        <f>IFERROR(__xludf.DUMMYFUNCTION("""COMPUTED_VALUE"""),"S0125120326")</f>
        <v>S0125120326</v>
      </c>
      <c r="D3203" s="8">
        <f>IFERROR(__xludf.DUMMYFUNCTION("""COMPUTED_VALUE"""),25.0)</f>
        <v>25</v>
      </c>
      <c r="E3203" s="2"/>
    </row>
    <row r="3204">
      <c r="A3204" s="2"/>
      <c r="B3204" s="8" t="str">
        <f>IFERROR(__xludf.DUMMYFUNCTION("""COMPUTED_VALUE"""),"LIE SOI TJU")</f>
        <v>LIE SOI TJU</v>
      </c>
      <c r="C3204" s="8" t="str">
        <f>IFERROR(__xludf.DUMMYFUNCTION("""COMPUTED_VALUE"""),"L5825122264")</f>
        <v>L5825122264</v>
      </c>
      <c r="D3204" s="8">
        <f>IFERROR(__xludf.DUMMYFUNCTION("""COMPUTED_VALUE"""),67.0)</f>
        <v>67</v>
      </c>
      <c r="E3204" s="2"/>
    </row>
    <row r="3205">
      <c r="A3205" s="2"/>
      <c r="B3205" s="8" t="str">
        <f>IFERROR(__xludf.DUMMYFUNCTION("""COMPUTED_VALUE"""),"MUHARDI LIMAS")</f>
        <v>MUHARDI LIMAS</v>
      </c>
      <c r="C3205" s="8" t="str">
        <f>IFERROR(__xludf.DUMMYFUNCTION("""COMPUTED_VALUE"""),"M4125129007")</f>
        <v>M4125129007</v>
      </c>
      <c r="D3205" s="8">
        <f>IFERROR(__xludf.DUMMYFUNCTION("""COMPUTED_VALUE"""),84.0)</f>
        <v>84</v>
      </c>
      <c r="E3205" s="2"/>
    </row>
    <row r="3206">
      <c r="A3206" s="2"/>
      <c r="B3206" s="8" t="str">
        <f>IFERROR(__xludf.DUMMYFUNCTION("""COMPUTED_VALUE"""),"STEVEN HARYANTO")</f>
        <v>STEVEN HARYANTO</v>
      </c>
      <c r="C3206" s="8" t="str">
        <f>IFERROR(__xludf.DUMMYFUNCTION("""COMPUTED_VALUE"""),"S0025121122")</f>
        <v>S0025121122</v>
      </c>
      <c r="D3206" s="8">
        <f>IFERROR(__xludf.DUMMYFUNCTION("""COMPUTED_VALUE"""),25.0)</f>
        <v>25</v>
      </c>
      <c r="E3206" s="2"/>
    </row>
    <row r="3207">
      <c r="A3207" s="2"/>
      <c r="B3207" s="8" t="str">
        <f>IFERROR(__xludf.DUMMYFUNCTION("""COMPUTED_VALUE"""),"SOEPARTO")</f>
        <v>SOEPARTO</v>
      </c>
      <c r="C3207" s="8" t="str">
        <f>IFERROR(__xludf.DUMMYFUNCTION("""COMPUTED_VALUE"""),"S5125127001")</f>
        <v>S5125127001</v>
      </c>
      <c r="D3207" s="8">
        <f>IFERROR(__xludf.DUMMYFUNCTION("""COMPUTED_VALUE"""),75.0)</f>
        <v>75</v>
      </c>
      <c r="E3207" s="2"/>
    </row>
    <row r="3208">
      <c r="A3208" s="2"/>
      <c r="B3208" s="8" t="str">
        <f>IFERROR(__xludf.DUMMYFUNCTION("""COMPUTED_VALUE"""),"ARISYA AHZA NAURA")</f>
        <v>ARISYA AHZA NAURA</v>
      </c>
      <c r="C3208" s="8" t="str">
        <f>IFERROR(__xludf.DUMMYFUNCTION("""COMPUTED_VALUE"""),"A1325122428")</f>
        <v>A1325122428</v>
      </c>
      <c r="D3208" s="8">
        <f>IFERROR(__xludf.DUMMYFUNCTION("""COMPUTED_VALUE"""),12.0)</f>
        <v>12</v>
      </c>
      <c r="E3208" s="2"/>
    </row>
    <row r="3209">
      <c r="A3209" s="2"/>
      <c r="B3209" s="8" t="str">
        <f>IFERROR(__xludf.DUMMYFUNCTION("""COMPUTED_VALUE"""),"CITRA PURNAMA SARI")</f>
        <v>CITRA PURNAMA SARI</v>
      </c>
      <c r="C3209" s="8" t="str">
        <f>IFERROR(__xludf.DUMMYFUNCTION("""COMPUTED_VALUE"""),"C9225128367")</f>
        <v>C9225128367</v>
      </c>
      <c r="D3209" s="8">
        <f>IFERROR(__xludf.DUMMYFUNCTION("""COMPUTED_VALUE"""),34.0)</f>
        <v>34</v>
      </c>
      <c r="E3209" s="2"/>
    </row>
    <row r="3210">
      <c r="A3210" s="2"/>
      <c r="B3210" s="8" t="str">
        <f>IFERROR(__xludf.DUMMYFUNCTION("""COMPUTED_VALUE"""),"KASTI")</f>
        <v>KASTI</v>
      </c>
      <c r="C3210" s="8" t="str">
        <f>IFERROR(__xludf.DUMMYFUNCTION("""COMPUTED_VALUE"""),"K7425121740")</f>
        <v>K7425121740</v>
      </c>
      <c r="D3210" s="8">
        <f>IFERROR(__xludf.DUMMYFUNCTION("""COMPUTED_VALUE"""),52.0)</f>
        <v>52</v>
      </c>
      <c r="E3210" s="2"/>
    </row>
    <row r="3211">
      <c r="A3211" s="2"/>
      <c r="B3211" s="8" t="str">
        <f>IFERROR(__xludf.DUMMYFUNCTION("""COMPUTED_VALUE"""),"THJANG TAT LIM")</f>
        <v>THJANG TAT LIM</v>
      </c>
      <c r="C3211" s="8" t="str">
        <f>IFERROR(__xludf.DUMMYFUNCTION("""COMPUTED_VALUE"""),"T5125126845")</f>
        <v>T5125126845</v>
      </c>
      <c r="D3211" s="8">
        <f>IFERROR(__xludf.DUMMYFUNCTION("""COMPUTED_VALUE"""),75.0)</f>
        <v>75</v>
      </c>
      <c r="E3211" s="2"/>
    </row>
    <row r="3212">
      <c r="A3212" s="2"/>
      <c r="B3212" s="8" t="str">
        <f>IFERROR(__xludf.DUMMYFUNCTION("""COMPUTED_VALUE"""),"ANGELICA")</f>
        <v>ANGELICA</v>
      </c>
      <c r="C3212" s="8" t="str">
        <f>IFERROR(__xludf.DUMMYFUNCTION("""COMPUTED_VALUE"""),"A0825125687")</f>
        <v>A0825125687</v>
      </c>
      <c r="D3212" s="8">
        <f>IFERROR(__xludf.DUMMYFUNCTION("""COMPUTED_VALUE"""),17.0)</f>
        <v>17</v>
      </c>
      <c r="E3212" s="2"/>
    </row>
    <row r="3213">
      <c r="A3213" s="2"/>
      <c r="B3213" s="8" t="str">
        <f>IFERROR(__xludf.DUMMYFUNCTION("""COMPUTED_VALUE"""),"BEDJO RAHARDJO")</f>
        <v>BEDJO RAHARDJO</v>
      </c>
      <c r="C3213" s="8" t="str">
        <f>IFERROR(__xludf.DUMMYFUNCTION("""COMPUTED_VALUE"""),"B5325129871")</f>
        <v>B5325129871</v>
      </c>
      <c r="D3213" s="8">
        <f>IFERROR(__xludf.DUMMYFUNCTION("""COMPUTED_VALUE"""),73.0)</f>
        <v>73</v>
      </c>
      <c r="E3213" s="2"/>
    </row>
    <row r="3214">
      <c r="A3214" s="2"/>
      <c r="B3214" s="8" t="str">
        <f>IFERROR(__xludf.DUMMYFUNCTION("""COMPUTED_VALUE"""),"VERGI ARKADYA")</f>
        <v>VERGI ARKADYA</v>
      </c>
      <c r="C3214" s="8" t="str">
        <f>IFERROR(__xludf.DUMMYFUNCTION("""COMPUTED_VALUE"""),"V5325123931")</f>
        <v>V5325123931</v>
      </c>
      <c r="D3214" s="8">
        <f>IFERROR(__xludf.DUMMYFUNCTION("""COMPUTED_VALUE"""),72.0)</f>
        <v>72</v>
      </c>
      <c r="E3214" s="2"/>
    </row>
    <row r="3215">
      <c r="A3215" s="2"/>
      <c r="B3215" s="8" t="str">
        <f>IFERROR(__xludf.DUMMYFUNCTION("""COMPUTED_VALUE"""),"YOSTRYAN CHENATA")</f>
        <v>YOSTRYAN CHENATA</v>
      </c>
      <c r="C3215" s="8" t="str">
        <f>IFERROR(__xludf.DUMMYFUNCTION("""COMPUTED_VALUE"""),"Y9425125852")</f>
        <v>Y9425125852</v>
      </c>
      <c r="D3215" s="8">
        <f>IFERROR(__xludf.DUMMYFUNCTION("""COMPUTED_VALUE"""),31.0)</f>
        <v>31</v>
      </c>
      <c r="E3215" s="2"/>
    </row>
    <row r="3216">
      <c r="A3216" s="2"/>
      <c r="B3216" s="8" t="str">
        <f>IFERROR(__xludf.DUMMYFUNCTION("""COMPUTED_VALUE"""),"HENDRI WIJAYA")</f>
        <v>HENDRI WIJAYA</v>
      </c>
      <c r="C3216" s="8" t="str">
        <f>IFERROR(__xludf.DUMMYFUNCTION("""COMPUTED_VALUE"""),"H9425120685")</f>
        <v>H9425120685</v>
      </c>
      <c r="D3216" s="8">
        <f>IFERROR(__xludf.DUMMYFUNCTION("""COMPUTED_VALUE"""),32.0)</f>
        <v>32</v>
      </c>
      <c r="E3216" s="2"/>
    </row>
    <row r="3217">
      <c r="A3217" s="2"/>
      <c r="B3217" s="8" t="str">
        <f>IFERROR(__xludf.DUMMYFUNCTION("""COMPUTED_VALUE"""),"RAMOTI PUTRA MANALU")</f>
        <v>RAMOTI PUTRA MANALU</v>
      </c>
      <c r="C3217" s="8" t="str">
        <f>IFERROR(__xludf.DUMMYFUNCTION("""COMPUTED_VALUE"""),"R9525121510")</f>
        <v>R9525121510</v>
      </c>
      <c r="D3217" s="8">
        <f>IFERROR(__xludf.DUMMYFUNCTION("""COMPUTED_VALUE"""),30.0)</f>
        <v>30</v>
      </c>
      <c r="E3217" s="2"/>
    </row>
    <row r="3218">
      <c r="A3218" s="2"/>
      <c r="B3218" s="8" t="str">
        <f>IFERROR(__xludf.DUMMYFUNCTION("""COMPUTED_VALUE"""),"RANDA ARZA SAPUTRA")</f>
        <v>RANDA ARZA SAPUTRA</v>
      </c>
      <c r="C3218" s="8" t="str">
        <f>IFERROR(__xludf.DUMMYFUNCTION("""COMPUTED_VALUE"""),"R9125127920")</f>
        <v>R9125127920</v>
      </c>
      <c r="D3218" s="8">
        <f>IFERROR(__xludf.DUMMYFUNCTION("""COMPUTED_VALUE"""),34.0)</f>
        <v>34</v>
      </c>
      <c r="E3218" s="2"/>
    </row>
    <row r="3219">
      <c r="A3219" s="2"/>
      <c r="B3219" s="8" t="str">
        <f>IFERROR(__xludf.DUMMYFUNCTION("""COMPUTED_VALUE"""),"LIMINA DJUITA LIMAS")</f>
        <v>LIMINA DJUITA LIMAS</v>
      </c>
      <c r="C3219" s="8" t="str">
        <f>IFERROR(__xludf.DUMMYFUNCTION("""COMPUTED_VALUE"""),"L5725128222")</f>
        <v>L5725128222</v>
      </c>
      <c r="D3219" s="8">
        <f>IFERROR(__xludf.DUMMYFUNCTION("""COMPUTED_VALUE"""),69.0)</f>
        <v>69</v>
      </c>
      <c r="E3219" s="2"/>
    </row>
    <row r="3220">
      <c r="A3220" s="2"/>
      <c r="B3220" s="8" t="str">
        <f>IFERROR(__xludf.DUMMYFUNCTION("""COMPUTED_VALUE"""),"NITTA ROLLITA")</f>
        <v>NITTA ROLLITA</v>
      </c>
      <c r="C3220" s="8" t="str">
        <f>IFERROR(__xludf.DUMMYFUNCTION("""COMPUTED_VALUE"""),"N7025034060")</f>
        <v>N7025034060</v>
      </c>
      <c r="D3220" s="8">
        <f>IFERROR(__xludf.DUMMYFUNCTION("""COMPUTED_VALUE"""),56.0)</f>
        <v>56</v>
      </c>
      <c r="E3220" s="2"/>
    </row>
    <row r="3221">
      <c r="A3221" s="2"/>
      <c r="B3221" s="8" t="str">
        <f>IFERROR(__xludf.DUMMYFUNCTION("""COMPUTED_VALUE"""),"VARIEL RIZKI AHMAD NUGRAHA")</f>
        <v>VARIEL RIZKI AHMAD NUGRAHA</v>
      </c>
      <c r="C3221" s="8" t="str">
        <f>IFERROR(__xludf.DUMMYFUNCTION("""COMPUTED_VALUE"""),"V0725122979")</f>
        <v>V0725122979</v>
      </c>
      <c r="D3221" s="8">
        <f>IFERROR(__xludf.DUMMYFUNCTION("""COMPUTED_VALUE"""),19.0)</f>
        <v>19</v>
      </c>
      <c r="E3221" s="2"/>
    </row>
    <row r="3222">
      <c r="A3222" s="2"/>
      <c r="B3222" s="8" t="str">
        <f>IFERROR(__xludf.DUMMYFUNCTION("""COMPUTED_VALUE"""),"PHE BAK SONG")</f>
        <v>PHE BAK SONG</v>
      </c>
      <c r="C3222" s="8" t="str">
        <f>IFERROR(__xludf.DUMMYFUNCTION("""COMPUTED_VALUE"""),"P0825121639")</f>
        <v>P0825121639</v>
      </c>
      <c r="D3222" s="8">
        <f>IFERROR(__xludf.DUMMYFUNCTION("""COMPUTED_VALUE"""),18.0)</f>
        <v>18</v>
      </c>
      <c r="E3222" s="2"/>
    </row>
    <row r="3223">
      <c r="A3223" s="2"/>
      <c r="B3223" s="8" t="str">
        <f>IFERROR(__xludf.DUMMYFUNCTION("""COMPUTED_VALUE"""),"ROY ARFIAN")</f>
        <v>ROY ARFIAN</v>
      </c>
      <c r="C3223" s="8" t="str">
        <f>IFERROR(__xludf.DUMMYFUNCTION("""COMPUTED_VALUE"""),"R6825123526")</f>
        <v>R6825123526</v>
      </c>
      <c r="D3223" s="8">
        <f>IFERROR(__xludf.DUMMYFUNCTION("""COMPUTED_VALUE"""),58.0)</f>
        <v>58</v>
      </c>
      <c r="E3223" s="2"/>
    </row>
    <row r="3224">
      <c r="A3224" s="2"/>
      <c r="B3224" s="8" t="str">
        <f>IFERROR(__xludf.DUMMYFUNCTION("""COMPUTED_VALUE"""),"ENDAH SEPTIANINGSIH")</f>
        <v>ENDAH SEPTIANINGSIH</v>
      </c>
      <c r="C3224" s="8" t="str">
        <f>IFERROR(__xludf.DUMMYFUNCTION("""COMPUTED_VALUE"""),"E8925127564")</f>
        <v>E8925127564</v>
      </c>
      <c r="D3224" s="8">
        <f>IFERROR(__xludf.DUMMYFUNCTION("""COMPUTED_VALUE"""),36.0)</f>
        <v>36</v>
      </c>
      <c r="E3224" s="2"/>
    </row>
    <row r="3225">
      <c r="A3225" s="2"/>
      <c r="B3225" s="8" t="str">
        <f>IFERROR(__xludf.DUMMYFUNCTION("""COMPUTED_VALUE"""),"DONNY TRI PUJIANTO")</f>
        <v>DONNY TRI PUJIANTO</v>
      </c>
      <c r="C3225" s="8" t="str">
        <f>IFERROR(__xludf.DUMMYFUNCTION("""COMPUTED_VALUE"""),"D9425126561")</f>
        <v>D9425126561</v>
      </c>
      <c r="D3225" s="8">
        <f>IFERROR(__xludf.DUMMYFUNCTION("""COMPUTED_VALUE"""),32.0)</f>
        <v>32</v>
      </c>
      <c r="E3225" s="2"/>
    </row>
    <row r="3226">
      <c r="A3226" s="2"/>
      <c r="B3226" s="8" t="str">
        <f>IFERROR(__xludf.DUMMYFUNCTION("""COMPUTED_VALUE"""),"SUWANDI 5904")</f>
        <v>SUWANDI 5904</v>
      </c>
      <c r="C3226" s="8" t="str">
        <f>IFERROR(__xludf.DUMMYFUNCTION("""COMPUTED_VALUE"""),"S5925126946")</f>
        <v>S5925126946</v>
      </c>
      <c r="D3226" s="8">
        <f>IFERROR(__xludf.DUMMYFUNCTION("""COMPUTED_VALUE"""),67.0)</f>
        <v>67</v>
      </c>
      <c r="E3226" s="2"/>
    </row>
    <row r="3227">
      <c r="A3227" s="2"/>
      <c r="B3227" s="8" t="str">
        <f>IFERROR(__xludf.DUMMYFUNCTION("""COMPUTED_VALUE"""),"RIZKI RAMADHANI")</f>
        <v>RIZKI RAMADHANI</v>
      </c>
      <c r="C3227" s="8" t="str">
        <f>IFERROR(__xludf.DUMMYFUNCTION("""COMPUTED_VALUE"""),"R9125124991")</f>
        <v>R9125124991</v>
      </c>
      <c r="D3227" s="8">
        <f>IFERROR(__xludf.DUMMYFUNCTION("""COMPUTED_VALUE"""),35.0)</f>
        <v>35</v>
      </c>
      <c r="E3227" s="2"/>
    </row>
    <row r="3228">
      <c r="A3228" s="2"/>
      <c r="B3228" s="8" t="str">
        <f>IFERROR(__xludf.DUMMYFUNCTION("""COMPUTED_VALUE"""),"ASNAH")</f>
        <v>ASNAH</v>
      </c>
      <c r="C3228" s="8" t="str">
        <f>IFERROR(__xludf.DUMMYFUNCTION("""COMPUTED_VALUE"""),"A5425122766")</f>
        <v>A5425122766</v>
      </c>
      <c r="D3228" s="8">
        <f>IFERROR(__xludf.DUMMYFUNCTION("""COMPUTED_VALUE"""),72.0)</f>
        <v>72</v>
      </c>
      <c r="E3228" s="2"/>
    </row>
    <row r="3229">
      <c r="A3229" s="2"/>
      <c r="B3229" s="8" t="str">
        <f>IFERROR(__xludf.DUMMYFUNCTION("""COMPUTED_VALUE"""),"ISNINDAR")</f>
        <v>ISNINDAR</v>
      </c>
      <c r="C3229" s="8" t="str">
        <f>IFERROR(__xludf.DUMMYFUNCTION("""COMPUTED_VALUE"""),"I7825120767")</f>
        <v>I7825120767</v>
      </c>
      <c r="D3229" s="8">
        <f>IFERROR(__xludf.DUMMYFUNCTION("""COMPUTED_VALUE"""),47.0)</f>
        <v>47</v>
      </c>
      <c r="E3229" s="2"/>
    </row>
    <row r="3230">
      <c r="A3230" s="2"/>
      <c r="B3230" s="8" t="str">
        <f>IFERROR(__xludf.DUMMYFUNCTION("""COMPUTED_VALUE"""),"RIDHO TOBING")</f>
        <v>RIDHO TOBING</v>
      </c>
      <c r="C3230" s="8" t="str">
        <f>IFERROR(__xludf.DUMMYFUNCTION("""COMPUTED_VALUE"""),"R0325122390")</f>
        <v>R0325122390</v>
      </c>
      <c r="D3230" s="8">
        <f>IFERROR(__xludf.DUMMYFUNCTION("""COMPUTED_VALUE"""),22.0)</f>
        <v>22</v>
      </c>
      <c r="E3230" s="2"/>
    </row>
    <row r="3231">
      <c r="A3231" s="2"/>
      <c r="B3231" s="8" t="str">
        <f>IFERROR(__xludf.DUMMYFUNCTION("""COMPUTED_VALUE"""),"ROHAYATI")</f>
        <v>ROHAYATI</v>
      </c>
      <c r="C3231" s="8" t="str">
        <f>IFERROR(__xludf.DUMMYFUNCTION("""COMPUTED_VALUE"""),"R6325126355")</f>
        <v>R6325126355</v>
      </c>
      <c r="D3231" s="8">
        <f>IFERROR(__xludf.DUMMYFUNCTION("""COMPUTED_VALUE"""),63.0)</f>
        <v>63</v>
      </c>
      <c r="E3231" s="2"/>
    </row>
    <row r="3232">
      <c r="A3232" s="2"/>
      <c r="B3232" s="8" t="str">
        <f>IFERROR(__xludf.DUMMYFUNCTION("""COMPUTED_VALUE"""),"DRSHENDRA SALIM")</f>
        <v>DRSHENDRA SALIM</v>
      </c>
      <c r="C3232" s="8" t="str">
        <f>IFERROR(__xludf.DUMMYFUNCTION("""COMPUTED_VALUE"""),"D5325127738")</f>
        <v>D5325127738</v>
      </c>
      <c r="D3232" s="8">
        <f>IFERROR(__xludf.DUMMYFUNCTION("""COMPUTED_VALUE"""),73.0)</f>
        <v>73</v>
      </c>
      <c r="E3232" s="2"/>
    </row>
    <row r="3233">
      <c r="A3233" s="2"/>
      <c r="B3233" s="8" t="str">
        <f>IFERROR(__xludf.DUMMYFUNCTION("""COMPUTED_VALUE"""),"NORIZAN")</f>
        <v>NORIZAN</v>
      </c>
      <c r="C3233" s="8" t="str">
        <f>IFERROR(__xludf.DUMMYFUNCTION("""COMPUTED_VALUE"""),"N6225128383")</f>
        <v>N6225128383</v>
      </c>
      <c r="D3233" s="8">
        <f>IFERROR(__xludf.DUMMYFUNCTION("""COMPUTED_VALUE"""),64.0)</f>
        <v>64</v>
      </c>
      <c r="E3233" s="2"/>
    </row>
    <row r="3234">
      <c r="A3234" s="2"/>
      <c r="B3234" s="8" t="str">
        <f>IFERROR(__xludf.DUMMYFUNCTION("""COMPUTED_VALUE"""),"IVAN TANSARITO")</f>
        <v>IVAN TANSARITO</v>
      </c>
      <c r="C3234" s="8" t="str">
        <f>IFERROR(__xludf.DUMMYFUNCTION("""COMPUTED_VALUE"""),"I8325126278")</f>
        <v>I8325126278</v>
      </c>
      <c r="D3234" s="8">
        <f>IFERROR(__xludf.DUMMYFUNCTION("""COMPUTED_VALUE"""),43.0)</f>
        <v>43</v>
      </c>
      <c r="E3234" s="2"/>
    </row>
    <row r="3235">
      <c r="A3235" s="2"/>
      <c r="B3235" s="8" t="str">
        <f>IFERROR(__xludf.DUMMYFUNCTION("""COMPUTED_VALUE"""),"RIZKADEA BELIANTO")</f>
        <v>RIZKADEA BELIANTO</v>
      </c>
      <c r="C3235" s="8" t="str">
        <f>IFERROR(__xludf.DUMMYFUNCTION("""COMPUTED_VALUE"""),"R9325125636")</f>
        <v>R9325125636</v>
      </c>
      <c r="D3235" s="8">
        <f>IFERROR(__xludf.DUMMYFUNCTION("""COMPUTED_VALUE"""),33.0)</f>
        <v>33</v>
      </c>
      <c r="E3235" s="2"/>
    </row>
    <row r="3236">
      <c r="A3236" s="2"/>
      <c r="B3236" s="8" t="str">
        <f>IFERROR(__xludf.DUMMYFUNCTION("""COMPUTED_VALUE"""),"FERA HENDRY")</f>
        <v>FERA HENDRY</v>
      </c>
      <c r="C3236" s="8" t="str">
        <f>IFERROR(__xludf.DUMMYFUNCTION("""COMPUTED_VALUE"""),"F8325127729")</f>
        <v>F8325127729</v>
      </c>
      <c r="D3236" s="8">
        <f>IFERROR(__xludf.DUMMYFUNCTION("""COMPUTED_VALUE"""),43.0)</f>
        <v>43</v>
      </c>
      <c r="E3236" s="2"/>
    </row>
    <row r="3237">
      <c r="A3237" s="2"/>
      <c r="B3237" s="8" t="str">
        <f>IFERROR(__xludf.DUMMYFUNCTION("""COMPUTED_VALUE"""),"SYARIFAH FADILLAH")</f>
        <v>SYARIFAH FADILLAH</v>
      </c>
      <c r="C3237" s="8" t="str">
        <f>IFERROR(__xludf.DUMMYFUNCTION("""COMPUTED_VALUE"""),"S7425126230")</f>
        <v>S7425126230</v>
      </c>
      <c r="D3237" s="8">
        <f>IFERROR(__xludf.DUMMYFUNCTION("""COMPUTED_VALUE"""),52.0)</f>
        <v>52</v>
      </c>
      <c r="E3237" s="2"/>
    </row>
    <row r="3238">
      <c r="A3238" s="2"/>
      <c r="B3238" s="8" t="str">
        <f>IFERROR(__xludf.DUMMYFUNCTION("""COMPUTED_VALUE"""),"YANTI LIM")</f>
        <v>YANTI LIM</v>
      </c>
      <c r="C3238" s="8" t="str">
        <f>IFERROR(__xludf.DUMMYFUNCTION("""COMPUTED_VALUE"""),"Y7125120189")</f>
        <v>Y7125120189</v>
      </c>
      <c r="D3238" s="8">
        <f>IFERROR(__xludf.DUMMYFUNCTION("""COMPUTED_VALUE"""),55.0)</f>
        <v>55</v>
      </c>
      <c r="E3238" s="2"/>
    </row>
    <row r="3239">
      <c r="A3239" s="2"/>
      <c r="B3239" s="8" t="str">
        <f>IFERROR(__xludf.DUMMYFUNCTION("""COMPUTED_VALUE"""),"FIERLY ALYA KINANTI")</f>
        <v>FIERLY ALYA KINANTI</v>
      </c>
      <c r="C3239" s="8" t="str">
        <f>IFERROR(__xludf.DUMMYFUNCTION("""COMPUTED_VALUE"""),"F9825129501")</f>
        <v>F9825129501</v>
      </c>
      <c r="D3239" s="8">
        <f>IFERROR(__xludf.DUMMYFUNCTION("""COMPUTED_VALUE"""),27.0)</f>
        <v>27</v>
      </c>
      <c r="E3239" s="2"/>
    </row>
    <row r="3240">
      <c r="A3240" s="2"/>
      <c r="B3240" s="8" t="str">
        <f>IFERROR(__xludf.DUMMYFUNCTION("""COMPUTED_VALUE"""),"NAOMI APRILIA SIMANULLANG")</f>
        <v>NAOMI APRILIA SIMANULLANG</v>
      </c>
      <c r="C3240" s="8" t="str">
        <f>IFERROR(__xludf.DUMMYFUNCTION("""COMPUTED_VALUE"""),"N0825129205")</f>
        <v>N0825129205</v>
      </c>
      <c r="D3240" s="8">
        <f>IFERROR(__xludf.DUMMYFUNCTION("""COMPUTED_VALUE"""),18.0)</f>
        <v>18</v>
      </c>
      <c r="E3240" s="2"/>
    </row>
    <row r="3241">
      <c r="A3241" s="2"/>
      <c r="B3241" s="8" t="str">
        <f>IFERROR(__xludf.DUMMYFUNCTION("""COMPUTED_VALUE"""),"MUDIONO HARYANTO")</f>
        <v>MUDIONO HARYANTO</v>
      </c>
      <c r="C3241" s="8" t="str">
        <f>IFERROR(__xludf.DUMMYFUNCTION("""COMPUTED_VALUE"""),"M7925125522")</f>
        <v>M7925125522</v>
      </c>
      <c r="D3241" s="8">
        <f>IFERROR(__xludf.DUMMYFUNCTION("""COMPUTED_VALUE"""),47.0)</f>
        <v>47</v>
      </c>
      <c r="E3241" s="2"/>
    </row>
    <row r="3242">
      <c r="A3242" s="2"/>
      <c r="B3242" s="8" t="str">
        <f>IFERROR(__xludf.DUMMYFUNCTION("""COMPUTED_VALUE"""),"CHRISTINA")</f>
        <v>CHRISTINA</v>
      </c>
      <c r="C3242" s="8" t="str">
        <f>IFERROR(__xludf.DUMMYFUNCTION("""COMPUTED_VALUE"""),"C9125120366")</f>
        <v>C9125120366</v>
      </c>
      <c r="D3242" s="8">
        <f>IFERROR(__xludf.DUMMYFUNCTION("""COMPUTED_VALUE"""),35.0)</f>
        <v>35</v>
      </c>
      <c r="E3242" s="2"/>
    </row>
    <row r="3243">
      <c r="A3243" s="2"/>
      <c r="B3243" s="8" t="str">
        <f>IFERROR(__xludf.DUMMYFUNCTION("""COMPUTED_VALUE"""),"JOKEND ZAPOTA PUTRA")</f>
        <v>JOKEND ZAPOTA PUTRA</v>
      </c>
      <c r="C3243" s="8" t="str">
        <f>IFERROR(__xludf.DUMMYFUNCTION("""COMPUTED_VALUE"""),"J9425122013")</f>
        <v>J9425122013</v>
      </c>
      <c r="D3243" s="8">
        <f>IFERROR(__xludf.DUMMYFUNCTION("""COMPUTED_VALUE"""),32.0)</f>
        <v>32</v>
      </c>
      <c r="E3243" s="2"/>
    </row>
    <row r="3244">
      <c r="A3244" s="2"/>
      <c r="B3244" s="8" t="str">
        <f>IFERROR(__xludf.DUMMYFUNCTION("""COMPUTED_VALUE"""),"ANDIANA MARJAYANTI")</f>
        <v>ANDIANA MARJAYANTI</v>
      </c>
      <c r="C3244" s="8" t="str">
        <f>IFERROR(__xludf.DUMMYFUNCTION("""COMPUTED_VALUE"""),"A9725127646")</f>
        <v>A9725127646</v>
      </c>
      <c r="D3244" s="8">
        <f>IFERROR(__xludf.DUMMYFUNCTION("""COMPUTED_VALUE"""),29.0)</f>
        <v>29</v>
      </c>
      <c r="E3244" s="2"/>
    </row>
    <row r="3245">
      <c r="A3245" s="2"/>
      <c r="B3245" s="8" t="str">
        <f>IFERROR(__xludf.DUMMYFUNCTION("""COMPUTED_VALUE"""),"PUTERA ANUGRAH PRATAMA")</f>
        <v>PUTERA ANUGRAH PRATAMA</v>
      </c>
      <c r="C3245" s="8" t="str">
        <f>IFERROR(__xludf.DUMMYFUNCTION("""COMPUTED_VALUE"""),"P0126012885")</f>
        <v>P0126012885</v>
      </c>
      <c r="D3245" s="8">
        <f>IFERROR(__xludf.DUMMYFUNCTION("""COMPUTED_VALUE"""),25.0)</f>
        <v>25</v>
      </c>
      <c r="E3245" s="2"/>
    </row>
    <row r="3246">
      <c r="A3246" s="2"/>
      <c r="B3246" s="8" t="str">
        <f>IFERROR(__xludf.DUMMYFUNCTION("""COMPUTED_VALUE"""),"ATHA HANIF PRADIPTA")</f>
        <v>ATHA HANIF PRADIPTA</v>
      </c>
      <c r="C3246" s="8" t="str">
        <f>IFERROR(__xludf.DUMMYFUNCTION("""COMPUTED_VALUE"""),"A1926011979")</f>
        <v>A1926011979</v>
      </c>
      <c r="D3246" s="8">
        <f>IFERROR(__xludf.DUMMYFUNCTION("""COMPUTED_VALUE"""),6.0)</f>
        <v>6</v>
      </c>
      <c r="E3246" s="2"/>
    </row>
    <row r="3247">
      <c r="A3247" s="2"/>
      <c r="B3247" s="8" t="str">
        <f>IFERROR(__xludf.DUMMYFUNCTION("""COMPUTED_VALUE"""),"EMMA")</f>
        <v>EMMA</v>
      </c>
      <c r="C3247" s="8" t="str">
        <f>IFERROR(__xludf.DUMMYFUNCTION("""COMPUTED_VALUE"""),"E6526011717")</f>
        <v>E6526011717</v>
      </c>
      <c r="D3247" s="8">
        <f>IFERROR(__xludf.DUMMYFUNCTION("""COMPUTED_VALUE"""),60.0)</f>
        <v>60</v>
      </c>
      <c r="E3247" s="2"/>
    </row>
    <row r="3248">
      <c r="A3248" s="2"/>
      <c r="B3248" s="8" t="str">
        <f>IFERROR(__xludf.DUMMYFUNCTION("""COMPUTED_VALUE"""),"KOLENIUS KOLAI")</f>
        <v>KOLENIUS KOLAI</v>
      </c>
      <c r="C3248" s="8" t="str">
        <f>IFERROR(__xludf.DUMMYFUNCTION("""COMPUTED_VALUE"""),"K6226011717")</f>
        <v>K6226011717</v>
      </c>
      <c r="D3248" s="8">
        <f>IFERROR(__xludf.DUMMYFUNCTION("""COMPUTED_VALUE"""),64.0)</f>
        <v>64</v>
      </c>
      <c r="E3248" s="2"/>
    </row>
    <row r="3249">
      <c r="A3249" s="2"/>
      <c r="B3249" s="8" t="str">
        <f>IFERROR(__xludf.DUMMYFUNCTION("""COMPUTED_VALUE"""),"SUGIH WIRAMANTRI ")</f>
        <v>SUGIH WIRAMANTRI </v>
      </c>
      <c r="C3249" s="8" t="str">
        <f>IFERROR(__xludf.DUMMYFUNCTION("""COMPUTED_VALUE"""),"S8526016484")</f>
        <v>S8526016484</v>
      </c>
      <c r="D3249" s="8">
        <f>IFERROR(__xludf.DUMMYFUNCTION("""COMPUTED_VALUE"""),41.0)</f>
        <v>41</v>
      </c>
      <c r="E3249" s="2"/>
    </row>
    <row r="3250">
      <c r="A3250" s="2"/>
      <c r="B3250" s="8" t="str">
        <f>IFERROR(__xludf.DUMMYFUNCTION("""COMPUTED_VALUE"""),"TAUFIK")</f>
        <v>TAUFIK</v>
      </c>
      <c r="C3250" s="8" t="str">
        <f>IFERROR(__xludf.DUMMYFUNCTION("""COMPUTED_VALUE"""),"T9626011444")</f>
        <v>T9626011444</v>
      </c>
      <c r="D3250" s="8">
        <f>IFERROR(__xludf.DUMMYFUNCTION("""COMPUTED_VALUE"""),30.0)</f>
        <v>30</v>
      </c>
      <c r="E3250" s="2"/>
    </row>
    <row r="3251">
      <c r="A3251" s="2"/>
      <c r="B3251" s="8" t="str">
        <f>IFERROR(__xludf.DUMMYFUNCTION("""COMPUTED_VALUE"""),"SHELSY MELANY")</f>
        <v>SHELSY MELANY</v>
      </c>
      <c r="C3251" s="8" t="str">
        <f>IFERROR(__xludf.DUMMYFUNCTION("""COMPUTED_VALUE"""),"S0826017788")</f>
        <v>S0826017788</v>
      </c>
      <c r="D3251" s="8">
        <f>IFERROR(__xludf.DUMMYFUNCTION("""COMPUTED_VALUE"""),18.0)</f>
        <v>18</v>
      </c>
      <c r="E3251" s="2"/>
    </row>
    <row r="3252">
      <c r="A3252" s="2"/>
      <c r="B3252" s="8" t="str">
        <f>IFERROR(__xludf.DUMMYFUNCTION("""COMPUTED_VALUE"""),"YA MUHAMMAD IKHSANDI")</f>
        <v>YA MUHAMMAD IKHSANDI</v>
      </c>
      <c r="C3252" s="8" t="str">
        <f>IFERROR(__xludf.DUMMYFUNCTION("""COMPUTED_VALUE"""),"Y7926011202")</f>
        <v>Y7926011202</v>
      </c>
      <c r="D3252" s="8">
        <f>IFERROR(__xludf.DUMMYFUNCTION("""COMPUTED_VALUE"""),47.0)</f>
        <v>47</v>
      </c>
      <c r="E3252" s="2"/>
    </row>
    <row r="3253">
      <c r="A3253" s="2"/>
      <c r="B3253" s="8" t="str">
        <f>IFERROR(__xludf.DUMMYFUNCTION("""COMPUTED_VALUE"""),"ELISABETH SUTINI")</f>
        <v>ELISABETH SUTINI</v>
      </c>
      <c r="C3253" s="8" t="str">
        <f>IFERROR(__xludf.DUMMYFUNCTION("""COMPUTED_VALUE"""),"E7426018456")</f>
        <v>E7426018456</v>
      </c>
      <c r="D3253" s="8">
        <f>IFERROR(__xludf.DUMMYFUNCTION("""COMPUTED_VALUE"""),51.0)</f>
        <v>51</v>
      </c>
      <c r="E3253" s="2"/>
    </row>
    <row r="3254">
      <c r="A3254" s="2"/>
      <c r="B3254" s="8" t="str">
        <f>IFERROR(__xludf.DUMMYFUNCTION("""COMPUTED_VALUE"""),"PUTRI ATIKAH ")</f>
        <v>PUTRI ATIKAH </v>
      </c>
      <c r="C3254" s="8" t="str">
        <f>IFERROR(__xludf.DUMMYFUNCTION("""COMPUTED_VALUE"""),"P9226019981")</f>
        <v>P9226019981</v>
      </c>
      <c r="D3254" s="8">
        <f>IFERROR(__xludf.DUMMYFUNCTION("""COMPUTED_VALUE"""),33.0)</f>
        <v>33</v>
      </c>
      <c r="E3254" s="2"/>
    </row>
    <row r="3255">
      <c r="A3255" s="2"/>
      <c r="B3255" s="8" t="str">
        <f>IFERROR(__xludf.DUMMYFUNCTION("""COMPUTED_VALUE"""),"WIWIK HARTATI")</f>
        <v>WIWIK HARTATI</v>
      </c>
      <c r="C3255" s="8" t="str">
        <f>IFERROR(__xludf.DUMMYFUNCTION("""COMPUTED_VALUE"""),"W6426018746")</f>
        <v>W6426018746</v>
      </c>
      <c r="D3255" s="8">
        <f>IFERROR(__xludf.DUMMYFUNCTION("""COMPUTED_VALUE"""),61.0)</f>
        <v>61</v>
      </c>
      <c r="E3255" s="2"/>
    </row>
    <row r="3256">
      <c r="A3256" s="2"/>
      <c r="B3256" s="8" t="str">
        <f>IFERROR(__xludf.DUMMYFUNCTION("""COMPUTED_VALUE"""),"MUHAMMAD FADHIL RAMADHANI")</f>
        <v>MUHAMMAD FADHIL RAMADHANI</v>
      </c>
      <c r="C3256" s="8" t="str">
        <f>IFERROR(__xludf.DUMMYFUNCTION("""COMPUTED_VALUE"""),"M0026010397")</f>
        <v>M0026010397</v>
      </c>
      <c r="D3256" s="8">
        <f>IFERROR(__xludf.DUMMYFUNCTION("""COMPUTED_VALUE"""),25.0)</f>
        <v>25</v>
      </c>
      <c r="E3256" s="2"/>
    </row>
    <row r="3257">
      <c r="A3257" s="2"/>
      <c r="B3257" s="8" t="str">
        <f>IFERROR(__xludf.DUMMYFUNCTION("""COMPUTED_VALUE"""),"CHOTIBUL UMAMI")</f>
        <v>CHOTIBUL UMAMI</v>
      </c>
      <c r="C3257" s="8" t="str">
        <f>IFERROR(__xludf.DUMMYFUNCTION("""COMPUTED_VALUE"""),"C6226012197")</f>
        <v>C6226012197</v>
      </c>
      <c r="D3257" s="8">
        <f>IFERROR(__xludf.DUMMYFUNCTION("""COMPUTED_VALUE"""),64.0)</f>
        <v>64</v>
      </c>
      <c r="E3257" s="2"/>
    </row>
    <row r="3258">
      <c r="A3258" s="2"/>
      <c r="B3258" s="8" t="str">
        <f>IFERROR(__xludf.DUMMYFUNCTION("""COMPUTED_VALUE"""),"DARMANSYAH")</f>
        <v>DARMANSYAH</v>
      </c>
      <c r="C3258" s="8" t="str">
        <f>IFERROR(__xludf.DUMMYFUNCTION("""COMPUTED_VALUE"""),"D5626016953")</f>
        <v>D5626016953</v>
      </c>
      <c r="D3258" s="8">
        <f>IFERROR(__xludf.DUMMYFUNCTION("""COMPUTED_VALUE"""),70.0)</f>
        <v>70</v>
      </c>
      <c r="E3258" s="2"/>
    </row>
    <row r="3259">
      <c r="A3259" s="2"/>
      <c r="B3259" s="8" t="str">
        <f>IFERROR(__xludf.DUMMYFUNCTION("""COMPUTED_VALUE"""),"JUVENTYA")</f>
        <v>JUVENTYA</v>
      </c>
      <c r="C3259" s="8" t="str">
        <f>IFERROR(__xludf.DUMMYFUNCTION("""COMPUTED_VALUE"""),"J9526018885")</f>
        <v>J9526018885</v>
      </c>
      <c r="D3259" s="8">
        <f>IFERROR(__xludf.DUMMYFUNCTION("""COMPUTED_VALUE"""),31.0)</f>
        <v>31</v>
      </c>
      <c r="E3259" s="2"/>
    </row>
    <row r="3260">
      <c r="A3260" s="2"/>
      <c r="B3260" s="8" t="str">
        <f>IFERROR(__xludf.DUMMYFUNCTION("""COMPUTED_VALUE"""),"MUHAMMAD FEMAS GHIFARI")</f>
        <v>MUHAMMAD FEMAS GHIFARI</v>
      </c>
      <c r="C3260" s="8" t="str">
        <f>IFERROR(__xludf.DUMMYFUNCTION("""COMPUTED_VALUE"""),"M0626013048")</f>
        <v>M0626013048</v>
      </c>
      <c r="D3260" s="8">
        <f>IFERROR(__xludf.DUMMYFUNCTION("""COMPUTED_VALUE"""),20.0)</f>
        <v>20</v>
      </c>
      <c r="E3260" s="2"/>
    </row>
    <row r="3261">
      <c r="A3261" s="2"/>
      <c r="B3261" s="8" t="str">
        <f>IFERROR(__xludf.DUMMYFUNCTION("""COMPUTED_VALUE"""),"FEDRICK JONATAN ")</f>
        <v>FEDRICK JONATAN </v>
      </c>
      <c r="C3261" s="8" t="str">
        <f>IFERROR(__xludf.DUMMYFUNCTION("""COMPUTED_VALUE"""),"F0326014392")</f>
        <v>F0326014392</v>
      </c>
      <c r="D3261" s="8">
        <f>IFERROR(__xludf.DUMMYFUNCTION("""COMPUTED_VALUE"""),22.0)</f>
        <v>22</v>
      </c>
      <c r="E3261" s="2"/>
    </row>
    <row r="3262">
      <c r="A3262" s="2"/>
      <c r="B3262" s="8" t="str">
        <f>IFERROR(__xludf.DUMMYFUNCTION("""COMPUTED_VALUE"""),"HJ. RUGAYAH")</f>
        <v>HJ. RUGAYAH</v>
      </c>
      <c r="C3262" s="8" t="str">
        <f>IFERROR(__xludf.DUMMYFUNCTION("""COMPUTED_VALUE"""),"H5226011399")</f>
        <v>H5226011399</v>
      </c>
      <c r="D3262" s="8">
        <f>IFERROR(__xludf.DUMMYFUNCTION("""COMPUTED_VALUE"""),74.0)</f>
        <v>74</v>
      </c>
      <c r="E3262" s="2"/>
    </row>
    <row r="3263">
      <c r="A3263" s="2"/>
      <c r="B3263" s="8" t="str">
        <f>IFERROR(__xludf.DUMMYFUNCTION("""COMPUTED_VALUE"""),"SUSANTI 7803")</f>
        <v>SUSANTI 7803</v>
      </c>
      <c r="C3263" s="8" t="str">
        <f>IFERROR(__xludf.DUMMYFUNCTION("""COMPUTED_VALUE"""),"S7826017132")</f>
        <v>S7826017132</v>
      </c>
      <c r="D3263" s="8">
        <f>IFERROR(__xludf.DUMMYFUNCTION("""COMPUTED_VALUE"""),48.0)</f>
        <v>48</v>
      </c>
      <c r="E3263" s="2"/>
    </row>
    <row r="3264">
      <c r="A3264" s="2"/>
      <c r="B3264" s="8" t="str">
        <f>IFERROR(__xludf.DUMMYFUNCTION("""COMPUTED_VALUE"""),"EDI LAZUARDI")</f>
        <v>EDI LAZUARDI</v>
      </c>
      <c r="C3264" s="8" t="str">
        <f>IFERROR(__xludf.DUMMYFUNCTION("""COMPUTED_VALUE"""),"E6126012662")</f>
        <v>E6126012662</v>
      </c>
      <c r="D3264" s="8">
        <f>IFERROR(__xludf.DUMMYFUNCTION("""COMPUTED_VALUE"""),65.0)</f>
        <v>65</v>
      </c>
      <c r="E3264" s="2"/>
    </row>
    <row r="3265">
      <c r="A3265" s="2"/>
      <c r="B3265" s="8" t="str">
        <f>IFERROR(__xludf.DUMMYFUNCTION("""COMPUTED_VALUE"""),"MUSNAINI")</f>
        <v>MUSNAINI</v>
      </c>
      <c r="C3265" s="8" t="str">
        <f>IFERROR(__xludf.DUMMYFUNCTION("""COMPUTED_VALUE"""),"M6526016944")</f>
        <v>M6526016944</v>
      </c>
      <c r="D3265" s="8">
        <f>IFERROR(__xludf.DUMMYFUNCTION("""COMPUTED_VALUE"""),61.0)</f>
        <v>61</v>
      </c>
      <c r="E3265" s="2"/>
    </row>
    <row r="3266">
      <c r="A3266" s="2"/>
      <c r="B3266" s="8" t="str">
        <f>IFERROR(__xludf.DUMMYFUNCTION("""COMPUTED_VALUE"""),"TRIATIE CHALIDYAH")</f>
        <v>TRIATIE CHALIDYAH</v>
      </c>
      <c r="C3266" s="8" t="str">
        <f>IFERROR(__xludf.DUMMYFUNCTION("""COMPUTED_VALUE"""),"T9926017120")</f>
        <v>T9926017120</v>
      </c>
      <c r="D3266" s="8">
        <f>IFERROR(__xludf.DUMMYFUNCTION("""COMPUTED_VALUE"""),27.0)</f>
        <v>27</v>
      </c>
      <c r="E3266" s="2"/>
    </row>
    <row r="3267">
      <c r="A3267" s="2"/>
      <c r="B3267" s="8" t="str">
        <f>IFERROR(__xludf.DUMMYFUNCTION("""COMPUTED_VALUE"""),"KHANZA PUTRI HUMAIRAH")</f>
        <v>KHANZA PUTRI HUMAIRAH</v>
      </c>
      <c r="C3267" s="8" t="str">
        <f>IFERROR(__xludf.DUMMYFUNCTION("""COMPUTED_VALUE"""),"K1526011783")</f>
        <v>K1526011783</v>
      </c>
      <c r="D3267" s="8">
        <f>IFERROR(__xludf.DUMMYFUNCTION("""COMPUTED_VALUE"""),11.0)</f>
        <v>11</v>
      </c>
      <c r="E3267" s="2"/>
    </row>
    <row r="3268">
      <c r="A3268" s="2"/>
      <c r="B3268" s="8" t="str">
        <f>IFERROR(__xludf.DUMMYFUNCTION("""COMPUTED_VALUE"""),"NOPEARIANI, AMD.KEB")</f>
        <v>NOPEARIANI, AMD.KEB</v>
      </c>
      <c r="C3268" s="8" t="str">
        <f>IFERROR(__xludf.DUMMYFUNCTION("""COMPUTED_VALUE"""),"N8626019281")</f>
        <v>N8626019281</v>
      </c>
      <c r="D3268" s="8">
        <f>IFERROR(__xludf.DUMMYFUNCTION("""COMPUTED_VALUE"""),39.0)</f>
        <v>39</v>
      </c>
      <c r="E3268" s="2"/>
    </row>
    <row r="3269">
      <c r="A3269" s="2"/>
      <c r="B3269" s="8" t="str">
        <f>IFERROR(__xludf.DUMMYFUNCTION("""COMPUTED_VALUE"""),"MARTHIN SHARON NAPITUPULU ")</f>
        <v>MARTHIN SHARON NAPITUPULU </v>
      </c>
      <c r="C3269" s="8" t="str">
        <f>IFERROR(__xludf.DUMMYFUNCTION("""COMPUTED_VALUE"""),"M0126012178")</f>
        <v>M0126012178</v>
      </c>
      <c r="D3269" s="8">
        <f>IFERROR(__xludf.DUMMYFUNCTION("""COMPUTED_VALUE"""),25.0)</f>
        <v>25</v>
      </c>
      <c r="E3269" s="2"/>
    </row>
    <row r="3270">
      <c r="A3270" s="2"/>
      <c r="B3270" s="8" t="str">
        <f>IFERROR(__xludf.DUMMYFUNCTION("""COMPUTED_VALUE"""),"CHRIS MULIO JOHANES")</f>
        <v>CHRIS MULIO JOHANES</v>
      </c>
      <c r="C3270" s="8" t="str">
        <f>IFERROR(__xludf.DUMMYFUNCTION("""COMPUTED_VALUE"""),"C8626018854")</f>
        <v>C8626018854</v>
      </c>
      <c r="D3270" s="8">
        <f>IFERROR(__xludf.DUMMYFUNCTION("""COMPUTED_VALUE"""),39.0)</f>
        <v>39</v>
      </c>
      <c r="E3270" s="2"/>
    </row>
    <row r="3271">
      <c r="A3271" s="2"/>
      <c r="B3271" s="8" t="str">
        <f>IFERROR(__xludf.DUMMYFUNCTION("""COMPUTED_VALUE"""),"ICHSAN KAMIL")</f>
        <v>ICHSAN KAMIL</v>
      </c>
      <c r="C3271" s="8" t="str">
        <f>IFERROR(__xludf.DUMMYFUNCTION("""COMPUTED_VALUE"""),"I7126019977")</f>
        <v>I7126019977</v>
      </c>
      <c r="D3271" s="8">
        <f>IFERROR(__xludf.DUMMYFUNCTION("""COMPUTED_VALUE"""),54.0)</f>
        <v>54</v>
      </c>
      <c r="E3271" s="2"/>
    </row>
    <row r="3272">
      <c r="A3272" s="2"/>
      <c r="B3272" s="8" t="str">
        <f>IFERROR(__xludf.DUMMYFUNCTION("""COMPUTED_VALUE"""),"CINDY MONALISA ANDDIE")</f>
        <v>CINDY MONALISA ANDDIE</v>
      </c>
      <c r="C3272" s="8" t="str">
        <f>IFERROR(__xludf.DUMMYFUNCTION("""COMPUTED_VALUE"""),"C8726018004")</f>
        <v>C8726018004</v>
      </c>
      <c r="D3272" s="8">
        <f>IFERROR(__xludf.DUMMYFUNCTION("""COMPUTED_VALUE"""),39.0)</f>
        <v>39</v>
      </c>
      <c r="E3272" s="2"/>
    </row>
    <row r="3273">
      <c r="A3273" s="2"/>
      <c r="B3273" s="8" t="str">
        <f>IFERROR(__xludf.DUMMYFUNCTION("""COMPUTED_VALUE"""),"TJHOA KHA TJE")</f>
        <v>TJHOA KHA TJE</v>
      </c>
      <c r="C3273" s="8" t="str">
        <f>IFERROR(__xludf.DUMMYFUNCTION("""COMPUTED_VALUE"""),"T6326018004")</f>
        <v>T6326018004</v>
      </c>
      <c r="D3273" s="8">
        <f>IFERROR(__xludf.DUMMYFUNCTION("""COMPUTED_VALUE"""),62.0)</f>
        <v>62</v>
      </c>
      <c r="E3273" s="2"/>
    </row>
    <row r="3274">
      <c r="A3274" s="2"/>
      <c r="B3274" s="8" t="str">
        <f>IFERROR(__xludf.DUMMYFUNCTION("""COMPUTED_VALUE"""),"SAMIJO")</f>
        <v>SAMIJO</v>
      </c>
      <c r="C3274" s="8" t="str">
        <f>IFERROR(__xludf.DUMMYFUNCTION("""COMPUTED_VALUE"""),"S7026010528")</f>
        <v>S7026010528</v>
      </c>
      <c r="D3274" s="8">
        <f>IFERROR(__xludf.DUMMYFUNCTION("""COMPUTED_VALUE"""),56.0)</f>
        <v>56</v>
      </c>
      <c r="E3274" s="2"/>
    </row>
    <row r="3275">
      <c r="A3275" s="2"/>
      <c r="B3275" s="8" t="str">
        <f>IFERROR(__xludf.DUMMYFUNCTION("""COMPUTED_VALUE"""),"WIDO")</f>
        <v>WIDO</v>
      </c>
      <c r="C3275" s="8" t="str">
        <f>IFERROR(__xludf.DUMMYFUNCTION("""COMPUTED_VALUE"""),"W0426010855")</f>
        <v>W0426010855</v>
      </c>
      <c r="D3275" s="8">
        <f>IFERROR(__xludf.DUMMYFUNCTION("""COMPUTED_VALUE"""),22.0)</f>
        <v>22</v>
      </c>
      <c r="E3275" s="2"/>
    </row>
    <row r="3276">
      <c r="A3276" s="2"/>
      <c r="B3276" s="8" t="str">
        <f>IFERROR(__xludf.DUMMYFUNCTION("""COMPUTED_VALUE"""),"M FAIZ AL BARA")</f>
        <v>M FAIZ AL BARA</v>
      </c>
      <c r="C3276" s="8" t="str">
        <f>IFERROR(__xludf.DUMMYFUNCTION("""COMPUTED_VALUE"""),"M0926014305")</f>
        <v>M0926014305</v>
      </c>
      <c r="D3276" s="8">
        <f>IFERROR(__xludf.DUMMYFUNCTION("""COMPUTED_VALUE"""),16.0)</f>
        <v>16</v>
      </c>
      <c r="E3276" s="2"/>
    </row>
    <row r="3277">
      <c r="A3277" s="2"/>
      <c r="B3277" s="8" t="str">
        <f>IFERROR(__xludf.DUMMYFUNCTION("""COMPUTED_VALUE"""),"AULIA SUCI NURFADILA")</f>
        <v>AULIA SUCI NURFADILA</v>
      </c>
      <c r="C3277" s="8" t="str">
        <f>IFERROR(__xludf.DUMMYFUNCTION("""COMPUTED_VALUE"""),"A0426019215")</f>
        <v>A0426019215</v>
      </c>
      <c r="D3277" s="8">
        <f>IFERROR(__xludf.DUMMYFUNCTION("""COMPUTED_VALUE"""),22.0)</f>
        <v>22</v>
      </c>
      <c r="E3277" s="2"/>
    </row>
    <row r="3278">
      <c r="A3278" s="2"/>
      <c r="B3278" s="8" t="str">
        <f>IFERROR(__xludf.DUMMYFUNCTION("""COMPUTED_VALUE"""),"NG TJOEI FONG ALS SILVIA")</f>
        <v>NG TJOEI FONG ALS SILVIA</v>
      </c>
      <c r="C3278" s="8" t="str">
        <f>IFERROR(__xludf.DUMMYFUNCTION("""COMPUTED_VALUE"""),"N5426017090")</f>
        <v>N5426017090</v>
      </c>
      <c r="D3278" s="8">
        <f>IFERROR(__xludf.DUMMYFUNCTION("""COMPUTED_VALUE"""),71.0)</f>
        <v>71</v>
      </c>
      <c r="E3278" s="2"/>
    </row>
    <row r="3279">
      <c r="A3279" s="2"/>
      <c r="B3279" s="8" t="str">
        <f>IFERROR(__xludf.DUMMYFUNCTION("""COMPUTED_VALUE"""),"DRS JAROT SUTRISNO M.SI")</f>
        <v>DRS JAROT SUTRISNO M.SI</v>
      </c>
      <c r="C3279" s="8" t="str">
        <f>IFERROR(__xludf.DUMMYFUNCTION("""COMPUTED_VALUE"""),"D6726010157")</f>
        <v>D6726010157</v>
      </c>
      <c r="D3279" s="8">
        <f>IFERROR(__xludf.DUMMYFUNCTION("""COMPUTED_VALUE"""),58.0)</f>
        <v>58</v>
      </c>
      <c r="E3279" s="2"/>
    </row>
    <row r="3280">
      <c r="A3280" s="2"/>
      <c r="B3280" s="8" t="str">
        <f>IFERROR(__xludf.DUMMYFUNCTION("""COMPUTED_VALUE"""),"FAHRIZAL RAMADHAN")</f>
        <v>FAHRIZAL RAMADHAN</v>
      </c>
      <c r="C3280" s="8" t="str">
        <f>IFERROR(__xludf.DUMMYFUNCTION("""COMPUTED_VALUE"""),"F9226013156")</f>
        <v>F9226013156</v>
      </c>
      <c r="D3280" s="8">
        <f>IFERROR(__xludf.DUMMYFUNCTION("""COMPUTED_VALUE"""),34.0)</f>
        <v>34</v>
      </c>
      <c r="E3280" s="2"/>
    </row>
    <row r="3281">
      <c r="A3281" s="2"/>
      <c r="B3281" s="8" t="str">
        <f>IFERROR(__xludf.DUMMYFUNCTION("""COMPUTED_VALUE"""),"FITA")</f>
        <v>FITA</v>
      </c>
      <c r="C3281" s="8" t="str">
        <f>IFERROR(__xludf.DUMMYFUNCTION("""COMPUTED_VALUE"""),"F7626011910")</f>
        <v>F7626011910</v>
      </c>
      <c r="D3281" s="8">
        <f>IFERROR(__xludf.DUMMYFUNCTION("""COMPUTED_VALUE"""),49.0)</f>
        <v>49</v>
      </c>
      <c r="E3281" s="2"/>
    </row>
    <row r="3282">
      <c r="A3282" s="2"/>
      <c r="B3282" s="8" t="str">
        <f>IFERROR(__xludf.DUMMYFUNCTION("""COMPUTED_VALUE"""),"WIDODO 7512")</f>
        <v>WIDODO 7512</v>
      </c>
      <c r="C3282" s="8" t="str">
        <f>IFERROR(__xludf.DUMMYFUNCTION("""COMPUTED_VALUE"""),"W7526019423")</f>
        <v>W7526019423</v>
      </c>
      <c r="D3282" s="8">
        <f>IFERROR(__xludf.DUMMYFUNCTION("""COMPUTED_VALUE"""),50.0)</f>
        <v>50</v>
      </c>
      <c r="E3282" s="2"/>
    </row>
    <row r="3283">
      <c r="A3283" s="2"/>
      <c r="B3283" s="8" t="str">
        <f>IFERROR(__xludf.DUMMYFUNCTION("""COMPUTED_VALUE"""),"MIRNA APRIANTY")</f>
        <v>MIRNA APRIANTY</v>
      </c>
      <c r="C3283" s="8" t="str">
        <f>IFERROR(__xludf.DUMMYFUNCTION("""COMPUTED_VALUE"""),"M6526014388")</f>
        <v>M6526014388</v>
      </c>
      <c r="D3283" s="8">
        <f>IFERROR(__xludf.DUMMYFUNCTION("""COMPUTED_VALUE"""),61.0)</f>
        <v>61</v>
      </c>
      <c r="E3283" s="2"/>
    </row>
    <row r="3284">
      <c r="A3284" s="2"/>
      <c r="B3284" s="8" t="str">
        <f>IFERROR(__xludf.DUMMYFUNCTION("""COMPUTED_VALUE"""),"JONG SULI")</f>
        <v>JONG SULI</v>
      </c>
      <c r="C3284" s="8" t="str">
        <f>IFERROR(__xludf.DUMMYFUNCTION("""COMPUTED_VALUE"""),"J0326010544")</f>
        <v>J0326010544</v>
      </c>
      <c r="D3284" s="8">
        <f>IFERROR(__xludf.DUMMYFUNCTION("""COMPUTED_VALUE"""),23.0)</f>
        <v>23</v>
      </c>
      <c r="E3284" s="2"/>
    </row>
    <row r="3285">
      <c r="A3285" s="2"/>
      <c r="B3285" s="8" t="str">
        <f>IFERROR(__xludf.DUMMYFUNCTION("""COMPUTED_VALUE"""),"SARWINTO")</f>
        <v>SARWINTO</v>
      </c>
      <c r="C3285" s="8" t="str">
        <f>IFERROR(__xludf.DUMMYFUNCTION("""COMPUTED_VALUE"""),"S9226011793")</f>
        <v>S9226011793</v>
      </c>
      <c r="D3285" s="8">
        <f>IFERROR(__xludf.DUMMYFUNCTION("""COMPUTED_VALUE"""),34.0)</f>
        <v>34</v>
      </c>
      <c r="E3285" s="2"/>
    </row>
    <row r="3286">
      <c r="A3286" s="2"/>
      <c r="B3286" s="8" t="str">
        <f>IFERROR(__xludf.DUMMYFUNCTION("""COMPUTED_VALUE"""),"WARSINO")</f>
        <v>WARSINO</v>
      </c>
      <c r="C3286" s="8" t="str">
        <f>IFERROR(__xludf.DUMMYFUNCTION("""COMPUTED_VALUE"""),"W7326012828")</f>
        <v>W7326012828</v>
      </c>
      <c r="D3286" s="8">
        <f>IFERROR(__xludf.DUMMYFUNCTION("""COMPUTED_VALUE"""),53.0)</f>
        <v>53</v>
      </c>
      <c r="E3286" s="2"/>
    </row>
    <row r="3287">
      <c r="A3287" s="2"/>
      <c r="B3287" s="8" t="str">
        <f>IFERROR(__xludf.DUMMYFUNCTION("""COMPUTED_VALUE"""),"JEMMY")</f>
        <v>JEMMY</v>
      </c>
      <c r="C3287" s="8" t="str">
        <f>IFERROR(__xludf.DUMMYFUNCTION("""COMPUTED_VALUE"""),"J7626013818")</f>
        <v>J7626013818</v>
      </c>
      <c r="D3287" s="8">
        <f>IFERROR(__xludf.DUMMYFUNCTION("""COMPUTED_VALUE"""),49.0)</f>
        <v>49</v>
      </c>
      <c r="E3287" s="2"/>
    </row>
    <row r="3288">
      <c r="A3288" s="2"/>
      <c r="B3288" s="8" t="str">
        <f>IFERROR(__xludf.DUMMYFUNCTION("""COMPUTED_VALUE"""),"NIKEN ATIKA PUSPA NINGRUM")</f>
        <v>NIKEN ATIKA PUSPA NINGRUM</v>
      </c>
      <c r="C3288" s="8" t="str">
        <f>IFERROR(__xludf.DUMMYFUNCTION("""COMPUTED_VALUE"""),"N9426016399")</f>
        <v>N9426016399</v>
      </c>
      <c r="D3288" s="8">
        <f>IFERROR(__xludf.DUMMYFUNCTION("""COMPUTED_VALUE"""),32.0)</f>
        <v>32</v>
      </c>
      <c r="E3288" s="2"/>
    </row>
    <row r="3289">
      <c r="A3289" s="2"/>
      <c r="B3289" s="8" t="str">
        <f>IFERROR(__xludf.DUMMYFUNCTION("""COMPUTED_VALUE"""),"M FAHRIZA RAHMAN")</f>
        <v>M FAHRIZA RAHMAN</v>
      </c>
      <c r="C3289" s="8" t="str">
        <f>IFERROR(__xludf.DUMMYFUNCTION("""COMPUTED_VALUE"""),"M0626011489")</f>
        <v>M0626011489</v>
      </c>
      <c r="D3289" s="8">
        <f>IFERROR(__xludf.DUMMYFUNCTION("""COMPUTED_VALUE"""),20.0)</f>
        <v>20</v>
      </c>
      <c r="E3289" s="2"/>
    </row>
    <row r="3290">
      <c r="A3290" s="2"/>
      <c r="B3290" s="8" t="str">
        <f>IFERROR(__xludf.DUMMYFUNCTION("""COMPUTED_VALUE"""),"NADYA SAFIRA")</f>
        <v>NADYA SAFIRA</v>
      </c>
      <c r="C3290" s="8" t="str">
        <f>IFERROR(__xludf.DUMMYFUNCTION("""COMPUTED_VALUE"""),"N0726010245")</f>
        <v>N0726010245</v>
      </c>
      <c r="D3290" s="8">
        <f>IFERROR(__xludf.DUMMYFUNCTION("""COMPUTED_VALUE"""),19.0)</f>
        <v>19</v>
      </c>
      <c r="E3290" s="2"/>
    </row>
    <row r="3291">
      <c r="A3291" s="2"/>
      <c r="B3291" s="8" t="str">
        <f>IFERROR(__xludf.DUMMYFUNCTION("""COMPUTED_VALUE"""),"DESI MARGASIA")</f>
        <v>DESI MARGASIA</v>
      </c>
      <c r="C3291" s="8" t="str">
        <f>IFERROR(__xludf.DUMMYFUNCTION("""COMPUTED_VALUE"""),"D9226012979")</f>
        <v>D9226012979</v>
      </c>
      <c r="D3291" s="8">
        <f>IFERROR(__xludf.DUMMYFUNCTION("""COMPUTED_VALUE"""),33.0)</f>
        <v>33</v>
      </c>
      <c r="E3291" s="2"/>
    </row>
    <row r="3292">
      <c r="A3292" s="2"/>
      <c r="B3292" s="8" t="str">
        <f>IFERROR(__xludf.DUMMYFUNCTION("""COMPUTED_VALUE"""),"HENDRAWATI SAM")</f>
        <v>HENDRAWATI SAM</v>
      </c>
      <c r="C3292" s="8" t="str">
        <f>IFERROR(__xludf.DUMMYFUNCTION("""COMPUTED_VALUE"""),"H7126016215")</f>
        <v>H7126016215</v>
      </c>
      <c r="D3292" s="8">
        <f>IFERROR(__xludf.DUMMYFUNCTION("""COMPUTED_VALUE"""),54.0)</f>
        <v>54</v>
      </c>
      <c r="E3292" s="2"/>
    </row>
    <row r="3293">
      <c r="A3293" s="2"/>
      <c r="B3293" s="8" t="str">
        <f>IFERROR(__xludf.DUMMYFUNCTION("""COMPUTED_VALUE"""),"CHALID OBED")</f>
        <v>CHALID OBED</v>
      </c>
      <c r="C3293" s="8" t="str">
        <f>IFERROR(__xludf.DUMMYFUNCTION("""COMPUTED_VALUE"""),"C5126011443")</f>
        <v>C5126011443</v>
      </c>
      <c r="D3293" s="8">
        <f>IFERROR(__xludf.DUMMYFUNCTION("""COMPUTED_VALUE"""),75.0)</f>
        <v>75</v>
      </c>
      <c r="E3293" s="2"/>
    </row>
    <row r="3294">
      <c r="A3294" s="2"/>
      <c r="B3294" s="8" t="str">
        <f>IFERROR(__xludf.DUMMYFUNCTION("""COMPUTED_VALUE"""),"MUCHLIS")</f>
        <v>MUCHLIS</v>
      </c>
      <c r="C3294" s="8" t="str">
        <f>IFERROR(__xludf.DUMMYFUNCTION("""COMPUTED_VALUE"""),"M6626011156")</f>
        <v>M6626011156</v>
      </c>
      <c r="D3294" s="8">
        <f>IFERROR(__xludf.DUMMYFUNCTION("""COMPUTED_VALUE"""),60.0)</f>
        <v>60</v>
      </c>
      <c r="E3294" s="2"/>
    </row>
    <row r="3295">
      <c r="A3295" s="2"/>
      <c r="B3295" s="8" t="str">
        <f>IFERROR(__xludf.DUMMYFUNCTION("""COMPUTED_VALUE"""),"ANUSAPATI")</f>
        <v>ANUSAPATI</v>
      </c>
      <c r="C3295" s="8" t="str">
        <f>IFERROR(__xludf.DUMMYFUNCTION("""COMPUTED_VALUE"""),"A6626019996")</f>
        <v>A6626019996</v>
      </c>
      <c r="D3295" s="8">
        <f>IFERROR(__xludf.DUMMYFUNCTION("""COMPUTED_VALUE"""),60.0)</f>
        <v>60</v>
      </c>
      <c r="E3295" s="2"/>
    </row>
    <row r="3296">
      <c r="A3296" s="2"/>
      <c r="B3296" s="8" t="str">
        <f>IFERROR(__xludf.DUMMYFUNCTION("""COMPUTED_VALUE"""),"RIDHO YUDI PRABAWA")</f>
        <v>RIDHO YUDI PRABAWA</v>
      </c>
      <c r="C3296" s="8" t="str">
        <f>IFERROR(__xludf.DUMMYFUNCTION("""COMPUTED_VALUE"""),"R8126015750")</f>
        <v>R8126015750</v>
      </c>
      <c r="D3296" s="8">
        <f>IFERROR(__xludf.DUMMYFUNCTION("""COMPUTED_VALUE"""),44.0)</f>
        <v>44</v>
      </c>
      <c r="E3296" s="2"/>
    </row>
    <row r="3297">
      <c r="A3297" s="2"/>
      <c r="B3297" s="8" t="str">
        <f>IFERROR(__xludf.DUMMYFUNCTION("""COMPUTED_VALUE"""),"MAULIZA DESIANA")</f>
        <v>MAULIZA DESIANA</v>
      </c>
      <c r="C3297" s="8" t="str">
        <f>IFERROR(__xludf.DUMMYFUNCTION("""COMPUTED_VALUE"""),"M8726014596")</f>
        <v>M8726014596</v>
      </c>
      <c r="D3297" s="8">
        <f>IFERROR(__xludf.DUMMYFUNCTION("""COMPUTED_VALUE"""),38.0)</f>
        <v>38</v>
      </c>
      <c r="E3297" s="2"/>
    </row>
    <row r="3298">
      <c r="A3298" s="2"/>
      <c r="B3298" s="8" t="str">
        <f>IFERROR(__xludf.DUMMYFUNCTION("""COMPUTED_VALUE"""),"HENDRA GUNAWAN 8801")</f>
        <v>HENDRA GUNAWAN 8801</v>
      </c>
      <c r="C3298" s="8" t="str">
        <f>IFERROR(__xludf.DUMMYFUNCTION("""COMPUTED_VALUE"""),"H8826017170")</f>
        <v>H8826017170</v>
      </c>
      <c r="D3298" s="8">
        <f>IFERROR(__xludf.DUMMYFUNCTION("""COMPUTED_VALUE"""),38.0)</f>
        <v>38</v>
      </c>
      <c r="E3298" s="2"/>
    </row>
    <row r="3299">
      <c r="A3299" s="2"/>
      <c r="B3299" s="8" t="str">
        <f>IFERROR(__xludf.DUMMYFUNCTION("""COMPUTED_VALUE"""),"YAZID MISHBAH KHOIRI ")</f>
        <v>YAZID MISHBAH KHOIRI </v>
      </c>
      <c r="C3299" s="8" t="str">
        <f>IFERROR(__xludf.DUMMYFUNCTION("""COMPUTED_VALUE"""),"Y0526012616")</f>
        <v>Y0526012616</v>
      </c>
      <c r="D3299" s="8">
        <f>IFERROR(__xludf.DUMMYFUNCTION("""COMPUTED_VALUE"""),21.0)</f>
        <v>21</v>
      </c>
      <c r="E3299" s="2"/>
    </row>
    <row r="3300">
      <c r="A3300" s="2"/>
      <c r="B3300" s="8" t="str">
        <f>IFERROR(__xludf.DUMMYFUNCTION("""COMPUTED_VALUE"""),"DANI FAHRIZAL")</f>
        <v>DANI FAHRIZAL</v>
      </c>
      <c r="C3300" s="8" t="str">
        <f>IFERROR(__xludf.DUMMYFUNCTION("""COMPUTED_VALUE"""),"D9526010808")</f>
        <v>D9526010808</v>
      </c>
      <c r="D3300" s="8">
        <f>IFERROR(__xludf.DUMMYFUNCTION("""COMPUTED_VALUE"""),31.0)</f>
        <v>31</v>
      </c>
      <c r="E3300" s="2"/>
    </row>
    <row r="3301">
      <c r="A3301" s="2"/>
      <c r="B3301" s="8" t="str">
        <f>IFERROR(__xludf.DUMMYFUNCTION("""COMPUTED_VALUE"""),"HENDI")</f>
        <v>HENDI</v>
      </c>
      <c r="C3301" s="8" t="str">
        <f>IFERROR(__xludf.DUMMYFUNCTION("""COMPUTED_VALUE"""),"H9326013156")</f>
        <v>H9326013156</v>
      </c>
      <c r="D3301" s="8">
        <f>IFERROR(__xludf.DUMMYFUNCTION("""COMPUTED_VALUE"""),33.0)</f>
        <v>33</v>
      </c>
      <c r="E3301" s="2"/>
    </row>
    <row r="3302">
      <c r="A3302" s="2"/>
      <c r="B3302" s="8" t="str">
        <f>IFERROR(__xludf.DUMMYFUNCTION("""COMPUTED_VALUE"""),"WINCENT CHANDRA")</f>
        <v>WINCENT CHANDRA</v>
      </c>
      <c r="C3302" s="8" t="str">
        <f>IFERROR(__xludf.DUMMYFUNCTION("""COMPUTED_VALUE"""),"W1026011172")</f>
        <v>W1026011172</v>
      </c>
      <c r="D3302" s="8">
        <f>IFERROR(__xludf.DUMMYFUNCTION("""COMPUTED_VALUE"""),16.0)</f>
        <v>16</v>
      </c>
      <c r="E3302" s="2"/>
    </row>
    <row r="3303">
      <c r="A3303" s="2"/>
      <c r="B3303" s="8" t="str">
        <f>IFERROR(__xludf.DUMMYFUNCTION("""COMPUTED_VALUE"""),"MUHAMMAD REZKY NUGRAHA")</f>
        <v>MUHAMMAD REZKY NUGRAHA</v>
      </c>
      <c r="C3303" s="8" t="str">
        <f>IFERROR(__xludf.DUMMYFUNCTION("""COMPUTED_VALUE"""),"M9726019343")</f>
        <v>M9726019343</v>
      </c>
      <c r="D3303" s="8">
        <f>IFERROR(__xludf.DUMMYFUNCTION("""COMPUTED_VALUE"""),29.0)</f>
        <v>29</v>
      </c>
      <c r="E3303" s="2"/>
    </row>
    <row r="3304">
      <c r="A3304" s="2"/>
      <c r="B3304" s="8" t="str">
        <f>IFERROR(__xludf.DUMMYFUNCTION("""COMPUTED_VALUE"""),"YANTO")</f>
        <v>YANTO</v>
      </c>
      <c r="C3304" s="8" t="str">
        <f>IFERROR(__xludf.DUMMYFUNCTION("""COMPUTED_VALUE"""),"Y7026019756")</f>
        <v>Y7026019756</v>
      </c>
      <c r="D3304" s="8">
        <f>IFERROR(__xludf.DUMMYFUNCTION("""COMPUTED_VALUE"""),55.0)</f>
        <v>55</v>
      </c>
      <c r="E3304" s="2"/>
    </row>
    <row r="3305">
      <c r="A3305" s="2"/>
      <c r="B3305" s="8" t="str">
        <f>IFERROR(__xludf.DUMMYFUNCTION("""COMPUTED_VALUE"""),"EVI ")</f>
        <v>EVI </v>
      </c>
      <c r="C3305" s="8" t="str">
        <f>IFERROR(__xludf.DUMMYFUNCTION("""COMPUTED_VALUE"""),"E8626017555")</f>
        <v>E8626017555</v>
      </c>
      <c r="D3305" s="8">
        <f>IFERROR(__xludf.DUMMYFUNCTION("""COMPUTED_VALUE"""),40.0)</f>
        <v>40</v>
      </c>
      <c r="E3305" s="2"/>
    </row>
    <row r="3306">
      <c r="A3306" s="2"/>
      <c r="B3306" s="8" t="str">
        <f>IFERROR(__xludf.DUMMYFUNCTION("""COMPUTED_VALUE"""),"MAWAR AURELYSCA IRAWAN")</f>
        <v>MAWAR AURELYSCA IRAWAN</v>
      </c>
      <c r="C3306" s="8" t="str">
        <f>IFERROR(__xludf.DUMMYFUNCTION("""COMPUTED_VALUE"""),"M1026019647")</f>
        <v>M1026019647</v>
      </c>
      <c r="D3306" s="8">
        <f>IFERROR(__xludf.DUMMYFUNCTION("""COMPUTED_VALUE"""),16.0)</f>
        <v>16</v>
      </c>
      <c r="E3306" s="2"/>
    </row>
    <row r="3307">
      <c r="A3307" s="2"/>
      <c r="B3307" s="8" t="str">
        <f>IFERROR(__xludf.DUMMYFUNCTION("""COMPUTED_VALUE"""),"FATHUR RAHMAN")</f>
        <v>FATHUR RAHMAN</v>
      </c>
      <c r="C3307" s="8" t="str">
        <f>IFERROR(__xludf.DUMMYFUNCTION("""COMPUTED_VALUE"""),"F0526014057")</f>
        <v>F0526014057</v>
      </c>
      <c r="D3307" s="8">
        <f>IFERROR(__xludf.DUMMYFUNCTION("""COMPUTED_VALUE"""),21.0)</f>
        <v>21</v>
      </c>
      <c r="E3307" s="2"/>
    </row>
    <row r="3308">
      <c r="A3308" s="2"/>
      <c r="B3308" s="8" t="str">
        <f>IFERROR(__xludf.DUMMYFUNCTION("""COMPUTED_VALUE"""),"ACHMAD RADAMA RINARDI")</f>
        <v>ACHMAD RADAMA RINARDI</v>
      </c>
      <c r="C3308" s="8" t="str">
        <f>IFERROR(__xludf.DUMMYFUNCTION("""COMPUTED_VALUE"""),"A9226010303")</f>
        <v>A9226010303</v>
      </c>
      <c r="D3308" s="8">
        <f>IFERROR(__xludf.DUMMYFUNCTION("""COMPUTED_VALUE"""),34.0)</f>
        <v>34</v>
      </c>
      <c r="E3308" s="2"/>
    </row>
    <row r="3309">
      <c r="A3309" s="2"/>
      <c r="B3309" s="8" t="str">
        <f>IFERROR(__xludf.DUMMYFUNCTION("""COMPUTED_VALUE"""),"FITRA ALHANI")</f>
        <v>FITRA ALHANI</v>
      </c>
      <c r="C3309" s="8" t="str">
        <f>IFERROR(__xludf.DUMMYFUNCTION("""COMPUTED_VALUE"""),"F8826012055")</f>
        <v>F8826012055</v>
      </c>
      <c r="D3309" s="8">
        <f>IFERROR(__xludf.DUMMYFUNCTION("""COMPUTED_VALUE"""),38.0)</f>
        <v>38</v>
      </c>
      <c r="E3309" s="2"/>
    </row>
    <row r="3310">
      <c r="A3310" s="2"/>
      <c r="B3310" s="8" t="str">
        <f>IFERROR(__xludf.DUMMYFUNCTION("""COMPUTED_VALUE"""),"NAJLA NURHALIZA")</f>
        <v>NAJLA NURHALIZA</v>
      </c>
      <c r="C3310" s="8" t="str">
        <f>IFERROR(__xludf.DUMMYFUNCTION("""COMPUTED_VALUE"""),"N0326013117")</f>
        <v>N0326013117</v>
      </c>
      <c r="D3310" s="8">
        <f>IFERROR(__xludf.DUMMYFUNCTION("""COMPUTED_VALUE"""),22.0)</f>
        <v>22</v>
      </c>
      <c r="E3310" s="2"/>
    </row>
    <row r="3311">
      <c r="A3311" s="2"/>
      <c r="B3311" s="8" t="str">
        <f>IFERROR(__xludf.DUMMYFUNCTION("""COMPUTED_VALUE"""),"ASNIWATI")</f>
        <v>ASNIWATI</v>
      </c>
      <c r="C3311" s="8" t="str">
        <f>IFERROR(__xludf.DUMMYFUNCTION("""COMPUTED_VALUE"""),"A5926013010")</f>
        <v>A5926013010</v>
      </c>
      <c r="D3311" s="8">
        <f>IFERROR(__xludf.DUMMYFUNCTION("""COMPUTED_VALUE"""),67.0)</f>
        <v>67</v>
      </c>
      <c r="E3311" s="2"/>
    </row>
    <row r="3312">
      <c r="A3312" s="2"/>
      <c r="B3312" s="8" t="str">
        <f>IFERROR(__xludf.DUMMYFUNCTION("""COMPUTED_VALUE"""),"DRS. H. SARDI. S")</f>
        <v>DRS. H. SARDI. S</v>
      </c>
      <c r="C3312" s="8" t="str">
        <f>IFERROR(__xludf.DUMMYFUNCTION("""COMPUTED_VALUE"""),"D5326016588")</f>
        <v>D5326016588</v>
      </c>
      <c r="D3312" s="8">
        <f>IFERROR(__xludf.DUMMYFUNCTION("""COMPUTED_VALUE"""),73.0)</f>
        <v>73</v>
      </c>
      <c r="E3312" s="2"/>
    </row>
    <row r="3313">
      <c r="A3313" s="2"/>
      <c r="B3313" s="8" t="str">
        <f>IFERROR(__xludf.DUMMYFUNCTION("""COMPUTED_VALUE"""),"ZULIANA")</f>
        <v>ZULIANA</v>
      </c>
      <c r="C3313" s="8" t="str">
        <f>IFERROR(__xludf.DUMMYFUNCTION("""COMPUTED_VALUE"""),"Z8426019500")</f>
        <v>Z8426019500</v>
      </c>
      <c r="D3313" s="8">
        <f>IFERROR(__xludf.DUMMYFUNCTION("""COMPUTED_VALUE"""),42.0)</f>
        <v>42</v>
      </c>
      <c r="E3313" s="2"/>
    </row>
    <row r="3314">
      <c r="A3314" s="2"/>
      <c r="B3314" s="8" t="str">
        <f>IFERROR(__xludf.DUMMYFUNCTION("""COMPUTED_VALUE"""),"SHAFA NUR INTAN FAJRIAH")</f>
        <v>SHAFA NUR INTAN FAJRIAH</v>
      </c>
      <c r="C3314" s="8" t="str">
        <f>IFERROR(__xludf.DUMMYFUNCTION("""COMPUTED_VALUE"""),"S0426012937")</f>
        <v>S0426012937</v>
      </c>
      <c r="D3314" s="8">
        <f>IFERROR(__xludf.DUMMYFUNCTION("""COMPUTED_VALUE"""),22.0)</f>
        <v>22</v>
      </c>
      <c r="E3314" s="2"/>
    </row>
    <row r="3315">
      <c r="A3315" s="2"/>
      <c r="B3315" s="8" t="str">
        <f>IFERROR(__xludf.DUMMYFUNCTION("""COMPUTED_VALUE"""),"HENNY")</f>
        <v>HENNY</v>
      </c>
      <c r="C3315" s="8" t="str">
        <f>IFERROR(__xludf.DUMMYFUNCTION("""COMPUTED_VALUE"""),"H5726011698")</f>
        <v>H5726011698</v>
      </c>
      <c r="D3315" s="8">
        <f>IFERROR(__xludf.DUMMYFUNCTION("""COMPUTED_VALUE"""),68.0)</f>
        <v>68</v>
      </c>
      <c r="E3315" s="2"/>
    </row>
    <row r="3316">
      <c r="A3316" s="2"/>
      <c r="B3316" s="8" t="str">
        <f>IFERROR(__xludf.DUMMYFUNCTION("""COMPUTED_VALUE"""),"YAYUK KURNIAWATI")</f>
        <v>YAYUK KURNIAWATI</v>
      </c>
      <c r="C3316" s="8" t="str">
        <f>IFERROR(__xludf.DUMMYFUNCTION("""COMPUTED_VALUE"""),"Y9326017538")</f>
        <v>Y9326017538</v>
      </c>
      <c r="D3316" s="8">
        <f>IFERROR(__xludf.DUMMYFUNCTION("""COMPUTED_VALUE"""),33.0)</f>
        <v>33</v>
      </c>
      <c r="E3316" s="2"/>
    </row>
    <row r="3317">
      <c r="A3317" s="2"/>
      <c r="B3317" s="8" t="str">
        <f>IFERROR(__xludf.DUMMYFUNCTION("""COMPUTED_VALUE"""),"WIONA SILASHINTA WAHYUDI")</f>
        <v>WIONA SILASHINTA WAHYUDI</v>
      </c>
      <c r="C3317" s="8" t="str">
        <f>IFERROR(__xludf.DUMMYFUNCTION("""COMPUTED_VALUE"""),"W1126015578")</f>
        <v>W1126015578</v>
      </c>
      <c r="D3317" s="8">
        <f>IFERROR(__xludf.DUMMYFUNCTION("""COMPUTED_VALUE"""),15.0)</f>
        <v>15</v>
      </c>
      <c r="E3317" s="2"/>
    </row>
    <row r="3318">
      <c r="A3318" s="2"/>
      <c r="B3318" s="8" t="str">
        <f>IFERROR(__xludf.DUMMYFUNCTION("""COMPUTED_VALUE"""),"PERMATA DEWI ANDINI")</f>
        <v>PERMATA DEWI ANDINI</v>
      </c>
      <c r="C3318" s="8" t="str">
        <f>IFERROR(__xludf.DUMMYFUNCTION("""COMPUTED_VALUE"""),"P0126012936")</f>
        <v>P0126012936</v>
      </c>
      <c r="D3318" s="8">
        <f>IFERROR(__xludf.DUMMYFUNCTION("""COMPUTED_VALUE"""),24.0)</f>
        <v>24</v>
      </c>
      <c r="E3318" s="2"/>
    </row>
    <row r="3319">
      <c r="A3319" s="2"/>
      <c r="B3319" s="8" t="str">
        <f>IFERROR(__xludf.DUMMYFUNCTION("""COMPUTED_VALUE"""),"FRENKY FERIYANTO")</f>
        <v>FRENKY FERIYANTO</v>
      </c>
      <c r="C3319" s="8" t="str">
        <f>IFERROR(__xludf.DUMMYFUNCTION("""COMPUTED_VALUE"""),"F9326011778")</f>
        <v>F9326011778</v>
      </c>
      <c r="D3319" s="8">
        <f>IFERROR(__xludf.DUMMYFUNCTION("""COMPUTED_VALUE"""),33.0)</f>
        <v>33</v>
      </c>
      <c r="E3319" s="2"/>
    </row>
    <row r="3320">
      <c r="A3320" s="2"/>
      <c r="B3320" s="8" t="str">
        <f>IFERROR(__xludf.DUMMYFUNCTION("""COMPUTED_VALUE"""),"HAMBALI")</f>
        <v>HAMBALI</v>
      </c>
      <c r="C3320" s="8" t="str">
        <f>IFERROR(__xludf.DUMMYFUNCTION("""COMPUTED_VALUE"""),"H0026012107")</f>
        <v>H0026012107</v>
      </c>
      <c r="D3320" s="8">
        <f>IFERROR(__xludf.DUMMYFUNCTION("""COMPUTED_VALUE"""),25.0)</f>
        <v>25</v>
      </c>
      <c r="E3320" s="2"/>
    </row>
    <row r="3321">
      <c r="A3321" s="2"/>
      <c r="B3321" s="8" t="str">
        <f>IFERROR(__xludf.DUMMYFUNCTION("""COMPUTED_VALUE"""),"ARIF KURNIAWAN")</f>
        <v>ARIF KURNIAWAN</v>
      </c>
      <c r="C3321" s="8" t="str">
        <f>IFERROR(__xludf.DUMMYFUNCTION("""COMPUTED_VALUE"""),"A7426019878")</f>
        <v>A7426019878</v>
      </c>
      <c r="D3321" s="8">
        <f>IFERROR(__xludf.DUMMYFUNCTION("""COMPUTED_VALUE"""),52.0)</f>
        <v>52</v>
      </c>
      <c r="E3321" s="2"/>
    </row>
    <row r="3322">
      <c r="A3322" s="2"/>
      <c r="B3322" s="8" t="str">
        <f>IFERROR(__xludf.DUMMYFUNCTION("""COMPUTED_VALUE"""),"RIZQY FACHRIA")</f>
        <v>RIZQY FACHRIA</v>
      </c>
      <c r="C3322" s="8" t="str">
        <f>IFERROR(__xludf.DUMMYFUNCTION("""COMPUTED_VALUE"""),"R9526014864")</f>
        <v>R9526014864</v>
      </c>
      <c r="D3322" s="8">
        <f>IFERROR(__xludf.DUMMYFUNCTION("""COMPUTED_VALUE"""),31.0)</f>
        <v>31</v>
      </c>
      <c r="E3322" s="2"/>
    </row>
    <row r="3323">
      <c r="A3323" s="2"/>
      <c r="B3323" s="8" t="str">
        <f>IFERROR(__xludf.DUMMYFUNCTION("""COMPUTED_VALUE"""),"MUHAMMAD AFZANI NUR ")</f>
        <v>MUHAMMAD AFZANI NUR </v>
      </c>
      <c r="C3323" s="8" t="str">
        <f>IFERROR(__xludf.DUMMYFUNCTION("""COMPUTED_VALUE"""),"M0726018299")</f>
        <v>M0726018299</v>
      </c>
      <c r="D3323" s="8">
        <f>IFERROR(__xludf.DUMMYFUNCTION("""COMPUTED_VALUE"""),19.0)</f>
        <v>19</v>
      </c>
      <c r="E3323" s="2"/>
    </row>
    <row r="3324">
      <c r="A3324" s="2"/>
      <c r="B3324" s="8" t="str">
        <f>IFERROR(__xludf.DUMMYFUNCTION("""COMPUTED_VALUE"""),"AZKA RAFIF ARYA")</f>
        <v>AZKA RAFIF ARYA</v>
      </c>
      <c r="C3324" s="8" t="str">
        <f>IFERROR(__xludf.DUMMYFUNCTION("""COMPUTED_VALUE"""),"A1326019995")</f>
        <v>A1326019995</v>
      </c>
      <c r="D3324" s="8">
        <f>IFERROR(__xludf.DUMMYFUNCTION("""COMPUTED_VALUE"""),13.0)</f>
        <v>13</v>
      </c>
      <c r="E3324" s="2"/>
    </row>
    <row r="3325">
      <c r="A3325" s="2"/>
      <c r="B3325" s="8" t="str">
        <f>IFERROR(__xludf.DUMMYFUNCTION("""COMPUTED_VALUE"""),"SUCI TRIHANTINI")</f>
        <v>SUCI TRIHANTINI</v>
      </c>
      <c r="C3325" s="8" t="str">
        <f>IFERROR(__xludf.DUMMYFUNCTION("""COMPUTED_VALUE"""),"S8526012599")</f>
        <v>S8526012599</v>
      </c>
      <c r="D3325" s="8">
        <f>IFERROR(__xludf.DUMMYFUNCTION("""COMPUTED_VALUE"""),41.0)</f>
        <v>41</v>
      </c>
      <c r="E3325" s="2"/>
    </row>
    <row r="3326">
      <c r="A3326" s="2"/>
      <c r="B3326" s="8" t="str">
        <f>IFERROR(__xludf.DUMMYFUNCTION("""COMPUTED_VALUE"""),"JOKO WINARDI")</f>
        <v>JOKO WINARDI</v>
      </c>
      <c r="C3326" s="8" t="str">
        <f>IFERROR(__xludf.DUMMYFUNCTION("""COMPUTED_VALUE"""),"J6326018883")</f>
        <v>J6326018883</v>
      </c>
      <c r="D3326" s="8">
        <f>IFERROR(__xludf.DUMMYFUNCTION("""COMPUTED_VALUE"""),63.0)</f>
        <v>63</v>
      </c>
      <c r="E3326" s="2"/>
    </row>
    <row r="3327">
      <c r="A3327" s="2"/>
      <c r="B3327" s="8" t="str">
        <f>IFERROR(__xludf.DUMMYFUNCTION("""COMPUTED_VALUE"""),"SUMAYAH")</f>
        <v>SUMAYAH</v>
      </c>
      <c r="C3327" s="8" t="str">
        <f>IFERROR(__xludf.DUMMYFUNCTION("""COMPUTED_VALUE"""),"S7726012955")</f>
        <v>S7726012955</v>
      </c>
      <c r="D3327" s="8">
        <f>IFERROR(__xludf.DUMMYFUNCTION("""COMPUTED_VALUE"""),48.0)</f>
        <v>48</v>
      </c>
      <c r="E3327" s="2"/>
    </row>
    <row r="3328">
      <c r="A3328" s="2"/>
      <c r="B3328" s="8" t="str">
        <f>IFERROR(__xludf.DUMMYFUNCTION("""COMPUTED_VALUE"""),"SUMIATI 6908")</f>
        <v>SUMIATI 6908</v>
      </c>
      <c r="C3328" s="8" t="str">
        <f>IFERROR(__xludf.DUMMYFUNCTION("""COMPUTED_VALUE"""),"S6926019033")</f>
        <v>S6926019033</v>
      </c>
      <c r="D3328" s="8">
        <f>IFERROR(__xludf.DUMMYFUNCTION("""COMPUTED_VALUE"""),57.0)</f>
        <v>57</v>
      </c>
      <c r="E3328" s="2"/>
    </row>
    <row r="3329">
      <c r="A3329" s="2"/>
      <c r="B3329" s="8" t="str">
        <f>IFERROR(__xludf.DUMMYFUNCTION("""COMPUTED_VALUE"""),"MARIA AGNES SIREGAR")</f>
        <v>MARIA AGNES SIREGAR</v>
      </c>
      <c r="C3329" s="8" t="str">
        <f>IFERROR(__xludf.DUMMYFUNCTION("""COMPUTED_VALUE"""),"M9626015300")</f>
        <v>M9626015300</v>
      </c>
      <c r="D3329" s="8">
        <f>IFERROR(__xludf.DUMMYFUNCTION("""COMPUTED_VALUE"""),30.0)</f>
        <v>30</v>
      </c>
      <c r="E3329" s="2"/>
    </row>
    <row r="3330">
      <c r="A3330" s="2"/>
      <c r="B3330" s="8" t="str">
        <f>IFERROR(__xludf.DUMMYFUNCTION("""COMPUTED_VALUE"""),"ARIS BUDIMAN")</f>
        <v>ARIS BUDIMAN</v>
      </c>
      <c r="C3330" s="8" t="str">
        <f>IFERROR(__xludf.DUMMYFUNCTION("""COMPUTED_VALUE"""),"A7726014820")</f>
        <v>A7726014820</v>
      </c>
      <c r="D3330" s="8">
        <f>IFERROR(__xludf.DUMMYFUNCTION("""COMPUTED_VALUE"""),48.0)</f>
        <v>48</v>
      </c>
      <c r="E3330" s="2"/>
    </row>
    <row r="3331">
      <c r="A3331" s="2"/>
      <c r="B3331" s="8" t="str">
        <f>IFERROR(__xludf.DUMMYFUNCTION("""COMPUTED_VALUE"""),"MUHAMMAD ICHSAN AZEVI")</f>
        <v>MUHAMMAD ICHSAN AZEVI</v>
      </c>
      <c r="C3331" s="8" t="str">
        <f>IFERROR(__xludf.DUMMYFUNCTION("""COMPUTED_VALUE"""),"M9526019971")</f>
        <v>M9526019971</v>
      </c>
      <c r="D3331" s="8">
        <f>IFERROR(__xludf.DUMMYFUNCTION("""COMPUTED_VALUE"""),31.0)</f>
        <v>31</v>
      </c>
      <c r="E3331" s="2"/>
    </row>
    <row r="3332">
      <c r="A3332" s="2"/>
      <c r="B3332" s="8" t="str">
        <f>IFERROR(__xludf.DUMMYFUNCTION("""COMPUTED_VALUE"""),"IRAWATI")</f>
        <v>IRAWATI</v>
      </c>
      <c r="C3332" s="8" t="str">
        <f>IFERROR(__xludf.DUMMYFUNCTION("""COMPUTED_VALUE"""),"I8226013998")</f>
        <v>I8226013998</v>
      </c>
      <c r="D3332" s="8">
        <f>IFERROR(__xludf.DUMMYFUNCTION("""COMPUTED_VALUE"""),44.0)</f>
        <v>44</v>
      </c>
      <c r="E3332" s="2"/>
    </row>
    <row r="3333">
      <c r="A3333" s="2"/>
      <c r="B3333" s="8" t="str">
        <f>IFERROR(__xludf.DUMMYFUNCTION("""COMPUTED_VALUE"""),"EKA KURNIAWATI")</f>
        <v>EKA KURNIAWATI</v>
      </c>
      <c r="C3333" s="8" t="str">
        <f>IFERROR(__xludf.DUMMYFUNCTION("""COMPUTED_VALUE"""),"E8726019292")</f>
        <v>E8726019292</v>
      </c>
      <c r="D3333" s="8">
        <f>IFERROR(__xludf.DUMMYFUNCTION("""COMPUTED_VALUE"""),39.0)</f>
        <v>39</v>
      </c>
      <c r="E3333" s="2"/>
    </row>
    <row r="3334">
      <c r="A3334" s="2"/>
      <c r="B3334" s="8" t="str">
        <f>IFERROR(__xludf.DUMMYFUNCTION("""COMPUTED_VALUE"""),"ASHRAF")</f>
        <v>ASHRAF</v>
      </c>
      <c r="C3334" s="8" t="str">
        <f>IFERROR(__xludf.DUMMYFUNCTION("""COMPUTED_VALUE"""),"A9726010315")</f>
        <v>A9726010315</v>
      </c>
      <c r="D3334" s="8">
        <f>IFERROR(__xludf.DUMMYFUNCTION("""COMPUTED_VALUE"""),29.0)</f>
        <v>29</v>
      </c>
      <c r="E3334" s="2"/>
    </row>
    <row r="3335">
      <c r="A3335" s="2"/>
      <c r="B3335" s="8" t="str">
        <f>IFERROR(__xludf.DUMMYFUNCTION("""COMPUTED_VALUE"""),"HALIJAH 7305")</f>
        <v>HALIJAH 7305</v>
      </c>
      <c r="C3335" s="8" t="str">
        <f>IFERROR(__xludf.DUMMYFUNCTION("""COMPUTED_VALUE"""),"H7326013892")</f>
        <v>H7326013892</v>
      </c>
      <c r="D3335" s="8">
        <f>IFERROR(__xludf.DUMMYFUNCTION("""COMPUTED_VALUE"""),53.0)</f>
        <v>53</v>
      </c>
      <c r="E3335" s="2"/>
    </row>
    <row r="3336">
      <c r="A3336" s="2"/>
      <c r="B3336" s="8" t="str">
        <f>IFERROR(__xludf.DUMMYFUNCTION("""COMPUTED_VALUE"""),"TYARA HARDYANTI SUHARNO")</f>
        <v>TYARA HARDYANTI SUHARNO</v>
      </c>
      <c r="C3336" s="8" t="str">
        <f>IFERROR(__xludf.DUMMYFUNCTION("""COMPUTED_VALUE"""),"T9626015631")</f>
        <v>T9626015631</v>
      </c>
      <c r="D3336" s="8">
        <f>IFERROR(__xludf.DUMMYFUNCTION("""COMPUTED_VALUE"""),30.0)</f>
        <v>30</v>
      </c>
      <c r="E3336" s="2"/>
    </row>
    <row r="3337">
      <c r="A3337" s="2"/>
      <c r="B3337" s="8" t="str">
        <f>IFERROR(__xludf.DUMMYFUNCTION("""COMPUTED_VALUE"""),"LEYLI NURLITA")</f>
        <v>LEYLI NURLITA</v>
      </c>
      <c r="C3337" s="8" t="str">
        <f>IFERROR(__xludf.DUMMYFUNCTION("""COMPUTED_VALUE"""),"L0526015768")</f>
        <v>L0526015768</v>
      </c>
      <c r="D3337" s="8">
        <f>IFERROR(__xludf.DUMMYFUNCTION("""COMPUTED_VALUE"""),20.0)</f>
        <v>20</v>
      </c>
      <c r="E3337" s="2"/>
    </row>
    <row r="3338">
      <c r="A3338" s="2"/>
      <c r="B3338" s="8" t="str">
        <f>IFERROR(__xludf.DUMMYFUNCTION("""COMPUTED_VALUE"""),"SUKAMTO")</f>
        <v>SUKAMTO</v>
      </c>
      <c r="C3338" s="8" t="str">
        <f>IFERROR(__xludf.DUMMYFUNCTION("""COMPUTED_VALUE"""),"S9026010088")</f>
        <v>S9026010088</v>
      </c>
      <c r="D3338" s="8">
        <f>IFERROR(__xludf.DUMMYFUNCTION("""COMPUTED_VALUE"""),36.0)</f>
        <v>36</v>
      </c>
      <c r="E3338" s="2"/>
    </row>
    <row r="3339">
      <c r="A3339" s="2"/>
      <c r="B3339" s="8" t="str">
        <f>IFERROR(__xludf.DUMMYFUNCTION("""COMPUTED_VALUE"""),"JOESDI NGATIDJAN ")</f>
        <v>JOESDI NGATIDJAN </v>
      </c>
      <c r="C3339" s="8" t="str">
        <f>IFERROR(__xludf.DUMMYFUNCTION("""COMPUTED_VALUE"""),"J6326013988")</f>
        <v>J6326013988</v>
      </c>
      <c r="D3339" s="8">
        <f>IFERROR(__xludf.DUMMYFUNCTION("""COMPUTED_VALUE"""),62.0)</f>
        <v>62</v>
      </c>
      <c r="E3339" s="2"/>
    </row>
    <row r="3340">
      <c r="A3340" s="2"/>
      <c r="B3340" s="8" t="str">
        <f>IFERROR(__xludf.DUMMYFUNCTION("""COMPUTED_VALUE"""),"FLORENSIUS LAYLIM")</f>
        <v>FLORENSIUS LAYLIM</v>
      </c>
      <c r="C3340" s="8" t="str">
        <f>IFERROR(__xludf.DUMMYFUNCTION("""COMPUTED_VALUE"""),"F9626015186")</f>
        <v>F9626015186</v>
      </c>
      <c r="D3340" s="8">
        <f>IFERROR(__xludf.DUMMYFUNCTION("""COMPUTED_VALUE"""),30.0)</f>
        <v>30</v>
      </c>
      <c r="E3340" s="2"/>
    </row>
    <row r="3341">
      <c r="A3341" s="2"/>
      <c r="B3341" s="8" t="str">
        <f>IFERROR(__xludf.DUMMYFUNCTION("""COMPUTED_VALUE"""),"YULITA RIANA")</f>
        <v>YULITA RIANA</v>
      </c>
      <c r="C3341" s="8" t="str">
        <f>IFERROR(__xludf.DUMMYFUNCTION("""COMPUTED_VALUE"""),"Y7426018397")</f>
        <v>Y7426018397</v>
      </c>
      <c r="D3341" s="8">
        <f>IFERROR(__xludf.DUMMYFUNCTION("""COMPUTED_VALUE"""),52.0)</f>
        <v>52</v>
      </c>
      <c r="E3341" s="2"/>
    </row>
    <row r="3342">
      <c r="A3342" s="2"/>
      <c r="B3342" s="8" t="str">
        <f>IFERROR(__xludf.DUMMYFUNCTION("""COMPUTED_VALUE"""),"IQBAL MAULANA")</f>
        <v>IQBAL MAULANA</v>
      </c>
      <c r="C3342" s="8" t="str">
        <f>IFERROR(__xludf.DUMMYFUNCTION("""COMPUTED_VALUE"""),"I9026017774")</f>
        <v>I9026017774</v>
      </c>
      <c r="D3342" s="8">
        <f>IFERROR(__xludf.DUMMYFUNCTION("""COMPUTED_VALUE"""),36.0)</f>
        <v>36</v>
      </c>
      <c r="E3342" s="2"/>
    </row>
    <row r="3343">
      <c r="A3343" s="2"/>
      <c r="B3343" s="8" t="str">
        <f>IFERROR(__xludf.DUMMYFUNCTION("""COMPUTED_VALUE"""),"ALBERT ALRILLIAN TALINO")</f>
        <v>ALBERT ALRILLIAN TALINO</v>
      </c>
      <c r="C3343" s="8" t="str">
        <f>IFERROR(__xludf.DUMMYFUNCTION("""COMPUTED_VALUE"""),"A0826017010")</f>
        <v>A0826017010</v>
      </c>
      <c r="D3343" s="8">
        <f>IFERROR(__xludf.DUMMYFUNCTION("""COMPUTED_VALUE"""),18.0)</f>
        <v>18</v>
      </c>
      <c r="E3343" s="2"/>
    </row>
    <row r="3344">
      <c r="A3344" s="2"/>
      <c r="B3344" s="8" t="str">
        <f>IFERROR(__xludf.DUMMYFUNCTION("""COMPUTED_VALUE"""),"SANDY KURNIA")</f>
        <v>SANDY KURNIA</v>
      </c>
      <c r="C3344" s="8" t="str">
        <f>IFERROR(__xludf.DUMMYFUNCTION("""COMPUTED_VALUE"""),"S9626013526")</f>
        <v>S9626013526</v>
      </c>
      <c r="D3344" s="8">
        <f>IFERROR(__xludf.DUMMYFUNCTION("""COMPUTED_VALUE"""),30.0)</f>
        <v>30</v>
      </c>
      <c r="E3344" s="2"/>
    </row>
    <row r="3345">
      <c r="A3345" s="2"/>
      <c r="B3345" s="8" t="str">
        <f>IFERROR(__xludf.DUMMYFUNCTION("""COMPUTED_VALUE"""),"RUKIAH AGUSTIAWATI")</f>
        <v>RUKIAH AGUSTIAWATI</v>
      </c>
      <c r="C3345" s="8" t="str">
        <f>IFERROR(__xludf.DUMMYFUNCTION("""COMPUTED_VALUE"""),"R7226016379")</f>
        <v>R7226016379</v>
      </c>
      <c r="D3345" s="8">
        <f>IFERROR(__xludf.DUMMYFUNCTION("""COMPUTED_VALUE"""),53.0)</f>
        <v>53</v>
      </c>
      <c r="E3345" s="2"/>
    </row>
    <row r="3346">
      <c r="A3346" s="2"/>
      <c r="B3346" s="8" t="str">
        <f>IFERROR(__xludf.DUMMYFUNCTION("""COMPUTED_VALUE"""),"NELLY FITRIANA")</f>
        <v>NELLY FITRIANA</v>
      </c>
      <c r="C3346" s="8" t="str">
        <f>IFERROR(__xludf.DUMMYFUNCTION("""COMPUTED_VALUE"""),"N8126015757")</f>
        <v>N8126015757</v>
      </c>
      <c r="D3346" s="8">
        <f>IFERROR(__xludf.DUMMYFUNCTION("""COMPUTED_VALUE"""),45.0)</f>
        <v>45</v>
      </c>
      <c r="E3346" s="2"/>
    </row>
    <row r="3347">
      <c r="A3347" s="2"/>
      <c r="B3347" s="8" t="str">
        <f>IFERROR(__xludf.DUMMYFUNCTION("""COMPUTED_VALUE"""),"MICKEL JERRI KURNIAWAN RAY ")</f>
        <v>MICKEL JERRI KURNIAWAN RAY </v>
      </c>
      <c r="C3347" s="8" t="str">
        <f>IFERROR(__xludf.DUMMYFUNCTION("""COMPUTED_VALUE"""),"M9826019887")</f>
        <v>M9826019887</v>
      </c>
      <c r="D3347" s="8">
        <f>IFERROR(__xludf.DUMMYFUNCTION("""COMPUTED_VALUE"""),28.0)</f>
        <v>28</v>
      </c>
      <c r="E3347" s="2"/>
    </row>
    <row r="3348">
      <c r="A3348" s="2"/>
      <c r="B3348" s="8" t="str">
        <f>IFERROR(__xludf.DUMMYFUNCTION("""COMPUTED_VALUE"""),"ISTIKA INDAH NINGSIH")</f>
        <v>ISTIKA INDAH NINGSIH</v>
      </c>
      <c r="C3348" s="8" t="str">
        <f>IFERROR(__xludf.DUMMYFUNCTION("""COMPUTED_VALUE"""),"I9526015922")</f>
        <v>I9526015922</v>
      </c>
      <c r="D3348" s="8">
        <f>IFERROR(__xludf.DUMMYFUNCTION("""COMPUTED_VALUE"""),31.0)</f>
        <v>31</v>
      </c>
      <c r="E3348" s="2"/>
    </row>
    <row r="3349">
      <c r="A3349" s="2"/>
      <c r="B3349" s="8" t="str">
        <f>IFERROR(__xludf.DUMMYFUNCTION("""COMPUTED_VALUE"""),"SURIATI HALIM")</f>
        <v>SURIATI HALIM</v>
      </c>
      <c r="C3349" s="8" t="str">
        <f>IFERROR(__xludf.DUMMYFUNCTION("""COMPUTED_VALUE"""),"S6426015772")</f>
        <v>S6426015772</v>
      </c>
      <c r="D3349" s="8">
        <f>IFERROR(__xludf.DUMMYFUNCTION("""COMPUTED_VALUE"""),62.0)</f>
        <v>62</v>
      </c>
      <c r="E3349" s="2"/>
    </row>
    <row r="3350">
      <c r="A3350" s="2"/>
      <c r="B3350" s="8" t="str">
        <f>IFERROR(__xludf.DUMMYFUNCTION("""COMPUTED_VALUE"""),"EVA DESI S PARDEDE")</f>
        <v>EVA DESI S PARDEDE</v>
      </c>
      <c r="C3350" s="8" t="str">
        <f>IFERROR(__xludf.DUMMYFUNCTION("""COMPUTED_VALUE"""),"E7426015052")</f>
        <v>E7426015052</v>
      </c>
      <c r="D3350" s="8">
        <f>IFERROR(__xludf.DUMMYFUNCTION("""COMPUTED_VALUE"""),51.0)</f>
        <v>51</v>
      </c>
      <c r="E3350" s="2"/>
    </row>
    <row r="3351">
      <c r="A3351" s="2"/>
      <c r="B3351" s="8" t="str">
        <f>IFERROR(__xludf.DUMMYFUNCTION("""COMPUTED_VALUE"""),"RIZKY PUSPASARI")</f>
        <v>RIZKY PUSPASARI</v>
      </c>
      <c r="C3351" s="8" t="str">
        <f>IFERROR(__xludf.DUMMYFUNCTION("""COMPUTED_VALUE"""),"R9426011660")</f>
        <v>R9426011660</v>
      </c>
      <c r="D3351" s="8">
        <f>IFERROR(__xludf.DUMMYFUNCTION("""COMPUTED_VALUE"""),32.0)</f>
        <v>32</v>
      </c>
      <c r="E3351" s="2"/>
    </row>
    <row r="3352">
      <c r="A3352" s="2"/>
      <c r="B3352" s="8" t="str">
        <f>IFERROR(__xludf.DUMMYFUNCTION("""COMPUTED_VALUE"""),"VERONIMUS VALENT FRANSISKUS")</f>
        <v>VERONIMUS VALENT FRANSISKUS</v>
      </c>
      <c r="C3352" s="8" t="str">
        <f>IFERROR(__xludf.DUMMYFUNCTION("""COMPUTED_VALUE"""),"V9626011953")</f>
        <v>V9626011953</v>
      </c>
      <c r="D3352" s="8">
        <f>IFERROR(__xludf.DUMMYFUNCTION("""COMPUTED_VALUE"""),30.0)</f>
        <v>30</v>
      </c>
      <c r="E3352" s="2"/>
    </row>
    <row r="3353">
      <c r="A3353" s="2"/>
      <c r="B3353" s="8" t="str">
        <f>IFERROR(__xludf.DUMMYFUNCTION("""COMPUTED_VALUE"""),"DIRGA WIJAYA JUMAIL")</f>
        <v>DIRGA WIJAYA JUMAIL</v>
      </c>
      <c r="C3353" s="8" t="str">
        <f>IFERROR(__xludf.DUMMYFUNCTION("""COMPUTED_VALUE"""),"D9926011424")</f>
        <v>D9926011424</v>
      </c>
      <c r="D3353" s="8">
        <f>IFERROR(__xludf.DUMMYFUNCTION("""COMPUTED_VALUE"""),26.0)</f>
        <v>26</v>
      </c>
      <c r="E3353" s="2"/>
    </row>
    <row r="3354">
      <c r="A3354" s="2"/>
      <c r="B3354" s="8" t="str">
        <f>IFERROR(__xludf.DUMMYFUNCTION("""COMPUTED_VALUE"""),"MUHAMMAD ABDULLAH AL KAYIS")</f>
        <v>MUHAMMAD ABDULLAH AL KAYIS</v>
      </c>
      <c r="C3354" s="8" t="str">
        <f>IFERROR(__xludf.DUMMYFUNCTION("""COMPUTED_VALUE"""),"M1326010393")</f>
        <v>M1326010393</v>
      </c>
      <c r="D3354" s="8">
        <f>IFERROR(__xludf.DUMMYFUNCTION("""COMPUTED_VALUE"""),12.0)</f>
        <v>12</v>
      </c>
      <c r="E3354" s="2"/>
    </row>
    <row r="3355">
      <c r="A3355" s="2"/>
      <c r="B3355" s="8" t="str">
        <f>IFERROR(__xludf.DUMMYFUNCTION("""COMPUTED_VALUE"""),"NOPIANTO SAPTA BONG")</f>
        <v>NOPIANTO SAPTA BONG</v>
      </c>
      <c r="C3355" s="8" t="str">
        <f>IFERROR(__xludf.DUMMYFUNCTION("""COMPUTED_VALUE"""),"N9926017700")</f>
        <v>N9926017700</v>
      </c>
      <c r="D3355" s="8">
        <f>IFERROR(__xludf.DUMMYFUNCTION("""COMPUTED_VALUE"""),26.0)</f>
        <v>26</v>
      </c>
      <c r="E3355" s="2"/>
    </row>
    <row r="3356">
      <c r="A3356" s="2"/>
      <c r="B3356" s="8" t="str">
        <f>IFERROR(__xludf.DUMMYFUNCTION("""COMPUTED_VALUE"""),"WEHRY")</f>
        <v>WEHRY</v>
      </c>
      <c r="C3356" s="8" t="str">
        <f>IFERROR(__xludf.DUMMYFUNCTION("""COMPUTED_VALUE"""),"W9826018073")</f>
        <v>W9826018073</v>
      </c>
      <c r="D3356" s="8">
        <f>IFERROR(__xludf.DUMMYFUNCTION("""COMPUTED_VALUE"""),28.0)</f>
        <v>28</v>
      </c>
      <c r="E3356" s="2"/>
    </row>
    <row r="3357">
      <c r="A3357" s="2"/>
      <c r="B3357" s="8" t="str">
        <f>IFERROR(__xludf.DUMMYFUNCTION("""COMPUTED_VALUE"""),"ARY HIDAYATUL FAJRI")</f>
        <v>ARY HIDAYATUL FAJRI</v>
      </c>
      <c r="C3357" s="8" t="str">
        <f>IFERROR(__xludf.DUMMYFUNCTION("""COMPUTED_VALUE"""),"A9526015105")</f>
        <v>A9526015105</v>
      </c>
      <c r="D3357" s="8">
        <f>IFERROR(__xludf.DUMMYFUNCTION("""COMPUTED_VALUE"""),30.0)</f>
        <v>30</v>
      </c>
      <c r="E3357" s="2"/>
    </row>
    <row r="3358">
      <c r="A3358" s="2"/>
      <c r="B3358" s="8" t="str">
        <f>IFERROR(__xludf.DUMMYFUNCTION("""COMPUTED_VALUE"""),"NAFLA RAIHANA QONITA HARDYAN")</f>
        <v>NAFLA RAIHANA QONITA HARDYAN</v>
      </c>
      <c r="C3358" s="8" t="str">
        <f>IFERROR(__xludf.DUMMYFUNCTION("""COMPUTED_VALUE"""),"N1026013123")</f>
        <v>N1026013123</v>
      </c>
      <c r="D3358" s="8">
        <f>IFERROR(__xludf.DUMMYFUNCTION("""COMPUTED_VALUE"""),15.0)</f>
        <v>15</v>
      </c>
      <c r="E3358" s="2"/>
    </row>
    <row r="3359">
      <c r="A3359" s="2"/>
      <c r="B3359" s="8" t="str">
        <f>IFERROR(__xludf.DUMMYFUNCTION("""COMPUTED_VALUE"""),"LUSIANA MAENAH")</f>
        <v>LUSIANA MAENAH</v>
      </c>
      <c r="C3359" s="8" t="str">
        <f>IFERROR(__xludf.DUMMYFUNCTION("""COMPUTED_VALUE"""),"L6926011011")</f>
        <v>L6926011011</v>
      </c>
      <c r="D3359" s="8">
        <f>IFERROR(__xludf.DUMMYFUNCTION("""COMPUTED_VALUE"""),57.0)</f>
        <v>57</v>
      </c>
      <c r="E3359" s="2"/>
    </row>
    <row r="3360">
      <c r="A3360" s="2"/>
      <c r="B3360" s="8" t="str">
        <f>IFERROR(__xludf.DUMMYFUNCTION("""COMPUTED_VALUE"""),"HEYLIE ARIELLE ANG")</f>
        <v>HEYLIE ARIELLE ANG</v>
      </c>
      <c r="C3360" s="8" t="str">
        <f>IFERROR(__xludf.DUMMYFUNCTION("""COMPUTED_VALUE"""),"H1026015759")</f>
        <v>H1026015759</v>
      </c>
      <c r="D3360" s="8">
        <f>IFERROR(__xludf.DUMMYFUNCTION("""COMPUTED_VALUE"""),16.0)</f>
        <v>16</v>
      </c>
      <c r="E3360" s="2"/>
    </row>
    <row r="3361">
      <c r="A3361" s="2"/>
      <c r="B3361" s="8" t="str">
        <f>IFERROR(__xludf.DUMMYFUNCTION("""COMPUTED_VALUE"""),"LILY 7201")</f>
        <v>LILY 7201</v>
      </c>
      <c r="C3361" s="8" t="str">
        <f>IFERROR(__xludf.DUMMYFUNCTION("""COMPUTED_VALUE"""),"L7226011952")</f>
        <v>L7226011952</v>
      </c>
      <c r="D3361" s="8">
        <f>IFERROR(__xludf.DUMMYFUNCTION("""COMPUTED_VALUE"""),54.0)</f>
        <v>54</v>
      </c>
      <c r="E3361" s="2"/>
    </row>
    <row r="3362">
      <c r="A3362" s="2"/>
      <c r="B3362" s="8" t="str">
        <f>IFERROR(__xludf.DUMMYFUNCTION("""COMPUTED_VALUE"""),"LIA MARISA")</f>
        <v>LIA MARISA</v>
      </c>
      <c r="C3362" s="8" t="str">
        <f>IFERROR(__xludf.DUMMYFUNCTION("""COMPUTED_VALUE"""),"L9426019899")</f>
        <v>L9426019899</v>
      </c>
      <c r="D3362" s="8">
        <f>IFERROR(__xludf.DUMMYFUNCTION("""COMPUTED_VALUE"""),32.0)</f>
        <v>32</v>
      </c>
      <c r="E3362" s="2"/>
    </row>
    <row r="3363">
      <c r="A3363" s="2"/>
      <c r="B3363" s="8" t="str">
        <f>IFERROR(__xludf.DUMMYFUNCTION("""COMPUTED_VALUE"""),"VERONIKA")</f>
        <v>VERONIKA</v>
      </c>
      <c r="C3363" s="8" t="str">
        <f>IFERROR(__xludf.DUMMYFUNCTION("""COMPUTED_VALUE"""),"V8426013733")</f>
        <v>V8426013733</v>
      </c>
      <c r="D3363" s="8">
        <f>IFERROR(__xludf.DUMMYFUNCTION("""COMPUTED_VALUE"""),41.0)</f>
        <v>41</v>
      </c>
      <c r="E3363" s="2"/>
    </row>
    <row r="3364">
      <c r="A3364" s="2"/>
      <c r="B3364" s="8" t="str">
        <f>IFERROR(__xludf.DUMMYFUNCTION("""COMPUTED_VALUE"""),"SYARIFAH AINI")</f>
        <v>SYARIFAH AINI</v>
      </c>
      <c r="C3364" s="8" t="str">
        <f>IFERROR(__xludf.DUMMYFUNCTION("""COMPUTED_VALUE"""),"S8426015100")</f>
        <v>S8426015100</v>
      </c>
      <c r="D3364" s="8">
        <f>IFERROR(__xludf.DUMMYFUNCTION("""COMPUTED_VALUE"""),42.0)</f>
        <v>42</v>
      </c>
      <c r="E3364" s="2"/>
    </row>
    <row r="3365">
      <c r="A3365" s="2"/>
      <c r="B3365" s="8" t="str">
        <f>IFERROR(__xludf.DUMMYFUNCTION("""COMPUTED_VALUE"""),"ENRICO IVAN CHUA")</f>
        <v>ENRICO IVAN CHUA</v>
      </c>
      <c r="C3365" s="8" t="str">
        <f>IFERROR(__xludf.DUMMYFUNCTION("""COMPUTED_VALUE"""),"E0026018490")</f>
        <v>E0026018490</v>
      </c>
      <c r="D3365" s="8">
        <f>IFERROR(__xludf.DUMMYFUNCTION("""COMPUTED_VALUE"""),25.0)</f>
        <v>25</v>
      </c>
      <c r="E3365" s="2"/>
    </row>
    <row r="3366">
      <c r="A3366" s="2"/>
      <c r="B3366" s="8" t="str">
        <f>IFERROR(__xludf.DUMMYFUNCTION("""COMPUTED_VALUE"""),"TUKIJAN")</f>
        <v>TUKIJAN</v>
      </c>
      <c r="C3366" s="8" t="str">
        <f>IFERROR(__xludf.DUMMYFUNCTION("""COMPUTED_VALUE"""),"T5726013959")</f>
        <v>T5726013959</v>
      </c>
      <c r="D3366" s="8">
        <f>IFERROR(__xludf.DUMMYFUNCTION("""COMPUTED_VALUE"""),68.0)</f>
        <v>68</v>
      </c>
      <c r="E3366" s="2"/>
    </row>
    <row r="3367">
      <c r="A3367" s="2"/>
      <c r="B3367" s="8" t="str">
        <f>IFERROR(__xludf.DUMMYFUNCTION("""COMPUTED_VALUE"""),"MILINA")</f>
        <v>MILINA</v>
      </c>
      <c r="C3367" s="8" t="str">
        <f>IFERROR(__xludf.DUMMYFUNCTION("""COMPUTED_VALUE"""),"M9026018565")</f>
        <v>M9026018565</v>
      </c>
      <c r="D3367" s="8">
        <f>IFERROR(__xludf.DUMMYFUNCTION("""COMPUTED_VALUE"""),36.0)</f>
        <v>36</v>
      </c>
      <c r="E3367" s="2"/>
    </row>
    <row r="3368">
      <c r="A3368" s="2"/>
      <c r="B3368" s="8" t="str">
        <f>IFERROR(__xludf.DUMMYFUNCTION("""COMPUTED_VALUE"""),"DHIASPUTRA BRILIANDRI")</f>
        <v>DHIASPUTRA BRILIANDRI</v>
      </c>
      <c r="C3368" s="8" t="str">
        <f>IFERROR(__xludf.DUMMYFUNCTION("""COMPUTED_VALUE"""),"D8426012002")</f>
        <v>D8426012002</v>
      </c>
      <c r="D3368" s="8">
        <f>IFERROR(__xludf.DUMMYFUNCTION("""COMPUTED_VALUE"""),42.0)</f>
        <v>42</v>
      </c>
      <c r="E3368" s="2"/>
    </row>
    <row r="3369">
      <c r="A3369" s="2"/>
      <c r="B3369" s="8" t="str">
        <f>IFERROR(__xludf.DUMMYFUNCTION("""COMPUTED_VALUE"""),"GIGIH PURBO P")</f>
        <v>GIGIH PURBO P</v>
      </c>
      <c r="C3369" s="8" t="str">
        <f>IFERROR(__xludf.DUMMYFUNCTION("""COMPUTED_VALUE"""),"G9426012038")</f>
        <v>G9426012038</v>
      </c>
      <c r="D3369" s="8">
        <f>IFERROR(__xludf.DUMMYFUNCTION("""COMPUTED_VALUE"""),32.0)</f>
        <v>32</v>
      </c>
      <c r="E3369" s="2"/>
    </row>
    <row r="3370">
      <c r="A3370" s="2"/>
      <c r="B3370" s="8" t="str">
        <f>IFERROR(__xludf.DUMMYFUNCTION("""COMPUTED_VALUE"""),"MERRY 7710")</f>
        <v>MERRY 7710</v>
      </c>
      <c r="C3370" s="8" t="str">
        <f>IFERROR(__xludf.DUMMYFUNCTION("""COMPUTED_VALUE"""),"M7726019333")</f>
        <v>M7726019333</v>
      </c>
      <c r="D3370" s="8">
        <f>IFERROR(__xludf.DUMMYFUNCTION("""COMPUTED_VALUE"""),48.0)</f>
        <v>48</v>
      </c>
      <c r="E3370" s="2"/>
    </row>
    <row r="3371">
      <c r="A3371" s="2"/>
      <c r="B3371" s="8" t="str">
        <f>IFERROR(__xludf.DUMMYFUNCTION("""COMPUTED_VALUE"""),"RAY DEDDY AZMI")</f>
        <v>RAY DEDDY AZMI</v>
      </c>
      <c r="C3371" s="8" t="str">
        <f>IFERROR(__xludf.DUMMYFUNCTION("""COMPUTED_VALUE"""),"R8826018833")</f>
        <v>R8826018833</v>
      </c>
      <c r="D3371" s="8">
        <f>IFERROR(__xludf.DUMMYFUNCTION("""COMPUTED_VALUE"""),38.0)</f>
        <v>38</v>
      </c>
      <c r="E3371" s="2"/>
    </row>
    <row r="3372">
      <c r="A3372" s="2"/>
      <c r="B3372" s="8" t="str">
        <f>IFERROR(__xludf.DUMMYFUNCTION("""COMPUTED_VALUE"""),"TITIN SUBAKTI S.SOS")</f>
        <v>TITIN SUBAKTI S.SOS</v>
      </c>
      <c r="C3372" s="8" t="str">
        <f>IFERROR(__xludf.DUMMYFUNCTION("""COMPUTED_VALUE"""),"T6926011206")</f>
        <v>T6926011206</v>
      </c>
      <c r="D3372" s="8">
        <f>IFERROR(__xludf.DUMMYFUNCTION("""COMPUTED_VALUE"""),56.0)</f>
        <v>56</v>
      </c>
      <c r="E3372" s="2"/>
    </row>
    <row r="3373">
      <c r="A3373" s="2"/>
      <c r="B3373" s="8" t="str">
        <f>IFERROR(__xludf.DUMMYFUNCTION("""COMPUTED_VALUE"""),"DRS BAGOES SOENHARLAN")</f>
        <v>DRS BAGOES SOENHARLAN</v>
      </c>
      <c r="C3373" s="8" t="str">
        <f>IFERROR(__xludf.DUMMYFUNCTION("""COMPUTED_VALUE"""),"D5626011207")</f>
        <v>D5626011207</v>
      </c>
      <c r="D3373" s="8">
        <f>IFERROR(__xludf.DUMMYFUNCTION("""COMPUTED_VALUE"""),69.0)</f>
        <v>69</v>
      </c>
      <c r="E3373" s="2"/>
    </row>
    <row r="3374">
      <c r="A3374" s="2"/>
      <c r="B3374" s="8" t="str">
        <f>IFERROR(__xludf.DUMMYFUNCTION("""COMPUTED_VALUE"""),"HERY PURYANTO")</f>
        <v>HERY PURYANTO</v>
      </c>
      <c r="C3374" s="8" t="str">
        <f>IFERROR(__xludf.DUMMYFUNCTION("""COMPUTED_VALUE"""),"H7226016491")</f>
        <v>H7226016491</v>
      </c>
      <c r="D3374" s="8">
        <f>IFERROR(__xludf.DUMMYFUNCTION("""COMPUTED_VALUE"""),54.0)</f>
        <v>54</v>
      </c>
      <c r="E3374" s="2"/>
    </row>
    <row r="3375">
      <c r="A3375" s="2"/>
      <c r="B3375" s="8" t="str">
        <f>IFERROR(__xludf.DUMMYFUNCTION("""COMPUTED_VALUE"""),"ELSA ELFIRA")</f>
        <v>ELSA ELFIRA</v>
      </c>
      <c r="C3375" s="8" t="str">
        <f>IFERROR(__xludf.DUMMYFUNCTION("""COMPUTED_VALUE"""),"E9426015632")</f>
        <v>E9426015632</v>
      </c>
      <c r="D3375" s="8">
        <f>IFERROR(__xludf.DUMMYFUNCTION("""COMPUTED_VALUE"""),32.0)</f>
        <v>32</v>
      </c>
      <c r="E3375" s="2"/>
    </row>
    <row r="3376">
      <c r="A3376" s="2"/>
      <c r="B3376" s="8" t="str">
        <f>IFERROR(__xludf.DUMMYFUNCTION("""COMPUTED_VALUE"""),"WANTI SETIANINGSIH")</f>
        <v>WANTI SETIANINGSIH</v>
      </c>
      <c r="C3376" s="8" t="str">
        <f>IFERROR(__xludf.DUMMYFUNCTION("""COMPUTED_VALUE"""),"W7126012991")</f>
        <v>W7126012991</v>
      </c>
      <c r="D3376" s="8">
        <f>IFERROR(__xludf.DUMMYFUNCTION("""COMPUTED_VALUE"""),54.0)</f>
        <v>54</v>
      </c>
      <c r="E3376" s="2"/>
    </row>
    <row r="3377">
      <c r="A3377" s="2"/>
      <c r="B3377" s="8" t="str">
        <f>IFERROR(__xludf.DUMMYFUNCTION("""COMPUTED_VALUE"""),"ANIS MUTIA")</f>
        <v>ANIS MUTIA</v>
      </c>
      <c r="C3377" s="8" t="str">
        <f>IFERROR(__xludf.DUMMYFUNCTION("""COMPUTED_VALUE"""),"A9526015016")</f>
        <v>A9526015016</v>
      </c>
      <c r="D3377" s="8">
        <f>IFERROR(__xludf.DUMMYFUNCTION("""COMPUTED_VALUE"""),30.0)</f>
        <v>30</v>
      </c>
      <c r="E3377" s="2"/>
    </row>
    <row r="3378">
      <c r="A3378" s="2"/>
      <c r="B3378" s="8" t="str">
        <f>IFERROR(__xludf.DUMMYFUNCTION("""COMPUTED_VALUE"""),"INZALIA")</f>
        <v>INZALIA</v>
      </c>
      <c r="C3378" s="8" t="str">
        <f>IFERROR(__xludf.DUMMYFUNCTION("""COMPUTED_VALUE"""),"I7126010597")</f>
        <v>I7126010597</v>
      </c>
      <c r="D3378" s="8">
        <f>IFERROR(__xludf.DUMMYFUNCTION("""COMPUTED_VALUE"""),55.0)</f>
        <v>55</v>
      </c>
      <c r="E3378" s="2"/>
    </row>
    <row r="3379">
      <c r="A3379" s="2"/>
      <c r="B3379" s="8" t="str">
        <f>IFERROR(__xludf.DUMMYFUNCTION("""COMPUTED_VALUE"""),"AZZURA DWIPA ITZA K")</f>
        <v>AZZURA DWIPA ITZA K</v>
      </c>
      <c r="C3379" s="8" t="str">
        <f>IFERROR(__xludf.DUMMYFUNCTION("""COMPUTED_VALUE"""),"A1326011589")</f>
        <v>A1326011589</v>
      </c>
      <c r="D3379" s="8">
        <f>IFERROR(__xludf.DUMMYFUNCTION("""COMPUTED_VALUE"""),12.0)</f>
        <v>12</v>
      </c>
      <c r="E3379" s="2"/>
    </row>
    <row r="3380">
      <c r="A3380" s="2"/>
      <c r="B3380" s="8" t="str">
        <f>IFERROR(__xludf.DUMMYFUNCTION("""COMPUTED_VALUE"""),"BERMAN PAULUS")</f>
        <v>BERMAN PAULUS</v>
      </c>
      <c r="C3380" s="8" t="str">
        <f>IFERROR(__xludf.DUMMYFUNCTION("""COMPUTED_VALUE"""),"B7526011820")</f>
        <v>B7526011820</v>
      </c>
      <c r="D3380" s="8">
        <f>IFERROR(__xludf.DUMMYFUNCTION("""COMPUTED_VALUE"""),50.0)</f>
        <v>50</v>
      </c>
      <c r="E3380" s="2"/>
    </row>
    <row r="3381">
      <c r="A3381" s="2"/>
      <c r="B3381" s="8" t="str">
        <f>IFERROR(__xludf.DUMMYFUNCTION("""COMPUTED_VALUE"""),"VERONICA")</f>
        <v>VERONICA</v>
      </c>
      <c r="C3381" s="8" t="str">
        <f>IFERROR(__xludf.DUMMYFUNCTION("""COMPUTED_VALUE"""),"V9226019932")</f>
        <v>V9226019932</v>
      </c>
      <c r="D3381" s="8">
        <f>IFERROR(__xludf.DUMMYFUNCTION("""COMPUTED_VALUE"""),34.0)</f>
        <v>34</v>
      </c>
      <c r="E3381" s="2"/>
    </row>
    <row r="3382">
      <c r="A3382" s="2"/>
      <c r="B3382" s="8" t="str">
        <f>IFERROR(__xludf.DUMMYFUNCTION("""COMPUTED_VALUE"""),"TONNY MARZUKI")</f>
        <v>TONNY MARZUKI</v>
      </c>
      <c r="C3382" s="8" t="str">
        <f>IFERROR(__xludf.DUMMYFUNCTION("""COMPUTED_VALUE"""),"T7326013200")</f>
        <v>T7326013200</v>
      </c>
      <c r="D3382" s="8">
        <f>IFERROR(__xludf.DUMMYFUNCTION("""COMPUTED_VALUE"""),52.0)</f>
        <v>52</v>
      </c>
      <c r="E3382" s="2"/>
    </row>
    <row r="3383">
      <c r="A3383" s="2"/>
      <c r="B3383" s="8" t="str">
        <f>IFERROR(__xludf.DUMMYFUNCTION("""COMPUTED_VALUE"""),"RIZKY RESTU ANUGRAH PALURENG")</f>
        <v>RIZKY RESTU ANUGRAH PALURENG</v>
      </c>
      <c r="C3383" s="8" t="str">
        <f>IFERROR(__xludf.DUMMYFUNCTION("""COMPUTED_VALUE"""),"R1026015496")</f>
        <v>R1026015496</v>
      </c>
      <c r="D3383" s="8">
        <f>IFERROR(__xludf.DUMMYFUNCTION("""COMPUTED_VALUE"""),15.0)</f>
        <v>15</v>
      </c>
      <c r="E3383" s="2"/>
    </row>
    <row r="3384">
      <c r="A3384" s="2"/>
      <c r="B3384" s="8" t="str">
        <f>IFERROR(__xludf.DUMMYFUNCTION("""COMPUTED_VALUE"""),"IBNU SETYA HARYANA ")</f>
        <v>IBNU SETYA HARYANA </v>
      </c>
      <c r="C3384" s="8" t="str">
        <f>IFERROR(__xludf.DUMMYFUNCTION("""COMPUTED_VALUE"""),"I6726014660")</f>
        <v>I6726014660</v>
      </c>
      <c r="D3384" s="8">
        <f>IFERROR(__xludf.DUMMYFUNCTION("""COMPUTED_VALUE"""),59.0)</f>
        <v>59</v>
      </c>
      <c r="E3384" s="2"/>
    </row>
    <row r="3385">
      <c r="A3385" s="2"/>
      <c r="B3385" s="8" t="str">
        <f>IFERROR(__xludf.DUMMYFUNCTION("""COMPUTED_VALUE"""),"M FATIH RIZKI")</f>
        <v>M FATIH RIZKI</v>
      </c>
      <c r="C3385" s="8" t="str">
        <f>IFERROR(__xludf.DUMMYFUNCTION("""COMPUTED_VALUE"""),"M1426014555")</f>
        <v>M1426014555</v>
      </c>
      <c r="D3385" s="8">
        <f>IFERROR(__xludf.DUMMYFUNCTION("""COMPUTED_VALUE"""),11.0)</f>
        <v>11</v>
      </c>
      <c r="E3385" s="2"/>
    </row>
    <row r="3386">
      <c r="A3386" s="2"/>
      <c r="B3386" s="8" t="str">
        <f>IFERROR(__xludf.DUMMYFUNCTION("""COMPUTED_VALUE"""),"ROSDIANA")</f>
        <v>ROSDIANA</v>
      </c>
      <c r="C3386" s="8" t="str">
        <f>IFERROR(__xludf.DUMMYFUNCTION("""COMPUTED_VALUE"""),"R6926017083")</f>
        <v>R6926017083</v>
      </c>
      <c r="D3386" s="8">
        <f>IFERROR(__xludf.DUMMYFUNCTION("""COMPUTED_VALUE"""),56.0)</f>
        <v>56</v>
      </c>
      <c r="E3386" s="2"/>
    </row>
    <row r="3387">
      <c r="A3387" s="2"/>
      <c r="B3387" s="8" t="str">
        <f>IFERROR(__xludf.DUMMYFUNCTION("""COMPUTED_VALUE"""),"ARDY CAHYA FITRIYANTO")</f>
        <v>ARDY CAHYA FITRIYANTO</v>
      </c>
      <c r="C3387" s="8" t="str">
        <f>IFERROR(__xludf.DUMMYFUNCTION("""COMPUTED_VALUE"""),"A9026018207")</f>
        <v>A9026018207</v>
      </c>
      <c r="D3387" s="8">
        <f>IFERROR(__xludf.DUMMYFUNCTION("""COMPUTED_VALUE"""),36.0)</f>
        <v>36</v>
      </c>
      <c r="E3387" s="2"/>
    </row>
    <row r="3388">
      <c r="A3388" s="2"/>
      <c r="B3388" s="8" t="str">
        <f>IFERROR(__xludf.DUMMYFUNCTION("""COMPUTED_VALUE"""),"DIARMI")</f>
        <v>DIARMI</v>
      </c>
      <c r="C3388" s="8" t="str">
        <f>IFERROR(__xludf.DUMMYFUNCTION("""COMPUTED_VALUE"""),"D5926011554")</f>
        <v>D5926011554</v>
      </c>
      <c r="D3388" s="8">
        <f>IFERROR(__xludf.DUMMYFUNCTION("""COMPUTED_VALUE"""),67.0)</f>
        <v>67</v>
      </c>
      <c r="E3388" s="2"/>
    </row>
    <row r="3389">
      <c r="A3389" s="2"/>
      <c r="B3389" s="8" t="str">
        <f>IFERROR(__xludf.DUMMYFUNCTION("""COMPUTED_VALUE"""),"REVAEL ENGGANG ALHAQ")</f>
        <v>REVAEL ENGGANG ALHAQ</v>
      </c>
      <c r="C3389" s="8" t="str">
        <f>IFERROR(__xludf.DUMMYFUNCTION("""COMPUTED_VALUE"""),"R0926014868")</f>
        <v>R0926014868</v>
      </c>
      <c r="D3389" s="8">
        <f>IFERROR(__xludf.DUMMYFUNCTION("""COMPUTED_VALUE"""),17.0)</f>
        <v>17</v>
      </c>
      <c r="E3389" s="2"/>
    </row>
    <row r="3390">
      <c r="A3390" s="2"/>
      <c r="B3390" s="8" t="str">
        <f>IFERROR(__xludf.DUMMYFUNCTION("""COMPUTED_VALUE"""),"MUHAMMAD NUR")</f>
        <v>MUHAMMAD NUR</v>
      </c>
      <c r="C3390" s="8" t="str">
        <f>IFERROR(__xludf.DUMMYFUNCTION("""COMPUTED_VALUE"""),"M7326014347")</f>
        <v>M7326014347</v>
      </c>
      <c r="D3390" s="8">
        <f>IFERROR(__xludf.DUMMYFUNCTION("""COMPUTED_VALUE"""),53.0)</f>
        <v>53</v>
      </c>
      <c r="E3390" s="2"/>
    </row>
    <row r="3391">
      <c r="A3391" s="2"/>
      <c r="B3391" s="8" t="str">
        <f>IFERROR(__xludf.DUMMYFUNCTION("""COMPUTED_VALUE"""),"REVAN FELIX GOUW")</f>
        <v>REVAN FELIX GOUW</v>
      </c>
      <c r="C3391" s="8" t="str">
        <f>IFERROR(__xludf.DUMMYFUNCTION("""COMPUTED_VALUE"""),"R1226012111")</f>
        <v>R1226012111</v>
      </c>
      <c r="D3391" s="8">
        <f>IFERROR(__xludf.DUMMYFUNCTION("""COMPUTED_VALUE"""),14.0)</f>
        <v>14</v>
      </c>
      <c r="E3391" s="2"/>
    </row>
    <row r="3392">
      <c r="A3392" s="2"/>
      <c r="B3392" s="8" t="str">
        <f>IFERROR(__xludf.DUMMYFUNCTION("""COMPUTED_VALUE"""),"SINDY MELANI")</f>
        <v>SINDY MELANI</v>
      </c>
      <c r="C3392" s="8" t="str">
        <f>IFERROR(__xludf.DUMMYFUNCTION("""COMPUTED_VALUE"""),"S0026012309")</f>
        <v>S0026012309</v>
      </c>
      <c r="D3392" s="8">
        <f>IFERROR(__xludf.DUMMYFUNCTION("""COMPUTED_VALUE"""),25.0)</f>
        <v>25</v>
      </c>
      <c r="E3392" s="2"/>
    </row>
    <row r="3393">
      <c r="A3393" s="2"/>
      <c r="B3393" s="8" t="str">
        <f>IFERROR(__xludf.DUMMYFUNCTION("""COMPUTED_VALUE"""),"RACHMAT HIDAYAT")</f>
        <v>RACHMAT HIDAYAT</v>
      </c>
      <c r="C3393" s="8" t="str">
        <f>IFERROR(__xludf.DUMMYFUNCTION("""COMPUTED_VALUE"""),"R9326014910")</f>
        <v>R9326014910</v>
      </c>
      <c r="D3393" s="8">
        <f>IFERROR(__xludf.DUMMYFUNCTION("""COMPUTED_VALUE"""),33.0)</f>
        <v>33</v>
      </c>
      <c r="E3393" s="2"/>
    </row>
    <row r="3394">
      <c r="A3394" s="2"/>
      <c r="B3394" s="8" t="str">
        <f>IFERROR(__xludf.DUMMYFUNCTION("""COMPUTED_VALUE"""),"MAYONG ANDREAS ACIN")</f>
        <v>MAYONG ANDREAS ACIN</v>
      </c>
      <c r="C3394" s="8" t="str">
        <f>IFERROR(__xludf.DUMMYFUNCTION("""COMPUTED_VALUE"""),"M7226018910")</f>
        <v>M7226018910</v>
      </c>
      <c r="D3394" s="8">
        <f>IFERROR(__xludf.DUMMYFUNCTION("""COMPUTED_VALUE"""),54.0)</f>
        <v>54</v>
      </c>
      <c r="E3394" s="2"/>
    </row>
    <row r="3395">
      <c r="A3395" s="2"/>
      <c r="B3395" s="8" t="str">
        <f>IFERROR(__xludf.DUMMYFUNCTION("""COMPUTED_VALUE"""),"M ADY SOEPIANSYAH")</f>
        <v>M ADY SOEPIANSYAH</v>
      </c>
      <c r="C3395" s="8" t="str">
        <f>IFERROR(__xludf.DUMMYFUNCTION("""COMPUTED_VALUE"""),"M9326010051")</f>
        <v>M9326010051</v>
      </c>
      <c r="D3395" s="8">
        <f>IFERROR(__xludf.DUMMYFUNCTION("""COMPUTED_VALUE"""),33.0)</f>
        <v>33</v>
      </c>
      <c r="E3395" s="2"/>
    </row>
    <row r="3396">
      <c r="A3396" s="2"/>
      <c r="B3396" s="8" t="str">
        <f>IFERROR(__xludf.DUMMYFUNCTION("""COMPUTED_VALUE"""),"LENNY MARBUN")</f>
        <v>LENNY MARBUN</v>
      </c>
      <c r="C3396" s="8" t="str">
        <f>IFERROR(__xludf.DUMMYFUNCTION("""COMPUTED_VALUE"""),"L7926015599")</f>
        <v>L7926015599</v>
      </c>
      <c r="D3396" s="8">
        <f>IFERROR(__xludf.DUMMYFUNCTION("""COMPUTED_VALUE"""),46.0)</f>
        <v>46</v>
      </c>
      <c r="E3396" s="2"/>
    </row>
    <row r="3397">
      <c r="A3397" s="2"/>
      <c r="B3397" s="8" t="str">
        <f>IFERROR(__xludf.DUMMYFUNCTION("""COMPUTED_VALUE"""),"SHELIN XAVIERA SALAM")</f>
        <v>SHELIN XAVIERA SALAM</v>
      </c>
      <c r="C3397" s="8" t="str">
        <f>IFERROR(__xludf.DUMMYFUNCTION("""COMPUTED_VALUE"""),"S1926017999")</f>
        <v>S1926017999</v>
      </c>
      <c r="D3397" s="8">
        <f>IFERROR(__xludf.DUMMYFUNCTION("""COMPUTED_VALUE"""),7.0)</f>
        <v>7</v>
      </c>
      <c r="E3397" s="2"/>
    </row>
    <row r="3398">
      <c r="A3398" s="2"/>
      <c r="B3398" s="8" t="str">
        <f>IFERROR(__xludf.DUMMYFUNCTION("""COMPUTED_VALUE"""),"HANDRI")</f>
        <v>HANDRI</v>
      </c>
      <c r="C3398" s="8" t="str">
        <f>IFERROR(__xludf.DUMMYFUNCTION("""COMPUTED_VALUE"""),"H8826015369")</f>
        <v>H8826015369</v>
      </c>
      <c r="D3398" s="8">
        <f>IFERROR(__xludf.DUMMYFUNCTION("""COMPUTED_VALUE"""),37.0)</f>
        <v>37</v>
      </c>
      <c r="E3398" s="2"/>
    </row>
    <row r="3399">
      <c r="A3399" s="2"/>
      <c r="B3399" s="8" t="str">
        <f>IFERROR(__xludf.DUMMYFUNCTION("""COMPUTED_VALUE"""),"AGNES ROSELINA")</f>
        <v>AGNES ROSELINA</v>
      </c>
      <c r="C3399" s="8" t="str">
        <f>IFERROR(__xludf.DUMMYFUNCTION("""COMPUTED_VALUE"""),"A4526019334")</f>
        <v>A4526019334</v>
      </c>
      <c r="D3399" s="8">
        <f>IFERROR(__xludf.DUMMYFUNCTION("""COMPUTED_VALUE"""),80.0)</f>
        <v>80</v>
      </c>
      <c r="E3399" s="2"/>
    </row>
    <row r="3400">
      <c r="A3400" s="2"/>
      <c r="B3400" s="8" t="str">
        <f>IFERROR(__xludf.DUMMYFUNCTION("""COMPUTED_VALUE"""),"MARSIANUS DWI W. DONATUS")</f>
        <v>MARSIANUS DWI W. DONATUS</v>
      </c>
      <c r="C3400" s="8" t="str">
        <f>IFERROR(__xludf.DUMMYFUNCTION("""COMPUTED_VALUE"""),"M8926011825")</f>
        <v>M8926011825</v>
      </c>
      <c r="D3400" s="8">
        <f>IFERROR(__xludf.DUMMYFUNCTION("""COMPUTED_VALUE"""),37.0)</f>
        <v>37</v>
      </c>
      <c r="E3400" s="2"/>
    </row>
    <row r="3401">
      <c r="A3401" s="2"/>
      <c r="B3401" s="8" t="str">
        <f>IFERROR(__xludf.DUMMYFUNCTION("""COMPUTED_VALUE"""),"LAETITIA LAURA")</f>
        <v>LAETITIA LAURA</v>
      </c>
      <c r="C3401" s="8" t="str">
        <f>IFERROR(__xludf.DUMMYFUNCTION("""COMPUTED_VALUE"""),"L9226015300")</f>
        <v>L9226015300</v>
      </c>
      <c r="D3401" s="8">
        <f>IFERROR(__xludf.DUMMYFUNCTION("""COMPUTED_VALUE"""),34.0)</f>
        <v>34</v>
      </c>
      <c r="E3401" s="2"/>
    </row>
    <row r="3402">
      <c r="A3402" s="2"/>
      <c r="B3402" s="8" t="str">
        <f>IFERROR(__xludf.DUMMYFUNCTION("""COMPUTED_VALUE"""),"SUHARDI")</f>
        <v>SUHARDI</v>
      </c>
      <c r="C3402" s="8" t="str">
        <f>IFERROR(__xludf.DUMMYFUNCTION("""COMPUTED_VALUE"""),"S8126023178")</f>
        <v>S8126023178</v>
      </c>
      <c r="D3402" s="8">
        <f>IFERROR(__xludf.DUMMYFUNCTION("""COMPUTED_VALUE"""),45.0)</f>
        <v>45</v>
      </c>
      <c r="E3402" s="2"/>
    </row>
    <row r="3403">
      <c r="A3403" s="2"/>
      <c r="B3403" s="8" t="str">
        <f>IFERROR(__xludf.DUMMYFUNCTION("""COMPUTED_VALUE"""),"BHAKTI HARIMURTI")</f>
        <v>BHAKTI HARIMURTI</v>
      </c>
      <c r="C3403" s="8" t="str">
        <f>IFERROR(__xludf.DUMMYFUNCTION("""COMPUTED_VALUE"""),"B0826026211")</f>
        <v>B0826026211</v>
      </c>
      <c r="D3403" s="8">
        <f>IFERROR(__xludf.DUMMYFUNCTION("""COMPUTED_VALUE"""),18.0)</f>
        <v>18</v>
      </c>
      <c r="E3403" s="2"/>
    </row>
    <row r="3404">
      <c r="A3404" s="2"/>
      <c r="B3404" s="8" t="str">
        <f>IFERROR(__xludf.DUMMYFUNCTION("""COMPUTED_VALUE"""),"FENRIADI")</f>
        <v>FENRIADI</v>
      </c>
      <c r="C3404" s="8" t="str">
        <f>IFERROR(__xludf.DUMMYFUNCTION("""COMPUTED_VALUE"""),"F0126020468")</f>
        <v>F0126020468</v>
      </c>
      <c r="D3404" s="8">
        <f>IFERROR(__xludf.DUMMYFUNCTION("""COMPUTED_VALUE"""),25.0)</f>
        <v>25</v>
      </c>
      <c r="E3404" s="2"/>
    </row>
    <row r="3405">
      <c r="A3405" s="2"/>
      <c r="B3405" s="8" t="str">
        <f>IFERROR(__xludf.DUMMYFUNCTION("""COMPUTED_VALUE"""),"RIZQIROIHANMUSTOFA")</f>
        <v>RIZQIROIHANMUSTOFA</v>
      </c>
      <c r="C3405" s="8" t="str">
        <f>IFERROR(__xludf.DUMMYFUNCTION("""COMPUTED_VALUE"""),"R0526022599")</f>
        <v>R0526022599</v>
      </c>
      <c r="D3405" s="8">
        <f>IFERROR(__xludf.DUMMYFUNCTION("""COMPUTED_VALUE"""),20.0)</f>
        <v>20</v>
      </c>
      <c r="E3405" s="2"/>
    </row>
    <row r="3406">
      <c r="A3406" s="2"/>
      <c r="B3406" s="8" t="str">
        <f>IFERROR(__xludf.DUMMYFUNCTION("""COMPUTED_VALUE"""),"ADI RAHMANTO ")</f>
        <v>ADI RAHMANTO </v>
      </c>
      <c r="C3406" s="8" t="str">
        <f>IFERROR(__xludf.DUMMYFUNCTION("""COMPUTED_VALUE"""),"A8426023201")</f>
        <v>A8426023201</v>
      </c>
      <c r="D3406" s="8">
        <f>IFERROR(__xludf.DUMMYFUNCTION("""COMPUTED_VALUE"""),42.0)</f>
        <v>42</v>
      </c>
      <c r="E3406" s="2"/>
    </row>
    <row r="3407">
      <c r="A3407" s="2"/>
      <c r="B3407" s="8" t="str">
        <f>IFERROR(__xludf.DUMMYFUNCTION("""COMPUTED_VALUE"""),"EKA DEWI PRATIWI")</f>
        <v>EKA DEWI PRATIWI</v>
      </c>
      <c r="C3407" s="8" t="str">
        <f>IFERROR(__xludf.DUMMYFUNCTION("""COMPUTED_VALUE"""),"E8326023201")</f>
        <v>E8326023201</v>
      </c>
      <c r="D3407" s="8">
        <f>IFERROR(__xludf.DUMMYFUNCTION("""COMPUTED_VALUE"""),42.0)</f>
        <v>42</v>
      </c>
      <c r="E3407" s="2"/>
    </row>
    <row r="3408">
      <c r="A3408" s="2"/>
      <c r="B3408" s="8" t="str">
        <f>IFERROR(__xludf.DUMMYFUNCTION("""COMPUTED_VALUE"""),"AIRLANGGA RADITYA SYAFIQ")</f>
        <v>AIRLANGGA RADITYA SYAFIQ</v>
      </c>
      <c r="C3408" s="8" t="str">
        <f>IFERROR(__xludf.DUMMYFUNCTION("""COMPUTED_VALUE"""),"A1526023201")</f>
        <v>A1526023201</v>
      </c>
      <c r="D3408" s="8">
        <f>IFERROR(__xludf.DUMMYFUNCTION("""COMPUTED_VALUE"""),11.0)</f>
        <v>11</v>
      </c>
      <c r="E3408" s="2"/>
    </row>
    <row r="3409">
      <c r="A3409" s="2"/>
      <c r="B3409" s="8" t="str">
        <f>IFERROR(__xludf.DUMMYFUNCTION("""COMPUTED_VALUE"""),"RIKA ANGGRAINI")</f>
        <v>RIKA ANGGRAINI</v>
      </c>
      <c r="C3409" s="8" t="str">
        <f>IFERROR(__xludf.DUMMYFUNCTION("""COMPUTED_VALUE"""),"R8626021144")</f>
        <v>R8626021144</v>
      </c>
      <c r="D3409" s="8">
        <f>IFERROR(__xludf.DUMMYFUNCTION("""COMPUTED_VALUE"""),39.0)</f>
        <v>39</v>
      </c>
      <c r="E3409" s="2"/>
    </row>
    <row r="3410">
      <c r="A3410" s="2"/>
      <c r="B3410" s="8" t="str">
        <f>IFERROR(__xludf.DUMMYFUNCTION("""COMPUTED_VALUE"""),"ALBERT RENSEN LIUNARDY")</f>
        <v>ALBERT RENSEN LIUNARDY</v>
      </c>
      <c r="C3410" s="8" t="str">
        <f>IFERROR(__xludf.DUMMYFUNCTION("""COMPUTED_VALUE"""),"A0726020889")</f>
        <v>A0726020889</v>
      </c>
      <c r="D3410" s="8">
        <f>IFERROR(__xludf.DUMMYFUNCTION("""COMPUTED_VALUE"""),19.0)</f>
        <v>19</v>
      </c>
      <c r="E3410" s="2"/>
    </row>
    <row r="3411">
      <c r="A3411" s="2"/>
      <c r="B3411" s="8" t="str">
        <f>IFERROR(__xludf.DUMMYFUNCTION("""COMPUTED_VALUE"""),"NURILHAM IRSYAD")</f>
        <v>NURILHAM IRSYAD</v>
      </c>
      <c r="C3411" s="8" t="str">
        <f>IFERROR(__xludf.DUMMYFUNCTION("""COMPUTED_VALUE"""),"N0426026505")</f>
        <v>N0426026505</v>
      </c>
      <c r="D3411" s="8">
        <f>IFERROR(__xludf.DUMMYFUNCTION("""COMPUTED_VALUE"""),22.0)</f>
        <v>22</v>
      </c>
      <c r="E3411" s="2"/>
    </row>
    <row r="3412">
      <c r="A3412" s="2"/>
      <c r="B3412" s="8" t="str">
        <f>IFERROR(__xludf.DUMMYFUNCTION("""COMPUTED_VALUE"""),"YOHANES PELE KURNIAWAN")</f>
        <v>YOHANES PELE KURNIAWAN</v>
      </c>
      <c r="C3412" s="8" t="str">
        <f>IFERROR(__xludf.DUMMYFUNCTION("""COMPUTED_VALUE"""),"Y9426026691")</f>
        <v>Y9426026691</v>
      </c>
      <c r="D3412" s="8">
        <f>IFERROR(__xludf.DUMMYFUNCTION("""COMPUTED_VALUE"""),32.0)</f>
        <v>32</v>
      </c>
      <c r="E3412" s="2"/>
    </row>
    <row r="3413">
      <c r="A3413" s="2"/>
      <c r="B3413" s="8" t="str">
        <f>IFERROR(__xludf.DUMMYFUNCTION("""COMPUTED_VALUE"""),"SARIJEM")</f>
        <v>SARIJEM</v>
      </c>
      <c r="C3413" s="8" t="str">
        <f>IFERROR(__xludf.DUMMYFUNCTION("""COMPUTED_VALUE"""),"S5026020981")</f>
        <v>S5026020981</v>
      </c>
      <c r="D3413" s="8">
        <f>IFERROR(__xludf.DUMMYFUNCTION("""COMPUTED_VALUE"""),76.0)</f>
        <v>76</v>
      </c>
      <c r="E3413" s="2"/>
    </row>
    <row r="3414">
      <c r="A3414" s="2"/>
      <c r="B3414" s="8" t="str">
        <f>IFERROR(__xludf.DUMMYFUNCTION("""COMPUTED_VALUE"""),"BAYU YOGA ")</f>
        <v>BAYU YOGA </v>
      </c>
      <c r="C3414" s="8" t="str">
        <f>IFERROR(__xludf.DUMMYFUNCTION("""COMPUTED_VALUE"""),"B0026027579")</f>
        <v>B0026027579</v>
      </c>
      <c r="D3414" s="8">
        <f>IFERROR(__xludf.DUMMYFUNCTION("""COMPUTED_VALUE"""),25.0)</f>
        <v>25</v>
      </c>
      <c r="E3414" s="2"/>
    </row>
    <row r="3415">
      <c r="A3415" s="2"/>
      <c r="B3415" s="8" t="str">
        <f>IFERROR(__xludf.DUMMYFUNCTION("""COMPUTED_VALUE"""),"EDDY SANTOSO")</f>
        <v>EDDY SANTOSO</v>
      </c>
      <c r="C3415" s="8" t="str">
        <f>IFERROR(__xludf.DUMMYFUNCTION("""COMPUTED_VALUE"""),"E7026024999")</f>
        <v>E7026024999</v>
      </c>
      <c r="D3415" s="8">
        <f>IFERROR(__xludf.DUMMYFUNCTION("""COMPUTED_VALUE"""),56.0)</f>
        <v>56</v>
      </c>
      <c r="E3415" s="2"/>
    </row>
    <row r="3416">
      <c r="A3416" s="2"/>
      <c r="B3416" s="8" t="str">
        <f>IFERROR(__xludf.DUMMYFUNCTION("""COMPUTED_VALUE"""),"TARMANTO")</f>
        <v>TARMANTO</v>
      </c>
      <c r="C3416" s="8" t="str">
        <f>IFERROR(__xludf.DUMMYFUNCTION("""COMPUTED_VALUE"""),"T8526022425")</f>
        <v>T8526022425</v>
      </c>
      <c r="D3416" s="8">
        <f>IFERROR(__xludf.DUMMYFUNCTION("""COMPUTED_VALUE"""),40.0)</f>
        <v>40</v>
      </c>
      <c r="E3416" s="2"/>
    </row>
    <row r="3417">
      <c r="A3417" s="2"/>
      <c r="B3417" s="8" t="str">
        <f>IFERROR(__xludf.DUMMYFUNCTION("""COMPUTED_VALUE"""),"BAMBANG DWIPOJONO")</f>
        <v>BAMBANG DWIPOJONO</v>
      </c>
      <c r="C3417" s="8" t="str">
        <f>IFERROR(__xludf.DUMMYFUNCTION("""COMPUTED_VALUE"""),"B7026021215")</f>
        <v>B7026021215</v>
      </c>
      <c r="D3417" s="8">
        <f>IFERROR(__xludf.DUMMYFUNCTION("""COMPUTED_VALUE"""),55.0)</f>
        <v>55</v>
      </c>
      <c r="E3417" s="2"/>
    </row>
    <row r="3418">
      <c r="A3418" s="2"/>
      <c r="B3418" s="8" t="str">
        <f>IFERROR(__xludf.DUMMYFUNCTION("""COMPUTED_VALUE"""),"MAIZA AFRIANI")</f>
        <v>MAIZA AFRIANI</v>
      </c>
      <c r="C3418" s="8" t="str">
        <f>IFERROR(__xludf.DUMMYFUNCTION("""COMPUTED_VALUE"""),"M0226020373")</f>
        <v>M0226020373</v>
      </c>
      <c r="D3418" s="8">
        <f>IFERROR(__xludf.DUMMYFUNCTION("""COMPUTED_VALUE"""),24.0)</f>
        <v>24</v>
      </c>
      <c r="E3418" s="2"/>
    </row>
    <row r="3419">
      <c r="A3419" s="2"/>
      <c r="B3419" s="8" t="str">
        <f>IFERROR(__xludf.DUMMYFUNCTION("""COMPUTED_VALUE"""),"ALEXANDER PUTRA DARMADI")</f>
        <v>ALEXANDER PUTRA DARMADI</v>
      </c>
      <c r="C3419" s="8" t="str">
        <f>IFERROR(__xludf.DUMMYFUNCTION("""COMPUTED_VALUE"""),"A0926020100")</f>
        <v>A0926020100</v>
      </c>
      <c r="D3419" s="8">
        <f>IFERROR(__xludf.DUMMYFUNCTION("""COMPUTED_VALUE"""),17.0)</f>
        <v>17</v>
      </c>
      <c r="E3419" s="2"/>
    </row>
    <row r="3420">
      <c r="A3420" s="2"/>
      <c r="B3420" s="8" t="str">
        <f>IFERROR(__xludf.DUMMYFUNCTION("""COMPUTED_VALUE"""),"NABILA SEPTRIA NINGRUM")</f>
        <v>NABILA SEPTRIA NINGRUM</v>
      </c>
      <c r="C3420" s="8" t="str">
        <f>IFERROR(__xludf.DUMMYFUNCTION("""COMPUTED_VALUE"""),"N0326023310")</f>
        <v>N0326023310</v>
      </c>
      <c r="D3420" s="8">
        <f>IFERROR(__xludf.DUMMYFUNCTION("""COMPUTED_VALUE"""),22.0)</f>
        <v>22</v>
      </c>
      <c r="E3420" s="2"/>
    </row>
    <row r="3421">
      <c r="A3421" s="2"/>
      <c r="B3421" s="8" t="str">
        <f>IFERROR(__xludf.DUMMYFUNCTION("""COMPUTED_VALUE"""),"WIDI TRIYANTO")</f>
        <v>WIDI TRIYANTO</v>
      </c>
      <c r="C3421" s="8" t="str">
        <f>IFERROR(__xludf.DUMMYFUNCTION("""COMPUTED_VALUE"""),"W0826026441")</f>
        <v>W0826026441</v>
      </c>
      <c r="D3421" s="8">
        <f>IFERROR(__xludf.DUMMYFUNCTION("""COMPUTED_VALUE"""),18.0)</f>
        <v>18</v>
      </c>
      <c r="E3421" s="2"/>
    </row>
    <row r="3422">
      <c r="A3422" s="2"/>
      <c r="B3422" s="8" t="str">
        <f>IFERROR(__xludf.DUMMYFUNCTION("""COMPUTED_VALUE"""),"NG LIP TJIU")</f>
        <v>NG LIP TJIU</v>
      </c>
      <c r="C3422" s="8" t="str">
        <f>IFERROR(__xludf.DUMMYFUNCTION("""COMPUTED_VALUE"""),"N5726026689")</f>
        <v>N5726026689</v>
      </c>
      <c r="D3422" s="8">
        <f>IFERROR(__xludf.DUMMYFUNCTION("""COMPUTED_VALUE"""),68.0)</f>
        <v>68</v>
      </c>
      <c r="E3422" s="2"/>
    </row>
    <row r="3423">
      <c r="A3423" s="2"/>
      <c r="B3423" s="8" t="str">
        <f>IFERROR(__xludf.DUMMYFUNCTION("""COMPUTED_VALUE"""),"HARISYAH BANDIANTO ")</f>
        <v>HARISYAH BANDIANTO </v>
      </c>
      <c r="C3423" s="8" t="str">
        <f>IFERROR(__xludf.DUMMYFUNCTION("""COMPUTED_VALUE"""),"H0126027941")</f>
        <v>H0126027941</v>
      </c>
      <c r="D3423" s="8">
        <f>IFERROR(__xludf.DUMMYFUNCTION("""COMPUTED_VALUE"""),24.0)</f>
        <v>24</v>
      </c>
      <c r="E3423" s="2"/>
    </row>
    <row r="3424">
      <c r="A3424" s="2"/>
      <c r="B3424" s="8" t="str">
        <f>IFERROR(__xludf.DUMMYFUNCTION("""COMPUTED_VALUE"""),"HENGKY TANUWIJAYA")</f>
        <v>HENGKY TANUWIJAYA</v>
      </c>
      <c r="C3424" s="8" t="str">
        <f>IFERROR(__xludf.DUMMYFUNCTION("""COMPUTED_VALUE"""),"H7626021976")</f>
        <v>H7626021976</v>
      </c>
      <c r="D3424" s="8">
        <f>IFERROR(__xludf.DUMMYFUNCTION("""COMPUTED_VALUE"""),50.0)</f>
        <v>50</v>
      </c>
      <c r="E3424" s="2"/>
    </row>
    <row r="3425">
      <c r="A3425" s="2"/>
      <c r="B3425" s="8" t="str">
        <f>IFERROR(__xludf.DUMMYFUNCTION("""COMPUTED_VALUE"""),"FEBRIANTO LIM")</f>
        <v>FEBRIANTO LIM</v>
      </c>
      <c r="C3425" s="8" t="str">
        <f>IFERROR(__xludf.DUMMYFUNCTION("""COMPUTED_VALUE"""),"F9626022801")</f>
        <v>F9626022801</v>
      </c>
      <c r="D3425" s="8">
        <f>IFERROR(__xludf.DUMMYFUNCTION("""COMPUTED_VALUE"""),30.0)</f>
        <v>30</v>
      </c>
      <c r="E3425" s="2"/>
    </row>
    <row r="3426">
      <c r="A3426" s="2"/>
      <c r="B3426" s="8" t="str">
        <f>IFERROR(__xludf.DUMMYFUNCTION("""COMPUTED_VALUE"""),"LIM GEK KHIANG")</f>
        <v>LIM GEK KHIANG</v>
      </c>
      <c r="C3426" s="8" t="str">
        <f>IFERROR(__xludf.DUMMYFUNCTION("""COMPUTED_VALUE"""),"L5926020168")</f>
        <v>L5926020168</v>
      </c>
      <c r="D3426" s="8">
        <f>IFERROR(__xludf.DUMMYFUNCTION("""COMPUTED_VALUE"""),66.0)</f>
        <v>66</v>
      </c>
      <c r="E3426" s="2"/>
    </row>
    <row r="3427">
      <c r="A3427" s="2"/>
      <c r="B3427" s="8" t="str">
        <f>IFERROR(__xludf.DUMMYFUNCTION("""COMPUTED_VALUE"""),"OKTAVIANA ")</f>
        <v>OKTAVIANA </v>
      </c>
      <c r="C3427" s="8" t="str">
        <f>IFERROR(__xludf.DUMMYFUNCTION("""COMPUTED_VALUE"""),"O0426023127")</f>
        <v>O0426023127</v>
      </c>
      <c r="D3427" s="8">
        <f>IFERROR(__xludf.DUMMYFUNCTION("""COMPUTED_VALUE"""),21.0)</f>
        <v>21</v>
      </c>
      <c r="E3427" s="2"/>
    </row>
    <row r="3428">
      <c r="A3428" s="2"/>
      <c r="B3428" s="8" t="str">
        <f>IFERROR(__xludf.DUMMYFUNCTION("""COMPUTED_VALUE"""),"ERMINA")</f>
        <v>ERMINA</v>
      </c>
      <c r="C3428" s="8" t="str">
        <f>IFERROR(__xludf.DUMMYFUNCTION("""COMPUTED_VALUE"""),"E6726020415")</f>
        <v>E6726020415</v>
      </c>
      <c r="D3428" s="8">
        <f>IFERROR(__xludf.DUMMYFUNCTION("""COMPUTED_VALUE"""),59.0)</f>
        <v>59</v>
      </c>
      <c r="E3428" s="2"/>
    </row>
    <row r="3429">
      <c r="A3429" s="2"/>
      <c r="B3429" s="8" t="str">
        <f>IFERROR(__xludf.DUMMYFUNCTION("""COMPUTED_VALUE"""),"RIA DWI ANJANI")</f>
        <v>RIA DWI ANJANI</v>
      </c>
      <c r="C3429" s="8" t="str">
        <f>IFERROR(__xludf.DUMMYFUNCTION("""COMPUTED_VALUE"""),"R0326025528")</f>
        <v>R0326025528</v>
      </c>
      <c r="D3429" s="8">
        <f>IFERROR(__xludf.DUMMYFUNCTION("""COMPUTED_VALUE"""),23.0)</f>
        <v>23</v>
      </c>
      <c r="E3429" s="2"/>
    </row>
    <row r="3430">
      <c r="A3430" s="2"/>
      <c r="B3430" s="8" t="str">
        <f>IFERROR(__xludf.DUMMYFUNCTION("""COMPUTED_VALUE"""),"ADZAN AMMAR WANDI")</f>
        <v>ADZAN AMMAR WANDI</v>
      </c>
      <c r="C3430" s="8" t="str">
        <f>IFERROR(__xludf.DUMMYFUNCTION("""COMPUTED_VALUE"""),"A9626027764")</f>
        <v>A9626027764</v>
      </c>
      <c r="D3430" s="8">
        <f>IFERROR(__xludf.DUMMYFUNCTION("""COMPUTED_VALUE"""),30.0)</f>
        <v>30</v>
      </c>
      <c r="E3430" s="2"/>
    </row>
    <row r="3431">
      <c r="A3431" s="2"/>
      <c r="B3431" s="8" t="str">
        <f>IFERROR(__xludf.DUMMYFUNCTION("""COMPUTED_VALUE"""),"ASRIANI")</f>
        <v>ASRIANI</v>
      </c>
      <c r="C3431" s="8" t="str">
        <f>IFERROR(__xludf.DUMMYFUNCTION("""COMPUTED_VALUE"""),"A7126027657")</f>
        <v>A7126027657</v>
      </c>
      <c r="D3431" s="8">
        <f>IFERROR(__xludf.DUMMYFUNCTION("""COMPUTED_VALUE"""),55.0)</f>
        <v>55</v>
      </c>
      <c r="E3431" s="2"/>
    </row>
    <row r="3432">
      <c r="A3432" s="2"/>
      <c r="B3432" s="8" t="str">
        <f>IFERROR(__xludf.DUMMYFUNCTION("""COMPUTED_VALUE"""),"SIWA PRANATA")</f>
        <v>SIWA PRANATA</v>
      </c>
      <c r="C3432" s="8" t="str">
        <f>IFERROR(__xludf.DUMMYFUNCTION("""COMPUTED_VALUE"""),"S0126025301")</f>
        <v>S0126025301</v>
      </c>
      <c r="D3432" s="8">
        <f>IFERROR(__xludf.DUMMYFUNCTION("""COMPUTED_VALUE"""),25.0)</f>
        <v>25</v>
      </c>
      <c r="E3432" s="2"/>
    </row>
    <row r="3433">
      <c r="A3433" s="2"/>
      <c r="B3433" s="8" t="str">
        <f>IFERROR(__xludf.DUMMYFUNCTION("""COMPUTED_VALUE"""),"YANUARTI ")</f>
        <v>YANUARTI </v>
      </c>
      <c r="C3433" s="8" t="str">
        <f>IFERROR(__xludf.DUMMYFUNCTION("""COMPUTED_VALUE"""),"Y6226026451")</f>
        <v>Y6226026451</v>
      </c>
      <c r="D3433" s="8">
        <f>IFERROR(__xludf.DUMMYFUNCTION("""COMPUTED_VALUE"""),64.0)</f>
        <v>64</v>
      </c>
      <c r="E3433" s="2"/>
    </row>
    <row r="3434">
      <c r="A3434" s="2"/>
      <c r="B3434" s="8" t="str">
        <f>IFERROR(__xludf.DUMMYFUNCTION("""COMPUTED_VALUE"""),"IRA NORMA PERTIWI")</f>
        <v>IRA NORMA PERTIWI</v>
      </c>
      <c r="C3434" s="8" t="str">
        <f>IFERROR(__xludf.DUMMYFUNCTION("""COMPUTED_VALUE"""),"I9926028096")</f>
        <v>I9926028096</v>
      </c>
      <c r="D3434" s="8">
        <f>IFERROR(__xludf.DUMMYFUNCTION("""COMPUTED_VALUE"""),26.0)</f>
        <v>26</v>
      </c>
      <c r="E3434" s="2"/>
    </row>
    <row r="3435">
      <c r="A3435" s="2"/>
      <c r="B3435" s="8" t="str">
        <f>IFERROR(__xludf.DUMMYFUNCTION("""COMPUTED_VALUE"""),"AHMAD NAUFAL WIRDIYAN")</f>
        <v>AHMAD NAUFAL WIRDIYAN</v>
      </c>
      <c r="C3435" s="8" t="str">
        <f>IFERROR(__xludf.DUMMYFUNCTION("""COMPUTED_VALUE"""),"A0226022275")</f>
        <v>A0226022275</v>
      </c>
      <c r="D3435" s="8">
        <f>IFERROR(__xludf.DUMMYFUNCTION("""COMPUTED_VALUE"""),23.0)</f>
        <v>23</v>
      </c>
      <c r="E3435" s="2"/>
    </row>
    <row r="3436">
      <c r="A3436" s="2"/>
      <c r="B3436" s="8" t="str">
        <f>IFERROR(__xludf.DUMMYFUNCTION("""COMPUTED_VALUE"""),"JONO")</f>
        <v>JONO</v>
      </c>
      <c r="C3436" s="8" t="str">
        <f>IFERROR(__xludf.DUMMYFUNCTION("""COMPUTED_VALUE"""),"J8426026422")</f>
        <v>J8426026422</v>
      </c>
      <c r="D3436" s="8">
        <f>IFERROR(__xludf.DUMMYFUNCTION("""COMPUTED_VALUE"""),41.0)</f>
        <v>41</v>
      </c>
      <c r="E3436" s="2"/>
    </row>
    <row r="3437">
      <c r="A3437" s="2"/>
      <c r="B3437" s="8" t="str">
        <f>IFERROR(__xludf.DUMMYFUNCTION("""COMPUTED_VALUE"""),"YOLA PRAVIKA")</f>
        <v>YOLA PRAVIKA</v>
      </c>
      <c r="C3437" s="8" t="str">
        <f>IFERROR(__xludf.DUMMYFUNCTION("""COMPUTED_VALUE"""),"Y8726022236")</f>
        <v>Y8726022236</v>
      </c>
      <c r="D3437" s="8">
        <f>IFERROR(__xludf.DUMMYFUNCTION("""COMPUTED_VALUE"""),39.0)</f>
        <v>39</v>
      </c>
      <c r="E3437" s="2"/>
    </row>
    <row r="3438">
      <c r="A3438" s="2"/>
      <c r="B3438" s="8" t="str">
        <f>IFERROR(__xludf.DUMMYFUNCTION("""COMPUTED_VALUE"""),"VIVIANI")</f>
        <v>VIVIANI</v>
      </c>
      <c r="C3438" s="8" t="str">
        <f>IFERROR(__xludf.DUMMYFUNCTION("""COMPUTED_VALUE"""),"V9626028800")</f>
        <v>V9626028800</v>
      </c>
      <c r="D3438" s="8">
        <f>IFERROR(__xludf.DUMMYFUNCTION("""COMPUTED_VALUE"""),29.0)</f>
        <v>29</v>
      </c>
      <c r="E3438" s="2"/>
    </row>
    <row r="3439">
      <c r="A3439" s="2"/>
      <c r="B3439" s="8" t="str">
        <f>IFERROR(__xludf.DUMMYFUNCTION("""COMPUTED_VALUE"""),"ACHMAD MAULANA")</f>
        <v>ACHMAD MAULANA</v>
      </c>
      <c r="C3439" s="8" t="str">
        <f>IFERROR(__xludf.DUMMYFUNCTION("""COMPUTED_VALUE"""),"A8526029500")</f>
        <v>A8526029500</v>
      </c>
      <c r="D3439" s="8">
        <f>IFERROR(__xludf.DUMMYFUNCTION("""COMPUTED_VALUE"""),41.0)</f>
        <v>41</v>
      </c>
      <c r="E3439" s="2"/>
    </row>
    <row r="3440">
      <c r="A3440" s="2"/>
      <c r="B3440" s="8" t="str">
        <f>IFERROR(__xludf.DUMMYFUNCTION("""COMPUTED_VALUE"""),"VINA")</f>
        <v>VINA</v>
      </c>
      <c r="C3440" s="8" t="str">
        <f>IFERROR(__xludf.DUMMYFUNCTION("""COMPUTED_VALUE"""),"V8726021762")</f>
        <v>V8726021762</v>
      </c>
      <c r="D3440" s="8">
        <f>IFERROR(__xludf.DUMMYFUNCTION("""COMPUTED_VALUE"""),39.0)</f>
        <v>39</v>
      </c>
      <c r="E3440" s="2"/>
    </row>
    <row r="3441">
      <c r="A3441" s="2"/>
      <c r="B3441" s="8" t="str">
        <f>IFERROR(__xludf.DUMMYFUNCTION("""COMPUTED_VALUE"""),"IR DARLIYUS")</f>
        <v>IR DARLIYUS</v>
      </c>
      <c r="C3441" s="8" t="str">
        <f>IFERROR(__xludf.DUMMYFUNCTION("""COMPUTED_VALUE"""),"I5826026210")</f>
        <v>I5826026210</v>
      </c>
      <c r="D3441" s="8">
        <f>IFERROR(__xludf.DUMMYFUNCTION("""COMPUTED_VALUE"""),68.0)</f>
        <v>68</v>
      </c>
      <c r="E3441" s="2"/>
    </row>
    <row r="3442">
      <c r="A3442" s="2"/>
      <c r="B3442" s="8" t="str">
        <f>IFERROR(__xludf.DUMMYFUNCTION("""COMPUTED_VALUE"""),"DHIPA RADITYA ")</f>
        <v>DHIPA RADITYA </v>
      </c>
      <c r="C3442" s="8" t="str">
        <f>IFERROR(__xludf.DUMMYFUNCTION("""COMPUTED_VALUE"""),"D8926021352")</f>
        <v>D8926021352</v>
      </c>
      <c r="D3442" s="8">
        <f>IFERROR(__xludf.DUMMYFUNCTION("""COMPUTED_VALUE"""),37.0)</f>
        <v>37</v>
      </c>
      <c r="E3442" s="2"/>
    </row>
    <row r="3443">
      <c r="A3443" s="2"/>
      <c r="B3443" s="8" t="str">
        <f>IFERROR(__xludf.DUMMYFUNCTION("""COMPUTED_VALUE"""),"OBED ROBBANI")</f>
        <v>OBED ROBBANI</v>
      </c>
      <c r="C3443" s="8" t="str">
        <f>IFERROR(__xludf.DUMMYFUNCTION("""COMPUTED_VALUE"""),"O9926020173")</f>
        <v>O9926020173</v>
      </c>
      <c r="D3443" s="8">
        <f>IFERROR(__xludf.DUMMYFUNCTION("""COMPUTED_VALUE"""),27.0)</f>
        <v>27</v>
      </c>
      <c r="E3443" s="2"/>
    </row>
    <row r="3444">
      <c r="A3444" s="2"/>
      <c r="B3444" s="8" t="str">
        <f>IFERROR(__xludf.DUMMYFUNCTION("""COMPUTED_VALUE"""),"DIAN PRAMANA RAHAYU")</f>
        <v>DIAN PRAMANA RAHAYU</v>
      </c>
      <c r="C3444" s="8" t="str">
        <f>IFERROR(__xludf.DUMMYFUNCTION("""COMPUTED_VALUE"""),"D8926026427")</f>
        <v>D8926026427</v>
      </c>
      <c r="D3444" s="8">
        <f>IFERROR(__xludf.DUMMYFUNCTION("""COMPUTED_VALUE"""),37.0)</f>
        <v>37</v>
      </c>
      <c r="E3444" s="2"/>
    </row>
    <row r="3445">
      <c r="A3445" s="2"/>
      <c r="B3445" s="8" t="str">
        <f>IFERROR(__xludf.DUMMYFUNCTION("""COMPUTED_VALUE"""),"TRI SETIAWAN LUSLIM")</f>
        <v>TRI SETIAWAN LUSLIM</v>
      </c>
      <c r="C3445" s="8" t="str">
        <f>IFERROR(__xludf.DUMMYFUNCTION("""COMPUTED_VALUE"""),"T9426027037")</f>
        <v>T9426027037</v>
      </c>
      <c r="D3445" s="8">
        <f>IFERROR(__xludf.DUMMYFUNCTION("""COMPUTED_VALUE"""),32.0)</f>
        <v>32</v>
      </c>
      <c r="E3445" s="2"/>
    </row>
    <row r="3446">
      <c r="A3446" s="2"/>
      <c r="B3446" s="8" t="str">
        <f>IFERROR(__xludf.DUMMYFUNCTION("""COMPUTED_VALUE"""),"SUMIATI 7409")</f>
        <v>SUMIATI 7409</v>
      </c>
      <c r="C3446" s="8" t="str">
        <f>IFERROR(__xludf.DUMMYFUNCTION("""COMPUTED_VALUE"""),"S7426027751")</f>
        <v>S7426027751</v>
      </c>
      <c r="D3446" s="8">
        <f>IFERROR(__xludf.DUMMYFUNCTION("""COMPUTED_VALUE"""),51.0)</f>
        <v>51</v>
      </c>
      <c r="E3446" s="2"/>
    </row>
    <row r="3447">
      <c r="A3447" s="2"/>
      <c r="B3447" s="8" t="str">
        <f>IFERROR(__xludf.DUMMYFUNCTION("""COMPUTED_VALUE"""),"OSCAR ASTRAYANANDA")</f>
        <v>OSCAR ASTRAYANANDA</v>
      </c>
      <c r="C3447" s="8" t="str">
        <f>IFERROR(__xludf.DUMMYFUNCTION("""COMPUTED_VALUE"""),"O0126022252")</f>
        <v>O0126022252</v>
      </c>
      <c r="D3447" s="8">
        <f>IFERROR(__xludf.DUMMYFUNCTION("""COMPUTED_VALUE"""),24.0)</f>
        <v>24</v>
      </c>
      <c r="E3447" s="2"/>
    </row>
    <row r="3448">
      <c r="A3448" s="2"/>
      <c r="B3448" s="8" t="str">
        <f>IFERROR(__xludf.DUMMYFUNCTION("""COMPUTED_VALUE"""),"SUHADA")</f>
        <v>SUHADA</v>
      </c>
      <c r="C3448" s="8" t="str">
        <f>IFERROR(__xludf.DUMMYFUNCTION("""COMPUTED_VALUE"""),"S6126024287")</f>
        <v>S6126024287</v>
      </c>
      <c r="D3448" s="8">
        <f>IFERROR(__xludf.DUMMYFUNCTION("""COMPUTED_VALUE"""),65.0)</f>
        <v>65</v>
      </c>
      <c r="E3448" s="2"/>
    </row>
    <row r="3449">
      <c r="A3449" s="2"/>
      <c r="B3449" s="8" t="str">
        <f>IFERROR(__xludf.DUMMYFUNCTION("""COMPUTED_VALUE"""),"RAMNAH")</f>
        <v>RAMNAH</v>
      </c>
      <c r="C3449" s="8" t="str">
        <f>IFERROR(__xludf.DUMMYFUNCTION("""COMPUTED_VALUE"""),"R6426023001")</f>
        <v>R6426023001</v>
      </c>
      <c r="D3449" s="8">
        <f>IFERROR(__xludf.DUMMYFUNCTION("""COMPUTED_VALUE"""),62.0)</f>
        <v>62</v>
      </c>
      <c r="E3449" s="2"/>
    </row>
    <row r="3450">
      <c r="A3450" s="2"/>
      <c r="B3450" s="8" t="str">
        <f>IFERROR(__xludf.DUMMYFUNCTION("""COMPUTED_VALUE"""),"TAN BE LEI")</f>
        <v>TAN BE LEI</v>
      </c>
      <c r="C3450" s="8" t="str">
        <f>IFERROR(__xludf.DUMMYFUNCTION("""COMPUTED_VALUE"""),"T7226027737")</f>
        <v>T7226027737</v>
      </c>
      <c r="D3450" s="8">
        <f>IFERROR(__xludf.DUMMYFUNCTION("""COMPUTED_VALUE"""),53.0)</f>
        <v>53</v>
      </c>
      <c r="E3450" s="2"/>
    </row>
    <row r="3451">
      <c r="A3451" s="2"/>
      <c r="B3451" s="8" t="str">
        <f>IFERROR(__xludf.DUMMYFUNCTION("""COMPUTED_VALUE"""),"M.ZAINAL")</f>
        <v>M.ZAINAL</v>
      </c>
      <c r="C3451" s="8" t="str">
        <f>IFERROR(__xludf.DUMMYFUNCTION("""COMPUTED_VALUE"""),"M9526020666")</f>
        <v>M9526020666</v>
      </c>
      <c r="D3451" s="8">
        <f>IFERROR(__xludf.DUMMYFUNCTION("""COMPUTED_VALUE"""),30.0)</f>
        <v>30</v>
      </c>
      <c r="E3451" s="2"/>
    </row>
    <row r="3452">
      <c r="A3452" s="2"/>
      <c r="B3452" s="8" t="str">
        <f>IFERROR(__xludf.DUMMYFUNCTION("""COMPUTED_VALUE"""),"TITA ROSITA")</f>
        <v>TITA ROSITA</v>
      </c>
      <c r="C3452" s="8" t="str">
        <f>IFERROR(__xludf.DUMMYFUNCTION("""COMPUTED_VALUE"""),"T9426029868")</f>
        <v>T9426029868</v>
      </c>
      <c r="D3452" s="8">
        <f>IFERROR(__xludf.DUMMYFUNCTION("""COMPUTED_VALUE"""),32.0)</f>
        <v>32</v>
      </c>
      <c r="E3452" s="2"/>
    </row>
    <row r="3453">
      <c r="A3453" s="2"/>
      <c r="B3453" s="8" t="str">
        <f>IFERROR(__xludf.DUMMYFUNCTION("""COMPUTED_VALUE"""),"DAHLIA 7206")</f>
        <v>DAHLIA 7206</v>
      </c>
      <c r="C3453" s="8" t="str">
        <f>IFERROR(__xludf.DUMMYFUNCTION("""COMPUTED_VALUE"""),"D7226025707")</f>
        <v>D7226025707</v>
      </c>
      <c r="D3453" s="8">
        <f>IFERROR(__xludf.DUMMYFUNCTION("""COMPUTED_VALUE"""),54.0)</f>
        <v>54</v>
      </c>
      <c r="E3453" s="2"/>
    </row>
    <row r="3454">
      <c r="A3454" s="2"/>
      <c r="B3454" s="8" t="str">
        <f>IFERROR(__xludf.DUMMYFUNCTION("""COMPUTED_VALUE"""),"NURSILA")</f>
        <v>NURSILA</v>
      </c>
      <c r="C3454" s="8" t="str">
        <f>IFERROR(__xludf.DUMMYFUNCTION("""COMPUTED_VALUE"""),"N7426020178")</f>
        <v>N7426020178</v>
      </c>
      <c r="D3454" s="8">
        <f>IFERROR(__xludf.DUMMYFUNCTION("""COMPUTED_VALUE"""),52.0)</f>
        <v>52</v>
      </c>
      <c r="E3454" s="2"/>
    </row>
    <row r="3455">
      <c r="A3455" s="2"/>
      <c r="B3455" s="8" t="str">
        <f>IFERROR(__xludf.DUMMYFUNCTION("""COMPUTED_VALUE"""),"JUNIARDI ")</f>
        <v>JUNIARDI </v>
      </c>
      <c r="C3455" s="8" t="str">
        <f>IFERROR(__xludf.DUMMYFUNCTION("""COMPUTED_VALUE"""),"J8126027501")</f>
        <v>J8126027501</v>
      </c>
      <c r="D3455" s="8">
        <f>IFERROR(__xludf.DUMMYFUNCTION("""COMPUTED_VALUE"""),45.0)</f>
        <v>45</v>
      </c>
      <c r="E3455" s="2"/>
    </row>
    <row r="3456">
      <c r="A3456" s="2"/>
      <c r="B3456" s="8" t="str">
        <f>IFERROR(__xludf.DUMMYFUNCTION("""COMPUTED_VALUE"""),"RIO RAMANDA ")</f>
        <v>RIO RAMANDA </v>
      </c>
      <c r="C3456" s="8" t="str">
        <f>IFERROR(__xludf.DUMMYFUNCTION("""COMPUTED_VALUE"""),"R9226027667")</f>
        <v>R9226027667</v>
      </c>
      <c r="D3456" s="8">
        <f>IFERROR(__xludf.DUMMYFUNCTION("""COMPUTED_VALUE"""),34.0)</f>
        <v>34</v>
      </c>
      <c r="E3456" s="2"/>
    </row>
    <row r="3457">
      <c r="A3457" s="2"/>
      <c r="B3457" s="8" t="str">
        <f>IFERROR(__xludf.DUMMYFUNCTION("""COMPUTED_VALUE"""),"ANDY PANJAYA")</f>
        <v>ANDY PANJAYA</v>
      </c>
      <c r="C3457" s="8" t="str">
        <f>IFERROR(__xludf.DUMMYFUNCTION("""COMPUTED_VALUE"""),"A0026025710")</f>
        <v>A0026025710</v>
      </c>
      <c r="D3457" s="8">
        <f>IFERROR(__xludf.DUMMYFUNCTION("""COMPUTED_VALUE"""),26.0)</f>
        <v>26</v>
      </c>
      <c r="E3457" s="2"/>
    </row>
    <row r="3458">
      <c r="A3458" s="2"/>
      <c r="B3458" s="8" t="str">
        <f>IFERROR(__xludf.DUMMYFUNCTION("""COMPUTED_VALUE"""),"MELISA")</f>
        <v>MELISA</v>
      </c>
      <c r="C3458" s="8" t="str">
        <f>IFERROR(__xludf.DUMMYFUNCTION("""COMPUTED_VALUE"""),"M9126021128")</f>
        <v>M9126021128</v>
      </c>
      <c r="D3458" s="8">
        <f>IFERROR(__xludf.DUMMYFUNCTION("""COMPUTED_VALUE"""),35.0)</f>
        <v>35</v>
      </c>
      <c r="E3458" s="2"/>
    </row>
    <row r="3459">
      <c r="A3459" s="2"/>
      <c r="B3459" s="8" t="str">
        <f>IFERROR(__xludf.DUMMYFUNCTION("""COMPUTED_VALUE"""),"ANIK LAILATUL NUTTAFIA")</f>
        <v>ANIK LAILATUL NUTTAFIA</v>
      </c>
      <c r="C3459" s="8" t="str">
        <f>IFERROR(__xludf.DUMMYFUNCTION("""COMPUTED_VALUE"""),"A8326026146")</f>
        <v>A8326026146</v>
      </c>
      <c r="D3459" s="8">
        <f>IFERROR(__xludf.DUMMYFUNCTION("""COMPUTED_VALUE"""),42.0)</f>
        <v>42</v>
      </c>
      <c r="E3459" s="2"/>
    </row>
    <row r="3460">
      <c r="A3460" s="2"/>
      <c r="B3460" s="8" t="str">
        <f>IFERROR(__xludf.DUMMYFUNCTION("""COMPUTED_VALUE"""),"BRILLIAN NINDY SEPTIA")</f>
        <v>BRILLIAN NINDY SEPTIA</v>
      </c>
      <c r="C3460" s="8" t="str">
        <f>IFERROR(__xludf.DUMMYFUNCTION("""COMPUTED_VALUE"""),"B0026020046")</f>
        <v>B0026020046</v>
      </c>
      <c r="D3460" s="8">
        <f>IFERROR(__xludf.DUMMYFUNCTION("""COMPUTED_VALUE"""),25.0)</f>
        <v>25</v>
      </c>
      <c r="E3460" s="2"/>
    </row>
    <row r="3461">
      <c r="A3461" s="2"/>
      <c r="B3461" s="8" t="str">
        <f>IFERROR(__xludf.DUMMYFUNCTION("""COMPUTED_VALUE"""),"EMI SETIAWATI ")</f>
        <v>EMI SETIAWATI </v>
      </c>
      <c r="C3461" s="8" t="str">
        <f>IFERROR(__xludf.DUMMYFUNCTION("""COMPUTED_VALUE"""),"E8026027511")</f>
        <v>E8026027511</v>
      </c>
      <c r="D3461" s="8">
        <f>IFERROR(__xludf.DUMMYFUNCTION("""COMPUTED_VALUE"""),46.0)</f>
        <v>46</v>
      </c>
      <c r="E3461" s="2"/>
    </row>
    <row r="3462">
      <c r="A3462" s="2"/>
      <c r="B3462" s="8" t="str">
        <f>IFERROR(__xludf.DUMMYFUNCTION("""COMPUTED_VALUE"""),"EDO FERNANDO")</f>
        <v>EDO FERNANDO</v>
      </c>
      <c r="C3462" s="8" t="str">
        <f>IFERROR(__xludf.DUMMYFUNCTION("""COMPUTED_VALUE"""),"E9226021965")</f>
        <v>E9226021965</v>
      </c>
      <c r="D3462" s="8">
        <f>IFERROR(__xludf.DUMMYFUNCTION("""COMPUTED_VALUE"""),34.0)</f>
        <v>34</v>
      </c>
      <c r="E3462" s="2"/>
    </row>
    <row r="3463">
      <c r="A3463" s="2"/>
      <c r="B3463" s="8" t="str">
        <f>IFERROR(__xludf.DUMMYFUNCTION("""COMPUTED_VALUE"""),"SILVIA 9003")</f>
        <v>SILVIA 9003</v>
      </c>
      <c r="C3463" s="8" t="str">
        <f>IFERROR(__xludf.DUMMYFUNCTION("""COMPUTED_VALUE"""),"S9026026333")</f>
        <v>S9026026333</v>
      </c>
      <c r="D3463" s="8">
        <f>IFERROR(__xludf.DUMMYFUNCTION("""COMPUTED_VALUE"""),36.0)</f>
        <v>36</v>
      </c>
      <c r="E3463" s="2"/>
    </row>
    <row r="3464">
      <c r="A3464" s="2"/>
      <c r="B3464" s="8" t="str">
        <f>IFERROR(__xludf.DUMMYFUNCTION("""COMPUTED_VALUE"""),"ANDRIE HANDOKO")</f>
        <v>ANDRIE HANDOKO</v>
      </c>
      <c r="C3464" s="8" t="str">
        <f>IFERROR(__xludf.DUMMYFUNCTION("""COMPUTED_VALUE"""),"A8226026007")</f>
        <v>A8226026007</v>
      </c>
      <c r="D3464" s="8">
        <f>IFERROR(__xludf.DUMMYFUNCTION("""COMPUTED_VALUE"""),44.0)</f>
        <v>44</v>
      </c>
      <c r="E3464" s="2"/>
    </row>
    <row r="3465">
      <c r="A3465" s="2"/>
      <c r="B3465" s="8" t="str">
        <f>IFERROR(__xludf.DUMMYFUNCTION("""COMPUTED_VALUE"""),"UMAR")</f>
        <v>UMAR</v>
      </c>
      <c r="C3465" s="8" t="str">
        <f>IFERROR(__xludf.DUMMYFUNCTION("""COMPUTED_VALUE"""),"U1826020689")</f>
        <v>U1826020689</v>
      </c>
      <c r="D3465" s="8">
        <f>IFERROR(__xludf.DUMMYFUNCTION("""COMPUTED_VALUE"""),8.0)</f>
        <v>8</v>
      </c>
      <c r="E3465" s="2"/>
    </row>
    <row r="3466">
      <c r="A3466" s="2"/>
      <c r="B3466" s="8" t="str">
        <f>IFERROR(__xludf.DUMMYFUNCTION("""COMPUTED_VALUE"""),"M. PATRA MARMARA")</f>
        <v>M. PATRA MARMARA</v>
      </c>
      <c r="C3466" s="8" t="str">
        <f>IFERROR(__xludf.DUMMYFUNCTION("""COMPUTED_VALUE"""),"M1526028978")</f>
        <v>M1526028978</v>
      </c>
      <c r="D3466" s="8">
        <f>IFERROR(__xludf.DUMMYFUNCTION("""COMPUTED_VALUE"""),11.0)</f>
        <v>11</v>
      </c>
      <c r="E3466" s="2"/>
    </row>
    <row r="3467">
      <c r="A3467" s="2"/>
      <c r="B3467" s="8" t="str">
        <f>IFERROR(__xludf.DUMMYFUNCTION("""COMPUTED_VALUE"""),"RUSMA APRIANSYAH")</f>
        <v>RUSMA APRIANSYAH</v>
      </c>
      <c r="C3467" s="8" t="str">
        <f>IFERROR(__xludf.DUMMYFUNCTION("""COMPUTED_VALUE"""),"R2626021560")</f>
        <v>R2626021560</v>
      </c>
      <c r="D3467" s="8">
        <f>IFERROR(__xludf.DUMMYFUNCTION("""COMPUTED_VALUE"""),0.0)</f>
        <v>0</v>
      </c>
      <c r="E3467" s="2"/>
    </row>
    <row r="3468">
      <c r="A3468" s="2"/>
      <c r="B3468" s="8" t="str">
        <f>IFERROR(__xludf.DUMMYFUNCTION("""COMPUTED_VALUE"""),"NICHOLAS NELSON NATHANIEL")</f>
        <v>NICHOLAS NELSON NATHANIEL</v>
      </c>
      <c r="C3468" s="8" t="str">
        <f>IFERROR(__xludf.DUMMYFUNCTION("""COMPUTED_VALUE"""),"N9926023699")</f>
        <v>N9926023699</v>
      </c>
      <c r="D3468" s="8">
        <f>IFERROR(__xludf.DUMMYFUNCTION("""COMPUTED_VALUE"""),27.0)</f>
        <v>27</v>
      </c>
      <c r="E3468" s="2"/>
    </row>
    <row r="3469">
      <c r="A3469" s="2"/>
      <c r="B3469" s="8" t="str">
        <f>IFERROR(__xludf.DUMMYFUNCTION("""COMPUTED_VALUE"""),"PATMAWATI 7309")</f>
        <v>PATMAWATI 7309</v>
      </c>
      <c r="C3469" s="8" t="str">
        <f>IFERROR(__xludf.DUMMYFUNCTION("""COMPUTED_VALUE"""),"P7326026755")</f>
        <v>P7326026755</v>
      </c>
      <c r="D3469" s="8">
        <f>IFERROR(__xludf.DUMMYFUNCTION("""COMPUTED_VALUE"""),52.0)</f>
        <v>52</v>
      </c>
      <c r="E3469" s="2"/>
    </row>
    <row r="3470">
      <c r="A3470" s="2"/>
      <c r="B3470" s="8" t="str">
        <f>IFERROR(__xludf.DUMMYFUNCTION("""COMPUTED_VALUE"""),"MUHAMMAD RIDHO ANSYORI")</f>
        <v>MUHAMMAD RIDHO ANSYORI</v>
      </c>
      <c r="C3470" s="8" t="str">
        <f>IFERROR(__xludf.DUMMYFUNCTION("""COMPUTED_VALUE"""),"M9726022994")</f>
        <v>M9726022994</v>
      </c>
      <c r="D3470" s="8">
        <f>IFERROR(__xludf.DUMMYFUNCTION("""COMPUTED_VALUE"""),28.0)</f>
        <v>28</v>
      </c>
      <c r="E3470" s="2"/>
    </row>
    <row r="3471">
      <c r="A3471" s="2"/>
      <c r="B3471" s="8" t="str">
        <f>IFERROR(__xludf.DUMMYFUNCTION("""COMPUTED_VALUE"""),"GEOSEPPE DE ANDREA MALDEO")</f>
        <v>GEOSEPPE DE ANDREA MALDEO</v>
      </c>
      <c r="C3471" s="8" t="str">
        <f>IFERROR(__xludf.DUMMYFUNCTION("""COMPUTED_VALUE"""),"G0026025006")</f>
        <v>G0026025006</v>
      </c>
      <c r="D3471" s="8">
        <f>IFERROR(__xludf.DUMMYFUNCTION("""COMPUTED_VALUE"""),26.0)</f>
        <v>26</v>
      </c>
      <c r="E3471" s="2"/>
    </row>
    <row r="3472">
      <c r="A3472" s="2"/>
      <c r="B3472" s="8" t="str">
        <f>IFERROR(__xludf.DUMMYFUNCTION("""COMPUTED_VALUE"""),"AZIZ HIDAYAT")</f>
        <v>AZIZ HIDAYAT</v>
      </c>
      <c r="C3472" s="8" t="str">
        <f>IFERROR(__xludf.DUMMYFUNCTION("""COMPUTED_VALUE"""),"A9626026767")</f>
        <v>A9626026767</v>
      </c>
      <c r="D3472" s="8">
        <f>IFERROR(__xludf.DUMMYFUNCTION("""COMPUTED_VALUE"""),29.0)</f>
        <v>29</v>
      </c>
      <c r="E3472" s="2"/>
    </row>
    <row r="3473">
      <c r="A3473" s="2"/>
      <c r="B3473" s="8" t="str">
        <f>IFERROR(__xludf.DUMMYFUNCTION("""COMPUTED_VALUE"""),"ICHSAN CHANDRA")</f>
        <v>ICHSAN CHANDRA</v>
      </c>
      <c r="C3473" s="8" t="str">
        <f>IFERROR(__xludf.DUMMYFUNCTION("""COMPUTED_VALUE"""),"I8926024111")</f>
        <v>I8926024111</v>
      </c>
      <c r="D3473" s="8">
        <f>IFERROR(__xludf.DUMMYFUNCTION("""COMPUTED_VALUE"""),37.0)</f>
        <v>37</v>
      </c>
      <c r="E3473" s="2"/>
    </row>
    <row r="3474">
      <c r="A3474" s="2"/>
      <c r="B3474" s="8" t="str">
        <f>IFERROR(__xludf.DUMMYFUNCTION("""COMPUTED_VALUE"""),"TJHOEA THENG KAK")</f>
        <v>TJHOEA THENG KAK</v>
      </c>
      <c r="C3474" s="8" t="str">
        <f>IFERROR(__xludf.DUMMYFUNCTION("""COMPUTED_VALUE"""),"T6526022598")</f>
        <v>T6526022598</v>
      </c>
      <c r="D3474" s="8">
        <f>IFERROR(__xludf.DUMMYFUNCTION("""COMPUTED_VALUE"""),61.0)</f>
        <v>61</v>
      </c>
      <c r="E3474" s="2"/>
    </row>
    <row r="3475">
      <c r="A3475" s="2"/>
      <c r="B3475" s="8" t="str">
        <f>IFERROR(__xludf.DUMMYFUNCTION("""COMPUTED_VALUE"""),"LIM LIE SIAM")</f>
        <v>LIM LIE SIAM</v>
      </c>
      <c r="C3475" s="8" t="str">
        <f>IFERROR(__xludf.DUMMYFUNCTION("""COMPUTED_VALUE"""),"L5626021159")</f>
        <v>L5626021159</v>
      </c>
      <c r="D3475" s="8">
        <f>IFERROR(__xludf.DUMMYFUNCTION("""COMPUTED_VALUE"""),69.0)</f>
        <v>69</v>
      </c>
      <c r="E3475" s="2"/>
    </row>
    <row r="3476">
      <c r="A3476" s="2"/>
      <c r="B3476" s="8" t="str">
        <f>IFERROR(__xludf.DUMMYFUNCTION("""COMPUTED_VALUE"""),"ELFIN ANUGERAH")</f>
        <v>ELFIN ANUGERAH</v>
      </c>
      <c r="C3476" s="8" t="str">
        <f>IFERROR(__xludf.DUMMYFUNCTION("""COMPUTED_VALUE"""),"E9926027335")</f>
        <v>E9926027335</v>
      </c>
      <c r="D3476" s="8">
        <f>IFERROR(__xludf.DUMMYFUNCTION("""COMPUTED_VALUE"""),26.0)</f>
        <v>26</v>
      </c>
      <c r="E3476" s="2"/>
    </row>
    <row r="3477">
      <c r="A3477" s="2"/>
      <c r="B3477" s="8" t="str">
        <f>IFERROR(__xludf.DUMMYFUNCTION("""COMPUTED_VALUE"""),"WILIANA")</f>
        <v>WILIANA</v>
      </c>
      <c r="C3477" s="8" t="str">
        <f>IFERROR(__xludf.DUMMYFUNCTION("""COMPUTED_VALUE"""),"W3926027576")</f>
        <v>W3926027576</v>
      </c>
      <c r="D3477" s="8">
        <f>IFERROR(__xludf.DUMMYFUNCTION("""COMPUTED_VALUE"""),87.0)</f>
        <v>87</v>
      </c>
      <c r="E3477" s="2"/>
    </row>
    <row r="3478">
      <c r="A3478" s="2"/>
      <c r="B3478" s="8" t="str">
        <f>IFERROR(__xludf.DUMMYFUNCTION("""COMPUTED_VALUE"""),"DWI RACHMAWAN")</f>
        <v>DWI RACHMAWAN</v>
      </c>
      <c r="C3478" s="8" t="str">
        <f>IFERROR(__xludf.DUMMYFUNCTION("""COMPUTED_VALUE"""),"D8826021979")</f>
        <v>D8826021979</v>
      </c>
      <c r="D3478" s="8">
        <f>IFERROR(__xludf.DUMMYFUNCTION("""COMPUTED_VALUE"""),38.0)</f>
        <v>38</v>
      </c>
      <c r="E3478" s="2"/>
    </row>
    <row r="3479">
      <c r="A3479" s="2"/>
      <c r="B3479" s="8" t="str">
        <f>IFERROR(__xludf.DUMMYFUNCTION("""COMPUTED_VALUE"""),"HANNY WULANDARI")</f>
        <v>HANNY WULANDARI</v>
      </c>
      <c r="C3479" s="8" t="str">
        <f>IFERROR(__xludf.DUMMYFUNCTION("""COMPUTED_VALUE"""),"H9726027223")</f>
        <v>H9726027223</v>
      </c>
      <c r="D3479" s="8">
        <f>IFERROR(__xludf.DUMMYFUNCTION("""COMPUTED_VALUE"""),29.0)</f>
        <v>29</v>
      </c>
      <c r="E3479" s="2"/>
    </row>
    <row r="3480">
      <c r="A3480" s="2"/>
      <c r="B3480" s="8" t="str">
        <f>IFERROR(__xludf.DUMMYFUNCTION("""COMPUTED_VALUE"""),"ZAENAL HASANUDDIN ")</f>
        <v>ZAENAL HASANUDDIN </v>
      </c>
      <c r="C3480" s="8" t="str">
        <f>IFERROR(__xludf.DUMMYFUNCTION("""COMPUTED_VALUE"""),"Z5726029834")</f>
        <v>Z5726029834</v>
      </c>
      <c r="D3480" s="8">
        <f>IFERROR(__xludf.DUMMYFUNCTION("""COMPUTED_VALUE"""),68.0)</f>
        <v>68</v>
      </c>
      <c r="E3480" s="2"/>
    </row>
    <row r="3481">
      <c r="A3481" s="2"/>
      <c r="B3481" s="8" t="str">
        <f>IFERROR(__xludf.DUMMYFUNCTION("""COMPUTED_VALUE"""),"TRI WIBOWO 9112")</f>
        <v>TRI WIBOWO 9112</v>
      </c>
      <c r="C3481" s="8" t="str">
        <f>IFERROR(__xludf.DUMMYFUNCTION("""COMPUTED_VALUE"""),"T9126022814")</f>
        <v>T9126022814</v>
      </c>
      <c r="D3481" s="8">
        <f>IFERROR(__xludf.DUMMYFUNCTION("""COMPUTED_VALUE"""),34.0)</f>
        <v>34</v>
      </c>
      <c r="E3481" s="2"/>
    </row>
    <row r="3482">
      <c r="A3482" s="2"/>
      <c r="B3482" s="8" t="str">
        <f>IFERROR(__xludf.DUMMYFUNCTION("""COMPUTED_VALUE"""),"ANA 1978")</f>
        <v>ANA 1978</v>
      </c>
      <c r="C3482" s="8" t="str">
        <f>IFERROR(__xludf.DUMMYFUNCTION("""COMPUTED_VALUE"""),"A7826023784")</f>
        <v>A7826023784</v>
      </c>
      <c r="D3482" s="8">
        <f>IFERROR(__xludf.DUMMYFUNCTION("""COMPUTED_VALUE"""),48.0)</f>
        <v>48</v>
      </c>
      <c r="E3482" s="2"/>
    </row>
    <row r="3483">
      <c r="A3483" s="2"/>
      <c r="B3483" s="8" t="str">
        <f>IFERROR(__xludf.DUMMYFUNCTION("""COMPUTED_VALUE"""),"SANTY RIA TJHIE")</f>
        <v>SANTY RIA TJHIE</v>
      </c>
      <c r="C3483" s="8" t="str">
        <f>IFERROR(__xludf.DUMMYFUNCTION("""COMPUTED_VALUE"""),"S5526020100")</f>
        <v>S5526020100</v>
      </c>
      <c r="D3483" s="8">
        <f>IFERROR(__xludf.DUMMYFUNCTION("""COMPUTED_VALUE"""),71.0)</f>
        <v>71</v>
      </c>
      <c r="E3483" s="2"/>
    </row>
    <row r="3484">
      <c r="A3484" s="2"/>
      <c r="B3484" s="8" t="str">
        <f>IFERROR(__xludf.DUMMYFUNCTION("""COMPUTED_VALUE"""),"ANDREAN CAHYONO")</f>
        <v>ANDREAN CAHYONO</v>
      </c>
      <c r="C3484" s="8" t="str">
        <f>IFERROR(__xludf.DUMMYFUNCTION("""COMPUTED_VALUE"""),"A9226023219")</f>
        <v>A9226023219</v>
      </c>
      <c r="D3484" s="8">
        <f>IFERROR(__xludf.DUMMYFUNCTION("""COMPUTED_VALUE"""),33.0)</f>
        <v>33</v>
      </c>
      <c r="E3484" s="2"/>
    </row>
    <row r="3485">
      <c r="A3485" s="2"/>
      <c r="B3485" s="8" t="str">
        <f>IFERROR(__xludf.DUMMYFUNCTION("""COMPUTED_VALUE"""),"SELVIA")</f>
        <v>SELVIA</v>
      </c>
      <c r="C3485" s="8" t="str">
        <f>IFERROR(__xludf.DUMMYFUNCTION("""COMPUTED_VALUE"""),"S9626026188")</f>
        <v>S9626026188</v>
      </c>
      <c r="D3485" s="8">
        <f>IFERROR(__xludf.DUMMYFUNCTION("""COMPUTED_VALUE"""),29.0)</f>
        <v>29</v>
      </c>
      <c r="E3485" s="2"/>
    </row>
    <row r="3486">
      <c r="A3486" s="2"/>
      <c r="B3486" s="8" t="str">
        <f>IFERROR(__xludf.DUMMYFUNCTION("""COMPUTED_VALUE"""),"TUTUT RAHMAWATI")</f>
        <v>TUTUT RAHMAWATI</v>
      </c>
      <c r="C3486" s="8" t="str">
        <f>IFERROR(__xludf.DUMMYFUNCTION("""COMPUTED_VALUE"""),"T9426023944")</f>
        <v>T9426023944</v>
      </c>
      <c r="D3486" s="8">
        <f>IFERROR(__xludf.DUMMYFUNCTION("""COMPUTED_VALUE"""),32.0)</f>
        <v>32</v>
      </c>
      <c r="E3486" s="2"/>
    </row>
    <row r="3487">
      <c r="A3487" s="2"/>
      <c r="B3487" s="8" t="str">
        <f>IFERROR(__xludf.DUMMYFUNCTION("""COMPUTED_VALUE"""),"HAMZAH")</f>
        <v>HAMZAH</v>
      </c>
      <c r="C3487" s="8" t="str">
        <f>IFERROR(__xludf.DUMMYFUNCTION("""COMPUTED_VALUE"""),"H7026028383")</f>
        <v>H7026028383</v>
      </c>
      <c r="D3487" s="8">
        <f>IFERROR(__xludf.DUMMYFUNCTION("""COMPUTED_VALUE"""),56.0)</f>
        <v>56</v>
      </c>
      <c r="E3487" s="2"/>
    </row>
    <row r="3488">
      <c r="A3488" s="2"/>
      <c r="B3488" s="8" t="str">
        <f>IFERROR(__xludf.DUMMYFUNCTION("""COMPUTED_VALUE"""),"ANDREAS RIAN PANAMUAN ")</f>
        <v>ANDREAS RIAN PANAMUAN </v>
      </c>
      <c r="C3488" s="8" t="str">
        <f>IFERROR(__xludf.DUMMYFUNCTION("""COMPUTED_VALUE"""),"A9926026114")</f>
        <v>A9926026114</v>
      </c>
      <c r="D3488" s="8">
        <f>IFERROR(__xludf.DUMMYFUNCTION("""COMPUTED_VALUE"""),27.0)</f>
        <v>27</v>
      </c>
      <c r="E3488" s="2"/>
    </row>
    <row r="3489">
      <c r="A3489" s="2"/>
      <c r="B3489" s="8" t="str">
        <f>IFERROR(__xludf.DUMMYFUNCTION("""COMPUTED_VALUE"""),"TJHOEA DJAP KAUW")</f>
        <v>TJHOEA DJAP KAUW</v>
      </c>
      <c r="C3489" s="8" t="str">
        <f>IFERROR(__xludf.DUMMYFUNCTION("""COMPUTED_VALUE"""),"T5826028817")</f>
        <v>T5826028817</v>
      </c>
      <c r="D3489" s="8">
        <f>IFERROR(__xludf.DUMMYFUNCTION("""COMPUTED_VALUE"""),68.0)</f>
        <v>68</v>
      </c>
      <c r="E3489" s="2"/>
    </row>
    <row r="3490">
      <c r="A3490" s="2"/>
      <c r="B3490" s="8" t="str">
        <f>IFERROR(__xludf.DUMMYFUNCTION("""COMPUTED_VALUE"""),"SELA AMANDA ")</f>
        <v>SELA AMANDA </v>
      </c>
      <c r="C3490" s="8" t="str">
        <f>IFERROR(__xludf.DUMMYFUNCTION("""COMPUTED_VALUE"""),"S9026020911")</f>
        <v>S9026020911</v>
      </c>
      <c r="D3490" s="8">
        <f>IFERROR(__xludf.DUMMYFUNCTION("""COMPUTED_VALUE"""),35.0)</f>
        <v>35</v>
      </c>
      <c r="E3490" s="2"/>
    </row>
    <row r="3491">
      <c r="A3491" s="2"/>
      <c r="B3491" s="8" t="str">
        <f>IFERROR(__xludf.DUMMYFUNCTION("""COMPUTED_VALUE"""),"RIA ARYUNI ")</f>
        <v>RIA ARYUNI </v>
      </c>
      <c r="C3491" s="8" t="str">
        <f>IFERROR(__xludf.DUMMYFUNCTION("""COMPUTED_VALUE"""),"R9726028140")</f>
        <v>R9726028140</v>
      </c>
      <c r="D3491" s="8">
        <f>IFERROR(__xludf.DUMMYFUNCTION("""COMPUTED_VALUE"""),29.0)</f>
        <v>29</v>
      </c>
      <c r="E3491" s="2"/>
    </row>
    <row r="3492">
      <c r="A3492" s="2"/>
      <c r="B3492" s="8" t="str">
        <f>IFERROR(__xludf.DUMMYFUNCTION("""COMPUTED_VALUE"""),"H MAHDI")</f>
        <v>H MAHDI</v>
      </c>
      <c r="C3492" s="8" t="str">
        <f>IFERROR(__xludf.DUMMYFUNCTION("""COMPUTED_VALUE"""),"H5426024864")</f>
        <v>H5426024864</v>
      </c>
      <c r="D3492" s="8">
        <f>IFERROR(__xludf.DUMMYFUNCTION("""COMPUTED_VALUE"""),72.0)</f>
        <v>72</v>
      </c>
      <c r="E3492" s="2"/>
    </row>
    <row r="3493">
      <c r="A3493" s="2"/>
      <c r="B3493" s="8" t="str">
        <f>IFERROR(__xludf.DUMMYFUNCTION("""COMPUTED_VALUE"""),"CENDY VIBRIAN")</f>
        <v>CENDY VIBRIAN</v>
      </c>
      <c r="C3493" s="8" t="str">
        <f>IFERROR(__xludf.DUMMYFUNCTION("""COMPUTED_VALUE"""),"C9826024383")</f>
        <v>C9826024383</v>
      </c>
      <c r="D3493" s="8">
        <f>IFERROR(__xludf.DUMMYFUNCTION("""COMPUTED_VALUE"""),27.0)</f>
        <v>27</v>
      </c>
      <c r="E3493" s="2"/>
    </row>
    <row r="3494">
      <c r="A3494" s="2"/>
      <c r="B3494" s="8" t="str">
        <f>IFERROR(__xludf.DUMMYFUNCTION("""COMPUTED_VALUE"""),"ALIONG")</f>
        <v>ALIONG</v>
      </c>
      <c r="C3494" s="8" t="str">
        <f>IFERROR(__xludf.DUMMYFUNCTION("""COMPUTED_VALUE"""),"A9326025869")</f>
        <v>A9326025869</v>
      </c>
      <c r="D3494" s="8">
        <f>IFERROR(__xludf.DUMMYFUNCTION("""COMPUTED_VALUE"""),33.0)</f>
        <v>33</v>
      </c>
      <c r="E3494" s="2"/>
    </row>
    <row r="3495">
      <c r="A3495" s="2"/>
      <c r="B3495" s="8" t="str">
        <f>IFERROR(__xludf.DUMMYFUNCTION("""COMPUTED_VALUE"""),"TJONG SAU CON")</f>
        <v>TJONG SAU CON</v>
      </c>
      <c r="C3495" s="8" t="str">
        <f>IFERROR(__xludf.DUMMYFUNCTION("""COMPUTED_VALUE"""),"T6926021885")</f>
        <v>T6926021885</v>
      </c>
      <c r="D3495" s="8">
        <f>IFERROR(__xludf.DUMMYFUNCTION("""COMPUTED_VALUE"""),56.0)</f>
        <v>56</v>
      </c>
      <c r="E3495" s="2"/>
    </row>
    <row r="3496">
      <c r="A3496" s="2"/>
      <c r="B3496" s="8" t="str">
        <f>IFERROR(__xludf.DUMMYFUNCTION("""COMPUTED_VALUE"""),"TITIN AGUSTINA")</f>
        <v>TITIN AGUSTINA</v>
      </c>
      <c r="C3496" s="8" t="str">
        <f>IFERROR(__xludf.DUMMYFUNCTION("""COMPUTED_VALUE"""),"T7726026292")</f>
        <v>T7726026292</v>
      </c>
      <c r="D3496" s="8">
        <f>IFERROR(__xludf.DUMMYFUNCTION("""COMPUTED_VALUE"""),48.0)</f>
        <v>48</v>
      </c>
      <c r="E3496" s="2"/>
    </row>
    <row r="3497">
      <c r="A3497" s="2"/>
      <c r="B3497" s="8" t="str">
        <f>IFERROR(__xludf.DUMMYFUNCTION("""COMPUTED_VALUE"""),"ERWIN, ST ")</f>
        <v>ERWIN, ST </v>
      </c>
      <c r="C3497" s="8" t="str">
        <f>IFERROR(__xludf.DUMMYFUNCTION("""COMPUTED_VALUE"""),"E6126028000")</f>
        <v>E6126028000</v>
      </c>
      <c r="D3497" s="8">
        <f>IFERROR(__xludf.DUMMYFUNCTION("""COMPUTED_VALUE"""),65.0)</f>
        <v>65</v>
      </c>
      <c r="E3497" s="2"/>
    </row>
    <row r="3498">
      <c r="A3498" s="2"/>
      <c r="B3498" s="8" t="str">
        <f>IFERROR(__xludf.DUMMYFUNCTION("""COMPUTED_VALUE"""),"MUHAMAD TABSYIR")</f>
        <v>MUHAMAD TABSYIR</v>
      </c>
      <c r="C3498" s="8" t="str">
        <f>IFERROR(__xludf.DUMMYFUNCTION("""COMPUTED_VALUE"""),"M0426020509")</f>
        <v>M0426020509</v>
      </c>
      <c r="D3498" s="8">
        <f>IFERROR(__xludf.DUMMYFUNCTION("""COMPUTED_VALUE"""),21.0)</f>
        <v>21</v>
      </c>
      <c r="E3498" s="2"/>
    </row>
    <row r="3499">
      <c r="A3499" s="2"/>
      <c r="B3499" s="8" t="str">
        <f>IFERROR(__xludf.DUMMYFUNCTION("""COMPUTED_VALUE"""),"DWI MARUTO")</f>
        <v>DWI MARUTO</v>
      </c>
      <c r="C3499" s="8" t="str">
        <f>IFERROR(__xludf.DUMMYFUNCTION("""COMPUTED_VALUE"""),"D8226028883")</f>
        <v>D8226028883</v>
      </c>
      <c r="D3499" s="8">
        <f>IFERROR(__xludf.DUMMYFUNCTION("""COMPUTED_VALUE"""),44.0)</f>
        <v>44</v>
      </c>
      <c r="E3499" s="2"/>
    </row>
    <row r="3500">
      <c r="A3500" s="2"/>
      <c r="B3500" s="8" t="str">
        <f>IFERROR(__xludf.DUMMYFUNCTION("""COMPUTED_VALUE"""),"ISRI ULFAINI")</f>
        <v>ISRI ULFAINI</v>
      </c>
      <c r="C3500" s="8" t="str">
        <f>IFERROR(__xludf.DUMMYFUNCTION("""COMPUTED_VALUE"""),"I9426029070")</f>
        <v>I9426029070</v>
      </c>
      <c r="D3500" s="8">
        <f>IFERROR(__xludf.DUMMYFUNCTION("""COMPUTED_VALUE"""),31.0)</f>
        <v>31</v>
      </c>
      <c r="E3500" s="2"/>
    </row>
    <row r="3501">
      <c r="A3501" s="2"/>
      <c r="B3501" s="8" t="str">
        <f>IFERROR(__xludf.DUMMYFUNCTION("""COMPUTED_VALUE"""),"WARDOYO 8804")</f>
        <v>WARDOYO 8804</v>
      </c>
      <c r="C3501" s="8" t="str">
        <f>IFERROR(__xludf.DUMMYFUNCTION("""COMPUTED_VALUE"""),"W8826023637")</f>
        <v>W8826023637</v>
      </c>
      <c r="D3501" s="8">
        <f>IFERROR(__xludf.DUMMYFUNCTION("""COMPUTED_VALUE"""),38.0)</f>
        <v>38</v>
      </c>
      <c r="E3501" s="2"/>
    </row>
    <row r="3502">
      <c r="A3502" s="2"/>
      <c r="B3502" s="8" t="str">
        <f>IFERROR(__xludf.DUMMYFUNCTION("""COMPUTED_VALUE"""),"ISFANDIAR, ST . MT")</f>
        <v>ISFANDIAR, ST . MT</v>
      </c>
      <c r="C3502" s="8" t="str">
        <f>IFERROR(__xludf.DUMMYFUNCTION("""COMPUTED_VALUE"""),"I7926020464")</f>
        <v>I7926020464</v>
      </c>
      <c r="D3502" s="8">
        <f>IFERROR(__xludf.DUMMYFUNCTION("""COMPUTED_VALUE"""),47.0)</f>
        <v>47</v>
      </c>
      <c r="E3502" s="2"/>
    </row>
    <row r="3503">
      <c r="A3503" s="2"/>
      <c r="B3503" s="8" t="str">
        <f>IFERROR(__xludf.DUMMYFUNCTION("""COMPUTED_VALUE"""),"FERNANDO NG")</f>
        <v>FERNANDO NG</v>
      </c>
      <c r="C3503" s="8" t="str">
        <f>IFERROR(__xludf.DUMMYFUNCTION("""COMPUTED_VALUE"""),"F9926021200")</f>
        <v>F9926021200</v>
      </c>
      <c r="D3503" s="8">
        <f>IFERROR(__xludf.DUMMYFUNCTION("""COMPUTED_VALUE"""),26.0)</f>
        <v>26</v>
      </c>
      <c r="E3503" s="2"/>
    </row>
    <row r="3504">
      <c r="A3504" s="2"/>
      <c r="B3504" s="8" t="str">
        <f>IFERROR(__xludf.DUMMYFUNCTION("""COMPUTED_VALUE"""),"EDI SUDIANDI")</f>
        <v>EDI SUDIANDI</v>
      </c>
      <c r="C3504" s="8" t="str">
        <f>IFERROR(__xludf.DUMMYFUNCTION("""COMPUTED_VALUE"""),"E0126026250")</f>
        <v>E0126026250</v>
      </c>
      <c r="D3504" s="8">
        <f>IFERROR(__xludf.DUMMYFUNCTION("""COMPUTED_VALUE"""),24.0)</f>
        <v>24</v>
      </c>
      <c r="E3504" s="2"/>
    </row>
    <row r="3505">
      <c r="A3505" s="2"/>
      <c r="B3505" s="8" t="str">
        <f>IFERROR(__xludf.DUMMYFUNCTION("""COMPUTED_VALUE"""),"ABDULLAH SYAKUR ")</f>
        <v>ABDULLAH SYAKUR </v>
      </c>
      <c r="C3505" s="8" t="str">
        <f>IFERROR(__xludf.DUMMYFUNCTION("""COMPUTED_VALUE"""),"A0426021519")</f>
        <v>A0426021519</v>
      </c>
      <c r="D3505" s="8">
        <f>IFERROR(__xludf.DUMMYFUNCTION("""COMPUTED_VALUE"""),21.0)</f>
        <v>21</v>
      </c>
      <c r="E3505" s="2"/>
    </row>
    <row r="3506">
      <c r="A3506" s="2"/>
      <c r="B3506" s="8" t="str">
        <f>IFERROR(__xludf.DUMMYFUNCTION("""COMPUTED_VALUE"""),"LIVI")</f>
        <v>LIVI</v>
      </c>
      <c r="C3506" s="8" t="str">
        <f>IFERROR(__xludf.DUMMYFUNCTION("""COMPUTED_VALUE"""),"L0726026162")</f>
        <v>L0726026162</v>
      </c>
      <c r="D3506" s="8">
        <f>IFERROR(__xludf.DUMMYFUNCTION("""COMPUTED_VALUE"""),18.0)</f>
        <v>18</v>
      </c>
      <c r="E3506" s="2"/>
    </row>
    <row r="3507">
      <c r="A3507" s="2"/>
      <c r="B3507" s="8" t="str">
        <f>IFERROR(__xludf.DUMMYFUNCTION("""COMPUTED_VALUE"""),"RYAN PRAMIKA")</f>
        <v>RYAN PRAMIKA</v>
      </c>
      <c r="C3507" s="8" t="str">
        <f>IFERROR(__xludf.DUMMYFUNCTION("""COMPUTED_VALUE"""),"R9126025888")</f>
        <v>R9126025888</v>
      </c>
      <c r="D3507" s="8">
        <f>IFERROR(__xludf.DUMMYFUNCTION("""COMPUTED_VALUE"""),35.0)</f>
        <v>35</v>
      </c>
      <c r="E3507" s="2"/>
    </row>
    <row r="3508">
      <c r="A3508" s="2"/>
      <c r="B3508" s="8" t="str">
        <f>IFERROR(__xludf.DUMMYFUNCTION("""COMPUTED_VALUE"""),"YUSI NALURITA")</f>
        <v>YUSI NALURITA</v>
      </c>
      <c r="C3508" s="8" t="str">
        <f>IFERROR(__xludf.DUMMYFUNCTION("""COMPUTED_VALUE"""),"Y9126026519")</f>
        <v>Y9126026519</v>
      </c>
      <c r="D3508" s="8">
        <f>IFERROR(__xludf.DUMMYFUNCTION("""COMPUTED_VALUE"""),35.0)</f>
        <v>35</v>
      </c>
      <c r="E3508" s="2"/>
    </row>
    <row r="3509">
      <c r="A3509" s="2"/>
      <c r="B3509" s="8" t="str">
        <f>IFERROR(__xludf.DUMMYFUNCTION("""COMPUTED_VALUE"""),"RITA RUMIATI")</f>
        <v>RITA RUMIATI</v>
      </c>
      <c r="C3509" s="8" t="str">
        <f>IFERROR(__xludf.DUMMYFUNCTION("""COMPUTED_VALUE"""),"R7426028888")</f>
        <v>R7426028888</v>
      </c>
      <c r="D3509" s="8">
        <f>IFERROR(__xludf.DUMMYFUNCTION("""COMPUTED_VALUE"""),52.0)</f>
        <v>52</v>
      </c>
      <c r="E3509" s="2"/>
    </row>
    <row r="3510">
      <c r="A3510" s="2"/>
      <c r="B3510" s="8" t="str">
        <f>IFERROR(__xludf.DUMMYFUNCTION("""COMPUTED_VALUE"""),"RESTI DEWANTARI")</f>
        <v>RESTI DEWANTARI</v>
      </c>
      <c r="C3510" s="8" t="str">
        <f>IFERROR(__xludf.DUMMYFUNCTION("""COMPUTED_VALUE"""),"R9726020661")</f>
        <v>R9726020661</v>
      </c>
      <c r="D3510" s="8">
        <f>IFERROR(__xludf.DUMMYFUNCTION("""COMPUTED_VALUE"""),29.0)</f>
        <v>29</v>
      </c>
      <c r="E3510" s="2"/>
    </row>
    <row r="3511">
      <c r="A3511" s="2"/>
      <c r="B3511" s="8" t="str">
        <f>IFERROR(__xludf.DUMMYFUNCTION("""COMPUTED_VALUE"""),"SRI ROEHANI")</f>
        <v>SRI ROEHANI</v>
      </c>
      <c r="C3511" s="8" t="str">
        <f>IFERROR(__xludf.DUMMYFUNCTION("""COMPUTED_VALUE"""),"S8726025435")</f>
        <v>S8726025435</v>
      </c>
      <c r="D3511" s="8">
        <f>IFERROR(__xludf.DUMMYFUNCTION("""COMPUTED_VALUE"""),38.0)</f>
        <v>38</v>
      </c>
      <c r="E3511" s="2"/>
    </row>
    <row r="3512">
      <c r="A3512" s="2"/>
      <c r="B3512" s="8" t="str">
        <f>IFERROR(__xludf.DUMMYFUNCTION("""COMPUTED_VALUE"""),"H.W. MANSOR ANDI MULIA")</f>
        <v>H.W. MANSOR ANDI MULIA</v>
      </c>
      <c r="C3512" s="8" t="str">
        <f>IFERROR(__xludf.DUMMYFUNCTION("""COMPUTED_VALUE"""),"H6326029065")</f>
        <v>H6326029065</v>
      </c>
      <c r="D3512" s="8">
        <f>IFERROR(__xludf.DUMMYFUNCTION("""COMPUTED_VALUE"""),63.0)</f>
        <v>63</v>
      </c>
      <c r="E3512" s="2"/>
    </row>
    <row r="3513">
      <c r="A3513" s="2"/>
      <c r="B3513" s="8" t="str">
        <f>IFERROR(__xludf.DUMMYFUNCTION("""COMPUTED_VALUE"""),"SATIMAN BSC")</f>
        <v>SATIMAN BSC</v>
      </c>
      <c r="C3513" s="8" t="str">
        <f>IFERROR(__xludf.DUMMYFUNCTION("""COMPUTED_VALUE"""),"S4826021464")</f>
        <v>S4826021464</v>
      </c>
      <c r="D3513" s="8">
        <f>IFERROR(__xludf.DUMMYFUNCTION("""COMPUTED_VALUE"""),78.0)</f>
        <v>78</v>
      </c>
      <c r="E3513" s="2"/>
    </row>
    <row r="3514">
      <c r="A3514" s="2"/>
      <c r="B3514" s="8" t="str">
        <f>IFERROR(__xludf.DUMMYFUNCTION("""COMPUTED_VALUE"""),"MURTINI")</f>
        <v>MURTINI</v>
      </c>
      <c r="C3514" s="8" t="str">
        <f>IFERROR(__xludf.DUMMYFUNCTION("""COMPUTED_VALUE"""),"M8026023796")</f>
        <v>M8026023796</v>
      </c>
      <c r="D3514" s="8">
        <f>IFERROR(__xludf.DUMMYFUNCTION("""COMPUTED_VALUE"""),45.0)</f>
        <v>45</v>
      </c>
      <c r="E3514" s="2"/>
    </row>
    <row r="3515">
      <c r="A3515" s="2"/>
      <c r="B3515" s="8" t="str">
        <f>IFERROR(__xludf.DUMMYFUNCTION("""COMPUTED_VALUE"""),"LIAU NYUK HIONG")</f>
        <v>LIAU NYUK HIONG</v>
      </c>
      <c r="C3515" s="8" t="str">
        <f>IFERROR(__xludf.DUMMYFUNCTION("""COMPUTED_VALUE"""),"L3326020109")</f>
        <v>L3326020109</v>
      </c>
      <c r="D3515" s="8">
        <f>IFERROR(__xludf.DUMMYFUNCTION("""COMPUTED_VALUE"""),93.0)</f>
        <v>93</v>
      </c>
      <c r="E3515" s="2"/>
    </row>
    <row r="3516">
      <c r="A3516" s="2"/>
      <c r="B3516" s="8" t="str">
        <f>IFERROR(__xludf.DUMMYFUNCTION("""COMPUTED_VALUE"""),"SITI HADIJAH 5806")</f>
        <v>SITI HADIJAH 5806</v>
      </c>
      <c r="C3516" s="8" t="str">
        <f>IFERROR(__xludf.DUMMYFUNCTION("""COMPUTED_VALUE"""),"S5826022215")</f>
        <v>S5826022215</v>
      </c>
      <c r="D3516" s="8">
        <f>IFERROR(__xludf.DUMMYFUNCTION("""COMPUTED_VALUE"""),68.0)</f>
        <v>68</v>
      </c>
      <c r="E3516" s="2"/>
    </row>
    <row r="3517">
      <c r="A3517" s="2"/>
      <c r="B3517" s="8" t="str">
        <f>IFERROR(__xludf.DUMMYFUNCTION("""COMPUTED_VALUE"""),"NAIMAH")</f>
        <v>NAIMAH</v>
      </c>
      <c r="C3517" s="8" t="str">
        <f>IFERROR(__xludf.DUMMYFUNCTION("""COMPUTED_VALUE"""),"N6526023126")</f>
        <v>N6526023126</v>
      </c>
      <c r="D3517" s="8">
        <f>IFERROR(__xludf.DUMMYFUNCTION("""COMPUTED_VALUE"""),60.0)</f>
        <v>60</v>
      </c>
      <c r="E3517" s="2"/>
    </row>
    <row r="3518">
      <c r="A3518" s="2"/>
      <c r="B3518" s="8" t="str">
        <f>IFERROR(__xludf.DUMMYFUNCTION("""COMPUTED_VALUE"""),"PUTRI RAHMA SARI ")</f>
        <v>PUTRI RAHMA SARI </v>
      </c>
      <c r="C3518" s="8" t="str">
        <f>IFERROR(__xludf.DUMMYFUNCTION("""COMPUTED_VALUE"""),"P0726022638")</f>
        <v>P0726022638</v>
      </c>
      <c r="D3518" s="8">
        <f>IFERROR(__xludf.DUMMYFUNCTION("""COMPUTED_VALUE"""),19.0)</f>
        <v>19</v>
      </c>
      <c r="E3518" s="2"/>
    </row>
    <row r="3519">
      <c r="A3519" s="2"/>
      <c r="B3519" s="8" t="str">
        <f>IFERROR(__xludf.DUMMYFUNCTION("""COMPUTED_VALUE"""),"FEBRIAN GALIH CAHYO P")</f>
        <v>FEBRIAN GALIH CAHYO P</v>
      </c>
      <c r="C3519" s="8" t="str">
        <f>IFERROR(__xludf.DUMMYFUNCTION("""COMPUTED_VALUE"""),"F8926023541")</f>
        <v>F8926023541</v>
      </c>
      <c r="D3519" s="8">
        <f>IFERROR(__xludf.DUMMYFUNCTION("""COMPUTED_VALUE"""),37.0)</f>
        <v>37</v>
      </c>
      <c r="E3519" s="2"/>
    </row>
    <row r="3520">
      <c r="A3520" s="2"/>
      <c r="B3520" s="8" t="str">
        <f>IFERROR(__xludf.DUMMYFUNCTION("""COMPUTED_VALUE"""),"ALI 7608")</f>
        <v>ALI 7608</v>
      </c>
      <c r="C3520" s="8" t="str">
        <f>IFERROR(__xludf.DUMMYFUNCTION("""COMPUTED_VALUE"""),"A7626024012")</f>
        <v>A7626024012</v>
      </c>
      <c r="D3520" s="8">
        <f>IFERROR(__xludf.DUMMYFUNCTION("""COMPUTED_VALUE"""),49.0)</f>
        <v>49</v>
      </c>
      <c r="E3520" s="2"/>
    </row>
    <row r="3521">
      <c r="A3521" s="2"/>
      <c r="B3521" s="8" t="str">
        <f>IFERROR(__xludf.DUMMYFUNCTION("""COMPUTED_VALUE"""),"ALICIA")</f>
        <v>ALICIA</v>
      </c>
      <c r="C3521" s="8" t="str">
        <f>IFERROR(__xludf.DUMMYFUNCTION("""COMPUTED_VALUE"""),"A0026026799")</f>
        <v>A0026026799</v>
      </c>
      <c r="D3521" s="8">
        <f>IFERROR(__xludf.DUMMYFUNCTION("""COMPUTED_VALUE"""),26.0)</f>
        <v>26</v>
      </c>
      <c r="E3521" s="2"/>
    </row>
    <row r="3522">
      <c r="A3522" s="2"/>
      <c r="B3522" s="8" t="str">
        <f>IFERROR(__xludf.DUMMYFUNCTION("""COMPUTED_VALUE"""),"YUNINDA WIDIASTUTI")</f>
        <v>YUNINDA WIDIASTUTI</v>
      </c>
      <c r="C3522" s="8" t="str">
        <f>IFERROR(__xludf.DUMMYFUNCTION("""COMPUTED_VALUE"""),"Y7026028019")</f>
        <v>Y7026028019</v>
      </c>
      <c r="D3522" s="8">
        <f>IFERROR(__xludf.DUMMYFUNCTION("""COMPUTED_VALUE"""),56.0)</f>
        <v>56</v>
      </c>
      <c r="E3522" s="2"/>
    </row>
    <row r="3523">
      <c r="A3523" s="2"/>
      <c r="B3523" s="8" t="str">
        <f>IFERROR(__xludf.DUMMYFUNCTION("""COMPUTED_VALUE"""),"ARISTO WAHYU KANTONA")</f>
        <v>ARISTO WAHYU KANTONA</v>
      </c>
      <c r="C3523" s="8" t="str">
        <f>IFERROR(__xludf.DUMMYFUNCTION("""COMPUTED_VALUE"""),"A9726035752")</f>
        <v>A9726035752</v>
      </c>
      <c r="D3523" s="8">
        <f>IFERROR(__xludf.DUMMYFUNCTION("""COMPUTED_VALUE"""),28.0)</f>
        <v>28</v>
      </c>
      <c r="E3523" s="2"/>
    </row>
    <row r="3524">
      <c r="A3524" s="2"/>
      <c r="B3524" s="8" t="str">
        <f>IFERROR(__xludf.DUMMYFUNCTION("""COMPUTED_VALUE"""),"NASRULLAH")</f>
        <v>NASRULLAH</v>
      </c>
      <c r="C3524" s="8" t="str">
        <f>IFERROR(__xludf.DUMMYFUNCTION("""COMPUTED_VALUE"""),"N9226030388")</f>
        <v>N9226030388</v>
      </c>
      <c r="D3524" s="8">
        <f>IFERROR(__xludf.DUMMYFUNCTION("""COMPUTED_VALUE"""),34.0)</f>
        <v>34</v>
      </c>
      <c r="E3524" s="2"/>
    </row>
    <row r="3525">
      <c r="A3525" s="2"/>
      <c r="B3525" s="8" t="str">
        <f>IFERROR(__xludf.DUMMYFUNCTION("""COMPUTED_VALUE"""),"LYNDA KURNIA AGUSTINA")</f>
        <v>LYNDA KURNIA AGUSTINA</v>
      </c>
      <c r="C3525" s="8" t="str">
        <f>IFERROR(__xludf.DUMMYFUNCTION("""COMPUTED_VALUE"""),"L7126034424")</f>
        <v>L7126034424</v>
      </c>
      <c r="D3525" s="8">
        <f>IFERROR(__xludf.DUMMYFUNCTION("""COMPUTED_VALUE"""),55.0)</f>
        <v>55</v>
      </c>
      <c r="E3525" s="2"/>
    </row>
    <row r="3526">
      <c r="A3526" s="2"/>
      <c r="B3526" s="8" t="str">
        <f>IFERROR(__xludf.DUMMYFUNCTION("""COMPUTED_VALUE"""),"TRI ENI WULANDARI ")</f>
        <v>TRI ENI WULANDARI </v>
      </c>
      <c r="C3526" s="8" t="str">
        <f>IFERROR(__xludf.DUMMYFUNCTION("""COMPUTED_VALUE"""),"T9826038426")</f>
        <v>T9826038426</v>
      </c>
      <c r="D3526" s="8">
        <f>IFERROR(__xludf.DUMMYFUNCTION("""COMPUTED_VALUE"""),27.0)</f>
        <v>27</v>
      </c>
      <c r="E3526" s="2"/>
    </row>
    <row r="3527">
      <c r="A3527" s="2"/>
      <c r="B3527" s="8" t="str">
        <f>IFERROR(__xludf.DUMMYFUNCTION("""COMPUTED_VALUE"""),"AISYAH AYUDIA INARA")</f>
        <v>AISYAH AYUDIA INARA</v>
      </c>
      <c r="C3527" s="8" t="str">
        <f>IFERROR(__xludf.DUMMYFUNCTION("""COMPUTED_VALUE"""),"A1626035883")</f>
        <v>A1626035883</v>
      </c>
      <c r="D3527" s="8">
        <f>IFERROR(__xludf.DUMMYFUNCTION("""COMPUTED_VALUE"""),10.0)</f>
        <v>10</v>
      </c>
      <c r="E3527" s="2"/>
    </row>
    <row r="3528">
      <c r="A3528" s="2"/>
      <c r="B3528" s="8" t="str">
        <f>IFERROR(__xludf.DUMMYFUNCTION("""COMPUTED_VALUE"""),"SITI BARIATUL KHOTIJAH")</f>
        <v>SITI BARIATUL KHOTIJAH</v>
      </c>
      <c r="C3528" s="8" t="str">
        <f>IFERROR(__xludf.DUMMYFUNCTION("""COMPUTED_VALUE"""),"S8126033647")</f>
        <v>S8126033647</v>
      </c>
      <c r="D3528" s="8">
        <f>IFERROR(__xludf.DUMMYFUNCTION("""COMPUTED_VALUE"""),44.0)</f>
        <v>44</v>
      </c>
      <c r="E3528" s="2"/>
    </row>
    <row r="3529">
      <c r="A3529" s="2"/>
      <c r="B3529" s="8" t="str">
        <f>IFERROR(__xludf.DUMMYFUNCTION("""COMPUTED_VALUE"""),"NANDA PUSPITA SARI")</f>
        <v>NANDA PUSPITA SARI</v>
      </c>
      <c r="C3529" s="8" t="str">
        <f>IFERROR(__xludf.DUMMYFUNCTION("""COMPUTED_VALUE"""),"N9426032999")</f>
        <v>N9426032999</v>
      </c>
      <c r="D3529" s="8">
        <f>IFERROR(__xludf.DUMMYFUNCTION("""COMPUTED_VALUE"""),31.0)</f>
        <v>31</v>
      </c>
      <c r="E3529" s="2"/>
    </row>
    <row r="3530">
      <c r="A3530" s="2"/>
      <c r="B3530" s="8" t="str">
        <f>IFERROR(__xludf.DUMMYFUNCTION("""COMPUTED_VALUE"""),"EMILIANA ")</f>
        <v>EMILIANA </v>
      </c>
      <c r="C3530" s="8" t="str">
        <f>IFERROR(__xludf.DUMMYFUNCTION("""COMPUTED_VALUE"""),"E8226030888")</f>
        <v>E8226030888</v>
      </c>
      <c r="D3530" s="8">
        <f>IFERROR(__xludf.DUMMYFUNCTION("""COMPUTED_VALUE"""),44.0)</f>
        <v>44</v>
      </c>
      <c r="E3530" s="2"/>
    </row>
    <row r="3531">
      <c r="A3531" s="2"/>
      <c r="B3531" s="8" t="str">
        <f>IFERROR(__xludf.DUMMYFUNCTION("""COMPUTED_VALUE"""),"CARLSON KITCHIROU SETIA")</f>
        <v>CARLSON KITCHIROU SETIA</v>
      </c>
      <c r="C3531" s="8" t="str">
        <f>IFERROR(__xludf.DUMMYFUNCTION("""COMPUTED_VALUE"""),"C1526034389")</f>
        <v>C1526034389</v>
      </c>
      <c r="D3531" s="8">
        <f>IFERROR(__xludf.DUMMYFUNCTION("""COMPUTED_VALUE"""),11.0)</f>
        <v>11</v>
      </c>
      <c r="E3531" s="2"/>
    </row>
    <row r="3532">
      <c r="A3532" s="2"/>
      <c r="B3532" s="8" t="str">
        <f>IFERROR(__xludf.DUMMYFUNCTION("""COMPUTED_VALUE"""),"IQBAL EKA PUTRA")</f>
        <v>IQBAL EKA PUTRA</v>
      </c>
      <c r="C3532" s="8" t="str">
        <f>IFERROR(__xludf.DUMMYFUNCTION("""COMPUTED_VALUE"""),"I9726037451")</f>
        <v>I9726037451</v>
      </c>
      <c r="D3532" s="8">
        <f>IFERROR(__xludf.DUMMYFUNCTION("""COMPUTED_VALUE"""),29.0)</f>
        <v>29</v>
      </c>
      <c r="E3532" s="2"/>
    </row>
    <row r="3533">
      <c r="A3533" s="2"/>
      <c r="B3533" s="8" t="str">
        <f>IFERROR(__xludf.DUMMYFUNCTION("""COMPUTED_VALUE"""),"AZRIEL REIVAN AKBAR")</f>
        <v>AZRIEL REIVAN AKBAR</v>
      </c>
      <c r="C3533" s="8" t="str">
        <f>IFERROR(__xludf.DUMMYFUNCTION("""COMPUTED_VALUE"""),"A0626031560")</f>
        <v>A0626031560</v>
      </c>
      <c r="D3533" s="8">
        <f>IFERROR(__xludf.DUMMYFUNCTION("""COMPUTED_VALUE"""),20.0)</f>
        <v>20</v>
      </c>
      <c r="E3533" s="2"/>
    </row>
    <row r="3534">
      <c r="A3534" s="2"/>
      <c r="B3534" s="8" t="str">
        <f>IFERROR(__xludf.DUMMYFUNCTION("""COMPUTED_VALUE"""),"AGNES FELIM")</f>
        <v>AGNES FELIM</v>
      </c>
      <c r="C3534" s="8" t="str">
        <f>IFERROR(__xludf.DUMMYFUNCTION("""COMPUTED_VALUE"""),"A9726036079")</f>
        <v>A9726036079</v>
      </c>
      <c r="D3534" s="8">
        <f>IFERROR(__xludf.DUMMYFUNCTION("""COMPUTED_VALUE"""),29.0)</f>
        <v>29</v>
      </c>
      <c r="E3534" s="2"/>
    </row>
    <row r="3535">
      <c r="A3535" s="2"/>
      <c r="B3535" s="8" t="str">
        <f>IFERROR(__xludf.DUMMYFUNCTION("""COMPUTED_VALUE"""),"FREDERICA")</f>
        <v>FREDERICA</v>
      </c>
      <c r="C3535" s="8" t="str">
        <f>IFERROR(__xludf.DUMMYFUNCTION("""COMPUTED_VALUE"""),"F0026039583")</f>
        <v>F0026039583</v>
      </c>
      <c r="D3535" s="8">
        <f>IFERROR(__xludf.DUMMYFUNCTION("""COMPUTED_VALUE"""),26.0)</f>
        <v>26</v>
      </c>
      <c r="E3535" s="2"/>
    </row>
    <row r="3536">
      <c r="A3536" s="2"/>
      <c r="B3536" s="8" t="str">
        <f>IFERROR(__xludf.DUMMYFUNCTION("""COMPUTED_VALUE"""),"SULASTRI")</f>
        <v>SULASTRI</v>
      </c>
      <c r="C3536" s="8" t="str">
        <f>IFERROR(__xludf.DUMMYFUNCTION("""COMPUTED_VALUE"""),"S7026038689")</f>
        <v>S7026038689</v>
      </c>
      <c r="D3536" s="8">
        <f>IFERROR(__xludf.DUMMYFUNCTION("""COMPUTED_VALUE"""),56.0)</f>
        <v>56</v>
      </c>
      <c r="E3536" s="2"/>
    </row>
    <row r="3537">
      <c r="A3537" s="2"/>
      <c r="B3537" s="8" t="str">
        <f>IFERROR(__xludf.DUMMYFUNCTION("""COMPUTED_VALUE"""),"SLAMET WIDODO")</f>
        <v>SLAMET WIDODO</v>
      </c>
      <c r="C3537" s="8" t="str">
        <f>IFERROR(__xludf.DUMMYFUNCTION("""COMPUTED_VALUE"""),"S8626037896")</f>
        <v>S8626037896</v>
      </c>
      <c r="D3537" s="8">
        <f>IFERROR(__xludf.DUMMYFUNCTION("""COMPUTED_VALUE"""),40.0)</f>
        <v>40</v>
      </c>
      <c r="E3537" s="2"/>
    </row>
    <row r="3538">
      <c r="A3538" s="2"/>
      <c r="B3538" s="8" t="str">
        <f>IFERROR(__xludf.DUMMYFUNCTION("""COMPUTED_VALUE"""),"MOK SOI PHIN")</f>
        <v>MOK SOI PHIN</v>
      </c>
      <c r="C3538" s="8" t="str">
        <f>IFERROR(__xludf.DUMMYFUNCTION("""COMPUTED_VALUE"""),"M6026030150")</f>
        <v>M6026030150</v>
      </c>
      <c r="D3538" s="8">
        <f>IFERROR(__xludf.DUMMYFUNCTION("""COMPUTED_VALUE"""),66.0)</f>
        <v>66</v>
      </c>
      <c r="E3538" s="2"/>
    </row>
    <row r="3539">
      <c r="A3539" s="2"/>
      <c r="B3539" s="8" t="str">
        <f>IFERROR(__xludf.DUMMYFUNCTION("""COMPUTED_VALUE"""),"SRI SURYANINGSIH")</f>
        <v>SRI SURYANINGSIH</v>
      </c>
      <c r="C3539" s="8" t="str">
        <f>IFERROR(__xludf.DUMMYFUNCTION("""COMPUTED_VALUE"""),"S7626034226")</f>
        <v>S7626034226</v>
      </c>
      <c r="D3539" s="8">
        <f>IFERROR(__xludf.DUMMYFUNCTION("""COMPUTED_VALUE"""),50.0)</f>
        <v>50</v>
      </c>
      <c r="E3539" s="2"/>
    </row>
    <row r="3540">
      <c r="A3540" s="2"/>
      <c r="B3540" s="8" t="str">
        <f>IFERROR(__xludf.DUMMYFUNCTION("""COMPUTED_VALUE"""),"LIM HUI TJU")</f>
        <v>LIM HUI TJU</v>
      </c>
      <c r="C3540" s="8" t="str">
        <f>IFERROR(__xludf.DUMMYFUNCTION("""COMPUTED_VALUE"""),"L6026031382")</f>
        <v>L6026031382</v>
      </c>
      <c r="D3540" s="8">
        <f>IFERROR(__xludf.DUMMYFUNCTION("""COMPUTED_VALUE"""),66.0)</f>
        <v>66</v>
      </c>
      <c r="E3540" s="2"/>
    </row>
    <row r="3541">
      <c r="A3541" s="2"/>
      <c r="B3541" s="8" t="str">
        <f>IFERROR(__xludf.DUMMYFUNCTION("""COMPUTED_VALUE"""),"ERLANGGA R A")</f>
        <v>ERLANGGA R A</v>
      </c>
      <c r="C3541" s="8" t="str">
        <f>IFERROR(__xludf.DUMMYFUNCTION("""COMPUTED_VALUE"""),"E9126032559")</f>
        <v>E9126032559</v>
      </c>
      <c r="D3541" s="8">
        <f>IFERROR(__xludf.DUMMYFUNCTION("""COMPUTED_VALUE"""),34.0)</f>
        <v>34</v>
      </c>
      <c r="E3541" s="2"/>
    </row>
    <row r="3542">
      <c r="A3542" s="2"/>
      <c r="B3542" s="8" t="str">
        <f>IFERROR(__xludf.DUMMYFUNCTION("""COMPUTED_VALUE"""),"EKA HERMAWAN")</f>
        <v>EKA HERMAWAN</v>
      </c>
      <c r="C3542" s="8" t="str">
        <f>IFERROR(__xludf.DUMMYFUNCTION("""COMPUTED_VALUE"""),"E7926039349")</f>
        <v>E7926039349</v>
      </c>
      <c r="D3542" s="8">
        <f>IFERROR(__xludf.DUMMYFUNCTION("""COMPUTED_VALUE"""),46.0)</f>
        <v>46</v>
      </c>
      <c r="E3542" s="2"/>
    </row>
    <row r="3543">
      <c r="A3543" s="2"/>
      <c r="B3543" s="8" t="str">
        <f>IFERROR(__xludf.DUMMYFUNCTION("""COMPUTED_VALUE"""),"MAD NAWIR ")</f>
        <v>MAD NAWIR </v>
      </c>
      <c r="C3543" s="8" t="str">
        <f>IFERROR(__xludf.DUMMYFUNCTION("""COMPUTED_VALUE"""),"M6826038160")</f>
        <v>M6826038160</v>
      </c>
      <c r="D3543" s="8">
        <f>IFERROR(__xludf.DUMMYFUNCTION("""COMPUTED_VALUE"""),58.0)</f>
        <v>58</v>
      </c>
      <c r="E3543" s="2"/>
    </row>
    <row r="3544">
      <c r="A3544" s="2"/>
      <c r="B3544" s="8" t="str">
        <f>IFERROR(__xludf.DUMMYFUNCTION("""COMPUTED_VALUE"""),"ANNISA SEPTA PAKSI")</f>
        <v>ANNISA SEPTA PAKSI</v>
      </c>
      <c r="C3544" s="8" t="str">
        <f>IFERROR(__xludf.DUMMYFUNCTION("""COMPUTED_VALUE"""),"A9626037815")</f>
        <v>A9626037815</v>
      </c>
      <c r="D3544" s="8">
        <f>IFERROR(__xludf.DUMMYFUNCTION("""COMPUTED_VALUE"""),29.0)</f>
        <v>29</v>
      </c>
      <c r="E3544" s="2"/>
    </row>
    <row r="3545">
      <c r="A3545" s="2"/>
      <c r="B3545" s="8" t="str">
        <f>IFERROR(__xludf.DUMMYFUNCTION("""COMPUTED_VALUE"""),"BAGAS NUR ISLAMI")</f>
        <v>BAGAS NUR ISLAMI</v>
      </c>
      <c r="C3545" s="8" t="str">
        <f>IFERROR(__xludf.DUMMYFUNCTION("""COMPUTED_VALUE"""),"B1026034769")</f>
        <v>B1026034769</v>
      </c>
      <c r="D3545" s="8">
        <f>IFERROR(__xludf.DUMMYFUNCTION("""COMPUTED_VALUE"""),15.0)</f>
        <v>15</v>
      </c>
      <c r="E3545" s="2"/>
    </row>
    <row r="3546">
      <c r="A3546" s="2"/>
      <c r="B3546" s="8" t="str">
        <f>IFERROR(__xludf.DUMMYFUNCTION("""COMPUTED_VALUE"""),"RUFI LISTIAWATI, SE ")</f>
        <v>RUFI LISTIAWATI, SE </v>
      </c>
      <c r="C3546" s="8" t="str">
        <f>IFERROR(__xludf.DUMMYFUNCTION("""COMPUTED_VALUE"""),"R8226039346")</f>
        <v>R8226039346</v>
      </c>
      <c r="D3546" s="8">
        <f>IFERROR(__xludf.DUMMYFUNCTION("""COMPUTED_VALUE"""),43.0)</f>
        <v>43</v>
      </c>
      <c r="E3546" s="2"/>
    </row>
    <row r="3547">
      <c r="A3547" s="2"/>
      <c r="B3547" s="8" t="str">
        <f>IFERROR(__xludf.DUMMYFUNCTION("""COMPUTED_VALUE"""),"SUKMAWATI")</f>
        <v>SUKMAWATI</v>
      </c>
      <c r="C3547" s="8" t="str">
        <f>IFERROR(__xludf.DUMMYFUNCTION("""COMPUTED_VALUE"""),"S9626037860")</f>
        <v>S9626037860</v>
      </c>
      <c r="D3547" s="8">
        <f>IFERROR(__xludf.DUMMYFUNCTION("""COMPUTED_VALUE"""),29.0)</f>
        <v>29</v>
      </c>
      <c r="E3547" s="2"/>
    </row>
    <row r="3548">
      <c r="A3548" s="2"/>
      <c r="B3548" s="8" t="str">
        <f>IFERROR(__xludf.DUMMYFUNCTION("""COMPUTED_VALUE"""),"ANDY")</f>
        <v>ANDY</v>
      </c>
      <c r="C3548" s="8" t="str">
        <f>IFERROR(__xludf.DUMMYFUNCTION("""COMPUTED_VALUE"""),"A8826033797")</f>
        <v>A8826033797</v>
      </c>
      <c r="D3548" s="8">
        <f>IFERROR(__xludf.DUMMYFUNCTION("""COMPUTED_VALUE"""),38.0)</f>
        <v>38</v>
      </c>
      <c r="E3548" s="2"/>
    </row>
    <row r="3549">
      <c r="A3549" s="2"/>
      <c r="B3549" s="8" t="str">
        <f>IFERROR(__xludf.DUMMYFUNCTION("""COMPUTED_VALUE"""),"ROMEO HISKIA LIMBENG")</f>
        <v>ROMEO HISKIA LIMBENG</v>
      </c>
      <c r="C3549" s="8" t="str">
        <f>IFERROR(__xludf.DUMMYFUNCTION("""COMPUTED_VALUE"""),"R8426039515")</f>
        <v>R8426039515</v>
      </c>
      <c r="D3549" s="8">
        <f>IFERROR(__xludf.DUMMYFUNCTION("""COMPUTED_VALUE"""),41.0)</f>
        <v>41</v>
      </c>
      <c r="E3549" s="2"/>
    </row>
    <row r="3550">
      <c r="A3550" s="2"/>
      <c r="B3550" s="8" t="str">
        <f>IFERROR(__xludf.DUMMYFUNCTION("""COMPUTED_VALUE"""),"MUH. SHOIM MASKURI")</f>
        <v>MUH. SHOIM MASKURI</v>
      </c>
      <c r="C3550" s="8" t="str">
        <f>IFERROR(__xludf.DUMMYFUNCTION("""COMPUTED_VALUE"""),"M8526038856")</f>
        <v>M8526038856</v>
      </c>
      <c r="D3550" s="8">
        <f>IFERROR(__xludf.DUMMYFUNCTION("""COMPUTED_VALUE"""),41.0)</f>
        <v>41</v>
      </c>
      <c r="E3550" s="2"/>
    </row>
    <row r="3551">
      <c r="A3551" s="2"/>
      <c r="B3551" s="8" t="str">
        <f>IFERROR(__xludf.DUMMYFUNCTION("""COMPUTED_VALUE"""),"YUSAK HADI NUGROHO")</f>
        <v>YUSAK HADI NUGROHO</v>
      </c>
      <c r="C3551" s="8" t="str">
        <f>IFERROR(__xludf.DUMMYFUNCTION("""COMPUTED_VALUE"""),"Y9426034223")</f>
        <v>Y9426034223</v>
      </c>
      <c r="D3551" s="8">
        <f>IFERROR(__xludf.DUMMYFUNCTION("""COMPUTED_VALUE"""),32.0)</f>
        <v>32</v>
      </c>
      <c r="E3551" s="2"/>
    </row>
    <row r="3552">
      <c r="A3552" s="2"/>
      <c r="B3552" s="8" t="str">
        <f>IFERROR(__xludf.DUMMYFUNCTION("""COMPUTED_VALUE"""),"ARMAYADI")</f>
        <v>ARMAYADI</v>
      </c>
      <c r="C3552" s="8" t="str">
        <f>IFERROR(__xludf.DUMMYFUNCTION("""COMPUTED_VALUE"""),"A6126035344")</f>
        <v>A6126035344</v>
      </c>
      <c r="D3552" s="8">
        <f>IFERROR(__xludf.DUMMYFUNCTION("""COMPUTED_VALUE"""),65.0)</f>
        <v>65</v>
      </c>
      <c r="E3552" s="2"/>
    </row>
    <row r="3553">
      <c r="A3553" s="2"/>
      <c r="B3553" s="8" t="str">
        <f>IFERROR(__xludf.DUMMYFUNCTION("""COMPUTED_VALUE"""),"RUDY 279")</f>
        <v>RUDY 279</v>
      </c>
      <c r="C3553" s="8" t="str">
        <f>IFERROR(__xludf.DUMMYFUNCTION("""COMPUTED_VALUE"""),"R7726032279")</f>
        <v>R7726032279</v>
      </c>
      <c r="D3553" s="8">
        <f>IFERROR(__xludf.DUMMYFUNCTION("""COMPUTED_VALUE"""),48.0)</f>
        <v>48</v>
      </c>
      <c r="E3553" s="2"/>
    </row>
    <row r="3554">
      <c r="A3554" s="2"/>
      <c r="B3554" s="8" t="str">
        <f>IFERROR(__xludf.DUMMYFUNCTION("""COMPUTED_VALUE"""),"IRVAN HARAHAP")</f>
        <v>IRVAN HARAHAP</v>
      </c>
      <c r="C3554" s="8" t="str">
        <f>IFERROR(__xludf.DUMMYFUNCTION("""COMPUTED_VALUE"""),"I9926032631")</f>
        <v>I9926032631</v>
      </c>
      <c r="D3554" s="8">
        <f>IFERROR(__xludf.DUMMYFUNCTION("""COMPUTED_VALUE"""),27.0)</f>
        <v>27</v>
      </c>
      <c r="E3554" s="2"/>
    </row>
    <row r="3555">
      <c r="A3555" s="2"/>
      <c r="B3555" s="8" t="str">
        <f>IFERROR(__xludf.DUMMYFUNCTION("""COMPUTED_VALUE"""),"HENI SURYA NINGSIH")</f>
        <v>HENI SURYA NINGSIH</v>
      </c>
      <c r="C3555" s="8" t="str">
        <f>IFERROR(__xludf.DUMMYFUNCTION("""COMPUTED_VALUE"""),"H0126030765")</f>
        <v>H0126030765</v>
      </c>
      <c r="D3555" s="8">
        <f>IFERROR(__xludf.DUMMYFUNCTION("""COMPUTED_VALUE"""),25.0)</f>
        <v>25</v>
      </c>
      <c r="E3555" s="2"/>
    </row>
    <row r="3556">
      <c r="A3556" s="2"/>
      <c r="B3556" s="8" t="str">
        <f>IFERROR(__xludf.DUMMYFUNCTION("""COMPUTED_VALUE"""),"YANTI")</f>
        <v>YANTI</v>
      </c>
      <c r="C3556" s="8" t="str">
        <f>IFERROR(__xludf.DUMMYFUNCTION("""COMPUTED_VALUE"""),"Y7226030986")</f>
        <v>Y7226030986</v>
      </c>
      <c r="D3556" s="8">
        <f>IFERROR(__xludf.DUMMYFUNCTION("""COMPUTED_VALUE"""),53.0)</f>
        <v>53</v>
      </c>
      <c r="E3556" s="2"/>
    </row>
    <row r="3557">
      <c r="A3557" s="2"/>
      <c r="B3557" s="8" t="str">
        <f>IFERROR(__xludf.DUMMYFUNCTION("""COMPUTED_VALUE"""),"DELIA ANGELA")</f>
        <v>DELIA ANGELA</v>
      </c>
      <c r="C3557" s="8" t="str">
        <f>IFERROR(__xludf.DUMMYFUNCTION("""COMPUTED_VALUE"""),"D8826039333")</f>
        <v>D8826039333</v>
      </c>
      <c r="D3557" s="8">
        <f>IFERROR(__xludf.DUMMYFUNCTION("""COMPUTED_VALUE"""),37.0)</f>
        <v>37</v>
      </c>
      <c r="E3557" s="2"/>
    </row>
    <row r="3558">
      <c r="A3558" s="2"/>
      <c r="B3558" s="8" t="str">
        <f>IFERROR(__xludf.DUMMYFUNCTION("""COMPUTED_VALUE"""),"MUHAMMAD RIVQY IBRA")</f>
        <v>MUHAMMAD RIVQY IBRA</v>
      </c>
      <c r="C3558" s="8" t="str">
        <f>IFERROR(__xludf.DUMMYFUNCTION("""COMPUTED_VALUE"""),"M0326038060")</f>
        <v>M0326038060</v>
      </c>
      <c r="D3558" s="8">
        <f>IFERROR(__xludf.DUMMYFUNCTION("""COMPUTED_VALUE"""),22.0)</f>
        <v>22</v>
      </c>
      <c r="E3558" s="2"/>
    </row>
    <row r="3559">
      <c r="A3559" s="2"/>
      <c r="B3559" s="8" t="str">
        <f>IFERROR(__xludf.DUMMYFUNCTION("""COMPUTED_VALUE"""),"CAHAYA LANGIT DZIKRILLAH MATTAROPURA")</f>
        <v>CAHAYA LANGIT DZIKRILLAH MATTAROPURA</v>
      </c>
      <c r="C3559" s="8" t="str">
        <f>IFERROR(__xludf.DUMMYFUNCTION("""COMPUTED_VALUE"""),"C0826033323")</f>
        <v>C0826033323</v>
      </c>
      <c r="D3559" s="8">
        <f>IFERROR(__xludf.DUMMYFUNCTION("""COMPUTED_VALUE"""),18.0)</f>
        <v>18</v>
      </c>
      <c r="E3559" s="2"/>
    </row>
    <row r="3560">
      <c r="A3560" s="2"/>
      <c r="B3560" s="8" t="str">
        <f>IFERROR(__xludf.DUMMYFUNCTION("""COMPUTED_VALUE"""),"RIKA RAHMAWATI")</f>
        <v>RIKA RAHMAWATI</v>
      </c>
      <c r="C3560" s="8" t="str">
        <f>IFERROR(__xludf.DUMMYFUNCTION("""COMPUTED_VALUE"""),"R9226033048")</f>
        <v>R9226033048</v>
      </c>
      <c r="D3560" s="8">
        <f>IFERROR(__xludf.DUMMYFUNCTION("""COMPUTED_VALUE"""),34.0)</f>
        <v>34</v>
      </c>
      <c r="E3560" s="2"/>
    </row>
    <row r="3561">
      <c r="A3561" s="2"/>
      <c r="B3561" s="8" t="str">
        <f>IFERROR(__xludf.DUMMYFUNCTION("""COMPUTED_VALUE"""),"ANNE YURIKA MAULUDDIN")</f>
        <v>ANNE YURIKA MAULUDDIN</v>
      </c>
      <c r="C3561" s="8" t="str">
        <f>IFERROR(__xludf.DUMMYFUNCTION("""COMPUTED_VALUE"""),"A9326037674")</f>
        <v>A9326037674</v>
      </c>
      <c r="D3561" s="8">
        <f>IFERROR(__xludf.DUMMYFUNCTION("""COMPUTED_VALUE"""),33.0)</f>
        <v>33</v>
      </c>
      <c r="E3561" s="2"/>
    </row>
    <row r="3562">
      <c r="A3562" s="2"/>
      <c r="B3562" s="8" t="str">
        <f>IFERROR(__xludf.DUMMYFUNCTION("""COMPUTED_VALUE"""),"NICKY")</f>
        <v>NICKY</v>
      </c>
      <c r="C3562" s="8" t="str">
        <f>IFERROR(__xludf.DUMMYFUNCTION("""COMPUTED_VALUE"""),"N9026035828")</f>
        <v>N9026035828</v>
      </c>
      <c r="D3562" s="8">
        <f>IFERROR(__xludf.DUMMYFUNCTION("""COMPUTED_VALUE"""),35.0)</f>
        <v>35</v>
      </c>
      <c r="E3562" s="2"/>
    </row>
    <row r="3563">
      <c r="A3563" s="2"/>
      <c r="B3563" s="8" t="str">
        <f>IFERROR(__xludf.DUMMYFUNCTION("""COMPUTED_VALUE"""),"FARADILLA")</f>
        <v>FARADILLA</v>
      </c>
      <c r="C3563" s="8" t="str">
        <f>IFERROR(__xludf.DUMMYFUNCTION("""COMPUTED_VALUE"""),"F9026031920")</f>
        <v>F9026031920</v>
      </c>
      <c r="D3563" s="8">
        <f>IFERROR(__xludf.DUMMYFUNCTION("""COMPUTED_VALUE"""),36.0)</f>
        <v>36</v>
      </c>
      <c r="E3563" s="2"/>
    </row>
    <row r="3564">
      <c r="A3564" s="2"/>
      <c r="B3564" s="8" t="str">
        <f>IFERROR(__xludf.DUMMYFUNCTION("""COMPUTED_VALUE"""),"HAMDIKO CIKAL JULIADI")</f>
        <v>HAMDIKO CIKAL JULIADI</v>
      </c>
      <c r="C3564" s="8" t="str">
        <f>IFERROR(__xludf.DUMMYFUNCTION("""COMPUTED_VALUE"""),"H0126035925")</f>
        <v>H0126035925</v>
      </c>
      <c r="D3564" s="8">
        <f>IFERROR(__xludf.DUMMYFUNCTION("""COMPUTED_VALUE"""),25.0)</f>
        <v>25</v>
      </c>
      <c r="E3564" s="2"/>
    </row>
    <row r="3565">
      <c r="A3565" s="2"/>
      <c r="B3565" s="8" t="str">
        <f>IFERROR(__xludf.DUMMYFUNCTION("""COMPUTED_VALUE"""),"EFFIE SYEKH USMAN")</f>
        <v>EFFIE SYEKH USMAN</v>
      </c>
      <c r="C3565" s="8" t="str">
        <f>IFERROR(__xludf.DUMMYFUNCTION("""COMPUTED_VALUE"""),"E7226037151")</f>
        <v>E7226037151</v>
      </c>
      <c r="D3565" s="8">
        <f>IFERROR(__xludf.DUMMYFUNCTION("""COMPUTED_VALUE"""),53.0)</f>
        <v>53</v>
      </c>
      <c r="E3565" s="2"/>
    </row>
    <row r="3566">
      <c r="A3566" s="2"/>
      <c r="B3566" s="8" t="str">
        <f>IFERROR(__xludf.DUMMYFUNCTION("""COMPUTED_VALUE"""),"ANDRIA RAMA YANA")</f>
        <v>ANDRIA RAMA YANA</v>
      </c>
      <c r="C3566" s="8" t="str">
        <f>IFERROR(__xludf.DUMMYFUNCTION("""COMPUTED_VALUE"""),"A9926038293")</f>
        <v>A9926038293</v>
      </c>
      <c r="D3566" s="8">
        <f>IFERROR(__xludf.DUMMYFUNCTION("""COMPUTED_VALUE"""),26.0)</f>
        <v>26</v>
      </c>
      <c r="E3566" s="2"/>
    </row>
    <row r="3567">
      <c r="A3567" s="2"/>
      <c r="B3567" s="8" t="str">
        <f>IFERROR(__xludf.DUMMYFUNCTION("""COMPUTED_VALUE"""),"STEVANI DHARMA YANTI")</f>
        <v>STEVANI DHARMA YANTI</v>
      </c>
      <c r="C3567" s="8" t="str">
        <f>IFERROR(__xludf.DUMMYFUNCTION("""COMPUTED_VALUE"""),"S9626030247")</f>
        <v>S9626030247</v>
      </c>
      <c r="D3567" s="8">
        <f>IFERROR(__xludf.DUMMYFUNCTION("""COMPUTED_VALUE"""),29.0)</f>
        <v>29</v>
      </c>
      <c r="E3567" s="2"/>
    </row>
    <row r="3568">
      <c r="A3568" s="2"/>
      <c r="B3568" s="8" t="str">
        <f>IFERROR(__xludf.DUMMYFUNCTION("""COMPUTED_VALUE"""),"HJ SUGIARTI")</f>
        <v>HJ SUGIARTI</v>
      </c>
      <c r="C3568" s="8" t="str">
        <f>IFERROR(__xludf.DUMMYFUNCTION("""COMPUTED_VALUE"""),"H7026037366")</f>
        <v>H7026037366</v>
      </c>
      <c r="D3568" s="8">
        <f>IFERROR(__xludf.DUMMYFUNCTION("""COMPUTED_VALUE"""),56.0)</f>
        <v>56</v>
      </c>
      <c r="E3568" s="2"/>
    </row>
    <row r="3569">
      <c r="A3569" s="2"/>
      <c r="B3569" s="8" t="str">
        <f>IFERROR(__xludf.DUMMYFUNCTION("""COMPUTED_VALUE"""),"MARIANA")</f>
        <v>MARIANA</v>
      </c>
      <c r="C3569" s="8" t="str">
        <f>IFERROR(__xludf.DUMMYFUNCTION("""COMPUTED_VALUE"""),"M8526032638")</f>
        <v>M8526032638</v>
      </c>
      <c r="D3569" s="8">
        <f>IFERROR(__xludf.DUMMYFUNCTION("""COMPUTED_VALUE"""),41.0)</f>
        <v>41</v>
      </c>
      <c r="E3569" s="2"/>
    </row>
    <row r="3570">
      <c r="A3570" s="2"/>
      <c r="B3570" s="8" t="str">
        <f>IFERROR(__xludf.DUMMYFUNCTION("""COMPUTED_VALUE"""),"MUZAHIM SUFYAN ATS TSAURI ")</f>
        <v>MUZAHIM SUFYAN ATS TSAURI </v>
      </c>
      <c r="C3570" s="8" t="str">
        <f>IFERROR(__xludf.DUMMYFUNCTION("""COMPUTED_VALUE"""),"M1926031714")</f>
        <v>M1926031714</v>
      </c>
      <c r="D3570" s="8">
        <f>IFERROR(__xludf.DUMMYFUNCTION("""COMPUTED_VALUE"""),6.0)</f>
        <v>6</v>
      </c>
      <c r="E3570" s="2"/>
    </row>
    <row r="3571">
      <c r="A3571" s="2"/>
      <c r="B3571" s="8" t="str">
        <f>IFERROR(__xludf.DUMMYFUNCTION("""COMPUTED_VALUE"""),"RIDHO ")</f>
        <v>RIDHO </v>
      </c>
      <c r="C3571" s="8" t="str">
        <f>IFERROR(__xludf.DUMMYFUNCTION("""COMPUTED_VALUE"""),"R0026032342")</f>
        <v>R0026032342</v>
      </c>
      <c r="D3571" s="8">
        <f>IFERROR(__xludf.DUMMYFUNCTION("""COMPUTED_VALUE"""),25.0)</f>
        <v>25</v>
      </c>
      <c r="E3571" s="2"/>
    </row>
    <row r="3572">
      <c r="A3572" s="2"/>
      <c r="B3572" s="8" t="str">
        <f>IFERROR(__xludf.DUMMYFUNCTION("""COMPUTED_VALUE"""),"RUDY TAN SIAU KHIE")</f>
        <v>RUDY TAN SIAU KHIE</v>
      </c>
      <c r="C3572" s="8" t="str">
        <f>IFERROR(__xludf.DUMMYFUNCTION("""COMPUTED_VALUE"""),"R8126039180")</f>
        <v>R8126039180</v>
      </c>
      <c r="D3572" s="8">
        <f>IFERROR(__xludf.DUMMYFUNCTION("""COMPUTED_VALUE"""),45.0)</f>
        <v>45</v>
      </c>
      <c r="E3572" s="2"/>
    </row>
    <row r="3573">
      <c r="A3573" s="2"/>
      <c r="B3573" s="8" t="str">
        <f>IFERROR(__xludf.DUMMYFUNCTION("""COMPUTED_VALUE"""),"IRENE PRETTY PARDEDE")</f>
        <v>IRENE PRETTY PARDEDE</v>
      </c>
      <c r="C3573" s="8" t="str">
        <f>IFERROR(__xludf.DUMMYFUNCTION("""COMPUTED_VALUE"""),"I0126033204")</f>
        <v>I0126033204</v>
      </c>
      <c r="D3573" s="8">
        <f>IFERROR(__xludf.DUMMYFUNCTION("""COMPUTED_VALUE"""),25.0)</f>
        <v>25</v>
      </c>
      <c r="E3573" s="2"/>
    </row>
    <row r="3574">
      <c r="A3574" s="2"/>
      <c r="B3574" s="8" t="str">
        <f>IFERROR(__xludf.DUMMYFUNCTION("""COMPUTED_VALUE"""),"ERSAPTA ARISTO")</f>
        <v>ERSAPTA ARISTO</v>
      </c>
      <c r="C3574" s="8" t="str">
        <f>IFERROR(__xludf.DUMMYFUNCTION("""COMPUTED_VALUE"""),"E9726033405")</f>
        <v>E9726033405</v>
      </c>
      <c r="D3574" s="8">
        <f>IFERROR(__xludf.DUMMYFUNCTION("""COMPUTED_VALUE"""),29.0)</f>
        <v>29</v>
      </c>
      <c r="E3574" s="2"/>
    </row>
    <row r="3575">
      <c r="A3575" s="2"/>
      <c r="B3575" s="8" t="str">
        <f>IFERROR(__xludf.DUMMYFUNCTION("""COMPUTED_VALUE"""),"ZURAIDAH")</f>
        <v>ZURAIDAH</v>
      </c>
      <c r="C3575" s="8" t="str">
        <f>IFERROR(__xludf.DUMMYFUNCTION("""COMPUTED_VALUE"""),"Z6626039747")</f>
        <v>Z6626039747</v>
      </c>
      <c r="D3575" s="8">
        <f>IFERROR(__xludf.DUMMYFUNCTION("""COMPUTED_VALUE"""),59.0)</f>
        <v>59</v>
      </c>
      <c r="E3575" s="2"/>
    </row>
    <row r="3576">
      <c r="A3576" s="2"/>
      <c r="B3576" s="8" t="str">
        <f>IFERROR(__xludf.DUMMYFUNCTION("""COMPUTED_VALUE"""),"DARWIN SUDARMA")</f>
        <v>DARWIN SUDARMA</v>
      </c>
      <c r="C3576" s="8" t="str">
        <f>IFERROR(__xludf.DUMMYFUNCTION("""COMPUTED_VALUE"""),"D8526036369")</f>
        <v>D8526036369</v>
      </c>
      <c r="D3576" s="8">
        <f>IFERROR(__xludf.DUMMYFUNCTION("""COMPUTED_VALUE"""),41.0)</f>
        <v>41</v>
      </c>
      <c r="E3576" s="2"/>
    </row>
    <row r="3577">
      <c r="A3577" s="2"/>
      <c r="B3577" s="8" t="str">
        <f>IFERROR(__xludf.DUMMYFUNCTION("""COMPUTED_VALUE"""),"RAFIF DHAYYAFA AZATHY")</f>
        <v>RAFIF DHAYYAFA AZATHY</v>
      </c>
      <c r="C3577" s="8" t="str">
        <f>IFERROR(__xludf.DUMMYFUNCTION("""COMPUTED_VALUE"""),"R1026035440")</f>
        <v>R1026035440</v>
      </c>
      <c r="D3577" s="8">
        <f>IFERROR(__xludf.DUMMYFUNCTION("""COMPUTED_VALUE"""),16.0)</f>
        <v>16</v>
      </c>
      <c r="E3577" s="2"/>
    </row>
    <row r="3578">
      <c r="A3578" s="2"/>
      <c r="B3578" s="8" t="str">
        <f>IFERROR(__xludf.DUMMYFUNCTION("""COMPUTED_VALUE"""),"NOVITA SARI")</f>
        <v>NOVITA SARI</v>
      </c>
      <c r="C3578" s="8" t="str">
        <f>IFERROR(__xludf.DUMMYFUNCTION("""COMPUTED_VALUE"""),"N8126039096")</f>
        <v>N8126039096</v>
      </c>
      <c r="D3578" s="8">
        <f>IFERROR(__xludf.DUMMYFUNCTION("""COMPUTED_VALUE"""),44.0)</f>
        <v>44</v>
      </c>
      <c r="E3578" s="2"/>
    </row>
    <row r="3579">
      <c r="A3579" s="2"/>
      <c r="B3579" s="8" t="str">
        <f>IFERROR(__xludf.DUMMYFUNCTION("""COMPUTED_VALUE"""),"ADIB MIFTAHUL AHYAR")</f>
        <v>ADIB MIFTAHUL AHYAR</v>
      </c>
      <c r="C3579" s="8" t="str">
        <f>IFERROR(__xludf.DUMMYFUNCTION("""COMPUTED_VALUE"""),"A0026034794")</f>
        <v>A0026034794</v>
      </c>
      <c r="D3579" s="8">
        <f>IFERROR(__xludf.DUMMYFUNCTION("""COMPUTED_VALUE"""),26.0)</f>
        <v>26</v>
      </c>
      <c r="E3579" s="2"/>
    </row>
    <row r="3580">
      <c r="A3580" s="2"/>
      <c r="B3580" s="8" t="str">
        <f>IFERROR(__xludf.DUMMYFUNCTION("""COMPUTED_VALUE"""),"LIM TJIE KIANG")</f>
        <v>LIM TJIE KIANG</v>
      </c>
      <c r="C3580" s="8" t="str">
        <f>IFERROR(__xludf.DUMMYFUNCTION("""COMPUTED_VALUE"""),"L6126030016")</f>
        <v>L6126030016</v>
      </c>
      <c r="D3580" s="8">
        <f>IFERROR(__xludf.DUMMYFUNCTION("""COMPUTED_VALUE"""),64.0)</f>
        <v>64</v>
      </c>
      <c r="E3580" s="2"/>
    </row>
    <row r="3581">
      <c r="A3581" s="2"/>
      <c r="B3581" s="8" t="str">
        <f>IFERROR(__xludf.DUMMYFUNCTION("""COMPUTED_VALUE"""),"SRIYANTI ")</f>
        <v>SRIYANTI </v>
      </c>
      <c r="C3581" s="8" t="str">
        <f>IFERROR(__xludf.DUMMYFUNCTION("""COMPUTED_VALUE"""),"S8026038889")</f>
        <v>S8026038889</v>
      </c>
      <c r="D3581" s="8">
        <f>IFERROR(__xludf.DUMMYFUNCTION("""COMPUTED_VALUE"""),45.0)</f>
        <v>45</v>
      </c>
      <c r="E3581" s="2"/>
    </row>
    <row r="3582">
      <c r="A3582" s="2"/>
      <c r="B3582" s="8" t="str">
        <f>IFERROR(__xludf.DUMMYFUNCTION("""COMPUTED_VALUE"""),"YUDIT NOVANDI")</f>
        <v>YUDIT NOVANDI</v>
      </c>
      <c r="C3582" s="8" t="str">
        <f>IFERROR(__xludf.DUMMYFUNCTION("""COMPUTED_VALUE"""),"Y0026037235")</f>
        <v>Y0026037235</v>
      </c>
      <c r="D3582" s="8">
        <f>IFERROR(__xludf.DUMMYFUNCTION("""COMPUTED_VALUE"""),25.0)</f>
        <v>25</v>
      </c>
      <c r="E3582" s="2"/>
    </row>
    <row r="3583">
      <c r="A3583" s="2"/>
      <c r="B3583" s="8" t="str">
        <f>IFERROR(__xludf.DUMMYFUNCTION("""COMPUTED_VALUE"""),"RINDRI FEBY UMTAI")</f>
        <v>RINDRI FEBY UMTAI</v>
      </c>
      <c r="C3583" s="8" t="str">
        <f>IFERROR(__xludf.DUMMYFUNCTION("""COMPUTED_VALUE"""),"R9726033177")</f>
        <v>R9726033177</v>
      </c>
      <c r="D3583" s="8">
        <f>IFERROR(__xludf.DUMMYFUNCTION("""COMPUTED_VALUE"""),29.0)</f>
        <v>29</v>
      </c>
      <c r="E3583" s="2"/>
    </row>
    <row r="3584">
      <c r="A3584" s="2"/>
      <c r="B3584" s="8" t="str">
        <f>IFERROR(__xludf.DUMMYFUNCTION("""COMPUTED_VALUE"""),"MUSYARADA JUNIA CANDRA ")</f>
        <v>MUSYARADA JUNIA CANDRA </v>
      </c>
      <c r="C3584" s="8" t="str">
        <f>IFERROR(__xludf.DUMMYFUNCTION("""COMPUTED_VALUE"""),"M9526036778")</f>
        <v>M9526036778</v>
      </c>
      <c r="D3584" s="8">
        <f>IFERROR(__xludf.DUMMYFUNCTION("""COMPUTED_VALUE"""),31.0)</f>
        <v>31</v>
      </c>
      <c r="E3584" s="2"/>
    </row>
    <row r="3585">
      <c r="A3585" s="2"/>
      <c r="B3585" s="8" t="str">
        <f>IFERROR(__xludf.DUMMYFUNCTION("""COMPUTED_VALUE"""),"SUPARTI")</f>
        <v>SUPARTI</v>
      </c>
      <c r="C3585" s="8" t="str">
        <f>IFERROR(__xludf.DUMMYFUNCTION("""COMPUTED_VALUE"""),"S5426033895")</f>
        <v>S5426033895</v>
      </c>
      <c r="D3585" s="8">
        <f>IFERROR(__xludf.DUMMYFUNCTION("""COMPUTED_VALUE"""),72.0)</f>
        <v>72</v>
      </c>
      <c r="E3585" s="2"/>
    </row>
    <row r="3586">
      <c r="A3586" s="2"/>
      <c r="B3586" s="8" t="str">
        <f>IFERROR(__xludf.DUMMYFUNCTION("""COMPUTED_VALUE"""),"PUJI LESTARI DWI HANDAYANI")</f>
        <v>PUJI LESTARI DWI HANDAYANI</v>
      </c>
      <c r="C3586" s="8" t="str">
        <f>IFERROR(__xludf.DUMMYFUNCTION("""COMPUTED_VALUE"""),"P9226035207")</f>
        <v>P9226035207</v>
      </c>
      <c r="D3586" s="8">
        <f>IFERROR(__xludf.DUMMYFUNCTION("""COMPUTED_VALUE"""),33.0)</f>
        <v>33</v>
      </c>
      <c r="E3586" s="2"/>
    </row>
    <row r="3587">
      <c r="A3587" s="2"/>
      <c r="B3587" s="8" t="str">
        <f>IFERROR(__xludf.DUMMYFUNCTION("""COMPUTED_VALUE"""),"AULIA NAZWA AZZIKRA ")</f>
        <v>AULIA NAZWA AZZIKRA </v>
      </c>
      <c r="C3587" s="8" t="str">
        <f>IFERROR(__xludf.DUMMYFUNCTION("""COMPUTED_VALUE"""),"A1626032188")</f>
        <v>A1626032188</v>
      </c>
      <c r="D3587" s="8">
        <f>IFERROR(__xludf.DUMMYFUNCTION("""COMPUTED_VALUE"""),10.0)</f>
        <v>10</v>
      </c>
      <c r="E3587" s="2"/>
    </row>
    <row r="3588">
      <c r="A3588" s="2"/>
      <c r="B3588" s="8" t="str">
        <f>IFERROR(__xludf.DUMMYFUNCTION("""COMPUTED_VALUE"""),"AUZAIE MUHTADI")</f>
        <v>AUZAIE MUHTADI</v>
      </c>
      <c r="C3588" s="8" t="str">
        <f>IFERROR(__xludf.DUMMYFUNCTION("""COMPUTED_VALUE"""),"A5126037073")</f>
        <v>A5126037073</v>
      </c>
      <c r="D3588" s="8">
        <f>IFERROR(__xludf.DUMMYFUNCTION("""COMPUTED_VALUE"""),75.0)</f>
        <v>75</v>
      </c>
      <c r="E3588" s="2"/>
    </row>
    <row r="3589">
      <c r="A3589" s="2"/>
      <c r="B3589" s="8" t="str">
        <f>IFERROR(__xludf.DUMMYFUNCTION("""COMPUTED_VALUE"""),"NINA YUNIARTI")</f>
        <v>NINA YUNIARTI</v>
      </c>
      <c r="C3589" s="8" t="str">
        <f>IFERROR(__xludf.DUMMYFUNCTION("""COMPUTED_VALUE"""),"N8126039788")</f>
        <v>N8126039788</v>
      </c>
      <c r="D3589" s="8">
        <f>IFERROR(__xludf.DUMMYFUNCTION("""COMPUTED_VALUE"""),45.0)</f>
        <v>45</v>
      </c>
      <c r="E3589" s="2"/>
    </row>
    <row r="3590">
      <c r="A3590" s="2"/>
      <c r="B3590" s="8" t="str">
        <f>IFERROR(__xludf.DUMMYFUNCTION("""COMPUTED_VALUE"""),"BONG TJUI HA")</f>
        <v>BONG TJUI HA</v>
      </c>
      <c r="C3590" s="8" t="str">
        <f>IFERROR(__xludf.DUMMYFUNCTION("""COMPUTED_VALUE"""),"B4426034685")</f>
        <v>B4426034685</v>
      </c>
      <c r="D3590" s="8">
        <f>IFERROR(__xludf.DUMMYFUNCTION("""COMPUTED_VALUE"""),81.0)</f>
        <v>81</v>
      </c>
      <c r="E3590" s="2"/>
    </row>
    <row r="3591">
      <c r="A3591" s="2"/>
      <c r="B3591" s="8" t="str">
        <f>IFERROR(__xludf.DUMMYFUNCTION("""COMPUTED_VALUE"""),"VICO")</f>
        <v>VICO</v>
      </c>
      <c r="C3591" s="8" t="str">
        <f>IFERROR(__xludf.DUMMYFUNCTION("""COMPUTED_VALUE"""),"V0226032578")</f>
        <v>V0226032578</v>
      </c>
      <c r="D3591" s="8">
        <f>IFERROR(__xludf.DUMMYFUNCTION("""COMPUTED_VALUE"""),24.0)</f>
        <v>24</v>
      </c>
      <c r="E3591" s="2"/>
    </row>
    <row r="3592">
      <c r="A3592" s="2"/>
      <c r="B3592" s="8" t="str">
        <f>IFERROR(__xludf.DUMMYFUNCTION("""COMPUTED_VALUE"""),"SATRIA AMARTA")</f>
        <v>SATRIA AMARTA</v>
      </c>
      <c r="C3592" s="8" t="str">
        <f>IFERROR(__xludf.DUMMYFUNCTION("""COMPUTED_VALUE"""),"S0326034144")</f>
        <v>S0326034144</v>
      </c>
      <c r="D3592" s="8">
        <f>IFERROR(__xludf.DUMMYFUNCTION("""COMPUTED_VALUE"""),23.0)</f>
        <v>23</v>
      </c>
      <c r="E3592" s="2"/>
    </row>
    <row r="3593">
      <c r="A3593" s="2"/>
      <c r="B3593" s="8" t="str">
        <f>IFERROR(__xludf.DUMMYFUNCTION("""COMPUTED_VALUE"""),"THE KWANG LENG")</f>
        <v>THE KWANG LENG</v>
      </c>
      <c r="C3593" s="8" t="str">
        <f>IFERROR(__xludf.DUMMYFUNCTION("""COMPUTED_VALUE"""),"T7326037879")</f>
        <v>T7326037879</v>
      </c>
      <c r="D3593" s="8">
        <f>IFERROR(__xludf.DUMMYFUNCTION("""COMPUTED_VALUE"""),53.0)</f>
        <v>53</v>
      </c>
      <c r="E3593" s="2"/>
    </row>
    <row r="3594">
      <c r="A3594" s="2"/>
      <c r="B3594" s="8" t="str">
        <f>IFERROR(__xludf.DUMMYFUNCTION("""COMPUTED_VALUE"""),"ABYAN ODHY DZAKWAN")</f>
        <v>ABYAN ODHY DZAKWAN</v>
      </c>
      <c r="C3594" s="8" t="str">
        <f>IFERROR(__xludf.DUMMYFUNCTION("""COMPUTED_VALUE"""),"A9826032419")</f>
        <v>A9826032419</v>
      </c>
      <c r="D3594" s="8">
        <f>IFERROR(__xludf.DUMMYFUNCTION("""COMPUTED_VALUE"""),28.0)</f>
        <v>28</v>
      </c>
      <c r="E3594" s="2"/>
    </row>
    <row r="3595">
      <c r="A3595" s="2"/>
      <c r="B3595" s="8" t="str">
        <f>IFERROR(__xludf.DUMMYFUNCTION("""COMPUTED_VALUE"""),"SHANDY")</f>
        <v>SHANDY</v>
      </c>
      <c r="C3595" s="8" t="str">
        <f>IFERROR(__xludf.DUMMYFUNCTION("""COMPUTED_VALUE"""),"S9026033902")</f>
        <v>S9026033902</v>
      </c>
      <c r="D3595" s="8">
        <f>IFERROR(__xludf.DUMMYFUNCTION("""COMPUTED_VALUE"""),36.0)</f>
        <v>36</v>
      </c>
      <c r="E3595" s="2"/>
    </row>
    <row r="3596">
      <c r="A3596" s="2"/>
      <c r="B3596" s="8" t="str">
        <f>IFERROR(__xludf.DUMMYFUNCTION("""COMPUTED_VALUE"""),"FENNA")</f>
        <v>FENNA</v>
      </c>
      <c r="C3596" s="8" t="str">
        <f>IFERROR(__xludf.DUMMYFUNCTION("""COMPUTED_VALUE"""),"F9526037672")</f>
        <v>F9526037672</v>
      </c>
      <c r="D3596" s="8">
        <f>IFERROR(__xludf.DUMMYFUNCTION("""COMPUTED_VALUE"""),30.0)</f>
        <v>30</v>
      </c>
      <c r="E3596" s="2"/>
    </row>
    <row r="3597">
      <c r="A3597" s="2"/>
      <c r="B3597" s="8" t="str">
        <f>IFERROR(__xludf.DUMMYFUNCTION("""COMPUTED_VALUE"""),"MONICA CHRISTY")</f>
        <v>MONICA CHRISTY</v>
      </c>
      <c r="C3597" s="8" t="str">
        <f>IFERROR(__xludf.DUMMYFUNCTION("""COMPUTED_VALUE"""),"M0126038535")</f>
        <v>M0126038535</v>
      </c>
      <c r="D3597" s="8">
        <f>IFERROR(__xludf.DUMMYFUNCTION("""COMPUTED_VALUE"""),24.0)</f>
        <v>24</v>
      </c>
      <c r="E3597" s="2"/>
    </row>
    <row r="3598">
      <c r="A3598" s="2"/>
      <c r="B3598" s="8" t="str">
        <f>IFERROR(__xludf.DUMMYFUNCTION("""COMPUTED_VALUE"""),"FATHIMATHUZ ZAHRAH ")</f>
        <v>FATHIMATHUZ ZAHRAH </v>
      </c>
      <c r="C3598" s="8" t="str">
        <f>IFERROR(__xludf.DUMMYFUNCTION("""COMPUTED_VALUE"""),"F9226031770")</f>
        <v>F9226031770</v>
      </c>
      <c r="D3598" s="8">
        <f>IFERROR(__xludf.DUMMYFUNCTION("""COMPUTED_VALUE"""),34.0)</f>
        <v>34</v>
      </c>
      <c r="E3598" s="2"/>
    </row>
    <row r="3599">
      <c r="A3599" s="2"/>
      <c r="B3599" s="8" t="str">
        <f>IFERROR(__xludf.DUMMYFUNCTION("""COMPUTED_VALUE"""),"PAULA AMINAH")</f>
        <v>PAULA AMINAH</v>
      </c>
      <c r="C3599" s="8" t="str">
        <f>IFERROR(__xludf.DUMMYFUNCTION("""COMPUTED_VALUE"""),"P7926031864")</f>
        <v>P7926031864</v>
      </c>
      <c r="D3599" s="8">
        <f>IFERROR(__xludf.DUMMYFUNCTION("""COMPUTED_VALUE"""),46.0)</f>
        <v>46</v>
      </c>
      <c r="E3599" s="2"/>
    </row>
    <row r="3600">
      <c r="A3600" s="2"/>
      <c r="B3600" s="8" t="str">
        <f>IFERROR(__xludf.DUMMYFUNCTION("""COMPUTED_VALUE"""),"DZULFIKRI RIZQULLAH")</f>
        <v>DZULFIKRI RIZQULLAH</v>
      </c>
      <c r="C3600" s="8" t="str">
        <f>IFERROR(__xludf.DUMMYFUNCTION("""COMPUTED_VALUE"""),"D0226036775")</f>
        <v>D0226036775</v>
      </c>
      <c r="D3600" s="8">
        <f>IFERROR(__xludf.DUMMYFUNCTION("""COMPUTED_VALUE"""),23.0)</f>
        <v>23</v>
      </c>
      <c r="E3600" s="2"/>
    </row>
    <row r="3601">
      <c r="A3601" s="2"/>
      <c r="B3601" s="8" t="str">
        <f>IFERROR(__xludf.DUMMYFUNCTION("""COMPUTED_VALUE"""),"TYAN MIRANI")</f>
        <v>TYAN MIRANI</v>
      </c>
      <c r="C3601" s="8" t="str">
        <f>IFERROR(__xludf.DUMMYFUNCTION("""COMPUTED_VALUE"""),"T9226031551")</f>
        <v>T9226031551</v>
      </c>
      <c r="D3601" s="8">
        <f>IFERROR(__xludf.DUMMYFUNCTION("""COMPUTED_VALUE"""),34.0)</f>
        <v>34</v>
      </c>
      <c r="E3601" s="2"/>
    </row>
    <row r="3602">
      <c r="A3602" s="2"/>
      <c r="B3602" s="8" t="str">
        <f>IFERROR(__xludf.DUMMYFUNCTION("""COMPUTED_VALUE"""),"JONATHAN NG")</f>
        <v>JONATHAN NG</v>
      </c>
      <c r="C3602" s="8" t="str">
        <f>IFERROR(__xludf.DUMMYFUNCTION("""COMPUTED_VALUE"""),"J0026035553")</f>
        <v>J0026035553</v>
      </c>
      <c r="D3602" s="8">
        <f>IFERROR(__xludf.DUMMYFUNCTION("""COMPUTED_VALUE"""),26.0)</f>
        <v>26</v>
      </c>
      <c r="E3602" s="2"/>
    </row>
    <row r="3603">
      <c r="A3603" s="2"/>
      <c r="B3603" s="8" t="str">
        <f>IFERROR(__xludf.DUMMYFUNCTION("""COMPUTED_VALUE"""),"INTAN PRATIWI KHAIRUNNISA")</f>
        <v>INTAN PRATIWI KHAIRUNNISA</v>
      </c>
      <c r="C3603" s="8" t="str">
        <f>IFERROR(__xludf.DUMMYFUNCTION("""COMPUTED_VALUE"""),"I9926038333")</f>
        <v>I9926038333</v>
      </c>
      <c r="D3603" s="8">
        <f>IFERROR(__xludf.DUMMYFUNCTION("""COMPUTED_VALUE"""),26.0)</f>
        <v>26</v>
      </c>
      <c r="E3603" s="2"/>
    </row>
    <row r="3604">
      <c r="A3604" s="2"/>
      <c r="B3604" s="8" t="str">
        <f>IFERROR(__xludf.DUMMYFUNCTION("""COMPUTED_VALUE"""),"AYU KOMALASARI ")</f>
        <v>AYU KOMALASARI </v>
      </c>
      <c r="C3604" s="8" t="str">
        <f>IFERROR(__xludf.DUMMYFUNCTION("""COMPUTED_VALUE"""),"A9926034269")</f>
        <v>A9926034269</v>
      </c>
      <c r="D3604" s="8">
        <f>IFERROR(__xludf.DUMMYFUNCTION("""COMPUTED_VALUE"""),27.0)</f>
        <v>27</v>
      </c>
      <c r="E3604" s="2"/>
    </row>
    <row r="3605">
      <c r="A3605" s="2"/>
      <c r="B3605" s="8" t="str">
        <f>IFERROR(__xludf.DUMMYFUNCTION("""COMPUTED_VALUE"""),"EVANDIKA DANADYAKSA")</f>
        <v>EVANDIKA DANADYAKSA</v>
      </c>
      <c r="C3605" s="8" t="str">
        <f>IFERROR(__xludf.DUMMYFUNCTION("""COMPUTED_VALUE"""),"E0926032211")</f>
        <v>E0926032211</v>
      </c>
      <c r="D3605" s="8">
        <f>IFERROR(__xludf.DUMMYFUNCTION("""COMPUTED_VALUE"""),17.0)</f>
        <v>17</v>
      </c>
      <c r="E3605" s="2"/>
    </row>
    <row r="3606">
      <c r="A3606" s="2"/>
      <c r="B3606" s="8" t="str">
        <f>IFERROR(__xludf.DUMMYFUNCTION("""COMPUTED_VALUE"""),"HALIM")</f>
        <v>HALIM</v>
      </c>
      <c r="C3606" s="8" t="str">
        <f>IFERROR(__xludf.DUMMYFUNCTION("""COMPUTED_VALUE"""),"H4926030505")</f>
        <v>H4926030505</v>
      </c>
      <c r="D3606" s="8">
        <f>IFERROR(__xludf.DUMMYFUNCTION("""COMPUTED_VALUE"""),77.0)</f>
        <v>77</v>
      </c>
      <c r="E3606" s="2"/>
    </row>
    <row r="3607">
      <c r="A3607" s="2"/>
      <c r="B3607" s="8" t="str">
        <f>IFERROR(__xludf.DUMMYFUNCTION("""COMPUTED_VALUE"""),"NUFI ALABSHAR")</f>
        <v>NUFI ALABSHAR</v>
      </c>
      <c r="C3607" s="8" t="str">
        <f>IFERROR(__xludf.DUMMYFUNCTION("""COMPUTED_VALUE"""),"N8426038484")</f>
        <v>N8426038484</v>
      </c>
      <c r="D3607" s="8">
        <f>IFERROR(__xludf.DUMMYFUNCTION("""COMPUTED_VALUE"""),42.0)</f>
        <v>42</v>
      </c>
      <c r="E3607" s="2"/>
    </row>
    <row r="3608">
      <c r="A3608" s="2"/>
      <c r="B3608" s="8" t="str">
        <f>IFERROR(__xludf.DUMMYFUNCTION("""COMPUTED_VALUE"""),"RADIHT FIRJAH TULLOH")</f>
        <v>RADIHT FIRJAH TULLOH</v>
      </c>
      <c r="C3608" s="8" t="str">
        <f>IFERROR(__xludf.DUMMYFUNCTION("""COMPUTED_VALUE"""),"R1026030074")</f>
        <v>R1026030074</v>
      </c>
      <c r="D3608" s="8">
        <f>IFERROR(__xludf.DUMMYFUNCTION("""COMPUTED_VALUE"""),15.0)</f>
        <v>15</v>
      </c>
      <c r="E3608" s="2"/>
    </row>
    <row r="3609">
      <c r="A3609" s="2"/>
      <c r="B3609" s="8" t="str">
        <f>IFERROR(__xludf.DUMMYFUNCTION("""COMPUTED_VALUE"""),"MOHAMMAD GAUTAMA WAHYUDI")</f>
        <v>MOHAMMAD GAUTAMA WAHYUDI</v>
      </c>
      <c r="C3609" s="8" t="str">
        <f>IFERROR(__xludf.DUMMYFUNCTION("""COMPUTED_VALUE"""),"M9126033666")</f>
        <v>M9126033666</v>
      </c>
      <c r="D3609" s="8">
        <f>IFERROR(__xludf.DUMMYFUNCTION("""COMPUTED_VALUE"""),34.0)</f>
        <v>34</v>
      </c>
      <c r="E3609" s="2"/>
    </row>
    <row r="3610">
      <c r="A3610" s="2"/>
      <c r="B3610" s="8" t="str">
        <f>IFERROR(__xludf.DUMMYFUNCTION("""COMPUTED_VALUE"""),"NURAINI")</f>
        <v>NURAINI</v>
      </c>
      <c r="C3610" s="8" t="str">
        <f>IFERROR(__xludf.DUMMYFUNCTION("""COMPUTED_VALUE"""),"N6326036753")</f>
        <v>N6326036753</v>
      </c>
      <c r="D3610" s="8">
        <f>IFERROR(__xludf.DUMMYFUNCTION("""COMPUTED_VALUE"""),62.0)</f>
        <v>62</v>
      </c>
      <c r="E3610" s="2"/>
    </row>
    <row r="3611">
      <c r="A3611" s="2"/>
      <c r="B3611" s="8" t="str">
        <f>IFERROR(__xludf.DUMMYFUNCTION("""COMPUTED_VALUE"""),"JIMMY CRYSTIAN")</f>
        <v>JIMMY CRYSTIAN</v>
      </c>
      <c r="C3611" s="8" t="str">
        <f>IFERROR(__xludf.DUMMYFUNCTION("""COMPUTED_VALUE"""),"J7326038855")</f>
        <v>J7326038855</v>
      </c>
      <c r="D3611" s="8">
        <f>IFERROR(__xludf.DUMMYFUNCTION("""COMPUTED_VALUE"""),52.0)</f>
        <v>52</v>
      </c>
      <c r="E3611" s="2"/>
    </row>
    <row r="3612">
      <c r="A3612" s="2"/>
      <c r="B3612" s="8" t="str">
        <f>IFERROR(__xludf.DUMMYFUNCTION("""COMPUTED_VALUE"""),"SANTI")</f>
        <v>SANTI</v>
      </c>
      <c r="C3612" s="8" t="str">
        <f>IFERROR(__xludf.DUMMYFUNCTION("""COMPUTED_VALUE"""),"S9426039408")</f>
        <v>S9426039408</v>
      </c>
      <c r="D3612" s="8">
        <f>IFERROR(__xludf.DUMMYFUNCTION("""COMPUTED_VALUE"""),32.0)</f>
        <v>32</v>
      </c>
      <c r="E3612" s="2"/>
    </row>
    <row r="3613">
      <c r="A3613" s="2"/>
      <c r="B3613" s="8" t="str">
        <f>IFERROR(__xludf.DUMMYFUNCTION("""COMPUTED_VALUE"""),"DESY CHRISTIAN")</f>
        <v>DESY CHRISTIAN</v>
      </c>
      <c r="C3613" s="8" t="str">
        <f>IFERROR(__xludf.DUMMYFUNCTION("""COMPUTED_VALUE"""),"D8826034822")</f>
        <v>D8826034822</v>
      </c>
      <c r="D3613" s="8">
        <f>IFERROR(__xludf.DUMMYFUNCTION("""COMPUTED_VALUE"""),37.0)</f>
        <v>37</v>
      </c>
      <c r="E3613" s="2"/>
    </row>
    <row r="3614">
      <c r="A3614" s="2"/>
      <c r="B3614" s="8" t="str">
        <f>IFERROR(__xludf.DUMMYFUNCTION("""COMPUTED_VALUE"""),"HENDRI SUGIANTO")</f>
        <v>HENDRI SUGIANTO</v>
      </c>
      <c r="C3614" s="8" t="str">
        <f>IFERROR(__xludf.DUMMYFUNCTION("""COMPUTED_VALUE"""),"H9526032927")</f>
        <v>H9526032927</v>
      </c>
      <c r="D3614" s="8">
        <f>IFERROR(__xludf.DUMMYFUNCTION("""COMPUTED_VALUE"""),30.0)</f>
        <v>30</v>
      </c>
      <c r="E3614" s="2"/>
    </row>
    <row r="3615">
      <c r="A3615" s="2"/>
      <c r="B3615" s="8" t="str">
        <f>IFERROR(__xludf.DUMMYFUNCTION("""COMPUTED_VALUE"""),"MULYATI")</f>
        <v>MULYATI</v>
      </c>
      <c r="C3615" s="8" t="str">
        <f>IFERROR(__xludf.DUMMYFUNCTION("""COMPUTED_VALUE"""),"M7726037831")</f>
        <v>M7726037831</v>
      </c>
      <c r="D3615" s="8">
        <f>IFERROR(__xludf.DUMMYFUNCTION("""COMPUTED_VALUE"""),48.0)</f>
        <v>48</v>
      </c>
      <c r="E3615" s="2"/>
    </row>
    <row r="3616">
      <c r="A3616" s="2"/>
      <c r="B3616" s="8" t="str">
        <f>IFERROR(__xludf.DUMMYFUNCTION("""COMPUTED_VALUE"""),"TJAI DJU")</f>
        <v>TJAI DJU</v>
      </c>
      <c r="C3616" s="8" t="str">
        <f>IFERROR(__xludf.DUMMYFUNCTION("""COMPUTED_VALUE"""),"T6126033888")</f>
        <v>T6126033888</v>
      </c>
      <c r="D3616" s="8">
        <f>IFERROR(__xludf.DUMMYFUNCTION("""COMPUTED_VALUE"""),65.0)</f>
        <v>65</v>
      </c>
      <c r="E3616" s="2"/>
    </row>
    <row r="3617">
      <c r="A3617" s="2"/>
      <c r="B3617" s="8" t="str">
        <f>IFERROR(__xludf.DUMMYFUNCTION("""COMPUTED_VALUE"""),"KLEVIN")</f>
        <v>KLEVIN</v>
      </c>
      <c r="C3617" s="8" t="str">
        <f>IFERROR(__xludf.DUMMYFUNCTION("""COMPUTED_VALUE"""),"K0426031206")</f>
        <v>K0426031206</v>
      </c>
      <c r="D3617" s="8">
        <f>IFERROR(__xludf.DUMMYFUNCTION("""COMPUTED_VALUE"""),22.0)</f>
        <v>22</v>
      </c>
      <c r="E3617" s="2"/>
    </row>
    <row r="3618">
      <c r="A3618" s="2"/>
      <c r="B3618" s="8" t="str">
        <f>IFERROR(__xludf.DUMMYFUNCTION("""COMPUTED_VALUE"""),"MERIANTO")</f>
        <v>MERIANTO</v>
      </c>
      <c r="C3618" s="8" t="str">
        <f>IFERROR(__xludf.DUMMYFUNCTION("""COMPUTED_VALUE"""),"M9626037177")</f>
        <v>M9626037177</v>
      </c>
      <c r="D3618" s="8">
        <f>IFERROR(__xludf.DUMMYFUNCTION("""COMPUTED_VALUE"""),29.0)</f>
        <v>29</v>
      </c>
      <c r="E3618" s="2"/>
    </row>
    <row r="3619">
      <c r="A3619" s="2"/>
      <c r="B3619" s="8" t="str">
        <f>IFERROR(__xludf.DUMMYFUNCTION("""COMPUTED_VALUE"""),"AGUS SILVIANDY ")</f>
        <v>AGUS SILVIANDY </v>
      </c>
      <c r="C3619" s="8" t="str">
        <f>IFERROR(__xludf.DUMMYFUNCTION("""COMPUTED_VALUE"""),"A7426037755")</f>
        <v>A7426037755</v>
      </c>
      <c r="D3619" s="8">
        <f>IFERROR(__xludf.DUMMYFUNCTION("""COMPUTED_VALUE"""),51.0)</f>
        <v>51</v>
      </c>
      <c r="E3619" s="2"/>
    </row>
    <row r="3620">
      <c r="A3620" s="2"/>
      <c r="B3620" s="8" t="str">
        <f>IFERROR(__xludf.DUMMYFUNCTION("""COMPUTED_VALUE"""),"SUJARWO")</f>
        <v>SUJARWO</v>
      </c>
      <c r="C3620" s="8" t="str">
        <f>IFERROR(__xludf.DUMMYFUNCTION("""COMPUTED_VALUE"""),"S7326031301")</f>
        <v>S7326031301</v>
      </c>
      <c r="D3620" s="8">
        <f>IFERROR(__xludf.DUMMYFUNCTION("""COMPUTED_VALUE"""),53.0)</f>
        <v>53</v>
      </c>
      <c r="E3620" s="2"/>
    </row>
    <row r="3621">
      <c r="A3621" s="2"/>
      <c r="B3621" s="8" t="str">
        <f>IFERROR(__xludf.DUMMYFUNCTION("""COMPUTED_VALUE"""),"RIZKI KURNIASIH")</f>
        <v>RIZKI KURNIASIH</v>
      </c>
      <c r="C3621" s="8" t="str">
        <f>IFERROR(__xludf.DUMMYFUNCTION("""COMPUTED_VALUE"""),"R9026031545")</f>
        <v>R9026031545</v>
      </c>
      <c r="D3621" s="8">
        <f>IFERROR(__xludf.DUMMYFUNCTION("""COMPUTED_VALUE"""),35.0)</f>
        <v>35</v>
      </c>
      <c r="E3621" s="2"/>
    </row>
    <row r="3622">
      <c r="A3622" s="2"/>
      <c r="B3622" s="8" t="str">
        <f>IFERROR(__xludf.DUMMYFUNCTION("""COMPUTED_VALUE"""),"SUPIRIANI EKA LESTARI")</f>
        <v>SUPIRIANI EKA LESTARI</v>
      </c>
      <c r="C3622" s="8" t="str">
        <f>IFERROR(__xludf.DUMMYFUNCTION("""COMPUTED_VALUE"""),"S9526037161")</f>
        <v>S9526037161</v>
      </c>
      <c r="D3622" s="8">
        <f>IFERROR(__xludf.DUMMYFUNCTION("""COMPUTED_VALUE"""),31.0)</f>
        <v>31</v>
      </c>
      <c r="E3622" s="2"/>
    </row>
    <row r="3623">
      <c r="A3623" s="2"/>
      <c r="B3623" s="8" t="str">
        <f>IFERROR(__xludf.DUMMYFUNCTION("""COMPUTED_VALUE"""),"WANDA RAHMAWAN, ST")</f>
        <v>WANDA RAHMAWAN, ST</v>
      </c>
      <c r="C3623" s="8" t="str">
        <f>IFERROR(__xludf.DUMMYFUNCTION("""COMPUTED_VALUE"""),"W8426037510")</f>
        <v>W8426037510</v>
      </c>
      <c r="D3623" s="8">
        <f>IFERROR(__xludf.DUMMYFUNCTION("""COMPUTED_VALUE"""),42.0)</f>
        <v>42</v>
      </c>
      <c r="E3623" s="2"/>
    </row>
    <row r="3624">
      <c r="A3624" s="2"/>
      <c r="B3624" s="8" t="str">
        <f>IFERROR(__xludf.DUMMYFUNCTION("""COMPUTED_VALUE"""),"REZHA ANDHIKA PUTRA")</f>
        <v>REZHA ANDHIKA PUTRA</v>
      </c>
      <c r="C3624" s="8" t="str">
        <f>IFERROR(__xludf.DUMMYFUNCTION("""COMPUTED_VALUE"""),"R9426034060")</f>
        <v>R9426034060</v>
      </c>
      <c r="D3624" s="8">
        <f>IFERROR(__xludf.DUMMYFUNCTION("""COMPUTED_VALUE"""),31.0)</f>
        <v>31</v>
      </c>
      <c r="E3624" s="2"/>
    </row>
    <row r="3625">
      <c r="A3625" s="2"/>
      <c r="B3625" s="8" t="str">
        <f>IFERROR(__xludf.DUMMYFUNCTION("""COMPUTED_VALUE"""),"IGNES JESSICA")</f>
        <v>IGNES JESSICA</v>
      </c>
      <c r="C3625" s="8" t="str">
        <f>IFERROR(__xludf.DUMMYFUNCTION("""COMPUTED_VALUE"""),"I0226040748")</f>
        <v>I0226040748</v>
      </c>
      <c r="D3625" s="8">
        <f>IFERROR(__xludf.DUMMYFUNCTION("""COMPUTED_VALUE"""),23.0)</f>
        <v>23</v>
      </c>
      <c r="E3625" s="2"/>
    </row>
    <row r="3626">
      <c r="A3626" s="2"/>
      <c r="B3626" s="8" t="str">
        <f>IFERROR(__xludf.DUMMYFUNCTION("""COMPUTED_VALUE"""),"SUHADI")</f>
        <v>SUHADI</v>
      </c>
      <c r="C3626" s="8" t="str">
        <f>IFERROR(__xludf.DUMMYFUNCTION("""COMPUTED_VALUE"""),"S6226046575")</f>
        <v>S6226046575</v>
      </c>
      <c r="D3626" s="8">
        <f>IFERROR(__xludf.DUMMYFUNCTION("""COMPUTED_VALUE"""),64.0)</f>
        <v>64</v>
      </c>
      <c r="E3626" s="2"/>
    </row>
    <row r="3627">
      <c r="A3627" s="2"/>
      <c r="B3627" s="8" t="str">
        <f>IFERROR(__xludf.DUMMYFUNCTION("""COMPUTED_VALUE"""),"MUHAMMAD VICTOR")</f>
        <v>MUHAMMAD VICTOR</v>
      </c>
      <c r="C3627" s="8" t="str">
        <f>IFERROR(__xludf.DUMMYFUNCTION("""COMPUTED_VALUE"""),"M9226040008")</f>
        <v>M9226040008</v>
      </c>
      <c r="D3627" s="8">
        <f>IFERROR(__xludf.DUMMYFUNCTION("""COMPUTED_VALUE"""),34.0)</f>
        <v>34</v>
      </c>
      <c r="E3627" s="2"/>
    </row>
    <row r="3628">
      <c r="A3628" s="2"/>
      <c r="B3628" s="8" t="str">
        <f>IFERROR(__xludf.DUMMYFUNCTION("""COMPUTED_VALUE"""),"SYARIF RIZKI ALKADRI")</f>
        <v>SYARIF RIZKI ALKADRI</v>
      </c>
      <c r="C3628" s="8" t="str">
        <f>IFERROR(__xludf.DUMMYFUNCTION("""COMPUTED_VALUE"""),"S9826046507")</f>
        <v>S9826046507</v>
      </c>
      <c r="D3628" s="8">
        <f>IFERROR(__xludf.DUMMYFUNCTION("""COMPUTED_VALUE"""),28.0)</f>
        <v>28</v>
      </c>
      <c r="E3628" s="2"/>
    </row>
    <row r="3629">
      <c r="A3629" s="2"/>
      <c r="B3629" s="8" t="str">
        <f>IFERROR(__xludf.DUMMYFUNCTION("""COMPUTED_VALUE"""),"ACHMAD DHARMIANTO")</f>
        <v>ACHMAD DHARMIANTO</v>
      </c>
      <c r="C3629" s="8" t="str">
        <f>IFERROR(__xludf.DUMMYFUNCTION("""COMPUTED_VALUE"""),"A7926043769")</f>
        <v>A7926043769</v>
      </c>
      <c r="D3629" s="8">
        <f>IFERROR(__xludf.DUMMYFUNCTION("""COMPUTED_VALUE"""),46.0)</f>
        <v>46</v>
      </c>
      <c r="E3629" s="2"/>
    </row>
    <row r="3630">
      <c r="A3630" s="2"/>
      <c r="B3630" s="8" t="str">
        <f>IFERROR(__xludf.DUMMYFUNCTION("""COMPUTED_VALUE"""),"WINARSIH")</f>
        <v>WINARSIH</v>
      </c>
      <c r="C3630" s="8" t="str">
        <f>IFERROR(__xludf.DUMMYFUNCTION("""COMPUTED_VALUE"""),"W7626048376")</f>
        <v>W7626048376</v>
      </c>
      <c r="D3630" s="8">
        <f>IFERROR(__xludf.DUMMYFUNCTION("""COMPUTED_VALUE"""),50.0)</f>
        <v>50</v>
      </c>
      <c r="E3630" s="2"/>
    </row>
    <row r="3631">
      <c r="A3631" s="2"/>
      <c r="B3631" s="8" t="str">
        <f>IFERROR(__xludf.DUMMYFUNCTION("""COMPUTED_VALUE"""),"AMRI PRATAMA")</f>
        <v>AMRI PRATAMA</v>
      </c>
      <c r="C3631" s="8" t="str">
        <f>IFERROR(__xludf.DUMMYFUNCTION("""COMPUTED_VALUE"""),"A9226048424")</f>
        <v>A9226048424</v>
      </c>
      <c r="D3631" s="8">
        <f>IFERROR(__xludf.DUMMYFUNCTION("""COMPUTED_VALUE"""),33.0)</f>
        <v>33</v>
      </c>
      <c r="E3631" s="2"/>
    </row>
    <row r="3632">
      <c r="A3632" s="2"/>
      <c r="B3632" s="8" t="str">
        <f>IFERROR(__xludf.DUMMYFUNCTION("""COMPUTED_VALUE"""),"MASITA LESTARI")</f>
        <v>MASITA LESTARI</v>
      </c>
      <c r="C3632" s="8" t="str">
        <f>IFERROR(__xludf.DUMMYFUNCTION("""COMPUTED_VALUE"""),"M8526041100")</f>
        <v>M8526041100</v>
      </c>
      <c r="D3632" s="8">
        <f>IFERROR(__xludf.DUMMYFUNCTION("""COMPUTED_VALUE"""),41.0)</f>
        <v>41</v>
      </c>
      <c r="E3632" s="2"/>
    </row>
    <row r="3633">
      <c r="A3633" s="2"/>
      <c r="B3633" s="8" t="str">
        <f>IFERROR(__xludf.DUMMYFUNCTION("""COMPUTED_VALUE"""),"RADEN SRI BINTANG PAMUNGKAS")</f>
        <v>RADEN SRI BINTANG PAMUNGKAS</v>
      </c>
      <c r="C3633" s="8" t="str">
        <f>IFERROR(__xludf.DUMMYFUNCTION("""COMPUTED_VALUE"""),"R8726044959")</f>
        <v>R8726044959</v>
      </c>
      <c r="D3633" s="8">
        <f>IFERROR(__xludf.DUMMYFUNCTION("""COMPUTED_VALUE"""),39.0)</f>
        <v>39</v>
      </c>
      <c r="E3633" s="2"/>
    </row>
    <row r="3634">
      <c r="A3634" s="2"/>
      <c r="B3634" s="8" t="str">
        <f>IFERROR(__xludf.DUMMYFUNCTION("""COMPUTED_VALUE"""),"MUHAMMAD ASWIN")</f>
        <v>MUHAMMAD ASWIN</v>
      </c>
      <c r="C3634" s="8" t="str">
        <f>IFERROR(__xludf.DUMMYFUNCTION("""COMPUTED_VALUE"""),"M9326042115")</f>
        <v>M9326042115</v>
      </c>
      <c r="D3634" s="8">
        <f>IFERROR(__xludf.DUMMYFUNCTION("""COMPUTED_VALUE"""),33.0)</f>
        <v>33</v>
      </c>
      <c r="E3634" s="2"/>
    </row>
    <row r="3635">
      <c r="A3635" s="2"/>
      <c r="B3635" s="8" t="str">
        <f>IFERROR(__xludf.DUMMYFUNCTION("""COMPUTED_VALUE"""),"DAVI ANUGRAH")</f>
        <v>DAVI ANUGRAH</v>
      </c>
      <c r="C3635" s="8" t="str">
        <f>IFERROR(__xludf.DUMMYFUNCTION("""COMPUTED_VALUE"""),"D0826049412")</f>
        <v>D0826049412</v>
      </c>
      <c r="D3635" s="8">
        <f>IFERROR(__xludf.DUMMYFUNCTION("""COMPUTED_VALUE"""),17.0)</f>
        <v>17</v>
      </c>
      <c r="E3635" s="2"/>
    </row>
    <row r="3636">
      <c r="A3636" s="2"/>
      <c r="B3636" s="8" t="str">
        <f>IFERROR(__xludf.DUMMYFUNCTION("""COMPUTED_VALUE"""),"CAHYANI ANUGRAH SUBEKTI")</f>
        <v>CAHYANI ANUGRAH SUBEKTI</v>
      </c>
      <c r="C3636" s="8" t="str">
        <f>IFERROR(__xludf.DUMMYFUNCTION("""COMPUTED_VALUE"""),"C9226044998")</f>
        <v>C9226044998</v>
      </c>
      <c r="D3636" s="8">
        <f>IFERROR(__xludf.DUMMYFUNCTION("""COMPUTED_VALUE"""),34.0)</f>
        <v>34</v>
      </c>
      <c r="E3636" s="2"/>
    </row>
    <row r="3637">
      <c r="A3637" s="2"/>
      <c r="B3637" s="8" t="str">
        <f>IFERROR(__xludf.DUMMYFUNCTION("""COMPUTED_VALUE"""),"BONG DJAN TJHAN ALIAN JANTONO WONGSO")</f>
        <v>BONG DJAN TJHAN ALIAN JANTONO WONGSO</v>
      </c>
      <c r="C3637" s="8" t="str">
        <f>IFERROR(__xludf.DUMMYFUNCTION("""COMPUTED_VALUE"""),"B6026043246")</f>
        <v>B6026043246</v>
      </c>
      <c r="D3637" s="8">
        <f>IFERROR(__xludf.DUMMYFUNCTION("""COMPUTED_VALUE"""),66.0)</f>
        <v>66</v>
      </c>
      <c r="E3637" s="2"/>
    </row>
    <row r="3638">
      <c r="A3638" s="2"/>
      <c r="B3638" s="8" t="str">
        <f>IFERROR(__xludf.DUMMYFUNCTION("""COMPUTED_VALUE"""),"CAROLINE MISHELLE STELLA TAMBUNAN")</f>
        <v>CAROLINE MISHELLE STELLA TAMBUNAN</v>
      </c>
      <c r="C3638" s="8" t="str">
        <f>IFERROR(__xludf.DUMMYFUNCTION("""COMPUTED_VALUE"""),"C1026043676")</f>
        <v>C1026043676</v>
      </c>
      <c r="D3638" s="8">
        <f>IFERROR(__xludf.DUMMYFUNCTION("""COMPUTED_VALUE"""),16.0)</f>
        <v>16</v>
      </c>
      <c r="E3638" s="2"/>
    </row>
    <row r="3639">
      <c r="A3639" s="2"/>
      <c r="B3639" s="8" t="str">
        <f>IFERROR(__xludf.DUMMYFUNCTION("""COMPUTED_VALUE"""),"AVRIYANI NOVIYANTI")</f>
        <v>AVRIYANI NOVIYANTI</v>
      </c>
      <c r="C3639" s="8" t="str">
        <f>IFERROR(__xludf.DUMMYFUNCTION("""COMPUTED_VALUE"""),"A9026046671")</f>
        <v>A9026046671</v>
      </c>
      <c r="D3639" s="8">
        <f>IFERROR(__xludf.DUMMYFUNCTION("""COMPUTED_VALUE"""),35.0)</f>
        <v>35</v>
      </c>
      <c r="E3639" s="2"/>
    </row>
    <row r="3640">
      <c r="A3640" s="2"/>
      <c r="B3640" s="8" t="str">
        <f>IFERROR(__xludf.DUMMYFUNCTION("""COMPUTED_VALUE"""),"TEGAR NOVA PRIYATMOKO")</f>
        <v>TEGAR NOVA PRIYATMOKO</v>
      </c>
      <c r="C3640" s="8" t="str">
        <f>IFERROR(__xludf.DUMMYFUNCTION("""COMPUTED_VALUE"""),"T9526042882")</f>
        <v>T9526042882</v>
      </c>
      <c r="D3640" s="8">
        <f>IFERROR(__xludf.DUMMYFUNCTION("""COMPUTED_VALUE"""),30.0)</f>
        <v>30</v>
      </c>
      <c r="E3640" s="2"/>
    </row>
    <row r="3641">
      <c r="A3641" s="2"/>
      <c r="B3641" s="8" t="str">
        <f>IFERROR(__xludf.DUMMYFUNCTION("""COMPUTED_VALUE"""),"EVI INTAN HERIATY")</f>
        <v>EVI INTAN HERIATY</v>
      </c>
      <c r="C3641" s="8" t="str">
        <f>IFERROR(__xludf.DUMMYFUNCTION("""COMPUTED_VALUE"""),"E0026040385")</f>
        <v>E0026040385</v>
      </c>
      <c r="D3641" s="8">
        <f>IFERROR(__xludf.DUMMYFUNCTION("""COMPUTED_VALUE"""),25.0)</f>
        <v>25</v>
      </c>
      <c r="E3641" s="2"/>
    </row>
    <row r="3642">
      <c r="A3642" s="2"/>
      <c r="B3642" s="8" t="str">
        <f>IFERROR(__xludf.DUMMYFUNCTION("""COMPUTED_VALUE"""),"TEGAR NOVA PRIYATMOKO")</f>
        <v>TEGAR NOVA PRIYATMOKO</v>
      </c>
      <c r="C3642" s="8" t="str">
        <f>IFERROR(__xludf.DUMMYFUNCTION("""COMPUTED_VALUE"""),"T9526042882")</f>
        <v>T9526042882</v>
      </c>
      <c r="D3642" s="8">
        <f>IFERROR(__xludf.DUMMYFUNCTION("""COMPUTED_VALUE"""),30.0)</f>
        <v>30</v>
      </c>
      <c r="E3642" s="2"/>
    </row>
    <row r="3643">
      <c r="A3643" s="2"/>
      <c r="B3643" s="8" t="str">
        <f>IFERROR(__xludf.DUMMYFUNCTION("""COMPUTED_VALUE"""),"MUHAMMAD ATHALLAH RAISYAUQI")</f>
        <v>MUHAMMAD ATHALLAH RAISYAUQI</v>
      </c>
      <c r="C3643" s="8" t="str">
        <f>IFERROR(__xludf.DUMMYFUNCTION("""COMPUTED_VALUE"""),"M1726041285")</f>
        <v>M1726041285</v>
      </c>
      <c r="D3643" s="8">
        <f>IFERROR(__xludf.DUMMYFUNCTION("""COMPUTED_VALUE"""),9.0)</f>
        <v>9</v>
      </c>
      <c r="E3643" s="2"/>
    </row>
    <row r="3644">
      <c r="A3644" s="2"/>
      <c r="B3644" s="8" t="str">
        <f>IFERROR(__xludf.DUMMYFUNCTION("""COMPUTED_VALUE"""),"SENG TJUAN")</f>
        <v>SENG TJUAN</v>
      </c>
      <c r="C3644" s="8" t="str">
        <f>IFERROR(__xludf.DUMMYFUNCTION("""COMPUTED_VALUE"""),"S7526040888")</f>
        <v>S7526040888</v>
      </c>
      <c r="D3644" s="8">
        <f>IFERROR(__xludf.DUMMYFUNCTION("""COMPUTED_VALUE"""),51.0)</f>
        <v>51</v>
      </c>
      <c r="E3644" s="2"/>
    </row>
    <row r="3645">
      <c r="A3645" s="2"/>
      <c r="B3645" s="8" t="str">
        <f>IFERROR(__xludf.DUMMYFUNCTION("""COMPUTED_VALUE"""),"SUSI")</f>
        <v>SUSI</v>
      </c>
      <c r="C3645" s="8" t="str">
        <f>IFERROR(__xludf.DUMMYFUNCTION("""COMPUTED_VALUE"""),"S9326043335")</f>
        <v>S9326043335</v>
      </c>
      <c r="D3645" s="8">
        <f>IFERROR(__xludf.DUMMYFUNCTION("""COMPUTED_VALUE"""),32.0)</f>
        <v>32</v>
      </c>
      <c r="E3645" s="2"/>
    </row>
    <row r="3646">
      <c r="A3646" s="2"/>
      <c r="B3646" s="8" t="str">
        <f>IFERROR(__xludf.DUMMYFUNCTION("""COMPUTED_VALUE"""),"IRFAN MAULANA")</f>
        <v>IRFAN MAULANA</v>
      </c>
      <c r="C3646" s="8" t="str">
        <f>IFERROR(__xludf.DUMMYFUNCTION("""COMPUTED_VALUE"""),"I9526046559")</f>
        <v>I9526046559</v>
      </c>
      <c r="D3646" s="8">
        <f>IFERROR(__xludf.DUMMYFUNCTION("""COMPUTED_VALUE"""),30.0)</f>
        <v>30</v>
      </c>
      <c r="E3646" s="2"/>
    </row>
    <row r="3647">
      <c r="A3647" s="2"/>
      <c r="B3647" s="8" t="str">
        <f>IFERROR(__xludf.DUMMYFUNCTION("""COMPUTED_VALUE"""),"KARINA EKA SAKTI")</f>
        <v>KARINA EKA SAKTI</v>
      </c>
      <c r="C3647" s="8" t="str">
        <f>IFERROR(__xludf.DUMMYFUNCTION("""COMPUTED_VALUE"""),"K9626044720")</f>
        <v>K9626044720</v>
      </c>
      <c r="D3647" s="8">
        <f>IFERROR(__xludf.DUMMYFUNCTION("""COMPUTED_VALUE"""),29.0)</f>
        <v>29</v>
      </c>
      <c r="E3647" s="2"/>
    </row>
    <row r="3648">
      <c r="A3648" s="2"/>
      <c r="B3648" s="8" t="str">
        <f>IFERROR(__xludf.DUMMYFUNCTION("""COMPUTED_VALUE"""),"YUNNY ELVANDARI")</f>
        <v>YUNNY ELVANDARI</v>
      </c>
      <c r="C3648" s="8" t="str">
        <f>IFERROR(__xludf.DUMMYFUNCTION("""COMPUTED_VALUE"""),"Y8526046110")</f>
        <v>Y8526046110</v>
      </c>
      <c r="D3648" s="8">
        <f>IFERROR(__xludf.DUMMYFUNCTION("""COMPUTED_VALUE"""),41.0)</f>
        <v>41</v>
      </c>
      <c r="E3648" s="2"/>
    </row>
    <row r="3649">
      <c r="A3649" s="2"/>
      <c r="B3649" s="8" t="str">
        <f>IFERROR(__xludf.DUMMYFUNCTION("""COMPUTED_VALUE"""),"ENDANG HARYANTI")</f>
        <v>ENDANG HARYANTI</v>
      </c>
      <c r="C3649" s="8" t="str">
        <f>IFERROR(__xludf.DUMMYFUNCTION("""COMPUTED_VALUE"""),"E7026045002")</f>
        <v>E7026045002</v>
      </c>
      <c r="D3649" s="8">
        <f>IFERROR(__xludf.DUMMYFUNCTION("""COMPUTED_VALUE"""),55.0)</f>
        <v>55</v>
      </c>
      <c r="E3649" s="2"/>
    </row>
    <row r="3650">
      <c r="A3650" s="2"/>
      <c r="B3650" s="8" t="str">
        <f>IFERROR(__xludf.DUMMYFUNCTION("""COMPUTED_VALUE"""),"MAHANI ISMARIANA ")</f>
        <v>MAHANI ISMARIANA </v>
      </c>
      <c r="C3650" s="8" t="str">
        <f>IFERROR(__xludf.DUMMYFUNCTION("""COMPUTED_VALUE"""),"M6926045873")</f>
        <v>M6926045873</v>
      </c>
      <c r="D3650" s="8">
        <f>IFERROR(__xludf.DUMMYFUNCTION("""COMPUTED_VALUE"""),56.0)</f>
        <v>56</v>
      </c>
      <c r="E3650" s="2"/>
    </row>
    <row r="3651">
      <c r="A3651" s="2"/>
      <c r="B3651" s="8" t="str">
        <f>IFERROR(__xludf.DUMMYFUNCTION("""COMPUTED_VALUE"""),"DARMIATI")</f>
        <v>DARMIATI</v>
      </c>
      <c r="C3651" s="8" t="str">
        <f>IFERROR(__xludf.DUMMYFUNCTION("""COMPUTED_VALUE"""),"D6926044555")</f>
        <v>D6926044555</v>
      </c>
      <c r="D3651" s="8">
        <f>IFERROR(__xludf.DUMMYFUNCTION("""COMPUTED_VALUE"""),56.0)</f>
        <v>56</v>
      </c>
      <c r="E3651" s="2"/>
    </row>
    <row r="3652">
      <c r="A3652" s="2"/>
      <c r="B3652" s="8" t="str">
        <f>IFERROR(__xludf.DUMMYFUNCTION("""COMPUTED_VALUE"""),"PARMI")</f>
        <v>PARMI</v>
      </c>
      <c r="C3652" s="8" t="str">
        <f>IFERROR(__xludf.DUMMYFUNCTION("""COMPUTED_VALUE"""),"P5826046030")</f>
        <v>P5826046030</v>
      </c>
      <c r="D3652" s="8">
        <f>IFERROR(__xludf.DUMMYFUNCTION("""COMPUTED_VALUE"""),68.0)</f>
        <v>68</v>
      </c>
      <c r="E3652" s="2"/>
    </row>
    <row r="3653">
      <c r="A3653" s="2"/>
      <c r="B3653" s="8" t="str">
        <f>IFERROR(__xludf.DUMMYFUNCTION("""COMPUTED_VALUE"""),"IWAN MULYAWAN")</f>
        <v>IWAN MULYAWAN</v>
      </c>
      <c r="C3653" s="8" t="str">
        <f>IFERROR(__xludf.DUMMYFUNCTION("""COMPUTED_VALUE"""),"I6626049850")</f>
        <v>I6626049850</v>
      </c>
      <c r="D3653" s="8">
        <f>IFERROR(__xludf.DUMMYFUNCTION("""COMPUTED_VALUE"""),59.0)</f>
        <v>59</v>
      </c>
      <c r="E3653" s="2"/>
    </row>
    <row r="3654">
      <c r="A3654" s="2"/>
      <c r="B3654" s="8" t="str">
        <f>IFERROR(__xludf.DUMMYFUNCTION("""COMPUTED_VALUE"""),"MUHAMMAD ALFAREZZI")</f>
        <v>MUHAMMAD ALFAREZZI</v>
      </c>
      <c r="C3654" s="8" t="str">
        <f>IFERROR(__xludf.DUMMYFUNCTION("""COMPUTED_VALUE"""),"M0726042765")</f>
        <v>M0726042765</v>
      </c>
      <c r="D3654" s="8">
        <f>IFERROR(__xludf.DUMMYFUNCTION("""COMPUTED_VALUE"""),18.0)</f>
        <v>18</v>
      </c>
      <c r="E3654" s="2"/>
    </row>
    <row r="3655">
      <c r="A3655" s="2"/>
      <c r="B3655" s="8" t="str">
        <f>IFERROR(__xludf.DUMMYFUNCTION("""COMPUTED_VALUE"""),"TATA")</f>
        <v>TATA</v>
      </c>
      <c r="C3655" s="8" t="str">
        <f>IFERROR(__xludf.DUMMYFUNCTION("""COMPUTED_VALUE"""),"T0126044916")</f>
        <v>T0126044916</v>
      </c>
      <c r="D3655" s="8">
        <f>IFERROR(__xludf.DUMMYFUNCTION("""COMPUTED_VALUE"""),25.0)</f>
        <v>25</v>
      </c>
      <c r="E3655" s="2"/>
    </row>
    <row r="3656">
      <c r="A3656" s="2"/>
      <c r="B3656" s="8" t="str">
        <f>IFERROR(__xludf.DUMMYFUNCTION("""COMPUTED_VALUE"""),"ENDAH ARDHIA UTAMI")</f>
        <v>ENDAH ARDHIA UTAMI</v>
      </c>
      <c r="C3656" s="8" t="str">
        <f>IFERROR(__xludf.DUMMYFUNCTION("""COMPUTED_VALUE"""),"E9826044095")</f>
        <v>E9826044095</v>
      </c>
      <c r="D3656" s="8">
        <f>IFERROR(__xludf.DUMMYFUNCTION("""COMPUTED_VALUE"""),28.0)</f>
        <v>28</v>
      </c>
      <c r="E3656" s="2"/>
    </row>
    <row r="3657">
      <c r="A3657" s="2"/>
      <c r="B3657" s="8" t="str">
        <f>IFERROR(__xludf.DUMMYFUNCTION("""COMPUTED_VALUE"""),"FITRIANA 0703")</f>
        <v>FITRIANA 0703</v>
      </c>
      <c r="C3657" s="8" t="str">
        <f>IFERROR(__xludf.DUMMYFUNCTION("""COMPUTED_VALUE"""),"F0726049692")</f>
        <v>F0726049692</v>
      </c>
      <c r="D3657" s="8">
        <f>IFERROR(__xludf.DUMMYFUNCTION("""COMPUTED_VALUE"""),19.0)</f>
        <v>19</v>
      </c>
      <c r="E3657" s="2"/>
    </row>
    <row r="3658">
      <c r="A3658" s="2"/>
      <c r="B3658" s="8" t="str">
        <f>IFERROR(__xludf.DUMMYFUNCTION("""COMPUTED_VALUE"""),"NURITA")</f>
        <v>NURITA</v>
      </c>
      <c r="C3658" s="8" t="str">
        <f>IFERROR(__xludf.DUMMYFUNCTION("""COMPUTED_VALUE"""),"N8026048918")</f>
        <v>N8026048918</v>
      </c>
      <c r="D3658" s="8">
        <f>IFERROR(__xludf.DUMMYFUNCTION("""COMPUTED_VALUE"""),45.0)</f>
        <v>45</v>
      </c>
      <c r="E3658" s="2"/>
    </row>
    <row r="3659">
      <c r="A3659" s="2"/>
      <c r="B3659" s="8" t="str">
        <f>IFERROR(__xludf.DUMMYFUNCTION("""COMPUTED_VALUE"""),"LILYANA")</f>
        <v>LILYANA</v>
      </c>
      <c r="C3659" s="8" t="str">
        <f>IFERROR(__xludf.DUMMYFUNCTION("""COMPUTED_VALUE"""),"L8026040816")</f>
        <v>L8026040816</v>
      </c>
      <c r="D3659" s="8">
        <f>IFERROR(__xludf.DUMMYFUNCTION("""COMPUTED_VALUE"""),45.0)</f>
        <v>45</v>
      </c>
      <c r="E3659" s="2"/>
    </row>
    <row r="3660">
      <c r="A3660" s="2"/>
      <c r="B3660" s="8" t="str">
        <f>IFERROR(__xludf.DUMMYFUNCTION("""COMPUTED_VALUE"""),"JATMOKO")</f>
        <v>JATMOKO</v>
      </c>
      <c r="C3660" s="8" t="str">
        <f>IFERROR(__xludf.DUMMYFUNCTION("""COMPUTED_VALUE"""),"J8426042455")</f>
        <v>J8426042455</v>
      </c>
      <c r="D3660" s="8">
        <f>IFERROR(__xludf.DUMMYFUNCTION("""COMPUTED_VALUE"""),42.0)</f>
        <v>42</v>
      </c>
      <c r="E3660" s="2"/>
    </row>
    <row r="3661">
      <c r="A3661" s="2"/>
      <c r="B3661" s="8" t="str">
        <f>IFERROR(__xludf.DUMMYFUNCTION("""COMPUTED_VALUE"""),"NG SIAM BWEE ALS ROSIANTY")</f>
        <v>NG SIAM BWEE ALS ROSIANTY</v>
      </c>
      <c r="C3661" s="8" t="str">
        <f>IFERROR(__xludf.DUMMYFUNCTION("""COMPUTED_VALUE"""),"N5826041886")</f>
        <v>N5826041886</v>
      </c>
      <c r="D3661" s="8">
        <f>IFERROR(__xludf.DUMMYFUNCTION("""COMPUTED_VALUE"""),68.0)</f>
        <v>68</v>
      </c>
      <c r="E3661" s="2"/>
    </row>
    <row r="3662">
      <c r="A3662" s="2"/>
      <c r="B3662" s="8" t="str">
        <f>IFERROR(__xludf.DUMMYFUNCTION("""COMPUTED_VALUE"""),"KARINA HAFZANY PUTRI")</f>
        <v>KARINA HAFZANY PUTRI</v>
      </c>
      <c r="C3662" s="8" t="str">
        <f>IFERROR(__xludf.DUMMYFUNCTION("""COMPUTED_VALUE"""),"K9526049528")</f>
        <v>K9526049528</v>
      </c>
      <c r="D3662" s="8">
        <f>IFERROR(__xludf.DUMMYFUNCTION("""COMPUTED_VALUE"""),30.0)</f>
        <v>30</v>
      </c>
      <c r="E3662" s="2"/>
    </row>
    <row r="3663">
      <c r="A3663" s="2"/>
      <c r="B3663" s="8" t="str">
        <f>IFERROR(__xludf.DUMMYFUNCTION("""COMPUTED_VALUE"""),"MICHAEL LIE")</f>
        <v>MICHAEL LIE</v>
      </c>
      <c r="C3663" s="8" t="str">
        <f>IFERROR(__xludf.DUMMYFUNCTION("""COMPUTED_VALUE"""),"M9526043111")</f>
        <v>M9526043111</v>
      </c>
      <c r="D3663" s="8">
        <f>IFERROR(__xludf.DUMMYFUNCTION("""COMPUTED_VALUE"""),31.0)</f>
        <v>31</v>
      </c>
      <c r="E3663" s="2"/>
    </row>
    <row r="3664">
      <c r="A3664" s="2"/>
      <c r="B3664" s="8" t="str">
        <f>IFERROR(__xludf.DUMMYFUNCTION("""COMPUTED_VALUE"""),"KENZIE DEAN DEWANTO")</f>
        <v>KENZIE DEAN DEWANTO</v>
      </c>
      <c r="C3664" s="8" t="str">
        <f>IFERROR(__xludf.DUMMYFUNCTION("""COMPUTED_VALUE"""),"K1726049498")</f>
        <v>K1726049498</v>
      </c>
      <c r="D3664" s="8">
        <f>IFERROR(__xludf.DUMMYFUNCTION("""COMPUTED_VALUE"""),8.0)</f>
        <v>8</v>
      </c>
      <c r="E3664" s="2"/>
    </row>
    <row r="3665">
      <c r="A3665" s="2"/>
      <c r="B3665" s="8" t="str">
        <f>IFERROR(__xludf.DUMMYFUNCTION("""COMPUTED_VALUE"""),"INDUN KARTINI")</f>
        <v>INDUN KARTINI</v>
      </c>
      <c r="C3665" s="8" t="str">
        <f>IFERROR(__xludf.DUMMYFUNCTION("""COMPUTED_VALUE"""),"I5826047003")</f>
        <v>I5826047003</v>
      </c>
      <c r="D3665" s="8">
        <f>IFERROR(__xludf.DUMMYFUNCTION("""COMPUTED_VALUE"""),67.0)</f>
        <v>67</v>
      </c>
      <c r="E3665" s="2"/>
    </row>
    <row r="3666">
      <c r="A3666" s="2"/>
      <c r="B3666" s="8" t="str">
        <f>IFERROR(__xludf.DUMMYFUNCTION("""COMPUTED_VALUE"""),"DAFFA DEWANTA AKBAR")</f>
        <v>DAFFA DEWANTA AKBAR</v>
      </c>
      <c r="C3666" s="8" t="str">
        <f>IFERROR(__xludf.DUMMYFUNCTION("""COMPUTED_VALUE"""),"D1226044144")</f>
        <v>D1226044144</v>
      </c>
      <c r="D3666" s="8">
        <f>IFERROR(__xludf.DUMMYFUNCTION("""COMPUTED_VALUE"""),14.0)</f>
        <v>14</v>
      </c>
      <c r="E3666" s="2"/>
    </row>
    <row r="3667">
      <c r="A3667" s="2"/>
      <c r="B3667" s="8" t="str">
        <f>IFERROR(__xludf.DUMMYFUNCTION("""COMPUTED_VALUE"""),"TARI INDRIANI")</f>
        <v>TARI INDRIANI</v>
      </c>
      <c r="C3667" s="8" t="str">
        <f>IFERROR(__xludf.DUMMYFUNCTION("""COMPUTED_VALUE"""),"T9426047155")</f>
        <v>T9426047155</v>
      </c>
      <c r="D3667" s="8">
        <f>IFERROR(__xludf.DUMMYFUNCTION("""COMPUTED_VALUE"""),32.0)</f>
        <v>32</v>
      </c>
      <c r="E3667" s="2"/>
    </row>
    <row r="3668">
      <c r="A3668" s="2"/>
      <c r="B3668" s="8" t="str">
        <f>IFERROR(__xludf.DUMMYFUNCTION("""COMPUTED_VALUE"""),"ELFIRA NATALIA ")</f>
        <v>ELFIRA NATALIA </v>
      </c>
      <c r="C3668" s="8" t="str">
        <f>IFERROR(__xludf.DUMMYFUNCTION("""COMPUTED_VALUE"""),"E9226047657")</f>
        <v>E9226047657</v>
      </c>
      <c r="D3668" s="8">
        <f>IFERROR(__xludf.DUMMYFUNCTION("""COMPUTED_VALUE"""),33.0)</f>
        <v>33</v>
      </c>
      <c r="E3668" s="2"/>
    </row>
    <row r="3669">
      <c r="A3669" s="2"/>
      <c r="B3669" s="8" t="str">
        <f>IFERROR(__xludf.DUMMYFUNCTION("""COMPUTED_VALUE"""),"LIP WENG")</f>
        <v>LIP WENG</v>
      </c>
      <c r="C3669" s="8" t="str">
        <f>IFERROR(__xludf.DUMMYFUNCTION("""COMPUTED_VALUE"""),"L2626048182")</f>
        <v>L2626048182</v>
      </c>
      <c r="D3669" s="8">
        <f>IFERROR(__xludf.DUMMYFUNCTION("""COMPUTED_VALUE"""),0.0)</f>
        <v>0</v>
      </c>
      <c r="E3669" s="2"/>
    </row>
    <row r="3670">
      <c r="A3670" s="2"/>
      <c r="B3670" s="8" t="str">
        <f>IFERROR(__xludf.DUMMYFUNCTION("""COMPUTED_VALUE"""),"CHERRY LIM")</f>
        <v>CHERRY LIM</v>
      </c>
      <c r="C3670" s="8" t="str">
        <f>IFERROR(__xludf.DUMMYFUNCTION("""COMPUTED_VALUE"""),"C7226048181")</f>
        <v>C7226048181</v>
      </c>
      <c r="D3670" s="8">
        <f>IFERROR(__xludf.DUMMYFUNCTION("""COMPUTED_VALUE"""),153.0)</f>
        <v>153</v>
      </c>
      <c r="E3670" s="2"/>
    </row>
    <row r="3671">
      <c r="A3671" s="2"/>
      <c r="B3671" s="8" t="str">
        <f>IFERROR(__xludf.DUMMYFUNCTION("""COMPUTED_VALUE"""),"EXCEL XAVIER LIMARCO")</f>
        <v>EXCEL XAVIER LIMARCO</v>
      </c>
      <c r="C3671" s="8" t="str">
        <f>IFERROR(__xludf.DUMMYFUNCTION("""COMPUTED_VALUE"""),"E1126045431")</f>
        <v>E1126045431</v>
      </c>
      <c r="D3671" s="8">
        <f>IFERROR(__xludf.DUMMYFUNCTION("""COMPUTED_VALUE"""),14.0)</f>
        <v>14</v>
      </c>
      <c r="E3671" s="2"/>
    </row>
    <row r="3672">
      <c r="A3672" s="2"/>
      <c r="B3672" s="8" t="str">
        <f>IFERROR(__xludf.DUMMYFUNCTION("""COMPUTED_VALUE"""),"DARMAWATI")</f>
        <v>DARMAWATI</v>
      </c>
      <c r="C3672" s="8" t="str">
        <f>IFERROR(__xludf.DUMMYFUNCTION("""COMPUTED_VALUE"""),"D7326044273")</f>
        <v>D7326044273</v>
      </c>
      <c r="D3672" s="8">
        <f>IFERROR(__xludf.DUMMYFUNCTION("""COMPUTED_VALUE"""),53.0)</f>
        <v>53</v>
      </c>
      <c r="E3672" s="2"/>
    </row>
    <row r="3673">
      <c r="A3673" s="2"/>
      <c r="B3673" s="8" t="str">
        <f>IFERROR(__xludf.DUMMYFUNCTION("""COMPUTED_VALUE"""),"SHERLY")</f>
        <v>SHERLY</v>
      </c>
      <c r="C3673" s="8" t="str">
        <f>IFERROR(__xludf.DUMMYFUNCTION("""COMPUTED_VALUE"""),"S8326045858")</f>
        <v>S8326045858</v>
      </c>
      <c r="D3673" s="8">
        <f>IFERROR(__xludf.DUMMYFUNCTION("""COMPUTED_VALUE"""),42.0)</f>
        <v>42</v>
      </c>
      <c r="E3673" s="2"/>
    </row>
    <row r="3674">
      <c r="A3674" s="2"/>
      <c r="B3674" s="8" t="str">
        <f>IFERROR(__xludf.DUMMYFUNCTION("""COMPUTED_VALUE"""),"ANISA FUASANA")</f>
        <v>ANISA FUASANA</v>
      </c>
      <c r="C3674" s="8" t="str">
        <f>IFERROR(__xludf.DUMMYFUNCTION("""COMPUTED_VALUE"""),"A9626046065")</f>
        <v>A9626046065</v>
      </c>
      <c r="D3674" s="8">
        <f>IFERROR(__xludf.DUMMYFUNCTION("""COMPUTED_VALUE"""),30.0)</f>
        <v>30</v>
      </c>
      <c r="E3674" s="2"/>
    </row>
    <row r="3675">
      <c r="A3675" s="2"/>
      <c r="B3675" s="8" t="str">
        <f>IFERROR(__xludf.DUMMYFUNCTION("""COMPUTED_VALUE"""),"ISMAIL AKBAR")</f>
        <v>ISMAIL AKBAR</v>
      </c>
      <c r="C3675" s="8" t="str">
        <f>IFERROR(__xludf.DUMMYFUNCTION("""COMPUTED_VALUE"""),"I7326043382")</f>
        <v>I7326043382</v>
      </c>
      <c r="D3675" s="8">
        <f>IFERROR(__xludf.DUMMYFUNCTION("""COMPUTED_VALUE"""),53.0)</f>
        <v>53</v>
      </c>
      <c r="E3675" s="2"/>
    </row>
    <row r="3676">
      <c r="A3676" s="2"/>
      <c r="B3676" s="8" t="str">
        <f>IFERROR(__xludf.DUMMYFUNCTION("""COMPUTED_VALUE"""),"MULYANA")</f>
        <v>MULYANA</v>
      </c>
      <c r="C3676" s="8" t="str">
        <f>IFERROR(__xludf.DUMMYFUNCTION("""COMPUTED_VALUE"""),"M7226046441")</f>
        <v>M7226046441</v>
      </c>
      <c r="D3676" s="8">
        <f>IFERROR(__xludf.DUMMYFUNCTION("""COMPUTED_VALUE"""),54.0)</f>
        <v>54</v>
      </c>
      <c r="E3676" s="2"/>
    </row>
    <row r="3677">
      <c r="A3677" s="2"/>
      <c r="B3677" s="8" t="str">
        <f>IFERROR(__xludf.DUMMYFUNCTION("""COMPUTED_VALUE"""),"LUSIANA")</f>
        <v>LUSIANA</v>
      </c>
      <c r="C3677" s="8" t="str">
        <f>IFERROR(__xludf.DUMMYFUNCTION("""COMPUTED_VALUE"""),"L9426047047")</f>
        <v>L9426047047</v>
      </c>
      <c r="D3677" s="8">
        <f>IFERROR(__xludf.DUMMYFUNCTION("""COMPUTED_VALUE"""),32.0)</f>
        <v>32</v>
      </c>
      <c r="E3677" s="2"/>
    </row>
    <row r="3678">
      <c r="A3678" s="2"/>
      <c r="B3678" s="8" t="str">
        <f>IFERROR(__xludf.DUMMYFUNCTION("""COMPUTED_VALUE"""),"SULISTYARINI ")</f>
        <v>SULISTYARINI </v>
      </c>
      <c r="C3678" s="8" t="str">
        <f>IFERROR(__xludf.DUMMYFUNCTION("""COMPUTED_VALUE"""),"S6526043209")</f>
        <v>S6526043209</v>
      </c>
      <c r="D3678" s="8">
        <f>IFERROR(__xludf.DUMMYFUNCTION("""COMPUTED_VALUE"""),60.0)</f>
        <v>60</v>
      </c>
      <c r="E3678" s="2"/>
    </row>
    <row r="3679">
      <c r="A3679" s="2"/>
      <c r="B3679" s="8" t="str">
        <f>IFERROR(__xludf.DUMMYFUNCTION("""COMPUTED_VALUE"""),"ERLIN INDRIYANI ")</f>
        <v>ERLIN INDRIYANI </v>
      </c>
      <c r="C3679" s="8" t="str">
        <f>IFERROR(__xludf.DUMMYFUNCTION("""COMPUTED_VALUE"""),"E8926048960")</f>
        <v>E8926048960</v>
      </c>
      <c r="D3679" s="8">
        <f>IFERROR(__xludf.DUMMYFUNCTION("""COMPUTED_VALUE"""),36.0)</f>
        <v>36</v>
      </c>
      <c r="E3679" s="2"/>
    </row>
    <row r="3680">
      <c r="A3680" s="2"/>
      <c r="B3680" s="8" t="str">
        <f>IFERROR(__xludf.DUMMYFUNCTION("""COMPUTED_VALUE"""),"PRANSISKA OLIVIA")</f>
        <v>PRANSISKA OLIVIA</v>
      </c>
      <c r="C3680" s="8" t="str">
        <f>IFERROR(__xludf.DUMMYFUNCTION("""COMPUTED_VALUE"""),"P0726040580")</f>
        <v>P0726040580</v>
      </c>
      <c r="D3680" s="8">
        <f>IFERROR(__xludf.DUMMYFUNCTION("""COMPUTED_VALUE"""),19.0)</f>
        <v>19</v>
      </c>
      <c r="E3680" s="2"/>
    </row>
    <row r="3681">
      <c r="A3681" s="2"/>
      <c r="B3681" s="8" t="str">
        <f>IFERROR(__xludf.DUMMYFUNCTION("""COMPUTED_VALUE"""),"YUSTINA")</f>
        <v>YUSTINA</v>
      </c>
      <c r="C3681" s="8" t="str">
        <f>IFERROR(__xludf.DUMMYFUNCTION("""COMPUTED_VALUE"""),"Y5726041357")</f>
        <v>Y5726041357</v>
      </c>
      <c r="D3681" s="8">
        <f>IFERROR(__xludf.DUMMYFUNCTION("""COMPUTED_VALUE"""),68.0)</f>
        <v>68</v>
      </c>
      <c r="E3681" s="2"/>
    </row>
    <row r="3682">
      <c r="A3682" s="2"/>
      <c r="B3682" s="8" t="str">
        <f>IFERROR(__xludf.DUMMYFUNCTION("""COMPUTED_VALUE"""),"ABYAN QAYS ALFARIZ")</f>
        <v>ABYAN QAYS ALFARIZ</v>
      </c>
      <c r="C3682" s="8" t="str">
        <f>IFERROR(__xludf.DUMMYFUNCTION("""COMPUTED_VALUE"""),"A1726048503")</f>
        <v>A1726048503</v>
      </c>
      <c r="D3682" s="8">
        <f>IFERROR(__xludf.DUMMYFUNCTION("""COMPUTED_VALUE"""),9.0)</f>
        <v>9</v>
      </c>
      <c r="E3682" s="2"/>
    </row>
    <row r="3683">
      <c r="A3683" s="2"/>
      <c r="B3683" s="8" t="str">
        <f>IFERROR(__xludf.DUMMYFUNCTION("""COMPUTED_VALUE"""),"AUGUSTO WIJAYA")</f>
        <v>AUGUSTO WIJAYA</v>
      </c>
      <c r="C3683" s="8" t="str">
        <f>IFERROR(__xludf.DUMMYFUNCTION("""COMPUTED_VALUE"""),"A0026049744")</f>
        <v>A0026049744</v>
      </c>
      <c r="D3683" s="8">
        <f>IFERROR(__xludf.DUMMYFUNCTION("""COMPUTED_VALUE"""),25.0)</f>
        <v>25</v>
      </c>
      <c r="E3683" s="2"/>
    </row>
    <row r="3684">
      <c r="A3684" s="2"/>
      <c r="B3684" s="8" t="str">
        <f>IFERROR(__xludf.DUMMYFUNCTION("""COMPUTED_VALUE"""),"MUHAMMAD ZAID ASH SHAFA ")</f>
        <v>MUHAMMAD ZAID ASH SHAFA </v>
      </c>
      <c r="C3684" s="8" t="str">
        <f>IFERROR(__xludf.DUMMYFUNCTION("""COMPUTED_VALUE"""),"M0526047029")</f>
        <v>M0526047029</v>
      </c>
      <c r="D3684" s="8">
        <f>IFERROR(__xludf.DUMMYFUNCTION("""COMPUTED_VALUE"""),20.0)</f>
        <v>20</v>
      </c>
      <c r="E3684" s="2"/>
    </row>
    <row r="3685">
      <c r="A3685" s="2"/>
      <c r="B3685" s="8" t="str">
        <f>IFERROR(__xludf.DUMMYFUNCTION("""COMPUTED_VALUE"""),"AGAM MARWANSYAH")</f>
        <v>AGAM MARWANSYAH</v>
      </c>
      <c r="C3685" s="8" t="str">
        <f>IFERROR(__xludf.DUMMYFUNCTION("""COMPUTED_VALUE"""),"A9626045499")</f>
        <v>A9626045499</v>
      </c>
      <c r="D3685" s="8">
        <f>IFERROR(__xludf.DUMMYFUNCTION("""COMPUTED_VALUE"""),30.0)</f>
        <v>30</v>
      </c>
      <c r="E3685" s="2"/>
    </row>
    <row r="3686">
      <c r="A3686" s="2"/>
      <c r="B3686" s="8" t="str">
        <f>IFERROR(__xludf.DUMMYFUNCTION("""COMPUTED_VALUE"""),"WENNIE YANITA")</f>
        <v>WENNIE YANITA</v>
      </c>
      <c r="C3686" s="8" t="str">
        <f>IFERROR(__xludf.DUMMYFUNCTION("""COMPUTED_VALUE"""),"W8526044145")</f>
        <v>W8526044145</v>
      </c>
      <c r="D3686" s="8">
        <f>IFERROR(__xludf.DUMMYFUNCTION("""COMPUTED_VALUE"""),41.0)</f>
        <v>41</v>
      </c>
      <c r="E3686" s="2"/>
    </row>
    <row r="3687">
      <c r="A3687" s="2"/>
      <c r="B3687" s="8" t="str">
        <f>IFERROR(__xludf.DUMMYFUNCTION("""COMPUTED_VALUE"""),"HARDIYANTO")</f>
        <v>HARDIYANTO</v>
      </c>
      <c r="C3687" s="8" t="str">
        <f>IFERROR(__xludf.DUMMYFUNCTION("""COMPUTED_VALUE"""),"H9626040899")</f>
        <v>H9626040899</v>
      </c>
      <c r="D3687" s="8">
        <f>IFERROR(__xludf.DUMMYFUNCTION("""COMPUTED_VALUE"""),30.0)</f>
        <v>30</v>
      </c>
      <c r="E3687" s="2"/>
    </row>
    <row r="3688">
      <c r="A3688" s="2"/>
      <c r="B3688" s="8" t="str">
        <f>IFERROR(__xludf.DUMMYFUNCTION("""COMPUTED_VALUE"""),"DZAKY DHIAULHAQ")</f>
        <v>DZAKY DHIAULHAQ</v>
      </c>
      <c r="C3688" s="8" t="str">
        <f>IFERROR(__xludf.DUMMYFUNCTION("""COMPUTED_VALUE"""),"D0926042317")</f>
        <v>D0926042317</v>
      </c>
      <c r="D3688" s="8">
        <f>IFERROR(__xludf.DUMMYFUNCTION("""COMPUTED_VALUE"""),17.0)</f>
        <v>17</v>
      </c>
      <c r="E3688" s="2"/>
    </row>
    <row r="3689">
      <c r="A3689" s="2"/>
      <c r="B3689" s="8" t="str">
        <f>IFERROR(__xludf.DUMMYFUNCTION("""COMPUTED_VALUE"""),"ALWI CHANDRA ANDIKA")</f>
        <v>ALWI CHANDRA ANDIKA</v>
      </c>
      <c r="C3689" s="8" t="str">
        <f>IFERROR(__xludf.DUMMYFUNCTION("""COMPUTED_VALUE"""),"A0826048189")</f>
        <v>A0826048189</v>
      </c>
      <c r="D3689" s="8">
        <f>IFERROR(__xludf.DUMMYFUNCTION("""COMPUTED_VALUE"""),18.0)</f>
        <v>18</v>
      </c>
      <c r="E3689" s="2"/>
    </row>
    <row r="3690">
      <c r="A3690" s="2"/>
      <c r="B3690" s="8" t="str">
        <f>IFERROR(__xludf.DUMMYFUNCTION("""COMPUTED_VALUE"""),"SANDRA WIJAYA")</f>
        <v>SANDRA WIJAYA</v>
      </c>
      <c r="C3690" s="8" t="str">
        <f>IFERROR(__xludf.DUMMYFUNCTION("""COMPUTED_VALUE"""),"S9726043033")</f>
        <v>S9726043033</v>
      </c>
      <c r="D3690" s="8">
        <f>IFERROR(__xludf.DUMMYFUNCTION("""COMPUTED_VALUE"""),29.0)</f>
        <v>29</v>
      </c>
      <c r="E3690" s="2"/>
    </row>
    <row r="3691">
      <c r="A3691" s="2"/>
      <c r="B3691" s="8" t="str">
        <f>IFERROR(__xludf.DUMMYFUNCTION("""COMPUTED_VALUE"""),"PETER LIU")</f>
        <v>PETER LIU</v>
      </c>
      <c r="C3691" s="8" t="str">
        <f>IFERROR(__xludf.DUMMYFUNCTION("""COMPUTED_VALUE"""),"P7326043624")</f>
        <v>P7326043624</v>
      </c>
      <c r="D3691" s="8">
        <f>IFERROR(__xludf.DUMMYFUNCTION("""COMPUTED_VALUE"""),53.0)</f>
        <v>53</v>
      </c>
      <c r="E3691" s="2"/>
    </row>
    <row r="3692">
      <c r="A3692" s="2"/>
      <c r="B3692" s="8" t="str">
        <f>IFERROR(__xludf.DUMMYFUNCTION("""COMPUTED_VALUE"""),"ERWIN DJONG")</f>
        <v>ERWIN DJONG</v>
      </c>
      <c r="C3692" s="8" t="str">
        <f>IFERROR(__xludf.DUMMYFUNCTION("""COMPUTED_VALUE"""),"E6226045500")</f>
        <v>E6226045500</v>
      </c>
      <c r="D3692" s="8">
        <f>IFERROR(__xludf.DUMMYFUNCTION("""COMPUTED_VALUE"""),64.0)</f>
        <v>64</v>
      </c>
      <c r="E3692" s="2"/>
    </row>
    <row r="3693">
      <c r="A3693" s="2"/>
      <c r="B3693" s="8" t="str">
        <f>IFERROR(__xludf.DUMMYFUNCTION("""COMPUTED_VALUE"""),"FLAVIUS DARRELL ")</f>
        <v>FLAVIUS DARRELL </v>
      </c>
      <c r="C3693" s="8" t="str">
        <f>IFERROR(__xludf.DUMMYFUNCTION("""COMPUTED_VALUE"""),"F0826048647")</f>
        <v>F0826048647</v>
      </c>
      <c r="D3693" s="8">
        <f>IFERROR(__xludf.DUMMYFUNCTION("""COMPUTED_VALUE"""),18.0)</f>
        <v>18</v>
      </c>
      <c r="E3693" s="2"/>
    </row>
    <row r="3694">
      <c r="A3694" s="2"/>
      <c r="B3694" s="8" t="str">
        <f>IFERROR(__xludf.DUMMYFUNCTION("""COMPUTED_VALUE"""),"M. SAPARWIN A. MD")</f>
        <v>M. SAPARWIN A. MD</v>
      </c>
      <c r="C3694" s="8" t="str">
        <f>IFERROR(__xludf.DUMMYFUNCTION("""COMPUTED_VALUE"""),"M9326042953")</f>
        <v>M9326042953</v>
      </c>
      <c r="D3694" s="8">
        <f>IFERROR(__xludf.DUMMYFUNCTION("""COMPUTED_VALUE"""),32.0)</f>
        <v>32</v>
      </c>
      <c r="E3694" s="2"/>
    </row>
    <row r="3695">
      <c r="A3695" s="2"/>
      <c r="B3695" s="8" t="str">
        <f>IFERROR(__xludf.DUMMYFUNCTION("""COMPUTED_VALUE"""),"IPOLIANA")</f>
        <v>IPOLIANA</v>
      </c>
      <c r="C3695" s="8" t="str">
        <f>IFERROR(__xludf.DUMMYFUNCTION("""COMPUTED_VALUE"""),"I7926048908")</f>
        <v>I7926048908</v>
      </c>
      <c r="D3695" s="8">
        <f>IFERROR(__xludf.DUMMYFUNCTION("""COMPUTED_VALUE"""),47.0)</f>
        <v>47</v>
      </c>
      <c r="E3695" s="2"/>
    </row>
    <row r="3696">
      <c r="A3696" s="2"/>
      <c r="B3696" s="8" t="str">
        <f>IFERROR(__xludf.DUMMYFUNCTION("""COMPUTED_VALUE"""),"RIA ANANDA 8408")</f>
        <v>RIA ANANDA 8408</v>
      </c>
      <c r="C3696" s="8" t="str">
        <f>IFERROR(__xludf.DUMMYFUNCTION("""COMPUTED_VALUE"""),"R8426046592")</f>
        <v>R8426046592</v>
      </c>
      <c r="D3696" s="8">
        <f>IFERROR(__xludf.DUMMYFUNCTION("""COMPUTED_VALUE"""),41.0)</f>
        <v>41</v>
      </c>
      <c r="E3696" s="2"/>
    </row>
    <row r="3697">
      <c r="A3697" s="2"/>
      <c r="B3697" s="8" t="str">
        <f>IFERROR(__xludf.DUMMYFUNCTION("""COMPUTED_VALUE"""),"EDI SUDIANDI")</f>
        <v>EDI SUDIANDI</v>
      </c>
      <c r="C3697" s="8" t="str">
        <f>IFERROR(__xludf.DUMMYFUNCTION("""COMPUTED_VALUE"""),"E0126046250")</f>
        <v>E0126046250</v>
      </c>
      <c r="D3697" s="8">
        <f>IFERROR(__xludf.DUMMYFUNCTION("""COMPUTED_VALUE"""),24.0)</f>
        <v>24</v>
      </c>
      <c r="E3697" s="2"/>
    </row>
    <row r="3698">
      <c r="A3698" s="2"/>
      <c r="B3698" s="8" t="str">
        <f>IFERROR(__xludf.DUMMYFUNCTION("""COMPUTED_VALUE"""),"RIDHO HENDRI FREDINATA ")</f>
        <v>RIDHO HENDRI FREDINATA </v>
      </c>
      <c r="C3698" s="8" t="str">
        <f>IFERROR(__xludf.DUMMYFUNCTION("""COMPUTED_VALUE"""),"R7926049747")</f>
        <v>R7926049747</v>
      </c>
      <c r="D3698" s="8">
        <f>IFERROR(__xludf.DUMMYFUNCTION("""COMPUTED_VALUE"""),46.0)</f>
        <v>46</v>
      </c>
      <c r="E3698" s="2"/>
    </row>
    <row r="3699">
      <c r="A3699" s="2"/>
      <c r="B3699" s="8" t="str">
        <f>IFERROR(__xludf.DUMMYFUNCTION("""COMPUTED_VALUE"""),"R. MUHAMMAD UMAR")</f>
        <v>R. MUHAMMAD UMAR</v>
      </c>
      <c r="C3699" s="8" t="str">
        <f>IFERROR(__xludf.DUMMYFUNCTION("""COMPUTED_VALUE"""),"R5526040490")</f>
        <v>R5526040490</v>
      </c>
      <c r="D3699" s="8">
        <f>IFERROR(__xludf.DUMMYFUNCTION("""COMPUTED_VALUE"""),71.0)</f>
        <v>71</v>
      </c>
      <c r="E3699" s="2"/>
    </row>
    <row r="3700">
      <c r="A3700" s="2"/>
      <c r="B3700" s="8" t="str">
        <f>IFERROR(__xludf.DUMMYFUNCTION("""COMPUTED_VALUE"""),"HERWIN FIDELIO SALAM")</f>
        <v>HERWIN FIDELIO SALAM</v>
      </c>
      <c r="C3700" s="8" t="str">
        <f>IFERROR(__xludf.DUMMYFUNCTION("""COMPUTED_VALUE"""),"H8426049089")</f>
        <v>H8426049089</v>
      </c>
      <c r="D3700" s="8">
        <f>IFERROR(__xludf.DUMMYFUNCTION("""COMPUTED_VALUE"""),41.0)</f>
        <v>41</v>
      </c>
      <c r="E3700" s="2"/>
    </row>
    <row r="3701">
      <c r="A3701" s="2"/>
      <c r="B3701" s="8" t="str">
        <f>IFERROR(__xludf.DUMMYFUNCTION("""COMPUTED_VALUE"""),"KURNIA SAYUNI ")</f>
        <v>KURNIA SAYUNI </v>
      </c>
      <c r="C3701" s="8" t="str">
        <f>IFERROR(__xludf.DUMMYFUNCTION("""COMPUTED_VALUE"""),"K0526043902")</f>
        <v>K0526043902</v>
      </c>
      <c r="D3701" s="8">
        <f>IFERROR(__xludf.DUMMYFUNCTION("""COMPUTED_VALUE"""),20.0)</f>
        <v>20</v>
      </c>
      <c r="E3701" s="2"/>
    </row>
    <row r="3702">
      <c r="A3702" s="2"/>
      <c r="B3702" s="8" t="str">
        <f>IFERROR(__xludf.DUMMYFUNCTION("""COMPUTED_VALUE"""),"AURELIA AGUSTA")</f>
        <v>AURELIA AGUSTA</v>
      </c>
      <c r="C3702" s="8" t="str">
        <f>IFERROR(__xludf.DUMMYFUNCTION("""COMPUTED_VALUE"""),"A9826049353")</f>
        <v>A9826049353</v>
      </c>
      <c r="D3702" s="8">
        <f>IFERROR(__xludf.DUMMYFUNCTION("""COMPUTED_VALUE"""),27.0)</f>
        <v>27</v>
      </c>
      <c r="E3702" s="2"/>
    </row>
    <row r="3703">
      <c r="A3703" s="2"/>
      <c r="B3703" s="8" t="str">
        <f>IFERROR(__xludf.DUMMYFUNCTION("""COMPUTED_VALUE"""),"DESTRIYANA D")</f>
        <v>DESTRIYANA D</v>
      </c>
      <c r="C3703" s="8" t="str">
        <f>IFERROR(__xludf.DUMMYFUNCTION("""COMPUTED_VALUE"""),"D9026042890")</f>
        <v>D9026042890</v>
      </c>
      <c r="D3703" s="8">
        <f>IFERROR(__xludf.DUMMYFUNCTION("""COMPUTED_VALUE"""),35.0)</f>
        <v>35</v>
      </c>
      <c r="E3703" s="2"/>
    </row>
    <row r="3704">
      <c r="A3704" s="2"/>
      <c r="B3704" s="8" t="str">
        <f>IFERROR(__xludf.DUMMYFUNCTION("""COMPUTED_VALUE"""),"TJIN DJAM")</f>
        <v>TJIN DJAM</v>
      </c>
      <c r="C3704" s="8" t="str">
        <f>IFERROR(__xludf.DUMMYFUNCTION("""COMPUTED_VALUE"""),"T2626042629")</f>
        <v>T2626042629</v>
      </c>
      <c r="D3704" s="8">
        <f>IFERROR(__xludf.DUMMYFUNCTION("""COMPUTED_VALUE"""),0.0)</f>
        <v>0</v>
      </c>
      <c r="E3704" s="2"/>
    </row>
    <row r="3705">
      <c r="A3705" s="2"/>
      <c r="B3705" s="8" t="str">
        <f>IFERROR(__xludf.DUMMYFUNCTION("""COMPUTED_VALUE"""),"PONTI INDAH SARI")</f>
        <v>PONTI INDAH SARI</v>
      </c>
      <c r="C3705" s="8" t="str">
        <f>IFERROR(__xludf.DUMMYFUNCTION("""COMPUTED_VALUE"""),"P9526042231")</f>
        <v>P9526042231</v>
      </c>
      <c r="D3705" s="8">
        <f>IFERROR(__xludf.DUMMYFUNCTION("""COMPUTED_VALUE"""),30.0)</f>
        <v>30</v>
      </c>
      <c r="E3705" s="2"/>
    </row>
    <row r="3706">
      <c r="A3706" s="2"/>
      <c r="B3706" s="8" t="str">
        <f>IFERROR(__xludf.DUMMYFUNCTION("""COMPUTED_VALUE"""),"MARLINA 7203")</f>
        <v>MARLINA 7203</v>
      </c>
      <c r="C3706" s="8" t="str">
        <f>IFERROR(__xludf.DUMMYFUNCTION("""COMPUTED_VALUE"""),"M7226049567")</f>
        <v>M7226049567</v>
      </c>
      <c r="D3706" s="8">
        <f>IFERROR(__xludf.DUMMYFUNCTION("""COMPUTED_VALUE"""),54.0)</f>
        <v>54</v>
      </c>
      <c r="E3706" s="2"/>
    </row>
    <row r="3707">
      <c r="A3707" s="2"/>
      <c r="B3707" s="8" t="str">
        <f>IFERROR(__xludf.DUMMYFUNCTION("""COMPUTED_VALUE"""),"XAVIO AXELL")</f>
        <v>XAVIO AXELL</v>
      </c>
      <c r="C3707" s="8" t="str">
        <f>IFERROR(__xludf.DUMMYFUNCTION("""COMPUTED_VALUE"""),"X1726047998")</f>
        <v>X1726047998</v>
      </c>
      <c r="D3707" s="8">
        <f>IFERROR(__xludf.DUMMYFUNCTION("""COMPUTED_VALUE"""),9.0)</f>
        <v>9</v>
      </c>
      <c r="E3707" s="2"/>
    </row>
    <row r="3708">
      <c r="A3708" s="2"/>
      <c r="B3708" s="8" t="str">
        <f>IFERROR(__xludf.DUMMYFUNCTION("""COMPUTED_VALUE"""),"M.RIDHO TORIS MEIDIANO ")</f>
        <v>M.RIDHO TORIS MEIDIANO </v>
      </c>
      <c r="C3708" s="8" t="str">
        <f>IFERROR(__xludf.DUMMYFUNCTION("""COMPUTED_VALUE"""),"M0926042104")</f>
        <v>M0926042104</v>
      </c>
      <c r="D3708" s="8">
        <f>IFERROR(__xludf.DUMMYFUNCTION("""COMPUTED_VALUE"""),17.0)</f>
        <v>17</v>
      </c>
      <c r="E3708" s="2"/>
    </row>
    <row r="3709">
      <c r="A3709" s="2"/>
      <c r="B3709" s="8" t="str">
        <f>IFERROR(__xludf.DUMMYFUNCTION("""COMPUTED_VALUE"""),"NURHASANAH S.AG")</f>
        <v>NURHASANAH S.AG</v>
      </c>
      <c r="C3709" s="8" t="str">
        <f>IFERROR(__xludf.DUMMYFUNCTION("""COMPUTED_VALUE"""),"N7226047362")</f>
        <v>N7226047362</v>
      </c>
      <c r="D3709" s="8">
        <f>IFERROR(__xludf.DUMMYFUNCTION("""COMPUTED_VALUE"""),53.0)</f>
        <v>53</v>
      </c>
      <c r="E3709" s="2"/>
    </row>
    <row r="3710">
      <c r="A3710" s="2"/>
      <c r="B3710" s="8" t="str">
        <f>IFERROR(__xludf.DUMMYFUNCTION("""COMPUTED_VALUE"""),"TIFANY NATHASYA")</f>
        <v>TIFANY NATHASYA</v>
      </c>
      <c r="C3710" s="8" t="str">
        <f>IFERROR(__xludf.DUMMYFUNCTION("""COMPUTED_VALUE"""),"T9826043156")</f>
        <v>T9826043156</v>
      </c>
      <c r="D3710" s="8">
        <f>IFERROR(__xludf.DUMMYFUNCTION("""COMPUTED_VALUE"""),28.0)</f>
        <v>28</v>
      </c>
      <c r="E3710" s="2"/>
    </row>
    <row r="3711">
      <c r="A3711" s="2"/>
      <c r="B3711" s="8" t="str">
        <f>IFERROR(__xludf.DUMMYFUNCTION("""COMPUTED_VALUE"""),"AHMAD BUDI FAUSTAL")</f>
        <v>AHMAD BUDI FAUSTAL</v>
      </c>
      <c r="C3711" s="8" t="str">
        <f>IFERROR(__xludf.DUMMYFUNCTION("""COMPUTED_VALUE"""),"A1626045056")</f>
        <v>A1626045056</v>
      </c>
      <c r="D3711" s="8">
        <f>IFERROR(__xludf.DUMMYFUNCTION("""COMPUTED_VALUE"""),10.0)</f>
        <v>10</v>
      </c>
      <c r="E3711" s="2"/>
    </row>
    <row r="3712">
      <c r="A3712" s="2"/>
      <c r="B3712" s="8" t="str">
        <f>IFERROR(__xludf.DUMMYFUNCTION("""COMPUTED_VALUE"""),"FIRMAN 9407")</f>
        <v>FIRMAN 9407</v>
      </c>
      <c r="C3712" s="8" t="str">
        <f>IFERROR(__xludf.DUMMYFUNCTION("""COMPUTED_VALUE"""),"F9426041922")</f>
        <v>F9426041922</v>
      </c>
      <c r="D3712" s="8">
        <f>IFERROR(__xludf.DUMMYFUNCTION("""COMPUTED_VALUE"""),32.0)</f>
        <v>32</v>
      </c>
      <c r="E3712" s="2"/>
    </row>
    <row r="3713">
      <c r="A3713" s="2"/>
      <c r="B3713" s="8" t="str">
        <f>IFERROR(__xludf.DUMMYFUNCTION("""COMPUTED_VALUE"""),"VINSEN NOVENTA")</f>
        <v>VINSEN NOVENTA</v>
      </c>
      <c r="C3713" s="8" t="str">
        <f>IFERROR(__xludf.DUMMYFUNCTION("""COMPUTED_VALUE"""),"V0326042735")</f>
        <v>V0326042735</v>
      </c>
      <c r="D3713" s="8">
        <f>IFERROR(__xludf.DUMMYFUNCTION("""COMPUTED_VALUE"""),22.0)</f>
        <v>22</v>
      </c>
      <c r="E3713" s="2"/>
    </row>
    <row r="3714">
      <c r="A3714" s="2"/>
      <c r="B3714" s="8" t="str">
        <f>IFERROR(__xludf.DUMMYFUNCTION("""COMPUTED_VALUE"""),"RADEN FANIKA AZZAHRA")</f>
        <v>RADEN FANIKA AZZAHRA</v>
      </c>
      <c r="C3714" s="8" t="str">
        <f>IFERROR(__xludf.DUMMYFUNCTION("""COMPUTED_VALUE"""),"R1026049899")</f>
        <v>R1026049899</v>
      </c>
      <c r="D3714" s="8">
        <f>IFERROR(__xludf.DUMMYFUNCTION("""COMPUTED_VALUE"""),15.0)</f>
        <v>15</v>
      </c>
      <c r="E3714" s="2"/>
    </row>
    <row r="3715">
      <c r="A3715" s="2"/>
      <c r="B3715" s="8" t="str">
        <f>IFERROR(__xludf.DUMMYFUNCTION("""COMPUTED_VALUE"""),"NG SUI MIAUW")</f>
        <v>NG SUI MIAUW</v>
      </c>
      <c r="C3715" s="8" t="str">
        <f>IFERROR(__xludf.DUMMYFUNCTION("""COMPUTED_VALUE"""),"N5926041232")</f>
        <v>N5926041232</v>
      </c>
      <c r="D3715" s="8">
        <f>IFERROR(__xludf.DUMMYFUNCTION("""COMPUTED_VALUE"""),67.0)</f>
        <v>67</v>
      </c>
      <c r="E3715" s="2"/>
    </row>
    <row r="3716">
      <c r="A3716" s="2"/>
      <c r="B3716" s="8" t="str">
        <f>IFERROR(__xludf.DUMMYFUNCTION("""COMPUTED_VALUE"""),"RENDY DWIPUTRA ")</f>
        <v>RENDY DWIPUTRA </v>
      </c>
      <c r="C3716" s="8" t="str">
        <f>IFERROR(__xludf.DUMMYFUNCTION("""COMPUTED_VALUE"""),"R0626047079")</f>
        <v>R0626047079</v>
      </c>
      <c r="D3716" s="8">
        <f>IFERROR(__xludf.DUMMYFUNCTION("""COMPUTED_VALUE"""),19.0)</f>
        <v>19</v>
      </c>
      <c r="E3716" s="2"/>
    </row>
    <row r="3717">
      <c r="A3717" s="2"/>
      <c r="B3717" s="8" t="str">
        <f>IFERROR(__xludf.DUMMYFUNCTION("""COMPUTED_VALUE"""),"R. TAUFAN SUGIARTO")</f>
        <v>R. TAUFAN SUGIARTO</v>
      </c>
      <c r="C3717" s="8" t="str">
        <f>IFERROR(__xludf.DUMMYFUNCTION("""COMPUTED_VALUE"""),"R8426049890")</f>
        <v>R8426049890</v>
      </c>
      <c r="D3717" s="8">
        <f>IFERROR(__xludf.DUMMYFUNCTION("""COMPUTED_VALUE"""),42.0)</f>
        <v>42</v>
      </c>
      <c r="E3717" s="2"/>
    </row>
    <row r="3718">
      <c r="A3718" s="2"/>
      <c r="B3718" s="8" t="str">
        <f>IFERROR(__xludf.DUMMYFUNCTION("""COMPUTED_VALUE"""),"H. ANDI BASO TEPU")</f>
        <v>H. ANDI BASO TEPU</v>
      </c>
      <c r="C3718" s="8" t="str">
        <f>IFERROR(__xludf.DUMMYFUNCTION("""COMPUTED_VALUE"""),"H4226046739")</f>
        <v>H4226046739</v>
      </c>
      <c r="D3718" s="8">
        <f>IFERROR(__xludf.DUMMYFUNCTION("""COMPUTED_VALUE"""),84.0)</f>
        <v>84</v>
      </c>
      <c r="E3718" s="2"/>
    </row>
    <row r="3719">
      <c r="A3719" s="2"/>
      <c r="B3719" s="8" t="str">
        <f>IFERROR(__xludf.DUMMYFUNCTION("""COMPUTED_VALUE"""),"NATHANIA")</f>
        <v>NATHANIA</v>
      </c>
      <c r="C3719" s="8" t="str">
        <f>IFERROR(__xludf.DUMMYFUNCTION("""COMPUTED_VALUE"""),"N9326044305")</f>
        <v>N9326044305</v>
      </c>
      <c r="D3719" s="8">
        <f>IFERROR(__xludf.DUMMYFUNCTION("""COMPUTED_VALUE"""),32.0)</f>
        <v>32</v>
      </c>
      <c r="E3719" s="2"/>
    </row>
    <row r="3720">
      <c r="A3720" s="2"/>
      <c r="B3720" s="8" t="str">
        <f>IFERROR(__xludf.DUMMYFUNCTION("""COMPUTED_VALUE"""),"LU ZONGLIANG")</f>
        <v>LU ZONGLIANG</v>
      </c>
      <c r="C3720" s="8" t="str">
        <f>IFERROR(__xludf.DUMMYFUNCTION("""COMPUTED_VALUE"""),"L6826041528")</f>
        <v>L6826041528</v>
      </c>
      <c r="D3720" s="8">
        <f>IFERROR(__xludf.DUMMYFUNCTION("""COMPUTED_VALUE"""),58.0)</f>
        <v>58</v>
      </c>
      <c r="E3720" s="2"/>
    </row>
    <row r="3721">
      <c r="A3721" s="2"/>
      <c r="B3721" s="8" t="str">
        <f>IFERROR(__xludf.DUMMYFUNCTION("""COMPUTED_VALUE"""),"WILLSON LOUISSE HANSEN VILLERY")</f>
        <v>WILLSON LOUISSE HANSEN VILLERY</v>
      </c>
      <c r="C3721" s="8" t="str">
        <f>IFERROR(__xludf.DUMMYFUNCTION("""COMPUTED_VALUE"""),"W0426047124")</f>
        <v>W0426047124</v>
      </c>
      <c r="D3721" s="8">
        <f>IFERROR(__xludf.DUMMYFUNCTION("""COMPUTED_VALUE"""),21.0)</f>
        <v>21</v>
      </c>
      <c r="E3721" s="2"/>
    </row>
    <row r="3722">
      <c r="A3722" s="2"/>
      <c r="B3722" s="8" t="str">
        <f>IFERROR(__xludf.DUMMYFUNCTION("""COMPUTED_VALUE"""),"ELIS SARTIKAWATI, S.SOS")</f>
        <v>ELIS SARTIKAWATI, S.SOS</v>
      </c>
      <c r="C3722" s="8" t="str">
        <f>IFERROR(__xludf.DUMMYFUNCTION("""COMPUTED_VALUE"""),"E8326041723")</f>
        <v>E8326041723</v>
      </c>
      <c r="D3722" s="8">
        <f>IFERROR(__xludf.DUMMYFUNCTION("""COMPUTED_VALUE"""),43.0)</f>
        <v>43</v>
      </c>
      <c r="E3722" s="2"/>
    </row>
    <row r="3723">
      <c r="A3723" s="2"/>
      <c r="B3723" s="8" t="str">
        <f>IFERROR(__xludf.DUMMYFUNCTION("""COMPUTED_VALUE"""),"RESA BAYU MURTHY")</f>
        <v>RESA BAYU MURTHY</v>
      </c>
      <c r="C3723" s="8" t="str">
        <f>IFERROR(__xludf.DUMMYFUNCTION("""COMPUTED_VALUE"""),"R9626043226")</f>
        <v>R9626043226</v>
      </c>
      <c r="D3723" s="8">
        <f>IFERROR(__xludf.DUMMYFUNCTION("""COMPUTED_VALUE"""),30.0)</f>
        <v>30</v>
      </c>
      <c r="E3723" s="2"/>
    </row>
    <row r="3724">
      <c r="A3724" s="2"/>
      <c r="B3724" s="8" t="str">
        <f>IFERROR(__xludf.DUMMYFUNCTION("""COMPUTED_VALUE"""),"HONG CHAI")</f>
        <v>HONG CHAI</v>
      </c>
      <c r="C3724" s="8" t="str">
        <f>IFERROR(__xludf.DUMMYFUNCTION("""COMPUTED_VALUE"""),"H7426041954")</f>
        <v>H7426041954</v>
      </c>
      <c r="D3724" s="8">
        <f>IFERROR(__xludf.DUMMYFUNCTION("""COMPUTED_VALUE"""),52.0)</f>
        <v>52</v>
      </c>
      <c r="E3724" s="2"/>
    </row>
    <row r="3725">
      <c r="A3725" s="2"/>
      <c r="B3725" s="8" t="str">
        <f>IFERROR(__xludf.DUMMYFUNCTION("""COMPUTED_VALUE"""),"WAHYU PAMBUDI")</f>
        <v>WAHYU PAMBUDI</v>
      </c>
      <c r="C3725" s="8" t="str">
        <f>IFERROR(__xludf.DUMMYFUNCTION("""COMPUTED_VALUE"""),"W9726049729")</f>
        <v>W9726049729</v>
      </c>
      <c r="D3725" s="8">
        <f>IFERROR(__xludf.DUMMYFUNCTION("""COMPUTED_VALUE"""),29.0)</f>
        <v>29</v>
      </c>
      <c r="E3725" s="2"/>
    </row>
    <row r="3726">
      <c r="A3726" s="2"/>
      <c r="B3726" s="8" t="str">
        <f>IFERROR(__xludf.DUMMYFUNCTION("""COMPUTED_VALUE"""),"SUHAIRI")</f>
        <v>SUHAIRI</v>
      </c>
      <c r="C3726" s="8" t="str">
        <f>IFERROR(__xludf.DUMMYFUNCTION("""COMPUTED_VALUE"""),"S7926040586")</f>
        <v>S7926040586</v>
      </c>
      <c r="D3726" s="8">
        <f>IFERROR(__xludf.DUMMYFUNCTION("""COMPUTED_VALUE"""),47.0)</f>
        <v>47</v>
      </c>
      <c r="E3726" s="2"/>
    </row>
    <row r="3727">
      <c r="A3727" s="2"/>
      <c r="B3727" s="8" t="str">
        <f>IFERROR(__xludf.DUMMYFUNCTION("""COMPUTED_VALUE"""),"DAYUNDA PRAMESTI")</f>
        <v>DAYUNDA PRAMESTI</v>
      </c>
      <c r="C3727" s="8" t="str">
        <f>IFERROR(__xludf.DUMMYFUNCTION("""COMPUTED_VALUE"""),"D9926041410")</f>
        <v>D9926041410</v>
      </c>
      <c r="D3727" s="8">
        <f>IFERROR(__xludf.DUMMYFUNCTION("""COMPUTED_VALUE"""),26.0)</f>
        <v>26</v>
      </c>
      <c r="E3727" s="2"/>
    </row>
    <row r="3728">
      <c r="A3728" s="2"/>
      <c r="B3728" s="8" t="str">
        <f>IFERROR(__xludf.DUMMYFUNCTION("""COMPUTED_VALUE"""),"LILYANI GOJONO")</f>
        <v>LILYANI GOJONO</v>
      </c>
      <c r="C3728" s="8" t="str">
        <f>IFERROR(__xludf.DUMMYFUNCTION("""COMPUTED_VALUE"""),"L6226042686")</f>
        <v>L6226042686</v>
      </c>
      <c r="D3728" s="8">
        <f>IFERROR(__xludf.DUMMYFUNCTION("""COMPUTED_VALUE"""),64.0)</f>
        <v>64</v>
      </c>
      <c r="E3728" s="2"/>
    </row>
    <row r="3729">
      <c r="A3729" s="2"/>
      <c r="B3729" s="8" t="str">
        <f>IFERROR(__xludf.DUMMYFUNCTION("""COMPUTED_VALUE"""),"ANDRI KUSWARA")</f>
        <v>ANDRI KUSWARA</v>
      </c>
      <c r="C3729" s="8" t="str">
        <f>IFERROR(__xludf.DUMMYFUNCTION("""COMPUTED_VALUE"""),"A8026048622")</f>
        <v>A8026048622</v>
      </c>
      <c r="D3729" s="8">
        <f>IFERROR(__xludf.DUMMYFUNCTION("""COMPUTED_VALUE"""),46.0)</f>
        <v>46</v>
      </c>
      <c r="E3729" s="2"/>
    </row>
    <row r="3730">
      <c r="A3730" s="2"/>
      <c r="B3730" s="8" t="str">
        <f>IFERROR(__xludf.DUMMYFUNCTION("""COMPUTED_VALUE"""),"SUPRAPTI")</f>
        <v>SUPRAPTI</v>
      </c>
      <c r="C3730" s="8" t="str">
        <f>IFERROR(__xludf.DUMMYFUNCTION("""COMPUTED_VALUE"""),"S7726045537")</f>
        <v>S7726045537</v>
      </c>
      <c r="D3730" s="8">
        <f>IFERROR(__xludf.DUMMYFUNCTION("""COMPUTED_VALUE"""),49.0)</f>
        <v>49</v>
      </c>
      <c r="E3730" s="2"/>
    </row>
    <row r="3731">
      <c r="A3731" s="2"/>
      <c r="B3731" s="8" t="str">
        <f>IFERROR(__xludf.DUMMYFUNCTION("""COMPUTED_VALUE"""),"CARLIN DESMONDA")</f>
        <v>CARLIN DESMONDA</v>
      </c>
      <c r="C3731" s="8" t="str">
        <f>IFERROR(__xludf.DUMMYFUNCTION("""COMPUTED_VALUE"""),"C0826044356")</f>
        <v>C0826044356</v>
      </c>
      <c r="D3731" s="8">
        <f>IFERROR(__xludf.DUMMYFUNCTION("""COMPUTED_VALUE"""),17.0)</f>
        <v>17</v>
      </c>
      <c r="E3731" s="2"/>
    </row>
    <row r="3732">
      <c r="A3732" s="2"/>
      <c r="B3732" s="8" t="str">
        <f>IFERROR(__xludf.DUMMYFUNCTION("""COMPUTED_VALUE"""),"NG FA MOI")</f>
        <v>NG FA MOI</v>
      </c>
      <c r="C3732" s="8" t="str">
        <f>IFERROR(__xludf.DUMMYFUNCTION("""COMPUTED_VALUE"""),"N4526048181")</f>
        <v>N4526048181</v>
      </c>
      <c r="D3732" s="8">
        <f>IFERROR(__xludf.DUMMYFUNCTION("""COMPUTED_VALUE"""),81.0)</f>
        <v>81</v>
      </c>
      <c r="E3732" s="2"/>
    </row>
    <row r="3733">
      <c r="A3733" s="2"/>
      <c r="B3733" s="8" t="str">
        <f>IFERROR(__xludf.DUMMYFUNCTION("""COMPUTED_VALUE"""),"TIARA GALISTHA PUTRI")</f>
        <v>TIARA GALISTHA PUTRI</v>
      </c>
      <c r="C3733" s="8" t="str">
        <f>IFERROR(__xludf.DUMMYFUNCTION("""COMPUTED_VALUE"""),"T0726043346")</f>
        <v>T0726043346</v>
      </c>
      <c r="D3733" s="8">
        <f>IFERROR(__xludf.DUMMYFUNCTION("""COMPUTED_VALUE"""),18.0)</f>
        <v>18</v>
      </c>
      <c r="E3733" s="2"/>
    </row>
    <row r="3734">
      <c r="A3734" s="2"/>
      <c r="B3734" s="8" t="str">
        <f>IFERROR(__xludf.DUMMYFUNCTION("""COMPUTED_VALUE"""),"PRAKOSO SUSILO")</f>
        <v>PRAKOSO SUSILO</v>
      </c>
      <c r="C3734" s="8" t="str">
        <f>IFERROR(__xludf.DUMMYFUNCTION("""COMPUTED_VALUE"""),"P8426045999")</f>
        <v>P8426045999</v>
      </c>
      <c r="D3734" s="8">
        <f>IFERROR(__xludf.DUMMYFUNCTION("""COMPUTED_VALUE"""),41.0)</f>
        <v>41</v>
      </c>
      <c r="E3734" s="2"/>
    </row>
    <row r="3735">
      <c r="A3735" s="2"/>
      <c r="B3735" s="8" t="str">
        <f>IFERROR(__xludf.DUMMYFUNCTION("""COMPUTED_VALUE"""),"VINNDY CHONDRO")</f>
        <v>VINNDY CHONDRO</v>
      </c>
      <c r="C3735" s="8" t="str">
        <f>IFERROR(__xludf.DUMMYFUNCTION("""COMPUTED_VALUE"""),"V9726041998")</f>
        <v>V9726041998</v>
      </c>
      <c r="D3735" s="8">
        <f>IFERROR(__xludf.DUMMYFUNCTION("""COMPUTED_VALUE"""),29.0)</f>
        <v>29</v>
      </c>
      <c r="E3735" s="2"/>
    </row>
    <row r="3736">
      <c r="A3736" s="2"/>
      <c r="B3736" s="8" t="str">
        <f>IFERROR(__xludf.DUMMYFUNCTION("""COMPUTED_VALUE"""),"IPUNG WIJAYA ")</f>
        <v>IPUNG WIJAYA </v>
      </c>
      <c r="C3736" s="8" t="str">
        <f>IFERROR(__xludf.DUMMYFUNCTION("""COMPUTED_VALUE"""),"I6926049567")</f>
        <v>I6926049567</v>
      </c>
      <c r="D3736" s="8">
        <f>IFERROR(__xludf.DUMMYFUNCTION("""COMPUTED_VALUE"""),57.0)</f>
        <v>57</v>
      </c>
      <c r="E3736" s="2"/>
    </row>
    <row r="3737">
      <c r="A3737" s="2"/>
      <c r="B3737" s="8" t="str">
        <f>IFERROR(__xludf.DUMMYFUNCTION("""COMPUTED_VALUE"""),"ASTERIA MARCELINE")</f>
        <v>ASTERIA MARCELINE</v>
      </c>
      <c r="C3737" s="8" t="str">
        <f>IFERROR(__xludf.DUMMYFUNCTION("""COMPUTED_VALUE"""),"A9526045122")</f>
        <v>A9526045122</v>
      </c>
      <c r="D3737" s="8">
        <f>IFERROR(__xludf.DUMMYFUNCTION("""COMPUTED_VALUE"""),31.0)</f>
        <v>31</v>
      </c>
      <c r="E3737" s="2"/>
    </row>
    <row r="3738">
      <c r="A3738" s="2"/>
      <c r="B3738" s="8" t="str">
        <f>IFERROR(__xludf.DUMMYFUNCTION("""COMPUTED_VALUE"""),"SEPRIDA KURNIAWATI")</f>
        <v>SEPRIDA KURNIAWATI</v>
      </c>
      <c r="C3738" s="8" t="str">
        <f>IFERROR(__xludf.DUMMYFUNCTION("""COMPUTED_VALUE"""),"S8826042858")</f>
        <v>S8826042858</v>
      </c>
      <c r="D3738" s="8">
        <f>IFERROR(__xludf.DUMMYFUNCTION("""COMPUTED_VALUE"""),37.0)</f>
        <v>37</v>
      </c>
      <c r="E3738" s="2"/>
    </row>
    <row r="3739">
      <c r="A3739" s="2"/>
      <c r="B3739" s="8" t="str">
        <f>IFERROR(__xludf.DUMMYFUNCTION("""COMPUTED_VALUE"""),"AVRIL CAPRICIA")</f>
        <v>AVRIL CAPRICIA</v>
      </c>
      <c r="C3739" s="8" t="str">
        <f>IFERROR(__xludf.DUMMYFUNCTION("""COMPUTED_VALUE"""),"A0526040818")</f>
        <v>A0526040818</v>
      </c>
      <c r="D3739" s="8">
        <f>IFERROR(__xludf.DUMMYFUNCTION("""COMPUTED_VALUE"""),21.0)</f>
        <v>21</v>
      </c>
      <c r="E3739" s="2"/>
    </row>
    <row r="3740">
      <c r="A3740" s="2"/>
      <c r="B3740" s="8" t="str">
        <f>IFERROR(__xludf.DUMMYFUNCTION("""COMPUTED_VALUE"""),"CAMELIA SANTIKA")</f>
        <v>CAMELIA SANTIKA</v>
      </c>
      <c r="C3740" s="8" t="str">
        <f>IFERROR(__xludf.DUMMYFUNCTION("""COMPUTED_VALUE"""),"C0026044840")</f>
        <v>C0026044840</v>
      </c>
      <c r="D3740" s="8">
        <f>IFERROR(__xludf.DUMMYFUNCTION("""COMPUTED_VALUE"""),25.0)</f>
        <v>25</v>
      </c>
      <c r="E3740" s="2"/>
    </row>
    <row r="3741">
      <c r="A3741" s="2"/>
      <c r="B3741" s="8" t="str">
        <f>IFERROR(__xludf.DUMMYFUNCTION("""COMPUTED_VALUE"""),"AHMADI")</f>
        <v>AHMADI</v>
      </c>
      <c r="C3741" s="8" t="str">
        <f>IFERROR(__xludf.DUMMYFUNCTION("""COMPUTED_VALUE"""),"A7226041925")</f>
        <v>A7226041925</v>
      </c>
      <c r="D3741" s="8">
        <f>IFERROR(__xludf.DUMMYFUNCTION("""COMPUTED_VALUE"""),54.0)</f>
        <v>54</v>
      </c>
      <c r="E3741" s="2"/>
    </row>
    <row r="3742">
      <c r="A3742" s="2"/>
      <c r="B3742" s="8" t="str">
        <f>IFERROR(__xludf.DUMMYFUNCTION("""COMPUTED_VALUE"""),"EVIE YULINDA")</f>
        <v>EVIE YULINDA</v>
      </c>
      <c r="C3742" s="8" t="str">
        <f>IFERROR(__xludf.DUMMYFUNCTION("""COMPUTED_VALUE"""),"E6526041157")</f>
        <v>E6526041157</v>
      </c>
      <c r="D3742" s="8">
        <f>IFERROR(__xludf.DUMMYFUNCTION("""COMPUTED_VALUE"""),61.0)</f>
        <v>61</v>
      </c>
      <c r="E3742" s="2"/>
    </row>
    <row r="3743">
      <c r="A3743" s="2"/>
      <c r="B3743" s="8" t="str">
        <f>IFERROR(__xludf.DUMMYFUNCTION("""COMPUTED_VALUE"""),"TOMY")</f>
        <v>TOMY</v>
      </c>
      <c r="C3743" s="8" t="str">
        <f>IFERROR(__xludf.DUMMYFUNCTION("""COMPUTED_VALUE"""),"T9026049599")</f>
        <v>T9026049599</v>
      </c>
      <c r="D3743" s="8">
        <f>IFERROR(__xludf.DUMMYFUNCTION("""COMPUTED_VALUE"""),35.0)</f>
        <v>35</v>
      </c>
      <c r="E3743" s="2"/>
    </row>
    <row r="3744">
      <c r="A3744" s="2"/>
      <c r="B3744" s="8" t="str">
        <f>IFERROR(__xludf.DUMMYFUNCTION("""COMPUTED_VALUE"""),"AURELLIA RAHMA DWIYANTI")</f>
        <v>AURELLIA RAHMA DWIYANTI</v>
      </c>
      <c r="C3744" s="8" t="str">
        <f>IFERROR(__xludf.DUMMYFUNCTION("""COMPUTED_VALUE"""),"A0926040847")</f>
        <v>A0926040847</v>
      </c>
      <c r="D3744" s="8">
        <f>IFERROR(__xludf.DUMMYFUNCTION("""COMPUTED_VALUE"""),16.0)</f>
        <v>16</v>
      </c>
      <c r="E3744" s="2"/>
    </row>
    <row r="3745">
      <c r="A3745" s="2"/>
      <c r="B3745" s="8" t="str">
        <f>IFERROR(__xludf.DUMMYFUNCTION("""COMPUTED_VALUE"""),"ISTIQOMAH")</f>
        <v>ISTIQOMAH</v>
      </c>
      <c r="C3745" s="8" t="str">
        <f>IFERROR(__xludf.DUMMYFUNCTION("""COMPUTED_VALUE"""),"I9926040518")</f>
        <v>I9926040518</v>
      </c>
      <c r="D3745" s="8">
        <f>IFERROR(__xludf.DUMMYFUNCTION("""COMPUTED_VALUE"""),27.0)</f>
        <v>27</v>
      </c>
      <c r="E3745" s="2"/>
    </row>
    <row r="3746">
      <c r="A3746" s="2"/>
      <c r="B3746" s="8" t="str">
        <f>IFERROR(__xludf.DUMMYFUNCTION("""COMPUTED_VALUE"""),"KARIU SIDISMO")</f>
        <v>KARIU SIDISMO</v>
      </c>
      <c r="C3746" s="8" t="str">
        <f>IFERROR(__xludf.DUMMYFUNCTION("""COMPUTED_VALUE"""),"K6226042437")</f>
        <v>K6226042437</v>
      </c>
      <c r="D3746" s="8">
        <f>IFERROR(__xludf.DUMMYFUNCTION("""COMPUTED_VALUE"""),63.0)</f>
        <v>63</v>
      </c>
      <c r="E3746" s="2"/>
    </row>
    <row r="3747">
      <c r="A3747" s="2"/>
      <c r="B3747" s="8" t="str">
        <f>IFERROR(__xludf.DUMMYFUNCTION("""COMPUTED_VALUE"""),"M BAMBANG SUMANTRI")</f>
        <v>M BAMBANG SUMANTRI</v>
      </c>
      <c r="C3747" s="8" t="str">
        <f>IFERROR(__xludf.DUMMYFUNCTION("""COMPUTED_VALUE"""),"M0826042608")</f>
        <v>M0826042608</v>
      </c>
      <c r="D3747" s="8">
        <f>IFERROR(__xludf.DUMMYFUNCTION("""COMPUTED_VALUE"""),18.0)</f>
        <v>18</v>
      </c>
      <c r="E3747" s="2"/>
    </row>
    <row r="3748">
      <c r="A3748" s="2"/>
      <c r="B3748" s="8" t="str">
        <f>IFERROR(__xludf.DUMMYFUNCTION("""COMPUTED_VALUE"""),"H. ANTON PRASETYO")</f>
        <v>H. ANTON PRASETYO</v>
      </c>
      <c r="C3748" s="8" t="str">
        <f>IFERROR(__xludf.DUMMYFUNCTION("""COMPUTED_VALUE"""),"H6026048898")</f>
        <v>H6026048898</v>
      </c>
      <c r="D3748" s="8">
        <f>IFERROR(__xludf.DUMMYFUNCTION("""COMPUTED_VALUE"""),66.0)</f>
        <v>66</v>
      </c>
      <c r="E3748" s="2"/>
    </row>
    <row r="3749">
      <c r="A3749" s="2"/>
      <c r="B3749" s="8" t="str">
        <f>IFERROR(__xludf.DUMMYFUNCTION("""COMPUTED_VALUE"""),"ABANG BUSRANUDIN")</f>
        <v>ABANG BUSRANUDIN</v>
      </c>
      <c r="C3749" s="8" t="str">
        <f>IFERROR(__xludf.DUMMYFUNCTION("""COMPUTED_VALUE"""),"A9526047213")</f>
        <v>A9526047213</v>
      </c>
      <c r="D3749" s="8">
        <f>IFERROR(__xludf.DUMMYFUNCTION("""COMPUTED_VALUE"""),30.0)</f>
        <v>30</v>
      </c>
      <c r="E3749" s="2"/>
    </row>
    <row r="3750">
      <c r="A3750" s="2"/>
      <c r="B3750" s="8" t="str">
        <f>IFERROR(__xludf.DUMMYFUNCTION("""COMPUTED_VALUE"""),"IWAN GUNAWAN")</f>
        <v>IWAN GUNAWAN</v>
      </c>
      <c r="C3750" s="8" t="str">
        <f>IFERROR(__xludf.DUMMYFUNCTION("""COMPUTED_VALUE"""),"I8026045527")</f>
        <v>I8026045527</v>
      </c>
      <c r="D3750" s="8">
        <f>IFERROR(__xludf.DUMMYFUNCTION("""COMPUTED_VALUE"""),45.0)</f>
        <v>45</v>
      </c>
      <c r="E3750" s="2"/>
    </row>
    <row r="3751">
      <c r="A3751" s="2"/>
      <c r="B3751" s="8" t="str">
        <f>IFERROR(__xludf.DUMMYFUNCTION("""COMPUTED_VALUE"""),"AGUSTONO")</f>
        <v>AGUSTONO</v>
      </c>
      <c r="C3751" s="8" t="str">
        <f>IFERROR(__xludf.DUMMYFUNCTION("""COMPUTED_VALUE"""),"A6726040451")</f>
        <v>A6726040451</v>
      </c>
      <c r="D3751" s="8">
        <f>IFERROR(__xludf.DUMMYFUNCTION("""COMPUTED_VALUE"""),58.0)</f>
        <v>58</v>
      </c>
      <c r="E3751" s="2"/>
    </row>
    <row r="3752">
      <c r="A3752" s="2"/>
      <c r="B3752" s="8" t="str">
        <f>IFERROR(__xludf.DUMMYFUNCTION("""COMPUTED_VALUE"""),"LIM MOI TJU")</f>
        <v>LIM MOI TJU</v>
      </c>
      <c r="C3752" s="8" t="str">
        <f>IFERROR(__xludf.DUMMYFUNCTION("""COMPUTED_VALUE"""),"L5926043158")</f>
        <v>L5926043158</v>
      </c>
      <c r="D3752" s="8">
        <f>IFERROR(__xludf.DUMMYFUNCTION("""COMPUTED_VALUE"""),66.0)</f>
        <v>66</v>
      </c>
      <c r="E3752" s="2"/>
    </row>
    <row r="3753">
      <c r="A3753" s="2"/>
      <c r="B3753" s="8" t="str">
        <f>IFERROR(__xludf.DUMMYFUNCTION("""COMPUTED_VALUE"""),"DEWI WAHYUDANINGSIH")</f>
        <v>DEWI WAHYUDANINGSIH</v>
      </c>
      <c r="C3753" s="8" t="str">
        <f>IFERROR(__xludf.DUMMYFUNCTION("""COMPUTED_VALUE"""),"D7326044231")</f>
        <v>D7326044231</v>
      </c>
      <c r="D3753" s="8">
        <f>IFERROR(__xludf.DUMMYFUNCTION("""COMPUTED_VALUE"""),53.0)</f>
        <v>53</v>
      </c>
      <c r="E3753" s="2"/>
    </row>
    <row r="3754">
      <c r="A3754" s="2"/>
      <c r="B3754" s="8" t="str">
        <f>IFERROR(__xludf.DUMMYFUNCTION("""COMPUTED_VALUE"""),"PUTRI SAMPURNA DEWI")</f>
        <v>PUTRI SAMPURNA DEWI</v>
      </c>
      <c r="C3754" s="8" t="str">
        <f>IFERROR(__xludf.DUMMYFUNCTION("""COMPUTED_VALUE"""),"P9126049381")</f>
        <v>P9126049381</v>
      </c>
      <c r="D3754" s="8">
        <f>IFERROR(__xludf.DUMMYFUNCTION("""COMPUTED_VALUE"""),34.0)</f>
        <v>34</v>
      </c>
      <c r="E3754" s="2"/>
    </row>
    <row r="3755">
      <c r="A3755" s="2"/>
      <c r="B3755" s="8" t="str">
        <f>IFERROR(__xludf.DUMMYFUNCTION("""COMPUTED_VALUE"""),"ERIC")</f>
        <v>ERIC</v>
      </c>
      <c r="C3755" s="8" t="str">
        <f>IFERROR(__xludf.DUMMYFUNCTION("""COMPUTED_VALUE"""),"E9326041991")</f>
        <v>E9326041991</v>
      </c>
      <c r="D3755" s="8">
        <f>IFERROR(__xludf.DUMMYFUNCTION("""COMPUTED_VALUE"""),32.0)</f>
        <v>32</v>
      </c>
      <c r="E3755" s="2"/>
    </row>
    <row r="3756">
      <c r="A3756" s="2"/>
      <c r="B3756" s="8" t="str">
        <f>IFERROR(__xludf.DUMMYFUNCTION("""COMPUTED_VALUE"""),"YASHINTA DIAJENG KULAAN")</f>
        <v>YASHINTA DIAJENG KULAAN</v>
      </c>
      <c r="C3756" s="8" t="str">
        <f>IFERROR(__xludf.DUMMYFUNCTION("""COMPUTED_VALUE"""),"Y9426058459")</f>
        <v>Y9426058459</v>
      </c>
      <c r="D3756" s="8">
        <f>IFERROR(__xludf.DUMMYFUNCTION("""COMPUTED_VALUE"""),31.0)</f>
        <v>31</v>
      </c>
      <c r="E3756" s="2"/>
    </row>
    <row r="3757">
      <c r="A3757" s="2"/>
      <c r="B3757" s="8" t="str">
        <f>IFERROR(__xludf.DUMMYFUNCTION("""COMPUTED_VALUE"""),"IKHSANUDIN 6611")</f>
        <v>IKHSANUDIN 6611</v>
      </c>
      <c r="C3757" s="8" t="str">
        <f>IFERROR(__xludf.DUMMYFUNCTION("""COMPUTED_VALUE"""),"I6626056966")</f>
        <v>I6626056966</v>
      </c>
      <c r="D3757" s="8">
        <f>IFERROR(__xludf.DUMMYFUNCTION("""COMPUTED_VALUE"""),59.0)</f>
        <v>59</v>
      </c>
      <c r="E3757" s="2"/>
    </row>
    <row r="3758">
      <c r="A3758" s="2"/>
      <c r="B3758" s="8" t="str">
        <f>IFERROR(__xludf.DUMMYFUNCTION("""COMPUTED_VALUE"""),"IMAN ROMADHONI ")</f>
        <v>IMAN ROMADHONI </v>
      </c>
      <c r="C3758" s="8" t="str">
        <f>IFERROR(__xludf.DUMMYFUNCTION("""COMPUTED_VALUE"""),"I0526052947")</f>
        <v>I0526052947</v>
      </c>
      <c r="D3758" s="8">
        <f>IFERROR(__xludf.DUMMYFUNCTION("""COMPUTED_VALUE"""),20.0)</f>
        <v>20</v>
      </c>
      <c r="E3758" s="2"/>
    </row>
    <row r="3759">
      <c r="A3759" s="2"/>
      <c r="B3759" s="8" t="str">
        <f>IFERROR(__xludf.DUMMYFUNCTION("""COMPUTED_VALUE"""),"MERY")</f>
        <v>MERY</v>
      </c>
      <c r="C3759" s="8" t="str">
        <f>IFERROR(__xludf.DUMMYFUNCTION("""COMPUTED_VALUE"""),"M7726058129")</f>
        <v>M7726058129</v>
      </c>
      <c r="D3759" s="8">
        <f>IFERROR(__xludf.DUMMYFUNCTION("""COMPUTED_VALUE"""),49.0)</f>
        <v>49</v>
      </c>
      <c r="E3759" s="2"/>
    </row>
    <row r="3760">
      <c r="A3760" s="2"/>
      <c r="B3760" s="8" t="str">
        <f>IFERROR(__xludf.DUMMYFUNCTION("""COMPUTED_VALUE"""),"HELEN")</f>
        <v>HELEN</v>
      </c>
      <c r="C3760" s="8" t="str">
        <f>IFERROR(__xludf.DUMMYFUNCTION("""COMPUTED_VALUE"""),"H8626052100")</f>
        <v>H8626052100</v>
      </c>
      <c r="D3760" s="8">
        <f>IFERROR(__xludf.DUMMYFUNCTION("""COMPUTED_VALUE"""),40.0)</f>
        <v>40</v>
      </c>
      <c r="E3760" s="2"/>
    </row>
    <row r="3761">
      <c r="A3761" s="2"/>
      <c r="B3761" s="8" t="str">
        <f>IFERROR(__xludf.DUMMYFUNCTION("""COMPUTED_VALUE"""),"ANDRE DWI CAHYO")</f>
        <v>ANDRE DWI CAHYO</v>
      </c>
      <c r="C3761" s="8" t="str">
        <f>IFERROR(__xludf.DUMMYFUNCTION("""COMPUTED_VALUE"""),"A9626055998")</f>
        <v>A9626055998</v>
      </c>
      <c r="D3761" s="8">
        <f>IFERROR(__xludf.DUMMYFUNCTION("""COMPUTED_VALUE"""),29.0)</f>
        <v>29</v>
      </c>
      <c r="E3761" s="2"/>
    </row>
    <row r="3762">
      <c r="A3762" s="2"/>
      <c r="B3762" s="8" t="str">
        <f>IFERROR(__xludf.DUMMYFUNCTION("""COMPUTED_VALUE"""),"DELLA SAPUTRI")</f>
        <v>DELLA SAPUTRI</v>
      </c>
      <c r="C3762" s="8" t="str">
        <f>IFERROR(__xludf.DUMMYFUNCTION("""COMPUTED_VALUE"""),"D0126051793")</f>
        <v>D0126051793</v>
      </c>
      <c r="D3762" s="8">
        <f>IFERROR(__xludf.DUMMYFUNCTION("""COMPUTED_VALUE"""),24.0)</f>
        <v>24</v>
      </c>
      <c r="E3762" s="2"/>
    </row>
    <row r="3763">
      <c r="A3763" s="2"/>
      <c r="B3763" s="8" t="str">
        <f>IFERROR(__xludf.DUMMYFUNCTION("""COMPUTED_VALUE"""),"ADINDA OKA KHAYLA PUTRI")</f>
        <v>ADINDA OKA KHAYLA PUTRI</v>
      </c>
      <c r="C3763" s="8" t="str">
        <f>IFERROR(__xludf.DUMMYFUNCTION("""COMPUTED_VALUE"""),"A0726050007")</f>
        <v>A0726050007</v>
      </c>
      <c r="D3763" s="8">
        <f>IFERROR(__xludf.DUMMYFUNCTION("""COMPUTED_VALUE"""),18.0)</f>
        <v>18</v>
      </c>
      <c r="E3763" s="2"/>
    </row>
    <row r="3764">
      <c r="A3764" s="2"/>
      <c r="B3764" s="8" t="str">
        <f>IFERROR(__xludf.DUMMYFUNCTION("""COMPUTED_VALUE"""),"EKA SUSANTI")</f>
        <v>EKA SUSANTI</v>
      </c>
      <c r="C3764" s="8" t="str">
        <f>IFERROR(__xludf.DUMMYFUNCTION("""COMPUTED_VALUE"""),"E9126058138")</f>
        <v>E9126058138</v>
      </c>
      <c r="D3764" s="8">
        <f>IFERROR(__xludf.DUMMYFUNCTION("""COMPUTED_VALUE"""),35.0)</f>
        <v>35</v>
      </c>
      <c r="E3764" s="2"/>
    </row>
    <row r="3765">
      <c r="A3765" s="2"/>
      <c r="B3765" s="8" t="str">
        <f>IFERROR(__xludf.DUMMYFUNCTION("""COMPUTED_VALUE"""),"SILKY YESSITA")</f>
        <v>SILKY YESSITA</v>
      </c>
      <c r="C3765" s="8" t="str">
        <f>IFERROR(__xludf.DUMMYFUNCTION("""COMPUTED_VALUE"""),"S7626053377")</f>
        <v>S7626053377</v>
      </c>
      <c r="D3765" s="8">
        <f>IFERROR(__xludf.DUMMYFUNCTION("""COMPUTED_VALUE"""),49.0)</f>
        <v>49</v>
      </c>
      <c r="E3765" s="2"/>
    </row>
    <row r="3766">
      <c r="A3766" s="2"/>
      <c r="B3766" s="8" t="str">
        <f>IFERROR(__xludf.DUMMYFUNCTION("""COMPUTED_VALUE"""),"WILLY WINARDI")</f>
        <v>WILLY WINARDI</v>
      </c>
      <c r="C3766" s="8" t="str">
        <f>IFERROR(__xludf.DUMMYFUNCTION("""COMPUTED_VALUE"""),"W8726058052")</f>
        <v>W8726058052</v>
      </c>
      <c r="D3766" s="8">
        <f>IFERROR(__xludf.DUMMYFUNCTION("""COMPUTED_VALUE"""),39.0)</f>
        <v>39</v>
      </c>
      <c r="E3766" s="2"/>
    </row>
    <row r="3767">
      <c r="A3767" s="2"/>
      <c r="B3767" s="8" t="str">
        <f>IFERROR(__xludf.DUMMYFUNCTION("""COMPUTED_VALUE"""),"DEDY HIDAYAT")</f>
        <v>DEDY HIDAYAT</v>
      </c>
      <c r="C3767" s="8" t="str">
        <f>IFERROR(__xludf.DUMMYFUNCTION("""COMPUTED_VALUE"""),"D7726053377")</f>
        <v>D7726053377</v>
      </c>
      <c r="D3767" s="8">
        <f>IFERROR(__xludf.DUMMYFUNCTION("""COMPUTED_VALUE"""),49.0)</f>
        <v>49</v>
      </c>
      <c r="E3767" s="2"/>
    </row>
    <row r="3768">
      <c r="A3768" s="2"/>
      <c r="B3768" s="8" t="str">
        <f>IFERROR(__xludf.DUMMYFUNCTION("""COMPUTED_VALUE"""),"NAROKTADENY")</f>
        <v>NAROKTADENY</v>
      </c>
      <c r="C3768" s="8" t="str">
        <f>IFERROR(__xludf.DUMMYFUNCTION("""COMPUTED_VALUE"""),"N7526051243")</f>
        <v>N7526051243</v>
      </c>
      <c r="D3768" s="8">
        <f>IFERROR(__xludf.DUMMYFUNCTION("""COMPUTED_VALUE"""),50.0)</f>
        <v>50</v>
      </c>
      <c r="E3768" s="2"/>
    </row>
    <row r="3769">
      <c r="A3769" s="2"/>
      <c r="B3769" s="8" t="str">
        <f>IFERROR(__xludf.DUMMYFUNCTION("""COMPUTED_VALUE"""),"WAHYU DYAH")</f>
        <v>WAHYU DYAH</v>
      </c>
      <c r="C3769" s="8" t="str">
        <f>IFERROR(__xludf.DUMMYFUNCTION("""COMPUTED_VALUE"""),"W7626050823")</f>
        <v>W7626050823</v>
      </c>
      <c r="D3769" s="8">
        <f>IFERROR(__xludf.DUMMYFUNCTION("""COMPUTED_VALUE"""),50.0)</f>
        <v>50</v>
      </c>
      <c r="E3769" s="2"/>
    </row>
    <row r="3770">
      <c r="A3770" s="2"/>
      <c r="B3770" s="8" t="str">
        <f>IFERROR(__xludf.DUMMYFUNCTION("""COMPUTED_VALUE"""),"ERDUS AMA MASANG")</f>
        <v>ERDUS AMA MASANG</v>
      </c>
      <c r="C3770" s="8" t="str">
        <f>IFERROR(__xludf.DUMMYFUNCTION("""COMPUTED_VALUE"""),"E8726059300")</f>
        <v>E8726059300</v>
      </c>
      <c r="D3770" s="8">
        <f>IFERROR(__xludf.DUMMYFUNCTION("""COMPUTED_VALUE"""),39.0)</f>
        <v>39</v>
      </c>
      <c r="E3770" s="2"/>
    </row>
    <row r="3771">
      <c r="A3771" s="2"/>
      <c r="B3771" s="8" t="str">
        <f>IFERROR(__xludf.DUMMYFUNCTION("""COMPUTED_VALUE"""),"GEORGE BUDIJANTO SALIM")</f>
        <v>GEORGE BUDIJANTO SALIM</v>
      </c>
      <c r="C3771" s="8" t="str">
        <f>IFERROR(__xludf.DUMMYFUNCTION("""COMPUTED_VALUE"""),"G4826058883")</f>
        <v>G4826058883</v>
      </c>
      <c r="D3771" s="8">
        <f>IFERROR(__xludf.DUMMYFUNCTION("""COMPUTED_VALUE"""),77.0)</f>
        <v>77</v>
      </c>
      <c r="E3771" s="2"/>
    </row>
    <row r="3772">
      <c r="A3772" s="2"/>
      <c r="B3772" s="8" t="str">
        <f>IFERROR(__xludf.DUMMYFUNCTION("""COMPUTED_VALUE"""),"YANDI ALEXIS ")</f>
        <v>YANDI ALEXIS </v>
      </c>
      <c r="C3772" s="8" t="str">
        <f>IFERROR(__xludf.DUMMYFUNCTION("""COMPUTED_VALUE"""),"Y9026059998")</f>
        <v>Y9026059998</v>
      </c>
      <c r="D3772" s="8">
        <f>IFERROR(__xludf.DUMMYFUNCTION("""COMPUTED_VALUE"""),36.0)</f>
        <v>36</v>
      </c>
      <c r="E3772" s="2"/>
    </row>
    <row r="3773">
      <c r="A3773" s="2"/>
      <c r="B3773" s="8" t="str">
        <f>IFERROR(__xludf.DUMMYFUNCTION("""COMPUTED_VALUE"""),"OWEN FRENTSEN")</f>
        <v>OWEN FRENTSEN</v>
      </c>
      <c r="C3773" s="8" t="str">
        <f>IFERROR(__xludf.DUMMYFUNCTION("""COMPUTED_VALUE"""),"O9926054447")</f>
        <v>O9926054447</v>
      </c>
      <c r="D3773" s="8">
        <f>IFERROR(__xludf.DUMMYFUNCTION("""COMPUTED_VALUE"""),26.0)</f>
        <v>26</v>
      </c>
      <c r="E3773" s="2"/>
    </row>
    <row r="3774">
      <c r="A3774" s="2"/>
      <c r="B3774" s="8" t="str">
        <f>IFERROR(__xludf.DUMMYFUNCTION("""COMPUTED_VALUE"""),"VINA MONIKA")</f>
        <v>VINA MONIKA</v>
      </c>
      <c r="C3774" s="8" t="str">
        <f>IFERROR(__xludf.DUMMYFUNCTION("""COMPUTED_VALUE"""),"V9826055530")</f>
        <v>V9826055530</v>
      </c>
      <c r="D3774" s="8">
        <f>IFERROR(__xludf.DUMMYFUNCTION("""COMPUTED_VALUE"""),27.0)</f>
        <v>27</v>
      </c>
      <c r="E3774" s="2"/>
    </row>
    <row r="3775">
      <c r="A3775" s="2"/>
      <c r="B3775" s="8" t="str">
        <f>IFERROR(__xludf.DUMMYFUNCTION("""COMPUTED_VALUE"""),"AMIRUL MUCHDI")</f>
        <v>AMIRUL MUCHDI</v>
      </c>
      <c r="C3775" s="8" t="str">
        <f>IFERROR(__xludf.DUMMYFUNCTION("""COMPUTED_VALUE"""),"A9826052856")</f>
        <v>A9826052856</v>
      </c>
      <c r="D3775" s="8">
        <f>IFERROR(__xludf.DUMMYFUNCTION("""COMPUTED_VALUE"""),28.0)</f>
        <v>28</v>
      </c>
      <c r="E3775" s="2"/>
    </row>
    <row r="3776">
      <c r="A3776" s="2"/>
      <c r="B3776" s="8" t="str">
        <f>IFERROR(__xludf.DUMMYFUNCTION("""COMPUTED_VALUE"""),"SISNAWATI")</f>
        <v>SISNAWATI</v>
      </c>
      <c r="C3776" s="8" t="str">
        <f>IFERROR(__xludf.DUMMYFUNCTION("""COMPUTED_VALUE"""),"S8526057973")</f>
        <v>S8526057973</v>
      </c>
      <c r="D3776" s="8">
        <f>IFERROR(__xludf.DUMMYFUNCTION("""COMPUTED_VALUE"""),40.0)</f>
        <v>40</v>
      </c>
      <c r="E3776" s="2"/>
    </row>
    <row r="3777">
      <c r="A3777" s="2"/>
      <c r="B3777" s="8" t="str">
        <f>IFERROR(__xludf.DUMMYFUNCTION("""COMPUTED_VALUE"""),"TAUFIKURROHMAN")</f>
        <v>TAUFIKURROHMAN</v>
      </c>
      <c r="C3777" s="8" t="str">
        <f>IFERROR(__xludf.DUMMYFUNCTION("""COMPUTED_VALUE"""),"T9726055545")</f>
        <v>T9726055545</v>
      </c>
      <c r="D3777" s="8">
        <f>IFERROR(__xludf.DUMMYFUNCTION("""COMPUTED_VALUE"""),28.0)</f>
        <v>28</v>
      </c>
      <c r="E3777" s="2"/>
    </row>
    <row r="3778">
      <c r="A3778" s="2"/>
      <c r="B3778" s="8" t="str">
        <f>IFERROR(__xludf.DUMMYFUNCTION("""COMPUTED_VALUE"""),"ASRI MUHARANI ARSA")</f>
        <v>ASRI MUHARANI ARSA</v>
      </c>
      <c r="C3778" s="8" t="str">
        <f>IFERROR(__xludf.DUMMYFUNCTION("""COMPUTED_VALUE"""),"A9626050666")</f>
        <v>A9626050666</v>
      </c>
      <c r="D3778" s="8">
        <f>IFERROR(__xludf.DUMMYFUNCTION("""COMPUTED_VALUE"""),30.0)</f>
        <v>30</v>
      </c>
      <c r="E3778" s="2"/>
    </row>
    <row r="3779">
      <c r="A3779" s="2"/>
      <c r="B3779" s="8" t="str">
        <f>IFERROR(__xludf.DUMMYFUNCTION("""COMPUTED_VALUE"""),"RITA")</f>
        <v>RITA</v>
      </c>
      <c r="C3779" s="8" t="str">
        <f>IFERROR(__xludf.DUMMYFUNCTION("""COMPUTED_VALUE"""),"R8626057005")</f>
        <v>R8626057005</v>
      </c>
      <c r="D3779" s="8">
        <f>IFERROR(__xludf.DUMMYFUNCTION("""COMPUTED_VALUE"""),40.0)</f>
        <v>40</v>
      </c>
      <c r="E3779" s="2"/>
    </row>
    <row r="3780">
      <c r="A3780" s="2"/>
      <c r="B3780" s="8" t="str">
        <f>IFERROR(__xludf.DUMMYFUNCTION("""COMPUTED_VALUE"""),"MANJA")</f>
        <v>MANJA</v>
      </c>
      <c r="C3780" s="8" t="str">
        <f>IFERROR(__xludf.DUMMYFUNCTION("""COMPUTED_VALUE"""),"M9826052194")</f>
        <v>M9826052194</v>
      </c>
      <c r="D3780" s="8">
        <f>IFERROR(__xludf.DUMMYFUNCTION("""COMPUTED_VALUE"""),28.0)</f>
        <v>28</v>
      </c>
      <c r="E3780" s="2"/>
    </row>
    <row r="3781">
      <c r="A3781" s="2"/>
      <c r="B3781" s="8" t="str">
        <f>IFERROR(__xludf.DUMMYFUNCTION("""COMPUTED_VALUE"""),"GAN KONG HOK ALS KIEMHOO")</f>
        <v>GAN KONG HOK ALS KIEMHOO</v>
      </c>
      <c r="C3781" s="8" t="str">
        <f>IFERROR(__xludf.DUMMYFUNCTION("""COMPUTED_VALUE"""),"G5426057226")</f>
        <v>G5426057226</v>
      </c>
      <c r="D3781" s="8">
        <f>IFERROR(__xludf.DUMMYFUNCTION("""COMPUTED_VALUE"""),71.0)</f>
        <v>71</v>
      </c>
      <c r="E3781" s="2"/>
    </row>
    <row r="3782">
      <c r="A3782" s="2"/>
      <c r="B3782" s="8" t="str">
        <f>IFERROR(__xludf.DUMMYFUNCTION("""COMPUTED_VALUE"""),"FITRI FATIMAH")</f>
        <v>FITRI FATIMAH</v>
      </c>
      <c r="C3782" s="8" t="str">
        <f>IFERROR(__xludf.DUMMYFUNCTION("""COMPUTED_VALUE"""),"F8126053336")</f>
        <v>F8126053336</v>
      </c>
      <c r="D3782" s="8">
        <f>IFERROR(__xludf.DUMMYFUNCTION("""COMPUTED_VALUE"""),45.0)</f>
        <v>45</v>
      </c>
      <c r="E3782" s="2"/>
    </row>
    <row r="3783">
      <c r="A3783" s="2"/>
      <c r="B3783" s="8" t="str">
        <f>IFERROR(__xludf.DUMMYFUNCTION("""COMPUTED_VALUE"""),"CHARLES")</f>
        <v>CHARLES</v>
      </c>
      <c r="C3783" s="8" t="str">
        <f>IFERROR(__xludf.DUMMYFUNCTION("""COMPUTED_VALUE"""),"C0126058829")</f>
        <v>C0126058829</v>
      </c>
      <c r="D3783" s="8">
        <f>IFERROR(__xludf.DUMMYFUNCTION("""COMPUTED_VALUE"""),24.0)</f>
        <v>24</v>
      </c>
      <c r="E3783" s="2"/>
    </row>
    <row r="3784">
      <c r="A3784" s="2"/>
      <c r="B3784" s="8" t="str">
        <f>IFERROR(__xludf.DUMMYFUNCTION("""COMPUTED_VALUE"""),"JOKO PRANOTO")</f>
        <v>JOKO PRANOTO</v>
      </c>
      <c r="C3784" s="8" t="str">
        <f>IFERROR(__xludf.DUMMYFUNCTION("""COMPUTED_VALUE"""),"J9526054463")</f>
        <v>J9526054463</v>
      </c>
      <c r="D3784" s="8">
        <f>IFERROR(__xludf.DUMMYFUNCTION("""COMPUTED_VALUE"""),31.0)</f>
        <v>31</v>
      </c>
      <c r="E3784" s="2"/>
    </row>
    <row r="3785">
      <c r="A3785" s="2"/>
      <c r="B3785" s="8" t="str">
        <f>IFERROR(__xludf.DUMMYFUNCTION("""COMPUTED_VALUE"""),"MUHAIMIN SANI ")</f>
        <v>MUHAIMIN SANI </v>
      </c>
      <c r="C3785" s="8" t="str">
        <f>IFERROR(__xludf.DUMMYFUNCTION("""COMPUTED_VALUE"""),"M8926051205")</f>
        <v>M8926051205</v>
      </c>
      <c r="D3785" s="8">
        <f>IFERROR(__xludf.DUMMYFUNCTION("""COMPUTED_VALUE"""),37.0)</f>
        <v>37</v>
      </c>
      <c r="E3785" s="2"/>
    </row>
    <row r="3786">
      <c r="A3786" s="2"/>
      <c r="B3786" s="8" t="str">
        <f>IFERROR(__xludf.DUMMYFUNCTION("""COMPUTED_VALUE"""),"PUTRI AMALIA NURMIZAN")</f>
        <v>PUTRI AMALIA NURMIZAN</v>
      </c>
      <c r="C3786" s="8" t="str">
        <f>IFERROR(__xludf.DUMMYFUNCTION("""COMPUTED_VALUE"""),"P0226050008")</f>
        <v>P0226050008</v>
      </c>
      <c r="D3786" s="8">
        <f>IFERROR(__xludf.DUMMYFUNCTION("""COMPUTED_VALUE"""),24.0)</f>
        <v>24</v>
      </c>
      <c r="E3786" s="2"/>
    </row>
    <row r="3787">
      <c r="A3787" s="2"/>
      <c r="B3787" s="8" t="str">
        <f>IFERROR(__xludf.DUMMYFUNCTION("""COMPUTED_VALUE"""),"KURNIA WIDYASTUTY")</f>
        <v>KURNIA WIDYASTUTY</v>
      </c>
      <c r="C3787" s="8" t="str">
        <f>IFERROR(__xludf.DUMMYFUNCTION("""COMPUTED_VALUE"""),"K9126053003")</f>
        <v>K9126053003</v>
      </c>
      <c r="D3787" s="8">
        <f>IFERROR(__xludf.DUMMYFUNCTION("""COMPUTED_VALUE"""),35.0)</f>
        <v>35</v>
      </c>
      <c r="E3787" s="2"/>
    </row>
    <row r="3788">
      <c r="A3788" s="2"/>
      <c r="B3788" s="8" t="str">
        <f>IFERROR(__xludf.DUMMYFUNCTION("""COMPUTED_VALUE"""),"EPENDI")</f>
        <v>EPENDI</v>
      </c>
      <c r="C3788" s="8" t="str">
        <f>IFERROR(__xludf.DUMMYFUNCTION("""COMPUTED_VALUE"""),"E9726051490")</f>
        <v>E9726051490</v>
      </c>
      <c r="D3788" s="8">
        <f>IFERROR(__xludf.DUMMYFUNCTION("""COMPUTED_VALUE"""),29.0)</f>
        <v>29</v>
      </c>
      <c r="E3788" s="2"/>
    </row>
    <row r="3789">
      <c r="A3789" s="2"/>
      <c r="B3789" s="8" t="str">
        <f>IFERROR(__xludf.DUMMYFUNCTION("""COMPUTED_VALUE"""),"NOVITA ADI HANDAYANI")</f>
        <v>NOVITA ADI HANDAYANI</v>
      </c>
      <c r="C3789" s="8" t="str">
        <f>IFERROR(__xludf.DUMMYFUNCTION("""COMPUTED_VALUE"""),"N9026059606")</f>
        <v>N9026059606</v>
      </c>
      <c r="D3789" s="8">
        <f>IFERROR(__xludf.DUMMYFUNCTION("""COMPUTED_VALUE"""),35.0)</f>
        <v>35</v>
      </c>
      <c r="E3789" s="2"/>
    </row>
    <row r="3790">
      <c r="A3790" s="2"/>
      <c r="B3790" s="8" t="str">
        <f>IFERROR(__xludf.DUMMYFUNCTION("""COMPUTED_VALUE"""),"DINDA RIFA RISKI HANDAYANI")</f>
        <v>DINDA RIFA RISKI HANDAYANI</v>
      </c>
      <c r="C3790" s="8" t="str">
        <f>IFERROR(__xludf.DUMMYFUNCTION("""COMPUTED_VALUE"""),"D9626050731")</f>
        <v>D9626050731</v>
      </c>
      <c r="D3790" s="8">
        <f>IFERROR(__xludf.DUMMYFUNCTION("""COMPUTED_VALUE"""),30.0)</f>
        <v>30</v>
      </c>
      <c r="E3790" s="2"/>
    </row>
    <row r="3791">
      <c r="A3791" s="2"/>
      <c r="B3791" s="8" t="str">
        <f>IFERROR(__xludf.DUMMYFUNCTION("""COMPUTED_VALUE"""),"CIPTA CAKRA DIRAJA PUTRA")</f>
        <v>CIPTA CAKRA DIRAJA PUTRA</v>
      </c>
      <c r="C3791" s="8" t="str">
        <f>IFERROR(__xludf.DUMMYFUNCTION("""COMPUTED_VALUE"""),"C8926057927")</f>
        <v>C8926057927</v>
      </c>
      <c r="D3791" s="8">
        <f>IFERROR(__xludf.DUMMYFUNCTION("""COMPUTED_VALUE"""),36.0)</f>
        <v>36</v>
      </c>
      <c r="E3791" s="2"/>
    </row>
    <row r="3792">
      <c r="A3792" s="2"/>
      <c r="B3792" s="8" t="str">
        <f>IFERROR(__xludf.DUMMYFUNCTION("""COMPUTED_VALUE"""),"PHILIP ST")</f>
        <v>PHILIP ST</v>
      </c>
      <c r="C3792" s="8" t="str">
        <f>IFERROR(__xludf.DUMMYFUNCTION("""COMPUTED_VALUE"""),"P8926051408")</f>
        <v>P8926051408</v>
      </c>
      <c r="D3792" s="8">
        <f>IFERROR(__xludf.DUMMYFUNCTION("""COMPUTED_VALUE"""),36.0)</f>
        <v>36</v>
      </c>
      <c r="E3792" s="2"/>
    </row>
    <row r="3793">
      <c r="A3793" s="2"/>
      <c r="B3793" s="8" t="str">
        <f>IFERROR(__xludf.DUMMYFUNCTION("""COMPUTED_VALUE"""),"ATI 7506")</f>
        <v>ATI 7506</v>
      </c>
      <c r="C3793" s="8" t="str">
        <f>IFERROR(__xludf.DUMMYFUNCTION("""COMPUTED_VALUE"""),"A7526055628")</f>
        <v>A7526055628</v>
      </c>
      <c r="D3793" s="8">
        <f>IFERROR(__xludf.DUMMYFUNCTION("""COMPUTED_VALUE"""),51.0)</f>
        <v>51</v>
      </c>
      <c r="E3793" s="2"/>
    </row>
    <row r="3794">
      <c r="A3794" s="2"/>
      <c r="B3794" s="8" t="str">
        <f>IFERROR(__xludf.DUMMYFUNCTION("""COMPUTED_VALUE"""),"EKO NOPRIYANTO ")</f>
        <v>EKO NOPRIYANTO </v>
      </c>
      <c r="C3794" s="8" t="str">
        <f>IFERROR(__xludf.DUMMYFUNCTION("""COMPUTED_VALUE"""),"E8226059888")</f>
        <v>E8226059888</v>
      </c>
      <c r="D3794" s="8">
        <f>IFERROR(__xludf.DUMMYFUNCTION("""COMPUTED_VALUE"""),43.0)</f>
        <v>43</v>
      </c>
      <c r="E3794" s="2"/>
    </row>
    <row r="3795">
      <c r="A3795" s="2"/>
      <c r="B3795" s="8" t="str">
        <f>IFERROR(__xludf.DUMMYFUNCTION("""COMPUTED_VALUE"""),"MUHAMMAD MUFID EIMAN ANANDA")</f>
        <v>MUHAMMAD MUFID EIMAN ANANDA</v>
      </c>
      <c r="C3795" s="8" t="str">
        <f>IFERROR(__xludf.DUMMYFUNCTION("""COMPUTED_VALUE"""),"M0026050782")</f>
        <v>M0026050782</v>
      </c>
      <c r="D3795" s="8">
        <f>IFERROR(__xludf.DUMMYFUNCTION("""COMPUTED_VALUE"""),25.0)</f>
        <v>25</v>
      </c>
      <c r="E3795" s="2"/>
    </row>
    <row r="3796">
      <c r="A3796" s="2"/>
      <c r="B3796" s="8" t="str">
        <f>IFERROR(__xludf.DUMMYFUNCTION("""COMPUTED_VALUE"""),"JOVITA APRIANA")</f>
        <v>JOVITA APRIANA</v>
      </c>
      <c r="C3796" s="8" t="str">
        <f>IFERROR(__xludf.DUMMYFUNCTION("""COMPUTED_VALUE"""),"J0026050411")</f>
        <v>J0026050411</v>
      </c>
      <c r="D3796" s="8">
        <f>IFERROR(__xludf.DUMMYFUNCTION("""COMPUTED_VALUE"""),26.0)</f>
        <v>26</v>
      </c>
      <c r="E3796" s="2"/>
    </row>
    <row r="3797">
      <c r="A3797" s="2"/>
      <c r="B3797" s="8" t="str">
        <f>IFERROR(__xludf.DUMMYFUNCTION("""COMPUTED_VALUE"""),"SYARIF MUHAMMAD RIDWAN")</f>
        <v>SYARIF MUHAMMAD RIDWAN</v>
      </c>
      <c r="C3797" s="8" t="str">
        <f>IFERROR(__xludf.DUMMYFUNCTION("""COMPUTED_VALUE"""),"S9926054786")</f>
        <v>S9926054786</v>
      </c>
      <c r="D3797" s="8">
        <f>IFERROR(__xludf.DUMMYFUNCTION("""COMPUTED_VALUE"""),26.0)</f>
        <v>26</v>
      </c>
      <c r="E3797" s="2"/>
    </row>
    <row r="3798">
      <c r="A3798" s="2"/>
      <c r="B3798" s="8" t="str">
        <f>IFERROR(__xludf.DUMMYFUNCTION("""COMPUTED_VALUE"""),"REFINKHA ZETYA ARNINDHA")</f>
        <v>REFINKHA ZETYA ARNINDHA</v>
      </c>
      <c r="C3798" s="8" t="str">
        <f>IFERROR(__xludf.DUMMYFUNCTION("""COMPUTED_VALUE"""),"R0726050690")</f>
        <v>R0726050690</v>
      </c>
      <c r="D3798" s="8">
        <f>IFERROR(__xludf.DUMMYFUNCTION("""COMPUTED_VALUE"""),19.0)</f>
        <v>19</v>
      </c>
      <c r="E3798" s="2"/>
    </row>
    <row r="3799">
      <c r="A3799" s="2"/>
      <c r="B3799" s="8" t="str">
        <f>IFERROR(__xludf.DUMMYFUNCTION("""COMPUTED_VALUE"""),"HARRIS CESAR")</f>
        <v>HARRIS CESAR</v>
      </c>
      <c r="C3799" s="8" t="str">
        <f>IFERROR(__xludf.DUMMYFUNCTION("""COMPUTED_VALUE"""),"H8726055656")</f>
        <v>H8726055656</v>
      </c>
      <c r="D3799" s="8">
        <f>IFERROR(__xludf.DUMMYFUNCTION("""COMPUTED_VALUE"""),38.0)</f>
        <v>38</v>
      </c>
      <c r="E3799" s="2"/>
    </row>
    <row r="3800">
      <c r="A3800" s="2"/>
      <c r="B3800" s="8" t="str">
        <f>IFERROR(__xludf.DUMMYFUNCTION("""COMPUTED_VALUE"""),"NATAYA RAFIF")</f>
        <v>NATAYA RAFIF</v>
      </c>
      <c r="C3800" s="8" t="str">
        <f>IFERROR(__xludf.DUMMYFUNCTION("""COMPUTED_VALUE"""),"N1826055656")</f>
        <v>N1826055656</v>
      </c>
      <c r="D3800" s="8">
        <f>IFERROR(__xludf.DUMMYFUNCTION("""COMPUTED_VALUE"""),8.0)</f>
        <v>8</v>
      </c>
      <c r="E3800" s="2"/>
    </row>
    <row r="3801">
      <c r="A3801" s="2"/>
      <c r="B3801" s="8" t="str">
        <f>IFERROR(__xludf.DUMMYFUNCTION("""COMPUTED_VALUE"""),"DEVI VERONICA")</f>
        <v>DEVI VERONICA</v>
      </c>
      <c r="C3801" s="8" t="str">
        <f>IFERROR(__xludf.DUMMYFUNCTION("""COMPUTED_VALUE"""),"D9626054488")</f>
        <v>D9626054488</v>
      </c>
      <c r="D3801" s="8">
        <f>IFERROR(__xludf.DUMMYFUNCTION("""COMPUTED_VALUE"""),29.0)</f>
        <v>29</v>
      </c>
      <c r="E3801" s="2"/>
    </row>
    <row r="3802">
      <c r="A3802" s="2"/>
      <c r="B3802" s="8" t="str">
        <f>IFERROR(__xludf.DUMMYFUNCTION("""COMPUTED_VALUE"""),"MUHAJIR HILAL")</f>
        <v>MUHAJIR HILAL</v>
      </c>
      <c r="C3802" s="8" t="str">
        <f>IFERROR(__xludf.DUMMYFUNCTION("""COMPUTED_VALUE"""),"M9926054445")</f>
        <v>M9926054445</v>
      </c>
      <c r="D3802" s="8">
        <f>IFERROR(__xludf.DUMMYFUNCTION("""COMPUTED_VALUE"""),27.0)</f>
        <v>27</v>
      </c>
      <c r="E3802" s="2"/>
    </row>
    <row r="3803">
      <c r="A3803" s="2"/>
      <c r="B3803" s="8" t="str">
        <f>IFERROR(__xludf.DUMMYFUNCTION("""COMPUTED_VALUE"""),"KUKUH ")</f>
        <v>KUKUH </v>
      </c>
      <c r="C3803" s="8" t="str">
        <f>IFERROR(__xludf.DUMMYFUNCTION("""COMPUTED_VALUE"""),"K9226050904")</f>
        <v>K9226050904</v>
      </c>
      <c r="D3803" s="8">
        <f>IFERROR(__xludf.DUMMYFUNCTION("""COMPUTED_VALUE"""),34.0)</f>
        <v>34</v>
      </c>
      <c r="E3803" s="2"/>
    </row>
    <row r="3804">
      <c r="A3804" s="2"/>
      <c r="B3804" s="8" t="str">
        <f>IFERROR(__xludf.DUMMYFUNCTION("""COMPUTED_VALUE"""),"PURNAMA YUNIARSIH")</f>
        <v>PURNAMA YUNIARSIH</v>
      </c>
      <c r="C3804" s="8" t="str">
        <f>IFERROR(__xludf.DUMMYFUNCTION("""COMPUTED_VALUE"""),"P9626059787")</f>
        <v>P9626059787</v>
      </c>
      <c r="D3804" s="8">
        <f>IFERROR(__xludf.DUMMYFUNCTION("""COMPUTED_VALUE"""),30.0)</f>
        <v>30</v>
      </c>
      <c r="E3804" s="2"/>
    </row>
    <row r="3805">
      <c r="A3805" s="2"/>
      <c r="B3805" s="8" t="str">
        <f>IFERROR(__xludf.DUMMYFUNCTION("""COMPUTED_VALUE"""),"OMAR F. FISABILILLAH")</f>
        <v>OMAR F. FISABILILLAH</v>
      </c>
      <c r="C3805" s="8" t="str">
        <f>IFERROR(__xludf.DUMMYFUNCTION("""COMPUTED_VALUE"""),"O1826051795")</f>
        <v>O1826051795</v>
      </c>
      <c r="D3805" s="8">
        <f>IFERROR(__xludf.DUMMYFUNCTION("""COMPUTED_VALUE"""),8.0)</f>
        <v>8</v>
      </c>
      <c r="E3805" s="2"/>
    </row>
    <row r="3806">
      <c r="A3806" s="2"/>
      <c r="B3806" s="8" t="str">
        <f>IFERROR(__xludf.DUMMYFUNCTION("""COMPUTED_VALUE"""),"ASRI HUMAIRA ")</f>
        <v>ASRI HUMAIRA </v>
      </c>
      <c r="C3806" s="8" t="str">
        <f>IFERROR(__xludf.DUMMYFUNCTION("""COMPUTED_VALUE"""),"A0426059008")</f>
        <v>A0426059008</v>
      </c>
      <c r="D3806" s="8">
        <f>IFERROR(__xludf.DUMMYFUNCTION("""COMPUTED_VALUE"""),22.0)</f>
        <v>22</v>
      </c>
      <c r="E3806" s="2"/>
    </row>
    <row r="3807">
      <c r="A3807" s="2"/>
      <c r="B3807" s="8" t="str">
        <f>IFERROR(__xludf.DUMMYFUNCTION("""COMPUTED_VALUE"""),"SRI RAHMANI")</f>
        <v>SRI RAHMANI</v>
      </c>
      <c r="C3807" s="8" t="str">
        <f>IFERROR(__xludf.DUMMYFUNCTION("""COMPUTED_VALUE"""),"S8526052373")</f>
        <v>S8526052373</v>
      </c>
      <c r="D3807" s="8">
        <f>IFERROR(__xludf.DUMMYFUNCTION("""COMPUTED_VALUE"""),41.0)</f>
        <v>41</v>
      </c>
      <c r="E3807" s="2"/>
    </row>
    <row r="3808">
      <c r="A3808" s="2"/>
      <c r="B3808" s="8" t="str">
        <f>IFERROR(__xludf.DUMMYFUNCTION("""COMPUTED_VALUE"""),"NURUL AQIDATUL KHAIRINA ")</f>
        <v>NURUL AQIDATUL KHAIRINA </v>
      </c>
      <c r="C3808" s="8" t="str">
        <f>IFERROR(__xludf.DUMMYFUNCTION("""COMPUTED_VALUE"""),"N0026050245")</f>
        <v>N0026050245</v>
      </c>
      <c r="D3808" s="8">
        <f>IFERROR(__xludf.DUMMYFUNCTION("""COMPUTED_VALUE"""),26.0)</f>
        <v>26</v>
      </c>
      <c r="E3808" s="2"/>
    </row>
    <row r="3809">
      <c r="A3809" s="2"/>
      <c r="B3809" s="8" t="str">
        <f>IFERROR(__xludf.DUMMYFUNCTION("""COMPUTED_VALUE"""),"M.ROZALI")</f>
        <v>M.ROZALI</v>
      </c>
      <c r="C3809" s="8" t="str">
        <f>IFERROR(__xludf.DUMMYFUNCTION("""COMPUTED_VALUE"""),"M8426053002")</f>
        <v>M8426053002</v>
      </c>
      <c r="D3809" s="8">
        <f>IFERROR(__xludf.DUMMYFUNCTION("""COMPUTED_VALUE"""),41.0)</f>
        <v>41</v>
      </c>
      <c r="E3809" s="2"/>
    </row>
    <row r="3810">
      <c r="A3810" s="2"/>
      <c r="B3810" s="8" t="str">
        <f>IFERROR(__xludf.DUMMYFUNCTION("""COMPUTED_VALUE"""),"SRI RATNAWATI")</f>
        <v>SRI RATNAWATI</v>
      </c>
      <c r="C3810" s="8" t="str">
        <f>IFERROR(__xludf.DUMMYFUNCTION("""COMPUTED_VALUE"""),"S7226053356")</f>
        <v>S7226053356</v>
      </c>
      <c r="D3810" s="8">
        <f>IFERROR(__xludf.DUMMYFUNCTION("""COMPUTED_VALUE"""),53.0)</f>
        <v>53</v>
      </c>
      <c r="E3810" s="2"/>
    </row>
    <row r="3811">
      <c r="A3811" s="2"/>
      <c r="B3811" s="8" t="str">
        <f>IFERROR(__xludf.DUMMYFUNCTION("""COMPUTED_VALUE"""),"DARWIN TARIGAN")</f>
        <v>DARWIN TARIGAN</v>
      </c>
      <c r="C3811" s="8" t="str">
        <f>IFERROR(__xludf.DUMMYFUNCTION("""COMPUTED_VALUE"""),"D8526052798")</f>
        <v>D8526052798</v>
      </c>
      <c r="D3811" s="8">
        <f>IFERROR(__xludf.DUMMYFUNCTION("""COMPUTED_VALUE"""),40.0)</f>
        <v>40</v>
      </c>
      <c r="E3811" s="2"/>
    </row>
    <row r="3812">
      <c r="A3812" s="2"/>
      <c r="B3812" s="8" t="str">
        <f>IFERROR(__xludf.DUMMYFUNCTION("""COMPUTED_VALUE"""),"JUPRIL MARDA")</f>
        <v>JUPRIL MARDA</v>
      </c>
      <c r="C3812" s="8" t="str">
        <f>IFERROR(__xludf.DUMMYFUNCTION("""COMPUTED_VALUE"""),"J9526052855")</f>
        <v>J9526052855</v>
      </c>
      <c r="D3812" s="8">
        <f>IFERROR(__xludf.DUMMYFUNCTION("""COMPUTED_VALUE"""),31.0)</f>
        <v>31</v>
      </c>
      <c r="E3812" s="2"/>
    </row>
    <row r="3813">
      <c r="A3813" s="2"/>
      <c r="B3813" s="8" t="str">
        <f>IFERROR(__xludf.DUMMYFUNCTION("""COMPUTED_VALUE"""),"HJ HALIJAH")</f>
        <v>HJ HALIJAH</v>
      </c>
      <c r="C3813" s="8" t="str">
        <f>IFERROR(__xludf.DUMMYFUNCTION("""COMPUTED_VALUE"""),"H6226055912")</f>
        <v>H6226055912</v>
      </c>
      <c r="D3813" s="8">
        <f>IFERROR(__xludf.DUMMYFUNCTION("""COMPUTED_VALUE"""),64.0)</f>
        <v>64</v>
      </c>
      <c r="E3813" s="2"/>
    </row>
    <row r="3814">
      <c r="A3814" s="2"/>
      <c r="B3814" s="8" t="str">
        <f>IFERROR(__xludf.DUMMYFUNCTION("""COMPUTED_VALUE"""),"HJ RITA")</f>
        <v>HJ RITA</v>
      </c>
      <c r="C3814" s="8" t="str">
        <f>IFERROR(__xludf.DUMMYFUNCTION("""COMPUTED_VALUE"""),"H6926050314")</f>
        <v>H6926050314</v>
      </c>
      <c r="D3814" s="8">
        <f>IFERROR(__xludf.DUMMYFUNCTION("""COMPUTED_VALUE"""),56.0)</f>
        <v>56</v>
      </c>
      <c r="E3814" s="2"/>
    </row>
    <row r="3815">
      <c r="A3815" s="2"/>
      <c r="B3815" s="8" t="str">
        <f>IFERROR(__xludf.DUMMYFUNCTION("""COMPUTED_VALUE"""),"ANNY MAYESTI")</f>
        <v>ANNY MAYESTI</v>
      </c>
      <c r="C3815" s="8" t="str">
        <f>IFERROR(__xludf.DUMMYFUNCTION("""COMPUTED_VALUE"""),"A6726059726")</f>
        <v>A6726059726</v>
      </c>
      <c r="D3815" s="8">
        <f>IFERROR(__xludf.DUMMYFUNCTION("""COMPUTED_VALUE"""),59.0)</f>
        <v>59</v>
      </c>
      <c r="E3815" s="2"/>
    </row>
    <row r="3816">
      <c r="A3816" s="2"/>
      <c r="B3816" s="8" t="str">
        <f>IFERROR(__xludf.DUMMYFUNCTION("""COMPUTED_VALUE"""),"HJ SUMARNI")</f>
        <v>HJ SUMARNI</v>
      </c>
      <c r="C3816" s="8" t="str">
        <f>IFERROR(__xludf.DUMMYFUNCTION("""COMPUTED_VALUE"""),"H6426056966")</f>
        <v>H6426056966</v>
      </c>
      <c r="D3816" s="8">
        <f>IFERROR(__xludf.DUMMYFUNCTION("""COMPUTED_VALUE"""),61.0)</f>
        <v>61</v>
      </c>
      <c r="E3816" s="2"/>
    </row>
    <row r="3817">
      <c r="A3817" s="2"/>
      <c r="B3817" s="8" t="str">
        <f>IFERROR(__xludf.DUMMYFUNCTION("""COMPUTED_VALUE"""),"CUI FA")</f>
        <v>CUI FA</v>
      </c>
      <c r="C3817" s="8" t="str">
        <f>IFERROR(__xludf.DUMMYFUNCTION("""COMPUTED_VALUE"""),"C6826057609")</f>
        <v>C6826057609</v>
      </c>
      <c r="D3817" s="8">
        <f>IFERROR(__xludf.DUMMYFUNCTION("""COMPUTED_VALUE"""),57.0)</f>
        <v>57</v>
      </c>
      <c r="E3817" s="2"/>
    </row>
    <row r="3818">
      <c r="A3818" s="2"/>
      <c r="B3818" s="8" t="str">
        <f>IFERROR(__xludf.DUMMYFUNCTION("""COMPUTED_VALUE"""),"PUTRI DUTA SENOPATI")</f>
        <v>PUTRI DUTA SENOPATI</v>
      </c>
      <c r="C3818" s="8" t="str">
        <f>IFERROR(__xludf.DUMMYFUNCTION("""COMPUTED_VALUE"""),"P0026052666")</f>
        <v>P0026052666</v>
      </c>
      <c r="D3818" s="8">
        <f>IFERROR(__xludf.DUMMYFUNCTION("""COMPUTED_VALUE"""),26.0)</f>
        <v>26</v>
      </c>
      <c r="E3818" s="2"/>
    </row>
    <row r="3819">
      <c r="A3819" s="2"/>
      <c r="B3819" s="8" t="str">
        <f>IFERROR(__xludf.DUMMYFUNCTION("""COMPUTED_VALUE"""),"SARAH JEMBARANITA ")</f>
        <v>SARAH JEMBARANITA </v>
      </c>
      <c r="C3819" s="8" t="str">
        <f>IFERROR(__xludf.DUMMYFUNCTION("""COMPUTED_VALUE"""),"S9926057229")</f>
        <v>S9926057229</v>
      </c>
      <c r="D3819" s="8">
        <f>IFERROR(__xludf.DUMMYFUNCTION("""COMPUTED_VALUE"""),27.0)</f>
        <v>27</v>
      </c>
      <c r="E3819" s="2"/>
    </row>
    <row r="3820">
      <c r="A3820" s="2"/>
      <c r="B3820" s="8" t="str">
        <f>IFERROR(__xludf.DUMMYFUNCTION("""COMPUTED_VALUE"""),"ERVINA")</f>
        <v>ERVINA</v>
      </c>
      <c r="C3820" s="8" t="str">
        <f>IFERROR(__xludf.DUMMYFUNCTION("""COMPUTED_VALUE"""),"E9426057887")</f>
        <v>E9426057887</v>
      </c>
      <c r="D3820" s="8">
        <f>IFERROR(__xludf.DUMMYFUNCTION("""COMPUTED_VALUE"""),31.0)</f>
        <v>31</v>
      </c>
      <c r="E3820" s="2"/>
    </row>
    <row r="3821">
      <c r="A3821" s="2"/>
      <c r="B3821" s="8" t="str">
        <f>IFERROR(__xludf.DUMMYFUNCTION("""COMPUTED_VALUE"""),"FAUZY SETYAWAN")</f>
        <v>FAUZY SETYAWAN</v>
      </c>
      <c r="C3821" s="8" t="str">
        <f>IFERROR(__xludf.DUMMYFUNCTION("""COMPUTED_VALUE"""),"F0426052331")</f>
        <v>F0426052331</v>
      </c>
      <c r="D3821" s="8">
        <f>IFERROR(__xludf.DUMMYFUNCTION("""COMPUTED_VALUE"""),21.0)</f>
        <v>21</v>
      </c>
      <c r="E3821" s="2"/>
    </row>
    <row r="3822">
      <c r="A3822" s="2"/>
      <c r="B3822" s="8" t="str">
        <f>IFERROR(__xludf.DUMMYFUNCTION("""COMPUTED_VALUE"""),"ABDUL MANAN ARSYUL")</f>
        <v>ABDUL MANAN ARSYUL</v>
      </c>
      <c r="C3822" s="8" t="str">
        <f>IFERROR(__xludf.DUMMYFUNCTION("""COMPUTED_VALUE"""),"A5026056699")</f>
        <v>A5026056699</v>
      </c>
      <c r="D3822" s="8">
        <f>IFERROR(__xludf.DUMMYFUNCTION("""COMPUTED_VALUE"""),76.0)</f>
        <v>76</v>
      </c>
      <c r="E3822" s="2"/>
    </row>
    <row r="3823">
      <c r="A3823" s="2"/>
      <c r="B3823" s="8" t="str">
        <f>IFERROR(__xludf.DUMMYFUNCTION("""COMPUTED_VALUE"""),"TJANG KHENG")</f>
        <v>TJANG KHENG</v>
      </c>
      <c r="C3823" s="8" t="str">
        <f>IFERROR(__xludf.DUMMYFUNCTION("""COMPUTED_VALUE"""),"T4626051927")</f>
        <v>T4626051927</v>
      </c>
      <c r="D3823" s="8">
        <f>IFERROR(__xludf.DUMMYFUNCTION("""COMPUTED_VALUE"""),80.0)</f>
        <v>80</v>
      </c>
      <c r="E3823" s="2"/>
    </row>
    <row r="3824">
      <c r="A3824" s="2"/>
      <c r="B3824" s="8" t="str">
        <f>IFERROR(__xludf.DUMMYFUNCTION("""COMPUTED_VALUE"""),"PONIA PASTIAGE")</f>
        <v>PONIA PASTIAGE</v>
      </c>
      <c r="C3824" s="8" t="str">
        <f>IFERROR(__xludf.DUMMYFUNCTION("""COMPUTED_VALUE"""),"P0626052601")</f>
        <v>P0626052601</v>
      </c>
      <c r="D3824" s="8">
        <f>IFERROR(__xludf.DUMMYFUNCTION("""COMPUTED_VALUE"""),20.0)</f>
        <v>20</v>
      </c>
      <c r="E3824" s="2"/>
    </row>
    <row r="3825">
      <c r="A3825" s="2"/>
      <c r="B3825" s="8" t="str">
        <f>IFERROR(__xludf.DUMMYFUNCTION("""COMPUTED_VALUE"""),"MUHAMMAD IRFAN DJUHA")</f>
        <v>MUHAMMAD IRFAN DJUHA</v>
      </c>
      <c r="C3825" s="8" t="str">
        <f>IFERROR(__xludf.DUMMYFUNCTION("""COMPUTED_VALUE"""),"M9726058718")</f>
        <v>M9726058718</v>
      </c>
      <c r="D3825" s="8">
        <f>IFERROR(__xludf.DUMMYFUNCTION("""COMPUTED_VALUE"""),29.0)</f>
        <v>29</v>
      </c>
      <c r="E3825" s="2"/>
    </row>
    <row r="3826">
      <c r="A3826" s="2"/>
      <c r="B3826" s="8" t="str">
        <f>IFERROR(__xludf.DUMMYFUNCTION("""COMPUTED_VALUE"""),"ORM TIA KHASINA")</f>
        <v>ORM TIA KHASINA</v>
      </c>
      <c r="C3826" s="8" t="str">
        <f>IFERROR(__xludf.DUMMYFUNCTION("""COMPUTED_VALUE"""),"O9626053094")</f>
        <v>O9626053094</v>
      </c>
      <c r="D3826" s="8">
        <f>IFERROR(__xludf.DUMMYFUNCTION("""COMPUTED_VALUE"""),29.0)</f>
        <v>29</v>
      </c>
      <c r="E3826" s="2"/>
    </row>
    <row r="3827">
      <c r="A3827" s="2"/>
      <c r="B3827" s="8" t="str">
        <f>IFERROR(__xludf.DUMMYFUNCTION("""COMPUTED_VALUE"""),"JIMMY MARLANTIKA")</f>
        <v>JIMMY MARLANTIKA</v>
      </c>
      <c r="C3827" s="8" t="str">
        <f>IFERROR(__xludf.DUMMYFUNCTION("""COMPUTED_VALUE"""),"J9526052393")</f>
        <v>J9526052393</v>
      </c>
      <c r="D3827" s="8">
        <f>IFERROR(__xludf.DUMMYFUNCTION("""COMPUTED_VALUE"""),31.0)</f>
        <v>31</v>
      </c>
      <c r="E3827" s="2"/>
    </row>
    <row r="3828">
      <c r="A3828" s="2"/>
      <c r="B3828" s="8" t="str">
        <f>IFERROR(__xludf.DUMMYFUNCTION("""COMPUTED_VALUE"""),"FALIH SYHAFWAN ALMY")</f>
        <v>FALIH SYHAFWAN ALMY</v>
      </c>
      <c r="C3828" s="8" t="str">
        <f>IFERROR(__xludf.DUMMYFUNCTION("""COMPUTED_VALUE"""),"F0326054250")</f>
        <v>F0326054250</v>
      </c>
      <c r="D3828" s="8">
        <f>IFERROR(__xludf.DUMMYFUNCTION("""COMPUTED_VALUE"""),22.0)</f>
        <v>22</v>
      </c>
      <c r="E3828" s="2"/>
    </row>
    <row r="3829">
      <c r="A3829" s="2"/>
      <c r="B3829" s="8" t="str">
        <f>IFERROR(__xludf.DUMMYFUNCTION("""COMPUTED_VALUE"""),"NABILA ZHAFIRA FASYA")</f>
        <v>NABILA ZHAFIRA FASYA</v>
      </c>
      <c r="C3829" s="8" t="str">
        <f>IFERROR(__xludf.DUMMYFUNCTION("""COMPUTED_VALUE"""),"N9726059066")</f>
        <v>N9726059066</v>
      </c>
      <c r="D3829" s="8">
        <f>IFERROR(__xludf.DUMMYFUNCTION("""COMPUTED_VALUE"""),28.0)</f>
        <v>28</v>
      </c>
      <c r="E3829" s="2"/>
    </row>
    <row r="3830">
      <c r="A3830" s="2"/>
      <c r="B3830" s="8" t="str">
        <f>IFERROR(__xludf.DUMMYFUNCTION("""COMPUTED_VALUE"""),"M. RAFAEL ALFANZA")</f>
        <v>M. RAFAEL ALFANZA</v>
      </c>
      <c r="C3830" s="8" t="str">
        <f>IFERROR(__xludf.DUMMYFUNCTION("""COMPUTED_VALUE"""),"M0626058282")</f>
        <v>M0626058282</v>
      </c>
      <c r="D3830" s="8">
        <f>IFERROR(__xludf.DUMMYFUNCTION("""COMPUTED_VALUE"""),20.0)</f>
        <v>20</v>
      </c>
      <c r="E3830" s="2"/>
    </row>
    <row r="3831">
      <c r="A3831" s="2"/>
      <c r="B3831" s="8" t="str">
        <f>IFERROR(__xludf.DUMMYFUNCTION("""COMPUTED_VALUE"""),"TETY MAULIZAR")</f>
        <v>TETY MAULIZAR</v>
      </c>
      <c r="C3831" s="8" t="str">
        <f>IFERROR(__xludf.DUMMYFUNCTION("""COMPUTED_VALUE"""),"T9426050942")</f>
        <v>T9426050942</v>
      </c>
      <c r="D3831" s="8">
        <f>IFERROR(__xludf.DUMMYFUNCTION("""COMPUTED_VALUE"""),31.0)</f>
        <v>31</v>
      </c>
      <c r="E3831" s="2"/>
    </row>
    <row r="3832">
      <c r="A3832" s="2"/>
      <c r="B3832" s="8" t="str">
        <f>IFERROR(__xludf.DUMMYFUNCTION("""COMPUTED_VALUE"""),"MARINI")</f>
        <v>MARINI</v>
      </c>
      <c r="C3832" s="8" t="str">
        <f>IFERROR(__xludf.DUMMYFUNCTION("""COMPUTED_VALUE"""),"M8226052553")</f>
        <v>M8226052553</v>
      </c>
      <c r="D3832" s="8">
        <f>IFERROR(__xludf.DUMMYFUNCTION("""COMPUTED_VALUE"""),44.0)</f>
        <v>44</v>
      </c>
      <c r="E3832" s="2"/>
    </row>
    <row r="3833">
      <c r="A3833" s="2"/>
      <c r="B3833" s="8" t="str">
        <f>IFERROR(__xludf.DUMMYFUNCTION("""COMPUTED_VALUE"""),"NOVIZAR HARTADY")</f>
        <v>NOVIZAR HARTADY</v>
      </c>
      <c r="C3833" s="8" t="str">
        <f>IFERROR(__xludf.DUMMYFUNCTION("""COMPUTED_VALUE"""),"N9526053478")</f>
        <v>N9526053478</v>
      </c>
      <c r="D3833" s="8">
        <f>IFERROR(__xludf.DUMMYFUNCTION("""COMPUTED_VALUE"""),30.0)</f>
        <v>30</v>
      </c>
      <c r="E3833" s="2"/>
    </row>
    <row r="3834">
      <c r="A3834" s="2"/>
      <c r="B3834" s="8" t="str">
        <f>IFERROR(__xludf.DUMMYFUNCTION("""COMPUTED_VALUE"""),"SOBIB")</f>
        <v>SOBIB</v>
      </c>
      <c r="C3834" s="8" t="str">
        <f>IFERROR(__xludf.DUMMYFUNCTION("""COMPUTED_VALUE"""),"S6426051084")</f>
        <v>S6426051084</v>
      </c>
      <c r="D3834" s="8">
        <f>IFERROR(__xludf.DUMMYFUNCTION("""COMPUTED_VALUE"""),62.0)</f>
        <v>62</v>
      </c>
      <c r="E3834" s="2"/>
    </row>
    <row r="3835">
      <c r="A3835" s="2"/>
      <c r="B3835" s="8" t="str">
        <f>IFERROR(__xludf.DUMMYFUNCTION("""COMPUTED_VALUE"""),"FATIH RIDHO PERMANA ")</f>
        <v>FATIH RIDHO PERMANA </v>
      </c>
      <c r="C3835" s="8" t="str">
        <f>IFERROR(__xludf.DUMMYFUNCTION("""COMPUTED_VALUE"""),"F1126059700")</f>
        <v>F1126059700</v>
      </c>
      <c r="D3835" s="8">
        <f>IFERROR(__xludf.DUMMYFUNCTION("""COMPUTED_VALUE"""),15.0)</f>
        <v>15</v>
      </c>
      <c r="E3835" s="2"/>
    </row>
    <row r="3836">
      <c r="A3836" s="2"/>
      <c r="B3836" s="8" t="str">
        <f>IFERROR(__xludf.DUMMYFUNCTION("""COMPUTED_VALUE"""),"HENGKY")</f>
        <v>HENGKY</v>
      </c>
      <c r="C3836" s="8" t="str">
        <f>IFERROR(__xludf.DUMMYFUNCTION("""COMPUTED_VALUE"""),"H0426052417")</f>
        <v>H0426052417</v>
      </c>
      <c r="D3836" s="8">
        <f>IFERROR(__xludf.DUMMYFUNCTION("""COMPUTED_VALUE"""),22.0)</f>
        <v>22</v>
      </c>
      <c r="E3836" s="2"/>
    </row>
    <row r="3837">
      <c r="A3837" s="2"/>
      <c r="B3837" s="8" t="str">
        <f>IFERROR(__xludf.DUMMYFUNCTION("""COMPUTED_VALUE"""),"KRISTIAN DENNIS")</f>
        <v>KRISTIAN DENNIS</v>
      </c>
      <c r="C3837" s="8" t="str">
        <f>IFERROR(__xludf.DUMMYFUNCTION("""COMPUTED_VALUE"""),"K0726053360")</f>
        <v>K0726053360</v>
      </c>
      <c r="D3837" s="8">
        <f>IFERROR(__xludf.DUMMYFUNCTION("""COMPUTED_VALUE"""),18.0)</f>
        <v>18</v>
      </c>
      <c r="E3837" s="2"/>
    </row>
    <row r="3838">
      <c r="A3838" s="2"/>
      <c r="B3838" s="8" t="str">
        <f>IFERROR(__xludf.DUMMYFUNCTION("""COMPUTED_VALUE"""),"CHAIRUL DWIYANDI")</f>
        <v>CHAIRUL DWIYANDI</v>
      </c>
      <c r="C3838" s="8" t="str">
        <f>IFERROR(__xludf.DUMMYFUNCTION("""COMPUTED_VALUE"""),"C9226050306")</f>
        <v>C9226050306</v>
      </c>
      <c r="D3838" s="8">
        <f>IFERROR(__xludf.DUMMYFUNCTION("""COMPUTED_VALUE"""),33.0)</f>
        <v>33</v>
      </c>
      <c r="E3838" s="2"/>
    </row>
    <row r="3839">
      <c r="A3839" s="2"/>
      <c r="B3839" s="8" t="str">
        <f>IFERROR(__xludf.DUMMYFUNCTION("""COMPUTED_VALUE"""),"HERMAN 7710")</f>
        <v>HERMAN 7710</v>
      </c>
      <c r="C3839" s="8" t="str">
        <f>IFERROR(__xludf.DUMMYFUNCTION("""COMPUTED_VALUE"""),"H7726050221")</f>
        <v>H7726050221</v>
      </c>
      <c r="D3839" s="8">
        <f>IFERROR(__xludf.DUMMYFUNCTION("""COMPUTED_VALUE"""),48.0)</f>
        <v>48</v>
      </c>
      <c r="E3839" s="2"/>
    </row>
    <row r="3840">
      <c r="A3840" s="2"/>
      <c r="B3840" s="8" t="str">
        <f>IFERROR(__xludf.DUMMYFUNCTION("""COMPUTED_VALUE"""),"TARI MARDIANA")</f>
        <v>TARI MARDIANA</v>
      </c>
      <c r="C3840" s="8" t="str">
        <f>IFERROR(__xludf.DUMMYFUNCTION("""COMPUTED_VALUE"""),"T8926058124")</f>
        <v>T8926058124</v>
      </c>
      <c r="D3840" s="8">
        <f>IFERROR(__xludf.DUMMYFUNCTION("""COMPUTED_VALUE"""),37.0)</f>
        <v>37</v>
      </c>
      <c r="E3840" s="2"/>
    </row>
    <row r="3841">
      <c r="A3841" s="2"/>
      <c r="B3841" s="8" t="str">
        <f>IFERROR(__xludf.DUMMYFUNCTION("""COMPUTED_VALUE"""),"ERIK RADJALI 5103")</f>
        <v>ERIK RADJALI 5103</v>
      </c>
      <c r="C3841" s="8" t="str">
        <f>IFERROR(__xludf.DUMMYFUNCTION("""COMPUTED_VALUE"""),"E5126051303")</f>
        <v>E5126051303</v>
      </c>
      <c r="D3841" s="8">
        <f>IFERROR(__xludf.DUMMYFUNCTION("""COMPUTED_VALUE"""),75.0)</f>
        <v>75</v>
      </c>
      <c r="E3841" s="2"/>
    </row>
    <row r="3842">
      <c r="A3842" s="2"/>
      <c r="B3842" s="8" t="str">
        <f>IFERROR(__xludf.DUMMYFUNCTION("""COMPUTED_VALUE"""),"UTIN AGUSTINA")</f>
        <v>UTIN AGUSTINA</v>
      </c>
      <c r="C3842" s="8" t="str">
        <f>IFERROR(__xludf.DUMMYFUNCTION("""COMPUTED_VALUE"""),"U7726055548")</f>
        <v>U7726055548</v>
      </c>
      <c r="D3842" s="8">
        <f>IFERROR(__xludf.DUMMYFUNCTION("""COMPUTED_VALUE"""),48.0)</f>
        <v>48</v>
      </c>
      <c r="E3842" s="2"/>
    </row>
    <row r="3843">
      <c r="A3843" s="2"/>
      <c r="B3843" s="8" t="str">
        <f>IFERROR(__xludf.DUMMYFUNCTION("""COMPUTED_VALUE"""),"M AKHTAR ALFARIZY")</f>
        <v>M AKHTAR ALFARIZY</v>
      </c>
      <c r="C3843" s="8" t="str">
        <f>IFERROR(__xludf.DUMMYFUNCTION("""COMPUTED_VALUE"""),"M1826056272")</f>
        <v>M1826056272</v>
      </c>
      <c r="D3843" s="8">
        <f>IFERROR(__xludf.DUMMYFUNCTION("""COMPUTED_VALUE"""),8.0)</f>
        <v>8</v>
      </c>
      <c r="E3843" s="2"/>
    </row>
    <row r="3844">
      <c r="A3844" s="2"/>
      <c r="B3844" s="8" t="str">
        <f>IFERROR(__xludf.DUMMYFUNCTION("""COMPUTED_VALUE"""),"YOVIE VERA APRIANTY")</f>
        <v>YOVIE VERA APRIANTY</v>
      </c>
      <c r="C3844" s="8" t="str">
        <f>IFERROR(__xludf.DUMMYFUNCTION("""COMPUTED_VALUE"""),"Y7826052029")</f>
        <v>Y7826052029</v>
      </c>
      <c r="D3844" s="8">
        <f>IFERROR(__xludf.DUMMYFUNCTION("""COMPUTED_VALUE"""),48.0)</f>
        <v>48</v>
      </c>
      <c r="E3844" s="2"/>
    </row>
    <row r="3845">
      <c r="A3845" s="2"/>
      <c r="B3845" s="8" t="str">
        <f>IFERROR(__xludf.DUMMYFUNCTION("""COMPUTED_VALUE"""),"VITARIA LINA")</f>
        <v>VITARIA LINA</v>
      </c>
      <c r="C3845" s="8" t="str">
        <f>IFERROR(__xludf.DUMMYFUNCTION("""COMPUTED_VALUE"""),"V7726051923")</f>
        <v>V7726051923</v>
      </c>
      <c r="D3845" s="8">
        <f>IFERROR(__xludf.DUMMYFUNCTION("""COMPUTED_VALUE"""),48.0)</f>
        <v>48</v>
      </c>
      <c r="E3845" s="2"/>
    </row>
    <row r="3846">
      <c r="A3846" s="2"/>
      <c r="B3846" s="8" t="str">
        <f>IFERROR(__xludf.DUMMYFUNCTION("""COMPUTED_VALUE"""),"RIO ANGGARA")</f>
        <v>RIO ANGGARA</v>
      </c>
      <c r="C3846" s="8" t="str">
        <f>IFERROR(__xludf.DUMMYFUNCTION("""COMPUTED_VALUE"""),"R9026059626")</f>
        <v>R9026059626</v>
      </c>
      <c r="D3846" s="8">
        <f>IFERROR(__xludf.DUMMYFUNCTION("""COMPUTED_VALUE"""),36.0)</f>
        <v>36</v>
      </c>
      <c r="E3846" s="2"/>
    </row>
    <row r="3847">
      <c r="A3847" s="2"/>
      <c r="B3847" s="8" t="str">
        <f>IFERROR(__xludf.DUMMYFUNCTION("""COMPUTED_VALUE"""),"NOVA IRMA ADIHANDAYANI")</f>
        <v>NOVA IRMA ADIHANDAYANI</v>
      </c>
      <c r="C3847" s="8" t="str">
        <f>IFERROR(__xludf.DUMMYFUNCTION("""COMPUTED_VALUE"""),"N9226052097")</f>
        <v>N9226052097</v>
      </c>
      <c r="D3847" s="8">
        <f>IFERROR(__xludf.DUMMYFUNCTION("""COMPUTED_VALUE"""),34.0)</f>
        <v>34</v>
      </c>
      <c r="E3847" s="2"/>
    </row>
    <row r="3848">
      <c r="A3848" s="2"/>
      <c r="B3848" s="8" t="str">
        <f>IFERROR(__xludf.DUMMYFUNCTION("""COMPUTED_VALUE"""),"ARIENDI FITRI")</f>
        <v>ARIENDI FITRI</v>
      </c>
      <c r="C3848" s="8" t="str">
        <f>IFERROR(__xludf.DUMMYFUNCTION("""COMPUTED_VALUE"""),"A0226059038")</f>
        <v>A0226059038</v>
      </c>
      <c r="D3848" s="8">
        <f>IFERROR(__xludf.DUMMYFUNCTION("""COMPUTED_VALUE"""),23.0)</f>
        <v>23</v>
      </c>
      <c r="E3848" s="2"/>
    </row>
    <row r="3849">
      <c r="A3849" s="2"/>
      <c r="B3849" s="8" t="str">
        <f>IFERROR(__xludf.DUMMYFUNCTION("""COMPUTED_VALUE"""),"SINAH")</f>
        <v>SINAH</v>
      </c>
      <c r="C3849" s="8" t="str">
        <f>IFERROR(__xludf.DUMMYFUNCTION("""COMPUTED_VALUE"""),"S7126052338")</f>
        <v>S7126052338</v>
      </c>
      <c r="D3849" s="8">
        <f>IFERROR(__xludf.DUMMYFUNCTION("""COMPUTED_VALUE"""),55.0)</f>
        <v>55</v>
      </c>
      <c r="E3849" s="2"/>
    </row>
    <row r="3850">
      <c r="A3850" s="2"/>
      <c r="B3850" s="8" t="str">
        <f>IFERROR(__xludf.DUMMYFUNCTION("""COMPUTED_VALUE"""),"FIRMAN DESTYAN")</f>
        <v>FIRMAN DESTYAN</v>
      </c>
      <c r="C3850" s="8" t="str">
        <f>IFERROR(__xludf.DUMMYFUNCTION("""COMPUTED_VALUE"""),"F0026054746")</f>
        <v>F0026054746</v>
      </c>
      <c r="D3850" s="8">
        <f>IFERROR(__xludf.DUMMYFUNCTION("""COMPUTED_VALUE"""),25.0)</f>
        <v>25</v>
      </c>
      <c r="E3850" s="2"/>
    </row>
    <row r="3851">
      <c r="A3851" s="2"/>
      <c r="B3851" s="8" t="str">
        <f>IFERROR(__xludf.DUMMYFUNCTION("""COMPUTED_VALUE"""),"IRFAN RACHMAN HAKIM")</f>
        <v>IRFAN RACHMAN HAKIM</v>
      </c>
      <c r="C3851" s="8" t="str">
        <f>IFERROR(__xludf.DUMMYFUNCTION("""COMPUTED_VALUE"""),"I9026059114")</f>
        <v>I9026059114</v>
      </c>
      <c r="D3851" s="8">
        <f>IFERROR(__xludf.DUMMYFUNCTION("""COMPUTED_VALUE"""),35.0)</f>
        <v>35</v>
      </c>
      <c r="E3851" s="2"/>
    </row>
    <row r="3852">
      <c r="A3852" s="2"/>
      <c r="B3852" s="8" t="str">
        <f>IFERROR(__xludf.DUMMYFUNCTION("""COMPUTED_VALUE"""),"HENDRY")</f>
        <v>HENDRY</v>
      </c>
      <c r="C3852" s="8" t="str">
        <f>IFERROR(__xludf.DUMMYFUNCTION("""COMPUTED_VALUE"""),"H8426053685")</f>
        <v>H8426053685</v>
      </c>
      <c r="D3852" s="8">
        <f>IFERROR(__xludf.DUMMYFUNCTION("""COMPUTED_VALUE"""),41.0)</f>
        <v>41</v>
      </c>
      <c r="E3852" s="2"/>
    </row>
    <row r="3853">
      <c r="A3853" s="2"/>
      <c r="B3853" s="8" t="str">
        <f>IFERROR(__xludf.DUMMYFUNCTION("""COMPUTED_VALUE"""),"MIKHAEL KEVIN")</f>
        <v>MIKHAEL KEVIN</v>
      </c>
      <c r="C3853" s="8" t="str">
        <f>IFERROR(__xludf.DUMMYFUNCTION("""COMPUTED_VALUE"""),"M0326050192")</f>
        <v>M0326050192</v>
      </c>
      <c r="D3853" s="8">
        <f>IFERROR(__xludf.DUMMYFUNCTION("""COMPUTED_VALUE"""),22.0)</f>
        <v>22</v>
      </c>
      <c r="E3853" s="2"/>
    </row>
    <row r="3854">
      <c r="A3854" s="2"/>
      <c r="B3854" s="8" t="str">
        <f>IFERROR(__xludf.DUMMYFUNCTION("""COMPUTED_VALUE"""),"YASHINTA DIAJENG KULAAN")</f>
        <v>YASHINTA DIAJENG KULAAN</v>
      </c>
      <c r="C3854" s="8" t="str">
        <f>IFERROR(__xludf.DUMMYFUNCTION("""COMPUTED_VALUE"""),"Y9426058456")</f>
        <v>Y9426058456</v>
      </c>
      <c r="D3854" s="8">
        <f>IFERROR(__xludf.DUMMYFUNCTION("""COMPUTED_VALUE"""),31.0)</f>
        <v>31</v>
      </c>
      <c r="E3854" s="2"/>
    </row>
    <row r="3855">
      <c r="A3855" s="2"/>
      <c r="B3855" s="8" t="str">
        <f>IFERROR(__xludf.DUMMYFUNCTION("""COMPUTED_VALUE"""),"RENALDI ADITYA DWI SAPUTRA")</f>
        <v>RENALDI ADITYA DWI SAPUTRA</v>
      </c>
      <c r="C3855" s="8" t="str">
        <f>IFERROR(__xludf.DUMMYFUNCTION("""COMPUTED_VALUE"""),"R9826050541")</f>
        <v>R9826050541</v>
      </c>
      <c r="D3855" s="8">
        <f>IFERROR(__xludf.DUMMYFUNCTION("""COMPUTED_VALUE"""),27.0)</f>
        <v>27</v>
      </c>
      <c r="E3855" s="2"/>
    </row>
    <row r="3856">
      <c r="A3856" s="2"/>
      <c r="B3856" s="8" t="str">
        <f>IFERROR(__xludf.DUMMYFUNCTION("""COMPUTED_VALUE"""),"NAYYARA TSABITA YUMNA")</f>
        <v>NAYYARA TSABITA YUMNA</v>
      </c>
      <c r="C3856" s="8" t="str">
        <f>IFERROR(__xludf.DUMMYFUNCTION("""COMPUTED_VALUE"""),"N1726054313")</f>
        <v>N1726054313</v>
      </c>
      <c r="D3856" s="8">
        <f>IFERROR(__xludf.DUMMYFUNCTION("""COMPUTED_VALUE"""),9.0)</f>
        <v>9</v>
      </c>
      <c r="E3856" s="2"/>
    </row>
    <row r="3857">
      <c r="A3857" s="2"/>
      <c r="B3857" s="8" t="str">
        <f>IFERROR(__xludf.DUMMYFUNCTION("""COMPUTED_VALUE"""),"WULANDARI SAPUTRI")</f>
        <v>WULANDARI SAPUTRI</v>
      </c>
      <c r="C3857" s="8" t="str">
        <f>IFERROR(__xludf.DUMMYFUNCTION("""COMPUTED_VALUE"""),"W8926055767")</f>
        <v>W8926055767</v>
      </c>
      <c r="D3857" s="8">
        <f>IFERROR(__xludf.DUMMYFUNCTION("""COMPUTED_VALUE"""),36.0)</f>
        <v>36</v>
      </c>
      <c r="E3857" s="2"/>
    </row>
    <row r="3858">
      <c r="A3858" s="2"/>
      <c r="B3858" s="8" t="str">
        <f>IFERROR(__xludf.DUMMYFUNCTION("""COMPUTED_VALUE"""),"JURIYATI")</f>
        <v>JURIYATI</v>
      </c>
      <c r="C3858" s="8" t="str">
        <f>IFERROR(__xludf.DUMMYFUNCTION("""COMPUTED_VALUE"""),"J6926050248")</f>
        <v>J6926050248</v>
      </c>
      <c r="D3858" s="8">
        <f>IFERROR(__xludf.DUMMYFUNCTION("""COMPUTED_VALUE"""),57.0)</f>
        <v>57</v>
      </c>
      <c r="E3858" s="2"/>
    </row>
    <row r="3859">
      <c r="A3859" s="2"/>
      <c r="B3859" s="8" t="str">
        <f>IFERROR(__xludf.DUMMYFUNCTION("""COMPUTED_VALUE"""),"U. HERU ISWIRNANDA")</f>
        <v>U. HERU ISWIRNANDA</v>
      </c>
      <c r="C3859" s="8" t="str">
        <f>IFERROR(__xludf.DUMMYFUNCTION("""COMPUTED_VALUE"""),"U8726050256")</f>
        <v>U8726050256</v>
      </c>
      <c r="D3859" s="8">
        <f>IFERROR(__xludf.DUMMYFUNCTION("""COMPUTED_VALUE"""),39.0)</f>
        <v>39</v>
      </c>
      <c r="E3859" s="2"/>
    </row>
    <row r="3860">
      <c r="A3860" s="2"/>
      <c r="B3860" s="8" t="str">
        <f>IFERROR(__xludf.DUMMYFUNCTION("""COMPUTED_VALUE"""),"KENRICH ELSON UTOMO")</f>
        <v>KENRICH ELSON UTOMO</v>
      </c>
      <c r="C3860" s="8" t="str">
        <f>IFERROR(__xludf.DUMMYFUNCTION("""COMPUTED_VALUE"""),"K1426059293")</f>
        <v>K1426059293</v>
      </c>
      <c r="D3860" s="8">
        <f>IFERROR(__xludf.DUMMYFUNCTION("""COMPUTED_VALUE"""),12.0)</f>
        <v>12</v>
      </c>
      <c r="E3860" s="2"/>
    </row>
    <row r="3861">
      <c r="A3861" s="2"/>
      <c r="B3861" s="8" t="str">
        <f>IFERROR(__xludf.DUMMYFUNCTION("""COMPUTED_VALUE"""),"ELISABET ELISA ")</f>
        <v>ELISABET ELISA </v>
      </c>
      <c r="C3861" s="8" t="str">
        <f>IFERROR(__xludf.DUMMYFUNCTION("""COMPUTED_VALUE"""),"E0626052183")</f>
        <v>E0626052183</v>
      </c>
      <c r="D3861" s="8">
        <f>IFERROR(__xludf.DUMMYFUNCTION("""COMPUTED_VALUE"""),19.0)</f>
        <v>19</v>
      </c>
      <c r="E3861" s="2"/>
    </row>
    <row r="3862">
      <c r="A3862" s="2"/>
      <c r="B3862" s="8" t="str">
        <f>IFERROR(__xludf.DUMMYFUNCTION("""COMPUTED_VALUE"""),"PUTRI TIYA RISNA DEWI")</f>
        <v>PUTRI TIYA RISNA DEWI</v>
      </c>
      <c r="C3862" s="8" t="str">
        <f>IFERROR(__xludf.DUMMYFUNCTION("""COMPUTED_VALUE"""),"P9926053436")</f>
        <v>P9926053436</v>
      </c>
      <c r="D3862" s="8">
        <f>IFERROR(__xludf.DUMMYFUNCTION("""COMPUTED_VALUE"""),26.0)</f>
        <v>26</v>
      </c>
      <c r="E3862" s="2"/>
    </row>
    <row r="3863">
      <c r="A3863" s="2"/>
      <c r="B3863" s="8" t="str">
        <f>IFERROR(__xludf.DUMMYFUNCTION("""COMPUTED_VALUE"""),"NADIA STEVANIA ")</f>
        <v>NADIA STEVANIA </v>
      </c>
      <c r="C3863" s="8" t="str">
        <f>IFERROR(__xludf.DUMMYFUNCTION("""COMPUTED_VALUE"""),"N0226059688")</f>
        <v>N0226059688</v>
      </c>
      <c r="D3863" s="8">
        <f>IFERROR(__xludf.DUMMYFUNCTION("""COMPUTED_VALUE"""),23.0)</f>
        <v>23</v>
      </c>
      <c r="E3863" s="2"/>
    </row>
    <row r="3864">
      <c r="A3864" s="2"/>
      <c r="B3864" s="8" t="str">
        <f>IFERROR(__xludf.DUMMYFUNCTION("""COMPUTED_VALUE"""),"WITONO")</f>
        <v>WITONO</v>
      </c>
      <c r="C3864" s="8" t="str">
        <f>IFERROR(__xludf.DUMMYFUNCTION("""COMPUTED_VALUE"""),"W7026057821")</f>
        <v>W7026057821</v>
      </c>
      <c r="D3864" s="8">
        <f>IFERROR(__xludf.DUMMYFUNCTION("""COMPUTED_VALUE"""),55.0)</f>
        <v>55</v>
      </c>
      <c r="E3864" s="2"/>
    </row>
    <row r="3865">
      <c r="A3865" s="2"/>
      <c r="B3865" s="8" t="str">
        <f>IFERROR(__xludf.DUMMYFUNCTION("""COMPUTED_VALUE"""),"NURYANI")</f>
        <v>NURYANI</v>
      </c>
      <c r="C3865" s="8" t="str">
        <f>IFERROR(__xludf.DUMMYFUNCTION("""COMPUTED_VALUE"""),"N6326055144")</f>
        <v>N6326055144</v>
      </c>
      <c r="D3865" s="8">
        <f>IFERROR(__xludf.DUMMYFUNCTION("""COMPUTED_VALUE"""),62.0)</f>
        <v>62</v>
      </c>
      <c r="E3865" s="2"/>
    </row>
    <row r="3866">
      <c r="A3866" s="2"/>
      <c r="B3866" s="8" t="str">
        <f>IFERROR(__xludf.DUMMYFUNCTION("""COMPUTED_VALUE"""),"WAGIATI")</f>
        <v>WAGIATI</v>
      </c>
      <c r="C3866" s="8" t="str">
        <f>IFERROR(__xludf.DUMMYFUNCTION("""COMPUTED_VALUE"""),"W7526056253")</f>
        <v>W7526056253</v>
      </c>
      <c r="D3866" s="8">
        <f>IFERROR(__xludf.DUMMYFUNCTION("""COMPUTED_VALUE"""),51.0)</f>
        <v>51</v>
      </c>
      <c r="E3866" s="2"/>
    </row>
    <row r="3867">
      <c r="A3867" s="2"/>
      <c r="B3867" s="8" t="str">
        <f>IFERROR(__xludf.DUMMYFUNCTION("""COMPUTED_VALUE"""),"FIRDA")</f>
        <v>FIRDA</v>
      </c>
      <c r="C3867" s="8" t="str">
        <f>IFERROR(__xludf.DUMMYFUNCTION("""COMPUTED_VALUE"""),"F8926051000")</f>
        <v>F8926051000</v>
      </c>
      <c r="D3867" s="8">
        <f>IFERROR(__xludf.DUMMYFUNCTION("""COMPUTED_VALUE"""),37.0)</f>
        <v>37</v>
      </c>
      <c r="E3867" s="2"/>
    </row>
    <row r="3868">
      <c r="A3868" s="2"/>
      <c r="B3868" s="8" t="str">
        <f>IFERROR(__xludf.DUMMYFUNCTION("""COMPUTED_VALUE"""),"MUHAMMAD SOULTANI")</f>
        <v>MUHAMMAD SOULTANI</v>
      </c>
      <c r="C3868" s="8" t="str">
        <f>IFERROR(__xludf.DUMMYFUNCTION("""COMPUTED_VALUE"""),"M8726057870")</f>
        <v>M8726057870</v>
      </c>
      <c r="D3868" s="8">
        <f>IFERROR(__xludf.DUMMYFUNCTION("""COMPUTED_VALUE"""),39.0)</f>
        <v>39</v>
      </c>
      <c r="E3868" s="2"/>
    </row>
    <row r="3869">
      <c r="A3869" s="2"/>
      <c r="B3869" s="8" t="str">
        <f>IFERROR(__xludf.DUMMYFUNCTION("""COMPUTED_VALUE"""),"SAODAH")</f>
        <v>SAODAH</v>
      </c>
      <c r="C3869" s="8" t="str">
        <f>IFERROR(__xludf.DUMMYFUNCTION("""COMPUTED_VALUE"""),"S6026058929")</f>
        <v>S6026058929</v>
      </c>
      <c r="D3869" s="8">
        <f>IFERROR(__xludf.DUMMYFUNCTION("""COMPUTED_VALUE"""),66.0)</f>
        <v>66</v>
      </c>
      <c r="E3869" s="2"/>
    </row>
    <row r="3870">
      <c r="A3870" s="2"/>
      <c r="B3870" s="8" t="str">
        <f>IFERROR(__xludf.DUMMYFUNCTION("""COMPUTED_VALUE"""),"SUDARTI RAHMAN")</f>
        <v>SUDARTI RAHMAN</v>
      </c>
      <c r="C3870" s="8" t="str">
        <f>IFERROR(__xludf.DUMMYFUNCTION("""COMPUTED_VALUE"""),"S5826059696")</f>
        <v>S5826059696</v>
      </c>
      <c r="D3870" s="8">
        <f>IFERROR(__xludf.DUMMYFUNCTION("""COMPUTED_VALUE"""),68.0)</f>
        <v>68</v>
      </c>
      <c r="E3870" s="2"/>
    </row>
    <row r="3871">
      <c r="A3871" s="2"/>
      <c r="B3871" s="8" t="str">
        <f>IFERROR(__xludf.DUMMYFUNCTION("""COMPUTED_VALUE"""),"INDRA SETIYAWAN")</f>
        <v>INDRA SETIYAWAN</v>
      </c>
      <c r="C3871" s="8" t="str">
        <f>IFERROR(__xludf.DUMMYFUNCTION("""COMPUTED_VALUE"""),"I9926051758")</f>
        <v>I9926051758</v>
      </c>
      <c r="D3871" s="8">
        <f>IFERROR(__xludf.DUMMYFUNCTION("""COMPUTED_VALUE"""),27.0)</f>
        <v>27</v>
      </c>
      <c r="E3871" s="2"/>
    </row>
    <row r="3872">
      <c r="A3872" s="2"/>
      <c r="B3872" s="8" t="str">
        <f>IFERROR(__xludf.DUMMYFUNCTION("""COMPUTED_VALUE"""),"MARIA AGNES ")</f>
        <v>MARIA AGNES </v>
      </c>
      <c r="C3872" s="8" t="str">
        <f>IFERROR(__xludf.DUMMYFUNCTION("""COMPUTED_VALUE"""),"M9626055850")</f>
        <v>M9626055850</v>
      </c>
      <c r="D3872" s="8">
        <f>IFERROR(__xludf.DUMMYFUNCTION("""COMPUTED_VALUE"""),30.0)</f>
        <v>30</v>
      </c>
      <c r="E3872" s="2"/>
    </row>
    <row r="3873">
      <c r="A3873" s="2"/>
      <c r="B3873" s="8" t="str">
        <f>IFERROR(__xludf.DUMMYFUNCTION("""COMPUTED_VALUE"""),"HADI YULIANTO")</f>
        <v>HADI YULIANTO</v>
      </c>
      <c r="C3873" s="8" t="str">
        <f>IFERROR(__xludf.DUMMYFUNCTION("""COMPUTED_VALUE"""),"H9126053438")</f>
        <v>H9126053438</v>
      </c>
      <c r="D3873" s="8">
        <f>IFERROR(__xludf.DUMMYFUNCTION("""COMPUTED_VALUE"""),35.0)</f>
        <v>35</v>
      </c>
      <c r="E3873" s="2"/>
    </row>
    <row r="3874">
      <c r="A3874" s="2"/>
      <c r="B3874" s="8" t="str">
        <f>IFERROR(__xludf.DUMMYFUNCTION("""COMPUTED_VALUE"""),"MUHAMMAD ADITYA HAPSORO")</f>
        <v>MUHAMMAD ADITYA HAPSORO</v>
      </c>
      <c r="C3874" s="8" t="str">
        <f>IFERROR(__xludf.DUMMYFUNCTION("""COMPUTED_VALUE"""),"M9726059925")</f>
        <v>M9726059925</v>
      </c>
      <c r="D3874" s="8">
        <f>IFERROR(__xludf.DUMMYFUNCTION("""COMPUTED_VALUE"""),28.0)</f>
        <v>28</v>
      </c>
      <c r="E3874" s="2"/>
    </row>
    <row r="3875">
      <c r="A3875" s="2"/>
      <c r="B3875" s="8" t="str">
        <f>IFERROR(__xludf.DUMMYFUNCTION("""COMPUTED_VALUE"""),"GEMILANG HOSHI HAYET ")</f>
        <v>GEMILANG HOSHI HAYET </v>
      </c>
      <c r="C3875" s="8" t="str">
        <f>IFERROR(__xludf.DUMMYFUNCTION("""COMPUTED_VALUE"""),"G1126056837")</f>
        <v>G1126056837</v>
      </c>
      <c r="D3875" s="8">
        <f>IFERROR(__xludf.DUMMYFUNCTION("""COMPUTED_VALUE"""),15.0)</f>
        <v>15</v>
      </c>
      <c r="E3875" s="2"/>
    </row>
    <row r="3876">
      <c r="A3876" s="2"/>
      <c r="B3876" s="8" t="str">
        <f>IFERROR(__xludf.DUMMYFUNCTION("""COMPUTED_VALUE"""),"HENDRI BUDIYANTO")</f>
        <v>HENDRI BUDIYANTO</v>
      </c>
      <c r="C3876" s="8" t="str">
        <f>IFERROR(__xludf.DUMMYFUNCTION("""COMPUTED_VALUE"""),"H0326059855")</f>
        <v>H0326059855</v>
      </c>
      <c r="D3876" s="8">
        <f>IFERROR(__xludf.DUMMYFUNCTION("""COMPUTED_VALUE"""),23.0)</f>
        <v>23</v>
      </c>
      <c r="E3876" s="2"/>
    </row>
    <row r="3877">
      <c r="A3877" s="2"/>
      <c r="B3877" s="8" t="str">
        <f>IFERROR(__xludf.DUMMYFUNCTION("""COMPUTED_VALUE"""),"TITIK HARYATI")</f>
        <v>TITIK HARYATI</v>
      </c>
      <c r="C3877" s="8" t="str">
        <f>IFERROR(__xludf.DUMMYFUNCTION("""COMPUTED_VALUE"""),"T5326050902")</f>
        <v>T5326050902</v>
      </c>
      <c r="D3877" s="8">
        <f>IFERROR(__xludf.DUMMYFUNCTION("""COMPUTED_VALUE"""),73.0)</f>
        <v>73</v>
      </c>
      <c r="E3877" s="2"/>
    </row>
    <row r="3878">
      <c r="A3878" s="2"/>
      <c r="B3878" s="8" t="str">
        <f>IFERROR(__xludf.DUMMYFUNCTION("""COMPUTED_VALUE"""),"ABDIAS JURITINO")</f>
        <v>ABDIAS JURITINO</v>
      </c>
      <c r="C3878" s="8" t="str">
        <f>IFERROR(__xludf.DUMMYFUNCTION("""COMPUTED_VALUE"""),"A0526051851")</f>
        <v>A0526051851</v>
      </c>
      <c r="D3878" s="8">
        <f>IFERROR(__xludf.DUMMYFUNCTION("""COMPUTED_VALUE"""),20.0)</f>
        <v>20</v>
      </c>
      <c r="E3878" s="2"/>
    </row>
    <row r="3879">
      <c r="A3879" s="2"/>
      <c r="B3879" s="8" t="str">
        <f>IFERROR(__xludf.DUMMYFUNCTION("""COMPUTED_VALUE"""),"SALWA SALSABILA")</f>
        <v>SALWA SALSABILA</v>
      </c>
      <c r="C3879" s="8" t="str">
        <f>IFERROR(__xludf.DUMMYFUNCTION("""COMPUTED_VALUE"""),"S9926063350")</f>
        <v>S9926063350</v>
      </c>
      <c r="D3879" s="8">
        <f>IFERROR(__xludf.DUMMYFUNCTION("""COMPUTED_VALUE"""),27.0)</f>
        <v>27</v>
      </c>
      <c r="E3879" s="2"/>
    </row>
    <row r="3880">
      <c r="A3880" s="2"/>
      <c r="B3880" s="8" t="str">
        <f>IFERROR(__xludf.DUMMYFUNCTION("""COMPUTED_VALUE"""),"SANGAPTA SITEPU")</f>
        <v>SANGAPTA SITEPU</v>
      </c>
      <c r="C3880" s="8" t="str">
        <f>IFERROR(__xludf.DUMMYFUNCTION("""COMPUTED_VALUE"""),"S8526068861")</f>
        <v>S8526068861</v>
      </c>
      <c r="D3880" s="8">
        <f>IFERROR(__xludf.DUMMYFUNCTION("""COMPUTED_VALUE"""),41.0)</f>
        <v>41</v>
      </c>
      <c r="E3880" s="2"/>
    </row>
    <row r="3881">
      <c r="A3881" s="2"/>
      <c r="B3881" s="8" t="str">
        <f>IFERROR(__xludf.DUMMYFUNCTION("""COMPUTED_VALUE"""),"RIRIN PURNAMA DEWI")</f>
        <v>RIRIN PURNAMA DEWI</v>
      </c>
      <c r="C3881" s="8" t="str">
        <f>IFERROR(__xludf.DUMMYFUNCTION("""COMPUTED_VALUE"""),"R9526069710")</f>
        <v>R9526069710</v>
      </c>
      <c r="D3881" s="8">
        <f>IFERROR(__xludf.DUMMYFUNCTION("""COMPUTED_VALUE"""),31.0)</f>
        <v>31</v>
      </c>
      <c r="E3881" s="2"/>
    </row>
    <row r="3882">
      <c r="A3882" s="2"/>
      <c r="B3882" s="8" t="str">
        <f>IFERROR(__xludf.DUMMYFUNCTION("""COMPUTED_VALUE"""),"SAMIMA")</f>
        <v>SAMIMA</v>
      </c>
      <c r="C3882" s="8" t="str">
        <f>IFERROR(__xludf.DUMMYFUNCTION("""COMPUTED_VALUE"""),"S9826060651")</f>
        <v>S9826060651</v>
      </c>
      <c r="D3882" s="8">
        <f>IFERROR(__xludf.DUMMYFUNCTION("""COMPUTED_VALUE"""),27.0)</f>
        <v>27</v>
      </c>
      <c r="E3882" s="2"/>
    </row>
    <row r="3883">
      <c r="A3883" s="2"/>
      <c r="B3883" s="8" t="str">
        <f>IFERROR(__xludf.DUMMYFUNCTION("""COMPUTED_VALUE"""),"SYF NURAINI")</f>
        <v>SYF NURAINI</v>
      </c>
      <c r="C3883" s="8" t="str">
        <f>IFERROR(__xludf.DUMMYFUNCTION("""COMPUTED_VALUE"""),"S6626068878")</f>
        <v>S6626068878</v>
      </c>
      <c r="D3883" s="8">
        <f>IFERROR(__xludf.DUMMYFUNCTION("""COMPUTED_VALUE"""),60.0)</f>
        <v>60</v>
      </c>
      <c r="E3883" s="2"/>
    </row>
    <row r="3884">
      <c r="A3884" s="2"/>
      <c r="B3884" s="8" t="str">
        <f>IFERROR(__xludf.DUMMYFUNCTION("""COMPUTED_VALUE"""),"MUHAMMAD LUTHFIR RAHMAN")</f>
        <v>MUHAMMAD LUTHFIR RAHMAN</v>
      </c>
      <c r="C3884" s="8" t="str">
        <f>IFERROR(__xludf.DUMMYFUNCTION("""COMPUTED_VALUE"""),"M1326066368")</f>
        <v>M1326066368</v>
      </c>
      <c r="D3884" s="8">
        <f>IFERROR(__xludf.DUMMYFUNCTION("""COMPUTED_VALUE"""),13.0)</f>
        <v>13</v>
      </c>
      <c r="E3884" s="2"/>
    </row>
    <row r="3885">
      <c r="A3885" s="2"/>
      <c r="B3885" s="8" t="str">
        <f>IFERROR(__xludf.DUMMYFUNCTION("""COMPUTED_VALUE"""),"R. ADANG ERI RISWANA")</f>
        <v>R. ADANG ERI RISWANA</v>
      </c>
      <c r="C3885" s="8" t="str">
        <f>IFERROR(__xludf.DUMMYFUNCTION("""COMPUTED_VALUE"""),"R8026065125")</f>
        <v>R8026065125</v>
      </c>
      <c r="D3885" s="8">
        <f>IFERROR(__xludf.DUMMYFUNCTION("""COMPUTED_VALUE"""),45.0)</f>
        <v>45</v>
      </c>
      <c r="E3885" s="2"/>
    </row>
    <row r="3886">
      <c r="A3886" s="2"/>
      <c r="B3886" s="8" t="str">
        <f>IFERROR(__xludf.DUMMYFUNCTION("""COMPUTED_VALUE"""),"HERMI HERMAWAN")</f>
        <v>HERMI HERMAWAN</v>
      </c>
      <c r="C3886" s="8" t="str">
        <f>IFERROR(__xludf.DUMMYFUNCTION("""COMPUTED_VALUE"""),"H8126061485")</f>
        <v>H8126061485</v>
      </c>
      <c r="D3886" s="8">
        <f>IFERROR(__xludf.DUMMYFUNCTION("""COMPUTED_VALUE"""),45.0)</f>
        <v>45</v>
      </c>
      <c r="E3886" s="2"/>
    </row>
    <row r="3887">
      <c r="A3887" s="2"/>
      <c r="B3887" s="8" t="str">
        <f>IFERROR(__xludf.DUMMYFUNCTION("""COMPUTED_VALUE"""),"ENDY MAULIDI")</f>
        <v>ENDY MAULIDI</v>
      </c>
      <c r="C3887" s="8" t="str">
        <f>IFERROR(__xludf.DUMMYFUNCTION("""COMPUTED_VALUE"""),"E9226067470")</f>
        <v>E9226067470</v>
      </c>
      <c r="D3887" s="8">
        <f>IFERROR(__xludf.DUMMYFUNCTION("""COMPUTED_VALUE"""),33.0)</f>
        <v>33</v>
      </c>
      <c r="E3887" s="2"/>
    </row>
    <row r="3888">
      <c r="A3888" s="2"/>
      <c r="B3888" s="8" t="str">
        <f>IFERROR(__xludf.DUMMYFUNCTION("""COMPUTED_VALUE"""),"HAIKAL DEVEN")</f>
        <v>HAIKAL DEVEN</v>
      </c>
      <c r="C3888" s="8" t="str">
        <f>IFERROR(__xludf.DUMMYFUNCTION("""COMPUTED_VALUE"""),"H1026068810")</f>
        <v>H1026068810</v>
      </c>
      <c r="D3888" s="8">
        <f>IFERROR(__xludf.DUMMYFUNCTION("""COMPUTED_VALUE"""),16.0)</f>
        <v>16</v>
      </c>
      <c r="E3888" s="2"/>
    </row>
    <row r="3889">
      <c r="A3889" s="2"/>
      <c r="B3889" s="8" t="str">
        <f>IFERROR(__xludf.DUMMYFUNCTION("""COMPUTED_VALUE"""),"TUTI MULYATI")</f>
        <v>TUTI MULYATI</v>
      </c>
      <c r="C3889" s="8" t="str">
        <f>IFERROR(__xludf.DUMMYFUNCTION("""COMPUTED_VALUE"""),"T6326061565")</f>
        <v>T6326061565</v>
      </c>
      <c r="D3889" s="8">
        <f>IFERROR(__xludf.DUMMYFUNCTION("""COMPUTED_VALUE"""),63.0)</f>
        <v>63</v>
      </c>
      <c r="E3889" s="2"/>
    </row>
    <row r="3890">
      <c r="A3890" s="2"/>
      <c r="B3890" s="8" t="str">
        <f>IFERROR(__xludf.DUMMYFUNCTION("""COMPUTED_VALUE"""),"RHAFA AL QAHFY")</f>
        <v>RHAFA AL QAHFY</v>
      </c>
      <c r="C3890" s="8" t="str">
        <f>IFERROR(__xludf.DUMMYFUNCTION("""COMPUTED_VALUE"""),"R0726065339")</f>
        <v>R0726065339</v>
      </c>
      <c r="D3890" s="8">
        <f>IFERROR(__xludf.DUMMYFUNCTION("""COMPUTED_VALUE"""),18.0)</f>
        <v>18</v>
      </c>
      <c r="E3890" s="2"/>
    </row>
    <row r="3891">
      <c r="A3891" s="2"/>
      <c r="B3891" s="8" t="str">
        <f>IFERROR(__xludf.DUMMYFUNCTION("""COMPUTED_VALUE"""),"YULIA RAMADHIYANTI")</f>
        <v>YULIA RAMADHIYANTI</v>
      </c>
      <c r="C3891" s="8" t="str">
        <f>IFERROR(__xludf.DUMMYFUNCTION("""COMPUTED_VALUE"""),"Y8226066566")</f>
        <v>Y8226066566</v>
      </c>
      <c r="D3891" s="8">
        <f>IFERROR(__xludf.DUMMYFUNCTION("""COMPUTED_VALUE"""),44.0)</f>
        <v>44</v>
      </c>
      <c r="E3891" s="2"/>
    </row>
    <row r="3892">
      <c r="A3892" s="2"/>
      <c r="B3892" s="8" t="str">
        <f>IFERROR(__xludf.DUMMYFUNCTION("""COMPUTED_VALUE"""),"HASAN BASRI ")</f>
        <v>HASAN BASRI </v>
      </c>
      <c r="C3892" s="8" t="str">
        <f>IFERROR(__xludf.DUMMYFUNCTION("""COMPUTED_VALUE"""),"H6526063635")</f>
        <v>H6526063635</v>
      </c>
      <c r="D3892" s="8">
        <f>IFERROR(__xludf.DUMMYFUNCTION("""COMPUTED_VALUE"""),61.0)</f>
        <v>61</v>
      </c>
      <c r="E3892" s="2"/>
    </row>
    <row r="3893">
      <c r="A3893" s="2"/>
      <c r="B3893" s="8" t="str">
        <f>IFERROR(__xludf.DUMMYFUNCTION("""COMPUTED_VALUE"""),"IPAH SIDA , S.E.")</f>
        <v>IPAH SIDA , S.E.</v>
      </c>
      <c r="C3893" s="8" t="str">
        <f>IFERROR(__xludf.DUMMYFUNCTION("""COMPUTED_VALUE"""),"I8426061984")</f>
        <v>I8426061984</v>
      </c>
      <c r="D3893" s="8">
        <f>IFERROR(__xludf.DUMMYFUNCTION("""COMPUTED_VALUE"""),42.0)</f>
        <v>42</v>
      </c>
      <c r="E3893" s="2"/>
    </row>
    <row r="3894">
      <c r="A3894" s="2"/>
      <c r="B3894" s="8" t="str">
        <f>IFERROR(__xludf.DUMMYFUNCTION("""COMPUTED_VALUE"""),"NINING DWI PUSPITASARI ")</f>
        <v>NINING DWI PUSPITASARI </v>
      </c>
      <c r="C3894" s="8" t="str">
        <f>IFERROR(__xludf.DUMMYFUNCTION("""COMPUTED_VALUE"""),"N9026065696")</f>
        <v>N9026065696</v>
      </c>
      <c r="D3894" s="8">
        <f>IFERROR(__xludf.DUMMYFUNCTION("""COMPUTED_VALUE"""),36.0)</f>
        <v>36</v>
      </c>
      <c r="E3894" s="2"/>
    </row>
    <row r="3895">
      <c r="A3895" s="2"/>
      <c r="B3895" s="8" t="str">
        <f>IFERROR(__xludf.DUMMYFUNCTION("""COMPUTED_VALUE"""),"STIVEN")</f>
        <v>STIVEN</v>
      </c>
      <c r="C3895" s="8" t="str">
        <f>IFERROR(__xludf.DUMMYFUNCTION("""COMPUTED_VALUE"""),"S0426068353")</f>
        <v>S0426068353</v>
      </c>
      <c r="D3895" s="8">
        <f>IFERROR(__xludf.DUMMYFUNCTION("""COMPUTED_VALUE"""),21.0)</f>
        <v>21</v>
      </c>
      <c r="E3895" s="2"/>
    </row>
    <row r="3896">
      <c r="A3896" s="2"/>
      <c r="B3896" s="8" t="str">
        <f>IFERROR(__xludf.DUMMYFUNCTION("""COMPUTED_VALUE"""),"ALDI RANDY YUDO")</f>
        <v>ALDI RANDY YUDO</v>
      </c>
      <c r="C3896" s="8" t="str">
        <f>IFERROR(__xludf.DUMMYFUNCTION("""COMPUTED_VALUE"""),"A9226062020")</f>
        <v>A9226062020</v>
      </c>
      <c r="D3896" s="8">
        <f>IFERROR(__xludf.DUMMYFUNCTION("""COMPUTED_VALUE"""),34.0)</f>
        <v>34</v>
      </c>
      <c r="E3896" s="2"/>
    </row>
    <row r="3897">
      <c r="A3897" s="2"/>
      <c r="B3897" s="8" t="str">
        <f>IFERROR(__xludf.DUMMYFUNCTION("""COMPUTED_VALUE"""),"EFRIANA")</f>
        <v>EFRIANA</v>
      </c>
      <c r="C3897" s="8" t="str">
        <f>IFERROR(__xludf.DUMMYFUNCTION("""COMPUTED_VALUE"""),"E9426069108")</f>
        <v>E9426069108</v>
      </c>
      <c r="D3897" s="8">
        <f>IFERROR(__xludf.DUMMYFUNCTION("""COMPUTED_VALUE"""),32.0)</f>
        <v>32</v>
      </c>
      <c r="E3897" s="2"/>
    </row>
    <row r="3898">
      <c r="A3898" s="2"/>
      <c r="B3898" s="8" t="str">
        <f>IFERROR(__xludf.DUMMYFUNCTION("""COMPUTED_VALUE"""),"SUMARNI")</f>
        <v>SUMARNI</v>
      </c>
      <c r="C3898" s="8" t="str">
        <f>IFERROR(__xludf.DUMMYFUNCTION("""COMPUTED_VALUE"""),"S8226060509")</f>
        <v>S8226060509</v>
      </c>
      <c r="D3898" s="8">
        <f>IFERROR(__xludf.DUMMYFUNCTION("""COMPUTED_VALUE"""),44.0)</f>
        <v>44</v>
      </c>
      <c r="E3898" s="2"/>
    </row>
    <row r="3899">
      <c r="A3899" s="2"/>
      <c r="B3899" s="8" t="str">
        <f>IFERROR(__xludf.DUMMYFUNCTION("""COMPUTED_VALUE"""),"NISAH")</f>
        <v>NISAH</v>
      </c>
      <c r="C3899" s="8" t="str">
        <f>IFERROR(__xludf.DUMMYFUNCTION("""COMPUTED_VALUE"""),"N7226062266")</f>
        <v>N7226062266</v>
      </c>
      <c r="D3899" s="8">
        <f>IFERROR(__xludf.DUMMYFUNCTION("""COMPUTED_VALUE"""),53.0)</f>
        <v>53</v>
      </c>
      <c r="E3899" s="2"/>
    </row>
    <row r="3900">
      <c r="A3900" s="2"/>
      <c r="B3900" s="8" t="str">
        <f>IFERROR(__xludf.DUMMYFUNCTION("""COMPUTED_VALUE"""),"DEWI")</f>
        <v>DEWI</v>
      </c>
      <c r="C3900" s="8" t="str">
        <f>IFERROR(__xludf.DUMMYFUNCTION("""COMPUTED_VALUE"""),"D892606ba")</f>
        <v>D892606ba</v>
      </c>
      <c r="D3900" s="8">
        <f>IFERROR(__xludf.DUMMYFUNCTION("""COMPUTED_VALUE"""),37.0)</f>
        <v>37</v>
      </c>
      <c r="E3900" s="2"/>
    </row>
    <row r="3901">
      <c r="A3901" s="2"/>
      <c r="B3901" s="8" t="str">
        <f>IFERROR(__xludf.DUMMYFUNCTION("""COMPUTED_VALUE"""),"DIAH KURNIATI")</f>
        <v>DIAH KURNIATI</v>
      </c>
      <c r="C3901" s="8" t="str">
        <f>IFERROR(__xludf.DUMMYFUNCTION("""COMPUTED_VALUE"""),"D8026067741")</f>
        <v>D8026067741</v>
      </c>
      <c r="D3901" s="8">
        <f>IFERROR(__xludf.DUMMYFUNCTION("""COMPUTED_VALUE"""),45.0)</f>
        <v>45</v>
      </c>
      <c r="E3901" s="2"/>
    </row>
    <row r="3902">
      <c r="A3902" s="2"/>
      <c r="B3902" s="8" t="str">
        <f>IFERROR(__xludf.DUMMYFUNCTION("""COMPUTED_VALUE"""),"HERMI HERMAWAN")</f>
        <v>HERMI HERMAWAN</v>
      </c>
      <c r="C3902" s="8" t="str">
        <f>IFERROR(__xludf.DUMMYFUNCTION("""COMPUTED_VALUE"""),"H8126067772")</f>
        <v>H8126067772</v>
      </c>
      <c r="D3902" s="8">
        <f>IFERROR(__xludf.DUMMYFUNCTION("""COMPUTED_VALUE"""),45.0)</f>
        <v>45</v>
      </c>
      <c r="E3902" s="2"/>
    </row>
    <row r="3903">
      <c r="A3903" s="2"/>
      <c r="B3903" s="8" t="str">
        <f>IFERROR(__xludf.DUMMYFUNCTION("""COMPUTED_VALUE"""),"DIAH KURNIATI")</f>
        <v>DIAH KURNIATI</v>
      </c>
      <c r="C3903" s="8" t="str">
        <f>IFERROR(__xludf.DUMMYFUNCTION("""COMPUTED_VALUE"""),"D8026067741")</f>
        <v>D8026067741</v>
      </c>
      <c r="D3903" s="8">
        <f>IFERROR(__xludf.DUMMYFUNCTION("""COMPUTED_VALUE"""),45.0)</f>
        <v>45</v>
      </c>
      <c r="E3903" s="2"/>
    </row>
    <row r="3904">
      <c r="A3904" s="2"/>
      <c r="B3904" s="8" t="str">
        <f>IFERROR(__xludf.DUMMYFUNCTION("""COMPUTED_VALUE"""),"HERMI HERMAWAN")</f>
        <v>HERMI HERMAWAN</v>
      </c>
      <c r="C3904" s="8" t="str">
        <f>IFERROR(__xludf.DUMMYFUNCTION("""COMPUTED_VALUE"""),"H8126067772")</f>
        <v>H8126067772</v>
      </c>
      <c r="D3904" s="8">
        <f>IFERROR(__xludf.DUMMYFUNCTION("""COMPUTED_VALUE"""),45.0)</f>
        <v>45</v>
      </c>
      <c r="E3904" s="2"/>
    </row>
    <row r="3905">
      <c r="A3905" s="2"/>
      <c r="B3905" s="8" t="str">
        <f>IFERROR(__xludf.DUMMYFUNCTION("""COMPUTED_VALUE"""),"DARA APRILA YUSLYANI")</f>
        <v>DARA APRILA YUSLYANI</v>
      </c>
      <c r="C3905" s="8" t="str">
        <f>IFERROR(__xludf.DUMMYFUNCTION("""COMPUTED_VALUE"""),"D9526063678")</f>
        <v>D9526063678</v>
      </c>
      <c r="D3905" s="8">
        <f>IFERROR(__xludf.DUMMYFUNCTION("""COMPUTED_VALUE"""),31.0)</f>
        <v>31</v>
      </c>
      <c r="E3905" s="2"/>
    </row>
    <row r="3906">
      <c r="A3906" s="2"/>
      <c r="B3906" s="8" t="str">
        <f>IFERROR(__xludf.DUMMYFUNCTION("""COMPUTED_VALUE"""),"ROBIYATI")</f>
        <v>ROBIYATI</v>
      </c>
      <c r="C3906" s="8" t="str">
        <f>IFERROR(__xludf.DUMMYFUNCTION("""COMPUTED_VALUE"""),"R7626066583")</f>
        <v>R7626066583</v>
      </c>
      <c r="D3906" s="8">
        <f>IFERROR(__xludf.DUMMYFUNCTION("""COMPUTED_VALUE"""),50.0)</f>
        <v>50</v>
      </c>
      <c r="E3906" s="2"/>
    </row>
    <row r="3907">
      <c r="A3907" s="2"/>
      <c r="B3907" s="8" t="str">
        <f>IFERROR(__xludf.DUMMYFUNCTION("""COMPUTED_VALUE"""),"KUKUH WIDADI")</f>
        <v>KUKUH WIDADI</v>
      </c>
      <c r="C3907" s="8" t="str">
        <f>IFERROR(__xludf.DUMMYFUNCTION("""COMPUTED_VALUE"""),"K9026061487")</f>
        <v>K9026061487</v>
      </c>
      <c r="D3907" s="8">
        <f>IFERROR(__xludf.DUMMYFUNCTION("""COMPUTED_VALUE"""),35.0)</f>
        <v>35</v>
      </c>
      <c r="E3907" s="2"/>
    </row>
    <row r="3908">
      <c r="A3908" s="2"/>
      <c r="B3908" s="8" t="str">
        <f>IFERROR(__xludf.DUMMYFUNCTION("""COMPUTED_VALUE"""),"HABIBULLAH")</f>
        <v>HABIBULLAH</v>
      </c>
      <c r="C3908" s="8" t="str">
        <f>IFERROR(__xludf.DUMMYFUNCTION("""COMPUTED_VALUE"""),"H7626060660")</f>
        <v>H7626060660</v>
      </c>
      <c r="D3908" s="8">
        <f>IFERROR(__xludf.DUMMYFUNCTION("""COMPUTED_VALUE"""),50.0)</f>
        <v>50</v>
      </c>
      <c r="E3908" s="2"/>
    </row>
    <row r="3909">
      <c r="A3909" s="2"/>
      <c r="B3909" s="8" t="str">
        <f>IFERROR(__xludf.DUMMYFUNCTION("""COMPUTED_VALUE"""),"SYARIF MAUDUDI ANSARI")</f>
        <v>SYARIF MAUDUDI ANSARI</v>
      </c>
      <c r="C3909" s="8" t="str">
        <f>IFERROR(__xludf.DUMMYFUNCTION("""COMPUTED_VALUE"""),"S9026069284")</f>
        <v>S9026069284</v>
      </c>
      <c r="D3909" s="8">
        <f>IFERROR(__xludf.DUMMYFUNCTION("""COMPUTED_VALUE"""),36.0)</f>
        <v>36</v>
      </c>
      <c r="E3909" s="2"/>
    </row>
    <row r="3910">
      <c r="A3910" s="2"/>
      <c r="B3910" s="8" t="str">
        <f>IFERROR(__xludf.DUMMYFUNCTION("""COMPUTED_VALUE"""),"ARINI")</f>
        <v>ARINI</v>
      </c>
      <c r="C3910" s="8" t="str">
        <f>IFERROR(__xludf.DUMMYFUNCTION("""COMPUTED_VALUE"""),"A7726065868")</f>
        <v>A7726065868</v>
      </c>
      <c r="D3910" s="8">
        <f>IFERROR(__xludf.DUMMYFUNCTION("""COMPUTED_VALUE"""),49.0)</f>
        <v>49</v>
      </c>
      <c r="E3910" s="2"/>
    </row>
    <row r="3911">
      <c r="A3911" s="2"/>
      <c r="B3911" s="8" t="str">
        <f>IFERROR(__xludf.DUMMYFUNCTION("""COMPUTED_VALUE"""),"JAWARIYAH")</f>
        <v>JAWARIYAH</v>
      </c>
      <c r="C3911" s="8" t="str">
        <f>IFERROR(__xludf.DUMMYFUNCTION("""COMPUTED_VALUE"""),"J6426063757")</f>
        <v>J6426063757</v>
      </c>
      <c r="D3911" s="8">
        <f>IFERROR(__xludf.DUMMYFUNCTION("""COMPUTED_VALUE"""),62.0)</f>
        <v>62</v>
      </c>
      <c r="E3911" s="2"/>
    </row>
    <row r="3912">
      <c r="A3912" s="2"/>
      <c r="B3912" s="8" t="str">
        <f>IFERROR(__xludf.DUMMYFUNCTION("""COMPUTED_VALUE"""),"SHOCHIHATUZ")</f>
        <v>SHOCHIHATUZ</v>
      </c>
      <c r="C3912" s="8" t="str">
        <f>IFERROR(__xludf.DUMMYFUNCTION("""COMPUTED_VALUE"""),"S9426069383")</f>
        <v>S9426069383</v>
      </c>
      <c r="D3912" s="8">
        <f>IFERROR(__xludf.DUMMYFUNCTION("""COMPUTED_VALUE"""),32.0)</f>
        <v>32</v>
      </c>
      <c r="E3912" s="2"/>
    </row>
    <row r="3913">
      <c r="A3913" s="2"/>
      <c r="B3913" s="8" t="str">
        <f>IFERROR(__xludf.DUMMYFUNCTION("""COMPUTED_VALUE"""),"LUKAS FAJAR")</f>
        <v>LUKAS FAJAR</v>
      </c>
      <c r="C3913" s="8" t="str">
        <f>IFERROR(__xludf.DUMMYFUNCTION("""COMPUTED_VALUE"""),"L0126069099")</f>
        <v>L0126069099</v>
      </c>
      <c r="D3913" s="8">
        <f>IFERROR(__xludf.DUMMYFUNCTION("""COMPUTED_VALUE"""),25.0)</f>
        <v>25</v>
      </c>
      <c r="E3913" s="2"/>
    </row>
    <row r="3914">
      <c r="A3914" s="2"/>
      <c r="B3914" s="8" t="str">
        <f>IFERROR(__xludf.DUMMYFUNCTION("""COMPUTED_VALUE"""),"ZAKI MUBARAK")</f>
        <v>ZAKI MUBARAK</v>
      </c>
      <c r="C3914" s="8" t="str">
        <f>IFERROR(__xludf.DUMMYFUNCTION("""COMPUTED_VALUE"""),"Z0226060742")</f>
        <v>Z0226060742</v>
      </c>
      <c r="D3914" s="8">
        <f>IFERROR(__xludf.DUMMYFUNCTION("""COMPUTED_VALUE"""),24.0)</f>
        <v>24</v>
      </c>
      <c r="E3914" s="2"/>
    </row>
    <row r="3915">
      <c r="A3915" s="2"/>
      <c r="B3915" s="8" t="str">
        <f>IFERROR(__xludf.DUMMYFUNCTION("""COMPUTED_VALUE"""),"MILAWATY")</f>
        <v>MILAWATY</v>
      </c>
      <c r="C3915" s="8" t="str">
        <f>IFERROR(__xludf.DUMMYFUNCTION("""COMPUTED_VALUE"""),"M6326065357")</f>
        <v>M6326065357</v>
      </c>
      <c r="D3915" s="8">
        <f>IFERROR(__xludf.DUMMYFUNCTION("""COMPUTED_VALUE"""),63.0)</f>
        <v>63</v>
      </c>
      <c r="E3915" s="2"/>
    </row>
    <row r="3916">
      <c r="A3916" s="2"/>
      <c r="B3916" s="8" t="str">
        <f>IFERROR(__xludf.DUMMYFUNCTION("""COMPUTED_VALUE"""),"ARIF 6912")</f>
        <v>ARIF 6912</v>
      </c>
      <c r="C3916" s="8" t="str">
        <f>IFERROR(__xludf.DUMMYFUNCTION("""COMPUTED_VALUE"""),"A6926067526")</f>
        <v>A6926067526</v>
      </c>
      <c r="D3916" s="8">
        <f>IFERROR(__xludf.DUMMYFUNCTION("""COMPUTED_VALUE"""),56.0)</f>
        <v>56</v>
      </c>
      <c r="E3916" s="2"/>
    </row>
    <row r="3917">
      <c r="A3917" s="2"/>
      <c r="B3917" s="8" t="str">
        <f>IFERROR(__xludf.DUMMYFUNCTION("""COMPUTED_VALUE"""),"SUWARDI TJANDRA")</f>
        <v>SUWARDI TJANDRA</v>
      </c>
      <c r="C3917" s="8" t="str">
        <f>IFERROR(__xludf.DUMMYFUNCTION("""COMPUTED_VALUE"""),"S6426061560")</f>
        <v>S6426061560</v>
      </c>
      <c r="D3917" s="8">
        <f>IFERROR(__xludf.DUMMYFUNCTION("""COMPUTED_VALUE"""),62.0)</f>
        <v>62</v>
      </c>
      <c r="E3917" s="2"/>
    </row>
    <row r="3918">
      <c r="A3918" s="2"/>
      <c r="B3918" s="8" t="str">
        <f>IFERROR(__xludf.DUMMYFUNCTION("""COMPUTED_VALUE"""),"HERLINA 7309")</f>
        <v>HERLINA 7309</v>
      </c>
      <c r="C3918" s="8" t="str">
        <f>IFERROR(__xludf.DUMMYFUNCTION("""COMPUTED_VALUE"""),"H7326064128")</f>
        <v>H7326064128</v>
      </c>
      <c r="D3918" s="8">
        <f>IFERROR(__xludf.DUMMYFUNCTION("""COMPUTED_VALUE"""),52.0)</f>
        <v>52</v>
      </c>
      <c r="E3918" s="2"/>
    </row>
    <row r="3919">
      <c r="A3919" s="2"/>
      <c r="B3919" s="8" t="str">
        <f>IFERROR(__xludf.DUMMYFUNCTION("""COMPUTED_VALUE"""),"FADHIL AL FATAH")</f>
        <v>FADHIL AL FATAH</v>
      </c>
      <c r="C3919" s="8" t="str">
        <f>IFERROR(__xludf.DUMMYFUNCTION("""COMPUTED_VALUE"""),"F9426065585")</f>
        <v>F9426065585</v>
      </c>
      <c r="D3919" s="8">
        <f>IFERROR(__xludf.DUMMYFUNCTION("""COMPUTED_VALUE"""),31.0)</f>
        <v>31</v>
      </c>
      <c r="E3919" s="2"/>
    </row>
    <row r="3920">
      <c r="A3920" s="2"/>
      <c r="B3920" s="8" t="str">
        <f>IFERROR(__xludf.DUMMYFUNCTION("""COMPUTED_VALUE"""),"WAHYUDIN CIPTADI")</f>
        <v>WAHYUDIN CIPTADI</v>
      </c>
      <c r="C3920" s="8" t="str">
        <f>IFERROR(__xludf.DUMMYFUNCTION("""COMPUTED_VALUE"""),"W7826064195")</f>
        <v>W7826064195</v>
      </c>
      <c r="D3920" s="8">
        <f>IFERROR(__xludf.DUMMYFUNCTION("""COMPUTED_VALUE"""),48.0)</f>
        <v>48</v>
      </c>
      <c r="E3920" s="2"/>
    </row>
    <row r="3921">
      <c r="A3921" s="2"/>
      <c r="B3921" s="8" t="str">
        <f>IFERROR(__xludf.DUMMYFUNCTION("""COMPUTED_VALUE"""),"DEWI978")</f>
        <v>DEWI978</v>
      </c>
      <c r="C3921" s="8" t="str">
        <f>IFERROR(__xludf.DUMMYFUNCTION("""COMPUTED_VALUE"""),"D7926067523")</f>
        <v>D7926067523</v>
      </c>
      <c r="D3921" s="8">
        <f>IFERROR(__xludf.DUMMYFUNCTION("""COMPUTED_VALUE"""),47.0)</f>
        <v>47</v>
      </c>
      <c r="E3921" s="2"/>
    </row>
    <row r="3922">
      <c r="A3922" s="2"/>
      <c r="B3922" s="8" t="str">
        <f>IFERROR(__xludf.DUMMYFUNCTION("""COMPUTED_VALUE"""),"ENDANG TUTI SETIAWATI")</f>
        <v>ENDANG TUTI SETIAWATI</v>
      </c>
      <c r="C3922" s="8" t="str">
        <f>IFERROR(__xludf.DUMMYFUNCTION("""COMPUTED_VALUE"""),"E7526069163")</f>
        <v>E7526069163</v>
      </c>
      <c r="D3922" s="8">
        <f>IFERROR(__xludf.DUMMYFUNCTION("""COMPUTED_VALUE"""),51.0)</f>
        <v>51</v>
      </c>
      <c r="E3922" s="2"/>
    </row>
    <row r="3923">
      <c r="A3923" s="2"/>
      <c r="B3923" s="8" t="str">
        <f>IFERROR(__xludf.DUMMYFUNCTION("""COMPUTED_VALUE"""),"EVANCIUS VALLEN")</f>
        <v>EVANCIUS VALLEN</v>
      </c>
      <c r="C3923" s="8" t="str">
        <f>IFERROR(__xludf.DUMMYFUNCTION("""COMPUTED_VALUE"""),"E0926062189")</f>
        <v>E0926062189</v>
      </c>
      <c r="D3923" s="8">
        <f>IFERROR(__xludf.DUMMYFUNCTION("""COMPUTED_VALUE"""),17.0)</f>
        <v>17</v>
      </c>
      <c r="E3923" s="2"/>
    </row>
    <row r="3924">
      <c r="A3924" s="2"/>
      <c r="B3924" s="8" t="str">
        <f>IFERROR(__xludf.DUMMYFUNCTION("""COMPUTED_VALUE"""),"RIA KURNIA")</f>
        <v>RIA KURNIA</v>
      </c>
      <c r="C3924" s="8" t="str">
        <f>IFERROR(__xludf.DUMMYFUNCTION("""COMPUTED_VALUE"""),"R8426072003")</f>
        <v>R8426072003</v>
      </c>
      <c r="D3924" s="8">
        <f>IFERROR(__xludf.DUMMYFUNCTION("""COMPUTED_VALUE"""),41.0)</f>
        <v>41</v>
      </c>
      <c r="E3924" s="2"/>
    </row>
    <row r="3925">
      <c r="A3925" s="2"/>
      <c r="B3925" s="8" t="str">
        <f>IFERROR(__xludf.DUMMYFUNCTION("""COMPUTED_VALUE"""),"RIKA LORENSA")</f>
        <v>RIKA LORENSA</v>
      </c>
      <c r="C3925" s="8" t="str">
        <f>IFERROR(__xludf.DUMMYFUNCTION("""COMPUTED_VALUE"""),"R7126063785")</f>
        <v>R7126063785</v>
      </c>
      <c r="D3925" s="8">
        <f>IFERROR(__xludf.DUMMYFUNCTION("""COMPUTED_VALUE"""),55.0)</f>
        <v>55</v>
      </c>
      <c r="E3925" s="2"/>
    </row>
    <row r="3926">
      <c r="A3926" s="2"/>
      <c r="B3926" s="8" t="str">
        <f>IFERROR(__xludf.DUMMYFUNCTION("""COMPUTED_VALUE"""),"GIBRAN ATHALLAH")</f>
        <v>GIBRAN ATHALLAH</v>
      </c>
      <c r="C3926" s="8" t="str">
        <f>IFERROR(__xludf.DUMMYFUNCTION("""COMPUTED_VALUE"""),"G1426065255")</f>
        <v>G1426065255</v>
      </c>
      <c r="D3926" s="8">
        <f>IFERROR(__xludf.DUMMYFUNCTION("""COMPUTED_VALUE"""),12.0)</f>
        <v>12</v>
      </c>
      <c r="E3926" s="2"/>
    </row>
    <row r="3927">
      <c r="A3927" s="2"/>
      <c r="B3927" s="8" t="str">
        <f>IFERROR(__xludf.DUMMYFUNCTION("""COMPUTED_VALUE"""),"DHEA ANGGRAINI")</f>
        <v>DHEA ANGGRAINI</v>
      </c>
      <c r="C3927" s="8" t="str">
        <f>IFERROR(__xludf.DUMMYFUNCTION("""COMPUTED_VALUE"""),"D9826064644")</f>
        <v>D9826064644</v>
      </c>
      <c r="D3927" s="8">
        <f>IFERROR(__xludf.DUMMYFUNCTION("""COMPUTED_VALUE"""),28.0)</f>
        <v>28</v>
      </c>
      <c r="E3927" s="2"/>
    </row>
    <row r="3928">
      <c r="A3928" s="2"/>
      <c r="B3928" s="8" t="str">
        <f>IFERROR(__xludf.DUMMYFUNCTION("""COMPUTED_VALUE"""),"RAISHA SYIFA ANANTA")</f>
        <v>RAISHA SYIFA ANANTA</v>
      </c>
      <c r="C3928" s="8" t="str">
        <f>IFERROR(__xludf.DUMMYFUNCTION("""COMPUTED_VALUE"""),"R1026062828")</f>
        <v>R1026062828</v>
      </c>
      <c r="D3928" s="8">
        <f>IFERROR(__xludf.DUMMYFUNCTION("""COMPUTED_VALUE"""),16.0)</f>
        <v>16</v>
      </c>
      <c r="E3928" s="2"/>
    </row>
    <row r="3929">
      <c r="A3929" s="2"/>
      <c r="B3929" s="8" t="str">
        <f>IFERROR(__xludf.DUMMYFUNCTION("""COMPUTED_VALUE"""),"JEFFRY HERMANSYAH")</f>
        <v>JEFFRY HERMANSYAH</v>
      </c>
      <c r="C3929" s="8" t="str">
        <f>IFERROR(__xludf.DUMMYFUNCTION("""COMPUTED_VALUE"""),"J2626061034")</f>
        <v>J2626061034</v>
      </c>
      <c r="D3929" s="8">
        <f>IFERROR(__xludf.DUMMYFUNCTION("""COMPUTED_VALUE"""),0.0)</f>
        <v>0</v>
      </c>
      <c r="E3929" s="2"/>
    </row>
    <row r="3930">
      <c r="A3930" s="2"/>
      <c r="B3930" s="8" t="str">
        <f>IFERROR(__xludf.DUMMYFUNCTION("""COMPUTED_VALUE"""),"DHEA ANGGRAINI")</f>
        <v>DHEA ANGGRAINI</v>
      </c>
      <c r="C3930" s="8" t="str">
        <f>IFERROR(__xludf.DUMMYFUNCTION("""COMPUTED_VALUE"""),"D9826064644")</f>
        <v>D9826064644</v>
      </c>
      <c r="D3930" s="8">
        <f>IFERROR(__xludf.DUMMYFUNCTION("""COMPUTED_VALUE"""),28.0)</f>
        <v>28</v>
      </c>
      <c r="E3930" s="2"/>
    </row>
    <row r="3931">
      <c r="A3931" s="2"/>
      <c r="B3931" s="8" t="str">
        <f>IFERROR(__xludf.DUMMYFUNCTION("""COMPUTED_VALUE"""),"FICO DIKA FAHREZY")</f>
        <v>FICO DIKA FAHREZY</v>
      </c>
      <c r="C3931" s="8" t="str">
        <f>IFERROR(__xludf.DUMMYFUNCTION("""COMPUTED_VALUE"""),"F0626062929")</f>
        <v>F0626062929</v>
      </c>
      <c r="D3931" s="8">
        <f>IFERROR(__xludf.DUMMYFUNCTION("""COMPUTED_VALUE"""),19.0)</f>
        <v>19</v>
      </c>
      <c r="E3931" s="2"/>
    </row>
    <row r="3932">
      <c r="A3932" s="2"/>
      <c r="B3932" s="8" t="str">
        <f>IFERROR(__xludf.DUMMYFUNCTION("""COMPUTED_VALUE"""),"YUNIANTI")</f>
        <v>YUNIANTI</v>
      </c>
      <c r="C3932" s="8" t="str">
        <f>IFERROR(__xludf.DUMMYFUNCTION("""COMPUTED_VALUE"""),"Y9126063798")</f>
        <v>Y9126063798</v>
      </c>
      <c r="D3932" s="8">
        <f>IFERROR(__xludf.DUMMYFUNCTION("""COMPUTED_VALUE"""),35.0)</f>
        <v>35</v>
      </c>
      <c r="E3932" s="2"/>
    </row>
    <row r="3933">
      <c r="A3933" s="2"/>
      <c r="B3933" s="8" t="str">
        <f>IFERROR(__xludf.DUMMYFUNCTION("""COMPUTED_VALUE"""),"M. FADHLI FITRIYANDA")</f>
        <v>M. FADHLI FITRIYANDA</v>
      </c>
      <c r="C3933" s="8" t="str">
        <f>IFERROR(__xludf.DUMMYFUNCTION("""COMPUTED_VALUE"""),"M9426066451")</f>
        <v>M9426066451</v>
      </c>
      <c r="D3933" s="8">
        <f>IFERROR(__xludf.DUMMYFUNCTION("""COMPUTED_VALUE"""),32.0)</f>
        <v>32</v>
      </c>
      <c r="E3933" s="2"/>
    </row>
    <row r="3934">
      <c r="A3934" s="2"/>
      <c r="B3934" s="8" t="str">
        <f>IFERROR(__xludf.DUMMYFUNCTION("""COMPUTED_VALUE"""),"DHESTY AYU SAPUTRY")</f>
        <v>DHESTY AYU SAPUTRY</v>
      </c>
      <c r="C3934" s="8" t="str">
        <f>IFERROR(__xludf.DUMMYFUNCTION("""COMPUTED_VALUE"""),"D9926060380")</f>
        <v>D9926060380</v>
      </c>
      <c r="D3934" s="8">
        <f>IFERROR(__xludf.DUMMYFUNCTION("""COMPUTED_VALUE"""),27.0)</f>
        <v>27</v>
      </c>
      <c r="E3934" s="2"/>
    </row>
    <row r="3935">
      <c r="A3935" s="2"/>
      <c r="B3935" s="8" t="str">
        <f>IFERROR(__xludf.DUMMYFUNCTION("""COMPUTED_VALUE"""),"SONNIA CHRISTIN")</f>
        <v>SONNIA CHRISTIN</v>
      </c>
      <c r="C3935" s="8" t="str">
        <f>IFERROR(__xludf.DUMMYFUNCTION("""COMPUTED_VALUE"""),"S9826068838")</f>
        <v>S9826068838</v>
      </c>
      <c r="D3935" s="8">
        <f>IFERROR(__xludf.DUMMYFUNCTION("""COMPUTED_VALUE"""),28.0)</f>
        <v>28</v>
      </c>
      <c r="E3935" s="2"/>
    </row>
    <row r="3936">
      <c r="A3936" s="2"/>
      <c r="B3936" s="8" t="str">
        <f>IFERROR(__xludf.DUMMYFUNCTION("""COMPUTED_VALUE"""),"MARYAM 2448")</f>
        <v>MARYAM 2448</v>
      </c>
      <c r="C3936" s="8" t="str">
        <f>IFERROR(__xludf.DUMMYFUNCTION("""COMPUTED_VALUE"""),"M2626062448")</f>
        <v>M2626062448</v>
      </c>
      <c r="D3936" s="8">
        <f>IFERROR(__xludf.DUMMYFUNCTION("""COMPUTED_VALUE"""),0.0)</f>
        <v>0</v>
      </c>
      <c r="E3936" s="2"/>
    </row>
    <row r="3937">
      <c r="A3937" s="2"/>
      <c r="B3937" s="8" t="str">
        <f>IFERROR(__xludf.DUMMYFUNCTION("""COMPUTED_VALUE"""),"DR RETNO MUSTIKANINGSIH")</f>
        <v>DR RETNO MUSTIKANINGSIH</v>
      </c>
      <c r="C3937" s="8" t="str">
        <f>IFERROR(__xludf.DUMMYFUNCTION("""COMPUTED_VALUE"""),"D6826064018")</f>
        <v>D6826064018</v>
      </c>
      <c r="D3937" s="8">
        <f>IFERROR(__xludf.DUMMYFUNCTION("""COMPUTED_VALUE"""),57.0)</f>
        <v>57</v>
      </c>
      <c r="E3937" s="2"/>
    </row>
    <row r="3938">
      <c r="A3938" s="2"/>
      <c r="B3938" s="8" t="str">
        <f>IFERROR(__xludf.DUMMYFUNCTION("""COMPUTED_VALUE"""),"DINI ANGGRAENI")</f>
        <v>DINI ANGGRAENI</v>
      </c>
      <c r="C3938" s="8" t="str">
        <f>IFERROR(__xludf.DUMMYFUNCTION("""COMPUTED_VALUE"""),"D9526060682")</f>
        <v>D9526060682</v>
      </c>
      <c r="D3938" s="8">
        <f>IFERROR(__xludf.DUMMYFUNCTION("""COMPUTED_VALUE"""),31.0)</f>
        <v>31</v>
      </c>
      <c r="E3938" s="2"/>
    </row>
    <row r="3939">
      <c r="A3939" s="2"/>
      <c r="B3939" s="8" t="str">
        <f>IFERROR(__xludf.DUMMYFUNCTION("""COMPUTED_VALUE"""),"BUGI MARWATI")</f>
        <v>BUGI MARWATI</v>
      </c>
      <c r="C3939" s="8" t="str">
        <f>IFERROR(__xludf.DUMMYFUNCTION("""COMPUTED_VALUE"""),"B6826064747")</f>
        <v>B6826064747</v>
      </c>
      <c r="D3939" s="8">
        <f>IFERROR(__xludf.DUMMYFUNCTION("""COMPUTED_VALUE"""),57.0)</f>
        <v>57</v>
      </c>
      <c r="E3939" s="2"/>
    </row>
    <row r="3940">
      <c r="A3940" s="2"/>
      <c r="B3940" s="8" t="str">
        <f>IFERROR(__xludf.DUMMYFUNCTION("""COMPUTED_VALUE"""),"HIQMANIARNI ")</f>
        <v>HIQMANIARNI </v>
      </c>
      <c r="C3940" s="8" t="str">
        <f>IFERROR(__xludf.DUMMYFUNCTION("""COMPUTED_VALUE"""),"H8126066630")</f>
        <v>H8126066630</v>
      </c>
      <c r="D3940" s="8">
        <f>IFERROR(__xludf.DUMMYFUNCTION("""COMPUTED_VALUE"""),45.0)</f>
        <v>45</v>
      </c>
      <c r="E3940" s="2"/>
    </row>
    <row r="3941">
      <c r="A3941" s="2"/>
      <c r="B3941" s="8" t="str">
        <f>IFERROR(__xludf.DUMMYFUNCTION("""COMPUTED_VALUE"""),"WIDYA ROSALNA S.PD")</f>
        <v>WIDYA ROSALNA S.PD</v>
      </c>
      <c r="C3941" s="8" t="str">
        <f>IFERROR(__xludf.DUMMYFUNCTION("""COMPUTED_VALUE"""),"W8026060835")</f>
        <v>W8026060835</v>
      </c>
      <c r="D3941" s="8">
        <f>IFERROR(__xludf.DUMMYFUNCTION("""COMPUTED_VALUE"""),46.0)</f>
        <v>46</v>
      </c>
      <c r="E3941" s="2"/>
    </row>
    <row r="3942">
      <c r="A3942" s="2"/>
      <c r="B3942" s="8" t="str">
        <f>IFERROR(__xludf.DUMMYFUNCTION("""COMPUTED_VALUE"""),"FIRDA YUNITA")</f>
        <v>FIRDA YUNITA</v>
      </c>
      <c r="C3942" s="8" t="str">
        <f>IFERROR(__xludf.DUMMYFUNCTION("""COMPUTED_VALUE"""),"F2626065507")</f>
        <v>F2626065507</v>
      </c>
      <c r="D3942" s="8">
        <f>IFERROR(__xludf.DUMMYFUNCTION("""COMPUTED_VALUE"""),0.0)</f>
        <v>0</v>
      </c>
      <c r="E3942" s="2"/>
    </row>
    <row r="3943">
      <c r="A3943" s="2"/>
      <c r="B3943" s="8" t="str">
        <f>IFERROR(__xludf.DUMMYFUNCTION("""COMPUTED_VALUE"""),"CATUR YULIYATI ")</f>
        <v>CATUR YULIYATI </v>
      </c>
      <c r="C3943" s="8" t="str">
        <f>IFERROR(__xludf.DUMMYFUNCTION("""COMPUTED_VALUE"""),"C7126061945")</f>
        <v>C7126061945</v>
      </c>
      <c r="D3943" s="8">
        <f>IFERROR(__xludf.DUMMYFUNCTION("""COMPUTED_VALUE"""),55.0)</f>
        <v>55</v>
      </c>
      <c r="E3943" s="2"/>
    </row>
    <row r="3944">
      <c r="A3944" s="2"/>
      <c r="B3944" s="8" t="str">
        <f>IFERROR(__xludf.DUMMYFUNCTION("""COMPUTED_VALUE"""),"SAHDIMAN")</f>
        <v>SAHDIMAN</v>
      </c>
      <c r="C3944" s="8" t="str">
        <f>IFERROR(__xludf.DUMMYFUNCTION("""COMPUTED_VALUE"""),"S7126065016")</f>
        <v>S7126065016</v>
      </c>
      <c r="D3944" s="8">
        <f>IFERROR(__xludf.DUMMYFUNCTION("""COMPUTED_VALUE"""),55.0)</f>
        <v>55</v>
      </c>
      <c r="E3944" s="2"/>
    </row>
    <row r="3945">
      <c r="A3945" s="2"/>
      <c r="B3945" s="8" t="str">
        <f>IFERROR(__xludf.DUMMYFUNCTION("""COMPUTED_VALUE"""),"MULIONO")</f>
        <v>MULIONO</v>
      </c>
      <c r="C3945" s="8" t="str">
        <f>IFERROR(__xludf.DUMMYFUNCTION("""COMPUTED_VALUE"""),"M7426064478")</f>
        <v>M7426064478</v>
      </c>
      <c r="D3945" s="8">
        <f>IFERROR(__xludf.DUMMYFUNCTION("""COMPUTED_VALUE"""),52.0)</f>
        <v>52</v>
      </c>
      <c r="E3945" s="2"/>
    </row>
    <row r="3946">
      <c r="A3946" s="2"/>
      <c r="B3946" s="8" t="str">
        <f>IFERROR(__xludf.DUMMYFUNCTION("""COMPUTED_VALUE"""),"FLAVIUS NIXON GRAVAEL")</f>
        <v>FLAVIUS NIXON GRAVAEL</v>
      </c>
      <c r="C3946" s="8" t="str">
        <f>IFERROR(__xludf.DUMMYFUNCTION("""COMPUTED_VALUE"""),"F0926066317")</f>
        <v>F0926066317</v>
      </c>
      <c r="D3946" s="8">
        <f>IFERROR(__xludf.DUMMYFUNCTION("""COMPUTED_VALUE"""),17.0)</f>
        <v>17</v>
      </c>
      <c r="E3946" s="2"/>
    </row>
    <row r="3947">
      <c r="A3947" s="2"/>
      <c r="B3947" s="8" t="str">
        <f>IFERROR(__xludf.DUMMYFUNCTION("""COMPUTED_VALUE"""),"DEVY ALGHAFIQ ")</f>
        <v>DEVY ALGHAFIQ </v>
      </c>
      <c r="C3947" s="8" t="str">
        <f>IFERROR(__xludf.DUMMYFUNCTION("""COMPUTED_VALUE"""),"D8226069928")</f>
        <v>D8226069928</v>
      </c>
      <c r="D3947" s="8">
        <f>IFERROR(__xludf.DUMMYFUNCTION("""COMPUTED_VALUE"""),44.0)</f>
        <v>44</v>
      </c>
      <c r="E3947" s="2"/>
    </row>
    <row r="3948">
      <c r="A3948" s="2"/>
      <c r="B3948" s="8" t="str">
        <f>IFERROR(__xludf.DUMMYFUNCTION("""COMPUTED_VALUE"""),"RESTU GUNAWAN ")</f>
        <v>RESTU GUNAWAN </v>
      </c>
      <c r="C3948" s="8" t="str">
        <f>IFERROR(__xludf.DUMMYFUNCTION("""COMPUTED_VALUE"""),"R6726069484")</f>
        <v>R6726069484</v>
      </c>
      <c r="D3948" s="8">
        <f>IFERROR(__xludf.DUMMYFUNCTION("""COMPUTED_VALUE"""),59.0)</f>
        <v>59</v>
      </c>
      <c r="E3948" s="2"/>
    </row>
    <row r="3949">
      <c r="A3949" s="2"/>
      <c r="B3949" s="8" t="str">
        <f>IFERROR(__xludf.DUMMYFUNCTION("""COMPUTED_VALUE"""),"FENTY")</f>
        <v>FENTY</v>
      </c>
      <c r="C3949" s="8" t="str">
        <f>IFERROR(__xludf.DUMMYFUNCTION("""COMPUTED_VALUE"""),"F6926062829")</f>
        <v>F6926062829</v>
      </c>
      <c r="D3949" s="8">
        <f>IFERROR(__xludf.DUMMYFUNCTION("""COMPUTED_VALUE"""),56.0)</f>
        <v>56</v>
      </c>
      <c r="E3949" s="2"/>
    </row>
    <row r="3950">
      <c r="A3950" s="2"/>
      <c r="B3950" s="8" t="str">
        <f>IFERROR(__xludf.DUMMYFUNCTION("""COMPUTED_VALUE"""),"HAIKAL PRIORAHARJO")</f>
        <v>HAIKAL PRIORAHARJO</v>
      </c>
      <c r="C3950" s="8" t="str">
        <f>IFERROR(__xludf.DUMMYFUNCTION("""COMPUTED_VALUE"""),"H9826060698")</f>
        <v>H9826060698</v>
      </c>
      <c r="D3950" s="8">
        <f>IFERROR(__xludf.DUMMYFUNCTION("""COMPUTED_VALUE"""),28.0)</f>
        <v>28</v>
      </c>
      <c r="E3950" s="2"/>
    </row>
    <row r="3951">
      <c r="A3951" s="2"/>
      <c r="B3951" s="8" t="str">
        <f>IFERROR(__xludf.DUMMYFUNCTION("""COMPUTED_VALUE"""),"TRI HERIYANTI ")</f>
        <v>TRI HERIYANTI </v>
      </c>
      <c r="C3951" s="8" t="str">
        <f>IFERROR(__xludf.DUMMYFUNCTION("""COMPUTED_VALUE"""),"T7826062732")</f>
        <v>T7826062732</v>
      </c>
      <c r="D3951" s="8">
        <f>IFERROR(__xludf.DUMMYFUNCTION("""COMPUTED_VALUE"""),48.0)</f>
        <v>48</v>
      </c>
      <c r="E3951" s="2"/>
    </row>
    <row r="3952">
      <c r="A3952" s="2"/>
      <c r="B3952" s="8" t="str">
        <f>IFERROR(__xludf.DUMMYFUNCTION("""COMPUTED_VALUE"""),"SHAFA ANNISA ")</f>
        <v>SHAFA ANNISA </v>
      </c>
      <c r="C3952" s="8" t="str">
        <f>IFERROR(__xludf.DUMMYFUNCTION("""COMPUTED_VALUE"""),"S1026066757")</f>
        <v>S1026066757</v>
      </c>
      <c r="D3952" s="8">
        <f>IFERROR(__xludf.DUMMYFUNCTION("""COMPUTED_VALUE"""),15.0)</f>
        <v>15</v>
      </c>
      <c r="E3952" s="2"/>
    </row>
    <row r="3953">
      <c r="A3953" s="2"/>
      <c r="B3953" s="8" t="str">
        <f>IFERROR(__xludf.DUMMYFUNCTION("""COMPUTED_VALUE"""),"MUHAMMAD AQILA DANISH")</f>
        <v>MUHAMMAD AQILA DANISH</v>
      </c>
      <c r="C3953" s="8" t="str">
        <f>IFERROR(__xludf.DUMMYFUNCTION("""COMPUTED_VALUE"""),"M1026060501")</f>
        <v>M1026060501</v>
      </c>
      <c r="D3953" s="8">
        <f>IFERROR(__xludf.DUMMYFUNCTION("""COMPUTED_VALUE"""),15.0)</f>
        <v>15</v>
      </c>
      <c r="E3953" s="2"/>
    </row>
    <row r="3954">
      <c r="A3954" s="2"/>
      <c r="B3954" s="8" t="str">
        <f>IFERROR(__xludf.DUMMYFUNCTION("""COMPUTED_VALUE"""),"UJANG KURNIAWAN")</f>
        <v>UJANG KURNIAWAN</v>
      </c>
      <c r="C3954" s="8" t="str">
        <f>IFERROR(__xludf.DUMMYFUNCTION("""COMPUTED_VALUE"""),"U7826065030")</f>
        <v>U7826065030</v>
      </c>
      <c r="D3954" s="8">
        <f>IFERROR(__xludf.DUMMYFUNCTION("""COMPUTED_VALUE"""),48.0)</f>
        <v>48</v>
      </c>
      <c r="E3954" s="2"/>
    </row>
    <row r="3955">
      <c r="A3955" s="2"/>
      <c r="B3955" s="8" t="str">
        <f>IFERROR(__xludf.DUMMYFUNCTION("""COMPUTED_VALUE"""),"SUMIATI")</f>
        <v>SUMIATI</v>
      </c>
      <c r="C3955" s="8" t="str">
        <f>IFERROR(__xludf.DUMMYFUNCTION("""COMPUTED_VALUE"""),"S6826068912")</f>
        <v>S6826068912</v>
      </c>
      <c r="D3955" s="8">
        <f>IFERROR(__xludf.DUMMYFUNCTION("""COMPUTED_VALUE"""),58.0)</f>
        <v>58</v>
      </c>
      <c r="E3955" s="2"/>
    </row>
    <row r="3956">
      <c r="A3956" s="2"/>
      <c r="B3956" s="8" t="str">
        <f>IFERROR(__xludf.DUMMYFUNCTION("""COMPUTED_VALUE"""),"RITA NURNANINGSIH")</f>
        <v>RITA NURNANINGSIH</v>
      </c>
      <c r="C3956" s="8" t="str">
        <f>IFERROR(__xludf.DUMMYFUNCTION("""COMPUTED_VALUE"""),"R7226066865")</f>
        <v>R7226066865</v>
      </c>
      <c r="D3956" s="8">
        <f>IFERROR(__xludf.DUMMYFUNCTION("""COMPUTED_VALUE"""),54.0)</f>
        <v>54</v>
      </c>
      <c r="E3956" s="2"/>
    </row>
    <row r="3957">
      <c r="A3957" s="2"/>
      <c r="B3957" s="8" t="str">
        <f>IFERROR(__xludf.DUMMYFUNCTION("""COMPUTED_VALUE"""),"ARDIANUS")</f>
        <v>ARDIANUS</v>
      </c>
      <c r="C3957" s="8" t="str">
        <f>IFERROR(__xludf.DUMMYFUNCTION("""COMPUTED_VALUE"""),"A9526069913")</f>
        <v>A9526069913</v>
      </c>
      <c r="D3957" s="8">
        <f>IFERROR(__xludf.DUMMYFUNCTION("""COMPUTED_VALUE"""),31.0)</f>
        <v>31</v>
      </c>
      <c r="E3957" s="2"/>
    </row>
    <row r="3958">
      <c r="A3958" s="2"/>
      <c r="B3958" s="8" t="str">
        <f>IFERROR(__xludf.DUMMYFUNCTION("""COMPUTED_VALUE"""),"MUHAMMAD ARI")</f>
        <v>MUHAMMAD ARI</v>
      </c>
      <c r="C3958" s="8" t="str">
        <f>IFERROR(__xludf.DUMMYFUNCTION("""COMPUTED_VALUE"""),"M9426062494")</f>
        <v>M9426062494</v>
      </c>
      <c r="D3958" s="8">
        <f>IFERROR(__xludf.DUMMYFUNCTION("""COMPUTED_VALUE"""),32.0)</f>
        <v>32</v>
      </c>
      <c r="E3958" s="2"/>
    </row>
    <row r="3959">
      <c r="A3959" s="2"/>
      <c r="B3959" s="8" t="str">
        <f>IFERROR(__xludf.DUMMYFUNCTION("""COMPUTED_VALUE"""),"SRI INDRAWATI")</f>
        <v>SRI INDRAWATI</v>
      </c>
      <c r="C3959" s="8" t="str">
        <f>IFERROR(__xludf.DUMMYFUNCTION("""COMPUTED_VALUE"""),"S7526068914")</f>
        <v>S7526068914</v>
      </c>
      <c r="D3959" s="8">
        <f>IFERROR(__xludf.DUMMYFUNCTION("""COMPUTED_VALUE"""),50.0)</f>
        <v>50</v>
      </c>
      <c r="E3959" s="2"/>
    </row>
    <row r="3960">
      <c r="A3960" s="2"/>
      <c r="B3960" s="8" t="str">
        <f>IFERROR(__xludf.DUMMYFUNCTION("""COMPUTED_VALUE"""),"PURNAWAN LASDI")</f>
        <v>PURNAWAN LASDI</v>
      </c>
      <c r="C3960" s="8" t="str">
        <f>IFERROR(__xludf.DUMMYFUNCTION("""COMPUTED_VALUE"""),"P9826061000")</f>
        <v>P9826061000</v>
      </c>
      <c r="D3960" s="8">
        <f>IFERROR(__xludf.DUMMYFUNCTION("""COMPUTED_VALUE"""),28.0)</f>
        <v>28</v>
      </c>
      <c r="E3960" s="2"/>
    </row>
    <row r="3961">
      <c r="A3961" s="2"/>
      <c r="B3961" s="8" t="str">
        <f>IFERROR(__xludf.DUMMYFUNCTION("""COMPUTED_VALUE"""),"YUDY HARTONO")</f>
        <v>YUDY HARTONO</v>
      </c>
      <c r="C3961" s="8" t="str">
        <f>IFERROR(__xludf.DUMMYFUNCTION("""COMPUTED_VALUE"""),"Y8826067738")</f>
        <v>Y8826067738</v>
      </c>
      <c r="D3961" s="8">
        <f>IFERROR(__xludf.DUMMYFUNCTION("""COMPUTED_VALUE"""),38.0)</f>
        <v>38</v>
      </c>
      <c r="E3961" s="2"/>
    </row>
    <row r="3962">
      <c r="A3962" s="2"/>
      <c r="B3962" s="8" t="str">
        <f>IFERROR(__xludf.DUMMYFUNCTION("""COMPUTED_VALUE"""),"ANDRO BENG ")</f>
        <v>ANDRO BENG </v>
      </c>
      <c r="C3962" s="8" t="str">
        <f>IFERROR(__xludf.DUMMYFUNCTION("""COMPUTED_VALUE"""),"A9526065965")</f>
        <v>A9526065965</v>
      </c>
      <c r="D3962" s="8">
        <f>IFERROR(__xludf.DUMMYFUNCTION("""COMPUTED_VALUE"""),31.0)</f>
        <v>31</v>
      </c>
      <c r="E3962" s="2"/>
    </row>
    <row r="3963">
      <c r="A3963" s="2"/>
      <c r="B3963" s="8" t="str">
        <f>IFERROR(__xludf.DUMMYFUNCTION("""COMPUTED_VALUE"""),"RIFDA ANGELINA WULANDARI")</f>
        <v>RIFDA ANGELINA WULANDARI</v>
      </c>
      <c r="C3963" s="8" t="str">
        <f>IFERROR(__xludf.DUMMYFUNCTION("""COMPUTED_VALUE"""),"R9526066699")</f>
        <v>R9526066699</v>
      </c>
      <c r="D3963" s="8">
        <f>IFERROR(__xludf.DUMMYFUNCTION("""COMPUTED_VALUE"""),31.0)</f>
        <v>31</v>
      </c>
      <c r="E3963" s="2"/>
    </row>
    <row r="3964">
      <c r="A3964" s="2"/>
      <c r="B3964" s="8" t="str">
        <f>IFERROR(__xludf.DUMMYFUNCTION("""COMPUTED_VALUE"""),"RIFDA ANGELINA WULANDARI")</f>
        <v>RIFDA ANGELINA WULANDARI</v>
      </c>
      <c r="C3964" s="8" t="str">
        <f>IFERROR(__xludf.DUMMYFUNCTION("""COMPUTED_VALUE"""),"R8826068989")</f>
        <v>R8826068989</v>
      </c>
      <c r="D3964" s="8">
        <f>IFERROR(__xludf.DUMMYFUNCTION("""COMPUTED_VALUE"""),37.0)</f>
        <v>37</v>
      </c>
      <c r="E3964" s="2"/>
    </row>
    <row r="3965">
      <c r="A3965" s="2"/>
      <c r="B3965" s="8" t="str">
        <f>IFERROR(__xludf.DUMMYFUNCTION("""COMPUTED_VALUE"""),"URAY BILCHAIRI JAKTI")</f>
        <v>URAY BILCHAIRI JAKTI</v>
      </c>
      <c r="C3965" s="8" t="str">
        <f>IFERROR(__xludf.DUMMYFUNCTION("""COMPUTED_VALUE"""),"U9026064055")</f>
        <v>U9026064055</v>
      </c>
      <c r="D3965" s="8">
        <f>IFERROR(__xludf.DUMMYFUNCTION("""COMPUTED_VALUE"""),36.0)</f>
        <v>36</v>
      </c>
      <c r="E3965" s="2"/>
    </row>
    <row r="3966">
      <c r="A3966" s="2"/>
      <c r="B3966" s="8" t="str">
        <f>IFERROR(__xludf.DUMMYFUNCTION("""COMPUTED_VALUE"""),"EEN WAHYUDI")</f>
        <v>EEN WAHYUDI</v>
      </c>
      <c r="C3966" s="8" t="str">
        <f>IFERROR(__xludf.DUMMYFUNCTION("""COMPUTED_VALUE"""),"E0026063532")</f>
        <v>E0026063532</v>
      </c>
      <c r="D3966" s="8">
        <f>IFERROR(__xludf.DUMMYFUNCTION("""COMPUTED_VALUE"""),26.0)</f>
        <v>26</v>
      </c>
      <c r="E3966" s="2"/>
    </row>
    <row r="3967">
      <c r="A3967" s="2"/>
      <c r="B3967" s="8" t="str">
        <f>IFERROR(__xludf.DUMMYFUNCTION("""COMPUTED_VALUE"""),"DWIE SETYAWATI")</f>
        <v>DWIE SETYAWATI</v>
      </c>
      <c r="C3967" s="8" t="str">
        <f>IFERROR(__xludf.DUMMYFUNCTION("""COMPUTED_VALUE"""),"D6826064804")</f>
        <v>D6826064804</v>
      </c>
      <c r="D3967" s="8">
        <f>IFERROR(__xludf.DUMMYFUNCTION("""COMPUTED_VALUE"""),57.0)</f>
        <v>57</v>
      </c>
      <c r="E3967" s="2"/>
    </row>
    <row r="3968">
      <c r="A3968" s="2"/>
      <c r="B3968" s="8" t="str">
        <f>IFERROR(__xludf.DUMMYFUNCTION("""COMPUTED_VALUE"""),"EUSEBIA CLARA BERTA ")</f>
        <v>EUSEBIA CLARA BERTA </v>
      </c>
      <c r="C3968" s="8" t="str">
        <f>IFERROR(__xludf.DUMMYFUNCTION("""COMPUTED_VALUE"""),"E0526068645")</f>
        <v>E0526068645</v>
      </c>
      <c r="D3968" s="8">
        <f>IFERROR(__xludf.DUMMYFUNCTION("""COMPUTED_VALUE"""),20.0)</f>
        <v>20</v>
      </c>
      <c r="E3968" s="2"/>
    </row>
    <row r="3969">
      <c r="A3969" s="2"/>
      <c r="B3969" s="8" t="str">
        <f>IFERROR(__xludf.DUMMYFUNCTION("""COMPUTED_VALUE"""),"PAELAH")</f>
        <v>PAELAH</v>
      </c>
      <c r="C3969" s="8" t="str">
        <f>IFERROR(__xludf.DUMMYFUNCTION("""COMPUTED_VALUE"""),"P6826068302")</f>
        <v>P6826068302</v>
      </c>
      <c r="D3969" s="8">
        <f>IFERROR(__xludf.DUMMYFUNCTION("""COMPUTED_VALUE"""),57.0)</f>
        <v>57</v>
      </c>
      <c r="E3969" s="2"/>
    </row>
    <row r="3970">
      <c r="A3970" s="2"/>
      <c r="B3970" s="8" t="str">
        <f>IFERROR(__xludf.DUMMYFUNCTION("""COMPUTED_VALUE"""),"ALYA AMELIA ADELNA")</f>
        <v>ALYA AMELIA ADELNA</v>
      </c>
      <c r="C3970" s="8" t="str">
        <f>IFERROR(__xludf.DUMMYFUNCTION("""COMPUTED_VALUE"""),"A0926064199")</f>
        <v>A0926064199</v>
      </c>
      <c r="D3970" s="8">
        <f>IFERROR(__xludf.DUMMYFUNCTION("""COMPUTED_VALUE"""),17.0)</f>
        <v>17</v>
      </c>
      <c r="E3970" s="2"/>
    </row>
    <row r="3971">
      <c r="A3971" s="2"/>
      <c r="B3971" s="8" t="str">
        <f>IFERROR(__xludf.DUMMYFUNCTION("""COMPUTED_VALUE"""),"SUYATNO")</f>
        <v>SUYATNO</v>
      </c>
      <c r="C3971" s="8" t="str">
        <f>IFERROR(__xludf.DUMMYFUNCTION("""COMPUTED_VALUE"""),"S5626061973")</f>
        <v>S5626061973</v>
      </c>
      <c r="D3971" s="8">
        <f>IFERROR(__xludf.DUMMYFUNCTION("""COMPUTED_VALUE"""),69.0)</f>
        <v>69</v>
      </c>
      <c r="E3971" s="2"/>
    </row>
    <row r="3972">
      <c r="A3972" s="2"/>
      <c r="B3972" s="8" t="str">
        <f>IFERROR(__xludf.DUMMYFUNCTION("""COMPUTED_VALUE"""),"ABUTALIB")</f>
        <v>ABUTALIB</v>
      </c>
      <c r="C3972" s="8" t="str">
        <f>IFERROR(__xludf.DUMMYFUNCTION("""COMPUTED_VALUE"""),"A6526065238")</f>
        <v>A6526065238</v>
      </c>
      <c r="D3972" s="8">
        <f>IFERROR(__xludf.DUMMYFUNCTION("""COMPUTED_VALUE"""),60.0)</f>
        <v>60</v>
      </c>
      <c r="E3972" s="2"/>
    </row>
    <row r="3973">
      <c r="A3973" s="2"/>
      <c r="B3973" s="8" t="str">
        <f>IFERROR(__xludf.DUMMYFUNCTION("""COMPUTED_VALUE"""),"CUCU SARTIKA")</f>
        <v>CUCU SARTIKA</v>
      </c>
      <c r="C3973" s="8" t="str">
        <f>IFERROR(__xludf.DUMMYFUNCTION("""COMPUTED_VALUE"""),"C7026060171")</f>
        <v>C7026060171</v>
      </c>
      <c r="D3973" s="8">
        <f>IFERROR(__xludf.DUMMYFUNCTION("""COMPUTED_VALUE"""),56.0)</f>
        <v>56</v>
      </c>
      <c r="E3973" s="2"/>
    </row>
    <row r="3974">
      <c r="A3974" s="2"/>
      <c r="B3974" s="8" t="str">
        <f>IFERROR(__xludf.DUMMYFUNCTION("""COMPUTED_VALUE"""),"CINDY WENANDA")</f>
        <v>CINDY WENANDA</v>
      </c>
      <c r="C3974" s="8" t="str">
        <f>IFERROR(__xludf.DUMMYFUNCTION("""COMPUTED_VALUE"""),"C9526064895")</f>
        <v>C9526064895</v>
      </c>
      <c r="D3974" s="8">
        <f>IFERROR(__xludf.DUMMYFUNCTION("""COMPUTED_VALUE"""),30.0)</f>
        <v>30</v>
      </c>
      <c r="E3974" s="2"/>
    </row>
    <row r="3975">
      <c r="A3975" s="2"/>
      <c r="B3975" s="8" t="str">
        <f>IFERROR(__xludf.DUMMYFUNCTION("""COMPUTED_VALUE"""),"INDRA 8810")</f>
        <v>INDRA 8810</v>
      </c>
      <c r="C3975" s="8" t="str">
        <f>IFERROR(__xludf.DUMMYFUNCTION("""COMPUTED_VALUE"""),"I8826068989")</f>
        <v>I8826068989</v>
      </c>
      <c r="D3975" s="8">
        <f>IFERROR(__xludf.DUMMYFUNCTION("""COMPUTED_VALUE"""),37.0)</f>
        <v>37</v>
      </c>
      <c r="E3975" s="2"/>
    </row>
    <row r="3976">
      <c r="A3976" s="2"/>
      <c r="B3976" s="8" t="str">
        <f>IFERROR(__xludf.DUMMYFUNCTION("""COMPUTED_VALUE"""),"MITHA NOVIANTI")</f>
        <v>MITHA NOVIANTI</v>
      </c>
      <c r="C3976" s="8" t="str">
        <f>IFERROR(__xludf.DUMMYFUNCTION("""COMPUTED_VALUE"""),"M9826069392")</f>
        <v>M9826069392</v>
      </c>
      <c r="D3976" s="8">
        <f>IFERROR(__xludf.DUMMYFUNCTION("""COMPUTED_VALUE"""),27.0)</f>
        <v>27</v>
      </c>
      <c r="E3976" s="2"/>
    </row>
    <row r="3977">
      <c r="A3977" s="2"/>
      <c r="B3977" s="8" t="str">
        <f>IFERROR(__xludf.DUMMYFUNCTION("""COMPUTED_VALUE"""),"FIRDAUS MINDO EMKO")</f>
        <v>FIRDAUS MINDO EMKO</v>
      </c>
      <c r="C3977" s="8" t="str">
        <f>IFERROR(__xludf.DUMMYFUNCTION("""COMPUTED_VALUE"""),"F9826069925")</f>
        <v>F9826069925</v>
      </c>
      <c r="D3977" s="8">
        <f>IFERROR(__xludf.DUMMYFUNCTION("""COMPUTED_VALUE"""),28.0)</f>
        <v>28</v>
      </c>
      <c r="E3977" s="2"/>
    </row>
    <row r="3978">
      <c r="A3978" s="2"/>
      <c r="B3978" s="8" t="str">
        <f>IFERROR(__xludf.DUMMYFUNCTION("""COMPUTED_VALUE"""),"MUHAMMAD REZA FIRNANDA")</f>
        <v>MUHAMMAD REZA FIRNANDA</v>
      </c>
      <c r="C3978" s="8" t="str">
        <f>IFERROR(__xludf.DUMMYFUNCTION("""COMPUTED_VALUE"""),"M9426060711")</f>
        <v>M9426060711</v>
      </c>
      <c r="D3978" s="8">
        <f>IFERROR(__xludf.DUMMYFUNCTION("""COMPUTED_VALUE"""),32.0)</f>
        <v>32</v>
      </c>
      <c r="E3978" s="2"/>
    </row>
    <row r="3979">
      <c r="A3979" s="2"/>
      <c r="B3979" s="8" t="str">
        <f>IFERROR(__xludf.DUMMYFUNCTION("""COMPUTED_VALUE"""),"RIDUANSAH")</f>
        <v>RIDUANSAH</v>
      </c>
      <c r="C3979" s="8" t="str">
        <f>IFERROR(__xludf.DUMMYFUNCTION("""COMPUTED_VALUE"""),"R8626068779")</f>
        <v>R8626068779</v>
      </c>
      <c r="D3979" s="8">
        <f>IFERROR(__xludf.DUMMYFUNCTION("""COMPUTED_VALUE"""),39.0)</f>
        <v>39</v>
      </c>
      <c r="E3979" s="2"/>
    </row>
    <row r="3980">
      <c r="A3980" s="2"/>
      <c r="B3980" s="8" t="str">
        <f>IFERROR(__xludf.DUMMYFUNCTION("""COMPUTED_VALUE"""),"ANNISA SETIOWATI")</f>
        <v>ANNISA SETIOWATI</v>
      </c>
      <c r="C3980" s="8" t="str">
        <f>IFERROR(__xludf.DUMMYFUNCTION("""COMPUTED_VALUE"""),"A0226062265")</f>
        <v>A0226062265</v>
      </c>
      <c r="D3980" s="8">
        <f>IFERROR(__xludf.DUMMYFUNCTION("""COMPUTED_VALUE"""),24.0)</f>
        <v>24</v>
      </c>
      <c r="E3980" s="2"/>
    </row>
    <row r="3981">
      <c r="A3981" s="2"/>
      <c r="B3981" s="8" t="str">
        <f>IFERROR(__xludf.DUMMYFUNCTION("""COMPUTED_VALUE"""),"MIA AMALIA AZZAHRA")</f>
        <v>MIA AMALIA AZZAHRA</v>
      </c>
      <c r="C3981" s="8" t="str">
        <f>IFERROR(__xludf.DUMMYFUNCTION("""COMPUTED_VALUE"""),"M0126069853")</f>
        <v>M0126069853</v>
      </c>
      <c r="D3981" s="8">
        <f>IFERROR(__xludf.DUMMYFUNCTION("""COMPUTED_VALUE"""),25.0)</f>
        <v>25</v>
      </c>
      <c r="E3981" s="2"/>
    </row>
    <row r="3982">
      <c r="A3982" s="2"/>
      <c r="B3982" s="8" t="str">
        <f>IFERROR(__xludf.DUMMYFUNCTION("""COMPUTED_VALUE"""),"WELLY OKTADINATA")</f>
        <v>WELLY OKTADINATA</v>
      </c>
      <c r="C3982" s="8" t="str">
        <f>IFERROR(__xludf.DUMMYFUNCTION("""COMPUTED_VALUE"""),"W8426062828")</f>
        <v>W8426062828</v>
      </c>
      <c r="D3982" s="8">
        <f>IFERROR(__xludf.DUMMYFUNCTION("""COMPUTED_VALUE"""),41.0)</f>
        <v>41</v>
      </c>
      <c r="E3982" s="2"/>
    </row>
    <row r="3983">
      <c r="A3983" s="2"/>
      <c r="B3983" s="8" t="str">
        <f>IFERROR(__xludf.DUMMYFUNCTION("""COMPUTED_VALUE"""),"FADJRINA NOPIANTI")</f>
        <v>FADJRINA NOPIANTI</v>
      </c>
      <c r="C3983" s="8" t="str">
        <f>IFERROR(__xludf.DUMMYFUNCTION("""COMPUTED_VALUE"""),"F0026069549")</f>
        <v>F0026069549</v>
      </c>
      <c r="D3983" s="8">
        <f>IFERROR(__xludf.DUMMYFUNCTION("""COMPUTED_VALUE"""),25.0)</f>
        <v>25</v>
      </c>
      <c r="E3983" s="2"/>
    </row>
    <row r="3984">
      <c r="A3984" s="2"/>
      <c r="B3984" s="8" t="str">
        <f>IFERROR(__xludf.DUMMYFUNCTION("""COMPUTED_VALUE"""),"HAFIZ PRATAMA PUTRA ")</f>
        <v>HAFIZ PRATAMA PUTRA </v>
      </c>
      <c r="C3984" s="8" t="str">
        <f>IFERROR(__xludf.DUMMYFUNCTION("""COMPUTED_VALUE"""),"H0526067947")</f>
        <v>H0526067947</v>
      </c>
      <c r="D3984" s="8">
        <f>IFERROR(__xludf.DUMMYFUNCTION("""COMPUTED_VALUE"""),21.0)</f>
        <v>21</v>
      </c>
      <c r="E3984" s="2"/>
    </row>
    <row r="3985">
      <c r="A3985" s="2"/>
      <c r="B3985" s="8" t="str">
        <f>IFERROR(__xludf.DUMMYFUNCTION("""COMPUTED_VALUE"""),"ZANIYAH")</f>
        <v>ZANIYAH</v>
      </c>
      <c r="C3985" s="8" t="str">
        <f>IFERROR(__xludf.DUMMYFUNCTION("""COMPUTED_VALUE"""),"Z6026064823")</f>
        <v>Z6026064823</v>
      </c>
      <c r="D3985" s="8">
        <f>IFERROR(__xludf.DUMMYFUNCTION("""COMPUTED_VALUE"""),65.0)</f>
        <v>65</v>
      </c>
      <c r="E3985" s="2"/>
    </row>
    <row r="3986">
      <c r="A3986" s="2"/>
      <c r="B3986" s="8" t="str">
        <f>IFERROR(__xludf.DUMMYFUNCTION("""COMPUTED_VALUE"""),"SYAFRIL")</f>
        <v>SYAFRIL</v>
      </c>
      <c r="C3986" s="8" t="str">
        <f>IFERROR(__xludf.DUMMYFUNCTION("""COMPUTED_VALUE"""),"S8826066962")</f>
        <v>S8826066962</v>
      </c>
      <c r="D3986" s="8">
        <f>IFERROR(__xludf.DUMMYFUNCTION("""COMPUTED_VALUE"""),38.0)</f>
        <v>38</v>
      </c>
      <c r="E3986" s="2"/>
    </row>
    <row r="3987">
      <c r="A3987" s="2"/>
      <c r="B3987" s="8" t="str">
        <f>IFERROR(__xludf.DUMMYFUNCTION("""COMPUTED_VALUE"""),"FEBY SYAFITRI")</f>
        <v>FEBY SYAFITRI</v>
      </c>
      <c r="C3987" s="8" t="str">
        <f>IFERROR(__xludf.DUMMYFUNCTION("""COMPUTED_VALUE"""),"F9826065574")</f>
        <v>F9826065574</v>
      </c>
      <c r="D3987" s="8">
        <f>IFERROR(__xludf.DUMMYFUNCTION("""COMPUTED_VALUE"""),28.0)</f>
        <v>28</v>
      </c>
      <c r="E3987" s="2"/>
    </row>
    <row r="3988">
      <c r="A3988" s="2"/>
      <c r="B3988" s="8" t="str">
        <f>IFERROR(__xludf.DUMMYFUNCTION("""COMPUTED_VALUE"""),"AUDILA RIMA PUTRI")</f>
        <v>AUDILA RIMA PUTRI</v>
      </c>
      <c r="C3988" s="8" t="str">
        <f>IFERROR(__xludf.DUMMYFUNCTION("""COMPUTED_VALUE"""),"A0326062644")</f>
        <v>A0326062644</v>
      </c>
      <c r="D3988" s="8">
        <f>IFERROR(__xludf.DUMMYFUNCTION("""COMPUTED_VALUE"""),22.0)</f>
        <v>22</v>
      </c>
      <c r="E3988" s="2"/>
    </row>
    <row r="3989">
      <c r="A3989" s="2"/>
      <c r="B3989" s="8" t="str">
        <f>IFERROR(__xludf.DUMMYFUNCTION("""COMPUTED_VALUE"""),"PUTRI YASMIN MUMTAZ")</f>
        <v>PUTRI YASMIN MUMTAZ</v>
      </c>
      <c r="C3989" s="8" t="str">
        <f>IFERROR(__xludf.DUMMYFUNCTION("""COMPUTED_VALUE"""),"P0226064272")</f>
        <v>P0226064272</v>
      </c>
      <c r="D3989" s="8">
        <f>IFERROR(__xludf.DUMMYFUNCTION("""COMPUTED_VALUE"""),24.0)</f>
        <v>24</v>
      </c>
      <c r="E3989" s="2"/>
    </row>
    <row r="3990">
      <c r="A3990" s="2"/>
      <c r="B3990" s="8" t="str">
        <f>IFERROR(__xludf.DUMMYFUNCTION("""COMPUTED_VALUE"""),"ISNA NURAINI")</f>
        <v>ISNA NURAINI</v>
      </c>
      <c r="C3990" s="8" t="str">
        <f>IFERROR(__xludf.DUMMYFUNCTION("""COMPUTED_VALUE"""),"I9726064609")</f>
        <v>I9726064609</v>
      </c>
      <c r="D3990" s="8">
        <f>IFERROR(__xludf.DUMMYFUNCTION("""COMPUTED_VALUE"""),28.0)</f>
        <v>28</v>
      </c>
      <c r="E3990" s="2"/>
    </row>
    <row r="3991">
      <c r="A3991" s="2"/>
      <c r="B3991" s="8" t="str">
        <f>IFERROR(__xludf.DUMMYFUNCTION("""COMPUTED_VALUE"""),"TOMMY WITANTO")</f>
        <v>TOMMY WITANTO</v>
      </c>
      <c r="C3991" s="8" t="str">
        <f>IFERROR(__xludf.DUMMYFUNCTION("""COMPUTED_VALUE"""),"T0226064550")</f>
        <v>T0226064550</v>
      </c>
      <c r="D3991" s="8">
        <f>IFERROR(__xludf.DUMMYFUNCTION("""COMPUTED_VALUE"""),23.0)</f>
        <v>23</v>
      </c>
      <c r="E3991" s="2"/>
    </row>
    <row r="3992">
      <c r="A3992" s="2"/>
      <c r="B3992" s="8" t="str">
        <f>IFERROR(__xludf.DUMMYFUNCTION("""COMPUTED_VALUE"""),"ASNI")</f>
        <v>ASNI</v>
      </c>
      <c r="C3992" s="8" t="str">
        <f>IFERROR(__xludf.DUMMYFUNCTION("""COMPUTED_VALUE"""),"A6026066818")</f>
        <v>A6026066818</v>
      </c>
      <c r="D3992" s="8">
        <f>IFERROR(__xludf.DUMMYFUNCTION("""COMPUTED_VALUE"""),66.0)</f>
        <v>66</v>
      </c>
      <c r="E3992" s="2"/>
    </row>
    <row r="3993">
      <c r="A3993" s="2"/>
      <c r="B3993" s="8" t="str">
        <f>IFERROR(__xludf.DUMMYFUNCTION("""COMPUTED_VALUE"""),"STEVAN AGBART")</f>
        <v>STEVAN AGBART</v>
      </c>
      <c r="C3993" s="8" t="str">
        <f>IFERROR(__xludf.DUMMYFUNCTION("""COMPUTED_VALUE"""),"S9426068700")</f>
        <v>S9426068700</v>
      </c>
      <c r="D3993" s="8">
        <f>IFERROR(__xludf.DUMMYFUNCTION("""COMPUTED_VALUE"""),32.0)</f>
        <v>32</v>
      </c>
      <c r="E3993" s="2"/>
    </row>
    <row r="3994">
      <c r="A3994" s="2"/>
      <c r="B3994" s="8" t="str">
        <f>IFERROR(__xludf.DUMMYFUNCTION("""COMPUTED_VALUE"""),"SYAHRIL RIYANTO")</f>
        <v>SYAHRIL RIYANTO</v>
      </c>
      <c r="C3994" s="8" t="str">
        <f>IFERROR(__xludf.DUMMYFUNCTION("""COMPUTED_VALUE"""),"S9226061544")</f>
        <v>S9226061544</v>
      </c>
      <c r="D3994" s="8">
        <f>IFERROR(__xludf.DUMMYFUNCTION("""COMPUTED_VALUE"""),34.0)</f>
        <v>34</v>
      </c>
      <c r="E3994" s="2"/>
    </row>
    <row r="3995">
      <c r="A3995" s="2"/>
      <c r="B3995" s="8" t="str">
        <f>IFERROR(__xludf.DUMMYFUNCTION("""COMPUTED_VALUE"""),"M. MAMIK WARTAMI ")</f>
        <v>M. MAMIK WARTAMI </v>
      </c>
      <c r="C3995" s="8" t="str">
        <f>IFERROR(__xludf.DUMMYFUNCTION("""COMPUTED_VALUE"""),"M5126067844")</f>
        <v>M5126067844</v>
      </c>
      <c r="D3995" s="8">
        <f>IFERROR(__xludf.DUMMYFUNCTION("""COMPUTED_VALUE"""),75.0)</f>
        <v>75</v>
      </c>
      <c r="E3995" s="2"/>
    </row>
    <row r="3996">
      <c r="A3996" s="2"/>
      <c r="B3996" s="8" t="str">
        <f>IFERROR(__xludf.DUMMYFUNCTION("""COMPUTED_VALUE"""),"NOVIANDRA")</f>
        <v>NOVIANDRA</v>
      </c>
      <c r="C3996" s="8" t="str">
        <f>IFERROR(__xludf.DUMMYFUNCTION("""COMPUTED_VALUE"""),"N9326068307")</f>
        <v>N9326068307</v>
      </c>
      <c r="D3996" s="8">
        <f>IFERROR(__xludf.DUMMYFUNCTION("""COMPUTED_VALUE"""),32.0)</f>
        <v>32</v>
      </c>
      <c r="E3996" s="2"/>
    </row>
    <row r="3997">
      <c r="A3997" s="2"/>
      <c r="B3997" s="8" t="str">
        <f>IFERROR(__xludf.DUMMYFUNCTION("""COMPUTED_VALUE"""),"RIAN QURNIAWAN")</f>
        <v>RIAN QURNIAWAN</v>
      </c>
      <c r="C3997" s="8" t="str">
        <f>IFERROR(__xludf.DUMMYFUNCTION("""COMPUTED_VALUE"""),"R8826062265")</f>
        <v>R8826062265</v>
      </c>
      <c r="D3997" s="8">
        <f>IFERROR(__xludf.DUMMYFUNCTION("""COMPUTED_VALUE"""),37.0)</f>
        <v>37</v>
      </c>
      <c r="E3997" s="2"/>
    </row>
    <row r="3998">
      <c r="A3998" s="2"/>
      <c r="B3998" s="8" t="str">
        <f>IFERROR(__xludf.DUMMYFUNCTION("""COMPUTED_VALUE"""),"YULIANTI STEVIANI")</f>
        <v>YULIANTI STEVIANI</v>
      </c>
      <c r="C3998" s="8" t="str">
        <f>IFERROR(__xludf.DUMMYFUNCTION("""COMPUTED_VALUE"""),"Y9726063373")</f>
        <v>Y9726063373</v>
      </c>
      <c r="D3998" s="8">
        <f>IFERROR(__xludf.DUMMYFUNCTION("""COMPUTED_VALUE"""),29.0)</f>
        <v>29</v>
      </c>
      <c r="E3998" s="2"/>
    </row>
    <row r="3999">
      <c r="A3999" s="2"/>
      <c r="B3999" s="8" t="str">
        <f>IFERROR(__xludf.DUMMYFUNCTION("""COMPUTED_VALUE"""),"LIE UI CHUAN")</f>
        <v>LIE UI CHUAN</v>
      </c>
      <c r="C3999" s="8" t="str">
        <f>IFERROR(__xludf.DUMMYFUNCTION("""COMPUTED_VALUE"""),"L7526062718")</f>
        <v>L7526062718</v>
      </c>
      <c r="D3999" s="8">
        <f>IFERROR(__xludf.DUMMYFUNCTION("""COMPUTED_VALUE"""),51.0)</f>
        <v>51</v>
      </c>
      <c r="E3999" s="2"/>
    </row>
    <row r="4000">
      <c r="A4000" s="2"/>
      <c r="B4000" s="8" t="str">
        <f>IFERROR(__xludf.DUMMYFUNCTION("""COMPUTED_VALUE"""),"MODESTA WISA")</f>
        <v>MODESTA WISA</v>
      </c>
      <c r="C4000" s="8" t="str">
        <f>IFERROR(__xludf.DUMMYFUNCTION("""COMPUTED_VALUE"""),"M9126062609")</f>
        <v>M9126062609</v>
      </c>
      <c r="D4000" s="8">
        <f>IFERROR(__xludf.DUMMYFUNCTION("""COMPUTED_VALUE"""),34.0)</f>
        <v>34</v>
      </c>
      <c r="E4000" s="2"/>
    </row>
    <row r="4001">
      <c r="A4001" s="2"/>
      <c r="B4001" s="8" t="str">
        <f>IFERROR(__xludf.DUMMYFUNCTION("""COMPUTED_VALUE"""),"ANGGRA")</f>
        <v>ANGGRA</v>
      </c>
      <c r="C4001" s="8" t="str">
        <f>IFERROR(__xludf.DUMMYFUNCTION("""COMPUTED_VALUE"""),"A8726068855")</f>
        <v>A8726068855</v>
      </c>
      <c r="D4001" s="8">
        <f>IFERROR(__xludf.DUMMYFUNCTION("""COMPUTED_VALUE"""),39.0)</f>
        <v>39</v>
      </c>
      <c r="E4001" s="2"/>
    </row>
    <row r="4002">
      <c r="A4002" s="2"/>
      <c r="B4002" s="8" t="str">
        <f>IFERROR(__xludf.DUMMYFUNCTION("""COMPUTED_VALUE"""),"TEDDY SETIARDI")</f>
        <v>TEDDY SETIARDI</v>
      </c>
      <c r="C4002" s="8" t="str">
        <f>IFERROR(__xludf.DUMMYFUNCTION("""COMPUTED_VALUE"""),"T8526061125")</f>
        <v>T8526061125</v>
      </c>
      <c r="D4002" s="8">
        <f>IFERROR(__xludf.DUMMYFUNCTION("""COMPUTED_VALUE"""),40.0)</f>
        <v>40</v>
      </c>
      <c r="E4002" s="2"/>
    </row>
    <row r="4003">
      <c r="A4003" s="2"/>
      <c r="B4003" s="8" t="str">
        <f>IFERROR(__xludf.DUMMYFUNCTION("""COMPUTED_VALUE"""),"MUHAMMAD SYUJA DIYAULHAQ")</f>
        <v>MUHAMMAD SYUJA DIYAULHAQ</v>
      </c>
      <c r="C4003" s="8" t="str">
        <f>IFERROR(__xludf.DUMMYFUNCTION("""COMPUTED_VALUE"""),"M0826060559")</f>
        <v>M0826060559</v>
      </c>
      <c r="D4003" s="8">
        <f>IFERROR(__xludf.DUMMYFUNCTION("""COMPUTED_VALUE"""),17.0)</f>
        <v>17</v>
      </c>
      <c r="E4003" s="2"/>
    </row>
    <row r="4004">
      <c r="A4004" s="2"/>
      <c r="B4004" s="8" t="str">
        <f>IFERROR(__xludf.DUMMYFUNCTION("""COMPUTED_VALUE"""),"BENNY PERNANDO SILALAHI")</f>
        <v>BENNY PERNANDO SILALAHI</v>
      </c>
      <c r="C4004" s="8" t="str">
        <f>IFERROR(__xludf.DUMMYFUNCTION("""COMPUTED_VALUE"""),"B8826067580")</f>
        <v>B8826067580</v>
      </c>
      <c r="D4004" s="8">
        <f>IFERROR(__xludf.DUMMYFUNCTION("""COMPUTED_VALUE"""),38.0)</f>
        <v>38</v>
      </c>
      <c r="E4004" s="2"/>
    </row>
    <row r="4005">
      <c r="A4005" s="2"/>
      <c r="B4005" s="8" t="str">
        <f>IFERROR(__xludf.DUMMYFUNCTION("""COMPUTED_VALUE"""),"DEA ARTINANDA")</f>
        <v>DEA ARTINANDA</v>
      </c>
      <c r="C4005" s="8" t="str">
        <f>IFERROR(__xludf.DUMMYFUNCTION("""COMPUTED_VALUE"""),"D9926065521")</f>
        <v>D9926065521</v>
      </c>
      <c r="D4005" s="8">
        <f>IFERROR(__xludf.DUMMYFUNCTION("""COMPUTED_VALUE"""),26.0)</f>
        <v>26</v>
      </c>
      <c r="E4005" s="2"/>
    </row>
    <row r="4006">
      <c r="A4006" s="2"/>
      <c r="B4006" s="8" t="str">
        <f>IFERROR(__xludf.DUMMYFUNCTION("""COMPUTED_VALUE"""),"AFIF RIZKY AFRIZA")</f>
        <v>AFIF RIZKY AFRIZA</v>
      </c>
      <c r="C4006" s="8" t="str">
        <f>IFERROR(__xludf.DUMMYFUNCTION("""COMPUTED_VALUE"""),"A1126068485")</f>
        <v>A1126068485</v>
      </c>
      <c r="D4006" s="8">
        <f>IFERROR(__xludf.DUMMYFUNCTION("""COMPUTED_VALUE"""),15.0)</f>
        <v>15</v>
      </c>
      <c r="E4006" s="2"/>
    </row>
    <row r="4007">
      <c r="A4007" s="2"/>
      <c r="B4007" s="8" t="str">
        <f>IFERROR(__xludf.DUMMYFUNCTION("""COMPUTED_VALUE"""),"PANCA YUNIARDI")</f>
        <v>PANCA YUNIARDI</v>
      </c>
      <c r="C4007" s="8" t="str">
        <f>IFERROR(__xludf.DUMMYFUNCTION("""COMPUTED_VALUE"""),"P8326068821")</f>
        <v>P8326068821</v>
      </c>
      <c r="D4007" s="8">
        <f>IFERROR(__xludf.DUMMYFUNCTION("""COMPUTED_VALUE"""),43.0)</f>
        <v>43</v>
      </c>
      <c r="E4007" s="2"/>
    </row>
    <row r="4008">
      <c r="A4008" s="2"/>
      <c r="B4008" s="8" t="str">
        <f>IFERROR(__xludf.DUMMYFUNCTION("""COMPUTED_VALUE"""),"DEA ARTINANDA")</f>
        <v>DEA ARTINANDA</v>
      </c>
      <c r="C4008" s="8" t="str">
        <f>IFERROR(__xludf.DUMMYFUNCTION("""COMPUTED_VALUE"""),"D9926065521")</f>
        <v>D9926065521</v>
      </c>
      <c r="D4008" s="8">
        <f>IFERROR(__xludf.DUMMYFUNCTION("""COMPUTED_VALUE"""),26.0)</f>
        <v>26</v>
      </c>
      <c r="E4008" s="2"/>
    </row>
    <row r="4009">
      <c r="A4009" s="2"/>
      <c r="B4009" s="8" t="str">
        <f>IFERROR(__xludf.DUMMYFUNCTION("""COMPUTED_VALUE"""),"MUHAMMAD ZAKARIA")</f>
        <v>MUHAMMAD ZAKARIA</v>
      </c>
      <c r="C4009" s="8" t="str">
        <f>IFERROR(__xludf.DUMMYFUNCTION("""COMPUTED_VALUE"""),"M9026063838")</f>
        <v>M9026063838</v>
      </c>
      <c r="D4009" s="8">
        <f>IFERROR(__xludf.DUMMYFUNCTION("""COMPUTED_VALUE"""),35.0)</f>
        <v>35</v>
      </c>
      <c r="E4009" s="2"/>
    </row>
    <row r="4010">
      <c r="A4010" s="2"/>
      <c r="B4010" s="8" t="str">
        <f>IFERROR(__xludf.DUMMYFUNCTION("""COMPUTED_VALUE"""),"ABBEL RASYA ")</f>
        <v>ABBEL RASYA </v>
      </c>
      <c r="C4010" s="8" t="str">
        <f>IFERROR(__xludf.DUMMYFUNCTION("""COMPUTED_VALUE"""),"A0626061161")</f>
        <v>A0626061161</v>
      </c>
      <c r="D4010" s="8">
        <f>IFERROR(__xludf.DUMMYFUNCTION("""COMPUTED_VALUE"""),20.0)</f>
        <v>20</v>
      </c>
      <c r="E4010" s="2"/>
    </row>
    <row r="4011">
      <c r="A4011" s="2"/>
      <c r="B4011" s="8" t="str">
        <f>IFERROR(__xludf.DUMMYFUNCTION("""COMPUTED_VALUE"""),"IRVAN")</f>
        <v>IRVAN</v>
      </c>
      <c r="C4011" s="8" t="str">
        <f>IFERROR(__xludf.DUMMYFUNCTION("""COMPUTED_VALUE"""),"I9626066275")</f>
        <v>I9626066275</v>
      </c>
      <c r="D4011" s="8">
        <f>IFERROR(__xludf.DUMMYFUNCTION("""COMPUTED_VALUE"""),29.0)</f>
        <v>29</v>
      </c>
      <c r="E4011" s="2"/>
    </row>
    <row r="4012">
      <c r="A4012" s="2"/>
      <c r="B4012" s="8" t="str">
        <f>IFERROR(__xludf.DUMMYFUNCTION("""COMPUTED_VALUE"""),"FARIS RAHMADIAN")</f>
        <v>FARIS RAHMADIAN</v>
      </c>
      <c r="C4012" s="8" t="str">
        <f>IFERROR(__xludf.DUMMYFUNCTION("""COMPUTED_VALUE"""),"F9426064583")</f>
        <v>F9426064583</v>
      </c>
      <c r="D4012" s="8">
        <f>IFERROR(__xludf.DUMMYFUNCTION("""COMPUTED_VALUE"""),32.0)</f>
        <v>32</v>
      </c>
      <c r="E4012" s="2"/>
    </row>
    <row r="4013">
      <c r="A4013" s="2"/>
      <c r="B4013" s="8" t="str">
        <f>IFERROR(__xludf.DUMMYFUNCTION("""COMPUTED_VALUE"""),"NABILA RAMADHANI")</f>
        <v>NABILA RAMADHANI</v>
      </c>
      <c r="C4013" s="8" t="str">
        <f>IFERROR(__xludf.DUMMYFUNCTION("""COMPUTED_VALUE"""),"N0926062565")</f>
        <v>N0926062565</v>
      </c>
      <c r="D4013" s="8">
        <f>IFERROR(__xludf.DUMMYFUNCTION("""COMPUTED_VALUE"""),16.0)</f>
        <v>16</v>
      </c>
      <c r="E4013" s="2"/>
    </row>
    <row r="4014">
      <c r="A4014" s="2"/>
      <c r="B4014" s="8" t="str">
        <f>IFERROR(__xludf.DUMMYFUNCTION("""COMPUTED_VALUE"""),"SANTI")</f>
        <v>SANTI</v>
      </c>
      <c r="C4014" s="8" t="str">
        <f>IFERROR(__xludf.DUMMYFUNCTION("""COMPUTED_VALUE"""),"S8326060999")</f>
        <v>S8326060999</v>
      </c>
      <c r="D4014" s="8">
        <f>IFERROR(__xludf.DUMMYFUNCTION("""COMPUTED_VALUE"""),42.0)</f>
        <v>42</v>
      </c>
      <c r="E4014" s="2"/>
    </row>
    <row r="4015">
      <c r="A4015" s="2"/>
      <c r="B4015" s="8" t="str">
        <f>IFERROR(__xludf.DUMMYFUNCTION("""COMPUTED_VALUE"""),"ABDUL RAHIM")</f>
        <v>ABDUL RAHIM</v>
      </c>
      <c r="C4015" s="8" t="str">
        <f>IFERROR(__xludf.DUMMYFUNCTION("""COMPUTED_VALUE"""),"A7126066901")</f>
        <v>A7126066901</v>
      </c>
      <c r="D4015" s="8">
        <f>IFERROR(__xludf.DUMMYFUNCTION("""COMPUTED_VALUE"""),55.0)</f>
        <v>55</v>
      </c>
      <c r="E4015" s="2"/>
    </row>
    <row r="4016">
      <c r="A4016" s="2"/>
      <c r="B4016" s="8" t="str">
        <f>IFERROR(__xludf.DUMMYFUNCTION("""COMPUTED_VALUE"""),"M.AGHA HIBATULLAH")</f>
        <v>M.AGHA HIBATULLAH</v>
      </c>
      <c r="C4016" s="8" t="str">
        <f>IFERROR(__xludf.DUMMYFUNCTION("""COMPUTED_VALUE"""),"M1226066901")</f>
        <v>M1226066901</v>
      </c>
      <c r="D4016" s="8">
        <f>IFERROR(__xludf.DUMMYFUNCTION("""COMPUTED_VALUE"""),13.0)</f>
        <v>13</v>
      </c>
      <c r="E4016" s="2"/>
    </row>
    <row r="4017">
      <c r="A4017" s="2"/>
      <c r="B4017" s="8" t="str">
        <f>IFERROR(__xludf.DUMMYFUNCTION("""COMPUTED_VALUE"""),"SUMIATI")</f>
        <v>SUMIATI</v>
      </c>
      <c r="C4017" s="8" t="str">
        <f>IFERROR(__xludf.DUMMYFUNCTION("""COMPUTED_VALUE"""),"S5926067498")</f>
        <v>S5926067498</v>
      </c>
      <c r="D4017" s="8">
        <f>IFERROR(__xludf.DUMMYFUNCTION("""COMPUTED_VALUE"""),66.0)</f>
        <v>66</v>
      </c>
      <c r="E4017" s="2"/>
    </row>
    <row r="4018">
      <c r="A4018" s="2"/>
      <c r="B4018" s="8" t="str">
        <f>IFERROR(__xludf.DUMMYFUNCTION("""COMPUTED_VALUE"""),"ELLYSA FERONIKA HALIM")</f>
        <v>ELLYSA FERONIKA HALIM</v>
      </c>
      <c r="C4018" s="8" t="str">
        <f>IFERROR(__xludf.DUMMYFUNCTION("""COMPUTED_VALUE"""),"E9426062074")</f>
        <v>E9426062074</v>
      </c>
      <c r="D4018" s="8">
        <f>IFERROR(__xludf.DUMMYFUNCTION("""COMPUTED_VALUE"""),32.0)</f>
        <v>32</v>
      </c>
      <c r="E4018" s="2"/>
    </row>
    <row r="4019">
      <c r="A4019" s="2"/>
      <c r="B4019" s="8" t="str">
        <f>IFERROR(__xludf.DUMMYFUNCTION("""COMPUTED_VALUE"""),"ANDREAS TRI PUTRA")</f>
        <v>ANDREAS TRI PUTRA</v>
      </c>
      <c r="C4019" s="8" t="str">
        <f>IFERROR(__xludf.DUMMYFUNCTION("""COMPUTED_VALUE"""),"A9926064156")</f>
        <v>A9926064156</v>
      </c>
      <c r="D4019" s="8">
        <f>IFERROR(__xludf.DUMMYFUNCTION("""COMPUTED_VALUE"""),27.0)</f>
        <v>27</v>
      </c>
      <c r="E4019" s="2"/>
    </row>
    <row r="4020">
      <c r="A4020" s="2"/>
      <c r="B4020" s="8" t="str">
        <f>IFERROR(__xludf.DUMMYFUNCTION("""COMPUTED_VALUE"""),"NISWANI")</f>
        <v>NISWANI</v>
      </c>
      <c r="C4020" s="8" t="str">
        <f>IFERROR(__xludf.DUMMYFUNCTION("""COMPUTED_VALUE"""),"N7326062785")</f>
        <v>N7326062785</v>
      </c>
      <c r="D4020" s="8">
        <f>IFERROR(__xludf.DUMMYFUNCTION("""COMPUTED_VALUE"""),52.0)</f>
        <v>52</v>
      </c>
      <c r="E4020" s="2"/>
    </row>
    <row r="4021">
      <c r="A4021" s="2"/>
      <c r="B4021" s="8" t="str">
        <f>IFERROR(__xludf.DUMMYFUNCTION("""COMPUTED_VALUE"""),"H. MUNZIRI SYAHIDAN, IR")</f>
        <v>H. MUNZIRI SYAHIDAN, IR</v>
      </c>
      <c r="C4021" s="8" t="str">
        <f>IFERROR(__xludf.DUMMYFUNCTION("""COMPUTED_VALUE"""),"H4726068904")</f>
        <v>H4726068904</v>
      </c>
      <c r="D4021" s="8">
        <f>IFERROR(__xludf.DUMMYFUNCTION("""COMPUTED_VALUE"""),78.0)</f>
        <v>78</v>
      </c>
      <c r="E4021" s="2"/>
    </row>
    <row r="4022">
      <c r="A4022" s="2"/>
      <c r="B4022" s="8" t="str">
        <f>IFERROR(__xludf.DUMMYFUNCTION("""COMPUTED_VALUE"""),"YUDA SUHERMAN")</f>
        <v>YUDA SUHERMAN</v>
      </c>
      <c r="C4022" s="8" t="str">
        <f>IFERROR(__xludf.DUMMYFUNCTION("""COMPUTED_VALUE"""),"Y9226063757")</f>
        <v>Y9226063757</v>
      </c>
      <c r="D4022" s="8">
        <f>IFERROR(__xludf.DUMMYFUNCTION("""COMPUTED_VALUE"""),34.0)</f>
        <v>34</v>
      </c>
      <c r="E4022" s="2"/>
    </row>
    <row r="4023">
      <c r="A4023" s="2"/>
      <c r="B4023" s="8" t="str">
        <f>IFERROR(__xludf.DUMMYFUNCTION("""COMPUTED_VALUE"""),"BENNY LUCK TANDIAN")</f>
        <v>BENNY LUCK TANDIAN</v>
      </c>
      <c r="C4023" s="8" t="str">
        <f>IFERROR(__xludf.DUMMYFUNCTION("""COMPUTED_VALUE"""),"B9326060869")</f>
        <v>B9326060869</v>
      </c>
      <c r="D4023" s="8">
        <f>IFERROR(__xludf.DUMMYFUNCTION("""COMPUTED_VALUE"""),33.0)</f>
        <v>33</v>
      </c>
      <c r="E4023" s="2"/>
    </row>
    <row r="4024">
      <c r="A4024" s="2"/>
      <c r="B4024" s="8" t="str">
        <f>IFERROR(__xludf.DUMMYFUNCTION("""COMPUTED_VALUE"""),"SYIFA NABILA RUFINA")</f>
        <v>SYIFA NABILA RUFINA</v>
      </c>
      <c r="C4024" s="8" t="str">
        <f>IFERROR(__xludf.DUMMYFUNCTION("""COMPUTED_VALUE"""),"S0226066865")</f>
        <v>S0226066865</v>
      </c>
      <c r="D4024" s="8">
        <f>IFERROR(__xludf.DUMMYFUNCTION("""COMPUTED_VALUE"""),24.0)</f>
        <v>24</v>
      </c>
      <c r="E4024" s="2"/>
    </row>
    <row r="4025">
      <c r="A4025" s="2"/>
      <c r="B4025" s="8" t="str">
        <f>IFERROR(__xludf.DUMMYFUNCTION("""COMPUTED_VALUE"""),"TRI ALFAIRUS")</f>
        <v>TRI ALFAIRUS</v>
      </c>
      <c r="C4025" s="8" t="str">
        <f>IFERROR(__xludf.DUMMYFUNCTION("""COMPUTED_VALUE"""),"T1126076232")</f>
        <v>T1126076232</v>
      </c>
      <c r="D4025" s="8">
        <f>IFERROR(__xludf.DUMMYFUNCTION("""COMPUTED_VALUE"""),15.0)</f>
        <v>15</v>
      </c>
      <c r="E4025" s="2"/>
    </row>
    <row r="4026">
      <c r="A4026" s="2"/>
      <c r="B4026" s="8" t="str">
        <f>IFERROR(__xludf.DUMMYFUNCTION("""COMPUTED_VALUE"""),"TITIN SUMARNI")</f>
        <v>TITIN SUMARNI</v>
      </c>
      <c r="C4026" s="8" t="str">
        <f>IFERROR(__xludf.DUMMYFUNCTION("""COMPUTED_VALUE"""),"T5826079632")</f>
        <v>T5826079632</v>
      </c>
      <c r="D4026" s="8">
        <f>IFERROR(__xludf.DUMMYFUNCTION("""COMPUTED_VALUE"""),67.0)</f>
        <v>67</v>
      </c>
      <c r="E4026" s="2"/>
    </row>
    <row r="4027">
      <c r="A4027" s="2"/>
      <c r="B4027" s="8" t="str">
        <f>IFERROR(__xludf.DUMMYFUNCTION("""COMPUTED_VALUE"""),"LILIS SURYANI")</f>
        <v>LILIS SURYANI</v>
      </c>
      <c r="C4027" s="8" t="str">
        <f>IFERROR(__xludf.DUMMYFUNCTION("""COMPUTED_VALUE"""),"L6926074430")</f>
        <v>L6926074430</v>
      </c>
      <c r="D4027" s="8">
        <f>IFERROR(__xludf.DUMMYFUNCTION("""COMPUTED_VALUE"""),56.0)</f>
        <v>56</v>
      </c>
      <c r="E4027" s="2"/>
    </row>
    <row r="4028">
      <c r="A4028" s="2"/>
      <c r="B4028" s="8" t="str">
        <f>IFERROR(__xludf.DUMMYFUNCTION("""COMPUTED_VALUE"""),"LIM LIE SIAM")</f>
        <v>LIM LIE SIAM</v>
      </c>
      <c r="C4028" s="8" t="str">
        <f>IFERROR(__xludf.DUMMYFUNCTION("""COMPUTED_VALUE"""),"L5626071159")</f>
        <v>L5626071159</v>
      </c>
      <c r="D4028" s="8">
        <f>IFERROR(__xludf.DUMMYFUNCTION("""COMPUTED_VALUE"""),69.0)</f>
        <v>69</v>
      </c>
      <c r="E4028" s="2"/>
    </row>
    <row r="4029">
      <c r="A4029" s="2"/>
      <c r="B4029" s="8" t="str">
        <f>IFERROR(__xludf.DUMMYFUNCTION("""COMPUTED_VALUE"""),"FADIL AKBAR")</f>
        <v>FADIL AKBAR</v>
      </c>
      <c r="C4029" s="8" t="str">
        <f>IFERROR(__xludf.DUMMYFUNCTION("""COMPUTED_VALUE"""),"F1326075835")</f>
        <v>F1326075835</v>
      </c>
      <c r="D4029" s="8">
        <f>IFERROR(__xludf.DUMMYFUNCTION("""COMPUTED_VALUE"""),13.0)</f>
        <v>13</v>
      </c>
      <c r="E4029" s="2"/>
    </row>
    <row r="4030">
      <c r="A4030" s="2"/>
      <c r="B4030" s="8" t="str">
        <f>IFERROR(__xludf.DUMMYFUNCTION("""COMPUTED_VALUE"""),"TITO SAPUTRA")</f>
        <v>TITO SAPUTRA</v>
      </c>
      <c r="C4030" s="8" t="str">
        <f>IFERROR(__xludf.DUMMYFUNCTION("""COMPUTED_VALUE"""),"T8126076146")</f>
        <v>T8126076146</v>
      </c>
      <c r="D4030" s="8">
        <f>IFERROR(__xludf.DUMMYFUNCTION("""COMPUTED_VALUE"""),44.0)</f>
        <v>44</v>
      </c>
      <c r="E4030" s="2"/>
    </row>
    <row r="4031">
      <c r="A4031" s="2"/>
      <c r="B4031" s="8" t="str">
        <f>IFERROR(__xludf.DUMMYFUNCTION("""COMPUTED_VALUE"""),"GHALY RAZQHA ALFATHANI")</f>
        <v>GHALY RAZQHA ALFATHANI</v>
      </c>
      <c r="C4031" s="8" t="str">
        <f>IFERROR(__xludf.DUMMYFUNCTION("""COMPUTED_VALUE"""),"G1826078811")</f>
        <v>G1826078811</v>
      </c>
      <c r="D4031" s="8">
        <f>IFERROR(__xludf.DUMMYFUNCTION("""COMPUTED_VALUE"""),7.0)</f>
        <v>7</v>
      </c>
      <c r="E4031" s="2"/>
    </row>
    <row r="4032">
      <c r="A4032" s="2"/>
      <c r="B4032" s="8" t="str">
        <f>IFERROR(__xludf.DUMMYFUNCTION("""COMPUTED_VALUE"""),"SYARIF ZULFAN ADHA")</f>
        <v>SYARIF ZULFAN ADHA</v>
      </c>
      <c r="C4032" s="8" t="str">
        <f>IFERROR(__xludf.DUMMYFUNCTION("""COMPUTED_VALUE"""),"S9826076329")</f>
        <v>S9826076329</v>
      </c>
      <c r="D4032" s="8">
        <f>IFERROR(__xludf.DUMMYFUNCTION("""COMPUTED_VALUE"""),28.0)</f>
        <v>28</v>
      </c>
      <c r="E4032" s="2"/>
    </row>
    <row r="4033">
      <c r="A4033" s="2"/>
      <c r="B4033" s="8" t="str">
        <f>IFERROR(__xludf.DUMMYFUNCTION("""COMPUTED_VALUE"""),"SUCI NANDA LESTARI")</f>
        <v>SUCI NANDA LESTARI</v>
      </c>
      <c r="C4033" s="8" t="str">
        <f>IFERROR(__xludf.DUMMYFUNCTION("""COMPUTED_VALUE"""),"S9526073965")</f>
        <v>S9526073965</v>
      </c>
      <c r="D4033" s="8">
        <f>IFERROR(__xludf.DUMMYFUNCTION("""COMPUTED_VALUE"""),31.0)</f>
        <v>31</v>
      </c>
      <c r="E4033" s="2"/>
    </row>
    <row r="4034">
      <c r="A4034" s="2"/>
      <c r="B4034" s="8" t="str">
        <f>IFERROR(__xludf.DUMMYFUNCTION("""COMPUTED_VALUE"""),"ANDI WIRA UTAMI")</f>
        <v>ANDI WIRA UTAMI</v>
      </c>
      <c r="C4034" s="8" t="str">
        <f>IFERROR(__xludf.DUMMYFUNCTION("""COMPUTED_VALUE"""),"A9526073693")</f>
        <v>A9526073693</v>
      </c>
      <c r="D4034" s="8">
        <f>IFERROR(__xludf.DUMMYFUNCTION("""COMPUTED_VALUE"""),31.0)</f>
        <v>31</v>
      </c>
      <c r="E4034" s="2"/>
    </row>
    <row r="4035">
      <c r="A4035" s="2"/>
      <c r="B4035" s="8" t="str">
        <f>IFERROR(__xludf.DUMMYFUNCTION("""COMPUTED_VALUE"""),"RATNA KOMALA")</f>
        <v>RATNA KOMALA</v>
      </c>
      <c r="C4035" s="8" t="str">
        <f>IFERROR(__xludf.DUMMYFUNCTION("""COMPUTED_VALUE"""),"R6426073500")</f>
        <v>R6426073500</v>
      </c>
      <c r="D4035" s="8">
        <f>IFERROR(__xludf.DUMMYFUNCTION("""COMPUTED_VALUE"""),62.0)</f>
        <v>62</v>
      </c>
      <c r="E4035" s="2"/>
    </row>
    <row r="4036">
      <c r="A4036" s="2"/>
      <c r="B4036" s="8" t="str">
        <f>IFERROR(__xludf.DUMMYFUNCTION("""COMPUTED_VALUE"""),"ANDI WIRA UTAMA")</f>
        <v>ANDI WIRA UTAMA</v>
      </c>
      <c r="C4036" s="8" t="str">
        <f>IFERROR(__xludf.DUMMYFUNCTION("""COMPUTED_VALUE"""),"A9526073693")</f>
        <v>A9526073693</v>
      </c>
      <c r="D4036" s="8">
        <f>IFERROR(__xludf.DUMMYFUNCTION("""COMPUTED_VALUE"""),31.0)</f>
        <v>31</v>
      </c>
      <c r="E4036" s="2"/>
    </row>
    <row r="4037">
      <c r="A4037" s="2"/>
      <c r="B4037" s="8" t="str">
        <f>IFERROR(__xludf.DUMMYFUNCTION("""COMPUTED_VALUE"""),"SYARIF SYAFIQ THAHIR")</f>
        <v>SYARIF SYAFIQ THAHIR</v>
      </c>
      <c r="C4037" s="8" t="str">
        <f>IFERROR(__xludf.DUMMYFUNCTION("""COMPUTED_VALUE"""),"S0726071388")</f>
        <v>S0726071388</v>
      </c>
      <c r="D4037" s="8">
        <f>IFERROR(__xludf.DUMMYFUNCTION("""COMPUTED_VALUE"""),19.0)</f>
        <v>19</v>
      </c>
      <c r="E4037" s="2"/>
    </row>
    <row r="4038">
      <c r="A4038" s="2"/>
      <c r="B4038" s="8" t="str">
        <f>IFERROR(__xludf.DUMMYFUNCTION("""COMPUTED_VALUE"""),"TAN KWET KHIONG")</f>
        <v>TAN KWET KHIONG</v>
      </c>
      <c r="C4038" s="8" t="str">
        <f>IFERROR(__xludf.DUMMYFUNCTION("""COMPUTED_VALUE"""),"T6926077124")</f>
        <v>T6926077124</v>
      </c>
      <c r="D4038" s="8">
        <f>IFERROR(__xludf.DUMMYFUNCTION("""COMPUTED_VALUE"""),57.0)</f>
        <v>57</v>
      </c>
      <c r="E4038" s="2"/>
    </row>
    <row r="4039">
      <c r="A4039" s="2"/>
      <c r="B4039" s="8" t="str">
        <f>IFERROR(__xludf.DUMMYFUNCTION("""COMPUTED_VALUE"""),"SUMARNO DWI SAPUTRA")</f>
        <v>SUMARNO DWI SAPUTRA</v>
      </c>
      <c r="C4039" s="8" t="str">
        <f>IFERROR(__xludf.DUMMYFUNCTION("""COMPUTED_VALUE"""),"S9726072637")</f>
        <v>S9726072637</v>
      </c>
      <c r="D4039" s="8">
        <f>IFERROR(__xludf.DUMMYFUNCTION("""COMPUTED_VALUE"""),29.0)</f>
        <v>29</v>
      </c>
      <c r="E4039" s="2"/>
    </row>
    <row r="4040">
      <c r="A4040" s="2"/>
      <c r="B4040" s="8" t="str">
        <f>IFERROR(__xludf.DUMMYFUNCTION("""COMPUTED_VALUE"""),"SILVIA VITA")</f>
        <v>SILVIA VITA</v>
      </c>
      <c r="C4040" s="8" t="str">
        <f>IFERROR(__xludf.DUMMYFUNCTION("""COMPUTED_VALUE"""),"S8326076060")</f>
        <v>S8326076060</v>
      </c>
      <c r="D4040" s="8">
        <f>IFERROR(__xludf.DUMMYFUNCTION("""COMPUTED_VALUE"""),43.0)</f>
        <v>43</v>
      </c>
      <c r="E4040" s="2"/>
    </row>
    <row r="4041">
      <c r="A4041" s="2"/>
      <c r="B4041" s="8" t="str">
        <f>IFERROR(__xludf.DUMMYFUNCTION("""COMPUTED_VALUE"""),"STEFFANI TEDJA")</f>
        <v>STEFFANI TEDJA</v>
      </c>
      <c r="C4041" s="8" t="str">
        <f>IFERROR(__xludf.DUMMYFUNCTION("""COMPUTED_VALUE"""),"S9826077000")</f>
        <v>S9826077000</v>
      </c>
      <c r="D4041" s="8">
        <f>IFERROR(__xludf.DUMMYFUNCTION("""COMPUTED_VALUE"""),27.0)</f>
        <v>27</v>
      </c>
      <c r="E4041" s="2"/>
    </row>
    <row r="4042">
      <c r="A4042" s="2"/>
      <c r="B4042" s="8" t="str">
        <f>IFERROR(__xludf.DUMMYFUNCTION("""COMPUTED_VALUE"""),"ANGGY ENDRIANTO")</f>
        <v>ANGGY ENDRIANTO</v>
      </c>
      <c r="C4042" s="8" t="str">
        <f>IFERROR(__xludf.DUMMYFUNCTION("""COMPUTED_VALUE"""),"A9126075919")</f>
        <v>A9126075919</v>
      </c>
      <c r="D4042" s="8">
        <f>IFERROR(__xludf.DUMMYFUNCTION("""COMPUTED_VALUE"""),34.0)</f>
        <v>34</v>
      </c>
      <c r="E4042" s="2"/>
    </row>
    <row r="4043">
      <c r="A4043" s="2"/>
      <c r="B4043" s="8" t="str">
        <f>IFERROR(__xludf.DUMMYFUNCTION("""COMPUTED_VALUE"""),"FADHIL MUHAMMAD AIMAR")</f>
        <v>FADHIL MUHAMMAD AIMAR</v>
      </c>
      <c r="C4043" s="8" t="str">
        <f>IFERROR(__xludf.DUMMYFUNCTION("""COMPUTED_VALUE"""),"F0326073541")</f>
        <v>F0326073541</v>
      </c>
      <c r="D4043" s="8">
        <f>IFERROR(__xludf.DUMMYFUNCTION("""COMPUTED_VALUE"""),22.0)</f>
        <v>22</v>
      </c>
      <c r="E4043" s="2"/>
    </row>
    <row r="4044">
      <c r="A4044" s="2"/>
      <c r="B4044" s="8" t="str">
        <f>IFERROR(__xludf.DUMMYFUNCTION("""COMPUTED_VALUE"""),"LUKKI AMANDA")</f>
        <v>LUKKI AMANDA</v>
      </c>
      <c r="C4044" s="8" t="str">
        <f>IFERROR(__xludf.DUMMYFUNCTION("""COMPUTED_VALUE"""),"L8326074101")</f>
        <v>L8326074101</v>
      </c>
      <c r="D4044" s="8">
        <f>IFERROR(__xludf.DUMMYFUNCTION("""COMPUTED_VALUE"""),43.0)</f>
        <v>43</v>
      </c>
      <c r="E4044" s="2"/>
    </row>
    <row r="4045">
      <c r="A4045" s="2"/>
      <c r="B4045" s="8" t="str">
        <f>IFERROR(__xludf.DUMMYFUNCTION("""COMPUTED_VALUE"""),"SILVIA VITA")</f>
        <v>SILVIA VITA</v>
      </c>
      <c r="C4045" s="8" t="str">
        <f>IFERROR(__xludf.DUMMYFUNCTION("""COMPUTED_VALUE"""),"S8326076060")</f>
        <v>S8326076060</v>
      </c>
      <c r="D4045" s="8">
        <f>IFERROR(__xludf.DUMMYFUNCTION("""COMPUTED_VALUE"""),43.0)</f>
        <v>43</v>
      </c>
      <c r="E4045" s="2"/>
    </row>
    <row r="4046">
      <c r="A4046" s="2"/>
      <c r="B4046" s="8" t="str">
        <f>IFERROR(__xludf.DUMMYFUNCTION("""COMPUTED_VALUE"""),"WIWI WIJAYATI")</f>
        <v>WIWI WIJAYATI</v>
      </c>
      <c r="C4046" s="8" t="str">
        <f>IFERROR(__xludf.DUMMYFUNCTION("""COMPUTED_VALUE"""),"W6426073258")</f>
        <v>W6426073258</v>
      </c>
      <c r="D4046" s="8">
        <f>IFERROR(__xludf.DUMMYFUNCTION("""COMPUTED_VALUE"""),61.0)</f>
        <v>61</v>
      </c>
      <c r="E4046" s="2"/>
    </row>
    <row r="4047">
      <c r="A4047" s="2"/>
      <c r="B4047" s="8" t="str">
        <f>IFERROR(__xludf.DUMMYFUNCTION("""COMPUTED_VALUE"""),"DWI FEBRIE ANDIKA")</f>
        <v>DWI FEBRIE ANDIKA</v>
      </c>
      <c r="C4047" s="8" t="str">
        <f>IFERROR(__xludf.DUMMYFUNCTION("""COMPUTED_VALUE"""),"D8626071641")</f>
        <v>D8626071641</v>
      </c>
      <c r="D4047" s="8">
        <f>IFERROR(__xludf.DUMMYFUNCTION("""COMPUTED_VALUE"""),40.0)</f>
        <v>40</v>
      </c>
      <c r="E4047" s="2"/>
    </row>
    <row r="4048">
      <c r="A4048" s="2"/>
      <c r="B4048" s="8" t="str">
        <f>IFERROR(__xludf.DUMMYFUNCTION("""COMPUTED_VALUE"""),"RADIAN FAUZI")</f>
        <v>RADIAN FAUZI</v>
      </c>
      <c r="C4048" s="8" t="str">
        <f>IFERROR(__xludf.DUMMYFUNCTION("""COMPUTED_VALUE"""),"R5526075757")</f>
        <v>R5526075757</v>
      </c>
      <c r="D4048" s="8">
        <f>IFERROR(__xludf.DUMMYFUNCTION("""COMPUTED_VALUE"""),71.0)</f>
        <v>71</v>
      </c>
      <c r="E4048" s="2"/>
    </row>
    <row r="4049">
      <c r="A4049" s="2"/>
      <c r="B4049" s="8" t="str">
        <f>IFERROR(__xludf.DUMMYFUNCTION("""COMPUTED_VALUE"""),"LAILA")</f>
        <v>LAILA</v>
      </c>
      <c r="C4049" s="8" t="str">
        <f>IFERROR(__xludf.DUMMYFUNCTION("""COMPUTED_VALUE"""),"L6126075757")</f>
        <v>L6126075757</v>
      </c>
      <c r="D4049" s="8">
        <f>IFERROR(__xludf.DUMMYFUNCTION("""COMPUTED_VALUE"""),64.0)</f>
        <v>64</v>
      </c>
      <c r="E4049" s="2"/>
    </row>
    <row r="4050">
      <c r="A4050" s="2"/>
      <c r="B4050" s="8" t="str">
        <f>IFERROR(__xludf.DUMMYFUNCTION("""COMPUTED_VALUE"""),"MUHAMMAD SABHAN")</f>
        <v>MUHAMMAD SABHAN</v>
      </c>
      <c r="C4050" s="8" t="str">
        <f>IFERROR(__xludf.DUMMYFUNCTION("""COMPUTED_VALUE"""),"M8426076387")</f>
        <v>M8426076387</v>
      </c>
      <c r="D4050" s="8">
        <f>IFERROR(__xludf.DUMMYFUNCTION("""COMPUTED_VALUE"""),42.0)</f>
        <v>42</v>
      </c>
      <c r="E4050" s="2"/>
    </row>
    <row r="4051">
      <c r="A4051" s="2"/>
      <c r="B4051" s="8" t="str">
        <f>IFERROR(__xludf.DUMMYFUNCTION("""COMPUTED_VALUE"""),"MURZANI")</f>
        <v>MURZANI</v>
      </c>
      <c r="C4051" s="8" t="str">
        <f>IFERROR(__xludf.DUMMYFUNCTION("""COMPUTED_VALUE"""),"M0126077441")</f>
        <v>M0126077441</v>
      </c>
      <c r="D4051" s="8">
        <f>IFERROR(__xludf.DUMMYFUNCTION("""COMPUTED_VALUE"""),25.0)</f>
        <v>25</v>
      </c>
      <c r="E4051" s="2"/>
    </row>
    <row r="4052">
      <c r="A4052" s="2"/>
      <c r="B4052" s="8" t="str">
        <f>IFERROR(__xludf.DUMMYFUNCTION("""COMPUTED_VALUE"""),"TAN SOK KHIM")</f>
        <v>TAN SOK KHIM</v>
      </c>
      <c r="C4052" s="8" t="str">
        <f>IFERROR(__xludf.DUMMYFUNCTION("""COMPUTED_VALUE"""),"T6026076060")</f>
        <v>T6026076060</v>
      </c>
      <c r="D4052" s="8">
        <f>IFERROR(__xludf.DUMMYFUNCTION("""COMPUTED_VALUE"""),65.0)</f>
        <v>65</v>
      </c>
      <c r="E4052" s="2"/>
    </row>
    <row r="4053">
      <c r="A4053" s="2"/>
      <c r="B4053" s="8" t="str">
        <f>IFERROR(__xludf.DUMMYFUNCTION("""COMPUTED_VALUE"""),"ANTONIUS TRIAS KUNCOROJATI")</f>
        <v>ANTONIUS TRIAS KUNCOROJATI</v>
      </c>
      <c r="C4053" s="8" t="str">
        <f>IFERROR(__xludf.DUMMYFUNCTION("""COMPUTED_VALUE"""),"A8726077281")</f>
        <v>A8726077281</v>
      </c>
      <c r="D4053" s="8">
        <f>IFERROR(__xludf.DUMMYFUNCTION("""COMPUTED_VALUE"""),39.0)</f>
        <v>39</v>
      </c>
      <c r="E4053" s="2"/>
    </row>
    <row r="4054">
      <c r="A4054" s="2"/>
      <c r="B4054" s="8" t="str">
        <f>IFERROR(__xludf.DUMMYFUNCTION("""COMPUTED_VALUE"""),"HARRIS")</f>
        <v>HARRIS</v>
      </c>
      <c r="C4054" s="8" t="str">
        <f>IFERROR(__xludf.DUMMYFUNCTION("""COMPUTED_VALUE"""),"H8826078886")</f>
        <v>H8826078886</v>
      </c>
      <c r="D4054" s="8">
        <f>IFERROR(__xludf.DUMMYFUNCTION("""COMPUTED_VALUE"""),37.0)</f>
        <v>37</v>
      </c>
      <c r="E4054" s="2"/>
    </row>
    <row r="4055">
      <c r="A4055" s="2"/>
      <c r="B4055" s="8" t="str">
        <f>IFERROR(__xludf.DUMMYFUNCTION("""COMPUTED_VALUE"""),"HENDRY")</f>
        <v>HENDRY</v>
      </c>
      <c r="C4055" s="8" t="str">
        <f>IFERROR(__xludf.DUMMYFUNCTION("""COMPUTED_VALUE"""),"H9126076786")</f>
        <v>H9126076786</v>
      </c>
      <c r="D4055" s="8">
        <f>IFERROR(__xludf.DUMMYFUNCTION("""COMPUTED_VALUE"""),35.0)</f>
        <v>35</v>
      </c>
      <c r="E4055" s="2"/>
    </row>
    <row r="4056">
      <c r="A4056" s="2"/>
      <c r="B4056" s="8" t="str">
        <f>IFERROR(__xludf.DUMMYFUNCTION("""COMPUTED_VALUE"""),"ADITYO DARMAWAN SUDAGUNG")</f>
        <v>ADITYO DARMAWAN SUDAGUNG</v>
      </c>
      <c r="C4056" s="8" t="str">
        <f>IFERROR(__xludf.DUMMYFUNCTION("""COMPUTED_VALUE"""),"A9026071923")</f>
        <v>A9026071923</v>
      </c>
      <c r="D4056" s="8">
        <f>IFERROR(__xludf.DUMMYFUNCTION("""COMPUTED_VALUE"""),36.0)</f>
        <v>36</v>
      </c>
      <c r="E4056" s="2"/>
    </row>
    <row r="4057">
      <c r="A4057" s="2"/>
      <c r="B4057" s="8" t="str">
        <f>IFERROR(__xludf.DUMMYFUNCTION("""COMPUTED_VALUE"""),"IQBAAL MUHAMMAD")</f>
        <v>IQBAAL MUHAMMAD</v>
      </c>
      <c r="C4057" s="8" t="str">
        <f>IFERROR(__xludf.DUMMYFUNCTION("""COMPUTED_VALUE"""),"I9626074523")</f>
        <v>I9626074523</v>
      </c>
      <c r="D4057" s="8">
        <f>IFERROR(__xludf.DUMMYFUNCTION("""COMPUTED_VALUE"""),29.0)</f>
        <v>29</v>
      </c>
      <c r="E4057" s="2"/>
    </row>
    <row r="4058">
      <c r="A4058" s="2"/>
      <c r="B4058" s="8" t="str">
        <f>IFERROR(__xludf.DUMMYFUNCTION("""COMPUTED_VALUE"""),"UTTAMI SUMPING")</f>
        <v>UTTAMI SUMPING</v>
      </c>
      <c r="C4058" s="8" t="str">
        <f>IFERROR(__xludf.DUMMYFUNCTION("""COMPUTED_VALUE"""),"U8426070019")</f>
        <v>U8426070019</v>
      </c>
      <c r="D4058" s="8">
        <f>IFERROR(__xludf.DUMMYFUNCTION("""COMPUTED_VALUE"""),41.0)</f>
        <v>41</v>
      </c>
      <c r="E4058" s="2"/>
    </row>
    <row r="4059">
      <c r="A4059" s="2"/>
      <c r="B4059" s="8" t="str">
        <f>IFERROR(__xludf.DUMMYFUNCTION("""COMPUTED_VALUE"""),"PHILIP ADRIANTA HARTADI")</f>
        <v>PHILIP ADRIANTA HARTADI</v>
      </c>
      <c r="C4059" s="8" t="str">
        <f>IFERROR(__xludf.DUMMYFUNCTION("""COMPUTED_VALUE"""),"P1026078306")</f>
        <v>P1026078306</v>
      </c>
      <c r="D4059" s="8">
        <f>IFERROR(__xludf.DUMMYFUNCTION("""COMPUTED_VALUE"""),15.0)</f>
        <v>15</v>
      </c>
      <c r="E4059" s="2"/>
    </row>
    <row r="4060">
      <c r="A4060" s="2"/>
      <c r="B4060" s="8" t="str">
        <f>IFERROR(__xludf.DUMMYFUNCTION("""COMPUTED_VALUE"""),"PUJI ASTUTI")</f>
        <v>PUJI ASTUTI</v>
      </c>
      <c r="C4060" s="8" t="str">
        <f>IFERROR(__xludf.DUMMYFUNCTION("""COMPUTED_VALUE"""),"P8926074671")</f>
        <v>P8926074671</v>
      </c>
      <c r="D4060" s="8">
        <f>IFERROR(__xludf.DUMMYFUNCTION("""COMPUTED_VALUE"""),36.0)</f>
        <v>36</v>
      </c>
      <c r="E4060" s="2"/>
    </row>
    <row r="4061">
      <c r="A4061" s="2"/>
      <c r="B4061" s="8" t="str">
        <f>IFERROR(__xludf.DUMMYFUNCTION("""COMPUTED_VALUE"""),"JONI EFENDI")</f>
        <v>JONI EFENDI</v>
      </c>
      <c r="C4061" s="8" t="str">
        <f>IFERROR(__xludf.DUMMYFUNCTION("""COMPUTED_VALUE"""),"J7926075395")</f>
        <v>J7926075395</v>
      </c>
      <c r="D4061" s="8">
        <f>IFERROR(__xludf.DUMMYFUNCTION("""COMPUTED_VALUE"""),46.0)</f>
        <v>46</v>
      </c>
      <c r="E4061" s="2"/>
    </row>
    <row r="4062">
      <c r="A4062" s="2"/>
      <c r="B4062" s="8" t="str">
        <f>IFERROR(__xludf.DUMMYFUNCTION("""COMPUTED_VALUE"""),"ARINA")</f>
        <v>ARINA</v>
      </c>
      <c r="C4062" s="8" t="str">
        <f>IFERROR(__xludf.DUMMYFUNCTION("""COMPUTED_VALUE"""),"A7426075088")</f>
        <v>A7426075088</v>
      </c>
      <c r="D4062" s="8">
        <f>IFERROR(__xludf.DUMMYFUNCTION("""COMPUTED_VALUE"""),52.0)</f>
        <v>52</v>
      </c>
      <c r="E4062" s="2"/>
    </row>
    <row r="4063">
      <c r="A4063" s="2"/>
      <c r="B4063" s="8" t="str">
        <f>IFERROR(__xludf.DUMMYFUNCTION("""COMPUTED_VALUE"""),"REVINA ADELIA PUTRI")</f>
        <v>REVINA ADELIA PUTRI</v>
      </c>
      <c r="C4063" s="8" t="str">
        <f>IFERROR(__xludf.DUMMYFUNCTION("""COMPUTED_VALUE"""),"R0926078234")</f>
        <v>R0926078234</v>
      </c>
      <c r="D4063" s="8">
        <f>IFERROR(__xludf.DUMMYFUNCTION("""COMPUTED_VALUE"""),16.0)</f>
        <v>16</v>
      </c>
      <c r="E4063" s="2"/>
    </row>
    <row r="4064">
      <c r="A4064" s="2"/>
      <c r="B4064" s="8" t="str">
        <f>IFERROR(__xludf.DUMMYFUNCTION("""COMPUTED_VALUE"""),"ANDANG FIRMANSYAH")</f>
        <v>ANDANG FIRMANSYAH</v>
      </c>
      <c r="C4064" s="8" t="str">
        <f>IFERROR(__xludf.DUMMYFUNCTION("""COMPUTED_VALUE"""),"A8926075388")</f>
        <v>A8926075388</v>
      </c>
      <c r="D4064" s="8">
        <f>IFERROR(__xludf.DUMMYFUNCTION("""COMPUTED_VALUE"""),37.0)</f>
        <v>37</v>
      </c>
      <c r="E4064" s="2"/>
    </row>
    <row r="4065">
      <c r="A4065" s="2"/>
      <c r="B4065" s="8" t="str">
        <f>IFERROR(__xludf.DUMMYFUNCTION("""COMPUTED_VALUE"""),"J. MUJIARSO")</f>
        <v>J. MUJIARSO</v>
      </c>
      <c r="C4065" s="8" t="str">
        <f>IFERROR(__xludf.DUMMYFUNCTION("""COMPUTED_VALUE"""),"J8226077075")</f>
        <v>J8226077075</v>
      </c>
      <c r="D4065" s="8">
        <f>IFERROR(__xludf.DUMMYFUNCTION("""COMPUTED_VALUE"""),43.0)</f>
        <v>43</v>
      </c>
      <c r="E4065" s="2"/>
    </row>
    <row r="4066">
      <c r="A4066" s="2"/>
      <c r="B4066" s="8" t="str">
        <f>IFERROR(__xludf.DUMMYFUNCTION("""COMPUTED_VALUE"""),"LIE HENG")</f>
        <v>LIE HENG</v>
      </c>
      <c r="C4066" s="8" t="str">
        <f>IFERROR(__xludf.DUMMYFUNCTION("""COMPUTED_VALUE"""),"L7626073828")</f>
        <v>L7626073828</v>
      </c>
      <c r="D4066" s="8">
        <f>IFERROR(__xludf.DUMMYFUNCTION("""COMPUTED_VALUE"""),50.0)</f>
        <v>50</v>
      </c>
      <c r="E4066" s="2"/>
    </row>
    <row r="4067">
      <c r="A4067" s="2"/>
      <c r="B4067" s="8" t="str">
        <f>IFERROR(__xludf.DUMMYFUNCTION("""COMPUTED_VALUE"""),"FREDIRIKA ARIANI NESA")</f>
        <v>FREDIRIKA ARIANI NESA</v>
      </c>
      <c r="C4067" s="8" t="str">
        <f>IFERROR(__xludf.DUMMYFUNCTION("""COMPUTED_VALUE"""),"F0826072002")</f>
        <v>F0826072002</v>
      </c>
      <c r="D4067" s="8">
        <f>IFERROR(__xludf.DUMMYFUNCTION("""COMPUTED_VALUE"""),18.0)</f>
        <v>18</v>
      </c>
      <c r="E4067" s="2"/>
    </row>
    <row r="4068">
      <c r="A4068" s="2"/>
      <c r="B4068" s="8" t="str">
        <f>IFERROR(__xludf.DUMMYFUNCTION("""COMPUTED_VALUE"""),"LIE LI CIN")</f>
        <v>LIE LI CIN</v>
      </c>
      <c r="C4068" s="8" t="str">
        <f>IFERROR(__xludf.DUMMYFUNCTION("""COMPUTED_VALUE"""),"L5226077898")</f>
        <v>L5226077898</v>
      </c>
      <c r="D4068" s="8">
        <f>IFERROR(__xludf.DUMMYFUNCTION("""COMPUTED_VALUE"""),73.0)</f>
        <v>73</v>
      </c>
      <c r="E4068" s="2"/>
    </row>
    <row r="4069">
      <c r="A4069" s="2"/>
      <c r="B4069" s="8" t="str">
        <f>IFERROR(__xludf.DUMMYFUNCTION("""COMPUTED_VALUE"""),"URAY VEGA VISA LACTI ")</f>
        <v>URAY VEGA VISA LACTI </v>
      </c>
      <c r="C4069" s="8" t="str">
        <f>IFERROR(__xludf.DUMMYFUNCTION("""COMPUTED_VALUE"""),"U9626076803")</f>
        <v>U9626076803</v>
      </c>
      <c r="D4069" s="8">
        <f>IFERROR(__xludf.DUMMYFUNCTION("""COMPUTED_VALUE"""),30.0)</f>
        <v>30</v>
      </c>
      <c r="E4069" s="2"/>
    </row>
    <row r="4070">
      <c r="A4070" s="2"/>
      <c r="B4070" s="8" t="str">
        <f>IFERROR(__xludf.DUMMYFUNCTION("""COMPUTED_VALUE"""),"ENDANG TRIANA")</f>
        <v>ENDANG TRIANA</v>
      </c>
      <c r="C4070" s="8" t="str">
        <f>IFERROR(__xludf.DUMMYFUNCTION("""COMPUTED_VALUE"""),"E2626073895")</f>
        <v>E2626073895</v>
      </c>
      <c r="D4070" s="8">
        <f>IFERROR(__xludf.DUMMYFUNCTION("""COMPUTED_VALUE"""),0.0)</f>
        <v>0</v>
      </c>
      <c r="E4070" s="2"/>
    </row>
    <row r="4071">
      <c r="A4071" s="2"/>
      <c r="B4071" s="8" t="str">
        <f>IFERROR(__xludf.DUMMYFUNCTION("""COMPUTED_VALUE"""),"RAJE ISTANUDIN")</f>
        <v>RAJE ISTANUDIN</v>
      </c>
      <c r="C4071" s="8" t="str">
        <f>IFERROR(__xludf.DUMMYFUNCTION("""COMPUTED_VALUE"""),"R9126077926")</f>
        <v>R9126077926</v>
      </c>
      <c r="D4071" s="8">
        <f>IFERROR(__xludf.DUMMYFUNCTION("""COMPUTED_VALUE"""),35.0)</f>
        <v>35</v>
      </c>
      <c r="E4071" s="2"/>
    </row>
    <row r="4072">
      <c r="A4072" s="2"/>
      <c r="B4072" s="8" t="str">
        <f>IFERROR(__xludf.DUMMYFUNCTION("""COMPUTED_VALUE"""),"SURYA ISNANDA")</f>
        <v>SURYA ISNANDA</v>
      </c>
      <c r="C4072" s="8" t="str">
        <f>IFERROR(__xludf.DUMMYFUNCTION("""COMPUTED_VALUE"""),"S9126070956")</f>
        <v>S9126070956</v>
      </c>
      <c r="D4072" s="8">
        <f>IFERROR(__xludf.DUMMYFUNCTION("""COMPUTED_VALUE"""),34.0)</f>
        <v>34</v>
      </c>
      <c r="E4072" s="2"/>
    </row>
    <row r="4073">
      <c r="A4073" s="2"/>
      <c r="B4073" s="8" t="str">
        <f>IFERROR(__xludf.DUMMYFUNCTION("""COMPUTED_VALUE"""),"ALLUCA ZAVIAN ALI MEKKA")</f>
        <v>ALLUCA ZAVIAN ALI MEKKA</v>
      </c>
      <c r="C4073" s="8" t="str">
        <f>IFERROR(__xludf.DUMMYFUNCTION("""COMPUTED_VALUE"""),"A1926072591")</f>
        <v>A1926072591</v>
      </c>
      <c r="D4073" s="8">
        <f>IFERROR(__xludf.DUMMYFUNCTION("""COMPUTED_VALUE"""),6.0)</f>
        <v>6</v>
      </c>
      <c r="E4073" s="2"/>
    </row>
    <row r="4074">
      <c r="A4074" s="2"/>
      <c r="B4074" s="8" t="str">
        <f>IFERROR(__xludf.DUMMYFUNCTION("""COMPUTED_VALUE"""),"SYARIF ABDUURAHMAN ALQADRIE")</f>
        <v>SYARIF ABDUURAHMAN ALQADRIE</v>
      </c>
      <c r="C4074" s="8" t="str">
        <f>IFERROR(__xludf.DUMMYFUNCTION("""COMPUTED_VALUE"""),"S8126072559")</f>
        <v>S8126072559</v>
      </c>
      <c r="D4074" s="8">
        <f>IFERROR(__xludf.DUMMYFUNCTION("""COMPUTED_VALUE"""),45.0)</f>
        <v>45</v>
      </c>
      <c r="E4074" s="2"/>
    </row>
    <row r="4075">
      <c r="A4075" s="2"/>
      <c r="B4075" s="8" t="str">
        <f>IFERROR(__xludf.DUMMYFUNCTION("""COMPUTED_VALUE"""),"MIFTAHUDIN RAMADHANI")</f>
        <v>MIFTAHUDIN RAMADHANI</v>
      </c>
      <c r="C4075" s="8" t="str">
        <f>IFERROR(__xludf.DUMMYFUNCTION("""COMPUTED_VALUE"""),"M8826076007")</f>
        <v>M8826076007</v>
      </c>
      <c r="D4075" s="8">
        <f>IFERROR(__xludf.DUMMYFUNCTION("""COMPUTED_VALUE"""),38.0)</f>
        <v>38</v>
      </c>
      <c r="E4075" s="2"/>
    </row>
    <row r="4076">
      <c r="A4076" s="2"/>
      <c r="B4076" s="8" t="str">
        <f>IFERROR(__xludf.DUMMYFUNCTION("""COMPUTED_VALUE"""),"RONNI RAHMANI")</f>
        <v>RONNI RAHMANI</v>
      </c>
      <c r="C4076" s="8" t="str">
        <f>IFERROR(__xludf.DUMMYFUNCTION("""COMPUTED_VALUE"""),"R9026078017")</f>
        <v>R9026078017</v>
      </c>
      <c r="D4076" s="8">
        <f>IFERROR(__xludf.DUMMYFUNCTION("""COMPUTED_VALUE"""),36.0)</f>
        <v>36</v>
      </c>
      <c r="E4076" s="2"/>
    </row>
    <row r="4077">
      <c r="A4077" s="2"/>
      <c r="B4077" s="8" t="str">
        <f>IFERROR(__xludf.DUMMYFUNCTION("""COMPUTED_VALUE"""),"PUSPA SARI")</f>
        <v>PUSPA SARI</v>
      </c>
      <c r="C4077" s="8" t="str">
        <f>IFERROR(__xludf.DUMMYFUNCTION("""COMPUTED_VALUE"""),"P8726075353")</f>
        <v>P8726075353</v>
      </c>
      <c r="D4077" s="8">
        <f>IFERROR(__xludf.DUMMYFUNCTION("""COMPUTED_VALUE"""),39.0)</f>
        <v>39</v>
      </c>
      <c r="E4077" s="2"/>
    </row>
    <row r="4078">
      <c r="A4078" s="2"/>
      <c r="B4078" s="8" t="str">
        <f>IFERROR(__xludf.DUMMYFUNCTION("""COMPUTED_VALUE"""),"ANDI AMIR FAHAD ABDILLAH")</f>
        <v>ANDI AMIR FAHAD ABDILLAH</v>
      </c>
      <c r="C4078" s="8" t="str">
        <f>IFERROR(__xludf.DUMMYFUNCTION("""COMPUTED_VALUE"""),"A0126070616")</f>
        <v>A0126070616</v>
      </c>
      <c r="D4078" s="8">
        <f>IFERROR(__xludf.DUMMYFUNCTION("""COMPUTED_VALUE"""),24.0)</f>
        <v>24</v>
      </c>
      <c r="E4078" s="2"/>
    </row>
    <row r="4079">
      <c r="A4079" s="2"/>
      <c r="B4079" s="8" t="str">
        <f>IFERROR(__xludf.DUMMYFUNCTION("""COMPUTED_VALUE"""),"AGUNG SUNARYO")</f>
        <v>AGUNG SUNARYO</v>
      </c>
      <c r="C4079" s="8" t="str">
        <f>IFERROR(__xludf.DUMMYFUNCTION("""COMPUTED_VALUE"""),"A8026070939")</f>
        <v>A8026070939</v>
      </c>
      <c r="D4079" s="8">
        <f>IFERROR(__xludf.DUMMYFUNCTION("""COMPUTED_VALUE"""),46.0)</f>
        <v>46</v>
      </c>
      <c r="E4079" s="2"/>
    </row>
    <row r="4080">
      <c r="A4080" s="2"/>
      <c r="B4080" s="8" t="str">
        <f>IFERROR(__xludf.DUMMYFUNCTION("""COMPUTED_VALUE"""),"JEMALI")</f>
        <v>JEMALI</v>
      </c>
      <c r="C4080" s="8" t="str">
        <f>IFERROR(__xludf.DUMMYFUNCTION("""COMPUTED_VALUE"""),"J7126072708")</f>
        <v>J7126072708</v>
      </c>
      <c r="D4080" s="8">
        <f>IFERROR(__xludf.DUMMYFUNCTION("""COMPUTED_VALUE"""),55.0)</f>
        <v>55</v>
      </c>
      <c r="E4080" s="2"/>
    </row>
    <row r="4081">
      <c r="A4081" s="2"/>
      <c r="B4081" s="8" t="str">
        <f>IFERROR(__xludf.DUMMYFUNCTION("""COMPUTED_VALUE"""),"SURACHMAD DARUSMAN")</f>
        <v>SURACHMAD DARUSMAN</v>
      </c>
      <c r="C4081" s="8" t="str">
        <f>IFERROR(__xludf.DUMMYFUNCTION("""COMPUTED_VALUE"""),"S7026078142")</f>
        <v>S7026078142</v>
      </c>
      <c r="D4081" s="8">
        <f>IFERROR(__xludf.DUMMYFUNCTION("""COMPUTED_VALUE"""),55.0)</f>
        <v>55</v>
      </c>
      <c r="E4081" s="2"/>
    </row>
    <row r="4082">
      <c r="A4082" s="2"/>
      <c r="B4082" s="8" t="str">
        <f>IFERROR(__xludf.DUMMYFUNCTION("""COMPUTED_VALUE"""),"FANNY THALIA LIMAS ")</f>
        <v>FANNY THALIA LIMAS </v>
      </c>
      <c r="C4082" s="8" t="str">
        <f>IFERROR(__xludf.DUMMYFUNCTION("""COMPUTED_VALUE"""),"F0226078836")</f>
        <v>F0226078836</v>
      </c>
      <c r="D4082" s="8">
        <f>IFERROR(__xludf.DUMMYFUNCTION("""COMPUTED_VALUE"""),23.0)</f>
        <v>23</v>
      </c>
      <c r="E4082" s="2"/>
    </row>
    <row r="4083">
      <c r="A4083" s="2"/>
      <c r="B4083" s="8" t="str">
        <f>IFERROR(__xludf.DUMMYFUNCTION("""COMPUTED_VALUE"""),"RIRIN SEPTIANI")</f>
        <v>RIRIN SEPTIANI</v>
      </c>
      <c r="C4083" s="8" t="str">
        <f>IFERROR(__xludf.DUMMYFUNCTION("""COMPUTED_VALUE"""),"R9426077779")</f>
        <v>R9426077779</v>
      </c>
      <c r="D4083" s="8">
        <f>IFERROR(__xludf.DUMMYFUNCTION("""COMPUTED_VALUE"""),31.0)</f>
        <v>31</v>
      </c>
      <c r="E4083" s="2"/>
    </row>
    <row r="4084">
      <c r="A4084" s="2"/>
      <c r="B4084" s="8" t="str">
        <f>IFERROR(__xludf.DUMMYFUNCTION("""COMPUTED_VALUE"""),"NAZUMAH")</f>
        <v>NAZUMAH</v>
      </c>
      <c r="C4084" s="8" t="str">
        <f>IFERROR(__xludf.DUMMYFUNCTION("""COMPUTED_VALUE"""),"N6426074665")</f>
        <v>N6426074665</v>
      </c>
      <c r="D4084" s="8">
        <f>IFERROR(__xludf.DUMMYFUNCTION("""COMPUTED_VALUE"""),62.0)</f>
        <v>62</v>
      </c>
      <c r="E4084" s="2"/>
    </row>
    <row r="4085">
      <c r="A4085" s="2"/>
      <c r="B4085" s="8" t="str">
        <f>IFERROR(__xludf.DUMMYFUNCTION("""COMPUTED_VALUE"""),"ERMA LESTARI")</f>
        <v>ERMA LESTARI</v>
      </c>
      <c r="C4085" s="8" t="str">
        <f>IFERROR(__xludf.DUMMYFUNCTION("""COMPUTED_VALUE"""),"E7126078890")</f>
        <v>E7126078890</v>
      </c>
      <c r="D4085" s="8">
        <f>IFERROR(__xludf.DUMMYFUNCTION("""COMPUTED_VALUE"""),54.0)</f>
        <v>54</v>
      </c>
      <c r="E4085" s="2"/>
    </row>
    <row r="4086">
      <c r="A4086" s="2"/>
      <c r="B4086" s="8" t="str">
        <f>IFERROR(__xludf.DUMMYFUNCTION("""COMPUTED_VALUE"""),"IMRON")</f>
        <v>IMRON</v>
      </c>
      <c r="C4086" s="8" t="str">
        <f>IFERROR(__xludf.DUMMYFUNCTION("""COMPUTED_VALUE"""),"I0726075612")</f>
        <v>I0726075612</v>
      </c>
      <c r="D4086" s="8">
        <f>IFERROR(__xludf.DUMMYFUNCTION("""COMPUTED_VALUE"""),19.0)</f>
        <v>19</v>
      </c>
      <c r="E4086" s="2"/>
    </row>
    <row r="4087">
      <c r="A4087" s="2"/>
      <c r="B4087" s="8" t="str">
        <f>IFERROR(__xludf.DUMMYFUNCTION("""COMPUTED_VALUE"""),"FATUR MAULANA ARFANSYAH ")</f>
        <v>FATUR MAULANA ARFANSYAH </v>
      </c>
      <c r="C4087" s="8" t="str">
        <f>IFERROR(__xludf.DUMMYFUNCTION("""COMPUTED_VALUE"""),"F0626075155")</f>
        <v>F0626075155</v>
      </c>
      <c r="D4087" s="8">
        <f>IFERROR(__xludf.DUMMYFUNCTION("""COMPUTED_VALUE"""),20.0)</f>
        <v>20</v>
      </c>
      <c r="E4087" s="2"/>
    </row>
    <row r="4088">
      <c r="A4088" s="2"/>
      <c r="B4088" s="8" t="str">
        <f>IFERROR(__xludf.DUMMYFUNCTION("""COMPUTED_VALUE"""),"HUSNUL FIKRI")</f>
        <v>HUSNUL FIKRI</v>
      </c>
      <c r="C4088" s="8" t="str">
        <f>IFERROR(__xludf.DUMMYFUNCTION("""COMPUTED_VALUE"""),"H9326077075")</f>
        <v>H9326077075</v>
      </c>
      <c r="D4088" s="8">
        <f>IFERROR(__xludf.DUMMYFUNCTION("""COMPUTED_VALUE"""),33.0)</f>
        <v>33</v>
      </c>
      <c r="E4088" s="2"/>
    </row>
    <row r="4089">
      <c r="A4089" s="2"/>
      <c r="B4089" s="8" t="str">
        <f>IFERROR(__xludf.DUMMYFUNCTION("""COMPUTED_VALUE"""),"ALDI MAULADI RASYID")</f>
        <v>ALDI MAULADI RASYID</v>
      </c>
      <c r="C4089" s="8" t="str">
        <f>IFERROR(__xludf.DUMMYFUNCTION("""COMPUTED_VALUE"""),"A9726073377")</f>
        <v>A9726073377</v>
      </c>
      <c r="D4089" s="8">
        <f>IFERROR(__xludf.DUMMYFUNCTION("""COMPUTED_VALUE"""),29.0)</f>
        <v>29</v>
      </c>
      <c r="E4089" s="2"/>
    </row>
    <row r="4090">
      <c r="A4090" s="2"/>
      <c r="B4090" s="8" t="str">
        <f>IFERROR(__xludf.DUMMYFUNCTION("""COMPUTED_VALUE"""),"ABANG ARIF MAULANA IHSAN")</f>
        <v>ABANG ARIF MAULANA IHSAN</v>
      </c>
      <c r="C4090" s="8" t="str">
        <f>IFERROR(__xludf.DUMMYFUNCTION("""COMPUTED_VALUE"""),"A9826072861")</f>
        <v>A9826072861</v>
      </c>
      <c r="D4090" s="8">
        <f>IFERROR(__xludf.DUMMYFUNCTION("""COMPUTED_VALUE"""),28.0)</f>
        <v>28</v>
      </c>
      <c r="E4090" s="2"/>
    </row>
    <row r="4091">
      <c r="A4091" s="2"/>
      <c r="B4091" s="8" t="str">
        <f>IFERROR(__xludf.DUMMYFUNCTION("""COMPUTED_VALUE"""),"MUHAMMAD YASIR")</f>
        <v>MUHAMMAD YASIR</v>
      </c>
      <c r="C4091" s="8" t="str">
        <f>IFERROR(__xludf.DUMMYFUNCTION("""COMPUTED_VALUE"""),"M9926073234")</f>
        <v>M9926073234</v>
      </c>
      <c r="D4091" s="8">
        <f>IFERROR(__xludf.DUMMYFUNCTION("""COMPUTED_VALUE"""),27.0)</f>
        <v>27</v>
      </c>
      <c r="E4091" s="2"/>
    </row>
    <row r="4092">
      <c r="A4092" s="2"/>
      <c r="B4092" s="8" t="str">
        <f>IFERROR(__xludf.DUMMYFUNCTION("""COMPUTED_VALUE"""),"EDI SUHADI")</f>
        <v>EDI SUHADI</v>
      </c>
      <c r="C4092" s="8" t="str">
        <f>IFERROR(__xludf.DUMMYFUNCTION("""COMPUTED_VALUE"""),"E6126076888")</f>
        <v>E6126076888</v>
      </c>
      <c r="D4092" s="8">
        <f>IFERROR(__xludf.DUMMYFUNCTION("""COMPUTED_VALUE"""),65.0)</f>
        <v>65</v>
      </c>
      <c r="E4092" s="2"/>
    </row>
    <row r="4093">
      <c r="A4093" s="2"/>
      <c r="B4093" s="8" t="str">
        <f>IFERROR(__xludf.DUMMYFUNCTION("""COMPUTED_VALUE"""),"LIM JAK KHENG ")</f>
        <v>LIM JAK KHENG </v>
      </c>
      <c r="C4093" s="8" t="str">
        <f>IFERROR(__xludf.DUMMYFUNCTION("""COMPUTED_VALUE"""),"L7026071255")</f>
        <v>L7026071255</v>
      </c>
      <c r="D4093" s="8">
        <f>IFERROR(__xludf.DUMMYFUNCTION("""COMPUTED_VALUE"""),55.0)</f>
        <v>55</v>
      </c>
      <c r="E4093" s="2"/>
    </row>
    <row r="4094">
      <c r="A4094" s="2"/>
      <c r="B4094" s="8" t="str">
        <f>IFERROR(__xludf.DUMMYFUNCTION("""COMPUTED_VALUE"""),"F. X. KURNIAWAN")</f>
        <v>F. X. KURNIAWAN</v>
      </c>
      <c r="C4094" s="8" t="str">
        <f>IFERROR(__xludf.DUMMYFUNCTION("""COMPUTED_VALUE"""),"F6626071966")</f>
        <v>F6626071966</v>
      </c>
      <c r="D4094" s="8">
        <f>IFERROR(__xludf.DUMMYFUNCTION("""COMPUTED_VALUE"""),60.0)</f>
        <v>60</v>
      </c>
      <c r="E4094" s="2"/>
    </row>
    <row r="4095">
      <c r="A4095" s="2"/>
      <c r="B4095" s="8" t="str">
        <f>IFERROR(__xludf.DUMMYFUNCTION("""COMPUTED_VALUE"""),"BIMA ADITYA PAKSI")</f>
        <v>BIMA ADITYA PAKSI</v>
      </c>
      <c r="C4095" s="8" t="str">
        <f>IFERROR(__xludf.DUMMYFUNCTION("""COMPUTED_VALUE"""),"B9626077261")</f>
        <v>B9626077261</v>
      </c>
      <c r="D4095" s="8">
        <f>IFERROR(__xludf.DUMMYFUNCTION("""COMPUTED_VALUE"""),29.0)</f>
        <v>29</v>
      </c>
      <c r="E4095" s="2"/>
    </row>
    <row r="4096">
      <c r="A4096" s="2"/>
      <c r="B4096" s="8" t="str">
        <f>IFERROR(__xludf.DUMMYFUNCTION("""COMPUTED_VALUE"""),"DWI SANTOSO")</f>
        <v>DWI SANTOSO</v>
      </c>
      <c r="C4096" s="8" t="str">
        <f>IFERROR(__xludf.DUMMYFUNCTION("""COMPUTED_VALUE"""),"D9526079890")</f>
        <v>D9526079890</v>
      </c>
      <c r="D4096" s="8">
        <f>IFERROR(__xludf.DUMMYFUNCTION("""COMPUTED_VALUE"""),31.0)</f>
        <v>31</v>
      </c>
      <c r="E4096" s="2"/>
    </row>
    <row r="4097">
      <c r="A4097" s="2"/>
      <c r="B4097" s="8" t="str">
        <f>IFERROR(__xludf.DUMMYFUNCTION("""COMPUTED_VALUE"""),"FEMMY SANTIKA MAHARANI")</f>
        <v>FEMMY SANTIKA MAHARANI</v>
      </c>
      <c r="C4097" s="8" t="str">
        <f>IFERROR(__xludf.DUMMYFUNCTION("""COMPUTED_VALUE"""),"F0226071464")</f>
        <v>F0226071464</v>
      </c>
      <c r="D4097" s="8">
        <f>IFERROR(__xludf.DUMMYFUNCTION("""COMPUTED_VALUE"""),23.0)</f>
        <v>23</v>
      </c>
      <c r="E4097" s="2"/>
    </row>
    <row r="4098">
      <c r="A4098" s="2"/>
      <c r="B4098" s="8" t="str">
        <f>IFERROR(__xludf.DUMMYFUNCTION("""COMPUTED_VALUE"""),"NURHAYATI")</f>
        <v>NURHAYATI</v>
      </c>
      <c r="C4098" s="8" t="str">
        <f>IFERROR(__xludf.DUMMYFUNCTION("""COMPUTED_VALUE"""),"N6026078362")</f>
        <v>N6026078362</v>
      </c>
      <c r="D4098" s="8">
        <f>IFERROR(__xludf.DUMMYFUNCTION("""COMPUTED_VALUE"""),65.0)</f>
        <v>65</v>
      </c>
      <c r="E4098" s="2"/>
    </row>
    <row r="4099">
      <c r="A4099" s="2"/>
      <c r="B4099" s="8" t="str">
        <f>IFERROR(__xludf.DUMMYFUNCTION("""COMPUTED_VALUE"""),"MARSYA ALEXANDRIA")</f>
        <v>MARSYA ALEXANDRIA</v>
      </c>
      <c r="C4099" s="8" t="str">
        <f>IFERROR(__xludf.DUMMYFUNCTION("""COMPUTED_VALUE"""),"M0626078213")</f>
        <v>M0626078213</v>
      </c>
      <c r="D4099" s="8">
        <f>IFERROR(__xludf.DUMMYFUNCTION("""COMPUTED_VALUE"""),19.0)</f>
        <v>19</v>
      </c>
      <c r="E4099" s="2"/>
    </row>
    <row r="4100">
      <c r="A4100" s="2"/>
      <c r="B4100" s="8" t="str">
        <f>IFERROR(__xludf.DUMMYFUNCTION("""COMPUTED_VALUE"""),"WAHYUDI ")</f>
        <v>WAHYUDI </v>
      </c>
      <c r="C4100" s="8" t="str">
        <f>IFERROR(__xludf.DUMMYFUNCTION("""COMPUTED_VALUE"""),"W8526072627")</f>
        <v>W8526072627</v>
      </c>
      <c r="D4100" s="8">
        <f>IFERROR(__xludf.DUMMYFUNCTION("""COMPUTED_VALUE"""),40.0)</f>
        <v>40</v>
      </c>
      <c r="E4100" s="2"/>
    </row>
    <row r="4101">
      <c r="A4101" s="2"/>
      <c r="B4101" s="8" t="str">
        <f>IFERROR(__xludf.DUMMYFUNCTION("""COMPUTED_VALUE"""),"SUHANDA")</f>
        <v>SUHANDA</v>
      </c>
      <c r="C4101" s="8" t="str">
        <f>IFERROR(__xludf.DUMMYFUNCTION("""COMPUTED_VALUE"""),"S7426073663")</f>
        <v>S7426073663</v>
      </c>
      <c r="D4101" s="8">
        <f>IFERROR(__xludf.DUMMYFUNCTION("""COMPUTED_VALUE"""),52.0)</f>
        <v>52</v>
      </c>
      <c r="E4101" s="2"/>
    </row>
    <row r="4102">
      <c r="A4102" s="2"/>
      <c r="B4102" s="8" t="str">
        <f>IFERROR(__xludf.DUMMYFUNCTION("""COMPUTED_VALUE"""),"MUHAMMAD NAUFAL ADHA PRADIPTA")</f>
        <v>MUHAMMAD NAUFAL ADHA PRADIPTA</v>
      </c>
      <c r="C4102" s="8" t="str">
        <f>IFERROR(__xludf.DUMMYFUNCTION("""COMPUTED_VALUE"""),"M0026072362")</f>
        <v>M0026072362</v>
      </c>
      <c r="D4102" s="8">
        <f>IFERROR(__xludf.DUMMYFUNCTION("""COMPUTED_VALUE"""),26.0)</f>
        <v>26</v>
      </c>
      <c r="E4102" s="2"/>
    </row>
    <row r="4103">
      <c r="A4103" s="2"/>
      <c r="B4103" s="8" t="str">
        <f>IFERROR(__xludf.DUMMYFUNCTION("""COMPUTED_VALUE"""),"NOVA ELVIANI")</f>
        <v>NOVA ELVIANI</v>
      </c>
      <c r="C4103" s="8" t="str">
        <f>IFERROR(__xludf.DUMMYFUNCTION("""COMPUTED_VALUE"""),"N9626075563")</f>
        <v>N9626075563</v>
      </c>
      <c r="D4103" s="8">
        <f>IFERROR(__xludf.DUMMYFUNCTION("""COMPUTED_VALUE"""),30.0)</f>
        <v>30</v>
      </c>
      <c r="E4103" s="2"/>
    </row>
    <row r="4104">
      <c r="A4104" s="2"/>
      <c r="B4104" s="8" t="str">
        <f>IFERROR(__xludf.DUMMYFUNCTION("""COMPUTED_VALUE"""),"JESICHA MARTHALENA TRISNA")</f>
        <v>JESICHA MARTHALENA TRISNA</v>
      </c>
      <c r="C4104" s="8" t="str">
        <f>IFERROR(__xludf.DUMMYFUNCTION("""COMPUTED_VALUE"""),"J9526072198")</f>
        <v>J9526072198</v>
      </c>
      <c r="D4104" s="8">
        <f>IFERROR(__xludf.DUMMYFUNCTION("""COMPUTED_VALUE"""),30.0)</f>
        <v>30</v>
      </c>
      <c r="E4104" s="2"/>
    </row>
    <row r="4105">
      <c r="A4105" s="2"/>
      <c r="B4105" s="8" t="str">
        <f>IFERROR(__xludf.DUMMYFUNCTION("""COMPUTED_VALUE"""),"AMALIA RIZKI SURYANDARI")</f>
        <v>AMALIA RIZKI SURYANDARI</v>
      </c>
      <c r="C4105" s="8" t="str">
        <f>IFERROR(__xludf.DUMMYFUNCTION("""COMPUTED_VALUE"""),"A8926070642")</f>
        <v>A8926070642</v>
      </c>
      <c r="D4105" s="8">
        <f>IFERROR(__xludf.DUMMYFUNCTION("""COMPUTED_VALUE"""),36.0)</f>
        <v>36</v>
      </c>
      <c r="E4105" s="2"/>
    </row>
    <row r="4106">
      <c r="A4106" s="2"/>
      <c r="B4106" s="8" t="str">
        <f>IFERROR(__xludf.DUMMYFUNCTION("""COMPUTED_VALUE"""),"WAFA ARIF")</f>
        <v>WAFA ARIF</v>
      </c>
      <c r="C4106" s="8" t="str">
        <f>IFERROR(__xludf.DUMMYFUNCTION("""COMPUTED_VALUE"""),"W9526075560")</f>
        <v>W9526075560</v>
      </c>
      <c r="D4106" s="8">
        <f>IFERROR(__xludf.DUMMYFUNCTION("""COMPUTED_VALUE"""),30.0)</f>
        <v>30</v>
      </c>
      <c r="E4106" s="2"/>
    </row>
    <row r="4107">
      <c r="A4107" s="2"/>
      <c r="B4107" s="8" t="str">
        <f>IFERROR(__xludf.DUMMYFUNCTION("""COMPUTED_VALUE"""),"AURORA PRETTY BRILIANTY")</f>
        <v>AURORA PRETTY BRILIANTY</v>
      </c>
      <c r="C4107" s="8" t="str">
        <f>IFERROR(__xludf.DUMMYFUNCTION("""COMPUTED_VALUE"""),"A1026078282")</f>
        <v>A1026078282</v>
      </c>
      <c r="D4107" s="8">
        <f>IFERROR(__xludf.DUMMYFUNCTION("""COMPUTED_VALUE"""),16.0)</f>
        <v>16</v>
      </c>
      <c r="E4107" s="2"/>
    </row>
    <row r="4108">
      <c r="A4108" s="2"/>
      <c r="B4108" s="8" t="str">
        <f>IFERROR(__xludf.DUMMYFUNCTION("""COMPUTED_VALUE"""),"MUHAMMAD NABIL KAUTSAR PRIYANTANA")</f>
        <v>MUHAMMAD NABIL KAUTSAR PRIYANTANA</v>
      </c>
      <c r="C4108" s="8" t="str">
        <f>IFERROR(__xludf.DUMMYFUNCTION("""COMPUTED_VALUE"""),"M0126070038")</f>
        <v>M0126070038</v>
      </c>
      <c r="D4108" s="8">
        <f>IFERROR(__xludf.DUMMYFUNCTION("""COMPUTED_VALUE"""),24.0)</f>
        <v>24</v>
      </c>
      <c r="E4108" s="2"/>
    </row>
    <row r="4109">
      <c r="A4109" s="2"/>
      <c r="B4109" s="8" t="str">
        <f>IFERROR(__xludf.DUMMYFUNCTION("""COMPUTED_VALUE"""),"RATNA NINGSIH")</f>
        <v>RATNA NINGSIH</v>
      </c>
      <c r="C4109" s="8" t="str">
        <f>IFERROR(__xludf.DUMMYFUNCTION("""COMPUTED_VALUE"""),"R2626078222")</f>
        <v>R2626078222</v>
      </c>
      <c r="D4109" s="8">
        <f>IFERROR(__xludf.DUMMYFUNCTION("""COMPUTED_VALUE"""),0.0)</f>
        <v>0</v>
      </c>
      <c r="E4109" s="2"/>
    </row>
    <row r="4110">
      <c r="A4110" s="2"/>
      <c r="B4110" s="8" t="str">
        <f>IFERROR(__xludf.DUMMYFUNCTION("""COMPUTED_VALUE"""),"ENDANG PURWATI")</f>
        <v>ENDANG PURWATI</v>
      </c>
      <c r="C4110" s="8" t="str">
        <f>IFERROR(__xludf.DUMMYFUNCTION("""COMPUTED_VALUE"""),"E6826078821")</f>
        <v>E6826078821</v>
      </c>
      <c r="D4110" s="8">
        <f>IFERROR(__xludf.DUMMYFUNCTION("""COMPUTED_VALUE"""),58.0)</f>
        <v>58</v>
      </c>
      <c r="E4110" s="2"/>
    </row>
    <row r="4111">
      <c r="A4111" s="2"/>
      <c r="B4111" s="8" t="str">
        <f>IFERROR(__xludf.DUMMYFUNCTION("""COMPUTED_VALUE"""),"ANDRA SAPUTRA")</f>
        <v>ANDRA SAPUTRA</v>
      </c>
      <c r="C4111" s="8" t="str">
        <f>IFERROR(__xludf.DUMMYFUNCTION("""COMPUTED_VALUE"""),"A0126075362")</f>
        <v>A0126075362</v>
      </c>
      <c r="D4111" s="8">
        <f>IFERROR(__xludf.DUMMYFUNCTION("""COMPUTED_VALUE"""),24.0)</f>
        <v>24</v>
      </c>
      <c r="E4111" s="2"/>
    </row>
    <row r="4112">
      <c r="A4112" s="2"/>
      <c r="B4112" s="8" t="str">
        <f>IFERROR(__xludf.DUMMYFUNCTION("""COMPUTED_VALUE"""),"IFTITAH WAHYU IZZATI ")</f>
        <v>IFTITAH WAHYU IZZATI </v>
      </c>
      <c r="C4112" s="8" t="str">
        <f>IFERROR(__xludf.DUMMYFUNCTION("""COMPUTED_VALUE"""),"I9726077174")</f>
        <v>I9726077174</v>
      </c>
      <c r="D4112" s="8">
        <f>IFERROR(__xludf.DUMMYFUNCTION("""COMPUTED_VALUE"""),28.0)</f>
        <v>28</v>
      </c>
      <c r="E4112" s="2"/>
    </row>
    <row r="4113">
      <c r="A4113" s="2"/>
      <c r="B4113" s="8" t="str">
        <f>IFERROR(__xludf.DUMMYFUNCTION("""COMPUTED_VALUE"""),"DANISH FATURRAHMAN ")</f>
        <v>DANISH FATURRAHMAN </v>
      </c>
      <c r="C4113" s="8" t="str">
        <f>IFERROR(__xludf.DUMMYFUNCTION("""COMPUTED_VALUE"""),"D1126078395")</f>
        <v>D1126078395</v>
      </c>
      <c r="D4113" s="8">
        <f>IFERROR(__xludf.DUMMYFUNCTION("""COMPUTED_VALUE"""),14.0)</f>
        <v>14</v>
      </c>
      <c r="E4113" s="2"/>
    </row>
    <row r="4114">
      <c r="A4114" s="2"/>
      <c r="B4114" s="8" t="str">
        <f>IFERROR(__xludf.DUMMYFUNCTION("""COMPUTED_VALUE"""),"HERMAN")</f>
        <v>HERMAN</v>
      </c>
      <c r="C4114" s="8" t="str">
        <f>IFERROR(__xludf.DUMMYFUNCTION("""COMPUTED_VALUE"""),"H8026073373")</f>
        <v>H8026073373</v>
      </c>
      <c r="D4114" s="8">
        <f>IFERROR(__xludf.DUMMYFUNCTION("""COMPUTED_VALUE"""),45.0)</f>
        <v>45</v>
      </c>
      <c r="E4114" s="2"/>
    </row>
    <row r="4115">
      <c r="A4115" s="2"/>
      <c r="B4115" s="8" t="str">
        <f>IFERROR(__xludf.DUMMYFUNCTION("""COMPUTED_VALUE"""),"TEGAR KRISTIAN OMPU SUNGGU ARITONANG ")</f>
        <v>TEGAR KRISTIAN OMPU SUNGGU ARITONANG </v>
      </c>
      <c r="C4115" s="8" t="str">
        <f>IFERROR(__xludf.DUMMYFUNCTION("""COMPUTED_VALUE"""),"T9926071264")</f>
        <v>T9926071264</v>
      </c>
      <c r="D4115" s="8">
        <f>IFERROR(__xludf.DUMMYFUNCTION("""COMPUTED_VALUE"""),26.0)</f>
        <v>26</v>
      </c>
      <c r="E4115" s="2"/>
    </row>
    <row r="4116">
      <c r="A4116" s="2"/>
      <c r="B4116" s="8" t="str">
        <f>IFERROR(__xludf.DUMMYFUNCTION("""COMPUTED_VALUE"""),"ARIF SANTOSO")</f>
        <v>ARIF SANTOSO</v>
      </c>
      <c r="C4116" s="8" t="str">
        <f>IFERROR(__xludf.DUMMYFUNCTION("""COMPUTED_VALUE"""),"A7126072638")</f>
        <v>A7126072638</v>
      </c>
      <c r="D4116" s="8">
        <f>IFERROR(__xludf.DUMMYFUNCTION("""COMPUTED_VALUE"""),55.0)</f>
        <v>55</v>
      </c>
      <c r="E4116" s="2"/>
    </row>
    <row r="4117">
      <c r="A4117" s="2"/>
      <c r="B4117" s="8" t="str">
        <f>IFERROR(__xludf.DUMMYFUNCTION("""COMPUTED_VALUE"""),"OSCAR FAUZI")</f>
        <v>OSCAR FAUZI</v>
      </c>
      <c r="C4117" s="8" t="str">
        <f>IFERROR(__xludf.DUMMYFUNCTION("""COMPUTED_VALUE"""),"O9926077383")</f>
        <v>O9926077383</v>
      </c>
      <c r="D4117" s="8">
        <f>IFERROR(__xludf.DUMMYFUNCTION("""COMPUTED_VALUE"""),27.0)</f>
        <v>27</v>
      </c>
      <c r="E4117" s="2"/>
    </row>
    <row r="4118">
      <c r="A4118" s="2"/>
      <c r="B4118" s="8" t="str">
        <f>IFERROR(__xludf.DUMMYFUNCTION("""COMPUTED_VALUE"""),"FAWIL PATWA")</f>
        <v>FAWIL PATWA</v>
      </c>
      <c r="C4118" s="8" t="str">
        <f>IFERROR(__xludf.DUMMYFUNCTION("""COMPUTED_VALUE"""),"F0126072085")</f>
        <v>F0126072085</v>
      </c>
      <c r="D4118" s="8">
        <f>IFERROR(__xludf.DUMMYFUNCTION("""COMPUTED_VALUE"""),25.0)</f>
        <v>25</v>
      </c>
      <c r="E4118" s="2"/>
    </row>
    <row r="4119">
      <c r="A4119" s="2"/>
      <c r="B4119" s="8" t="str">
        <f>IFERROR(__xludf.DUMMYFUNCTION("""COMPUTED_VALUE"""),"BRILLIAN NINDY SEPTIA ")</f>
        <v>BRILLIAN NINDY SEPTIA </v>
      </c>
      <c r="C4119" s="8" t="str">
        <f>IFERROR(__xludf.DUMMYFUNCTION("""COMPUTED_VALUE"""),"B0026070046")</f>
        <v>B0026070046</v>
      </c>
      <c r="D4119" s="8">
        <f>IFERROR(__xludf.DUMMYFUNCTION("""COMPUTED_VALUE"""),25.0)</f>
        <v>25</v>
      </c>
      <c r="E4119" s="2"/>
    </row>
    <row r="4120">
      <c r="A4120" s="2"/>
      <c r="B4120" s="8" t="str">
        <f>IFERROR(__xludf.DUMMYFUNCTION("""COMPUTED_VALUE"""),"HARY PRAYOGI PRATAMA PUTRA")</f>
        <v>HARY PRAYOGI PRATAMA PUTRA</v>
      </c>
      <c r="C4120" s="8" t="str">
        <f>IFERROR(__xludf.DUMMYFUNCTION("""COMPUTED_VALUE"""),"H0026076800")</f>
        <v>H0026076800</v>
      </c>
      <c r="D4120" s="8">
        <f>IFERROR(__xludf.DUMMYFUNCTION("""COMPUTED_VALUE"""),25.0)</f>
        <v>25</v>
      </c>
      <c r="E4120" s="2"/>
    </row>
    <row r="4121">
      <c r="A4121" s="2"/>
      <c r="B4121" s="8" t="str">
        <f>IFERROR(__xludf.DUMMYFUNCTION("""COMPUTED_VALUE"""),"NOVERIANSYAH AKBAR")</f>
        <v>NOVERIANSYAH AKBAR</v>
      </c>
      <c r="C4121" s="8" t="str">
        <f>IFERROR(__xludf.DUMMYFUNCTION("""COMPUTED_VALUE"""),"N9326070960")</f>
        <v>N9326070960</v>
      </c>
      <c r="D4121" s="8">
        <f>IFERROR(__xludf.DUMMYFUNCTION("""COMPUTED_VALUE"""),32.0)</f>
        <v>32</v>
      </c>
      <c r="E4121" s="2"/>
    </row>
    <row r="4122">
      <c r="A4122" s="2"/>
      <c r="B4122" s="8" t="str">
        <f>IFERROR(__xludf.DUMMYFUNCTION("""COMPUTED_VALUE"""),"VIJAY")</f>
        <v>VIJAY</v>
      </c>
      <c r="C4122" s="8" t="str">
        <f>IFERROR(__xludf.DUMMYFUNCTION("""COMPUTED_VALUE"""),"V2626071111")</f>
        <v>V2626071111</v>
      </c>
      <c r="D4122" s="8">
        <f>IFERROR(__xludf.DUMMYFUNCTION("""COMPUTED_VALUE"""),0.0)</f>
        <v>0</v>
      </c>
      <c r="E4122" s="2"/>
    </row>
    <row r="4123">
      <c r="A4123" s="2"/>
      <c r="B4123" s="8" t="str">
        <f>IFERROR(__xludf.DUMMYFUNCTION("""COMPUTED_VALUE"""),"NASYUA RAVA AZAHRA")</f>
        <v>NASYUA RAVA AZAHRA</v>
      </c>
      <c r="C4123" s="8" t="str">
        <f>IFERROR(__xludf.DUMMYFUNCTION("""COMPUTED_VALUE"""),"N0526071196")</f>
        <v>N0526071196</v>
      </c>
      <c r="D4123" s="8">
        <f>IFERROR(__xludf.DUMMYFUNCTION("""COMPUTED_VALUE"""),20.0)</f>
        <v>20</v>
      </c>
      <c r="E4123" s="2"/>
    </row>
    <row r="4124">
      <c r="A4124" s="2"/>
      <c r="B4124" s="8" t="str">
        <f>IFERROR(__xludf.DUMMYFUNCTION("""COMPUTED_VALUE"""),"FIRMAN SAMSUDIN")</f>
        <v>FIRMAN SAMSUDIN</v>
      </c>
      <c r="C4124" s="8" t="str">
        <f>IFERROR(__xludf.DUMMYFUNCTION("""COMPUTED_VALUE"""),"F8826077218")</f>
        <v>F8826077218</v>
      </c>
      <c r="D4124" s="8">
        <f>IFERROR(__xludf.DUMMYFUNCTION("""COMPUTED_VALUE"""),38.0)</f>
        <v>38</v>
      </c>
      <c r="E4124" s="2"/>
    </row>
    <row r="4125">
      <c r="A4125" s="2"/>
      <c r="B4125" s="8" t="str">
        <f>IFERROR(__xludf.DUMMYFUNCTION("""COMPUTED_VALUE"""),"AURA DUTA SHEVA")</f>
        <v>AURA DUTA SHEVA</v>
      </c>
      <c r="C4125" s="8" t="str">
        <f>IFERROR(__xludf.DUMMYFUNCTION("""COMPUTED_VALUE"""),"A0026075610")</f>
        <v>A0026075610</v>
      </c>
      <c r="D4125" s="8">
        <f>IFERROR(__xludf.DUMMYFUNCTION("""COMPUTED_VALUE"""),26.0)</f>
        <v>26</v>
      </c>
      <c r="E4125" s="2"/>
    </row>
    <row r="4126">
      <c r="A4126" s="2"/>
      <c r="B4126" s="8" t="str">
        <f>IFERROR(__xludf.DUMMYFUNCTION("""COMPUTED_VALUE"""),"TJATUR SUGIARTO")</f>
        <v>TJATUR SUGIARTO</v>
      </c>
      <c r="C4126" s="8" t="str">
        <f>IFERROR(__xludf.DUMMYFUNCTION("""COMPUTED_VALUE"""),"T6726078688")</f>
        <v>T6726078688</v>
      </c>
      <c r="D4126" s="8">
        <f>IFERROR(__xludf.DUMMYFUNCTION("""COMPUTED_VALUE"""),59.0)</f>
        <v>59</v>
      </c>
      <c r="E4126" s="2"/>
    </row>
    <row r="4127">
      <c r="A4127" s="2"/>
      <c r="B4127" s="8" t="str">
        <f>IFERROR(__xludf.DUMMYFUNCTION("""COMPUTED_VALUE"""),"CESARIA ANGGUN KINANTY")</f>
        <v>CESARIA ANGGUN KINANTY</v>
      </c>
      <c r="C4127" s="8" t="str">
        <f>IFERROR(__xludf.DUMMYFUNCTION("""COMPUTED_VALUE"""),"C0026078105")</f>
        <v>C0026078105</v>
      </c>
      <c r="D4127" s="8">
        <f>IFERROR(__xludf.DUMMYFUNCTION("""COMPUTED_VALUE"""),26.0)</f>
        <v>26</v>
      </c>
      <c r="E4127" s="2"/>
    </row>
    <row r="4128">
      <c r="A4128" s="2"/>
      <c r="B4128" s="8" t="str">
        <f>IFERROR(__xludf.DUMMYFUNCTION("""COMPUTED_VALUE"""),"MUHAMMAD HAFIZ ANANSYAH")</f>
        <v>MUHAMMAD HAFIZ ANANSYAH</v>
      </c>
      <c r="C4128" s="8" t="str">
        <f>IFERROR(__xludf.DUMMYFUNCTION("""COMPUTED_VALUE"""),"M1426079506")</f>
        <v>M1426079506</v>
      </c>
      <c r="D4128" s="8">
        <f>IFERROR(__xludf.DUMMYFUNCTION("""COMPUTED_VALUE"""),12.0)</f>
        <v>12</v>
      </c>
      <c r="E4128" s="2"/>
    </row>
    <row r="4129">
      <c r="A4129" s="2"/>
      <c r="B4129" s="8" t="str">
        <f>IFERROR(__xludf.DUMMYFUNCTION("""COMPUTED_VALUE"""),"TYAS MAHENDRA")</f>
        <v>TYAS MAHENDRA</v>
      </c>
      <c r="C4129" s="8" t="str">
        <f>IFERROR(__xludf.DUMMYFUNCTION("""COMPUTED_VALUE"""),"T0226072980")</f>
        <v>T0226072980</v>
      </c>
      <c r="D4129" s="8">
        <f>IFERROR(__xludf.DUMMYFUNCTION("""COMPUTED_VALUE"""),24.0)</f>
        <v>24</v>
      </c>
      <c r="E4129" s="2"/>
    </row>
    <row r="4130">
      <c r="A4130" s="2"/>
      <c r="B4130" s="8" t="str">
        <f>IFERROR(__xludf.DUMMYFUNCTION("""COMPUTED_VALUE"""),"NENENG SAPARIANA")</f>
        <v>NENENG SAPARIANA</v>
      </c>
      <c r="C4130" s="8" t="str">
        <f>IFERROR(__xludf.DUMMYFUNCTION("""COMPUTED_VALUE"""),"N7126072406")</f>
        <v>N7126072406</v>
      </c>
      <c r="D4130" s="8">
        <f>IFERROR(__xludf.DUMMYFUNCTION("""COMPUTED_VALUE"""),55.0)</f>
        <v>55</v>
      </c>
      <c r="E4130" s="2"/>
    </row>
    <row r="4131">
      <c r="A4131" s="2"/>
      <c r="B4131" s="8" t="str">
        <f>IFERROR(__xludf.DUMMYFUNCTION("""COMPUTED_VALUE"""),"PUJI LESTARI DWI HANDAYANI")</f>
        <v>PUJI LESTARI DWI HANDAYANI</v>
      </c>
      <c r="C4131" s="8" t="str">
        <f>IFERROR(__xludf.DUMMYFUNCTION("""COMPUTED_VALUE"""),"P9226079858")</f>
        <v>P9226079858</v>
      </c>
      <c r="D4131" s="8">
        <f>IFERROR(__xludf.DUMMYFUNCTION("""COMPUTED_VALUE"""),33.0)</f>
        <v>33</v>
      </c>
      <c r="E4131" s="2"/>
    </row>
    <row r="4132">
      <c r="A4132" s="2"/>
      <c r="B4132" s="8" t="str">
        <f>IFERROR(__xludf.DUMMYFUNCTION("""COMPUTED_VALUE"""),"ANDREAN SETIAWAN PUTRA")</f>
        <v>ANDREAN SETIAWAN PUTRA</v>
      </c>
      <c r="C4132" s="8" t="str">
        <f>IFERROR(__xludf.DUMMYFUNCTION("""COMPUTED_VALUE"""),"A9226076969")</f>
        <v>A9226076969</v>
      </c>
      <c r="D4132" s="8">
        <f>IFERROR(__xludf.DUMMYFUNCTION("""COMPUTED_VALUE"""),33.0)</f>
        <v>33</v>
      </c>
      <c r="E4132" s="2"/>
    </row>
    <row r="4133">
      <c r="A4133" s="2"/>
      <c r="B4133" s="8" t="str">
        <f>IFERROR(__xludf.DUMMYFUNCTION("""COMPUTED_VALUE"""),"VANIA FANG")</f>
        <v>VANIA FANG</v>
      </c>
      <c r="C4133" s="8" t="str">
        <f>IFERROR(__xludf.DUMMYFUNCTION("""COMPUTED_VALUE"""),"V0126075700")</f>
        <v>V0126075700</v>
      </c>
      <c r="D4133" s="8">
        <f>IFERROR(__xludf.DUMMYFUNCTION("""COMPUTED_VALUE"""),25.0)</f>
        <v>25</v>
      </c>
      <c r="E4133" s="2"/>
    </row>
    <row r="4134">
      <c r="A4134" s="2"/>
      <c r="B4134" s="8" t="str">
        <f>IFERROR(__xludf.DUMMYFUNCTION("""COMPUTED_VALUE"""),"SUMARSIH")</f>
        <v>SUMARSIH</v>
      </c>
      <c r="C4134" s="8" t="str">
        <f>IFERROR(__xludf.DUMMYFUNCTION("""COMPUTED_VALUE"""),"S6626077000")</f>
        <v>S6626077000</v>
      </c>
      <c r="D4134" s="8">
        <f>IFERROR(__xludf.DUMMYFUNCTION("""COMPUTED_VALUE"""),59.0)</f>
        <v>59</v>
      </c>
      <c r="E4134" s="2"/>
    </row>
    <row r="4135">
      <c r="A4135" s="2"/>
      <c r="B4135" s="8" t="str">
        <f>IFERROR(__xludf.DUMMYFUNCTION("""COMPUTED_VALUE"""),"BATISTUTA YUSLYADI")</f>
        <v>BATISTUTA YUSLYADI</v>
      </c>
      <c r="C4135" s="8" t="str">
        <f>IFERROR(__xludf.DUMMYFUNCTION("""COMPUTED_VALUE"""),"B9926073678")</f>
        <v>B9926073678</v>
      </c>
      <c r="D4135" s="8">
        <f>IFERROR(__xludf.DUMMYFUNCTION("""COMPUTED_VALUE"""),27.0)</f>
        <v>27</v>
      </c>
      <c r="E4135" s="2"/>
    </row>
    <row r="4136">
      <c r="A4136" s="2"/>
      <c r="B4136" s="8" t="str">
        <f>IFERROR(__xludf.DUMMYFUNCTION("""COMPUTED_VALUE"""),"SISWADI")</f>
        <v>SISWADI</v>
      </c>
      <c r="C4136" s="8" t="str">
        <f>IFERROR(__xludf.DUMMYFUNCTION("""COMPUTED_VALUE"""),"S6126077278")</f>
        <v>S6126077278</v>
      </c>
      <c r="D4136" s="8">
        <f>IFERROR(__xludf.DUMMYFUNCTION("""COMPUTED_VALUE"""),65.0)</f>
        <v>65</v>
      </c>
      <c r="E4136" s="2"/>
    </row>
    <row r="4137">
      <c r="A4137" s="2"/>
      <c r="B4137" s="8" t="str">
        <f>IFERROR(__xludf.DUMMYFUNCTION("""COMPUTED_VALUE"""),"IRVIN CHANGGRA")</f>
        <v>IRVIN CHANGGRA</v>
      </c>
      <c r="C4137" s="8" t="str">
        <f>IFERROR(__xludf.DUMMYFUNCTION("""COMPUTED_VALUE"""),"I9326075078")</f>
        <v>I9326075078</v>
      </c>
      <c r="D4137" s="8">
        <f>IFERROR(__xludf.DUMMYFUNCTION("""COMPUTED_VALUE"""),33.0)</f>
        <v>33</v>
      </c>
      <c r="E4137" s="2"/>
    </row>
    <row r="4138">
      <c r="A4138" s="2"/>
      <c r="B4138" s="8" t="str">
        <f>IFERROR(__xludf.DUMMYFUNCTION("""COMPUTED_VALUE"""),"NADIA ISKAR RAMDAYANI")</f>
        <v>NADIA ISKAR RAMDAYANI</v>
      </c>
      <c r="C4138" s="8" t="str">
        <f>IFERROR(__xludf.DUMMYFUNCTION("""COMPUTED_VALUE"""),"N9326076485")</f>
        <v>N9326076485</v>
      </c>
      <c r="D4138" s="8">
        <f>IFERROR(__xludf.DUMMYFUNCTION("""COMPUTED_VALUE"""),33.0)</f>
        <v>33</v>
      </c>
      <c r="E4138" s="2"/>
    </row>
    <row r="4139">
      <c r="A4139" s="2"/>
      <c r="B4139" s="8" t="str">
        <f>IFERROR(__xludf.DUMMYFUNCTION("""COMPUTED_VALUE"""),"IKLAS PUJO PANGESTU")</f>
        <v>IKLAS PUJO PANGESTU</v>
      </c>
      <c r="C4139" s="8" t="str">
        <f>IFERROR(__xludf.DUMMYFUNCTION("""COMPUTED_VALUE"""),"I9326076213")</f>
        <v>I9326076213</v>
      </c>
      <c r="D4139" s="8">
        <f>IFERROR(__xludf.DUMMYFUNCTION("""COMPUTED_VALUE"""),32.0)</f>
        <v>32</v>
      </c>
      <c r="E4139" s="2"/>
    </row>
    <row r="4140">
      <c r="A4140" s="2"/>
      <c r="B4140" s="8" t="str">
        <f>IFERROR(__xludf.DUMMYFUNCTION("""COMPUTED_VALUE"""),"NIKE WELDAN")</f>
        <v>NIKE WELDAN</v>
      </c>
      <c r="C4140" s="8" t="str">
        <f>IFERROR(__xludf.DUMMYFUNCTION("""COMPUTED_VALUE"""),"N9726079312")</f>
        <v>N9726079312</v>
      </c>
      <c r="D4140" s="8">
        <f>IFERROR(__xludf.DUMMYFUNCTION("""COMPUTED_VALUE"""),29.0)</f>
        <v>29</v>
      </c>
      <c r="E4140" s="2"/>
    </row>
    <row r="4141">
      <c r="A4141" s="2"/>
      <c r="B4141" s="8" t="str">
        <f>IFERROR(__xludf.DUMMYFUNCTION("""COMPUTED_VALUE"""),"SITI WULANDARI")</f>
        <v>SITI WULANDARI</v>
      </c>
      <c r="C4141" s="8" t="str">
        <f>IFERROR(__xludf.DUMMYFUNCTION("""COMPUTED_VALUE"""),"S9726073197")</f>
        <v>S9726073197</v>
      </c>
      <c r="D4141" s="8">
        <f>IFERROR(__xludf.DUMMYFUNCTION("""COMPUTED_VALUE"""),29.0)</f>
        <v>29</v>
      </c>
      <c r="E4141" s="2"/>
    </row>
    <row r="4142">
      <c r="A4142" s="2"/>
      <c r="B4142" s="8" t="str">
        <f>IFERROR(__xludf.DUMMYFUNCTION("""COMPUTED_VALUE"""),"TRI PRATIWI")</f>
        <v>TRI PRATIWI</v>
      </c>
      <c r="C4142" s="8" t="str">
        <f>IFERROR(__xludf.DUMMYFUNCTION("""COMPUTED_VALUE"""),"T6026076757")</f>
        <v>T6026076757</v>
      </c>
      <c r="D4142" s="8">
        <f>IFERROR(__xludf.DUMMYFUNCTION("""COMPUTED_VALUE"""),65.0)</f>
        <v>65</v>
      </c>
      <c r="E4142" s="2"/>
    </row>
    <row r="4143">
      <c r="A4143" s="2"/>
      <c r="B4143" s="8" t="str">
        <f>IFERROR(__xludf.DUMMYFUNCTION("""COMPUTED_VALUE"""),"RIZKY MAULANA PUTRA")</f>
        <v>RIZKY MAULANA PUTRA</v>
      </c>
      <c r="C4143" s="8" t="str">
        <f>IFERROR(__xludf.DUMMYFUNCTION("""COMPUTED_VALUE"""),"R0126077400")</f>
        <v>R0126077400</v>
      </c>
      <c r="D4143" s="8">
        <f>IFERROR(__xludf.DUMMYFUNCTION("""COMPUTED_VALUE"""),25.0)</f>
        <v>25</v>
      </c>
      <c r="E4143" s="2"/>
    </row>
    <row r="4144">
      <c r="A4144" s="2"/>
      <c r="B4144" s="8" t="str">
        <f>IFERROR(__xludf.DUMMYFUNCTION("""COMPUTED_VALUE"""),"ALIANI")</f>
        <v>ALIANI</v>
      </c>
      <c r="C4144" s="8" t="str">
        <f>IFERROR(__xludf.DUMMYFUNCTION("""COMPUTED_VALUE"""),"A6426071087")</f>
        <v>A6426071087</v>
      </c>
      <c r="D4144" s="8">
        <f>IFERROR(__xludf.DUMMYFUNCTION("""COMPUTED_VALUE"""),62.0)</f>
        <v>62</v>
      </c>
      <c r="E4144" s="2"/>
    </row>
    <row r="4145">
      <c r="A4145" s="2"/>
      <c r="B4145" s="8" t="str">
        <f>IFERROR(__xludf.DUMMYFUNCTION("""COMPUTED_VALUE"""),"AGUSTINUS ARSI")</f>
        <v>AGUSTINUS ARSI</v>
      </c>
      <c r="C4145" s="8" t="str">
        <f>IFERROR(__xludf.DUMMYFUNCTION("""COMPUTED_VALUE"""),"A9126073003")</f>
        <v>A9126073003</v>
      </c>
      <c r="D4145" s="8">
        <f>IFERROR(__xludf.DUMMYFUNCTION("""COMPUTED_VALUE"""),35.0)</f>
        <v>35</v>
      </c>
      <c r="E4145" s="2"/>
    </row>
    <row r="4146">
      <c r="A4146" s="2"/>
      <c r="B4146" s="8" t="str">
        <f>IFERROR(__xludf.DUMMYFUNCTION("""COMPUTED_VALUE"""),"SUPARDAN")</f>
        <v>SUPARDAN</v>
      </c>
      <c r="C4146" s="8" t="str">
        <f>IFERROR(__xludf.DUMMYFUNCTION("""COMPUTED_VALUE"""),"S6526078600")</f>
        <v>S6526078600</v>
      </c>
      <c r="D4146" s="8">
        <f>IFERROR(__xludf.DUMMYFUNCTION("""COMPUTED_VALUE"""),60.0)</f>
        <v>60</v>
      </c>
      <c r="E4146" s="2"/>
    </row>
    <row r="4147">
      <c r="A4147" s="2"/>
      <c r="B4147" s="8" t="str">
        <f>IFERROR(__xludf.DUMMYFUNCTION("""COMPUTED_VALUE"""),"ADLY RAYHAN SAPUTRA")</f>
        <v>ADLY RAYHAN SAPUTRA</v>
      </c>
      <c r="C4147" s="8" t="str">
        <f>IFERROR(__xludf.DUMMYFUNCTION("""COMPUTED_VALUE"""),"A0926073636")</f>
        <v>A0926073636</v>
      </c>
      <c r="D4147" s="8">
        <f>IFERROR(__xludf.DUMMYFUNCTION("""COMPUTED_VALUE"""),17.0)</f>
        <v>17</v>
      </c>
      <c r="E4147" s="2"/>
    </row>
    <row r="4148">
      <c r="A4148" s="2"/>
      <c r="B4148" s="8" t="str">
        <f>IFERROR(__xludf.DUMMYFUNCTION("""COMPUTED_VALUE"""),"SAYYIDAH ADZKIA ")</f>
        <v>SAYYIDAH ADZKIA </v>
      </c>
      <c r="C4148" s="8" t="str">
        <f>IFERROR(__xludf.DUMMYFUNCTION("""COMPUTED_VALUE"""),"S1226074085")</f>
        <v>S1226074085</v>
      </c>
      <c r="D4148" s="8">
        <f>IFERROR(__xludf.DUMMYFUNCTION("""COMPUTED_VALUE"""),13.0)</f>
        <v>13</v>
      </c>
      <c r="E4148" s="2"/>
    </row>
    <row r="4149">
      <c r="A4149" s="2"/>
      <c r="B4149" s="8" t="str">
        <f>IFERROR(__xludf.DUMMYFUNCTION("""COMPUTED_VALUE"""),"RUSMALA RATINA")</f>
        <v>RUSMALA RATINA</v>
      </c>
      <c r="C4149" s="8" t="str">
        <f>IFERROR(__xludf.DUMMYFUNCTION("""COMPUTED_VALUE"""),"R5626078395")</f>
        <v>R5626078395</v>
      </c>
      <c r="D4149" s="8">
        <f>IFERROR(__xludf.DUMMYFUNCTION("""COMPUTED_VALUE"""),69.0)</f>
        <v>69</v>
      </c>
      <c r="E4149" s="2"/>
    </row>
    <row r="4150">
      <c r="A4150" s="2"/>
      <c r="B4150" s="8" t="str">
        <f>IFERROR(__xludf.DUMMYFUNCTION("""COMPUTED_VALUE"""),"DHIO ASRIL DWIYONO")</f>
        <v>DHIO ASRIL DWIYONO</v>
      </c>
      <c r="C4150" s="8" t="str">
        <f>IFERROR(__xludf.DUMMYFUNCTION("""COMPUTED_VALUE"""),"D9826078969")</f>
        <v>D9826078969</v>
      </c>
      <c r="D4150" s="8">
        <f>IFERROR(__xludf.DUMMYFUNCTION("""COMPUTED_VALUE"""),27.0)</f>
        <v>27</v>
      </c>
      <c r="E4150" s="2"/>
    </row>
    <row r="4151">
      <c r="A4151" s="2"/>
      <c r="B4151" s="8"/>
      <c r="C4151" s="8" t="str">
        <f>IFERROR(__xludf.DUMMYFUNCTION("""COMPUTED_VALUE"""),"")</f>
        <v/>
      </c>
      <c r="D4151" s="8" t="str">
        <f>IFERROR(__xludf.DUMMYFUNCTION("""COMPUTED_VALUE"""),"")</f>
        <v/>
      </c>
      <c r="E4151" s="2"/>
    </row>
    <row r="4152">
      <c r="A4152" s="2"/>
      <c r="B4152" s="8"/>
      <c r="C4152" s="8" t="str">
        <f>IFERROR(__xludf.DUMMYFUNCTION("""COMPUTED_VALUE"""),"")</f>
        <v/>
      </c>
      <c r="D4152" s="8" t="str">
        <f>IFERROR(__xludf.DUMMYFUNCTION("""COMPUTED_VALUE"""),"")</f>
        <v/>
      </c>
      <c r="E4152" s="2"/>
    </row>
    <row r="4153">
      <c r="A4153" s="2"/>
      <c r="B4153" s="8"/>
      <c r="C4153" s="8" t="str">
        <f>IFERROR(__xludf.DUMMYFUNCTION("""COMPUTED_VALUE"""),"")</f>
        <v/>
      </c>
      <c r="D4153" s="8" t="str">
        <f>IFERROR(__xludf.DUMMYFUNCTION("""COMPUTED_VALUE"""),"")</f>
        <v/>
      </c>
      <c r="E4153" s="2"/>
    </row>
    <row r="4154">
      <c r="A4154" s="2"/>
      <c r="B4154" s="8"/>
      <c r="C4154" s="8" t="str">
        <f>IFERROR(__xludf.DUMMYFUNCTION("""COMPUTED_VALUE"""),"")</f>
        <v/>
      </c>
      <c r="D4154" s="8" t="str">
        <f>IFERROR(__xludf.DUMMYFUNCTION("""COMPUTED_VALUE"""),"")</f>
        <v/>
      </c>
      <c r="E4154" s="2"/>
    </row>
    <row r="4155">
      <c r="A4155" s="2"/>
      <c r="B4155" s="8"/>
      <c r="C4155" s="8" t="str">
        <f>IFERROR(__xludf.DUMMYFUNCTION("""COMPUTED_VALUE"""),"")</f>
        <v/>
      </c>
      <c r="D4155" s="8" t="str">
        <f>IFERROR(__xludf.DUMMYFUNCTION("""COMPUTED_VALUE"""),"")</f>
        <v/>
      </c>
      <c r="E4155" s="2"/>
    </row>
    <row r="4156">
      <c r="A4156" s="2"/>
      <c r="B4156" s="8"/>
      <c r="C4156" s="8" t="str">
        <f>IFERROR(__xludf.DUMMYFUNCTION("""COMPUTED_VALUE"""),"")</f>
        <v/>
      </c>
      <c r="D4156" s="8" t="str">
        <f>IFERROR(__xludf.DUMMYFUNCTION("""COMPUTED_VALUE"""),"")</f>
        <v/>
      </c>
      <c r="E4156" s="2"/>
    </row>
    <row r="4157">
      <c r="A4157" s="2"/>
      <c r="B4157" s="8"/>
      <c r="C4157" s="8" t="str">
        <f>IFERROR(__xludf.DUMMYFUNCTION("""COMPUTED_VALUE"""),"")</f>
        <v/>
      </c>
      <c r="D4157" s="8" t="str">
        <f>IFERROR(__xludf.DUMMYFUNCTION("""COMPUTED_VALUE"""),"")</f>
        <v/>
      </c>
      <c r="E4157" s="2"/>
    </row>
    <row r="4158">
      <c r="A4158" s="2"/>
      <c r="B4158" s="8"/>
      <c r="C4158" s="8" t="str">
        <f>IFERROR(__xludf.DUMMYFUNCTION("""COMPUTED_VALUE"""),"")</f>
        <v/>
      </c>
      <c r="D4158" s="8" t="str">
        <f>IFERROR(__xludf.DUMMYFUNCTION("""COMPUTED_VALUE"""),"")</f>
        <v/>
      </c>
      <c r="E4158" s="2"/>
    </row>
    <row r="4159">
      <c r="A4159" s="2"/>
      <c r="B4159" s="8"/>
      <c r="C4159" s="8" t="str">
        <f>IFERROR(__xludf.DUMMYFUNCTION("""COMPUTED_VALUE"""),"")</f>
        <v/>
      </c>
      <c r="D4159" s="8" t="str">
        <f>IFERROR(__xludf.DUMMYFUNCTION("""COMPUTED_VALUE"""),"")</f>
        <v/>
      </c>
      <c r="E4159" s="2"/>
    </row>
    <row r="4160">
      <c r="A4160" s="2"/>
      <c r="B4160" s="8"/>
      <c r="C4160" s="8" t="str">
        <f>IFERROR(__xludf.DUMMYFUNCTION("""COMPUTED_VALUE"""),"")</f>
        <v/>
      </c>
      <c r="D4160" s="8" t="str">
        <f>IFERROR(__xludf.DUMMYFUNCTION("""COMPUTED_VALUE"""),"")</f>
        <v/>
      </c>
      <c r="E4160" s="2"/>
    </row>
    <row r="4161">
      <c r="A4161" s="2"/>
      <c r="B4161" s="8"/>
      <c r="C4161" s="8" t="str">
        <f>IFERROR(__xludf.DUMMYFUNCTION("""COMPUTED_VALUE"""),"")</f>
        <v/>
      </c>
      <c r="D4161" s="8" t="str">
        <f>IFERROR(__xludf.DUMMYFUNCTION("""COMPUTED_VALUE"""),"")</f>
        <v/>
      </c>
      <c r="E4161" s="2"/>
    </row>
    <row r="4162">
      <c r="A4162" s="2"/>
      <c r="B4162" s="8"/>
      <c r="C4162" s="8" t="str">
        <f>IFERROR(__xludf.DUMMYFUNCTION("""COMPUTED_VALUE"""),"")</f>
        <v/>
      </c>
      <c r="D4162" s="8" t="str">
        <f>IFERROR(__xludf.DUMMYFUNCTION("""COMPUTED_VALUE"""),"")</f>
        <v/>
      </c>
      <c r="E4162" s="2"/>
    </row>
    <row r="4163">
      <c r="A4163" s="2"/>
      <c r="B4163" s="8"/>
      <c r="C4163" s="8" t="str">
        <f>IFERROR(__xludf.DUMMYFUNCTION("""COMPUTED_VALUE"""),"")</f>
        <v/>
      </c>
      <c r="D4163" s="8" t="str">
        <f>IFERROR(__xludf.DUMMYFUNCTION("""COMPUTED_VALUE"""),"")</f>
        <v/>
      </c>
      <c r="E4163" s="2"/>
    </row>
    <row r="4164">
      <c r="A4164" s="2"/>
      <c r="B4164" s="8"/>
      <c r="C4164" s="8" t="str">
        <f>IFERROR(__xludf.DUMMYFUNCTION("""COMPUTED_VALUE"""),"")</f>
        <v/>
      </c>
      <c r="D4164" s="8" t="str">
        <f>IFERROR(__xludf.DUMMYFUNCTION("""COMPUTED_VALUE"""),"")</f>
        <v/>
      </c>
      <c r="E4164" s="2"/>
    </row>
    <row r="4165">
      <c r="A4165" s="2"/>
      <c r="B4165" s="8"/>
      <c r="C4165" s="8" t="str">
        <f>IFERROR(__xludf.DUMMYFUNCTION("""COMPUTED_VALUE"""),"")</f>
        <v/>
      </c>
      <c r="D4165" s="8" t="str">
        <f>IFERROR(__xludf.DUMMYFUNCTION("""COMPUTED_VALUE"""),"")</f>
        <v/>
      </c>
      <c r="E4165" s="2"/>
    </row>
    <row r="4166">
      <c r="A4166" s="2"/>
      <c r="B4166" s="8"/>
      <c r="C4166" s="8" t="str">
        <f>IFERROR(__xludf.DUMMYFUNCTION("""COMPUTED_VALUE"""),"")</f>
        <v/>
      </c>
      <c r="D4166" s="8" t="str">
        <f>IFERROR(__xludf.DUMMYFUNCTION("""COMPUTED_VALUE"""),"")</f>
        <v/>
      </c>
      <c r="E4166" s="2"/>
    </row>
    <row r="4167">
      <c r="A4167" s="2"/>
      <c r="B4167" s="8"/>
      <c r="C4167" s="8" t="str">
        <f>IFERROR(__xludf.DUMMYFUNCTION("""COMPUTED_VALUE"""),"")</f>
        <v/>
      </c>
      <c r="D4167" s="8" t="str">
        <f>IFERROR(__xludf.DUMMYFUNCTION("""COMPUTED_VALUE"""),"")</f>
        <v/>
      </c>
      <c r="E4167" s="2"/>
    </row>
    <row r="4168">
      <c r="A4168" s="2"/>
      <c r="B4168" s="8"/>
      <c r="C4168" s="8" t="str">
        <f>IFERROR(__xludf.DUMMYFUNCTION("""COMPUTED_VALUE"""),"")</f>
        <v/>
      </c>
      <c r="D4168" s="8" t="str">
        <f>IFERROR(__xludf.DUMMYFUNCTION("""COMPUTED_VALUE"""),"")</f>
        <v/>
      </c>
      <c r="E4168" s="2"/>
    </row>
    <row r="4169">
      <c r="A4169" s="2"/>
      <c r="B4169" s="8"/>
      <c r="C4169" s="8" t="str">
        <f>IFERROR(__xludf.DUMMYFUNCTION("""COMPUTED_VALUE"""),"")</f>
        <v/>
      </c>
      <c r="D4169" s="8" t="str">
        <f>IFERROR(__xludf.DUMMYFUNCTION("""COMPUTED_VALUE"""),"")</f>
        <v/>
      </c>
      <c r="E4169" s="2"/>
    </row>
    <row r="4170">
      <c r="A4170" s="2"/>
      <c r="B4170" s="8"/>
      <c r="C4170" s="8" t="str">
        <f>IFERROR(__xludf.DUMMYFUNCTION("""COMPUTED_VALUE"""),"")</f>
        <v/>
      </c>
      <c r="D4170" s="8" t="str">
        <f>IFERROR(__xludf.DUMMYFUNCTION("""COMPUTED_VALUE"""),"")</f>
        <v/>
      </c>
      <c r="E4170" s="2"/>
    </row>
    <row r="4171">
      <c r="A4171" s="2"/>
      <c r="B4171" s="8"/>
      <c r="C4171" s="8" t="str">
        <f>IFERROR(__xludf.DUMMYFUNCTION("""COMPUTED_VALUE"""),"")</f>
        <v/>
      </c>
      <c r="D4171" s="8" t="str">
        <f>IFERROR(__xludf.DUMMYFUNCTION("""COMPUTED_VALUE"""),"")</f>
        <v/>
      </c>
      <c r="E4171" s="2"/>
    </row>
    <row r="4172">
      <c r="A4172" s="2"/>
      <c r="B4172" s="8"/>
      <c r="C4172" s="8" t="str">
        <f>IFERROR(__xludf.DUMMYFUNCTION("""COMPUTED_VALUE"""),"")</f>
        <v/>
      </c>
      <c r="D4172" s="8" t="str">
        <f>IFERROR(__xludf.DUMMYFUNCTION("""COMPUTED_VALUE"""),"")</f>
        <v/>
      </c>
      <c r="E4172" s="2"/>
    </row>
    <row r="4173">
      <c r="A4173" s="2"/>
      <c r="B4173" s="8"/>
      <c r="C4173" s="8" t="str">
        <f>IFERROR(__xludf.DUMMYFUNCTION("""COMPUTED_VALUE"""),"")</f>
        <v/>
      </c>
      <c r="D4173" s="8" t="str">
        <f>IFERROR(__xludf.DUMMYFUNCTION("""COMPUTED_VALUE"""),"")</f>
        <v/>
      </c>
      <c r="E4173" s="2"/>
    </row>
    <row r="4174">
      <c r="A4174" s="2"/>
      <c r="B4174" s="8"/>
      <c r="C4174" s="8" t="str">
        <f>IFERROR(__xludf.DUMMYFUNCTION("""COMPUTED_VALUE"""),"")</f>
        <v/>
      </c>
      <c r="D4174" s="8" t="str">
        <f>IFERROR(__xludf.DUMMYFUNCTION("""COMPUTED_VALUE"""),"")</f>
        <v/>
      </c>
      <c r="E4174" s="2"/>
    </row>
    <row r="4175">
      <c r="A4175" s="2"/>
      <c r="B4175" s="8"/>
      <c r="C4175" s="8" t="str">
        <f>IFERROR(__xludf.DUMMYFUNCTION("""COMPUTED_VALUE"""),"")</f>
        <v/>
      </c>
      <c r="D4175" s="8" t="str">
        <f>IFERROR(__xludf.DUMMYFUNCTION("""COMPUTED_VALUE"""),"")</f>
        <v/>
      </c>
      <c r="E4175" s="2"/>
    </row>
    <row r="4176">
      <c r="A4176" s="2"/>
      <c r="B4176" s="8"/>
      <c r="C4176" s="8" t="str">
        <f>IFERROR(__xludf.DUMMYFUNCTION("""COMPUTED_VALUE"""),"")</f>
        <v/>
      </c>
      <c r="D4176" s="8" t="str">
        <f>IFERROR(__xludf.DUMMYFUNCTION("""COMPUTED_VALUE"""),"")</f>
        <v/>
      </c>
      <c r="E4176" s="2"/>
    </row>
    <row r="4177">
      <c r="A4177" s="2"/>
      <c r="B4177" s="8"/>
      <c r="C4177" s="8" t="str">
        <f>IFERROR(__xludf.DUMMYFUNCTION("""COMPUTED_VALUE"""),"")</f>
        <v/>
      </c>
      <c r="D4177" s="8" t="str">
        <f>IFERROR(__xludf.DUMMYFUNCTION("""COMPUTED_VALUE"""),"")</f>
        <v/>
      </c>
      <c r="E4177" s="2"/>
    </row>
    <row r="4178">
      <c r="A4178" s="2"/>
      <c r="B4178" s="8"/>
      <c r="C4178" s="8" t="str">
        <f>IFERROR(__xludf.DUMMYFUNCTION("""COMPUTED_VALUE"""),"")</f>
        <v/>
      </c>
      <c r="D4178" s="8" t="str">
        <f>IFERROR(__xludf.DUMMYFUNCTION("""COMPUTED_VALUE"""),"")</f>
        <v/>
      </c>
      <c r="E4178" s="2"/>
    </row>
    <row r="4179">
      <c r="A4179" s="2"/>
      <c r="B4179" s="8"/>
      <c r="C4179" s="8" t="str">
        <f>IFERROR(__xludf.DUMMYFUNCTION("""COMPUTED_VALUE"""),"")</f>
        <v/>
      </c>
      <c r="D4179" s="8" t="str">
        <f>IFERROR(__xludf.DUMMYFUNCTION("""COMPUTED_VALUE"""),"")</f>
        <v/>
      </c>
      <c r="E4179" s="2"/>
    </row>
    <row r="4180">
      <c r="A4180" s="2"/>
      <c r="B4180" s="8"/>
      <c r="C4180" s="8" t="str">
        <f>IFERROR(__xludf.DUMMYFUNCTION("""COMPUTED_VALUE"""),"")</f>
        <v/>
      </c>
      <c r="D4180" s="8" t="str">
        <f>IFERROR(__xludf.DUMMYFUNCTION("""COMPUTED_VALUE"""),"")</f>
        <v/>
      </c>
      <c r="E4180" s="2"/>
    </row>
    <row r="4181">
      <c r="A4181" s="2"/>
      <c r="B4181" s="8"/>
      <c r="C4181" s="8" t="str">
        <f>IFERROR(__xludf.DUMMYFUNCTION("""COMPUTED_VALUE"""),"")</f>
        <v/>
      </c>
      <c r="D4181" s="8" t="str">
        <f>IFERROR(__xludf.DUMMYFUNCTION("""COMPUTED_VALUE"""),"")</f>
        <v/>
      </c>
      <c r="E4181" s="2"/>
    </row>
    <row r="4182">
      <c r="A4182" s="2"/>
      <c r="B4182" s="8"/>
      <c r="C4182" s="8" t="str">
        <f>IFERROR(__xludf.DUMMYFUNCTION("""COMPUTED_VALUE"""),"")</f>
        <v/>
      </c>
      <c r="D4182" s="8" t="str">
        <f>IFERROR(__xludf.DUMMYFUNCTION("""COMPUTED_VALUE"""),"")</f>
        <v/>
      </c>
      <c r="E4182" s="2"/>
    </row>
    <row r="4183">
      <c r="A4183" s="2"/>
      <c r="B4183" s="8"/>
      <c r="C4183" s="8" t="str">
        <f>IFERROR(__xludf.DUMMYFUNCTION("""COMPUTED_VALUE"""),"")</f>
        <v/>
      </c>
      <c r="D4183" s="8" t="str">
        <f>IFERROR(__xludf.DUMMYFUNCTION("""COMPUTED_VALUE"""),"")</f>
        <v/>
      </c>
      <c r="E4183" s="2"/>
    </row>
    <row r="4184">
      <c r="A4184" s="2"/>
      <c r="B4184" s="8"/>
      <c r="C4184" s="8" t="str">
        <f>IFERROR(__xludf.DUMMYFUNCTION("""COMPUTED_VALUE"""),"")</f>
        <v/>
      </c>
      <c r="D4184" s="8" t="str">
        <f>IFERROR(__xludf.DUMMYFUNCTION("""COMPUTED_VALUE"""),"")</f>
        <v/>
      </c>
      <c r="E4184" s="2"/>
    </row>
    <row r="4185">
      <c r="A4185" s="2"/>
      <c r="B4185" s="8"/>
      <c r="C4185" s="8" t="str">
        <f>IFERROR(__xludf.DUMMYFUNCTION("""COMPUTED_VALUE"""),"")</f>
        <v/>
      </c>
      <c r="D4185" s="8" t="str">
        <f>IFERROR(__xludf.DUMMYFUNCTION("""COMPUTED_VALUE"""),"")</f>
        <v/>
      </c>
      <c r="E4185" s="2"/>
    </row>
    <row r="4186">
      <c r="A4186" s="2"/>
      <c r="B4186" s="8"/>
      <c r="C4186" s="8" t="str">
        <f>IFERROR(__xludf.DUMMYFUNCTION("""COMPUTED_VALUE"""),"")</f>
        <v/>
      </c>
      <c r="D4186" s="8" t="str">
        <f>IFERROR(__xludf.DUMMYFUNCTION("""COMPUTED_VALUE"""),"")</f>
        <v/>
      </c>
      <c r="E4186" s="2"/>
    </row>
    <row r="4187">
      <c r="A4187" s="2"/>
      <c r="B4187" s="8"/>
      <c r="C4187" s="8" t="str">
        <f>IFERROR(__xludf.DUMMYFUNCTION("""COMPUTED_VALUE"""),"")</f>
        <v/>
      </c>
      <c r="D4187" s="8" t="str">
        <f>IFERROR(__xludf.DUMMYFUNCTION("""COMPUTED_VALUE"""),"")</f>
        <v/>
      </c>
      <c r="E4187" s="2"/>
    </row>
    <row r="4188">
      <c r="A4188" s="2"/>
      <c r="B4188" s="8"/>
      <c r="C4188" s="8" t="str">
        <f>IFERROR(__xludf.DUMMYFUNCTION("""COMPUTED_VALUE"""),"")</f>
        <v/>
      </c>
      <c r="D4188" s="8" t="str">
        <f>IFERROR(__xludf.DUMMYFUNCTION("""COMPUTED_VALUE"""),"")</f>
        <v/>
      </c>
      <c r="E4188" s="2"/>
    </row>
    <row r="4189">
      <c r="A4189" s="2"/>
      <c r="B4189" s="8"/>
      <c r="C4189" s="8" t="str">
        <f>IFERROR(__xludf.DUMMYFUNCTION("""COMPUTED_VALUE"""),"")</f>
        <v/>
      </c>
      <c r="D4189" s="8" t="str">
        <f>IFERROR(__xludf.DUMMYFUNCTION("""COMPUTED_VALUE"""),"")</f>
        <v/>
      </c>
      <c r="E4189" s="2"/>
    </row>
    <row r="4190">
      <c r="A4190" s="2"/>
      <c r="B4190" s="8"/>
      <c r="C4190" s="8" t="str">
        <f>IFERROR(__xludf.DUMMYFUNCTION("""COMPUTED_VALUE"""),"")</f>
        <v/>
      </c>
      <c r="D4190" s="8" t="str">
        <f>IFERROR(__xludf.DUMMYFUNCTION("""COMPUTED_VALUE"""),"")</f>
        <v/>
      </c>
      <c r="E4190" s="2"/>
    </row>
    <row r="4191">
      <c r="A4191" s="2"/>
      <c r="B4191" s="8"/>
      <c r="C4191" s="8" t="str">
        <f>IFERROR(__xludf.DUMMYFUNCTION("""COMPUTED_VALUE"""),"")</f>
        <v/>
      </c>
      <c r="D4191" s="8" t="str">
        <f>IFERROR(__xludf.DUMMYFUNCTION("""COMPUTED_VALUE"""),"")</f>
        <v/>
      </c>
      <c r="E4191" s="2"/>
    </row>
    <row r="4192">
      <c r="A4192" s="2"/>
      <c r="B4192" s="8"/>
      <c r="C4192" s="8" t="str">
        <f>IFERROR(__xludf.DUMMYFUNCTION("""COMPUTED_VALUE"""),"")</f>
        <v/>
      </c>
      <c r="D4192" s="8" t="str">
        <f>IFERROR(__xludf.DUMMYFUNCTION("""COMPUTED_VALUE"""),"")</f>
        <v/>
      </c>
      <c r="E4192" s="2"/>
    </row>
    <row r="4193">
      <c r="A4193" s="2"/>
      <c r="B4193" s="8"/>
      <c r="C4193" s="8" t="str">
        <f>IFERROR(__xludf.DUMMYFUNCTION("""COMPUTED_VALUE"""),"")</f>
        <v/>
      </c>
      <c r="D4193" s="8" t="str">
        <f>IFERROR(__xludf.DUMMYFUNCTION("""COMPUTED_VALUE"""),"")</f>
        <v/>
      </c>
      <c r="E4193" s="2"/>
    </row>
    <row r="4194">
      <c r="A4194" s="2"/>
      <c r="B4194" s="8"/>
      <c r="C4194" s="8" t="str">
        <f>IFERROR(__xludf.DUMMYFUNCTION("""COMPUTED_VALUE"""),"")</f>
        <v/>
      </c>
      <c r="D4194" s="8" t="str">
        <f>IFERROR(__xludf.DUMMYFUNCTION("""COMPUTED_VALUE"""),"")</f>
        <v/>
      </c>
      <c r="E4194" s="2"/>
    </row>
    <row r="4195">
      <c r="A4195" s="2"/>
      <c r="B4195" s="8"/>
      <c r="C4195" s="8" t="str">
        <f>IFERROR(__xludf.DUMMYFUNCTION("""COMPUTED_VALUE"""),"")</f>
        <v/>
      </c>
      <c r="D4195" s="8" t="str">
        <f>IFERROR(__xludf.DUMMYFUNCTION("""COMPUTED_VALUE"""),"")</f>
        <v/>
      </c>
      <c r="E4195" s="2"/>
    </row>
    <row r="4196">
      <c r="A4196" s="2"/>
      <c r="B4196" s="8"/>
      <c r="C4196" s="8" t="str">
        <f>IFERROR(__xludf.DUMMYFUNCTION("""COMPUTED_VALUE"""),"")</f>
        <v/>
      </c>
      <c r="D4196" s="8" t="str">
        <f>IFERROR(__xludf.DUMMYFUNCTION("""COMPUTED_VALUE"""),"")</f>
        <v/>
      </c>
      <c r="E4196" s="2"/>
    </row>
    <row r="4197">
      <c r="A4197" s="2"/>
      <c r="B4197" s="8"/>
      <c r="C4197" s="8" t="str">
        <f>IFERROR(__xludf.DUMMYFUNCTION("""COMPUTED_VALUE"""),"")</f>
        <v/>
      </c>
      <c r="D4197" s="8" t="str">
        <f>IFERROR(__xludf.DUMMYFUNCTION("""COMPUTED_VALUE"""),"")</f>
        <v/>
      </c>
      <c r="E4197" s="2"/>
    </row>
    <row r="4198">
      <c r="A4198" s="2"/>
      <c r="B4198" s="8"/>
      <c r="C4198" s="8" t="str">
        <f>IFERROR(__xludf.DUMMYFUNCTION("""COMPUTED_VALUE"""),"")</f>
        <v/>
      </c>
      <c r="D4198" s="8" t="str">
        <f>IFERROR(__xludf.DUMMYFUNCTION("""COMPUTED_VALUE"""),"")</f>
        <v/>
      </c>
      <c r="E4198" s="2"/>
    </row>
    <row r="4199">
      <c r="A4199" s="2"/>
      <c r="B4199" s="8"/>
      <c r="C4199" s="8" t="str">
        <f>IFERROR(__xludf.DUMMYFUNCTION("""COMPUTED_VALUE"""),"")</f>
        <v/>
      </c>
      <c r="D4199" s="8" t="str">
        <f>IFERROR(__xludf.DUMMYFUNCTION("""COMPUTED_VALUE"""),"")</f>
        <v/>
      </c>
      <c r="E4199" s="2"/>
    </row>
    <row r="4200">
      <c r="A4200" s="2"/>
      <c r="B4200" s="8"/>
      <c r="C4200" s="8" t="str">
        <f>IFERROR(__xludf.DUMMYFUNCTION("""COMPUTED_VALUE"""),"")</f>
        <v/>
      </c>
      <c r="D4200" s="8" t="str">
        <f>IFERROR(__xludf.DUMMYFUNCTION("""COMPUTED_VALUE"""),"")</f>
        <v/>
      </c>
      <c r="E4200" s="2"/>
    </row>
    <row r="4201">
      <c r="A4201" s="2"/>
      <c r="B4201" s="8"/>
      <c r="C4201" s="8" t="str">
        <f>IFERROR(__xludf.DUMMYFUNCTION("""COMPUTED_VALUE"""),"")</f>
        <v/>
      </c>
      <c r="D4201" s="8" t="str">
        <f>IFERROR(__xludf.DUMMYFUNCTION("""COMPUTED_VALUE"""),"")</f>
        <v/>
      </c>
      <c r="E4201" s="2"/>
    </row>
    <row r="4202">
      <c r="A4202" s="2"/>
      <c r="B4202" s="8"/>
      <c r="C4202" s="8" t="str">
        <f>IFERROR(__xludf.DUMMYFUNCTION("""COMPUTED_VALUE"""),"")</f>
        <v/>
      </c>
      <c r="D4202" s="8" t="str">
        <f>IFERROR(__xludf.DUMMYFUNCTION("""COMPUTED_VALUE"""),"")</f>
        <v/>
      </c>
      <c r="E4202" s="2"/>
    </row>
    <row r="4203">
      <c r="A4203" s="2"/>
      <c r="B4203" s="8"/>
      <c r="C4203" s="8" t="str">
        <f>IFERROR(__xludf.DUMMYFUNCTION("""COMPUTED_VALUE"""),"")</f>
        <v/>
      </c>
      <c r="D4203" s="8" t="str">
        <f>IFERROR(__xludf.DUMMYFUNCTION("""COMPUTED_VALUE"""),"")</f>
        <v/>
      </c>
      <c r="E4203" s="2"/>
    </row>
    <row r="4204">
      <c r="A4204" s="2"/>
      <c r="B4204" s="8"/>
      <c r="C4204" s="8" t="str">
        <f>IFERROR(__xludf.DUMMYFUNCTION("""COMPUTED_VALUE"""),"")</f>
        <v/>
      </c>
      <c r="D4204" s="8" t="str">
        <f>IFERROR(__xludf.DUMMYFUNCTION("""COMPUTED_VALUE"""),"")</f>
        <v/>
      </c>
      <c r="E4204" s="2"/>
    </row>
    <row r="4205">
      <c r="A4205" s="2"/>
      <c r="B4205" s="8"/>
      <c r="C4205" s="8" t="str">
        <f>IFERROR(__xludf.DUMMYFUNCTION("""COMPUTED_VALUE"""),"")</f>
        <v/>
      </c>
      <c r="D4205" s="8" t="str">
        <f>IFERROR(__xludf.DUMMYFUNCTION("""COMPUTED_VALUE"""),"")</f>
        <v/>
      </c>
      <c r="E4205" s="2"/>
    </row>
    <row r="4206">
      <c r="A4206" s="2"/>
      <c r="B4206" s="8"/>
      <c r="C4206" s="8" t="str">
        <f>IFERROR(__xludf.DUMMYFUNCTION("""COMPUTED_VALUE"""),"")</f>
        <v/>
      </c>
      <c r="D4206" s="8" t="str">
        <f>IFERROR(__xludf.DUMMYFUNCTION("""COMPUTED_VALUE"""),"")</f>
        <v/>
      </c>
      <c r="E4206" s="2"/>
    </row>
    <row r="4207">
      <c r="A4207" s="2"/>
      <c r="B4207" s="8"/>
      <c r="C4207" s="8" t="str">
        <f>IFERROR(__xludf.DUMMYFUNCTION("""COMPUTED_VALUE"""),"")</f>
        <v/>
      </c>
      <c r="D4207" s="8" t="str">
        <f>IFERROR(__xludf.DUMMYFUNCTION("""COMPUTED_VALUE"""),"")</f>
        <v/>
      </c>
      <c r="E4207" s="2"/>
    </row>
    <row r="4208">
      <c r="A4208" s="2"/>
      <c r="B4208" s="8"/>
      <c r="C4208" s="8" t="str">
        <f>IFERROR(__xludf.DUMMYFUNCTION("""COMPUTED_VALUE"""),"")</f>
        <v/>
      </c>
      <c r="D4208" s="8" t="str">
        <f>IFERROR(__xludf.DUMMYFUNCTION("""COMPUTED_VALUE"""),"")</f>
        <v/>
      </c>
      <c r="E4208" s="2"/>
    </row>
    <row r="4209">
      <c r="A4209" s="2"/>
      <c r="B4209" s="8"/>
      <c r="C4209" s="8" t="str">
        <f>IFERROR(__xludf.DUMMYFUNCTION("""COMPUTED_VALUE"""),"")</f>
        <v/>
      </c>
      <c r="D4209" s="8" t="str">
        <f>IFERROR(__xludf.DUMMYFUNCTION("""COMPUTED_VALUE"""),"")</f>
        <v/>
      </c>
      <c r="E4209" s="2"/>
    </row>
    <row r="4210">
      <c r="A4210" s="2"/>
      <c r="B4210" s="8"/>
      <c r="C4210" s="8" t="str">
        <f>IFERROR(__xludf.DUMMYFUNCTION("""COMPUTED_VALUE"""),"")</f>
        <v/>
      </c>
      <c r="D4210" s="8" t="str">
        <f>IFERROR(__xludf.DUMMYFUNCTION("""COMPUTED_VALUE"""),"")</f>
        <v/>
      </c>
      <c r="E4210" s="2"/>
    </row>
    <row r="4211">
      <c r="A4211" s="2"/>
      <c r="B4211" s="8"/>
      <c r="C4211" s="8" t="str">
        <f>IFERROR(__xludf.DUMMYFUNCTION("""COMPUTED_VALUE"""),"")</f>
        <v/>
      </c>
      <c r="D4211" s="8" t="str">
        <f>IFERROR(__xludf.DUMMYFUNCTION("""COMPUTED_VALUE"""),"")</f>
        <v/>
      </c>
      <c r="E4211" s="2"/>
    </row>
    <row r="4212">
      <c r="A4212" s="2"/>
      <c r="B4212" s="8"/>
      <c r="C4212" s="8" t="str">
        <f>IFERROR(__xludf.DUMMYFUNCTION("""COMPUTED_VALUE"""),"")</f>
        <v/>
      </c>
      <c r="D4212" s="8" t="str">
        <f>IFERROR(__xludf.DUMMYFUNCTION("""COMPUTED_VALUE"""),"")</f>
        <v/>
      </c>
      <c r="E4212" s="2"/>
    </row>
    <row r="4213">
      <c r="A4213" s="2"/>
      <c r="B4213" s="8"/>
      <c r="C4213" s="8" t="str">
        <f>IFERROR(__xludf.DUMMYFUNCTION("""COMPUTED_VALUE"""),"")</f>
        <v/>
      </c>
      <c r="D4213" s="8" t="str">
        <f>IFERROR(__xludf.DUMMYFUNCTION("""COMPUTED_VALUE"""),"")</f>
        <v/>
      </c>
      <c r="E4213" s="2"/>
    </row>
    <row r="4214">
      <c r="A4214" s="2"/>
      <c r="B4214" s="8"/>
      <c r="C4214" s="8" t="str">
        <f>IFERROR(__xludf.DUMMYFUNCTION("""COMPUTED_VALUE"""),"")</f>
        <v/>
      </c>
      <c r="D4214" s="8" t="str">
        <f>IFERROR(__xludf.DUMMYFUNCTION("""COMPUTED_VALUE"""),"")</f>
        <v/>
      </c>
      <c r="E4214" s="2"/>
    </row>
    <row r="4215">
      <c r="A4215" s="2"/>
      <c r="B4215" s="8"/>
      <c r="C4215" s="8" t="str">
        <f>IFERROR(__xludf.DUMMYFUNCTION("""COMPUTED_VALUE"""),"")</f>
        <v/>
      </c>
      <c r="D4215" s="8" t="str">
        <f>IFERROR(__xludf.DUMMYFUNCTION("""COMPUTED_VALUE"""),"")</f>
        <v/>
      </c>
      <c r="E4215" s="2"/>
    </row>
    <row r="4216">
      <c r="A4216" s="2"/>
      <c r="B4216" s="8"/>
      <c r="C4216" s="8" t="str">
        <f>IFERROR(__xludf.DUMMYFUNCTION("""COMPUTED_VALUE"""),"")</f>
        <v/>
      </c>
      <c r="D4216" s="8" t="str">
        <f>IFERROR(__xludf.DUMMYFUNCTION("""COMPUTED_VALUE"""),"")</f>
        <v/>
      </c>
      <c r="E4216" s="2"/>
    </row>
    <row r="4217">
      <c r="A4217" s="2"/>
      <c r="B4217" s="8"/>
      <c r="C4217" s="8" t="str">
        <f>IFERROR(__xludf.DUMMYFUNCTION("""COMPUTED_VALUE"""),"")</f>
        <v/>
      </c>
      <c r="D4217" s="8" t="str">
        <f>IFERROR(__xludf.DUMMYFUNCTION("""COMPUTED_VALUE"""),"")</f>
        <v/>
      </c>
      <c r="E4217" s="2"/>
    </row>
    <row r="4218">
      <c r="A4218" s="2"/>
      <c r="B4218" s="8"/>
      <c r="C4218" s="8" t="str">
        <f>IFERROR(__xludf.DUMMYFUNCTION("""COMPUTED_VALUE"""),"")</f>
        <v/>
      </c>
      <c r="D4218" s="8" t="str">
        <f>IFERROR(__xludf.DUMMYFUNCTION("""COMPUTED_VALUE"""),"")</f>
        <v/>
      </c>
      <c r="E4218" s="2"/>
    </row>
    <row r="4219">
      <c r="A4219" s="2"/>
      <c r="B4219" s="8"/>
      <c r="C4219" s="8" t="str">
        <f>IFERROR(__xludf.DUMMYFUNCTION("""COMPUTED_VALUE"""),"")</f>
        <v/>
      </c>
      <c r="D4219" s="8" t="str">
        <f>IFERROR(__xludf.DUMMYFUNCTION("""COMPUTED_VALUE"""),"")</f>
        <v/>
      </c>
      <c r="E4219" s="2"/>
    </row>
    <row r="4220">
      <c r="A4220" s="2"/>
      <c r="B4220" s="8"/>
      <c r="C4220" s="8" t="str">
        <f>IFERROR(__xludf.DUMMYFUNCTION("""COMPUTED_VALUE"""),"")</f>
        <v/>
      </c>
      <c r="D4220" s="8" t="str">
        <f>IFERROR(__xludf.DUMMYFUNCTION("""COMPUTED_VALUE"""),"")</f>
        <v/>
      </c>
      <c r="E4220" s="2"/>
    </row>
    <row r="4221">
      <c r="A4221" s="2"/>
      <c r="B4221" s="8"/>
      <c r="C4221" s="8" t="str">
        <f>IFERROR(__xludf.DUMMYFUNCTION("""COMPUTED_VALUE"""),"")</f>
        <v/>
      </c>
      <c r="D4221" s="8" t="str">
        <f>IFERROR(__xludf.DUMMYFUNCTION("""COMPUTED_VALUE"""),"")</f>
        <v/>
      </c>
      <c r="E4221" s="2"/>
    </row>
    <row r="4222">
      <c r="A4222" s="2"/>
      <c r="B4222" s="8"/>
      <c r="C4222" s="8" t="str">
        <f>IFERROR(__xludf.DUMMYFUNCTION("""COMPUTED_VALUE"""),"")</f>
        <v/>
      </c>
      <c r="D4222" s="8" t="str">
        <f>IFERROR(__xludf.DUMMYFUNCTION("""COMPUTED_VALUE"""),"")</f>
        <v/>
      </c>
      <c r="E4222" s="2"/>
    </row>
    <row r="4223">
      <c r="A4223" s="2"/>
      <c r="B4223" s="8"/>
      <c r="C4223" s="8" t="str">
        <f>IFERROR(__xludf.DUMMYFUNCTION("""COMPUTED_VALUE"""),"")</f>
        <v/>
      </c>
      <c r="D4223" s="8" t="str">
        <f>IFERROR(__xludf.DUMMYFUNCTION("""COMPUTED_VALUE"""),"")</f>
        <v/>
      </c>
      <c r="E4223" s="2"/>
    </row>
    <row r="4224">
      <c r="A4224" s="2"/>
      <c r="B4224" s="8"/>
      <c r="C4224" s="8" t="str">
        <f>IFERROR(__xludf.DUMMYFUNCTION("""COMPUTED_VALUE"""),"")</f>
        <v/>
      </c>
      <c r="D4224" s="8" t="str">
        <f>IFERROR(__xludf.DUMMYFUNCTION("""COMPUTED_VALUE"""),"")</f>
        <v/>
      </c>
      <c r="E4224" s="2"/>
    </row>
    <row r="4225">
      <c r="A4225" s="2"/>
      <c r="B4225" s="8"/>
      <c r="C4225" s="8" t="str">
        <f>IFERROR(__xludf.DUMMYFUNCTION("""COMPUTED_VALUE"""),"")</f>
        <v/>
      </c>
      <c r="D4225" s="8" t="str">
        <f>IFERROR(__xludf.DUMMYFUNCTION("""COMPUTED_VALUE"""),"")</f>
        <v/>
      </c>
      <c r="E4225" s="2"/>
    </row>
    <row r="4226">
      <c r="A4226" s="2"/>
      <c r="B4226" s="8"/>
      <c r="C4226" s="8" t="str">
        <f>IFERROR(__xludf.DUMMYFUNCTION("""COMPUTED_VALUE"""),"")</f>
        <v/>
      </c>
      <c r="D4226" s="8" t="str">
        <f>IFERROR(__xludf.DUMMYFUNCTION("""COMPUTED_VALUE"""),"")</f>
        <v/>
      </c>
      <c r="E4226" s="2"/>
    </row>
    <row r="4227">
      <c r="A4227" s="2"/>
      <c r="B4227" s="8"/>
      <c r="C4227" s="8" t="str">
        <f>IFERROR(__xludf.DUMMYFUNCTION("""COMPUTED_VALUE"""),"")</f>
        <v/>
      </c>
      <c r="D4227" s="8" t="str">
        <f>IFERROR(__xludf.DUMMYFUNCTION("""COMPUTED_VALUE"""),"")</f>
        <v/>
      </c>
      <c r="E4227" s="2"/>
    </row>
    <row r="4228">
      <c r="A4228" s="2"/>
      <c r="B4228" s="8"/>
      <c r="C4228" s="8" t="str">
        <f>IFERROR(__xludf.DUMMYFUNCTION("""COMPUTED_VALUE"""),"")</f>
        <v/>
      </c>
      <c r="D4228" s="8" t="str">
        <f>IFERROR(__xludf.DUMMYFUNCTION("""COMPUTED_VALUE"""),"")</f>
        <v/>
      </c>
      <c r="E4228" s="2"/>
    </row>
    <row r="4229">
      <c r="A4229" s="2"/>
      <c r="B4229" s="8"/>
      <c r="C4229" s="8" t="str">
        <f>IFERROR(__xludf.DUMMYFUNCTION("""COMPUTED_VALUE"""),"")</f>
        <v/>
      </c>
      <c r="D4229" s="8" t="str">
        <f>IFERROR(__xludf.DUMMYFUNCTION("""COMPUTED_VALUE"""),"")</f>
        <v/>
      </c>
      <c r="E4229" s="2"/>
    </row>
    <row r="4230">
      <c r="A4230" s="2"/>
      <c r="B4230" s="8"/>
      <c r="C4230" s="8" t="str">
        <f>IFERROR(__xludf.DUMMYFUNCTION("""COMPUTED_VALUE"""),"")</f>
        <v/>
      </c>
      <c r="D4230" s="8" t="str">
        <f>IFERROR(__xludf.DUMMYFUNCTION("""COMPUTED_VALUE"""),"")</f>
        <v/>
      </c>
      <c r="E4230" s="2"/>
    </row>
    <row r="4231">
      <c r="A4231" s="2"/>
      <c r="B4231" s="8"/>
      <c r="C4231" s="8" t="str">
        <f>IFERROR(__xludf.DUMMYFUNCTION("""COMPUTED_VALUE"""),"")</f>
        <v/>
      </c>
      <c r="D4231" s="8" t="str">
        <f>IFERROR(__xludf.DUMMYFUNCTION("""COMPUTED_VALUE"""),"")</f>
        <v/>
      </c>
      <c r="E4231" s="2"/>
    </row>
    <row r="4232">
      <c r="A4232" s="2"/>
      <c r="B4232" s="8"/>
      <c r="C4232" s="8" t="str">
        <f>IFERROR(__xludf.DUMMYFUNCTION("""COMPUTED_VALUE"""),"")</f>
        <v/>
      </c>
      <c r="D4232" s="8" t="str">
        <f>IFERROR(__xludf.DUMMYFUNCTION("""COMPUTED_VALUE"""),"")</f>
        <v/>
      </c>
      <c r="E4232" s="2"/>
    </row>
    <row r="4233">
      <c r="A4233" s="2"/>
      <c r="B4233" s="8"/>
      <c r="C4233" s="8" t="str">
        <f>IFERROR(__xludf.DUMMYFUNCTION("""COMPUTED_VALUE"""),"")</f>
        <v/>
      </c>
      <c r="D4233" s="8" t="str">
        <f>IFERROR(__xludf.DUMMYFUNCTION("""COMPUTED_VALUE"""),"")</f>
        <v/>
      </c>
      <c r="E4233" s="2"/>
    </row>
    <row r="4234">
      <c r="A4234" s="2"/>
      <c r="B4234" s="8"/>
      <c r="C4234" s="8" t="str">
        <f>IFERROR(__xludf.DUMMYFUNCTION("""COMPUTED_VALUE"""),"")</f>
        <v/>
      </c>
      <c r="D4234" s="8" t="str">
        <f>IFERROR(__xludf.DUMMYFUNCTION("""COMPUTED_VALUE"""),"")</f>
        <v/>
      </c>
      <c r="E4234" s="2"/>
    </row>
    <row r="4235">
      <c r="A4235" s="2"/>
      <c r="B4235" s="8"/>
      <c r="C4235" s="8" t="str">
        <f>IFERROR(__xludf.DUMMYFUNCTION("""COMPUTED_VALUE"""),"")</f>
        <v/>
      </c>
      <c r="D4235" s="8" t="str">
        <f>IFERROR(__xludf.DUMMYFUNCTION("""COMPUTED_VALUE"""),"")</f>
        <v/>
      </c>
      <c r="E4235" s="2"/>
    </row>
    <row r="4236">
      <c r="A4236" s="2"/>
      <c r="B4236" s="8"/>
      <c r="C4236" s="8" t="str">
        <f>IFERROR(__xludf.DUMMYFUNCTION("""COMPUTED_VALUE"""),"")</f>
        <v/>
      </c>
      <c r="D4236" s="8" t="str">
        <f>IFERROR(__xludf.DUMMYFUNCTION("""COMPUTED_VALUE"""),"")</f>
        <v/>
      </c>
      <c r="E4236" s="2"/>
    </row>
    <row r="4237">
      <c r="A4237" s="2"/>
      <c r="B4237" s="8"/>
      <c r="C4237" s="8" t="str">
        <f>IFERROR(__xludf.DUMMYFUNCTION("""COMPUTED_VALUE"""),"")</f>
        <v/>
      </c>
      <c r="D4237" s="8" t="str">
        <f>IFERROR(__xludf.DUMMYFUNCTION("""COMPUTED_VALUE"""),"")</f>
        <v/>
      </c>
      <c r="E4237" s="2"/>
    </row>
    <row r="4238">
      <c r="A4238" s="2"/>
      <c r="B4238" s="8"/>
      <c r="C4238" s="8" t="str">
        <f>IFERROR(__xludf.DUMMYFUNCTION("""COMPUTED_VALUE"""),"")</f>
        <v/>
      </c>
      <c r="D4238" s="8" t="str">
        <f>IFERROR(__xludf.DUMMYFUNCTION("""COMPUTED_VALUE"""),"")</f>
        <v/>
      </c>
      <c r="E4238" s="2"/>
    </row>
    <row r="4239">
      <c r="A4239" s="2"/>
      <c r="B4239" s="8"/>
      <c r="C4239" s="8" t="str">
        <f>IFERROR(__xludf.DUMMYFUNCTION("""COMPUTED_VALUE"""),"")</f>
        <v/>
      </c>
      <c r="D4239" s="8" t="str">
        <f>IFERROR(__xludf.DUMMYFUNCTION("""COMPUTED_VALUE"""),"")</f>
        <v/>
      </c>
      <c r="E4239" s="2"/>
    </row>
    <row r="4240">
      <c r="A4240" s="2"/>
      <c r="B4240" s="8"/>
      <c r="C4240" s="8" t="str">
        <f>IFERROR(__xludf.DUMMYFUNCTION("""COMPUTED_VALUE"""),"")</f>
        <v/>
      </c>
      <c r="D4240" s="8" t="str">
        <f>IFERROR(__xludf.DUMMYFUNCTION("""COMPUTED_VALUE"""),"")</f>
        <v/>
      </c>
      <c r="E4240" s="2"/>
    </row>
    <row r="4241">
      <c r="A4241" s="2"/>
      <c r="B4241" s="8"/>
      <c r="C4241" s="8" t="str">
        <f>IFERROR(__xludf.DUMMYFUNCTION("""COMPUTED_VALUE"""),"")</f>
        <v/>
      </c>
      <c r="D4241" s="8" t="str">
        <f>IFERROR(__xludf.DUMMYFUNCTION("""COMPUTED_VALUE"""),"")</f>
        <v/>
      </c>
      <c r="E4241" s="2"/>
    </row>
    <row r="4242">
      <c r="A4242" s="2"/>
      <c r="B4242" s="8"/>
      <c r="C4242" s="8" t="str">
        <f>IFERROR(__xludf.DUMMYFUNCTION("""COMPUTED_VALUE"""),"")</f>
        <v/>
      </c>
      <c r="D4242" s="8" t="str">
        <f>IFERROR(__xludf.DUMMYFUNCTION("""COMPUTED_VALUE"""),"")</f>
        <v/>
      </c>
      <c r="E4242" s="2"/>
    </row>
    <row r="4243">
      <c r="A4243" s="2"/>
      <c r="B4243" s="8"/>
      <c r="C4243" s="8" t="str">
        <f>IFERROR(__xludf.DUMMYFUNCTION("""COMPUTED_VALUE"""),"")</f>
        <v/>
      </c>
      <c r="D4243" s="8" t="str">
        <f>IFERROR(__xludf.DUMMYFUNCTION("""COMPUTED_VALUE"""),"")</f>
        <v/>
      </c>
      <c r="E4243" s="2"/>
    </row>
    <row r="4244">
      <c r="A4244" s="2"/>
      <c r="B4244" s="8"/>
      <c r="C4244" s="8" t="str">
        <f>IFERROR(__xludf.DUMMYFUNCTION("""COMPUTED_VALUE"""),"")</f>
        <v/>
      </c>
      <c r="D4244" s="8" t="str">
        <f>IFERROR(__xludf.DUMMYFUNCTION("""COMPUTED_VALUE"""),"")</f>
        <v/>
      </c>
      <c r="E4244" s="2"/>
    </row>
    <row r="4245">
      <c r="A4245" s="2"/>
      <c r="B4245" s="8"/>
      <c r="C4245" s="8" t="str">
        <f>IFERROR(__xludf.DUMMYFUNCTION("""COMPUTED_VALUE"""),"")</f>
        <v/>
      </c>
      <c r="D4245" s="8" t="str">
        <f>IFERROR(__xludf.DUMMYFUNCTION("""COMPUTED_VALUE"""),"")</f>
        <v/>
      </c>
      <c r="E4245" s="2"/>
    </row>
    <row r="4246">
      <c r="A4246" s="2"/>
      <c r="B4246" s="8"/>
      <c r="C4246" s="8" t="str">
        <f>IFERROR(__xludf.DUMMYFUNCTION("""COMPUTED_VALUE"""),"")</f>
        <v/>
      </c>
      <c r="D4246" s="8" t="str">
        <f>IFERROR(__xludf.DUMMYFUNCTION("""COMPUTED_VALUE"""),"")</f>
        <v/>
      </c>
      <c r="E4246" s="2"/>
    </row>
    <row r="4247">
      <c r="A4247" s="2"/>
      <c r="B4247" s="8"/>
      <c r="C4247" s="8" t="str">
        <f>IFERROR(__xludf.DUMMYFUNCTION("""COMPUTED_VALUE"""),"")</f>
        <v/>
      </c>
      <c r="D4247" s="8" t="str">
        <f>IFERROR(__xludf.DUMMYFUNCTION("""COMPUTED_VALUE"""),"")</f>
        <v/>
      </c>
      <c r="E4247" s="2"/>
    </row>
    <row r="4248">
      <c r="A4248" s="2"/>
      <c r="B4248" s="8"/>
      <c r="C4248" s="8" t="str">
        <f>IFERROR(__xludf.DUMMYFUNCTION("""COMPUTED_VALUE"""),"")</f>
        <v/>
      </c>
      <c r="D4248" s="8" t="str">
        <f>IFERROR(__xludf.DUMMYFUNCTION("""COMPUTED_VALUE"""),"")</f>
        <v/>
      </c>
      <c r="E4248" s="2"/>
    </row>
    <row r="4249">
      <c r="A4249" s="2"/>
      <c r="B4249" s="8"/>
      <c r="C4249" s="8" t="str">
        <f>IFERROR(__xludf.DUMMYFUNCTION("""COMPUTED_VALUE"""),"")</f>
        <v/>
      </c>
      <c r="D4249" s="8" t="str">
        <f>IFERROR(__xludf.DUMMYFUNCTION("""COMPUTED_VALUE"""),"")</f>
        <v/>
      </c>
      <c r="E4249" s="2"/>
    </row>
    <row r="4250">
      <c r="A4250" s="2"/>
      <c r="B4250" s="8"/>
      <c r="C4250" s="8" t="str">
        <f>IFERROR(__xludf.DUMMYFUNCTION("""COMPUTED_VALUE"""),"")</f>
        <v/>
      </c>
      <c r="D4250" s="8" t="str">
        <f>IFERROR(__xludf.DUMMYFUNCTION("""COMPUTED_VALUE"""),"")</f>
        <v/>
      </c>
      <c r="E4250" s="2"/>
    </row>
    <row r="4251">
      <c r="A4251" s="2"/>
      <c r="B4251" s="8"/>
      <c r="C4251" s="8" t="str">
        <f>IFERROR(__xludf.DUMMYFUNCTION("""COMPUTED_VALUE"""),"")</f>
        <v/>
      </c>
      <c r="D4251" s="8" t="str">
        <f>IFERROR(__xludf.DUMMYFUNCTION("""COMPUTED_VALUE"""),"")</f>
        <v/>
      </c>
      <c r="E4251" s="2"/>
    </row>
    <row r="4252">
      <c r="A4252" s="2"/>
      <c r="B4252" s="8"/>
      <c r="C4252" s="8" t="str">
        <f>IFERROR(__xludf.DUMMYFUNCTION("""COMPUTED_VALUE"""),"")</f>
        <v/>
      </c>
      <c r="D4252" s="8" t="str">
        <f>IFERROR(__xludf.DUMMYFUNCTION("""COMPUTED_VALUE"""),"")</f>
        <v/>
      </c>
      <c r="E4252" s="2"/>
    </row>
    <row r="4253">
      <c r="A4253" s="2"/>
      <c r="B4253" s="8"/>
      <c r="C4253" s="8" t="str">
        <f>IFERROR(__xludf.DUMMYFUNCTION("""COMPUTED_VALUE"""),"")</f>
        <v/>
      </c>
      <c r="D4253" s="8" t="str">
        <f>IFERROR(__xludf.DUMMYFUNCTION("""COMPUTED_VALUE"""),"")</f>
        <v/>
      </c>
      <c r="E4253" s="2"/>
    </row>
    <row r="4254">
      <c r="A4254" s="2"/>
      <c r="B4254" s="8"/>
      <c r="C4254" s="8" t="str">
        <f>IFERROR(__xludf.DUMMYFUNCTION("""COMPUTED_VALUE"""),"")</f>
        <v/>
      </c>
      <c r="D4254" s="8" t="str">
        <f>IFERROR(__xludf.DUMMYFUNCTION("""COMPUTED_VALUE"""),"")</f>
        <v/>
      </c>
      <c r="E4254" s="2"/>
    </row>
    <row r="4255">
      <c r="A4255" s="2"/>
      <c r="B4255" s="8"/>
      <c r="C4255" s="8" t="str">
        <f>IFERROR(__xludf.DUMMYFUNCTION("""COMPUTED_VALUE"""),"")</f>
        <v/>
      </c>
      <c r="D4255" s="8" t="str">
        <f>IFERROR(__xludf.DUMMYFUNCTION("""COMPUTED_VALUE"""),"")</f>
        <v/>
      </c>
      <c r="E4255" s="2"/>
    </row>
    <row r="4256">
      <c r="A4256" s="2"/>
      <c r="B4256" s="8"/>
      <c r="C4256" s="8" t="str">
        <f>IFERROR(__xludf.DUMMYFUNCTION("""COMPUTED_VALUE"""),"")</f>
        <v/>
      </c>
      <c r="D4256" s="8" t="str">
        <f>IFERROR(__xludf.DUMMYFUNCTION("""COMPUTED_VALUE"""),"")</f>
        <v/>
      </c>
      <c r="E4256" s="2"/>
    </row>
    <row r="4257">
      <c r="A4257" s="2"/>
      <c r="B4257" s="8"/>
      <c r="C4257" s="8" t="str">
        <f>IFERROR(__xludf.DUMMYFUNCTION("""COMPUTED_VALUE"""),"")</f>
        <v/>
      </c>
      <c r="D4257" s="8" t="str">
        <f>IFERROR(__xludf.DUMMYFUNCTION("""COMPUTED_VALUE"""),"")</f>
        <v/>
      </c>
      <c r="E4257" s="2"/>
    </row>
    <row r="4258">
      <c r="A4258" s="2"/>
      <c r="B4258" s="8"/>
      <c r="C4258" s="8" t="str">
        <f>IFERROR(__xludf.DUMMYFUNCTION("""COMPUTED_VALUE"""),"")</f>
        <v/>
      </c>
      <c r="D4258" s="8" t="str">
        <f>IFERROR(__xludf.DUMMYFUNCTION("""COMPUTED_VALUE"""),"")</f>
        <v/>
      </c>
      <c r="E4258" s="2"/>
    </row>
    <row r="4259">
      <c r="A4259" s="2"/>
      <c r="B4259" s="8"/>
      <c r="C4259" s="8" t="str">
        <f>IFERROR(__xludf.DUMMYFUNCTION("""COMPUTED_VALUE"""),"")</f>
        <v/>
      </c>
      <c r="D4259" s="8" t="str">
        <f>IFERROR(__xludf.DUMMYFUNCTION("""COMPUTED_VALUE"""),"")</f>
        <v/>
      </c>
      <c r="E4259" s="2"/>
    </row>
    <row r="4260">
      <c r="A4260" s="2"/>
      <c r="B4260" s="8"/>
      <c r="C4260" s="8" t="str">
        <f>IFERROR(__xludf.DUMMYFUNCTION("""COMPUTED_VALUE"""),"")</f>
        <v/>
      </c>
      <c r="D4260" s="8" t="str">
        <f>IFERROR(__xludf.DUMMYFUNCTION("""COMPUTED_VALUE"""),"")</f>
        <v/>
      </c>
      <c r="E4260" s="2"/>
    </row>
    <row r="4261">
      <c r="A4261" s="2"/>
      <c r="B4261" s="8"/>
      <c r="C4261" s="8" t="str">
        <f>IFERROR(__xludf.DUMMYFUNCTION("""COMPUTED_VALUE"""),"")</f>
        <v/>
      </c>
      <c r="D4261" s="8" t="str">
        <f>IFERROR(__xludf.DUMMYFUNCTION("""COMPUTED_VALUE"""),"")</f>
        <v/>
      </c>
      <c r="E4261" s="2"/>
    </row>
    <row r="4262">
      <c r="A4262" s="2"/>
      <c r="B4262" s="8"/>
      <c r="C4262" s="8" t="str">
        <f>IFERROR(__xludf.DUMMYFUNCTION("""COMPUTED_VALUE"""),"")</f>
        <v/>
      </c>
      <c r="D4262" s="8" t="str">
        <f>IFERROR(__xludf.DUMMYFUNCTION("""COMPUTED_VALUE"""),"")</f>
        <v/>
      </c>
      <c r="E4262" s="2"/>
    </row>
    <row r="4263">
      <c r="A4263" s="2"/>
      <c r="B4263" s="8"/>
      <c r="C4263" s="8" t="str">
        <f>IFERROR(__xludf.DUMMYFUNCTION("""COMPUTED_VALUE"""),"")</f>
        <v/>
      </c>
      <c r="D4263" s="8" t="str">
        <f>IFERROR(__xludf.DUMMYFUNCTION("""COMPUTED_VALUE"""),"")</f>
        <v/>
      </c>
      <c r="E4263" s="2"/>
    </row>
    <row r="4264">
      <c r="A4264" s="2"/>
      <c r="B4264" s="8"/>
      <c r="C4264" s="8" t="str">
        <f>IFERROR(__xludf.DUMMYFUNCTION("""COMPUTED_VALUE"""),"")</f>
        <v/>
      </c>
      <c r="D4264" s="8" t="str">
        <f>IFERROR(__xludf.DUMMYFUNCTION("""COMPUTED_VALUE"""),"")</f>
        <v/>
      </c>
      <c r="E4264" s="2"/>
    </row>
    <row r="4265">
      <c r="A4265" s="2"/>
      <c r="B4265" s="8"/>
      <c r="C4265" s="8" t="str">
        <f>IFERROR(__xludf.DUMMYFUNCTION("""COMPUTED_VALUE"""),"")</f>
        <v/>
      </c>
      <c r="D4265" s="8" t="str">
        <f>IFERROR(__xludf.DUMMYFUNCTION("""COMPUTED_VALUE"""),"")</f>
        <v/>
      </c>
      <c r="E4265" s="2"/>
    </row>
    <row r="4266">
      <c r="A4266" s="2"/>
      <c r="B4266" s="8"/>
      <c r="C4266" s="8" t="str">
        <f>IFERROR(__xludf.DUMMYFUNCTION("""COMPUTED_VALUE"""),"")</f>
        <v/>
      </c>
      <c r="D4266" s="8" t="str">
        <f>IFERROR(__xludf.DUMMYFUNCTION("""COMPUTED_VALUE"""),"")</f>
        <v/>
      </c>
      <c r="E4266" s="2"/>
    </row>
    <row r="4267">
      <c r="A4267" s="2"/>
      <c r="B4267" s="8"/>
      <c r="C4267" s="8" t="str">
        <f>IFERROR(__xludf.DUMMYFUNCTION("""COMPUTED_VALUE"""),"")</f>
        <v/>
      </c>
      <c r="D4267" s="8" t="str">
        <f>IFERROR(__xludf.DUMMYFUNCTION("""COMPUTED_VALUE"""),"")</f>
        <v/>
      </c>
      <c r="E4267" s="2"/>
    </row>
    <row r="4268">
      <c r="A4268" s="2"/>
      <c r="B4268" s="8"/>
      <c r="C4268" s="8" t="str">
        <f>IFERROR(__xludf.DUMMYFUNCTION("""COMPUTED_VALUE"""),"")</f>
        <v/>
      </c>
      <c r="D4268" s="8" t="str">
        <f>IFERROR(__xludf.DUMMYFUNCTION("""COMPUTED_VALUE"""),"")</f>
        <v/>
      </c>
      <c r="E4268" s="2"/>
    </row>
    <row r="4269">
      <c r="A4269" s="2"/>
      <c r="B4269" s="8"/>
      <c r="C4269" s="8" t="str">
        <f>IFERROR(__xludf.DUMMYFUNCTION("""COMPUTED_VALUE"""),"")</f>
        <v/>
      </c>
      <c r="D4269" s="8" t="str">
        <f>IFERROR(__xludf.DUMMYFUNCTION("""COMPUTED_VALUE"""),"")</f>
        <v/>
      </c>
      <c r="E4269" s="2"/>
    </row>
    <row r="4270">
      <c r="A4270" s="2"/>
      <c r="B4270" s="8"/>
      <c r="C4270" s="8" t="str">
        <f>IFERROR(__xludf.DUMMYFUNCTION("""COMPUTED_VALUE"""),"")</f>
        <v/>
      </c>
      <c r="D4270" s="8" t="str">
        <f>IFERROR(__xludf.DUMMYFUNCTION("""COMPUTED_VALUE"""),"")</f>
        <v/>
      </c>
      <c r="E4270" s="2"/>
    </row>
    <row r="4271">
      <c r="A4271" s="2"/>
      <c r="B4271" s="8"/>
      <c r="C4271" s="8" t="str">
        <f>IFERROR(__xludf.DUMMYFUNCTION("""COMPUTED_VALUE"""),"")</f>
        <v/>
      </c>
      <c r="D4271" s="8" t="str">
        <f>IFERROR(__xludf.DUMMYFUNCTION("""COMPUTED_VALUE"""),"")</f>
        <v/>
      </c>
      <c r="E4271" s="2"/>
    </row>
    <row r="4272">
      <c r="A4272" s="2"/>
      <c r="B4272" s="8"/>
      <c r="C4272" s="8" t="str">
        <f>IFERROR(__xludf.DUMMYFUNCTION("""COMPUTED_VALUE"""),"")</f>
        <v/>
      </c>
      <c r="D4272" s="8" t="str">
        <f>IFERROR(__xludf.DUMMYFUNCTION("""COMPUTED_VALUE"""),"")</f>
        <v/>
      </c>
      <c r="E4272" s="2"/>
    </row>
    <row r="4273">
      <c r="A4273" s="2"/>
      <c r="B4273" s="8"/>
      <c r="C4273" s="8" t="str">
        <f>IFERROR(__xludf.DUMMYFUNCTION("""COMPUTED_VALUE"""),"")</f>
        <v/>
      </c>
      <c r="D4273" s="8" t="str">
        <f>IFERROR(__xludf.DUMMYFUNCTION("""COMPUTED_VALUE"""),"")</f>
        <v/>
      </c>
      <c r="E4273" s="2"/>
    </row>
    <row r="4274">
      <c r="A4274" s="2"/>
      <c r="B4274" s="8"/>
      <c r="C4274" s="8" t="str">
        <f>IFERROR(__xludf.DUMMYFUNCTION("""COMPUTED_VALUE"""),"")</f>
        <v/>
      </c>
      <c r="D4274" s="8" t="str">
        <f>IFERROR(__xludf.DUMMYFUNCTION("""COMPUTED_VALUE"""),"")</f>
        <v/>
      </c>
      <c r="E4274" s="2"/>
    </row>
    <row r="4275">
      <c r="A4275" s="2"/>
      <c r="B4275" s="8"/>
      <c r="C4275" s="8" t="str">
        <f>IFERROR(__xludf.DUMMYFUNCTION("""COMPUTED_VALUE"""),"")</f>
        <v/>
      </c>
      <c r="D4275" s="8" t="str">
        <f>IFERROR(__xludf.DUMMYFUNCTION("""COMPUTED_VALUE"""),"")</f>
        <v/>
      </c>
      <c r="E4275" s="2"/>
    </row>
    <row r="4276">
      <c r="A4276" s="2"/>
      <c r="B4276" s="8"/>
      <c r="C4276" s="8" t="str">
        <f>IFERROR(__xludf.DUMMYFUNCTION("""COMPUTED_VALUE"""),"")</f>
        <v/>
      </c>
      <c r="D4276" s="8" t="str">
        <f>IFERROR(__xludf.DUMMYFUNCTION("""COMPUTED_VALUE"""),"")</f>
        <v/>
      </c>
      <c r="E4276" s="2"/>
    </row>
    <row r="4277">
      <c r="A4277" s="2"/>
      <c r="B4277" s="8"/>
      <c r="C4277" s="8" t="str">
        <f>IFERROR(__xludf.DUMMYFUNCTION("""COMPUTED_VALUE"""),"")</f>
        <v/>
      </c>
      <c r="D4277" s="8" t="str">
        <f>IFERROR(__xludf.DUMMYFUNCTION("""COMPUTED_VALUE"""),"")</f>
        <v/>
      </c>
      <c r="E4277" s="2"/>
    </row>
    <row r="4278">
      <c r="A4278" s="2"/>
      <c r="B4278" s="8"/>
      <c r="C4278" s="8" t="str">
        <f>IFERROR(__xludf.DUMMYFUNCTION("""COMPUTED_VALUE"""),"")</f>
        <v/>
      </c>
      <c r="D4278" s="8" t="str">
        <f>IFERROR(__xludf.DUMMYFUNCTION("""COMPUTED_VALUE"""),"")</f>
        <v/>
      </c>
      <c r="E4278" s="2"/>
    </row>
    <row r="4279">
      <c r="A4279" s="2"/>
      <c r="B4279" s="8"/>
      <c r="C4279" s="8" t="str">
        <f>IFERROR(__xludf.DUMMYFUNCTION("""COMPUTED_VALUE"""),"")</f>
        <v/>
      </c>
      <c r="D4279" s="8" t="str">
        <f>IFERROR(__xludf.DUMMYFUNCTION("""COMPUTED_VALUE"""),"")</f>
        <v/>
      </c>
      <c r="E4279" s="2"/>
    </row>
    <row r="4280">
      <c r="A4280" s="2"/>
      <c r="B4280" s="8"/>
      <c r="C4280" s="8" t="str">
        <f>IFERROR(__xludf.DUMMYFUNCTION("""COMPUTED_VALUE"""),"")</f>
        <v/>
      </c>
      <c r="D4280" s="8" t="str">
        <f>IFERROR(__xludf.DUMMYFUNCTION("""COMPUTED_VALUE"""),"")</f>
        <v/>
      </c>
      <c r="E4280" s="2"/>
    </row>
    <row r="4281">
      <c r="A4281" s="2"/>
      <c r="B4281" s="8"/>
      <c r="C4281" s="8" t="str">
        <f>IFERROR(__xludf.DUMMYFUNCTION("""COMPUTED_VALUE"""),"")</f>
        <v/>
      </c>
      <c r="D4281" s="8" t="str">
        <f>IFERROR(__xludf.DUMMYFUNCTION("""COMPUTED_VALUE"""),"")</f>
        <v/>
      </c>
      <c r="E4281" s="2"/>
    </row>
    <row r="4282">
      <c r="A4282" s="2"/>
      <c r="B4282" s="8"/>
      <c r="C4282" s="8" t="str">
        <f>IFERROR(__xludf.DUMMYFUNCTION("""COMPUTED_VALUE"""),"")</f>
        <v/>
      </c>
      <c r="D4282" s="8" t="str">
        <f>IFERROR(__xludf.DUMMYFUNCTION("""COMPUTED_VALUE"""),"")</f>
        <v/>
      </c>
      <c r="E4282" s="2"/>
    </row>
    <row r="4283">
      <c r="A4283" s="2"/>
      <c r="B4283" s="8"/>
      <c r="C4283" s="8" t="str">
        <f>IFERROR(__xludf.DUMMYFUNCTION("""COMPUTED_VALUE"""),"")</f>
        <v/>
      </c>
      <c r="D4283" s="8" t="str">
        <f>IFERROR(__xludf.DUMMYFUNCTION("""COMPUTED_VALUE"""),"")</f>
        <v/>
      </c>
      <c r="E4283" s="2"/>
    </row>
    <row r="4284">
      <c r="A4284" s="2"/>
      <c r="B4284" s="8"/>
      <c r="C4284" s="8" t="str">
        <f>IFERROR(__xludf.DUMMYFUNCTION("""COMPUTED_VALUE"""),"")</f>
        <v/>
      </c>
      <c r="D4284" s="8" t="str">
        <f>IFERROR(__xludf.DUMMYFUNCTION("""COMPUTED_VALUE"""),"")</f>
        <v/>
      </c>
      <c r="E4284" s="2"/>
    </row>
    <row r="4285">
      <c r="A4285" s="2"/>
      <c r="B4285" s="8"/>
      <c r="C4285" s="8" t="str">
        <f>IFERROR(__xludf.DUMMYFUNCTION("""COMPUTED_VALUE"""),"")</f>
        <v/>
      </c>
      <c r="D4285" s="8" t="str">
        <f>IFERROR(__xludf.DUMMYFUNCTION("""COMPUTED_VALUE"""),"")</f>
        <v/>
      </c>
      <c r="E4285" s="2"/>
    </row>
    <row r="4286">
      <c r="A4286" s="2"/>
      <c r="B4286" s="8"/>
      <c r="C4286" s="8" t="str">
        <f>IFERROR(__xludf.DUMMYFUNCTION("""COMPUTED_VALUE"""),"")</f>
        <v/>
      </c>
      <c r="D4286" s="8" t="str">
        <f>IFERROR(__xludf.DUMMYFUNCTION("""COMPUTED_VALUE"""),"")</f>
        <v/>
      </c>
      <c r="E4286" s="2"/>
    </row>
    <row r="4287">
      <c r="A4287" s="2"/>
      <c r="B4287" s="8"/>
      <c r="C4287" s="8" t="str">
        <f>IFERROR(__xludf.DUMMYFUNCTION("""COMPUTED_VALUE"""),"")</f>
        <v/>
      </c>
      <c r="D4287" s="8" t="str">
        <f>IFERROR(__xludf.DUMMYFUNCTION("""COMPUTED_VALUE"""),"")</f>
        <v/>
      </c>
      <c r="E4287" s="2"/>
    </row>
    <row r="4288">
      <c r="A4288" s="2"/>
      <c r="B4288" s="8"/>
      <c r="C4288" s="8" t="str">
        <f>IFERROR(__xludf.DUMMYFUNCTION("""COMPUTED_VALUE"""),"")</f>
        <v/>
      </c>
      <c r="D4288" s="8" t="str">
        <f>IFERROR(__xludf.DUMMYFUNCTION("""COMPUTED_VALUE"""),"")</f>
        <v/>
      </c>
      <c r="E4288" s="2"/>
    </row>
    <row r="4289">
      <c r="A4289" s="2"/>
      <c r="B4289" s="8"/>
      <c r="C4289" s="8" t="str">
        <f>IFERROR(__xludf.DUMMYFUNCTION("""COMPUTED_VALUE"""),"")</f>
        <v/>
      </c>
      <c r="D4289" s="8" t="str">
        <f>IFERROR(__xludf.DUMMYFUNCTION("""COMPUTED_VALUE"""),"")</f>
        <v/>
      </c>
      <c r="E4289" s="2"/>
    </row>
    <row r="4290">
      <c r="A4290" s="2"/>
      <c r="B4290" s="8"/>
      <c r="C4290" s="8" t="str">
        <f>IFERROR(__xludf.DUMMYFUNCTION("""COMPUTED_VALUE"""),"")</f>
        <v/>
      </c>
      <c r="D4290" s="8" t="str">
        <f>IFERROR(__xludf.DUMMYFUNCTION("""COMPUTED_VALUE"""),"")</f>
        <v/>
      </c>
      <c r="E4290" s="2"/>
    </row>
    <row r="4291">
      <c r="A4291" s="2"/>
      <c r="B4291" s="8"/>
      <c r="C4291" s="8" t="str">
        <f>IFERROR(__xludf.DUMMYFUNCTION("""COMPUTED_VALUE"""),"")</f>
        <v/>
      </c>
      <c r="D4291" s="8" t="str">
        <f>IFERROR(__xludf.DUMMYFUNCTION("""COMPUTED_VALUE"""),"")</f>
        <v/>
      </c>
      <c r="E4291" s="2"/>
    </row>
    <row r="4292">
      <c r="A4292" s="2"/>
      <c r="B4292" s="8"/>
      <c r="C4292" s="8" t="str">
        <f>IFERROR(__xludf.DUMMYFUNCTION("""COMPUTED_VALUE"""),"")</f>
        <v/>
      </c>
      <c r="D4292" s="8" t="str">
        <f>IFERROR(__xludf.DUMMYFUNCTION("""COMPUTED_VALUE"""),"")</f>
        <v/>
      </c>
      <c r="E4292" s="2"/>
    </row>
    <row r="4293">
      <c r="A4293" s="2"/>
      <c r="B4293" s="8"/>
      <c r="C4293" s="8" t="str">
        <f>IFERROR(__xludf.DUMMYFUNCTION("""COMPUTED_VALUE"""),"")</f>
        <v/>
      </c>
      <c r="D4293" s="8" t="str">
        <f>IFERROR(__xludf.DUMMYFUNCTION("""COMPUTED_VALUE"""),"")</f>
        <v/>
      </c>
      <c r="E4293" s="2"/>
    </row>
    <row r="4294">
      <c r="A4294" s="2"/>
      <c r="B4294" s="8"/>
      <c r="C4294" s="8" t="str">
        <f>IFERROR(__xludf.DUMMYFUNCTION("""COMPUTED_VALUE"""),"")</f>
        <v/>
      </c>
      <c r="D4294" s="8" t="str">
        <f>IFERROR(__xludf.DUMMYFUNCTION("""COMPUTED_VALUE"""),"")</f>
        <v/>
      </c>
      <c r="E4294" s="2"/>
    </row>
    <row r="4295">
      <c r="A4295" s="2"/>
      <c r="B4295" s="8"/>
      <c r="C4295" s="8" t="str">
        <f>IFERROR(__xludf.DUMMYFUNCTION("""COMPUTED_VALUE"""),"")</f>
        <v/>
      </c>
      <c r="D4295" s="8" t="str">
        <f>IFERROR(__xludf.DUMMYFUNCTION("""COMPUTED_VALUE"""),"")</f>
        <v/>
      </c>
      <c r="E4295" s="2"/>
    </row>
    <row r="4296">
      <c r="A4296" s="2"/>
      <c r="B4296" s="8"/>
      <c r="C4296" s="8" t="str">
        <f>IFERROR(__xludf.DUMMYFUNCTION("""COMPUTED_VALUE"""),"")</f>
        <v/>
      </c>
      <c r="D4296" s="8" t="str">
        <f>IFERROR(__xludf.DUMMYFUNCTION("""COMPUTED_VALUE"""),"")</f>
        <v/>
      </c>
      <c r="E4296" s="2"/>
    </row>
    <row r="4297">
      <c r="A4297" s="2"/>
      <c r="B4297" s="8"/>
      <c r="C4297" s="8" t="str">
        <f>IFERROR(__xludf.DUMMYFUNCTION("""COMPUTED_VALUE"""),"")</f>
        <v/>
      </c>
      <c r="D4297" s="8" t="str">
        <f>IFERROR(__xludf.DUMMYFUNCTION("""COMPUTED_VALUE"""),"")</f>
        <v/>
      </c>
      <c r="E4297" s="2"/>
    </row>
    <row r="4298">
      <c r="A4298" s="2"/>
      <c r="B4298" s="8"/>
      <c r="C4298" s="8" t="str">
        <f>IFERROR(__xludf.DUMMYFUNCTION("""COMPUTED_VALUE"""),"")</f>
        <v/>
      </c>
      <c r="D4298" s="8" t="str">
        <f>IFERROR(__xludf.DUMMYFUNCTION("""COMPUTED_VALUE"""),"")</f>
        <v/>
      </c>
      <c r="E4298" s="2"/>
    </row>
    <row r="4299">
      <c r="A4299" s="2"/>
      <c r="B4299" s="8"/>
      <c r="C4299" s="8" t="str">
        <f>IFERROR(__xludf.DUMMYFUNCTION("""COMPUTED_VALUE"""),"")</f>
        <v/>
      </c>
      <c r="D4299" s="8" t="str">
        <f>IFERROR(__xludf.DUMMYFUNCTION("""COMPUTED_VALUE"""),"")</f>
        <v/>
      </c>
      <c r="E4299" s="2"/>
    </row>
    <row r="4300">
      <c r="A4300" s="2"/>
      <c r="B4300" s="8"/>
      <c r="C4300" s="8" t="str">
        <f>IFERROR(__xludf.DUMMYFUNCTION("""COMPUTED_VALUE"""),"")</f>
        <v/>
      </c>
      <c r="D4300" s="8" t="str">
        <f>IFERROR(__xludf.DUMMYFUNCTION("""COMPUTED_VALUE"""),"")</f>
        <v/>
      </c>
      <c r="E4300" s="2"/>
    </row>
    <row r="4301">
      <c r="A4301" s="2"/>
      <c r="B4301" s="8"/>
      <c r="C4301" s="8" t="str">
        <f>IFERROR(__xludf.DUMMYFUNCTION("""COMPUTED_VALUE"""),"")</f>
        <v/>
      </c>
      <c r="D4301" s="8" t="str">
        <f>IFERROR(__xludf.DUMMYFUNCTION("""COMPUTED_VALUE"""),"")</f>
        <v/>
      </c>
      <c r="E4301" s="2"/>
    </row>
    <row r="4302">
      <c r="A4302" s="2"/>
      <c r="B4302" s="8"/>
      <c r="C4302" s="8" t="str">
        <f>IFERROR(__xludf.DUMMYFUNCTION("""COMPUTED_VALUE"""),"")</f>
        <v/>
      </c>
      <c r="D4302" s="8" t="str">
        <f>IFERROR(__xludf.DUMMYFUNCTION("""COMPUTED_VALUE"""),"")</f>
        <v/>
      </c>
      <c r="E4302" s="2"/>
    </row>
    <row r="4303">
      <c r="A4303" s="2"/>
      <c r="B4303" s="8"/>
      <c r="C4303" s="8" t="str">
        <f>IFERROR(__xludf.DUMMYFUNCTION("""COMPUTED_VALUE"""),"")</f>
        <v/>
      </c>
      <c r="D4303" s="8" t="str">
        <f>IFERROR(__xludf.DUMMYFUNCTION("""COMPUTED_VALUE"""),"")</f>
        <v/>
      </c>
      <c r="E4303" s="2"/>
    </row>
    <row r="4304">
      <c r="A4304" s="2"/>
      <c r="B4304" s="8"/>
      <c r="C4304" s="8" t="str">
        <f>IFERROR(__xludf.DUMMYFUNCTION("""COMPUTED_VALUE"""),"")</f>
        <v/>
      </c>
      <c r="D4304" s="8" t="str">
        <f>IFERROR(__xludf.DUMMYFUNCTION("""COMPUTED_VALUE"""),"")</f>
        <v/>
      </c>
      <c r="E4304" s="2"/>
    </row>
    <row r="4305">
      <c r="A4305" s="2"/>
      <c r="B4305" s="8"/>
      <c r="C4305" s="8" t="str">
        <f>IFERROR(__xludf.DUMMYFUNCTION("""COMPUTED_VALUE"""),"")</f>
        <v/>
      </c>
      <c r="D4305" s="8" t="str">
        <f>IFERROR(__xludf.DUMMYFUNCTION("""COMPUTED_VALUE"""),"")</f>
        <v/>
      </c>
      <c r="E4305" s="2"/>
    </row>
    <row r="4306">
      <c r="A4306" s="2"/>
      <c r="B4306" s="8"/>
      <c r="C4306" s="8" t="str">
        <f>IFERROR(__xludf.DUMMYFUNCTION("""COMPUTED_VALUE"""),"")</f>
        <v/>
      </c>
      <c r="D4306" s="8" t="str">
        <f>IFERROR(__xludf.DUMMYFUNCTION("""COMPUTED_VALUE"""),"")</f>
        <v/>
      </c>
      <c r="E4306" s="2"/>
    </row>
    <row r="4307">
      <c r="A4307" s="2"/>
      <c r="B4307" s="8"/>
      <c r="C4307" s="8" t="str">
        <f>IFERROR(__xludf.DUMMYFUNCTION("""COMPUTED_VALUE"""),"")</f>
        <v/>
      </c>
      <c r="D4307" s="8" t="str">
        <f>IFERROR(__xludf.DUMMYFUNCTION("""COMPUTED_VALUE"""),"")</f>
        <v/>
      </c>
      <c r="E4307" s="2"/>
    </row>
    <row r="4308">
      <c r="A4308" s="2"/>
      <c r="B4308" s="8"/>
      <c r="C4308" s="8" t="str">
        <f>IFERROR(__xludf.DUMMYFUNCTION("""COMPUTED_VALUE"""),"")</f>
        <v/>
      </c>
      <c r="D4308" s="8" t="str">
        <f>IFERROR(__xludf.DUMMYFUNCTION("""COMPUTED_VALUE"""),"")</f>
        <v/>
      </c>
      <c r="E4308" s="2"/>
    </row>
    <row r="4309">
      <c r="A4309" s="2"/>
      <c r="B4309" s="8"/>
      <c r="C4309" s="8" t="str">
        <f>IFERROR(__xludf.DUMMYFUNCTION("""COMPUTED_VALUE"""),"")</f>
        <v/>
      </c>
      <c r="D4309" s="8" t="str">
        <f>IFERROR(__xludf.DUMMYFUNCTION("""COMPUTED_VALUE"""),"")</f>
        <v/>
      </c>
      <c r="E4309" s="2"/>
    </row>
    <row r="4310">
      <c r="A4310" s="2"/>
      <c r="B4310" s="8"/>
      <c r="C4310" s="8" t="str">
        <f>IFERROR(__xludf.DUMMYFUNCTION("""COMPUTED_VALUE"""),"")</f>
        <v/>
      </c>
      <c r="D4310" s="8" t="str">
        <f>IFERROR(__xludf.DUMMYFUNCTION("""COMPUTED_VALUE"""),"")</f>
        <v/>
      </c>
      <c r="E4310" s="2"/>
    </row>
    <row r="4311">
      <c r="A4311" s="2"/>
      <c r="B4311" s="8"/>
      <c r="C4311" s="8" t="str">
        <f>IFERROR(__xludf.DUMMYFUNCTION("""COMPUTED_VALUE"""),"")</f>
        <v/>
      </c>
      <c r="D4311" s="8" t="str">
        <f>IFERROR(__xludf.DUMMYFUNCTION("""COMPUTED_VALUE"""),"")</f>
        <v/>
      </c>
      <c r="E4311" s="2"/>
    </row>
    <row r="4312">
      <c r="A4312" s="2"/>
      <c r="B4312" s="8"/>
      <c r="C4312" s="8" t="str">
        <f>IFERROR(__xludf.DUMMYFUNCTION("""COMPUTED_VALUE"""),"")</f>
        <v/>
      </c>
      <c r="D4312" s="8" t="str">
        <f>IFERROR(__xludf.DUMMYFUNCTION("""COMPUTED_VALUE"""),"")</f>
        <v/>
      </c>
      <c r="E4312" s="2"/>
    </row>
    <row r="4313">
      <c r="A4313" s="2"/>
      <c r="B4313" s="8"/>
      <c r="C4313" s="8" t="str">
        <f>IFERROR(__xludf.DUMMYFUNCTION("""COMPUTED_VALUE"""),"")</f>
        <v/>
      </c>
      <c r="D4313" s="8" t="str">
        <f>IFERROR(__xludf.DUMMYFUNCTION("""COMPUTED_VALUE"""),"")</f>
        <v/>
      </c>
      <c r="E4313" s="2"/>
    </row>
    <row r="4314">
      <c r="A4314" s="2"/>
      <c r="B4314" s="8"/>
      <c r="C4314" s="8" t="str">
        <f>IFERROR(__xludf.DUMMYFUNCTION("""COMPUTED_VALUE"""),"")</f>
        <v/>
      </c>
      <c r="D4314" s="8" t="str">
        <f>IFERROR(__xludf.DUMMYFUNCTION("""COMPUTED_VALUE"""),"")</f>
        <v/>
      </c>
      <c r="E4314" s="2"/>
    </row>
    <row r="4315">
      <c r="A4315" s="2"/>
      <c r="B4315" s="8"/>
      <c r="C4315" s="8" t="str">
        <f>IFERROR(__xludf.DUMMYFUNCTION("""COMPUTED_VALUE"""),"")</f>
        <v/>
      </c>
      <c r="D4315" s="8" t="str">
        <f>IFERROR(__xludf.DUMMYFUNCTION("""COMPUTED_VALUE"""),"")</f>
        <v/>
      </c>
      <c r="E4315" s="2"/>
    </row>
    <row r="4316">
      <c r="A4316" s="2"/>
      <c r="B4316" s="8"/>
      <c r="C4316" s="8" t="str">
        <f>IFERROR(__xludf.DUMMYFUNCTION("""COMPUTED_VALUE"""),"")</f>
        <v/>
      </c>
      <c r="D4316" s="8" t="str">
        <f>IFERROR(__xludf.DUMMYFUNCTION("""COMPUTED_VALUE"""),"")</f>
        <v/>
      </c>
      <c r="E4316" s="2"/>
    </row>
    <row r="4317">
      <c r="A4317" s="2"/>
      <c r="B4317" s="8"/>
      <c r="C4317" s="8" t="str">
        <f>IFERROR(__xludf.DUMMYFUNCTION("""COMPUTED_VALUE"""),"")</f>
        <v/>
      </c>
      <c r="D4317" s="8" t="str">
        <f>IFERROR(__xludf.DUMMYFUNCTION("""COMPUTED_VALUE"""),"")</f>
        <v/>
      </c>
      <c r="E4317" s="2"/>
    </row>
    <row r="4318">
      <c r="A4318" s="2"/>
      <c r="B4318" s="8"/>
      <c r="C4318" s="8" t="str">
        <f>IFERROR(__xludf.DUMMYFUNCTION("""COMPUTED_VALUE"""),"")</f>
        <v/>
      </c>
      <c r="D4318" s="8" t="str">
        <f>IFERROR(__xludf.DUMMYFUNCTION("""COMPUTED_VALUE"""),"")</f>
        <v/>
      </c>
      <c r="E4318" s="2"/>
    </row>
    <row r="4319">
      <c r="A4319" s="2"/>
      <c r="B4319" s="8"/>
      <c r="C4319" s="8" t="str">
        <f>IFERROR(__xludf.DUMMYFUNCTION("""COMPUTED_VALUE"""),"")</f>
        <v/>
      </c>
      <c r="D4319" s="8" t="str">
        <f>IFERROR(__xludf.DUMMYFUNCTION("""COMPUTED_VALUE"""),"")</f>
        <v/>
      </c>
      <c r="E4319" s="2"/>
    </row>
    <row r="4320">
      <c r="A4320" s="2"/>
      <c r="B4320" s="8"/>
      <c r="C4320" s="8" t="str">
        <f>IFERROR(__xludf.DUMMYFUNCTION("""COMPUTED_VALUE"""),"")</f>
        <v/>
      </c>
      <c r="D4320" s="8" t="str">
        <f>IFERROR(__xludf.DUMMYFUNCTION("""COMPUTED_VALUE"""),"")</f>
        <v/>
      </c>
      <c r="E4320" s="2"/>
    </row>
    <row r="4321">
      <c r="A4321" s="2"/>
      <c r="B4321" s="8"/>
      <c r="C4321" s="8" t="str">
        <f>IFERROR(__xludf.DUMMYFUNCTION("""COMPUTED_VALUE"""),"")</f>
        <v/>
      </c>
      <c r="D4321" s="8" t="str">
        <f>IFERROR(__xludf.DUMMYFUNCTION("""COMPUTED_VALUE"""),"")</f>
        <v/>
      </c>
      <c r="E4321" s="2"/>
    </row>
    <row r="4322">
      <c r="A4322" s="2"/>
      <c r="B4322" s="8"/>
      <c r="C4322" s="8" t="str">
        <f>IFERROR(__xludf.DUMMYFUNCTION("""COMPUTED_VALUE"""),"")</f>
        <v/>
      </c>
      <c r="D4322" s="8" t="str">
        <f>IFERROR(__xludf.DUMMYFUNCTION("""COMPUTED_VALUE"""),"")</f>
        <v/>
      </c>
      <c r="E4322" s="2"/>
    </row>
    <row r="4323">
      <c r="A4323" s="2"/>
      <c r="B4323" s="8"/>
      <c r="C4323" s="8" t="str">
        <f>IFERROR(__xludf.DUMMYFUNCTION("""COMPUTED_VALUE"""),"")</f>
        <v/>
      </c>
      <c r="D4323" s="8" t="str">
        <f>IFERROR(__xludf.DUMMYFUNCTION("""COMPUTED_VALUE"""),"")</f>
        <v/>
      </c>
      <c r="E4323" s="2"/>
    </row>
    <row r="4324">
      <c r="A4324" s="2"/>
      <c r="B4324" s="8"/>
      <c r="C4324" s="8" t="str">
        <f>IFERROR(__xludf.DUMMYFUNCTION("""COMPUTED_VALUE"""),"")</f>
        <v/>
      </c>
      <c r="D4324" s="8" t="str">
        <f>IFERROR(__xludf.DUMMYFUNCTION("""COMPUTED_VALUE"""),"")</f>
        <v/>
      </c>
      <c r="E4324" s="2"/>
    </row>
    <row r="4325">
      <c r="A4325" s="2"/>
      <c r="B4325" s="8"/>
      <c r="C4325" s="8" t="str">
        <f>IFERROR(__xludf.DUMMYFUNCTION("""COMPUTED_VALUE"""),"")</f>
        <v/>
      </c>
      <c r="D4325" s="8" t="str">
        <f>IFERROR(__xludf.DUMMYFUNCTION("""COMPUTED_VALUE"""),"")</f>
        <v/>
      </c>
      <c r="E4325" s="2"/>
    </row>
    <row r="4326">
      <c r="A4326" s="2"/>
      <c r="B4326" s="8"/>
      <c r="C4326" s="8" t="str">
        <f>IFERROR(__xludf.DUMMYFUNCTION("""COMPUTED_VALUE"""),"")</f>
        <v/>
      </c>
      <c r="D4326" s="8" t="str">
        <f>IFERROR(__xludf.DUMMYFUNCTION("""COMPUTED_VALUE"""),"")</f>
        <v/>
      </c>
      <c r="E4326" s="2"/>
    </row>
    <row r="4327">
      <c r="A4327" s="2"/>
      <c r="B4327" s="8"/>
      <c r="C4327" s="8" t="str">
        <f>IFERROR(__xludf.DUMMYFUNCTION("""COMPUTED_VALUE"""),"")</f>
        <v/>
      </c>
      <c r="D4327" s="8" t="str">
        <f>IFERROR(__xludf.DUMMYFUNCTION("""COMPUTED_VALUE"""),"")</f>
        <v/>
      </c>
      <c r="E4327" s="2"/>
    </row>
    <row r="4328">
      <c r="A4328" s="2"/>
      <c r="B4328" s="8"/>
      <c r="C4328" s="8" t="str">
        <f>IFERROR(__xludf.DUMMYFUNCTION("""COMPUTED_VALUE"""),"")</f>
        <v/>
      </c>
      <c r="D4328" s="8" t="str">
        <f>IFERROR(__xludf.DUMMYFUNCTION("""COMPUTED_VALUE"""),"")</f>
        <v/>
      </c>
      <c r="E4328" s="2"/>
    </row>
    <row r="4329">
      <c r="A4329" s="2"/>
      <c r="B4329" s="8"/>
      <c r="C4329" s="8" t="str">
        <f>IFERROR(__xludf.DUMMYFUNCTION("""COMPUTED_VALUE"""),"")</f>
        <v/>
      </c>
      <c r="D4329" s="8" t="str">
        <f>IFERROR(__xludf.DUMMYFUNCTION("""COMPUTED_VALUE"""),"")</f>
        <v/>
      </c>
      <c r="E4329" s="2"/>
    </row>
    <row r="4330">
      <c r="A4330" s="2"/>
      <c r="B4330" s="8"/>
      <c r="C4330" s="8" t="str">
        <f>IFERROR(__xludf.DUMMYFUNCTION("""COMPUTED_VALUE"""),"")</f>
        <v/>
      </c>
      <c r="D4330" s="8" t="str">
        <f>IFERROR(__xludf.DUMMYFUNCTION("""COMPUTED_VALUE"""),"")</f>
        <v/>
      </c>
      <c r="E4330" s="2"/>
    </row>
    <row r="4331">
      <c r="A4331" s="2"/>
      <c r="B4331" s="8"/>
      <c r="C4331" s="8" t="str">
        <f>IFERROR(__xludf.DUMMYFUNCTION("""COMPUTED_VALUE"""),"")</f>
        <v/>
      </c>
      <c r="D4331" s="8" t="str">
        <f>IFERROR(__xludf.DUMMYFUNCTION("""COMPUTED_VALUE"""),"")</f>
        <v/>
      </c>
      <c r="E4331" s="2"/>
    </row>
    <row r="4332">
      <c r="A4332" s="2"/>
      <c r="B4332" s="8"/>
      <c r="C4332" s="8" t="str">
        <f>IFERROR(__xludf.DUMMYFUNCTION("""COMPUTED_VALUE"""),"")</f>
        <v/>
      </c>
      <c r="D4332" s="8" t="str">
        <f>IFERROR(__xludf.DUMMYFUNCTION("""COMPUTED_VALUE"""),"")</f>
        <v/>
      </c>
      <c r="E4332" s="2"/>
    </row>
    <row r="4333">
      <c r="A4333" s="2"/>
      <c r="B4333" s="8"/>
      <c r="C4333" s="8" t="str">
        <f>IFERROR(__xludf.DUMMYFUNCTION("""COMPUTED_VALUE"""),"")</f>
        <v/>
      </c>
      <c r="D4333" s="8" t="str">
        <f>IFERROR(__xludf.DUMMYFUNCTION("""COMPUTED_VALUE"""),"")</f>
        <v/>
      </c>
      <c r="E4333" s="2"/>
    </row>
    <row r="4334">
      <c r="A4334" s="2"/>
      <c r="B4334" s="8"/>
      <c r="C4334" s="8" t="str">
        <f>IFERROR(__xludf.DUMMYFUNCTION("""COMPUTED_VALUE"""),"")</f>
        <v/>
      </c>
      <c r="D4334" s="8" t="str">
        <f>IFERROR(__xludf.DUMMYFUNCTION("""COMPUTED_VALUE"""),"")</f>
        <v/>
      </c>
      <c r="E4334" s="2"/>
    </row>
    <row r="4335">
      <c r="A4335" s="2"/>
      <c r="B4335" s="8"/>
      <c r="C4335" s="8" t="str">
        <f>IFERROR(__xludf.DUMMYFUNCTION("""COMPUTED_VALUE"""),"")</f>
        <v/>
      </c>
      <c r="D4335" s="8" t="str">
        <f>IFERROR(__xludf.DUMMYFUNCTION("""COMPUTED_VALUE"""),"")</f>
        <v/>
      </c>
      <c r="E4335" s="2"/>
    </row>
    <row r="4336">
      <c r="A4336" s="2"/>
      <c r="B4336" s="8"/>
      <c r="C4336" s="8" t="str">
        <f>IFERROR(__xludf.DUMMYFUNCTION("""COMPUTED_VALUE"""),"")</f>
        <v/>
      </c>
      <c r="D4336" s="8" t="str">
        <f>IFERROR(__xludf.DUMMYFUNCTION("""COMPUTED_VALUE"""),"")</f>
        <v/>
      </c>
      <c r="E4336" s="2"/>
    </row>
    <row r="4337">
      <c r="A4337" s="2"/>
      <c r="B4337" s="8"/>
      <c r="C4337" s="8" t="str">
        <f>IFERROR(__xludf.DUMMYFUNCTION("""COMPUTED_VALUE"""),"")</f>
        <v/>
      </c>
      <c r="D4337" s="8" t="str">
        <f>IFERROR(__xludf.DUMMYFUNCTION("""COMPUTED_VALUE"""),"")</f>
        <v/>
      </c>
      <c r="E4337" s="2"/>
    </row>
    <row r="4338">
      <c r="A4338" s="2"/>
      <c r="B4338" s="8"/>
      <c r="C4338" s="8" t="str">
        <f>IFERROR(__xludf.DUMMYFUNCTION("""COMPUTED_VALUE"""),"")</f>
        <v/>
      </c>
      <c r="D4338" s="8" t="str">
        <f>IFERROR(__xludf.DUMMYFUNCTION("""COMPUTED_VALUE"""),"")</f>
        <v/>
      </c>
      <c r="E4338" s="2"/>
    </row>
    <row r="4339">
      <c r="A4339" s="2"/>
      <c r="B4339" s="8"/>
      <c r="C4339" s="8" t="str">
        <f>IFERROR(__xludf.DUMMYFUNCTION("""COMPUTED_VALUE"""),"")</f>
        <v/>
      </c>
      <c r="D4339" s="8" t="str">
        <f>IFERROR(__xludf.DUMMYFUNCTION("""COMPUTED_VALUE"""),"")</f>
        <v/>
      </c>
      <c r="E4339" s="2"/>
    </row>
    <row r="4340">
      <c r="A4340" s="2"/>
      <c r="B4340" s="8"/>
      <c r="C4340" s="8" t="str">
        <f>IFERROR(__xludf.DUMMYFUNCTION("""COMPUTED_VALUE"""),"")</f>
        <v/>
      </c>
      <c r="D4340" s="8" t="str">
        <f>IFERROR(__xludf.DUMMYFUNCTION("""COMPUTED_VALUE"""),"")</f>
        <v/>
      </c>
      <c r="E4340" s="2"/>
    </row>
    <row r="4341">
      <c r="A4341" s="2"/>
      <c r="B4341" s="8"/>
      <c r="C4341" s="8" t="str">
        <f>IFERROR(__xludf.DUMMYFUNCTION("""COMPUTED_VALUE"""),"")</f>
        <v/>
      </c>
      <c r="D4341" s="8" t="str">
        <f>IFERROR(__xludf.DUMMYFUNCTION("""COMPUTED_VALUE"""),"")</f>
        <v/>
      </c>
      <c r="E4341" s="2"/>
    </row>
    <row r="4342">
      <c r="A4342" s="2"/>
      <c r="B4342" s="8"/>
      <c r="C4342" s="8" t="str">
        <f>IFERROR(__xludf.DUMMYFUNCTION("""COMPUTED_VALUE"""),"")</f>
        <v/>
      </c>
      <c r="D4342" s="8" t="str">
        <f>IFERROR(__xludf.DUMMYFUNCTION("""COMPUTED_VALUE"""),"")</f>
        <v/>
      </c>
      <c r="E4342" s="2"/>
    </row>
    <row r="4343">
      <c r="A4343" s="2"/>
      <c r="B4343" s="8"/>
      <c r="C4343" s="8" t="str">
        <f>IFERROR(__xludf.DUMMYFUNCTION("""COMPUTED_VALUE"""),"")</f>
        <v/>
      </c>
      <c r="D4343" s="8" t="str">
        <f>IFERROR(__xludf.DUMMYFUNCTION("""COMPUTED_VALUE"""),"")</f>
        <v/>
      </c>
      <c r="E4343" s="2"/>
    </row>
    <row r="4344">
      <c r="A4344" s="2"/>
      <c r="B4344" s="8"/>
      <c r="C4344" s="8" t="str">
        <f>IFERROR(__xludf.DUMMYFUNCTION("""COMPUTED_VALUE"""),"")</f>
        <v/>
      </c>
      <c r="D4344" s="8" t="str">
        <f>IFERROR(__xludf.DUMMYFUNCTION("""COMPUTED_VALUE"""),"")</f>
        <v/>
      </c>
      <c r="E4344" s="2"/>
    </row>
    <row r="4345">
      <c r="A4345" s="2"/>
      <c r="B4345" s="8"/>
      <c r="C4345" s="8" t="str">
        <f>IFERROR(__xludf.DUMMYFUNCTION("""COMPUTED_VALUE"""),"")</f>
        <v/>
      </c>
      <c r="D4345" s="8" t="str">
        <f>IFERROR(__xludf.DUMMYFUNCTION("""COMPUTED_VALUE"""),"")</f>
        <v/>
      </c>
      <c r="E4345" s="2"/>
    </row>
    <row r="4346">
      <c r="A4346" s="2"/>
      <c r="B4346" s="8"/>
      <c r="C4346" s="8" t="str">
        <f>IFERROR(__xludf.DUMMYFUNCTION("""COMPUTED_VALUE"""),"")</f>
        <v/>
      </c>
      <c r="D4346" s="8" t="str">
        <f>IFERROR(__xludf.DUMMYFUNCTION("""COMPUTED_VALUE"""),"")</f>
        <v/>
      </c>
      <c r="E4346" s="2"/>
    </row>
    <row r="4347">
      <c r="A4347" s="2"/>
      <c r="B4347" s="8"/>
      <c r="C4347" s="8" t="str">
        <f>IFERROR(__xludf.DUMMYFUNCTION("""COMPUTED_VALUE"""),"")</f>
        <v/>
      </c>
      <c r="D4347" s="8" t="str">
        <f>IFERROR(__xludf.DUMMYFUNCTION("""COMPUTED_VALUE"""),"")</f>
        <v/>
      </c>
      <c r="E4347" s="2"/>
    </row>
    <row r="4348">
      <c r="A4348" s="2"/>
      <c r="B4348" s="8"/>
      <c r="C4348" s="8" t="str">
        <f>IFERROR(__xludf.DUMMYFUNCTION("""COMPUTED_VALUE"""),"")</f>
        <v/>
      </c>
      <c r="D4348" s="8" t="str">
        <f>IFERROR(__xludf.DUMMYFUNCTION("""COMPUTED_VALUE"""),"")</f>
        <v/>
      </c>
      <c r="E4348" s="2"/>
    </row>
    <row r="4349">
      <c r="A4349" s="2"/>
      <c r="B4349" s="8"/>
      <c r="C4349" s="8" t="str">
        <f>IFERROR(__xludf.DUMMYFUNCTION("""COMPUTED_VALUE"""),"")</f>
        <v/>
      </c>
      <c r="D4349" s="8" t="str">
        <f>IFERROR(__xludf.DUMMYFUNCTION("""COMPUTED_VALUE"""),"")</f>
        <v/>
      </c>
      <c r="E4349" s="2"/>
    </row>
    <row r="4350">
      <c r="A4350" s="2"/>
      <c r="B4350" s="8"/>
      <c r="C4350" s="8" t="str">
        <f>IFERROR(__xludf.DUMMYFUNCTION("""COMPUTED_VALUE"""),"")</f>
        <v/>
      </c>
      <c r="D4350" s="8" t="str">
        <f>IFERROR(__xludf.DUMMYFUNCTION("""COMPUTED_VALUE"""),"")</f>
        <v/>
      </c>
      <c r="E4350" s="2"/>
    </row>
    <row r="4351">
      <c r="A4351" s="2"/>
      <c r="B4351" s="8"/>
      <c r="C4351" s="8" t="str">
        <f>IFERROR(__xludf.DUMMYFUNCTION("""COMPUTED_VALUE"""),"")</f>
        <v/>
      </c>
      <c r="D4351" s="8" t="str">
        <f>IFERROR(__xludf.DUMMYFUNCTION("""COMPUTED_VALUE"""),"")</f>
        <v/>
      </c>
      <c r="E4351" s="2"/>
    </row>
    <row r="4352">
      <c r="A4352" s="2"/>
      <c r="B4352" s="8"/>
      <c r="C4352" s="8" t="str">
        <f>IFERROR(__xludf.DUMMYFUNCTION("""COMPUTED_VALUE"""),"")</f>
        <v/>
      </c>
      <c r="D4352" s="8" t="str">
        <f>IFERROR(__xludf.DUMMYFUNCTION("""COMPUTED_VALUE"""),"")</f>
        <v/>
      </c>
      <c r="E4352" s="2"/>
    </row>
    <row r="4353">
      <c r="A4353" s="2"/>
      <c r="B4353" s="8"/>
      <c r="C4353" s="8" t="str">
        <f>IFERROR(__xludf.DUMMYFUNCTION("""COMPUTED_VALUE"""),"")</f>
        <v/>
      </c>
      <c r="D4353" s="8" t="str">
        <f>IFERROR(__xludf.DUMMYFUNCTION("""COMPUTED_VALUE"""),"")</f>
        <v/>
      </c>
      <c r="E4353" s="2"/>
    </row>
    <row r="4354">
      <c r="A4354" s="2"/>
      <c r="B4354" s="8"/>
      <c r="C4354" s="8" t="str">
        <f>IFERROR(__xludf.DUMMYFUNCTION("""COMPUTED_VALUE"""),"")</f>
        <v/>
      </c>
      <c r="D4354" s="8" t="str">
        <f>IFERROR(__xludf.DUMMYFUNCTION("""COMPUTED_VALUE"""),"")</f>
        <v/>
      </c>
      <c r="E4354" s="2"/>
    </row>
    <row r="4355">
      <c r="A4355" s="2"/>
      <c r="B4355" s="8"/>
      <c r="C4355" s="8" t="str">
        <f>IFERROR(__xludf.DUMMYFUNCTION("""COMPUTED_VALUE"""),"")</f>
        <v/>
      </c>
      <c r="D4355" s="8" t="str">
        <f>IFERROR(__xludf.DUMMYFUNCTION("""COMPUTED_VALUE"""),"")</f>
        <v/>
      </c>
      <c r="E4355" s="2"/>
    </row>
    <row r="4356">
      <c r="A4356" s="2"/>
      <c r="B4356" s="8"/>
      <c r="C4356" s="8" t="str">
        <f>IFERROR(__xludf.DUMMYFUNCTION("""COMPUTED_VALUE"""),"")</f>
        <v/>
      </c>
      <c r="D4356" s="8" t="str">
        <f>IFERROR(__xludf.DUMMYFUNCTION("""COMPUTED_VALUE"""),"")</f>
        <v/>
      </c>
      <c r="E4356" s="2"/>
    </row>
    <row r="4357">
      <c r="A4357" s="2"/>
      <c r="B4357" s="8"/>
      <c r="C4357" s="8" t="str">
        <f>IFERROR(__xludf.DUMMYFUNCTION("""COMPUTED_VALUE"""),"")</f>
        <v/>
      </c>
      <c r="D4357" s="8" t="str">
        <f>IFERROR(__xludf.DUMMYFUNCTION("""COMPUTED_VALUE"""),"")</f>
        <v/>
      </c>
      <c r="E4357" s="2"/>
    </row>
    <row r="4358">
      <c r="A4358" s="2"/>
      <c r="B4358" s="8"/>
      <c r="C4358" s="8" t="str">
        <f>IFERROR(__xludf.DUMMYFUNCTION("""COMPUTED_VALUE"""),"")</f>
        <v/>
      </c>
      <c r="D4358" s="8" t="str">
        <f>IFERROR(__xludf.DUMMYFUNCTION("""COMPUTED_VALUE"""),"")</f>
        <v/>
      </c>
      <c r="E4358" s="2"/>
    </row>
    <row r="4359">
      <c r="A4359" s="2"/>
      <c r="B4359" s="8"/>
      <c r="C4359" s="8" t="str">
        <f>IFERROR(__xludf.DUMMYFUNCTION("""COMPUTED_VALUE"""),"")</f>
        <v/>
      </c>
      <c r="D4359" s="8" t="str">
        <f>IFERROR(__xludf.DUMMYFUNCTION("""COMPUTED_VALUE"""),"")</f>
        <v/>
      </c>
      <c r="E4359" s="2"/>
    </row>
    <row r="4360">
      <c r="A4360" s="2"/>
      <c r="B4360" s="8"/>
      <c r="C4360" s="8" t="str">
        <f>IFERROR(__xludf.DUMMYFUNCTION("""COMPUTED_VALUE"""),"")</f>
        <v/>
      </c>
      <c r="D4360" s="8" t="str">
        <f>IFERROR(__xludf.DUMMYFUNCTION("""COMPUTED_VALUE"""),"")</f>
        <v/>
      </c>
      <c r="E4360" s="2"/>
    </row>
    <row r="4361">
      <c r="A4361" s="2"/>
      <c r="B4361" s="8"/>
      <c r="C4361" s="8" t="str">
        <f>IFERROR(__xludf.DUMMYFUNCTION("""COMPUTED_VALUE"""),"")</f>
        <v/>
      </c>
      <c r="D4361" s="8" t="str">
        <f>IFERROR(__xludf.DUMMYFUNCTION("""COMPUTED_VALUE"""),"")</f>
        <v/>
      </c>
      <c r="E4361" s="2"/>
    </row>
    <row r="4362">
      <c r="A4362" s="2"/>
      <c r="B4362" s="8"/>
      <c r="C4362" s="8" t="str">
        <f>IFERROR(__xludf.DUMMYFUNCTION("""COMPUTED_VALUE"""),"")</f>
        <v/>
      </c>
      <c r="D4362" s="8" t="str">
        <f>IFERROR(__xludf.DUMMYFUNCTION("""COMPUTED_VALUE"""),"")</f>
        <v/>
      </c>
      <c r="E4362" s="2"/>
    </row>
    <row r="4363">
      <c r="A4363" s="2"/>
      <c r="B4363" s="8"/>
      <c r="C4363" s="8" t="str">
        <f>IFERROR(__xludf.DUMMYFUNCTION("""COMPUTED_VALUE"""),"")</f>
        <v/>
      </c>
      <c r="D4363" s="8" t="str">
        <f>IFERROR(__xludf.DUMMYFUNCTION("""COMPUTED_VALUE"""),"")</f>
        <v/>
      </c>
      <c r="E4363" s="2"/>
    </row>
    <row r="4364">
      <c r="A4364" s="2"/>
      <c r="B4364" s="8"/>
      <c r="C4364" s="8" t="str">
        <f>IFERROR(__xludf.DUMMYFUNCTION("""COMPUTED_VALUE"""),"")</f>
        <v/>
      </c>
      <c r="D4364" s="8" t="str">
        <f>IFERROR(__xludf.DUMMYFUNCTION("""COMPUTED_VALUE"""),"")</f>
        <v/>
      </c>
      <c r="E4364" s="2"/>
    </row>
    <row r="4365">
      <c r="A4365" s="2"/>
      <c r="B4365" s="8"/>
      <c r="C4365" s="8" t="str">
        <f>IFERROR(__xludf.DUMMYFUNCTION("""COMPUTED_VALUE"""),"")</f>
        <v/>
      </c>
      <c r="D4365" s="8" t="str">
        <f>IFERROR(__xludf.DUMMYFUNCTION("""COMPUTED_VALUE"""),"")</f>
        <v/>
      </c>
      <c r="E4365" s="2"/>
    </row>
    <row r="4366">
      <c r="A4366" s="2"/>
      <c r="B4366" s="8"/>
      <c r="C4366" s="8" t="str">
        <f>IFERROR(__xludf.DUMMYFUNCTION("""COMPUTED_VALUE"""),"")</f>
        <v/>
      </c>
      <c r="D4366" s="8" t="str">
        <f>IFERROR(__xludf.DUMMYFUNCTION("""COMPUTED_VALUE"""),"")</f>
        <v/>
      </c>
      <c r="E4366" s="2"/>
    </row>
    <row r="4367">
      <c r="A4367" s="2"/>
      <c r="B4367" s="8"/>
      <c r="C4367" s="8" t="str">
        <f>IFERROR(__xludf.DUMMYFUNCTION("""COMPUTED_VALUE"""),"")</f>
        <v/>
      </c>
      <c r="D4367" s="8" t="str">
        <f>IFERROR(__xludf.DUMMYFUNCTION("""COMPUTED_VALUE"""),"")</f>
        <v/>
      </c>
      <c r="E4367" s="2"/>
    </row>
    <row r="4368">
      <c r="A4368" s="2"/>
      <c r="B4368" s="8"/>
      <c r="C4368" s="8" t="str">
        <f>IFERROR(__xludf.DUMMYFUNCTION("""COMPUTED_VALUE"""),"")</f>
        <v/>
      </c>
      <c r="D4368" s="8" t="str">
        <f>IFERROR(__xludf.DUMMYFUNCTION("""COMPUTED_VALUE"""),"")</f>
        <v/>
      </c>
      <c r="E4368" s="2"/>
    </row>
    <row r="4369">
      <c r="A4369" s="2"/>
      <c r="B4369" s="8"/>
      <c r="C4369" s="8" t="str">
        <f>IFERROR(__xludf.DUMMYFUNCTION("""COMPUTED_VALUE"""),"")</f>
        <v/>
      </c>
      <c r="D4369" s="8" t="str">
        <f>IFERROR(__xludf.DUMMYFUNCTION("""COMPUTED_VALUE"""),"")</f>
        <v/>
      </c>
      <c r="E4369" s="2"/>
    </row>
    <row r="4370">
      <c r="A4370" s="2"/>
      <c r="B4370" s="8"/>
      <c r="C4370" s="8" t="str">
        <f>IFERROR(__xludf.DUMMYFUNCTION("""COMPUTED_VALUE"""),"")</f>
        <v/>
      </c>
      <c r="D4370" s="8" t="str">
        <f>IFERROR(__xludf.DUMMYFUNCTION("""COMPUTED_VALUE"""),"")</f>
        <v/>
      </c>
      <c r="E4370" s="2"/>
    </row>
    <row r="4371">
      <c r="A4371" s="2"/>
      <c r="B4371" s="8"/>
      <c r="C4371" s="8" t="str">
        <f>IFERROR(__xludf.DUMMYFUNCTION("""COMPUTED_VALUE"""),"")</f>
        <v/>
      </c>
      <c r="D4371" s="8" t="str">
        <f>IFERROR(__xludf.DUMMYFUNCTION("""COMPUTED_VALUE"""),"")</f>
        <v/>
      </c>
      <c r="E4371" s="2"/>
    </row>
    <row r="4372">
      <c r="A4372" s="2"/>
      <c r="B4372" s="8"/>
      <c r="C4372" s="8" t="str">
        <f>IFERROR(__xludf.DUMMYFUNCTION("""COMPUTED_VALUE"""),"")</f>
        <v/>
      </c>
      <c r="D4372" s="8" t="str">
        <f>IFERROR(__xludf.DUMMYFUNCTION("""COMPUTED_VALUE"""),"")</f>
        <v/>
      </c>
      <c r="E4372" s="2"/>
    </row>
    <row r="4373">
      <c r="A4373" s="2"/>
      <c r="B4373" s="8"/>
      <c r="C4373" s="8" t="str">
        <f>IFERROR(__xludf.DUMMYFUNCTION("""COMPUTED_VALUE"""),"")</f>
        <v/>
      </c>
      <c r="D4373" s="8" t="str">
        <f>IFERROR(__xludf.DUMMYFUNCTION("""COMPUTED_VALUE"""),"")</f>
        <v/>
      </c>
      <c r="E4373" s="2"/>
    </row>
    <row r="4374">
      <c r="A4374" s="2"/>
      <c r="B4374" s="8"/>
      <c r="C4374" s="8" t="str">
        <f>IFERROR(__xludf.DUMMYFUNCTION("""COMPUTED_VALUE"""),"")</f>
        <v/>
      </c>
      <c r="D4374" s="8" t="str">
        <f>IFERROR(__xludf.DUMMYFUNCTION("""COMPUTED_VALUE"""),"")</f>
        <v/>
      </c>
      <c r="E4374" s="2"/>
    </row>
    <row r="4375">
      <c r="A4375" s="2"/>
      <c r="B4375" s="8"/>
      <c r="C4375" s="8" t="str">
        <f>IFERROR(__xludf.DUMMYFUNCTION("""COMPUTED_VALUE"""),"")</f>
        <v/>
      </c>
      <c r="D4375" s="8" t="str">
        <f>IFERROR(__xludf.DUMMYFUNCTION("""COMPUTED_VALUE"""),"")</f>
        <v/>
      </c>
      <c r="E4375" s="2"/>
    </row>
    <row r="4376">
      <c r="A4376" s="2"/>
      <c r="B4376" s="8"/>
      <c r="C4376" s="8" t="str">
        <f>IFERROR(__xludf.DUMMYFUNCTION("""COMPUTED_VALUE"""),"")</f>
        <v/>
      </c>
      <c r="D4376" s="8" t="str">
        <f>IFERROR(__xludf.DUMMYFUNCTION("""COMPUTED_VALUE"""),"")</f>
        <v/>
      </c>
      <c r="E4376" s="2"/>
    </row>
    <row r="4377">
      <c r="A4377" s="2"/>
      <c r="B4377" s="8"/>
      <c r="C4377" s="8" t="str">
        <f>IFERROR(__xludf.DUMMYFUNCTION("""COMPUTED_VALUE"""),"")</f>
        <v/>
      </c>
      <c r="D4377" s="8" t="str">
        <f>IFERROR(__xludf.DUMMYFUNCTION("""COMPUTED_VALUE"""),"")</f>
        <v/>
      </c>
      <c r="E4377" s="2"/>
    </row>
    <row r="4378">
      <c r="A4378" s="2"/>
      <c r="B4378" s="8"/>
      <c r="C4378" s="8" t="str">
        <f>IFERROR(__xludf.DUMMYFUNCTION("""COMPUTED_VALUE"""),"")</f>
        <v/>
      </c>
      <c r="D4378" s="8" t="str">
        <f>IFERROR(__xludf.DUMMYFUNCTION("""COMPUTED_VALUE"""),"")</f>
        <v/>
      </c>
      <c r="E4378" s="2"/>
    </row>
    <row r="4379">
      <c r="A4379" s="2"/>
      <c r="B4379" s="8"/>
      <c r="C4379" s="8" t="str">
        <f>IFERROR(__xludf.DUMMYFUNCTION("""COMPUTED_VALUE"""),"")</f>
        <v/>
      </c>
      <c r="D4379" s="8" t="str">
        <f>IFERROR(__xludf.DUMMYFUNCTION("""COMPUTED_VALUE"""),"")</f>
        <v/>
      </c>
      <c r="E4379" s="2"/>
    </row>
    <row r="4380">
      <c r="A4380" s="2"/>
      <c r="B4380" s="8"/>
      <c r="C4380" s="8" t="str">
        <f>IFERROR(__xludf.DUMMYFUNCTION("""COMPUTED_VALUE"""),"")</f>
        <v/>
      </c>
      <c r="D4380" s="8" t="str">
        <f>IFERROR(__xludf.DUMMYFUNCTION("""COMPUTED_VALUE"""),"")</f>
        <v/>
      </c>
      <c r="E4380" s="2"/>
    </row>
    <row r="4381">
      <c r="A4381" s="2"/>
      <c r="B4381" s="8"/>
      <c r="C4381" s="8" t="str">
        <f>IFERROR(__xludf.DUMMYFUNCTION("""COMPUTED_VALUE"""),"")</f>
        <v/>
      </c>
      <c r="D4381" s="8" t="str">
        <f>IFERROR(__xludf.DUMMYFUNCTION("""COMPUTED_VALUE"""),"")</f>
        <v/>
      </c>
      <c r="E4381" s="2"/>
    </row>
    <row r="4382">
      <c r="A4382" s="2"/>
      <c r="B4382" s="8"/>
      <c r="C4382" s="8" t="str">
        <f>IFERROR(__xludf.DUMMYFUNCTION("""COMPUTED_VALUE"""),"")</f>
        <v/>
      </c>
      <c r="D4382" s="8" t="str">
        <f>IFERROR(__xludf.DUMMYFUNCTION("""COMPUTED_VALUE"""),"")</f>
        <v/>
      </c>
      <c r="E4382" s="2"/>
    </row>
    <row r="4383">
      <c r="A4383" s="2"/>
      <c r="B4383" s="8"/>
      <c r="C4383" s="8" t="str">
        <f>IFERROR(__xludf.DUMMYFUNCTION("""COMPUTED_VALUE"""),"")</f>
        <v/>
      </c>
      <c r="D4383" s="8" t="str">
        <f>IFERROR(__xludf.DUMMYFUNCTION("""COMPUTED_VALUE"""),"")</f>
        <v/>
      </c>
      <c r="E4383" s="2"/>
    </row>
    <row r="4384">
      <c r="A4384" s="2"/>
      <c r="B4384" s="8"/>
      <c r="C4384" s="8" t="str">
        <f>IFERROR(__xludf.DUMMYFUNCTION("""COMPUTED_VALUE"""),"")</f>
        <v/>
      </c>
      <c r="D4384" s="8" t="str">
        <f>IFERROR(__xludf.DUMMYFUNCTION("""COMPUTED_VALUE"""),"")</f>
        <v/>
      </c>
      <c r="E4384" s="2"/>
    </row>
    <row r="4385">
      <c r="A4385" s="2"/>
      <c r="B4385" s="8"/>
      <c r="C4385" s="8" t="str">
        <f>IFERROR(__xludf.DUMMYFUNCTION("""COMPUTED_VALUE"""),"")</f>
        <v/>
      </c>
      <c r="D4385" s="8" t="str">
        <f>IFERROR(__xludf.DUMMYFUNCTION("""COMPUTED_VALUE"""),"")</f>
        <v/>
      </c>
      <c r="E4385" s="2"/>
    </row>
    <row r="4386">
      <c r="A4386" s="2"/>
      <c r="B4386" s="8"/>
      <c r="C4386" s="8" t="str">
        <f>IFERROR(__xludf.DUMMYFUNCTION("""COMPUTED_VALUE"""),"")</f>
        <v/>
      </c>
      <c r="D4386" s="8" t="str">
        <f>IFERROR(__xludf.DUMMYFUNCTION("""COMPUTED_VALUE"""),"")</f>
        <v/>
      </c>
      <c r="E4386" s="2"/>
    </row>
    <row r="4387">
      <c r="A4387" s="2"/>
      <c r="B4387" s="8"/>
      <c r="C4387" s="8" t="str">
        <f>IFERROR(__xludf.DUMMYFUNCTION("""COMPUTED_VALUE"""),"")</f>
        <v/>
      </c>
      <c r="D4387" s="8" t="str">
        <f>IFERROR(__xludf.DUMMYFUNCTION("""COMPUTED_VALUE"""),"")</f>
        <v/>
      </c>
      <c r="E4387" s="2"/>
    </row>
    <row r="4388">
      <c r="A4388" s="2"/>
      <c r="B4388" s="8"/>
      <c r="C4388" s="8" t="str">
        <f>IFERROR(__xludf.DUMMYFUNCTION("""COMPUTED_VALUE"""),"")</f>
        <v/>
      </c>
      <c r="D4388" s="8" t="str">
        <f>IFERROR(__xludf.DUMMYFUNCTION("""COMPUTED_VALUE"""),"")</f>
        <v/>
      </c>
      <c r="E4388" s="2"/>
    </row>
    <row r="4389">
      <c r="A4389" s="2"/>
      <c r="B4389" s="8"/>
      <c r="C4389" s="8" t="str">
        <f>IFERROR(__xludf.DUMMYFUNCTION("""COMPUTED_VALUE"""),"")</f>
        <v/>
      </c>
      <c r="D4389" s="8" t="str">
        <f>IFERROR(__xludf.DUMMYFUNCTION("""COMPUTED_VALUE"""),"")</f>
        <v/>
      </c>
      <c r="E4389" s="2"/>
    </row>
    <row r="4390">
      <c r="A4390" s="2"/>
      <c r="B4390" s="8"/>
      <c r="C4390" s="8" t="str">
        <f>IFERROR(__xludf.DUMMYFUNCTION("""COMPUTED_VALUE"""),"")</f>
        <v/>
      </c>
      <c r="D4390" s="8" t="str">
        <f>IFERROR(__xludf.DUMMYFUNCTION("""COMPUTED_VALUE"""),"")</f>
        <v/>
      </c>
      <c r="E4390" s="2"/>
    </row>
    <row r="4391">
      <c r="A4391" s="2"/>
      <c r="B4391" s="8"/>
      <c r="C4391" s="8" t="str">
        <f>IFERROR(__xludf.DUMMYFUNCTION("""COMPUTED_VALUE"""),"")</f>
        <v/>
      </c>
      <c r="D4391" s="8" t="str">
        <f>IFERROR(__xludf.DUMMYFUNCTION("""COMPUTED_VALUE"""),"")</f>
        <v/>
      </c>
      <c r="E4391" s="2"/>
    </row>
    <row r="4392">
      <c r="A4392" s="2"/>
      <c r="B4392" s="8"/>
      <c r="C4392" s="8" t="str">
        <f>IFERROR(__xludf.DUMMYFUNCTION("""COMPUTED_VALUE"""),"")</f>
        <v/>
      </c>
      <c r="D4392" s="8" t="str">
        <f>IFERROR(__xludf.DUMMYFUNCTION("""COMPUTED_VALUE"""),"")</f>
        <v/>
      </c>
      <c r="E4392" s="2"/>
    </row>
    <row r="4393">
      <c r="A4393" s="2"/>
      <c r="B4393" s="8"/>
      <c r="C4393" s="8" t="str">
        <f>IFERROR(__xludf.DUMMYFUNCTION("""COMPUTED_VALUE"""),"")</f>
        <v/>
      </c>
      <c r="D4393" s="8" t="str">
        <f>IFERROR(__xludf.DUMMYFUNCTION("""COMPUTED_VALUE"""),"")</f>
        <v/>
      </c>
      <c r="E4393" s="2"/>
    </row>
    <row r="4394">
      <c r="A4394" s="2"/>
      <c r="B4394" s="8"/>
      <c r="C4394" s="8" t="str">
        <f>IFERROR(__xludf.DUMMYFUNCTION("""COMPUTED_VALUE"""),"")</f>
        <v/>
      </c>
      <c r="D4394" s="8" t="str">
        <f>IFERROR(__xludf.DUMMYFUNCTION("""COMPUTED_VALUE"""),"")</f>
        <v/>
      </c>
      <c r="E4394" s="2"/>
    </row>
    <row r="4395">
      <c r="A4395" s="2"/>
      <c r="B4395" s="8"/>
      <c r="C4395" s="8" t="str">
        <f>IFERROR(__xludf.DUMMYFUNCTION("""COMPUTED_VALUE"""),"")</f>
        <v/>
      </c>
      <c r="D4395" s="8" t="str">
        <f>IFERROR(__xludf.DUMMYFUNCTION("""COMPUTED_VALUE"""),"")</f>
        <v/>
      </c>
      <c r="E4395" s="2"/>
    </row>
    <row r="4396">
      <c r="A4396" s="2"/>
      <c r="B4396" s="8"/>
      <c r="C4396" s="8" t="str">
        <f>IFERROR(__xludf.DUMMYFUNCTION("""COMPUTED_VALUE"""),"")</f>
        <v/>
      </c>
      <c r="D4396" s="8" t="str">
        <f>IFERROR(__xludf.DUMMYFUNCTION("""COMPUTED_VALUE"""),"")</f>
        <v/>
      </c>
      <c r="E4396" s="2"/>
    </row>
    <row r="4397">
      <c r="A4397" s="2"/>
      <c r="B4397" s="8"/>
      <c r="C4397" s="8" t="str">
        <f>IFERROR(__xludf.DUMMYFUNCTION("""COMPUTED_VALUE"""),"")</f>
        <v/>
      </c>
      <c r="D4397" s="8" t="str">
        <f>IFERROR(__xludf.DUMMYFUNCTION("""COMPUTED_VALUE"""),"")</f>
        <v/>
      </c>
      <c r="E4397" s="2"/>
    </row>
    <row r="4398">
      <c r="A4398" s="2"/>
      <c r="B4398" s="8"/>
      <c r="C4398" s="8" t="str">
        <f>IFERROR(__xludf.DUMMYFUNCTION("""COMPUTED_VALUE"""),"")</f>
        <v/>
      </c>
      <c r="D4398" s="8" t="str">
        <f>IFERROR(__xludf.DUMMYFUNCTION("""COMPUTED_VALUE"""),"")</f>
        <v/>
      </c>
      <c r="E4398" s="2"/>
    </row>
    <row r="4399">
      <c r="A4399" s="2"/>
      <c r="B4399" s="8"/>
      <c r="C4399" s="8" t="str">
        <f>IFERROR(__xludf.DUMMYFUNCTION("""COMPUTED_VALUE"""),"")</f>
        <v/>
      </c>
      <c r="D4399" s="8" t="str">
        <f>IFERROR(__xludf.DUMMYFUNCTION("""COMPUTED_VALUE"""),"")</f>
        <v/>
      </c>
      <c r="E4399" s="2"/>
    </row>
    <row r="4400">
      <c r="A4400" s="2"/>
      <c r="B4400" s="8"/>
      <c r="C4400" s="8" t="str">
        <f>IFERROR(__xludf.DUMMYFUNCTION("""COMPUTED_VALUE"""),"")</f>
        <v/>
      </c>
      <c r="D4400" s="8" t="str">
        <f>IFERROR(__xludf.DUMMYFUNCTION("""COMPUTED_VALUE"""),"")</f>
        <v/>
      </c>
      <c r="E4400" s="2"/>
    </row>
    <row r="4401">
      <c r="A4401" s="2"/>
      <c r="B4401" s="8"/>
      <c r="C4401" s="8" t="str">
        <f>IFERROR(__xludf.DUMMYFUNCTION("""COMPUTED_VALUE"""),"")</f>
        <v/>
      </c>
      <c r="D4401" s="8" t="str">
        <f>IFERROR(__xludf.DUMMYFUNCTION("""COMPUTED_VALUE"""),"")</f>
        <v/>
      </c>
      <c r="E4401" s="2"/>
    </row>
    <row r="4402">
      <c r="A4402" s="2"/>
      <c r="B4402" s="8"/>
      <c r="C4402" s="8" t="str">
        <f>IFERROR(__xludf.DUMMYFUNCTION("""COMPUTED_VALUE"""),"")</f>
        <v/>
      </c>
      <c r="D4402" s="8" t="str">
        <f>IFERROR(__xludf.DUMMYFUNCTION("""COMPUTED_VALUE"""),"")</f>
        <v/>
      </c>
      <c r="E4402" s="2"/>
    </row>
    <row r="4403">
      <c r="A4403" s="2"/>
      <c r="B4403" s="8"/>
      <c r="C4403" s="8" t="str">
        <f>IFERROR(__xludf.DUMMYFUNCTION("""COMPUTED_VALUE"""),"")</f>
        <v/>
      </c>
      <c r="D4403" s="8" t="str">
        <f>IFERROR(__xludf.DUMMYFUNCTION("""COMPUTED_VALUE"""),"")</f>
        <v/>
      </c>
      <c r="E4403" s="2"/>
    </row>
    <row r="4404">
      <c r="A4404" s="2"/>
      <c r="B4404" s="8"/>
      <c r="C4404" s="8" t="str">
        <f>IFERROR(__xludf.DUMMYFUNCTION("""COMPUTED_VALUE"""),"")</f>
        <v/>
      </c>
      <c r="D4404" s="8" t="str">
        <f>IFERROR(__xludf.DUMMYFUNCTION("""COMPUTED_VALUE"""),"")</f>
        <v/>
      </c>
      <c r="E4404" s="2"/>
    </row>
    <row r="4405">
      <c r="A4405" s="2"/>
      <c r="B4405" s="8"/>
      <c r="C4405" s="8" t="str">
        <f>IFERROR(__xludf.DUMMYFUNCTION("""COMPUTED_VALUE"""),"")</f>
        <v/>
      </c>
      <c r="D4405" s="8" t="str">
        <f>IFERROR(__xludf.DUMMYFUNCTION("""COMPUTED_VALUE"""),"")</f>
        <v/>
      </c>
      <c r="E4405" s="2"/>
    </row>
    <row r="4406">
      <c r="A4406" s="2"/>
      <c r="B4406" s="8"/>
      <c r="C4406" s="8" t="str">
        <f>IFERROR(__xludf.DUMMYFUNCTION("""COMPUTED_VALUE"""),"")</f>
        <v/>
      </c>
      <c r="D4406" s="8" t="str">
        <f>IFERROR(__xludf.DUMMYFUNCTION("""COMPUTED_VALUE"""),"")</f>
        <v/>
      </c>
      <c r="E4406" s="2"/>
    </row>
    <row r="4407">
      <c r="A4407" s="2"/>
      <c r="B4407" s="8"/>
      <c r="C4407" s="8" t="str">
        <f>IFERROR(__xludf.DUMMYFUNCTION("""COMPUTED_VALUE"""),"")</f>
        <v/>
      </c>
      <c r="D4407" s="8" t="str">
        <f>IFERROR(__xludf.DUMMYFUNCTION("""COMPUTED_VALUE"""),"")</f>
        <v/>
      </c>
      <c r="E4407" s="2"/>
    </row>
    <row r="4408">
      <c r="A4408" s="2"/>
      <c r="B4408" s="8"/>
      <c r="C4408" s="8" t="str">
        <f>IFERROR(__xludf.DUMMYFUNCTION("""COMPUTED_VALUE"""),"")</f>
        <v/>
      </c>
      <c r="D4408" s="8" t="str">
        <f>IFERROR(__xludf.DUMMYFUNCTION("""COMPUTED_VALUE"""),"")</f>
        <v/>
      </c>
      <c r="E4408" s="2"/>
    </row>
    <row r="4409">
      <c r="A4409" s="2"/>
      <c r="B4409" s="8"/>
      <c r="C4409" s="8" t="str">
        <f>IFERROR(__xludf.DUMMYFUNCTION("""COMPUTED_VALUE"""),"")</f>
        <v/>
      </c>
      <c r="D4409" s="8" t="str">
        <f>IFERROR(__xludf.DUMMYFUNCTION("""COMPUTED_VALUE"""),"")</f>
        <v/>
      </c>
      <c r="E4409" s="2"/>
    </row>
    <row r="4410">
      <c r="A4410" s="2"/>
      <c r="B4410" s="8"/>
      <c r="C4410" s="8" t="str">
        <f>IFERROR(__xludf.DUMMYFUNCTION("""COMPUTED_VALUE"""),"")</f>
        <v/>
      </c>
      <c r="D4410" s="8" t="str">
        <f>IFERROR(__xludf.DUMMYFUNCTION("""COMPUTED_VALUE"""),"")</f>
        <v/>
      </c>
      <c r="E4410" s="2"/>
    </row>
    <row r="4411">
      <c r="A4411" s="2"/>
      <c r="B4411" s="8"/>
      <c r="C4411" s="8" t="str">
        <f>IFERROR(__xludf.DUMMYFUNCTION("""COMPUTED_VALUE"""),"")</f>
        <v/>
      </c>
      <c r="D4411" s="8" t="str">
        <f>IFERROR(__xludf.DUMMYFUNCTION("""COMPUTED_VALUE"""),"")</f>
        <v/>
      </c>
      <c r="E4411" s="2"/>
    </row>
    <row r="4412">
      <c r="A4412" s="2"/>
      <c r="B4412" s="8"/>
      <c r="C4412" s="8" t="str">
        <f>IFERROR(__xludf.DUMMYFUNCTION("""COMPUTED_VALUE"""),"")</f>
        <v/>
      </c>
      <c r="D4412" s="8" t="str">
        <f>IFERROR(__xludf.DUMMYFUNCTION("""COMPUTED_VALUE"""),"")</f>
        <v/>
      </c>
      <c r="E4412" s="2"/>
    </row>
    <row r="4413">
      <c r="A4413" s="2"/>
      <c r="B4413" s="8"/>
      <c r="C4413" s="8" t="str">
        <f>IFERROR(__xludf.DUMMYFUNCTION("""COMPUTED_VALUE"""),"")</f>
        <v/>
      </c>
      <c r="D4413" s="8" t="str">
        <f>IFERROR(__xludf.DUMMYFUNCTION("""COMPUTED_VALUE"""),"")</f>
        <v/>
      </c>
      <c r="E4413" s="2"/>
    </row>
    <row r="4414">
      <c r="A4414" s="2"/>
      <c r="B4414" s="8"/>
      <c r="C4414" s="8" t="str">
        <f>IFERROR(__xludf.DUMMYFUNCTION("""COMPUTED_VALUE"""),"")</f>
        <v/>
      </c>
      <c r="D4414" s="8" t="str">
        <f>IFERROR(__xludf.DUMMYFUNCTION("""COMPUTED_VALUE"""),"")</f>
        <v/>
      </c>
      <c r="E4414" s="2"/>
    </row>
    <row r="4415">
      <c r="A4415" s="2"/>
      <c r="B4415" s="8"/>
      <c r="C4415" s="8" t="str">
        <f>IFERROR(__xludf.DUMMYFUNCTION("""COMPUTED_VALUE"""),"")</f>
        <v/>
      </c>
      <c r="D4415" s="8" t="str">
        <f>IFERROR(__xludf.DUMMYFUNCTION("""COMPUTED_VALUE"""),"")</f>
        <v/>
      </c>
      <c r="E4415" s="2"/>
    </row>
    <row r="4416">
      <c r="A4416" s="2"/>
      <c r="B4416" s="8"/>
      <c r="C4416" s="8" t="str">
        <f>IFERROR(__xludf.DUMMYFUNCTION("""COMPUTED_VALUE"""),"")</f>
        <v/>
      </c>
      <c r="D4416" s="8" t="str">
        <f>IFERROR(__xludf.DUMMYFUNCTION("""COMPUTED_VALUE"""),"")</f>
        <v/>
      </c>
      <c r="E4416" s="2"/>
    </row>
    <row r="4417">
      <c r="A4417" s="2"/>
      <c r="B4417" s="8"/>
      <c r="C4417" s="8" t="str">
        <f>IFERROR(__xludf.DUMMYFUNCTION("""COMPUTED_VALUE"""),"")</f>
        <v/>
      </c>
      <c r="D4417" s="8" t="str">
        <f>IFERROR(__xludf.DUMMYFUNCTION("""COMPUTED_VALUE"""),"")</f>
        <v/>
      </c>
      <c r="E4417" s="2"/>
    </row>
    <row r="4418">
      <c r="A4418" s="2"/>
      <c r="B4418" s="8"/>
      <c r="C4418" s="8" t="str">
        <f>IFERROR(__xludf.DUMMYFUNCTION("""COMPUTED_VALUE"""),"")</f>
        <v/>
      </c>
      <c r="D4418" s="8" t="str">
        <f>IFERROR(__xludf.DUMMYFUNCTION("""COMPUTED_VALUE"""),"")</f>
        <v/>
      </c>
      <c r="E4418" s="2"/>
    </row>
    <row r="4419">
      <c r="A4419" s="2"/>
      <c r="B4419" s="8"/>
      <c r="C4419" s="8" t="str">
        <f>IFERROR(__xludf.DUMMYFUNCTION("""COMPUTED_VALUE"""),"")</f>
        <v/>
      </c>
      <c r="D4419" s="8" t="str">
        <f>IFERROR(__xludf.DUMMYFUNCTION("""COMPUTED_VALUE"""),"")</f>
        <v/>
      </c>
      <c r="E4419" s="2"/>
    </row>
    <row r="4420">
      <c r="A4420" s="2"/>
      <c r="B4420" s="8"/>
      <c r="C4420" s="8" t="str">
        <f>IFERROR(__xludf.DUMMYFUNCTION("""COMPUTED_VALUE"""),"")</f>
        <v/>
      </c>
      <c r="D4420" s="8" t="str">
        <f>IFERROR(__xludf.DUMMYFUNCTION("""COMPUTED_VALUE"""),"")</f>
        <v/>
      </c>
      <c r="E4420" s="2"/>
    </row>
    <row r="4421">
      <c r="A4421" s="2"/>
      <c r="B4421" s="8"/>
      <c r="C4421" s="8" t="str">
        <f>IFERROR(__xludf.DUMMYFUNCTION("""COMPUTED_VALUE"""),"")</f>
        <v/>
      </c>
      <c r="D4421" s="8" t="str">
        <f>IFERROR(__xludf.DUMMYFUNCTION("""COMPUTED_VALUE"""),"")</f>
        <v/>
      </c>
      <c r="E4421" s="2"/>
    </row>
    <row r="4422">
      <c r="A4422" s="2"/>
      <c r="B4422" s="8"/>
      <c r="C4422" s="8" t="str">
        <f>IFERROR(__xludf.DUMMYFUNCTION("""COMPUTED_VALUE"""),"")</f>
        <v/>
      </c>
      <c r="D4422" s="8" t="str">
        <f>IFERROR(__xludf.DUMMYFUNCTION("""COMPUTED_VALUE"""),"")</f>
        <v/>
      </c>
      <c r="E4422" s="2"/>
    </row>
    <row r="4423">
      <c r="A4423" s="2"/>
      <c r="B4423" s="8"/>
      <c r="C4423" s="8" t="str">
        <f>IFERROR(__xludf.DUMMYFUNCTION("""COMPUTED_VALUE"""),"")</f>
        <v/>
      </c>
      <c r="D4423" s="8" t="str">
        <f>IFERROR(__xludf.DUMMYFUNCTION("""COMPUTED_VALUE"""),"")</f>
        <v/>
      </c>
      <c r="E4423" s="2"/>
    </row>
    <row r="4424">
      <c r="A4424" s="2"/>
      <c r="B4424" s="8"/>
      <c r="C4424" s="8" t="str">
        <f>IFERROR(__xludf.DUMMYFUNCTION("""COMPUTED_VALUE"""),"")</f>
        <v/>
      </c>
      <c r="D4424" s="8" t="str">
        <f>IFERROR(__xludf.DUMMYFUNCTION("""COMPUTED_VALUE"""),"")</f>
        <v/>
      </c>
      <c r="E4424" s="2"/>
    </row>
    <row r="4425">
      <c r="A4425" s="2"/>
      <c r="B4425" s="8"/>
      <c r="C4425" s="8" t="str">
        <f>IFERROR(__xludf.DUMMYFUNCTION("""COMPUTED_VALUE"""),"")</f>
        <v/>
      </c>
      <c r="D4425" s="8" t="str">
        <f>IFERROR(__xludf.DUMMYFUNCTION("""COMPUTED_VALUE"""),"")</f>
        <v/>
      </c>
      <c r="E4425" s="2"/>
    </row>
    <row r="4426">
      <c r="A4426" s="2"/>
      <c r="B4426" s="8"/>
      <c r="C4426" s="8" t="str">
        <f>IFERROR(__xludf.DUMMYFUNCTION("""COMPUTED_VALUE"""),"")</f>
        <v/>
      </c>
      <c r="D4426" s="8" t="str">
        <f>IFERROR(__xludf.DUMMYFUNCTION("""COMPUTED_VALUE"""),"")</f>
        <v/>
      </c>
      <c r="E4426" s="2"/>
    </row>
    <row r="4427">
      <c r="A4427" s="2"/>
      <c r="B4427" s="8"/>
      <c r="C4427" s="8" t="str">
        <f>IFERROR(__xludf.DUMMYFUNCTION("""COMPUTED_VALUE"""),"")</f>
        <v/>
      </c>
      <c r="D4427" s="8" t="str">
        <f>IFERROR(__xludf.DUMMYFUNCTION("""COMPUTED_VALUE"""),"")</f>
        <v/>
      </c>
      <c r="E4427" s="2"/>
    </row>
    <row r="4428">
      <c r="A4428" s="2"/>
      <c r="B4428" s="8"/>
      <c r="C4428" s="8" t="str">
        <f>IFERROR(__xludf.DUMMYFUNCTION("""COMPUTED_VALUE"""),"")</f>
        <v/>
      </c>
      <c r="D4428" s="8" t="str">
        <f>IFERROR(__xludf.DUMMYFUNCTION("""COMPUTED_VALUE"""),"")</f>
        <v/>
      </c>
      <c r="E4428" s="2"/>
    </row>
    <row r="4429">
      <c r="A4429" s="2"/>
      <c r="B4429" s="8"/>
      <c r="C4429" s="8" t="str">
        <f>IFERROR(__xludf.DUMMYFUNCTION("""COMPUTED_VALUE"""),"")</f>
        <v/>
      </c>
      <c r="D4429" s="8" t="str">
        <f>IFERROR(__xludf.DUMMYFUNCTION("""COMPUTED_VALUE"""),"")</f>
        <v/>
      </c>
      <c r="E4429" s="2"/>
    </row>
    <row r="4430">
      <c r="A4430" s="2"/>
      <c r="B4430" s="8"/>
      <c r="C4430" s="8" t="str">
        <f>IFERROR(__xludf.DUMMYFUNCTION("""COMPUTED_VALUE"""),"")</f>
        <v/>
      </c>
      <c r="D4430" s="8" t="str">
        <f>IFERROR(__xludf.DUMMYFUNCTION("""COMPUTED_VALUE"""),"")</f>
        <v/>
      </c>
      <c r="E4430" s="2"/>
    </row>
    <row r="4431">
      <c r="A4431" s="2"/>
      <c r="B4431" s="8"/>
      <c r="C4431" s="8" t="str">
        <f>IFERROR(__xludf.DUMMYFUNCTION("""COMPUTED_VALUE"""),"")</f>
        <v/>
      </c>
      <c r="D4431" s="8" t="str">
        <f>IFERROR(__xludf.DUMMYFUNCTION("""COMPUTED_VALUE"""),"")</f>
        <v/>
      </c>
      <c r="E4431" s="2"/>
    </row>
    <row r="4432">
      <c r="A4432" s="2"/>
      <c r="B4432" s="8"/>
      <c r="C4432" s="8" t="str">
        <f>IFERROR(__xludf.DUMMYFUNCTION("""COMPUTED_VALUE"""),"")</f>
        <v/>
      </c>
      <c r="D4432" s="8" t="str">
        <f>IFERROR(__xludf.DUMMYFUNCTION("""COMPUTED_VALUE"""),"")</f>
        <v/>
      </c>
      <c r="E4432" s="2"/>
    </row>
    <row r="4433">
      <c r="A4433" s="2"/>
      <c r="B4433" s="8"/>
      <c r="C4433" s="8" t="str">
        <f>IFERROR(__xludf.DUMMYFUNCTION("""COMPUTED_VALUE"""),"")</f>
        <v/>
      </c>
      <c r="D4433" s="8" t="str">
        <f>IFERROR(__xludf.DUMMYFUNCTION("""COMPUTED_VALUE"""),"")</f>
        <v/>
      </c>
      <c r="E4433" s="2"/>
    </row>
    <row r="4434">
      <c r="A4434" s="2"/>
      <c r="B4434" s="8"/>
      <c r="C4434" s="8" t="str">
        <f>IFERROR(__xludf.DUMMYFUNCTION("""COMPUTED_VALUE"""),"")</f>
        <v/>
      </c>
      <c r="D4434" s="8" t="str">
        <f>IFERROR(__xludf.DUMMYFUNCTION("""COMPUTED_VALUE"""),"")</f>
        <v/>
      </c>
      <c r="E4434" s="2"/>
    </row>
    <row r="4435">
      <c r="A4435" s="2"/>
      <c r="B4435" s="8"/>
      <c r="C4435" s="8" t="str">
        <f>IFERROR(__xludf.DUMMYFUNCTION("""COMPUTED_VALUE"""),"")</f>
        <v/>
      </c>
      <c r="D4435" s="8" t="str">
        <f>IFERROR(__xludf.DUMMYFUNCTION("""COMPUTED_VALUE"""),"")</f>
        <v/>
      </c>
      <c r="E4435" s="2"/>
    </row>
    <row r="4436">
      <c r="A4436" s="2"/>
      <c r="B4436" s="8"/>
      <c r="C4436" s="8" t="str">
        <f>IFERROR(__xludf.DUMMYFUNCTION("""COMPUTED_VALUE"""),"")</f>
        <v/>
      </c>
      <c r="D4436" s="8" t="str">
        <f>IFERROR(__xludf.DUMMYFUNCTION("""COMPUTED_VALUE"""),"")</f>
        <v/>
      </c>
      <c r="E4436" s="2"/>
    </row>
    <row r="4437">
      <c r="A4437" s="2"/>
      <c r="B4437" s="8"/>
      <c r="C4437" s="8" t="str">
        <f>IFERROR(__xludf.DUMMYFUNCTION("""COMPUTED_VALUE"""),"")</f>
        <v/>
      </c>
      <c r="D4437" s="8" t="str">
        <f>IFERROR(__xludf.DUMMYFUNCTION("""COMPUTED_VALUE"""),"")</f>
        <v/>
      </c>
      <c r="E4437" s="2"/>
    </row>
    <row r="4438">
      <c r="A4438" s="2"/>
      <c r="B4438" s="8"/>
      <c r="C4438" s="8" t="str">
        <f>IFERROR(__xludf.DUMMYFUNCTION("""COMPUTED_VALUE"""),"")</f>
        <v/>
      </c>
      <c r="D4438" s="8" t="str">
        <f>IFERROR(__xludf.DUMMYFUNCTION("""COMPUTED_VALUE"""),"")</f>
        <v/>
      </c>
      <c r="E4438" s="2"/>
    </row>
    <row r="4439">
      <c r="A4439" s="2"/>
      <c r="B4439" s="8"/>
      <c r="C4439" s="8" t="str">
        <f>IFERROR(__xludf.DUMMYFUNCTION("""COMPUTED_VALUE"""),"")</f>
        <v/>
      </c>
      <c r="D4439" s="8" t="str">
        <f>IFERROR(__xludf.DUMMYFUNCTION("""COMPUTED_VALUE"""),"")</f>
        <v/>
      </c>
      <c r="E4439" s="2"/>
    </row>
    <row r="4440">
      <c r="A4440" s="2"/>
      <c r="B4440" s="8"/>
      <c r="C4440" s="8" t="str">
        <f>IFERROR(__xludf.DUMMYFUNCTION("""COMPUTED_VALUE"""),"")</f>
        <v/>
      </c>
      <c r="D4440" s="8" t="str">
        <f>IFERROR(__xludf.DUMMYFUNCTION("""COMPUTED_VALUE"""),"")</f>
        <v/>
      </c>
      <c r="E4440" s="2"/>
    </row>
    <row r="4441">
      <c r="A4441" s="2"/>
      <c r="B4441" s="8"/>
      <c r="C4441" s="8" t="str">
        <f>IFERROR(__xludf.DUMMYFUNCTION("""COMPUTED_VALUE"""),"")</f>
        <v/>
      </c>
      <c r="D4441" s="8" t="str">
        <f>IFERROR(__xludf.DUMMYFUNCTION("""COMPUTED_VALUE"""),"")</f>
        <v/>
      </c>
      <c r="E4441" s="2"/>
    </row>
    <row r="4442">
      <c r="A4442" s="2"/>
      <c r="B4442" s="8"/>
      <c r="C4442" s="8" t="str">
        <f>IFERROR(__xludf.DUMMYFUNCTION("""COMPUTED_VALUE"""),"")</f>
        <v/>
      </c>
      <c r="D4442" s="8" t="str">
        <f>IFERROR(__xludf.DUMMYFUNCTION("""COMPUTED_VALUE"""),"")</f>
        <v/>
      </c>
      <c r="E4442" s="2"/>
    </row>
    <row r="4443">
      <c r="A4443" s="2"/>
      <c r="B4443" s="8"/>
      <c r="C4443" s="8" t="str">
        <f>IFERROR(__xludf.DUMMYFUNCTION("""COMPUTED_VALUE"""),"")</f>
        <v/>
      </c>
      <c r="D4443" s="8" t="str">
        <f>IFERROR(__xludf.DUMMYFUNCTION("""COMPUTED_VALUE"""),"")</f>
        <v/>
      </c>
      <c r="E4443" s="2"/>
    </row>
    <row r="4444">
      <c r="A4444" s="2"/>
      <c r="B4444" s="8"/>
      <c r="C4444" s="8" t="str">
        <f>IFERROR(__xludf.DUMMYFUNCTION("""COMPUTED_VALUE"""),"")</f>
        <v/>
      </c>
      <c r="D4444" s="8" t="str">
        <f>IFERROR(__xludf.DUMMYFUNCTION("""COMPUTED_VALUE"""),"")</f>
        <v/>
      </c>
      <c r="E4444" s="2"/>
    </row>
    <row r="4445">
      <c r="A4445" s="2"/>
      <c r="B4445" s="8"/>
      <c r="C4445" s="8" t="str">
        <f>IFERROR(__xludf.DUMMYFUNCTION("""COMPUTED_VALUE"""),"")</f>
        <v/>
      </c>
      <c r="D4445" s="8" t="str">
        <f>IFERROR(__xludf.DUMMYFUNCTION("""COMPUTED_VALUE"""),"")</f>
        <v/>
      </c>
      <c r="E4445" s="2"/>
    </row>
    <row r="4446">
      <c r="A4446" s="2"/>
      <c r="B4446" s="8"/>
      <c r="C4446" s="8" t="str">
        <f>IFERROR(__xludf.DUMMYFUNCTION("""COMPUTED_VALUE"""),"")</f>
        <v/>
      </c>
      <c r="D4446" s="8" t="str">
        <f>IFERROR(__xludf.DUMMYFUNCTION("""COMPUTED_VALUE"""),"")</f>
        <v/>
      </c>
      <c r="E4446" s="2"/>
    </row>
    <row r="4447">
      <c r="A4447" s="2"/>
      <c r="B4447" s="8"/>
      <c r="C4447" s="8" t="str">
        <f>IFERROR(__xludf.DUMMYFUNCTION("""COMPUTED_VALUE"""),"")</f>
        <v/>
      </c>
      <c r="D4447" s="8" t="str">
        <f>IFERROR(__xludf.DUMMYFUNCTION("""COMPUTED_VALUE"""),"")</f>
        <v/>
      </c>
      <c r="E4447" s="2"/>
    </row>
    <row r="4448">
      <c r="A4448" s="2"/>
      <c r="B4448" s="8"/>
      <c r="C4448" s="8" t="str">
        <f>IFERROR(__xludf.DUMMYFUNCTION("""COMPUTED_VALUE"""),"")</f>
        <v/>
      </c>
      <c r="D4448" s="8" t="str">
        <f>IFERROR(__xludf.DUMMYFUNCTION("""COMPUTED_VALUE"""),"")</f>
        <v/>
      </c>
      <c r="E4448" s="2"/>
    </row>
    <row r="4449">
      <c r="A4449" s="2"/>
      <c r="B4449" s="8"/>
      <c r="C4449" s="8" t="str">
        <f>IFERROR(__xludf.DUMMYFUNCTION("""COMPUTED_VALUE"""),"")</f>
        <v/>
      </c>
      <c r="D4449" s="8" t="str">
        <f>IFERROR(__xludf.DUMMYFUNCTION("""COMPUTED_VALUE"""),"")</f>
        <v/>
      </c>
      <c r="E4449" s="2"/>
    </row>
    <row r="4450">
      <c r="A4450" s="2"/>
      <c r="B4450" s="8"/>
      <c r="C4450" s="8" t="str">
        <f>IFERROR(__xludf.DUMMYFUNCTION("""COMPUTED_VALUE"""),"")</f>
        <v/>
      </c>
      <c r="D4450" s="8" t="str">
        <f>IFERROR(__xludf.DUMMYFUNCTION("""COMPUTED_VALUE"""),"")</f>
        <v/>
      </c>
      <c r="E4450" s="2"/>
    </row>
    <row r="4451">
      <c r="A4451" s="2"/>
      <c r="B4451" s="8"/>
      <c r="C4451" s="8" t="str">
        <f>IFERROR(__xludf.DUMMYFUNCTION("""COMPUTED_VALUE"""),"")</f>
        <v/>
      </c>
      <c r="D4451" s="8" t="str">
        <f>IFERROR(__xludf.DUMMYFUNCTION("""COMPUTED_VALUE"""),"")</f>
        <v/>
      </c>
      <c r="E4451" s="2"/>
    </row>
    <row r="4452">
      <c r="A4452" s="2"/>
      <c r="B4452" s="8"/>
      <c r="C4452" s="8" t="str">
        <f>IFERROR(__xludf.DUMMYFUNCTION("""COMPUTED_VALUE"""),"")</f>
        <v/>
      </c>
      <c r="D4452" s="8" t="str">
        <f>IFERROR(__xludf.DUMMYFUNCTION("""COMPUTED_VALUE"""),"")</f>
        <v/>
      </c>
      <c r="E4452" s="2"/>
    </row>
    <row r="4453">
      <c r="A4453" s="2"/>
      <c r="B4453" s="8"/>
      <c r="C4453" s="8" t="str">
        <f>IFERROR(__xludf.DUMMYFUNCTION("""COMPUTED_VALUE"""),"")</f>
        <v/>
      </c>
      <c r="D4453" s="8" t="str">
        <f>IFERROR(__xludf.DUMMYFUNCTION("""COMPUTED_VALUE"""),"")</f>
        <v/>
      </c>
      <c r="E4453" s="2"/>
    </row>
    <row r="4454">
      <c r="A4454" s="2"/>
      <c r="B4454" s="8"/>
      <c r="C4454" s="8" t="str">
        <f>IFERROR(__xludf.DUMMYFUNCTION("""COMPUTED_VALUE"""),"")</f>
        <v/>
      </c>
      <c r="D4454" s="8" t="str">
        <f>IFERROR(__xludf.DUMMYFUNCTION("""COMPUTED_VALUE"""),"")</f>
        <v/>
      </c>
      <c r="E4454" s="2"/>
    </row>
    <row r="4455">
      <c r="A4455" s="2"/>
      <c r="B4455" s="8"/>
      <c r="C4455" s="8" t="str">
        <f>IFERROR(__xludf.DUMMYFUNCTION("""COMPUTED_VALUE"""),"")</f>
        <v/>
      </c>
      <c r="D4455" s="8" t="str">
        <f>IFERROR(__xludf.DUMMYFUNCTION("""COMPUTED_VALUE"""),"")</f>
        <v/>
      </c>
      <c r="E4455" s="2"/>
    </row>
    <row r="4456">
      <c r="A4456" s="2"/>
      <c r="B4456" s="8"/>
      <c r="C4456" s="8" t="str">
        <f>IFERROR(__xludf.DUMMYFUNCTION("""COMPUTED_VALUE"""),"")</f>
        <v/>
      </c>
      <c r="D4456" s="8" t="str">
        <f>IFERROR(__xludf.DUMMYFUNCTION("""COMPUTED_VALUE"""),"")</f>
        <v/>
      </c>
      <c r="E4456" s="2"/>
    </row>
    <row r="4457">
      <c r="A4457" s="2"/>
      <c r="B4457" s="8"/>
      <c r="C4457" s="8" t="str">
        <f>IFERROR(__xludf.DUMMYFUNCTION("""COMPUTED_VALUE"""),"")</f>
        <v/>
      </c>
      <c r="D4457" s="8" t="str">
        <f>IFERROR(__xludf.DUMMYFUNCTION("""COMPUTED_VALUE"""),"")</f>
        <v/>
      </c>
      <c r="E4457" s="2"/>
    </row>
    <row r="4458">
      <c r="A4458" s="2"/>
      <c r="B4458" s="8"/>
      <c r="C4458" s="8" t="str">
        <f>IFERROR(__xludf.DUMMYFUNCTION("""COMPUTED_VALUE"""),"")</f>
        <v/>
      </c>
      <c r="D4458" s="8" t="str">
        <f>IFERROR(__xludf.DUMMYFUNCTION("""COMPUTED_VALUE"""),"")</f>
        <v/>
      </c>
      <c r="E4458" s="2"/>
    </row>
    <row r="4459">
      <c r="A4459" s="2"/>
      <c r="B4459" s="8"/>
      <c r="C4459" s="8" t="str">
        <f>IFERROR(__xludf.DUMMYFUNCTION("""COMPUTED_VALUE"""),"")</f>
        <v/>
      </c>
      <c r="D4459" s="8" t="str">
        <f>IFERROR(__xludf.DUMMYFUNCTION("""COMPUTED_VALUE"""),"")</f>
        <v/>
      </c>
      <c r="E4459" s="2"/>
    </row>
    <row r="4460">
      <c r="A4460" s="2"/>
      <c r="B4460" s="8"/>
      <c r="C4460" s="8" t="str">
        <f>IFERROR(__xludf.DUMMYFUNCTION("""COMPUTED_VALUE"""),"")</f>
        <v/>
      </c>
      <c r="D4460" s="8" t="str">
        <f>IFERROR(__xludf.DUMMYFUNCTION("""COMPUTED_VALUE"""),"")</f>
        <v/>
      </c>
      <c r="E4460" s="2"/>
    </row>
    <row r="4461">
      <c r="A4461" s="2"/>
      <c r="B4461" s="8"/>
      <c r="C4461" s="8" t="str">
        <f>IFERROR(__xludf.DUMMYFUNCTION("""COMPUTED_VALUE"""),"")</f>
        <v/>
      </c>
      <c r="D4461" s="8" t="str">
        <f>IFERROR(__xludf.DUMMYFUNCTION("""COMPUTED_VALUE"""),"")</f>
        <v/>
      </c>
      <c r="E4461" s="2"/>
    </row>
    <row r="4462">
      <c r="A4462" s="2"/>
      <c r="B4462" s="8"/>
      <c r="C4462" s="8" t="str">
        <f>IFERROR(__xludf.DUMMYFUNCTION("""COMPUTED_VALUE"""),"")</f>
        <v/>
      </c>
      <c r="D4462" s="8" t="str">
        <f>IFERROR(__xludf.DUMMYFUNCTION("""COMPUTED_VALUE"""),"")</f>
        <v/>
      </c>
      <c r="E4462" s="2"/>
    </row>
    <row r="4463">
      <c r="A4463" s="2"/>
      <c r="B4463" s="8"/>
      <c r="C4463" s="8" t="str">
        <f>IFERROR(__xludf.DUMMYFUNCTION("""COMPUTED_VALUE"""),"")</f>
        <v/>
      </c>
      <c r="D4463" s="8" t="str">
        <f>IFERROR(__xludf.DUMMYFUNCTION("""COMPUTED_VALUE"""),"")</f>
        <v/>
      </c>
      <c r="E4463" s="2"/>
    </row>
    <row r="4464">
      <c r="A4464" s="2"/>
      <c r="B4464" s="8"/>
      <c r="C4464" s="8" t="str">
        <f>IFERROR(__xludf.DUMMYFUNCTION("""COMPUTED_VALUE"""),"")</f>
        <v/>
      </c>
      <c r="D4464" s="8" t="str">
        <f>IFERROR(__xludf.DUMMYFUNCTION("""COMPUTED_VALUE"""),"")</f>
        <v/>
      </c>
      <c r="E4464" s="2"/>
    </row>
    <row r="4465">
      <c r="A4465" s="2"/>
      <c r="B4465" s="8"/>
      <c r="C4465" s="8" t="str">
        <f>IFERROR(__xludf.DUMMYFUNCTION("""COMPUTED_VALUE"""),"")</f>
        <v/>
      </c>
      <c r="D4465" s="8" t="str">
        <f>IFERROR(__xludf.DUMMYFUNCTION("""COMPUTED_VALUE"""),"")</f>
        <v/>
      </c>
      <c r="E4465" s="2"/>
    </row>
    <row r="4466">
      <c r="A4466" s="2"/>
      <c r="B4466" s="8"/>
      <c r="C4466" s="8" t="str">
        <f>IFERROR(__xludf.DUMMYFUNCTION("""COMPUTED_VALUE"""),"")</f>
        <v/>
      </c>
      <c r="D4466" s="8" t="str">
        <f>IFERROR(__xludf.DUMMYFUNCTION("""COMPUTED_VALUE"""),"")</f>
        <v/>
      </c>
      <c r="E4466" s="2"/>
    </row>
    <row r="4467">
      <c r="A4467" s="2"/>
      <c r="B4467" s="8"/>
      <c r="C4467" s="8" t="str">
        <f>IFERROR(__xludf.DUMMYFUNCTION("""COMPUTED_VALUE"""),"")</f>
        <v/>
      </c>
      <c r="D4467" s="8" t="str">
        <f>IFERROR(__xludf.DUMMYFUNCTION("""COMPUTED_VALUE"""),"")</f>
        <v/>
      </c>
      <c r="E4467" s="2"/>
    </row>
    <row r="4468">
      <c r="A4468" s="2"/>
      <c r="B4468" s="8"/>
      <c r="C4468" s="8" t="str">
        <f>IFERROR(__xludf.DUMMYFUNCTION("""COMPUTED_VALUE"""),"")</f>
        <v/>
      </c>
      <c r="D4468" s="8" t="str">
        <f>IFERROR(__xludf.DUMMYFUNCTION("""COMPUTED_VALUE"""),"")</f>
        <v/>
      </c>
      <c r="E4468" s="2"/>
    </row>
    <row r="4469">
      <c r="A4469" s="2"/>
      <c r="B4469" s="8"/>
      <c r="C4469" s="8" t="str">
        <f>IFERROR(__xludf.DUMMYFUNCTION("""COMPUTED_VALUE"""),"")</f>
        <v/>
      </c>
      <c r="D4469" s="8" t="str">
        <f>IFERROR(__xludf.DUMMYFUNCTION("""COMPUTED_VALUE"""),"")</f>
        <v/>
      </c>
      <c r="E4469" s="2"/>
    </row>
    <row r="4470">
      <c r="A4470" s="2"/>
      <c r="B4470" s="8"/>
      <c r="C4470" s="8" t="str">
        <f>IFERROR(__xludf.DUMMYFUNCTION("""COMPUTED_VALUE"""),"")</f>
        <v/>
      </c>
      <c r="D4470" s="8" t="str">
        <f>IFERROR(__xludf.DUMMYFUNCTION("""COMPUTED_VALUE"""),"")</f>
        <v/>
      </c>
      <c r="E4470" s="2"/>
    </row>
    <row r="4471">
      <c r="A4471" s="2"/>
      <c r="B4471" s="8"/>
      <c r="C4471" s="8" t="str">
        <f>IFERROR(__xludf.DUMMYFUNCTION("""COMPUTED_VALUE"""),"")</f>
        <v/>
      </c>
      <c r="D4471" s="8" t="str">
        <f>IFERROR(__xludf.DUMMYFUNCTION("""COMPUTED_VALUE"""),"")</f>
        <v/>
      </c>
      <c r="E4471" s="2"/>
    </row>
    <row r="4472">
      <c r="A4472" s="2"/>
      <c r="B4472" s="8"/>
      <c r="C4472" s="8" t="str">
        <f>IFERROR(__xludf.DUMMYFUNCTION("""COMPUTED_VALUE"""),"")</f>
        <v/>
      </c>
      <c r="D4472" s="8" t="str">
        <f>IFERROR(__xludf.DUMMYFUNCTION("""COMPUTED_VALUE"""),"")</f>
        <v/>
      </c>
      <c r="E4472" s="2"/>
    </row>
    <row r="4473">
      <c r="A4473" s="2"/>
      <c r="B4473" s="8"/>
      <c r="C4473" s="8" t="str">
        <f>IFERROR(__xludf.DUMMYFUNCTION("""COMPUTED_VALUE"""),"")</f>
        <v/>
      </c>
      <c r="D4473" s="8" t="str">
        <f>IFERROR(__xludf.DUMMYFUNCTION("""COMPUTED_VALUE"""),"")</f>
        <v/>
      </c>
      <c r="E4473" s="2"/>
    </row>
    <row r="4474">
      <c r="A4474" s="2"/>
      <c r="B4474" s="8"/>
      <c r="C4474" s="8" t="str">
        <f>IFERROR(__xludf.DUMMYFUNCTION("""COMPUTED_VALUE"""),"")</f>
        <v/>
      </c>
      <c r="D4474" s="8" t="str">
        <f>IFERROR(__xludf.DUMMYFUNCTION("""COMPUTED_VALUE"""),"")</f>
        <v/>
      </c>
      <c r="E4474" s="2"/>
    </row>
    <row r="4475">
      <c r="A4475" s="2"/>
      <c r="B4475" s="8"/>
      <c r="C4475" s="8" t="str">
        <f>IFERROR(__xludf.DUMMYFUNCTION("""COMPUTED_VALUE"""),"")</f>
        <v/>
      </c>
      <c r="D4475" s="8" t="str">
        <f>IFERROR(__xludf.DUMMYFUNCTION("""COMPUTED_VALUE"""),"")</f>
        <v/>
      </c>
      <c r="E4475" s="2"/>
    </row>
    <row r="4476">
      <c r="A4476" s="2"/>
      <c r="B4476" s="8"/>
      <c r="C4476" s="8" t="str">
        <f>IFERROR(__xludf.DUMMYFUNCTION("""COMPUTED_VALUE"""),"")</f>
        <v/>
      </c>
      <c r="D4476" s="8" t="str">
        <f>IFERROR(__xludf.DUMMYFUNCTION("""COMPUTED_VALUE"""),"")</f>
        <v/>
      </c>
      <c r="E4476" s="2"/>
    </row>
    <row r="4477">
      <c r="A4477" s="2"/>
      <c r="B4477" s="8"/>
      <c r="C4477" s="8" t="str">
        <f>IFERROR(__xludf.DUMMYFUNCTION("""COMPUTED_VALUE"""),"")</f>
        <v/>
      </c>
      <c r="D4477" s="8" t="str">
        <f>IFERROR(__xludf.DUMMYFUNCTION("""COMPUTED_VALUE"""),"")</f>
        <v/>
      </c>
      <c r="E4477" s="2"/>
    </row>
    <row r="4478">
      <c r="A4478" s="2"/>
      <c r="B4478" s="8"/>
      <c r="C4478" s="8" t="str">
        <f>IFERROR(__xludf.DUMMYFUNCTION("""COMPUTED_VALUE"""),"")</f>
        <v/>
      </c>
      <c r="D4478" s="8" t="str">
        <f>IFERROR(__xludf.DUMMYFUNCTION("""COMPUTED_VALUE"""),"")</f>
        <v/>
      </c>
      <c r="E4478" s="2"/>
    </row>
    <row r="4479">
      <c r="A4479" s="2"/>
      <c r="B4479" s="8"/>
      <c r="C4479" s="8" t="str">
        <f>IFERROR(__xludf.DUMMYFUNCTION("""COMPUTED_VALUE"""),"")</f>
        <v/>
      </c>
      <c r="D4479" s="8" t="str">
        <f>IFERROR(__xludf.DUMMYFUNCTION("""COMPUTED_VALUE"""),"")</f>
        <v/>
      </c>
      <c r="E4479" s="2"/>
    </row>
    <row r="4480">
      <c r="A4480" s="2"/>
      <c r="B4480" s="8"/>
      <c r="C4480" s="8" t="str">
        <f>IFERROR(__xludf.DUMMYFUNCTION("""COMPUTED_VALUE"""),"")</f>
        <v/>
      </c>
      <c r="D4480" s="8" t="str">
        <f>IFERROR(__xludf.DUMMYFUNCTION("""COMPUTED_VALUE"""),"")</f>
        <v/>
      </c>
      <c r="E4480" s="2"/>
    </row>
    <row r="4481">
      <c r="A4481" s="2"/>
      <c r="B4481" s="8"/>
      <c r="C4481" s="8" t="str">
        <f>IFERROR(__xludf.DUMMYFUNCTION("""COMPUTED_VALUE"""),"")</f>
        <v/>
      </c>
      <c r="D4481" s="8" t="str">
        <f>IFERROR(__xludf.DUMMYFUNCTION("""COMPUTED_VALUE"""),"")</f>
        <v/>
      </c>
      <c r="E4481" s="2"/>
    </row>
    <row r="4482">
      <c r="A4482" s="2"/>
      <c r="B4482" s="8"/>
      <c r="C4482" s="8" t="str">
        <f>IFERROR(__xludf.DUMMYFUNCTION("""COMPUTED_VALUE"""),"")</f>
        <v/>
      </c>
      <c r="D4482" s="8" t="str">
        <f>IFERROR(__xludf.DUMMYFUNCTION("""COMPUTED_VALUE"""),"")</f>
        <v/>
      </c>
      <c r="E4482" s="2"/>
    </row>
    <row r="4483">
      <c r="A4483" s="2"/>
      <c r="B4483" s="8"/>
      <c r="C4483" s="8" t="str">
        <f>IFERROR(__xludf.DUMMYFUNCTION("""COMPUTED_VALUE"""),"")</f>
        <v/>
      </c>
      <c r="D4483" s="8" t="str">
        <f>IFERROR(__xludf.DUMMYFUNCTION("""COMPUTED_VALUE"""),"")</f>
        <v/>
      </c>
      <c r="E4483" s="2"/>
    </row>
    <row r="4484">
      <c r="A4484" s="2"/>
      <c r="B4484" s="8"/>
      <c r="C4484" s="8" t="str">
        <f>IFERROR(__xludf.DUMMYFUNCTION("""COMPUTED_VALUE"""),"")</f>
        <v/>
      </c>
      <c r="D4484" s="8" t="str">
        <f>IFERROR(__xludf.DUMMYFUNCTION("""COMPUTED_VALUE"""),"")</f>
        <v/>
      </c>
      <c r="E4484" s="2"/>
    </row>
    <row r="4485">
      <c r="A4485" s="2"/>
      <c r="B4485" s="8"/>
      <c r="C4485" s="8" t="str">
        <f>IFERROR(__xludf.DUMMYFUNCTION("""COMPUTED_VALUE"""),"")</f>
        <v/>
      </c>
      <c r="D4485" s="8" t="str">
        <f>IFERROR(__xludf.DUMMYFUNCTION("""COMPUTED_VALUE"""),"")</f>
        <v/>
      </c>
      <c r="E4485" s="2"/>
    </row>
    <row r="4486">
      <c r="A4486" s="2"/>
      <c r="B4486" s="8"/>
      <c r="C4486" s="8" t="str">
        <f>IFERROR(__xludf.DUMMYFUNCTION("""COMPUTED_VALUE"""),"")</f>
        <v/>
      </c>
      <c r="D4486" s="8" t="str">
        <f>IFERROR(__xludf.DUMMYFUNCTION("""COMPUTED_VALUE"""),"")</f>
        <v/>
      </c>
      <c r="E4486" s="2"/>
    </row>
    <row r="4487">
      <c r="A4487" s="2"/>
      <c r="B4487" s="8"/>
      <c r="C4487" s="8" t="str">
        <f>IFERROR(__xludf.DUMMYFUNCTION("""COMPUTED_VALUE"""),"")</f>
        <v/>
      </c>
      <c r="D4487" s="8" t="str">
        <f>IFERROR(__xludf.DUMMYFUNCTION("""COMPUTED_VALUE"""),"")</f>
        <v/>
      </c>
      <c r="E4487" s="2"/>
    </row>
    <row r="4488">
      <c r="A4488" s="2"/>
      <c r="B4488" s="8"/>
      <c r="C4488" s="8" t="str">
        <f>IFERROR(__xludf.DUMMYFUNCTION("""COMPUTED_VALUE"""),"")</f>
        <v/>
      </c>
      <c r="D4488" s="8" t="str">
        <f>IFERROR(__xludf.DUMMYFUNCTION("""COMPUTED_VALUE"""),"")</f>
        <v/>
      </c>
      <c r="E4488" s="2"/>
    </row>
    <row r="4489">
      <c r="A4489" s="2"/>
      <c r="B4489" s="8"/>
      <c r="C4489" s="8" t="str">
        <f>IFERROR(__xludf.DUMMYFUNCTION("""COMPUTED_VALUE"""),"")</f>
        <v/>
      </c>
      <c r="D4489" s="8" t="str">
        <f>IFERROR(__xludf.DUMMYFUNCTION("""COMPUTED_VALUE"""),"")</f>
        <v/>
      </c>
      <c r="E4489" s="2"/>
    </row>
    <row r="4490">
      <c r="A4490" s="2"/>
      <c r="B4490" s="8"/>
      <c r="C4490" s="8" t="str">
        <f>IFERROR(__xludf.DUMMYFUNCTION("""COMPUTED_VALUE"""),"")</f>
        <v/>
      </c>
      <c r="D4490" s="8" t="str">
        <f>IFERROR(__xludf.DUMMYFUNCTION("""COMPUTED_VALUE"""),"")</f>
        <v/>
      </c>
      <c r="E4490" s="2"/>
    </row>
    <row r="4491">
      <c r="A4491" s="2"/>
      <c r="B4491" s="8"/>
      <c r="C4491" s="8" t="str">
        <f>IFERROR(__xludf.DUMMYFUNCTION("""COMPUTED_VALUE"""),"")</f>
        <v/>
      </c>
      <c r="D4491" s="8" t="str">
        <f>IFERROR(__xludf.DUMMYFUNCTION("""COMPUTED_VALUE"""),"")</f>
        <v/>
      </c>
      <c r="E4491" s="2"/>
    </row>
    <row r="4492">
      <c r="A4492" s="2"/>
      <c r="B4492" s="8"/>
      <c r="C4492" s="8" t="str">
        <f>IFERROR(__xludf.DUMMYFUNCTION("""COMPUTED_VALUE"""),"")</f>
        <v/>
      </c>
      <c r="D4492" s="8" t="str">
        <f>IFERROR(__xludf.DUMMYFUNCTION("""COMPUTED_VALUE"""),"")</f>
        <v/>
      </c>
      <c r="E4492" s="2"/>
    </row>
    <row r="4493">
      <c r="A4493" s="2"/>
      <c r="B4493" s="8"/>
      <c r="C4493" s="8" t="str">
        <f>IFERROR(__xludf.DUMMYFUNCTION("""COMPUTED_VALUE"""),"")</f>
        <v/>
      </c>
      <c r="D4493" s="8" t="str">
        <f>IFERROR(__xludf.DUMMYFUNCTION("""COMPUTED_VALUE"""),"")</f>
        <v/>
      </c>
      <c r="E4493" s="2"/>
    </row>
    <row r="4494">
      <c r="A4494" s="2"/>
      <c r="B4494" s="8"/>
      <c r="C4494" s="8" t="str">
        <f>IFERROR(__xludf.DUMMYFUNCTION("""COMPUTED_VALUE"""),"")</f>
        <v/>
      </c>
      <c r="D4494" s="8" t="str">
        <f>IFERROR(__xludf.DUMMYFUNCTION("""COMPUTED_VALUE"""),"")</f>
        <v/>
      </c>
      <c r="E4494" s="2"/>
    </row>
    <row r="4495">
      <c r="A4495" s="2"/>
      <c r="B4495" s="8"/>
      <c r="C4495" s="8" t="str">
        <f>IFERROR(__xludf.DUMMYFUNCTION("""COMPUTED_VALUE"""),"")</f>
        <v/>
      </c>
      <c r="D4495" s="8" t="str">
        <f>IFERROR(__xludf.DUMMYFUNCTION("""COMPUTED_VALUE"""),"")</f>
        <v/>
      </c>
      <c r="E4495" s="2"/>
    </row>
    <row r="4496">
      <c r="A4496" s="2"/>
      <c r="B4496" s="8"/>
      <c r="C4496" s="8" t="str">
        <f>IFERROR(__xludf.DUMMYFUNCTION("""COMPUTED_VALUE"""),"")</f>
        <v/>
      </c>
      <c r="D4496" s="8" t="str">
        <f>IFERROR(__xludf.DUMMYFUNCTION("""COMPUTED_VALUE"""),"")</f>
        <v/>
      </c>
      <c r="E4496" s="2"/>
    </row>
    <row r="4497">
      <c r="A4497" s="2"/>
      <c r="B4497" s="8"/>
      <c r="C4497" s="8" t="str">
        <f>IFERROR(__xludf.DUMMYFUNCTION("""COMPUTED_VALUE"""),"")</f>
        <v/>
      </c>
      <c r="D4497" s="8" t="str">
        <f>IFERROR(__xludf.DUMMYFUNCTION("""COMPUTED_VALUE"""),"")</f>
        <v/>
      </c>
      <c r="E4497" s="2"/>
    </row>
    <row r="4498">
      <c r="A4498" s="2"/>
      <c r="B4498" s="8"/>
      <c r="C4498" s="8" t="str">
        <f>IFERROR(__xludf.DUMMYFUNCTION("""COMPUTED_VALUE"""),"")</f>
        <v/>
      </c>
      <c r="D4498" s="8" t="str">
        <f>IFERROR(__xludf.DUMMYFUNCTION("""COMPUTED_VALUE"""),"")</f>
        <v/>
      </c>
      <c r="E4498" s="2"/>
    </row>
    <row r="4499">
      <c r="A4499" s="2"/>
      <c r="B4499" s="8"/>
      <c r="C4499" s="8" t="str">
        <f>IFERROR(__xludf.DUMMYFUNCTION("""COMPUTED_VALUE"""),"")</f>
        <v/>
      </c>
      <c r="D4499" s="8" t="str">
        <f>IFERROR(__xludf.DUMMYFUNCTION("""COMPUTED_VALUE"""),"")</f>
        <v/>
      </c>
      <c r="E4499" s="2"/>
    </row>
    <row r="4500">
      <c r="A4500" s="2"/>
      <c r="B4500" s="8"/>
      <c r="C4500" s="8" t="str">
        <f>IFERROR(__xludf.DUMMYFUNCTION("""COMPUTED_VALUE"""),"")</f>
        <v/>
      </c>
      <c r="D4500" s="8" t="str">
        <f>IFERROR(__xludf.DUMMYFUNCTION("""COMPUTED_VALUE"""),"")</f>
        <v/>
      </c>
      <c r="E4500" s="2"/>
    </row>
    <row r="4501">
      <c r="A4501" s="2"/>
      <c r="B4501" s="8"/>
      <c r="C4501" s="8" t="str">
        <f>IFERROR(__xludf.DUMMYFUNCTION("""COMPUTED_VALUE"""),"")</f>
        <v/>
      </c>
      <c r="D4501" s="8" t="str">
        <f>IFERROR(__xludf.DUMMYFUNCTION("""COMPUTED_VALUE"""),"")</f>
        <v/>
      </c>
      <c r="E4501" s="2"/>
    </row>
    <row r="4502">
      <c r="A4502" s="2"/>
      <c r="B4502" s="8"/>
      <c r="C4502" s="8" t="str">
        <f>IFERROR(__xludf.DUMMYFUNCTION("""COMPUTED_VALUE"""),"")</f>
        <v/>
      </c>
      <c r="D4502" s="8" t="str">
        <f>IFERROR(__xludf.DUMMYFUNCTION("""COMPUTED_VALUE"""),"")</f>
        <v/>
      </c>
      <c r="E4502" s="2"/>
    </row>
    <row r="4503">
      <c r="A4503" s="2"/>
      <c r="B4503" s="8"/>
      <c r="C4503" s="8" t="str">
        <f>IFERROR(__xludf.DUMMYFUNCTION("""COMPUTED_VALUE"""),"")</f>
        <v/>
      </c>
      <c r="D4503" s="8" t="str">
        <f>IFERROR(__xludf.DUMMYFUNCTION("""COMPUTED_VALUE"""),"")</f>
        <v/>
      </c>
      <c r="E4503" s="2"/>
    </row>
    <row r="4504">
      <c r="A4504" s="2"/>
      <c r="B4504" s="8"/>
      <c r="C4504" s="8" t="str">
        <f>IFERROR(__xludf.DUMMYFUNCTION("""COMPUTED_VALUE"""),"")</f>
        <v/>
      </c>
      <c r="D4504" s="8" t="str">
        <f>IFERROR(__xludf.DUMMYFUNCTION("""COMPUTED_VALUE"""),"")</f>
        <v/>
      </c>
      <c r="E4504" s="2"/>
    </row>
    <row r="4505">
      <c r="A4505" s="2"/>
      <c r="B4505" s="8"/>
      <c r="C4505" s="8" t="str">
        <f>IFERROR(__xludf.DUMMYFUNCTION("""COMPUTED_VALUE"""),"")</f>
        <v/>
      </c>
      <c r="D4505" s="8" t="str">
        <f>IFERROR(__xludf.DUMMYFUNCTION("""COMPUTED_VALUE"""),"")</f>
        <v/>
      </c>
      <c r="E4505" s="2"/>
    </row>
    <row r="4506">
      <c r="A4506" s="2"/>
      <c r="B4506" s="8"/>
      <c r="C4506" s="8" t="str">
        <f>IFERROR(__xludf.DUMMYFUNCTION("""COMPUTED_VALUE"""),"")</f>
        <v/>
      </c>
      <c r="D4506" s="8" t="str">
        <f>IFERROR(__xludf.DUMMYFUNCTION("""COMPUTED_VALUE"""),"")</f>
        <v/>
      </c>
      <c r="E4506" s="2"/>
    </row>
    <row r="4507">
      <c r="A4507" s="2"/>
      <c r="B4507" s="8"/>
      <c r="C4507" s="8" t="str">
        <f>IFERROR(__xludf.DUMMYFUNCTION("""COMPUTED_VALUE"""),"")</f>
        <v/>
      </c>
      <c r="D4507" s="8" t="str">
        <f>IFERROR(__xludf.DUMMYFUNCTION("""COMPUTED_VALUE"""),"")</f>
        <v/>
      </c>
      <c r="E4507" s="2"/>
    </row>
    <row r="4508">
      <c r="A4508" s="2"/>
      <c r="B4508" s="8"/>
      <c r="C4508" s="8" t="str">
        <f>IFERROR(__xludf.DUMMYFUNCTION("""COMPUTED_VALUE"""),"")</f>
        <v/>
      </c>
      <c r="D4508" s="8" t="str">
        <f>IFERROR(__xludf.DUMMYFUNCTION("""COMPUTED_VALUE"""),"")</f>
        <v/>
      </c>
      <c r="E4508" s="2"/>
    </row>
    <row r="4509">
      <c r="A4509" s="2"/>
      <c r="B4509" s="8"/>
      <c r="C4509" s="8" t="str">
        <f>IFERROR(__xludf.DUMMYFUNCTION("""COMPUTED_VALUE"""),"")</f>
        <v/>
      </c>
      <c r="D4509" s="8" t="str">
        <f>IFERROR(__xludf.DUMMYFUNCTION("""COMPUTED_VALUE"""),"")</f>
        <v/>
      </c>
      <c r="E4509" s="2"/>
    </row>
    <row r="4510">
      <c r="A4510" s="2"/>
      <c r="B4510" s="8"/>
      <c r="C4510" s="8" t="str">
        <f>IFERROR(__xludf.DUMMYFUNCTION("""COMPUTED_VALUE"""),"")</f>
        <v/>
      </c>
      <c r="D4510" s="8" t="str">
        <f>IFERROR(__xludf.DUMMYFUNCTION("""COMPUTED_VALUE"""),"")</f>
        <v/>
      </c>
      <c r="E4510" s="2"/>
    </row>
    <row r="4511">
      <c r="A4511" s="2"/>
      <c r="B4511" s="8"/>
      <c r="C4511" s="8" t="str">
        <f>IFERROR(__xludf.DUMMYFUNCTION("""COMPUTED_VALUE"""),"")</f>
        <v/>
      </c>
      <c r="D4511" s="8" t="str">
        <f>IFERROR(__xludf.DUMMYFUNCTION("""COMPUTED_VALUE"""),"")</f>
        <v/>
      </c>
      <c r="E4511" s="2"/>
    </row>
    <row r="4512">
      <c r="A4512" s="2"/>
      <c r="B4512" s="8"/>
      <c r="C4512" s="8" t="str">
        <f>IFERROR(__xludf.DUMMYFUNCTION("""COMPUTED_VALUE"""),"")</f>
        <v/>
      </c>
      <c r="D4512" s="8" t="str">
        <f>IFERROR(__xludf.DUMMYFUNCTION("""COMPUTED_VALUE"""),"")</f>
        <v/>
      </c>
      <c r="E4512" s="2"/>
    </row>
    <row r="4513">
      <c r="A4513" s="2"/>
      <c r="B4513" s="8"/>
      <c r="C4513" s="8" t="str">
        <f>IFERROR(__xludf.DUMMYFUNCTION("""COMPUTED_VALUE"""),"")</f>
        <v/>
      </c>
      <c r="D4513" s="8" t="str">
        <f>IFERROR(__xludf.DUMMYFUNCTION("""COMPUTED_VALUE"""),"")</f>
        <v/>
      </c>
      <c r="E4513" s="2"/>
    </row>
    <row r="4514">
      <c r="A4514" s="2"/>
      <c r="B4514" s="8"/>
      <c r="C4514" s="8" t="str">
        <f>IFERROR(__xludf.DUMMYFUNCTION("""COMPUTED_VALUE"""),"")</f>
        <v/>
      </c>
      <c r="D4514" s="8" t="str">
        <f>IFERROR(__xludf.DUMMYFUNCTION("""COMPUTED_VALUE"""),"")</f>
        <v/>
      </c>
      <c r="E4514" s="2"/>
    </row>
    <row r="4515">
      <c r="A4515" s="2"/>
      <c r="B4515" s="8"/>
      <c r="C4515" s="8" t="str">
        <f>IFERROR(__xludf.DUMMYFUNCTION("""COMPUTED_VALUE"""),"")</f>
        <v/>
      </c>
      <c r="D4515" s="8" t="str">
        <f>IFERROR(__xludf.DUMMYFUNCTION("""COMPUTED_VALUE"""),"")</f>
        <v/>
      </c>
      <c r="E4515" s="2"/>
    </row>
    <row r="4516">
      <c r="A4516" s="2"/>
      <c r="B4516" s="8"/>
      <c r="C4516" s="8" t="str">
        <f>IFERROR(__xludf.DUMMYFUNCTION("""COMPUTED_VALUE"""),"")</f>
        <v/>
      </c>
      <c r="D4516" s="8" t="str">
        <f>IFERROR(__xludf.DUMMYFUNCTION("""COMPUTED_VALUE"""),"")</f>
        <v/>
      </c>
      <c r="E4516" s="2"/>
    </row>
    <row r="4517">
      <c r="A4517" s="2"/>
      <c r="B4517" s="8"/>
      <c r="C4517" s="8" t="str">
        <f>IFERROR(__xludf.DUMMYFUNCTION("""COMPUTED_VALUE"""),"")</f>
        <v/>
      </c>
      <c r="D4517" s="8" t="str">
        <f>IFERROR(__xludf.DUMMYFUNCTION("""COMPUTED_VALUE"""),"")</f>
        <v/>
      </c>
      <c r="E4517" s="2"/>
    </row>
    <row r="4518">
      <c r="A4518" s="2"/>
      <c r="B4518" s="8"/>
      <c r="C4518" s="8" t="str">
        <f>IFERROR(__xludf.DUMMYFUNCTION("""COMPUTED_VALUE"""),"")</f>
        <v/>
      </c>
      <c r="D4518" s="8" t="str">
        <f>IFERROR(__xludf.DUMMYFUNCTION("""COMPUTED_VALUE"""),"")</f>
        <v/>
      </c>
      <c r="E4518" s="2"/>
    </row>
    <row r="4519">
      <c r="A4519" s="2"/>
      <c r="B4519" s="8"/>
      <c r="C4519" s="8" t="str">
        <f>IFERROR(__xludf.DUMMYFUNCTION("""COMPUTED_VALUE"""),"")</f>
        <v/>
      </c>
      <c r="D4519" s="8" t="str">
        <f>IFERROR(__xludf.DUMMYFUNCTION("""COMPUTED_VALUE"""),"")</f>
        <v/>
      </c>
      <c r="E4519" s="2"/>
    </row>
    <row r="4520">
      <c r="A4520" s="2"/>
      <c r="B4520" s="8"/>
      <c r="C4520" s="8" t="str">
        <f>IFERROR(__xludf.DUMMYFUNCTION("""COMPUTED_VALUE"""),"")</f>
        <v/>
      </c>
      <c r="D4520" s="8" t="str">
        <f>IFERROR(__xludf.DUMMYFUNCTION("""COMPUTED_VALUE"""),"")</f>
        <v/>
      </c>
      <c r="E4520" s="2"/>
    </row>
    <row r="4521">
      <c r="A4521" s="2"/>
      <c r="B4521" s="8"/>
      <c r="C4521" s="8" t="str">
        <f>IFERROR(__xludf.DUMMYFUNCTION("""COMPUTED_VALUE"""),"")</f>
        <v/>
      </c>
      <c r="D4521" s="8" t="str">
        <f>IFERROR(__xludf.DUMMYFUNCTION("""COMPUTED_VALUE"""),"")</f>
        <v/>
      </c>
      <c r="E4521" s="2"/>
    </row>
    <row r="4522">
      <c r="A4522" s="2"/>
      <c r="B4522" s="8"/>
      <c r="C4522" s="8" t="str">
        <f>IFERROR(__xludf.DUMMYFUNCTION("""COMPUTED_VALUE"""),"")</f>
        <v/>
      </c>
      <c r="D4522" s="8" t="str">
        <f>IFERROR(__xludf.DUMMYFUNCTION("""COMPUTED_VALUE"""),"")</f>
        <v/>
      </c>
      <c r="E4522" s="2"/>
    </row>
    <row r="4523">
      <c r="A4523" s="2"/>
      <c r="B4523" s="8"/>
      <c r="C4523" s="8" t="str">
        <f>IFERROR(__xludf.DUMMYFUNCTION("""COMPUTED_VALUE"""),"")</f>
        <v/>
      </c>
      <c r="D4523" s="8" t="str">
        <f>IFERROR(__xludf.DUMMYFUNCTION("""COMPUTED_VALUE"""),"")</f>
        <v/>
      </c>
      <c r="E4523" s="2"/>
    </row>
    <row r="4524">
      <c r="A4524" s="2"/>
      <c r="B4524" s="8"/>
      <c r="C4524" s="8" t="str">
        <f>IFERROR(__xludf.DUMMYFUNCTION("""COMPUTED_VALUE"""),"")</f>
        <v/>
      </c>
      <c r="D4524" s="8" t="str">
        <f>IFERROR(__xludf.DUMMYFUNCTION("""COMPUTED_VALUE"""),"")</f>
        <v/>
      </c>
      <c r="E4524" s="2"/>
    </row>
    <row r="4525">
      <c r="A4525" s="2"/>
      <c r="B4525" s="8"/>
      <c r="C4525" s="8" t="str">
        <f>IFERROR(__xludf.DUMMYFUNCTION("""COMPUTED_VALUE"""),"")</f>
        <v/>
      </c>
      <c r="D4525" s="8" t="str">
        <f>IFERROR(__xludf.DUMMYFUNCTION("""COMPUTED_VALUE"""),"")</f>
        <v/>
      </c>
      <c r="E4525" s="2"/>
    </row>
    <row r="4526">
      <c r="A4526" s="2"/>
      <c r="B4526" s="8"/>
      <c r="C4526" s="8" t="str">
        <f>IFERROR(__xludf.DUMMYFUNCTION("""COMPUTED_VALUE"""),"")</f>
        <v/>
      </c>
      <c r="D4526" s="8" t="str">
        <f>IFERROR(__xludf.DUMMYFUNCTION("""COMPUTED_VALUE"""),"")</f>
        <v/>
      </c>
      <c r="E4526" s="2"/>
    </row>
    <row r="4527">
      <c r="A4527" s="2"/>
      <c r="B4527" s="8"/>
      <c r="C4527" s="8" t="str">
        <f>IFERROR(__xludf.DUMMYFUNCTION("""COMPUTED_VALUE"""),"")</f>
        <v/>
      </c>
      <c r="D4527" s="8" t="str">
        <f>IFERROR(__xludf.DUMMYFUNCTION("""COMPUTED_VALUE"""),"")</f>
        <v/>
      </c>
      <c r="E4527" s="2"/>
    </row>
    <row r="4528">
      <c r="A4528" s="2"/>
      <c r="B4528" s="8"/>
      <c r="C4528" s="8" t="str">
        <f>IFERROR(__xludf.DUMMYFUNCTION("""COMPUTED_VALUE"""),"")</f>
        <v/>
      </c>
      <c r="D4528" s="8" t="str">
        <f>IFERROR(__xludf.DUMMYFUNCTION("""COMPUTED_VALUE"""),"")</f>
        <v/>
      </c>
      <c r="E4528" s="2"/>
    </row>
    <row r="4529">
      <c r="A4529" s="2"/>
      <c r="B4529" s="8"/>
      <c r="C4529" s="8" t="str">
        <f>IFERROR(__xludf.DUMMYFUNCTION("""COMPUTED_VALUE"""),"")</f>
        <v/>
      </c>
      <c r="D4529" s="8" t="str">
        <f>IFERROR(__xludf.DUMMYFUNCTION("""COMPUTED_VALUE"""),"")</f>
        <v/>
      </c>
      <c r="E4529" s="2"/>
    </row>
    <row r="4530">
      <c r="A4530" s="2"/>
      <c r="B4530" s="8"/>
      <c r="C4530" s="8" t="str">
        <f>IFERROR(__xludf.DUMMYFUNCTION("""COMPUTED_VALUE"""),"")</f>
        <v/>
      </c>
      <c r="D4530" s="8" t="str">
        <f>IFERROR(__xludf.DUMMYFUNCTION("""COMPUTED_VALUE"""),"")</f>
        <v/>
      </c>
      <c r="E4530" s="2"/>
    </row>
    <row r="4531">
      <c r="A4531" s="2"/>
      <c r="B4531" s="8"/>
      <c r="C4531" s="8" t="str">
        <f>IFERROR(__xludf.DUMMYFUNCTION("""COMPUTED_VALUE"""),"")</f>
        <v/>
      </c>
      <c r="D4531" s="8" t="str">
        <f>IFERROR(__xludf.DUMMYFUNCTION("""COMPUTED_VALUE"""),"")</f>
        <v/>
      </c>
      <c r="E4531" s="2"/>
    </row>
    <row r="4532">
      <c r="A4532" s="2"/>
      <c r="B4532" s="8"/>
      <c r="C4532" s="8" t="str">
        <f>IFERROR(__xludf.DUMMYFUNCTION("""COMPUTED_VALUE"""),"")</f>
        <v/>
      </c>
      <c r="D4532" s="8" t="str">
        <f>IFERROR(__xludf.DUMMYFUNCTION("""COMPUTED_VALUE"""),"")</f>
        <v/>
      </c>
      <c r="E4532" s="2"/>
    </row>
    <row r="4533">
      <c r="A4533" s="2"/>
      <c r="B4533" s="8"/>
      <c r="C4533" s="8" t="str">
        <f>IFERROR(__xludf.DUMMYFUNCTION("""COMPUTED_VALUE"""),"")</f>
        <v/>
      </c>
      <c r="D4533" s="8" t="str">
        <f>IFERROR(__xludf.DUMMYFUNCTION("""COMPUTED_VALUE"""),"")</f>
        <v/>
      </c>
      <c r="E4533" s="2"/>
    </row>
    <row r="4534">
      <c r="A4534" s="2"/>
      <c r="B4534" s="8"/>
      <c r="C4534" s="8" t="str">
        <f>IFERROR(__xludf.DUMMYFUNCTION("""COMPUTED_VALUE"""),"")</f>
        <v/>
      </c>
      <c r="D4534" s="8" t="str">
        <f>IFERROR(__xludf.DUMMYFUNCTION("""COMPUTED_VALUE"""),"")</f>
        <v/>
      </c>
      <c r="E4534" s="2"/>
    </row>
    <row r="4535">
      <c r="A4535" s="2"/>
      <c r="B4535" s="8"/>
      <c r="C4535" s="8" t="str">
        <f>IFERROR(__xludf.DUMMYFUNCTION("""COMPUTED_VALUE"""),"")</f>
        <v/>
      </c>
      <c r="D4535" s="8" t="str">
        <f>IFERROR(__xludf.DUMMYFUNCTION("""COMPUTED_VALUE"""),"")</f>
        <v/>
      </c>
      <c r="E4535" s="2"/>
    </row>
    <row r="4536">
      <c r="A4536" s="2"/>
      <c r="B4536" s="8"/>
      <c r="C4536" s="8" t="str">
        <f>IFERROR(__xludf.DUMMYFUNCTION("""COMPUTED_VALUE"""),"")</f>
        <v/>
      </c>
      <c r="D4536" s="8" t="str">
        <f>IFERROR(__xludf.DUMMYFUNCTION("""COMPUTED_VALUE"""),"")</f>
        <v/>
      </c>
      <c r="E4536" s="2"/>
    </row>
    <row r="4537">
      <c r="A4537" s="2"/>
      <c r="B4537" s="8"/>
      <c r="C4537" s="8" t="str">
        <f>IFERROR(__xludf.DUMMYFUNCTION("""COMPUTED_VALUE"""),"")</f>
        <v/>
      </c>
      <c r="D4537" s="8" t="str">
        <f>IFERROR(__xludf.DUMMYFUNCTION("""COMPUTED_VALUE"""),"")</f>
        <v/>
      </c>
      <c r="E4537" s="2"/>
    </row>
    <row r="4538">
      <c r="A4538" s="2"/>
      <c r="B4538" s="8"/>
      <c r="C4538" s="8" t="str">
        <f>IFERROR(__xludf.DUMMYFUNCTION("""COMPUTED_VALUE"""),"")</f>
        <v/>
      </c>
      <c r="D4538" s="8" t="str">
        <f>IFERROR(__xludf.DUMMYFUNCTION("""COMPUTED_VALUE"""),"")</f>
        <v/>
      </c>
      <c r="E4538" s="2"/>
    </row>
    <row r="4539">
      <c r="A4539" s="2"/>
      <c r="B4539" s="8"/>
      <c r="C4539" s="8" t="str">
        <f>IFERROR(__xludf.DUMMYFUNCTION("""COMPUTED_VALUE"""),"")</f>
        <v/>
      </c>
      <c r="D4539" s="8" t="str">
        <f>IFERROR(__xludf.DUMMYFUNCTION("""COMPUTED_VALUE"""),"")</f>
        <v/>
      </c>
      <c r="E4539" s="2"/>
    </row>
    <row r="4540">
      <c r="A4540" s="2"/>
      <c r="B4540" s="8"/>
      <c r="C4540" s="8" t="str">
        <f>IFERROR(__xludf.DUMMYFUNCTION("""COMPUTED_VALUE"""),"")</f>
        <v/>
      </c>
      <c r="D4540" s="8" t="str">
        <f>IFERROR(__xludf.DUMMYFUNCTION("""COMPUTED_VALUE"""),"")</f>
        <v/>
      </c>
      <c r="E4540" s="2"/>
    </row>
    <row r="4541">
      <c r="A4541" s="2"/>
      <c r="B4541" s="8"/>
      <c r="C4541" s="8" t="str">
        <f>IFERROR(__xludf.DUMMYFUNCTION("""COMPUTED_VALUE"""),"")</f>
        <v/>
      </c>
      <c r="D4541" s="8" t="str">
        <f>IFERROR(__xludf.DUMMYFUNCTION("""COMPUTED_VALUE"""),"")</f>
        <v/>
      </c>
      <c r="E4541" s="2"/>
    </row>
    <row r="4542">
      <c r="A4542" s="2"/>
      <c r="B4542" s="8"/>
      <c r="C4542" s="8" t="str">
        <f>IFERROR(__xludf.DUMMYFUNCTION("""COMPUTED_VALUE"""),"")</f>
        <v/>
      </c>
      <c r="D4542" s="8" t="str">
        <f>IFERROR(__xludf.DUMMYFUNCTION("""COMPUTED_VALUE"""),"")</f>
        <v/>
      </c>
      <c r="E4542" s="2"/>
    </row>
    <row r="4543">
      <c r="A4543" s="2"/>
      <c r="B4543" s="8"/>
      <c r="C4543" s="8" t="str">
        <f>IFERROR(__xludf.DUMMYFUNCTION("""COMPUTED_VALUE"""),"")</f>
        <v/>
      </c>
      <c r="D4543" s="8" t="str">
        <f>IFERROR(__xludf.DUMMYFUNCTION("""COMPUTED_VALUE"""),"")</f>
        <v/>
      </c>
      <c r="E4543" s="2"/>
    </row>
    <row r="4544">
      <c r="A4544" s="2"/>
      <c r="B4544" s="8"/>
      <c r="C4544" s="8" t="str">
        <f>IFERROR(__xludf.DUMMYFUNCTION("""COMPUTED_VALUE"""),"")</f>
        <v/>
      </c>
      <c r="D4544" s="8" t="str">
        <f>IFERROR(__xludf.DUMMYFUNCTION("""COMPUTED_VALUE"""),"")</f>
        <v/>
      </c>
      <c r="E4544" s="2"/>
    </row>
    <row r="4545">
      <c r="A4545" s="2"/>
      <c r="B4545" s="8"/>
      <c r="C4545" s="8" t="str">
        <f>IFERROR(__xludf.DUMMYFUNCTION("""COMPUTED_VALUE"""),"")</f>
        <v/>
      </c>
      <c r="D4545" s="8" t="str">
        <f>IFERROR(__xludf.DUMMYFUNCTION("""COMPUTED_VALUE"""),"")</f>
        <v/>
      </c>
      <c r="E4545" s="2"/>
    </row>
    <row r="4546">
      <c r="A4546" s="2"/>
      <c r="B4546" s="8"/>
      <c r="C4546" s="8" t="str">
        <f>IFERROR(__xludf.DUMMYFUNCTION("""COMPUTED_VALUE"""),"")</f>
        <v/>
      </c>
      <c r="D4546" s="8" t="str">
        <f>IFERROR(__xludf.DUMMYFUNCTION("""COMPUTED_VALUE"""),"")</f>
        <v/>
      </c>
      <c r="E4546" s="2"/>
    </row>
    <row r="4547">
      <c r="A4547" s="2"/>
      <c r="B4547" s="8"/>
      <c r="C4547" s="8" t="str">
        <f>IFERROR(__xludf.DUMMYFUNCTION("""COMPUTED_VALUE"""),"")</f>
        <v/>
      </c>
      <c r="D4547" s="8" t="str">
        <f>IFERROR(__xludf.DUMMYFUNCTION("""COMPUTED_VALUE"""),"")</f>
        <v/>
      </c>
      <c r="E4547" s="2"/>
    </row>
    <row r="4548">
      <c r="A4548" s="2"/>
      <c r="B4548" s="8"/>
      <c r="C4548" s="8" t="str">
        <f>IFERROR(__xludf.DUMMYFUNCTION("""COMPUTED_VALUE"""),"")</f>
        <v/>
      </c>
      <c r="D4548" s="8" t="str">
        <f>IFERROR(__xludf.DUMMYFUNCTION("""COMPUTED_VALUE"""),"")</f>
        <v/>
      </c>
      <c r="E4548" s="2"/>
    </row>
    <row r="4549">
      <c r="A4549" s="2"/>
      <c r="B4549" s="8"/>
      <c r="C4549" s="8" t="str">
        <f>IFERROR(__xludf.DUMMYFUNCTION("""COMPUTED_VALUE"""),"")</f>
        <v/>
      </c>
      <c r="D4549" s="8" t="str">
        <f>IFERROR(__xludf.DUMMYFUNCTION("""COMPUTED_VALUE"""),"")</f>
        <v/>
      </c>
      <c r="E4549" s="2"/>
    </row>
    <row r="4550">
      <c r="A4550" s="2"/>
      <c r="B4550" s="8"/>
      <c r="C4550" s="8" t="str">
        <f>IFERROR(__xludf.DUMMYFUNCTION("""COMPUTED_VALUE"""),"")</f>
        <v/>
      </c>
      <c r="D4550" s="8" t="str">
        <f>IFERROR(__xludf.DUMMYFUNCTION("""COMPUTED_VALUE"""),"")</f>
        <v/>
      </c>
      <c r="E4550" s="2"/>
    </row>
    <row r="4551">
      <c r="A4551" s="2"/>
      <c r="B4551" s="8"/>
      <c r="C4551" s="8" t="str">
        <f>IFERROR(__xludf.DUMMYFUNCTION("""COMPUTED_VALUE"""),"")</f>
        <v/>
      </c>
      <c r="D4551" s="8" t="str">
        <f>IFERROR(__xludf.DUMMYFUNCTION("""COMPUTED_VALUE"""),"")</f>
        <v/>
      </c>
      <c r="E4551" s="2"/>
    </row>
    <row r="4552">
      <c r="A4552" s="2"/>
      <c r="B4552" s="8"/>
      <c r="C4552" s="8" t="str">
        <f>IFERROR(__xludf.DUMMYFUNCTION("""COMPUTED_VALUE"""),"")</f>
        <v/>
      </c>
      <c r="D4552" s="8" t="str">
        <f>IFERROR(__xludf.DUMMYFUNCTION("""COMPUTED_VALUE"""),"")</f>
        <v/>
      </c>
      <c r="E4552" s="2"/>
    </row>
    <row r="4553">
      <c r="A4553" s="2"/>
      <c r="B4553" s="8"/>
      <c r="C4553" s="8" t="str">
        <f>IFERROR(__xludf.DUMMYFUNCTION("""COMPUTED_VALUE"""),"")</f>
        <v/>
      </c>
      <c r="D4553" s="8" t="str">
        <f>IFERROR(__xludf.DUMMYFUNCTION("""COMPUTED_VALUE"""),"")</f>
        <v/>
      </c>
      <c r="E4553" s="2"/>
    </row>
    <row r="4554">
      <c r="A4554" s="2"/>
      <c r="B4554" s="8"/>
      <c r="C4554" s="8" t="str">
        <f>IFERROR(__xludf.DUMMYFUNCTION("""COMPUTED_VALUE"""),"")</f>
        <v/>
      </c>
      <c r="D4554" s="8" t="str">
        <f>IFERROR(__xludf.DUMMYFUNCTION("""COMPUTED_VALUE"""),"")</f>
        <v/>
      </c>
      <c r="E4554" s="2"/>
    </row>
    <row r="4555">
      <c r="A4555" s="2"/>
      <c r="B4555" s="8"/>
      <c r="C4555" s="8" t="str">
        <f>IFERROR(__xludf.DUMMYFUNCTION("""COMPUTED_VALUE"""),"")</f>
        <v/>
      </c>
      <c r="D4555" s="8" t="str">
        <f>IFERROR(__xludf.DUMMYFUNCTION("""COMPUTED_VALUE"""),"")</f>
        <v/>
      </c>
      <c r="E4555" s="2"/>
    </row>
    <row r="4556">
      <c r="A4556" s="2"/>
      <c r="B4556" s="8"/>
      <c r="C4556" s="8" t="str">
        <f>IFERROR(__xludf.DUMMYFUNCTION("""COMPUTED_VALUE"""),"")</f>
        <v/>
      </c>
      <c r="D4556" s="8" t="str">
        <f>IFERROR(__xludf.DUMMYFUNCTION("""COMPUTED_VALUE"""),"")</f>
        <v/>
      </c>
      <c r="E4556" s="2"/>
    </row>
    <row r="4557">
      <c r="A4557" s="2"/>
      <c r="B4557" s="8"/>
      <c r="C4557" s="8" t="str">
        <f>IFERROR(__xludf.DUMMYFUNCTION("""COMPUTED_VALUE"""),"")</f>
        <v/>
      </c>
      <c r="D4557" s="8" t="str">
        <f>IFERROR(__xludf.DUMMYFUNCTION("""COMPUTED_VALUE"""),"")</f>
        <v/>
      </c>
      <c r="E4557" s="2"/>
    </row>
    <row r="4558">
      <c r="A4558" s="2"/>
      <c r="B4558" s="8"/>
      <c r="C4558" s="8" t="str">
        <f>IFERROR(__xludf.DUMMYFUNCTION("""COMPUTED_VALUE"""),"")</f>
        <v/>
      </c>
      <c r="D4558" s="8" t="str">
        <f>IFERROR(__xludf.DUMMYFUNCTION("""COMPUTED_VALUE"""),"")</f>
        <v/>
      </c>
      <c r="E4558" s="2"/>
    </row>
    <row r="4559">
      <c r="A4559" s="2"/>
      <c r="B4559" s="8"/>
      <c r="C4559" s="8" t="str">
        <f>IFERROR(__xludf.DUMMYFUNCTION("""COMPUTED_VALUE"""),"")</f>
        <v/>
      </c>
      <c r="D4559" s="8" t="str">
        <f>IFERROR(__xludf.DUMMYFUNCTION("""COMPUTED_VALUE"""),"")</f>
        <v/>
      </c>
      <c r="E4559" s="2"/>
    </row>
    <row r="4560">
      <c r="A4560" s="2"/>
      <c r="B4560" s="8"/>
      <c r="C4560" s="8" t="str">
        <f>IFERROR(__xludf.DUMMYFUNCTION("""COMPUTED_VALUE"""),"")</f>
        <v/>
      </c>
      <c r="D4560" s="8" t="str">
        <f>IFERROR(__xludf.DUMMYFUNCTION("""COMPUTED_VALUE"""),"")</f>
        <v/>
      </c>
      <c r="E4560" s="2"/>
    </row>
    <row r="4561">
      <c r="A4561" s="2"/>
      <c r="B4561" s="8"/>
      <c r="C4561" s="8" t="str">
        <f>IFERROR(__xludf.DUMMYFUNCTION("""COMPUTED_VALUE"""),"")</f>
        <v/>
      </c>
      <c r="D4561" s="8" t="str">
        <f>IFERROR(__xludf.DUMMYFUNCTION("""COMPUTED_VALUE"""),"")</f>
        <v/>
      </c>
      <c r="E4561" s="2"/>
    </row>
    <row r="4562">
      <c r="A4562" s="2"/>
      <c r="B4562" s="8"/>
      <c r="C4562" s="8" t="str">
        <f>IFERROR(__xludf.DUMMYFUNCTION("""COMPUTED_VALUE"""),"")</f>
        <v/>
      </c>
      <c r="D4562" s="8" t="str">
        <f>IFERROR(__xludf.DUMMYFUNCTION("""COMPUTED_VALUE"""),"")</f>
        <v/>
      </c>
      <c r="E4562" s="2"/>
    </row>
    <row r="4563">
      <c r="A4563" s="2"/>
      <c r="B4563" s="8"/>
      <c r="C4563" s="8" t="str">
        <f>IFERROR(__xludf.DUMMYFUNCTION("""COMPUTED_VALUE"""),"")</f>
        <v/>
      </c>
      <c r="D4563" s="8" t="str">
        <f>IFERROR(__xludf.DUMMYFUNCTION("""COMPUTED_VALUE"""),"")</f>
        <v/>
      </c>
      <c r="E4563" s="2"/>
    </row>
    <row r="4564">
      <c r="A4564" s="2"/>
      <c r="B4564" s="8"/>
      <c r="C4564" s="8" t="str">
        <f>IFERROR(__xludf.DUMMYFUNCTION("""COMPUTED_VALUE"""),"")</f>
        <v/>
      </c>
      <c r="D4564" s="8" t="str">
        <f>IFERROR(__xludf.DUMMYFUNCTION("""COMPUTED_VALUE"""),"")</f>
        <v/>
      </c>
      <c r="E4564" s="2"/>
    </row>
    <row r="4565">
      <c r="A4565" s="2"/>
      <c r="B4565" s="8"/>
      <c r="C4565" s="8" t="str">
        <f>IFERROR(__xludf.DUMMYFUNCTION("""COMPUTED_VALUE"""),"")</f>
        <v/>
      </c>
      <c r="D4565" s="8" t="str">
        <f>IFERROR(__xludf.DUMMYFUNCTION("""COMPUTED_VALUE"""),"")</f>
        <v/>
      </c>
      <c r="E4565" s="2"/>
    </row>
    <row r="4566">
      <c r="A4566" s="2"/>
      <c r="B4566" s="8"/>
      <c r="C4566" s="8" t="str">
        <f>IFERROR(__xludf.DUMMYFUNCTION("""COMPUTED_VALUE"""),"")</f>
        <v/>
      </c>
      <c r="D4566" s="8" t="str">
        <f>IFERROR(__xludf.DUMMYFUNCTION("""COMPUTED_VALUE"""),"")</f>
        <v/>
      </c>
      <c r="E4566" s="2"/>
    </row>
    <row r="4567">
      <c r="A4567" s="2"/>
      <c r="B4567" s="8"/>
      <c r="C4567" s="8" t="str">
        <f>IFERROR(__xludf.DUMMYFUNCTION("""COMPUTED_VALUE"""),"")</f>
        <v/>
      </c>
      <c r="D4567" s="8" t="str">
        <f>IFERROR(__xludf.DUMMYFUNCTION("""COMPUTED_VALUE"""),"")</f>
        <v/>
      </c>
      <c r="E4567" s="2"/>
    </row>
    <row r="4568">
      <c r="A4568" s="2"/>
      <c r="B4568" s="8"/>
      <c r="C4568" s="8" t="str">
        <f>IFERROR(__xludf.DUMMYFUNCTION("""COMPUTED_VALUE"""),"")</f>
        <v/>
      </c>
      <c r="D4568" s="8" t="str">
        <f>IFERROR(__xludf.DUMMYFUNCTION("""COMPUTED_VALUE"""),"")</f>
        <v/>
      </c>
      <c r="E4568" s="2"/>
    </row>
    <row r="4569">
      <c r="A4569" s="2"/>
      <c r="B4569" s="8"/>
      <c r="C4569" s="8" t="str">
        <f>IFERROR(__xludf.DUMMYFUNCTION("""COMPUTED_VALUE"""),"")</f>
        <v/>
      </c>
      <c r="D4569" s="8" t="str">
        <f>IFERROR(__xludf.DUMMYFUNCTION("""COMPUTED_VALUE"""),"")</f>
        <v/>
      </c>
      <c r="E4569" s="2"/>
    </row>
    <row r="4570">
      <c r="A4570" s="2"/>
      <c r="B4570" s="8"/>
      <c r="C4570" s="8" t="str">
        <f>IFERROR(__xludf.DUMMYFUNCTION("""COMPUTED_VALUE"""),"")</f>
        <v/>
      </c>
      <c r="D4570" s="8" t="str">
        <f>IFERROR(__xludf.DUMMYFUNCTION("""COMPUTED_VALUE"""),"")</f>
        <v/>
      </c>
      <c r="E4570" s="2"/>
    </row>
    <row r="4571">
      <c r="A4571" s="2"/>
      <c r="B4571" s="8"/>
      <c r="C4571" s="8" t="str">
        <f>IFERROR(__xludf.DUMMYFUNCTION("""COMPUTED_VALUE"""),"")</f>
        <v/>
      </c>
      <c r="D4571" s="8" t="str">
        <f>IFERROR(__xludf.DUMMYFUNCTION("""COMPUTED_VALUE"""),"")</f>
        <v/>
      </c>
      <c r="E4571" s="2"/>
    </row>
    <row r="4572">
      <c r="A4572" s="2"/>
      <c r="B4572" s="8"/>
      <c r="C4572" s="8" t="str">
        <f>IFERROR(__xludf.DUMMYFUNCTION("""COMPUTED_VALUE"""),"")</f>
        <v/>
      </c>
      <c r="D4572" s="8" t="str">
        <f>IFERROR(__xludf.DUMMYFUNCTION("""COMPUTED_VALUE"""),"")</f>
        <v/>
      </c>
      <c r="E4572" s="2"/>
    </row>
    <row r="4573">
      <c r="A4573" s="2"/>
      <c r="B4573" s="8"/>
      <c r="C4573" s="8" t="str">
        <f>IFERROR(__xludf.DUMMYFUNCTION("""COMPUTED_VALUE"""),"")</f>
        <v/>
      </c>
      <c r="D4573" s="8" t="str">
        <f>IFERROR(__xludf.DUMMYFUNCTION("""COMPUTED_VALUE"""),"")</f>
        <v/>
      </c>
      <c r="E4573" s="2"/>
    </row>
    <row r="4574">
      <c r="A4574" s="2"/>
      <c r="B4574" s="8"/>
      <c r="C4574" s="8" t="str">
        <f>IFERROR(__xludf.DUMMYFUNCTION("""COMPUTED_VALUE"""),"")</f>
        <v/>
      </c>
      <c r="D4574" s="8" t="str">
        <f>IFERROR(__xludf.DUMMYFUNCTION("""COMPUTED_VALUE"""),"")</f>
        <v/>
      </c>
      <c r="E4574" s="2"/>
    </row>
    <row r="4575">
      <c r="A4575" s="2"/>
      <c r="B4575" s="8"/>
      <c r="C4575" s="8" t="str">
        <f>IFERROR(__xludf.DUMMYFUNCTION("""COMPUTED_VALUE"""),"")</f>
        <v/>
      </c>
      <c r="D4575" s="8" t="str">
        <f>IFERROR(__xludf.DUMMYFUNCTION("""COMPUTED_VALUE"""),"")</f>
        <v/>
      </c>
      <c r="E4575" s="2"/>
    </row>
    <row r="4576">
      <c r="A4576" s="2"/>
      <c r="B4576" s="8"/>
      <c r="C4576" s="8" t="str">
        <f>IFERROR(__xludf.DUMMYFUNCTION("""COMPUTED_VALUE"""),"")</f>
        <v/>
      </c>
      <c r="D4576" s="8" t="str">
        <f>IFERROR(__xludf.DUMMYFUNCTION("""COMPUTED_VALUE"""),"")</f>
        <v/>
      </c>
      <c r="E4576" s="2"/>
    </row>
    <row r="4577">
      <c r="A4577" s="2"/>
      <c r="B4577" s="8"/>
      <c r="C4577" s="8" t="str">
        <f>IFERROR(__xludf.DUMMYFUNCTION("""COMPUTED_VALUE"""),"")</f>
        <v/>
      </c>
      <c r="D4577" s="8" t="str">
        <f>IFERROR(__xludf.DUMMYFUNCTION("""COMPUTED_VALUE"""),"")</f>
        <v/>
      </c>
      <c r="E4577" s="2"/>
    </row>
    <row r="4578">
      <c r="A4578" s="2"/>
      <c r="B4578" s="8"/>
      <c r="C4578" s="8" t="str">
        <f>IFERROR(__xludf.DUMMYFUNCTION("""COMPUTED_VALUE"""),"")</f>
        <v/>
      </c>
      <c r="D4578" s="8" t="str">
        <f>IFERROR(__xludf.DUMMYFUNCTION("""COMPUTED_VALUE"""),"")</f>
        <v/>
      </c>
      <c r="E4578" s="2"/>
    </row>
    <row r="4579">
      <c r="A4579" s="2"/>
      <c r="B4579" s="8"/>
      <c r="C4579" s="8" t="str">
        <f>IFERROR(__xludf.DUMMYFUNCTION("""COMPUTED_VALUE"""),"")</f>
        <v/>
      </c>
      <c r="D4579" s="8" t="str">
        <f>IFERROR(__xludf.DUMMYFUNCTION("""COMPUTED_VALUE"""),"")</f>
        <v/>
      </c>
      <c r="E4579" s="2"/>
    </row>
    <row r="4580">
      <c r="A4580" s="2"/>
      <c r="B4580" s="8"/>
      <c r="C4580" s="8" t="str">
        <f>IFERROR(__xludf.DUMMYFUNCTION("""COMPUTED_VALUE"""),"")</f>
        <v/>
      </c>
      <c r="D4580" s="8" t="str">
        <f>IFERROR(__xludf.DUMMYFUNCTION("""COMPUTED_VALUE"""),"")</f>
        <v/>
      </c>
      <c r="E4580" s="2"/>
    </row>
    <row r="4581">
      <c r="A4581" s="2"/>
      <c r="B4581" s="8"/>
      <c r="C4581" s="8" t="str">
        <f>IFERROR(__xludf.DUMMYFUNCTION("""COMPUTED_VALUE"""),"")</f>
        <v/>
      </c>
      <c r="D4581" s="8" t="str">
        <f>IFERROR(__xludf.DUMMYFUNCTION("""COMPUTED_VALUE"""),"")</f>
        <v/>
      </c>
      <c r="E4581" s="2"/>
    </row>
    <row r="4582">
      <c r="A4582" s="2"/>
      <c r="B4582" s="8"/>
      <c r="C4582" s="8" t="str">
        <f>IFERROR(__xludf.DUMMYFUNCTION("""COMPUTED_VALUE"""),"")</f>
        <v/>
      </c>
      <c r="D4582" s="8" t="str">
        <f>IFERROR(__xludf.DUMMYFUNCTION("""COMPUTED_VALUE"""),"")</f>
        <v/>
      </c>
      <c r="E4582" s="2"/>
    </row>
    <row r="4583">
      <c r="A4583" s="2"/>
      <c r="B4583" s="8"/>
      <c r="C4583" s="8" t="str">
        <f>IFERROR(__xludf.DUMMYFUNCTION("""COMPUTED_VALUE"""),"")</f>
        <v/>
      </c>
      <c r="D4583" s="8" t="str">
        <f>IFERROR(__xludf.DUMMYFUNCTION("""COMPUTED_VALUE"""),"")</f>
        <v/>
      </c>
      <c r="E4583" s="2"/>
    </row>
    <row r="4584">
      <c r="A4584" s="2"/>
      <c r="B4584" s="8"/>
      <c r="C4584" s="8" t="str">
        <f>IFERROR(__xludf.DUMMYFUNCTION("""COMPUTED_VALUE"""),"")</f>
        <v/>
      </c>
      <c r="D4584" s="8" t="str">
        <f>IFERROR(__xludf.DUMMYFUNCTION("""COMPUTED_VALUE"""),"")</f>
        <v/>
      </c>
      <c r="E4584" s="2"/>
    </row>
    <row r="4585">
      <c r="A4585" s="2"/>
      <c r="B4585" s="8"/>
      <c r="C4585" s="8" t="str">
        <f>IFERROR(__xludf.DUMMYFUNCTION("""COMPUTED_VALUE"""),"")</f>
        <v/>
      </c>
      <c r="D4585" s="8" t="str">
        <f>IFERROR(__xludf.DUMMYFUNCTION("""COMPUTED_VALUE"""),"")</f>
        <v/>
      </c>
      <c r="E4585" s="2"/>
    </row>
    <row r="4586">
      <c r="A4586" s="2"/>
      <c r="B4586" s="8"/>
      <c r="C4586" s="8" t="str">
        <f>IFERROR(__xludf.DUMMYFUNCTION("""COMPUTED_VALUE"""),"")</f>
        <v/>
      </c>
      <c r="D4586" s="8" t="str">
        <f>IFERROR(__xludf.DUMMYFUNCTION("""COMPUTED_VALUE"""),"")</f>
        <v/>
      </c>
      <c r="E4586" s="2"/>
    </row>
    <row r="4587">
      <c r="A4587" s="2"/>
      <c r="B4587" s="8"/>
      <c r="C4587" s="8" t="str">
        <f>IFERROR(__xludf.DUMMYFUNCTION("""COMPUTED_VALUE"""),"")</f>
        <v/>
      </c>
      <c r="D4587" s="8" t="str">
        <f>IFERROR(__xludf.DUMMYFUNCTION("""COMPUTED_VALUE"""),"")</f>
        <v/>
      </c>
      <c r="E4587" s="2"/>
    </row>
    <row r="4588">
      <c r="A4588" s="2"/>
      <c r="B4588" s="8"/>
      <c r="C4588" s="8" t="str">
        <f>IFERROR(__xludf.DUMMYFUNCTION("""COMPUTED_VALUE"""),"")</f>
        <v/>
      </c>
      <c r="D4588" s="8" t="str">
        <f>IFERROR(__xludf.DUMMYFUNCTION("""COMPUTED_VALUE"""),"")</f>
        <v/>
      </c>
      <c r="E4588" s="2"/>
    </row>
    <row r="4589">
      <c r="A4589" s="2"/>
      <c r="B4589" s="8"/>
      <c r="C4589" s="8" t="str">
        <f>IFERROR(__xludf.DUMMYFUNCTION("""COMPUTED_VALUE"""),"")</f>
        <v/>
      </c>
      <c r="D4589" s="8" t="str">
        <f>IFERROR(__xludf.DUMMYFUNCTION("""COMPUTED_VALUE"""),"")</f>
        <v/>
      </c>
      <c r="E4589" s="2"/>
    </row>
    <row r="4590">
      <c r="A4590" s="2"/>
      <c r="B4590" s="8"/>
      <c r="C4590" s="8" t="str">
        <f>IFERROR(__xludf.DUMMYFUNCTION("""COMPUTED_VALUE"""),"")</f>
        <v/>
      </c>
      <c r="D4590" s="8" t="str">
        <f>IFERROR(__xludf.DUMMYFUNCTION("""COMPUTED_VALUE"""),"")</f>
        <v/>
      </c>
      <c r="E4590" s="2"/>
    </row>
    <row r="4591">
      <c r="A4591" s="2"/>
      <c r="B4591" s="8"/>
      <c r="C4591" s="8" t="str">
        <f>IFERROR(__xludf.DUMMYFUNCTION("""COMPUTED_VALUE"""),"")</f>
        <v/>
      </c>
      <c r="D4591" s="8" t="str">
        <f>IFERROR(__xludf.DUMMYFUNCTION("""COMPUTED_VALUE"""),"")</f>
        <v/>
      </c>
      <c r="E4591" s="2"/>
    </row>
    <row r="4592">
      <c r="A4592" s="2"/>
      <c r="B4592" s="8"/>
      <c r="C4592" s="8" t="str">
        <f>IFERROR(__xludf.DUMMYFUNCTION("""COMPUTED_VALUE"""),"")</f>
        <v/>
      </c>
      <c r="D4592" s="8" t="str">
        <f>IFERROR(__xludf.DUMMYFUNCTION("""COMPUTED_VALUE"""),"")</f>
        <v/>
      </c>
      <c r="E4592" s="2"/>
    </row>
    <row r="4593">
      <c r="A4593" s="2"/>
      <c r="B4593" s="8"/>
      <c r="C4593" s="8" t="str">
        <f>IFERROR(__xludf.DUMMYFUNCTION("""COMPUTED_VALUE"""),"")</f>
        <v/>
      </c>
      <c r="D4593" s="8" t="str">
        <f>IFERROR(__xludf.DUMMYFUNCTION("""COMPUTED_VALUE"""),"")</f>
        <v/>
      </c>
      <c r="E4593" s="2"/>
    </row>
    <row r="4594">
      <c r="A4594" s="2"/>
      <c r="B4594" s="8"/>
      <c r="C4594" s="8" t="str">
        <f>IFERROR(__xludf.DUMMYFUNCTION("""COMPUTED_VALUE"""),"")</f>
        <v/>
      </c>
      <c r="D4594" s="8" t="str">
        <f>IFERROR(__xludf.DUMMYFUNCTION("""COMPUTED_VALUE"""),"")</f>
        <v/>
      </c>
      <c r="E4594" s="2"/>
    </row>
    <row r="4595">
      <c r="A4595" s="2"/>
      <c r="B4595" s="8"/>
      <c r="C4595" s="8" t="str">
        <f>IFERROR(__xludf.DUMMYFUNCTION("""COMPUTED_VALUE"""),"")</f>
        <v/>
      </c>
      <c r="D4595" s="8" t="str">
        <f>IFERROR(__xludf.DUMMYFUNCTION("""COMPUTED_VALUE"""),"")</f>
        <v/>
      </c>
      <c r="E4595" s="2"/>
    </row>
    <row r="4596">
      <c r="A4596" s="2"/>
      <c r="B4596" s="8"/>
      <c r="C4596" s="8" t="str">
        <f>IFERROR(__xludf.DUMMYFUNCTION("""COMPUTED_VALUE"""),"")</f>
        <v/>
      </c>
      <c r="D4596" s="8" t="str">
        <f>IFERROR(__xludf.DUMMYFUNCTION("""COMPUTED_VALUE"""),"")</f>
        <v/>
      </c>
      <c r="E4596" s="2"/>
    </row>
    <row r="4597">
      <c r="A4597" s="2"/>
      <c r="B4597" s="8"/>
      <c r="C4597" s="8" t="str">
        <f>IFERROR(__xludf.DUMMYFUNCTION("""COMPUTED_VALUE"""),"")</f>
        <v/>
      </c>
      <c r="D4597" s="8" t="str">
        <f>IFERROR(__xludf.DUMMYFUNCTION("""COMPUTED_VALUE"""),"")</f>
        <v/>
      </c>
      <c r="E4597" s="2"/>
    </row>
    <row r="4598">
      <c r="A4598" s="2"/>
      <c r="B4598" s="8"/>
      <c r="C4598" s="8" t="str">
        <f>IFERROR(__xludf.DUMMYFUNCTION("""COMPUTED_VALUE"""),"")</f>
        <v/>
      </c>
      <c r="D4598" s="8" t="str">
        <f>IFERROR(__xludf.DUMMYFUNCTION("""COMPUTED_VALUE"""),"")</f>
        <v/>
      </c>
      <c r="E4598" s="2"/>
    </row>
    <row r="4599">
      <c r="A4599" s="2"/>
      <c r="B4599" s="8"/>
      <c r="C4599" s="8" t="str">
        <f>IFERROR(__xludf.DUMMYFUNCTION("""COMPUTED_VALUE"""),"")</f>
        <v/>
      </c>
      <c r="D4599" s="8" t="str">
        <f>IFERROR(__xludf.DUMMYFUNCTION("""COMPUTED_VALUE"""),"")</f>
        <v/>
      </c>
      <c r="E4599" s="2"/>
    </row>
    <row r="4600">
      <c r="A4600" s="2"/>
      <c r="B4600" s="8"/>
      <c r="C4600" s="8" t="str">
        <f>IFERROR(__xludf.DUMMYFUNCTION("""COMPUTED_VALUE"""),"")</f>
        <v/>
      </c>
      <c r="D4600" s="8" t="str">
        <f>IFERROR(__xludf.DUMMYFUNCTION("""COMPUTED_VALUE"""),"")</f>
        <v/>
      </c>
      <c r="E4600" s="2"/>
    </row>
    <row r="4601">
      <c r="A4601" s="2"/>
      <c r="B4601" s="8"/>
      <c r="C4601" s="8" t="str">
        <f>IFERROR(__xludf.DUMMYFUNCTION("""COMPUTED_VALUE"""),"")</f>
        <v/>
      </c>
      <c r="D4601" s="8" t="str">
        <f>IFERROR(__xludf.DUMMYFUNCTION("""COMPUTED_VALUE"""),"")</f>
        <v/>
      </c>
      <c r="E4601" s="2"/>
    </row>
    <row r="4602">
      <c r="A4602" s="2"/>
      <c r="B4602" s="8"/>
      <c r="C4602" s="8" t="str">
        <f>IFERROR(__xludf.DUMMYFUNCTION("""COMPUTED_VALUE"""),"")</f>
        <v/>
      </c>
      <c r="D4602" s="8" t="str">
        <f>IFERROR(__xludf.DUMMYFUNCTION("""COMPUTED_VALUE"""),"")</f>
        <v/>
      </c>
      <c r="E4602" s="2"/>
    </row>
    <row r="4603">
      <c r="A4603" s="2"/>
      <c r="B4603" s="8"/>
      <c r="C4603" s="8" t="str">
        <f>IFERROR(__xludf.DUMMYFUNCTION("""COMPUTED_VALUE"""),"")</f>
        <v/>
      </c>
      <c r="D4603" s="8" t="str">
        <f>IFERROR(__xludf.DUMMYFUNCTION("""COMPUTED_VALUE"""),"")</f>
        <v/>
      </c>
      <c r="E4603" s="2"/>
    </row>
    <row r="4604">
      <c r="A4604" s="2"/>
      <c r="B4604" s="8"/>
      <c r="C4604" s="8" t="str">
        <f>IFERROR(__xludf.DUMMYFUNCTION("""COMPUTED_VALUE"""),"")</f>
        <v/>
      </c>
      <c r="D4604" s="8" t="str">
        <f>IFERROR(__xludf.DUMMYFUNCTION("""COMPUTED_VALUE"""),"")</f>
        <v/>
      </c>
      <c r="E4604" s="2"/>
    </row>
    <row r="4605">
      <c r="A4605" s="2"/>
      <c r="B4605" s="8"/>
      <c r="C4605" s="8" t="str">
        <f>IFERROR(__xludf.DUMMYFUNCTION("""COMPUTED_VALUE"""),"")</f>
        <v/>
      </c>
      <c r="D4605" s="8" t="str">
        <f>IFERROR(__xludf.DUMMYFUNCTION("""COMPUTED_VALUE"""),"")</f>
        <v/>
      </c>
      <c r="E4605" s="2"/>
    </row>
    <row r="4606">
      <c r="A4606" s="2"/>
      <c r="B4606" s="8"/>
      <c r="C4606" s="8" t="str">
        <f>IFERROR(__xludf.DUMMYFUNCTION("""COMPUTED_VALUE"""),"")</f>
        <v/>
      </c>
      <c r="D4606" s="8" t="str">
        <f>IFERROR(__xludf.DUMMYFUNCTION("""COMPUTED_VALUE"""),"")</f>
        <v/>
      </c>
      <c r="E4606" s="2"/>
    </row>
    <row r="4607">
      <c r="A4607" s="2"/>
      <c r="B4607" s="8"/>
      <c r="C4607" s="8" t="str">
        <f>IFERROR(__xludf.DUMMYFUNCTION("""COMPUTED_VALUE"""),"")</f>
        <v/>
      </c>
      <c r="D4607" s="8" t="str">
        <f>IFERROR(__xludf.DUMMYFUNCTION("""COMPUTED_VALUE"""),"")</f>
        <v/>
      </c>
      <c r="E4607" s="2"/>
    </row>
    <row r="4608">
      <c r="A4608" s="2"/>
      <c r="B4608" s="8"/>
      <c r="C4608" s="8" t="str">
        <f>IFERROR(__xludf.DUMMYFUNCTION("""COMPUTED_VALUE"""),"")</f>
        <v/>
      </c>
      <c r="D4608" s="8" t="str">
        <f>IFERROR(__xludf.DUMMYFUNCTION("""COMPUTED_VALUE"""),"")</f>
        <v/>
      </c>
      <c r="E4608" s="2"/>
    </row>
    <row r="4609">
      <c r="A4609" s="2"/>
      <c r="B4609" s="8"/>
      <c r="C4609" s="8" t="str">
        <f>IFERROR(__xludf.DUMMYFUNCTION("""COMPUTED_VALUE"""),"")</f>
        <v/>
      </c>
      <c r="D4609" s="8" t="str">
        <f>IFERROR(__xludf.DUMMYFUNCTION("""COMPUTED_VALUE"""),"")</f>
        <v/>
      </c>
      <c r="E4609" s="2"/>
    </row>
    <row r="4610">
      <c r="A4610" s="2"/>
      <c r="B4610" s="8"/>
      <c r="C4610" s="8" t="str">
        <f>IFERROR(__xludf.DUMMYFUNCTION("""COMPUTED_VALUE"""),"")</f>
        <v/>
      </c>
      <c r="D4610" s="8" t="str">
        <f>IFERROR(__xludf.DUMMYFUNCTION("""COMPUTED_VALUE"""),"")</f>
        <v/>
      </c>
      <c r="E4610" s="2"/>
    </row>
    <row r="4611">
      <c r="A4611" s="2"/>
      <c r="B4611" s="8"/>
      <c r="C4611" s="8" t="str">
        <f>IFERROR(__xludf.DUMMYFUNCTION("""COMPUTED_VALUE"""),"")</f>
        <v/>
      </c>
      <c r="D4611" s="8" t="str">
        <f>IFERROR(__xludf.DUMMYFUNCTION("""COMPUTED_VALUE"""),"")</f>
        <v/>
      </c>
      <c r="E4611" s="2"/>
    </row>
    <row r="4612">
      <c r="A4612" s="2"/>
      <c r="B4612" s="8"/>
      <c r="C4612" s="8" t="str">
        <f>IFERROR(__xludf.DUMMYFUNCTION("""COMPUTED_VALUE"""),"")</f>
        <v/>
      </c>
      <c r="D4612" s="8" t="str">
        <f>IFERROR(__xludf.DUMMYFUNCTION("""COMPUTED_VALUE"""),"")</f>
        <v/>
      </c>
      <c r="E4612" s="2"/>
    </row>
    <row r="4613">
      <c r="A4613" s="2"/>
      <c r="B4613" s="8"/>
      <c r="C4613" s="8" t="str">
        <f>IFERROR(__xludf.DUMMYFUNCTION("""COMPUTED_VALUE"""),"")</f>
        <v/>
      </c>
      <c r="D4613" s="8" t="str">
        <f>IFERROR(__xludf.DUMMYFUNCTION("""COMPUTED_VALUE"""),"")</f>
        <v/>
      </c>
      <c r="E4613" s="2"/>
    </row>
    <row r="4614">
      <c r="A4614" s="2"/>
      <c r="B4614" s="8"/>
      <c r="C4614" s="8" t="str">
        <f>IFERROR(__xludf.DUMMYFUNCTION("""COMPUTED_VALUE"""),"")</f>
        <v/>
      </c>
      <c r="D4614" s="8" t="str">
        <f>IFERROR(__xludf.DUMMYFUNCTION("""COMPUTED_VALUE"""),"")</f>
        <v/>
      </c>
      <c r="E4614" s="2"/>
    </row>
    <row r="4615">
      <c r="A4615" s="2"/>
      <c r="B4615" s="8"/>
      <c r="C4615" s="8" t="str">
        <f>IFERROR(__xludf.DUMMYFUNCTION("""COMPUTED_VALUE"""),"")</f>
        <v/>
      </c>
      <c r="D4615" s="8" t="str">
        <f>IFERROR(__xludf.DUMMYFUNCTION("""COMPUTED_VALUE"""),"")</f>
        <v/>
      </c>
      <c r="E4615" s="2"/>
    </row>
    <row r="4616">
      <c r="A4616" s="2"/>
      <c r="B4616" s="8"/>
      <c r="C4616" s="8" t="str">
        <f>IFERROR(__xludf.DUMMYFUNCTION("""COMPUTED_VALUE"""),"")</f>
        <v/>
      </c>
      <c r="D4616" s="8" t="str">
        <f>IFERROR(__xludf.DUMMYFUNCTION("""COMPUTED_VALUE"""),"")</f>
        <v/>
      </c>
      <c r="E4616" s="2"/>
    </row>
    <row r="4617">
      <c r="A4617" s="2"/>
      <c r="B4617" s="8"/>
      <c r="C4617" s="8" t="str">
        <f>IFERROR(__xludf.DUMMYFUNCTION("""COMPUTED_VALUE"""),"")</f>
        <v/>
      </c>
      <c r="D4617" s="8" t="str">
        <f>IFERROR(__xludf.DUMMYFUNCTION("""COMPUTED_VALUE"""),"")</f>
        <v/>
      </c>
      <c r="E4617" s="2"/>
    </row>
    <row r="4618">
      <c r="A4618" s="2"/>
      <c r="B4618" s="8"/>
      <c r="C4618" s="8" t="str">
        <f>IFERROR(__xludf.DUMMYFUNCTION("""COMPUTED_VALUE"""),"")</f>
        <v/>
      </c>
      <c r="D4618" s="8" t="str">
        <f>IFERROR(__xludf.DUMMYFUNCTION("""COMPUTED_VALUE"""),"")</f>
        <v/>
      </c>
      <c r="E4618" s="2"/>
    </row>
    <row r="4619">
      <c r="A4619" s="2"/>
      <c r="B4619" s="8"/>
      <c r="C4619" s="8" t="str">
        <f>IFERROR(__xludf.DUMMYFUNCTION("""COMPUTED_VALUE"""),"")</f>
        <v/>
      </c>
      <c r="D4619" s="8" t="str">
        <f>IFERROR(__xludf.DUMMYFUNCTION("""COMPUTED_VALUE"""),"")</f>
        <v/>
      </c>
      <c r="E4619" s="2"/>
    </row>
    <row r="4620">
      <c r="A4620" s="2"/>
      <c r="B4620" s="8"/>
      <c r="C4620" s="8" t="str">
        <f>IFERROR(__xludf.DUMMYFUNCTION("""COMPUTED_VALUE"""),"")</f>
        <v/>
      </c>
      <c r="D4620" s="8" t="str">
        <f>IFERROR(__xludf.DUMMYFUNCTION("""COMPUTED_VALUE"""),"")</f>
        <v/>
      </c>
      <c r="E4620" s="2"/>
    </row>
    <row r="4621">
      <c r="A4621" s="2"/>
      <c r="B4621" s="8"/>
      <c r="C4621" s="8" t="str">
        <f>IFERROR(__xludf.DUMMYFUNCTION("""COMPUTED_VALUE"""),"")</f>
        <v/>
      </c>
      <c r="D4621" s="8" t="str">
        <f>IFERROR(__xludf.DUMMYFUNCTION("""COMPUTED_VALUE"""),"")</f>
        <v/>
      </c>
      <c r="E4621" s="2"/>
    </row>
    <row r="4622">
      <c r="A4622" s="2"/>
      <c r="B4622" s="8"/>
      <c r="C4622" s="8" t="str">
        <f>IFERROR(__xludf.DUMMYFUNCTION("""COMPUTED_VALUE"""),"")</f>
        <v/>
      </c>
      <c r="D4622" s="8" t="str">
        <f>IFERROR(__xludf.DUMMYFUNCTION("""COMPUTED_VALUE"""),"")</f>
        <v/>
      </c>
      <c r="E4622" s="2"/>
    </row>
    <row r="4623">
      <c r="A4623" s="2"/>
      <c r="B4623" s="8"/>
      <c r="C4623" s="8" t="str">
        <f>IFERROR(__xludf.DUMMYFUNCTION("""COMPUTED_VALUE"""),"")</f>
        <v/>
      </c>
      <c r="D4623" s="8" t="str">
        <f>IFERROR(__xludf.DUMMYFUNCTION("""COMPUTED_VALUE"""),"")</f>
        <v/>
      </c>
      <c r="E4623" s="2"/>
    </row>
    <row r="4624">
      <c r="A4624" s="2"/>
      <c r="B4624" s="8"/>
      <c r="C4624" s="8" t="str">
        <f>IFERROR(__xludf.DUMMYFUNCTION("""COMPUTED_VALUE"""),"")</f>
        <v/>
      </c>
      <c r="D4624" s="8" t="str">
        <f>IFERROR(__xludf.DUMMYFUNCTION("""COMPUTED_VALUE"""),"")</f>
        <v/>
      </c>
      <c r="E4624" s="2"/>
    </row>
    <row r="4625">
      <c r="A4625" s="2"/>
      <c r="B4625" s="8"/>
      <c r="C4625" s="8" t="str">
        <f>IFERROR(__xludf.DUMMYFUNCTION("""COMPUTED_VALUE"""),"")</f>
        <v/>
      </c>
      <c r="D4625" s="8" t="str">
        <f>IFERROR(__xludf.DUMMYFUNCTION("""COMPUTED_VALUE"""),"")</f>
        <v/>
      </c>
      <c r="E4625" s="2"/>
    </row>
    <row r="4626">
      <c r="A4626" s="2"/>
      <c r="B4626" s="8"/>
      <c r="C4626" s="8" t="str">
        <f>IFERROR(__xludf.DUMMYFUNCTION("""COMPUTED_VALUE"""),"")</f>
        <v/>
      </c>
      <c r="D4626" s="8" t="str">
        <f>IFERROR(__xludf.DUMMYFUNCTION("""COMPUTED_VALUE"""),"")</f>
        <v/>
      </c>
      <c r="E4626" s="2"/>
    </row>
    <row r="4627">
      <c r="A4627" s="2"/>
      <c r="B4627" s="8"/>
      <c r="C4627" s="8" t="str">
        <f>IFERROR(__xludf.DUMMYFUNCTION("""COMPUTED_VALUE"""),"")</f>
        <v/>
      </c>
      <c r="D4627" s="8" t="str">
        <f>IFERROR(__xludf.DUMMYFUNCTION("""COMPUTED_VALUE"""),"")</f>
        <v/>
      </c>
      <c r="E4627" s="2"/>
    </row>
    <row r="4628">
      <c r="A4628" s="2"/>
      <c r="B4628" s="8"/>
      <c r="C4628" s="8" t="str">
        <f>IFERROR(__xludf.DUMMYFUNCTION("""COMPUTED_VALUE"""),"")</f>
        <v/>
      </c>
      <c r="D4628" s="8" t="str">
        <f>IFERROR(__xludf.DUMMYFUNCTION("""COMPUTED_VALUE"""),"")</f>
        <v/>
      </c>
      <c r="E4628" s="2"/>
    </row>
    <row r="4629">
      <c r="A4629" s="2"/>
      <c r="B4629" s="8"/>
      <c r="C4629" s="8" t="str">
        <f>IFERROR(__xludf.DUMMYFUNCTION("""COMPUTED_VALUE"""),"")</f>
        <v/>
      </c>
      <c r="D4629" s="8" t="str">
        <f>IFERROR(__xludf.DUMMYFUNCTION("""COMPUTED_VALUE"""),"")</f>
        <v/>
      </c>
      <c r="E4629" s="2"/>
    </row>
    <row r="4630">
      <c r="A4630" s="2"/>
      <c r="B4630" s="8"/>
      <c r="C4630" s="8" t="str">
        <f>IFERROR(__xludf.DUMMYFUNCTION("""COMPUTED_VALUE"""),"")</f>
        <v/>
      </c>
      <c r="D4630" s="8" t="str">
        <f>IFERROR(__xludf.DUMMYFUNCTION("""COMPUTED_VALUE"""),"")</f>
        <v/>
      </c>
      <c r="E4630" s="2"/>
    </row>
    <row r="4631">
      <c r="A4631" s="2"/>
      <c r="B4631" s="8"/>
      <c r="C4631" s="8" t="str">
        <f>IFERROR(__xludf.DUMMYFUNCTION("""COMPUTED_VALUE"""),"")</f>
        <v/>
      </c>
      <c r="D4631" s="8" t="str">
        <f>IFERROR(__xludf.DUMMYFUNCTION("""COMPUTED_VALUE"""),"")</f>
        <v/>
      </c>
      <c r="E4631" s="2"/>
    </row>
    <row r="4632">
      <c r="A4632" s="2"/>
      <c r="B4632" s="8"/>
      <c r="C4632" s="8" t="str">
        <f>IFERROR(__xludf.DUMMYFUNCTION("""COMPUTED_VALUE"""),"")</f>
        <v/>
      </c>
      <c r="D4632" s="8" t="str">
        <f>IFERROR(__xludf.DUMMYFUNCTION("""COMPUTED_VALUE"""),"")</f>
        <v/>
      </c>
      <c r="E4632" s="2"/>
    </row>
    <row r="4633">
      <c r="A4633" s="2"/>
      <c r="B4633" s="8"/>
      <c r="C4633" s="8" t="str">
        <f>IFERROR(__xludf.DUMMYFUNCTION("""COMPUTED_VALUE"""),"")</f>
        <v/>
      </c>
      <c r="D4633" s="8" t="str">
        <f>IFERROR(__xludf.DUMMYFUNCTION("""COMPUTED_VALUE"""),"")</f>
        <v/>
      </c>
      <c r="E4633" s="2"/>
    </row>
    <row r="4634">
      <c r="A4634" s="2"/>
      <c r="B4634" s="8"/>
      <c r="C4634" s="8" t="str">
        <f>IFERROR(__xludf.DUMMYFUNCTION("""COMPUTED_VALUE"""),"")</f>
        <v/>
      </c>
      <c r="D4634" s="8" t="str">
        <f>IFERROR(__xludf.DUMMYFUNCTION("""COMPUTED_VALUE"""),"")</f>
        <v/>
      </c>
      <c r="E4634" s="2"/>
    </row>
    <row r="4635">
      <c r="A4635" s="2"/>
      <c r="B4635" s="8"/>
      <c r="C4635" s="8" t="str">
        <f>IFERROR(__xludf.DUMMYFUNCTION("""COMPUTED_VALUE"""),"")</f>
        <v/>
      </c>
      <c r="D4635" s="8" t="str">
        <f>IFERROR(__xludf.DUMMYFUNCTION("""COMPUTED_VALUE"""),"")</f>
        <v/>
      </c>
      <c r="E4635" s="2"/>
    </row>
    <row r="4636">
      <c r="A4636" s="2"/>
      <c r="B4636" s="8"/>
      <c r="C4636" s="8" t="str">
        <f>IFERROR(__xludf.DUMMYFUNCTION("""COMPUTED_VALUE"""),"")</f>
        <v/>
      </c>
      <c r="D4636" s="8" t="str">
        <f>IFERROR(__xludf.DUMMYFUNCTION("""COMPUTED_VALUE"""),"")</f>
        <v/>
      </c>
      <c r="E4636" s="2"/>
    </row>
    <row r="4637">
      <c r="A4637" s="2"/>
      <c r="B4637" s="8"/>
      <c r="C4637" s="8" t="str">
        <f>IFERROR(__xludf.DUMMYFUNCTION("""COMPUTED_VALUE"""),"")</f>
        <v/>
      </c>
      <c r="D4637" s="8" t="str">
        <f>IFERROR(__xludf.DUMMYFUNCTION("""COMPUTED_VALUE"""),"")</f>
        <v/>
      </c>
      <c r="E4637" s="2"/>
    </row>
    <row r="4638">
      <c r="A4638" s="2"/>
      <c r="B4638" s="8"/>
      <c r="C4638" s="8" t="str">
        <f>IFERROR(__xludf.DUMMYFUNCTION("""COMPUTED_VALUE"""),"")</f>
        <v/>
      </c>
      <c r="D4638" s="8" t="str">
        <f>IFERROR(__xludf.DUMMYFUNCTION("""COMPUTED_VALUE"""),"")</f>
        <v/>
      </c>
      <c r="E4638" s="2"/>
    </row>
    <row r="4639">
      <c r="A4639" s="2"/>
      <c r="B4639" s="8"/>
      <c r="C4639" s="8" t="str">
        <f>IFERROR(__xludf.DUMMYFUNCTION("""COMPUTED_VALUE"""),"")</f>
        <v/>
      </c>
      <c r="D4639" s="8" t="str">
        <f>IFERROR(__xludf.DUMMYFUNCTION("""COMPUTED_VALUE"""),"")</f>
        <v/>
      </c>
      <c r="E4639" s="2"/>
    </row>
    <row r="4640">
      <c r="A4640" s="2"/>
      <c r="B4640" s="8"/>
      <c r="C4640" s="8" t="str">
        <f>IFERROR(__xludf.DUMMYFUNCTION("""COMPUTED_VALUE"""),"")</f>
        <v/>
      </c>
      <c r="D4640" s="8" t="str">
        <f>IFERROR(__xludf.DUMMYFUNCTION("""COMPUTED_VALUE"""),"")</f>
        <v/>
      </c>
      <c r="E4640" s="2"/>
    </row>
    <row r="4641">
      <c r="A4641" s="2"/>
      <c r="B4641" s="8"/>
      <c r="C4641" s="8" t="str">
        <f>IFERROR(__xludf.DUMMYFUNCTION("""COMPUTED_VALUE"""),"")</f>
        <v/>
      </c>
      <c r="D4641" s="8" t="str">
        <f>IFERROR(__xludf.DUMMYFUNCTION("""COMPUTED_VALUE"""),"")</f>
        <v/>
      </c>
      <c r="E4641" s="2"/>
    </row>
    <row r="4642">
      <c r="A4642" s="2"/>
      <c r="B4642" s="8"/>
      <c r="C4642" s="8" t="str">
        <f>IFERROR(__xludf.DUMMYFUNCTION("""COMPUTED_VALUE"""),"")</f>
        <v/>
      </c>
      <c r="D4642" s="8" t="str">
        <f>IFERROR(__xludf.DUMMYFUNCTION("""COMPUTED_VALUE"""),"")</f>
        <v/>
      </c>
      <c r="E4642" s="2"/>
    </row>
    <row r="4643">
      <c r="A4643" s="2"/>
      <c r="B4643" s="8"/>
      <c r="C4643" s="8" t="str">
        <f>IFERROR(__xludf.DUMMYFUNCTION("""COMPUTED_VALUE"""),"")</f>
        <v/>
      </c>
      <c r="D4643" s="8" t="str">
        <f>IFERROR(__xludf.DUMMYFUNCTION("""COMPUTED_VALUE"""),"")</f>
        <v/>
      </c>
      <c r="E4643" s="2"/>
    </row>
    <row r="4644">
      <c r="A4644" s="2"/>
      <c r="B4644" s="8"/>
      <c r="C4644" s="8" t="str">
        <f>IFERROR(__xludf.DUMMYFUNCTION("""COMPUTED_VALUE"""),"")</f>
        <v/>
      </c>
      <c r="D4644" s="8" t="str">
        <f>IFERROR(__xludf.DUMMYFUNCTION("""COMPUTED_VALUE"""),"")</f>
        <v/>
      </c>
      <c r="E4644" s="2"/>
    </row>
    <row r="4645">
      <c r="A4645" s="2"/>
      <c r="B4645" s="8"/>
      <c r="C4645" s="8" t="str">
        <f>IFERROR(__xludf.DUMMYFUNCTION("""COMPUTED_VALUE"""),"")</f>
        <v/>
      </c>
      <c r="D4645" s="8" t="str">
        <f>IFERROR(__xludf.DUMMYFUNCTION("""COMPUTED_VALUE"""),"")</f>
        <v/>
      </c>
      <c r="E4645" s="2"/>
    </row>
    <row r="4646">
      <c r="A4646" s="2"/>
      <c r="B4646" s="8"/>
      <c r="C4646" s="8" t="str">
        <f>IFERROR(__xludf.DUMMYFUNCTION("""COMPUTED_VALUE"""),"")</f>
        <v/>
      </c>
      <c r="D4646" s="8" t="str">
        <f>IFERROR(__xludf.DUMMYFUNCTION("""COMPUTED_VALUE"""),"")</f>
        <v/>
      </c>
      <c r="E4646" s="2"/>
    </row>
    <row r="4647">
      <c r="A4647" s="2"/>
      <c r="B4647" s="8"/>
      <c r="C4647" s="8" t="str">
        <f>IFERROR(__xludf.DUMMYFUNCTION("""COMPUTED_VALUE"""),"")</f>
        <v/>
      </c>
      <c r="D4647" s="8" t="str">
        <f>IFERROR(__xludf.DUMMYFUNCTION("""COMPUTED_VALUE"""),"")</f>
        <v/>
      </c>
      <c r="E4647" s="2"/>
    </row>
    <row r="4648">
      <c r="A4648" s="2"/>
      <c r="B4648" s="8"/>
      <c r="C4648" s="8" t="str">
        <f>IFERROR(__xludf.DUMMYFUNCTION("""COMPUTED_VALUE"""),"")</f>
        <v/>
      </c>
      <c r="D4648" s="8" t="str">
        <f>IFERROR(__xludf.DUMMYFUNCTION("""COMPUTED_VALUE"""),"")</f>
        <v/>
      </c>
      <c r="E4648" s="2"/>
    </row>
    <row r="4649">
      <c r="A4649" s="2"/>
      <c r="B4649" s="8"/>
      <c r="C4649" s="8" t="str">
        <f>IFERROR(__xludf.DUMMYFUNCTION("""COMPUTED_VALUE"""),"")</f>
        <v/>
      </c>
      <c r="D4649" s="8" t="str">
        <f>IFERROR(__xludf.DUMMYFUNCTION("""COMPUTED_VALUE"""),"")</f>
        <v/>
      </c>
      <c r="E4649" s="2"/>
    </row>
    <row r="4650">
      <c r="A4650" s="2"/>
      <c r="B4650" s="8"/>
      <c r="C4650" s="8" t="str">
        <f>IFERROR(__xludf.DUMMYFUNCTION("""COMPUTED_VALUE"""),"")</f>
        <v/>
      </c>
      <c r="D4650" s="8" t="str">
        <f>IFERROR(__xludf.DUMMYFUNCTION("""COMPUTED_VALUE"""),"")</f>
        <v/>
      </c>
      <c r="E4650" s="2"/>
    </row>
    <row r="4651">
      <c r="A4651" s="2"/>
      <c r="B4651" s="8"/>
      <c r="C4651" s="8" t="str">
        <f>IFERROR(__xludf.DUMMYFUNCTION("""COMPUTED_VALUE"""),"")</f>
        <v/>
      </c>
      <c r="D4651" s="8" t="str">
        <f>IFERROR(__xludf.DUMMYFUNCTION("""COMPUTED_VALUE"""),"")</f>
        <v/>
      </c>
      <c r="E4651" s="2"/>
    </row>
    <row r="4652">
      <c r="A4652" s="2"/>
      <c r="B4652" s="8"/>
      <c r="C4652" s="8" t="str">
        <f>IFERROR(__xludf.DUMMYFUNCTION("""COMPUTED_VALUE"""),"")</f>
        <v/>
      </c>
      <c r="D4652" s="8" t="str">
        <f>IFERROR(__xludf.DUMMYFUNCTION("""COMPUTED_VALUE"""),"")</f>
        <v/>
      </c>
      <c r="E4652" s="2"/>
    </row>
    <row r="4653">
      <c r="A4653" s="2"/>
      <c r="B4653" s="8"/>
      <c r="C4653" s="8" t="str">
        <f>IFERROR(__xludf.DUMMYFUNCTION("""COMPUTED_VALUE"""),"")</f>
        <v/>
      </c>
      <c r="D4653" s="8" t="str">
        <f>IFERROR(__xludf.DUMMYFUNCTION("""COMPUTED_VALUE"""),"")</f>
        <v/>
      </c>
      <c r="E4653" s="2"/>
    </row>
    <row r="4654">
      <c r="A4654" s="2"/>
      <c r="B4654" s="8"/>
      <c r="C4654" s="8" t="str">
        <f>IFERROR(__xludf.DUMMYFUNCTION("""COMPUTED_VALUE"""),"")</f>
        <v/>
      </c>
      <c r="D4654" s="8" t="str">
        <f>IFERROR(__xludf.DUMMYFUNCTION("""COMPUTED_VALUE"""),"")</f>
        <v/>
      </c>
      <c r="E4654" s="2"/>
    </row>
    <row r="4655">
      <c r="A4655" s="2"/>
      <c r="B4655" s="8"/>
      <c r="C4655" s="8" t="str">
        <f>IFERROR(__xludf.DUMMYFUNCTION("""COMPUTED_VALUE"""),"")</f>
        <v/>
      </c>
      <c r="D4655" s="8" t="str">
        <f>IFERROR(__xludf.DUMMYFUNCTION("""COMPUTED_VALUE"""),"")</f>
        <v/>
      </c>
      <c r="E4655" s="2"/>
    </row>
    <row r="4656">
      <c r="A4656" s="2"/>
      <c r="B4656" s="8"/>
      <c r="C4656" s="8" t="str">
        <f>IFERROR(__xludf.DUMMYFUNCTION("""COMPUTED_VALUE"""),"")</f>
        <v/>
      </c>
      <c r="D4656" s="8" t="str">
        <f>IFERROR(__xludf.DUMMYFUNCTION("""COMPUTED_VALUE"""),"")</f>
        <v/>
      </c>
      <c r="E4656" s="2"/>
    </row>
    <row r="4657">
      <c r="A4657" s="2"/>
      <c r="B4657" s="8"/>
      <c r="C4657" s="8" t="str">
        <f>IFERROR(__xludf.DUMMYFUNCTION("""COMPUTED_VALUE"""),"")</f>
        <v/>
      </c>
      <c r="D4657" s="8" t="str">
        <f>IFERROR(__xludf.DUMMYFUNCTION("""COMPUTED_VALUE"""),"")</f>
        <v/>
      </c>
      <c r="E4657" s="2"/>
    </row>
    <row r="4658">
      <c r="A4658" s="2"/>
      <c r="B4658" s="8"/>
      <c r="C4658" s="8" t="str">
        <f>IFERROR(__xludf.DUMMYFUNCTION("""COMPUTED_VALUE"""),"")</f>
        <v/>
      </c>
      <c r="D4658" s="8" t="str">
        <f>IFERROR(__xludf.DUMMYFUNCTION("""COMPUTED_VALUE"""),"")</f>
        <v/>
      </c>
      <c r="E4658" s="2"/>
    </row>
    <row r="4659">
      <c r="A4659" s="2"/>
      <c r="B4659" s="8"/>
      <c r="C4659" s="8" t="str">
        <f>IFERROR(__xludf.DUMMYFUNCTION("""COMPUTED_VALUE"""),"")</f>
        <v/>
      </c>
      <c r="D4659" s="8" t="str">
        <f>IFERROR(__xludf.DUMMYFUNCTION("""COMPUTED_VALUE"""),"")</f>
        <v/>
      </c>
      <c r="E4659" s="2"/>
    </row>
    <row r="4660">
      <c r="A4660" s="2"/>
      <c r="B4660" s="8"/>
      <c r="C4660" s="8" t="str">
        <f>IFERROR(__xludf.DUMMYFUNCTION("""COMPUTED_VALUE"""),"")</f>
        <v/>
      </c>
      <c r="D4660" s="8" t="str">
        <f>IFERROR(__xludf.DUMMYFUNCTION("""COMPUTED_VALUE"""),"")</f>
        <v/>
      </c>
      <c r="E4660" s="2"/>
    </row>
    <row r="4661">
      <c r="A4661" s="2"/>
      <c r="B4661" s="8"/>
      <c r="C4661" s="8" t="str">
        <f>IFERROR(__xludf.DUMMYFUNCTION("""COMPUTED_VALUE"""),"")</f>
        <v/>
      </c>
      <c r="D4661" s="8" t="str">
        <f>IFERROR(__xludf.DUMMYFUNCTION("""COMPUTED_VALUE"""),"")</f>
        <v/>
      </c>
      <c r="E4661" s="2"/>
    </row>
    <row r="4662">
      <c r="A4662" s="2"/>
      <c r="B4662" s="8"/>
      <c r="C4662" s="8" t="str">
        <f>IFERROR(__xludf.DUMMYFUNCTION("""COMPUTED_VALUE"""),"")</f>
        <v/>
      </c>
      <c r="D4662" s="8" t="str">
        <f>IFERROR(__xludf.DUMMYFUNCTION("""COMPUTED_VALUE"""),"")</f>
        <v/>
      </c>
      <c r="E4662" s="2"/>
    </row>
    <row r="4663">
      <c r="A4663" s="2"/>
      <c r="B4663" s="8"/>
      <c r="C4663" s="8" t="str">
        <f>IFERROR(__xludf.DUMMYFUNCTION("""COMPUTED_VALUE"""),"")</f>
        <v/>
      </c>
      <c r="D4663" s="8" t="str">
        <f>IFERROR(__xludf.DUMMYFUNCTION("""COMPUTED_VALUE"""),"")</f>
        <v/>
      </c>
      <c r="E4663" s="2"/>
    </row>
    <row r="4664">
      <c r="A4664" s="2"/>
      <c r="B4664" s="8"/>
      <c r="C4664" s="8" t="str">
        <f>IFERROR(__xludf.DUMMYFUNCTION("""COMPUTED_VALUE"""),"")</f>
        <v/>
      </c>
      <c r="D4664" s="8" t="str">
        <f>IFERROR(__xludf.DUMMYFUNCTION("""COMPUTED_VALUE"""),"")</f>
        <v/>
      </c>
      <c r="E4664" s="2"/>
    </row>
    <row r="4665">
      <c r="A4665" s="2"/>
      <c r="B4665" s="8"/>
      <c r="C4665" s="8" t="str">
        <f>IFERROR(__xludf.DUMMYFUNCTION("""COMPUTED_VALUE"""),"")</f>
        <v/>
      </c>
      <c r="D4665" s="8" t="str">
        <f>IFERROR(__xludf.DUMMYFUNCTION("""COMPUTED_VALUE"""),"")</f>
        <v/>
      </c>
      <c r="E4665" s="2"/>
    </row>
    <row r="4666">
      <c r="A4666" s="2"/>
      <c r="B4666" s="8"/>
      <c r="C4666" s="8" t="str">
        <f>IFERROR(__xludf.DUMMYFUNCTION("""COMPUTED_VALUE"""),"")</f>
        <v/>
      </c>
      <c r="D4666" s="8" t="str">
        <f>IFERROR(__xludf.DUMMYFUNCTION("""COMPUTED_VALUE"""),"")</f>
        <v/>
      </c>
      <c r="E4666" s="2"/>
    </row>
    <row r="4667">
      <c r="A4667" s="2"/>
      <c r="B4667" s="8"/>
      <c r="C4667" s="8" t="str">
        <f>IFERROR(__xludf.DUMMYFUNCTION("""COMPUTED_VALUE"""),"")</f>
        <v/>
      </c>
      <c r="D4667" s="8" t="str">
        <f>IFERROR(__xludf.DUMMYFUNCTION("""COMPUTED_VALUE"""),"")</f>
        <v/>
      </c>
      <c r="E4667" s="2"/>
    </row>
    <row r="4668">
      <c r="A4668" s="2"/>
      <c r="B4668" s="8"/>
      <c r="C4668" s="8" t="str">
        <f>IFERROR(__xludf.DUMMYFUNCTION("""COMPUTED_VALUE"""),"")</f>
        <v/>
      </c>
      <c r="D4668" s="8" t="str">
        <f>IFERROR(__xludf.DUMMYFUNCTION("""COMPUTED_VALUE"""),"")</f>
        <v/>
      </c>
      <c r="E4668" s="2"/>
    </row>
    <row r="4669">
      <c r="A4669" s="2"/>
      <c r="B4669" s="8"/>
      <c r="C4669" s="8" t="str">
        <f>IFERROR(__xludf.DUMMYFUNCTION("""COMPUTED_VALUE"""),"")</f>
        <v/>
      </c>
      <c r="D4669" s="8" t="str">
        <f>IFERROR(__xludf.DUMMYFUNCTION("""COMPUTED_VALUE"""),"")</f>
        <v/>
      </c>
      <c r="E4669" s="2"/>
    </row>
    <row r="4670">
      <c r="A4670" s="2"/>
      <c r="B4670" s="8"/>
      <c r="C4670" s="8" t="str">
        <f>IFERROR(__xludf.DUMMYFUNCTION("""COMPUTED_VALUE"""),"")</f>
        <v/>
      </c>
      <c r="D4670" s="8" t="str">
        <f>IFERROR(__xludf.DUMMYFUNCTION("""COMPUTED_VALUE"""),"")</f>
        <v/>
      </c>
      <c r="E4670" s="2"/>
    </row>
    <row r="4671">
      <c r="A4671" s="2"/>
      <c r="B4671" s="8"/>
      <c r="C4671" s="8" t="str">
        <f>IFERROR(__xludf.DUMMYFUNCTION("""COMPUTED_VALUE"""),"")</f>
        <v/>
      </c>
      <c r="D4671" s="8" t="str">
        <f>IFERROR(__xludf.DUMMYFUNCTION("""COMPUTED_VALUE"""),"")</f>
        <v/>
      </c>
      <c r="E4671" s="2"/>
    </row>
    <row r="4672">
      <c r="A4672" s="2"/>
      <c r="B4672" s="8"/>
      <c r="C4672" s="8" t="str">
        <f>IFERROR(__xludf.DUMMYFUNCTION("""COMPUTED_VALUE"""),"")</f>
        <v/>
      </c>
      <c r="D4672" s="8" t="str">
        <f>IFERROR(__xludf.DUMMYFUNCTION("""COMPUTED_VALUE"""),"")</f>
        <v/>
      </c>
      <c r="E4672" s="2"/>
    </row>
    <row r="4673">
      <c r="A4673" s="2"/>
      <c r="B4673" s="8"/>
      <c r="C4673" s="8" t="str">
        <f>IFERROR(__xludf.DUMMYFUNCTION("""COMPUTED_VALUE"""),"")</f>
        <v/>
      </c>
      <c r="D4673" s="8" t="str">
        <f>IFERROR(__xludf.DUMMYFUNCTION("""COMPUTED_VALUE"""),"")</f>
        <v/>
      </c>
      <c r="E4673" s="2"/>
    </row>
    <row r="4674">
      <c r="A4674" s="2"/>
      <c r="B4674" s="8"/>
      <c r="C4674" s="8" t="str">
        <f>IFERROR(__xludf.DUMMYFUNCTION("""COMPUTED_VALUE"""),"")</f>
        <v/>
      </c>
      <c r="D4674" s="8" t="str">
        <f>IFERROR(__xludf.DUMMYFUNCTION("""COMPUTED_VALUE"""),"")</f>
        <v/>
      </c>
      <c r="E4674" s="2"/>
    </row>
    <row r="4675">
      <c r="A4675" s="2"/>
      <c r="B4675" s="8"/>
      <c r="C4675" s="8" t="str">
        <f>IFERROR(__xludf.DUMMYFUNCTION("""COMPUTED_VALUE"""),"")</f>
        <v/>
      </c>
      <c r="D4675" s="8" t="str">
        <f>IFERROR(__xludf.DUMMYFUNCTION("""COMPUTED_VALUE"""),"")</f>
        <v/>
      </c>
      <c r="E4675" s="2"/>
    </row>
    <row r="4676">
      <c r="A4676" s="2"/>
      <c r="B4676" s="8"/>
      <c r="C4676" s="8" t="str">
        <f>IFERROR(__xludf.DUMMYFUNCTION("""COMPUTED_VALUE"""),"")</f>
        <v/>
      </c>
      <c r="D4676" s="8" t="str">
        <f>IFERROR(__xludf.DUMMYFUNCTION("""COMPUTED_VALUE"""),"")</f>
        <v/>
      </c>
      <c r="E4676" s="2"/>
    </row>
    <row r="4677">
      <c r="A4677" s="2"/>
      <c r="B4677" s="8"/>
      <c r="C4677" s="8" t="str">
        <f>IFERROR(__xludf.DUMMYFUNCTION("""COMPUTED_VALUE"""),"")</f>
        <v/>
      </c>
      <c r="D4677" s="8" t="str">
        <f>IFERROR(__xludf.DUMMYFUNCTION("""COMPUTED_VALUE"""),"")</f>
        <v/>
      </c>
      <c r="E4677" s="2"/>
    </row>
    <row r="4678">
      <c r="A4678" s="2"/>
      <c r="B4678" s="8"/>
      <c r="C4678" s="8" t="str">
        <f>IFERROR(__xludf.DUMMYFUNCTION("""COMPUTED_VALUE"""),"")</f>
        <v/>
      </c>
      <c r="D4678" s="8" t="str">
        <f>IFERROR(__xludf.DUMMYFUNCTION("""COMPUTED_VALUE"""),"")</f>
        <v/>
      </c>
      <c r="E4678" s="2"/>
    </row>
    <row r="4679">
      <c r="A4679" s="2"/>
      <c r="B4679" s="8"/>
      <c r="C4679" s="8" t="str">
        <f>IFERROR(__xludf.DUMMYFUNCTION("""COMPUTED_VALUE"""),"")</f>
        <v/>
      </c>
      <c r="D4679" s="8" t="str">
        <f>IFERROR(__xludf.DUMMYFUNCTION("""COMPUTED_VALUE"""),"")</f>
        <v/>
      </c>
      <c r="E4679" s="2"/>
    </row>
    <row r="4680">
      <c r="A4680" s="2"/>
      <c r="B4680" s="8"/>
      <c r="C4680" s="8" t="str">
        <f>IFERROR(__xludf.DUMMYFUNCTION("""COMPUTED_VALUE"""),"")</f>
        <v/>
      </c>
      <c r="D4680" s="8" t="str">
        <f>IFERROR(__xludf.DUMMYFUNCTION("""COMPUTED_VALUE"""),"")</f>
        <v/>
      </c>
      <c r="E4680" s="2"/>
    </row>
    <row r="4681">
      <c r="A4681" s="2"/>
      <c r="B4681" s="8"/>
      <c r="C4681" s="8" t="str">
        <f>IFERROR(__xludf.DUMMYFUNCTION("""COMPUTED_VALUE"""),"")</f>
        <v/>
      </c>
      <c r="D4681" s="8" t="str">
        <f>IFERROR(__xludf.DUMMYFUNCTION("""COMPUTED_VALUE"""),"")</f>
        <v/>
      </c>
      <c r="E4681" s="2"/>
    </row>
    <row r="4682">
      <c r="A4682" s="2"/>
      <c r="B4682" s="8"/>
      <c r="C4682" s="8" t="str">
        <f>IFERROR(__xludf.DUMMYFUNCTION("""COMPUTED_VALUE"""),"")</f>
        <v/>
      </c>
      <c r="D4682" s="8" t="str">
        <f>IFERROR(__xludf.DUMMYFUNCTION("""COMPUTED_VALUE"""),"")</f>
        <v/>
      </c>
      <c r="E4682" s="2"/>
    </row>
    <row r="4683">
      <c r="A4683" s="2"/>
      <c r="B4683" s="8"/>
      <c r="C4683" s="8" t="str">
        <f>IFERROR(__xludf.DUMMYFUNCTION("""COMPUTED_VALUE"""),"")</f>
        <v/>
      </c>
      <c r="D4683" s="8" t="str">
        <f>IFERROR(__xludf.DUMMYFUNCTION("""COMPUTED_VALUE"""),"")</f>
        <v/>
      </c>
      <c r="E4683" s="2"/>
    </row>
    <row r="4684">
      <c r="A4684" s="2"/>
      <c r="B4684" s="8"/>
      <c r="C4684" s="8" t="str">
        <f>IFERROR(__xludf.DUMMYFUNCTION("""COMPUTED_VALUE"""),"")</f>
        <v/>
      </c>
      <c r="D4684" s="8" t="str">
        <f>IFERROR(__xludf.DUMMYFUNCTION("""COMPUTED_VALUE"""),"")</f>
        <v/>
      </c>
      <c r="E4684" s="2"/>
    </row>
    <row r="4685">
      <c r="A4685" s="2"/>
      <c r="B4685" s="8"/>
      <c r="C4685" s="8" t="str">
        <f>IFERROR(__xludf.DUMMYFUNCTION("""COMPUTED_VALUE"""),"")</f>
        <v/>
      </c>
      <c r="D4685" s="8" t="str">
        <f>IFERROR(__xludf.DUMMYFUNCTION("""COMPUTED_VALUE"""),"")</f>
        <v/>
      </c>
      <c r="E4685" s="2"/>
    </row>
    <row r="4686">
      <c r="A4686" s="2"/>
      <c r="B4686" s="8"/>
      <c r="C4686" s="8" t="str">
        <f>IFERROR(__xludf.DUMMYFUNCTION("""COMPUTED_VALUE"""),"")</f>
        <v/>
      </c>
      <c r="D4686" s="8" t="str">
        <f>IFERROR(__xludf.DUMMYFUNCTION("""COMPUTED_VALUE"""),"")</f>
        <v/>
      </c>
      <c r="E4686" s="2"/>
    </row>
    <row r="4687">
      <c r="A4687" s="2"/>
      <c r="B4687" s="8"/>
      <c r="C4687" s="8" t="str">
        <f>IFERROR(__xludf.DUMMYFUNCTION("""COMPUTED_VALUE"""),"")</f>
        <v/>
      </c>
      <c r="D4687" s="8" t="str">
        <f>IFERROR(__xludf.DUMMYFUNCTION("""COMPUTED_VALUE"""),"")</f>
        <v/>
      </c>
      <c r="E4687" s="2"/>
    </row>
    <row r="4688">
      <c r="A4688" s="2"/>
      <c r="B4688" s="8"/>
      <c r="C4688" s="8" t="str">
        <f>IFERROR(__xludf.DUMMYFUNCTION("""COMPUTED_VALUE"""),"")</f>
        <v/>
      </c>
      <c r="D4688" s="8" t="str">
        <f>IFERROR(__xludf.DUMMYFUNCTION("""COMPUTED_VALUE"""),"")</f>
        <v/>
      </c>
      <c r="E4688" s="2"/>
    </row>
    <row r="4689">
      <c r="A4689" s="2"/>
      <c r="B4689" s="8"/>
      <c r="C4689" s="8" t="str">
        <f>IFERROR(__xludf.DUMMYFUNCTION("""COMPUTED_VALUE"""),"")</f>
        <v/>
      </c>
      <c r="D4689" s="8" t="str">
        <f>IFERROR(__xludf.DUMMYFUNCTION("""COMPUTED_VALUE"""),"")</f>
        <v/>
      </c>
      <c r="E4689" s="2"/>
    </row>
    <row r="4690">
      <c r="A4690" s="2"/>
      <c r="B4690" s="8"/>
      <c r="C4690" s="8" t="str">
        <f>IFERROR(__xludf.DUMMYFUNCTION("""COMPUTED_VALUE"""),"")</f>
        <v/>
      </c>
      <c r="D4690" s="8" t="str">
        <f>IFERROR(__xludf.DUMMYFUNCTION("""COMPUTED_VALUE"""),"")</f>
        <v/>
      </c>
      <c r="E4690" s="2"/>
    </row>
    <row r="4691">
      <c r="A4691" s="2"/>
      <c r="B4691" s="8"/>
      <c r="C4691" s="8" t="str">
        <f>IFERROR(__xludf.DUMMYFUNCTION("""COMPUTED_VALUE"""),"")</f>
        <v/>
      </c>
      <c r="D4691" s="8" t="str">
        <f>IFERROR(__xludf.DUMMYFUNCTION("""COMPUTED_VALUE"""),"")</f>
        <v/>
      </c>
      <c r="E4691" s="2"/>
    </row>
    <row r="4692">
      <c r="A4692" s="2"/>
      <c r="B4692" s="8"/>
      <c r="C4692" s="8" t="str">
        <f>IFERROR(__xludf.DUMMYFUNCTION("""COMPUTED_VALUE"""),"")</f>
        <v/>
      </c>
      <c r="D4692" s="8" t="str">
        <f>IFERROR(__xludf.DUMMYFUNCTION("""COMPUTED_VALUE"""),"")</f>
        <v/>
      </c>
      <c r="E4692" s="2"/>
    </row>
    <row r="4693">
      <c r="A4693" s="2"/>
      <c r="B4693" s="8"/>
      <c r="C4693" s="8" t="str">
        <f>IFERROR(__xludf.DUMMYFUNCTION("""COMPUTED_VALUE"""),"")</f>
        <v/>
      </c>
      <c r="D4693" s="8" t="str">
        <f>IFERROR(__xludf.DUMMYFUNCTION("""COMPUTED_VALUE"""),"")</f>
        <v/>
      </c>
      <c r="E4693" s="2"/>
    </row>
    <row r="4694">
      <c r="A4694" s="2"/>
      <c r="B4694" s="8"/>
      <c r="C4694" s="8" t="str">
        <f>IFERROR(__xludf.DUMMYFUNCTION("""COMPUTED_VALUE"""),"")</f>
        <v/>
      </c>
      <c r="D4694" s="8" t="str">
        <f>IFERROR(__xludf.DUMMYFUNCTION("""COMPUTED_VALUE"""),"")</f>
        <v/>
      </c>
      <c r="E4694" s="2"/>
    </row>
    <row r="4695">
      <c r="A4695" s="2"/>
      <c r="B4695" s="8"/>
      <c r="C4695" s="8" t="str">
        <f>IFERROR(__xludf.DUMMYFUNCTION("""COMPUTED_VALUE"""),"")</f>
        <v/>
      </c>
      <c r="D4695" s="8" t="str">
        <f>IFERROR(__xludf.DUMMYFUNCTION("""COMPUTED_VALUE"""),"")</f>
        <v/>
      </c>
      <c r="E4695" s="2"/>
    </row>
    <row r="4696">
      <c r="A4696" s="2"/>
      <c r="B4696" s="8"/>
      <c r="C4696" s="8" t="str">
        <f>IFERROR(__xludf.DUMMYFUNCTION("""COMPUTED_VALUE"""),"")</f>
        <v/>
      </c>
      <c r="D4696" s="8" t="str">
        <f>IFERROR(__xludf.DUMMYFUNCTION("""COMPUTED_VALUE"""),"")</f>
        <v/>
      </c>
      <c r="E4696" s="2"/>
    </row>
    <row r="4697">
      <c r="A4697" s="2"/>
      <c r="B4697" s="8"/>
      <c r="C4697" s="8" t="str">
        <f>IFERROR(__xludf.DUMMYFUNCTION("""COMPUTED_VALUE"""),"")</f>
        <v/>
      </c>
      <c r="D4697" s="8" t="str">
        <f>IFERROR(__xludf.DUMMYFUNCTION("""COMPUTED_VALUE"""),"")</f>
        <v/>
      </c>
      <c r="E4697" s="2"/>
    </row>
    <row r="4698">
      <c r="A4698" s="2"/>
      <c r="B4698" s="8"/>
      <c r="C4698" s="8" t="str">
        <f>IFERROR(__xludf.DUMMYFUNCTION("""COMPUTED_VALUE"""),"")</f>
        <v/>
      </c>
      <c r="D4698" s="8" t="str">
        <f>IFERROR(__xludf.DUMMYFUNCTION("""COMPUTED_VALUE"""),"")</f>
        <v/>
      </c>
      <c r="E4698" s="2"/>
    </row>
    <row r="4699">
      <c r="A4699" s="2"/>
      <c r="B4699" s="8"/>
      <c r="C4699" s="8" t="str">
        <f>IFERROR(__xludf.DUMMYFUNCTION("""COMPUTED_VALUE"""),"")</f>
        <v/>
      </c>
      <c r="D4699" s="8" t="str">
        <f>IFERROR(__xludf.DUMMYFUNCTION("""COMPUTED_VALUE"""),"")</f>
        <v/>
      </c>
      <c r="E4699" s="2"/>
    </row>
    <row r="4700">
      <c r="A4700" s="2"/>
      <c r="B4700" s="8"/>
      <c r="C4700" s="8" t="str">
        <f>IFERROR(__xludf.DUMMYFUNCTION("""COMPUTED_VALUE"""),"")</f>
        <v/>
      </c>
      <c r="D4700" s="8" t="str">
        <f>IFERROR(__xludf.DUMMYFUNCTION("""COMPUTED_VALUE"""),"")</f>
        <v/>
      </c>
      <c r="E4700" s="2"/>
    </row>
    <row r="4701">
      <c r="A4701" s="2"/>
      <c r="B4701" s="8"/>
      <c r="C4701" s="8" t="str">
        <f>IFERROR(__xludf.DUMMYFUNCTION("""COMPUTED_VALUE"""),"")</f>
        <v/>
      </c>
      <c r="D4701" s="8" t="str">
        <f>IFERROR(__xludf.DUMMYFUNCTION("""COMPUTED_VALUE"""),"")</f>
        <v/>
      </c>
      <c r="E4701" s="2"/>
    </row>
    <row r="4702">
      <c r="A4702" s="2"/>
      <c r="B4702" s="8"/>
      <c r="C4702" s="8" t="str">
        <f>IFERROR(__xludf.DUMMYFUNCTION("""COMPUTED_VALUE"""),"")</f>
        <v/>
      </c>
      <c r="D4702" s="8" t="str">
        <f>IFERROR(__xludf.DUMMYFUNCTION("""COMPUTED_VALUE"""),"")</f>
        <v/>
      </c>
      <c r="E4702" s="2"/>
    </row>
    <row r="4703">
      <c r="A4703" s="2"/>
      <c r="B4703" s="8"/>
      <c r="C4703" s="8" t="str">
        <f>IFERROR(__xludf.DUMMYFUNCTION("""COMPUTED_VALUE"""),"")</f>
        <v/>
      </c>
      <c r="D4703" s="8" t="str">
        <f>IFERROR(__xludf.DUMMYFUNCTION("""COMPUTED_VALUE"""),"")</f>
        <v/>
      </c>
      <c r="E4703" s="2"/>
    </row>
    <row r="4704">
      <c r="A4704" s="2"/>
      <c r="B4704" s="8"/>
      <c r="C4704" s="8" t="str">
        <f>IFERROR(__xludf.DUMMYFUNCTION("""COMPUTED_VALUE"""),"")</f>
        <v/>
      </c>
      <c r="D4704" s="8" t="str">
        <f>IFERROR(__xludf.DUMMYFUNCTION("""COMPUTED_VALUE"""),"")</f>
        <v/>
      </c>
      <c r="E4704" s="2"/>
    </row>
    <row r="4705">
      <c r="A4705" s="2"/>
      <c r="B4705" s="8"/>
      <c r="C4705" s="8" t="str">
        <f>IFERROR(__xludf.DUMMYFUNCTION("""COMPUTED_VALUE"""),"")</f>
        <v/>
      </c>
      <c r="D4705" s="8" t="str">
        <f>IFERROR(__xludf.DUMMYFUNCTION("""COMPUTED_VALUE"""),"")</f>
        <v/>
      </c>
      <c r="E4705" s="2"/>
    </row>
    <row r="4706">
      <c r="A4706" s="2"/>
      <c r="B4706" s="8"/>
      <c r="C4706" s="8" t="str">
        <f>IFERROR(__xludf.DUMMYFUNCTION("""COMPUTED_VALUE"""),"")</f>
        <v/>
      </c>
      <c r="D4706" s="8" t="str">
        <f>IFERROR(__xludf.DUMMYFUNCTION("""COMPUTED_VALUE"""),"")</f>
        <v/>
      </c>
      <c r="E4706" s="2"/>
    </row>
    <row r="4707">
      <c r="A4707" s="2"/>
      <c r="B4707" s="8"/>
      <c r="C4707" s="8" t="str">
        <f>IFERROR(__xludf.DUMMYFUNCTION("""COMPUTED_VALUE"""),"")</f>
        <v/>
      </c>
      <c r="D4707" s="8" t="str">
        <f>IFERROR(__xludf.DUMMYFUNCTION("""COMPUTED_VALUE"""),"")</f>
        <v/>
      </c>
      <c r="E4707" s="2"/>
    </row>
    <row r="4708">
      <c r="A4708" s="2"/>
      <c r="B4708" s="8"/>
      <c r="C4708" s="8" t="str">
        <f>IFERROR(__xludf.DUMMYFUNCTION("""COMPUTED_VALUE"""),"")</f>
        <v/>
      </c>
      <c r="D4708" s="8" t="str">
        <f>IFERROR(__xludf.DUMMYFUNCTION("""COMPUTED_VALUE"""),"")</f>
        <v/>
      </c>
      <c r="E4708" s="2"/>
    </row>
    <row r="4709">
      <c r="A4709" s="2"/>
      <c r="B4709" s="8"/>
      <c r="C4709" s="8" t="str">
        <f>IFERROR(__xludf.DUMMYFUNCTION("""COMPUTED_VALUE"""),"")</f>
        <v/>
      </c>
      <c r="D4709" s="8" t="str">
        <f>IFERROR(__xludf.DUMMYFUNCTION("""COMPUTED_VALUE"""),"")</f>
        <v/>
      </c>
      <c r="E4709" s="2"/>
    </row>
    <row r="4710">
      <c r="A4710" s="2"/>
      <c r="B4710" s="8"/>
      <c r="C4710" s="8" t="str">
        <f>IFERROR(__xludf.DUMMYFUNCTION("""COMPUTED_VALUE"""),"")</f>
        <v/>
      </c>
      <c r="D4710" s="8" t="str">
        <f>IFERROR(__xludf.DUMMYFUNCTION("""COMPUTED_VALUE"""),"")</f>
        <v/>
      </c>
      <c r="E4710" s="2"/>
    </row>
    <row r="4711">
      <c r="A4711" s="2"/>
      <c r="B4711" s="8"/>
      <c r="C4711" s="8" t="str">
        <f>IFERROR(__xludf.DUMMYFUNCTION("""COMPUTED_VALUE"""),"")</f>
        <v/>
      </c>
      <c r="D4711" s="8" t="str">
        <f>IFERROR(__xludf.DUMMYFUNCTION("""COMPUTED_VALUE"""),"")</f>
        <v/>
      </c>
      <c r="E4711" s="2"/>
    </row>
    <row r="4712">
      <c r="A4712" s="2"/>
      <c r="B4712" s="8"/>
      <c r="C4712" s="8" t="str">
        <f>IFERROR(__xludf.DUMMYFUNCTION("""COMPUTED_VALUE"""),"")</f>
        <v/>
      </c>
      <c r="D4712" s="8" t="str">
        <f>IFERROR(__xludf.DUMMYFUNCTION("""COMPUTED_VALUE"""),"")</f>
        <v/>
      </c>
      <c r="E4712" s="2"/>
    </row>
    <row r="4713">
      <c r="A4713" s="2"/>
      <c r="B4713" s="8"/>
      <c r="C4713" s="8" t="str">
        <f>IFERROR(__xludf.DUMMYFUNCTION("""COMPUTED_VALUE"""),"")</f>
        <v/>
      </c>
      <c r="D4713" s="8" t="str">
        <f>IFERROR(__xludf.DUMMYFUNCTION("""COMPUTED_VALUE"""),"")</f>
        <v/>
      </c>
      <c r="E4713" s="2"/>
    </row>
    <row r="4714">
      <c r="A4714" s="2"/>
      <c r="B4714" s="8"/>
      <c r="C4714" s="8" t="str">
        <f>IFERROR(__xludf.DUMMYFUNCTION("""COMPUTED_VALUE"""),"")</f>
        <v/>
      </c>
      <c r="D4714" s="8" t="str">
        <f>IFERROR(__xludf.DUMMYFUNCTION("""COMPUTED_VALUE"""),"")</f>
        <v/>
      </c>
      <c r="E4714" s="2"/>
    </row>
    <row r="4715">
      <c r="A4715" s="2"/>
      <c r="B4715" s="8"/>
      <c r="C4715" s="8" t="str">
        <f>IFERROR(__xludf.DUMMYFUNCTION("""COMPUTED_VALUE"""),"")</f>
        <v/>
      </c>
      <c r="D4715" s="8" t="str">
        <f>IFERROR(__xludf.DUMMYFUNCTION("""COMPUTED_VALUE"""),"")</f>
        <v/>
      </c>
      <c r="E4715" s="2"/>
    </row>
    <row r="4716">
      <c r="A4716" s="2"/>
      <c r="B4716" s="8"/>
      <c r="C4716" s="8" t="str">
        <f>IFERROR(__xludf.DUMMYFUNCTION("""COMPUTED_VALUE"""),"")</f>
        <v/>
      </c>
      <c r="D4716" s="8" t="str">
        <f>IFERROR(__xludf.DUMMYFUNCTION("""COMPUTED_VALUE"""),"")</f>
        <v/>
      </c>
      <c r="E4716" s="2"/>
    </row>
    <row r="4717">
      <c r="A4717" s="2"/>
      <c r="B4717" s="8"/>
      <c r="C4717" s="8" t="str">
        <f>IFERROR(__xludf.DUMMYFUNCTION("""COMPUTED_VALUE"""),"")</f>
        <v/>
      </c>
      <c r="D4717" s="8" t="str">
        <f>IFERROR(__xludf.DUMMYFUNCTION("""COMPUTED_VALUE"""),"")</f>
        <v/>
      </c>
      <c r="E4717" s="2"/>
    </row>
    <row r="4718">
      <c r="A4718" s="2"/>
      <c r="B4718" s="8"/>
      <c r="C4718" s="8" t="str">
        <f>IFERROR(__xludf.DUMMYFUNCTION("""COMPUTED_VALUE"""),"")</f>
        <v/>
      </c>
      <c r="D4718" s="8" t="str">
        <f>IFERROR(__xludf.DUMMYFUNCTION("""COMPUTED_VALUE"""),"")</f>
        <v/>
      </c>
      <c r="E4718" s="2"/>
    </row>
    <row r="4719">
      <c r="A4719" s="2"/>
      <c r="B4719" s="8"/>
      <c r="C4719" s="8" t="str">
        <f>IFERROR(__xludf.DUMMYFUNCTION("""COMPUTED_VALUE"""),"")</f>
        <v/>
      </c>
      <c r="D4719" s="8" t="str">
        <f>IFERROR(__xludf.DUMMYFUNCTION("""COMPUTED_VALUE"""),"")</f>
        <v/>
      </c>
      <c r="E4719" s="2"/>
    </row>
    <row r="4720">
      <c r="A4720" s="2"/>
      <c r="B4720" s="8"/>
      <c r="C4720" s="8" t="str">
        <f>IFERROR(__xludf.DUMMYFUNCTION("""COMPUTED_VALUE"""),"")</f>
        <v/>
      </c>
      <c r="D4720" s="8" t="str">
        <f>IFERROR(__xludf.DUMMYFUNCTION("""COMPUTED_VALUE"""),"")</f>
        <v/>
      </c>
      <c r="E4720" s="2"/>
    </row>
    <row r="4721">
      <c r="A4721" s="2"/>
      <c r="B4721" s="8"/>
      <c r="C4721" s="8" t="str">
        <f>IFERROR(__xludf.DUMMYFUNCTION("""COMPUTED_VALUE"""),"")</f>
        <v/>
      </c>
      <c r="D4721" s="8" t="str">
        <f>IFERROR(__xludf.DUMMYFUNCTION("""COMPUTED_VALUE"""),"")</f>
        <v/>
      </c>
      <c r="E4721" s="2"/>
    </row>
    <row r="4722">
      <c r="A4722" s="2"/>
      <c r="B4722" s="8"/>
      <c r="C4722" s="8" t="str">
        <f>IFERROR(__xludf.DUMMYFUNCTION("""COMPUTED_VALUE"""),"")</f>
        <v/>
      </c>
      <c r="D4722" s="8" t="str">
        <f>IFERROR(__xludf.DUMMYFUNCTION("""COMPUTED_VALUE"""),"")</f>
        <v/>
      </c>
      <c r="E4722" s="2"/>
    </row>
    <row r="4723">
      <c r="A4723" s="2"/>
      <c r="B4723" s="8"/>
      <c r="C4723" s="8" t="str">
        <f>IFERROR(__xludf.DUMMYFUNCTION("""COMPUTED_VALUE"""),"")</f>
        <v/>
      </c>
      <c r="D4723" s="8" t="str">
        <f>IFERROR(__xludf.DUMMYFUNCTION("""COMPUTED_VALUE"""),"")</f>
        <v/>
      </c>
      <c r="E4723" s="2"/>
    </row>
    <row r="4724">
      <c r="A4724" s="2"/>
      <c r="B4724" s="8"/>
      <c r="C4724" s="8" t="str">
        <f>IFERROR(__xludf.DUMMYFUNCTION("""COMPUTED_VALUE"""),"")</f>
        <v/>
      </c>
      <c r="D4724" s="8" t="str">
        <f>IFERROR(__xludf.DUMMYFUNCTION("""COMPUTED_VALUE"""),"")</f>
        <v/>
      </c>
      <c r="E4724" s="2"/>
    </row>
    <row r="4725">
      <c r="A4725" s="2"/>
      <c r="B4725" s="8"/>
      <c r="C4725" s="8" t="str">
        <f>IFERROR(__xludf.DUMMYFUNCTION("""COMPUTED_VALUE"""),"")</f>
        <v/>
      </c>
      <c r="D4725" s="8" t="str">
        <f>IFERROR(__xludf.DUMMYFUNCTION("""COMPUTED_VALUE"""),"")</f>
        <v/>
      </c>
      <c r="E4725" s="2"/>
    </row>
    <row r="4726">
      <c r="A4726" s="2"/>
      <c r="B4726" s="8"/>
      <c r="C4726" s="8" t="str">
        <f>IFERROR(__xludf.DUMMYFUNCTION("""COMPUTED_VALUE"""),"")</f>
        <v/>
      </c>
      <c r="D4726" s="8" t="str">
        <f>IFERROR(__xludf.DUMMYFUNCTION("""COMPUTED_VALUE"""),"")</f>
        <v/>
      </c>
      <c r="E4726" s="2"/>
    </row>
    <row r="4727">
      <c r="A4727" s="2"/>
      <c r="B4727" s="8"/>
      <c r="C4727" s="8" t="str">
        <f>IFERROR(__xludf.DUMMYFUNCTION("""COMPUTED_VALUE"""),"")</f>
        <v/>
      </c>
      <c r="D4727" s="8" t="str">
        <f>IFERROR(__xludf.DUMMYFUNCTION("""COMPUTED_VALUE"""),"")</f>
        <v/>
      </c>
      <c r="E4727" s="2"/>
    </row>
    <row r="4728">
      <c r="A4728" s="2"/>
      <c r="B4728" s="8"/>
      <c r="C4728" s="8" t="str">
        <f>IFERROR(__xludf.DUMMYFUNCTION("""COMPUTED_VALUE"""),"")</f>
        <v/>
      </c>
      <c r="D4728" s="8" t="str">
        <f>IFERROR(__xludf.DUMMYFUNCTION("""COMPUTED_VALUE"""),"")</f>
        <v/>
      </c>
      <c r="E4728" s="2"/>
    </row>
    <row r="4729">
      <c r="A4729" s="2"/>
      <c r="B4729" s="8"/>
      <c r="C4729" s="8" t="str">
        <f>IFERROR(__xludf.DUMMYFUNCTION("""COMPUTED_VALUE"""),"")</f>
        <v/>
      </c>
      <c r="D4729" s="8" t="str">
        <f>IFERROR(__xludf.DUMMYFUNCTION("""COMPUTED_VALUE"""),"")</f>
        <v/>
      </c>
      <c r="E4729" s="2"/>
    </row>
    <row r="4730">
      <c r="A4730" s="2"/>
      <c r="B4730" s="8"/>
      <c r="C4730" s="8" t="str">
        <f>IFERROR(__xludf.DUMMYFUNCTION("""COMPUTED_VALUE"""),"")</f>
        <v/>
      </c>
      <c r="D4730" s="8" t="str">
        <f>IFERROR(__xludf.DUMMYFUNCTION("""COMPUTED_VALUE"""),"")</f>
        <v/>
      </c>
      <c r="E4730" s="2"/>
    </row>
    <row r="4731">
      <c r="A4731" s="2"/>
      <c r="B4731" s="8"/>
      <c r="C4731" s="8" t="str">
        <f>IFERROR(__xludf.DUMMYFUNCTION("""COMPUTED_VALUE"""),"")</f>
        <v/>
      </c>
      <c r="D4731" s="8" t="str">
        <f>IFERROR(__xludf.DUMMYFUNCTION("""COMPUTED_VALUE"""),"")</f>
        <v/>
      </c>
      <c r="E4731" s="2"/>
    </row>
    <row r="4732">
      <c r="A4732" s="2"/>
      <c r="B4732" s="8"/>
      <c r="C4732" s="8" t="str">
        <f>IFERROR(__xludf.DUMMYFUNCTION("""COMPUTED_VALUE"""),"")</f>
        <v/>
      </c>
      <c r="D4732" s="8" t="str">
        <f>IFERROR(__xludf.DUMMYFUNCTION("""COMPUTED_VALUE"""),"")</f>
        <v/>
      </c>
      <c r="E4732" s="2"/>
    </row>
    <row r="4733">
      <c r="A4733" s="2"/>
      <c r="B4733" s="8"/>
      <c r="C4733" s="8" t="str">
        <f>IFERROR(__xludf.DUMMYFUNCTION("""COMPUTED_VALUE"""),"")</f>
        <v/>
      </c>
      <c r="D4733" s="8" t="str">
        <f>IFERROR(__xludf.DUMMYFUNCTION("""COMPUTED_VALUE"""),"")</f>
        <v/>
      </c>
      <c r="E4733" s="2"/>
    </row>
    <row r="4734">
      <c r="A4734" s="2"/>
      <c r="B4734" s="8"/>
      <c r="C4734" s="8" t="str">
        <f>IFERROR(__xludf.DUMMYFUNCTION("""COMPUTED_VALUE"""),"")</f>
        <v/>
      </c>
      <c r="D4734" s="8" t="str">
        <f>IFERROR(__xludf.DUMMYFUNCTION("""COMPUTED_VALUE"""),"")</f>
        <v/>
      </c>
      <c r="E4734" s="2"/>
    </row>
    <row r="4735">
      <c r="A4735" s="2"/>
      <c r="B4735" s="8"/>
      <c r="C4735" s="8" t="str">
        <f>IFERROR(__xludf.DUMMYFUNCTION("""COMPUTED_VALUE"""),"")</f>
        <v/>
      </c>
      <c r="D4735" s="8" t="str">
        <f>IFERROR(__xludf.DUMMYFUNCTION("""COMPUTED_VALUE"""),"")</f>
        <v/>
      </c>
      <c r="E4735" s="2"/>
    </row>
    <row r="4736">
      <c r="A4736" s="2"/>
      <c r="B4736" s="8"/>
      <c r="C4736" s="8" t="str">
        <f>IFERROR(__xludf.DUMMYFUNCTION("""COMPUTED_VALUE"""),"")</f>
        <v/>
      </c>
      <c r="D4736" s="8" t="str">
        <f>IFERROR(__xludf.DUMMYFUNCTION("""COMPUTED_VALUE"""),"")</f>
        <v/>
      </c>
      <c r="E4736" s="2"/>
    </row>
    <row r="4737">
      <c r="A4737" s="2"/>
      <c r="B4737" s="8"/>
      <c r="C4737" s="8" t="str">
        <f>IFERROR(__xludf.DUMMYFUNCTION("""COMPUTED_VALUE"""),"")</f>
        <v/>
      </c>
      <c r="D4737" s="8" t="str">
        <f>IFERROR(__xludf.DUMMYFUNCTION("""COMPUTED_VALUE"""),"")</f>
        <v/>
      </c>
      <c r="E4737" s="2"/>
    </row>
    <row r="4738">
      <c r="A4738" s="2"/>
      <c r="B4738" s="8"/>
      <c r="C4738" s="8" t="str">
        <f>IFERROR(__xludf.DUMMYFUNCTION("""COMPUTED_VALUE"""),"")</f>
        <v/>
      </c>
      <c r="D4738" s="8" t="str">
        <f>IFERROR(__xludf.DUMMYFUNCTION("""COMPUTED_VALUE"""),"")</f>
        <v/>
      </c>
      <c r="E4738" s="2"/>
    </row>
    <row r="4739">
      <c r="A4739" s="2"/>
      <c r="B4739" s="8"/>
      <c r="C4739" s="8" t="str">
        <f>IFERROR(__xludf.DUMMYFUNCTION("""COMPUTED_VALUE"""),"")</f>
        <v/>
      </c>
      <c r="D4739" s="8" t="str">
        <f>IFERROR(__xludf.DUMMYFUNCTION("""COMPUTED_VALUE"""),"")</f>
        <v/>
      </c>
      <c r="E4739" s="2"/>
    </row>
    <row r="4740">
      <c r="A4740" s="2"/>
      <c r="B4740" s="8"/>
      <c r="C4740" s="8" t="str">
        <f>IFERROR(__xludf.DUMMYFUNCTION("""COMPUTED_VALUE"""),"")</f>
        <v/>
      </c>
      <c r="D4740" s="8" t="str">
        <f>IFERROR(__xludf.DUMMYFUNCTION("""COMPUTED_VALUE"""),"")</f>
        <v/>
      </c>
      <c r="E4740" s="2"/>
    </row>
    <row r="4741">
      <c r="A4741" s="2"/>
      <c r="B4741" s="8"/>
      <c r="C4741" s="8" t="str">
        <f>IFERROR(__xludf.DUMMYFUNCTION("""COMPUTED_VALUE"""),"")</f>
        <v/>
      </c>
      <c r="D4741" s="8" t="str">
        <f>IFERROR(__xludf.DUMMYFUNCTION("""COMPUTED_VALUE"""),"")</f>
        <v/>
      </c>
      <c r="E4741" s="2"/>
    </row>
    <row r="4742">
      <c r="A4742" s="2"/>
      <c r="B4742" s="8"/>
      <c r="C4742" s="8" t="str">
        <f>IFERROR(__xludf.DUMMYFUNCTION("""COMPUTED_VALUE"""),"")</f>
        <v/>
      </c>
      <c r="D4742" s="8" t="str">
        <f>IFERROR(__xludf.DUMMYFUNCTION("""COMPUTED_VALUE"""),"")</f>
        <v/>
      </c>
      <c r="E4742" s="2"/>
    </row>
    <row r="4743">
      <c r="A4743" s="2"/>
      <c r="B4743" s="8"/>
      <c r="C4743" s="8" t="str">
        <f>IFERROR(__xludf.DUMMYFUNCTION("""COMPUTED_VALUE"""),"")</f>
        <v/>
      </c>
      <c r="D4743" s="8" t="str">
        <f>IFERROR(__xludf.DUMMYFUNCTION("""COMPUTED_VALUE"""),"")</f>
        <v/>
      </c>
      <c r="E4743" s="2"/>
    </row>
    <row r="4744">
      <c r="A4744" s="2"/>
      <c r="B4744" s="8"/>
      <c r="C4744" s="8" t="str">
        <f>IFERROR(__xludf.DUMMYFUNCTION("""COMPUTED_VALUE"""),"")</f>
        <v/>
      </c>
      <c r="D4744" s="8" t="str">
        <f>IFERROR(__xludf.DUMMYFUNCTION("""COMPUTED_VALUE"""),"")</f>
        <v/>
      </c>
      <c r="E4744" s="2"/>
    </row>
    <row r="4745">
      <c r="A4745" s="2"/>
      <c r="B4745" s="8"/>
      <c r="C4745" s="8" t="str">
        <f>IFERROR(__xludf.DUMMYFUNCTION("""COMPUTED_VALUE"""),"")</f>
        <v/>
      </c>
      <c r="D4745" s="8" t="str">
        <f>IFERROR(__xludf.DUMMYFUNCTION("""COMPUTED_VALUE"""),"")</f>
        <v/>
      </c>
      <c r="E4745" s="2"/>
    </row>
    <row r="4746">
      <c r="A4746" s="2"/>
      <c r="B4746" s="8"/>
      <c r="C4746" s="8" t="str">
        <f>IFERROR(__xludf.DUMMYFUNCTION("""COMPUTED_VALUE"""),"")</f>
        <v/>
      </c>
      <c r="D4746" s="8" t="str">
        <f>IFERROR(__xludf.DUMMYFUNCTION("""COMPUTED_VALUE"""),"")</f>
        <v/>
      </c>
      <c r="E4746" s="2"/>
    </row>
    <row r="4747">
      <c r="A4747" s="2"/>
      <c r="B4747" s="8"/>
      <c r="C4747" s="8" t="str">
        <f>IFERROR(__xludf.DUMMYFUNCTION("""COMPUTED_VALUE"""),"")</f>
        <v/>
      </c>
      <c r="D4747" s="8" t="str">
        <f>IFERROR(__xludf.DUMMYFUNCTION("""COMPUTED_VALUE"""),"")</f>
        <v/>
      </c>
      <c r="E4747" s="2"/>
    </row>
    <row r="4748">
      <c r="A4748" s="2"/>
      <c r="B4748" s="8"/>
      <c r="C4748" s="8" t="str">
        <f>IFERROR(__xludf.DUMMYFUNCTION("""COMPUTED_VALUE"""),"")</f>
        <v/>
      </c>
      <c r="D4748" s="8" t="str">
        <f>IFERROR(__xludf.DUMMYFUNCTION("""COMPUTED_VALUE"""),"")</f>
        <v/>
      </c>
      <c r="E4748" s="2"/>
    </row>
    <row r="4749">
      <c r="A4749" s="2"/>
      <c r="B4749" s="8"/>
      <c r="C4749" s="8" t="str">
        <f>IFERROR(__xludf.DUMMYFUNCTION("""COMPUTED_VALUE"""),"")</f>
        <v/>
      </c>
      <c r="D4749" s="8" t="str">
        <f>IFERROR(__xludf.DUMMYFUNCTION("""COMPUTED_VALUE"""),"")</f>
        <v/>
      </c>
      <c r="E4749" s="2"/>
    </row>
    <row r="4750">
      <c r="A4750" s="2"/>
      <c r="B4750" s="8"/>
      <c r="C4750" s="8" t="str">
        <f>IFERROR(__xludf.DUMMYFUNCTION("""COMPUTED_VALUE"""),"")</f>
        <v/>
      </c>
      <c r="D4750" s="8" t="str">
        <f>IFERROR(__xludf.DUMMYFUNCTION("""COMPUTED_VALUE"""),"")</f>
        <v/>
      </c>
      <c r="E4750" s="2"/>
    </row>
    <row r="4751">
      <c r="A4751" s="2"/>
      <c r="B4751" s="8"/>
      <c r="C4751" s="8" t="str">
        <f>IFERROR(__xludf.DUMMYFUNCTION("""COMPUTED_VALUE"""),"")</f>
        <v/>
      </c>
      <c r="D4751" s="8" t="str">
        <f>IFERROR(__xludf.DUMMYFUNCTION("""COMPUTED_VALUE"""),"")</f>
        <v/>
      </c>
      <c r="E4751" s="2"/>
    </row>
    <row r="4752">
      <c r="A4752" s="2"/>
      <c r="B4752" s="8"/>
      <c r="C4752" s="8" t="str">
        <f>IFERROR(__xludf.DUMMYFUNCTION("""COMPUTED_VALUE"""),"")</f>
        <v/>
      </c>
      <c r="D4752" s="8" t="str">
        <f>IFERROR(__xludf.DUMMYFUNCTION("""COMPUTED_VALUE"""),"")</f>
        <v/>
      </c>
      <c r="E4752" s="2"/>
    </row>
    <row r="4753">
      <c r="A4753" s="2"/>
      <c r="B4753" s="8"/>
      <c r="C4753" s="8" t="str">
        <f>IFERROR(__xludf.DUMMYFUNCTION("""COMPUTED_VALUE"""),"")</f>
        <v/>
      </c>
      <c r="D4753" s="8" t="str">
        <f>IFERROR(__xludf.DUMMYFUNCTION("""COMPUTED_VALUE"""),"")</f>
        <v/>
      </c>
      <c r="E4753" s="2"/>
    </row>
    <row r="4754">
      <c r="A4754" s="2"/>
      <c r="B4754" s="8"/>
      <c r="C4754" s="8" t="str">
        <f>IFERROR(__xludf.DUMMYFUNCTION("""COMPUTED_VALUE"""),"")</f>
        <v/>
      </c>
      <c r="D4754" s="8" t="str">
        <f>IFERROR(__xludf.DUMMYFUNCTION("""COMPUTED_VALUE"""),"")</f>
        <v/>
      </c>
      <c r="E4754" s="2"/>
    </row>
    <row r="4755">
      <c r="A4755" s="2"/>
      <c r="B4755" s="8"/>
      <c r="C4755" s="8" t="str">
        <f>IFERROR(__xludf.DUMMYFUNCTION("""COMPUTED_VALUE"""),"")</f>
        <v/>
      </c>
      <c r="D4755" s="8" t="str">
        <f>IFERROR(__xludf.DUMMYFUNCTION("""COMPUTED_VALUE"""),"")</f>
        <v/>
      </c>
      <c r="E4755" s="2"/>
    </row>
    <row r="4756">
      <c r="A4756" s="2"/>
      <c r="B4756" s="8"/>
      <c r="C4756" s="8" t="str">
        <f>IFERROR(__xludf.DUMMYFUNCTION("""COMPUTED_VALUE"""),"")</f>
        <v/>
      </c>
      <c r="D4756" s="8" t="str">
        <f>IFERROR(__xludf.DUMMYFUNCTION("""COMPUTED_VALUE"""),"")</f>
        <v/>
      </c>
      <c r="E4756" s="2"/>
    </row>
    <row r="4757">
      <c r="A4757" s="2"/>
      <c r="B4757" s="8"/>
      <c r="C4757" s="8" t="str">
        <f>IFERROR(__xludf.DUMMYFUNCTION("""COMPUTED_VALUE"""),"")</f>
        <v/>
      </c>
      <c r="D4757" s="8" t="str">
        <f>IFERROR(__xludf.DUMMYFUNCTION("""COMPUTED_VALUE"""),"")</f>
        <v/>
      </c>
      <c r="E4757" s="2"/>
    </row>
    <row r="4758">
      <c r="A4758" s="2"/>
      <c r="B4758" s="8"/>
      <c r="C4758" s="8" t="str">
        <f>IFERROR(__xludf.DUMMYFUNCTION("""COMPUTED_VALUE"""),"")</f>
        <v/>
      </c>
      <c r="D4758" s="8" t="str">
        <f>IFERROR(__xludf.DUMMYFUNCTION("""COMPUTED_VALUE"""),"")</f>
        <v/>
      </c>
      <c r="E4758" s="2"/>
    </row>
    <row r="4759">
      <c r="A4759" s="2"/>
      <c r="B4759" s="8"/>
      <c r="C4759" s="8" t="str">
        <f>IFERROR(__xludf.DUMMYFUNCTION("""COMPUTED_VALUE"""),"")</f>
        <v/>
      </c>
      <c r="D4759" s="8" t="str">
        <f>IFERROR(__xludf.DUMMYFUNCTION("""COMPUTED_VALUE"""),"")</f>
        <v/>
      </c>
      <c r="E4759" s="2"/>
    </row>
    <row r="4760">
      <c r="A4760" s="2"/>
      <c r="B4760" s="8"/>
      <c r="C4760" s="8" t="str">
        <f>IFERROR(__xludf.DUMMYFUNCTION("""COMPUTED_VALUE"""),"")</f>
        <v/>
      </c>
      <c r="D4760" s="8" t="str">
        <f>IFERROR(__xludf.DUMMYFUNCTION("""COMPUTED_VALUE"""),"")</f>
        <v/>
      </c>
      <c r="E4760" s="2"/>
    </row>
    <row r="4761">
      <c r="A4761" s="2"/>
      <c r="B4761" s="8"/>
      <c r="C4761" s="8" t="str">
        <f>IFERROR(__xludf.DUMMYFUNCTION("""COMPUTED_VALUE"""),"")</f>
        <v/>
      </c>
      <c r="D4761" s="8" t="str">
        <f>IFERROR(__xludf.DUMMYFUNCTION("""COMPUTED_VALUE"""),"")</f>
        <v/>
      </c>
      <c r="E4761" s="2"/>
    </row>
    <row r="4762">
      <c r="A4762" s="2"/>
      <c r="B4762" s="8"/>
      <c r="C4762" s="8" t="str">
        <f>IFERROR(__xludf.DUMMYFUNCTION("""COMPUTED_VALUE"""),"")</f>
        <v/>
      </c>
      <c r="D4762" s="8" t="str">
        <f>IFERROR(__xludf.DUMMYFUNCTION("""COMPUTED_VALUE"""),"")</f>
        <v/>
      </c>
      <c r="E4762" s="2"/>
    </row>
    <row r="4763">
      <c r="A4763" s="2"/>
      <c r="B4763" s="8"/>
      <c r="C4763" s="8" t="str">
        <f>IFERROR(__xludf.DUMMYFUNCTION("""COMPUTED_VALUE"""),"")</f>
        <v/>
      </c>
      <c r="D4763" s="8" t="str">
        <f>IFERROR(__xludf.DUMMYFUNCTION("""COMPUTED_VALUE"""),"")</f>
        <v/>
      </c>
      <c r="E4763" s="2"/>
    </row>
    <row r="4764">
      <c r="A4764" s="2"/>
      <c r="B4764" s="8"/>
      <c r="C4764" s="8" t="str">
        <f>IFERROR(__xludf.DUMMYFUNCTION("""COMPUTED_VALUE"""),"")</f>
        <v/>
      </c>
      <c r="D4764" s="8" t="str">
        <f>IFERROR(__xludf.DUMMYFUNCTION("""COMPUTED_VALUE"""),"")</f>
        <v/>
      </c>
      <c r="E4764" s="2"/>
    </row>
    <row r="4765">
      <c r="A4765" s="2"/>
      <c r="B4765" s="8"/>
      <c r="C4765" s="8" t="str">
        <f>IFERROR(__xludf.DUMMYFUNCTION("""COMPUTED_VALUE"""),"")</f>
        <v/>
      </c>
      <c r="D4765" s="8" t="str">
        <f>IFERROR(__xludf.DUMMYFUNCTION("""COMPUTED_VALUE"""),"")</f>
        <v/>
      </c>
      <c r="E4765" s="2"/>
    </row>
    <row r="4766">
      <c r="A4766" s="2"/>
      <c r="B4766" s="8"/>
      <c r="C4766" s="8" t="str">
        <f>IFERROR(__xludf.DUMMYFUNCTION("""COMPUTED_VALUE"""),"")</f>
        <v/>
      </c>
      <c r="D4766" s="8" t="str">
        <f>IFERROR(__xludf.DUMMYFUNCTION("""COMPUTED_VALUE"""),"")</f>
        <v/>
      </c>
      <c r="E4766" s="2"/>
    </row>
    <row r="4767">
      <c r="A4767" s="2"/>
      <c r="B4767" s="8"/>
      <c r="C4767" s="8" t="str">
        <f>IFERROR(__xludf.DUMMYFUNCTION("""COMPUTED_VALUE"""),"")</f>
        <v/>
      </c>
      <c r="D4767" s="8" t="str">
        <f>IFERROR(__xludf.DUMMYFUNCTION("""COMPUTED_VALUE"""),"")</f>
        <v/>
      </c>
      <c r="E4767" s="2"/>
    </row>
    <row r="4768">
      <c r="A4768" s="2"/>
      <c r="B4768" s="8"/>
      <c r="C4768" s="8" t="str">
        <f>IFERROR(__xludf.DUMMYFUNCTION("""COMPUTED_VALUE"""),"")</f>
        <v/>
      </c>
      <c r="D4768" s="8" t="str">
        <f>IFERROR(__xludf.DUMMYFUNCTION("""COMPUTED_VALUE"""),"")</f>
        <v/>
      </c>
      <c r="E4768" s="2"/>
    </row>
    <row r="4769">
      <c r="A4769" s="2"/>
      <c r="B4769" s="8"/>
      <c r="C4769" s="8" t="str">
        <f>IFERROR(__xludf.DUMMYFUNCTION("""COMPUTED_VALUE"""),"")</f>
        <v/>
      </c>
      <c r="D4769" s="8" t="str">
        <f>IFERROR(__xludf.DUMMYFUNCTION("""COMPUTED_VALUE"""),"")</f>
        <v/>
      </c>
      <c r="E4769" s="2"/>
    </row>
    <row r="4770">
      <c r="A4770" s="2"/>
      <c r="B4770" s="8"/>
      <c r="C4770" s="8" t="str">
        <f>IFERROR(__xludf.DUMMYFUNCTION("""COMPUTED_VALUE"""),"")</f>
        <v/>
      </c>
      <c r="D4770" s="8" t="str">
        <f>IFERROR(__xludf.DUMMYFUNCTION("""COMPUTED_VALUE"""),"")</f>
        <v/>
      </c>
      <c r="E4770" s="2"/>
    </row>
    <row r="4771">
      <c r="A4771" s="2"/>
      <c r="B4771" s="8"/>
      <c r="C4771" s="8" t="str">
        <f>IFERROR(__xludf.DUMMYFUNCTION("""COMPUTED_VALUE"""),"")</f>
        <v/>
      </c>
      <c r="D4771" s="8" t="str">
        <f>IFERROR(__xludf.DUMMYFUNCTION("""COMPUTED_VALUE"""),"")</f>
        <v/>
      </c>
      <c r="E4771" s="2"/>
    </row>
    <row r="4772">
      <c r="A4772" s="2"/>
      <c r="B4772" s="8"/>
      <c r="C4772" s="8" t="str">
        <f>IFERROR(__xludf.DUMMYFUNCTION("""COMPUTED_VALUE"""),"")</f>
        <v/>
      </c>
      <c r="D4772" s="8" t="str">
        <f>IFERROR(__xludf.DUMMYFUNCTION("""COMPUTED_VALUE"""),"")</f>
        <v/>
      </c>
      <c r="E4772" s="2"/>
    </row>
    <row r="4773">
      <c r="A4773" s="2"/>
      <c r="B4773" s="8"/>
      <c r="C4773" s="8" t="str">
        <f>IFERROR(__xludf.DUMMYFUNCTION("""COMPUTED_VALUE"""),"")</f>
        <v/>
      </c>
      <c r="D4773" s="8" t="str">
        <f>IFERROR(__xludf.DUMMYFUNCTION("""COMPUTED_VALUE"""),"")</f>
        <v/>
      </c>
      <c r="E4773" s="2"/>
    </row>
    <row r="4774">
      <c r="A4774" s="2"/>
      <c r="B4774" s="8"/>
      <c r="C4774" s="8" t="str">
        <f>IFERROR(__xludf.DUMMYFUNCTION("""COMPUTED_VALUE"""),"")</f>
        <v/>
      </c>
      <c r="D4774" s="8" t="str">
        <f>IFERROR(__xludf.DUMMYFUNCTION("""COMPUTED_VALUE"""),"")</f>
        <v/>
      </c>
      <c r="E4774" s="2"/>
    </row>
    <row r="4775">
      <c r="A4775" s="2"/>
      <c r="B4775" s="8"/>
      <c r="C4775" s="8" t="str">
        <f>IFERROR(__xludf.DUMMYFUNCTION("""COMPUTED_VALUE"""),"")</f>
        <v/>
      </c>
      <c r="D4775" s="8" t="str">
        <f>IFERROR(__xludf.DUMMYFUNCTION("""COMPUTED_VALUE"""),"")</f>
        <v/>
      </c>
      <c r="E4775" s="2"/>
    </row>
    <row r="4776">
      <c r="A4776" s="2"/>
      <c r="B4776" s="8"/>
      <c r="C4776" s="8" t="str">
        <f>IFERROR(__xludf.DUMMYFUNCTION("""COMPUTED_VALUE"""),"")</f>
        <v/>
      </c>
      <c r="D4776" s="8" t="str">
        <f>IFERROR(__xludf.DUMMYFUNCTION("""COMPUTED_VALUE"""),"")</f>
        <v/>
      </c>
      <c r="E4776" s="2"/>
    </row>
    <row r="4777">
      <c r="A4777" s="2"/>
      <c r="B4777" s="8"/>
      <c r="C4777" s="8" t="str">
        <f>IFERROR(__xludf.DUMMYFUNCTION("""COMPUTED_VALUE"""),"")</f>
        <v/>
      </c>
      <c r="D4777" s="8" t="str">
        <f>IFERROR(__xludf.DUMMYFUNCTION("""COMPUTED_VALUE"""),"")</f>
        <v/>
      </c>
      <c r="E4777" s="2"/>
    </row>
    <row r="4778">
      <c r="A4778" s="2"/>
      <c r="B4778" s="8"/>
      <c r="C4778" s="8" t="str">
        <f>IFERROR(__xludf.DUMMYFUNCTION("""COMPUTED_VALUE"""),"")</f>
        <v/>
      </c>
      <c r="D4778" s="8" t="str">
        <f>IFERROR(__xludf.DUMMYFUNCTION("""COMPUTED_VALUE"""),"")</f>
        <v/>
      </c>
      <c r="E4778" s="2"/>
    </row>
    <row r="4779">
      <c r="A4779" s="2"/>
      <c r="B4779" s="8"/>
      <c r="C4779" s="8" t="str">
        <f>IFERROR(__xludf.DUMMYFUNCTION("""COMPUTED_VALUE"""),"")</f>
        <v/>
      </c>
      <c r="D4779" s="8" t="str">
        <f>IFERROR(__xludf.DUMMYFUNCTION("""COMPUTED_VALUE"""),"")</f>
        <v/>
      </c>
      <c r="E4779" s="2"/>
    </row>
    <row r="4780">
      <c r="A4780" s="2"/>
      <c r="B4780" s="8"/>
      <c r="C4780" s="8" t="str">
        <f>IFERROR(__xludf.DUMMYFUNCTION("""COMPUTED_VALUE"""),"")</f>
        <v/>
      </c>
      <c r="D4780" s="8" t="str">
        <f>IFERROR(__xludf.DUMMYFUNCTION("""COMPUTED_VALUE"""),"")</f>
        <v/>
      </c>
      <c r="E4780" s="2"/>
    </row>
    <row r="4781">
      <c r="A4781" s="2"/>
      <c r="B4781" s="8"/>
      <c r="C4781" s="8" t="str">
        <f>IFERROR(__xludf.DUMMYFUNCTION("""COMPUTED_VALUE"""),"")</f>
        <v/>
      </c>
      <c r="D4781" s="8" t="str">
        <f>IFERROR(__xludf.DUMMYFUNCTION("""COMPUTED_VALUE"""),"")</f>
        <v/>
      </c>
      <c r="E4781" s="2"/>
    </row>
    <row r="4782">
      <c r="A4782" s="2"/>
      <c r="B4782" s="8"/>
      <c r="C4782" s="8" t="str">
        <f>IFERROR(__xludf.DUMMYFUNCTION("""COMPUTED_VALUE"""),"")</f>
        <v/>
      </c>
      <c r="D4782" s="8" t="str">
        <f>IFERROR(__xludf.DUMMYFUNCTION("""COMPUTED_VALUE"""),"")</f>
        <v/>
      </c>
      <c r="E4782" s="2"/>
    </row>
    <row r="4783">
      <c r="A4783" s="2"/>
      <c r="B4783" s="8"/>
      <c r="C4783" s="8" t="str">
        <f>IFERROR(__xludf.DUMMYFUNCTION("""COMPUTED_VALUE"""),"")</f>
        <v/>
      </c>
      <c r="D4783" s="8" t="str">
        <f>IFERROR(__xludf.DUMMYFUNCTION("""COMPUTED_VALUE"""),"")</f>
        <v/>
      </c>
      <c r="E4783" s="2"/>
    </row>
    <row r="4784">
      <c r="A4784" s="2"/>
      <c r="B4784" s="8"/>
      <c r="C4784" s="8" t="str">
        <f>IFERROR(__xludf.DUMMYFUNCTION("""COMPUTED_VALUE"""),"")</f>
        <v/>
      </c>
      <c r="D4784" s="8" t="str">
        <f>IFERROR(__xludf.DUMMYFUNCTION("""COMPUTED_VALUE"""),"")</f>
        <v/>
      </c>
      <c r="E4784" s="2"/>
    </row>
    <row r="4785">
      <c r="A4785" s="2"/>
      <c r="B4785" s="8"/>
      <c r="C4785" s="8" t="str">
        <f>IFERROR(__xludf.DUMMYFUNCTION("""COMPUTED_VALUE"""),"")</f>
        <v/>
      </c>
      <c r="D4785" s="8" t="str">
        <f>IFERROR(__xludf.DUMMYFUNCTION("""COMPUTED_VALUE"""),"")</f>
        <v/>
      </c>
      <c r="E4785" s="2"/>
    </row>
    <row r="4786">
      <c r="A4786" s="2"/>
      <c r="B4786" s="8"/>
      <c r="C4786" s="8" t="str">
        <f>IFERROR(__xludf.DUMMYFUNCTION("""COMPUTED_VALUE"""),"")</f>
        <v/>
      </c>
      <c r="D4786" s="8" t="str">
        <f>IFERROR(__xludf.DUMMYFUNCTION("""COMPUTED_VALUE"""),"")</f>
        <v/>
      </c>
      <c r="E4786" s="2"/>
    </row>
    <row r="4787">
      <c r="A4787" s="2"/>
      <c r="B4787" s="8"/>
      <c r="C4787" s="8" t="str">
        <f>IFERROR(__xludf.DUMMYFUNCTION("""COMPUTED_VALUE"""),"")</f>
        <v/>
      </c>
      <c r="D4787" s="8" t="str">
        <f>IFERROR(__xludf.DUMMYFUNCTION("""COMPUTED_VALUE"""),"")</f>
        <v/>
      </c>
      <c r="E4787" s="2"/>
    </row>
    <row r="4788">
      <c r="A4788" s="2"/>
      <c r="B4788" s="8"/>
      <c r="C4788" s="8" t="str">
        <f>IFERROR(__xludf.DUMMYFUNCTION("""COMPUTED_VALUE"""),"")</f>
        <v/>
      </c>
      <c r="D4788" s="8" t="str">
        <f>IFERROR(__xludf.DUMMYFUNCTION("""COMPUTED_VALUE"""),"")</f>
        <v/>
      </c>
      <c r="E4788" s="2"/>
    </row>
    <row r="4789">
      <c r="A4789" s="2"/>
      <c r="B4789" s="8"/>
      <c r="C4789" s="8" t="str">
        <f>IFERROR(__xludf.DUMMYFUNCTION("""COMPUTED_VALUE"""),"")</f>
        <v/>
      </c>
      <c r="D4789" s="8" t="str">
        <f>IFERROR(__xludf.DUMMYFUNCTION("""COMPUTED_VALUE"""),"")</f>
        <v/>
      </c>
      <c r="E4789" s="2"/>
    </row>
    <row r="4790">
      <c r="A4790" s="2"/>
      <c r="B4790" s="8"/>
      <c r="C4790" s="8" t="str">
        <f>IFERROR(__xludf.DUMMYFUNCTION("""COMPUTED_VALUE"""),"")</f>
        <v/>
      </c>
      <c r="D4790" s="8" t="str">
        <f>IFERROR(__xludf.DUMMYFUNCTION("""COMPUTED_VALUE"""),"")</f>
        <v/>
      </c>
      <c r="E4790" s="2"/>
    </row>
    <row r="4791">
      <c r="A4791" s="2"/>
      <c r="B4791" s="8"/>
      <c r="C4791" s="8" t="str">
        <f>IFERROR(__xludf.DUMMYFUNCTION("""COMPUTED_VALUE"""),"")</f>
        <v/>
      </c>
      <c r="D4791" s="8" t="str">
        <f>IFERROR(__xludf.DUMMYFUNCTION("""COMPUTED_VALUE"""),"")</f>
        <v/>
      </c>
      <c r="E4791" s="2"/>
    </row>
    <row r="4792">
      <c r="A4792" s="2"/>
      <c r="B4792" s="8"/>
      <c r="C4792" s="8" t="str">
        <f>IFERROR(__xludf.DUMMYFUNCTION("""COMPUTED_VALUE"""),"")</f>
        <v/>
      </c>
      <c r="D4792" s="8" t="str">
        <f>IFERROR(__xludf.DUMMYFUNCTION("""COMPUTED_VALUE"""),"")</f>
        <v/>
      </c>
      <c r="E4792" s="2"/>
    </row>
    <row r="4793">
      <c r="A4793" s="2"/>
      <c r="B4793" s="8"/>
      <c r="C4793" s="8" t="str">
        <f>IFERROR(__xludf.DUMMYFUNCTION("""COMPUTED_VALUE"""),"")</f>
        <v/>
      </c>
      <c r="D4793" s="8" t="str">
        <f>IFERROR(__xludf.DUMMYFUNCTION("""COMPUTED_VALUE"""),"")</f>
        <v/>
      </c>
      <c r="E4793" s="2"/>
    </row>
    <row r="4794">
      <c r="A4794" s="2"/>
      <c r="B4794" s="8"/>
      <c r="C4794" s="8" t="str">
        <f>IFERROR(__xludf.DUMMYFUNCTION("""COMPUTED_VALUE"""),"")</f>
        <v/>
      </c>
      <c r="D4794" s="8" t="str">
        <f>IFERROR(__xludf.DUMMYFUNCTION("""COMPUTED_VALUE"""),"")</f>
        <v/>
      </c>
      <c r="E4794" s="2"/>
    </row>
    <row r="4795">
      <c r="A4795" s="2"/>
      <c r="B4795" s="8"/>
      <c r="C4795" s="8" t="str">
        <f>IFERROR(__xludf.DUMMYFUNCTION("""COMPUTED_VALUE"""),"")</f>
        <v/>
      </c>
      <c r="D4795" s="8" t="str">
        <f>IFERROR(__xludf.DUMMYFUNCTION("""COMPUTED_VALUE"""),"")</f>
        <v/>
      </c>
      <c r="E4795" s="2"/>
    </row>
    <row r="4796">
      <c r="A4796" s="2"/>
      <c r="B4796" s="8"/>
      <c r="C4796" s="8" t="str">
        <f>IFERROR(__xludf.DUMMYFUNCTION("""COMPUTED_VALUE"""),"")</f>
        <v/>
      </c>
      <c r="D4796" s="8" t="str">
        <f>IFERROR(__xludf.DUMMYFUNCTION("""COMPUTED_VALUE"""),"")</f>
        <v/>
      </c>
      <c r="E4796" s="2"/>
    </row>
    <row r="4797">
      <c r="A4797" s="2"/>
      <c r="B4797" s="8"/>
      <c r="C4797" s="8" t="str">
        <f>IFERROR(__xludf.DUMMYFUNCTION("""COMPUTED_VALUE"""),"")</f>
        <v/>
      </c>
      <c r="D4797" s="8" t="str">
        <f>IFERROR(__xludf.DUMMYFUNCTION("""COMPUTED_VALUE"""),"")</f>
        <v/>
      </c>
      <c r="E4797" s="2"/>
    </row>
    <row r="4798">
      <c r="A4798" s="2"/>
      <c r="B4798" s="8"/>
      <c r="C4798" s="8" t="str">
        <f>IFERROR(__xludf.DUMMYFUNCTION("""COMPUTED_VALUE"""),"")</f>
        <v/>
      </c>
      <c r="D4798" s="8" t="str">
        <f>IFERROR(__xludf.DUMMYFUNCTION("""COMPUTED_VALUE"""),"")</f>
        <v/>
      </c>
      <c r="E4798" s="2"/>
    </row>
    <row r="4799">
      <c r="A4799" s="2"/>
      <c r="B4799" s="8"/>
      <c r="C4799" s="8" t="str">
        <f>IFERROR(__xludf.DUMMYFUNCTION("""COMPUTED_VALUE"""),"")</f>
        <v/>
      </c>
      <c r="D4799" s="8" t="str">
        <f>IFERROR(__xludf.DUMMYFUNCTION("""COMPUTED_VALUE"""),"")</f>
        <v/>
      </c>
      <c r="E4799" s="2"/>
    </row>
    <row r="4800">
      <c r="A4800" s="2"/>
      <c r="B4800" s="8"/>
      <c r="C4800" s="8" t="str">
        <f>IFERROR(__xludf.DUMMYFUNCTION("""COMPUTED_VALUE"""),"")</f>
        <v/>
      </c>
      <c r="D4800" s="8" t="str">
        <f>IFERROR(__xludf.DUMMYFUNCTION("""COMPUTED_VALUE"""),"")</f>
        <v/>
      </c>
      <c r="E4800" s="2"/>
    </row>
    <row r="4801">
      <c r="A4801" s="2"/>
      <c r="B4801" s="8"/>
      <c r="C4801" s="8" t="str">
        <f>IFERROR(__xludf.DUMMYFUNCTION("""COMPUTED_VALUE"""),"")</f>
        <v/>
      </c>
      <c r="D4801" s="8" t="str">
        <f>IFERROR(__xludf.DUMMYFUNCTION("""COMPUTED_VALUE"""),"")</f>
        <v/>
      </c>
      <c r="E4801" s="2"/>
    </row>
    <row r="4802">
      <c r="A4802" s="2"/>
      <c r="B4802" s="8"/>
      <c r="C4802" s="8" t="str">
        <f>IFERROR(__xludf.DUMMYFUNCTION("""COMPUTED_VALUE"""),"")</f>
        <v/>
      </c>
      <c r="D4802" s="8" t="str">
        <f>IFERROR(__xludf.DUMMYFUNCTION("""COMPUTED_VALUE"""),"")</f>
        <v/>
      </c>
      <c r="E4802" s="2"/>
    </row>
    <row r="4803">
      <c r="A4803" s="2"/>
      <c r="B4803" s="8"/>
      <c r="C4803" s="8" t="str">
        <f>IFERROR(__xludf.DUMMYFUNCTION("""COMPUTED_VALUE"""),"")</f>
        <v/>
      </c>
      <c r="D4803" s="8" t="str">
        <f>IFERROR(__xludf.DUMMYFUNCTION("""COMPUTED_VALUE"""),"")</f>
        <v/>
      </c>
      <c r="E4803" s="2"/>
    </row>
    <row r="4804">
      <c r="A4804" s="2"/>
      <c r="B4804" s="8"/>
      <c r="C4804" s="8" t="str">
        <f>IFERROR(__xludf.DUMMYFUNCTION("""COMPUTED_VALUE"""),"")</f>
        <v/>
      </c>
      <c r="D4804" s="8" t="str">
        <f>IFERROR(__xludf.DUMMYFUNCTION("""COMPUTED_VALUE"""),"")</f>
        <v/>
      </c>
      <c r="E4804" s="2"/>
    </row>
    <row r="4805">
      <c r="A4805" s="2"/>
      <c r="B4805" s="8"/>
      <c r="C4805" s="8" t="str">
        <f>IFERROR(__xludf.DUMMYFUNCTION("""COMPUTED_VALUE"""),"")</f>
        <v/>
      </c>
      <c r="D4805" s="8" t="str">
        <f>IFERROR(__xludf.DUMMYFUNCTION("""COMPUTED_VALUE"""),"")</f>
        <v/>
      </c>
      <c r="E4805" s="2"/>
    </row>
    <row r="4806">
      <c r="A4806" s="2"/>
      <c r="B4806" s="8"/>
      <c r="C4806" s="8" t="str">
        <f>IFERROR(__xludf.DUMMYFUNCTION("""COMPUTED_VALUE"""),"")</f>
        <v/>
      </c>
      <c r="D4806" s="8" t="str">
        <f>IFERROR(__xludf.DUMMYFUNCTION("""COMPUTED_VALUE"""),"")</f>
        <v/>
      </c>
      <c r="E4806" s="2"/>
    </row>
    <row r="4807">
      <c r="A4807" s="2"/>
      <c r="B4807" s="8"/>
      <c r="C4807" s="8" t="str">
        <f>IFERROR(__xludf.DUMMYFUNCTION("""COMPUTED_VALUE"""),"")</f>
        <v/>
      </c>
      <c r="D4807" s="8" t="str">
        <f>IFERROR(__xludf.DUMMYFUNCTION("""COMPUTED_VALUE"""),"")</f>
        <v/>
      </c>
      <c r="E4807" s="2"/>
    </row>
    <row r="4808">
      <c r="A4808" s="2"/>
      <c r="B4808" s="8"/>
      <c r="C4808" s="8" t="str">
        <f>IFERROR(__xludf.DUMMYFUNCTION("""COMPUTED_VALUE"""),"")</f>
        <v/>
      </c>
      <c r="D4808" s="8" t="str">
        <f>IFERROR(__xludf.DUMMYFUNCTION("""COMPUTED_VALUE"""),"")</f>
        <v/>
      </c>
      <c r="E4808" s="2"/>
    </row>
    <row r="4809">
      <c r="A4809" s="2"/>
      <c r="B4809" s="8"/>
      <c r="C4809" s="8" t="str">
        <f>IFERROR(__xludf.DUMMYFUNCTION("""COMPUTED_VALUE"""),"")</f>
        <v/>
      </c>
      <c r="D4809" s="8" t="str">
        <f>IFERROR(__xludf.DUMMYFUNCTION("""COMPUTED_VALUE"""),"")</f>
        <v/>
      </c>
      <c r="E4809" s="2"/>
    </row>
    <row r="4810">
      <c r="A4810" s="2"/>
      <c r="B4810" s="8"/>
      <c r="C4810" s="8" t="str">
        <f>IFERROR(__xludf.DUMMYFUNCTION("""COMPUTED_VALUE"""),"")</f>
        <v/>
      </c>
      <c r="D4810" s="8" t="str">
        <f>IFERROR(__xludf.DUMMYFUNCTION("""COMPUTED_VALUE"""),"")</f>
        <v/>
      </c>
      <c r="E4810" s="2"/>
    </row>
    <row r="4811">
      <c r="A4811" s="2"/>
      <c r="B4811" s="8"/>
      <c r="C4811" s="8" t="str">
        <f>IFERROR(__xludf.DUMMYFUNCTION("""COMPUTED_VALUE"""),"")</f>
        <v/>
      </c>
      <c r="D4811" s="8" t="str">
        <f>IFERROR(__xludf.DUMMYFUNCTION("""COMPUTED_VALUE"""),"")</f>
        <v/>
      </c>
      <c r="E4811" s="2"/>
    </row>
    <row r="4812">
      <c r="A4812" s="2"/>
      <c r="B4812" s="8"/>
      <c r="C4812" s="8" t="str">
        <f>IFERROR(__xludf.DUMMYFUNCTION("""COMPUTED_VALUE"""),"")</f>
        <v/>
      </c>
      <c r="D4812" s="8" t="str">
        <f>IFERROR(__xludf.DUMMYFUNCTION("""COMPUTED_VALUE"""),"")</f>
        <v/>
      </c>
      <c r="E4812" s="2"/>
    </row>
    <row r="4813">
      <c r="A4813" s="2"/>
      <c r="B4813" s="8"/>
      <c r="C4813" s="8" t="str">
        <f>IFERROR(__xludf.DUMMYFUNCTION("""COMPUTED_VALUE"""),"")</f>
        <v/>
      </c>
      <c r="D4813" s="8" t="str">
        <f>IFERROR(__xludf.DUMMYFUNCTION("""COMPUTED_VALUE"""),"")</f>
        <v/>
      </c>
      <c r="E4813" s="2"/>
    </row>
    <row r="4814">
      <c r="A4814" s="2"/>
      <c r="B4814" s="8"/>
      <c r="C4814" s="8" t="str">
        <f>IFERROR(__xludf.DUMMYFUNCTION("""COMPUTED_VALUE"""),"")</f>
        <v/>
      </c>
      <c r="D4814" s="8" t="str">
        <f>IFERROR(__xludf.DUMMYFUNCTION("""COMPUTED_VALUE"""),"")</f>
        <v/>
      </c>
      <c r="E4814" s="2"/>
    </row>
    <row r="4815">
      <c r="A4815" s="2"/>
      <c r="B4815" s="8"/>
      <c r="C4815" s="8" t="str">
        <f>IFERROR(__xludf.DUMMYFUNCTION("""COMPUTED_VALUE"""),"")</f>
        <v/>
      </c>
      <c r="D4815" s="8" t="str">
        <f>IFERROR(__xludf.DUMMYFUNCTION("""COMPUTED_VALUE"""),"")</f>
        <v/>
      </c>
      <c r="E4815" s="2"/>
    </row>
    <row r="4816">
      <c r="A4816" s="2"/>
      <c r="B4816" s="8"/>
      <c r="C4816" s="8" t="str">
        <f>IFERROR(__xludf.DUMMYFUNCTION("""COMPUTED_VALUE"""),"")</f>
        <v/>
      </c>
      <c r="D4816" s="8" t="str">
        <f>IFERROR(__xludf.DUMMYFUNCTION("""COMPUTED_VALUE"""),"")</f>
        <v/>
      </c>
      <c r="E4816" s="2"/>
    </row>
    <row r="4817">
      <c r="A4817" s="2"/>
      <c r="B4817" s="8"/>
      <c r="C4817" s="8" t="str">
        <f>IFERROR(__xludf.DUMMYFUNCTION("""COMPUTED_VALUE"""),"")</f>
        <v/>
      </c>
      <c r="D4817" s="8" t="str">
        <f>IFERROR(__xludf.DUMMYFUNCTION("""COMPUTED_VALUE"""),"")</f>
        <v/>
      </c>
      <c r="E4817" s="2"/>
    </row>
    <row r="4818">
      <c r="A4818" s="2"/>
      <c r="B4818" s="8"/>
      <c r="C4818" s="8" t="str">
        <f>IFERROR(__xludf.DUMMYFUNCTION("""COMPUTED_VALUE"""),"")</f>
        <v/>
      </c>
      <c r="D4818" s="8" t="str">
        <f>IFERROR(__xludf.DUMMYFUNCTION("""COMPUTED_VALUE"""),"")</f>
        <v/>
      </c>
      <c r="E4818" s="2"/>
    </row>
    <row r="4819">
      <c r="A4819" s="2"/>
      <c r="B4819" s="8"/>
      <c r="C4819" s="8" t="str">
        <f>IFERROR(__xludf.DUMMYFUNCTION("""COMPUTED_VALUE"""),"")</f>
        <v/>
      </c>
      <c r="D4819" s="8" t="str">
        <f>IFERROR(__xludf.DUMMYFUNCTION("""COMPUTED_VALUE"""),"")</f>
        <v/>
      </c>
      <c r="E4819" s="2"/>
    </row>
    <row r="4820">
      <c r="A4820" s="2"/>
      <c r="B4820" s="8"/>
      <c r="C4820" s="8" t="str">
        <f>IFERROR(__xludf.DUMMYFUNCTION("""COMPUTED_VALUE"""),"")</f>
        <v/>
      </c>
      <c r="D4820" s="8" t="str">
        <f>IFERROR(__xludf.DUMMYFUNCTION("""COMPUTED_VALUE"""),"")</f>
        <v/>
      </c>
      <c r="E4820" s="2"/>
    </row>
    <row r="4821">
      <c r="A4821" s="2"/>
      <c r="B4821" s="8"/>
      <c r="C4821" s="8" t="str">
        <f>IFERROR(__xludf.DUMMYFUNCTION("""COMPUTED_VALUE"""),"")</f>
        <v/>
      </c>
      <c r="D4821" s="8" t="str">
        <f>IFERROR(__xludf.DUMMYFUNCTION("""COMPUTED_VALUE"""),"")</f>
        <v/>
      </c>
      <c r="E4821" s="2"/>
    </row>
    <row r="4822">
      <c r="A4822" s="2"/>
      <c r="B4822" s="8"/>
      <c r="C4822" s="8" t="str">
        <f>IFERROR(__xludf.DUMMYFUNCTION("""COMPUTED_VALUE"""),"")</f>
        <v/>
      </c>
      <c r="D4822" s="8" t="str">
        <f>IFERROR(__xludf.DUMMYFUNCTION("""COMPUTED_VALUE"""),"")</f>
        <v/>
      </c>
      <c r="E4822" s="2"/>
    </row>
    <row r="4823">
      <c r="A4823" s="2"/>
      <c r="B4823" s="8"/>
      <c r="C4823" s="8" t="str">
        <f>IFERROR(__xludf.DUMMYFUNCTION("""COMPUTED_VALUE"""),"")</f>
        <v/>
      </c>
      <c r="D4823" s="8" t="str">
        <f>IFERROR(__xludf.DUMMYFUNCTION("""COMPUTED_VALUE"""),"")</f>
        <v/>
      </c>
      <c r="E4823" s="2"/>
    </row>
    <row r="4824">
      <c r="A4824" s="2"/>
      <c r="B4824" s="8"/>
      <c r="C4824" s="8" t="str">
        <f>IFERROR(__xludf.DUMMYFUNCTION("""COMPUTED_VALUE"""),"")</f>
        <v/>
      </c>
      <c r="D4824" s="8" t="str">
        <f>IFERROR(__xludf.DUMMYFUNCTION("""COMPUTED_VALUE"""),"")</f>
        <v/>
      </c>
      <c r="E4824" s="2"/>
    </row>
    <row r="4825">
      <c r="A4825" s="2"/>
      <c r="B4825" s="8"/>
      <c r="C4825" s="8" t="str">
        <f>IFERROR(__xludf.DUMMYFUNCTION("""COMPUTED_VALUE"""),"")</f>
        <v/>
      </c>
      <c r="D4825" s="8" t="str">
        <f>IFERROR(__xludf.DUMMYFUNCTION("""COMPUTED_VALUE"""),"")</f>
        <v/>
      </c>
      <c r="E4825" s="2"/>
    </row>
    <row r="4826">
      <c r="A4826" s="2"/>
      <c r="B4826" s="8"/>
      <c r="C4826" s="8" t="str">
        <f>IFERROR(__xludf.DUMMYFUNCTION("""COMPUTED_VALUE"""),"")</f>
        <v/>
      </c>
      <c r="D4826" s="8" t="str">
        <f>IFERROR(__xludf.DUMMYFUNCTION("""COMPUTED_VALUE"""),"")</f>
        <v/>
      </c>
      <c r="E4826" s="2"/>
    </row>
    <row r="4827">
      <c r="A4827" s="2"/>
      <c r="B4827" s="8"/>
      <c r="C4827" s="8" t="str">
        <f>IFERROR(__xludf.DUMMYFUNCTION("""COMPUTED_VALUE"""),"")</f>
        <v/>
      </c>
      <c r="D4827" s="8" t="str">
        <f>IFERROR(__xludf.DUMMYFUNCTION("""COMPUTED_VALUE"""),"")</f>
        <v/>
      </c>
      <c r="E4827" s="2"/>
    </row>
    <row r="4828">
      <c r="A4828" s="2"/>
      <c r="B4828" s="8"/>
      <c r="C4828" s="8" t="str">
        <f>IFERROR(__xludf.DUMMYFUNCTION("""COMPUTED_VALUE"""),"")</f>
        <v/>
      </c>
      <c r="D4828" s="8" t="str">
        <f>IFERROR(__xludf.DUMMYFUNCTION("""COMPUTED_VALUE"""),"")</f>
        <v/>
      </c>
      <c r="E4828" s="2"/>
    </row>
    <row r="4829">
      <c r="A4829" s="2"/>
      <c r="B4829" s="8"/>
      <c r="C4829" s="8" t="str">
        <f>IFERROR(__xludf.DUMMYFUNCTION("""COMPUTED_VALUE"""),"")</f>
        <v/>
      </c>
      <c r="D4829" s="8" t="str">
        <f>IFERROR(__xludf.DUMMYFUNCTION("""COMPUTED_VALUE"""),"")</f>
        <v/>
      </c>
      <c r="E4829" s="2"/>
    </row>
    <row r="4830">
      <c r="A4830" s="2"/>
      <c r="B4830" s="8"/>
      <c r="C4830" s="8" t="str">
        <f>IFERROR(__xludf.DUMMYFUNCTION("""COMPUTED_VALUE"""),"")</f>
        <v/>
      </c>
      <c r="D4830" s="8" t="str">
        <f>IFERROR(__xludf.DUMMYFUNCTION("""COMPUTED_VALUE"""),"")</f>
        <v/>
      </c>
      <c r="E4830" s="2"/>
    </row>
    <row r="4831">
      <c r="A4831" s="2"/>
      <c r="B4831" s="8"/>
      <c r="C4831" s="8" t="str">
        <f>IFERROR(__xludf.DUMMYFUNCTION("""COMPUTED_VALUE"""),"")</f>
        <v/>
      </c>
      <c r="D4831" s="8" t="str">
        <f>IFERROR(__xludf.DUMMYFUNCTION("""COMPUTED_VALUE"""),"")</f>
        <v/>
      </c>
      <c r="E4831" s="2"/>
    </row>
    <row r="4832">
      <c r="A4832" s="2"/>
      <c r="B4832" s="8"/>
      <c r="C4832" s="8" t="str">
        <f>IFERROR(__xludf.DUMMYFUNCTION("""COMPUTED_VALUE"""),"")</f>
        <v/>
      </c>
      <c r="D4832" s="8" t="str">
        <f>IFERROR(__xludf.DUMMYFUNCTION("""COMPUTED_VALUE"""),"")</f>
        <v/>
      </c>
      <c r="E4832" s="2"/>
    </row>
    <row r="4833">
      <c r="A4833" s="2"/>
      <c r="B4833" s="8"/>
      <c r="C4833" s="8" t="str">
        <f>IFERROR(__xludf.DUMMYFUNCTION("""COMPUTED_VALUE"""),"")</f>
        <v/>
      </c>
      <c r="D4833" s="8" t="str">
        <f>IFERROR(__xludf.DUMMYFUNCTION("""COMPUTED_VALUE"""),"")</f>
        <v/>
      </c>
      <c r="E4833" s="2"/>
    </row>
    <row r="4834">
      <c r="A4834" s="2"/>
      <c r="B4834" s="8"/>
      <c r="C4834" s="8" t="str">
        <f>IFERROR(__xludf.DUMMYFUNCTION("""COMPUTED_VALUE"""),"")</f>
        <v/>
      </c>
      <c r="D4834" s="8" t="str">
        <f>IFERROR(__xludf.DUMMYFUNCTION("""COMPUTED_VALUE"""),"")</f>
        <v/>
      </c>
      <c r="E4834" s="2"/>
    </row>
    <row r="4835">
      <c r="A4835" s="2"/>
      <c r="B4835" s="8"/>
      <c r="C4835" s="8" t="str">
        <f>IFERROR(__xludf.DUMMYFUNCTION("""COMPUTED_VALUE"""),"")</f>
        <v/>
      </c>
      <c r="D4835" s="8" t="str">
        <f>IFERROR(__xludf.DUMMYFUNCTION("""COMPUTED_VALUE"""),"")</f>
        <v/>
      </c>
      <c r="E4835" s="2"/>
    </row>
    <row r="4836">
      <c r="A4836" s="2"/>
      <c r="B4836" s="8"/>
      <c r="C4836" s="8" t="str">
        <f>IFERROR(__xludf.DUMMYFUNCTION("""COMPUTED_VALUE"""),"")</f>
        <v/>
      </c>
      <c r="D4836" s="8" t="str">
        <f>IFERROR(__xludf.DUMMYFUNCTION("""COMPUTED_VALUE"""),"")</f>
        <v/>
      </c>
      <c r="E4836" s="2"/>
    </row>
    <row r="4837">
      <c r="A4837" s="2"/>
      <c r="B4837" s="8"/>
      <c r="C4837" s="8" t="str">
        <f>IFERROR(__xludf.DUMMYFUNCTION("""COMPUTED_VALUE"""),"")</f>
        <v/>
      </c>
      <c r="D4837" s="8" t="str">
        <f>IFERROR(__xludf.DUMMYFUNCTION("""COMPUTED_VALUE"""),"")</f>
        <v/>
      </c>
      <c r="E4837" s="2"/>
    </row>
    <row r="4838">
      <c r="A4838" s="2"/>
      <c r="B4838" s="8"/>
      <c r="C4838" s="8" t="str">
        <f>IFERROR(__xludf.DUMMYFUNCTION("""COMPUTED_VALUE"""),"")</f>
        <v/>
      </c>
      <c r="D4838" s="8" t="str">
        <f>IFERROR(__xludf.DUMMYFUNCTION("""COMPUTED_VALUE"""),"")</f>
        <v/>
      </c>
      <c r="E4838" s="2"/>
    </row>
    <row r="4839">
      <c r="A4839" s="2"/>
      <c r="B4839" s="8"/>
      <c r="C4839" s="8" t="str">
        <f>IFERROR(__xludf.DUMMYFUNCTION("""COMPUTED_VALUE"""),"")</f>
        <v/>
      </c>
      <c r="D4839" s="8" t="str">
        <f>IFERROR(__xludf.DUMMYFUNCTION("""COMPUTED_VALUE"""),"")</f>
        <v/>
      </c>
      <c r="E4839" s="2"/>
    </row>
    <row r="4840">
      <c r="A4840" s="2"/>
      <c r="B4840" s="8"/>
      <c r="C4840" s="8" t="str">
        <f>IFERROR(__xludf.DUMMYFUNCTION("""COMPUTED_VALUE"""),"")</f>
        <v/>
      </c>
      <c r="D4840" s="8" t="str">
        <f>IFERROR(__xludf.DUMMYFUNCTION("""COMPUTED_VALUE"""),"")</f>
        <v/>
      </c>
      <c r="E4840" s="2"/>
    </row>
    <row r="4841">
      <c r="A4841" s="2"/>
      <c r="B4841" s="8"/>
      <c r="C4841" s="8" t="str">
        <f>IFERROR(__xludf.DUMMYFUNCTION("""COMPUTED_VALUE"""),"")</f>
        <v/>
      </c>
      <c r="D4841" s="8" t="str">
        <f>IFERROR(__xludf.DUMMYFUNCTION("""COMPUTED_VALUE"""),"")</f>
        <v/>
      </c>
      <c r="E4841" s="2"/>
    </row>
    <row r="4842">
      <c r="A4842" s="2"/>
      <c r="B4842" s="8"/>
      <c r="C4842" s="8" t="str">
        <f>IFERROR(__xludf.DUMMYFUNCTION("""COMPUTED_VALUE"""),"")</f>
        <v/>
      </c>
      <c r="D4842" s="8" t="str">
        <f>IFERROR(__xludf.DUMMYFUNCTION("""COMPUTED_VALUE"""),"")</f>
        <v/>
      </c>
      <c r="E4842" s="2"/>
    </row>
    <row r="4843">
      <c r="A4843" s="2"/>
      <c r="B4843" s="8"/>
      <c r="C4843" s="8" t="str">
        <f>IFERROR(__xludf.DUMMYFUNCTION("""COMPUTED_VALUE"""),"")</f>
        <v/>
      </c>
      <c r="D4843" s="8" t="str">
        <f>IFERROR(__xludf.DUMMYFUNCTION("""COMPUTED_VALUE"""),"")</f>
        <v/>
      </c>
      <c r="E4843" s="2"/>
    </row>
    <row r="4844">
      <c r="A4844" s="2"/>
      <c r="B4844" s="8"/>
      <c r="C4844" s="8" t="str">
        <f>IFERROR(__xludf.DUMMYFUNCTION("""COMPUTED_VALUE"""),"")</f>
        <v/>
      </c>
      <c r="D4844" s="8" t="str">
        <f>IFERROR(__xludf.DUMMYFUNCTION("""COMPUTED_VALUE"""),"")</f>
        <v/>
      </c>
      <c r="E4844" s="2"/>
    </row>
    <row r="4845">
      <c r="A4845" s="2"/>
      <c r="B4845" s="8"/>
      <c r="C4845" s="8" t="str">
        <f>IFERROR(__xludf.DUMMYFUNCTION("""COMPUTED_VALUE"""),"")</f>
        <v/>
      </c>
      <c r="D4845" s="8" t="str">
        <f>IFERROR(__xludf.DUMMYFUNCTION("""COMPUTED_VALUE"""),"")</f>
        <v/>
      </c>
      <c r="E4845" s="2"/>
    </row>
    <row r="4846">
      <c r="A4846" s="2"/>
      <c r="B4846" s="8"/>
      <c r="C4846" s="8" t="str">
        <f>IFERROR(__xludf.DUMMYFUNCTION("""COMPUTED_VALUE"""),"")</f>
        <v/>
      </c>
      <c r="D4846" s="8" t="str">
        <f>IFERROR(__xludf.DUMMYFUNCTION("""COMPUTED_VALUE"""),"")</f>
        <v/>
      </c>
      <c r="E4846" s="2"/>
    </row>
    <row r="4847">
      <c r="A4847" s="2"/>
      <c r="B4847" s="8"/>
      <c r="C4847" s="8" t="str">
        <f>IFERROR(__xludf.DUMMYFUNCTION("""COMPUTED_VALUE"""),"")</f>
        <v/>
      </c>
      <c r="D4847" s="8" t="str">
        <f>IFERROR(__xludf.DUMMYFUNCTION("""COMPUTED_VALUE"""),"")</f>
        <v/>
      </c>
      <c r="E4847" s="2"/>
    </row>
    <row r="4848">
      <c r="A4848" s="2"/>
      <c r="B4848" s="8"/>
      <c r="C4848" s="8" t="str">
        <f>IFERROR(__xludf.DUMMYFUNCTION("""COMPUTED_VALUE"""),"")</f>
        <v/>
      </c>
      <c r="D4848" s="8" t="str">
        <f>IFERROR(__xludf.DUMMYFUNCTION("""COMPUTED_VALUE"""),"")</f>
        <v/>
      </c>
      <c r="E4848" s="2"/>
    </row>
    <row r="4849">
      <c r="A4849" s="2"/>
      <c r="B4849" s="8"/>
      <c r="C4849" s="8" t="str">
        <f>IFERROR(__xludf.DUMMYFUNCTION("""COMPUTED_VALUE"""),"")</f>
        <v/>
      </c>
      <c r="D4849" s="8" t="str">
        <f>IFERROR(__xludf.DUMMYFUNCTION("""COMPUTED_VALUE"""),"")</f>
        <v/>
      </c>
      <c r="E4849" s="2"/>
    </row>
    <row r="4850">
      <c r="A4850" s="2"/>
      <c r="B4850" s="8"/>
      <c r="C4850" s="8" t="str">
        <f>IFERROR(__xludf.DUMMYFUNCTION("""COMPUTED_VALUE"""),"")</f>
        <v/>
      </c>
      <c r="D4850" s="8" t="str">
        <f>IFERROR(__xludf.DUMMYFUNCTION("""COMPUTED_VALUE"""),"")</f>
        <v/>
      </c>
      <c r="E4850" s="2"/>
    </row>
    <row r="4851">
      <c r="A4851" s="2"/>
      <c r="B4851" s="8"/>
      <c r="C4851" s="8" t="str">
        <f>IFERROR(__xludf.DUMMYFUNCTION("""COMPUTED_VALUE"""),"")</f>
        <v/>
      </c>
      <c r="D4851" s="8" t="str">
        <f>IFERROR(__xludf.DUMMYFUNCTION("""COMPUTED_VALUE"""),"")</f>
        <v/>
      </c>
      <c r="E4851" s="2"/>
    </row>
    <row r="4852">
      <c r="A4852" s="2"/>
      <c r="B4852" s="8"/>
      <c r="C4852" s="8" t="str">
        <f>IFERROR(__xludf.DUMMYFUNCTION("""COMPUTED_VALUE"""),"")</f>
        <v/>
      </c>
      <c r="D4852" s="8" t="str">
        <f>IFERROR(__xludf.DUMMYFUNCTION("""COMPUTED_VALUE"""),"")</f>
        <v/>
      </c>
      <c r="E4852" s="2"/>
    </row>
    <row r="4853">
      <c r="A4853" s="2"/>
      <c r="B4853" s="8"/>
      <c r="C4853" s="8" t="str">
        <f>IFERROR(__xludf.DUMMYFUNCTION("""COMPUTED_VALUE"""),"")</f>
        <v/>
      </c>
      <c r="D4853" s="8" t="str">
        <f>IFERROR(__xludf.DUMMYFUNCTION("""COMPUTED_VALUE"""),"")</f>
        <v/>
      </c>
      <c r="E4853" s="2"/>
    </row>
    <row r="4854">
      <c r="A4854" s="2"/>
      <c r="B4854" s="8"/>
      <c r="C4854" s="8" t="str">
        <f>IFERROR(__xludf.DUMMYFUNCTION("""COMPUTED_VALUE"""),"")</f>
        <v/>
      </c>
      <c r="D4854" s="8" t="str">
        <f>IFERROR(__xludf.DUMMYFUNCTION("""COMPUTED_VALUE"""),"")</f>
        <v/>
      </c>
      <c r="E4854" s="2"/>
    </row>
    <row r="4855">
      <c r="A4855" s="2"/>
      <c r="B4855" s="8"/>
      <c r="C4855" s="8" t="str">
        <f>IFERROR(__xludf.DUMMYFUNCTION("""COMPUTED_VALUE"""),"")</f>
        <v/>
      </c>
      <c r="D4855" s="8" t="str">
        <f>IFERROR(__xludf.DUMMYFUNCTION("""COMPUTED_VALUE"""),"")</f>
        <v/>
      </c>
      <c r="E4855" s="2"/>
    </row>
    <row r="4856">
      <c r="A4856" s="2"/>
      <c r="B4856" s="8"/>
      <c r="C4856" s="8" t="str">
        <f>IFERROR(__xludf.DUMMYFUNCTION("""COMPUTED_VALUE"""),"")</f>
        <v/>
      </c>
      <c r="D4856" s="8" t="str">
        <f>IFERROR(__xludf.DUMMYFUNCTION("""COMPUTED_VALUE"""),"")</f>
        <v/>
      </c>
      <c r="E4856" s="2"/>
    </row>
    <row r="4857">
      <c r="A4857" s="2"/>
      <c r="B4857" s="8"/>
      <c r="C4857" s="8" t="str">
        <f>IFERROR(__xludf.DUMMYFUNCTION("""COMPUTED_VALUE"""),"")</f>
        <v/>
      </c>
      <c r="D4857" s="8" t="str">
        <f>IFERROR(__xludf.DUMMYFUNCTION("""COMPUTED_VALUE"""),"")</f>
        <v/>
      </c>
      <c r="E4857" s="2"/>
    </row>
    <row r="4858">
      <c r="A4858" s="2"/>
      <c r="B4858" s="8"/>
      <c r="C4858" s="8" t="str">
        <f>IFERROR(__xludf.DUMMYFUNCTION("""COMPUTED_VALUE"""),"")</f>
        <v/>
      </c>
      <c r="D4858" s="8" t="str">
        <f>IFERROR(__xludf.DUMMYFUNCTION("""COMPUTED_VALUE"""),"")</f>
        <v/>
      </c>
      <c r="E4858" s="2"/>
    </row>
    <row r="4859">
      <c r="A4859" s="2"/>
      <c r="B4859" s="8"/>
      <c r="C4859" s="8" t="str">
        <f>IFERROR(__xludf.DUMMYFUNCTION("""COMPUTED_VALUE"""),"")</f>
        <v/>
      </c>
      <c r="D4859" s="8" t="str">
        <f>IFERROR(__xludf.DUMMYFUNCTION("""COMPUTED_VALUE"""),"")</f>
        <v/>
      </c>
      <c r="E4859" s="2"/>
    </row>
    <row r="4860">
      <c r="A4860" s="2"/>
      <c r="B4860" s="8"/>
      <c r="C4860" s="8" t="str">
        <f>IFERROR(__xludf.DUMMYFUNCTION("""COMPUTED_VALUE"""),"")</f>
        <v/>
      </c>
      <c r="D4860" s="8" t="str">
        <f>IFERROR(__xludf.DUMMYFUNCTION("""COMPUTED_VALUE"""),"")</f>
        <v/>
      </c>
      <c r="E4860" s="2"/>
    </row>
    <row r="4861">
      <c r="A4861" s="2"/>
      <c r="B4861" s="8"/>
      <c r="C4861" s="8" t="str">
        <f>IFERROR(__xludf.DUMMYFUNCTION("""COMPUTED_VALUE"""),"")</f>
        <v/>
      </c>
      <c r="D4861" s="8" t="str">
        <f>IFERROR(__xludf.DUMMYFUNCTION("""COMPUTED_VALUE"""),"")</f>
        <v/>
      </c>
      <c r="E4861" s="2"/>
    </row>
    <row r="4862">
      <c r="A4862" s="2"/>
      <c r="B4862" s="8"/>
      <c r="C4862" s="8" t="str">
        <f>IFERROR(__xludf.DUMMYFUNCTION("""COMPUTED_VALUE"""),"")</f>
        <v/>
      </c>
      <c r="D4862" s="8" t="str">
        <f>IFERROR(__xludf.DUMMYFUNCTION("""COMPUTED_VALUE"""),"")</f>
        <v/>
      </c>
      <c r="E4862" s="2"/>
    </row>
    <row r="4863">
      <c r="A4863" s="2"/>
      <c r="B4863" s="8"/>
      <c r="C4863" s="8" t="str">
        <f>IFERROR(__xludf.DUMMYFUNCTION("""COMPUTED_VALUE"""),"")</f>
        <v/>
      </c>
      <c r="D4863" s="8" t="str">
        <f>IFERROR(__xludf.DUMMYFUNCTION("""COMPUTED_VALUE"""),"")</f>
        <v/>
      </c>
      <c r="E4863" s="2"/>
    </row>
    <row r="4864">
      <c r="A4864" s="2"/>
      <c r="B4864" s="8"/>
      <c r="C4864" s="8" t="str">
        <f>IFERROR(__xludf.DUMMYFUNCTION("""COMPUTED_VALUE"""),"")</f>
        <v/>
      </c>
      <c r="D4864" s="8" t="str">
        <f>IFERROR(__xludf.DUMMYFUNCTION("""COMPUTED_VALUE"""),"")</f>
        <v/>
      </c>
      <c r="E4864" s="2"/>
    </row>
    <row r="4865">
      <c r="A4865" s="2"/>
      <c r="B4865" s="8"/>
      <c r="C4865" s="8" t="str">
        <f>IFERROR(__xludf.DUMMYFUNCTION("""COMPUTED_VALUE"""),"")</f>
        <v/>
      </c>
      <c r="D4865" s="8" t="str">
        <f>IFERROR(__xludf.DUMMYFUNCTION("""COMPUTED_VALUE"""),"")</f>
        <v/>
      </c>
      <c r="E4865" s="2"/>
    </row>
    <row r="4866">
      <c r="A4866" s="2"/>
      <c r="B4866" s="8"/>
      <c r="C4866" s="8" t="str">
        <f>IFERROR(__xludf.DUMMYFUNCTION("""COMPUTED_VALUE"""),"")</f>
        <v/>
      </c>
      <c r="D4866" s="8" t="str">
        <f>IFERROR(__xludf.DUMMYFUNCTION("""COMPUTED_VALUE"""),"")</f>
        <v/>
      </c>
      <c r="E4866" s="2"/>
    </row>
    <row r="4867">
      <c r="A4867" s="2"/>
      <c r="B4867" s="8"/>
      <c r="C4867" s="8" t="str">
        <f>IFERROR(__xludf.DUMMYFUNCTION("""COMPUTED_VALUE"""),"")</f>
        <v/>
      </c>
      <c r="D4867" s="8" t="str">
        <f>IFERROR(__xludf.DUMMYFUNCTION("""COMPUTED_VALUE"""),"")</f>
        <v/>
      </c>
      <c r="E4867" s="2"/>
    </row>
    <row r="4868">
      <c r="A4868" s="2"/>
      <c r="B4868" s="8"/>
      <c r="C4868" s="8" t="str">
        <f>IFERROR(__xludf.DUMMYFUNCTION("""COMPUTED_VALUE"""),"")</f>
        <v/>
      </c>
      <c r="D4868" s="8" t="str">
        <f>IFERROR(__xludf.DUMMYFUNCTION("""COMPUTED_VALUE"""),"")</f>
        <v/>
      </c>
      <c r="E4868" s="2"/>
    </row>
    <row r="4869">
      <c r="A4869" s="2"/>
      <c r="B4869" s="8"/>
      <c r="C4869" s="8" t="str">
        <f>IFERROR(__xludf.DUMMYFUNCTION("""COMPUTED_VALUE"""),"")</f>
        <v/>
      </c>
      <c r="D4869" s="8" t="str">
        <f>IFERROR(__xludf.DUMMYFUNCTION("""COMPUTED_VALUE"""),"")</f>
        <v/>
      </c>
      <c r="E4869" s="2"/>
    </row>
    <row r="4870">
      <c r="A4870" s="2"/>
      <c r="B4870" s="8"/>
      <c r="C4870" s="8" t="str">
        <f>IFERROR(__xludf.DUMMYFUNCTION("""COMPUTED_VALUE"""),"")</f>
        <v/>
      </c>
      <c r="D4870" s="8" t="str">
        <f>IFERROR(__xludf.DUMMYFUNCTION("""COMPUTED_VALUE"""),"")</f>
        <v/>
      </c>
      <c r="E4870" s="2"/>
    </row>
    <row r="4871">
      <c r="A4871" s="2"/>
      <c r="B4871" s="8"/>
      <c r="C4871" s="8" t="str">
        <f>IFERROR(__xludf.DUMMYFUNCTION("""COMPUTED_VALUE"""),"")</f>
        <v/>
      </c>
      <c r="D4871" s="8" t="str">
        <f>IFERROR(__xludf.DUMMYFUNCTION("""COMPUTED_VALUE"""),"")</f>
        <v/>
      </c>
      <c r="E4871" s="2"/>
    </row>
    <row r="4872">
      <c r="A4872" s="2"/>
      <c r="B4872" s="8"/>
      <c r="C4872" s="8" t="str">
        <f>IFERROR(__xludf.DUMMYFUNCTION("""COMPUTED_VALUE"""),"")</f>
        <v/>
      </c>
      <c r="D4872" s="8" t="str">
        <f>IFERROR(__xludf.DUMMYFUNCTION("""COMPUTED_VALUE"""),"")</f>
        <v/>
      </c>
      <c r="E4872" s="2"/>
    </row>
    <row r="4873">
      <c r="A4873" s="2"/>
      <c r="B4873" s="8"/>
      <c r="C4873" s="8" t="str">
        <f>IFERROR(__xludf.DUMMYFUNCTION("""COMPUTED_VALUE"""),"")</f>
        <v/>
      </c>
      <c r="D4873" s="8" t="str">
        <f>IFERROR(__xludf.DUMMYFUNCTION("""COMPUTED_VALUE"""),"")</f>
        <v/>
      </c>
      <c r="E4873" s="2"/>
    </row>
    <row r="4874">
      <c r="A4874" s="2"/>
      <c r="B4874" s="8"/>
      <c r="C4874" s="8" t="str">
        <f>IFERROR(__xludf.DUMMYFUNCTION("""COMPUTED_VALUE"""),"")</f>
        <v/>
      </c>
      <c r="D4874" s="8" t="str">
        <f>IFERROR(__xludf.DUMMYFUNCTION("""COMPUTED_VALUE"""),"")</f>
        <v/>
      </c>
      <c r="E4874" s="2"/>
    </row>
    <row r="4875">
      <c r="A4875" s="2"/>
      <c r="B4875" s="8"/>
      <c r="C4875" s="8" t="str">
        <f>IFERROR(__xludf.DUMMYFUNCTION("""COMPUTED_VALUE"""),"")</f>
        <v/>
      </c>
      <c r="D4875" s="8" t="str">
        <f>IFERROR(__xludf.DUMMYFUNCTION("""COMPUTED_VALUE"""),"")</f>
        <v/>
      </c>
      <c r="E4875" s="2"/>
    </row>
    <row r="4876">
      <c r="A4876" s="2"/>
      <c r="B4876" s="8"/>
      <c r="C4876" s="8" t="str">
        <f>IFERROR(__xludf.DUMMYFUNCTION("""COMPUTED_VALUE"""),"")</f>
        <v/>
      </c>
      <c r="D4876" s="8" t="str">
        <f>IFERROR(__xludf.DUMMYFUNCTION("""COMPUTED_VALUE"""),"")</f>
        <v/>
      </c>
      <c r="E4876" s="2"/>
    </row>
    <row r="4877">
      <c r="A4877" s="2"/>
      <c r="B4877" s="8"/>
      <c r="C4877" s="8" t="str">
        <f>IFERROR(__xludf.DUMMYFUNCTION("""COMPUTED_VALUE"""),"")</f>
        <v/>
      </c>
      <c r="D4877" s="8" t="str">
        <f>IFERROR(__xludf.DUMMYFUNCTION("""COMPUTED_VALUE"""),"")</f>
        <v/>
      </c>
      <c r="E4877" s="2"/>
    </row>
    <row r="4878">
      <c r="A4878" s="2"/>
      <c r="B4878" s="8"/>
      <c r="C4878" s="8" t="str">
        <f>IFERROR(__xludf.DUMMYFUNCTION("""COMPUTED_VALUE"""),"")</f>
        <v/>
      </c>
      <c r="D4878" s="8" t="str">
        <f>IFERROR(__xludf.DUMMYFUNCTION("""COMPUTED_VALUE"""),"")</f>
        <v/>
      </c>
      <c r="E4878" s="2"/>
    </row>
    <row r="4879">
      <c r="A4879" s="2"/>
      <c r="B4879" s="8"/>
      <c r="C4879" s="8" t="str">
        <f>IFERROR(__xludf.DUMMYFUNCTION("""COMPUTED_VALUE"""),"")</f>
        <v/>
      </c>
      <c r="D4879" s="8" t="str">
        <f>IFERROR(__xludf.DUMMYFUNCTION("""COMPUTED_VALUE"""),"")</f>
        <v/>
      </c>
      <c r="E4879" s="2"/>
    </row>
    <row r="4880">
      <c r="A4880" s="2"/>
      <c r="B4880" s="8"/>
      <c r="C4880" s="8" t="str">
        <f>IFERROR(__xludf.DUMMYFUNCTION("""COMPUTED_VALUE"""),"")</f>
        <v/>
      </c>
      <c r="D4880" s="8" t="str">
        <f>IFERROR(__xludf.DUMMYFUNCTION("""COMPUTED_VALUE"""),"")</f>
        <v/>
      </c>
      <c r="E4880" s="2"/>
    </row>
    <row r="4881">
      <c r="A4881" s="2"/>
      <c r="B4881" s="8"/>
      <c r="C4881" s="8" t="str">
        <f>IFERROR(__xludf.DUMMYFUNCTION("""COMPUTED_VALUE"""),"")</f>
        <v/>
      </c>
      <c r="D4881" s="8" t="str">
        <f>IFERROR(__xludf.DUMMYFUNCTION("""COMPUTED_VALUE"""),"")</f>
        <v/>
      </c>
      <c r="E4881" s="2"/>
    </row>
    <row r="4882">
      <c r="A4882" s="2"/>
      <c r="B4882" s="8"/>
      <c r="C4882" s="8" t="str">
        <f>IFERROR(__xludf.DUMMYFUNCTION("""COMPUTED_VALUE"""),"")</f>
        <v/>
      </c>
      <c r="D4882" s="8" t="str">
        <f>IFERROR(__xludf.DUMMYFUNCTION("""COMPUTED_VALUE"""),"")</f>
        <v/>
      </c>
      <c r="E4882" s="2"/>
    </row>
    <row r="4883">
      <c r="A4883" s="2"/>
      <c r="B4883" s="8"/>
      <c r="C4883" s="8" t="str">
        <f>IFERROR(__xludf.DUMMYFUNCTION("""COMPUTED_VALUE"""),"")</f>
        <v/>
      </c>
      <c r="D4883" s="8" t="str">
        <f>IFERROR(__xludf.DUMMYFUNCTION("""COMPUTED_VALUE"""),"")</f>
        <v/>
      </c>
      <c r="E4883" s="2"/>
    </row>
    <row r="4884">
      <c r="A4884" s="2"/>
      <c r="B4884" s="8"/>
      <c r="C4884" s="8" t="str">
        <f>IFERROR(__xludf.DUMMYFUNCTION("""COMPUTED_VALUE"""),"")</f>
        <v/>
      </c>
      <c r="D4884" s="8" t="str">
        <f>IFERROR(__xludf.DUMMYFUNCTION("""COMPUTED_VALUE"""),"")</f>
        <v/>
      </c>
      <c r="E4884" s="2"/>
    </row>
    <row r="4885">
      <c r="A4885" s="2"/>
      <c r="B4885" s="8"/>
      <c r="C4885" s="8" t="str">
        <f>IFERROR(__xludf.DUMMYFUNCTION("""COMPUTED_VALUE"""),"")</f>
        <v/>
      </c>
      <c r="D4885" s="8" t="str">
        <f>IFERROR(__xludf.DUMMYFUNCTION("""COMPUTED_VALUE"""),"")</f>
        <v/>
      </c>
      <c r="E4885" s="2"/>
    </row>
    <row r="4886">
      <c r="A4886" s="2"/>
      <c r="B4886" s="8"/>
      <c r="C4886" s="8" t="str">
        <f>IFERROR(__xludf.DUMMYFUNCTION("""COMPUTED_VALUE"""),"")</f>
        <v/>
      </c>
      <c r="D4886" s="8" t="str">
        <f>IFERROR(__xludf.DUMMYFUNCTION("""COMPUTED_VALUE"""),"")</f>
        <v/>
      </c>
      <c r="E4886" s="2"/>
    </row>
    <row r="4887">
      <c r="A4887" s="2"/>
      <c r="B4887" s="8"/>
      <c r="C4887" s="8" t="str">
        <f>IFERROR(__xludf.DUMMYFUNCTION("""COMPUTED_VALUE"""),"")</f>
        <v/>
      </c>
      <c r="D4887" s="8" t="str">
        <f>IFERROR(__xludf.DUMMYFUNCTION("""COMPUTED_VALUE"""),"")</f>
        <v/>
      </c>
      <c r="E4887" s="2"/>
    </row>
    <row r="4888">
      <c r="A4888" s="2"/>
      <c r="B4888" s="8"/>
      <c r="C4888" s="8" t="str">
        <f>IFERROR(__xludf.DUMMYFUNCTION("""COMPUTED_VALUE"""),"")</f>
        <v/>
      </c>
      <c r="D4888" s="8" t="str">
        <f>IFERROR(__xludf.DUMMYFUNCTION("""COMPUTED_VALUE"""),"")</f>
        <v/>
      </c>
      <c r="E4888" s="2"/>
    </row>
    <row r="4889">
      <c r="A4889" s="2"/>
      <c r="B4889" s="8"/>
      <c r="C4889" s="8" t="str">
        <f>IFERROR(__xludf.DUMMYFUNCTION("""COMPUTED_VALUE"""),"")</f>
        <v/>
      </c>
      <c r="D4889" s="8" t="str">
        <f>IFERROR(__xludf.DUMMYFUNCTION("""COMPUTED_VALUE"""),"")</f>
        <v/>
      </c>
      <c r="E4889" s="2"/>
    </row>
    <row r="4890">
      <c r="A4890" s="2"/>
      <c r="B4890" s="8"/>
      <c r="C4890" s="8" t="str">
        <f>IFERROR(__xludf.DUMMYFUNCTION("""COMPUTED_VALUE"""),"")</f>
        <v/>
      </c>
      <c r="D4890" s="8" t="str">
        <f>IFERROR(__xludf.DUMMYFUNCTION("""COMPUTED_VALUE"""),"")</f>
        <v/>
      </c>
      <c r="E4890" s="2"/>
    </row>
    <row r="4891">
      <c r="A4891" s="2"/>
      <c r="B4891" s="8"/>
      <c r="C4891" s="8" t="str">
        <f>IFERROR(__xludf.DUMMYFUNCTION("""COMPUTED_VALUE"""),"")</f>
        <v/>
      </c>
      <c r="D4891" s="8" t="str">
        <f>IFERROR(__xludf.DUMMYFUNCTION("""COMPUTED_VALUE"""),"")</f>
        <v/>
      </c>
      <c r="E4891" s="2"/>
    </row>
    <row r="4892">
      <c r="A4892" s="2"/>
      <c r="B4892" s="8"/>
      <c r="C4892" s="8" t="str">
        <f>IFERROR(__xludf.DUMMYFUNCTION("""COMPUTED_VALUE"""),"")</f>
        <v/>
      </c>
      <c r="D4892" s="8" t="str">
        <f>IFERROR(__xludf.DUMMYFUNCTION("""COMPUTED_VALUE"""),"")</f>
        <v/>
      </c>
      <c r="E4892" s="2"/>
    </row>
    <row r="4893">
      <c r="A4893" s="2"/>
      <c r="B4893" s="8"/>
      <c r="C4893" s="8" t="str">
        <f>IFERROR(__xludf.DUMMYFUNCTION("""COMPUTED_VALUE"""),"")</f>
        <v/>
      </c>
      <c r="D4893" s="8" t="str">
        <f>IFERROR(__xludf.DUMMYFUNCTION("""COMPUTED_VALUE"""),"")</f>
        <v/>
      </c>
      <c r="E4893" s="2"/>
    </row>
    <row r="4894">
      <c r="A4894" s="2"/>
      <c r="B4894" s="8"/>
      <c r="C4894" s="8" t="str">
        <f>IFERROR(__xludf.DUMMYFUNCTION("""COMPUTED_VALUE"""),"")</f>
        <v/>
      </c>
      <c r="D4894" s="8" t="str">
        <f>IFERROR(__xludf.DUMMYFUNCTION("""COMPUTED_VALUE"""),"")</f>
        <v/>
      </c>
      <c r="E4894" s="2"/>
    </row>
    <row r="4895">
      <c r="A4895" s="2"/>
      <c r="B4895" s="8"/>
      <c r="C4895" s="8" t="str">
        <f>IFERROR(__xludf.DUMMYFUNCTION("""COMPUTED_VALUE"""),"")</f>
        <v/>
      </c>
      <c r="D4895" s="8" t="str">
        <f>IFERROR(__xludf.DUMMYFUNCTION("""COMPUTED_VALUE"""),"")</f>
        <v/>
      </c>
      <c r="E4895" s="2"/>
    </row>
    <row r="4896">
      <c r="A4896" s="2"/>
      <c r="B4896" s="8"/>
      <c r="C4896" s="8" t="str">
        <f>IFERROR(__xludf.DUMMYFUNCTION("""COMPUTED_VALUE"""),"")</f>
        <v/>
      </c>
      <c r="D4896" s="8" t="str">
        <f>IFERROR(__xludf.DUMMYFUNCTION("""COMPUTED_VALUE"""),"")</f>
        <v/>
      </c>
      <c r="E4896" s="2"/>
    </row>
    <row r="4897">
      <c r="A4897" s="2"/>
      <c r="B4897" s="8"/>
      <c r="C4897" s="8" t="str">
        <f>IFERROR(__xludf.DUMMYFUNCTION("""COMPUTED_VALUE"""),"")</f>
        <v/>
      </c>
      <c r="D4897" s="8" t="str">
        <f>IFERROR(__xludf.DUMMYFUNCTION("""COMPUTED_VALUE"""),"")</f>
        <v/>
      </c>
      <c r="E4897" s="2"/>
    </row>
    <row r="4898">
      <c r="A4898" s="2"/>
      <c r="B4898" s="8"/>
      <c r="C4898" s="8" t="str">
        <f>IFERROR(__xludf.DUMMYFUNCTION("""COMPUTED_VALUE"""),"")</f>
        <v/>
      </c>
      <c r="D4898" s="8" t="str">
        <f>IFERROR(__xludf.DUMMYFUNCTION("""COMPUTED_VALUE"""),"")</f>
        <v/>
      </c>
      <c r="E4898" s="2"/>
    </row>
    <row r="4899">
      <c r="A4899" s="2"/>
      <c r="B4899" s="8"/>
      <c r="C4899" s="8" t="str">
        <f>IFERROR(__xludf.DUMMYFUNCTION("""COMPUTED_VALUE"""),"")</f>
        <v/>
      </c>
      <c r="D4899" s="8" t="str">
        <f>IFERROR(__xludf.DUMMYFUNCTION("""COMPUTED_VALUE"""),"")</f>
        <v/>
      </c>
      <c r="E4899" s="2"/>
    </row>
    <row r="4900">
      <c r="A4900" s="2"/>
      <c r="B4900" s="8"/>
      <c r="C4900" s="8" t="str">
        <f>IFERROR(__xludf.DUMMYFUNCTION("""COMPUTED_VALUE"""),"")</f>
        <v/>
      </c>
      <c r="D4900" s="8" t="str">
        <f>IFERROR(__xludf.DUMMYFUNCTION("""COMPUTED_VALUE"""),"")</f>
        <v/>
      </c>
      <c r="E4900" s="2"/>
    </row>
    <row r="4901">
      <c r="A4901" s="2"/>
      <c r="B4901" s="8"/>
      <c r="C4901" s="8" t="str">
        <f>IFERROR(__xludf.DUMMYFUNCTION("""COMPUTED_VALUE"""),"")</f>
        <v/>
      </c>
      <c r="D4901" s="8" t="str">
        <f>IFERROR(__xludf.DUMMYFUNCTION("""COMPUTED_VALUE"""),"")</f>
        <v/>
      </c>
      <c r="E4901" s="2"/>
    </row>
    <row r="4902">
      <c r="A4902" s="2"/>
      <c r="B4902" s="8"/>
      <c r="C4902" s="8" t="str">
        <f>IFERROR(__xludf.DUMMYFUNCTION("""COMPUTED_VALUE"""),"")</f>
        <v/>
      </c>
      <c r="D4902" s="8" t="str">
        <f>IFERROR(__xludf.DUMMYFUNCTION("""COMPUTED_VALUE"""),"")</f>
        <v/>
      </c>
      <c r="E4902" s="2"/>
    </row>
    <row r="4903">
      <c r="A4903" s="2"/>
      <c r="B4903" s="8"/>
      <c r="C4903" s="8" t="str">
        <f>IFERROR(__xludf.DUMMYFUNCTION("""COMPUTED_VALUE"""),"")</f>
        <v/>
      </c>
      <c r="D4903" s="8" t="str">
        <f>IFERROR(__xludf.DUMMYFUNCTION("""COMPUTED_VALUE"""),"")</f>
        <v/>
      </c>
      <c r="E4903" s="2"/>
    </row>
    <row r="4904">
      <c r="A4904" s="2"/>
      <c r="B4904" s="8"/>
      <c r="C4904" s="8" t="str">
        <f>IFERROR(__xludf.DUMMYFUNCTION("""COMPUTED_VALUE"""),"")</f>
        <v/>
      </c>
      <c r="D4904" s="8" t="str">
        <f>IFERROR(__xludf.DUMMYFUNCTION("""COMPUTED_VALUE"""),"")</f>
        <v/>
      </c>
      <c r="E4904" s="2"/>
    </row>
    <row r="4905">
      <c r="A4905" s="2"/>
      <c r="B4905" s="8"/>
      <c r="C4905" s="8" t="str">
        <f>IFERROR(__xludf.DUMMYFUNCTION("""COMPUTED_VALUE"""),"")</f>
        <v/>
      </c>
      <c r="D4905" s="8" t="str">
        <f>IFERROR(__xludf.DUMMYFUNCTION("""COMPUTED_VALUE"""),"")</f>
        <v/>
      </c>
      <c r="E4905" s="2"/>
    </row>
    <row r="4906">
      <c r="A4906" s="2"/>
      <c r="B4906" s="8"/>
      <c r="C4906" s="8" t="str">
        <f>IFERROR(__xludf.DUMMYFUNCTION("""COMPUTED_VALUE"""),"")</f>
        <v/>
      </c>
      <c r="D4906" s="8" t="str">
        <f>IFERROR(__xludf.DUMMYFUNCTION("""COMPUTED_VALUE"""),"")</f>
        <v/>
      </c>
      <c r="E4906" s="2"/>
    </row>
    <row r="4907">
      <c r="A4907" s="2"/>
      <c r="B4907" s="8"/>
      <c r="C4907" s="8" t="str">
        <f>IFERROR(__xludf.DUMMYFUNCTION("""COMPUTED_VALUE"""),"")</f>
        <v/>
      </c>
      <c r="D4907" s="8" t="str">
        <f>IFERROR(__xludf.DUMMYFUNCTION("""COMPUTED_VALUE"""),"")</f>
        <v/>
      </c>
      <c r="E4907" s="2"/>
    </row>
    <row r="4908">
      <c r="A4908" s="2"/>
      <c r="B4908" s="8"/>
      <c r="C4908" s="8" t="str">
        <f>IFERROR(__xludf.DUMMYFUNCTION("""COMPUTED_VALUE"""),"")</f>
        <v/>
      </c>
      <c r="D4908" s="8" t="str">
        <f>IFERROR(__xludf.DUMMYFUNCTION("""COMPUTED_VALUE"""),"")</f>
        <v/>
      </c>
      <c r="E4908" s="2"/>
    </row>
    <row r="4909">
      <c r="A4909" s="2"/>
      <c r="B4909" s="8"/>
      <c r="C4909" s="8" t="str">
        <f>IFERROR(__xludf.DUMMYFUNCTION("""COMPUTED_VALUE"""),"")</f>
        <v/>
      </c>
      <c r="D4909" s="8" t="str">
        <f>IFERROR(__xludf.DUMMYFUNCTION("""COMPUTED_VALUE"""),"")</f>
        <v/>
      </c>
      <c r="E4909" s="2"/>
    </row>
    <row r="4910">
      <c r="A4910" s="2"/>
      <c r="B4910" s="8"/>
      <c r="C4910" s="8" t="str">
        <f>IFERROR(__xludf.DUMMYFUNCTION("""COMPUTED_VALUE"""),"")</f>
        <v/>
      </c>
      <c r="D4910" s="8" t="str">
        <f>IFERROR(__xludf.DUMMYFUNCTION("""COMPUTED_VALUE"""),"")</f>
        <v/>
      </c>
      <c r="E4910" s="2"/>
    </row>
    <row r="4911">
      <c r="A4911" s="2"/>
      <c r="B4911" s="8"/>
      <c r="C4911" s="8" t="str">
        <f>IFERROR(__xludf.DUMMYFUNCTION("""COMPUTED_VALUE"""),"")</f>
        <v/>
      </c>
      <c r="D4911" s="8" t="str">
        <f>IFERROR(__xludf.DUMMYFUNCTION("""COMPUTED_VALUE"""),"")</f>
        <v/>
      </c>
      <c r="E4911" s="2"/>
    </row>
    <row r="4912">
      <c r="A4912" s="2"/>
      <c r="B4912" s="8"/>
      <c r="C4912" s="8" t="str">
        <f>IFERROR(__xludf.DUMMYFUNCTION("""COMPUTED_VALUE"""),"")</f>
        <v/>
      </c>
      <c r="D4912" s="8" t="str">
        <f>IFERROR(__xludf.DUMMYFUNCTION("""COMPUTED_VALUE"""),"")</f>
        <v/>
      </c>
      <c r="E4912" s="2"/>
    </row>
    <row r="4913">
      <c r="A4913" s="2"/>
      <c r="B4913" s="8"/>
      <c r="C4913" s="8" t="str">
        <f>IFERROR(__xludf.DUMMYFUNCTION("""COMPUTED_VALUE"""),"")</f>
        <v/>
      </c>
      <c r="D4913" s="8" t="str">
        <f>IFERROR(__xludf.DUMMYFUNCTION("""COMPUTED_VALUE"""),"")</f>
        <v/>
      </c>
      <c r="E4913" s="2"/>
    </row>
    <row r="4914">
      <c r="A4914" s="2"/>
      <c r="B4914" s="8"/>
      <c r="C4914" s="8" t="str">
        <f>IFERROR(__xludf.DUMMYFUNCTION("""COMPUTED_VALUE"""),"")</f>
        <v/>
      </c>
      <c r="D4914" s="8" t="str">
        <f>IFERROR(__xludf.DUMMYFUNCTION("""COMPUTED_VALUE"""),"")</f>
        <v/>
      </c>
      <c r="E4914" s="2"/>
    </row>
    <row r="4915">
      <c r="A4915" s="2"/>
      <c r="B4915" s="8"/>
      <c r="C4915" s="8" t="str">
        <f>IFERROR(__xludf.DUMMYFUNCTION("""COMPUTED_VALUE"""),"")</f>
        <v/>
      </c>
      <c r="D4915" s="8" t="str">
        <f>IFERROR(__xludf.DUMMYFUNCTION("""COMPUTED_VALUE"""),"")</f>
        <v/>
      </c>
      <c r="E4915" s="2"/>
    </row>
    <row r="4916">
      <c r="A4916" s="2"/>
      <c r="B4916" s="8"/>
      <c r="C4916" s="8" t="str">
        <f>IFERROR(__xludf.DUMMYFUNCTION("""COMPUTED_VALUE"""),"")</f>
        <v/>
      </c>
      <c r="D4916" s="8" t="str">
        <f>IFERROR(__xludf.DUMMYFUNCTION("""COMPUTED_VALUE"""),"")</f>
        <v/>
      </c>
      <c r="E4916" s="2"/>
    </row>
    <row r="4917">
      <c r="A4917" s="2"/>
      <c r="B4917" s="8"/>
      <c r="C4917" s="8" t="str">
        <f>IFERROR(__xludf.DUMMYFUNCTION("""COMPUTED_VALUE"""),"")</f>
        <v/>
      </c>
      <c r="D4917" s="8" t="str">
        <f>IFERROR(__xludf.DUMMYFUNCTION("""COMPUTED_VALUE"""),"")</f>
        <v/>
      </c>
      <c r="E4917" s="2"/>
    </row>
    <row r="4918">
      <c r="A4918" s="2"/>
      <c r="B4918" s="8"/>
      <c r="C4918" s="8" t="str">
        <f>IFERROR(__xludf.DUMMYFUNCTION("""COMPUTED_VALUE"""),"")</f>
        <v/>
      </c>
      <c r="D4918" s="8" t="str">
        <f>IFERROR(__xludf.DUMMYFUNCTION("""COMPUTED_VALUE"""),"")</f>
        <v/>
      </c>
      <c r="E4918" s="2"/>
    </row>
    <row r="4919">
      <c r="A4919" s="2"/>
      <c r="B4919" s="8"/>
      <c r="C4919" s="8" t="str">
        <f>IFERROR(__xludf.DUMMYFUNCTION("""COMPUTED_VALUE"""),"")</f>
        <v/>
      </c>
      <c r="D4919" s="8" t="str">
        <f>IFERROR(__xludf.DUMMYFUNCTION("""COMPUTED_VALUE"""),"")</f>
        <v/>
      </c>
      <c r="E4919" s="2"/>
    </row>
    <row r="4920">
      <c r="A4920" s="2"/>
      <c r="B4920" s="8"/>
      <c r="C4920" s="8" t="str">
        <f>IFERROR(__xludf.DUMMYFUNCTION("""COMPUTED_VALUE"""),"")</f>
        <v/>
      </c>
      <c r="D4920" s="8" t="str">
        <f>IFERROR(__xludf.DUMMYFUNCTION("""COMPUTED_VALUE"""),"")</f>
        <v/>
      </c>
      <c r="E4920" s="2"/>
    </row>
    <row r="4921">
      <c r="A4921" s="2"/>
      <c r="B4921" s="8"/>
      <c r="C4921" s="8" t="str">
        <f>IFERROR(__xludf.DUMMYFUNCTION("""COMPUTED_VALUE"""),"")</f>
        <v/>
      </c>
      <c r="D4921" s="8" t="str">
        <f>IFERROR(__xludf.DUMMYFUNCTION("""COMPUTED_VALUE"""),"")</f>
        <v/>
      </c>
      <c r="E4921" s="2"/>
    </row>
    <row r="4922">
      <c r="A4922" s="2"/>
      <c r="B4922" s="8"/>
      <c r="C4922" s="8" t="str">
        <f>IFERROR(__xludf.DUMMYFUNCTION("""COMPUTED_VALUE"""),"")</f>
        <v/>
      </c>
      <c r="D4922" s="8" t="str">
        <f>IFERROR(__xludf.DUMMYFUNCTION("""COMPUTED_VALUE"""),"")</f>
        <v/>
      </c>
      <c r="E4922" s="2"/>
    </row>
    <row r="4923">
      <c r="A4923" s="2"/>
      <c r="B4923" s="8"/>
      <c r="C4923" s="8" t="str">
        <f>IFERROR(__xludf.DUMMYFUNCTION("""COMPUTED_VALUE"""),"")</f>
        <v/>
      </c>
      <c r="D4923" s="8" t="str">
        <f>IFERROR(__xludf.DUMMYFUNCTION("""COMPUTED_VALUE"""),"")</f>
        <v/>
      </c>
      <c r="E4923" s="2"/>
    </row>
    <row r="4924">
      <c r="A4924" s="2"/>
      <c r="B4924" s="8"/>
      <c r="C4924" s="8" t="str">
        <f>IFERROR(__xludf.DUMMYFUNCTION("""COMPUTED_VALUE"""),"")</f>
        <v/>
      </c>
      <c r="D4924" s="8" t="str">
        <f>IFERROR(__xludf.DUMMYFUNCTION("""COMPUTED_VALUE"""),"")</f>
        <v/>
      </c>
      <c r="E4924" s="2"/>
    </row>
    <row r="4925">
      <c r="A4925" s="2"/>
      <c r="B4925" s="8"/>
      <c r="C4925" s="8" t="str">
        <f>IFERROR(__xludf.DUMMYFUNCTION("""COMPUTED_VALUE"""),"")</f>
        <v/>
      </c>
      <c r="D4925" s="8" t="str">
        <f>IFERROR(__xludf.DUMMYFUNCTION("""COMPUTED_VALUE"""),"")</f>
        <v/>
      </c>
      <c r="E4925" s="2"/>
    </row>
    <row r="4926">
      <c r="A4926" s="2"/>
      <c r="B4926" s="8"/>
      <c r="C4926" s="8" t="str">
        <f>IFERROR(__xludf.DUMMYFUNCTION("""COMPUTED_VALUE"""),"")</f>
        <v/>
      </c>
      <c r="D4926" s="8" t="str">
        <f>IFERROR(__xludf.DUMMYFUNCTION("""COMPUTED_VALUE"""),"")</f>
        <v/>
      </c>
      <c r="E4926" s="2"/>
    </row>
    <row r="4927">
      <c r="A4927" s="2"/>
      <c r="B4927" s="8"/>
      <c r="C4927" s="8" t="str">
        <f>IFERROR(__xludf.DUMMYFUNCTION("""COMPUTED_VALUE"""),"")</f>
        <v/>
      </c>
      <c r="D4927" s="8" t="str">
        <f>IFERROR(__xludf.DUMMYFUNCTION("""COMPUTED_VALUE"""),"")</f>
        <v/>
      </c>
      <c r="E4927" s="2"/>
    </row>
    <row r="4928">
      <c r="A4928" s="2"/>
      <c r="B4928" s="8"/>
      <c r="C4928" s="8" t="str">
        <f>IFERROR(__xludf.DUMMYFUNCTION("""COMPUTED_VALUE"""),"")</f>
        <v/>
      </c>
      <c r="D4928" s="8" t="str">
        <f>IFERROR(__xludf.DUMMYFUNCTION("""COMPUTED_VALUE"""),"")</f>
        <v/>
      </c>
      <c r="E4928" s="2"/>
    </row>
    <row r="4929">
      <c r="A4929" s="2"/>
      <c r="B4929" s="8"/>
      <c r="C4929" s="8" t="str">
        <f>IFERROR(__xludf.DUMMYFUNCTION("""COMPUTED_VALUE"""),"")</f>
        <v/>
      </c>
      <c r="D4929" s="8" t="str">
        <f>IFERROR(__xludf.DUMMYFUNCTION("""COMPUTED_VALUE"""),"")</f>
        <v/>
      </c>
      <c r="E4929" s="2"/>
    </row>
    <row r="4930">
      <c r="A4930" s="2"/>
      <c r="B4930" s="8"/>
      <c r="C4930" s="8" t="str">
        <f>IFERROR(__xludf.DUMMYFUNCTION("""COMPUTED_VALUE"""),"")</f>
        <v/>
      </c>
      <c r="D4930" s="8" t="str">
        <f>IFERROR(__xludf.DUMMYFUNCTION("""COMPUTED_VALUE"""),"")</f>
        <v/>
      </c>
      <c r="E4930" s="2"/>
    </row>
    <row r="4931">
      <c r="A4931" s="2"/>
      <c r="B4931" s="8"/>
      <c r="C4931" s="8" t="str">
        <f>IFERROR(__xludf.DUMMYFUNCTION("""COMPUTED_VALUE"""),"")</f>
        <v/>
      </c>
      <c r="D4931" s="8" t="str">
        <f>IFERROR(__xludf.DUMMYFUNCTION("""COMPUTED_VALUE"""),"")</f>
        <v/>
      </c>
      <c r="E4931" s="2"/>
    </row>
    <row r="4932">
      <c r="A4932" s="2"/>
      <c r="B4932" s="8"/>
      <c r="C4932" s="8" t="str">
        <f>IFERROR(__xludf.DUMMYFUNCTION("""COMPUTED_VALUE"""),"")</f>
        <v/>
      </c>
      <c r="D4932" s="8" t="str">
        <f>IFERROR(__xludf.DUMMYFUNCTION("""COMPUTED_VALUE"""),"")</f>
        <v/>
      </c>
      <c r="E4932" s="2"/>
    </row>
    <row r="4933">
      <c r="A4933" s="2"/>
      <c r="B4933" s="8"/>
      <c r="C4933" s="8" t="str">
        <f>IFERROR(__xludf.DUMMYFUNCTION("""COMPUTED_VALUE"""),"")</f>
        <v/>
      </c>
      <c r="D4933" s="8" t="str">
        <f>IFERROR(__xludf.DUMMYFUNCTION("""COMPUTED_VALUE"""),"")</f>
        <v/>
      </c>
      <c r="E4933" s="2"/>
    </row>
    <row r="4934">
      <c r="A4934" s="2"/>
      <c r="B4934" s="8"/>
      <c r="C4934" s="8" t="str">
        <f>IFERROR(__xludf.DUMMYFUNCTION("""COMPUTED_VALUE"""),"")</f>
        <v/>
      </c>
      <c r="D4934" s="8" t="str">
        <f>IFERROR(__xludf.DUMMYFUNCTION("""COMPUTED_VALUE"""),"")</f>
        <v/>
      </c>
      <c r="E4934" s="2"/>
    </row>
    <row r="4935">
      <c r="A4935" s="2"/>
      <c r="B4935" s="8"/>
      <c r="C4935" s="8" t="str">
        <f>IFERROR(__xludf.DUMMYFUNCTION("""COMPUTED_VALUE"""),"")</f>
        <v/>
      </c>
      <c r="D4935" s="8" t="str">
        <f>IFERROR(__xludf.DUMMYFUNCTION("""COMPUTED_VALUE"""),"")</f>
        <v/>
      </c>
      <c r="E4935" s="2"/>
    </row>
    <row r="4936">
      <c r="A4936" s="2"/>
      <c r="B4936" s="8"/>
      <c r="C4936" s="8" t="str">
        <f>IFERROR(__xludf.DUMMYFUNCTION("""COMPUTED_VALUE"""),"")</f>
        <v/>
      </c>
      <c r="D4936" s="8" t="str">
        <f>IFERROR(__xludf.DUMMYFUNCTION("""COMPUTED_VALUE"""),"")</f>
        <v/>
      </c>
      <c r="E4936" s="2"/>
    </row>
    <row r="4937">
      <c r="A4937" s="2"/>
      <c r="B4937" s="8"/>
      <c r="C4937" s="8" t="str">
        <f>IFERROR(__xludf.DUMMYFUNCTION("""COMPUTED_VALUE"""),"")</f>
        <v/>
      </c>
      <c r="D4937" s="8" t="str">
        <f>IFERROR(__xludf.DUMMYFUNCTION("""COMPUTED_VALUE"""),"")</f>
        <v/>
      </c>
      <c r="E4937" s="2"/>
    </row>
    <row r="4938">
      <c r="A4938" s="2"/>
      <c r="B4938" s="8"/>
      <c r="C4938" s="8" t="str">
        <f>IFERROR(__xludf.DUMMYFUNCTION("""COMPUTED_VALUE"""),"")</f>
        <v/>
      </c>
      <c r="D4938" s="8" t="str">
        <f>IFERROR(__xludf.DUMMYFUNCTION("""COMPUTED_VALUE"""),"")</f>
        <v/>
      </c>
      <c r="E4938" s="2"/>
    </row>
    <row r="4939">
      <c r="A4939" s="2"/>
      <c r="B4939" s="8"/>
      <c r="C4939" s="8" t="str">
        <f>IFERROR(__xludf.DUMMYFUNCTION("""COMPUTED_VALUE"""),"")</f>
        <v/>
      </c>
      <c r="D4939" s="8" t="str">
        <f>IFERROR(__xludf.DUMMYFUNCTION("""COMPUTED_VALUE"""),"")</f>
        <v/>
      </c>
      <c r="E4939" s="2"/>
    </row>
    <row r="4940">
      <c r="A4940" s="2"/>
      <c r="B4940" s="8"/>
      <c r="C4940" s="8" t="str">
        <f>IFERROR(__xludf.DUMMYFUNCTION("""COMPUTED_VALUE"""),"")</f>
        <v/>
      </c>
      <c r="D4940" s="8" t="str">
        <f>IFERROR(__xludf.DUMMYFUNCTION("""COMPUTED_VALUE"""),"")</f>
        <v/>
      </c>
      <c r="E4940" s="2"/>
    </row>
    <row r="4941">
      <c r="A4941" s="2"/>
      <c r="B4941" s="8"/>
      <c r="C4941" s="8" t="str">
        <f>IFERROR(__xludf.DUMMYFUNCTION("""COMPUTED_VALUE"""),"")</f>
        <v/>
      </c>
      <c r="D4941" s="8" t="str">
        <f>IFERROR(__xludf.DUMMYFUNCTION("""COMPUTED_VALUE"""),"")</f>
        <v/>
      </c>
      <c r="E4941" s="2"/>
    </row>
    <row r="4942">
      <c r="A4942" s="2"/>
      <c r="B4942" s="8"/>
      <c r="C4942" s="8" t="str">
        <f>IFERROR(__xludf.DUMMYFUNCTION("""COMPUTED_VALUE"""),"")</f>
        <v/>
      </c>
      <c r="D4942" s="8" t="str">
        <f>IFERROR(__xludf.DUMMYFUNCTION("""COMPUTED_VALUE"""),"")</f>
        <v/>
      </c>
      <c r="E4942" s="2"/>
    </row>
    <row r="4943">
      <c r="A4943" s="2"/>
      <c r="B4943" s="8"/>
      <c r="C4943" s="8" t="str">
        <f>IFERROR(__xludf.DUMMYFUNCTION("""COMPUTED_VALUE"""),"")</f>
        <v/>
      </c>
      <c r="D4943" s="8" t="str">
        <f>IFERROR(__xludf.DUMMYFUNCTION("""COMPUTED_VALUE"""),"")</f>
        <v/>
      </c>
      <c r="E4943" s="2"/>
    </row>
    <row r="4944">
      <c r="A4944" s="2"/>
      <c r="B4944" s="8"/>
      <c r="C4944" s="8" t="str">
        <f>IFERROR(__xludf.DUMMYFUNCTION("""COMPUTED_VALUE"""),"")</f>
        <v/>
      </c>
      <c r="D4944" s="8" t="str">
        <f>IFERROR(__xludf.DUMMYFUNCTION("""COMPUTED_VALUE"""),"")</f>
        <v/>
      </c>
      <c r="E4944" s="2"/>
    </row>
    <row r="4945">
      <c r="A4945" s="2"/>
      <c r="B4945" s="8"/>
      <c r="C4945" s="8" t="str">
        <f>IFERROR(__xludf.DUMMYFUNCTION("""COMPUTED_VALUE"""),"")</f>
        <v/>
      </c>
      <c r="D4945" s="8" t="str">
        <f>IFERROR(__xludf.DUMMYFUNCTION("""COMPUTED_VALUE"""),"")</f>
        <v/>
      </c>
      <c r="E4945" s="2"/>
    </row>
    <row r="4946">
      <c r="A4946" s="2"/>
      <c r="B4946" s="8"/>
      <c r="C4946" s="8" t="str">
        <f>IFERROR(__xludf.DUMMYFUNCTION("""COMPUTED_VALUE"""),"")</f>
        <v/>
      </c>
      <c r="D4946" s="8" t="str">
        <f>IFERROR(__xludf.DUMMYFUNCTION("""COMPUTED_VALUE"""),"")</f>
        <v/>
      </c>
      <c r="E4946" s="2"/>
    </row>
    <row r="4947">
      <c r="A4947" s="2"/>
      <c r="B4947" s="8"/>
      <c r="C4947" s="8" t="str">
        <f>IFERROR(__xludf.DUMMYFUNCTION("""COMPUTED_VALUE"""),"")</f>
        <v/>
      </c>
      <c r="D4947" s="8" t="str">
        <f>IFERROR(__xludf.DUMMYFUNCTION("""COMPUTED_VALUE"""),"")</f>
        <v/>
      </c>
      <c r="E4947" s="2"/>
    </row>
    <row r="4948">
      <c r="A4948" s="2"/>
      <c r="B4948" s="8"/>
      <c r="C4948" s="8" t="str">
        <f>IFERROR(__xludf.DUMMYFUNCTION("""COMPUTED_VALUE"""),"")</f>
        <v/>
      </c>
      <c r="D4948" s="8" t="str">
        <f>IFERROR(__xludf.DUMMYFUNCTION("""COMPUTED_VALUE"""),"")</f>
        <v/>
      </c>
      <c r="E4948" s="2"/>
    </row>
    <row r="4949">
      <c r="A4949" s="2"/>
      <c r="B4949" s="8"/>
      <c r="C4949" s="8" t="str">
        <f>IFERROR(__xludf.DUMMYFUNCTION("""COMPUTED_VALUE"""),"")</f>
        <v/>
      </c>
      <c r="D4949" s="8" t="str">
        <f>IFERROR(__xludf.DUMMYFUNCTION("""COMPUTED_VALUE"""),"")</f>
        <v/>
      </c>
      <c r="E4949" s="2"/>
    </row>
    <row r="4950">
      <c r="A4950" s="2"/>
      <c r="B4950" s="8"/>
      <c r="C4950" s="8" t="str">
        <f>IFERROR(__xludf.DUMMYFUNCTION("""COMPUTED_VALUE"""),"")</f>
        <v/>
      </c>
      <c r="D4950" s="8" t="str">
        <f>IFERROR(__xludf.DUMMYFUNCTION("""COMPUTED_VALUE"""),"")</f>
        <v/>
      </c>
      <c r="E4950" s="2"/>
    </row>
    <row r="4951">
      <c r="A4951" s="2"/>
      <c r="B4951" s="8"/>
      <c r="C4951" s="8" t="str">
        <f>IFERROR(__xludf.DUMMYFUNCTION("""COMPUTED_VALUE"""),"")</f>
        <v/>
      </c>
      <c r="D4951" s="8" t="str">
        <f>IFERROR(__xludf.DUMMYFUNCTION("""COMPUTED_VALUE"""),"")</f>
        <v/>
      </c>
      <c r="E4951" s="2"/>
    </row>
    <row r="4952">
      <c r="A4952" s="2"/>
      <c r="B4952" s="8"/>
      <c r="C4952" s="8" t="str">
        <f>IFERROR(__xludf.DUMMYFUNCTION("""COMPUTED_VALUE"""),"")</f>
        <v/>
      </c>
      <c r="D4952" s="8" t="str">
        <f>IFERROR(__xludf.DUMMYFUNCTION("""COMPUTED_VALUE"""),"")</f>
        <v/>
      </c>
      <c r="E4952" s="2"/>
    </row>
    <row r="4953">
      <c r="A4953" s="2"/>
      <c r="B4953" s="8"/>
      <c r="C4953" s="8" t="str">
        <f>IFERROR(__xludf.DUMMYFUNCTION("""COMPUTED_VALUE"""),"")</f>
        <v/>
      </c>
      <c r="D4953" s="8" t="str">
        <f>IFERROR(__xludf.DUMMYFUNCTION("""COMPUTED_VALUE"""),"")</f>
        <v/>
      </c>
      <c r="E4953" s="2"/>
    </row>
    <row r="4954">
      <c r="A4954" s="2"/>
      <c r="B4954" s="8"/>
      <c r="C4954" s="8" t="str">
        <f>IFERROR(__xludf.DUMMYFUNCTION("""COMPUTED_VALUE"""),"")</f>
        <v/>
      </c>
      <c r="D4954" s="8" t="str">
        <f>IFERROR(__xludf.DUMMYFUNCTION("""COMPUTED_VALUE"""),"")</f>
        <v/>
      </c>
      <c r="E4954" s="2"/>
    </row>
    <row r="4955">
      <c r="A4955" s="2"/>
      <c r="B4955" s="8"/>
      <c r="C4955" s="8" t="str">
        <f>IFERROR(__xludf.DUMMYFUNCTION("""COMPUTED_VALUE"""),"")</f>
        <v/>
      </c>
      <c r="D4955" s="8" t="str">
        <f>IFERROR(__xludf.DUMMYFUNCTION("""COMPUTED_VALUE"""),"")</f>
        <v/>
      </c>
      <c r="E4955" s="2"/>
    </row>
    <row r="4956">
      <c r="A4956" s="2"/>
      <c r="B4956" s="8"/>
      <c r="C4956" s="8" t="str">
        <f>IFERROR(__xludf.DUMMYFUNCTION("""COMPUTED_VALUE"""),"")</f>
        <v/>
      </c>
      <c r="D4956" s="8" t="str">
        <f>IFERROR(__xludf.DUMMYFUNCTION("""COMPUTED_VALUE"""),"")</f>
        <v/>
      </c>
      <c r="E4956" s="2"/>
    </row>
    <row r="4957">
      <c r="A4957" s="2"/>
      <c r="B4957" s="8"/>
      <c r="C4957" s="8" t="str">
        <f>IFERROR(__xludf.DUMMYFUNCTION("""COMPUTED_VALUE"""),"")</f>
        <v/>
      </c>
      <c r="D4957" s="8" t="str">
        <f>IFERROR(__xludf.DUMMYFUNCTION("""COMPUTED_VALUE"""),"")</f>
        <v/>
      </c>
      <c r="E4957" s="2"/>
    </row>
    <row r="4958">
      <c r="A4958" s="2"/>
      <c r="B4958" s="8"/>
      <c r="C4958" s="8" t="str">
        <f>IFERROR(__xludf.DUMMYFUNCTION("""COMPUTED_VALUE"""),"")</f>
        <v/>
      </c>
      <c r="D4958" s="8" t="str">
        <f>IFERROR(__xludf.DUMMYFUNCTION("""COMPUTED_VALUE"""),"")</f>
        <v/>
      </c>
      <c r="E4958" s="2"/>
    </row>
    <row r="4959">
      <c r="A4959" s="2"/>
      <c r="B4959" s="8"/>
      <c r="C4959" s="8" t="str">
        <f>IFERROR(__xludf.DUMMYFUNCTION("""COMPUTED_VALUE"""),"")</f>
        <v/>
      </c>
      <c r="D4959" s="8" t="str">
        <f>IFERROR(__xludf.DUMMYFUNCTION("""COMPUTED_VALUE"""),"")</f>
        <v/>
      </c>
      <c r="E4959" s="2"/>
    </row>
    <row r="4960">
      <c r="A4960" s="2"/>
      <c r="B4960" s="8"/>
      <c r="C4960" s="8" t="str">
        <f>IFERROR(__xludf.DUMMYFUNCTION("""COMPUTED_VALUE"""),"")</f>
        <v/>
      </c>
      <c r="D4960" s="8" t="str">
        <f>IFERROR(__xludf.DUMMYFUNCTION("""COMPUTED_VALUE"""),"")</f>
        <v/>
      </c>
      <c r="E4960" s="2"/>
    </row>
    <row r="4961">
      <c r="A4961" s="2"/>
      <c r="B4961" s="8"/>
      <c r="C4961" s="8" t="str">
        <f>IFERROR(__xludf.DUMMYFUNCTION("""COMPUTED_VALUE"""),"")</f>
        <v/>
      </c>
      <c r="D4961" s="8" t="str">
        <f>IFERROR(__xludf.DUMMYFUNCTION("""COMPUTED_VALUE"""),"")</f>
        <v/>
      </c>
      <c r="E4961" s="2"/>
    </row>
    <row r="4962">
      <c r="A4962" s="2"/>
      <c r="B4962" s="8"/>
      <c r="C4962" s="8" t="str">
        <f>IFERROR(__xludf.DUMMYFUNCTION("""COMPUTED_VALUE"""),"")</f>
        <v/>
      </c>
      <c r="D4962" s="8" t="str">
        <f>IFERROR(__xludf.DUMMYFUNCTION("""COMPUTED_VALUE"""),"")</f>
        <v/>
      </c>
      <c r="E4962" s="2"/>
    </row>
    <row r="4963">
      <c r="A4963" s="2"/>
      <c r="B4963" s="8"/>
      <c r="C4963" s="8" t="str">
        <f>IFERROR(__xludf.DUMMYFUNCTION("""COMPUTED_VALUE"""),"")</f>
        <v/>
      </c>
      <c r="D4963" s="8" t="str">
        <f>IFERROR(__xludf.DUMMYFUNCTION("""COMPUTED_VALUE"""),"")</f>
        <v/>
      </c>
      <c r="E4963" s="2"/>
    </row>
    <row r="4964">
      <c r="A4964" s="2"/>
      <c r="B4964" s="8"/>
      <c r="C4964" s="8" t="str">
        <f>IFERROR(__xludf.DUMMYFUNCTION("""COMPUTED_VALUE"""),"")</f>
        <v/>
      </c>
      <c r="D4964" s="8" t="str">
        <f>IFERROR(__xludf.DUMMYFUNCTION("""COMPUTED_VALUE"""),"")</f>
        <v/>
      </c>
      <c r="E4964" s="2"/>
    </row>
    <row r="4965">
      <c r="A4965" s="2"/>
      <c r="B4965" s="8"/>
      <c r="C4965" s="8" t="str">
        <f>IFERROR(__xludf.DUMMYFUNCTION("""COMPUTED_VALUE"""),"")</f>
        <v/>
      </c>
      <c r="D4965" s="8" t="str">
        <f>IFERROR(__xludf.DUMMYFUNCTION("""COMPUTED_VALUE"""),"")</f>
        <v/>
      </c>
      <c r="E4965" s="2"/>
    </row>
    <row r="4966">
      <c r="A4966" s="2"/>
      <c r="B4966" s="8"/>
      <c r="C4966" s="8" t="str">
        <f>IFERROR(__xludf.DUMMYFUNCTION("""COMPUTED_VALUE"""),"")</f>
        <v/>
      </c>
      <c r="D4966" s="8" t="str">
        <f>IFERROR(__xludf.DUMMYFUNCTION("""COMPUTED_VALUE"""),"")</f>
        <v/>
      </c>
      <c r="E4966" s="2"/>
    </row>
    <row r="4967">
      <c r="A4967" s="2"/>
      <c r="B4967" s="8"/>
      <c r="C4967" s="8" t="str">
        <f>IFERROR(__xludf.DUMMYFUNCTION("""COMPUTED_VALUE"""),"")</f>
        <v/>
      </c>
      <c r="D4967" s="8" t="str">
        <f>IFERROR(__xludf.DUMMYFUNCTION("""COMPUTED_VALUE"""),"")</f>
        <v/>
      </c>
      <c r="E4967" s="2"/>
    </row>
    <row r="4968">
      <c r="A4968" s="2"/>
      <c r="B4968" s="8"/>
      <c r="C4968" s="8" t="str">
        <f>IFERROR(__xludf.DUMMYFUNCTION("""COMPUTED_VALUE"""),"")</f>
        <v/>
      </c>
      <c r="D4968" s="8" t="str">
        <f>IFERROR(__xludf.DUMMYFUNCTION("""COMPUTED_VALUE"""),"")</f>
        <v/>
      </c>
      <c r="E4968" s="2"/>
    </row>
    <row r="4969">
      <c r="A4969" s="2"/>
      <c r="B4969" s="8"/>
      <c r="C4969" s="8" t="str">
        <f>IFERROR(__xludf.DUMMYFUNCTION("""COMPUTED_VALUE"""),"")</f>
        <v/>
      </c>
      <c r="D4969" s="8" t="str">
        <f>IFERROR(__xludf.DUMMYFUNCTION("""COMPUTED_VALUE"""),"")</f>
        <v/>
      </c>
      <c r="E4969" s="2"/>
    </row>
    <row r="4970">
      <c r="A4970" s="2"/>
      <c r="B4970" s="8"/>
      <c r="C4970" s="8" t="str">
        <f>IFERROR(__xludf.DUMMYFUNCTION("""COMPUTED_VALUE"""),"")</f>
        <v/>
      </c>
      <c r="D4970" s="8" t="str">
        <f>IFERROR(__xludf.DUMMYFUNCTION("""COMPUTED_VALUE"""),"")</f>
        <v/>
      </c>
      <c r="E4970" s="2"/>
    </row>
    <row r="4971">
      <c r="A4971" s="2"/>
      <c r="B4971" s="8"/>
      <c r="C4971" s="8" t="str">
        <f>IFERROR(__xludf.DUMMYFUNCTION("""COMPUTED_VALUE"""),"")</f>
        <v/>
      </c>
      <c r="D4971" s="8" t="str">
        <f>IFERROR(__xludf.DUMMYFUNCTION("""COMPUTED_VALUE"""),"")</f>
        <v/>
      </c>
      <c r="E4971" s="2"/>
    </row>
    <row r="4972">
      <c r="A4972" s="2"/>
      <c r="B4972" s="8"/>
      <c r="C4972" s="8" t="str">
        <f>IFERROR(__xludf.DUMMYFUNCTION("""COMPUTED_VALUE"""),"")</f>
        <v/>
      </c>
      <c r="D4972" s="8" t="str">
        <f>IFERROR(__xludf.DUMMYFUNCTION("""COMPUTED_VALUE"""),"")</f>
        <v/>
      </c>
      <c r="E4972" s="2"/>
    </row>
    <row r="4973">
      <c r="A4973" s="2"/>
      <c r="B4973" s="8"/>
      <c r="C4973" s="8" t="str">
        <f>IFERROR(__xludf.DUMMYFUNCTION("""COMPUTED_VALUE"""),"")</f>
        <v/>
      </c>
      <c r="D4973" s="8" t="str">
        <f>IFERROR(__xludf.DUMMYFUNCTION("""COMPUTED_VALUE"""),"")</f>
        <v/>
      </c>
      <c r="E4973" s="2"/>
    </row>
    <row r="4974">
      <c r="A4974" s="2"/>
      <c r="B4974" s="8"/>
      <c r="C4974" s="8" t="str">
        <f>IFERROR(__xludf.DUMMYFUNCTION("""COMPUTED_VALUE"""),"")</f>
        <v/>
      </c>
      <c r="D4974" s="8" t="str">
        <f>IFERROR(__xludf.DUMMYFUNCTION("""COMPUTED_VALUE"""),"")</f>
        <v/>
      </c>
      <c r="E4974" s="2"/>
    </row>
    <row r="4975">
      <c r="A4975" s="2"/>
      <c r="B4975" s="8"/>
      <c r="C4975" s="8" t="str">
        <f>IFERROR(__xludf.DUMMYFUNCTION("""COMPUTED_VALUE"""),"")</f>
        <v/>
      </c>
      <c r="D4975" s="8" t="str">
        <f>IFERROR(__xludf.DUMMYFUNCTION("""COMPUTED_VALUE"""),"")</f>
        <v/>
      </c>
      <c r="E4975" s="2"/>
    </row>
    <row r="4976">
      <c r="A4976" s="2"/>
      <c r="B4976" s="8"/>
      <c r="C4976" s="8" t="str">
        <f>IFERROR(__xludf.DUMMYFUNCTION("""COMPUTED_VALUE"""),"")</f>
        <v/>
      </c>
      <c r="D4976" s="8" t="str">
        <f>IFERROR(__xludf.DUMMYFUNCTION("""COMPUTED_VALUE"""),"")</f>
        <v/>
      </c>
      <c r="E4976" s="2"/>
    </row>
    <row r="4977">
      <c r="A4977" s="2"/>
      <c r="B4977" s="8"/>
      <c r="C4977" s="8" t="str">
        <f>IFERROR(__xludf.DUMMYFUNCTION("""COMPUTED_VALUE"""),"")</f>
        <v/>
      </c>
      <c r="D4977" s="8" t="str">
        <f>IFERROR(__xludf.DUMMYFUNCTION("""COMPUTED_VALUE"""),"")</f>
        <v/>
      </c>
      <c r="E4977" s="2"/>
    </row>
    <row r="4978">
      <c r="A4978" s="2"/>
      <c r="B4978" s="8"/>
      <c r="C4978" s="8" t="str">
        <f>IFERROR(__xludf.DUMMYFUNCTION("""COMPUTED_VALUE"""),"")</f>
        <v/>
      </c>
      <c r="D4978" s="8" t="str">
        <f>IFERROR(__xludf.DUMMYFUNCTION("""COMPUTED_VALUE"""),"")</f>
        <v/>
      </c>
      <c r="E4978" s="2"/>
    </row>
    <row r="4979">
      <c r="A4979" s="2"/>
      <c r="B4979" s="8"/>
      <c r="C4979" s="8" t="str">
        <f>IFERROR(__xludf.DUMMYFUNCTION("""COMPUTED_VALUE"""),"")</f>
        <v/>
      </c>
      <c r="D4979" s="8" t="str">
        <f>IFERROR(__xludf.DUMMYFUNCTION("""COMPUTED_VALUE"""),"")</f>
        <v/>
      </c>
      <c r="E4979" s="2"/>
    </row>
    <row r="4980">
      <c r="A4980" s="2"/>
      <c r="B4980" s="8"/>
      <c r="C4980" s="8" t="str">
        <f>IFERROR(__xludf.DUMMYFUNCTION("""COMPUTED_VALUE"""),"")</f>
        <v/>
      </c>
      <c r="D4980" s="8" t="str">
        <f>IFERROR(__xludf.DUMMYFUNCTION("""COMPUTED_VALUE"""),"")</f>
        <v/>
      </c>
      <c r="E4980" s="2"/>
    </row>
    <row r="4981">
      <c r="A4981" s="2"/>
      <c r="B4981" s="8"/>
      <c r="C4981" s="8" t="str">
        <f>IFERROR(__xludf.DUMMYFUNCTION("""COMPUTED_VALUE"""),"")</f>
        <v/>
      </c>
      <c r="D4981" s="8" t="str">
        <f>IFERROR(__xludf.DUMMYFUNCTION("""COMPUTED_VALUE"""),"")</f>
        <v/>
      </c>
      <c r="E4981" s="2"/>
    </row>
    <row r="4982">
      <c r="A4982" s="2"/>
      <c r="B4982" s="8"/>
      <c r="C4982" s="8" t="str">
        <f>IFERROR(__xludf.DUMMYFUNCTION("""COMPUTED_VALUE"""),"")</f>
        <v/>
      </c>
      <c r="D4982" s="8" t="str">
        <f>IFERROR(__xludf.DUMMYFUNCTION("""COMPUTED_VALUE"""),"")</f>
        <v/>
      </c>
      <c r="E4982" s="2"/>
    </row>
    <row r="4983">
      <c r="A4983" s="2"/>
      <c r="B4983" s="8"/>
      <c r="C4983" s="8" t="str">
        <f>IFERROR(__xludf.DUMMYFUNCTION("""COMPUTED_VALUE"""),"")</f>
        <v/>
      </c>
      <c r="D4983" s="8" t="str">
        <f>IFERROR(__xludf.DUMMYFUNCTION("""COMPUTED_VALUE"""),"")</f>
        <v/>
      </c>
      <c r="E4983" s="2"/>
    </row>
    <row r="4984">
      <c r="A4984" s="2"/>
      <c r="B4984" s="8"/>
      <c r="C4984" s="8" t="str">
        <f>IFERROR(__xludf.DUMMYFUNCTION("""COMPUTED_VALUE"""),"")</f>
        <v/>
      </c>
      <c r="D4984" s="8" t="str">
        <f>IFERROR(__xludf.DUMMYFUNCTION("""COMPUTED_VALUE"""),"")</f>
        <v/>
      </c>
      <c r="E4984" s="2"/>
    </row>
    <row r="4985">
      <c r="A4985" s="2"/>
      <c r="B4985" s="8"/>
      <c r="C4985" s="8" t="str">
        <f>IFERROR(__xludf.DUMMYFUNCTION("""COMPUTED_VALUE"""),"")</f>
        <v/>
      </c>
      <c r="D4985" s="8" t="str">
        <f>IFERROR(__xludf.DUMMYFUNCTION("""COMPUTED_VALUE"""),"")</f>
        <v/>
      </c>
      <c r="E4985" s="2"/>
    </row>
    <row r="4986">
      <c r="A4986" s="2"/>
      <c r="B4986" s="8"/>
      <c r="C4986" s="8" t="str">
        <f>IFERROR(__xludf.DUMMYFUNCTION("""COMPUTED_VALUE"""),"")</f>
        <v/>
      </c>
      <c r="D4986" s="8" t="str">
        <f>IFERROR(__xludf.DUMMYFUNCTION("""COMPUTED_VALUE"""),"")</f>
        <v/>
      </c>
      <c r="E4986" s="2"/>
    </row>
    <row r="4987">
      <c r="A4987" s="2"/>
      <c r="B4987" s="8"/>
      <c r="C4987" s="8" t="str">
        <f>IFERROR(__xludf.DUMMYFUNCTION("""COMPUTED_VALUE"""),"")</f>
        <v/>
      </c>
      <c r="D4987" s="8" t="str">
        <f>IFERROR(__xludf.DUMMYFUNCTION("""COMPUTED_VALUE"""),"")</f>
        <v/>
      </c>
      <c r="E4987" s="2"/>
    </row>
    <row r="4988">
      <c r="A4988" s="2"/>
      <c r="B4988" s="8"/>
      <c r="C4988" s="8" t="str">
        <f>IFERROR(__xludf.DUMMYFUNCTION("""COMPUTED_VALUE"""),"")</f>
        <v/>
      </c>
      <c r="D4988" s="8" t="str">
        <f>IFERROR(__xludf.DUMMYFUNCTION("""COMPUTED_VALUE"""),"")</f>
        <v/>
      </c>
      <c r="E4988" s="2"/>
    </row>
    <row r="4989">
      <c r="A4989" s="2"/>
      <c r="B4989" s="8"/>
      <c r="C4989" s="8" t="str">
        <f>IFERROR(__xludf.DUMMYFUNCTION("""COMPUTED_VALUE"""),"")</f>
        <v/>
      </c>
      <c r="D4989" s="8" t="str">
        <f>IFERROR(__xludf.DUMMYFUNCTION("""COMPUTED_VALUE"""),"")</f>
        <v/>
      </c>
      <c r="E4989" s="2"/>
    </row>
    <row r="4990">
      <c r="A4990" s="2"/>
      <c r="B4990" s="8"/>
      <c r="C4990" s="8" t="str">
        <f>IFERROR(__xludf.DUMMYFUNCTION("""COMPUTED_VALUE"""),"")</f>
        <v/>
      </c>
      <c r="D4990" s="8" t="str">
        <f>IFERROR(__xludf.DUMMYFUNCTION("""COMPUTED_VALUE"""),"")</f>
        <v/>
      </c>
      <c r="E4990" s="2"/>
    </row>
    <row r="4991">
      <c r="A4991" s="2"/>
      <c r="B4991" s="8"/>
      <c r="C4991" s="8" t="str">
        <f>IFERROR(__xludf.DUMMYFUNCTION("""COMPUTED_VALUE"""),"")</f>
        <v/>
      </c>
      <c r="D4991" s="8" t="str">
        <f>IFERROR(__xludf.DUMMYFUNCTION("""COMPUTED_VALUE"""),"")</f>
        <v/>
      </c>
      <c r="E4991" s="2"/>
    </row>
    <row r="4992">
      <c r="A4992" s="2"/>
      <c r="B4992" s="8"/>
      <c r="C4992" s="8" t="str">
        <f>IFERROR(__xludf.DUMMYFUNCTION("""COMPUTED_VALUE"""),"")</f>
        <v/>
      </c>
      <c r="D4992" s="8" t="str">
        <f>IFERROR(__xludf.DUMMYFUNCTION("""COMPUTED_VALUE"""),"")</f>
        <v/>
      </c>
      <c r="E4992" s="2"/>
    </row>
    <row r="4993">
      <c r="A4993" s="2"/>
      <c r="B4993" s="8"/>
      <c r="C4993" s="8" t="str">
        <f>IFERROR(__xludf.DUMMYFUNCTION("""COMPUTED_VALUE"""),"")</f>
        <v/>
      </c>
      <c r="D4993" s="8" t="str">
        <f>IFERROR(__xludf.DUMMYFUNCTION("""COMPUTED_VALUE"""),"")</f>
        <v/>
      </c>
      <c r="E4993" s="2"/>
    </row>
    <row r="4994">
      <c r="A4994" s="2"/>
      <c r="B4994" s="8"/>
      <c r="C4994" s="8" t="str">
        <f>IFERROR(__xludf.DUMMYFUNCTION("""COMPUTED_VALUE"""),"")</f>
        <v/>
      </c>
      <c r="D4994" s="8" t="str">
        <f>IFERROR(__xludf.DUMMYFUNCTION("""COMPUTED_VALUE"""),"")</f>
        <v/>
      </c>
      <c r="E4994" s="2"/>
    </row>
    <row r="4995">
      <c r="A4995" s="2"/>
      <c r="B4995" s="8"/>
      <c r="C4995" s="8" t="str">
        <f>IFERROR(__xludf.DUMMYFUNCTION("""COMPUTED_VALUE"""),"")</f>
        <v/>
      </c>
      <c r="D4995" s="8" t="str">
        <f>IFERROR(__xludf.DUMMYFUNCTION("""COMPUTED_VALUE"""),"")</f>
        <v/>
      </c>
      <c r="E4995" s="2"/>
    </row>
    <row r="4996">
      <c r="A4996" s="2"/>
      <c r="B4996" s="8"/>
      <c r="C4996" s="8" t="str">
        <f>IFERROR(__xludf.DUMMYFUNCTION("""COMPUTED_VALUE"""),"")</f>
        <v/>
      </c>
      <c r="D4996" s="8" t="str">
        <f>IFERROR(__xludf.DUMMYFUNCTION("""COMPUTED_VALUE"""),"")</f>
        <v/>
      </c>
      <c r="E4996" s="2"/>
    </row>
    <row r="4997">
      <c r="A4997" s="2"/>
      <c r="B4997" s="8"/>
      <c r="C4997" s="8" t="str">
        <f>IFERROR(__xludf.DUMMYFUNCTION("""COMPUTED_VALUE"""),"")</f>
        <v/>
      </c>
      <c r="D4997" s="8" t="str">
        <f>IFERROR(__xludf.DUMMYFUNCTION("""COMPUTED_VALUE"""),"")</f>
        <v/>
      </c>
      <c r="E4997" s="2"/>
    </row>
    <row r="4998">
      <c r="A4998" s="2"/>
      <c r="B4998" s="8"/>
      <c r="C4998" s="8" t="str">
        <f>IFERROR(__xludf.DUMMYFUNCTION("""COMPUTED_VALUE"""),"")</f>
        <v/>
      </c>
      <c r="D4998" s="8" t="str">
        <f>IFERROR(__xludf.DUMMYFUNCTION("""COMPUTED_VALUE"""),"")</f>
        <v/>
      </c>
      <c r="E4998" s="2"/>
    </row>
    <row r="4999">
      <c r="A4999" s="2"/>
      <c r="B4999" s="8"/>
      <c r="C4999" s="8" t="str">
        <f>IFERROR(__xludf.DUMMYFUNCTION("""COMPUTED_VALUE"""),"")</f>
        <v/>
      </c>
      <c r="D4999" s="8" t="str">
        <f>IFERROR(__xludf.DUMMYFUNCTION("""COMPUTED_VALUE"""),"")</f>
        <v/>
      </c>
      <c r="E4999" s="2"/>
    </row>
    <row r="5000">
      <c r="A5000" s="2"/>
      <c r="B5000" s="8"/>
      <c r="C5000" s="8" t="str">
        <f>IFERROR(__xludf.DUMMYFUNCTION("""COMPUTED_VALUE"""),"")</f>
        <v/>
      </c>
      <c r="D5000" s="8" t="str">
        <f>IFERROR(__xludf.DUMMYFUNCTION("""COMPUTED_VALUE"""),"")</f>
        <v/>
      </c>
      <c r="E5000" s="2"/>
    </row>
    <row r="5001">
      <c r="A5001" s="2"/>
      <c r="B5001" s="8"/>
      <c r="C5001" s="8" t="str">
        <f>IFERROR(__xludf.DUMMYFUNCTION("""COMPUTED_VALUE"""),"")</f>
        <v/>
      </c>
      <c r="D5001" s="8" t="str">
        <f>IFERROR(__xludf.DUMMYFUNCTION("""COMPUTED_VALUE"""),"")</f>
        <v/>
      </c>
      <c r="E5001" s="2"/>
    </row>
    <row r="5002">
      <c r="A5002" s="2"/>
      <c r="B5002" s="8"/>
      <c r="C5002" s="8" t="str">
        <f>IFERROR(__xludf.DUMMYFUNCTION("""COMPUTED_VALUE"""),"")</f>
        <v/>
      </c>
      <c r="D5002" s="8" t="str">
        <f>IFERROR(__xludf.DUMMYFUNCTION("""COMPUTED_VALUE"""),"")</f>
        <v/>
      </c>
      <c r="E5002" s="2"/>
    </row>
    <row r="5003">
      <c r="A5003" s="2"/>
      <c r="B5003" s="8"/>
      <c r="C5003" s="8" t="str">
        <f>IFERROR(__xludf.DUMMYFUNCTION("""COMPUTED_VALUE"""),"")</f>
        <v/>
      </c>
      <c r="D5003" s="8" t="str">
        <f>IFERROR(__xludf.DUMMYFUNCTION("""COMPUTED_VALUE"""),"")</f>
        <v/>
      </c>
      <c r="E5003" s="2"/>
    </row>
    <row r="5004">
      <c r="A5004" s="2"/>
      <c r="B5004" s="8"/>
      <c r="C5004" s="8" t="str">
        <f>IFERROR(__xludf.DUMMYFUNCTION("""COMPUTED_VALUE"""),"")</f>
        <v/>
      </c>
      <c r="D5004" s="8" t="str">
        <f>IFERROR(__xludf.DUMMYFUNCTION("""COMPUTED_VALUE"""),"")</f>
        <v/>
      </c>
      <c r="E5004" s="2"/>
    </row>
    <row r="5005">
      <c r="A5005" s="2"/>
      <c r="B5005" s="8"/>
      <c r="C5005" s="8" t="str">
        <f>IFERROR(__xludf.DUMMYFUNCTION("""COMPUTED_VALUE"""),"")</f>
        <v/>
      </c>
      <c r="D5005" s="8" t="str">
        <f>IFERROR(__xludf.DUMMYFUNCTION("""COMPUTED_VALUE"""),"")</f>
        <v/>
      </c>
      <c r="E5005" s="2"/>
    </row>
    <row r="5006">
      <c r="A5006" s="2"/>
      <c r="B5006" s="8"/>
      <c r="C5006" s="8" t="str">
        <f>IFERROR(__xludf.DUMMYFUNCTION("""COMPUTED_VALUE"""),"")</f>
        <v/>
      </c>
      <c r="D5006" s="8" t="str">
        <f>IFERROR(__xludf.DUMMYFUNCTION("""COMPUTED_VALUE"""),"")</f>
        <v/>
      </c>
      <c r="E5006" s="2"/>
    </row>
    <row r="5007">
      <c r="A5007" s="2"/>
      <c r="B5007" s="8"/>
      <c r="C5007" s="8" t="str">
        <f>IFERROR(__xludf.DUMMYFUNCTION("""COMPUTED_VALUE"""),"")</f>
        <v/>
      </c>
      <c r="D5007" s="8" t="str">
        <f>IFERROR(__xludf.DUMMYFUNCTION("""COMPUTED_VALUE"""),"")</f>
        <v/>
      </c>
      <c r="E5007" s="2"/>
    </row>
    <row r="5008">
      <c r="A5008" s="2"/>
      <c r="B5008" s="8"/>
      <c r="C5008" s="8" t="str">
        <f>IFERROR(__xludf.DUMMYFUNCTION("""COMPUTED_VALUE"""),"")</f>
        <v/>
      </c>
      <c r="D5008" s="8" t="str">
        <f>IFERROR(__xludf.DUMMYFUNCTION("""COMPUTED_VALUE"""),"")</f>
        <v/>
      </c>
      <c r="E5008" s="2"/>
    </row>
    <row r="5009">
      <c r="A5009" s="2"/>
      <c r="B5009" s="8"/>
      <c r="C5009" s="8" t="str">
        <f>IFERROR(__xludf.DUMMYFUNCTION("""COMPUTED_VALUE"""),"")</f>
        <v/>
      </c>
      <c r="D5009" s="8" t="str">
        <f>IFERROR(__xludf.DUMMYFUNCTION("""COMPUTED_VALUE"""),"")</f>
        <v/>
      </c>
      <c r="E5009" s="2"/>
    </row>
    <row r="5010">
      <c r="A5010" s="2"/>
      <c r="B5010" s="8"/>
      <c r="C5010" s="8" t="str">
        <f>IFERROR(__xludf.DUMMYFUNCTION("""COMPUTED_VALUE"""),"")</f>
        <v/>
      </c>
      <c r="D5010" s="8" t="str">
        <f>IFERROR(__xludf.DUMMYFUNCTION("""COMPUTED_VALUE"""),"")</f>
        <v/>
      </c>
      <c r="E5010" s="2"/>
    </row>
    <row r="5011">
      <c r="A5011" s="2"/>
      <c r="B5011" s="8"/>
      <c r="C5011" s="8" t="str">
        <f>IFERROR(__xludf.DUMMYFUNCTION("""COMPUTED_VALUE"""),"")</f>
        <v/>
      </c>
      <c r="D5011" s="8" t="str">
        <f>IFERROR(__xludf.DUMMYFUNCTION("""COMPUTED_VALUE"""),"")</f>
        <v/>
      </c>
      <c r="E5011" s="2"/>
    </row>
    <row r="5012">
      <c r="A5012" s="2"/>
      <c r="B5012" s="8"/>
      <c r="C5012" s="8" t="str">
        <f>IFERROR(__xludf.DUMMYFUNCTION("""COMPUTED_VALUE"""),"")</f>
        <v/>
      </c>
      <c r="D5012" s="8" t="str">
        <f>IFERROR(__xludf.DUMMYFUNCTION("""COMPUTED_VALUE"""),"")</f>
        <v/>
      </c>
      <c r="E5012" s="2"/>
    </row>
    <row r="5013">
      <c r="A5013" s="2"/>
      <c r="B5013" s="8"/>
      <c r="C5013" s="8" t="str">
        <f>IFERROR(__xludf.DUMMYFUNCTION("""COMPUTED_VALUE"""),"")</f>
        <v/>
      </c>
      <c r="D5013" s="8" t="str">
        <f>IFERROR(__xludf.DUMMYFUNCTION("""COMPUTED_VALUE"""),"")</f>
        <v/>
      </c>
      <c r="E5013" s="2"/>
    </row>
    <row r="5014">
      <c r="A5014" s="2"/>
      <c r="B5014" s="8"/>
      <c r="C5014" s="8" t="str">
        <f>IFERROR(__xludf.DUMMYFUNCTION("""COMPUTED_VALUE"""),"")</f>
        <v/>
      </c>
      <c r="D5014" s="8" t="str">
        <f>IFERROR(__xludf.DUMMYFUNCTION("""COMPUTED_VALUE"""),"")</f>
        <v/>
      </c>
      <c r="E5014" s="2"/>
    </row>
    <row r="5015">
      <c r="A5015" s="2"/>
      <c r="B5015" s="8"/>
      <c r="C5015" s="8" t="str">
        <f>IFERROR(__xludf.DUMMYFUNCTION("""COMPUTED_VALUE"""),"")</f>
        <v/>
      </c>
      <c r="D5015" s="8" t="str">
        <f>IFERROR(__xludf.DUMMYFUNCTION("""COMPUTED_VALUE"""),"")</f>
        <v/>
      </c>
      <c r="E5015" s="2"/>
    </row>
    <row r="5016">
      <c r="A5016" s="2"/>
      <c r="B5016" s="8"/>
      <c r="C5016" s="8" t="str">
        <f>IFERROR(__xludf.DUMMYFUNCTION("""COMPUTED_VALUE"""),"")</f>
        <v/>
      </c>
      <c r="D5016" s="8" t="str">
        <f>IFERROR(__xludf.DUMMYFUNCTION("""COMPUTED_VALUE"""),"")</f>
        <v/>
      </c>
      <c r="E5016" s="2"/>
    </row>
    <row r="5017">
      <c r="A5017" s="2"/>
      <c r="B5017" s="8"/>
      <c r="C5017" s="8" t="str">
        <f>IFERROR(__xludf.DUMMYFUNCTION("""COMPUTED_VALUE"""),"")</f>
        <v/>
      </c>
      <c r="D5017" s="8" t="str">
        <f>IFERROR(__xludf.DUMMYFUNCTION("""COMPUTED_VALUE"""),"")</f>
        <v/>
      </c>
      <c r="E5017" s="2"/>
    </row>
    <row r="5018">
      <c r="A5018" s="2"/>
      <c r="B5018" s="8"/>
      <c r="C5018" s="8" t="str">
        <f>IFERROR(__xludf.DUMMYFUNCTION("""COMPUTED_VALUE"""),"")</f>
        <v/>
      </c>
      <c r="D5018" s="8" t="str">
        <f>IFERROR(__xludf.DUMMYFUNCTION("""COMPUTED_VALUE"""),"")</f>
        <v/>
      </c>
      <c r="E5018" s="2"/>
    </row>
    <row r="5019">
      <c r="A5019" s="2"/>
      <c r="B5019" s="8"/>
      <c r="C5019" s="8" t="str">
        <f>IFERROR(__xludf.DUMMYFUNCTION("""COMPUTED_VALUE"""),"")</f>
        <v/>
      </c>
      <c r="D5019" s="8" t="str">
        <f>IFERROR(__xludf.DUMMYFUNCTION("""COMPUTED_VALUE"""),"")</f>
        <v/>
      </c>
      <c r="E5019" s="2"/>
    </row>
    <row r="5020">
      <c r="A5020" s="2"/>
      <c r="B5020" s="8"/>
      <c r="C5020" s="8" t="str">
        <f>IFERROR(__xludf.DUMMYFUNCTION("""COMPUTED_VALUE"""),"")</f>
        <v/>
      </c>
      <c r="D5020" s="8" t="str">
        <f>IFERROR(__xludf.DUMMYFUNCTION("""COMPUTED_VALUE"""),"")</f>
        <v/>
      </c>
      <c r="E5020" s="2"/>
    </row>
    <row r="5021">
      <c r="A5021" s="2"/>
      <c r="B5021" s="8"/>
      <c r="C5021" s="8" t="str">
        <f>IFERROR(__xludf.DUMMYFUNCTION("""COMPUTED_VALUE"""),"")</f>
        <v/>
      </c>
      <c r="D5021" s="8" t="str">
        <f>IFERROR(__xludf.DUMMYFUNCTION("""COMPUTED_VALUE"""),"")</f>
        <v/>
      </c>
      <c r="E5021" s="2"/>
    </row>
    <row r="5022">
      <c r="A5022" s="2"/>
      <c r="B5022" s="8"/>
      <c r="C5022" s="8" t="str">
        <f>IFERROR(__xludf.DUMMYFUNCTION("""COMPUTED_VALUE"""),"")</f>
        <v/>
      </c>
      <c r="D5022" s="8" t="str">
        <f>IFERROR(__xludf.DUMMYFUNCTION("""COMPUTED_VALUE"""),"")</f>
        <v/>
      </c>
      <c r="E5022" s="2"/>
    </row>
    <row r="5023">
      <c r="A5023" s="2"/>
      <c r="B5023" s="8"/>
      <c r="C5023" s="8" t="str">
        <f>IFERROR(__xludf.DUMMYFUNCTION("""COMPUTED_VALUE"""),"")</f>
        <v/>
      </c>
      <c r="D5023" s="8" t="str">
        <f>IFERROR(__xludf.DUMMYFUNCTION("""COMPUTED_VALUE"""),"")</f>
        <v/>
      </c>
      <c r="E5023" s="2"/>
    </row>
    <row r="5024">
      <c r="A5024" s="2"/>
      <c r="B5024" s="8"/>
      <c r="C5024" s="8" t="str">
        <f>IFERROR(__xludf.DUMMYFUNCTION("""COMPUTED_VALUE"""),"")</f>
        <v/>
      </c>
      <c r="D5024" s="8" t="str">
        <f>IFERROR(__xludf.DUMMYFUNCTION("""COMPUTED_VALUE"""),"")</f>
        <v/>
      </c>
      <c r="E5024" s="2"/>
    </row>
    <row r="5025">
      <c r="A5025" s="2"/>
      <c r="B5025" s="8"/>
      <c r="C5025" s="8" t="str">
        <f>IFERROR(__xludf.DUMMYFUNCTION("""COMPUTED_VALUE"""),"")</f>
        <v/>
      </c>
      <c r="D5025" s="8" t="str">
        <f>IFERROR(__xludf.DUMMYFUNCTION("""COMPUTED_VALUE"""),"")</f>
        <v/>
      </c>
      <c r="E5025" s="2"/>
    </row>
    <row r="5026">
      <c r="A5026" s="2"/>
      <c r="B5026" s="8"/>
      <c r="C5026" s="8" t="str">
        <f>IFERROR(__xludf.DUMMYFUNCTION("""COMPUTED_VALUE"""),"")</f>
        <v/>
      </c>
      <c r="D5026" s="8" t="str">
        <f>IFERROR(__xludf.DUMMYFUNCTION("""COMPUTED_VALUE"""),"")</f>
        <v/>
      </c>
      <c r="E5026" s="2"/>
    </row>
    <row r="5027">
      <c r="A5027" s="2"/>
      <c r="B5027" s="8"/>
      <c r="C5027" s="8" t="str">
        <f>IFERROR(__xludf.DUMMYFUNCTION("""COMPUTED_VALUE"""),"")</f>
        <v/>
      </c>
      <c r="D5027" s="8" t="str">
        <f>IFERROR(__xludf.DUMMYFUNCTION("""COMPUTED_VALUE"""),"")</f>
        <v/>
      </c>
      <c r="E5027" s="2"/>
    </row>
    <row r="5028">
      <c r="A5028" s="2"/>
      <c r="B5028" s="8"/>
      <c r="C5028" s="8" t="str">
        <f>IFERROR(__xludf.DUMMYFUNCTION("""COMPUTED_VALUE"""),"")</f>
        <v/>
      </c>
      <c r="D5028" s="8" t="str">
        <f>IFERROR(__xludf.DUMMYFUNCTION("""COMPUTED_VALUE"""),"")</f>
        <v/>
      </c>
      <c r="E5028" s="2"/>
    </row>
    <row r="5029">
      <c r="A5029" s="2"/>
      <c r="B5029" s="8"/>
      <c r="C5029" s="8" t="str">
        <f>IFERROR(__xludf.DUMMYFUNCTION("""COMPUTED_VALUE"""),"")</f>
        <v/>
      </c>
      <c r="D5029" s="8" t="str">
        <f>IFERROR(__xludf.DUMMYFUNCTION("""COMPUTED_VALUE"""),"")</f>
        <v/>
      </c>
      <c r="E5029" s="2"/>
    </row>
    <row r="5030">
      <c r="A5030" s="2"/>
      <c r="B5030" s="8"/>
      <c r="C5030" s="8" t="str">
        <f>IFERROR(__xludf.DUMMYFUNCTION("""COMPUTED_VALUE"""),"")</f>
        <v/>
      </c>
      <c r="D5030" s="8" t="str">
        <f>IFERROR(__xludf.DUMMYFUNCTION("""COMPUTED_VALUE"""),"")</f>
        <v/>
      </c>
      <c r="E5030" s="2"/>
    </row>
    <row r="5031">
      <c r="A5031" s="2"/>
      <c r="B5031" s="8"/>
      <c r="C5031" s="8" t="str">
        <f>IFERROR(__xludf.DUMMYFUNCTION("""COMPUTED_VALUE"""),"")</f>
        <v/>
      </c>
      <c r="D5031" s="8" t="str">
        <f>IFERROR(__xludf.DUMMYFUNCTION("""COMPUTED_VALUE"""),"")</f>
        <v/>
      </c>
      <c r="E5031" s="2"/>
    </row>
    <row r="5032">
      <c r="A5032" s="2"/>
      <c r="B5032" s="8"/>
      <c r="C5032" s="8" t="str">
        <f>IFERROR(__xludf.DUMMYFUNCTION("""COMPUTED_VALUE"""),"")</f>
        <v/>
      </c>
      <c r="D5032" s="8" t="str">
        <f>IFERROR(__xludf.DUMMYFUNCTION("""COMPUTED_VALUE"""),"")</f>
        <v/>
      </c>
      <c r="E5032" s="2"/>
    </row>
    <row r="5033">
      <c r="A5033" s="2"/>
      <c r="B5033" s="8"/>
      <c r="C5033" s="8" t="str">
        <f>IFERROR(__xludf.DUMMYFUNCTION("""COMPUTED_VALUE"""),"")</f>
        <v/>
      </c>
      <c r="D5033" s="8" t="str">
        <f>IFERROR(__xludf.DUMMYFUNCTION("""COMPUTED_VALUE"""),"")</f>
        <v/>
      </c>
      <c r="E5033" s="2"/>
    </row>
    <row r="5034">
      <c r="A5034" s="2"/>
      <c r="B5034" s="8"/>
      <c r="C5034" s="8" t="str">
        <f>IFERROR(__xludf.DUMMYFUNCTION("""COMPUTED_VALUE"""),"")</f>
        <v/>
      </c>
      <c r="D5034" s="8" t="str">
        <f>IFERROR(__xludf.DUMMYFUNCTION("""COMPUTED_VALUE"""),"")</f>
        <v/>
      </c>
      <c r="E5034" s="2"/>
    </row>
    <row r="5035">
      <c r="A5035" s="2"/>
      <c r="B5035" s="8"/>
      <c r="C5035" s="8" t="str">
        <f>IFERROR(__xludf.DUMMYFUNCTION("""COMPUTED_VALUE"""),"")</f>
        <v/>
      </c>
      <c r="D5035" s="8" t="str">
        <f>IFERROR(__xludf.DUMMYFUNCTION("""COMPUTED_VALUE"""),"")</f>
        <v/>
      </c>
      <c r="E5035" s="2"/>
    </row>
    <row r="5036">
      <c r="A5036" s="2"/>
      <c r="B5036" s="8"/>
      <c r="C5036" s="8" t="str">
        <f>IFERROR(__xludf.DUMMYFUNCTION("""COMPUTED_VALUE"""),"")</f>
        <v/>
      </c>
      <c r="D5036" s="8" t="str">
        <f>IFERROR(__xludf.DUMMYFUNCTION("""COMPUTED_VALUE"""),"")</f>
        <v/>
      </c>
      <c r="E5036" s="2"/>
    </row>
    <row r="5037">
      <c r="A5037" s="2"/>
      <c r="B5037" s="8"/>
      <c r="C5037" s="8" t="str">
        <f>IFERROR(__xludf.DUMMYFUNCTION("""COMPUTED_VALUE"""),"")</f>
        <v/>
      </c>
      <c r="D5037" s="8" t="str">
        <f>IFERROR(__xludf.DUMMYFUNCTION("""COMPUTED_VALUE"""),"")</f>
        <v/>
      </c>
      <c r="E5037" s="2"/>
    </row>
    <row r="5038">
      <c r="A5038" s="2"/>
      <c r="B5038" s="8"/>
      <c r="C5038" s="8" t="str">
        <f>IFERROR(__xludf.DUMMYFUNCTION("""COMPUTED_VALUE"""),"")</f>
        <v/>
      </c>
      <c r="D5038" s="8" t="str">
        <f>IFERROR(__xludf.DUMMYFUNCTION("""COMPUTED_VALUE"""),"")</f>
        <v/>
      </c>
      <c r="E5038" s="2"/>
    </row>
    <row r="5039">
      <c r="A5039" s="2"/>
      <c r="B5039" s="8"/>
      <c r="C5039" s="8" t="str">
        <f>IFERROR(__xludf.DUMMYFUNCTION("""COMPUTED_VALUE"""),"")</f>
        <v/>
      </c>
      <c r="D5039" s="8" t="str">
        <f>IFERROR(__xludf.DUMMYFUNCTION("""COMPUTED_VALUE"""),"")</f>
        <v/>
      </c>
      <c r="E5039" s="2"/>
    </row>
    <row r="5040">
      <c r="A5040" s="2"/>
      <c r="B5040" s="8"/>
      <c r="C5040" s="8" t="str">
        <f>IFERROR(__xludf.DUMMYFUNCTION("""COMPUTED_VALUE"""),"")</f>
        <v/>
      </c>
      <c r="D5040" s="8" t="str">
        <f>IFERROR(__xludf.DUMMYFUNCTION("""COMPUTED_VALUE"""),"")</f>
        <v/>
      </c>
      <c r="E5040" s="2"/>
    </row>
    <row r="5041">
      <c r="A5041" s="2"/>
      <c r="B5041" s="8"/>
      <c r="C5041" s="8" t="str">
        <f>IFERROR(__xludf.DUMMYFUNCTION("""COMPUTED_VALUE"""),"")</f>
        <v/>
      </c>
      <c r="D5041" s="8" t="str">
        <f>IFERROR(__xludf.DUMMYFUNCTION("""COMPUTED_VALUE"""),"")</f>
        <v/>
      </c>
      <c r="E5041" s="2"/>
    </row>
    <row r="5042">
      <c r="A5042" s="2"/>
      <c r="B5042" s="8"/>
      <c r="C5042" s="8" t="str">
        <f>IFERROR(__xludf.DUMMYFUNCTION("""COMPUTED_VALUE"""),"")</f>
        <v/>
      </c>
      <c r="D5042" s="8" t="str">
        <f>IFERROR(__xludf.DUMMYFUNCTION("""COMPUTED_VALUE"""),"")</f>
        <v/>
      </c>
      <c r="E5042" s="2"/>
    </row>
    <row r="5043">
      <c r="A5043" s="2"/>
      <c r="B5043" s="8"/>
      <c r="C5043" s="8" t="str">
        <f>IFERROR(__xludf.DUMMYFUNCTION("""COMPUTED_VALUE"""),"")</f>
        <v/>
      </c>
      <c r="D5043" s="8" t="str">
        <f>IFERROR(__xludf.DUMMYFUNCTION("""COMPUTED_VALUE"""),"")</f>
        <v/>
      </c>
      <c r="E5043" s="2"/>
    </row>
    <row r="5044">
      <c r="A5044" s="2"/>
      <c r="B5044" s="8"/>
      <c r="C5044" s="8" t="str">
        <f>IFERROR(__xludf.DUMMYFUNCTION("""COMPUTED_VALUE"""),"")</f>
        <v/>
      </c>
      <c r="D5044" s="8" t="str">
        <f>IFERROR(__xludf.DUMMYFUNCTION("""COMPUTED_VALUE"""),"")</f>
        <v/>
      </c>
      <c r="E5044" s="2"/>
    </row>
    <row r="5045">
      <c r="A5045" s="2"/>
      <c r="B5045" s="8"/>
      <c r="C5045" s="8" t="str">
        <f>IFERROR(__xludf.DUMMYFUNCTION("""COMPUTED_VALUE"""),"")</f>
        <v/>
      </c>
      <c r="D5045" s="8" t="str">
        <f>IFERROR(__xludf.DUMMYFUNCTION("""COMPUTED_VALUE"""),"")</f>
        <v/>
      </c>
      <c r="E5045" s="2"/>
    </row>
    <row r="5046">
      <c r="A5046" s="2"/>
      <c r="B5046" s="8"/>
      <c r="C5046" s="8" t="str">
        <f>IFERROR(__xludf.DUMMYFUNCTION("""COMPUTED_VALUE"""),"")</f>
        <v/>
      </c>
      <c r="D5046" s="8" t="str">
        <f>IFERROR(__xludf.DUMMYFUNCTION("""COMPUTED_VALUE"""),"")</f>
        <v/>
      </c>
      <c r="E5046" s="2"/>
    </row>
    <row r="5047">
      <c r="A5047" s="2"/>
      <c r="B5047" s="8"/>
      <c r="C5047" s="8" t="str">
        <f>IFERROR(__xludf.DUMMYFUNCTION("""COMPUTED_VALUE"""),"")</f>
        <v/>
      </c>
      <c r="D5047" s="8" t="str">
        <f>IFERROR(__xludf.DUMMYFUNCTION("""COMPUTED_VALUE"""),"")</f>
        <v/>
      </c>
      <c r="E5047" s="2"/>
    </row>
    <row r="5048">
      <c r="A5048" s="2"/>
      <c r="B5048" s="8"/>
      <c r="C5048" s="8" t="str">
        <f>IFERROR(__xludf.DUMMYFUNCTION("""COMPUTED_VALUE"""),"")</f>
        <v/>
      </c>
      <c r="D5048" s="8" t="str">
        <f>IFERROR(__xludf.DUMMYFUNCTION("""COMPUTED_VALUE"""),"")</f>
        <v/>
      </c>
      <c r="E5048" s="2"/>
    </row>
    <row r="5049">
      <c r="A5049" s="2"/>
      <c r="B5049" s="8"/>
      <c r="C5049" s="8" t="str">
        <f>IFERROR(__xludf.DUMMYFUNCTION("""COMPUTED_VALUE"""),"")</f>
        <v/>
      </c>
      <c r="D5049" s="8" t="str">
        <f>IFERROR(__xludf.DUMMYFUNCTION("""COMPUTED_VALUE"""),"")</f>
        <v/>
      </c>
      <c r="E5049" s="2"/>
    </row>
    <row r="5050">
      <c r="A5050" s="2"/>
      <c r="B5050" s="8"/>
      <c r="C5050" s="8" t="str">
        <f>IFERROR(__xludf.DUMMYFUNCTION("""COMPUTED_VALUE"""),"")</f>
        <v/>
      </c>
      <c r="D5050" s="8" t="str">
        <f>IFERROR(__xludf.DUMMYFUNCTION("""COMPUTED_VALUE"""),"")</f>
        <v/>
      </c>
      <c r="E5050" s="2"/>
    </row>
    <row r="5051">
      <c r="A5051" s="2"/>
      <c r="B5051" s="8"/>
      <c r="C5051" s="8" t="str">
        <f>IFERROR(__xludf.DUMMYFUNCTION("""COMPUTED_VALUE"""),"")</f>
        <v/>
      </c>
      <c r="D5051" s="8" t="str">
        <f>IFERROR(__xludf.DUMMYFUNCTION("""COMPUTED_VALUE"""),"")</f>
        <v/>
      </c>
      <c r="E5051" s="2"/>
    </row>
    <row r="5052">
      <c r="A5052" s="2"/>
      <c r="B5052" s="8"/>
      <c r="C5052" s="8" t="str">
        <f>IFERROR(__xludf.DUMMYFUNCTION("""COMPUTED_VALUE"""),"")</f>
        <v/>
      </c>
      <c r="D5052" s="8" t="str">
        <f>IFERROR(__xludf.DUMMYFUNCTION("""COMPUTED_VALUE"""),"")</f>
        <v/>
      </c>
      <c r="E5052" s="2"/>
    </row>
    <row r="5053">
      <c r="A5053" s="2"/>
      <c r="B5053" s="8"/>
      <c r="C5053" s="8" t="str">
        <f>IFERROR(__xludf.DUMMYFUNCTION("""COMPUTED_VALUE"""),"")</f>
        <v/>
      </c>
      <c r="D5053" s="8" t="str">
        <f>IFERROR(__xludf.DUMMYFUNCTION("""COMPUTED_VALUE"""),"")</f>
        <v/>
      </c>
      <c r="E5053" s="2"/>
    </row>
    <row r="5054">
      <c r="A5054" s="2"/>
      <c r="B5054" s="8"/>
      <c r="C5054" s="8" t="str">
        <f>IFERROR(__xludf.DUMMYFUNCTION("""COMPUTED_VALUE"""),"")</f>
        <v/>
      </c>
      <c r="D5054" s="8" t="str">
        <f>IFERROR(__xludf.DUMMYFUNCTION("""COMPUTED_VALUE"""),"")</f>
        <v/>
      </c>
      <c r="E5054" s="2"/>
    </row>
    <row r="5055">
      <c r="A5055" s="2"/>
      <c r="B5055" s="8"/>
      <c r="C5055" s="8" t="str">
        <f>IFERROR(__xludf.DUMMYFUNCTION("""COMPUTED_VALUE"""),"")</f>
        <v/>
      </c>
      <c r="D5055" s="8" t="str">
        <f>IFERROR(__xludf.DUMMYFUNCTION("""COMPUTED_VALUE"""),"")</f>
        <v/>
      </c>
      <c r="E5055" s="2"/>
    </row>
    <row r="5056">
      <c r="A5056" s="2"/>
      <c r="B5056" s="8"/>
      <c r="C5056" s="8" t="str">
        <f>IFERROR(__xludf.DUMMYFUNCTION("""COMPUTED_VALUE"""),"")</f>
        <v/>
      </c>
      <c r="D5056" s="8" t="str">
        <f>IFERROR(__xludf.DUMMYFUNCTION("""COMPUTED_VALUE"""),"")</f>
        <v/>
      </c>
      <c r="E5056" s="2"/>
    </row>
    <row r="5057">
      <c r="A5057" s="2"/>
      <c r="B5057" s="8"/>
      <c r="C5057" s="8" t="str">
        <f>IFERROR(__xludf.DUMMYFUNCTION("""COMPUTED_VALUE"""),"")</f>
        <v/>
      </c>
      <c r="D5057" s="8" t="str">
        <f>IFERROR(__xludf.DUMMYFUNCTION("""COMPUTED_VALUE"""),"")</f>
        <v/>
      </c>
      <c r="E5057" s="2"/>
    </row>
    <row r="5058">
      <c r="A5058" s="2"/>
      <c r="B5058" s="8"/>
      <c r="C5058" s="8" t="str">
        <f>IFERROR(__xludf.DUMMYFUNCTION("""COMPUTED_VALUE"""),"")</f>
        <v/>
      </c>
      <c r="D5058" s="8" t="str">
        <f>IFERROR(__xludf.DUMMYFUNCTION("""COMPUTED_VALUE"""),"")</f>
        <v/>
      </c>
      <c r="E5058" s="2"/>
    </row>
    <row r="5059">
      <c r="A5059" s="2"/>
      <c r="B5059" s="8"/>
      <c r="C5059" s="8" t="str">
        <f>IFERROR(__xludf.DUMMYFUNCTION("""COMPUTED_VALUE"""),"")</f>
        <v/>
      </c>
      <c r="D5059" s="8" t="str">
        <f>IFERROR(__xludf.DUMMYFUNCTION("""COMPUTED_VALUE"""),"")</f>
        <v/>
      </c>
      <c r="E5059" s="2"/>
    </row>
    <row r="5060">
      <c r="A5060" s="2"/>
      <c r="B5060" s="8"/>
      <c r="C5060" s="8" t="str">
        <f>IFERROR(__xludf.DUMMYFUNCTION("""COMPUTED_VALUE"""),"")</f>
        <v/>
      </c>
      <c r="D5060" s="8" t="str">
        <f>IFERROR(__xludf.DUMMYFUNCTION("""COMPUTED_VALUE"""),"")</f>
        <v/>
      </c>
      <c r="E5060" s="2"/>
    </row>
    <row r="5061">
      <c r="A5061" s="2"/>
      <c r="B5061" s="8"/>
      <c r="C5061" s="8" t="str">
        <f>IFERROR(__xludf.DUMMYFUNCTION("""COMPUTED_VALUE"""),"")</f>
        <v/>
      </c>
      <c r="D5061" s="8" t="str">
        <f>IFERROR(__xludf.DUMMYFUNCTION("""COMPUTED_VALUE"""),"")</f>
        <v/>
      </c>
      <c r="E5061" s="2"/>
    </row>
    <row r="5062">
      <c r="A5062" s="2"/>
      <c r="B5062" s="8"/>
      <c r="C5062" s="8" t="str">
        <f>IFERROR(__xludf.DUMMYFUNCTION("""COMPUTED_VALUE"""),"")</f>
        <v/>
      </c>
      <c r="D5062" s="8" t="str">
        <f>IFERROR(__xludf.DUMMYFUNCTION("""COMPUTED_VALUE"""),"")</f>
        <v/>
      </c>
      <c r="E5062" s="2"/>
    </row>
    <row r="5063">
      <c r="A5063" s="2"/>
      <c r="B5063" s="8"/>
      <c r="C5063" s="8" t="str">
        <f>IFERROR(__xludf.DUMMYFUNCTION("""COMPUTED_VALUE"""),"")</f>
        <v/>
      </c>
      <c r="D5063" s="8" t="str">
        <f>IFERROR(__xludf.DUMMYFUNCTION("""COMPUTED_VALUE"""),"")</f>
        <v/>
      </c>
      <c r="E5063" s="2"/>
    </row>
    <row r="5064">
      <c r="A5064" s="2"/>
      <c r="B5064" s="8"/>
      <c r="C5064" s="8" t="str">
        <f>IFERROR(__xludf.DUMMYFUNCTION("""COMPUTED_VALUE"""),"")</f>
        <v/>
      </c>
      <c r="D5064" s="8" t="str">
        <f>IFERROR(__xludf.DUMMYFUNCTION("""COMPUTED_VALUE"""),"")</f>
        <v/>
      </c>
      <c r="E5064" s="2"/>
    </row>
    <row r="5065">
      <c r="A5065" s="2"/>
      <c r="B5065" s="8"/>
      <c r="C5065" s="8" t="str">
        <f>IFERROR(__xludf.DUMMYFUNCTION("""COMPUTED_VALUE"""),"")</f>
        <v/>
      </c>
      <c r="D5065" s="8" t="str">
        <f>IFERROR(__xludf.DUMMYFUNCTION("""COMPUTED_VALUE"""),"")</f>
        <v/>
      </c>
      <c r="E5065" s="2"/>
    </row>
    <row r="5066">
      <c r="A5066" s="2"/>
      <c r="B5066" s="8"/>
      <c r="C5066" s="8" t="str">
        <f>IFERROR(__xludf.DUMMYFUNCTION("""COMPUTED_VALUE"""),"")</f>
        <v/>
      </c>
      <c r="D5066" s="8" t="str">
        <f>IFERROR(__xludf.DUMMYFUNCTION("""COMPUTED_VALUE"""),"")</f>
        <v/>
      </c>
      <c r="E5066" s="2"/>
    </row>
    <row r="5067">
      <c r="A5067" s="2"/>
      <c r="B5067" s="8"/>
      <c r="C5067" s="8" t="str">
        <f>IFERROR(__xludf.DUMMYFUNCTION("""COMPUTED_VALUE"""),"")</f>
        <v/>
      </c>
      <c r="D5067" s="8" t="str">
        <f>IFERROR(__xludf.DUMMYFUNCTION("""COMPUTED_VALUE"""),"")</f>
        <v/>
      </c>
      <c r="E5067" s="2"/>
    </row>
    <row r="5068">
      <c r="A5068" s="2"/>
      <c r="B5068" s="8"/>
      <c r="C5068" s="8" t="str">
        <f>IFERROR(__xludf.DUMMYFUNCTION("""COMPUTED_VALUE"""),"")</f>
        <v/>
      </c>
      <c r="D5068" s="8" t="str">
        <f>IFERROR(__xludf.DUMMYFUNCTION("""COMPUTED_VALUE"""),"")</f>
        <v/>
      </c>
      <c r="E5068" s="2"/>
    </row>
    <row r="5069">
      <c r="A5069" s="2"/>
      <c r="B5069" s="8"/>
      <c r="C5069" s="8" t="str">
        <f>IFERROR(__xludf.DUMMYFUNCTION("""COMPUTED_VALUE"""),"")</f>
        <v/>
      </c>
      <c r="D5069" s="8" t="str">
        <f>IFERROR(__xludf.DUMMYFUNCTION("""COMPUTED_VALUE"""),"")</f>
        <v/>
      </c>
      <c r="E5069" s="2"/>
    </row>
    <row r="5070">
      <c r="A5070" s="2"/>
      <c r="B5070" s="8"/>
      <c r="C5070" s="8" t="str">
        <f>IFERROR(__xludf.DUMMYFUNCTION("""COMPUTED_VALUE"""),"")</f>
        <v/>
      </c>
      <c r="D5070" s="8" t="str">
        <f>IFERROR(__xludf.DUMMYFUNCTION("""COMPUTED_VALUE"""),"")</f>
        <v/>
      </c>
      <c r="E5070" s="2"/>
    </row>
    <row r="5071">
      <c r="A5071" s="2"/>
      <c r="B5071" s="8"/>
      <c r="C5071" s="8" t="str">
        <f>IFERROR(__xludf.DUMMYFUNCTION("""COMPUTED_VALUE"""),"")</f>
        <v/>
      </c>
      <c r="D5071" s="8" t="str">
        <f>IFERROR(__xludf.DUMMYFUNCTION("""COMPUTED_VALUE"""),"")</f>
        <v/>
      </c>
      <c r="E5071" s="2"/>
    </row>
    <row r="5072">
      <c r="A5072" s="2"/>
      <c r="B5072" s="8"/>
      <c r="C5072" s="8" t="str">
        <f>IFERROR(__xludf.DUMMYFUNCTION("""COMPUTED_VALUE"""),"")</f>
        <v/>
      </c>
      <c r="D5072" s="8" t="str">
        <f>IFERROR(__xludf.DUMMYFUNCTION("""COMPUTED_VALUE"""),"")</f>
        <v/>
      </c>
      <c r="E5072" s="2"/>
    </row>
    <row r="5073">
      <c r="A5073" s="2"/>
      <c r="B5073" s="8"/>
      <c r="C5073" s="8" t="str">
        <f>IFERROR(__xludf.DUMMYFUNCTION("""COMPUTED_VALUE"""),"")</f>
        <v/>
      </c>
      <c r="D5073" s="8" t="str">
        <f>IFERROR(__xludf.DUMMYFUNCTION("""COMPUTED_VALUE"""),"")</f>
        <v/>
      </c>
      <c r="E5073" s="2"/>
    </row>
    <row r="5074">
      <c r="A5074" s="2"/>
      <c r="B5074" s="8"/>
      <c r="C5074" s="8" t="str">
        <f>IFERROR(__xludf.DUMMYFUNCTION("""COMPUTED_VALUE"""),"")</f>
        <v/>
      </c>
      <c r="D5074" s="8" t="str">
        <f>IFERROR(__xludf.DUMMYFUNCTION("""COMPUTED_VALUE"""),"")</f>
        <v/>
      </c>
      <c r="E5074" s="2"/>
    </row>
    <row r="5075">
      <c r="A5075" s="2"/>
      <c r="B5075" s="8"/>
      <c r="C5075" s="8" t="str">
        <f>IFERROR(__xludf.DUMMYFUNCTION("""COMPUTED_VALUE"""),"")</f>
        <v/>
      </c>
      <c r="D5075" s="8" t="str">
        <f>IFERROR(__xludf.DUMMYFUNCTION("""COMPUTED_VALUE"""),"")</f>
        <v/>
      </c>
      <c r="E5075" s="2"/>
    </row>
    <row r="5076">
      <c r="A5076" s="2"/>
      <c r="B5076" s="8"/>
      <c r="C5076" s="8" t="str">
        <f>IFERROR(__xludf.DUMMYFUNCTION("""COMPUTED_VALUE"""),"")</f>
        <v/>
      </c>
      <c r="D5076" s="8" t="str">
        <f>IFERROR(__xludf.DUMMYFUNCTION("""COMPUTED_VALUE"""),"")</f>
        <v/>
      </c>
      <c r="E5076" s="2"/>
    </row>
    <row r="5077">
      <c r="A5077" s="2"/>
      <c r="B5077" s="8"/>
      <c r="C5077" s="8" t="str">
        <f>IFERROR(__xludf.DUMMYFUNCTION("""COMPUTED_VALUE"""),"")</f>
        <v/>
      </c>
      <c r="D5077" s="8" t="str">
        <f>IFERROR(__xludf.DUMMYFUNCTION("""COMPUTED_VALUE"""),"")</f>
        <v/>
      </c>
      <c r="E5077" s="2"/>
    </row>
    <row r="5078">
      <c r="A5078" s="2"/>
      <c r="B5078" s="8"/>
      <c r="C5078" s="8" t="str">
        <f>IFERROR(__xludf.DUMMYFUNCTION("""COMPUTED_VALUE"""),"")</f>
        <v/>
      </c>
      <c r="D5078" s="8" t="str">
        <f>IFERROR(__xludf.DUMMYFUNCTION("""COMPUTED_VALUE"""),"")</f>
        <v/>
      </c>
      <c r="E5078" s="2"/>
    </row>
    <row r="5079">
      <c r="A5079" s="2"/>
      <c r="B5079" s="8"/>
      <c r="C5079" s="8" t="str">
        <f>IFERROR(__xludf.DUMMYFUNCTION("""COMPUTED_VALUE"""),"")</f>
        <v/>
      </c>
      <c r="D5079" s="8" t="str">
        <f>IFERROR(__xludf.DUMMYFUNCTION("""COMPUTED_VALUE"""),"")</f>
        <v/>
      </c>
      <c r="E5079" s="2"/>
    </row>
    <row r="5080">
      <c r="A5080" s="2"/>
      <c r="B5080" s="8"/>
      <c r="C5080" s="8" t="str">
        <f>IFERROR(__xludf.DUMMYFUNCTION("""COMPUTED_VALUE"""),"")</f>
        <v/>
      </c>
      <c r="D5080" s="8" t="str">
        <f>IFERROR(__xludf.DUMMYFUNCTION("""COMPUTED_VALUE"""),"")</f>
        <v/>
      </c>
      <c r="E5080" s="2"/>
    </row>
    <row r="5081">
      <c r="A5081" s="2"/>
      <c r="B5081" s="8"/>
      <c r="C5081" s="8" t="str">
        <f>IFERROR(__xludf.DUMMYFUNCTION("""COMPUTED_VALUE"""),"")</f>
        <v/>
      </c>
      <c r="D5081" s="8" t="str">
        <f>IFERROR(__xludf.DUMMYFUNCTION("""COMPUTED_VALUE"""),"")</f>
        <v/>
      </c>
      <c r="E5081" s="2"/>
    </row>
    <row r="5082">
      <c r="A5082" s="2"/>
      <c r="B5082" s="8"/>
      <c r="C5082" s="8" t="str">
        <f>IFERROR(__xludf.DUMMYFUNCTION("""COMPUTED_VALUE"""),"")</f>
        <v/>
      </c>
      <c r="D5082" s="8" t="str">
        <f>IFERROR(__xludf.DUMMYFUNCTION("""COMPUTED_VALUE"""),"")</f>
        <v/>
      </c>
      <c r="E5082" s="2"/>
    </row>
    <row r="5083">
      <c r="A5083" s="2"/>
      <c r="B5083" s="8"/>
      <c r="C5083" s="8" t="str">
        <f>IFERROR(__xludf.DUMMYFUNCTION("""COMPUTED_VALUE"""),"")</f>
        <v/>
      </c>
      <c r="D5083" s="8" t="str">
        <f>IFERROR(__xludf.DUMMYFUNCTION("""COMPUTED_VALUE"""),"")</f>
        <v/>
      </c>
      <c r="E5083" s="2"/>
    </row>
    <row r="5084">
      <c r="A5084" s="2"/>
      <c r="B5084" s="8"/>
      <c r="C5084" s="8"/>
      <c r="D5084" s="8"/>
      <c r="E5084" s="2"/>
    </row>
    <row r="5085">
      <c r="A5085" s="2"/>
      <c r="B5085" s="8"/>
      <c r="C5085" s="8"/>
      <c r="D5085" s="8"/>
      <c r="E5085" s="2"/>
    </row>
    <row r="5086">
      <c r="A5086" s="2"/>
      <c r="B5086" s="8"/>
      <c r="C5086" s="8"/>
      <c r="D5086" s="8"/>
      <c r="E5086" s="2"/>
    </row>
    <row r="5087">
      <c r="A5087" s="2"/>
      <c r="B5087" s="8"/>
      <c r="C5087" s="8"/>
      <c r="D5087" s="8"/>
      <c r="E5087" s="2"/>
    </row>
    <row r="5088">
      <c r="A5088" s="2"/>
      <c r="B5088" s="8"/>
      <c r="C5088" s="8"/>
      <c r="D5088" s="8"/>
      <c r="E5088" s="2"/>
    </row>
    <row r="5089">
      <c r="A5089" s="2"/>
      <c r="B5089" s="8"/>
      <c r="C5089" s="8"/>
      <c r="D5089" s="8"/>
      <c r="E5089" s="2"/>
    </row>
    <row r="5090">
      <c r="A5090" s="2"/>
      <c r="B5090" s="8"/>
      <c r="C5090" s="8"/>
      <c r="D5090" s="8"/>
      <c r="E5090" s="2"/>
    </row>
    <row r="5091">
      <c r="A5091" s="2"/>
      <c r="B5091" s="8"/>
      <c r="C5091" s="8"/>
      <c r="D5091" s="8"/>
      <c r="E5091" s="2"/>
    </row>
    <row r="5092">
      <c r="A5092" s="2"/>
      <c r="B5092" s="8"/>
      <c r="C5092" s="8"/>
      <c r="D5092" s="8"/>
      <c r="E5092" s="2"/>
    </row>
    <row r="5093">
      <c r="A5093" s="2"/>
      <c r="B5093" s="8"/>
      <c r="C5093" s="8"/>
      <c r="D5093" s="8"/>
      <c r="E5093" s="2"/>
    </row>
    <row r="5094">
      <c r="A5094" s="2"/>
      <c r="B5094" s="8"/>
      <c r="C5094" s="8"/>
      <c r="D5094" s="8"/>
      <c r="E5094" s="2"/>
    </row>
    <row r="5095">
      <c r="A5095" s="2"/>
      <c r="B5095" s="8"/>
      <c r="C5095" s="8"/>
      <c r="D5095" s="8"/>
      <c r="E5095" s="2"/>
    </row>
    <row r="5096">
      <c r="A5096" s="2"/>
      <c r="B5096" s="8"/>
      <c r="C5096" s="8"/>
      <c r="D5096" s="8"/>
      <c r="E5096" s="2"/>
    </row>
    <row r="5097">
      <c r="A5097" s="2"/>
      <c r="B5097" s="8"/>
      <c r="C5097" s="8"/>
      <c r="D5097" s="8"/>
      <c r="E5097" s="2"/>
    </row>
    <row r="5098">
      <c r="A5098" s="2"/>
      <c r="B5098" s="8"/>
      <c r="C5098" s="8"/>
      <c r="D5098" s="8"/>
      <c r="E5098" s="2"/>
    </row>
    <row r="5099">
      <c r="A5099" s="2"/>
      <c r="B5099" s="8"/>
      <c r="C5099" s="8"/>
      <c r="D5099" s="8"/>
      <c r="E5099" s="2"/>
    </row>
    <row r="5100">
      <c r="A5100" s="2"/>
      <c r="B5100" s="8"/>
      <c r="C5100" s="8"/>
      <c r="D5100" s="8"/>
      <c r="E5100" s="2"/>
    </row>
    <row r="5101">
      <c r="A5101" s="2"/>
      <c r="B5101" s="8"/>
      <c r="C5101" s="8"/>
      <c r="D5101" s="8"/>
      <c r="E5101" s="2"/>
    </row>
    <row r="5102">
      <c r="A5102" s="2"/>
      <c r="B5102" s="8"/>
      <c r="C5102" s="8"/>
      <c r="D5102" s="8"/>
      <c r="E5102" s="2"/>
    </row>
    <row r="5103">
      <c r="A5103" s="2"/>
      <c r="B5103" s="8"/>
      <c r="C5103" s="8"/>
      <c r="D5103" s="8"/>
      <c r="E5103" s="2"/>
    </row>
    <row r="5104">
      <c r="A5104" s="2"/>
      <c r="B5104" s="8"/>
      <c r="C5104" s="8"/>
      <c r="D5104" s="8"/>
      <c r="E5104" s="2"/>
    </row>
    <row r="5105">
      <c r="A5105" s="2"/>
      <c r="B5105" s="8"/>
      <c r="C5105" s="8"/>
      <c r="D5105" s="8"/>
      <c r="E5105" s="2"/>
    </row>
    <row r="5106">
      <c r="A5106" s="2"/>
      <c r="B5106" s="8"/>
      <c r="C5106" s="8"/>
      <c r="D5106" s="8"/>
      <c r="E5106" s="2"/>
    </row>
    <row r="5107">
      <c r="A5107" s="2"/>
      <c r="B5107" s="8"/>
      <c r="C5107" s="8"/>
      <c r="D5107" s="8"/>
      <c r="E5107" s="2"/>
    </row>
    <row r="5108">
      <c r="A5108" s="2"/>
      <c r="B5108" s="8"/>
      <c r="C5108" s="8"/>
      <c r="D5108" s="8"/>
      <c r="E5108" s="2"/>
    </row>
    <row r="5109">
      <c r="A5109" s="2"/>
      <c r="B5109" s="8"/>
      <c r="C5109" s="8"/>
      <c r="D5109" s="8"/>
      <c r="E5109" s="2"/>
    </row>
    <row r="5110">
      <c r="A5110" s="2"/>
      <c r="B5110" s="8"/>
      <c r="C5110" s="8"/>
      <c r="D5110" s="8"/>
      <c r="E5110" s="2"/>
    </row>
    <row r="5111">
      <c r="A5111" s="2"/>
      <c r="B5111" s="8"/>
      <c r="C5111" s="8"/>
      <c r="D5111" s="8"/>
      <c r="E5111" s="2"/>
    </row>
    <row r="5112">
      <c r="A5112" s="2"/>
      <c r="B5112" s="8"/>
      <c r="C5112" s="8"/>
      <c r="D5112" s="8"/>
      <c r="E5112" s="2"/>
    </row>
    <row r="5113">
      <c r="A5113" s="2"/>
      <c r="B5113" s="8"/>
      <c r="C5113" s="8"/>
      <c r="D5113" s="8"/>
      <c r="E5113" s="2"/>
    </row>
    <row r="5114">
      <c r="A5114" s="2"/>
      <c r="B5114" s="8"/>
      <c r="C5114" s="8"/>
      <c r="D5114" s="8"/>
      <c r="E5114" s="2"/>
    </row>
    <row r="5115">
      <c r="A5115" s="2"/>
      <c r="B5115" s="8"/>
      <c r="C5115" s="8"/>
      <c r="D5115" s="8"/>
      <c r="E5115" s="2"/>
    </row>
    <row r="5116">
      <c r="A5116" s="2"/>
      <c r="B5116" s="8"/>
      <c r="C5116" s="8"/>
      <c r="D5116" s="8"/>
      <c r="E5116" s="2"/>
    </row>
    <row r="5117">
      <c r="A5117" s="2"/>
      <c r="B5117" s="8"/>
      <c r="C5117" s="8"/>
      <c r="D5117" s="8"/>
      <c r="E5117" s="2"/>
    </row>
    <row r="5118">
      <c r="A5118" s="2"/>
      <c r="B5118" s="8"/>
      <c r="C5118" s="8"/>
      <c r="D5118" s="8"/>
      <c r="E5118" s="2"/>
    </row>
    <row r="5119">
      <c r="A5119" s="2"/>
      <c r="B5119" s="8"/>
      <c r="C5119" s="8"/>
      <c r="D5119" s="8"/>
      <c r="E5119" s="2"/>
    </row>
    <row r="5120">
      <c r="A5120" s="2"/>
      <c r="B5120" s="8"/>
      <c r="C5120" s="8"/>
      <c r="D5120" s="8"/>
      <c r="E5120" s="2"/>
    </row>
    <row r="5121">
      <c r="A5121" s="2"/>
      <c r="B5121" s="8"/>
      <c r="C5121" s="8"/>
      <c r="D5121" s="8"/>
      <c r="E5121" s="2"/>
    </row>
    <row r="5122">
      <c r="A5122" s="2"/>
      <c r="B5122" s="8"/>
      <c r="C5122" s="8"/>
      <c r="D5122" s="8"/>
      <c r="E5122" s="2"/>
    </row>
    <row r="5123">
      <c r="A5123" s="2"/>
      <c r="B5123" s="8"/>
      <c r="C5123" s="8"/>
      <c r="D5123" s="8"/>
      <c r="E5123" s="2"/>
    </row>
    <row r="5124">
      <c r="A5124" s="2"/>
      <c r="B5124" s="8"/>
      <c r="C5124" s="8"/>
      <c r="D5124" s="8"/>
      <c r="E5124" s="2"/>
    </row>
    <row r="5125">
      <c r="A5125" s="2"/>
      <c r="B5125" s="8"/>
      <c r="C5125" s="8"/>
      <c r="D5125" s="8"/>
      <c r="E5125" s="2"/>
    </row>
    <row r="5126">
      <c r="A5126" s="2"/>
      <c r="B5126" s="8"/>
      <c r="C5126" s="8"/>
      <c r="D5126" s="8"/>
      <c r="E5126" s="2"/>
    </row>
    <row r="5127">
      <c r="A5127" s="2"/>
      <c r="B5127" s="8"/>
      <c r="C5127" s="8"/>
      <c r="D5127" s="8"/>
      <c r="E5127" s="2"/>
    </row>
    <row r="5128">
      <c r="A5128" s="2"/>
      <c r="B5128" s="8"/>
      <c r="C5128" s="8"/>
      <c r="D5128" s="8"/>
      <c r="E5128" s="2"/>
    </row>
    <row r="5129">
      <c r="A5129" s="2"/>
      <c r="B5129" s="8"/>
      <c r="C5129" s="8"/>
      <c r="D5129" s="8"/>
      <c r="E5129" s="2"/>
    </row>
    <row r="5130">
      <c r="A5130" s="2"/>
      <c r="B5130" s="8"/>
      <c r="C5130" s="8"/>
      <c r="D5130" s="8"/>
      <c r="E5130" s="2"/>
    </row>
    <row r="5131">
      <c r="A5131" s="2"/>
      <c r="B5131" s="8"/>
      <c r="C5131" s="8"/>
      <c r="D5131" s="8"/>
      <c r="E5131" s="2"/>
    </row>
    <row r="5132">
      <c r="A5132" s="2"/>
      <c r="B5132" s="8"/>
      <c r="C5132" s="8"/>
      <c r="D5132" s="8"/>
      <c r="E5132" s="2"/>
    </row>
    <row r="5133">
      <c r="A5133" s="2"/>
      <c r="B5133" s="8"/>
      <c r="C5133" s="8"/>
      <c r="D5133" s="8"/>
      <c r="E5133" s="2"/>
    </row>
    <row r="5134">
      <c r="A5134" s="2"/>
      <c r="B5134" s="8"/>
      <c r="C5134" s="8"/>
      <c r="D5134" s="8"/>
      <c r="E5134" s="2"/>
    </row>
    <row r="5135">
      <c r="A5135" s="2"/>
      <c r="B5135" s="8"/>
      <c r="C5135" s="8"/>
      <c r="D5135" s="8"/>
      <c r="E5135" s="2"/>
    </row>
    <row r="5136">
      <c r="A5136" s="2"/>
      <c r="B5136" s="8"/>
      <c r="C5136" s="8"/>
      <c r="D5136" s="8"/>
      <c r="E5136" s="2"/>
    </row>
    <row r="5137">
      <c r="A5137" s="2"/>
      <c r="B5137" s="8"/>
      <c r="C5137" s="8"/>
      <c r="D5137" s="8"/>
      <c r="E5137" s="2"/>
    </row>
    <row r="5138">
      <c r="A5138" s="2"/>
      <c r="B5138" s="8"/>
      <c r="C5138" s="8"/>
      <c r="D5138" s="8"/>
      <c r="E5138" s="2"/>
    </row>
    <row r="5139">
      <c r="A5139" s="2"/>
      <c r="B5139" s="8"/>
      <c r="C5139" s="8"/>
      <c r="D5139" s="8"/>
      <c r="E5139" s="2"/>
    </row>
    <row r="5140">
      <c r="A5140" s="2"/>
      <c r="B5140" s="8"/>
      <c r="C5140" s="8"/>
      <c r="D5140" s="8"/>
      <c r="E5140" s="2"/>
    </row>
    <row r="5141">
      <c r="A5141" s="2"/>
      <c r="B5141" s="8"/>
      <c r="C5141" s="8"/>
      <c r="D5141" s="8"/>
      <c r="E5141" s="2"/>
    </row>
    <row r="5142">
      <c r="A5142" s="2"/>
      <c r="B5142" s="8"/>
      <c r="C5142" s="8"/>
      <c r="D5142" s="8"/>
      <c r="E5142" s="2"/>
    </row>
    <row r="5143">
      <c r="A5143" s="2"/>
      <c r="B5143" s="8"/>
      <c r="C5143" s="8"/>
      <c r="D5143" s="8"/>
      <c r="E5143" s="2"/>
    </row>
    <row r="5144">
      <c r="A5144" s="2"/>
      <c r="B5144" s="8"/>
      <c r="C5144" s="8"/>
      <c r="D5144" s="8"/>
      <c r="E5144" s="2"/>
    </row>
    <row r="5145">
      <c r="A5145" s="2"/>
      <c r="B5145" s="8"/>
      <c r="C5145" s="8"/>
      <c r="D5145" s="8"/>
      <c r="E5145" s="2"/>
    </row>
    <row r="5146">
      <c r="A5146" s="2"/>
      <c r="B5146" s="8"/>
      <c r="C5146" s="8"/>
      <c r="D5146" s="8"/>
      <c r="E5146" s="2"/>
    </row>
    <row r="5147">
      <c r="A5147" s="2"/>
      <c r="B5147" s="8"/>
      <c r="C5147" s="8"/>
      <c r="D5147" s="8"/>
      <c r="E5147" s="2"/>
    </row>
    <row r="5148">
      <c r="A5148" s="2"/>
      <c r="B5148" s="8"/>
      <c r="C5148" s="8"/>
      <c r="D5148" s="8"/>
      <c r="E5148" s="2"/>
    </row>
    <row r="5149">
      <c r="A5149" s="2"/>
      <c r="B5149" s="8"/>
      <c r="C5149" s="8"/>
      <c r="D5149" s="8"/>
      <c r="E5149" s="2"/>
    </row>
    <row r="5150">
      <c r="A5150" s="2"/>
      <c r="B5150" s="8"/>
      <c r="C5150" s="8"/>
      <c r="D5150" s="8"/>
      <c r="E5150" s="2"/>
    </row>
    <row r="5151">
      <c r="A5151" s="2"/>
      <c r="B5151" s="8"/>
      <c r="C5151" s="8"/>
      <c r="D5151" s="8"/>
      <c r="E5151" s="2"/>
    </row>
    <row r="5152">
      <c r="A5152" s="2"/>
      <c r="B5152" s="8"/>
      <c r="C5152" s="8"/>
      <c r="D5152" s="8"/>
      <c r="E5152" s="2"/>
    </row>
    <row r="5153">
      <c r="A5153" s="2"/>
      <c r="B5153" s="8"/>
      <c r="C5153" s="8"/>
      <c r="D5153" s="8"/>
      <c r="E5153" s="2"/>
    </row>
    <row r="5154">
      <c r="A5154" s="2"/>
      <c r="B5154" s="8"/>
      <c r="C5154" s="8"/>
      <c r="D5154" s="8"/>
      <c r="E5154" s="2"/>
    </row>
    <row r="5155">
      <c r="A5155" s="2"/>
      <c r="B5155" s="8"/>
      <c r="C5155" s="8"/>
      <c r="D5155" s="8"/>
      <c r="E5155" s="2"/>
    </row>
    <row r="5156">
      <c r="A5156" s="2"/>
      <c r="B5156" s="8"/>
      <c r="C5156" s="8"/>
      <c r="D5156" s="8"/>
      <c r="E5156" s="2"/>
    </row>
    <row r="5157">
      <c r="A5157" s="2"/>
      <c r="B5157" s="8"/>
      <c r="C5157" s="8"/>
      <c r="D5157" s="8"/>
      <c r="E5157" s="2"/>
    </row>
    <row r="5158">
      <c r="A5158" s="2"/>
      <c r="B5158" s="8"/>
      <c r="C5158" s="8"/>
      <c r="D5158" s="8"/>
      <c r="E5158" s="2"/>
    </row>
    <row r="5159">
      <c r="A5159" s="2"/>
      <c r="B5159" s="8"/>
      <c r="C5159" s="8"/>
      <c r="D5159" s="8"/>
      <c r="E5159" s="2"/>
    </row>
    <row r="5160">
      <c r="A5160" s="2"/>
      <c r="B5160" s="8"/>
      <c r="C5160" s="8"/>
      <c r="D5160" s="8"/>
      <c r="E5160" s="2"/>
    </row>
    <row r="5161">
      <c r="A5161" s="2"/>
      <c r="B5161" s="8"/>
      <c r="C5161" s="8"/>
      <c r="D5161" s="8"/>
      <c r="E5161" s="2"/>
    </row>
    <row r="5162">
      <c r="A5162" s="2"/>
      <c r="B5162" s="8"/>
      <c r="C5162" s="8"/>
      <c r="D5162" s="8"/>
      <c r="E5162" s="2"/>
    </row>
    <row r="5163">
      <c r="A5163" s="2"/>
      <c r="B5163" s="8"/>
      <c r="C5163" s="8"/>
      <c r="D5163" s="8"/>
      <c r="E5163" s="2"/>
    </row>
    <row r="5164">
      <c r="A5164" s="2"/>
      <c r="B5164" s="8"/>
      <c r="C5164" s="8"/>
      <c r="D5164" s="8"/>
      <c r="E5164" s="2"/>
    </row>
    <row r="5165">
      <c r="A5165" s="2"/>
      <c r="B5165" s="8"/>
      <c r="C5165" s="8"/>
      <c r="D5165" s="8"/>
      <c r="E5165" s="2"/>
    </row>
    <row r="5166">
      <c r="A5166" s="2"/>
      <c r="B5166" s="8"/>
      <c r="C5166" s="8"/>
      <c r="D5166" s="8"/>
      <c r="E5166" s="2"/>
    </row>
    <row r="5167">
      <c r="A5167" s="2"/>
      <c r="B5167" s="8"/>
      <c r="C5167" s="8"/>
      <c r="D5167" s="8"/>
      <c r="E5167" s="2"/>
    </row>
    <row r="5168">
      <c r="A5168" s="2"/>
      <c r="B5168" s="8"/>
      <c r="C5168" s="8"/>
      <c r="D5168" s="8"/>
      <c r="E5168" s="2"/>
    </row>
    <row r="5169">
      <c r="A5169" s="2"/>
      <c r="B5169" s="8"/>
      <c r="C5169" s="8"/>
      <c r="D5169" s="8"/>
      <c r="E5169" s="2"/>
    </row>
    <row r="5170">
      <c r="A5170" s="2"/>
      <c r="B5170" s="8"/>
      <c r="C5170" s="8"/>
      <c r="D5170" s="8"/>
      <c r="E5170" s="2"/>
    </row>
    <row r="5171">
      <c r="A5171" s="2"/>
      <c r="B5171" s="8"/>
      <c r="C5171" s="8"/>
      <c r="D5171" s="8"/>
      <c r="E5171" s="2"/>
    </row>
    <row r="5172">
      <c r="A5172" s="2"/>
      <c r="B5172" s="8"/>
      <c r="C5172" s="8"/>
      <c r="D5172" s="8"/>
      <c r="E5172" s="2"/>
    </row>
    <row r="5173">
      <c r="A5173" s="2"/>
      <c r="B5173" s="8"/>
      <c r="C5173" s="8"/>
      <c r="D5173" s="8"/>
      <c r="E5173" s="2"/>
    </row>
    <row r="5174">
      <c r="A5174" s="2"/>
      <c r="B5174" s="8"/>
      <c r="C5174" s="8"/>
      <c r="D5174" s="8"/>
      <c r="E5174" s="2"/>
    </row>
    <row r="5175">
      <c r="A5175" s="2"/>
      <c r="B5175" s="8"/>
      <c r="C5175" s="8"/>
      <c r="D5175" s="8"/>
      <c r="E5175" s="2"/>
    </row>
    <row r="5176">
      <c r="A5176" s="2"/>
      <c r="B5176" s="8"/>
      <c r="C5176" s="8"/>
      <c r="D5176" s="8"/>
      <c r="E5176" s="2"/>
    </row>
    <row r="5177">
      <c r="A5177" s="2"/>
      <c r="B5177" s="8"/>
      <c r="C5177" s="8"/>
      <c r="D5177" s="8"/>
      <c r="E5177" s="2"/>
    </row>
    <row r="5178">
      <c r="A5178" s="2"/>
      <c r="B5178" s="8"/>
      <c r="C5178" s="8"/>
      <c r="D5178" s="8"/>
      <c r="E5178" s="2"/>
    </row>
    <row r="5179">
      <c r="A5179" s="2"/>
      <c r="B5179" s="8"/>
      <c r="C5179" s="8"/>
      <c r="D5179" s="8"/>
      <c r="E5179" s="2"/>
    </row>
    <row r="5180">
      <c r="A5180" s="2"/>
      <c r="B5180" s="8"/>
      <c r="C5180" s="8"/>
      <c r="D5180" s="8"/>
      <c r="E5180" s="2"/>
    </row>
    <row r="5181">
      <c r="A5181" s="2"/>
      <c r="B5181" s="8"/>
      <c r="C5181" s="8"/>
      <c r="D5181" s="8"/>
      <c r="E5181" s="2"/>
    </row>
    <row r="5182">
      <c r="A5182" s="2"/>
      <c r="B5182" s="8"/>
      <c r="C5182" s="8"/>
      <c r="D5182" s="8"/>
      <c r="E5182" s="2"/>
    </row>
    <row r="5183">
      <c r="A5183" s="2"/>
      <c r="B5183" s="8"/>
      <c r="C5183" s="8"/>
      <c r="D5183" s="8"/>
      <c r="E5183" s="2"/>
    </row>
    <row r="5184">
      <c r="A5184" s="2"/>
      <c r="B5184" s="8"/>
      <c r="C5184" s="8"/>
      <c r="D5184" s="8"/>
      <c r="E5184" s="2"/>
    </row>
    <row r="5185">
      <c r="A5185" s="2"/>
      <c r="B5185" s="8"/>
      <c r="C5185" s="8"/>
      <c r="D5185" s="8"/>
      <c r="E5185" s="2"/>
    </row>
    <row r="5186">
      <c r="A5186" s="2"/>
      <c r="B5186" s="8"/>
      <c r="C5186" s="8"/>
      <c r="D5186" s="8"/>
      <c r="E5186" s="2"/>
    </row>
    <row r="5187">
      <c r="A5187" s="2"/>
      <c r="B5187" s="8"/>
      <c r="C5187" s="8"/>
      <c r="D5187" s="8"/>
      <c r="E5187" s="2"/>
    </row>
    <row r="5188">
      <c r="A5188" s="2"/>
      <c r="B5188" s="8"/>
      <c r="C5188" s="8"/>
      <c r="D5188" s="8"/>
      <c r="E5188" s="2"/>
    </row>
    <row r="5189">
      <c r="A5189" s="2"/>
      <c r="B5189" s="8"/>
      <c r="C5189" s="8"/>
      <c r="D5189" s="8"/>
      <c r="E5189" s="2"/>
    </row>
    <row r="5190">
      <c r="A5190" s="2"/>
      <c r="B5190" s="8"/>
      <c r="C5190" s="8"/>
      <c r="D5190" s="8"/>
      <c r="E5190" s="2"/>
    </row>
    <row r="5191">
      <c r="A5191" s="2"/>
      <c r="B5191" s="8"/>
      <c r="C5191" s="8"/>
      <c r="D5191" s="8"/>
      <c r="E5191" s="2"/>
    </row>
    <row r="5192">
      <c r="A5192" s="2"/>
      <c r="B5192" s="8"/>
      <c r="C5192" s="8"/>
      <c r="D5192" s="8"/>
      <c r="E5192" s="2"/>
    </row>
    <row r="5193">
      <c r="A5193" s="2"/>
      <c r="B5193" s="8"/>
      <c r="C5193" s="8"/>
      <c r="D5193" s="8"/>
      <c r="E5193" s="2"/>
    </row>
    <row r="5194">
      <c r="A5194" s="2"/>
      <c r="B5194" s="8"/>
      <c r="C5194" s="8"/>
      <c r="D5194" s="8"/>
      <c r="E5194" s="2"/>
    </row>
    <row r="5195">
      <c r="A5195" s="2"/>
      <c r="B5195" s="8"/>
      <c r="C5195" s="8"/>
      <c r="D5195" s="8"/>
      <c r="E5195" s="2"/>
    </row>
    <row r="5196">
      <c r="A5196" s="2"/>
      <c r="B5196" s="8"/>
      <c r="C5196" s="8"/>
      <c r="D5196" s="8"/>
      <c r="E5196" s="2"/>
    </row>
    <row r="5197">
      <c r="A5197" s="2"/>
      <c r="B5197" s="8"/>
      <c r="C5197" s="8"/>
      <c r="D5197" s="8"/>
      <c r="E5197" s="2"/>
    </row>
    <row r="5198">
      <c r="A5198" s="2"/>
      <c r="B5198" s="8"/>
      <c r="C5198" s="8"/>
      <c r="D5198" s="8"/>
      <c r="E5198" s="2"/>
    </row>
    <row r="5199">
      <c r="A5199" s="2"/>
      <c r="B5199" s="8"/>
      <c r="C5199" s="8"/>
      <c r="D5199" s="8"/>
      <c r="E5199" s="2"/>
    </row>
    <row r="5200">
      <c r="A5200" s="2"/>
      <c r="B5200" s="8"/>
      <c r="C5200" s="8"/>
      <c r="D5200" s="8"/>
      <c r="E5200" s="2"/>
    </row>
    <row r="5201">
      <c r="A5201" s="2"/>
      <c r="B5201" s="8"/>
      <c r="C5201" s="8"/>
      <c r="D5201" s="8"/>
      <c r="E5201" s="2"/>
    </row>
    <row r="5202">
      <c r="A5202" s="2"/>
      <c r="B5202" s="8"/>
      <c r="C5202" s="8"/>
      <c r="D5202" s="8"/>
      <c r="E5202" s="2"/>
    </row>
    <row r="5203">
      <c r="A5203" s="2"/>
      <c r="B5203" s="8"/>
      <c r="C5203" s="8"/>
      <c r="D5203" s="8"/>
      <c r="E5203" s="2"/>
    </row>
    <row r="5204">
      <c r="A5204" s="2"/>
      <c r="B5204" s="8"/>
      <c r="C5204" s="8"/>
      <c r="D5204" s="8"/>
      <c r="E5204" s="2"/>
    </row>
    <row r="5205">
      <c r="A5205" s="2"/>
      <c r="B5205" s="8"/>
      <c r="C5205" s="8"/>
      <c r="D5205" s="8"/>
      <c r="E5205" s="2"/>
    </row>
    <row r="5206">
      <c r="A5206" s="2"/>
      <c r="B5206" s="8"/>
      <c r="C5206" s="8"/>
      <c r="D5206" s="8"/>
      <c r="E5206" s="2"/>
    </row>
    <row r="5207">
      <c r="A5207" s="2"/>
      <c r="B5207" s="8"/>
      <c r="C5207" s="8"/>
      <c r="D5207" s="8"/>
      <c r="E5207" s="2"/>
    </row>
    <row r="5208">
      <c r="A5208" s="2"/>
      <c r="B5208" s="8"/>
      <c r="C5208" s="8"/>
      <c r="D5208" s="8"/>
      <c r="E5208" s="2"/>
    </row>
    <row r="5209">
      <c r="A5209" s="2"/>
      <c r="B5209" s="8"/>
      <c r="C5209" s="8"/>
      <c r="D5209" s="8"/>
      <c r="E5209" s="2"/>
    </row>
    <row r="5210">
      <c r="A5210" s="2"/>
      <c r="B5210" s="8"/>
      <c r="C5210" s="8"/>
      <c r="D5210" s="8"/>
      <c r="E5210" s="2"/>
    </row>
    <row r="5211">
      <c r="A5211" s="2"/>
      <c r="B5211" s="8"/>
      <c r="C5211" s="8"/>
      <c r="D5211" s="8"/>
      <c r="E5211" s="2"/>
    </row>
    <row r="5212">
      <c r="A5212" s="2"/>
      <c r="B5212" s="8"/>
      <c r="C5212" s="8"/>
      <c r="D5212" s="8"/>
      <c r="E5212" s="2"/>
    </row>
    <row r="5213">
      <c r="A5213" s="2"/>
      <c r="B5213" s="8"/>
      <c r="C5213" s="8"/>
      <c r="D5213" s="8"/>
      <c r="E5213" s="2"/>
    </row>
    <row r="5214">
      <c r="A5214" s="2"/>
      <c r="B5214" s="8"/>
      <c r="C5214" s="8"/>
      <c r="D5214" s="8"/>
      <c r="E5214" s="2"/>
    </row>
    <row r="5215">
      <c r="A5215" s="2"/>
      <c r="B5215" s="8"/>
      <c r="C5215" s="8"/>
      <c r="D5215" s="8"/>
      <c r="E5215" s="2"/>
    </row>
    <row r="5216">
      <c r="A5216" s="2"/>
      <c r="B5216" s="8"/>
      <c r="C5216" s="8"/>
      <c r="D5216" s="8"/>
      <c r="E5216" s="2"/>
    </row>
    <row r="5217">
      <c r="A5217" s="2"/>
      <c r="B5217" s="8"/>
      <c r="C5217" s="8"/>
      <c r="D5217" s="8"/>
      <c r="E5217" s="2"/>
    </row>
    <row r="5218">
      <c r="A5218" s="2"/>
      <c r="B5218" s="8"/>
      <c r="C5218" s="8"/>
      <c r="D5218" s="8"/>
      <c r="E5218" s="2"/>
    </row>
    <row r="5219">
      <c r="A5219" s="2"/>
      <c r="B5219" s="8"/>
      <c r="C5219" s="8"/>
      <c r="D5219" s="8"/>
      <c r="E5219" s="2"/>
    </row>
    <row r="5220">
      <c r="A5220" s="2"/>
      <c r="B5220" s="8"/>
      <c r="C5220" s="8"/>
      <c r="D5220" s="8"/>
      <c r="E5220" s="2"/>
    </row>
    <row r="5221">
      <c r="A5221" s="2"/>
      <c r="B5221" s="8"/>
      <c r="C5221" s="8"/>
      <c r="D5221" s="8"/>
      <c r="E5221" s="2"/>
    </row>
    <row r="5222">
      <c r="A5222" s="2"/>
      <c r="B5222" s="8"/>
      <c r="C5222" s="8"/>
      <c r="D5222" s="8"/>
      <c r="E5222" s="2"/>
    </row>
    <row r="5223">
      <c r="A5223" s="2"/>
      <c r="B5223" s="8"/>
      <c r="C5223" s="8"/>
      <c r="D5223" s="8"/>
      <c r="E5223" s="2"/>
    </row>
    <row r="5224">
      <c r="A5224" s="2"/>
      <c r="B5224" s="8"/>
      <c r="C5224" s="8"/>
      <c r="D5224" s="8"/>
      <c r="E5224" s="2"/>
    </row>
    <row r="5225">
      <c r="A5225" s="2"/>
      <c r="B5225" s="8"/>
      <c r="C5225" s="8"/>
      <c r="D5225" s="8"/>
      <c r="E5225" s="2"/>
    </row>
    <row r="5226">
      <c r="A5226" s="2"/>
      <c r="B5226" s="8"/>
      <c r="C5226" s="8"/>
      <c r="D5226" s="8"/>
      <c r="E5226" s="2"/>
    </row>
    <row r="5227">
      <c r="A5227" s="2"/>
      <c r="B5227" s="8"/>
      <c r="C5227" s="8"/>
      <c r="D5227" s="8"/>
      <c r="E5227" s="2"/>
    </row>
    <row r="5228">
      <c r="A5228" s="2"/>
      <c r="B5228" s="8"/>
      <c r="C5228" s="8"/>
      <c r="D5228" s="8"/>
      <c r="E5228" s="2"/>
    </row>
    <row r="5229">
      <c r="A5229" s="2"/>
      <c r="B5229" s="8"/>
      <c r="C5229" s="8"/>
      <c r="D5229" s="8"/>
      <c r="E5229" s="2"/>
    </row>
    <row r="5230">
      <c r="A5230" s="2"/>
      <c r="B5230" s="8"/>
      <c r="C5230" s="8"/>
      <c r="D5230" s="8"/>
      <c r="E5230" s="2"/>
    </row>
    <row r="5231">
      <c r="A5231" s="2"/>
      <c r="B5231" s="8"/>
      <c r="C5231" s="8"/>
      <c r="D5231" s="8"/>
      <c r="E5231" s="2"/>
    </row>
    <row r="5232">
      <c r="A5232" s="2"/>
      <c r="B5232" s="8"/>
      <c r="C5232" s="8"/>
      <c r="D5232" s="8"/>
      <c r="E5232" s="2"/>
    </row>
    <row r="5233">
      <c r="A5233" s="2"/>
      <c r="B5233" s="8"/>
      <c r="C5233" s="8"/>
      <c r="D5233" s="8"/>
      <c r="E5233" s="2"/>
    </row>
    <row r="5234">
      <c r="A5234" s="2"/>
      <c r="B5234" s="8"/>
      <c r="C5234" s="8"/>
      <c r="D5234" s="8"/>
      <c r="E5234" s="2"/>
    </row>
    <row r="5235">
      <c r="A5235" s="2"/>
      <c r="B5235" s="8"/>
      <c r="C5235" s="8"/>
      <c r="D5235" s="8"/>
      <c r="E5235" s="2"/>
    </row>
    <row r="5236">
      <c r="A5236" s="2"/>
      <c r="B5236" s="8"/>
      <c r="C5236" s="8"/>
      <c r="D5236" s="8"/>
      <c r="E5236" s="2"/>
    </row>
    <row r="5237">
      <c r="A5237" s="2"/>
      <c r="B5237" s="8"/>
      <c r="C5237" s="8"/>
      <c r="D5237" s="8"/>
      <c r="E5237" s="2"/>
    </row>
    <row r="5238">
      <c r="A5238" s="2"/>
      <c r="B5238" s="8"/>
      <c r="C5238" s="8"/>
      <c r="D5238" s="8"/>
      <c r="E5238" s="2"/>
    </row>
    <row r="5239">
      <c r="A5239" s="2"/>
      <c r="B5239" s="8"/>
      <c r="C5239" s="8"/>
      <c r="D5239" s="8"/>
      <c r="E5239" s="2"/>
    </row>
    <row r="5240">
      <c r="A5240" s="2"/>
      <c r="B5240" s="8"/>
      <c r="C5240" s="8"/>
      <c r="D5240" s="8"/>
      <c r="E5240" s="2"/>
    </row>
    <row r="5241">
      <c r="A5241" s="2"/>
      <c r="B5241" s="8"/>
      <c r="C5241" s="8"/>
      <c r="D5241" s="8"/>
      <c r="E5241" s="2"/>
    </row>
    <row r="5242">
      <c r="A5242" s="2"/>
      <c r="B5242" s="8"/>
      <c r="C5242" s="8"/>
      <c r="D5242" s="8"/>
      <c r="E5242" s="2"/>
    </row>
    <row r="5243">
      <c r="A5243" s="2"/>
      <c r="B5243" s="8"/>
      <c r="C5243" s="8"/>
      <c r="D5243" s="8"/>
      <c r="E5243" s="2"/>
    </row>
    <row r="5244">
      <c r="A5244" s="2"/>
      <c r="B5244" s="8"/>
      <c r="C5244" s="8"/>
      <c r="D5244" s="8"/>
      <c r="E5244" s="2"/>
    </row>
    <row r="5245">
      <c r="A5245" s="2"/>
      <c r="B5245" s="8"/>
      <c r="C5245" s="8"/>
      <c r="D5245" s="8"/>
      <c r="E5245" s="2"/>
    </row>
    <row r="5246">
      <c r="A5246" s="2"/>
      <c r="B5246" s="8"/>
      <c r="C5246" s="8"/>
      <c r="D5246" s="8"/>
      <c r="E5246" s="2"/>
    </row>
    <row r="5247">
      <c r="A5247" s="2"/>
      <c r="B5247" s="8"/>
      <c r="C5247" s="8"/>
      <c r="D5247" s="8"/>
      <c r="E5247" s="2"/>
    </row>
    <row r="5248">
      <c r="A5248" s="2"/>
      <c r="B5248" s="8"/>
      <c r="C5248" s="8"/>
      <c r="D5248" s="8"/>
      <c r="E5248" s="2"/>
    </row>
    <row r="5249">
      <c r="A5249" s="2"/>
      <c r="B5249" s="8"/>
      <c r="C5249" s="8"/>
      <c r="D5249" s="8"/>
      <c r="E5249" s="2"/>
    </row>
    <row r="5250">
      <c r="A5250" s="2"/>
      <c r="B5250" s="8"/>
      <c r="C5250" s="8"/>
      <c r="D5250" s="8"/>
      <c r="E5250" s="2"/>
    </row>
    <row r="5251">
      <c r="A5251" s="2"/>
      <c r="B5251" s="8"/>
      <c r="C5251" s="8"/>
      <c r="D5251" s="8"/>
      <c r="E5251" s="2"/>
    </row>
    <row r="5252">
      <c r="A5252" s="2"/>
      <c r="B5252" s="8"/>
      <c r="C5252" s="8"/>
      <c r="D5252" s="8"/>
      <c r="E5252" s="2"/>
    </row>
    <row r="5253">
      <c r="A5253" s="2"/>
      <c r="B5253" s="8"/>
      <c r="C5253" s="8"/>
      <c r="D5253" s="8"/>
      <c r="E5253" s="2"/>
    </row>
    <row r="5254">
      <c r="A5254" s="2"/>
      <c r="B5254" s="8"/>
      <c r="C5254" s="8"/>
      <c r="D5254" s="8"/>
      <c r="E5254" s="2"/>
    </row>
    <row r="5255">
      <c r="A5255" s="2"/>
      <c r="B5255" s="8"/>
      <c r="C5255" s="8"/>
      <c r="D5255" s="8"/>
      <c r="E5255" s="2"/>
    </row>
    <row r="5256">
      <c r="A5256" s="2"/>
      <c r="B5256" s="8"/>
      <c r="C5256" s="8"/>
      <c r="D5256" s="8"/>
      <c r="E5256" s="2"/>
    </row>
    <row r="5257">
      <c r="A5257" s="2"/>
      <c r="B5257" s="8"/>
      <c r="C5257" s="8"/>
      <c r="D5257" s="8"/>
      <c r="E5257" s="2"/>
    </row>
    <row r="5258">
      <c r="A5258" s="2"/>
      <c r="B5258" s="8"/>
      <c r="C5258" s="8"/>
      <c r="D5258" s="8"/>
      <c r="E5258" s="2"/>
    </row>
    <row r="5259">
      <c r="A5259" s="2"/>
      <c r="B5259" s="8"/>
      <c r="C5259" s="8"/>
      <c r="D5259" s="8"/>
      <c r="E5259" s="2"/>
    </row>
    <row r="5260">
      <c r="A5260" s="2"/>
      <c r="B5260" s="8"/>
      <c r="C5260" s="8"/>
      <c r="D5260" s="8"/>
      <c r="E5260" s="2"/>
    </row>
    <row r="5261">
      <c r="A5261" s="2"/>
      <c r="B5261" s="8"/>
      <c r="C5261" s="8"/>
      <c r="D5261" s="8"/>
      <c r="E5261" s="2"/>
    </row>
    <row r="5262">
      <c r="A5262" s="2"/>
      <c r="B5262" s="8"/>
      <c r="C5262" s="8"/>
      <c r="D5262" s="8"/>
      <c r="E5262" s="2"/>
    </row>
    <row r="5263">
      <c r="A5263" s="2"/>
      <c r="B5263" s="8"/>
      <c r="C5263" s="8"/>
      <c r="D5263" s="8"/>
      <c r="E5263" s="2"/>
    </row>
    <row r="5264">
      <c r="A5264" s="2"/>
      <c r="B5264" s="8"/>
      <c r="C5264" s="8"/>
      <c r="D5264" s="8"/>
      <c r="E5264" s="2"/>
    </row>
    <row r="5265">
      <c r="A5265" s="2"/>
      <c r="B5265" s="8"/>
      <c r="C5265" s="8"/>
      <c r="D5265" s="8"/>
      <c r="E5265" s="2"/>
    </row>
    <row r="5266">
      <c r="A5266" s="2"/>
      <c r="B5266" s="8"/>
      <c r="C5266" s="8"/>
      <c r="D5266" s="8"/>
      <c r="E5266" s="2"/>
    </row>
    <row r="5267">
      <c r="A5267" s="2"/>
      <c r="B5267" s="8"/>
      <c r="C5267" s="8"/>
      <c r="D5267" s="8"/>
      <c r="E5267" s="2"/>
    </row>
    <row r="5268">
      <c r="A5268" s="2"/>
      <c r="B5268" s="8"/>
      <c r="C5268" s="8"/>
      <c r="D5268" s="8"/>
      <c r="E5268" s="2"/>
    </row>
    <row r="5269">
      <c r="A5269" s="2"/>
      <c r="B5269" s="8"/>
      <c r="C5269" s="8"/>
      <c r="D5269" s="8"/>
      <c r="E5269" s="2"/>
    </row>
    <row r="5270">
      <c r="A5270" s="2"/>
      <c r="B5270" s="8"/>
      <c r="C5270" s="8"/>
      <c r="D5270" s="8"/>
      <c r="E5270" s="2"/>
    </row>
    <row r="5271">
      <c r="A5271" s="2"/>
      <c r="B5271" s="8"/>
      <c r="C5271" s="8"/>
      <c r="D5271" s="8"/>
      <c r="E5271" s="2"/>
    </row>
    <row r="5272">
      <c r="A5272" s="2"/>
      <c r="B5272" s="8"/>
      <c r="C5272" s="8"/>
      <c r="D5272" s="8"/>
      <c r="E5272" s="2"/>
    </row>
    <row r="5273">
      <c r="A5273" s="2"/>
      <c r="B5273" s="8"/>
      <c r="C5273" s="8"/>
      <c r="D5273" s="8"/>
      <c r="E5273" s="2"/>
    </row>
    <row r="5274">
      <c r="A5274" s="2"/>
      <c r="B5274" s="8"/>
      <c r="C5274" s="8"/>
      <c r="D5274" s="8"/>
      <c r="E5274" s="2"/>
    </row>
    <row r="5275">
      <c r="A5275" s="2"/>
      <c r="B5275" s="8"/>
      <c r="C5275" s="8"/>
      <c r="D5275" s="8"/>
      <c r="E5275" s="2"/>
    </row>
    <row r="5276">
      <c r="A5276" s="2"/>
      <c r="B5276" s="8"/>
      <c r="C5276" s="8"/>
      <c r="D5276" s="8"/>
      <c r="E5276" s="2"/>
    </row>
    <row r="5277">
      <c r="A5277" s="2"/>
      <c r="B5277" s="8"/>
      <c r="C5277" s="8"/>
      <c r="D5277" s="8"/>
      <c r="E5277" s="2"/>
    </row>
    <row r="5278">
      <c r="A5278" s="2"/>
      <c r="B5278" s="8"/>
      <c r="C5278" s="8"/>
      <c r="D5278" s="8"/>
      <c r="E5278" s="2"/>
    </row>
    <row r="5279">
      <c r="A5279" s="2"/>
      <c r="B5279" s="8"/>
      <c r="C5279" s="8"/>
      <c r="D5279" s="8"/>
      <c r="E5279" s="2"/>
    </row>
    <row r="5280">
      <c r="A5280" s="2"/>
      <c r="B5280" s="8"/>
      <c r="C5280" s="8"/>
      <c r="D5280" s="8"/>
      <c r="E5280" s="2"/>
    </row>
    <row r="5281">
      <c r="A5281" s="2"/>
      <c r="B5281" s="8"/>
      <c r="C5281" s="8"/>
      <c r="D5281" s="8"/>
      <c r="E5281" s="2"/>
    </row>
    <row r="5282">
      <c r="A5282" s="2"/>
      <c r="B5282" s="8"/>
      <c r="C5282" s="8"/>
      <c r="D5282" s="8"/>
      <c r="E5282" s="2"/>
    </row>
    <row r="5283">
      <c r="A5283" s="2"/>
      <c r="B5283" s="8"/>
      <c r="C5283" s="8"/>
      <c r="D5283" s="8"/>
      <c r="E5283" s="2"/>
    </row>
    <row r="5284">
      <c r="A5284" s="2"/>
      <c r="B5284" s="8"/>
      <c r="C5284" s="8"/>
      <c r="D5284" s="8"/>
      <c r="E5284" s="2"/>
    </row>
    <row r="5285">
      <c r="A5285" s="2"/>
      <c r="B5285" s="8"/>
      <c r="C5285" s="8"/>
      <c r="D5285" s="8"/>
      <c r="E5285" s="2"/>
    </row>
    <row r="5286">
      <c r="A5286" s="2"/>
      <c r="B5286" s="8"/>
      <c r="C5286" s="8"/>
      <c r="D5286" s="8"/>
      <c r="E5286" s="2"/>
    </row>
    <row r="5287">
      <c r="A5287" s="2"/>
      <c r="B5287" s="8"/>
      <c r="C5287" s="8"/>
      <c r="D5287" s="8"/>
      <c r="E5287" s="2"/>
    </row>
    <row r="5288">
      <c r="A5288" s="2"/>
      <c r="B5288" s="8"/>
      <c r="C5288" s="8"/>
      <c r="D5288" s="8"/>
      <c r="E5288" s="2"/>
    </row>
    <row r="5289">
      <c r="A5289" s="2"/>
      <c r="B5289" s="8"/>
      <c r="C5289" s="8"/>
      <c r="D5289" s="8"/>
      <c r="E5289" s="2"/>
    </row>
    <row r="5290">
      <c r="A5290" s="2"/>
      <c r="B5290" s="8"/>
      <c r="C5290" s="8"/>
      <c r="D5290" s="8"/>
      <c r="E5290" s="2"/>
    </row>
    <row r="5291">
      <c r="A5291" s="2"/>
      <c r="B5291" s="8"/>
      <c r="C5291" s="8"/>
      <c r="D5291" s="8"/>
      <c r="E5291" s="2"/>
    </row>
    <row r="5292">
      <c r="A5292" s="2"/>
      <c r="B5292" s="8"/>
      <c r="C5292" s="8"/>
      <c r="D5292" s="8"/>
      <c r="E5292" s="2"/>
    </row>
    <row r="5293">
      <c r="A5293" s="2"/>
      <c r="B5293" s="8"/>
      <c r="C5293" s="8"/>
      <c r="D5293" s="8"/>
      <c r="E5293" s="2"/>
    </row>
    <row r="5294">
      <c r="A5294" s="2"/>
      <c r="B5294" s="8"/>
      <c r="C5294" s="8"/>
      <c r="D5294" s="8"/>
      <c r="E5294" s="2"/>
    </row>
    <row r="5295">
      <c r="A5295" s="2"/>
      <c r="B5295" s="8"/>
      <c r="C5295" s="8"/>
      <c r="D5295" s="8"/>
      <c r="E5295" s="2"/>
    </row>
    <row r="5296">
      <c r="A5296" s="2"/>
      <c r="B5296" s="8"/>
      <c r="C5296" s="8"/>
      <c r="D5296" s="8"/>
      <c r="E5296" s="2"/>
    </row>
    <row r="5297">
      <c r="A5297" s="2"/>
      <c r="B5297" s="8"/>
      <c r="C5297" s="8"/>
      <c r="D5297" s="8"/>
      <c r="E5297" s="2"/>
    </row>
    <row r="5298">
      <c r="A5298" s="2"/>
      <c r="B5298" s="8"/>
      <c r="C5298" s="8"/>
      <c r="D5298" s="8"/>
      <c r="E5298" s="2"/>
    </row>
    <row r="5299">
      <c r="A5299" s="2"/>
      <c r="B5299" s="8"/>
      <c r="C5299" s="8"/>
      <c r="D5299" s="8"/>
      <c r="E5299" s="2"/>
    </row>
    <row r="5300">
      <c r="A5300" s="2"/>
      <c r="B5300" s="8"/>
      <c r="C5300" s="8"/>
      <c r="D5300" s="8"/>
      <c r="E5300" s="2"/>
    </row>
    <row r="5301">
      <c r="A5301" s="2"/>
      <c r="B5301" s="8"/>
      <c r="C5301" s="8"/>
      <c r="D5301" s="8"/>
      <c r="E5301" s="2"/>
    </row>
    <row r="5302">
      <c r="A5302" s="2"/>
      <c r="B5302" s="8"/>
      <c r="C5302" s="8"/>
      <c r="D5302" s="8"/>
      <c r="E5302" s="2"/>
    </row>
    <row r="5303">
      <c r="A5303" s="2"/>
      <c r="B5303" s="8"/>
      <c r="C5303" s="8"/>
      <c r="D5303" s="8"/>
      <c r="E5303" s="2"/>
    </row>
    <row r="5304">
      <c r="A5304" s="2"/>
      <c r="B5304" s="8"/>
      <c r="C5304" s="8"/>
      <c r="D5304" s="8"/>
      <c r="E5304" s="2"/>
    </row>
    <row r="5305">
      <c r="A5305" s="2"/>
      <c r="B5305" s="8"/>
      <c r="C5305" s="8"/>
      <c r="D5305" s="8"/>
      <c r="E5305" s="2"/>
    </row>
    <row r="5306">
      <c r="A5306" s="2"/>
      <c r="B5306" s="8"/>
      <c r="C5306" s="8"/>
      <c r="D5306" s="8"/>
      <c r="E5306" s="2"/>
    </row>
    <row r="5307">
      <c r="A5307" s="2"/>
      <c r="B5307" s="8"/>
      <c r="C5307" s="8"/>
      <c r="D5307" s="8"/>
      <c r="E5307" s="2"/>
    </row>
    <row r="5308">
      <c r="A5308" s="2"/>
      <c r="B5308" s="8"/>
      <c r="C5308" s="8"/>
      <c r="D5308" s="8"/>
      <c r="E5308" s="2"/>
    </row>
    <row r="5309">
      <c r="A5309" s="2"/>
      <c r="B5309" s="8"/>
      <c r="C5309" s="8"/>
      <c r="D5309" s="8"/>
      <c r="E5309" s="2"/>
    </row>
    <row r="5310">
      <c r="A5310" s="2"/>
      <c r="B5310" s="8"/>
      <c r="C5310" s="8"/>
      <c r="D5310" s="8"/>
      <c r="E5310" s="2"/>
    </row>
    <row r="5311">
      <c r="A5311" s="2"/>
      <c r="B5311" s="8"/>
      <c r="C5311" s="8"/>
      <c r="D5311" s="8"/>
      <c r="E5311" s="2"/>
    </row>
    <row r="5312">
      <c r="A5312" s="2"/>
      <c r="B5312" s="8"/>
      <c r="C5312" s="8"/>
      <c r="D5312" s="8"/>
      <c r="E5312" s="2"/>
    </row>
    <row r="5313">
      <c r="A5313" s="2"/>
      <c r="B5313" s="8"/>
      <c r="C5313" s="8"/>
      <c r="D5313" s="8"/>
      <c r="E5313" s="2"/>
    </row>
    <row r="5314">
      <c r="A5314" s="2"/>
      <c r="B5314" s="8"/>
      <c r="C5314" s="8"/>
      <c r="D5314" s="8"/>
      <c r="E5314" s="2"/>
    </row>
    <row r="5315">
      <c r="A5315" s="2"/>
      <c r="B5315" s="8"/>
      <c r="C5315" s="8"/>
      <c r="D5315" s="8"/>
      <c r="E5315" s="2"/>
    </row>
    <row r="5316">
      <c r="A5316" s="2"/>
      <c r="B5316" s="8"/>
      <c r="C5316" s="8"/>
      <c r="D5316" s="8"/>
      <c r="E5316" s="2"/>
    </row>
    <row r="5317">
      <c r="A5317" s="2"/>
      <c r="B5317" s="8"/>
      <c r="C5317" s="8"/>
      <c r="D5317" s="8"/>
      <c r="E5317" s="2"/>
    </row>
    <row r="5318">
      <c r="A5318" s="2"/>
      <c r="B5318" s="8"/>
      <c r="C5318" s="8"/>
      <c r="D5318" s="8"/>
      <c r="E5318" s="2"/>
    </row>
    <row r="5319">
      <c r="A5319" s="2"/>
      <c r="B5319" s="8"/>
      <c r="C5319" s="8"/>
      <c r="D5319" s="8"/>
      <c r="E5319" s="2"/>
    </row>
    <row r="5320">
      <c r="A5320" s="2"/>
      <c r="B5320" s="8"/>
      <c r="C5320" s="8"/>
      <c r="D5320" s="8"/>
      <c r="E5320" s="2"/>
    </row>
    <row r="5321">
      <c r="A5321" s="2"/>
      <c r="B5321" s="8"/>
      <c r="C5321" s="8"/>
      <c r="D5321" s="8"/>
      <c r="E5321" s="2"/>
    </row>
    <row r="5322">
      <c r="A5322" s="2"/>
      <c r="B5322" s="8"/>
      <c r="C5322" s="8"/>
      <c r="D5322" s="8"/>
      <c r="E5322" s="2"/>
    </row>
    <row r="5323">
      <c r="A5323" s="2"/>
      <c r="B5323" s="8"/>
      <c r="C5323" s="8"/>
      <c r="D5323" s="8"/>
      <c r="E5323" s="2"/>
    </row>
    <row r="5324">
      <c r="A5324" s="2"/>
      <c r="B5324" s="8"/>
      <c r="C5324" s="8"/>
      <c r="D5324" s="8"/>
      <c r="E5324" s="2"/>
    </row>
    <row r="5325">
      <c r="A5325" s="2"/>
      <c r="B5325" s="8"/>
      <c r="C5325" s="8"/>
      <c r="D5325" s="8"/>
      <c r="E5325" s="2"/>
    </row>
    <row r="5326">
      <c r="A5326" s="2"/>
      <c r="B5326" s="8"/>
      <c r="C5326" s="8"/>
      <c r="D5326" s="8"/>
      <c r="E5326" s="2"/>
    </row>
    <row r="5327">
      <c r="A5327" s="2"/>
      <c r="B5327" s="8"/>
      <c r="C5327" s="8"/>
      <c r="D5327" s="8"/>
      <c r="E5327" s="2"/>
    </row>
    <row r="5328">
      <c r="A5328" s="2"/>
      <c r="B5328" s="8"/>
      <c r="C5328" s="8"/>
      <c r="D5328" s="8"/>
      <c r="E5328" s="2"/>
    </row>
    <row r="5329">
      <c r="A5329" s="2"/>
      <c r="B5329" s="8"/>
      <c r="C5329" s="8"/>
      <c r="D5329" s="8"/>
      <c r="E5329" s="2"/>
    </row>
    <row r="5330">
      <c r="A5330" s="2"/>
      <c r="B5330" s="8"/>
      <c r="C5330" s="8"/>
      <c r="D5330" s="8"/>
      <c r="E5330" s="2"/>
    </row>
    <row r="5331">
      <c r="A5331" s="2"/>
      <c r="B5331" s="8"/>
      <c r="C5331" s="8"/>
      <c r="D5331" s="8"/>
      <c r="E5331" s="2"/>
    </row>
    <row r="5332">
      <c r="A5332" s="2"/>
      <c r="B5332" s="8"/>
      <c r="C5332" s="8"/>
      <c r="D5332" s="8"/>
      <c r="E5332" s="2"/>
    </row>
    <row r="5333">
      <c r="A5333" s="2"/>
      <c r="B5333" s="8"/>
      <c r="C5333" s="8"/>
      <c r="D5333" s="8"/>
      <c r="E5333" s="2"/>
    </row>
    <row r="5334">
      <c r="A5334" s="2"/>
      <c r="B5334" s="8"/>
      <c r="C5334" s="8"/>
      <c r="D5334" s="8"/>
      <c r="E5334" s="2"/>
    </row>
    <row r="5335">
      <c r="A5335" s="2"/>
      <c r="B5335" s="8"/>
      <c r="C5335" s="8"/>
      <c r="D5335" s="8"/>
      <c r="E5335" s="2"/>
    </row>
    <row r="5336">
      <c r="A5336" s="2"/>
      <c r="B5336" s="8"/>
      <c r="C5336" s="8"/>
      <c r="D5336" s="8"/>
      <c r="E5336" s="2"/>
    </row>
    <row r="5337">
      <c r="A5337" s="2"/>
      <c r="B5337" s="8"/>
      <c r="C5337" s="8"/>
      <c r="D5337" s="8"/>
      <c r="E5337" s="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2.63" defaultRowHeight="15.75" outlineLevelCol="1"/>
  <cols>
    <col customWidth="1" min="1" max="1" width="2.63"/>
    <col customWidth="1" min="2" max="2" width="6.38"/>
    <col customWidth="1" min="3" max="3" width="13.88"/>
    <col collapsed="1" customWidth="1" min="4" max="4" width="12.63"/>
    <col customWidth="1" hidden="1" min="5" max="6" width="10.13" outlineLevel="1"/>
    <col customWidth="1" min="7" max="7" width="12.75"/>
    <col customWidth="1" min="8" max="8" width="13.88"/>
    <col customWidth="1" min="9" max="9" width="25.13"/>
    <col customWidth="1" min="10" max="11" width="17.63"/>
    <col customWidth="1" min="12" max="12" width="12.63"/>
    <col customWidth="1" min="13" max="13" width="16.38"/>
    <col customWidth="1" min="14" max="16" width="12.63"/>
    <col customWidth="1" min="17" max="17" width="14.25"/>
    <col customWidth="1" min="18" max="18" width="17.63"/>
    <col customWidth="1" min="19" max="19" width="25.13"/>
    <col customWidth="1" min="20" max="20" width="7.63"/>
    <col customWidth="1" min="21" max="21" width="37.63"/>
  </cols>
  <sheetData>
    <row r="1">
      <c r="A1" s="1" t="s">
        <v>0</v>
      </c>
      <c r="B1" s="1" t="s">
        <v>2</v>
      </c>
      <c r="C1" s="1"/>
      <c r="D1" s="4"/>
      <c r="E1" s="4"/>
      <c r="F1" s="4"/>
      <c r="G1" s="4"/>
      <c r="H1" s="4"/>
      <c r="I1" s="4"/>
      <c r="J1" s="7"/>
      <c r="K1" s="7"/>
      <c r="L1" s="7"/>
      <c r="M1" s="4"/>
      <c r="N1" s="4"/>
      <c r="O1" s="9"/>
      <c r="P1" s="11"/>
      <c r="Q1" s="4"/>
      <c r="R1" s="4"/>
      <c r="S1" s="4"/>
      <c r="T1" s="4"/>
      <c r="U1" s="4"/>
    </row>
    <row r="2">
      <c r="A2" s="1"/>
      <c r="B2" s="12"/>
      <c r="C2" s="14"/>
      <c r="D2" s="4"/>
      <c r="E2" s="4"/>
      <c r="F2" s="4"/>
      <c r="G2" s="4"/>
      <c r="H2" s="4"/>
      <c r="I2" s="4"/>
      <c r="J2" s="7"/>
      <c r="K2" s="7"/>
      <c r="L2" s="7"/>
      <c r="M2" s="4"/>
      <c r="N2" s="4"/>
      <c r="O2" s="9"/>
      <c r="P2" s="11"/>
      <c r="Q2" s="4"/>
      <c r="R2" s="4"/>
      <c r="S2" s="4"/>
      <c r="T2" s="4"/>
      <c r="U2" s="4"/>
    </row>
    <row r="3">
      <c r="A3" s="16"/>
      <c r="B3" s="18"/>
      <c r="C3" s="16"/>
      <c r="D3" s="16"/>
      <c r="E3" s="16"/>
      <c r="F3" s="16"/>
      <c r="G3" s="16"/>
      <c r="H3" s="16"/>
      <c r="I3" s="16"/>
      <c r="J3" s="20"/>
      <c r="K3" s="20"/>
      <c r="L3" s="20"/>
      <c r="M3" s="16"/>
      <c r="N3" s="21"/>
      <c r="O3" s="23"/>
      <c r="P3" s="25"/>
      <c r="Q3" s="16"/>
      <c r="R3" s="16"/>
      <c r="S3" s="16"/>
      <c r="T3" s="16"/>
      <c r="U3" s="16"/>
    </row>
    <row r="4">
      <c r="A4" s="26"/>
      <c r="B4" s="30" t="s">
        <v>1</v>
      </c>
      <c r="C4" s="32" t="s">
        <v>3</v>
      </c>
      <c r="D4" s="33" t="s">
        <v>4</v>
      </c>
      <c r="E4" s="32" t="s">
        <v>5</v>
      </c>
      <c r="F4" s="32" t="s">
        <v>6</v>
      </c>
      <c r="G4" s="30" t="s">
        <v>7</v>
      </c>
      <c r="H4" s="35" t="s">
        <v>8</v>
      </c>
      <c r="I4" s="32" t="s">
        <v>9</v>
      </c>
      <c r="J4" s="32" t="s">
        <v>10</v>
      </c>
      <c r="K4" s="35" t="s">
        <v>11</v>
      </c>
      <c r="L4" s="35" t="s">
        <v>12</v>
      </c>
      <c r="M4" s="32" t="s">
        <v>13</v>
      </c>
      <c r="N4" s="33" t="s">
        <v>14</v>
      </c>
      <c r="O4" s="33" t="s">
        <v>15</v>
      </c>
      <c r="P4" s="33" t="s">
        <v>16</v>
      </c>
      <c r="Q4" s="33" t="s">
        <v>17</v>
      </c>
      <c r="R4" s="32" t="s">
        <v>18</v>
      </c>
      <c r="S4" s="32" t="s">
        <v>19</v>
      </c>
      <c r="T4" s="37" t="s">
        <v>20</v>
      </c>
      <c r="U4" s="38" t="s">
        <v>21</v>
      </c>
    </row>
    <row r="5" ht="30.0" customHeight="1">
      <c r="A5" s="39"/>
      <c r="B5" s="40">
        <v>60.0</v>
      </c>
      <c r="C5" s="41" t="s">
        <v>50</v>
      </c>
      <c r="D5" s="42">
        <v>45844.0</v>
      </c>
      <c r="E5" s="43" t="str">
        <f t="shared" ref="E5:E1773" si="1">if(D5="","",text(D5,"YYY"))</f>
        <v>2025</v>
      </c>
      <c r="F5" s="43" t="str">
        <f t="shared" ref="F5:F1773" si="2">if(D5="","",text(D5,"MM")&amp;" "&amp;text(D5,"MMM"))</f>
        <v>07 Jul</v>
      </c>
      <c r="G5" s="44"/>
      <c r="H5" s="44"/>
      <c r="I5" s="45" t="s">
        <v>54</v>
      </c>
      <c r="J5" s="41" t="s">
        <v>56</v>
      </c>
      <c r="K5" s="43" t="str">
        <f t="array" ref="K5">IF(J5="","", XLOOKUP(J5,'⚙️ Pengaturan'!$E$2:$E3237,'⚙️ Pengaturan'!$G$2:$G3237))</f>
        <v>KLINIK FT PAKET</v>
      </c>
      <c r="L5" s="43" t="str">
        <f t="shared" ref="L5:L2280" si="3">if(I5="","",if(countifs($J$5:J5,J5,$I$5:I5,I5)=1,"BARU","LANJUTAN"))</f>
        <v>BARU</v>
      </c>
      <c r="M5" s="41" t="s">
        <v>60</v>
      </c>
      <c r="N5" s="46">
        <v>200000.0</v>
      </c>
      <c r="O5" s="47">
        <v>0.0</v>
      </c>
      <c r="P5" s="48">
        <f t="array" ref="P5">IFNA(XLOOKUP(J5,'⚙️ Pengaturan'!$E$2:$E3237,'⚙️ Pengaturan'!$F$2:$F3237),"")</f>
        <v>650000</v>
      </c>
      <c r="Q5" s="49">
        <f t="shared" ref="Q5:Q177" si="4">IF(I5="","",(N5+O5)-P5)</f>
        <v>-450000</v>
      </c>
      <c r="R5" s="41" t="s">
        <v>37</v>
      </c>
      <c r="S5" s="50" t="s">
        <v>54</v>
      </c>
      <c r="T5" s="51" t="b">
        <v>1</v>
      </c>
      <c r="U5" s="53"/>
    </row>
    <row r="6" ht="30.0" customHeight="1">
      <c r="A6" s="39"/>
      <c r="B6" s="40">
        <v>84.0</v>
      </c>
      <c r="C6" s="41" t="s">
        <v>69</v>
      </c>
      <c r="D6" s="42">
        <v>45846.0</v>
      </c>
      <c r="E6" s="43" t="str">
        <f t="shared" si="1"/>
        <v>2025</v>
      </c>
      <c r="F6" s="43" t="str">
        <f t="shared" si="2"/>
        <v>07 Jul</v>
      </c>
      <c r="G6" s="44"/>
      <c r="H6" s="44"/>
      <c r="I6" s="45" t="s">
        <v>70</v>
      </c>
      <c r="J6" s="41" t="s">
        <v>56</v>
      </c>
      <c r="K6" s="43" t="str">
        <f t="array" ref="K6">IF(J6="","", XLOOKUP(J6,'⚙️ Pengaturan'!$E$2:$E3237,'⚙️ Pengaturan'!$G$2:$G3237))</f>
        <v>KLINIK FT PAKET</v>
      </c>
      <c r="L6" s="43" t="str">
        <f t="shared" si="3"/>
        <v>BARU</v>
      </c>
      <c r="M6" s="41" t="s">
        <v>60</v>
      </c>
      <c r="N6" s="46">
        <v>200000.0</v>
      </c>
      <c r="O6" s="65">
        <v>0.0</v>
      </c>
      <c r="P6" s="48">
        <f t="array" ref="P6">IFNA(XLOOKUP(J6,'⚙️ Pengaturan'!$E$2:$E3237,'⚙️ Pengaturan'!$F$2:$F3237),"")</f>
        <v>650000</v>
      </c>
      <c r="Q6" s="49">
        <f t="shared" si="4"/>
        <v>-450000</v>
      </c>
      <c r="R6" s="41" t="s">
        <v>32</v>
      </c>
      <c r="S6" s="68" t="s">
        <v>33</v>
      </c>
      <c r="T6" s="51" t="b">
        <v>1</v>
      </c>
      <c r="U6" s="53"/>
    </row>
    <row r="7" ht="30.0" customHeight="1">
      <c r="A7" s="39"/>
      <c r="B7" s="40">
        <v>247.0</v>
      </c>
      <c r="C7" s="41" t="s">
        <v>69</v>
      </c>
      <c r="D7" s="42">
        <v>45858.0</v>
      </c>
      <c r="E7" s="43" t="str">
        <f t="shared" si="1"/>
        <v>2025</v>
      </c>
      <c r="F7" s="43" t="str">
        <f t="shared" si="2"/>
        <v>07 Jul</v>
      </c>
      <c r="G7" s="44"/>
      <c r="H7" s="44"/>
      <c r="I7" s="45" t="s">
        <v>75</v>
      </c>
      <c r="J7" s="41" t="s">
        <v>56</v>
      </c>
      <c r="K7" s="43" t="str">
        <f t="array" ref="K7">IF(J7="","", XLOOKUP(J7,'⚙️ Pengaturan'!$E$2:$E3237,'⚙️ Pengaturan'!$G$2:$G3237))</f>
        <v>KLINIK FT PAKET</v>
      </c>
      <c r="L7" s="43" t="str">
        <f t="shared" si="3"/>
        <v>BARU</v>
      </c>
      <c r="M7" s="41" t="s">
        <v>60</v>
      </c>
      <c r="N7" s="46">
        <v>250000.0</v>
      </c>
      <c r="O7" s="65">
        <v>0.0</v>
      </c>
      <c r="P7" s="48">
        <f t="array" ref="P7">IFNA(XLOOKUP(J7,'⚙️ Pengaturan'!$E$2:$E3237,'⚙️ Pengaturan'!$F$2:$F3237),"")</f>
        <v>650000</v>
      </c>
      <c r="Q7" s="49">
        <f t="shared" si="4"/>
        <v>-400000</v>
      </c>
      <c r="R7" s="41" t="s">
        <v>37</v>
      </c>
      <c r="S7" s="50" t="s">
        <v>75</v>
      </c>
      <c r="T7" s="51" t="b">
        <v>1</v>
      </c>
      <c r="U7" s="53"/>
    </row>
    <row r="8" ht="30.0" customHeight="1">
      <c r="A8" s="39"/>
      <c r="B8" s="40">
        <v>317.0</v>
      </c>
      <c r="C8" s="41" t="s">
        <v>50</v>
      </c>
      <c r="D8" s="42">
        <v>45864.0</v>
      </c>
      <c r="E8" s="43" t="str">
        <f t="shared" si="1"/>
        <v>2025</v>
      </c>
      <c r="F8" s="43" t="str">
        <f t="shared" si="2"/>
        <v>07 Jul</v>
      </c>
      <c r="G8" s="44"/>
      <c r="H8" s="44"/>
      <c r="I8" s="45" t="s">
        <v>75</v>
      </c>
      <c r="J8" s="41" t="s">
        <v>56</v>
      </c>
      <c r="K8" s="43" t="str">
        <f t="array" ref="K8">IF(J8="","", XLOOKUP(J8,'⚙️ Pengaturan'!$E$2:$E3237,'⚙️ Pengaturan'!$G$2:$G3237))</f>
        <v>KLINIK FT PAKET</v>
      </c>
      <c r="L8" s="43" t="str">
        <f t="shared" si="3"/>
        <v>LANJUTAN</v>
      </c>
      <c r="M8" s="41" t="s">
        <v>81</v>
      </c>
      <c r="N8" s="46">
        <v>200000.0</v>
      </c>
      <c r="O8" s="65">
        <v>250000.0</v>
      </c>
      <c r="P8" s="48">
        <f t="array" ref="P8">IFNA(XLOOKUP(J8,'⚙️ Pengaturan'!$E$2:$E3237,'⚙️ Pengaturan'!$F$2:$F3237),"")</f>
        <v>650000</v>
      </c>
      <c r="Q8" s="49">
        <f t="shared" si="4"/>
        <v>-200000</v>
      </c>
      <c r="R8" s="41" t="s">
        <v>32</v>
      </c>
      <c r="S8" s="68" t="s">
        <v>33</v>
      </c>
      <c r="T8" s="51" t="b">
        <v>1</v>
      </c>
      <c r="U8" s="53"/>
    </row>
    <row r="9" ht="30.0" customHeight="1">
      <c r="A9" s="39"/>
      <c r="B9" s="40">
        <v>696.0</v>
      </c>
      <c r="C9" s="41" t="s">
        <v>50</v>
      </c>
      <c r="D9" s="42">
        <v>45897.0</v>
      </c>
      <c r="E9" s="43" t="str">
        <f t="shared" si="1"/>
        <v>2025</v>
      </c>
      <c r="F9" s="43" t="str">
        <f t="shared" si="2"/>
        <v>08 Agu</v>
      </c>
      <c r="G9" s="44"/>
      <c r="H9" s="44"/>
      <c r="I9" s="45" t="s">
        <v>84</v>
      </c>
      <c r="J9" s="41" t="s">
        <v>56</v>
      </c>
      <c r="K9" s="43" t="str">
        <f t="array" ref="K9">IF(J9="","", XLOOKUP(J9,'⚙️ Pengaturan'!$E$2:$E3237,'⚙️ Pengaturan'!$G$2:$G3237))</f>
        <v>KLINIK FT PAKET</v>
      </c>
      <c r="L9" s="43" t="str">
        <f t="shared" si="3"/>
        <v>BARU</v>
      </c>
      <c r="M9" s="41" t="s">
        <v>60</v>
      </c>
      <c r="N9" s="46">
        <v>200000.0</v>
      </c>
      <c r="O9" s="65">
        <v>0.0</v>
      </c>
      <c r="P9" s="48">
        <f t="array" ref="P9">IFNA(XLOOKUP(J9,'⚙️ Pengaturan'!$E$2:$E3237,'⚙️ Pengaturan'!$F$2:$F3237),"")</f>
        <v>650000</v>
      </c>
      <c r="Q9" s="49">
        <f t="shared" si="4"/>
        <v>-450000</v>
      </c>
      <c r="R9" s="41" t="s">
        <v>32</v>
      </c>
      <c r="S9" s="50" t="s">
        <v>33</v>
      </c>
      <c r="T9" s="51" t="b">
        <v>1</v>
      </c>
      <c r="U9" s="53"/>
    </row>
    <row r="10" ht="30.0" customHeight="1">
      <c r="A10" s="39"/>
      <c r="B10" s="40">
        <v>738.0</v>
      </c>
      <c r="C10" s="41" t="s">
        <v>79</v>
      </c>
      <c r="D10" s="42">
        <v>45901.0</v>
      </c>
      <c r="E10" s="43" t="str">
        <f t="shared" si="1"/>
        <v>2025</v>
      </c>
      <c r="F10" s="43" t="str">
        <f t="shared" si="2"/>
        <v>09 Sep</v>
      </c>
      <c r="G10" s="44"/>
      <c r="H10" s="44"/>
      <c r="I10" s="45" t="s">
        <v>84</v>
      </c>
      <c r="J10" s="41" t="s">
        <v>56</v>
      </c>
      <c r="K10" s="43" t="str">
        <f t="array" ref="K10">IF(J10="","", XLOOKUP(J10,'⚙️ Pengaturan'!$E$2:$E3237,'⚙️ Pengaturan'!$G$2:$G3237))</f>
        <v>KLINIK FT PAKET</v>
      </c>
      <c r="L10" s="43" t="str">
        <f t="shared" si="3"/>
        <v>LANJUTAN</v>
      </c>
      <c r="M10" s="41" t="s">
        <v>81</v>
      </c>
      <c r="N10" s="46">
        <v>200000.0</v>
      </c>
      <c r="O10" s="65">
        <v>200000.0</v>
      </c>
      <c r="P10" s="48">
        <f t="array" ref="P10">IFNA(XLOOKUP(J10,'⚙️ Pengaturan'!$E$2:$E3237,'⚙️ Pengaturan'!$F$2:$F3237),"")</f>
        <v>650000</v>
      </c>
      <c r="Q10" s="49">
        <f t="shared" si="4"/>
        <v>-250000</v>
      </c>
      <c r="R10" s="41" t="s">
        <v>32</v>
      </c>
      <c r="S10" s="50" t="s">
        <v>33</v>
      </c>
      <c r="T10" s="51" t="b">
        <v>1</v>
      </c>
      <c r="U10" s="53"/>
    </row>
    <row r="11" ht="30.0" customHeight="1">
      <c r="A11" s="39"/>
      <c r="B11" s="40">
        <v>1013.0</v>
      </c>
      <c r="C11" s="41" t="s">
        <v>50</v>
      </c>
      <c r="D11" s="42">
        <v>45925.0</v>
      </c>
      <c r="E11" s="43" t="str">
        <f t="shared" si="1"/>
        <v>2025</v>
      </c>
      <c r="F11" s="43" t="str">
        <f t="shared" si="2"/>
        <v>09 Sep</v>
      </c>
      <c r="G11" s="44"/>
      <c r="H11" s="44"/>
      <c r="I11" s="45" t="s">
        <v>88</v>
      </c>
      <c r="J11" s="41" t="s">
        <v>56</v>
      </c>
      <c r="K11" s="43" t="str">
        <f t="array" ref="K11">IF(J11="","", XLOOKUP(J11,'⚙️ Pengaturan'!$E$2:$E3237,'⚙️ Pengaturan'!$G$2:$G3237))</f>
        <v>KLINIK FT PAKET</v>
      </c>
      <c r="L11" s="43" t="str">
        <f t="shared" si="3"/>
        <v>BARU</v>
      </c>
      <c r="M11" s="41" t="s">
        <v>60</v>
      </c>
      <c r="N11" s="46">
        <v>200000.0</v>
      </c>
      <c r="O11" s="65">
        <v>0.0</v>
      </c>
      <c r="P11" s="48">
        <f t="array" ref="P11">IFNA(XLOOKUP(J11,'⚙️ Pengaturan'!$E$2:$E3237,'⚙️ Pengaturan'!$F$2:$F3237),"")</f>
        <v>650000</v>
      </c>
      <c r="Q11" s="49">
        <f t="shared" si="4"/>
        <v>-450000</v>
      </c>
      <c r="R11" s="41" t="s">
        <v>32</v>
      </c>
      <c r="S11" s="50" t="s">
        <v>33</v>
      </c>
      <c r="T11" s="51" t="b">
        <v>1</v>
      </c>
      <c r="U11" s="53"/>
    </row>
    <row r="12" ht="30.0" customHeight="1">
      <c r="A12" s="39"/>
      <c r="B12" s="40">
        <v>1085.0</v>
      </c>
      <c r="C12" s="41" t="s">
        <v>79</v>
      </c>
      <c r="D12" s="42">
        <v>45931.0</v>
      </c>
      <c r="E12" s="43" t="str">
        <f t="shared" si="1"/>
        <v>2025</v>
      </c>
      <c r="F12" s="43" t="str">
        <f t="shared" si="2"/>
        <v>10 Okt</v>
      </c>
      <c r="G12" s="44"/>
      <c r="H12" s="44"/>
      <c r="I12" s="45" t="s">
        <v>91</v>
      </c>
      <c r="J12" s="41" t="s">
        <v>92</v>
      </c>
      <c r="K12" s="43" t="str">
        <f t="array" ref="K12">IF(J12="","", XLOOKUP(J12,'⚙️ Pengaturan'!$E$2:$E3237,'⚙️ Pengaturan'!$G$2:$G3237))</f>
        <v>KLINIK FT PAKET</v>
      </c>
      <c r="L12" s="43" t="str">
        <f t="shared" si="3"/>
        <v>BARU</v>
      </c>
      <c r="M12" s="41" t="s">
        <v>60</v>
      </c>
      <c r="N12" s="46">
        <v>500000.0</v>
      </c>
      <c r="O12" s="65">
        <v>0.0</v>
      </c>
      <c r="P12" s="48">
        <f t="array" ref="P12">IFNA(XLOOKUP(J12,'⚙️ Pengaturan'!$E$2:$E3237,'⚙️ Pengaturan'!$F$2:$F3237),"")</f>
        <v>1200000</v>
      </c>
      <c r="Q12" s="49">
        <f t="shared" si="4"/>
        <v>-700000</v>
      </c>
      <c r="R12" s="41" t="s">
        <v>93</v>
      </c>
      <c r="S12" s="50" t="s">
        <v>91</v>
      </c>
      <c r="T12" s="51" t="b">
        <v>1</v>
      </c>
      <c r="U12" s="53"/>
    </row>
    <row r="13" ht="30.0" customHeight="1">
      <c r="A13" s="39"/>
      <c r="B13" s="40">
        <v>1153.0</v>
      </c>
      <c r="C13" s="41" t="s">
        <v>79</v>
      </c>
      <c r="D13" s="42">
        <v>45937.0</v>
      </c>
      <c r="E13" s="43" t="str">
        <f t="shared" si="1"/>
        <v>2025</v>
      </c>
      <c r="F13" s="43" t="str">
        <f t="shared" si="2"/>
        <v>10 Okt</v>
      </c>
      <c r="G13" s="44"/>
      <c r="H13" s="44"/>
      <c r="I13" s="45" t="s">
        <v>94</v>
      </c>
      <c r="J13" s="41" t="s">
        <v>56</v>
      </c>
      <c r="K13" s="43" t="str">
        <f t="array" ref="K13">IF(J13="","", XLOOKUP(J13,'⚙️ Pengaturan'!$E$2:$E3237,'⚙️ Pengaturan'!$G$2:$G3237))</f>
        <v>KLINIK FT PAKET</v>
      </c>
      <c r="L13" s="43" t="str">
        <f t="shared" si="3"/>
        <v>BARU</v>
      </c>
      <c r="M13" s="41" t="s">
        <v>60</v>
      </c>
      <c r="N13" s="46">
        <v>200000.0</v>
      </c>
      <c r="O13" s="65">
        <v>0.0</v>
      </c>
      <c r="P13" s="48">
        <f t="array" ref="P13">IFNA(XLOOKUP(J13,'⚙️ Pengaturan'!$E$2:$E3237,'⚙️ Pengaturan'!$F$2:$F3237),"")</f>
        <v>650000</v>
      </c>
      <c r="Q13" s="49">
        <f t="shared" si="4"/>
        <v>-450000</v>
      </c>
      <c r="R13" s="41" t="s">
        <v>32</v>
      </c>
      <c r="S13" s="50" t="s">
        <v>33</v>
      </c>
      <c r="T13" s="51" t="b">
        <v>1</v>
      </c>
      <c r="U13" s="53"/>
    </row>
    <row r="14" ht="30.0" customHeight="1">
      <c r="A14" s="39"/>
      <c r="B14" s="40">
        <v>1159.0</v>
      </c>
      <c r="C14" s="41" t="s">
        <v>79</v>
      </c>
      <c r="D14" s="42">
        <v>45938.0</v>
      </c>
      <c r="E14" s="43" t="str">
        <f t="shared" si="1"/>
        <v>2025</v>
      </c>
      <c r="F14" s="43" t="str">
        <f t="shared" si="2"/>
        <v>10 Okt</v>
      </c>
      <c r="G14" s="44"/>
      <c r="H14" s="44"/>
      <c r="I14" s="45" t="s">
        <v>97</v>
      </c>
      <c r="J14" s="41" t="s">
        <v>56</v>
      </c>
      <c r="K14" s="43" t="str">
        <f t="array" ref="K14">IF(J14="","", XLOOKUP(J14,'⚙️ Pengaturan'!$E$2:$E3237,'⚙️ Pengaturan'!$G$2:$G3237))</f>
        <v>KLINIK FT PAKET</v>
      </c>
      <c r="L14" s="43" t="str">
        <f t="shared" si="3"/>
        <v>BARU</v>
      </c>
      <c r="M14" s="41" t="s">
        <v>60</v>
      </c>
      <c r="N14" s="46">
        <v>200000.0</v>
      </c>
      <c r="O14" s="65">
        <v>0.0</v>
      </c>
      <c r="P14" s="48">
        <f t="array" ref="P14">IFNA(XLOOKUP(J14,'⚙️ Pengaturan'!$E$2:$E3237,'⚙️ Pengaturan'!$F$2:$F3237),"")</f>
        <v>650000</v>
      </c>
      <c r="Q14" s="49">
        <f t="shared" si="4"/>
        <v>-450000</v>
      </c>
      <c r="R14" s="41" t="s">
        <v>37</v>
      </c>
      <c r="S14" s="69" t="s">
        <v>97</v>
      </c>
      <c r="T14" s="51" t="b">
        <v>1</v>
      </c>
      <c r="U14" s="53"/>
    </row>
    <row r="15" ht="30.0" customHeight="1">
      <c r="A15" s="39"/>
      <c r="B15" s="40">
        <v>1172.0</v>
      </c>
      <c r="C15" s="41" t="s">
        <v>50</v>
      </c>
      <c r="D15" s="42">
        <v>45939.0</v>
      </c>
      <c r="E15" s="43" t="str">
        <f t="shared" si="1"/>
        <v>2025</v>
      </c>
      <c r="F15" s="43" t="str">
        <f t="shared" si="2"/>
        <v>10 Okt</v>
      </c>
      <c r="G15" s="44"/>
      <c r="H15" s="44"/>
      <c r="I15" s="45" t="s">
        <v>101</v>
      </c>
      <c r="J15" s="41" t="s">
        <v>92</v>
      </c>
      <c r="K15" s="43" t="str">
        <f t="array" ref="K15">IF(J15="","", XLOOKUP(J15,'⚙️ Pengaturan'!$E$2:$E3237,'⚙️ Pengaturan'!$G$2:$G3237))</f>
        <v>KLINIK FT PAKET</v>
      </c>
      <c r="L15" s="43" t="str">
        <f t="shared" si="3"/>
        <v>BARU</v>
      </c>
      <c r="M15" s="41" t="s">
        <v>60</v>
      </c>
      <c r="N15" s="46">
        <v>500000.0</v>
      </c>
      <c r="O15" s="65">
        <v>0.0</v>
      </c>
      <c r="P15" s="48">
        <f t="array" ref="P15">IFNA(XLOOKUP(J15,'⚙️ Pengaturan'!$E$2:$E3237,'⚙️ Pengaturan'!$F$2:$F3237),"")</f>
        <v>1200000</v>
      </c>
      <c r="Q15" s="49">
        <f t="shared" si="4"/>
        <v>-700000</v>
      </c>
      <c r="R15" s="41" t="s">
        <v>32</v>
      </c>
      <c r="S15" s="50" t="s">
        <v>33</v>
      </c>
      <c r="T15" s="51" t="b">
        <v>1</v>
      </c>
      <c r="U15" s="53"/>
    </row>
    <row r="16" ht="30.0" customHeight="1">
      <c r="A16" s="39"/>
      <c r="B16" s="40">
        <v>1313.0</v>
      </c>
      <c r="C16" s="41" t="s">
        <v>79</v>
      </c>
      <c r="D16" s="42">
        <v>45951.0</v>
      </c>
      <c r="E16" s="43" t="str">
        <f t="shared" si="1"/>
        <v>2025</v>
      </c>
      <c r="F16" s="43" t="str">
        <f t="shared" si="2"/>
        <v>10 Okt</v>
      </c>
      <c r="G16" s="44"/>
      <c r="H16" s="44"/>
      <c r="I16" s="45" t="s">
        <v>107</v>
      </c>
      <c r="J16" s="41" t="s">
        <v>56</v>
      </c>
      <c r="K16" s="43" t="str">
        <f t="array" ref="K16">IF(J16="","", XLOOKUP(J16,'⚙️ Pengaturan'!$E$2:$E3237,'⚙️ Pengaturan'!$G$2:$G3237))</f>
        <v>KLINIK FT PAKET</v>
      </c>
      <c r="L16" s="43" t="str">
        <f t="shared" si="3"/>
        <v>BARU</v>
      </c>
      <c r="M16" s="41" t="s">
        <v>60</v>
      </c>
      <c r="N16" s="46">
        <v>300000.0</v>
      </c>
      <c r="O16" s="65">
        <v>0.0</v>
      </c>
      <c r="P16" s="48">
        <f t="array" ref="P16">IFNA(XLOOKUP(J16,'⚙️ Pengaturan'!$E$2:$E3237,'⚙️ Pengaturan'!$F$2:$F3237),"")</f>
        <v>650000</v>
      </c>
      <c r="Q16" s="49">
        <f t="shared" si="4"/>
        <v>-350000</v>
      </c>
      <c r="R16" s="41" t="s">
        <v>37</v>
      </c>
      <c r="S16" s="76" t="s">
        <v>108</v>
      </c>
      <c r="T16" s="51" t="b">
        <v>1</v>
      </c>
      <c r="U16" s="53"/>
    </row>
    <row r="17" ht="30.0" customHeight="1">
      <c r="A17" s="39"/>
      <c r="B17" s="40">
        <v>1324.0</v>
      </c>
      <c r="C17" s="79" t="s">
        <v>50</v>
      </c>
      <c r="D17" s="80">
        <v>45952.0</v>
      </c>
      <c r="E17" s="43" t="str">
        <f t="shared" si="1"/>
        <v>2025</v>
      </c>
      <c r="F17" s="43" t="str">
        <f t="shared" si="2"/>
        <v>10 Okt</v>
      </c>
      <c r="G17" s="81"/>
      <c r="H17" s="81"/>
      <c r="I17" s="82" t="s">
        <v>111</v>
      </c>
      <c r="J17" s="79" t="s">
        <v>56</v>
      </c>
      <c r="K17" s="43" t="str">
        <f t="array" ref="K17">IF(J17="","", XLOOKUP(J17,'⚙️ Pengaturan'!$E$2:$E3237,'⚙️ Pengaturan'!$G$2:$G3237))</f>
        <v>KLINIK FT PAKET</v>
      </c>
      <c r="L17" s="43" t="str">
        <f t="shared" si="3"/>
        <v>BARU</v>
      </c>
      <c r="M17" s="79" t="s">
        <v>60</v>
      </c>
      <c r="N17" s="83">
        <v>200000.0</v>
      </c>
      <c r="O17" s="84">
        <v>0.0</v>
      </c>
      <c r="P17" s="48">
        <f t="array" ref="P17">IFNA(XLOOKUP(J17,'⚙️ Pengaturan'!$E$2:$E3237,'⚙️ Pengaturan'!$F$2:$F3237),"")</f>
        <v>650000</v>
      </c>
      <c r="Q17" s="49">
        <f t="shared" si="4"/>
        <v>-450000</v>
      </c>
      <c r="R17" s="79" t="s">
        <v>32</v>
      </c>
      <c r="S17" s="85" t="s">
        <v>33</v>
      </c>
      <c r="T17" s="51" t="b">
        <v>1</v>
      </c>
      <c r="U17" s="53"/>
    </row>
    <row r="18" ht="30.0" customHeight="1">
      <c r="A18" s="39"/>
      <c r="B18" s="40">
        <v>1354.0</v>
      </c>
      <c r="C18" s="41" t="s">
        <v>50</v>
      </c>
      <c r="D18" s="86">
        <v>45955.0</v>
      </c>
      <c r="E18" s="43" t="str">
        <f t="shared" si="1"/>
        <v>2025</v>
      </c>
      <c r="F18" s="43" t="str">
        <f t="shared" si="2"/>
        <v>10 Okt</v>
      </c>
      <c r="G18" s="44"/>
      <c r="H18" s="44"/>
      <c r="I18" s="45" t="s">
        <v>113</v>
      </c>
      <c r="J18" s="41" t="s">
        <v>56</v>
      </c>
      <c r="K18" s="43" t="str">
        <f t="array" ref="K18">IF(J18="","", XLOOKUP(J18,'⚙️ Pengaturan'!$E$2:$E3237,'⚙️ Pengaturan'!$G$2:$G3237))</f>
        <v>KLINIK FT PAKET</v>
      </c>
      <c r="L18" s="43" t="str">
        <f t="shared" si="3"/>
        <v>BARU</v>
      </c>
      <c r="M18" s="41" t="s">
        <v>60</v>
      </c>
      <c r="N18" s="46">
        <v>200000.0</v>
      </c>
      <c r="O18" s="65">
        <v>0.0</v>
      </c>
      <c r="P18" s="48">
        <f t="array" ref="P18">IFNA(XLOOKUP(J18,'⚙️ Pengaturan'!$E$2:$E3237,'⚙️ Pengaturan'!$F$2:$F3237),"")</f>
        <v>650000</v>
      </c>
      <c r="Q18" s="49">
        <f t="shared" si="4"/>
        <v>-450000</v>
      </c>
      <c r="R18" s="41" t="s">
        <v>32</v>
      </c>
      <c r="S18" s="76" t="s">
        <v>33</v>
      </c>
      <c r="T18" s="51" t="b">
        <v>1</v>
      </c>
      <c r="U18" s="53"/>
    </row>
    <row r="19" ht="30.0" customHeight="1">
      <c r="A19" s="39"/>
      <c r="B19" s="40">
        <v>1569.0</v>
      </c>
      <c r="C19" s="41" t="s">
        <v>79</v>
      </c>
      <c r="D19" s="86">
        <v>45972.0</v>
      </c>
      <c r="E19" s="43" t="str">
        <f t="shared" si="1"/>
        <v>2025</v>
      </c>
      <c r="F19" s="43" t="str">
        <f t="shared" si="2"/>
        <v>11 Nov</v>
      </c>
      <c r="G19" s="44"/>
      <c r="H19" s="44"/>
      <c r="I19" s="45" t="s">
        <v>94</v>
      </c>
      <c r="J19" s="41" t="s">
        <v>56</v>
      </c>
      <c r="K19" s="43" t="str">
        <f t="array" ref="K19">IF(J19="","", XLOOKUP(J19,'⚙️ Pengaturan'!$E$2:$E3237,'⚙️ Pengaturan'!$G$2:$G3237))</f>
        <v>KLINIK FT PAKET</v>
      </c>
      <c r="L19" s="43" t="str">
        <f t="shared" si="3"/>
        <v>LANJUTAN</v>
      </c>
      <c r="M19" s="41" t="s">
        <v>60</v>
      </c>
      <c r="N19" s="46">
        <v>200000.0</v>
      </c>
      <c r="O19" s="65">
        <v>0.0</v>
      </c>
      <c r="P19" s="48">
        <f t="array" ref="P19">IFNA(XLOOKUP(J19,'⚙️ Pengaturan'!$E$2:$E3237,'⚙️ Pengaturan'!$F$2:$F3237),"")</f>
        <v>650000</v>
      </c>
      <c r="Q19" s="49">
        <f t="shared" si="4"/>
        <v>-450000</v>
      </c>
      <c r="R19" s="41" t="s">
        <v>32</v>
      </c>
      <c r="S19" s="76" t="s">
        <v>33</v>
      </c>
      <c r="T19" s="51" t="b">
        <v>1</v>
      </c>
      <c r="U19" s="53"/>
    </row>
    <row r="20" ht="30.0" customHeight="1">
      <c r="A20" s="39"/>
      <c r="B20" s="40">
        <v>1577.0</v>
      </c>
      <c r="C20" s="41" t="s">
        <v>50</v>
      </c>
      <c r="D20" s="86">
        <v>45973.0</v>
      </c>
      <c r="E20" s="43" t="str">
        <f t="shared" si="1"/>
        <v>2025</v>
      </c>
      <c r="F20" s="43" t="str">
        <f t="shared" si="2"/>
        <v>11 Nov</v>
      </c>
      <c r="G20" s="44"/>
      <c r="H20" s="44"/>
      <c r="I20" s="45" t="s">
        <v>123</v>
      </c>
      <c r="J20" s="41" t="s">
        <v>56</v>
      </c>
      <c r="K20" s="43" t="str">
        <f t="array" ref="K20">IF(J20="","", XLOOKUP(J20,'⚙️ Pengaturan'!$E$2:$E3237,'⚙️ Pengaturan'!$G$2:$G3237))</f>
        <v>KLINIK FT PAKET</v>
      </c>
      <c r="L20" s="43" t="str">
        <f t="shared" si="3"/>
        <v>BARU</v>
      </c>
      <c r="M20" s="41" t="s">
        <v>60</v>
      </c>
      <c r="N20" s="46">
        <v>200000.0</v>
      </c>
      <c r="O20" s="65">
        <v>0.0</v>
      </c>
      <c r="P20" s="48">
        <f t="array" ref="P20">IFNA(XLOOKUP(J20,'⚙️ Pengaturan'!$E$2:$E3237,'⚙️ Pengaturan'!$F$2:$F3237),"")</f>
        <v>650000</v>
      </c>
      <c r="Q20" s="49">
        <f t="shared" si="4"/>
        <v>-450000</v>
      </c>
      <c r="R20" s="41" t="s">
        <v>37</v>
      </c>
      <c r="S20" s="69" t="s">
        <v>123</v>
      </c>
      <c r="T20" s="51" t="b">
        <v>1</v>
      </c>
      <c r="U20" s="53"/>
    </row>
    <row r="21" ht="30.0" customHeight="1">
      <c r="A21" s="39"/>
      <c r="B21" s="40">
        <v>1593.0</v>
      </c>
      <c r="C21" s="41" t="s">
        <v>79</v>
      </c>
      <c r="D21" s="86">
        <v>45976.0</v>
      </c>
      <c r="E21" s="43" t="str">
        <f t="shared" si="1"/>
        <v>2025</v>
      </c>
      <c r="F21" s="43" t="str">
        <f t="shared" si="2"/>
        <v>11 Nov</v>
      </c>
      <c r="G21" s="44"/>
      <c r="H21" s="44"/>
      <c r="I21" s="45" t="s">
        <v>125</v>
      </c>
      <c r="J21" s="41" t="s">
        <v>92</v>
      </c>
      <c r="K21" s="43" t="str">
        <f t="array" ref="K21">IF(J21="","", XLOOKUP(J21,'⚙️ Pengaturan'!$E$2:$E3237,'⚙️ Pengaturan'!$G$2:$G3237))</f>
        <v>KLINIK FT PAKET</v>
      </c>
      <c r="L21" s="43" t="str">
        <f t="shared" si="3"/>
        <v>BARU</v>
      </c>
      <c r="M21" s="41" t="s">
        <v>60</v>
      </c>
      <c r="N21" s="46">
        <v>600000.0</v>
      </c>
      <c r="O21" s="65">
        <v>0.0</v>
      </c>
      <c r="P21" s="48">
        <f t="array" ref="P21">IFNA(XLOOKUP(J21,'⚙️ Pengaturan'!$E$2:$E3237,'⚙️ Pengaturan'!$F$2:$F3237),"")</f>
        <v>1200000</v>
      </c>
      <c r="Q21" s="49">
        <f t="shared" si="4"/>
        <v>-600000</v>
      </c>
      <c r="R21" s="41" t="s">
        <v>32</v>
      </c>
      <c r="S21" s="76" t="s">
        <v>33</v>
      </c>
      <c r="T21" s="51" t="b">
        <v>1</v>
      </c>
      <c r="U21" s="53"/>
    </row>
    <row r="22" ht="30.0" customHeight="1">
      <c r="A22" s="39"/>
      <c r="B22" s="40">
        <v>1637.0</v>
      </c>
      <c r="C22" s="41" t="s">
        <v>50</v>
      </c>
      <c r="D22" s="86">
        <v>45979.0</v>
      </c>
      <c r="E22" s="43" t="str">
        <f t="shared" si="1"/>
        <v>2025</v>
      </c>
      <c r="F22" s="43" t="str">
        <f t="shared" si="2"/>
        <v>11 Nov</v>
      </c>
      <c r="G22" s="44"/>
      <c r="H22" s="44"/>
      <c r="I22" s="45" t="s">
        <v>91</v>
      </c>
      <c r="J22" s="41" t="s">
        <v>92</v>
      </c>
      <c r="K22" s="43" t="str">
        <f t="array" ref="K22">IF(J22="","", XLOOKUP(J22,'⚙️ Pengaturan'!$E$2:$E3237,'⚙️ Pengaturan'!$G$2:$G3237))</f>
        <v>KLINIK FT PAKET</v>
      </c>
      <c r="L22" s="43" t="str">
        <f t="shared" si="3"/>
        <v>LANJUTAN</v>
      </c>
      <c r="M22" s="41" t="s">
        <v>60</v>
      </c>
      <c r="N22" s="46">
        <v>500000.0</v>
      </c>
      <c r="O22" s="65">
        <v>0.0</v>
      </c>
      <c r="P22" s="48">
        <f t="array" ref="P22">IFNA(XLOOKUP(J22,'⚙️ Pengaturan'!$E$2:$E3237,'⚙️ Pengaturan'!$F$2:$F3237),"")</f>
        <v>1200000</v>
      </c>
      <c r="Q22" s="49">
        <f t="shared" si="4"/>
        <v>-700000</v>
      </c>
      <c r="R22" s="41" t="s">
        <v>93</v>
      </c>
      <c r="S22" s="69" t="s">
        <v>91</v>
      </c>
      <c r="T22" s="51" t="b">
        <v>1</v>
      </c>
      <c r="U22" s="94"/>
    </row>
    <row r="23" ht="30.0" customHeight="1">
      <c r="A23" s="39"/>
      <c r="B23" s="40">
        <v>1762.0</v>
      </c>
      <c r="C23" s="41" t="s">
        <v>50</v>
      </c>
      <c r="D23" s="86">
        <v>45990.0</v>
      </c>
      <c r="E23" s="43" t="str">
        <f t="shared" si="1"/>
        <v>2025</v>
      </c>
      <c r="F23" s="43" t="str">
        <f t="shared" si="2"/>
        <v>11 Nov</v>
      </c>
      <c r="G23" s="44"/>
      <c r="H23" s="44"/>
      <c r="I23" s="45" t="s">
        <v>113</v>
      </c>
      <c r="J23" s="41" t="s">
        <v>56</v>
      </c>
      <c r="K23" s="43" t="str">
        <f t="array" ref="K23">IF(J23="","", XLOOKUP(J23,'⚙️ Pengaturan'!$E$2:$E3237,'⚙️ Pengaturan'!$G$2:$G3237))</f>
        <v>KLINIK FT PAKET</v>
      </c>
      <c r="L23" s="43" t="str">
        <f t="shared" si="3"/>
        <v>LANJUTAN</v>
      </c>
      <c r="M23" s="41" t="s">
        <v>60</v>
      </c>
      <c r="N23" s="46">
        <v>200000.0</v>
      </c>
      <c r="O23" s="65">
        <v>0.0</v>
      </c>
      <c r="P23" s="48">
        <f t="array" ref="P23">IFNA(XLOOKUP(J23,'⚙️ Pengaturan'!$E$2:$E3237,'⚙️ Pengaturan'!$F$2:$F3237),"")</f>
        <v>650000</v>
      </c>
      <c r="Q23" s="49">
        <f t="shared" si="4"/>
        <v>-450000</v>
      </c>
      <c r="R23" s="41" t="s">
        <v>32</v>
      </c>
      <c r="S23" s="76" t="s">
        <v>33</v>
      </c>
      <c r="T23" s="51" t="b">
        <v>1</v>
      </c>
      <c r="U23" s="94"/>
    </row>
    <row r="24" ht="30.0" customHeight="1">
      <c r="A24" s="39"/>
      <c r="B24" s="40">
        <v>1896.0</v>
      </c>
      <c r="C24" s="41" t="s">
        <v>79</v>
      </c>
      <c r="D24" s="86">
        <v>46001.0</v>
      </c>
      <c r="E24" s="43" t="str">
        <f t="shared" si="1"/>
        <v>2025</v>
      </c>
      <c r="F24" s="43" t="str">
        <f t="shared" si="2"/>
        <v>12 Des</v>
      </c>
      <c r="G24" s="44"/>
      <c r="H24" s="44"/>
      <c r="I24" s="45" t="s">
        <v>131</v>
      </c>
      <c r="J24" s="41" t="s">
        <v>56</v>
      </c>
      <c r="K24" s="43" t="str">
        <f t="array" ref="K24">IF(J24="","", XLOOKUP(J24,'⚙️ Pengaturan'!$E$2:$E3237,'⚙️ Pengaturan'!$G$2:$G3237))</f>
        <v>KLINIK FT PAKET</v>
      </c>
      <c r="L24" s="43" t="str">
        <f t="shared" si="3"/>
        <v>BARU</v>
      </c>
      <c r="M24" s="41" t="s">
        <v>60</v>
      </c>
      <c r="N24" s="46">
        <v>200000.0</v>
      </c>
      <c r="O24" s="65">
        <v>0.0</v>
      </c>
      <c r="P24" s="48">
        <f t="array" ref="P24">IFNA(XLOOKUP(J24,'⚙️ Pengaturan'!$E$2:$E3237,'⚙️ Pengaturan'!$F$2:$F3237),"")</f>
        <v>650000</v>
      </c>
      <c r="Q24" s="49">
        <f t="shared" si="4"/>
        <v>-450000</v>
      </c>
      <c r="R24" s="41" t="s">
        <v>37</v>
      </c>
      <c r="S24" s="76" t="s">
        <v>131</v>
      </c>
      <c r="T24" s="51" t="b">
        <v>1</v>
      </c>
      <c r="U24" s="94"/>
    </row>
    <row r="25" ht="30.0" customHeight="1">
      <c r="A25" s="39"/>
      <c r="B25" s="40">
        <v>1904.0</v>
      </c>
      <c r="C25" s="41" t="s">
        <v>79</v>
      </c>
      <c r="D25" s="86">
        <v>46001.0</v>
      </c>
      <c r="E25" s="43" t="str">
        <f t="shared" si="1"/>
        <v>2025</v>
      </c>
      <c r="F25" s="43" t="str">
        <f t="shared" si="2"/>
        <v>12 Des</v>
      </c>
      <c r="G25" s="44"/>
      <c r="H25" s="44"/>
      <c r="I25" s="45" t="s">
        <v>132</v>
      </c>
      <c r="J25" s="41" t="s">
        <v>56</v>
      </c>
      <c r="K25" s="43" t="str">
        <f t="array" ref="K25">IF(J25="","", XLOOKUP(J25,'⚙️ Pengaturan'!$E$2:$E3237,'⚙️ Pengaturan'!$G$2:$G3237))</f>
        <v>KLINIK FT PAKET</v>
      </c>
      <c r="L25" s="43" t="str">
        <f t="shared" si="3"/>
        <v>BARU</v>
      </c>
      <c r="M25" s="41" t="s">
        <v>60</v>
      </c>
      <c r="N25" s="46">
        <v>200000.0</v>
      </c>
      <c r="O25" s="65">
        <v>0.0</v>
      </c>
      <c r="P25" s="48">
        <f t="array" ref="P25">IFNA(XLOOKUP(J25,'⚙️ Pengaturan'!$E$2:$E3237,'⚙️ Pengaturan'!$F$2:$F3237),"")</f>
        <v>650000</v>
      </c>
      <c r="Q25" s="49">
        <f t="shared" si="4"/>
        <v>-450000</v>
      </c>
      <c r="R25" s="41" t="s">
        <v>37</v>
      </c>
      <c r="S25" s="76" t="s">
        <v>132</v>
      </c>
      <c r="T25" s="51" t="b">
        <v>1</v>
      </c>
      <c r="U25" s="94"/>
    </row>
    <row r="26" ht="30.0" customHeight="1">
      <c r="A26" s="39"/>
      <c r="B26" s="40">
        <v>1923.0</v>
      </c>
      <c r="C26" s="41" t="s">
        <v>50</v>
      </c>
      <c r="D26" s="86">
        <v>46004.0</v>
      </c>
      <c r="E26" s="43" t="str">
        <f t="shared" si="1"/>
        <v>2025</v>
      </c>
      <c r="F26" s="43" t="str">
        <f t="shared" si="2"/>
        <v>12 Des</v>
      </c>
      <c r="G26" s="44"/>
      <c r="H26" s="44"/>
      <c r="I26" s="45" t="s">
        <v>136</v>
      </c>
      <c r="J26" s="41" t="s">
        <v>56</v>
      </c>
      <c r="K26" s="43" t="str">
        <f t="array" ref="K26">IF(J26="","", XLOOKUP(J26,'⚙️ Pengaturan'!$E$2:$E3237,'⚙️ Pengaturan'!$G$2:$G3237))</f>
        <v>KLINIK FT PAKET</v>
      </c>
      <c r="L26" s="43" t="str">
        <f t="shared" si="3"/>
        <v>BARU</v>
      </c>
      <c r="M26" s="41" t="s">
        <v>60</v>
      </c>
      <c r="N26" s="46">
        <v>200000.0</v>
      </c>
      <c r="O26" s="65">
        <v>0.0</v>
      </c>
      <c r="P26" s="48">
        <f t="array" ref="P26">IFNA(XLOOKUP(J26,'⚙️ Pengaturan'!$E$2:$E3237,'⚙️ Pengaturan'!$F$2:$F3237),"")</f>
        <v>650000</v>
      </c>
      <c r="Q26" s="49">
        <f t="shared" si="4"/>
        <v>-450000</v>
      </c>
      <c r="R26" s="41" t="s">
        <v>37</v>
      </c>
      <c r="S26" s="69" t="s">
        <v>136</v>
      </c>
      <c r="T26" s="51" t="b">
        <v>1</v>
      </c>
      <c r="U26" s="94"/>
    </row>
    <row r="27" ht="30.0" customHeight="1">
      <c r="A27" s="39"/>
      <c r="B27" s="40">
        <v>1974.0</v>
      </c>
      <c r="C27" s="41" t="s">
        <v>79</v>
      </c>
      <c r="D27" s="86">
        <v>46007.0</v>
      </c>
      <c r="E27" s="43" t="str">
        <f t="shared" si="1"/>
        <v>2025</v>
      </c>
      <c r="F27" s="43" t="str">
        <f t="shared" si="2"/>
        <v>12 Des</v>
      </c>
      <c r="G27" s="44"/>
      <c r="H27" s="44"/>
      <c r="I27" s="45" t="s">
        <v>137</v>
      </c>
      <c r="J27" s="41" t="s">
        <v>138</v>
      </c>
      <c r="K27" s="43" t="str">
        <f t="array" ref="K27">IF(J27="","", XLOOKUP(J27,'⚙️ Pengaturan'!$E$2:$E3237,'⚙️ Pengaturan'!$G$2:$G3237))</f>
        <v>VISIT FT PAKET</v>
      </c>
      <c r="L27" s="43" t="str">
        <f t="shared" si="3"/>
        <v>BARU</v>
      </c>
      <c r="M27" s="41" t="s">
        <v>60</v>
      </c>
      <c r="N27" s="46">
        <v>1000000.0</v>
      </c>
      <c r="O27" s="65">
        <v>0.0</v>
      </c>
      <c r="P27" s="48">
        <f t="array" ref="P27">IFNA(XLOOKUP(J27,'⚙️ Pengaturan'!$E$2:$E3237,'⚙️ Pengaturan'!$F$2:$F3237),"")</f>
        <v>1800000</v>
      </c>
      <c r="Q27" s="49">
        <f t="shared" si="4"/>
        <v>-800000</v>
      </c>
      <c r="R27" s="41" t="s">
        <v>37</v>
      </c>
      <c r="S27" s="76" t="s">
        <v>137</v>
      </c>
      <c r="T27" s="51" t="b">
        <v>1</v>
      </c>
      <c r="U27" s="94"/>
    </row>
    <row r="28" ht="30.0" customHeight="1">
      <c r="A28" s="39"/>
      <c r="B28" s="40">
        <v>1982.0</v>
      </c>
      <c r="C28" s="41" t="s">
        <v>50</v>
      </c>
      <c r="D28" s="86">
        <v>46008.0</v>
      </c>
      <c r="E28" s="43" t="str">
        <f t="shared" si="1"/>
        <v>2025</v>
      </c>
      <c r="F28" s="43" t="str">
        <f t="shared" si="2"/>
        <v>12 Des</v>
      </c>
      <c r="G28" s="44"/>
      <c r="H28" s="44"/>
      <c r="I28" s="45" t="s">
        <v>139</v>
      </c>
      <c r="J28" s="41" t="s">
        <v>92</v>
      </c>
      <c r="K28" s="43" t="str">
        <f t="array" ref="K28">IF(J28="","", XLOOKUP(J28,'⚙️ Pengaturan'!$E$2:$E3237,'⚙️ Pengaturan'!$G$2:$G3237))</f>
        <v>KLINIK FT PAKET</v>
      </c>
      <c r="L28" s="43" t="str">
        <f t="shared" si="3"/>
        <v>BARU</v>
      </c>
      <c r="M28" s="41" t="s">
        <v>60</v>
      </c>
      <c r="N28" s="46">
        <v>500000.0</v>
      </c>
      <c r="O28" s="65">
        <v>0.0</v>
      </c>
      <c r="P28" s="48">
        <f t="array" ref="P28">IFNA(XLOOKUP(J28,'⚙️ Pengaturan'!$E$2:$E3237,'⚙️ Pengaturan'!$F$2:$F3237),"")</f>
        <v>1200000</v>
      </c>
      <c r="Q28" s="49">
        <f t="shared" si="4"/>
        <v>-700000</v>
      </c>
      <c r="R28" s="41" t="s">
        <v>37</v>
      </c>
      <c r="S28" s="76" t="s">
        <v>141</v>
      </c>
      <c r="T28" s="51" t="b">
        <v>1</v>
      </c>
      <c r="U28" s="94"/>
    </row>
    <row r="29" ht="30.0" customHeight="1">
      <c r="A29" s="39"/>
      <c r="B29" s="40">
        <v>2040.0</v>
      </c>
      <c r="C29" s="41" t="s">
        <v>50</v>
      </c>
      <c r="D29" s="86">
        <v>46014.0</v>
      </c>
      <c r="E29" s="43" t="str">
        <f t="shared" si="1"/>
        <v>2025</v>
      </c>
      <c r="F29" s="43" t="str">
        <f t="shared" si="2"/>
        <v>12 Des</v>
      </c>
      <c r="G29" s="44"/>
      <c r="H29" s="44"/>
      <c r="I29" s="45" t="s">
        <v>132</v>
      </c>
      <c r="J29" s="41" t="s">
        <v>56</v>
      </c>
      <c r="K29" s="43" t="str">
        <f t="array" ref="K29">IF(J29="","", XLOOKUP(J29,'⚙️ Pengaturan'!$E$2:$E3237,'⚙️ Pengaturan'!$G$2:$G3237))</f>
        <v>KLINIK FT PAKET</v>
      </c>
      <c r="L29" s="43" t="str">
        <f t="shared" si="3"/>
        <v>LANJUTAN</v>
      </c>
      <c r="M29" s="41" t="s">
        <v>81</v>
      </c>
      <c r="N29" s="46">
        <v>200000.0</v>
      </c>
      <c r="O29" s="65">
        <v>200000.0</v>
      </c>
      <c r="P29" s="48">
        <f t="array" ref="P29">IFNA(XLOOKUP(J29,'⚙️ Pengaturan'!$E$2:$E3237,'⚙️ Pengaturan'!$F$2:$F3237),"")</f>
        <v>650000</v>
      </c>
      <c r="Q29" s="49">
        <f t="shared" si="4"/>
        <v>-250000</v>
      </c>
      <c r="R29" s="41" t="s">
        <v>37</v>
      </c>
      <c r="S29" s="69" t="s">
        <v>132</v>
      </c>
      <c r="T29" s="51" t="b">
        <v>1</v>
      </c>
      <c r="U29" s="94"/>
    </row>
    <row r="30" ht="30.0" customHeight="1">
      <c r="A30" s="39"/>
      <c r="B30" s="40">
        <v>2043.0</v>
      </c>
      <c r="C30" s="41" t="s">
        <v>50</v>
      </c>
      <c r="D30" s="86">
        <v>46014.0</v>
      </c>
      <c r="E30" s="43" t="str">
        <f t="shared" si="1"/>
        <v>2025</v>
      </c>
      <c r="F30" s="43" t="str">
        <f t="shared" si="2"/>
        <v>12 Des</v>
      </c>
      <c r="G30" s="44"/>
      <c r="H30" s="44"/>
      <c r="I30" s="45" t="s">
        <v>145</v>
      </c>
      <c r="J30" s="41" t="s">
        <v>56</v>
      </c>
      <c r="K30" s="43" t="str">
        <f t="array" ref="K30">IF(J30="","", XLOOKUP(J30,'⚙️ Pengaturan'!$E$2:$E3237,'⚙️ Pengaturan'!$G$2:$G3237))</f>
        <v>KLINIK FT PAKET</v>
      </c>
      <c r="L30" s="43" t="str">
        <f t="shared" si="3"/>
        <v>BARU</v>
      </c>
      <c r="M30" s="41" t="s">
        <v>60</v>
      </c>
      <c r="N30" s="46">
        <v>200000.0</v>
      </c>
      <c r="O30" s="65">
        <v>0.0</v>
      </c>
      <c r="P30" s="48">
        <f t="array" ref="P30">IFNA(XLOOKUP(J30,'⚙️ Pengaturan'!$E$2:$E3237,'⚙️ Pengaturan'!$F$2:$F3237),"")</f>
        <v>650000</v>
      </c>
      <c r="Q30" s="49">
        <f t="shared" si="4"/>
        <v>-450000</v>
      </c>
      <c r="R30" s="41" t="s">
        <v>32</v>
      </c>
      <c r="S30" s="76" t="s">
        <v>33</v>
      </c>
      <c r="T30" s="51" t="b">
        <v>1</v>
      </c>
      <c r="U30" s="94"/>
    </row>
    <row r="31" ht="30.0" customHeight="1">
      <c r="A31" s="39"/>
      <c r="B31" s="40">
        <v>2056.0</v>
      </c>
      <c r="C31" s="41" t="s">
        <v>50</v>
      </c>
      <c r="D31" s="86">
        <v>46015.0</v>
      </c>
      <c r="E31" s="43" t="str">
        <f t="shared" si="1"/>
        <v>2025</v>
      </c>
      <c r="F31" s="43" t="str">
        <f t="shared" si="2"/>
        <v>12 Des</v>
      </c>
      <c r="G31" s="44"/>
      <c r="H31" s="44"/>
      <c r="I31" s="45" t="s">
        <v>147</v>
      </c>
      <c r="J31" s="41" t="s">
        <v>92</v>
      </c>
      <c r="K31" s="43" t="str">
        <f t="array" ref="K31">IF(J31="","", XLOOKUP(J31,'⚙️ Pengaturan'!$E$2:$E3237,'⚙️ Pengaturan'!$G$2:$G3237))</f>
        <v>KLINIK FT PAKET</v>
      </c>
      <c r="L31" s="43" t="str">
        <f t="shared" si="3"/>
        <v>BARU</v>
      </c>
      <c r="M31" s="41" t="s">
        <v>60</v>
      </c>
      <c r="N31" s="46">
        <v>500000.0</v>
      </c>
      <c r="O31" s="65">
        <v>0.0</v>
      </c>
      <c r="P31" s="48">
        <f t="array" ref="P31">IFNA(XLOOKUP(J31,'⚙️ Pengaturan'!$E$2:$E3237,'⚙️ Pengaturan'!$F$2:$F3237),"")</f>
        <v>1200000</v>
      </c>
      <c r="Q31" s="49">
        <f t="shared" si="4"/>
        <v>-700000</v>
      </c>
      <c r="R31" s="41" t="s">
        <v>32</v>
      </c>
      <c r="S31" s="76" t="s">
        <v>33</v>
      </c>
      <c r="T31" s="51" t="b">
        <v>1</v>
      </c>
      <c r="U31" s="94"/>
    </row>
    <row r="32" ht="30.0" customHeight="1">
      <c r="A32" s="39"/>
      <c r="B32" s="40">
        <v>2063.0</v>
      </c>
      <c r="C32" s="41" t="s">
        <v>69</v>
      </c>
      <c r="D32" s="95">
        <v>46017.0</v>
      </c>
      <c r="E32" s="43" t="str">
        <f t="shared" si="1"/>
        <v>2025</v>
      </c>
      <c r="F32" s="43" t="str">
        <f t="shared" si="2"/>
        <v>12 Des</v>
      </c>
      <c r="G32" s="45" t="s">
        <v>40</v>
      </c>
      <c r="H32" s="45" t="s">
        <v>150</v>
      </c>
      <c r="I32" s="45" t="s">
        <v>151</v>
      </c>
      <c r="J32" s="41" t="s">
        <v>28</v>
      </c>
      <c r="K32" s="43" t="str">
        <f t="array" ref="K32">IF(J32="","", XLOOKUP(J32,'⚙️ Pengaturan'!$E$2:$E3237,'⚙️ Pengaturan'!$G$2:$G3237))</f>
        <v>KLINIK FT TA</v>
      </c>
      <c r="L32" s="43" t="str">
        <f t="shared" si="3"/>
        <v>BARU</v>
      </c>
      <c r="M32" s="41" t="s">
        <v>31</v>
      </c>
      <c r="N32" s="46">
        <v>250000.0</v>
      </c>
      <c r="O32" s="65">
        <v>0.0</v>
      </c>
      <c r="P32" s="48">
        <f t="array" ref="P32">IFNA(XLOOKUP(J32,'⚙️ Pengaturan'!$E$2:$E3237,'⚙️ Pengaturan'!$F$2:$F3237),"")</f>
        <v>250000</v>
      </c>
      <c r="Q32" s="49">
        <f t="shared" si="4"/>
        <v>0</v>
      </c>
      <c r="R32" s="41" t="s">
        <v>37</v>
      </c>
      <c r="S32" s="69" t="s">
        <v>151</v>
      </c>
      <c r="T32" s="51" t="b">
        <v>1</v>
      </c>
      <c r="U32" s="94"/>
    </row>
    <row r="33" ht="30.0" customHeight="1">
      <c r="A33" s="39"/>
      <c r="B33" s="40">
        <v>2064.0</v>
      </c>
      <c r="C33" s="41" t="s">
        <v>69</v>
      </c>
      <c r="D33" s="86">
        <v>46017.0</v>
      </c>
      <c r="E33" s="43" t="str">
        <f t="shared" si="1"/>
        <v>2025</v>
      </c>
      <c r="F33" s="43" t="str">
        <f t="shared" si="2"/>
        <v>12 Des</v>
      </c>
      <c r="G33" s="45" t="s">
        <v>40</v>
      </c>
      <c r="H33" s="45" t="s">
        <v>150</v>
      </c>
      <c r="I33" s="45" t="s">
        <v>151</v>
      </c>
      <c r="J33" s="41" t="s">
        <v>56</v>
      </c>
      <c r="K33" s="43" t="str">
        <f t="array" ref="K33">IF(J33="","", XLOOKUP(J33,'⚙️ Pengaturan'!$E$2:$E3237,'⚙️ Pengaturan'!$G$2:$G3237))</f>
        <v>KLINIK FT PAKET</v>
      </c>
      <c r="L33" s="43" t="str">
        <f t="shared" si="3"/>
        <v>BARU</v>
      </c>
      <c r="M33" s="41" t="s">
        <v>31</v>
      </c>
      <c r="N33" s="46">
        <v>650000.0</v>
      </c>
      <c r="O33" s="65">
        <v>0.0</v>
      </c>
      <c r="P33" s="48">
        <f t="array" ref="P33">IFNA(XLOOKUP(J33,'⚙️ Pengaturan'!$E$2:$E3237,'⚙️ Pengaturan'!$F$2:$F3237),"")</f>
        <v>650000</v>
      </c>
      <c r="Q33" s="49">
        <f t="shared" si="4"/>
        <v>0</v>
      </c>
      <c r="R33" s="41" t="s">
        <v>37</v>
      </c>
      <c r="S33" s="69" t="s">
        <v>151</v>
      </c>
      <c r="T33" s="51" t="b">
        <v>1</v>
      </c>
      <c r="U33" s="94"/>
    </row>
    <row r="34" ht="30.0" customHeight="1">
      <c r="A34" s="39"/>
      <c r="B34" s="40">
        <v>2065.0</v>
      </c>
      <c r="C34" s="41" t="s">
        <v>69</v>
      </c>
      <c r="D34" s="86">
        <v>46017.0</v>
      </c>
      <c r="E34" s="43" t="str">
        <f t="shared" si="1"/>
        <v>2025</v>
      </c>
      <c r="F34" s="43" t="str">
        <f t="shared" si="2"/>
        <v>12 Des</v>
      </c>
      <c r="G34" s="45" t="s">
        <v>155</v>
      </c>
      <c r="H34" s="45" t="s">
        <v>156</v>
      </c>
      <c r="I34" s="45" t="s">
        <v>157</v>
      </c>
      <c r="J34" s="41" t="s">
        <v>28</v>
      </c>
      <c r="K34" s="43" t="str">
        <f t="array" ref="K34">IF(J34="","", XLOOKUP(J34,'⚙️ Pengaturan'!$E$2:$E3237,'⚙️ Pengaturan'!$G$2:$G3237))</f>
        <v>KLINIK FT TA</v>
      </c>
      <c r="L34" s="43" t="str">
        <f t="shared" si="3"/>
        <v>BARU</v>
      </c>
      <c r="M34" s="41" t="s">
        <v>31</v>
      </c>
      <c r="N34" s="46">
        <v>250000.0</v>
      </c>
      <c r="O34" s="65">
        <v>0.0</v>
      </c>
      <c r="P34" s="48">
        <f t="array" ref="P34">IFNA(XLOOKUP(J34,'⚙️ Pengaturan'!$E$2:$E3237,'⚙️ Pengaturan'!$F$2:$F3237),"")</f>
        <v>250000</v>
      </c>
      <c r="Q34" s="49">
        <f t="shared" si="4"/>
        <v>0</v>
      </c>
      <c r="R34" s="41" t="s">
        <v>37</v>
      </c>
      <c r="S34" s="76" t="s">
        <v>159</v>
      </c>
      <c r="T34" s="51" t="b">
        <v>1</v>
      </c>
      <c r="U34" s="94"/>
    </row>
    <row r="35" ht="30.0" customHeight="1">
      <c r="A35" s="39"/>
      <c r="B35" s="40">
        <v>2066.0</v>
      </c>
      <c r="C35" s="41" t="s">
        <v>79</v>
      </c>
      <c r="D35" s="86">
        <v>46018.0</v>
      </c>
      <c r="E35" s="43" t="str">
        <f t="shared" si="1"/>
        <v>2025</v>
      </c>
      <c r="F35" s="43" t="str">
        <f t="shared" si="2"/>
        <v>12 Des</v>
      </c>
      <c r="G35" s="45" t="s">
        <v>161</v>
      </c>
      <c r="H35" s="45" t="s">
        <v>162</v>
      </c>
      <c r="I35" s="45" t="s">
        <v>163</v>
      </c>
      <c r="J35" s="41" t="s">
        <v>56</v>
      </c>
      <c r="K35" s="43" t="str">
        <f t="array" ref="K35">IF(J35="","", XLOOKUP(J35,'⚙️ Pengaturan'!$E$2:$E3237,'⚙️ Pengaturan'!$G$2:$G3237))</f>
        <v>KLINIK FT PAKET</v>
      </c>
      <c r="L35" s="43" t="str">
        <f t="shared" si="3"/>
        <v>BARU</v>
      </c>
      <c r="M35" s="41" t="s">
        <v>164</v>
      </c>
      <c r="N35" s="46">
        <v>450000.0</v>
      </c>
      <c r="O35" s="65">
        <v>200000.0</v>
      </c>
      <c r="P35" s="48">
        <f t="array" ref="P35">IFNA(XLOOKUP(J35,'⚙️ Pengaturan'!$E$2:$E3237,'⚙️ Pengaturan'!$F$2:$F3237),"")</f>
        <v>650000</v>
      </c>
      <c r="Q35" s="49">
        <f t="shared" si="4"/>
        <v>0</v>
      </c>
      <c r="R35" s="41" t="s">
        <v>32</v>
      </c>
      <c r="S35" s="76" t="s">
        <v>33</v>
      </c>
      <c r="T35" s="51" t="b">
        <v>1</v>
      </c>
      <c r="U35" s="94"/>
    </row>
    <row r="36" ht="30.0" customHeight="1">
      <c r="A36" s="39"/>
      <c r="B36" s="40">
        <v>2067.0</v>
      </c>
      <c r="C36" s="41" t="s">
        <v>79</v>
      </c>
      <c r="D36" s="86">
        <v>46018.0</v>
      </c>
      <c r="E36" s="43" t="str">
        <f t="shared" si="1"/>
        <v>2025</v>
      </c>
      <c r="F36" s="43" t="str">
        <f t="shared" si="2"/>
        <v>12 Des</v>
      </c>
      <c r="G36" s="45" t="s">
        <v>161</v>
      </c>
      <c r="H36" s="45" t="s">
        <v>166</v>
      </c>
      <c r="I36" s="45" t="s">
        <v>167</v>
      </c>
      <c r="J36" s="41" t="s">
        <v>28</v>
      </c>
      <c r="K36" s="43" t="str">
        <f t="array" ref="K36">IF(J36="","", XLOOKUP(J36,'⚙️ Pengaturan'!$E$2:$E3237,'⚙️ Pengaturan'!$G$2:$G3237))</f>
        <v>KLINIK FT TA</v>
      </c>
      <c r="L36" s="43" t="str">
        <f t="shared" si="3"/>
        <v>BARU</v>
      </c>
      <c r="M36" s="41" t="s">
        <v>31</v>
      </c>
      <c r="N36" s="46">
        <v>250000.0</v>
      </c>
      <c r="O36" s="65">
        <v>0.0</v>
      </c>
      <c r="P36" s="48">
        <f t="array" ref="P36">IFNA(XLOOKUP(J36,'⚙️ Pengaturan'!$E$2:$E3237,'⚙️ Pengaturan'!$F$2:$F3237),"")</f>
        <v>250000</v>
      </c>
      <c r="Q36" s="49">
        <f t="shared" si="4"/>
        <v>0</v>
      </c>
      <c r="R36" s="41" t="s">
        <v>93</v>
      </c>
      <c r="S36" s="76" t="s">
        <v>168</v>
      </c>
      <c r="T36" s="51" t="b">
        <v>1</v>
      </c>
      <c r="U36" s="94"/>
    </row>
    <row r="37" ht="30.0" customHeight="1">
      <c r="A37" s="39"/>
      <c r="B37" s="40">
        <v>2068.0</v>
      </c>
      <c r="C37" s="41" t="s">
        <v>79</v>
      </c>
      <c r="D37" s="86">
        <v>46018.0</v>
      </c>
      <c r="E37" s="43" t="str">
        <f t="shared" si="1"/>
        <v>2025</v>
      </c>
      <c r="F37" s="43" t="str">
        <f t="shared" si="2"/>
        <v>12 Des</v>
      </c>
      <c r="G37" s="45" t="s">
        <v>25</v>
      </c>
      <c r="H37" s="45" t="s">
        <v>76</v>
      </c>
      <c r="I37" s="45" t="s">
        <v>170</v>
      </c>
      <c r="J37" s="41" t="s">
        <v>56</v>
      </c>
      <c r="K37" s="43" t="str">
        <f t="array" ref="K37">IF(J37="","", XLOOKUP(J37,'⚙️ Pengaturan'!$E$2:$E3237,'⚙️ Pengaturan'!$G$2:$G3237))</f>
        <v>KLINIK FT PAKET</v>
      </c>
      <c r="L37" s="43" t="str">
        <f t="shared" si="3"/>
        <v>BARU</v>
      </c>
      <c r="M37" s="41" t="s">
        <v>31</v>
      </c>
      <c r="N37" s="46">
        <v>650000.0</v>
      </c>
      <c r="O37" s="65">
        <v>0.0</v>
      </c>
      <c r="P37" s="48">
        <f t="array" ref="P37">IFNA(XLOOKUP(J37,'⚙️ Pengaturan'!$E$2:$E3237,'⚙️ Pengaturan'!$F$2:$F3237),"")</f>
        <v>650000</v>
      </c>
      <c r="Q37" s="49">
        <f t="shared" si="4"/>
        <v>0</v>
      </c>
      <c r="R37" s="41" t="s">
        <v>93</v>
      </c>
      <c r="S37" s="76" t="s">
        <v>172</v>
      </c>
      <c r="T37" s="51" t="b">
        <v>1</v>
      </c>
      <c r="U37" s="94"/>
    </row>
    <row r="38" ht="30.0" customHeight="1">
      <c r="A38" s="39"/>
      <c r="B38" s="40">
        <v>2069.0</v>
      </c>
      <c r="C38" s="41" t="s">
        <v>50</v>
      </c>
      <c r="D38" s="86">
        <v>46018.0</v>
      </c>
      <c r="E38" s="43" t="str">
        <f t="shared" si="1"/>
        <v>2025</v>
      </c>
      <c r="F38" s="43" t="str">
        <f t="shared" si="2"/>
        <v>12 Des</v>
      </c>
      <c r="G38" s="45" t="s">
        <v>173</v>
      </c>
      <c r="H38" s="45" t="s">
        <v>149</v>
      </c>
      <c r="I38" s="45" t="s">
        <v>174</v>
      </c>
      <c r="J38" s="41" t="s">
        <v>56</v>
      </c>
      <c r="K38" s="43" t="str">
        <f t="array" ref="K38">IF(J38="","", XLOOKUP(J38,'⚙️ Pengaturan'!$E$2:$E3237,'⚙️ Pengaturan'!$G$2:$G3237))</f>
        <v>KLINIK FT PAKET</v>
      </c>
      <c r="L38" s="43" t="str">
        <f t="shared" si="3"/>
        <v>BARU</v>
      </c>
      <c r="M38" s="41" t="s">
        <v>31</v>
      </c>
      <c r="N38" s="46">
        <v>650000.0</v>
      </c>
      <c r="O38" s="65">
        <v>0.0</v>
      </c>
      <c r="P38" s="48">
        <f t="array" ref="P38">IFNA(XLOOKUP(J38,'⚙️ Pengaturan'!$E$2:$E3237,'⚙️ Pengaturan'!$F$2:$F3237),"")</f>
        <v>650000</v>
      </c>
      <c r="Q38" s="49">
        <f t="shared" si="4"/>
        <v>0</v>
      </c>
      <c r="R38" s="41" t="s">
        <v>37</v>
      </c>
      <c r="S38" s="69" t="s">
        <v>174</v>
      </c>
      <c r="T38" s="51" t="b">
        <v>1</v>
      </c>
      <c r="U38" s="94"/>
    </row>
    <row r="39" ht="30.0" customHeight="1">
      <c r="A39" s="39"/>
      <c r="B39" s="40">
        <v>2070.0</v>
      </c>
      <c r="C39" s="41" t="s">
        <v>50</v>
      </c>
      <c r="D39" s="86">
        <v>46018.0</v>
      </c>
      <c r="E39" s="43" t="str">
        <f t="shared" si="1"/>
        <v>2025</v>
      </c>
      <c r="F39" s="43" t="str">
        <f t="shared" si="2"/>
        <v>12 Des</v>
      </c>
      <c r="G39" s="45" t="s">
        <v>35</v>
      </c>
      <c r="H39" s="45" t="s">
        <v>166</v>
      </c>
      <c r="I39" s="45" t="s">
        <v>176</v>
      </c>
      <c r="J39" s="41" t="s">
        <v>28</v>
      </c>
      <c r="K39" s="43" t="str">
        <f t="array" ref="K39">IF(J39="","", XLOOKUP(J39,'⚙️ Pengaturan'!$E$2:$E3237,'⚙️ Pengaturan'!$G$2:$G3237))</f>
        <v>KLINIK FT TA</v>
      </c>
      <c r="L39" s="43" t="str">
        <f t="shared" si="3"/>
        <v>BARU</v>
      </c>
      <c r="M39" s="41" t="s">
        <v>31</v>
      </c>
      <c r="N39" s="46">
        <v>250000.0</v>
      </c>
      <c r="O39" s="65">
        <v>0.0</v>
      </c>
      <c r="P39" s="48">
        <f t="array" ref="P39">IFNA(XLOOKUP(J39,'⚙️ Pengaturan'!$E$2:$E3237,'⚙️ Pengaturan'!$F$2:$F3237),"")</f>
        <v>250000</v>
      </c>
      <c r="Q39" s="49">
        <f t="shared" si="4"/>
        <v>0</v>
      </c>
      <c r="R39" s="41" t="s">
        <v>37</v>
      </c>
      <c r="S39" s="76" t="s">
        <v>177</v>
      </c>
      <c r="T39" s="51" t="b">
        <v>1</v>
      </c>
      <c r="U39" s="94"/>
    </row>
    <row r="40" ht="30.0" customHeight="1">
      <c r="A40" s="39"/>
      <c r="B40" s="40">
        <v>2071.0</v>
      </c>
      <c r="C40" s="41" t="s">
        <v>50</v>
      </c>
      <c r="D40" s="86">
        <v>46018.0</v>
      </c>
      <c r="E40" s="43" t="str">
        <f t="shared" si="1"/>
        <v>2025</v>
      </c>
      <c r="F40" s="43" t="str">
        <f t="shared" si="2"/>
        <v>12 Des</v>
      </c>
      <c r="G40" s="45" t="s">
        <v>43</v>
      </c>
      <c r="H40" s="45" t="s">
        <v>162</v>
      </c>
      <c r="I40" s="45" t="s">
        <v>179</v>
      </c>
      <c r="J40" s="41" t="s">
        <v>180</v>
      </c>
      <c r="K40" s="43" t="str">
        <f t="array" ref="K40">IF(J40="","", XLOOKUP(J40,'⚙️ Pengaturan'!$E$2:$E3237,'⚙️ Pengaturan'!$G$2:$G3237))</f>
        <v>KLINIK FT SESI</v>
      </c>
      <c r="L40" s="43" t="str">
        <f t="shared" si="3"/>
        <v>BARU</v>
      </c>
      <c r="M40" s="41" t="s">
        <v>31</v>
      </c>
      <c r="N40" s="46">
        <v>150000.0</v>
      </c>
      <c r="O40" s="65">
        <v>0.0</v>
      </c>
      <c r="P40" s="48">
        <f t="array" ref="P40">IFNA(XLOOKUP(J40,'⚙️ Pengaturan'!$E$2:$E3237,'⚙️ Pengaturan'!$F$2:$F3237),"")</f>
        <v>150000</v>
      </c>
      <c r="Q40" s="49">
        <f t="shared" si="4"/>
        <v>0</v>
      </c>
      <c r="R40" s="41" t="s">
        <v>32</v>
      </c>
      <c r="S40" s="76" t="s">
        <v>33</v>
      </c>
      <c r="T40" s="51" t="b">
        <v>1</v>
      </c>
      <c r="U40" s="94"/>
    </row>
    <row r="41" ht="30.0" customHeight="1">
      <c r="A41" s="39"/>
      <c r="B41" s="40">
        <v>2072.0</v>
      </c>
      <c r="C41" s="41" t="s">
        <v>50</v>
      </c>
      <c r="D41" s="86">
        <v>46018.0</v>
      </c>
      <c r="E41" s="43" t="str">
        <f t="shared" si="1"/>
        <v>2025</v>
      </c>
      <c r="F41" s="43" t="str">
        <f t="shared" si="2"/>
        <v>12 Des</v>
      </c>
      <c r="G41" s="45" t="s">
        <v>40</v>
      </c>
      <c r="H41" s="45" t="s">
        <v>47</v>
      </c>
      <c r="I41" s="45" t="s">
        <v>183</v>
      </c>
      <c r="J41" s="41" t="s">
        <v>180</v>
      </c>
      <c r="K41" s="43" t="str">
        <f t="array" ref="K41">IF(J41="","", XLOOKUP(J41,'⚙️ Pengaturan'!$E$2:$E3237,'⚙️ Pengaturan'!$G$2:$G3237))</f>
        <v>KLINIK FT SESI</v>
      </c>
      <c r="L41" s="43" t="str">
        <f t="shared" si="3"/>
        <v>BARU</v>
      </c>
      <c r="M41" s="41" t="s">
        <v>31</v>
      </c>
      <c r="N41" s="46">
        <v>150000.0</v>
      </c>
      <c r="O41" s="65">
        <v>0.0</v>
      </c>
      <c r="P41" s="48">
        <f t="array" ref="P41">IFNA(XLOOKUP(J41,'⚙️ Pengaturan'!$E$2:$E3237,'⚙️ Pengaturan'!$F$2:$F3237),"")</f>
        <v>150000</v>
      </c>
      <c r="Q41" s="49">
        <f t="shared" si="4"/>
        <v>0</v>
      </c>
      <c r="R41" s="41" t="s">
        <v>37</v>
      </c>
      <c r="S41" s="69" t="s">
        <v>183</v>
      </c>
      <c r="T41" s="51" t="b">
        <v>1</v>
      </c>
      <c r="U41" s="94"/>
    </row>
    <row r="42" ht="30.0" customHeight="1">
      <c r="A42" s="39"/>
      <c r="B42" s="40">
        <v>2073.0</v>
      </c>
      <c r="C42" s="41" t="s">
        <v>50</v>
      </c>
      <c r="D42" s="86">
        <v>46018.0</v>
      </c>
      <c r="E42" s="43" t="str">
        <f t="shared" si="1"/>
        <v>2025</v>
      </c>
      <c r="F42" s="43" t="str">
        <f t="shared" si="2"/>
        <v>12 Des</v>
      </c>
      <c r="G42" s="45" t="s">
        <v>173</v>
      </c>
      <c r="H42" s="45" t="s">
        <v>76</v>
      </c>
      <c r="I42" s="45" t="s">
        <v>185</v>
      </c>
      <c r="J42" s="41" t="s">
        <v>56</v>
      </c>
      <c r="K42" s="43" t="str">
        <f t="array" ref="K42">IF(J42="","", XLOOKUP(J42,'⚙️ Pengaturan'!$E$2:$E3237,'⚙️ Pengaturan'!$G$2:$G3237))</f>
        <v>KLINIK FT PAKET</v>
      </c>
      <c r="L42" s="43" t="str">
        <f t="shared" si="3"/>
        <v>BARU</v>
      </c>
      <c r="M42" s="41" t="s">
        <v>31</v>
      </c>
      <c r="N42" s="46">
        <v>650000.0</v>
      </c>
      <c r="O42" s="65">
        <v>0.0</v>
      </c>
      <c r="P42" s="48">
        <f t="array" ref="P42">IFNA(XLOOKUP(J42,'⚙️ Pengaturan'!$E$2:$E3237,'⚙️ Pengaturan'!$F$2:$F3237),"")</f>
        <v>650000</v>
      </c>
      <c r="Q42" s="49">
        <f t="shared" si="4"/>
        <v>0</v>
      </c>
      <c r="R42" s="41" t="s">
        <v>37</v>
      </c>
      <c r="S42" s="69" t="s">
        <v>185</v>
      </c>
      <c r="T42" s="51" t="b">
        <v>1</v>
      </c>
      <c r="U42" s="94"/>
    </row>
    <row r="43" ht="30.0" customHeight="1">
      <c r="A43" s="39"/>
      <c r="B43" s="40">
        <v>2074.0</v>
      </c>
      <c r="C43" s="41" t="s">
        <v>50</v>
      </c>
      <c r="D43" s="86">
        <v>46018.0</v>
      </c>
      <c r="E43" s="43" t="str">
        <f t="shared" si="1"/>
        <v>2025</v>
      </c>
      <c r="F43" s="43" t="str">
        <f t="shared" si="2"/>
        <v>12 Des</v>
      </c>
      <c r="G43" s="45" t="s">
        <v>155</v>
      </c>
      <c r="H43" s="45" t="s">
        <v>149</v>
      </c>
      <c r="I43" s="45" t="s">
        <v>187</v>
      </c>
      <c r="J43" s="41" t="s">
        <v>28</v>
      </c>
      <c r="K43" s="43" t="str">
        <f t="array" ref="K43">IF(J43="","", XLOOKUP(J43,'⚙️ Pengaturan'!$E$2:$E3237,'⚙️ Pengaturan'!$G$2:$G3237))</f>
        <v>KLINIK FT TA</v>
      </c>
      <c r="L43" s="43" t="str">
        <f t="shared" si="3"/>
        <v>BARU</v>
      </c>
      <c r="M43" s="41" t="s">
        <v>31</v>
      </c>
      <c r="N43" s="46">
        <v>250000.0</v>
      </c>
      <c r="O43" s="65">
        <v>0.0</v>
      </c>
      <c r="P43" s="48">
        <f t="array" ref="P43">IFNA(XLOOKUP(J43,'⚙️ Pengaturan'!$E$2:$E3237,'⚙️ Pengaturan'!$F$2:$F3237),"")</f>
        <v>250000</v>
      </c>
      <c r="Q43" s="49">
        <f t="shared" si="4"/>
        <v>0</v>
      </c>
      <c r="R43" s="41" t="s">
        <v>37</v>
      </c>
      <c r="S43" s="69" t="s">
        <v>187</v>
      </c>
      <c r="T43" s="51" t="b">
        <v>1</v>
      </c>
      <c r="U43" s="94"/>
    </row>
    <row r="44" ht="30.0" customHeight="1">
      <c r="A44" s="39"/>
      <c r="B44" s="40">
        <v>2075.0</v>
      </c>
      <c r="C44" s="41" t="s">
        <v>50</v>
      </c>
      <c r="D44" s="86">
        <v>46018.0</v>
      </c>
      <c r="E44" s="43" t="str">
        <f t="shared" si="1"/>
        <v>2025</v>
      </c>
      <c r="F44" s="43" t="str">
        <f t="shared" si="2"/>
        <v>12 Des</v>
      </c>
      <c r="G44" s="45" t="s">
        <v>190</v>
      </c>
      <c r="H44" s="45" t="s">
        <v>149</v>
      </c>
      <c r="I44" s="45" t="s">
        <v>191</v>
      </c>
      <c r="J44" s="41" t="s">
        <v>28</v>
      </c>
      <c r="K44" s="43" t="str">
        <f t="array" ref="K44">IF(J44="","", XLOOKUP(J44,'⚙️ Pengaturan'!$E$2:$E3237,'⚙️ Pengaturan'!$G$2:$G3237))</f>
        <v>KLINIK FT TA</v>
      </c>
      <c r="L44" s="43" t="str">
        <f t="shared" si="3"/>
        <v>BARU</v>
      </c>
      <c r="M44" s="41" t="s">
        <v>31</v>
      </c>
      <c r="N44" s="46">
        <v>250000.0</v>
      </c>
      <c r="O44" s="65">
        <v>0.0</v>
      </c>
      <c r="P44" s="48">
        <f t="array" ref="P44">IFNA(XLOOKUP(J44,'⚙️ Pengaturan'!$E$2:$E3237,'⚙️ Pengaturan'!$F$2:$F3237),"")</f>
        <v>250000</v>
      </c>
      <c r="Q44" s="49">
        <f t="shared" si="4"/>
        <v>0</v>
      </c>
      <c r="R44" s="41" t="s">
        <v>37</v>
      </c>
      <c r="S44" s="69" t="s">
        <v>191</v>
      </c>
      <c r="T44" s="51" t="b">
        <v>1</v>
      </c>
      <c r="U44" s="94"/>
    </row>
    <row r="45" ht="30.0" customHeight="1">
      <c r="A45" s="39"/>
      <c r="B45" s="40">
        <v>2076.0</v>
      </c>
      <c r="C45" s="41" t="s">
        <v>50</v>
      </c>
      <c r="D45" s="86">
        <v>46018.0</v>
      </c>
      <c r="E45" s="43" t="str">
        <f t="shared" si="1"/>
        <v>2025</v>
      </c>
      <c r="F45" s="43" t="str">
        <f t="shared" si="2"/>
        <v>12 Des</v>
      </c>
      <c r="G45" s="45" t="s">
        <v>190</v>
      </c>
      <c r="H45" s="45" t="s">
        <v>47</v>
      </c>
      <c r="I45" s="45" t="s">
        <v>193</v>
      </c>
      <c r="J45" s="41" t="s">
        <v>28</v>
      </c>
      <c r="K45" s="43" t="str">
        <f t="array" ref="K45">IF(J45="","", XLOOKUP(J45,'⚙️ Pengaturan'!$E$2:$E3237,'⚙️ Pengaturan'!$G$2:$G3237))</f>
        <v>KLINIK FT TA</v>
      </c>
      <c r="L45" s="43" t="str">
        <f t="shared" si="3"/>
        <v>BARU</v>
      </c>
      <c r="M45" s="41" t="s">
        <v>31</v>
      </c>
      <c r="N45" s="46">
        <v>250000.0</v>
      </c>
      <c r="O45" s="65">
        <v>0.0</v>
      </c>
      <c r="P45" s="48">
        <f t="array" ref="P45">IFNA(XLOOKUP(J45,'⚙️ Pengaturan'!$E$2:$E3237,'⚙️ Pengaturan'!$F$2:$F3237),"")</f>
        <v>250000</v>
      </c>
      <c r="Q45" s="49">
        <f t="shared" si="4"/>
        <v>0</v>
      </c>
      <c r="R45" s="41" t="s">
        <v>32</v>
      </c>
      <c r="S45" s="76" t="s">
        <v>33</v>
      </c>
      <c r="T45" s="51" t="b">
        <v>1</v>
      </c>
      <c r="U45" s="94"/>
    </row>
    <row r="46" ht="30.0" customHeight="1">
      <c r="A46" s="39"/>
      <c r="B46" s="40">
        <v>2077.0</v>
      </c>
      <c r="C46" s="41" t="s">
        <v>50</v>
      </c>
      <c r="D46" s="86">
        <v>46019.0</v>
      </c>
      <c r="E46" s="43" t="str">
        <f t="shared" si="1"/>
        <v>2025</v>
      </c>
      <c r="F46" s="43" t="str">
        <f t="shared" si="2"/>
        <v>12 Des</v>
      </c>
      <c r="G46" s="45" t="s">
        <v>195</v>
      </c>
      <c r="H46" s="45" t="s">
        <v>149</v>
      </c>
      <c r="I46" s="45" t="s">
        <v>196</v>
      </c>
      <c r="J46" s="41" t="s">
        <v>138</v>
      </c>
      <c r="K46" s="43" t="str">
        <f t="array" ref="K46">IF(J46="","", XLOOKUP(J46,'⚙️ Pengaturan'!$E$2:$E3237,'⚙️ Pengaturan'!$G$2:$G3237))</f>
        <v>VISIT FT PAKET</v>
      </c>
      <c r="L46" s="43" t="str">
        <f t="shared" si="3"/>
        <v>BARU</v>
      </c>
      <c r="M46" s="41" t="s">
        <v>60</v>
      </c>
      <c r="N46" s="46">
        <v>1000000.0</v>
      </c>
      <c r="O46" s="65">
        <v>0.0</v>
      </c>
      <c r="P46" s="48">
        <f t="array" ref="P46">IFNA(XLOOKUP(J46,'⚙️ Pengaturan'!$E$2:$E3237,'⚙️ Pengaturan'!$F$2:$F3237),"")</f>
        <v>1800000</v>
      </c>
      <c r="Q46" s="49">
        <f t="shared" si="4"/>
        <v>-800000</v>
      </c>
      <c r="R46" s="41" t="s">
        <v>37</v>
      </c>
      <c r="S46" s="76" t="s">
        <v>197</v>
      </c>
      <c r="T46" s="51" t="b">
        <v>1</v>
      </c>
      <c r="U46" s="94"/>
    </row>
    <row r="47" ht="30.0" customHeight="1">
      <c r="A47" s="39"/>
      <c r="B47" s="40">
        <v>2078.0</v>
      </c>
      <c r="C47" s="41" t="s">
        <v>50</v>
      </c>
      <c r="D47" s="86">
        <v>46019.0</v>
      </c>
      <c r="E47" s="43" t="str">
        <f t="shared" si="1"/>
        <v>2025</v>
      </c>
      <c r="F47" s="43" t="str">
        <f t="shared" si="2"/>
        <v>12 Des</v>
      </c>
      <c r="G47" s="45" t="s">
        <v>195</v>
      </c>
      <c r="H47" s="45" t="s">
        <v>149</v>
      </c>
      <c r="I47" s="45" t="s">
        <v>200</v>
      </c>
      <c r="J47" s="41" t="s">
        <v>28</v>
      </c>
      <c r="K47" s="43" t="str">
        <f t="array" ref="K47">IF(J47="","", XLOOKUP(J47,'⚙️ Pengaturan'!$E$2:$E3237,'⚙️ Pengaturan'!$G$2:$G3237))</f>
        <v>KLINIK FT TA</v>
      </c>
      <c r="L47" s="43" t="str">
        <f t="shared" si="3"/>
        <v>BARU</v>
      </c>
      <c r="M47" s="41" t="s">
        <v>31</v>
      </c>
      <c r="N47" s="46">
        <v>250000.0</v>
      </c>
      <c r="O47" s="65">
        <v>0.0</v>
      </c>
      <c r="P47" s="48">
        <f t="array" ref="P47">IFNA(XLOOKUP(J47,'⚙️ Pengaturan'!$E$2:$E3237,'⚙️ Pengaturan'!$F$2:$F3237),"")</f>
        <v>250000</v>
      </c>
      <c r="Q47" s="49">
        <f t="shared" si="4"/>
        <v>0</v>
      </c>
      <c r="R47" s="41" t="s">
        <v>37</v>
      </c>
      <c r="S47" s="69" t="s">
        <v>200</v>
      </c>
      <c r="T47" s="51" t="b">
        <v>1</v>
      </c>
      <c r="U47" s="94"/>
    </row>
    <row r="48" ht="30.0" customHeight="1">
      <c r="A48" s="39"/>
      <c r="B48" s="40">
        <v>2079.0</v>
      </c>
      <c r="C48" s="41" t="s">
        <v>50</v>
      </c>
      <c r="D48" s="86">
        <v>46019.0</v>
      </c>
      <c r="E48" s="43" t="str">
        <f t="shared" si="1"/>
        <v>2025</v>
      </c>
      <c r="F48" s="43" t="str">
        <f t="shared" si="2"/>
        <v>12 Des</v>
      </c>
      <c r="G48" s="45" t="s">
        <v>195</v>
      </c>
      <c r="H48" s="45" t="s">
        <v>76</v>
      </c>
      <c r="I48" s="45" t="s">
        <v>203</v>
      </c>
      <c r="J48" s="41" t="s">
        <v>180</v>
      </c>
      <c r="K48" s="43" t="str">
        <f t="array" ref="K48">IF(J48="","", XLOOKUP(J48,'⚙️ Pengaturan'!$E$2:$E3237,'⚙️ Pengaturan'!$G$2:$G3237))</f>
        <v>KLINIK FT SESI</v>
      </c>
      <c r="L48" s="43" t="str">
        <f t="shared" si="3"/>
        <v>BARU</v>
      </c>
      <c r="M48" s="41" t="s">
        <v>31</v>
      </c>
      <c r="N48" s="46">
        <v>150000.0</v>
      </c>
      <c r="O48" s="65">
        <v>0.0</v>
      </c>
      <c r="P48" s="48">
        <f t="array" ref="P48">IFNA(XLOOKUP(J48,'⚙️ Pengaturan'!$E$2:$E3237,'⚙️ Pengaturan'!$F$2:$F3237),"")</f>
        <v>150000</v>
      </c>
      <c r="Q48" s="49">
        <f t="shared" si="4"/>
        <v>0</v>
      </c>
      <c r="R48" s="41" t="s">
        <v>37</v>
      </c>
      <c r="S48" s="69" t="s">
        <v>203</v>
      </c>
      <c r="T48" s="51" t="b">
        <v>1</v>
      </c>
      <c r="U48" s="94"/>
    </row>
    <row r="49" ht="30.0" customHeight="1">
      <c r="A49" s="39"/>
      <c r="B49" s="40">
        <v>2080.0</v>
      </c>
      <c r="C49" s="41" t="s">
        <v>50</v>
      </c>
      <c r="D49" s="86">
        <v>46019.0</v>
      </c>
      <c r="E49" s="43" t="str">
        <f t="shared" si="1"/>
        <v>2025</v>
      </c>
      <c r="F49" s="43" t="str">
        <f t="shared" si="2"/>
        <v>12 Des</v>
      </c>
      <c r="G49" s="45" t="s">
        <v>206</v>
      </c>
      <c r="H49" s="45" t="s">
        <v>47</v>
      </c>
      <c r="I49" s="45" t="s">
        <v>145</v>
      </c>
      <c r="J49" s="41" t="s">
        <v>56</v>
      </c>
      <c r="K49" s="43" t="str">
        <f t="array" ref="K49">IF(J49="","", XLOOKUP(J49,'⚙️ Pengaturan'!$E$2:$E3237,'⚙️ Pengaturan'!$G$2:$G3237))</f>
        <v>KLINIK FT PAKET</v>
      </c>
      <c r="L49" s="43" t="str">
        <f t="shared" si="3"/>
        <v>LANJUTAN</v>
      </c>
      <c r="M49" s="41" t="s">
        <v>164</v>
      </c>
      <c r="N49" s="46">
        <v>450000.0</v>
      </c>
      <c r="O49" s="65">
        <v>200000.0</v>
      </c>
      <c r="P49" s="48">
        <f t="array" ref="P49">IFNA(XLOOKUP(J49,'⚙️ Pengaturan'!$E$2:$E3237,'⚙️ Pengaturan'!$F$2:$F3237),"")</f>
        <v>650000</v>
      </c>
      <c r="Q49" s="49">
        <f t="shared" si="4"/>
        <v>0</v>
      </c>
      <c r="R49" s="41" t="s">
        <v>32</v>
      </c>
      <c r="S49" s="76" t="s">
        <v>33</v>
      </c>
      <c r="T49" s="51" t="b">
        <v>1</v>
      </c>
      <c r="U49" s="94"/>
    </row>
    <row r="50" ht="30.0" customHeight="1">
      <c r="A50" s="39"/>
      <c r="B50" s="40">
        <v>2081.0</v>
      </c>
      <c r="C50" s="41" t="s">
        <v>50</v>
      </c>
      <c r="D50" s="86">
        <v>46019.0</v>
      </c>
      <c r="E50" s="43" t="str">
        <f t="shared" si="1"/>
        <v>2025</v>
      </c>
      <c r="F50" s="43" t="str">
        <f t="shared" si="2"/>
        <v>12 Des</v>
      </c>
      <c r="G50" s="45" t="s">
        <v>206</v>
      </c>
      <c r="H50" s="45" t="s">
        <v>149</v>
      </c>
      <c r="I50" s="45" t="s">
        <v>207</v>
      </c>
      <c r="J50" s="41" t="s">
        <v>28</v>
      </c>
      <c r="K50" s="43" t="str">
        <f t="array" ref="K50">IF(J50="","", XLOOKUP(J50,'⚙️ Pengaturan'!$E$2:$E3237,'⚙️ Pengaturan'!$G$2:$G3237))</f>
        <v>KLINIK FT TA</v>
      </c>
      <c r="L50" s="43" t="str">
        <f t="shared" si="3"/>
        <v>BARU</v>
      </c>
      <c r="M50" s="41" t="s">
        <v>31</v>
      </c>
      <c r="N50" s="46">
        <v>250000.0</v>
      </c>
      <c r="O50" s="65">
        <v>0.0</v>
      </c>
      <c r="P50" s="48">
        <f t="array" ref="P50">IFNA(XLOOKUP(J50,'⚙️ Pengaturan'!$E$2:$E3237,'⚙️ Pengaturan'!$F$2:$F3237),"")</f>
        <v>250000</v>
      </c>
      <c r="Q50" s="49">
        <f t="shared" si="4"/>
        <v>0</v>
      </c>
      <c r="R50" s="41" t="s">
        <v>32</v>
      </c>
      <c r="S50" s="76" t="s">
        <v>33</v>
      </c>
      <c r="T50" s="51" t="b">
        <v>1</v>
      </c>
      <c r="U50" s="94"/>
    </row>
    <row r="51" ht="30.0" customHeight="1">
      <c r="A51" s="39"/>
      <c r="B51" s="40">
        <v>2082.0</v>
      </c>
      <c r="C51" s="41" t="s">
        <v>50</v>
      </c>
      <c r="D51" s="86">
        <v>46019.0</v>
      </c>
      <c r="E51" s="43" t="str">
        <f t="shared" si="1"/>
        <v>2025</v>
      </c>
      <c r="F51" s="43" t="str">
        <f t="shared" si="2"/>
        <v>12 Des</v>
      </c>
      <c r="G51" s="45" t="s">
        <v>161</v>
      </c>
      <c r="H51" s="45" t="s">
        <v>47</v>
      </c>
      <c r="I51" s="45" t="s">
        <v>208</v>
      </c>
      <c r="J51" s="41" t="s">
        <v>56</v>
      </c>
      <c r="K51" s="43" t="str">
        <f t="array" ref="K51">IF(J51="","", XLOOKUP(J51,'⚙️ Pengaturan'!$E$2:$E3237,'⚙️ Pengaturan'!$G$2:$G3237))</f>
        <v>KLINIK FT PAKET</v>
      </c>
      <c r="L51" s="43" t="str">
        <f t="shared" si="3"/>
        <v>BARU</v>
      </c>
      <c r="M51" s="41" t="s">
        <v>31</v>
      </c>
      <c r="N51" s="46">
        <v>650000.0</v>
      </c>
      <c r="O51" s="65">
        <v>0.0</v>
      </c>
      <c r="P51" s="48">
        <f t="array" ref="P51">IFNA(XLOOKUP(J51,'⚙️ Pengaturan'!$E$2:$E3237,'⚙️ Pengaturan'!$F$2:$F3237),"")</f>
        <v>650000</v>
      </c>
      <c r="Q51" s="49">
        <f t="shared" si="4"/>
        <v>0</v>
      </c>
      <c r="R51" s="41" t="s">
        <v>37</v>
      </c>
      <c r="S51" s="69" t="s">
        <v>208</v>
      </c>
      <c r="T51" s="51" t="b">
        <v>1</v>
      </c>
      <c r="U51" s="94"/>
    </row>
    <row r="52" ht="30.0" customHeight="1">
      <c r="A52" s="39"/>
      <c r="B52" s="40">
        <v>2083.0</v>
      </c>
      <c r="C52" s="41" t="s">
        <v>50</v>
      </c>
      <c r="D52" s="86">
        <v>46019.0</v>
      </c>
      <c r="E52" s="43" t="str">
        <f t="shared" si="1"/>
        <v>2025</v>
      </c>
      <c r="F52" s="43" t="str">
        <f t="shared" si="2"/>
        <v>12 Des</v>
      </c>
      <c r="G52" s="45" t="s">
        <v>35</v>
      </c>
      <c r="H52" s="45" t="s">
        <v>47</v>
      </c>
      <c r="I52" s="45" t="s">
        <v>210</v>
      </c>
      <c r="J52" s="41" t="s">
        <v>28</v>
      </c>
      <c r="K52" s="43" t="str">
        <f t="array" ref="K52">IF(J52="","", XLOOKUP(J52,'⚙️ Pengaturan'!$E$2:$E3237,'⚙️ Pengaturan'!$G$2:$G3237))</f>
        <v>KLINIK FT TA</v>
      </c>
      <c r="L52" s="43" t="str">
        <f t="shared" si="3"/>
        <v>BARU</v>
      </c>
      <c r="M52" s="41" t="s">
        <v>31</v>
      </c>
      <c r="N52" s="46">
        <v>250000.0</v>
      </c>
      <c r="O52" s="65">
        <v>0.0</v>
      </c>
      <c r="P52" s="48">
        <f t="array" ref="P52">IFNA(XLOOKUP(J52,'⚙️ Pengaturan'!$E$2:$E3237,'⚙️ Pengaturan'!$F$2:$F3237),"")</f>
        <v>250000</v>
      </c>
      <c r="Q52" s="49">
        <f t="shared" si="4"/>
        <v>0</v>
      </c>
      <c r="R52" s="41" t="s">
        <v>37</v>
      </c>
      <c r="S52" s="69" t="s">
        <v>210</v>
      </c>
      <c r="T52" s="51" t="b">
        <v>1</v>
      </c>
      <c r="U52" s="94"/>
    </row>
    <row r="53" ht="30.0" customHeight="1">
      <c r="A53" s="39"/>
      <c r="B53" s="40">
        <v>2084.0</v>
      </c>
      <c r="C53" s="41" t="s">
        <v>50</v>
      </c>
      <c r="D53" s="86">
        <v>46019.0</v>
      </c>
      <c r="E53" s="43" t="str">
        <f t="shared" si="1"/>
        <v>2025</v>
      </c>
      <c r="F53" s="43" t="str">
        <f t="shared" si="2"/>
        <v>12 Des</v>
      </c>
      <c r="G53" s="45" t="s">
        <v>161</v>
      </c>
      <c r="H53" s="45" t="s">
        <v>149</v>
      </c>
      <c r="I53" s="45" t="s">
        <v>212</v>
      </c>
      <c r="J53" s="41" t="s">
        <v>28</v>
      </c>
      <c r="K53" s="43" t="str">
        <f t="array" ref="K53">IF(J53="","", XLOOKUP(J53,'⚙️ Pengaturan'!$E$2:$E3237,'⚙️ Pengaturan'!$G$2:$G3237))</f>
        <v>KLINIK FT TA</v>
      </c>
      <c r="L53" s="43" t="str">
        <f t="shared" si="3"/>
        <v>BARU</v>
      </c>
      <c r="M53" s="41" t="s">
        <v>31</v>
      </c>
      <c r="N53" s="46">
        <v>250000.0</v>
      </c>
      <c r="O53" s="65">
        <v>0.0</v>
      </c>
      <c r="P53" s="48">
        <f t="array" ref="P53">IFNA(XLOOKUP(J53,'⚙️ Pengaturan'!$E$2:$E3237,'⚙️ Pengaturan'!$F$2:$F3237),"")</f>
        <v>250000</v>
      </c>
      <c r="Q53" s="49">
        <f t="shared" si="4"/>
        <v>0</v>
      </c>
      <c r="R53" s="41" t="s">
        <v>32</v>
      </c>
      <c r="S53" s="101" t="s">
        <v>33</v>
      </c>
      <c r="T53" s="51" t="b">
        <v>1</v>
      </c>
      <c r="U53" s="94"/>
    </row>
    <row r="54" ht="30.0" customHeight="1">
      <c r="A54" s="39"/>
      <c r="B54" s="40">
        <v>2085.0</v>
      </c>
      <c r="C54" s="41" t="s">
        <v>50</v>
      </c>
      <c r="D54" s="86">
        <v>46019.0</v>
      </c>
      <c r="E54" s="43" t="str">
        <f t="shared" si="1"/>
        <v>2025</v>
      </c>
      <c r="F54" s="43" t="str">
        <f t="shared" si="2"/>
        <v>12 Des</v>
      </c>
      <c r="G54" s="45" t="s">
        <v>43</v>
      </c>
      <c r="H54" s="45" t="s">
        <v>166</v>
      </c>
      <c r="I54" s="45" t="s">
        <v>219</v>
      </c>
      <c r="J54" s="41" t="s">
        <v>121</v>
      </c>
      <c r="K54" s="43" t="str">
        <f t="array" ref="K54">IF(J54="","", XLOOKUP(J54,'⚙️ Pengaturan'!$E$2:$E3237,'⚙️ Pengaturan'!$G$2:$G3237))</f>
        <v>VISIT FT TA</v>
      </c>
      <c r="L54" s="43" t="str">
        <f t="shared" si="3"/>
        <v>BARU</v>
      </c>
      <c r="M54" s="41" t="s">
        <v>31</v>
      </c>
      <c r="N54" s="46">
        <v>300000.0</v>
      </c>
      <c r="O54" s="65">
        <v>0.0</v>
      </c>
      <c r="P54" s="48">
        <f t="array" ref="P54">IFNA(XLOOKUP(J54,'⚙️ Pengaturan'!$E$2:$E3237,'⚙️ Pengaturan'!$F$2:$F3237),"")</f>
        <v>300000</v>
      </c>
      <c r="Q54" s="49">
        <f t="shared" si="4"/>
        <v>0</v>
      </c>
      <c r="R54" s="41" t="s">
        <v>32</v>
      </c>
      <c r="S54" s="101" t="s">
        <v>33</v>
      </c>
      <c r="T54" s="51" t="b">
        <v>1</v>
      </c>
      <c r="U54" s="94"/>
    </row>
    <row r="55" ht="30.0" customHeight="1">
      <c r="A55" s="39"/>
      <c r="B55" s="40">
        <v>2086.0</v>
      </c>
      <c r="C55" s="41" t="s">
        <v>79</v>
      </c>
      <c r="D55" s="86">
        <v>46019.0</v>
      </c>
      <c r="E55" s="43" t="str">
        <f t="shared" si="1"/>
        <v>2025</v>
      </c>
      <c r="F55" s="43" t="str">
        <f t="shared" si="2"/>
        <v>12 Des</v>
      </c>
      <c r="G55" s="45" t="s">
        <v>40</v>
      </c>
      <c r="H55" s="45" t="s">
        <v>162</v>
      </c>
      <c r="I55" s="45" t="s">
        <v>224</v>
      </c>
      <c r="J55" s="41" t="s">
        <v>28</v>
      </c>
      <c r="K55" s="43" t="str">
        <f t="array" ref="K55">IF(J55="","", XLOOKUP(J55,'⚙️ Pengaturan'!$E$2:$E3237,'⚙️ Pengaturan'!$G$2:$G3237))</f>
        <v>KLINIK FT TA</v>
      </c>
      <c r="L55" s="43" t="str">
        <f t="shared" si="3"/>
        <v>BARU</v>
      </c>
      <c r="M55" s="41" t="s">
        <v>31</v>
      </c>
      <c r="N55" s="46">
        <v>150000.0</v>
      </c>
      <c r="O55" s="65">
        <v>100000.0</v>
      </c>
      <c r="P55" s="48">
        <f t="array" ref="P55">IFNA(XLOOKUP(J55,'⚙️ Pengaturan'!$E$2:$E3237,'⚙️ Pengaturan'!$F$2:$F3237),"")</f>
        <v>250000</v>
      </c>
      <c r="Q55" s="49">
        <f t="shared" si="4"/>
        <v>0</v>
      </c>
      <c r="R55" s="41" t="s">
        <v>37</v>
      </c>
      <c r="S55" s="76" t="s">
        <v>226</v>
      </c>
      <c r="T55" s="51" t="b">
        <v>1</v>
      </c>
      <c r="U55" s="94"/>
    </row>
    <row r="56" ht="30.0" customHeight="1">
      <c r="A56" s="39"/>
      <c r="B56" s="40">
        <v>2087.0</v>
      </c>
      <c r="C56" s="41" t="s">
        <v>79</v>
      </c>
      <c r="D56" s="86">
        <v>46019.0</v>
      </c>
      <c r="E56" s="43" t="str">
        <f t="shared" si="1"/>
        <v>2025</v>
      </c>
      <c r="F56" s="43" t="str">
        <f t="shared" si="2"/>
        <v>12 Des</v>
      </c>
      <c r="G56" s="45" t="s">
        <v>173</v>
      </c>
      <c r="H56" s="45" t="s">
        <v>166</v>
      </c>
      <c r="I56" s="45" t="s">
        <v>228</v>
      </c>
      <c r="J56" s="41" t="s">
        <v>180</v>
      </c>
      <c r="K56" s="43" t="str">
        <f t="array" ref="K56">IF(J56="","", XLOOKUP(J56,'⚙️ Pengaturan'!$E$2:$E3237,'⚙️ Pengaturan'!$G$2:$G3237))</f>
        <v>KLINIK FT SESI</v>
      </c>
      <c r="L56" s="43" t="str">
        <f t="shared" si="3"/>
        <v>BARU</v>
      </c>
      <c r="M56" s="41" t="s">
        <v>31</v>
      </c>
      <c r="N56" s="46">
        <v>150000.0</v>
      </c>
      <c r="O56" s="65">
        <v>0.0</v>
      </c>
      <c r="P56" s="48">
        <f t="array" ref="P56">IFNA(XLOOKUP(J56,'⚙️ Pengaturan'!$E$2:$E3237,'⚙️ Pengaturan'!$F$2:$F3237),"")</f>
        <v>150000</v>
      </c>
      <c r="Q56" s="49">
        <f t="shared" si="4"/>
        <v>0</v>
      </c>
      <c r="R56" s="41" t="s">
        <v>37</v>
      </c>
      <c r="S56" s="69" t="s">
        <v>228</v>
      </c>
      <c r="T56" s="51" t="b">
        <v>1</v>
      </c>
      <c r="U56" s="94"/>
    </row>
    <row r="57" ht="30.0" customHeight="1">
      <c r="A57" s="39"/>
      <c r="B57" s="40">
        <v>2088.0</v>
      </c>
      <c r="C57" s="41" t="s">
        <v>79</v>
      </c>
      <c r="D57" s="86">
        <v>46019.0</v>
      </c>
      <c r="E57" s="43" t="str">
        <f t="shared" si="1"/>
        <v>2025</v>
      </c>
      <c r="F57" s="43" t="str">
        <f t="shared" si="2"/>
        <v>12 Des</v>
      </c>
      <c r="G57" s="45" t="s">
        <v>155</v>
      </c>
      <c r="H57" s="45" t="s">
        <v>162</v>
      </c>
      <c r="I57" s="45" t="s">
        <v>230</v>
      </c>
      <c r="J57" s="41" t="s">
        <v>28</v>
      </c>
      <c r="K57" s="43" t="str">
        <f t="array" ref="K57">IF(J57="","", XLOOKUP(J57,'⚙️ Pengaturan'!$E$2:$E3237,'⚙️ Pengaturan'!$G$2:$G3237))</f>
        <v>KLINIK FT TA</v>
      </c>
      <c r="L57" s="43" t="str">
        <f t="shared" si="3"/>
        <v>BARU</v>
      </c>
      <c r="M57" s="41" t="s">
        <v>31</v>
      </c>
      <c r="N57" s="46">
        <v>250000.0</v>
      </c>
      <c r="O57" s="65">
        <v>0.0</v>
      </c>
      <c r="P57" s="48">
        <f t="array" ref="P57">IFNA(XLOOKUP(J57,'⚙️ Pengaturan'!$E$2:$E3237,'⚙️ Pengaturan'!$F$2:$F3237),"")</f>
        <v>250000</v>
      </c>
      <c r="Q57" s="49">
        <f t="shared" si="4"/>
        <v>0</v>
      </c>
      <c r="R57" s="41" t="s">
        <v>32</v>
      </c>
      <c r="S57" s="76" t="s">
        <v>33</v>
      </c>
      <c r="T57" s="51" t="b">
        <v>1</v>
      </c>
      <c r="U57" s="94"/>
    </row>
    <row r="58" ht="30.0" customHeight="1">
      <c r="A58" s="39"/>
      <c r="B58" s="40">
        <v>2089.0</v>
      </c>
      <c r="C58" s="41" t="s">
        <v>79</v>
      </c>
      <c r="D58" s="86">
        <v>46019.0</v>
      </c>
      <c r="E58" s="43" t="str">
        <f t="shared" si="1"/>
        <v>2025</v>
      </c>
      <c r="F58" s="43" t="str">
        <f t="shared" si="2"/>
        <v>12 Des</v>
      </c>
      <c r="G58" s="45" t="s">
        <v>190</v>
      </c>
      <c r="H58" s="45" t="s">
        <v>162</v>
      </c>
      <c r="I58" s="45" t="s">
        <v>231</v>
      </c>
      <c r="J58" s="41" t="s">
        <v>28</v>
      </c>
      <c r="K58" s="43" t="str">
        <f t="array" ref="K58">IF(J58="","", XLOOKUP(J58,'⚙️ Pengaturan'!$E$2:$E3237,'⚙️ Pengaturan'!$G$2:$G3237))</f>
        <v>KLINIK FT TA</v>
      </c>
      <c r="L58" s="43" t="str">
        <f t="shared" si="3"/>
        <v>BARU</v>
      </c>
      <c r="M58" s="41" t="s">
        <v>31</v>
      </c>
      <c r="N58" s="46">
        <v>250000.0</v>
      </c>
      <c r="O58" s="65">
        <v>0.0</v>
      </c>
      <c r="P58" s="48">
        <f t="array" ref="P58">IFNA(XLOOKUP(J58,'⚙️ Pengaturan'!$E$2:$E3237,'⚙️ Pengaturan'!$F$2:$F3237),"")</f>
        <v>250000</v>
      </c>
      <c r="Q58" s="49">
        <f t="shared" si="4"/>
        <v>0</v>
      </c>
      <c r="R58" s="41" t="s">
        <v>32</v>
      </c>
      <c r="S58" s="76" t="s">
        <v>33</v>
      </c>
      <c r="T58" s="51" t="b">
        <v>1</v>
      </c>
      <c r="U58" s="94"/>
    </row>
    <row r="59" ht="30.0" customHeight="1">
      <c r="A59" s="39"/>
      <c r="B59" s="40">
        <v>2090.0</v>
      </c>
      <c r="C59" s="41" t="s">
        <v>79</v>
      </c>
      <c r="D59" s="86">
        <v>46019.0</v>
      </c>
      <c r="E59" s="43" t="str">
        <f t="shared" si="1"/>
        <v>2025</v>
      </c>
      <c r="F59" s="43" t="str">
        <f t="shared" si="2"/>
        <v>12 Des</v>
      </c>
      <c r="G59" s="45" t="s">
        <v>173</v>
      </c>
      <c r="H59" s="45" t="s">
        <v>162</v>
      </c>
      <c r="I59" s="45" t="s">
        <v>232</v>
      </c>
      <c r="J59" s="41" t="s">
        <v>56</v>
      </c>
      <c r="K59" s="43" t="str">
        <f t="array" ref="K59">IF(J59="","", XLOOKUP(J59,'⚙️ Pengaturan'!$E$2:$E3237,'⚙️ Pengaturan'!$G$2:$G3237))</f>
        <v>KLINIK FT PAKET</v>
      </c>
      <c r="L59" s="43" t="str">
        <f t="shared" si="3"/>
        <v>BARU</v>
      </c>
      <c r="M59" s="41" t="s">
        <v>60</v>
      </c>
      <c r="N59" s="46">
        <v>200000.0</v>
      </c>
      <c r="O59" s="65">
        <v>0.0</v>
      </c>
      <c r="P59" s="48">
        <f t="array" ref="P59">IFNA(XLOOKUP(J59,'⚙️ Pengaturan'!$E$2:$E3237,'⚙️ Pengaturan'!$F$2:$F3237),"")</f>
        <v>650000</v>
      </c>
      <c r="Q59" s="49">
        <f t="shared" si="4"/>
        <v>-450000</v>
      </c>
      <c r="R59" s="41" t="s">
        <v>32</v>
      </c>
      <c r="S59" s="76" t="s">
        <v>33</v>
      </c>
      <c r="T59" s="51" t="b">
        <v>1</v>
      </c>
      <c r="U59" s="94"/>
    </row>
    <row r="60" ht="30.0" customHeight="1">
      <c r="A60" s="39"/>
      <c r="B60" s="40">
        <v>2091.0</v>
      </c>
      <c r="C60" s="41" t="s">
        <v>79</v>
      </c>
      <c r="D60" s="86">
        <v>46020.0</v>
      </c>
      <c r="E60" s="43" t="str">
        <f t="shared" si="1"/>
        <v>2025</v>
      </c>
      <c r="F60" s="43" t="str">
        <f t="shared" si="2"/>
        <v>12 Des</v>
      </c>
      <c r="G60" s="45" t="s">
        <v>40</v>
      </c>
      <c r="H60" s="45" t="s">
        <v>162</v>
      </c>
      <c r="I60" s="45" t="s">
        <v>224</v>
      </c>
      <c r="J60" s="41" t="s">
        <v>180</v>
      </c>
      <c r="K60" s="43" t="str">
        <f t="array" ref="K60">IF(J60="","", XLOOKUP(J60,'⚙️ Pengaturan'!$E$2:$E3237,'⚙️ Pengaturan'!$G$2:$G3237))</f>
        <v>KLINIK FT SESI</v>
      </c>
      <c r="L60" s="43" t="str">
        <f t="shared" si="3"/>
        <v>BARU</v>
      </c>
      <c r="M60" s="41" t="s">
        <v>31</v>
      </c>
      <c r="N60" s="46">
        <v>150000.0</v>
      </c>
      <c r="O60" s="65">
        <v>0.0</v>
      </c>
      <c r="P60" s="48">
        <f t="array" ref="P60">IFNA(XLOOKUP(J60,'⚙️ Pengaturan'!$E$2:$E3237,'⚙️ Pengaturan'!$F$2:$F3237),"")</f>
        <v>150000</v>
      </c>
      <c r="Q60" s="49">
        <f t="shared" si="4"/>
        <v>0</v>
      </c>
      <c r="R60" s="41" t="s">
        <v>37</v>
      </c>
      <c r="S60" s="76" t="s">
        <v>226</v>
      </c>
      <c r="T60" s="51" t="b">
        <v>1</v>
      </c>
      <c r="U60" s="94"/>
    </row>
    <row r="61" ht="30.0" customHeight="1">
      <c r="A61" s="39"/>
      <c r="B61" s="40">
        <v>2092.0</v>
      </c>
      <c r="C61" s="41" t="s">
        <v>79</v>
      </c>
      <c r="D61" s="86">
        <v>46020.0</v>
      </c>
      <c r="E61" s="43" t="str">
        <f t="shared" si="1"/>
        <v>2025</v>
      </c>
      <c r="F61" s="43" t="str">
        <f t="shared" si="2"/>
        <v>12 Des</v>
      </c>
      <c r="G61" s="45" t="s">
        <v>195</v>
      </c>
      <c r="H61" s="45" t="s">
        <v>162</v>
      </c>
      <c r="I61" s="45" t="s">
        <v>157</v>
      </c>
      <c r="J61" s="41" t="s">
        <v>56</v>
      </c>
      <c r="K61" s="43" t="str">
        <f t="array" ref="K61">IF(J61="","", XLOOKUP(J61,'⚙️ Pengaturan'!$E$2:$E3237,'⚙️ Pengaturan'!$G$2:$G3237))</f>
        <v>KLINIK FT PAKET</v>
      </c>
      <c r="L61" s="43" t="str">
        <f t="shared" si="3"/>
        <v>BARU</v>
      </c>
      <c r="M61" s="41" t="s">
        <v>31</v>
      </c>
      <c r="N61" s="46">
        <v>650000.0</v>
      </c>
      <c r="O61" s="65">
        <v>0.0</v>
      </c>
      <c r="P61" s="48">
        <f t="array" ref="P61">IFNA(XLOOKUP(J61,'⚙️ Pengaturan'!$E$2:$E3237,'⚙️ Pengaturan'!$F$2:$F3237),"")</f>
        <v>650000</v>
      </c>
      <c r="Q61" s="49">
        <f t="shared" si="4"/>
        <v>0</v>
      </c>
      <c r="R61" s="41" t="s">
        <v>37</v>
      </c>
      <c r="S61" s="69" t="s">
        <v>157</v>
      </c>
      <c r="T61" s="51" t="b">
        <v>1</v>
      </c>
      <c r="U61" s="94"/>
    </row>
    <row r="62" ht="30.0" customHeight="1">
      <c r="A62" s="39"/>
      <c r="B62" s="40">
        <v>2093.0</v>
      </c>
      <c r="C62" s="41" t="s">
        <v>79</v>
      </c>
      <c r="D62" s="86">
        <v>46020.0</v>
      </c>
      <c r="E62" s="43" t="str">
        <f t="shared" si="1"/>
        <v>2025</v>
      </c>
      <c r="F62" s="43" t="str">
        <f t="shared" si="2"/>
        <v>12 Des</v>
      </c>
      <c r="G62" s="45" t="s">
        <v>206</v>
      </c>
      <c r="H62" s="45" t="s">
        <v>162</v>
      </c>
      <c r="I62" s="45" t="s">
        <v>236</v>
      </c>
      <c r="J62" s="41" t="s">
        <v>28</v>
      </c>
      <c r="K62" s="43" t="str">
        <f t="array" ref="K62">IF(J62="","", XLOOKUP(J62,'⚙️ Pengaturan'!$E$2:$E3237,'⚙️ Pengaturan'!$G$2:$G3237))</f>
        <v>KLINIK FT TA</v>
      </c>
      <c r="L62" s="43" t="str">
        <f t="shared" si="3"/>
        <v>BARU</v>
      </c>
      <c r="M62" s="41" t="s">
        <v>31</v>
      </c>
      <c r="N62" s="46">
        <v>250000.0</v>
      </c>
      <c r="O62" s="65">
        <v>0.0</v>
      </c>
      <c r="P62" s="48">
        <f t="array" ref="P62">IFNA(XLOOKUP(J62,'⚙️ Pengaturan'!$E$2:$E3237,'⚙️ Pengaturan'!$F$2:$F3237),"")</f>
        <v>250000</v>
      </c>
      <c r="Q62" s="49">
        <f t="shared" si="4"/>
        <v>0</v>
      </c>
      <c r="R62" s="41" t="s">
        <v>32</v>
      </c>
      <c r="S62" s="76" t="s">
        <v>33</v>
      </c>
      <c r="T62" s="51" t="b">
        <v>1</v>
      </c>
      <c r="U62" s="94"/>
    </row>
    <row r="63" ht="30.0" customHeight="1">
      <c r="A63" s="39"/>
      <c r="B63" s="40">
        <v>2095.0</v>
      </c>
      <c r="C63" s="41" t="s">
        <v>50</v>
      </c>
      <c r="D63" s="86">
        <v>46020.0</v>
      </c>
      <c r="E63" s="43" t="str">
        <f t="shared" si="1"/>
        <v>2025</v>
      </c>
      <c r="F63" s="43" t="str">
        <f t="shared" si="2"/>
        <v>12 Des</v>
      </c>
      <c r="G63" s="45" t="s">
        <v>40</v>
      </c>
      <c r="H63" s="45" t="s">
        <v>149</v>
      </c>
      <c r="I63" s="45" t="s">
        <v>237</v>
      </c>
      <c r="J63" s="41" t="s">
        <v>28</v>
      </c>
      <c r="K63" s="43" t="str">
        <f t="array" ref="K63">IF(J63="","", XLOOKUP(J63,'⚙️ Pengaturan'!$E$2:$E3237,'⚙️ Pengaturan'!$G$2:$G3237))</f>
        <v>KLINIK FT TA</v>
      </c>
      <c r="L63" s="43" t="str">
        <f t="shared" si="3"/>
        <v>BARU</v>
      </c>
      <c r="M63" s="41" t="s">
        <v>31</v>
      </c>
      <c r="N63" s="46">
        <v>250000.0</v>
      </c>
      <c r="O63" s="65">
        <v>0.0</v>
      </c>
      <c r="P63" s="48">
        <f t="array" ref="P63">IFNA(XLOOKUP(J63,'⚙️ Pengaturan'!$E$2:$E3237,'⚙️ Pengaturan'!$F$2:$F3237),"")</f>
        <v>250000</v>
      </c>
      <c r="Q63" s="49">
        <f t="shared" si="4"/>
        <v>0</v>
      </c>
      <c r="R63" s="41" t="s">
        <v>37</v>
      </c>
      <c r="S63" s="69" t="s">
        <v>237</v>
      </c>
      <c r="T63" s="51" t="b">
        <v>1</v>
      </c>
      <c r="U63" s="94"/>
    </row>
    <row r="64" ht="30.0" customHeight="1">
      <c r="A64" s="39"/>
      <c r="B64" s="40">
        <v>2096.0</v>
      </c>
      <c r="C64" s="41" t="s">
        <v>50</v>
      </c>
      <c r="D64" s="86">
        <v>46020.0</v>
      </c>
      <c r="E64" s="43" t="str">
        <f t="shared" si="1"/>
        <v>2025</v>
      </c>
      <c r="F64" s="43" t="str">
        <f t="shared" si="2"/>
        <v>12 Des</v>
      </c>
      <c r="G64" s="45" t="s">
        <v>206</v>
      </c>
      <c r="H64" s="45" t="s">
        <v>156</v>
      </c>
      <c r="I64" s="45" t="s">
        <v>167</v>
      </c>
      <c r="J64" s="41" t="s">
        <v>56</v>
      </c>
      <c r="K64" s="43" t="str">
        <f t="array" ref="K64">IF(J64="","", XLOOKUP(J64,'⚙️ Pengaturan'!$E$2:$E3237,'⚙️ Pengaturan'!$G$2:$G3237))</f>
        <v>KLINIK FT PAKET</v>
      </c>
      <c r="L64" s="43" t="str">
        <f t="shared" si="3"/>
        <v>BARU</v>
      </c>
      <c r="M64" s="41" t="s">
        <v>31</v>
      </c>
      <c r="N64" s="46">
        <v>650000.0</v>
      </c>
      <c r="O64" s="65">
        <v>0.0</v>
      </c>
      <c r="P64" s="48">
        <f t="array" ref="P64">IFNA(XLOOKUP(J64,'⚙️ Pengaturan'!$E$2:$E3237,'⚙️ Pengaturan'!$F$2:$F3237),"")</f>
        <v>650000</v>
      </c>
      <c r="Q64" s="49">
        <f t="shared" si="4"/>
        <v>0</v>
      </c>
      <c r="R64" s="41" t="s">
        <v>93</v>
      </c>
      <c r="S64" s="69" t="s">
        <v>167</v>
      </c>
      <c r="T64" s="51" t="b">
        <v>1</v>
      </c>
      <c r="U64" s="94"/>
    </row>
    <row r="65" ht="30.0" customHeight="1">
      <c r="A65" s="39"/>
      <c r="B65" s="40">
        <v>2097.0</v>
      </c>
      <c r="C65" s="41" t="s">
        <v>50</v>
      </c>
      <c r="D65" s="86">
        <v>46020.0</v>
      </c>
      <c r="E65" s="43" t="str">
        <f t="shared" si="1"/>
        <v>2025</v>
      </c>
      <c r="F65" s="43" t="str">
        <f t="shared" si="2"/>
        <v>12 Des</v>
      </c>
      <c r="G65" s="45" t="s">
        <v>241</v>
      </c>
      <c r="H65" s="45" t="s">
        <v>156</v>
      </c>
      <c r="I65" s="45" t="s">
        <v>242</v>
      </c>
      <c r="J65" s="41" t="s">
        <v>28</v>
      </c>
      <c r="K65" s="43" t="str">
        <f t="array" ref="K65">IF(J65="","", XLOOKUP(J65,'⚙️ Pengaturan'!$E$2:$E3237,'⚙️ Pengaturan'!$G$2:$G3237))</f>
        <v>KLINIK FT TA</v>
      </c>
      <c r="L65" s="43" t="str">
        <f t="shared" si="3"/>
        <v>BARU</v>
      </c>
      <c r="M65" s="41" t="s">
        <v>31</v>
      </c>
      <c r="N65" s="46">
        <v>250000.0</v>
      </c>
      <c r="O65" s="65">
        <v>0.0</v>
      </c>
      <c r="P65" s="48">
        <f t="array" ref="P65">IFNA(XLOOKUP(J65,'⚙️ Pengaturan'!$E$2:$E3237,'⚙️ Pengaturan'!$F$2:$F3237),"")</f>
        <v>250000</v>
      </c>
      <c r="Q65" s="49">
        <f t="shared" si="4"/>
        <v>0</v>
      </c>
      <c r="R65" s="41" t="s">
        <v>93</v>
      </c>
      <c r="S65" s="69" t="s">
        <v>242</v>
      </c>
      <c r="T65" s="51" t="b">
        <v>1</v>
      </c>
      <c r="U65" s="94"/>
    </row>
    <row r="66" ht="30.0" customHeight="1">
      <c r="A66" s="39"/>
      <c r="B66" s="40">
        <v>2098.0</v>
      </c>
      <c r="C66" s="41" t="s">
        <v>50</v>
      </c>
      <c r="D66" s="86">
        <v>46020.0</v>
      </c>
      <c r="E66" s="43" t="str">
        <f t="shared" si="1"/>
        <v>2025</v>
      </c>
      <c r="F66" s="43" t="str">
        <f t="shared" si="2"/>
        <v>12 Des</v>
      </c>
      <c r="G66" s="45" t="s">
        <v>241</v>
      </c>
      <c r="H66" s="45" t="s">
        <v>156</v>
      </c>
      <c r="I66" s="45" t="s">
        <v>242</v>
      </c>
      <c r="J66" s="41" t="s">
        <v>56</v>
      </c>
      <c r="K66" s="43" t="str">
        <f t="array" ref="K66">IF(J66="","", XLOOKUP(J66,'⚙️ Pengaturan'!$E$2:$E3237,'⚙️ Pengaturan'!$G$2:$G3237))</f>
        <v>KLINIK FT PAKET</v>
      </c>
      <c r="L66" s="43" t="str">
        <f t="shared" si="3"/>
        <v>BARU</v>
      </c>
      <c r="M66" s="41" t="s">
        <v>31</v>
      </c>
      <c r="N66" s="46">
        <v>650000.0</v>
      </c>
      <c r="O66" s="65">
        <v>0.0</v>
      </c>
      <c r="P66" s="48">
        <f t="array" ref="P66">IFNA(XLOOKUP(J66,'⚙️ Pengaturan'!$E$2:$E3237,'⚙️ Pengaturan'!$F$2:$F3237),"")</f>
        <v>650000</v>
      </c>
      <c r="Q66" s="49">
        <f t="shared" si="4"/>
        <v>0</v>
      </c>
      <c r="R66" s="41" t="s">
        <v>93</v>
      </c>
      <c r="S66" s="69" t="s">
        <v>242</v>
      </c>
      <c r="T66" s="51" t="b">
        <v>1</v>
      </c>
      <c r="U66" s="94"/>
    </row>
    <row r="67" ht="30.0" customHeight="1">
      <c r="A67" s="39"/>
      <c r="B67" s="40">
        <v>2099.0</v>
      </c>
      <c r="C67" s="41" t="s">
        <v>50</v>
      </c>
      <c r="D67" s="86">
        <v>46020.0</v>
      </c>
      <c r="E67" s="43" t="str">
        <f t="shared" si="1"/>
        <v>2025</v>
      </c>
      <c r="F67" s="43" t="str">
        <f t="shared" si="2"/>
        <v>12 Des</v>
      </c>
      <c r="G67" s="45" t="s">
        <v>43</v>
      </c>
      <c r="H67" s="45" t="s">
        <v>166</v>
      </c>
      <c r="I67" s="45" t="s">
        <v>219</v>
      </c>
      <c r="J67" s="41" t="s">
        <v>138</v>
      </c>
      <c r="K67" s="43" t="str">
        <f t="array" ref="K67">IF(J67="","", XLOOKUP(J67,'⚙️ Pengaturan'!$E$2:$E3237,'⚙️ Pengaturan'!$G$2:$G3237))</f>
        <v>VISIT FT PAKET</v>
      </c>
      <c r="L67" s="43" t="str">
        <f t="shared" si="3"/>
        <v>BARU</v>
      </c>
      <c r="M67" s="41" t="s">
        <v>31</v>
      </c>
      <c r="N67" s="46">
        <v>1800000.0</v>
      </c>
      <c r="O67" s="65">
        <v>0.0</v>
      </c>
      <c r="P67" s="48">
        <f t="array" ref="P67">IFNA(XLOOKUP(J67,'⚙️ Pengaturan'!$E$2:$E3237,'⚙️ Pengaturan'!$F$2:$F3237),"")</f>
        <v>1800000</v>
      </c>
      <c r="Q67" s="49">
        <f t="shared" si="4"/>
        <v>0</v>
      </c>
      <c r="R67" s="41" t="s">
        <v>32</v>
      </c>
      <c r="S67" s="76" t="s">
        <v>33</v>
      </c>
      <c r="T67" s="51" t="b">
        <v>1</v>
      </c>
      <c r="U67" s="94"/>
    </row>
    <row r="68" ht="30.0" customHeight="1">
      <c r="A68" s="39"/>
      <c r="B68" s="40">
        <v>2100.0</v>
      </c>
      <c r="C68" s="41" t="s">
        <v>50</v>
      </c>
      <c r="D68" s="86">
        <v>46020.0</v>
      </c>
      <c r="E68" s="43" t="str">
        <f t="shared" si="1"/>
        <v>2025</v>
      </c>
      <c r="F68" s="43" t="str">
        <f t="shared" si="2"/>
        <v>12 Des</v>
      </c>
      <c r="G68" s="45" t="s">
        <v>173</v>
      </c>
      <c r="H68" s="45" t="s">
        <v>149</v>
      </c>
      <c r="I68" s="45" t="s">
        <v>243</v>
      </c>
      <c r="J68" s="41" t="s">
        <v>28</v>
      </c>
      <c r="K68" s="43" t="str">
        <f t="array" ref="K68">IF(J68="","", XLOOKUP(J68,'⚙️ Pengaturan'!$E$2:$E3237,'⚙️ Pengaturan'!$G$2:$G3237))</f>
        <v>KLINIK FT TA</v>
      </c>
      <c r="L68" s="43" t="str">
        <f t="shared" si="3"/>
        <v>BARU</v>
      </c>
      <c r="M68" s="41" t="s">
        <v>31</v>
      </c>
      <c r="N68" s="46">
        <v>250000.0</v>
      </c>
      <c r="O68" s="65">
        <v>0.0</v>
      </c>
      <c r="P68" s="48">
        <f t="array" ref="P68">IFNA(XLOOKUP(J68,'⚙️ Pengaturan'!$E$2:$E3237,'⚙️ Pengaturan'!$F$2:$F3237),"")</f>
        <v>250000</v>
      </c>
      <c r="Q68" s="49">
        <f t="shared" si="4"/>
        <v>0</v>
      </c>
      <c r="R68" s="41" t="s">
        <v>32</v>
      </c>
      <c r="S68" s="76" t="s">
        <v>33</v>
      </c>
      <c r="T68" s="51" t="b">
        <v>1</v>
      </c>
      <c r="U68" s="94"/>
    </row>
    <row r="69" ht="30.0" customHeight="1">
      <c r="A69" s="39"/>
      <c r="B69" s="40">
        <v>2101.0</v>
      </c>
      <c r="C69" s="41" t="s">
        <v>50</v>
      </c>
      <c r="D69" s="86">
        <v>46020.0</v>
      </c>
      <c r="E69" s="43" t="str">
        <f t="shared" si="1"/>
        <v>2025</v>
      </c>
      <c r="F69" s="43" t="str">
        <f t="shared" si="2"/>
        <v>12 Des</v>
      </c>
      <c r="G69" s="45" t="s">
        <v>195</v>
      </c>
      <c r="H69" s="45" t="s">
        <v>47</v>
      </c>
      <c r="I69" s="45" t="s">
        <v>245</v>
      </c>
      <c r="J69" s="41" t="s">
        <v>180</v>
      </c>
      <c r="K69" s="43" t="str">
        <f t="array" ref="K69">IF(J69="","", XLOOKUP(J69,'⚙️ Pengaturan'!$E$2:$E3237,'⚙️ Pengaturan'!$G$2:$G3237))</f>
        <v>KLINIK FT SESI</v>
      </c>
      <c r="L69" s="43" t="str">
        <f t="shared" si="3"/>
        <v>BARU</v>
      </c>
      <c r="M69" s="41" t="s">
        <v>31</v>
      </c>
      <c r="N69" s="46">
        <v>150000.0</v>
      </c>
      <c r="O69" s="65">
        <v>0.0</v>
      </c>
      <c r="P69" s="48">
        <f t="array" ref="P69">IFNA(XLOOKUP(J69,'⚙️ Pengaturan'!$E$2:$E3237,'⚙️ Pengaturan'!$F$2:$F3237),"")</f>
        <v>150000</v>
      </c>
      <c r="Q69" s="49">
        <f t="shared" si="4"/>
        <v>0</v>
      </c>
      <c r="R69" s="41" t="s">
        <v>37</v>
      </c>
      <c r="S69" s="69" t="s">
        <v>245</v>
      </c>
      <c r="T69" s="51" t="b">
        <v>1</v>
      </c>
      <c r="U69" s="94"/>
    </row>
    <row r="70" ht="30.0" customHeight="1">
      <c r="A70" s="39"/>
      <c r="B70" s="40">
        <v>2102.0</v>
      </c>
      <c r="C70" s="41" t="s">
        <v>50</v>
      </c>
      <c r="D70" s="86">
        <v>46020.0</v>
      </c>
      <c r="E70" s="43" t="str">
        <f t="shared" si="1"/>
        <v>2025</v>
      </c>
      <c r="F70" s="43" t="str">
        <f t="shared" si="2"/>
        <v>12 Des</v>
      </c>
      <c r="G70" s="45" t="s">
        <v>155</v>
      </c>
      <c r="H70" s="45" t="s">
        <v>47</v>
      </c>
      <c r="I70" s="45" t="s">
        <v>246</v>
      </c>
      <c r="J70" s="41" t="s">
        <v>180</v>
      </c>
      <c r="K70" s="43" t="str">
        <f t="array" ref="K70">IF(J70="","", XLOOKUP(J70,'⚙️ Pengaturan'!$E$2:$E3237,'⚙️ Pengaturan'!$G$2:$G3237))</f>
        <v>KLINIK FT SESI</v>
      </c>
      <c r="L70" s="43" t="str">
        <f t="shared" si="3"/>
        <v>BARU</v>
      </c>
      <c r="M70" s="41" t="s">
        <v>31</v>
      </c>
      <c r="N70" s="46">
        <v>150000.0</v>
      </c>
      <c r="O70" s="65">
        <v>0.0</v>
      </c>
      <c r="P70" s="48">
        <f t="array" ref="P70">IFNA(XLOOKUP(J70,'⚙️ Pengaturan'!$E$2:$E3237,'⚙️ Pengaturan'!$F$2:$F3237),"")</f>
        <v>150000</v>
      </c>
      <c r="Q70" s="49">
        <f t="shared" si="4"/>
        <v>0</v>
      </c>
      <c r="R70" s="41" t="s">
        <v>32</v>
      </c>
      <c r="S70" s="76" t="s">
        <v>33</v>
      </c>
      <c r="T70" s="51" t="b">
        <v>1</v>
      </c>
      <c r="U70" s="94"/>
    </row>
    <row r="71" ht="30.0" customHeight="1">
      <c r="A71" s="39"/>
      <c r="B71" s="40">
        <v>2103.0</v>
      </c>
      <c r="C71" s="41" t="s">
        <v>50</v>
      </c>
      <c r="D71" s="86">
        <v>46020.0</v>
      </c>
      <c r="E71" s="43" t="str">
        <f t="shared" si="1"/>
        <v>2025</v>
      </c>
      <c r="F71" s="43" t="str">
        <f t="shared" si="2"/>
        <v>12 Des</v>
      </c>
      <c r="G71" s="45" t="s">
        <v>155</v>
      </c>
      <c r="H71" s="45" t="s">
        <v>149</v>
      </c>
      <c r="I71" s="45" t="s">
        <v>191</v>
      </c>
      <c r="J71" s="41" t="s">
        <v>56</v>
      </c>
      <c r="K71" s="43" t="str">
        <f t="array" ref="K71">IF(J71="","", XLOOKUP(J71,'⚙️ Pengaturan'!$E$2:$E3237,'⚙️ Pengaturan'!$G$2:$G3237))</f>
        <v>KLINIK FT PAKET</v>
      </c>
      <c r="L71" s="43" t="str">
        <f t="shared" si="3"/>
        <v>BARU</v>
      </c>
      <c r="M71" s="41" t="s">
        <v>31</v>
      </c>
      <c r="N71" s="46">
        <v>650000.0</v>
      </c>
      <c r="O71" s="65">
        <v>0.0</v>
      </c>
      <c r="P71" s="48">
        <f t="array" ref="P71">IFNA(XLOOKUP(J71,'⚙️ Pengaturan'!$E$2:$E3237,'⚙️ Pengaturan'!$F$2:$F3237),"")</f>
        <v>650000</v>
      </c>
      <c r="Q71" s="49">
        <f t="shared" si="4"/>
        <v>0</v>
      </c>
      <c r="R71" s="41" t="s">
        <v>37</v>
      </c>
      <c r="S71" s="69" t="s">
        <v>191</v>
      </c>
      <c r="T71" s="51" t="b">
        <v>1</v>
      </c>
      <c r="U71" s="94"/>
    </row>
    <row r="72" ht="30.0" customHeight="1">
      <c r="A72" s="39"/>
      <c r="B72" s="40">
        <v>2104.0</v>
      </c>
      <c r="C72" s="41" t="s">
        <v>50</v>
      </c>
      <c r="D72" s="86">
        <v>46020.0</v>
      </c>
      <c r="E72" s="43" t="str">
        <f t="shared" si="1"/>
        <v>2025</v>
      </c>
      <c r="F72" s="43" t="str">
        <f t="shared" si="2"/>
        <v>12 Des</v>
      </c>
      <c r="G72" s="45" t="s">
        <v>190</v>
      </c>
      <c r="H72" s="45" t="s">
        <v>76</v>
      </c>
      <c r="I72" s="45" t="s">
        <v>187</v>
      </c>
      <c r="J72" s="41" t="s">
        <v>180</v>
      </c>
      <c r="K72" s="43" t="str">
        <f t="array" ref="K72">IF(J72="","", XLOOKUP(J72,'⚙️ Pengaturan'!$E$2:$E3237,'⚙️ Pengaturan'!$G$2:$G3237))</f>
        <v>KLINIK FT SESI</v>
      </c>
      <c r="L72" s="43" t="str">
        <f t="shared" si="3"/>
        <v>BARU</v>
      </c>
      <c r="M72" s="41" t="s">
        <v>31</v>
      </c>
      <c r="N72" s="46">
        <v>150000.0</v>
      </c>
      <c r="O72" s="65">
        <v>0.0</v>
      </c>
      <c r="P72" s="48">
        <f t="array" ref="P72">IFNA(XLOOKUP(J72,'⚙️ Pengaturan'!$E$2:$E3237,'⚙️ Pengaturan'!$F$2:$F3237),"")</f>
        <v>150000</v>
      </c>
      <c r="Q72" s="49">
        <f t="shared" si="4"/>
        <v>0</v>
      </c>
      <c r="R72" s="41" t="s">
        <v>37</v>
      </c>
      <c r="S72" s="69" t="s">
        <v>187</v>
      </c>
      <c r="T72" s="51" t="b">
        <v>1</v>
      </c>
      <c r="U72" s="94"/>
    </row>
    <row r="73" ht="30.0" customHeight="1">
      <c r="A73" s="39"/>
      <c r="B73" s="40">
        <v>2105.0</v>
      </c>
      <c r="C73" s="41" t="s">
        <v>50</v>
      </c>
      <c r="D73" s="86">
        <v>46020.0</v>
      </c>
      <c r="E73" s="43" t="str">
        <f t="shared" si="1"/>
        <v>2025</v>
      </c>
      <c r="F73" s="43" t="str">
        <f t="shared" si="2"/>
        <v>12 Des</v>
      </c>
      <c r="G73" s="45" t="s">
        <v>190</v>
      </c>
      <c r="H73" s="45" t="s">
        <v>47</v>
      </c>
      <c r="I73" s="45" t="s">
        <v>193</v>
      </c>
      <c r="J73" s="41" t="s">
        <v>56</v>
      </c>
      <c r="K73" s="43" t="str">
        <f t="array" ref="K73">IF(J73="","", XLOOKUP(J73,'⚙️ Pengaturan'!$E$2:$E3237,'⚙️ Pengaturan'!$G$2:$G3237))</f>
        <v>KLINIK FT PAKET</v>
      </c>
      <c r="L73" s="43" t="str">
        <f t="shared" si="3"/>
        <v>BARU</v>
      </c>
      <c r="M73" s="41" t="s">
        <v>31</v>
      </c>
      <c r="N73" s="46">
        <v>650000.0</v>
      </c>
      <c r="O73" s="65">
        <v>0.0</v>
      </c>
      <c r="P73" s="48">
        <f t="array" ref="P73">IFNA(XLOOKUP(J73,'⚙️ Pengaturan'!$E$2:$E3237,'⚙️ Pengaturan'!$F$2:$F3237),"")</f>
        <v>650000</v>
      </c>
      <c r="Q73" s="49">
        <f t="shared" si="4"/>
        <v>0</v>
      </c>
      <c r="R73" s="41" t="s">
        <v>37</v>
      </c>
      <c r="S73" s="69" t="s">
        <v>193</v>
      </c>
      <c r="T73" s="51" t="b">
        <v>1</v>
      </c>
      <c r="U73" s="94"/>
    </row>
    <row r="74" ht="30.0" customHeight="1">
      <c r="A74" s="39"/>
      <c r="B74" s="40">
        <v>2106.0</v>
      </c>
      <c r="C74" s="41" t="s">
        <v>50</v>
      </c>
      <c r="D74" s="86">
        <v>46020.0</v>
      </c>
      <c r="E74" s="43" t="str">
        <f t="shared" si="1"/>
        <v>2025</v>
      </c>
      <c r="F74" s="43" t="str">
        <f t="shared" si="2"/>
        <v>12 Des</v>
      </c>
      <c r="G74" s="45" t="s">
        <v>35</v>
      </c>
      <c r="H74" s="45" t="s">
        <v>149</v>
      </c>
      <c r="I74" s="45" t="s">
        <v>251</v>
      </c>
      <c r="J74" s="41" t="s">
        <v>28</v>
      </c>
      <c r="K74" s="43" t="str">
        <f t="array" ref="K74">IF(J74="","", XLOOKUP(J74,'⚙️ Pengaturan'!$E$2:$E3237,'⚙️ Pengaturan'!$G$2:$G3237))</f>
        <v>KLINIK FT TA</v>
      </c>
      <c r="L74" s="43" t="str">
        <f t="shared" si="3"/>
        <v>BARU</v>
      </c>
      <c r="M74" s="41" t="s">
        <v>31</v>
      </c>
      <c r="N74" s="46">
        <v>250000.0</v>
      </c>
      <c r="O74" s="65">
        <v>0.0</v>
      </c>
      <c r="P74" s="48">
        <f t="array" ref="P74">IFNA(XLOOKUP(J74,'⚙️ Pengaturan'!$E$2:$E3237,'⚙️ Pengaturan'!$F$2:$F3237),"")</f>
        <v>250000</v>
      </c>
      <c r="Q74" s="49">
        <f t="shared" si="4"/>
        <v>0</v>
      </c>
      <c r="R74" s="41" t="s">
        <v>32</v>
      </c>
      <c r="S74" s="76" t="s">
        <v>33</v>
      </c>
      <c r="T74" s="51" t="b">
        <v>1</v>
      </c>
      <c r="U74" s="94"/>
    </row>
    <row r="75" ht="30.0" customHeight="1">
      <c r="A75" s="39"/>
      <c r="B75" s="40">
        <v>2107.0</v>
      </c>
      <c r="C75" s="41" t="s">
        <v>50</v>
      </c>
      <c r="D75" s="86">
        <v>46020.0</v>
      </c>
      <c r="E75" s="43" t="str">
        <f t="shared" si="1"/>
        <v>2025</v>
      </c>
      <c r="F75" s="43" t="str">
        <f t="shared" si="2"/>
        <v>12 Des</v>
      </c>
      <c r="G75" s="45" t="s">
        <v>40</v>
      </c>
      <c r="H75" s="45" t="s">
        <v>76</v>
      </c>
      <c r="I75" s="45" t="s">
        <v>203</v>
      </c>
      <c r="J75" s="41" t="s">
        <v>180</v>
      </c>
      <c r="K75" s="43" t="str">
        <f t="array" ref="K75">IF(J75="","", XLOOKUP(J75,'⚙️ Pengaturan'!$E$2:$E3237,'⚙️ Pengaturan'!$G$2:$G3237))</f>
        <v>KLINIK FT SESI</v>
      </c>
      <c r="L75" s="43" t="str">
        <f t="shared" si="3"/>
        <v>LANJUTAN</v>
      </c>
      <c r="M75" s="41" t="s">
        <v>31</v>
      </c>
      <c r="N75" s="46">
        <v>150000.0</v>
      </c>
      <c r="O75" s="65">
        <v>0.0</v>
      </c>
      <c r="P75" s="48">
        <f t="array" ref="P75">IFNA(XLOOKUP(J75,'⚙️ Pengaturan'!$E$2:$E3237,'⚙️ Pengaturan'!$F$2:$F3237),"")</f>
        <v>150000</v>
      </c>
      <c r="Q75" s="49">
        <f t="shared" si="4"/>
        <v>0</v>
      </c>
      <c r="R75" s="41" t="s">
        <v>32</v>
      </c>
      <c r="S75" s="76" t="s">
        <v>33</v>
      </c>
      <c r="T75" s="51" t="b">
        <v>1</v>
      </c>
      <c r="U75" s="94"/>
    </row>
    <row r="76" ht="30.0" customHeight="1">
      <c r="A76" s="39"/>
      <c r="B76" s="40">
        <v>2108.0</v>
      </c>
      <c r="C76" s="41" t="s">
        <v>50</v>
      </c>
      <c r="D76" s="86">
        <v>46020.0</v>
      </c>
      <c r="E76" s="43" t="str">
        <f t="shared" si="1"/>
        <v>2025</v>
      </c>
      <c r="F76" s="43" t="str">
        <f t="shared" si="2"/>
        <v>12 Des</v>
      </c>
      <c r="G76" s="45" t="s">
        <v>173</v>
      </c>
      <c r="H76" s="45" t="s">
        <v>96</v>
      </c>
      <c r="I76" s="45" t="s">
        <v>254</v>
      </c>
      <c r="J76" s="41" t="s">
        <v>28</v>
      </c>
      <c r="K76" s="43" t="str">
        <f t="array" ref="K76">IF(J76="","", XLOOKUP(J76,'⚙️ Pengaturan'!$E$2:$E3237,'⚙️ Pengaturan'!$G$2:$G3237))</f>
        <v>KLINIK FT TA</v>
      </c>
      <c r="L76" s="43" t="str">
        <f t="shared" si="3"/>
        <v>BARU</v>
      </c>
      <c r="M76" s="41" t="s">
        <v>31</v>
      </c>
      <c r="N76" s="46">
        <v>250000.0</v>
      </c>
      <c r="O76" s="65">
        <v>0.0</v>
      </c>
      <c r="P76" s="48">
        <f t="array" ref="P76">IFNA(XLOOKUP(J76,'⚙️ Pengaturan'!$E$2:$E3237,'⚙️ Pengaturan'!$F$2:$F3237),"")</f>
        <v>250000</v>
      </c>
      <c r="Q76" s="49">
        <f t="shared" si="4"/>
        <v>0</v>
      </c>
      <c r="R76" s="41" t="s">
        <v>32</v>
      </c>
      <c r="S76" s="76" t="s">
        <v>33</v>
      </c>
      <c r="T76" s="51" t="b">
        <v>1</v>
      </c>
      <c r="U76" s="94"/>
    </row>
    <row r="77" ht="30.0" customHeight="1">
      <c r="A77" s="39"/>
      <c r="B77" s="40">
        <v>2109.0</v>
      </c>
      <c r="C77" s="41" t="s">
        <v>79</v>
      </c>
      <c r="D77" s="86">
        <v>46025.0</v>
      </c>
      <c r="E77" s="43" t="str">
        <f t="shared" si="1"/>
        <v>2026</v>
      </c>
      <c r="F77" s="43" t="str">
        <f t="shared" si="2"/>
        <v>01 Jan</v>
      </c>
      <c r="G77" s="45" t="s">
        <v>25</v>
      </c>
      <c r="H77" s="45" t="s">
        <v>47</v>
      </c>
      <c r="I77" s="45" t="s">
        <v>255</v>
      </c>
      <c r="J77" s="41" t="s">
        <v>28</v>
      </c>
      <c r="K77" s="43" t="str">
        <f t="array" ref="K77">IF(J77="","", XLOOKUP(J77,'⚙️ Pengaturan'!$E$2:$E3237,'⚙️ Pengaturan'!$G$2:$G3237))</f>
        <v>KLINIK FT TA</v>
      </c>
      <c r="L77" s="43" t="str">
        <f t="shared" si="3"/>
        <v>BARU</v>
      </c>
      <c r="M77" s="41" t="s">
        <v>31</v>
      </c>
      <c r="N77" s="46">
        <v>250000.0</v>
      </c>
      <c r="O77" s="65">
        <v>0.0</v>
      </c>
      <c r="P77" s="48">
        <f t="array" ref="P77">IFNA(XLOOKUP(J77,'⚙️ Pengaturan'!$E$2:$E3237,'⚙️ Pengaturan'!$F$2:$F3237),"")</f>
        <v>250000</v>
      </c>
      <c r="Q77" s="49">
        <f t="shared" si="4"/>
        <v>0</v>
      </c>
      <c r="R77" s="41" t="s">
        <v>37</v>
      </c>
      <c r="S77" s="76" t="s">
        <v>255</v>
      </c>
      <c r="T77" s="51" t="b">
        <v>1</v>
      </c>
      <c r="U77" s="94"/>
    </row>
    <row r="78" ht="30.0" customHeight="1">
      <c r="A78" s="39"/>
      <c r="B78" s="40">
        <v>2110.0</v>
      </c>
      <c r="C78" s="41" t="s">
        <v>79</v>
      </c>
      <c r="D78" s="86">
        <v>46025.0</v>
      </c>
      <c r="E78" s="43" t="str">
        <f t="shared" si="1"/>
        <v>2026</v>
      </c>
      <c r="F78" s="43" t="str">
        <f t="shared" si="2"/>
        <v>01 Jan</v>
      </c>
      <c r="G78" s="45" t="s">
        <v>206</v>
      </c>
      <c r="H78" s="45" t="s">
        <v>76</v>
      </c>
      <c r="I78" s="45" t="s">
        <v>256</v>
      </c>
      <c r="J78" s="41" t="s">
        <v>180</v>
      </c>
      <c r="K78" s="43" t="str">
        <f t="array" ref="K78">IF(J78="","", XLOOKUP(J78,'⚙️ Pengaturan'!$E$2:$E3237,'⚙️ Pengaturan'!$G$2:$G3237))</f>
        <v>KLINIK FT SESI</v>
      </c>
      <c r="L78" s="43" t="str">
        <f t="shared" si="3"/>
        <v>BARU</v>
      </c>
      <c r="M78" s="41" t="s">
        <v>31</v>
      </c>
      <c r="N78" s="46">
        <v>150000.0</v>
      </c>
      <c r="O78" s="65">
        <v>0.0</v>
      </c>
      <c r="P78" s="48">
        <f t="array" ref="P78">IFNA(XLOOKUP(J78,'⚙️ Pengaturan'!$E$2:$E3237,'⚙️ Pengaturan'!$F$2:$F3237),"")</f>
        <v>150000</v>
      </c>
      <c r="Q78" s="49">
        <f t="shared" si="4"/>
        <v>0</v>
      </c>
      <c r="R78" s="41" t="s">
        <v>32</v>
      </c>
      <c r="S78" s="76" t="s">
        <v>33</v>
      </c>
      <c r="T78" s="51" t="b">
        <v>1</v>
      </c>
      <c r="U78" s="94"/>
    </row>
    <row r="79" ht="30.0" customHeight="1">
      <c r="A79" s="39"/>
      <c r="B79" s="40">
        <v>2111.0</v>
      </c>
      <c r="C79" s="41" t="s">
        <v>79</v>
      </c>
      <c r="D79" s="86">
        <v>46025.0</v>
      </c>
      <c r="E79" s="43" t="str">
        <f t="shared" si="1"/>
        <v>2026</v>
      </c>
      <c r="F79" s="43" t="str">
        <f t="shared" si="2"/>
        <v>01 Jan</v>
      </c>
      <c r="G79" s="45" t="s">
        <v>206</v>
      </c>
      <c r="H79" s="45" t="s">
        <v>156</v>
      </c>
      <c r="I79" s="45" t="s">
        <v>258</v>
      </c>
      <c r="J79" s="41" t="s">
        <v>28</v>
      </c>
      <c r="K79" s="43" t="str">
        <f t="array" ref="K79">IF(J79="","", XLOOKUP(J79,'⚙️ Pengaturan'!$E$2:$E3237,'⚙️ Pengaturan'!$G$2:$G3237))</f>
        <v>KLINIK FT TA</v>
      </c>
      <c r="L79" s="43" t="str">
        <f t="shared" si="3"/>
        <v>BARU</v>
      </c>
      <c r="M79" s="41" t="s">
        <v>31</v>
      </c>
      <c r="N79" s="46">
        <v>250000.0</v>
      </c>
      <c r="O79" s="65">
        <v>0.0</v>
      </c>
      <c r="P79" s="48">
        <f t="array" ref="P79">IFNA(XLOOKUP(J79,'⚙️ Pengaturan'!$E$2:$E3237,'⚙️ Pengaturan'!$F$2:$F3237),"")</f>
        <v>250000</v>
      </c>
      <c r="Q79" s="49">
        <f t="shared" si="4"/>
        <v>0</v>
      </c>
      <c r="R79" s="41" t="s">
        <v>32</v>
      </c>
      <c r="S79" s="76" t="s">
        <v>33</v>
      </c>
      <c r="T79" s="51" t="b">
        <v>1</v>
      </c>
      <c r="U79" s="94"/>
    </row>
    <row r="80" ht="30.0" customHeight="1">
      <c r="A80" s="39"/>
      <c r="B80" s="40">
        <v>2112.0</v>
      </c>
      <c r="C80" s="41" t="s">
        <v>79</v>
      </c>
      <c r="D80" s="86">
        <v>46025.0</v>
      </c>
      <c r="E80" s="43" t="str">
        <f t="shared" si="1"/>
        <v>2026</v>
      </c>
      <c r="F80" s="43" t="str">
        <f t="shared" si="2"/>
        <v>01 Jan</v>
      </c>
      <c r="G80" s="45" t="s">
        <v>35</v>
      </c>
      <c r="H80" s="45" t="s">
        <v>76</v>
      </c>
      <c r="I80" s="45" t="s">
        <v>260</v>
      </c>
      <c r="J80" s="41" t="s">
        <v>56</v>
      </c>
      <c r="K80" s="43" t="str">
        <f t="array" ref="K80">IF(J80="","", XLOOKUP(J80,'⚙️ Pengaturan'!$E$2:$E3237,'⚙️ Pengaturan'!$G$2:$G3237))</f>
        <v>KLINIK FT PAKET</v>
      </c>
      <c r="L80" s="43" t="str">
        <f t="shared" si="3"/>
        <v>BARU</v>
      </c>
      <c r="M80" s="41" t="s">
        <v>31</v>
      </c>
      <c r="N80" s="46">
        <v>650000.0</v>
      </c>
      <c r="O80" s="65">
        <v>0.0</v>
      </c>
      <c r="P80" s="48">
        <f t="array" ref="P80">IFNA(XLOOKUP(J80,'⚙️ Pengaturan'!$E$2:$E3237,'⚙️ Pengaturan'!$F$2:$F3237),"")</f>
        <v>650000</v>
      </c>
      <c r="Q80" s="49">
        <f t="shared" si="4"/>
        <v>0</v>
      </c>
      <c r="R80" s="41" t="s">
        <v>32</v>
      </c>
      <c r="S80" s="76" t="s">
        <v>33</v>
      </c>
      <c r="T80" s="51" t="b">
        <v>1</v>
      </c>
      <c r="U80" s="94"/>
    </row>
    <row r="81" ht="30.0" customHeight="1">
      <c r="A81" s="39"/>
      <c r="B81" s="40">
        <v>2113.0</v>
      </c>
      <c r="C81" s="41" t="s">
        <v>50</v>
      </c>
      <c r="D81" s="86">
        <v>46025.0</v>
      </c>
      <c r="E81" s="43" t="str">
        <f t="shared" si="1"/>
        <v>2026</v>
      </c>
      <c r="F81" s="43" t="str">
        <f t="shared" si="2"/>
        <v>01 Jan</v>
      </c>
      <c r="G81" s="45" t="s">
        <v>43</v>
      </c>
      <c r="H81" s="45" t="s">
        <v>26</v>
      </c>
      <c r="I81" s="45" t="s">
        <v>261</v>
      </c>
      <c r="J81" s="41" t="s">
        <v>92</v>
      </c>
      <c r="K81" s="43" t="str">
        <f t="array" ref="K81">IF(J81="","", XLOOKUP(J81,'⚙️ Pengaturan'!$E$2:$E3237,'⚙️ Pengaturan'!$G$2:$G3237))</f>
        <v>KLINIK FT PAKET</v>
      </c>
      <c r="L81" s="43" t="str">
        <f t="shared" si="3"/>
        <v>BARU</v>
      </c>
      <c r="M81" s="41" t="s">
        <v>31</v>
      </c>
      <c r="N81" s="46">
        <v>1200000.0</v>
      </c>
      <c r="O81" s="65">
        <v>0.0</v>
      </c>
      <c r="P81" s="48">
        <f t="array" ref="P81">IFNA(XLOOKUP(J81,'⚙️ Pengaturan'!$E$2:$E3237,'⚙️ Pengaturan'!$F$2:$F3237),"")</f>
        <v>1200000</v>
      </c>
      <c r="Q81" s="49">
        <f t="shared" si="4"/>
        <v>0</v>
      </c>
      <c r="R81" s="41" t="s">
        <v>93</v>
      </c>
      <c r="S81" s="69" t="s">
        <v>261</v>
      </c>
      <c r="T81" s="51" t="b">
        <v>1</v>
      </c>
      <c r="U81" s="94"/>
    </row>
    <row r="82" ht="30.0" customHeight="1">
      <c r="A82" s="39"/>
      <c r="B82" s="40">
        <v>2114.0</v>
      </c>
      <c r="C82" s="41" t="s">
        <v>50</v>
      </c>
      <c r="D82" s="86">
        <v>46025.0</v>
      </c>
      <c r="E82" s="43" t="str">
        <f t="shared" si="1"/>
        <v>2026</v>
      </c>
      <c r="F82" s="43" t="str">
        <f t="shared" si="2"/>
        <v>01 Jan</v>
      </c>
      <c r="G82" s="45" t="s">
        <v>40</v>
      </c>
      <c r="H82" s="45" t="s">
        <v>26</v>
      </c>
      <c r="I82" s="45" t="s">
        <v>263</v>
      </c>
      <c r="J82" s="41" t="s">
        <v>28</v>
      </c>
      <c r="K82" s="43" t="str">
        <f t="array" ref="K82">IF(J82="","", XLOOKUP(J82,'⚙️ Pengaturan'!$E$2:$E3237,'⚙️ Pengaturan'!$G$2:$G3237))</f>
        <v>KLINIK FT TA</v>
      </c>
      <c r="L82" s="43" t="str">
        <f t="shared" si="3"/>
        <v>BARU</v>
      </c>
      <c r="M82" s="41" t="s">
        <v>31</v>
      </c>
      <c r="N82" s="46">
        <v>250000.0</v>
      </c>
      <c r="O82" s="65">
        <v>0.0</v>
      </c>
      <c r="P82" s="48">
        <f t="array" ref="P82">IFNA(XLOOKUP(J82,'⚙️ Pengaturan'!$E$2:$E3237,'⚙️ Pengaturan'!$F$2:$F3237),"")</f>
        <v>250000</v>
      </c>
      <c r="Q82" s="49">
        <f t="shared" si="4"/>
        <v>0</v>
      </c>
      <c r="R82" s="41" t="s">
        <v>37</v>
      </c>
      <c r="S82" s="69" t="s">
        <v>263</v>
      </c>
      <c r="T82" s="51" t="b">
        <v>1</v>
      </c>
      <c r="U82" s="94"/>
    </row>
    <row r="83" ht="30.0" customHeight="1">
      <c r="A83" s="39"/>
      <c r="B83" s="40">
        <v>2115.0</v>
      </c>
      <c r="C83" s="41" t="s">
        <v>50</v>
      </c>
      <c r="D83" s="86">
        <v>46025.0</v>
      </c>
      <c r="E83" s="43" t="str">
        <f t="shared" si="1"/>
        <v>2026</v>
      </c>
      <c r="F83" s="43" t="str">
        <f t="shared" si="2"/>
        <v>01 Jan</v>
      </c>
      <c r="G83" s="45" t="s">
        <v>40</v>
      </c>
      <c r="H83" s="45" t="s">
        <v>150</v>
      </c>
      <c r="I83" s="45" t="s">
        <v>267</v>
      </c>
      <c r="J83" s="41" t="s">
        <v>28</v>
      </c>
      <c r="K83" s="43" t="str">
        <f t="array" ref="K83">IF(J83="","", XLOOKUP(J83,'⚙️ Pengaturan'!$E$2:$E3237,'⚙️ Pengaturan'!$G$2:$G3237))</f>
        <v>KLINIK FT TA</v>
      </c>
      <c r="L83" s="43" t="str">
        <f t="shared" si="3"/>
        <v>BARU</v>
      </c>
      <c r="M83" s="41" t="s">
        <v>31</v>
      </c>
      <c r="N83" s="46">
        <v>250000.0</v>
      </c>
      <c r="O83" s="65">
        <v>0.0</v>
      </c>
      <c r="P83" s="48">
        <f t="array" ref="P83">IFNA(XLOOKUP(J83,'⚙️ Pengaturan'!$E$2:$E3237,'⚙️ Pengaturan'!$F$2:$F3237),"")</f>
        <v>250000</v>
      </c>
      <c r="Q83" s="49">
        <f t="shared" si="4"/>
        <v>0</v>
      </c>
      <c r="R83" s="41" t="s">
        <v>37</v>
      </c>
      <c r="S83" s="69" t="s">
        <v>267</v>
      </c>
      <c r="T83" s="51" t="b">
        <v>1</v>
      </c>
      <c r="U83" s="94"/>
    </row>
    <row r="84" ht="30.0" customHeight="1">
      <c r="A84" s="39"/>
      <c r="B84" s="40">
        <v>2116.0</v>
      </c>
      <c r="C84" s="41" t="s">
        <v>50</v>
      </c>
      <c r="D84" s="86">
        <v>46025.0</v>
      </c>
      <c r="E84" s="43" t="str">
        <f t="shared" si="1"/>
        <v>2026</v>
      </c>
      <c r="F84" s="43" t="str">
        <f t="shared" si="2"/>
        <v>01 Jan</v>
      </c>
      <c r="G84" s="45" t="s">
        <v>43</v>
      </c>
      <c r="H84" s="45" t="s">
        <v>150</v>
      </c>
      <c r="I84" s="45" t="s">
        <v>269</v>
      </c>
      <c r="J84" s="41" t="s">
        <v>28</v>
      </c>
      <c r="K84" s="43" t="str">
        <f t="array" ref="K84">IF(J84="","", XLOOKUP(J84,'⚙️ Pengaturan'!$E$2:$E3237,'⚙️ Pengaturan'!$G$2:$G3237))</f>
        <v>KLINIK FT TA</v>
      </c>
      <c r="L84" s="43" t="str">
        <f t="shared" si="3"/>
        <v>BARU</v>
      </c>
      <c r="M84" s="41" t="s">
        <v>31</v>
      </c>
      <c r="N84" s="46">
        <v>250000.0</v>
      </c>
      <c r="O84" s="65">
        <v>0.0</v>
      </c>
      <c r="P84" s="48">
        <f t="array" ref="P84">IFNA(XLOOKUP(J84,'⚙️ Pengaturan'!$E$2:$E3237,'⚙️ Pengaturan'!$F$2:$F3237),"")</f>
        <v>250000</v>
      </c>
      <c r="Q84" s="49">
        <f t="shared" si="4"/>
        <v>0</v>
      </c>
      <c r="R84" s="41" t="s">
        <v>32</v>
      </c>
      <c r="S84" s="69" t="s">
        <v>33</v>
      </c>
      <c r="T84" s="51" t="b">
        <v>1</v>
      </c>
      <c r="U84" s="94"/>
    </row>
    <row r="85" ht="30.0" customHeight="1">
      <c r="A85" s="39"/>
      <c r="B85" s="40">
        <v>2117.0</v>
      </c>
      <c r="C85" s="41" t="s">
        <v>50</v>
      </c>
      <c r="D85" s="86">
        <v>46025.0</v>
      </c>
      <c r="E85" s="43" t="str">
        <f t="shared" si="1"/>
        <v>2026</v>
      </c>
      <c r="F85" s="43" t="str">
        <f t="shared" si="2"/>
        <v>01 Jan</v>
      </c>
      <c r="G85" s="45" t="s">
        <v>43</v>
      </c>
      <c r="H85" s="45" t="s">
        <v>162</v>
      </c>
      <c r="I85" s="45" t="s">
        <v>179</v>
      </c>
      <c r="J85" s="41" t="s">
        <v>180</v>
      </c>
      <c r="K85" s="43" t="str">
        <f t="array" ref="K85">IF(J85="","", XLOOKUP(J85,'⚙️ Pengaturan'!$E$2:$E3237,'⚙️ Pengaturan'!$G$2:$G3237))</f>
        <v>KLINIK FT SESI</v>
      </c>
      <c r="L85" s="43" t="str">
        <f t="shared" si="3"/>
        <v>LANJUTAN</v>
      </c>
      <c r="M85" s="41" t="s">
        <v>31</v>
      </c>
      <c r="N85" s="46">
        <v>150000.0</v>
      </c>
      <c r="O85" s="65">
        <v>0.0</v>
      </c>
      <c r="P85" s="48">
        <f t="array" ref="P85">IFNA(XLOOKUP(J85,'⚙️ Pengaturan'!$E$2:$E3237,'⚙️ Pengaturan'!$F$2:$F3237),"")</f>
        <v>150000</v>
      </c>
      <c r="Q85" s="49">
        <f t="shared" si="4"/>
        <v>0</v>
      </c>
      <c r="R85" s="41" t="s">
        <v>32</v>
      </c>
      <c r="S85" s="69" t="s">
        <v>33</v>
      </c>
      <c r="T85" s="51" t="b">
        <v>1</v>
      </c>
      <c r="U85" s="94"/>
    </row>
    <row r="86" ht="30.0" customHeight="1">
      <c r="A86" s="39"/>
      <c r="B86" s="40">
        <v>2118.0</v>
      </c>
      <c r="C86" s="41" t="s">
        <v>50</v>
      </c>
      <c r="D86" s="86">
        <v>46025.0</v>
      </c>
      <c r="E86" s="43" t="str">
        <f t="shared" si="1"/>
        <v>2026</v>
      </c>
      <c r="F86" s="43" t="str">
        <f t="shared" si="2"/>
        <v>01 Jan</v>
      </c>
      <c r="G86" s="45" t="s">
        <v>173</v>
      </c>
      <c r="H86" s="45" t="s">
        <v>150</v>
      </c>
      <c r="I86" s="45" t="s">
        <v>271</v>
      </c>
      <c r="J86" s="41" t="s">
        <v>28</v>
      </c>
      <c r="K86" s="43" t="str">
        <f t="array" ref="K86">IF(J86="","", XLOOKUP(J86,'⚙️ Pengaturan'!$E$2:$E3237,'⚙️ Pengaturan'!$G$2:$G3237))</f>
        <v>KLINIK FT TA</v>
      </c>
      <c r="L86" s="43" t="str">
        <f t="shared" si="3"/>
        <v>BARU</v>
      </c>
      <c r="M86" s="41" t="s">
        <v>31</v>
      </c>
      <c r="N86" s="46">
        <v>250000.0</v>
      </c>
      <c r="O86" s="65">
        <v>0.0</v>
      </c>
      <c r="P86" s="48">
        <f t="array" ref="P86">IFNA(XLOOKUP(J86,'⚙️ Pengaturan'!$E$2:$E3237,'⚙️ Pengaturan'!$F$2:$F3237),"")</f>
        <v>250000</v>
      </c>
      <c r="Q86" s="49">
        <f t="shared" si="4"/>
        <v>0</v>
      </c>
      <c r="R86" s="41" t="s">
        <v>32</v>
      </c>
      <c r="S86" s="69" t="s">
        <v>33</v>
      </c>
      <c r="T86" s="51" t="b">
        <v>1</v>
      </c>
      <c r="U86" s="94"/>
    </row>
    <row r="87" ht="30.0" customHeight="1">
      <c r="A87" s="39"/>
      <c r="B87" s="40">
        <v>2119.0</v>
      </c>
      <c r="C87" s="41" t="s">
        <v>50</v>
      </c>
      <c r="D87" s="86">
        <v>46025.0</v>
      </c>
      <c r="E87" s="43" t="str">
        <f t="shared" si="1"/>
        <v>2026</v>
      </c>
      <c r="F87" s="43" t="str">
        <f t="shared" si="2"/>
        <v>01 Jan</v>
      </c>
      <c r="G87" s="45" t="s">
        <v>173</v>
      </c>
      <c r="H87" s="45" t="s">
        <v>26</v>
      </c>
      <c r="I87" s="45" t="s">
        <v>273</v>
      </c>
      <c r="J87" s="41" t="s">
        <v>28</v>
      </c>
      <c r="K87" s="43" t="str">
        <f t="array" ref="K87">IF(J87="","", XLOOKUP(J87,'⚙️ Pengaturan'!$E$2:$E3237,'⚙️ Pengaturan'!$G$2:$G3237))</f>
        <v>KLINIK FT TA</v>
      </c>
      <c r="L87" s="43" t="str">
        <f t="shared" si="3"/>
        <v>BARU</v>
      </c>
      <c r="M87" s="41" t="s">
        <v>31</v>
      </c>
      <c r="N87" s="46">
        <v>250000.0</v>
      </c>
      <c r="O87" s="65">
        <v>0.0</v>
      </c>
      <c r="P87" s="48">
        <f t="array" ref="P87">IFNA(XLOOKUP(J87,'⚙️ Pengaturan'!$E$2:$E3237,'⚙️ Pengaturan'!$F$2:$F3237),"")</f>
        <v>250000</v>
      </c>
      <c r="Q87" s="49">
        <f t="shared" si="4"/>
        <v>0</v>
      </c>
      <c r="R87" s="41" t="s">
        <v>32</v>
      </c>
      <c r="S87" s="69" t="s">
        <v>33</v>
      </c>
      <c r="T87" s="51" t="b">
        <v>1</v>
      </c>
      <c r="U87" s="94"/>
    </row>
    <row r="88" ht="30.0" customHeight="1">
      <c r="A88" s="39"/>
      <c r="B88" s="40">
        <v>2120.0</v>
      </c>
      <c r="C88" s="41" t="s">
        <v>50</v>
      </c>
      <c r="D88" s="86">
        <v>46025.0</v>
      </c>
      <c r="E88" s="43" t="str">
        <f t="shared" si="1"/>
        <v>2026</v>
      </c>
      <c r="F88" s="43" t="str">
        <f t="shared" si="2"/>
        <v>01 Jan</v>
      </c>
      <c r="G88" s="45" t="s">
        <v>155</v>
      </c>
      <c r="H88" s="45" t="s">
        <v>150</v>
      </c>
      <c r="I88" s="45" t="s">
        <v>276</v>
      </c>
      <c r="J88" s="41" t="s">
        <v>28</v>
      </c>
      <c r="K88" s="43" t="str">
        <f t="array" ref="K88">IF(J88="","", XLOOKUP(J88,'⚙️ Pengaturan'!$E$2:$E3237,'⚙️ Pengaturan'!$G$2:$G3237))</f>
        <v>KLINIK FT TA</v>
      </c>
      <c r="L88" s="43" t="str">
        <f t="shared" si="3"/>
        <v>BARU</v>
      </c>
      <c r="M88" s="41" t="s">
        <v>31</v>
      </c>
      <c r="N88" s="46">
        <v>250000.0</v>
      </c>
      <c r="O88" s="65">
        <v>0.0</v>
      </c>
      <c r="P88" s="48">
        <f t="array" ref="P88">IFNA(XLOOKUP(J88,'⚙️ Pengaturan'!$E$2:$E3237,'⚙️ Pengaturan'!$F$2:$F3237),"")</f>
        <v>250000</v>
      </c>
      <c r="Q88" s="49">
        <f t="shared" si="4"/>
        <v>0</v>
      </c>
      <c r="R88" s="41" t="s">
        <v>32</v>
      </c>
      <c r="S88" s="69" t="s">
        <v>33</v>
      </c>
      <c r="T88" s="51" t="b">
        <v>1</v>
      </c>
      <c r="U88" s="94"/>
    </row>
    <row r="89" ht="30.0" customHeight="1">
      <c r="A89" s="39"/>
      <c r="B89" s="40">
        <v>2121.0</v>
      </c>
      <c r="C89" s="41" t="s">
        <v>50</v>
      </c>
      <c r="D89" s="86">
        <v>46025.0</v>
      </c>
      <c r="E89" s="43" t="str">
        <f t="shared" si="1"/>
        <v>2026</v>
      </c>
      <c r="F89" s="43" t="str">
        <f t="shared" si="2"/>
        <v>01 Jan</v>
      </c>
      <c r="G89" s="45" t="s">
        <v>155</v>
      </c>
      <c r="H89" s="45" t="s">
        <v>166</v>
      </c>
      <c r="I89" s="45" t="s">
        <v>277</v>
      </c>
      <c r="J89" s="41" t="s">
        <v>28</v>
      </c>
      <c r="K89" s="43" t="str">
        <f t="array" ref="K89">IF(J89="","", XLOOKUP(J89,'⚙️ Pengaturan'!$E$2:$E3237,'⚙️ Pengaturan'!$G$2:$G3237))</f>
        <v>KLINIK FT TA</v>
      </c>
      <c r="L89" s="43" t="str">
        <f t="shared" si="3"/>
        <v>BARU</v>
      </c>
      <c r="M89" s="41" t="s">
        <v>31</v>
      </c>
      <c r="N89" s="46">
        <v>250000.0</v>
      </c>
      <c r="O89" s="65">
        <v>0.0</v>
      </c>
      <c r="P89" s="48">
        <f t="array" ref="P89">IFNA(XLOOKUP(J89,'⚙️ Pengaturan'!$E$2:$E3237,'⚙️ Pengaturan'!$F$2:$F3237),"")</f>
        <v>250000</v>
      </c>
      <c r="Q89" s="49">
        <f t="shared" si="4"/>
        <v>0</v>
      </c>
      <c r="R89" s="41" t="s">
        <v>32</v>
      </c>
      <c r="S89" s="69" t="s">
        <v>33</v>
      </c>
      <c r="T89" s="51" t="b">
        <v>1</v>
      </c>
      <c r="U89" s="94"/>
    </row>
    <row r="90" ht="30.0" customHeight="1">
      <c r="A90" s="39"/>
      <c r="B90" s="40">
        <v>2122.0</v>
      </c>
      <c r="C90" s="41" t="s">
        <v>50</v>
      </c>
      <c r="D90" s="86">
        <v>46025.0</v>
      </c>
      <c r="E90" s="43" t="str">
        <f t="shared" si="1"/>
        <v>2026</v>
      </c>
      <c r="F90" s="43" t="str">
        <f t="shared" si="2"/>
        <v>01 Jan</v>
      </c>
      <c r="G90" s="45" t="s">
        <v>155</v>
      </c>
      <c r="H90" s="45" t="s">
        <v>26</v>
      </c>
      <c r="I90" s="45" t="s">
        <v>279</v>
      </c>
      <c r="J90" s="41" t="s">
        <v>28</v>
      </c>
      <c r="K90" s="43" t="str">
        <f t="array" ref="K90">IF(J90="","", XLOOKUP(J90,'⚙️ Pengaturan'!$E$2:$E3237,'⚙️ Pengaturan'!$G$2:$G3237))</f>
        <v>KLINIK FT TA</v>
      </c>
      <c r="L90" s="43" t="str">
        <f t="shared" si="3"/>
        <v>BARU</v>
      </c>
      <c r="M90" s="41" t="s">
        <v>31</v>
      </c>
      <c r="N90" s="46">
        <v>250000.0</v>
      </c>
      <c r="O90" s="65">
        <v>0.0</v>
      </c>
      <c r="P90" s="48">
        <f t="array" ref="P90">IFNA(XLOOKUP(J90,'⚙️ Pengaturan'!$E$2:$E3237,'⚙️ Pengaturan'!$F$2:$F3237),"")</f>
        <v>250000</v>
      </c>
      <c r="Q90" s="49">
        <f t="shared" si="4"/>
        <v>0</v>
      </c>
      <c r="R90" s="41" t="s">
        <v>32</v>
      </c>
      <c r="S90" s="69" t="s">
        <v>33</v>
      </c>
      <c r="T90" s="51" t="b">
        <v>1</v>
      </c>
      <c r="U90" s="94"/>
    </row>
    <row r="91" ht="30.0" customHeight="1">
      <c r="A91" s="39"/>
      <c r="B91" s="40">
        <v>2123.0</v>
      </c>
      <c r="C91" s="41" t="s">
        <v>50</v>
      </c>
      <c r="D91" s="86">
        <v>46025.0</v>
      </c>
      <c r="E91" s="43" t="str">
        <f t="shared" si="1"/>
        <v>2026</v>
      </c>
      <c r="F91" s="43" t="str">
        <f t="shared" si="2"/>
        <v>01 Jan</v>
      </c>
      <c r="G91" s="45" t="s">
        <v>190</v>
      </c>
      <c r="H91" s="45" t="s">
        <v>150</v>
      </c>
      <c r="I91" s="45" t="s">
        <v>232</v>
      </c>
      <c r="J91" s="41" t="s">
        <v>56</v>
      </c>
      <c r="K91" s="43" t="str">
        <f t="array" ref="K91">IF(J91="","", XLOOKUP(J91,'⚙️ Pengaturan'!$E$2:$E3237,'⚙️ Pengaturan'!$G$2:$G3237))</f>
        <v>KLINIK FT PAKET</v>
      </c>
      <c r="L91" s="43" t="str">
        <f t="shared" si="3"/>
        <v>LANJUTAN</v>
      </c>
      <c r="M91" s="41" t="s">
        <v>164</v>
      </c>
      <c r="N91" s="46">
        <v>450000.0</v>
      </c>
      <c r="O91" s="65">
        <v>200000.0</v>
      </c>
      <c r="P91" s="48">
        <f t="array" ref="P91">IFNA(XLOOKUP(J91,'⚙️ Pengaturan'!$E$2:$E3237,'⚙️ Pengaturan'!$F$2:$F3237),"")</f>
        <v>650000</v>
      </c>
      <c r="Q91" s="49">
        <f t="shared" si="4"/>
        <v>0</v>
      </c>
      <c r="R91" s="41" t="s">
        <v>37</v>
      </c>
      <c r="S91" s="69" t="s">
        <v>232</v>
      </c>
      <c r="T91" s="51" t="b">
        <v>1</v>
      </c>
      <c r="U91" s="94"/>
    </row>
    <row r="92" ht="30.0" customHeight="1">
      <c r="A92" s="39"/>
      <c r="B92" s="40">
        <v>2124.0</v>
      </c>
      <c r="C92" s="41" t="s">
        <v>50</v>
      </c>
      <c r="D92" s="86">
        <v>46025.0</v>
      </c>
      <c r="E92" s="43" t="str">
        <f t="shared" si="1"/>
        <v>2026</v>
      </c>
      <c r="F92" s="43" t="str">
        <f t="shared" si="2"/>
        <v>01 Jan</v>
      </c>
      <c r="G92" s="45" t="s">
        <v>190</v>
      </c>
      <c r="H92" s="45" t="s">
        <v>26</v>
      </c>
      <c r="I92" s="45" t="s">
        <v>282</v>
      </c>
      <c r="J92" s="41" t="s">
        <v>28</v>
      </c>
      <c r="K92" s="43" t="str">
        <f t="array" ref="K92">IF(J92="","", XLOOKUP(J92,'⚙️ Pengaturan'!$E$2:$E3237,'⚙️ Pengaturan'!$G$2:$G3237))</f>
        <v>KLINIK FT TA</v>
      </c>
      <c r="L92" s="43" t="str">
        <f t="shared" si="3"/>
        <v>BARU</v>
      </c>
      <c r="M92" s="41" t="s">
        <v>31</v>
      </c>
      <c r="N92" s="46">
        <v>250000.0</v>
      </c>
      <c r="O92" s="65">
        <v>0.0</v>
      </c>
      <c r="P92" s="48">
        <f t="array" ref="P92">IFNA(XLOOKUP(J92,'⚙️ Pengaturan'!$E$2:$E3237,'⚙️ Pengaturan'!$F$2:$F3237),"")</f>
        <v>250000</v>
      </c>
      <c r="Q92" s="49">
        <f t="shared" si="4"/>
        <v>0</v>
      </c>
      <c r="R92" s="41" t="s">
        <v>37</v>
      </c>
      <c r="S92" s="69" t="s">
        <v>283</v>
      </c>
      <c r="T92" s="51" t="b">
        <v>1</v>
      </c>
      <c r="U92" s="94"/>
    </row>
    <row r="93" ht="30.0" customHeight="1">
      <c r="A93" s="39"/>
      <c r="B93" s="40">
        <v>2125.0</v>
      </c>
      <c r="C93" s="41" t="s">
        <v>50</v>
      </c>
      <c r="D93" s="86">
        <v>46025.0</v>
      </c>
      <c r="E93" s="43" t="str">
        <f t="shared" si="1"/>
        <v>2026</v>
      </c>
      <c r="F93" s="43" t="str">
        <f t="shared" si="2"/>
        <v>01 Jan</v>
      </c>
      <c r="G93" s="45" t="s">
        <v>190</v>
      </c>
      <c r="H93" s="45" t="s">
        <v>162</v>
      </c>
      <c r="I93" s="45" t="s">
        <v>285</v>
      </c>
      <c r="J93" s="41" t="s">
        <v>92</v>
      </c>
      <c r="K93" s="43" t="str">
        <f t="array" ref="K93">IF(J93="","", XLOOKUP(J93,'⚙️ Pengaturan'!$E$2:$E3237,'⚙️ Pengaturan'!$G$2:$G3237))</f>
        <v>KLINIK FT PAKET</v>
      </c>
      <c r="L93" s="43" t="str">
        <f t="shared" si="3"/>
        <v>BARU</v>
      </c>
      <c r="M93" s="41" t="s">
        <v>31</v>
      </c>
      <c r="N93" s="46">
        <v>1200000.0</v>
      </c>
      <c r="O93" s="65">
        <v>0.0</v>
      </c>
      <c r="P93" s="48">
        <f t="array" ref="P93">IFNA(XLOOKUP(J93,'⚙️ Pengaturan'!$E$2:$E3237,'⚙️ Pengaturan'!$F$2:$F3237),"")</f>
        <v>1200000</v>
      </c>
      <c r="Q93" s="49">
        <f t="shared" si="4"/>
        <v>0</v>
      </c>
      <c r="R93" s="41" t="s">
        <v>37</v>
      </c>
      <c r="S93" s="69" t="s">
        <v>285</v>
      </c>
      <c r="T93" s="51" t="b">
        <v>1</v>
      </c>
      <c r="U93" s="94"/>
    </row>
    <row r="94" ht="30.0" customHeight="1">
      <c r="A94" s="39"/>
      <c r="B94" s="40">
        <v>2126.0</v>
      </c>
      <c r="C94" s="41" t="s">
        <v>50</v>
      </c>
      <c r="D94" s="86">
        <v>46025.0</v>
      </c>
      <c r="E94" s="43" t="str">
        <f t="shared" si="1"/>
        <v>2026</v>
      </c>
      <c r="F94" s="43" t="str">
        <f t="shared" si="2"/>
        <v>01 Jan</v>
      </c>
      <c r="G94" s="45" t="s">
        <v>195</v>
      </c>
      <c r="H94" s="45" t="s">
        <v>149</v>
      </c>
      <c r="I94" s="45" t="s">
        <v>200</v>
      </c>
      <c r="J94" s="41" t="s">
        <v>180</v>
      </c>
      <c r="K94" s="43" t="str">
        <f t="array" ref="K94">IF(J94="","", XLOOKUP(J94,'⚙️ Pengaturan'!$E$2:$E3237,'⚙️ Pengaturan'!$G$2:$G3237))</f>
        <v>KLINIK FT SESI</v>
      </c>
      <c r="L94" s="43" t="str">
        <f t="shared" si="3"/>
        <v>BARU</v>
      </c>
      <c r="M94" s="41" t="s">
        <v>31</v>
      </c>
      <c r="N94" s="46">
        <v>150000.0</v>
      </c>
      <c r="O94" s="65">
        <v>0.0</v>
      </c>
      <c r="P94" s="48">
        <f t="array" ref="P94">IFNA(XLOOKUP(J94,'⚙️ Pengaturan'!$E$2:$E3237,'⚙️ Pengaturan'!$F$2:$F3237),"")</f>
        <v>150000</v>
      </c>
      <c r="Q94" s="49">
        <f t="shared" si="4"/>
        <v>0</v>
      </c>
      <c r="R94" s="41" t="s">
        <v>37</v>
      </c>
      <c r="S94" s="69" t="s">
        <v>200</v>
      </c>
      <c r="T94" s="51" t="b">
        <v>1</v>
      </c>
      <c r="U94" s="94"/>
    </row>
    <row r="95" ht="30.0" customHeight="1">
      <c r="A95" s="39"/>
      <c r="B95" s="40">
        <v>2127.0</v>
      </c>
      <c r="C95" s="41" t="s">
        <v>50</v>
      </c>
      <c r="D95" s="86">
        <v>46025.0</v>
      </c>
      <c r="E95" s="43" t="str">
        <f t="shared" si="1"/>
        <v>2026</v>
      </c>
      <c r="F95" s="43" t="str">
        <f t="shared" si="2"/>
        <v>01 Jan</v>
      </c>
      <c r="G95" s="45" t="s">
        <v>35</v>
      </c>
      <c r="H95" s="45" t="s">
        <v>96</v>
      </c>
      <c r="I95" s="45" t="s">
        <v>288</v>
      </c>
      <c r="J95" s="41" t="s">
        <v>28</v>
      </c>
      <c r="K95" s="43" t="str">
        <f t="array" ref="K95">IF(J95="","", XLOOKUP(J95,'⚙️ Pengaturan'!$E$2:$E3237,'⚙️ Pengaturan'!$G$2:$G3237))</f>
        <v>KLINIK FT TA</v>
      </c>
      <c r="L95" s="43" t="str">
        <f t="shared" si="3"/>
        <v>BARU</v>
      </c>
      <c r="M95" s="41" t="s">
        <v>31</v>
      </c>
      <c r="N95" s="46">
        <v>250000.0</v>
      </c>
      <c r="O95" s="65">
        <v>0.0</v>
      </c>
      <c r="P95" s="48">
        <f t="array" ref="P95">IFNA(XLOOKUP(J95,'⚙️ Pengaturan'!$E$2:$E3237,'⚙️ Pengaturan'!$F$2:$F3237),"")</f>
        <v>250000</v>
      </c>
      <c r="Q95" s="49">
        <f t="shared" si="4"/>
        <v>0</v>
      </c>
      <c r="R95" s="41" t="s">
        <v>37</v>
      </c>
      <c r="S95" s="69" t="s">
        <v>288</v>
      </c>
      <c r="T95" s="51" t="b">
        <v>1</v>
      </c>
      <c r="U95" s="94"/>
    </row>
    <row r="96" ht="30.0" customHeight="1">
      <c r="A96" s="39"/>
      <c r="B96" s="40">
        <v>2128.0</v>
      </c>
      <c r="C96" s="41" t="s">
        <v>50</v>
      </c>
      <c r="D96" s="86">
        <v>46025.0</v>
      </c>
      <c r="E96" s="43" t="str">
        <f t="shared" si="1"/>
        <v>2026</v>
      </c>
      <c r="F96" s="43" t="str">
        <f t="shared" si="2"/>
        <v>01 Jan</v>
      </c>
      <c r="G96" s="45" t="s">
        <v>43</v>
      </c>
      <c r="H96" s="45" t="s">
        <v>47</v>
      </c>
      <c r="I96" s="45" t="s">
        <v>290</v>
      </c>
      <c r="J96" s="41" t="s">
        <v>291</v>
      </c>
      <c r="K96" s="43" t="str">
        <f t="array" ref="K96">IF(J96="","", XLOOKUP(J96,'⚙️ Pengaturan'!$E$2:$E3237,'⚙️ Pengaturan'!$G$2:$G3237))</f>
        <v>VISIT FT TA</v>
      </c>
      <c r="L96" s="43" t="str">
        <f t="shared" si="3"/>
        <v>BARU</v>
      </c>
      <c r="M96" s="41" t="s">
        <v>31</v>
      </c>
      <c r="N96" s="46">
        <v>350000.0</v>
      </c>
      <c r="O96" s="65">
        <v>0.0</v>
      </c>
      <c r="P96" s="48">
        <f t="array" ref="P96">IFNA(XLOOKUP(J96,'⚙️ Pengaturan'!$E$2:$E3237,'⚙️ Pengaturan'!$F$2:$F3237),"")</f>
        <v>350000</v>
      </c>
      <c r="Q96" s="49">
        <f t="shared" si="4"/>
        <v>0</v>
      </c>
      <c r="R96" s="41" t="s">
        <v>37</v>
      </c>
      <c r="S96" s="69" t="s">
        <v>290</v>
      </c>
      <c r="T96" s="51" t="b">
        <v>1</v>
      </c>
      <c r="U96" s="94"/>
    </row>
    <row r="97" ht="30.0" customHeight="1">
      <c r="A97" s="39"/>
      <c r="B97" s="40">
        <v>2129.0</v>
      </c>
      <c r="C97" s="41" t="s">
        <v>79</v>
      </c>
      <c r="D97" s="86">
        <v>46026.0</v>
      </c>
      <c r="E97" s="43" t="str">
        <f t="shared" si="1"/>
        <v>2026</v>
      </c>
      <c r="F97" s="43" t="str">
        <f t="shared" si="2"/>
        <v>01 Jan</v>
      </c>
      <c r="G97" s="45" t="s">
        <v>25</v>
      </c>
      <c r="H97" s="45" t="s">
        <v>76</v>
      </c>
      <c r="I97" s="45" t="s">
        <v>294</v>
      </c>
      <c r="J97" s="41" t="s">
        <v>56</v>
      </c>
      <c r="K97" s="43" t="str">
        <f t="array" ref="K97">IF(J97="","", XLOOKUP(J97,'⚙️ Pengaturan'!$E$2:$E3237,'⚙️ Pengaturan'!$G$2:$G3237))</f>
        <v>KLINIK FT PAKET</v>
      </c>
      <c r="L97" s="43" t="str">
        <f t="shared" si="3"/>
        <v>BARU</v>
      </c>
      <c r="M97" s="41" t="s">
        <v>31</v>
      </c>
      <c r="N97" s="46">
        <v>650000.0</v>
      </c>
      <c r="O97" s="65">
        <v>0.0</v>
      </c>
      <c r="P97" s="48">
        <f t="array" ref="P97">IFNA(XLOOKUP(J97,'⚙️ Pengaturan'!$E$2:$E3237,'⚙️ Pengaturan'!$F$2:$F3237),"")</f>
        <v>650000</v>
      </c>
      <c r="Q97" s="49">
        <f t="shared" si="4"/>
        <v>0</v>
      </c>
      <c r="R97" s="41" t="s">
        <v>32</v>
      </c>
      <c r="S97" s="69" t="s">
        <v>33</v>
      </c>
      <c r="T97" s="51" t="b">
        <v>1</v>
      </c>
      <c r="U97" s="94"/>
    </row>
    <row r="98" ht="30.0" customHeight="1">
      <c r="A98" s="39"/>
      <c r="B98" s="40">
        <v>2130.0</v>
      </c>
      <c r="C98" s="41" t="s">
        <v>79</v>
      </c>
      <c r="D98" s="86">
        <v>46026.0</v>
      </c>
      <c r="E98" s="43" t="str">
        <f t="shared" si="1"/>
        <v>2026</v>
      </c>
      <c r="F98" s="43" t="str">
        <f t="shared" si="2"/>
        <v>01 Jan</v>
      </c>
      <c r="G98" s="45" t="s">
        <v>206</v>
      </c>
      <c r="H98" s="45" t="s">
        <v>156</v>
      </c>
      <c r="I98" s="45" t="s">
        <v>297</v>
      </c>
      <c r="J98" s="79" t="s">
        <v>56</v>
      </c>
      <c r="K98" s="43" t="str">
        <f t="array" ref="K98">IF(J98="","", XLOOKUP(J98,'⚙️ Pengaturan'!$E$2:$E3237,'⚙️ Pengaturan'!$G$2:$G3237))</f>
        <v>KLINIK FT PAKET</v>
      </c>
      <c r="L98" s="43" t="str">
        <f t="shared" si="3"/>
        <v>BARU</v>
      </c>
      <c r="M98" s="79" t="s">
        <v>31</v>
      </c>
      <c r="N98" s="83">
        <v>650000.0</v>
      </c>
      <c r="O98" s="84">
        <v>0.0</v>
      </c>
      <c r="P98" s="48">
        <f t="array" ref="P98">IFNA(XLOOKUP(J98,'⚙️ Pengaturan'!$E$2:$E3237,'⚙️ Pengaturan'!$F$2:$F3237),"")</f>
        <v>650000</v>
      </c>
      <c r="Q98" s="49">
        <f t="shared" si="4"/>
        <v>0</v>
      </c>
      <c r="R98" s="41" t="s">
        <v>32</v>
      </c>
      <c r="S98" s="69" t="s">
        <v>33</v>
      </c>
      <c r="T98" s="51" t="b">
        <v>1</v>
      </c>
      <c r="U98" s="94"/>
    </row>
    <row r="99" ht="30.0" customHeight="1">
      <c r="A99" s="39"/>
      <c r="B99" s="40">
        <v>2131.0</v>
      </c>
      <c r="C99" s="41" t="s">
        <v>79</v>
      </c>
      <c r="D99" s="86">
        <v>46026.0</v>
      </c>
      <c r="E99" s="43" t="str">
        <f t="shared" si="1"/>
        <v>2026</v>
      </c>
      <c r="F99" s="43" t="str">
        <f t="shared" si="2"/>
        <v>01 Jan</v>
      </c>
      <c r="G99" s="45" t="s">
        <v>206</v>
      </c>
      <c r="H99" s="45" t="s">
        <v>149</v>
      </c>
      <c r="I99" s="45" t="s">
        <v>298</v>
      </c>
      <c r="J99" s="41" t="s">
        <v>28</v>
      </c>
      <c r="K99" s="43" t="str">
        <f t="array" ref="K99">IF(J99="","", XLOOKUP(J99,'⚙️ Pengaturan'!$E$2:$E3237,'⚙️ Pengaturan'!$G$2:$G3237))</f>
        <v>KLINIK FT TA</v>
      </c>
      <c r="L99" s="43" t="str">
        <f t="shared" si="3"/>
        <v>BARU</v>
      </c>
      <c r="M99" s="41" t="s">
        <v>31</v>
      </c>
      <c r="N99" s="46">
        <v>250000.0</v>
      </c>
      <c r="O99" s="65">
        <v>0.0</v>
      </c>
      <c r="P99" s="48">
        <f t="array" ref="P99">IFNA(XLOOKUP(J99,'⚙️ Pengaturan'!$E$2:$E3237,'⚙️ Pengaturan'!$F$2:$F3237),"")</f>
        <v>250000</v>
      </c>
      <c r="Q99" s="49">
        <f t="shared" si="4"/>
        <v>0</v>
      </c>
      <c r="R99" s="41" t="s">
        <v>37</v>
      </c>
      <c r="S99" s="69" t="s">
        <v>298</v>
      </c>
      <c r="T99" s="51" t="b">
        <v>1</v>
      </c>
      <c r="U99" s="94"/>
    </row>
    <row r="100" ht="30.0" customHeight="1">
      <c r="A100" s="39"/>
      <c r="B100" s="40">
        <v>2133.0</v>
      </c>
      <c r="C100" s="41" t="s">
        <v>50</v>
      </c>
      <c r="D100" s="86">
        <v>46026.0</v>
      </c>
      <c r="E100" s="43" t="str">
        <f t="shared" si="1"/>
        <v>2026</v>
      </c>
      <c r="F100" s="43" t="str">
        <f t="shared" si="2"/>
        <v>01 Jan</v>
      </c>
      <c r="G100" s="45" t="s">
        <v>173</v>
      </c>
      <c r="H100" s="45" t="s">
        <v>166</v>
      </c>
      <c r="I100" s="45" t="s">
        <v>300</v>
      </c>
      <c r="J100" s="41" t="s">
        <v>28</v>
      </c>
      <c r="K100" s="43" t="str">
        <f t="array" ref="K100">IF(J100="","", XLOOKUP(J100,'⚙️ Pengaturan'!$E$2:$E3237,'⚙️ Pengaturan'!$G$2:$G3237))</f>
        <v>KLINIK FT TA</v>
      </c>
      <c r="L100" s="43" t="str">
        <f t="shared" si="3"/>
        <v>BARU</v>
      </c>
      <c r="M100" s="41" t="s">
        <v>31</v>
      </c>
      <c r="N100" s="46">
        <v>250000.0</v>
      </c>
      <c r="O100" s="65">
        <v>0.0</v>
      </c>
      <c r="P100" s="48">
        <f t="array" ref="P100">IFNA(XLOOKUP(J100,'⚙️ Pengaturan'!$E$2:$E3237,'⚙️ Pengaturan'!$F$2:$F3237),"")</f>
        <v>250000</v>
      </c>
      <c r="Q100" s="49">
        <f t="shared" si="4"/>
        <v>0</v>
      </c>
      <c r="R100" s="41" t="s">
        <v>37</v>
      </c>
      <c r="S100" s="69" t="s">
        <v>301</v>
      </c>
      <c r="T100" s="51" t="b">
        <v>1</v>
      </c>
      <c r="U100" s="94"/>
    </row>
    <row r="101" ht="30.0" customHeight="1">
      <c r="A101" s="39"/>
      <c r="B101" s="40">
        <v>2134.0</v>
      </c>
      <c r="C101" s="41" t="s">
        <v>50</v>
      </c>
      <c r="D101" s="86">
        <v>46026.0</v>
      </c>
      <c r="E101" s="43" t="str">
        <f t="shared" si="1"/>
        <v>2026</v>
      </c>
      <c r="F101" s="43" t="str">
        <f t="shared" si="2"/>
        <v>01 Jan</v>
      </c>
      <c r="G101" s="45" t="s">
        <v>155</v>
      </c>
      <c r="H101" s="45" t="s">
        <v>26</v>
      </c>
      <c r="I101" s="45" t="s">
        <v>273</v>
      </c>
      <c r="J101" s="41" t="s">
        <v>180</v>
      </c>
      <c r="K101" s="43" t="str">
        <f t="array" ref="K101">IF(J101="","", XLOOKUP(J101,'⚙️ Pengaturan'!$E$2:$E3237,'⚙️ Pengaturan'!$G$2:$G3237))</f>
        <v>KLINIK FT SESI</v>
      </c>
      <c r="L101" s="43" t="str">
        <f t="shared" si="3"/>
        <v>BARU</v>
      </c>
      <c r="M101" s="41" t="s">
        <v>31</v>
      </c>
      <c r="N101" s="46">
        <v>150000.0</v>
      </c>
      <c r="O101" s="65">
        <v>0.0</v>
      </c>
      <c r="P101" s="48">
        <f t="array" ref="P101">IFNA(XLOOKUP(J101,'⚙️ Pengaturan'!$E$2:$E3237,'⚙️ Pengaturan'!$F$2:$F3237),"")</f>
        <v>150000</v>
      </c>
      <c r="Q101" s="49">
        <f t="shared" si="4"/>
        <v>0</v>
      </c>
      <c r="R101" s="41" t="s">
        <v>32</v>
      </c>
      <c r="S101" s="69" t="s">
        <v>33</v>
      </c>
      <c r="T101" s="51" t="b">
        <v>1</v>
      </c>
      <c r="U101" s="94"/>
    </row>
    <row r="102" ht="30.0" customHeight="1">
      <c r="A102" s="39"/>
      <c r="B102" s="40">
        <v>2135.0</v>
      </c>
      <c r="C102" s="41" t="s">
        <v>50</v>
      </c>
      <c r="D102" s="86">
        <v>46026.0</v>
      </c>
      <c r="E102" s="43" t="str">
        <f t="shared" si="1"/>
        <v>2026</v>
      </c>
      <c r="F102" s="43" t="str">
        <f t="shared" si="2"/>
        <v>01 Jan</v>
      </c>
      <c r="G102" s="45" t="s">
        <v>155</v>
      </c>
      <c r="H102" s="45" t="s">
        <v>26</v>
      </c>
      <c r="I102" s="45" t="s">
        <v>273</v>
      </c>
      <c r="J102" s="41" t="s">
        <v>180</v>
      </c>
      <c r="K102" s="43" t="str">
        <f t="array" ref="K102">IF(J102="","", XLOOKUP(J102,'⚙️ Pengaturan'!$E$2:$E3237,'⚙️ Pengaturan'!$G$2:$G3237))</f>
        <v>KLINIK FT SESI</v>
      </c>
      <c r="L102" s="43" t="str">
        <f t="shared" si="3"/>
        <v>LANJUTAN</v>
      </c>
      <c r="M102" s="41" t="s">
        <v>31</v>
      </c>
      <c r="N102" s="46">
        <v>150000.0</v>
      </c>
      <c r="O102" s="65">
        <v>0.0</v>
      </c>
      <c r="P102" s="48">
        <f t="array" ref="P102">IFNA(XLOOKUP(J102,'⚙️ Pengaturan'!$E$2:$E3237,'⚙️ Pengaturan'!$F$2:$F3237),"")</f>
        <v>150000</v>
      </c>
      <c r="Q102" s="49">
        <f t="shared" si="4"/>
        <v>0</v>
      </c>
      <c r="R102" s="41" t="s">
        <v>32</v>
      </c>
      <c r="S102" s="69" t="s">
        <v>33</v>
      </c>
      <c r="T102" s="51" t="b">
        <v>1</v>
      </c>
      <c r="U102" s="94"/>
    </row>
    <row r="103" ht="30.0" customHeight="1">
      <c r="A103" s="39"/>
      <c r="B103" s="40">
        <v>2136.0</v>
      </c>
      <c r="C103" s="41" t="s">
        <v>50</v>
      </c>
      <c r="D103" s="86">
        <v>46026.0</v>
      </c>
      <c r="E103" s="43" t="str">
        <f t="shared" si="1"/>
        <v>2026</v>
      </c>
      <c r="F103" s="43" t="str">
        <f t="shared" si="2"/>
        <v>01 Jan</v>
      </c>
      <c r="G103" s="45" t="s">
        <v>155</v>
      </c>
      <c r="H103" s="45" t="s">
        <v>150</v>
      </c>
      <c r="I103" s="45" t="s">
        <v>271</v>
      </c>
      <c r="J103" s="41" t="s">
        <v>180</v>
      </c>
      <c r="K103" s="43" t="str">
        <f t="array" ref="K103">IF(J103="","", XLOOKUP(J103,'⚙️ Pengaturan'!$E$2:$E3237,'⚙️ Pengaturan'!$G$2:$G3237))</f>
        <v>KLINIK FT SESI</v>
      </c>
      <c r="L103" s="43" t="str">
        <f t="shared" si="3"/>
        <v>BARU</v>
      </c>
      <c r="M103" s="41" t="s">
        <v>31</v>
      </c>
      <c r="N103" s="46">
        <v>150000.0</v>
      </c>
      <c r="O103" s="65">
        <v>0.0</v>
      </c>
      <c r="P103" s="48">
        <f t="array" ref="P103">IFNA(XLOOKUP(J103,'⚙️ Pengaturan'!$E$2:$E3237,'⚙️ Pengaturan'!$F$2:$F3237),"")</f>
        <v>150000</v>
      </c>
      <c r="Q103" s="49">
        <f t="shared" si="4"/>
        <v>0</v>
      </c>
      <c r="R103" s="41" t="s">
        <v>32</v>
      </c>
      <c r="S103" s="69" t="s">
        <v>33</v>
      </c>
      <c r="T103" s="51" t="b">
        <v>1</v>
      </c>
      <c r="U103" s="94"/>
    </row>
    <row r="104" ht="30.0" customHeight="1">
      <c r="A104" s="39"/>
      <c r="B104" s="40">
        <v>2137.0</v>
      </c>
      <c r="C104" s="41" t="s">
        <v>50</v>
      </c>
      <c r="D104" s="86">
        <v>46026.0</v>
      </c>
      <c r="E104" s="43" t="str">
        <f t="shared" si="1"/>
        <v>2026</v>
      </c>
      <c r="F104" s="43" t="str">
        <f t="shared" si="2"/>
        <v>01 Jan</v>
      </c>
      <c r="G104" s="45" t="s">
        <v>155</v>
      </c>
      <c r="H104" s="45" t="s">
        <v>150</v>
      </c>
      <c r="I104" s="45" t="s">
        <v>271</v>
      </c>
      <c r="J104" s="41" t="s">
        <v>180</v>
      </c>
      <c r="K104" s="43" t="str">
        <f t="array" ref="K104">IF(J104="","", XLOOKUP(J104,'⚙️ Pengaturan'!$E$2:$E3237,'⚙️ Pengaturan'!$G$2:$G3237))</f>
        <v>KLINIK FT SESI</v>
      </c>
      <c r="L104" s="43" t="str">
        <f t="shared" si="3"/>
        <v>LANJUTAN</v>
      </c>
      <c r="M104" s="41" t="s">
        <v>31</v>
      </c>
      <c r="N104" s="46">
        <v>150000.0</v>
      </c>
      <c r="O104" s="65">
        <v>0.0</v>
      </c>
      <c r="P104" s="48">
        <f t="array" ref="P104">IFNA(XLOOKUP(J104,'⚙️ Pengaturan'!$E$2:$E3237,'⚙️ Pengaturan'!$F$2:$F3237),"")</f>
        <v>150000</v>
      </c>
      <c r="Q104" s="49">
        <f t="shared" si="4"/>
        <v>0</v>
      </c>
      <c r="R104" s="41" t="s">
        <v>32</v>
      </c>
      <c r="S104" s="69" t="s">
        <v>33</v>
      </c>
      <c r="T104" s="51" t="b">
        <v>1</v>
      </c>
      <c r="U104" s="94"/>
    </row>
    <row r="105" ht="30.0" customHeight="1">
      <c r="A105" s="39"/>
      <c r="B105" s="40">
        <v>2138.0</v>
      </c>
      <c r="C105" s="41" t="s">
        <v>50</v>
      </c>
      <c r="D105" s="86">
        <v>46026.0</v>
      </c>
      <c r="E105" s="43" t="str">
        <f t="shared" si="1"/>
        <v>2026</v>
      </c>
      <c r="F105" s="43" t="str">
        <f t="shared" si="2"/>
        <v>01 Jan</v>
      </c>
      <c r="G105" s="45" t="s">
        <v>155</v>
      </c>
      <c r="H105" s="45" t="s">
        <v>162</v>
      </c>
      <c r="I105" s="45" t="s">
        <v>306</v>
      </c>
      <c r="J105" s="41" t="s">
        <v>28</v>
      </c>
      <c r="K105" s="43" t="str">
        <f t="array" ref="K105">IF(J105="","", XLOOKUP(J105,'⚙️ Pengaturan'!$E$2:$E3237,'⚙️ Pengaturan'!$G$2:$G3237))</f>
        <v>KLINIK FT TA</v>
      </c>
      <c r="L105" s="43" t="str">
        <f t="shared" si="3"/>
        <v>BARU</v>
      </c>
      <c r="M105" s="41" t="s">
        <v>31</v>
      </c>
      <c r="N105" s="46">
        <v>250000.0</v>
      </c>
      <c r="O105" s="65">
        <v>0.0</v>
      </c>
      <c r="P105" s="48">
        <f t="array" ref="P105">IFNA(XLOOKUP(J105,'⚙️ Pengaturan'!$E$2:$E3237,'⚙️ Pengaturan'!$F$2:$F3237),"")</f>
        <v>250000</v>
      </c>
      <c r="Q105" s="49">
        <f t="shared" si="4"/>
        <v>0</v>
      </c>
      <c r="R105" s="41" t="s">
        <v>37</v>
      </c>
      <c r="S105" s="69" t="s">
        <v>306</v>
      </c>
      <c r="T105" s="51" t="b">
        <v>1</v>
      </c>
      <c r="U105" s="94"/>
    </row>
    <row r="106" ht="30.0" customHeight="1">
      <c r="A106" s="39"/>
      <c r="B106" s="40">
        <v>2139.0</v>
      </c>
      <c r="C106" s="41" t="s">
        <v>50</v>
      </c>
      <c r="D106" s="86">
        <v>46026.0</v>
      </c>
      <c r="E106" s="43" t="str">
        <f t="shared" si="1"/>
        <v>2026</v>
      </c>
      <c r="F106" s="43" t="str">
        <f t="shared" si="2"/>
        <v>01 Jan</v>
      </c>
      <c r="G106" s="45" t="s">
        <v>155</v>
      </c>
      <c r="H106" s="45" t="s">
        <v>166</v>
      </c>
      <c r="I106" s="45" t="s">
        <v>308</v>
      </c>
      <c r="J106" s="41" t="s">
        <v>180</v>
      </c>
      <c r="K106" s="43" t="str">
        <f t="array" ref="K106">IF(J106="","", XLOOKUP(J106,'⚙️ Pengaturan'!$E$2:$E3237,'⚙️ Pengaturan'!$G$2:$G3237))</f>
        <v>KLINIK FT SESI</v>
      </c>
      <c r="L106" s="43" t="str">
        <f t="shared" si="3"/>
        <v>BARU</v>
      </c>
      <c r="M106" s="41" t="s">
        <v>31</v>
      </c>
      <c r="N106" s="46">
        <v>150000.0</v>
      </c>
      <c r="O106" s="65">
        <v>0.0</v>
      </c>
      <c r="P106" s="48">
        <f t="array" ref="P106">IFNA(XLOOKUP(J106,'⚙️ Pengaturan'!$E$2:$E3237,'⚙️ Pengaturan'!$F$2:$F3237),"")</f>
        <v>150000</v>
      </c>
      <c r="Q106" s="49">
        <f t="shared" si="4"/>
        <v>0</v>
      </c>
      <c r="R106" s="41" t="s">
        <v>37</v>
      </c>
      <c r="S106" s="69" t="s">
        <v>308</v>
      </c>
      <c r="T106" s="51" t="b">
        <v>1</v>
      </c>
      <c r="U106" s="94"/>
    </row>
    <row r="107" ht="30.0" customHeight="1">
      <c r="A107" s="39"/>
      <c r="B107" s="40">
        <v>2140.0</v>
      </c>
      <c r="C107" s="41" t="s">
        <v>79</v>
      </c>
      <c r="D107" s="86">
        <v>46026.0</v>
      </c>
      <c r="E107" s="43" t="str">
        <f t="shared" si="1"/>
        <v>2026</v>
      </c>
      <c r="F107" s="43" t="str">
        <f t="shared" si="2"/>
        <v>01 Jan</v>
      </c>
      <c r="G107" s="45" t="s">
        <v>161</v>
      </c>
      <c r="H107" s="45" t="s">
        <v>96</v>
      </c>
      <c r="I107" s="45" t="s">
        <v>309</v>
      </c>
      <c r="J107" s="41" t="s">
        <v>28</v>
      </c>
      <c r="K107" s="43" t="str">
        <f t="array" ref="K107">IF(J107="","", XLOOKUP(J107,'⚙️ Pengaturan'!$E$2:$E3237,'⚙️ Pengaturan'!$G$2:$G3237))</f>
        <v>KLINIK FT TA</v>
      </c>
      <c r="L107" s="43" t="str">
        <f t="shared" si="3"/>
        <v>BARU</v>
      </c>
      <c r="M107" s="41" t="s">
        <v>31</v>
      </c>
      <c r="N107" s="46">
        <v>250000.0</v>
      </c>
      <c r="O107" s="65">
        <v>0.0</v>
      </c>
      <c r="P107" s="48">
        <f t="array" ref="P107">IFNA(XLOOKUP(J107,'⚙️ Pengaturan'!$E$2:$E3237,'⚙️ Pengaturan'!$F$2:$F3237),"")</f>
        <v>250000</v>
      </c>
      <c r="Q107" s="49">
        <f t="shared" si="4"/>
        <v>0</v>
      </c>
      <c r="R107" s="41" t="s">
        <v>37</v>
      </c>
      <c r="S107" s="69" t="s">
        <v>310</v>
      </c>
      <c r="T107" s="51" t="b">
        <v>1</v>
      </c>
      <c r="U107" s="94"/>
    </row>
    <row r="108" ht="30.0" customHeight="1">
      <c r="A108" s="39"/>
      <c r="B108" s="40">
        <v>2141.0</v>
      </c>
      <c r="C108" s="41" t="s">
        <v>79</v>
      </c>
      <c r="D108" s="86">
        <v>46027.0</v>
      </c>
      <c r="E108" s="43" t="str">
        <f t="shared" si="1"/>
        <v>2026</v>
      </c>
      <c r="F108" s="43" t="str">
        <f t="shared" si="2"/>
        <v>01 Jan</v>
      </c>
      <c r="G108" s="45" t="s">
        <v>195</v>
      </c>
      <c r="H108" s="45" t="s">
        <v>162</v>
      </c>
      <c r="I108" s="45" t="s">
        <v>311</v>
      </c>
      <c r="J108" s="41" t="s">
        <v>28</v>
      </c>
      <c r="K108" s="43" t="str">
        <f t="array" ref="K108">IF(J108="","", XLOOKUP(J108,'⚙️ Pengaturan'!$E$2:$E3237,'⚙️ Pengaturan'!$G$2:$G3237))</f>
        <v>KLINIK FT TA</v>
      </c>
      <c r="L108" s="43" t="str">
        <f t="shared" si="3"/>
        <v>BARU</v>
      </c>
      <c r="M108" s="41" t="s">
        <v>31</v>
      </c>
      <c r="N108" s="46">
        <v>250000.0</v>
      </c>
      <c r="O108" s="65">
        <v>0.0</v>
      </c>
      <c r="P108" s="48">
        <f t="array" ref="P108">IFNA(XLOOKUP(J108,'⚙️ Pengaturan'!$E$2:$E3237,'⚙️ Pengaturan'!$F$2:$F3237),"")</f>
        <v>250000</v>
      </c>
      <c r="Q108" s="49">
        <f t="shared" si="4"/>
        <v>0</v>
      </c>
      <c r="R108" s="41" t="s">
        <v>32</v>
      </c>
      <c r="S108" s="69" t="s">
        <v>33</v>
      </c>
      <c r="T108" s="51" t="b">
        <v>1</v>
      </c>
      <c r="U108" s="94"/>
    </row>
    <row r="109" ht="30.0" customHeight="1">
      <c r="A109" s="39"/>
      <c r="B109" s="40">
        <v>2142.0</v>
      </c>
      <c r="C109" s="41" t="s">
        <v>79</v>
      </c>
      <c r="D109" s="86">
        <v>46027.0</v>
      </c>
      <c r="E109" s="43" t="str">
        <f t="shared" si="1"/>
        <v>2026</v>
      </c>
      <c r="F109" s="43" t="str">
        <f t="shared" si="2"/>
        <v>01 Jan</v>
      </c>
      <c r="G109" s="45" t="s">
        <v>195</v>
      </c>
      <c r="H109" s="45" t="s">
        <v>150</v>
      </c>
      <c r="I109" s="45" t="s">
        <v>269</v>
      </c>
      <c r="J109" s="41" t="s">
        <v>56</v>
      </c>
      <c r="K109" s="43" t="str">
        <f t="array" ref="K109">IF(J109="","", XLOOKUP(J109,'⚙️ Pengaturan'!$E$2:$E3237,'⚙️ Pengaturan'!$G$2:$G3237))</f>
        <v>KLINIK FT PAKET</v>
      </c>
      <c r="L109" s="43" t="str">
        <f t="shared" si="3"/>
        <v>BARU</v>
      </c>
      <c r="M109" s="41" t="s">
        <v>60</v>
      </c>
      <c r="N109" s="46">
        <v>200000.0</v>
      </c>
      <c r="O109" s="65">
        <v>0.0</v>
      </c>
      <c r="P109" s="48">
        <f t="array" ref="P109">IFNA(XLOOKUP(J109,'⚙️ Pengaturan'!$E$2:$E3237,'⚙️ Pengaturan'!$F$2:$F3237),"")</f>
        <v>650000</v>
      </c>
      <c r="Q109" s="49">
        <f t="shared" si="4"/>
        <v>-450000</v>
      </c>
      <c r="R109" s="41" t="s">
        <v>93</v>
      </c>
      <c r="S109" s="69" t="s">
        <v>314</v>
      </c>
      <c r="T109" s="51" t="b">
        <v>1</v>
      </c>
      <c r="U109" s="94"/>
    </row>
    <row r="110" ht="30.0" customHeight="1">
      <c r="A110" s="39"/>
      <c r="B110" s="40">
        <v>2143.0</v>
      </c>
      <c r="C110" s="41" t="s">
        <v>79</v>
      </c>
      <c r="D110" s="86">
        <v>46027.0</v>
      </c>
      <c r="E110" s="43" t="str">
        <f t="shared" si="1"/>
        <v>2026</v>
      </c>
      <c r="F110" s="43" t="str">
        <f t="shared" si="2"/>
        <v>01 Jan</v>
      </c>
      <c r="G110" s="45" t="s">
        <v>195</v>
      </c>
      <c r="H110" s="45" t="s">
        <v>26</v>
      </c>
      <c r="I110" s="45" t="s">
        <v>279</v>
      </c>
      <c r="J110" s="41" t="s">
        <v>92</v>
      </c>
      <c r="K110" s="43" t="str">
        <f t="array" ref="K110">IF(J110="","", XLOOKUP(J110,'⚙️ Pengaturan'!$E$2:$E3237,'⚙️ Pengaturan'!$G$2:$G3237))</f>
        <v>KLINIK FT PAKET</v>
      </c>
      <c r="L110" s="43" t="str">
        <f t="shared" si="3"/>
        <v>BARU</v>
      </c>
      <c r="M110" s="41" t="s">
        <v>60</v>
      </c>
      <c r="N110" s="46">
        <v>500000.0</v>
      </c>
      <c r="O110" s="65">
        <v>0.0</v>
      </c>
      <c r="P110" s="48">
        <f t="array" ref="P110">IFNA(XLOOKUP(J110,'⚙️ Pengaturan'!$E$2:$E3237,'⚙️ Pengaturan'!$F$2:$F3237),"")</f>
        <v>1200000</v>
      </c>
      <c r="Q110" s="49">
        <f t="shared" si="4"/>
        <v>-700000</v>
      </c>
      <c r="R110" s="41" t="s">
        <v>32</v>
      </c>
      <c r="S110" s="69" t="s">
        <v>33</v>
      </c>
      <c r="T110" s="51" t="b">
        <v>1</v>
      </c>
      <c r="U110" s="94"/>
    </row>
    <row r="111" ht="30.0" customHeight="1">
      <c r="A111" s="39"/>
      <c r="B111" s="40">
        <v>2144.0</v>
      </c>
      <c r="C111" s="41" t="s">
        <v>79</v>
      </c>
      <c r="D111" s="86">
        <v>46027.0</v>
      </c>
      <c r="E111" s="43" t="str">
        <f t="shared" si="1"/>
        <v>2026</v>
      </c>
      <c r="F111" s="43" t="str">
        <f t="shared" si="2"/>
        <v>01 Jan</v>
      </c>
      <c r="G111" s="45" t="s">
        <v>25</v>
      </c>
      <c r="H111" s="45" t="s">
        <v>156</v>
      </c>
      <c r="I111" s="45" t="s">
        <v>317</v>
      </c>
      <c r="J111" s="41" t="s">
        <v>28</v>
      </c>
      <c r="K111" s="43" t="str">
        <f t="array" ref="K111">IF(J111="","", XLOOKUP(J111,'⚙️ Pengaturan'!$E$2:$E3237,'⚙️ Pengaturan'!$G$2:$G3237))</f>
        <v>KLINIK FT TA</v>
      </c>
      <c r="L111" s="43" t="str">
        <f t="shared" si="3"/>
        <v>BARU</v>
      </c>
      <c r="M111" s="41" t="s">
        <v>31</v>
      </c>
      <c r="N111" s="46">
        <v>250000.0</v>
      </c>
      <c r="O111" s="65">
        <v>0.0</v>
      </c>
      <c r="P111" s="48">
        <f t="array" ref="P111">IFNA(XLOOKUP(J111,'⚙️ Pengaturan'!$E$2:$E3237,'⚙️ Pengaturan'!$F$2:$F3237),"")</f>
        <v>250000</v>
      </c>
      <c r="Q111" s="49">
        <f t="shared" si="4"/>
        <v>0</v>
      </c>
      <c r="R111" s="41" t="s">
        <v>32</v>
      </c>
      <c r="S111" s="69" t="s">
        <v>33</v>
      </c>
      <c r="T111" s="51" t="b">
        <v>1</v>
      </c>
      <c r="U111" s="94"/>
    </row>
    <row r="112" ht="30.0" customHeight="1">
      <c r="A112" s="39"/>
      <c r="B112" s="40">
        <v>2145.0</v>
      </c>
      <c r="C112" s="41" t="s">
        <v>79</v>
      </c>
      <c r="D112" s="86">
        <v>46027.0</v>
      </c>
      <c r="E112" s="43" t="str">
        <f t="shared" si="1"/>
        <v>2026</v>
      </c>
      <c r="F112" s="43" t="str">
        <f t="shared" si="2"/>
        <v>01 Jan</v>
      </c>
      <c r="G112" s="45" t="s">
        <v>241</v>
      </c>
      <c r="H112" s="45" t="s">
        <v>162</v>
      </c>
      <c r="I112" s="45" t="s">
        <v>163</v>
      </c>
      <c r="J112" s="41" t="s">
        <v>56</v>
      </c>
      <c r="K112" s="43" t="str">
        <f t="array" ref="K112">IF(J112="","", XLOOKUP(J112,'⚙️ Pengaturan'!$E$2:$E3237,'⚙️ Pengaturan'!$G$2:$G3237))</f>
        <v>KLINIK FT PAKET</v>
      </c>
      <c r="L112" s="43" t="str">
        <f t="shared" si="3"/>
        <v>LANJUTAN</v>
      </c>
      <c r="M112" s="41" t="s">
        <v>60</v>
      </c>
      <c r="N112" s="46">
        <v>200000.0</v>
      </c>
      <c r="O112" s="65">
        <v>0.0</v>
      </c>
      <c r="P112" s="48">
        <f t="array" ref="P112">IFNA(XLOOKUP(J112,'⚙️ Pengaturan'!$E$2:$E3237,'⚙️ Pengaturan'!$F$2:$F3237),"")</f>
        <v>650000</v>
      </c>
      <c r="Q112" s="49">
        <f t="shared" si="4"/>
        <v>-450000</v>
      </c>
      <c r="R112" s="41" t="s">
        <v>32</v>
      </c>
      <c r="S112" s="69" t="s">
        <v>33</v>
      </c>
      <c r="T112" s="51" t="b">
        <v>1</v>
      </c>
      <c r="U112" s="94"/>
    </row>
    <row r="113" ht="30.0" customHeight="1">
      <c r="A113" s="39"/>
      <c r="B113" s="40">
        <v>2146.0</v>
      </c>
      <c r="C113" s="41" t="s">
        <v>50</v>
      </c>
      <c r="D113" s="86">
        <v>46027.0</v>
      </c>
      <c r="E113" s="43" t="str">
        <f t="shared" si="1"/>
        <v>2026</v>
      </c>
      <c r="F113" s="43" t="str">
        <f t="shared" si="2"/>
        <v>01 Jan</v>
      </c>
      <c r="G113" s="45" t="s">
        <v>35</v>
      </c>
      <c r="H113" s="45" t="s">
        <v>96</v>
      </c>
      <c r="I113" s="45" t="s">
        <v>288</v>
      </c>
      <c r="J113" s="41" t="s">
        <v>56</v>
      </c>
      <c r="K113" s="43" t="str">
        <f t="array" ref="K113">IF(J113="","", XLOOKUP(J113,'⚙️ Pengaturan'!$E$2:$E3237,'⚙️ Pengaturan'!$G$2:$G3237))</f>
        <v>KLINIK FT PAKET</v>
      </c>
      <c r="L113" s="43" t="str">
        <f t="shared" si="3"/>
        <v>BARU</v>
      </c>
      <c r="M113" s="41" t="s">
        <v>31</v>
      </c>
      <c r="N113" s="46">
        <v>650000.0</v>
      </c>
      <c r="O113" s="65">
        <v>0.0</v>
      </c>
      <c r="P113" s="48">
        <f t="array" ref="P113">IFNA(XLOOKUP(J113,'⚙️ Pengaturan'!$E$2:$E3237,'⚙️ Pengaturan'!$F$2:$F3237),"")</f>
        <v>650000</v>
      </c>
      <c r="Q113" s="49">
        <f t="shared" si="4"/>
        <v>0</v>
      </c>
      <c r="R113" s="41" t="s">
        <v>37</v>
      </c>
      <c r="S113" s="69" t="s">
        <v>322</v>
      </c>
      <c r="T113" s="51" t="b">
        <v>1</v>
      </c>
      <c r="U113" s="94"/>
    </row>
    <row r="114" ht="30.0" customHeight="1">
      <c r="A114" s="39"/>
      <c r="B114" s="40">
        <v>2147.0</v>
      </c>
      <c r="C114" s="41" t="s">
        <v>50</v>
      </c>
      <c r="D114" s="86">
        <v>46027.0</v>
      </c>
      <c r="E114" s="43" t="str">
        <f t="shared" si="1"/>
        <v>2026</v>
      </c>
      <c r="F114" s="43" t="str">
        <f t="shared" si="2"/>
        <v>01 Jan</v>
      </c>
      <c r="G114" s="45" t="s">
        <v>40</v>
      </c>
      <c r="H114" s="45" t="s">
        <v>150</v>
      </c>
      <c r="I114" s="45" t="s">
        <v>282</v>
      </c>
      <c r="J114" s="41" t="s">
        <v>323</v>
      </c>
      <c r="K114" s="43" t="str">
        <f t="array" ref="K114">IF(J114="","", XLOOKUP(J114,'⚙️ Pengaturan'!$E$2:$E3237,'⚙️ Pengaturan'!$G$2:$G3237))</f>
        <v>VISIT FT SESI</v>
      </c>
      <c r="L114" s="43" t="str">
        <f t="shared" si="3"/>
        <v>BARU</v>
      </c>
      <c r="M114" s="41" t="s">
        <v>31</v>
      </c>
      <c r="N114" s="46">
        <v>200000.0</v>
      </c>
      <c r="O114" s="65">
        <v>0.0</v>
      </c>
      <c r="P114" s="48">
        <f t="array" ref="P114">IFNA(XLOOKUP(J114,'⚙️ Pengaturan'!$E$2:$E3237,'⚙️ Pengaturan'!$F$2:$F3237),"")</f>
        <v>200000</v>
      </c>
      <c r="Q114" s="49">
        <f t="shared" si="4"/>
        <v>0</v>
      </c>
      <c r="R114" s="41" t="s">
        <v>37</v>
      </c>
      <c r="S114" s="69" t="s">
        <v>282</v>
      </c>
      <c r="T114" s="51" t="b">
        <v>1</v>
      </c>
      <c r="U114" s="94"/>
    </row>
    <row r="115" ht="30.0" customHeight="1">
      <c r="A115" s="39"/>
      <c r="B115" s="40">
        <v>2148.0</v>
      </c>
      <c r="C115" s="41" t="s">
        <v>50</v>
      </c>
      <c r="D115" s="86">
        <v>46027.0</v>
      </c>
      <c r="E115" s="43" t="str">
        <f t="shared" si="1"/>
        <v>2026</v>
      </c>
      <c r="F115" s="43" t="str">
        <f t="shared" si="2"/>
        <v>01 Jan</v>
      </c>
      <c r="G115" s="45" t="s">
        <v>40</v>
      </c>
      <c r="H115" s="45" t="s">
        <v>166</v>
      </c>
      <c r="I115" s="45" t="s">
        <v>326</v>
      </c>
      <c r="J115" s="41" t="s">
        <v>291</v>
      </c>
      <c r="K115" s="43" t="str">
        <f t="array" ref="K115">IF(J115="","", XLOOKUP(J115,'⚙️ Pengaturan'!$E$2:$E3237,'⚙️ Pengaturan'!$G$2:$G3237))</f>
        <v>VISIT FT TA</v>
      </c>
      <c r="L115" s="43" t="str">
        <f t="shared" si="3"/>
        <v>BARU</v>
      </c>
      <c r="M115" s="41" t="s">
        <v>31</v>
      </c>
      <c r="N115" s="46">
        <v>350000.0</v>
      </c>
      <c r="O115" s="65">
        <v>0.0</v>
      </c>
      <c r="P115" s="48">
        <f t="array" ref="P115">IFNA(XLOOKUP(J115,'⚙️ Pengaturan'!$E$2:$E3237,'⚙️ Pengaturan'!$F$2:$F3237),"")</f>
        <v>350000</v>
      </c>
      <c r="Q115" s="49">
        <f t="shared" si="4"/>
        <v>0</v>
      </c>
      <c r="R115" s="41" t="s">
        <v>37</v>
      </c>
      <c r="S115" s="69" t="s">
        <v>327</v>
      </c>
      <c r="T115" s="51" t="b">
        <v>1</v>
      </c>
      <c r="U115" s="94"/>
    </row>
    <row r="116" ht="30.0" customHeight="1">
      <c r="A116" s="39"/>
      <c r="B116" s="40">
        <v>2149.0</v>
      </c>
      <c r="C116" s="41" t="s">
        <v>50</v>
      </c>
      <c r="D116" s="86">
        <v>46027.0</v>
      </c>
      <c r="E116" s="43" t="str">
        <f t="shared" si="1"/>
        <v>2026</v>
      </c>
      <c r="F116" s="43" t="str">
        <f t="shared" si="2"/>
        <v>01 Jan</v>
      </c>
      <c r="G116" s="45" t="s">
        <v>40</v>
      </c>
      <c r="H116" s="45" t="s">
        <v>76</v>
      </c>
      <c r="I116" s="45" t="s">
        <v>271</v>
      </c>
      <c r="J116" s="41" t="s">
        <v>180</v>
      </c>
      <c r="K116" s="43" t="str">
        <f t="array" ref="K116">IF(J116="","", XLOOKUP(J116,'⚙️ Pengaturan'!$E$2:$E3237,'⚙️ Pengaturan'!$G$2:$G3237))</f>
        <v>KLINIK FT SESI</v>
      </c>
      <c r="L116" s="43" t="str">
        <f t="shared" si="3"/>
        <v>LANJUTAN</v>
      </c>
      <c r="M116" s="41" t="s">
        <v>31</v>
      </c>
      <c r="N116" s="46">
        <v>150000.0</v>
      </c>
      <c r="O116" s="65">
        <v>0.0</v>
      </c>
      <c r="P116" s="48">
        <f t="array" ref="P116">IFNA(XLOOKUP(J116,'⚙️ Pengaturan'!$E$2:$E3237,'⚙️ Pengaturan'!$F$2:$F3237),"")</f>
        <v>150000</v>
      </c>
      <c r="Q116" s="49">
        <f t="shared" si="4"/>
        <v>0</v>
      </c>
      <c r="R116" s="41" t="s">
        <v>32</v>
      </c>
      <c r="S116" s="69" t="s">
        <v>33</v>
      </c>
      <c r="T116" s="51" t="b">
        <v>1</v>
      </c>
      <c r="U116" s="94"/>
    </row>
    <row r="117" ht="30.0" customHeight="1">
      <c r="A117" s="39"/>
      <c r="B117" s="40">
        <v>2150.0</v>
      </c>
      <c r="C117" s="41" t="s">
        <v>50</v>
      </c>
      <c r="D117" s="86">
        <v>46027.0</v>
      </c>
      <c r="E117" s="43" t="str">
        <f t="shared" si="1"/>
        <v>2026</v>
      </c>
      <c r="F117" s="43" t="str">
        <f t="shared" si="2"/>
        <v>01 Jan</v>
      </c>
      <c r="G117" s="45" t="s">
        <v>40</v>
      </c>
      <c r="H117" s="45" t="s">
        <v>96</v>
      </c>
      <c r="I117" s="45" t="s">
        <v>273</v>
      </c>
      <c r="J117" s="41" t="s">
        <v>180</v>
      </c>
      <c r="K117" s="43" t="str">
        <f t="array" ref="K117">IF(J117="","", XLOOKUP(J117,'⚙️ Pengaturan'!$E$2:$E3237,'⚙️ Pengaturan'!$G$2:$G3237))</f>
        <v>KLINIK FT SESI</v>
      </c>
      <c r="L117" s="43" t="str">
        <f t="shared" si="3"/>
        <v>LANJUTAN</v>
      </c>
      <c r="M117" s="41" t="s">
        <v>31</v>
      </c>
      <c r="N117" s="46">
        <v>150000.0</v>
      </c>
      <c r="O117" s="65">
        <v>0.0</v>
      </c>
      <c r="P117" s="48">
        <f t="array" ref="P117">IFNA(XLOOKUP(J117,'⚙️ Pengaturan'!$E$2:$E3237,'⚙️ Pengaturan'!$F$2:$F3237),"")</f>
        <v>150000</v>
      </c>
      <c r="Q117" s="49">
        <f t="shared" si="4"/>
        <v>0</v>
      </c>
      <c r="R117" s="41" t="s">
        <v>32</v>
      </c>
      <c r="S117" s="69" t="s">
        <v>33</v>
      </c>
      <c r="T117" s="51" t="b">
        <v>1</v>
      </c>
      <c r="U117" s="94"/>
    </row>
    <row r="118" ht="30.0" customHeight="1">
      <c r="A118" s="39"/>
      <c r="B118" s="40">
        <v>2151.0</v>
      </c>
      <c r="C118" s="41" t="s">
        <v>50</v>
      </c>
      <c r="D118" s="86">
        <v>46027.0</v>
      </c>
      <c r="E118" s="43" t="str">
        <f t="shared" si="1"/>
        <v>2026</v>
      </c>
      <c r="F118" s="43" t="str">
        <f t="shared" si="2"/>
        <v>01 Jan</v>
      </c>
      <c r="G118" s="45" t="s">
        <v>43</v>
      </c>
      <c r="H118" s="45" t="s">
        <v>76</v>
      </c>
      <c r="I118" s="45" t="s">
        <v>271</v>
      </c>
      <c r="J118" s="41" t="s">
        <v>180</v>
      </c>
      <c r="K118" s="43" t="str">
        <f t="array" ref="K118">IF(J118="","", XLOOKUP(J118,'⚙️ Pengaturan'!$E$2:$E3237,'⚙️ Pengaturan'!$G$2:$G3237))</f>
        <v>KLINIK FT SESI</v>
      </c>
      <c r="L118" s="43" t="str">
        <f t="shared" si="3"/>
        <v>LANJUTAN</v>
      </c>
      <c r="M118" s="41" t="s">
        <v>31</v>
      </c>
      <c r="N118" s="46">
        <v>150000.0</v>
      </c>
      <c r="O118" s="65">
        <v>0.0</v>
      </c>
      <c r="P118" s="48">
        <f t="array" ref="P118">IFNA(XLOOKUP(J118,'⚙️ Pengaturan'!$E$2:$E3237,'⚙️ Pengaturan'!$F$2:$F3237),"")</f>
        <v>150000</v>
      </c>
      <c r="Q118" s="49">
        <f t="shared" si="4"/>
        <v>0</v>
      </c>
      <c r="R118" s="41" t="s">
        <v>32</v>
      </c>
      <c r="S118" s="69" t="s">
        <v>33</v>
      </c>
      <c r="T118" s="51" t="b">
        <v>1</v>
      </c>
      <c r="U118" s="94"/>
    </row>
    <row r="119" ht="30.0" customHeight="1">
      <c r="A119" s="39"/>
      <c r="B119" s="40">
        <v>2152.0</v>
      </c>
      <c r="C119" s="41" t="s">
        <v>50</v>
      </c>
      <c r="D119" s="86">
        <v>46027.0</v>
      </c>
      <c r="E119" s="43" t="str">
        <f t="shared" si="1"/>
        <v>2026</v>
      </c>
      <c r="F119" s="43" t="str">
        <f t="shared" si="2"/>
        <v>01 Jan</v>
      </c>
      <c r="G119" s="45" t="s">
        <v>43</v>
      </c>
      <c r="H119" s="45" t="s">
        <v>96</v>
      </c>
      <c r="I119" s="45" t="s">
        <v>273</v>
      </c>
      <c r="J119" s="41" t="s">
        <v>180</v>
      </c>
      <c r="K119" s="43" t="str">
        <f t="array" ref="K119">IF(J119="","", XLOOKUP(J119,'⚙️ Pengaturan'!$E$2:$E3237,'⚙️ Pengaturan'!$G$2:$G3237))</f>
        <v>KLINIK FT SESI</v>
      </c>
      <c r="L119" s="43" t="str">
        <f t="shared" si="3"/>
        <v>LANJUTAN</v>
      </c>
      <c r="M119" s="41" t="s">
        <v>31</v>
      </c>
      <c r="N119" s="46">
        <v>150000.0</v>
      </c>
      <c r="O119" s="65">
        <v>0.0</v>
      </c>
      <c r="P119" s="48">
        <f t="array" ref="P119">IFNA(XLOOKUP(J119,'⚙️ Pengaturan'!$E$2:$E3237,'⚙️ Pengaturan'!$F$2:$F3237),"")</f>
        <v>150000</v>
      </c>
      <c r="Q119" s="49">
        <f t="shared" si="4"/>
        <v>0</v>
      </c>
      <c r="R119" s="41" t="s">
        <v>32</v>
      </c>
      <c r="S119" s="69" t="s">
        <v>33</v>
      </c>
      <c r="T119" s="51" t="b">
        <v>1</v>
      </c>
      <c r="U119" s="94"/>
    </row>
    <row r="120" ht="30.0" customHeight="1">
      <c r="A120" s="39"/>
      <c r="B120" s="40">
        <v>2153.0</v>
      </c>
      <c r="C120" s="41" t="s">
        <v>50</v>
      </c>
      <c r="D120" s="86">
        <v>46027.0</v>
      </c>
      <c r="E120" s="43" t="str">
        <f t="shared" si="1"/>
        <v>2026</v>
      </c>
      <c r="F120" s="43" t="str">
        <f t="shared" si="2"/>
        <v>01 Jan</v>
      </c>
      <c r="G120" s="45" t="s">
        <v>43</v>
      </c>
      <c r="H120" s="45" t="s">
        <v>47</v>
      </c>
      <c r="I120" s="45" t="s">
        <v>255</v>
      </c>
      <c r="J120" s="41" t="s">
        <v>180</v>
      </c>
      <c r="K120" s="43" t="str">
        <f t="array" ref="K120">IF(J120="","", XLOOKUP(J120,'⚙️ Pengaturan'!$E$2:$E3237,'⚙️ Pengaturan'!$G$2:$G3237))</f>
        <v>KLINIK FT SESI</v>
      </c>
      <c r="L120" s="43" t="str">
        <f t="shared" si="3"/>
        <v>BARU</v>
      </c>
      <c r="M120" s="41" t="s">
        <v>31</v>
      </c>
      <c r="N120" s="46">
        <v>150000.0</v>
      </c>
      <c r="O120" s="65">
        <v>0.0</v>
      </c>
      <c r="P120" s="48">
        <f t="array" ref="P120">IFNA(XLOOKUP(J120,'⚙️ Pengaturan'!$E$2:$E3237,'⚙️ Pengaturan'!$F$2:$F3237),"")</f>
        <v>150000</v>
      </c>
      <c r="Q120" s="49">
        <f t="shared" si="4"/>
        <v>0</v>
      </c>
      <c r="R120" s="41" t="s">
        <v>37</v>
      </c>
      <c r="S120" s="69" t="s">
        <v>255</v>
      </c>
      <c r="T120" s="51" t="b">
        <v>1</v>
      </c>
      <c r="U120" s="94"/>
    </row>
    <row r="121" ht="30.0" customHeight="1">
      <c r="A121" s="39"/>
      <c r="B121" s="40">
        <v>2154.0</v>
      </c>
      <c r="C121" s="41" t="s">
        <v>50</v>
      </c>
      <c r="D121" s="86">
        <v>46027.0</v>
      </c>
      <c r="E121" s="43" t="str">
        <f t="shared" si="1"/>
        <v>2026</v>
      </c>
      <c r="F121" s="43" t="str">
        <f t="shared" si="2"/>
        <v>01 Jan</v>
      </c>
      <c r="G121" s="45" t="s">
        <v>46</v>
      </c>
      <c r="H121" s="45" t="s">
        <v>96</v>
      </c>
      <c r="I121" s="45" t="s">
        <v>334</v>
      </c>
      <c r="J121" s="41" t="s">
        <v>56</v>
      </c>
      <c r="K121" s="43" t="str">
        <f t="array" ref="K121">IF(J121="","", XLOOKUP(J121,'⚙️ Pengaturan'!$E$2:$E3237,'⚙️ Pengaturan'!$G$2:$G3237))</f>
        <v>KLINIK FT PAKET</v>
      </c>
      <c r="L121" s="43" t="str">
        <f t="shared" si="3"/>
        <v>BARU</v>
      </c>
      <c r="M121" s="41" t="s">
        <v>60</v>
      </c>
      <c r="N121" s="46">
        <v>200000.0</v>
      </c>
      <c r="O121" s="65">
        <v>0.0</v>
      </c>
      <c r="P121" s="48">
        <f t="array" ref="P121">IFNA(XLOOKUP(J121,'⚙️ Pengaturan'!$E$2:$E3237,'⚙️ Pengaturan'!$F$2:$F3237),"")</f>
        <v>650000</v>
      </c>
      <c r="Q121" s="49">
        <f t="shared" si="4"/>
        <v>-450000</v>
      </c>
      <c r="R121" s="41" t="s">
        <v>37</v>
      </c>
      <c r="S121" s="69" t="s">
        <v>334</v>
      </c>
      <c r="T121" s="51" t="b">
        <v>1</v>
      </c>
      <c r="U121" s="94"/>
    </row>
    <row r="122" ht="30.0" customHeight="1">
      <c r="A122" s="39"/>
      <c r="B122" s="40">
        <v>2155.0</v>
      </c>
      <c r="C122" s="41" t="s">
        <v>50</v>
      </c>
      <c r="D122" s="86">
        <v>46027.0</v>
      </c>
      <c r="E122" s="43" t="str">
        <f t="shared" si="1"/>
        <v>2026</v>
      </c>
      <c r="F122" s="43" t="str">
        <f t="shared" si="2"/>
        <v>01 Jan</v>
      </c>
      <c r="G122" s="45" t="s">
        <v>155</v>
      </c>
      <c r="H122" s="45" t="s">
        <v>149</v>
      </c>
      <c r="I122" s="45" t="s">
        <v>335</v>
      </c>
      <c r="J122" s="41" t="s">
        <v>28</v>
      </c>
      <c r="K122" s="43" t="str">
        <f t="array" ref="K122">IF(J122="","", XLOOKUP(J122,'⚙️ Pengaturan'!$E$2:$E3237,'⚙️ Pengaturan'!$G$2:$G3237))</f>
        <v>KLINIK FT TA</v>
      </c>
      <c r="L122" s="43" t="str">
        <f t="shared" si="3"/>
        <v>BARU</v>
      </c>
      <c r="M122" s="41" t="s">
        <v>31</v>
      </c>
      <c r="N122" s="46">
        <v>250000.0</v>
      </c>
      <c r="O122" s="65">
        <v>0.0</v>
      </c>
      <c r="P122" s="48">
        <f t="array" ref="P122">IFNA(XLOOKUP(J122,'⚙️ Pengaturan'!$E$2:$E3237,'⚙️ Pengaturan'!$F$2:$F3237),"")</f>
        <v>250000</v>
      </c>
      <c r="Q122" s="49">
        <f t="shared" si="4"/>
        <v>0</v>
      </c>
      <c r="R122" s="41" t="s">
        <v>32</v>
      </c>
      <c r="S122" s="69" t="s">
        <v>33</v>
      </c>
      <c r="T122" s="51" t="b">
        <v>1</v>
      </c>
      <c r="U122" s="94"/>
    </row>
    <row r="123" ht="30.0" customHeight="1">
      <c r="A123" s="39"/>
      <c r="B123" s="40">
        <v>2156.0</v>
      </c>
      <c r="C123" s="41" t="s">
        <v>50</v>
      </c>
      <c r="D123" s="86">
        <v>46027.0</v>
      </c>
      <c r="E123" s="43" t="str">
        <f t="shared" si="1"/>
        <v>2026</v>
      </c>
      <c r="F123" s="43" t="str">
        <f t="shared" si="2"/>
        <v>01 Jan</v>
      </c>
      <c r="G123" s="45" t="s">
        <v>155</v>
      </c>
      <c r="H123" s="45" t="s">
        <v>96</v>
      </c>
      <c r="I123" s="45" t="s">
        <v>338</v>
      </c>
      <c r="J123" s="41" t="s">
        <v>28</v>
      </c>
      <c r="K123" s="43" t="str">
        <f t="array" ref="K123">IF(J123="","", XLOOKUP(J123,'⚙️ Pengaturan'!$E$2:$E3237,'⚙️ Pengaturan'!$G$2:$G3237))</f>
        <v>KLINIK FT TA</v>
      </c>
      <c r="L123" s="43" t="str">
        <f t="shared" si="3"/>
        <v>BARU</v>
      </c>
      <c r="M123" s="41" t="s">
        <v>31</v>
      </c>
      <c r="N123" s="46">
        <v>250000.0</v>
      </c>
      <c r="O123" s="65">
        <v>0.0</v>
      </c>
      <c r="P123" s="48">
        <f t="array" ref="P123">IFNA(XLOOKUP(J123,'⚙️ Pengaturan'!$E$2:$E3237,'⚙️ Pengaturan'!$F$2:$F3237),"")</f>
        <v>250000</v>
      </c>
      <c r="Q123" s="49">
        <f t="shared" si="4"/>
        <v>0</v>
      </c>
      <c r="R123" s="41" t="s">
        <v>37</v>
      </c>
      <c r="S123" s="69" t="s">
        <v>339</v>
      </c>
      <c r="T123" s="51" t="b">
        <v>1</v>
      </c>
      <c r="U123" s="94"/>
    </row>
    <row r="124" ht="30.0" customHeight="1">
      <c r="A124" s="39"/>
      <c r="B124" s="40">
        <v>2157.0</v>
      </c>
      <c r="C124" s="41" t="s">
        <v>50</v>
      </c>
      <c r="D124" s="86">
        <v>46027.0</v>
      </c>
      <c r="E124" s="43" t="str">
        <f t="shared" si="1"/>
        <v>2026</v>
      </c>
      <c r="F124" s="43" t="str">
        <f t="shared" si="2"/>
        <v>01 Jan</v>
      </c>
      <c r="G124" s="45" t="s">
        <v>155</v>
      </c>
      <c r="H124" s="45" t="s">
        <v>96</v>
      </c>
      <c r="I124" s="45" t="s">
        <v>338</v>
      </c>
      <c r="J124" s="41" t="s">
        <v>56</v>
      </c>
      <c r="K124" s="43" t="str">
        <f t="array" ref="K124">IF(J124="","", XLOOKUP(J124,'⚙️ Pengaturan'!$E$2:$E3237,'⚙️ Pengaturan'!$G$2:$G3237))</f>
        <v>KLINIK FT PAKET</v>
      </c>
      <c r="L124" s="43" t="str">
        <f t="shared" si="3"/>
        <v>BARU</v>
      </c>
      <c r="M124" s="41" t="s">
        <v>31</v>
      </c>
      <c r="N124" s="46">
        <v>650000.0</v>
      </c>
      <c r="O124" s="65">
        <v>0.0</v>
      </c>
      <c r="P124" s="48">
        <f t="array" ref="P124">IFNA(XLOOKUP(J124,'⚙️ Pengaturan'!$E$2:$E3237,'⚙️ Pengaturan'!$F$2:$F3237),"")</f>
        <v>650000</v>
      </c>
      <c r="Q124" s="49">
        <f t="shared" si="4"/>
        <v>0</v>
      </c>
      <c r="R124" s="41" t="s">
        <v>37</v>
      </c>
      <c r="S124" s="69" t="s">
        <v>339</v>
      </c>
      <c r="T124" s="51" t="b">
        <v>1</v>
      </c>
      <c r="U124" s="94"/>
    </row>
    <row r="125" ht="30.0" customHeight="1">
      <c r="A125" s="39"/>
      <c r="B125" s="40">
        <v>2158.0</v>
      </c>
      <c r="C125" s="41" t="s">
        <v>50</v>
      </c>
      <c r="D125" s="86">
        <v>46027.0</v>
      </c>
      <c r="E125" s="43" t="str">
        <f t="shared" si="1"/>
        <v>2026</v>
      </c>
      <c r="F125" s="43" t="str">
        <f t="shared" si="2"/>
        <v>01 Jan</v>
      </c>
      <c r="G125" s="45" t="s">
        <v>155</v>
      </c>
      <c r="H125" s="45" t="s">
        <v>76</v>
      </c>
      <c r="I125" s="45" t="s">
        <v>341</v>
      </c>
      <c r="J125" s="41" t="s">
        <v>56</v>
      </c>
      <c r="K125" s="43" t="str">
        <f t="array" ref="K125">IF(J125="","", XLOOKUP(J125,'⚙️ Pengaturan'!$E$2:$E3237,'⚙️ Pengaturan'!$G$2:$G3237))</f>
        <v>KLINIK FT PAKET</v>
      </c>
      <c r="L125" s="43" t="str">
        <f t="shared" si="3"/>
        <v>BARU</v>
      </c>
      <c r="M125" s="41" t="s">
        <v>31</v>
      </c>
      <c r="N125" s="46">
        <v>650000.0</v>
      </c>
      <c r="O125" s="65">
        <v>0.0</v>
      </c>
      <c r="P125" s="48">
        <f t="array" ref="P125">IFNA(XLOOKUP(J125,'⚙️ Pengaturan'!$E$2:$E3237,'⚙️ Pengaturan'!$F$2:$F3237),"")</f>
        <v>650000</v>
      </c>
      <c r="Q125" s="49">
        <f t="shared" si="4"/>
        <v>0</v>
      </c>
      <c r="R125" s="41" t="s">
        <v>37</v>
      </c>
      <c r="S125" s="69" t="s">
        <v>339</v>
      </c>
      <c r="T125" s="51" t="b">
        <v>1</v>
      </c>
      <c r="U125" s="94"/>
    </row>
    <row r="126" ht="30.0" customHeight="1">
      <c r="A126" s="39"/>
      <c r="B126" s="40">
        <v>2159.0</v>
      </c>
      <c r="C126" s="41" t="s">
        <v>50</v>
      </c>
      <c r="D126" s="86">
        <v>46028.0</v>
      </c>
      <c r="E126" s="43" t="str">
        <f t="shared" si="1"/>
        <v>2026</v>
      </c>
      <c r="F126" s="43" t="str">
        <f t="shared" si="2"/>
        <v>01 Jan</v>
      </c>
      <c r="G126" s="45" t="s">
        <v>344</v>
      </c>
      <c r="H126" s="45" t="s">
        <v>76</v>
      </c>
      <c r="I126" s="45" t="s">
        <v>345</v>
      </c>
      <c r="J126" s="41" t="s">
        <v>28</v>
      </c>
      <c r="K126" s="43" t="str">
        <f t="array" ref="K126">IF(J126="","", XLOOKUP(J126,'⚙️ Pengaturan'!$E$2:$E3237,'⚙️ Pengaturan'!$G$2:$G3237))</f>
        <v>KLINIK FT TA</v>
      </c>
      <c r="L126" s="43" t="str">
        <f t="shared" si="3"/>
        <v>BARU</v>
      </c>
      <c r="M126" s="41" t="s">
        <v>31</v>
      </c>
      <c r="N126" s="46">
        <v>250000.0</v>
      </c>
      <c r="O126" s="65">
        <v>0.0</v>
      </c>
      <c r="P126" s="48">
        <f t="array" ref="P126">IFNA(XLOOKUP(J126,'⚙️ Pengaturan'!$E$2:$E3237,'⚙️ Pengaturan'!$F$2:$F3237),"")</f>
        <v>250000</v>
      </c>
      <c r="Q126" s="49">
        <f t="shared" si="4"/>
        <v>0</v>
      </c>
      <c r="R126" s="41" t="s">
        <v>37</v>
      </c>
      <c r="S126" s="69" t="s">
        <v>345</v>
      </c>
      <c r="T126" s="51" t="b">
        <v>1</v>
      </c>
      <c r="U126" s="94"/>
    </row>
    <row r="127" ht="30.0" customHeight="1">
      <c r="A127" s="39"/>
      <c r="B127" s="40">
        <v>2160.0</v>
      </c>
      <c r="C127" s="41" t="s">
        <v>50</v>
      </c>
      <c r="D127" s="86">
        <v>46028.0</v>
      </c>
      <c r="E127" s="43" t="str">
        <f t="shared" si="1"/>
        <v>2026</v>
      </c>
      <c r="F127" s="43" t="str">
        <f t="shared" si="2"/>
        <v>01 Jan</v>
      </c>
      <c r="G127" s="45" t="s">
        <v>195</v>
      </c>
      <c r="H127" s="45" t="s">
        <v>76</v>
      </c>
      <c r="I127" s="45" t="s">
        <v>345</v>
      </c>
      <c r="J127" s="41" t="s">
        <v>92</v>
      </c>
      <c r="K127" s="43" t="str">
        <f t="array" ref="K127">IF(J127="","", XLOOKUP(J127,'⚙️ Pengaturan'!$E$2:$E3237,'⚙️ Pengaturan'!$G$2:$G3237))</f>
        <v>KLINIK FT PAKET</v>
      </c>
      <c r="L127" s="43" t="str">
        <f t="shared" si="3"/>
        <v>BARU</v>
      </c>
      <c r="M127" s="41" t="s">
        <v>31</v>
      </c>
      <c r="N127" s="46">
        <v>1200000.0</v>
      </c>
      <c r="O127" s="65">
        <v>0.0</v>
      </c>
      <c r="P127" s="48">
        <f t="array" ref="P127">IFNA(XLOOKUP(J127,'⚙️ Pengaturan'!$E$2:$E3237,'⚙️ Pengaturan'!$F$2:$F3237),"")</f>
        <v>1200000</v>
      </c>
      <c r="Q127" s="49">
        <f t="shared" si="4"/>
        <v>0</v>
      </c>
      <c r="R127" s="41" t="s">
        <v>37</v>
      </c>
      <c r="S127" s="69" t="s">
        <v>345</v>
      </c>
      <c r="T127" s="51" t="b">
        <v>1</v>
      </c>
      <c r="U127" s="94"/>
    </row>
    <row r="128" ht="30.0" customHeight="1">
      <c r="A128" s="39"/>
      <c r="B128" s="40">
        <v>2161.0</v>
      </c>
      <c r="C128" s="41" t="s">
        <v>50</v>
      </c>
      <c r="D128" s="86">
        <v>46028.0</v>
      </c>
      <c r="E128" s="43" t="str">
        <f t="shared" si="1"/>
        <v>2026</v>
      </c>
      <c r="F128" s="43" t="str">
        <f t="shared" si="2"/>
        <v>01 Jan</v>
      </c>
      <c r="G128" s="45" t="s">
        <v>195</v>
      </c>
      <c r="H128" s="45" t="s">
        <v>76</v>
      </c>
      <c r="I128" s="45" t="s">
        <v>350</v>
      </c>
      <c r="J128" s="41" t="s">
        <v>28</v>
      </c>
      <c r="K128" s="43" t="str">
        <f t="array" ref="K128">IF(J128="","", XLOOKUP(J128,'⚙️ Pengaturan'!$E$2:$E3237,'⚙️ Pengaturan'!$G$2:$G3237))</f>
        <v>KLINIK FT TA</v>
      </c>
      <c r="L128" s="43" t="str">
        <f t="shared" si="3"/>
        <v>BARU</v>
      </c>
      <c r="M128" s="41" t="s">
        <v>31</v>
      </c>
      <c r="N128" s="46">
        <v>250000.0</v>
      </c>
      <c r="O128" s="65">
        <v>0.0</v>
      </c>
      <c r="P128" s="48">
        <f t="array" ref="P128">IFNA(XLOOKUP(J128,'⚙️ Pengaturan'!$E$2:$E3237,'⚙️ Pengaturan'!$F$2:$F3237),"")</f>
        <v>250000</v>
      </c>
      <c r="Q128" s="49">
        <f t="shared" si="4"/>
        <v>0</v>
      </c>
      <c r="R128" s="41" t="s">
        <v>32</v>
      </c>
      <c r="S128" s="69" t="s">
        <v>33</v>
      </c>
      <c r="T128" s="51" t="b">
        <v>1</v>
      </c>
      <c r="U128" s="94"/>
    </row>
    <row r="129" ht="30.0" customHeight="1">
      <c r="A129" s="39"/>
      <c r="B129" s="40">
        <v>2162.0</v>
      </c>
      <c r="C129" s="41" t="s">
        <v>50</v>
      </c>
      <c r="D129" s="86">
        <v>46028.0</v>
      </c>
      <c r="E129" s="43" t="str">
        <f t="shared" si="1"/>
        <v>2026</v>
      </c>
      <c r="F129" s="43" t="str">
        <f t="shared" si="2"/>
        <v>01 Jan</v>
      </c>
      <c r="G129" s="45" t="s">
        <v>195</v>
      </c>
      <c r="H129" s="45" t="s">
        <v>47</v>
      </c>
      <c r="I129" s="45" t="s">
        <v>183</v>
      </c>
      <c r="J129" s="41" t="s">
        <v>180</v>
      </c>
      <c r="K129" s="43" t="str">
        <f t="array" ref="K129">IF(J129="","", XLOOKUP(J129,'⚙️ Pengaturan'!$E$2:$E3237,'⚙️ Pengaturan'!$G$2:$G3237))</f>
        <v>KLINIK FT SESI</v>
      </c>
      <c r="L129" s="43" t="str">
        <f t="shared" si="3"/>
        <v>LANJUTAN</v>
      </c>
      <c r="M129" s="41" t="s">
        <v>31</v>
      </c>
      <c r="N129" s="46">
        <v>150000.0</v>
      </c>
      <c r="O129" s="65">
        <v>0.0</v>
      </c>
      <c r="P129" s="48">
        <f t="array" ref="P129">IFNA(XLOOKUP(J129,'⚙️ Pengaturan'!$E$2:$E3237,'⚙️ Pengaturan'!$F$2:$F3237),"")</f>
        <v>150000</v>
      </c>
      <c r="Q129" s="49">
        <f t="shared" si="4"/>
        <v>0</v>
      </c>
      <c r="R129" s="41" t="s">
        <v>37</v>
      </c>
      <c r="S129" s="69" t="s">
        <v>183</v>
      </c>
      <c r="T129" s="51" t="b">
        <v>1</v>
      </c>
      <c r="U129" s="94"/>
    </row>
    <row r="130" ht="30.0" customHeight="1">
      <c r="A130" s="39"/>
      <c r="B130" s="40">
        <v>2163.0</v>
      </c>
      <c r="C130" s="41" t="s">
        <v>50</v>
      </c>
      <c r="D130" s="86">
        <v>46028.0</v>
      </c>
      <c r="E130" s="43" t="str">
        <f t="shared" si="1"/>
        <v>2026</v>
      </c>
      <c r="F130" s="43" t="str">
        <f t="shared" si="2"/>
        <v>01 Jan</v>
      </c>
      <c r="G130" s="45" t="s">
        <v>195</v>
      </c>
      <c r="H130" s="45" t="s">
        <v>149</v>
      </c>
      <c r="I130" s="45" t="s">
        <v>366</v>
      </c>
      <c r="J130" s="41" t="s">
        <v>28</v>
      </c>
      <c r="K130" s="43" t="str">
        <f t="array" ref="K130">IF(J130="","", XLOOKUP(J130,'⚙️ Pengaturan'!$E$2:$E3237,'⚙️ Pengaturan'!$G$2:$G3237))</f>
        <v>KLINIK FT TA</v>
      </c>
      <c r="L130" s="43" t="str">
        <f t="shared" si="3"/>
        <v>BARU</v>
      </c>
      <c r="M130" s="41" t="s">
        <v>31</v>
      </c>
      <c r="N130" s="46">
        <v>250000.0</v>
      </c>
      <c r="O130" s="65">
        <v>0.0</v>
      </c>
      <c r="P130" s="48">
        <f t="array" ref="P130">IFNA(XLOOKUP(J130,'⚙️ Pengaturan'!$E$2:$E3237,'⚙️ Pengaturan'!$F$2:$F3237),"")</f>
        <v>250000</v>
      </c>
      <c r="Q130" s="49">
        <f t="shared" si="4"/>
        <v>0</v>
      </c>
      <c r="R130" s="41" t="s">
        <v>37</v>
      </c>
      <c r="S130" s="69" t="s">
        <v>376</v>
      </c>
      <c r="T130" s="51" t="b">
        <v>1</v>
      </c>
      <c r="U130" s="94"/>
    </row>
    <row r="131" ht="30.0" customHeight="1">
      <c r="A131" s="39"/>
      <c r="B131" s="40">
        <v>2164.0</v>
      </c>
      <c r="C131" s="41" t="s">
        <v>50</v>
      </c>
      <c r="D131" s="86">
        <v>46028.0</v>
      </c>
      <c r="E131" s="43" t="str">
        <f t="shared" si="1"/>
        <v>2026</v>
      </c>
      <c r="F131" s="43" t="str">
        <f t="shared" si="2"/>
        <v>01 Jan</v>
      </c>
      <c r="G131" s="45" t="s">
        <v>25</v>
      </c>
      <c r="H131" s="45" t="s">
        <v>47</v>
      </c>
      <c r="I131" s="45" t="s">
        <v>391</v>
      </c>
      <c r="J131" s="41" t="s">
        <v>28</v>
      </c>
      <c r="K131" s="43" t="str">
        <f t="array" ref="K131">IF(J131="","", XLOOKUP(J131,'⚙️ Pengaturan'!$E$2:$E3237,'⚙️ Pengaturan'!$G$2:$G3237))</f>
        <v>KLINIK FT TA</v>
      </c>
      <c r="L131" s="43" t="str">
        <f t="shared" si="3"/>
        <v>BARU</v>
      </c>
      <c r="M131" s="41" t="s">
        <v>31</v>
      </c>
      <c r="N131" s="46">
        <v>250000.0</v>
      </c>
      <c r="O131" s="65">
        <v>0.0</v>
      </c>
      <c r="P131" s="48">
        <f t="array" ref="P131">IFNA(XLOOKUP(J131,'⚙️ Pengaturan'!$E$2:$E3237,'⚙️ Pengaturan'!$F$2:$F3237),"")</f>
        <v>250000</v>
      </c>
      <c r="Q131" s="49">
        <f t="shared" si="4"/>
        <v>0</v>
      </c>
      <c r="R131" s="41" t="s">
        <v>37</v>
      </c>
      <c r="S131" s="69" t="s">
        <v>391</v>
      </c>
      <c r="T131" s="51" t="b">
        <v>1</v>
      </c>
      <c r="U131" s="94"/>
    </row>
    <row r="132" ht="30.0" customHeight="1">
      <c r="A132" s="39"/>
      <c r="B132" s="40">
        <v>2165.0</v>
      </c>
      <c r="C132" s="41" t="s">
        <v>50</v>
      </c>
      <c r="D132" s="86">
        <v>46028.0</v>
      </c>
      <c r="E132" s="43" t="str">
        <f t="shared" si="1"/>
        <v>2026</v>
      </c>
      <c r="F132" s="43" t="str">
        <f t="shared" si="2"/>
        <v>01 Jan</v>
      </c>
      <c r="G132" s="45" t="s">
        <v>161</v>
      </c>
      <c r="H132" s="45" t="s">
        <v>47</v>
      </c>
      <c r="I132" s="45" t="s">
        <v>396</v>
      </c>
      <c r="J132" s="41" t="s">
        <v>180</v>
      </c>
      <c r="K132" s="43" t="str">
        <f t="array" ref="K132">IF(J132="","", XLOOKUP(J132,'⚙️ Pengaturan'!$E$2:$E3237,'⚙️ Pengaturan'!$G$2:$G3237))</f>
        <v>KLINIK FT SESI</v>
      </c>
      <c r="L132" s="43" t="str">
        <f t="shared" si="3"/>
        <v>BARU</v>
      </c>
      <c r="M132" s="41" t="s">
        <v>31</v>
      </c>
      <c r="N132" s="46">
        <v>150000.0</v>
      </c>
      <c r="O132" s="65">
        <v>0.0</v>
      </c>
      <c r="P132" s="119">
        <v>150000.0</v>
      </c>
      <c r="Q132" s="49">
        <f t="shared" si="4"/>
        <v>0</v>
      </c>
      <c r="R132" s="41" t="s">
        <v>37</v>
      </c>
      <c r="S132" s="69" t="s">
        <v>396</v>
      </c>
      <c r="T132" s="51" t="b">
        <v>1</v>
      </c>
      <c r="U132" s="94"/>
    </row>
    <row r="133" ht="30.0" customHeight="1">
      <c r="A133" s="39"/>
      <c r="B133" s="40">
        <v>2166.0</v>
      </c>
      <c r="C133" s="41" t="s">
        <v>79</v>
      </c>
      <c r="D133" s="86">
        <v>46028.0</v>
      </c>
      <c r="E133" s="43" t="str">
        <f t="shared" si="1"/>
        <v>2026</v>
      </c>
      <c r="F133" s="43" t="str">
        <f t="shared" si="2"/>
        <v>01 Jan</v>
      </c>
      <c r="G133" s="45" t="s">
        <v>43</v>
      </c>
      <c r="H133" s="45" t="s">
        <v>150</v>
      </c>
      <c r="I133" s="45" t="s">
        <v>397</v>
      </c>
      <c r="J133" s="41" t="s">
        <v>28</v>
      </c>
      <c r="K133" s="43" t="str">
        <f t="array" ref="K133">IF(J133="","", XLOOKUP(J133,'⚙️ Pengaturan'!$E$2:$E3237,'⚙️ Pengaturan'!$G$2:$G3237))</f>
        <v>KLINIK FT TA</v>
      </c>
      <c r="L133" s="43" t="str">
        <f t="shared" si="3"/>
        <v>BARU</v>
      </c>
      <c r="M133" s="41" t="s">
        <v>31</v>
      </c>
      <c r="N133" s="46">
        <v>250000.0</v>
      </c>
      <c r="O133" s="65">
        <v>0.0</v>
      </c>
      <c r="P133" s="48">
        <f t="array" ref="P133">IFNA(XLOOKUP(J133,'⚙️ Pengaturan'!$E$2:$E3237,'⚙️ Pengaturan'!$F$2:$F3237),"")</f>
        <v>250000</v>
      </c>
      <c r="Q133" s="49">
        <f t="shared" si="4"/>
        <v>0</v>
      </c>
      <c r="R133" s="41" t="s">
        <v>37</v>
      </c>
      <c r="S133" s="69" t="s">
        <v>399</v>
      </c>
      <c r="T133" s="51" t="b">
        <v>1</v>
      </c>
      <c r="U133" s="94"/>
    </row>
    <row r="134" ht="30.0" customHeight="1">
      <c r="A134" s="39"/>
      <c r="B134" s="40">
        <v>2167.0</v>
      </c>
      <c r="C134" s="41" t="s">
        <v>79</v>
      </c>
      <c r="D134" s="86">
        <v>46028.0</v>
      </c>
      <c r="E134" s="43" t="str">
        <f t="shared" si="1"/>
        <v>2026</v>
      </c>
      <c r="F134" s="43" t="str">
        <f t="shared" si="2"/>
        <v>01 Jan</v>
      </c>
      <c r="G134" s="45" t="s">
        <v>155</v>
      </c>
      <c r="H134" s="45" t="s">
        <v>150</v>
      </c>
      <c r="I134" s="45" t="s">
        <v>267</v>
      </c>
      <c r="J134" s="41" t="s">
        <v>180</v>
      </c>
      <c r="K134" s="43" t="str">
        <f t="array" ref="K134">IF(J134="","", XLOOKUP(J134,'⚙️ Pengaturan'!$E$2:$E3237,'⚙️ Pengaturan'!$G$2:$G3237))</f>
        <v>KLINIK FT SESI</v>
      </c>
      <c r="L134" s="43" t="str">
        <f t="shared" si="3"/>
        <v>BARU</v>
      </c>
      <c r="M134" s="41" t="s">
        <v>31</v>
      </c>
      <c r="N134" s="46">
        <v>150000.0</v>
      </c>
      <c r="O134" s="65">
        <v>0.0</v>
      </c>
      <c r="P134" s="48">
        <f t="array" ref="P134">IFNA(XLOOKUP(J134,'⚙️ Pengaturan'!$E$2:$E3237,'⚙️ Pengaturan'!$F$2:$F3237),"")</f>
        <v>150000</v>
      </c>
      <c r="Q134" s="49">
        <f t="shared" si="4"/>
        <v>0</v>
      </c>
      <c r="R134" s="41" t="s">
        <v>37</v>
      </c>
      <c r="S134" s="69" t="s">
        <v>267</v>
      </c>
      <c r="T134" s="51" t="b">
        <v>1</v>
      </c>
      <c r="U134" s="94"/>
    </row>
    <row r="135" ht="30.0" customHeight="1">
      <c r="A135" s="39"/>
      <c r="B135" s="40">
        <v>2168.0</v>
      </c>
      <c r="C135" s="41" t="s">
        <v>79</v>
      </c>
      <c r="D135" s="86">
        <v>46028.0</v>
      </c>
      <c r="E135" s="43" t="str">
        <f t="shared" si="1"/>
        <v>2026</v>
      </c>
      <c r="F135" s="43" t="str">
        <f t="shared" si="2"/>
        <v>01 Jan</v>
      </c>
      <c r="G135" s="45" t="s">
        <v>155</v>
      </c>
      <c r="H135" s="45" t="s">
        <v>162</v>
      </c>
      <c r="I135" s="45" t="s">
        <v>401</v>
      </c>
      <c r="J135" s="41" t="s">
        <v>28</v>
      </c>
      <c r="K135" s="43" t="str">
        <f t="array" ref="K135">IF(J135="","", XLOOKUP(J135,'⚙️ Pengaturan'!$E$2:$E3237,'⚙️ Pengaturan'!$G$2:$G3237))</f>
        <v>KLINIK FT TA</v>
      </c>
      <c r="L135" s="43" t="str">
        <f t="shared" si="3"/>
        <v>BARU</v>
      </c>
      <c r="M135" s="41" t="s">
        <v>31</v>
      </c>
      <c r="N135" s="46">
        <v>250000.0</v>
      </c>
      <c r="O135" s="65">
        <v>0.0</v>
      </c>
      <c r="P135" s="48">
        <f t="array" ref="P135">IFNA(XLOOKUP(J135,'⚙️ Pengaturan'!$E$2:$E3237,'⚙️ Pengaturan'!$F$2:$F3237),"")</f>
        <v>250000</v>
      </c>
      <c r="Q135" s="49">
        <f t="shared" si="4"/>
        <v>0</v>
      </c>
      <c r="R135" s="41" t="s">
        <v>32</v>
      </c>
      <c r="S135" s="69" t="s">
        <v>33</v>
      </c>
      <c r="T135" s="51" t="b">
        <v>1</v>
      </c>
      <c r="U135" s="94"/>
    </row>
    <row r="136" ht="30.0" customHeight="1">
      <c r="A136" s="39"/>
      <c r="B136" s="40">
        <v>2169.0</v>
      </c>
      <c r="C136" s="41" t="s">
        <v>79</v>
      </c>
      <c r="D136" s="86">
        <v>46028.0</v>
      </c>
      <c r="E136" s="43" t="str">
        <f t="shared" si="1"/>
        <v>2026</v>
      </c>
      <c r="F136" s="43" t="str">
        <f t="shared" si="2"/>
        <v>01 Jan</v>
      </c>
      <c r="G136" s="45" t="s">
        <v>155</v>
      </c>
      <c r="H136" s="45" t="s">
        <v>166</v>
      </c>
      <c r="I136" s="45" t="s">
        <v>402</v>
      </c>
      <c r="J136" s="41" t="s">
        <v>28</v>
      </c>
      <c r="K136" s="43" t="str">
        <f t="array" ref="K136">IF(J136="","", XLOOKUP(J136,'⚙️ Pengaturan'!$E$2:$E3237,'⚙️ Pengaturan'!$G$2:$G3237))</f>
        <v>KLINIK FT TA</v>
      </c>
      <c r="L136" s="43" t="str">
        <f t="shared" si="3"/>
        <v>BARU</v>
      </c>
      <c r="M136" s="41" t="s">
        <v>31</v>
      </c>
      <c r="N136" s="46">
        <v>250000.0</v>
      </c>
      <c r="O136" s="65">
        <v>0.0</v>
      </c>
      <c r="P136" s="48">
        <f t="array" ref="P136">IFNA(XLOOKUP(J136,'⚙️ Pengaturan'!$E$2:$E3237,'⚙️ Pengaturan'!$F$2:$F3237),"")</f>
        <v>250000</v>
      </c>
      <c r="Q136" s="49">
        <f t="shared" si="4"/>
        <v>0</v>
      </c>
      <c r="R136" s="41" t="s">
        <v>118</v>
      </c>
      <c r="S136" s="69" t="s">
        <v>403</v>
      </c>
      <c r="T136" s="51" t="b">
        <v>1</v>
      </c>
      <c r="U136" s="94"/>
    </row>
    <row r="137" ht="30.0" customHeight="1">
      <c r="A137" s="39"/>
      <c r="B137" s="40">
        <v>2170.0</v>
      </c>
      <c r="C137" s="41" t="s">
        <v>79</v>
      </c>
      <c r="D137" s="86">
        <v>46028.0</v>
      </c>
      <c r="E137" s="43" t="str">
        <f t="shared" si="1"/>
        <v>2026</v>
      </c>
      <c r="F137" s="43" t="str">
        <f t="shared" si="2"/>
        <v>01 Jan</v>
      </c>
      <c r="G137" s="45" t="s">
        <v>155</v>
      </c>
      <c r="H137" s="45" t="s">
        <v>150</v>
      </c>
      <c r="I137" s="45" t="s">
        <v>405</v>
      </c>
      <c r="J137" s="41" t="s">
        <v>28</v>
      </c>
      <c r="K137" s="43" t="str">
        <f t="array" ref="K137">IF(J137="","", XLOOKUP(J137,'⚙️ Pengaturan'!$E$2:$E3237,'⚙️ Pengaturan'!$G$2:$G3237))</f>
        <v>KLINIK FT TA</v>
      </c>
      <c r="L137" s="43" t="str">
        <f t="shared" si="3"/>
        <v>BARU</v>
      </c>
      <c r="M137" s="41" t="s">
        <v>31</v>
      </c>
      <c r="N137" s="46">
        <v>250000.0</v>
      </c>
      <c r="O137" s="65">
        <v>0.0</v>
      </c>
      <c r="P137" s="48">
        <f t="array" ref="P137">IFNA(XLOOKUP(J137,'⚙️ Pengaturan'!$E$2:$E3237,'⚙️ Pengaturan'!$F$2:$F3237),"")</f>
        <v>250000</v>
      </c>
      <c r="Q137" s="49">
        <f t="shared" si="4"/>
        <v>0</v>
      </c>
      <c r="R137" s="41" t="s">
        <v>32</v>
      </c>
      <c r="S137" s="69" t="s">
        <v>33</v>
      </c>
      <c r="T137" s="51" t="b">
        <v>1</v>
      </c>
      <c r="U137" s="94"/>
    </row>
    <row r="138" ht="30.0" customHeight="1">
      <c r="A138" s="39"/>
      <c r="B138" s="40">
        <v>2171.0</v>
      </c>
      <c r="C138" s="41" t="s">
        <v>79</v>
      </c>
      <c r="D138" s="86">
        <v>46028.0</v>
      </c>
      <c r="E138" s="43" t="str">
        <f t="shared" si="1"/>
        <v>2026</v>
      </c>
      <c r="F138" s="43" t="str">
        <f t="shared" si="2"/>
        <v>01 Jan</v>
      </c>
      <c r="G138" s="45" t="s">
        <v>190</v>
      </c>
      <c r="H138" s="45" t="s">
        <v>166</v>
      </c>
      <c r="I138" s="45" t="s">
        <v>277</v>
      </c>
      <c r="J138" s="41" t="s">
        <v>56</v>
      </c>
      <c r="K138" s="43" t="str">
        <f t="array" ref="K138">IF(J138="","", XLOOKUP(J138,'⚙️ Pengaturan'!$E$2:$E3237,'⚙️ Pengaturan'!$G$2:$G3237))</f>
        <v>KLINIK FT PAKET</v>
      </c>
      <c r="L138" s="43" t="str">
        <f t="shared" si="3"/>
        <v>BARU</v>
      </c>
      <c r="M138" s="41" t="s">
        <v>60</v>
      </c>
      <c r="N138" s="46">
        <v>200000.0</v>
      </c>
      <c r="O138" s="65">
        <v>0.0</v>
      </c>
      <c r="P138" s="48">
        <f t="array" ref="P138">IFNA(XLOOKUP(J138,'⚙️ Pengaturan'!$E$2:$E3237,'⚙️ Pengaturan'!$F$2:$F3237),"")</f>
        <v>650000</v>
      </c>
      <c r="Q138" s="49">
        <f t="shared" si="4"/>
        <v>-450000</v>
      </c>
      <c r="R138" s="41" t="s">
        <v>32</v>
      </c>
      <c r="S138" s="69" t="s">
        <v>33</v>
      </c>
      <c r="T138" s="51" t="b">
        <v>1</v>
      </c>
      <c r="U138" s="94"/>
    </row>
    <row r="139" ht="30.0" customHeight="1">
      <c r="A139" s="39"/>
      <c r="B139" s="40">
        <v>2172.0</v>
      </c>
      <c r="C139" s="41" t="s">
        <v>79</v>
      </c>
      <c r="D139" s="86">
        <v>46029.0</v>
      </c>
      <c r="E139" s="43" t="str">
        <f t="shared" si="1"/>
        <v>2026</v>
      </c>
      <c r="F139" s="43" t="str">
        <f t="shared" si="2"/>
        <v>01 Jan</v>
      </c>
      <c r="G139" s="45" t="s">
        <v>190</v>
      </c>
      <c r="H139" s="45" t="s">
        <v>76</v>
      </c>
      <c r="I139" s="45" t="s">
        <v>407</v>
      </c>
      <c r="J139" s="41" t="s">
        <v>92</v>
      </c>
      <c r="K139" s="43" t="str">
        <f t="array" ref="K139">IF(J139="","", XLOOKUP(J139,'⚙️ Pengaturan'!$E$2:$E3237,'⚙️ Pengaturan'!$G$2:$G3237))</f>
        <v>KLINIK FT PAKET</v>
      </c>
      <c r="L139" s="43" t="str">
        <f t="shared" si="3"/>
        <v>BARU</v>
      </c>
      <c r="M139" s="41" t="s">
        <v>31</v>
      </c>
      <c r="N139" s="46">
        <v>1200000.0</v>
      </c>
      <c r="O139" s="65">
        <v>0.0</v>
      </c>
      <c r="P139" s="48">
        <f t="array" ref="P139">IFNA(XLOOKUP(J139,'⚙️ Pengaturan'!$E$2:$E3237,'⚙️ Pengaturan'!$F$2:$F3237),"")</f>
        <v>1200000</v>
      </c>
      <c r="Q139" s="49">
        <f t="shared" si="4"/>
        <v>0</v>
      </c>
      <c r="R139" s="41" t="s">
        <v>37</v>
      </c>
      <c r="S139" s="69" t="s">
        <v>408</v>
      </c>
      <c r="T139" s="51" t="b">
        <v>1</v>
      </c>
      <c r="U139" s="94"/>
    </row>
    <row r="140" ht="30.0" customHeight="1">
      <c r="A140" s="39"/>
      <c r="B140" s="40">
        <v>2173.0</v>
      </c>
      <c r="C140" s="41" t="s">
        <v>79</v>
      </c>
      <c r="D140" s="86">
        <v>46029.0</v>
      </c>
      <c r="E140" s="43" t="str">
        <f t="shared" si="1"/>
        <v>2026</v>
      </c>
      <c r="F140" s="43" t="str">
        <f t="shared" si="2"/>
        <v>01 Jan</v>
      </c>
      <c r="G140" s="45" t="s">
        <v>69</v>
      </c>
      <c r="H140" s="45" t="s">
        <v>150</v>
      </c>
      <c r="I140" s="45" t="s">
        <v>411</v>
      </c>
      <c r="J140" s="41" t="s">
        <v>323</v>
      </c>
      <c r="K140" s="43" t="str">
        <f t="array" ref="K140">IF(J140="","", XLOOKUP(J140,'⚙️ Pengaturan'!$E$2:$E3237,'⚙️ Pengaturan'!$G$2:$G3237))</f>
        <v>VISIT FT SESI</v>
      </c>
      <c r="L140" s="43" t="str">
        <f t="shared" si="3"/>
        <v>BARU</v>
      </c>
      <c r="M140" s="41" t="s">
        <v>31</v>
      </c>
      <c r="N140" s="46">
        <v>200000.0</v>
      </c>
      <c r="O140" s="65">
        <v>0.0</v>
      </c>
      <c r="P140" s="48">
        <f t="array" ref="P140">IFNA(XLOOKUP(J140,'⚙️ Pengaturan'!$E$2:$E3237,'⚙️ Pengaturan'!$F$2:$F3237),"")</f>
        <v>200000</v>
      </c>
      <c r="Q140" s="49">
        <f t="shared" si="4"/>
        <v>0</v>
      </c>
      <c r="R140" s="41" t="s">
        <v>37</v>
      </c>
      <c r="S140" s="69" t="s">
        <v>412</v>
      </c>
      <c r="T140" s="51" t="b">
        <v>1</v>
      </c>
      <c r="U140" s="94"/>
    </row>
    <row r="141" ht="30.0" customHeight="1">
      <c r="A141" s="39"/>
      <c r="B141" s="40">
        <v>2174.0</v>
      </c>
      <c r="C141" s="41" t="s">
        <v>79</v>
      </c>
      <c r="D141" s="86">
        <v>46029.0</v>
      </c>
      <c r="E141" s="43" t="str">
        <f t="shared" si="1"/>
        <v>2026</v>
      </c>
      <c r="F141" s="43" t="str">
        <f t="shared" si="2"/>
        <v>01 Jan</v>
      </c>
      <c r="G141" s="45" t="s">
        <v>195</v>
      </c>
      <c r="H141" s="45" t="s">
        <v>96</v>
      </c>
      <c r="I141" s="45" t="s">
        <v>413</v>
      </c>
      <c r="J141" s="41" t="s">
        <v>28</v>
      </c>
      <c r="K141" s="43" t="str">
        <f t="array" ref="K141">IF(J141="","", XLOOKUP(J141,'⚙️ Pengaturan'!$E$2:$E3237,'⚙️ Pengaturan'!$G$2:$G3237))</f>
        <v>KLINIK FT TA</v>
      </c>
      <c r="L141" s="43" t="str">
        <f t="shared" si="3"/>
        <v>BARU</v>
      </c>
      <c r="M141" s="41" t="s">
        <v>31</v>
      </c>
      <c r="N141" s="46">
        <v>250000.0</v>
      </c>
      <c r="O141" s="65">
        <v>0.0</v>
      </c>
      <c r="P141" s="48">
        <f t="array" ref="P141">IFNA(XLOOKUP(J141,'⚙️ Pengaturan'!$E$2:$E3237,'⚙️ Pengaturan'!$F$2:$F3237),"")</f>
        <v>250000</v>
      </c>
      <c r="Q141" s="49">
        <f t="shared" si="4"/>
        <v>0</v>
      </c>
      <c r="R141" s="41" t="s">
        <v>37</v>
      </c>
      <c r="S141" s="69" t="s">
        <v>413</v>
      </c>
      <c r="T141" s="51" t="b">
        <v>1</v>
      </c>
      <c r="U141" s="94"/>
    </row>
    <row r="142" ht="30.0" customHeight="1">
      <c r="A142" s="39"/>
      <c r="B142" s="40">
        <v>2175.0</v>
      </c>
      <c r="C142" s="41" t="s">
        <v>79</v>
      </c>
      <c r="D142" s="86">
        <v>46029.0</v>
      </c>
      <c r="E142" s="43" t="str">
        <f t="shared" si="1"/>
        <v>2026</v>
      </c>
      <c r="F142" s="43" t="str">
        <f t="shared" si="2"/>
        <v>01 Jan</v>
      </c>
      <c r="G142" s="45" t="s">
        <v>206</v>
      </c>
      <c r="H142" s="45" t="s">
        <v>47</v>
      </c>
      <c r="I142" s="45" t="s">
        <v>415</v>
      </c>
      <c r="J142" s="41" t="s">
        <v>56</v>
      </c>
      <c r="K142" s="43" t="str">
        <f t="array" ref="K142">IF(J142="","", XLOOKUP(J142,'⚙️ Pengaturan'!$E$2:$E3237,'⚙️ Pengaturan'!$G$2:$G3237))</f>
        <v>KLINIK FT PAKET</v>
      </c>
      <c r="L142" s="43" t="str">
        <f t="shared" si="3"/>
        <v>BARU</v>
      </c>
      <c r="M142" s="41" t="s">
        <v>31</v>
      </c>
      <c r="N142" s="46">
        <v>650000.0</v>
      </c>
      <c r="O142" s="65">
        <v>0.0</v>
      </c>
      <c r="P142" s="48">
        <f t="array" ref="P142">IFNA(XLOOKUP(J142,'⚙️ Pengaturan'!$E$2:$E3237,'⚙️ Pengaturan'!$F$2:$F3237),"")</f>
        <v>650000</v>
      </c>
      <c r="Q142" s="49">
        <f t="shared" si="4"/>
        <v>0</v>
      </c>
      <c r="R142" s="41" t="s">
        <v>37</v>
      </c>
      <c r="S142" s="69" t="s">
        <v>416</v>
      </c>
      <c r="T142" s="51" t="b">
        <v>1</v>
      </c>
      <c r="U142" s="94"/>
    </row>
    <row r="143" ht="30.0" customHeight="1">
      <c r="A143" s="39"/>
      <c r="B143" s="40">
        <v>2176.0</v>
      </c>
      <c r="C143" s="41" t="s">
        <v>79</v>
      </c>
      <c r="D143" s="86">
        <v>46029.0</v>
      </c>
      <c r="E143" s="43" t="str">
        <f t="shared" si="1"/>
        <v>2026</v>
      </c>
      <c r="F143" s="43" t="str">
        <f t="shared" si="2"/>
        <v>01 Jan</v>
      </c>
      <c r="G143" s="45" t="s">
        <v>241</v>
      </c>
      <c r="H143" s="45" t="s">
        <v>96</v>
      </c>
      <c r="I143" s="45" t="s">
        <v>309</v>
      </c>
      <c r="J143" s="41" t="s">
        <v>56</v>
      </c>
      <c r="K143" s="43" t="str">
        <f t="array" ref="K143">IF(J143="","", XLOOKUP(J143,'⚙️ Pengaturan'!$E$2:$E3237,'⚙️ Pengaturan'!$G$2:$G3237))</f>
        <v>KLINIK FT PAKET</v>
      </c>
      <c r="L143" s="43" t="str">
        <f t="shared" si="3"/>
        <v>BARU</v>
      </c>
      <c r="M143" s="41" t="s">
        <v>60</v>
      </c>
      <c r="N143" s="46">
        <v>200000.0</v>
      </c>
      <c r="O143" s="65">
        <v>0.0</v>
      </c>
      <c r="P143" s="48">
        <f t="array" ref="P143">IFNA(XLOOKUP(J143,'⚙️ Pengaturan'!$E$2:$E3237,'⚙️ Pengaturan'!$F$2:$F3237),"")</f>
        <v>650000</v>
      </c>
      <c r="Q143" s="49">
        <f t="shared" si="4"/>
        <v>-450000</v>
      </c>
      <c r="R143" s="41" t="s">
        <v>93</v>
      </c>
      <c r="S143" s="69" t="s">
        <v>309</v>
      </c>
      <c r="T143" s="51" t="b">
        <v>1</v>
      </c>
      <c r="U143" s="94"/>
    </row>
    <row r="144" ht="30.0" customHeight="1">
      <c r="A144" s="39"/>
      <c r="B144" s="40">
        <v>2177.0</v>
      </c>
      <c r="C144" s="41" t="s">
        <v>79</v>
      </c>
      <c r="D144" s="86">
        <v>46029.0</v>
      </c>
      <c r="E144" s="43" t="str">
        <f t="shared" si="1"/>
        <v>2026</v>
      </c>
      <c r="F144" s="43" t="str">
        <f t="shared" si="2"/>
        <v>01 Jan</v>
      </c>
      <c r="G144" s="45" t="s">
        <v>241</v>
      </c>
      <c r="H144" s="45" t="s">
        <v>96</v>
      </c>
      <c r="I144" s="45" t="s">
        <v>309</v>
      </c>
      <c r="J144" s="41" t="s">
        <v>355</v>
      </c>
      <c r="K144" s="43" t="str">
        <f t="array" ref="K144">IF(J144="","", XLOOKUP(J144,'⚙️ Pengaturan'!$E$2:$E3237,'⚙️ Pengaturan'!$G$2:$G3237))</f>
        <v>STORE  </v>
      </c>
      <c r="L144" s="43" t="str">
        <f t="shared" si="3"/>
        <v>BARU</v>
      </c>
      <c r="M144" s="41" t="s">
        <v>31</v>
      </c>
      <c r="N144" s="46">
        <v>50000.0</v>
      </c>
      <c r="O144" s="65">
        <v>0.0</v>
      </c>
      <c r="P144" s="48">
        <f t="array" ref="P144">IFNA(XLOOKUP(J144,'⚙️ Pengaturan'!$E$2:$E3237,'⚙️ Pengaturan'!$F$2:$F3237),"")</f>
        <v>50000</v>
      </c>
      <c r="Q144" s="49">
        <f t="shared" si="4"/>
        <v>0</v>
      </c>
      <c r="R144" s="41" t="s">
        <v>93</v>
      </c>
      <c r="S144" s="69" t="s">
        <v>309</v>
      </c>
      <c r="T144" s="51" t="b">
        <v>1</v>
      </c>
      <c r="U144" s="94"/>
    </row>
    <row r="145" ht="30.0" customHeight="1">
      <c r="A145" s="39"/>
      <c r="B145" s="40">
        <v>2178.0</v>
      </c>
      <c r="C145" s="41" t="s">
        <v>50</v>
      </c>
      <c r="D145" s="86">
        <v>46029.0</v>
      </c>
      <c r="E145" s="43" t="str">
        <f t="shared" si="1"/>
        <v>2026</v>
      </c>
      <c r="F145" s="43" t="str">
        <f t="shared" si="2"/>
        <v>01 Jan</v>
      </c>
      <c r="G145" s="45" t="s">
        <v>161</v>
      </c>
      <c r="H145" s="45" t="s">
        <v>149</v>
      </c>
      <c r="I145" s="45" t="s">
        <v>420</v>
      </c>
      <c r="J145" s="41" t="s">
        <v>28</v>
      </c>
      <c r="K145" s="43" t="str">
        <f t="array" ref="K145">IF(J145="","", XLOOKUP(J145,'⚙️ Pengaturan'!$E$2:$E3237,'⚙️ Pengaturan'!$G$2:$G3237))</f>
        <v>KLINIK FT TA</v>
      </c>
      <c r="L145" s="43" t="str">
        <f t="shared" si="3"/>
        <v>BARU</v>
      </c>
      <c r="M145" s="41" t="s">
        <v>31</v>
      </c>
      <c r="N145" s="46">
        <v>250000.0</v>
      </c>
      <c r="O145" s="65">
        <v>0.0</v>
      </c>
      <c r="P145" s="48">
        <f t="array" ref="P145">IFNA(XLOOKUP(J145,'⚙️ Pengaturan'!$E$2:$E3237,'⚙️ Pengaturan'!$F$2:$F3237),"")</f>
        <v>250000</v>
      </c>
      <c r="Q145" s="49">
        <f t="shared" si="4"/>
        <v>0</v>
      </c>
      <c r="R145" s="41" t="s">
        <v>37</v>
      </c>
      <c r="S145" s="69" t="s">
        <v>420</v>
      </c>
      <c r="T145" s="51" t="b">
        <v>1</v>
      </c>
      <c r="U145" s="94"/>
    </row>
    <row r="146" ht="30.0" customHeight="1">
      <c r="A146" s="39"/>
      <c r="B146" s="40">
        <v>2179.0</v>
      </c>
      <c r="C146" s="41" t="s">
        <v>50</v>
      </c>
      <c r="D146" s="86">
        <v>46029.0</v>
      </c>
      <c r="E146" s="43" t="str">
        <f t="shared" si="1"/>
        <v>2026</v>
      </c>
      <c r="F146" s="43" t="str">
        <f t="shared" si="2"/>
        <v>01 Jan</v>
      </c>
      <c r="G146" s="45" t="s">
        <v>161</v>
      </c>
      <c r="H146" s="45" t="s">
        <v>47</v>
      </c>
      <c r="I146" s="45" t="s">
        <v>422</v>
      </c>
      <c r="J146" s="41" t="s">
        <v>28</v>
      </c>
      <c r="K146" s="43" t="str">
        <f t="array" ref="K146">IF(J146="","", XLOOKUP(J146,'⚙️ Pengaturan'!$E$2:$E3237,'⚙️ Pengaturan'!$G$2:$G3237))</f>
        <v>KLINIK FT TA</v>
      </c>
      <c r="L146" s="43" t="str">
        <f t="shared" si="3"/>
        <v>BARU</v>
      </c>
      <c r="M146" s="41" t="s">
        <v>31</v>
      </c>
      <c r="N146" s="46">
        <v>250000.0</v>
      </c>
      <c r="O146" s="65">
        <v>0.0</v>
      </c>
      <c r="P146" s="48">
        <f t="array" ref="P146">IFNA(XLOOKUP(J146,'⚙️ Pengaturan'!$E$2:$E3237,'⚙️ Pengaturan'!$F$2:$F3237),"")</f>
        <v>250000</v>
      </c>
      <c r="Q146" s="49">
        <f t="shared" si="4"/>
        <v>0</v>
      </c>
      <c r="R146" s="41" t="s">
        <v>37</v>
      </c>
      <c r="S146" s="69" t="s">
        <v>420</v>
      </c>
      <c r="T146" s="51" t="b">
        <v>1</v>
      </c>
      <c r="U146" s="94"/>
    </row>
    <row r="147" ht="30.0" customHeight="1">
      <c r="A147" s="39"/>
      <c r="B147" s="40">
        <v>2180.0</v>
      </c>
      <c r="C147" s="41" t="s">
        <v>50</v>
      </c>
      <c r="D147" s="86">
        <v>46029.0</v>
      </c>
      <c r="E147" s="43" t="str">
        <f t="shared" si="1"/>
        <v>2026</v>
      </c>
      <c r="F147" s="43" t="str">
        <f t="shared" si="2"/>
        <v>01 Jan</v>
      </c>
      <c r="G147" s="45" t="s">
        <v>69</v>
      </c>
      <c r="H147" s="45" t="s">
        <v>76</v>
      </c>
      <c r="I147" s="45" t="s">
        <v>424</v>
      </c>
      <c r="J147" s="41" t="s">
        <v>121</v>
      </c>
      <c r="K147" s="43" t="str">
        <f t="array" ref="K147">IF(J147="","", XLOOKUP(J147,'⚙️ Pengaturan'!$E$2:$E3237,'⚙️ Pengaturan'!$G$2:$G3237))</f>
        <v>VISIT FT TA</v>
      </c>
      <c r="L147" s="43" t="str">
        <f t="shared" si="3"/>
        <v>BARU</v>
      </c>
      <c r="M147" s="41" t="s">
        <v>31</v>
      </c>
      <c r="N147" s="46">
        <v>300000.0</v>
      </c>
      <c r="O147" s="65">
        <v>0.0</v>
      </c>
      <c r="P147" s="48">
        <f t="array" ref="P147">IFNA(XLOOKUP(J147,'⚙️ Pengaturan'!$E$2:$E3237,'⚙️ Pengaturan'!$F$2:$F3237),"")</f>
        <v>300000</v>
      </c>
      <c r="Q147" s="49">
        <f t="shared" si="4"/>
        <v>0</v>
      </c>
      <c r="R147" s="41" t="s">
        <v>37</v>
      </c>
      <c r="S147" s="69" t="s">
        <v>424</v>
      </c>
      <c r="T147" s="51" t="b">
        <v>1</v>
      </c>
      <c r="U147" s="94"/>
    </row>
    <row r="148" ht="30.0" customHeight="1">
      <c r="A148" s="39"/>
      <c r="B148" s="40">
        <v>2181.0</v>
      </c>
      <c r="C148" s="41" t="s">
        <v>50</v>
      </c>
      <c r="D148" s="86">
        <v>46029.0</v>
      </c>
      <c r="E148" s="43" t="str">
        <f t="shared" si="1"/>
        <v>2026</v>
      </c>
      <c r="F148" s="43" t="str">
        <f t="shared" si="2"/>
        <v>01 Jan</v>
      </c>
      <c r="G148" s="45" t="s">
        <v>35</v>
      </c>
      <c r="H148" s="45" t="s">
        <v>26</v>
      </c>
      <c r="I148" s="45" t="s">
        <v>426</v>
      </c>
      <c r="J148" s="41" t="s">
        <v>56</v>
      </c>
      <c r="K148" s="43" t="str">
        <f t="array" ref="K148">IF(J148="","", XLOOKUP(J148,'⚙️ Pengaturan'!$E$2:$E3237,'⚙️ Pengaturan'!$G$2:$G3237))</f>
        <v>KLINIK FT PAKET</v>
      </c>
      <c r="L148" s="43" t="str">
        <f t="shared" si="3"/>
        <v>BARU</v>
      </c>
      <c r="M148" s="41" t="s">
        <v>31</v>
      </c>
      <c r="N148" s="46">
        <v>650000.0</v>
      </c>
      <c r="O148" s="65">
        <v>0.0</v>
      </c>
      <c r="P148" s="48">
        <f t="array" ref="P148">IFNA(XLOOKUP(J148,'⚙️ Pengaturan'!$E$2:$E3237,'⚙️ Pengaturan'!$F$2:$F3237),"")</f>
        <v>650000</v>
      </c>
      <c r="Q148" s="49">
        <f t="shared" si="4"/>
        <v>0</v>
      </c>
      <c r="R148" s="41" t="s">
        <v>37</v>
      </c>
      <c r="S148" s="69" t="s">
        <v>426</v>
      </c>
      <c r="T148" s="51" t="b">
        <v>1</v>
      </c>
      <c r="U148" s="94"/>
    </row>
    <row r="149" ht="30.0" customHeight="1">
      <c r="A149" s="39"/>
      <c r="B149" s="40">
        <v>2182.0</v>
      </c>
      <c r="C149" s="41" t="s">
        <v>50</v>
      </c>
      <c r="D149" s="86">
        <v>46029.0</v>
      </c>
      <c r="E149" s="43" t="str">
        <f t="shared" si="1"/>
        <v>2026</v>
      </c>
      <c r="F149" s="43" t="str">
        <f t="shared" si="2"/>
        <v>01 Jan</v>
      </c>
      <c r="G149" s="45" t="s">
        <v>35</v>
      </c>
      <c r="H149" s="45" t="s">
        <v>156</v>
      </c>
      <c r="I149" s="45" t="s">
        <v>427</v>
      </c>
      <c r="J149" s="41" t="s">
        <v>28</v>
      </c>
      <c r="K149" s="43" t="str">
        <f t="array" ref="K149">IF(J149="","", XLOOKUP(J149,'⚙️ Pengaturan'!$E$2:$E3237,'⚙️ Pengaturan'!$G$2:$G3237))</f>
        <v>KLINIK FT TA</v>
      </c>
      <c r="L149" s="43" t="str">
        <f t="shared" si="3"/>
        <v>BARU</v>
      </c>
      <c r="M149" s="41" t="s">
        <v>31</v>
      </c>
      <c r="N149" s="46">
        <v>250000.0</v>
      </c>
      <c r="O149" s="65">
        <v>0.0</v>
      </c>
      <c r="P149" s="48">
        <f t="array" ref="P149">IFNA(XLOOKUP(J149,'⚙️ Pengaturan'!$E$2:$E3237,'⚙️ Pengaturan'!$F$2:$F3237),"")</f>
        <v>250000</v>
      </c>
      <c r="Q149" s="49">
        <f t="shared" si="4"/>
        <v>0</v>
      </c>
      <c r="R149" s="41" t="s">
        <v>37</v>
      </c>
      <c r="S149" s="69" t="s">
        <v>427</v>
      </c>
      <c r="T149" s="51" t="b">
        <v>1</v>
      </c>
      <c r="U149" s="94"/>
    </row>
    <row r="150" ht="30.0" customHeight="1">
      <c r="A150" s="39"/>
      <c r="B150" s="40">
        <v>2183.0</v>
      </c>
      <c r="C150" s="41" t="s">
        <v>50</v>
      </c>
      <c r="D150" s="86">
        <v>46029.0</v>
      </c>
      <c r="E150" s="43" t="str">
        <f t="shared" si="1"/>
        <v>2026</v>
      </c>
      <c r="F150" s="43" t="str">
        <f t="shared" si="2"/>
        <v>01 Jan</v>
      </c>
      <c r="G150" s="45" t="s">
        <v>40</v>
      </c>
      <c r="H150" s="45" t="s">
        <v>150</v>
      </c>
      <c r="I150" s="45" t="s">
        <v>429</v>
      </c>
      <c r="J150" s="41" t="s">
        <v>28</v>
      </c>
      <c r="K150" s="43" t="str">
        <f t="array" ref="K150">IF(J150="","", XLOOKUP(J150,'⚙️ Pengaturan'!$E$2:$E3237,'⚙️ Pengaturan'!$G$2:$G3237))</f>
        <v>KLINIK FT TA</v>
      </c>
      <c r="L150" s="43" t="str">
        <f t="shared" si="3"/>
        <v>BARU</v>
      </c>
      <c r="M150" s="41" t="s">
        <v>31</v>
      </c>
      <c r="N150" s="46">
        <v>250000.0</v>
      </c>
      <c r="O150" s="65">
        <v>0.0</v>
      </c>
      <c r="P150" s="48">
        <f t="array" ref="P150">IFNA(XLOOKUP(J150,'⚙️ Pengaturan'!$E$2:$E3237,'⚙️ Pengaturan'!$F$2:$F3237),"")</f>
        <v>250000</v>
      </c>
      <c r="Q150" s="49">
        <f t="shared" si="4"/>
        <v>0</v>
      </c>
      <c r="R150" s="41" t="s">
        <v>32</v>
      </c>
      <c r="S150" s="69" t="s">
        <v>33</v>
      </c>
      <c r="T150" s="51" t="b">
        <v>1</v>
      </c>
      <c r="U150" s="94"/>
    </row>
    <row r="151" ht="30.0" customHeight="1">
      <c r="A151" s="39"/>
      <c r="B151" s="40">
        <v>2184.0</v>
      </c>
      <c r="C151" s="41" t="s">
        <v>50</v>
      </c>
      <c r="D151" s="86">
        <v>46029.0</v>
      </c>
      <c r="E151" s="43" t="str">
        <f t="shared" si="1"/>
        <v>2026</v>
      </c>
      <c r="F151" s="43" t="str">
        <f t="shared" si="2"/>
        <v>01 Jan</v>
      </c>
      <c r="G151" s="45" t="s">
        <v>161</v>
      </c>
      <c r="H151" s="45" t="s">
        <v>150</v>
      </c>
      <c r="I151" s="45" t="s">
        <v>309</v>
      </c>
      <c r="J151" s="41" t="s">
        <v>56</v>
      </c>
      <c r="K151" s="43" t="str">
        <f t="array" ref="K151">IF(J151="","", XLOOKUP(J151,'⚙️ Pengaturan'!$E$2:$E3237,'⚙️ Pengaturan'!$G$2:$G3237))</f>
        <v>KLINIK FT PAKET</v>
      </c>
      <c r="L151" s="43" t="str">
        <f t="shared" si="3"/>
        <v>LANJUTAN</v>
      </c>
      <c r="M151" s="41" t="s">
        <v>81</v>
      </c>
      <c r="N151" s="46">
        <v>250000.0</v>
      </c>
      <c r="O151" s="65">
        <v>200000.0</v>
      </c>
      <c r="P151" s="48">
        <f t="array" ref="P151">IFNA(XLOOKUP(J151,'⚙️ Pengaturan'!$E$2:$E3237,'⚙️ Pengaturan'!$F$2:$F3237),"")</f>
        <v>650000</v>
      </c>
      <c r="Q151" s="49">
        <f t="shared" si="4"/>
        <v>-200000</v>
      </c>
      <c r="R151" s="41" t="s">
        <v>37</v>
      </c>
      <c r="S151" s="69" t="s">
        <v>430</v>
      </c>
      <c r="T151" s="51" t="b">
        <v>1</v>
      </c>
      <c r="U151" s="94"/>
    </row>
    <row r="152" ht="30.0" customHeight="1">
      <c r="A152" s="39"/>
      <c r="B152" s="40">
        <v>2185.0</v>
      </c>
      <c r="C152" s="41" t="s">
        <v>50</v>
      </c>
      <c r="D152" s="86">
        <v>46029.0</v>
      </c>
      <c r="E152" s="43" t="str">
        <f t="shared" si="1"/>
        <v>2026</v>
      </c>
      <c r="F152" s="43" t="str">
        <f t="shared" si="2"/>
        <v>01 Jan</v>
      </c>
      <c r="G152" s="45" t="s">
        <v>43</v>
      </c>
      <c r="H152" s="45" t="s">
        <v>166</v>
      </c>
      <c r="I152" s="45" t="s">
        <v>431</v>
      </c>
      <c r="J152" s="41" t="s">
        <v>28</v>
      </c>
      <c r="K152" s="43" t="str">
        <f t="array" ref="K152">IF(J152="","", XLOOKUP(J152,'⚙️ Pengaturan'!$E$2:$E3237,'⚙️ Pengaturan'!$G$2:$G3237))</f>
        <v>KLINIK FT TA</v>
      </c>
      <c r="L152" s="43" t="str">
        <f t="shared" si="3"/>
        <v>BARU</v>
      </c>
      <c r="M152" s="41" t="s">
        <v>31</v>
      </c>
      <c r="N152" s="46">
        <v>250000.0</v>
      </c>
      <c r="O152" s="65">
        <v>0.0</v>
      </c>
      <c r="P152" s="48">
        <f t="array" ref="P152">IFNA(XLOOKUP(J152,'⚙️ Pengaturan'!$E$2:$E3237,'⚙️ Pengaturan'!$F$2:$F3237),"")</f>
        <v>250000</v>
      </c>
      <c r="Q152" s="49">
        <f t="shared" si="4"/>
        <v>0</v>
      </c>
      <c r="R152" s="41" t="s">
        <v>37</v>
      </c>
      <c r="S152" s="69" t="s">
        <v>431</v>
      </c>
      <c r="T152" s="51" t="b">
        <v>1</v>
      </c>
      <c r="U152" s="94"/>
    </row>
    <row r="153" ht="30.0" customHeight="1">
      <c r="A153" s="39"/>
      <c r="B153" s="40">
        <v>2186.0</v>
      </c>
      <c r="C153" s="41" t="s">
        <v>50</v>
      </c>
      <c r="D153" s="86">
        <v>46029.0</v>
      </c>
      <c r="E153" s="43" t="str">
        <f t="shared" si="1"/>
        <v>2026</v>
      </c>
      <c r="F153" s="43" t="str">
        <f t="shared" si="2"/>
        <v>01 Jan</v>
      </c>
      <c r="G153" s="45" t="s">
        <v>43</v>
      </c>
      <c r="H153" s="45" t="s">
        <v>156</v>
      </c>
      <c r="I153" s="45" t="s">
        <v>433</v>
      </c>
      <c r="J153" s="41" t="s">
        <v>28</v>
      </c>
      <c r="K153" s="43" t="str">
        <f t="array" ref="K153">IF(J153="","", XLOOKUP(J153,'⚙️ Pengaturan'!$E$2:$E3237,'⚙️ Pengaturan'!$G$2:$G3237))</f>
        <v>KLINIK FT TA</v>
      </c>
      <c r="L153" s="43" t="str">
        <f t="shared" si="3"/>
        <v>BARU</v>
      </c>
      <c r="M153" s="41" t="s">
        <v>31</v>
      </c>
      <c r="N153" s="46">
        <v>250000.0</v>
      </c>
      <c r="O153" s="65">
        <v>0.0</v>
      </c>
      <c r="P153" s="48">
        <f t="array" ref="P153">IFNA(XLOOKUP(J153,'⚙️ Pengaturan'!$E$2:$E3237,'⚙️ Pengaturan'!$F$2:$F3237),"")</f>
        <v>250000</v>
      </c>
      <c r="Q153" s="49">
        <f t="shared" si="4"/>
        <v>0</v>
      </c>
      <c r="R153" s="41" t="s">
        <v>32</v>
      </c>
      <c r="S153" s="69" t="s">
        <v>33</v>
      </c>
      <c r="T153" s="51" t="b">
        <v>1</v>
      </c>
      <c r="U153" s="94"/>
    </row>
    <row r="154" ht="30.0" customHeight="1">
      <c r="A154" s="39"/>
      <c r="B154" s="40">
        <v>2187.0</v>
      </c>
      <c r="C154" s="41" t="s">
        <v>50</v>
      </c>
      <c r="D154" s="86">
        <v>46029.0</v>
      </c>
      <c r="E154" s="43" t="str">
        <f t="shared" si="1"/>
        <v>2026</v>
      </c>
      <c r="F154" s="43" t="str">
        <f t="shared" si="2"/>
        <v>01 Jan</v>
      </c>
      <c r="G154" s="45" t="s">
        <v>43</v>
      </c>
      <c r="H154" s="45" t="s">
        <v>150</v>
      </c>
      <c r="I154" s="45" t="s">
        <v>269</v>
      </c>
      <c r="J154" s="41" t="s">
        <v>56</v>
      </c>
      <c r="K154" s="43" t="str">
        <f t="array" ref="K154">IF(J154="","", XLOOKUP(J154,'⚙️ Pengaturan'!$E$2:$E3237,'⚙️ Pengaturan'!$G$2:$G3237))</f>
        <v>KLINIK FT PAKET</v>
      </c>
      <c r="L154" s="43" t="str">
        <f t="shared" si="3"/>
        <v>LANJUTAN</v>
      </c>
      <c r="M154" s="41" t="s">
        <v>164</v>
      </c>
      <c r="N154" s="46">
        <v>450000.0</v>
      </c>
      <c r="O154" s="65">
        <v>200000.0</v>
      </c>
      <c r="P154" s="48">
        <f t="array" ref="P154">IFNA(XLOOKUP(J154,'⚙️ Pengaturan'!$E$2:$E3237,'⚙️ Pengaturan'!$F$2:$F3237),"")</f>
        <v>650000</v>
      </c>
      <c r="Q154" s="49">
        <f t="shared" si="4"/>
        <v>0</v>
      </c>
      <c r="R154" s="41" t="s">
        <v>37</v>
      </c>
      <c r="S154" s="69" t="s">
        <v>269</v>
      </c>
      <c r="T154" s="51" t="b">
        <v>1</v>
      </c>
      <c r="U154" s="94"/>
    </row>
    <row r="155" ht="30.0" customHeight="1">
      <c r="A155" s="39"/>
      <c r="B155" s="40">
        <v>2188.0</v>
      </c>
      <c r="C155" s="41" t="s">
        <v>50</v>
      </c>
      <c r="D155" s="86">
        <v>46029.0</v>
      </c>
      <c r="E155" s="43" t="str">
        <f t="shared" si="1"/>
        <v>2026</v>
      </c>
      <c r="F155" s="43" t="str">
        <f t="shared" si="2"/>
        <v>01 Jan</v>
      </c>
      <c r="G155" s="45" t="s">
        <v>46</v>
      </c>
      <c r="H155" s="45" t="s">
        <v>26</v>
      </c>
      <c r="I155" s="45" t="s">
        <v>435</v>
      </c>
      <c r="J155" s="41" t="s">
        <v>56</v>
      </c>
      <c r="K155" s="43" t="str">
        <f t="array" ref="K155">IF(J155="","", XLOOKUP(J155,'⚙️ Pengaturan'!$E$2:$E3237,'⚙️ Pengaturan'!$G$2:$G3237))</f>
        <v>KLINIK FT PAKET</v>
      </c>
      <c r="L155" s="43" t="str">
        <f t="shared" si="3"/>
        <v>BARU</v>
      </c>
      <c r="M155" s="41" t="s">
        <v>31</v>
      </c>
      <c r="N155" s="46">
        <v>650000.0</v>
      </c>
      <c r="O155" s="65">
        <v>0.0</v>
      </c>
      <c r="P155" s="48">
        <f t="array" ref="P155">IFNA(XLOOKUP(J155,'⚙️ Pengaturan'!$E$2:$E3237,'⚙️ Pengaturan'!$F$2:$F3237),"")</f>
        <v>650000</v>
      </c>
      <c r="Q155" s="49">
        <f t="shared" si="4"/>
        <v>0</v>
      </c>
      <c r="R155" s="41" t="s">
        <v>37</v>
      </c>
      <c r="S155" s="69" t="s">
        <v>426</v>
      </c>
      <c r="T155" s="51" t="b">
        <v>1</v>
      </c>
      <c r="U155" s="94"/>
    </row>
    <row r="156" ht="30.0" customHeight="1">
      <c r="A156" s="39"/>
      <c r="B156" s="40">
        <v>2189.0</v>
      </c>
      <c r="C156" s="41" t="s">
        <v>50</v>
      </c>
      <c r="D156" s="86">
        <v>46029.0</v>
      </c>
      <c r="E156" s="43" t="str">
        <f t="shared" si="1"/>
        <v>2026</v>
      </c>
      <c r="F156" s="43" t="str">
        <f t="shared" si="2"/>
        <v>01 Jan</v>
      </c>
      <c r="G156" s="45" t="s">
        <v>241</v>
      </c>
      <c r="H156" s="45" t="s">
        <v>149</v>
      </c>
      <c r="I156" s="45" t="s">
        <v>436</v>
      </c>
      <c r="J156" s="41" t="s">
        <v>180</v>
      </c>
      <c r="K156" s="43" t="str">
        <f t="array" ref="K156">IF(J156="","", XLOOKUP(J156,'⚙️ Pengaturan'!$E$2:$E3237,'⚙️ Pengaturan'!$G$2:$G3237))</f>
        <v>KLINIK FT SESI</v>
      </c>
      <c r="L156" s="43" t="str">
        <f t="shared" si="3"/>
        <v>BARU</v>
      </c>
      <c r="M156" s="41" t="s">
        <v>31</v>
      </c>
      <c r="N156" s="46">
        <v>150000.0</v>
      </c>
      <c r="O156" s="65">
        <v>0.0</v>
      </c>
      <c r="P156" s="48">
        <f t="array" ref="P156">IFNA(XLOOKUP(J156,'⚙️ Pengaturan'!$E$2:$E3237,'⚙️ Pengaturan'!$F$2:$F3237),"")</f>
        <v>150000</v>
      </c>
      <c r="Q156" s="49">
        <f t="shared" si="4"/>
        <v>0</v>
      </c>
      <c r="R156" s="41" t="s">
        <v>32</v>
      </c>
      <c r="S156" s="69" t="s">
        <v>33</v>
      </c>
      <c r="T156" s="51" t="b">
        <v>1</v>
      </c>
      <c r="U156" s="94"/>
    </row>
    <row r="157" ht="30.0" customHeight="1">
      <c r="A157" s="39"/>
      <c r="B157" s="40">
        <v>2190.0</v>
      </c>
      <c r="C157" s="41" t="s">
        <v>50</v>
      </c>
      <c r="D157" s="86">
        <v>46029.0</v>
      </c>
      <c r="E157" s="43" t="str">
        <f t="shared" si="1"/>
        <v>2026</v>
      </c>
      <c r="F157" s="43" t="str">
        <f t="shared" si="2"/>
        <v>01 Jan</v>
      </c>
      <c r="G157" s="45" t="s">
        <v>155</v>
      </c>
      <c r="H157" s="45" t="s">
        <v>162</v>
      </c>
      <c r="I157" s="45" t="s">
        <v>437</v>
      </c>
      <c r="J157" s="41" t="s">
        <v>92</v>
      </c>
      <c r="K157" s="43" t="str">
        <f t="array" ref="K157">IF(J157="","", XLOOKUP(J157,'⚙️ Pengaturan'!$E$2:$E3237,'⚙️ Pengaturan'!$G$2:$G3237))</f>
        <v>KLINIK FT PAKET</v>
      </c>
      <c r="L157" s="43" t="str">
        <f t="shared" si="3"/>
        <v>BARU</v>
      </c>
      <c r="M157" s="41" t="s">
        <v>31</v>
      </c>
      <c r="N157" s="46">
        <v>1200000.0</v>
      </c>
      <c r="O157" s="65">
        <v>0.0</v>
      </c>
      <c r="P157" s="48">
        <f t="array" ref="P157">IFNA(XLOOKUP(J157,'⚙️ Pengaturan'!$E$2:$E3237,'⚙️ Pengaturan'!$F$2:$F3237),"")</f>
        <v>1200000</v>
      </c>
      <c r="Q157" s="49">
        <f t="shared" si="4"/>
        <v>0</v>
      </c>
      <c r="R157" s="41" t="s">
        <v>32</v>
      </c>
      <c r="S157" s="69" t="s">
        <v>33</v>
      </c>
      <c r="T157" s="51" t="b">
        <v>1</v>
      </c>
      <c r="U157" s="94"/>
    </row>
    <row r="158" ht="30.0" customHeight="1">
      <c r="A158" s="39"/>
      <c r="B158" s="40">
        <v>2191.0</v>
      </c>
      <c r="C158" s="41" t="s">
        <v>50</v>
      </c>
      <c r="D158" s="86">
        <v>46029.0</v>
      </c>
      <c r="E158" s="43" t="str">
        <f t="shared" si="1"/>
        <v>2026</v>
      </c>
      <c r="F158" s="43" t="str">
        <f t="shared" si="2"/>
        <v>01 Jan</v>
      </c>
      <c r="G158" s="45" t="s">
        <v>155</v>
      </c>
      <c r="H158" s="45" t="s">
        <v>26</v>
      </c>
      <c r="I158" s="45" t="s">
        <v>438</v>
      </c>
      <c r="J158" s="41" t="s">
        <v>28</v>
      </c>
      <c r="K158" s="43" t="str">
        <f t="array" ref="K158">IF(J158="","", XLOOKUP(J158,'⚙️ Pengaturan'!$E$2:$E3237,'⚙️ Pengaturan'!$G$2:$G3237))</f>
        <v>KLINIK FT TA</v>
      </c>
      <c r="L158" s="43" t="str">
        <f t="shared" si="3"/>
        <v>BARU</v>
      </c>
      <c r="M158" s="41" t="s">
        <v>31</v>
      </c>
      <c r="N158" s="46">
        <v>250000.0</v>
      </c>
      <c r="O158" s="65">
        <v>0.0</v>
      </c>
      <c r="P158" s="48">
        <f t="array" ref="P158">IFNA(XLOOKUP(J158,'⚙️ Pengaturan'!$E$2:$E3237,'⚙️ Pengaturan'!$F$2:$F3237),"")</f>
        <v>250000</v>
      </c>
      <c r="Q158" s="49">
        <f t="shared" si="4"/>
        <v>0</v>
      </c>
      <c r="R158" s="41" t="s">
        <v>32</v>
      </c>
      <c r="S158" s="69" t="s">
        <v>33</v>
      </c>
      <c r="T158" s="51" t="b">
        <v>1</v>
      </c>
      <c r="U158" s="94"/>
    </row>
    <row r="159" ht="30.0" customHeight="1">
      <c r="A159" s="39"/>
      <c r="B159" s="40">
        <v>2192.0</v>
      </c>
      <c r="C159" s="41" t="s">
        <v>50</v>
      </c>
      <c r="D159" s="86">
        <v>46029.0</v>
      </c>
      <c r="E159" s="43" t="str">
        <f t="shared" si="1"/>
        <v>2026</v>
      </c>
      <c r="F159" s="43" t="str">
        <f t="shared" si="2"/>
        <v>01 Jan</v>
      </c>
      <c r="G159" s="45" t="s">
        <v>155</v>
      </c>
      <c r="H159" s="45" t="s">
        <v>166</v>
      </c>
      <c r="I159" s="45" t="s">
        <v>440</v>
      </c>
      <c r="J159" s="41" t="s">
        <v>56</v>
      </c>
      <c r="K159" s="43" t="str">
        <f t="array" ref="K159">IF(J159="","", XLOOKUP(J159,'⚙️ Pengaturan'!$E$2:$E3237,'⚙️ Pengaturan'!$G$2:$G3237))</f>
        <v>KLINIK FT PAKET</v>
      </c>
      <c r="L159" s="43" t="str">
        <f t="shared" si="3"/>
        <v>BARU</v>
      </c>
      <c r="M159" s="41" t="s">
        <v>60</v>
      </c>
      <c r="N159" s="46">
        <v>200000.0</v>
      </c>
      <c r="O159" s="65">
        <v>0.0</v>
      </c>
      <c r="P159" s="48">
        <f t="array" ref="P159">IFNA(XLOOKUP(J159,'⚙️ Pengaturan'!$E$2:$E3237,'⚙️ Pengaturan'!$F$2:$F3237),"")</f>
        <v>650000</v>
      </c>
      <c r="Q159" s="49">
        <f t="shared" si="4"/>
        <v>-450000</v>
      </c>
      <c r="R159" s="41" t="s">
        <v>32</v>
      </c>
      <c r="S159" s="69" t="s">
        <v>33</v>
      </c>
      <c r="T159" s="51" t="b">
        <v>1</v>
      </c>
      <c r="U159" s="94"/>
    </row>
    <row r="160" ht="30.0" customHeight="1">
      <c r="A160" s="39"/>
      <c r="B160" s="40">
        <v>2193.0</v>
      </c>
      <c r="C160" s="41" t="s">
        <v>79</v>
      </c>
      <c r="D160" s="86">
        <v>46030.0</v>
      </c>
      <c r="E160" s="43" t="str">
        <f t="shared" si="1"/>
        <v>2026</v>
      </c>
      <c r="F160" s="43" t="str">
        <f t="shared" si="2"/>
        <v>01 Jan</v>
      </c>
      <c r="G160" s="45" t="s">
        <v>25</v>
      </c>
      <c r="H160" s="45" t="s">
        <v>162</v>
      </c>
      <c r="I160" s="121" t="s">
        <v>442</v>
      </c>
      <c r="J160" s="41" t="s">
        <v>28</v>
      </c>
      <c r="K160" s="43" t="str">
        <f t="array" ref="K160">IF(J160="","", XLOOKUP(J160,'⚙️ Pengaturan'!$E$2:$E3237,'⚙️ Pengaturan'!$G$2:$G3237))</f>
        <v>KLINIK FT TA</v>
      </c>
      <c r="L160" s="43" t="str">
        <f t="shared" si="3"/>
        <v>BARU</v>
      </c>
      <c r="M160" s="41" t="s">
        <v>31</v>
      </c>
      <c r="N160" s="46">
        <v>250000.0</v>
      </c>
      <c r="O160" s="65">
        <v>0.0</v>
      </c>
      <c r="P160" s="48">
        <f t="array" ref="P160">IFNA(XLOOKUP(J160,'⚙️ Pengaturan'!$E$2:$E3237,'⚙️ Pengaturan'!$F$2:$F3237),"")</f>
        <v>250000</v>
      </c>
      <c r="Q160" s="49">
        <f t="shared" si="4"/>
        <v>0</v>
      </c>
      <c r="R160" s="41" t="s">
        <v>32</v>
      </c>
      <c r="S160" s="69" t="s">
        <v>33</v>
      </c>
      <c r="T160" s="51" t="b">
        <v>1</v>
      </c>
      <c r="U160" s="94"/>
    </row>
    <row r="161" ht="30.0" customHeight="1">
      <c r="A161" s="39"/>
      <c r="B161" s="40">
        <v>2194.0</v>
      </c>
      <c r="C161" s="41" t="s">
        <v>79</v>
      </c>
      <c r="D161" s="86">
        <v>46030.0</v>
      </c>
      <c r="E161" s="43" t="str">
        <f t="shared" si="1"/>
        <v>2026</v>
      </c>
      <c r="F161" s="43" t="str">
        <f t="shared" si="2"/>
        <v>01 Jan</v>
      </c>
      <c r="G161" s="45" t="s">
        <v>25</v>
      </c>
      <c r="H161" s="45" t="s">
        <v>166</v>
      </c>
      <c r="I161" s="45" t="s">
        <v>366</v>
      </c>
      <c r="J161" s="41" t="s">
        <v>56</v>
      </c>
      <c r="K161" s="43" t="str">
        <f t="array" ref="K161">IF(J161="","", XLOOKUP(J161,'⚙️ Pengaturan'!$E$2:$E3237,'⚙️ Pengaturan'!$G$2:$G3237))</f>
        <v>KLINIK FT PAKET</v>
      </c>
      <c r="L161" s="43" t="str">
        <f t="shared" si="3"/>
        <v>BARU</v>
      </c>
      <c r="M161" s="41" t="s">
        <v>31</v>
      </c>
      <c r="N161" s="46">
        <v>650000.0</v>
      </c>
      <c r="O161" s="65">
        <v>0.0</v>
      </c>
      <c r="P161" s="48">
        <f t="array" ref="P161">IFNA(XLOOKUP(J161,'⚙️ Pengaturan'!$E$2:$E3237,'⚙️ Pengaturan'!$F$2:$F3237),"")</f>
        <v>650000</v>
      </c>
      <c r="Q161" s="49">
        <f t="shared" si="4"/>
        <v>0</v>
      </c>
      <c r="R161" s="41" t="s">
        <v>37</v>
      </c>
      <c r="S161" s="69" t="s">
        <v>376</v>
      </c>
      <c r="T161" s="51" t="b">
        <v>1</v>
      </c>
      <c r="U161" s="94"/>
    </row>
    <row r="162" ht="30.0" customHeight="1">
      <c r="A162" s="39"/>
      <c r="B162" s="40">
        <v>2195.0</v>
      </c>
      <c r="C162" s="41" t="s">
        <v>79</v>
      </c>
      <c r="D162" s="86">
        <v>46030.0</v>
      </c>
      <c r="E162" s="43" t="str">
        <f t="shared" si="1"/>
        <v>2026</v>
      </c>
      <c r="F162" s="43" t="str">
        <f t="shared" si="2"/>
        <v>01 Jan</v>
      </c>
      <c r="G162" s="45" t="s">
        <v>25</v>
      </c>
      <c r="H162" s="45" t="s">
        <v>150</v>
      </c>
      <c r="I162" s="45" t="s">
        <v>446</v>
      </c>
      <c r="J162" s="41" t="s">
        <v>28</v>
      </c>
      <c r="K162" s="43" t="str">
        <f t="array" ref="K162">IF(J162="","", XLOOKUP(J162,'⚙️ Pengaturan'!$E$2:$E3237,'⚙️ Pengaturan'!$G$2:$G3237))</f>
        <v>KLINIK FT TA</v>
      </c>
      <c r="L162" s="43" t="str">
        <f t="shared" si="3"/>
        <v>BARU</v>
      </c>
      <c r="M162" s="41" t="s">
        <v>31</v>
      </c>
      <c r="N162" s="46">
        <v>250000.0</v>
      </c>
      <c r="O162" s="65">
        <v>0.0</v>
      </c>
      <c r="P162" s="48">
        <f t="array" ref="P162">IFNA(XLOOKUP(J162,'⚙️ Pengaturan'!$E$2:$E3237,'⚙️ Pengaturan'!$F$2:$F3237),"")</f>
        <v>250000</v>
      </c>
      <c r="Q162" s="49">
        <f t="shared" si="4"/>
        <v>0</v>
      </c>
      <c r="R162" s="41" t="s">
        <v>37</v>
      </c>
      <c r="S162" s="69" t="s">
        <v>447</v>
      </c>
      <c r="T162" s="51" t="b">
        <v>1</v>
      </c>
      <c r="U162" s="94"/>
    </row>
    <row r="163" ht="30.0" customHeight="1">
      <c r="A163" s="39"/>
      <c r="B163" s="40">
        <v>2196.0</v>
      </c>
      <c r="C163" s="41" t="s">
        <v>79</v>
      </c>
      <c r="D163" s="86">
        <v>46030.0</v>
      </c>
      <c r="E163" s="43" t="str">
        <f t="shared" si="1"/>
        <v>2026</v>
      </c>
      <c r="F163" s="43" t="str">
        <f t="shared" si="2"/>
        <v>01 Jan</v>
      </c>
      <c r="G163" s="45" t="s">
        <v>25</v>
      </c>
      <c r="H163" s="45" t="s">
        <v>150</v>
      </c>
      <c r="I163" s="45" t="s">
        <v>446</v>
      </c>
      <c r="J163" s="41" t="s">
        <v>56</v>
      </c>
      <c r="K163" s="43" t="str">
        <f t="array" ref="K163">IF(J163="","", XLOOKUP(J163,'⚙️ Pengaturan'!$E$2:$E3237,'⚙️ Pengaturan'!$G$2:$G3237))</f>
        <v>KLINIK FT PAKET</v>
      </c>
      <c r="L163" s="43" t="str">
        <f t="shared" si="3"/>
        <v>BARU</v>
      </c>
      <c r="M163" s="41" t="s">
        <v>31</v>
      </c>
      <c r="N163" s="46">
        <v>650000.0</v>
      </c>
      <c r="O163" s="65">
        <v>0.0</v>
      </c>
      <c r="P163" s="48">
        <f t="array" ref="P163">IFNA(XLOOKUP(J163,'⚙️ Pengaturan'!$E$2:$E3237,'⚙️ Pengaturan'!$F$2:$F3237),"")</f>
        <v>650000</v>
      </c>
      <c r="Q163" s="49">
        <f t="shared" si="4"/>
        <v>0</v>
      </c>
      <c r="R163" s="41" t="s">
        <v>37</v>
      </c>
      <c r="S163" s="69" t="s">
        <v>447</v>
      </c>
      <c r="T163" s="51" t="b">
        <v>1</v>
      </c>
      <c r="U163" s="94"/>
    </row>
    <row r="164" ht="30.0" customHeight="1">
      <c r="A164" s="39"/>
      <c r="B164" s="40">
        <v>2197.0</v>
      </c>
      <c r="C164" s="41" t="s">
        <v>50</v>
      </c>
      <c r="D164" s="86">
        <v>46030.0</v>
      </c>
      <c r="E164" s="43" t="str">
        <f t="shared" si="1"/>
        <v>2026</v>
      </c>
      <c r="F164" s="43" t="str">
        <f t="shared" si="2"/>
        <v>01 Jan</v>
      </c>
      <c r="G164" s="45" t="s">
        <v>43</v>
      </c>
      <c r="H164" s="45" t="s">
        <v>96</v>
      </c>
      <c r="I164" s="45" t="s">
        <v>449</v>
      </c>
      <c r="J164" s="41" t="s">
        <v>28</v>
      </c>
      <c r="K164" s="43" t="str">
        <f t="array" ref="K164">IF(J164="","", XLOOKUP(J164,'⚙️ Pengaturan'!$E$2:$E3237,'⚙️ Pengaturan'!$G$2:$G3237))</f>
        <v>KLINIK FT TA</v>
      </c>
      <c r="L164" s="43" t="str">
        <f t="shared" si="3"/>
        <v>BARU</v>
      </c>
      <c r="M164" s="41" t="s">
        <v>31</v>
      </c>
      <c r="N164" s="46">
        <v>250000.0</v>
      </c>
      <c r="O164" s="65">
        <v>0.0</v>
      </c>
      <c r="P164" s="48">
        <f t="array" ref="P164">IFNA(XLOOKUP(J164,'⚙️ Pengaturan'!$E$2:$E3237,'⚙️ Pengaturan'!$F$2:$F3237),"")</f>
        <v>250000</v>
      </c>
      <c r="Q164" s="49">
        <f t="shared" si="4"/>
        <v>0</v>
      </c>
      <c r="R164" s="41" t="s">
        <v>93</v>
      </c>
      <c r="S164" s="69" t="s">
        <v>91</v>
      </c>
      <c r="T164" s="51" t="b">
        <v>1</v>
      </c>
      <c r="U164" s="94"/>
    </row>
    <row r="165" ht="30.0" customHeight="1">
      <c r="A165" s="39"/>
      <c r="B165" s="40">
        <v>2198.0</v>
      </c>
      <c r="C165" s="41" t="s">
        <v>50</v>
      </c>
      <c r="D165" s="86">
        <v>46030.0</v>
      </c>
      <c r="E165" s="43" t="str">
        <f t="shared" si="1"/>
        <v>2026</v>
      </c>
      <c r="F165" s="43" t="str">
        <f t="shared" si="2"/>
        <v>01 Jan</v>
      </c>
      <c r="G165" s="45" t="s">
        <v>161</v>
      </c>
      <c r="H165" s="45" t="s">
        <v>166</v>
      </c>
      <c r="I165" s="45" t="s">
        <v>402</v>
      </c>
      <c r="J165" s="41" t="s">
        <v>180</v>
      </c>
      <c r="K165" s="43" t="str">
        <f t="array" ref="K165">IF(J165="","", XLOOKUP(J165,'⚙️ Pengaturan'!$E$2:$E3237,'⚙️ Pengaturan'!$G$2:$G3237))</f>
        <v>KLINIK FT SESI</v>
      </c>
      <c r="L165" s="43" t="str">
        <f t="shared" si="3"/>
        <v>BARU</v>
      </c>
      <c r="M165" s="41" t="s">
        <v>31</v>
      </c>
      <c r="N165" s="46">
        <v>150000.0</v>
      </c>
      <c r="O165" s="65">
        <v>0.0</v>
      </c>
      <c r="P165" s="119">
        <v>150000.0</v>
      </c>
      <c r="Q165" s="49">
        <f t="shared" si="4"/>
        <v>0</v>
      </c>
      <c r="R165" s="41" t="s">
        <v>32</v>
      </c>
      <c r="S165" s="69" t="s">
        <v>33</v>
      </c>
      <c r="T165" s="51" t="b">
        <v>1</v>
      </c>
      <c r="U165" s="94"/>
    </row>
    <row r="166" ht="30.0" customHeight="1">
      <c r="A166" s="39"/>
      <c r="B166" s="40">
        <v>2199.0</v>
      </c>
      <c r="C166" s="41" t="s">
        <v>50</v>
      </c>
      <c r="D166" s="86">
        <v>46031.0</v>
      </c>
      <c r="E166" s="43" t="str">
        <f t="shared" si="1"/>
        <v>2026</v>
      </c>
      <c r="F166" s="43" t="str">
        <f t="shared" si="2"/>
        <v>01 Jan</v>
      </c>
      <c r="G166" s="45" t="s">
        <v>25</v>
      </c>
      <c r="H166" s="45" t="s">
        <v>150</v>
      </c>
      <c r="I166" s="45" t="s">
        <v>411</v>
      </c>
      <c r="J166" s="41" t="s">
        <v>323</v>
      </c>
      <c r="K166" s="43" t="str">
        <f t="array" ref="K166">IF(J166="","", XLOOKUP(J166,'⚙️ Pengaturan'!$E$2:$E3237,'⚙️ Pengaturan'!$G$2:$G3237))</f>
        <v>VISIT FT SESI</v>
      </c>
      <c r="L166" s="43" t="str">
        <f t="shared" si="3"/>
        <v>LANJUTAN</v>
      </c>
      <c r="M166" s="41" t="s">
        <v>31</v>
      </c>
      <c r="N166" s="46">
        <v>200000.0</v>
      </c>
      <c r="O166" s="65">
        <v>0.0</v>
      </c>
      <c r="P166" s="48">
        <f t="array" ref="P166">IFNA(XLOOKUP(J166,'⚙️ Pengaturan'!$E$2:$E3237,'⚙️ Pengaturan'!$F$2:$F3237),"")</f>
        <v>200000</v>
      </c>
      <c r="Q166" s="49">
        <f t="shared" si="4"/>
        <v>0</v>
      </c>
      <c r="R166" s="41" t="s">
        <v>37</v>
      </c>
      <c r="S166" s="69" t="s">
        <v>411</v>
      </c>
      <c r="T166" s="51" t="b">
        <v>1</v>
      </c>
      <c r="U166" s="94"/>
    </row>
    <row r="167" ht="30.0" customHeight="1">
      <c r="A167" s="39"/>
      <c r="B167" s="40">
        <v>2200.0</v>
      </c>
      <c r="C167" s="41" t="s">
        <v>69</v>
      </c>
      <c r="D167" s="86">
        <v>46031.0</v>
      </c>
      <c r="E167" s="43" t="str">
        <f t="shared" si="1"/>
        <v>2026</v>
      </c>
      <c r="F167" s="43" t="str">
        <f t="shared" si="2"/>
        <v>01 Jan</v>
      </c>
      <c r="G167" s="45" t="s">
        <v>43</v>
      </c>
      <c r="H167" s="45" t="s">
        <v>156</v>
      </c>
      <c r="I167" s="45" t="s">
        <v>317</v>
      </c>
      <c r="J167" s="41" t="s">
        <v>180</v>
      </c>
      <c r="K167" s="43" t="str">
        <f t="array" ref="K167">IF(J167="","", XLOOKUP(J167,'⚙️ Pengaturan'!$E$2:$E3237,'⚙️ Pengaturan'!$G$2:$G3237))</f>
        <v>KLINIK FT SESI</v>
      </c>
      <c r="L167" s="43" t="str">
        <f t="shared" si="3"/>
        <v>BARU</v>
      </c>
      <c r="M167" s="41" t="s">
        <v>31</v>
      </c>
      <c r="N167" s="46">
        <v>150000.0</v>
      </c>
      <c r="O167" s="65">
        <v>0.0</v>
      </c>
      <c r="P167" s="48">
        <f t="array" ref="P167">IFNA(XLOOKUP(J167,'⚙️ Pengaturan'!$E$2:$E3237,'⚙️ Pengaturan'!$F$2:$F3237),"")</f>
        <v>150000</v>
      </c>
      <c r="Q167" s="49">
        <f t="shared" si="4"/>
        <v>0</v>
      </c>
      <c r="R167" s="41" t="s">
        <v>37</v>
      </c>
      <c r="S167" s="69" t="s">
        <v>317</v>
      </c>
      <c r="T167" s="51" t="b">
        <v>1</v>
      </c>
      <c r="U167" s="94"/>
    </row>
    <row r="168" ht="30.0" customHeight="1">
      <c r="A168" s="39"/>
      <c r="B168" s="40">
        <v>2201.0</v>
      </c>
      <c r="C168" s="41" t="s">
        <v>69</v>
      </c>
      <c r="D168" s="86">
        <v>46031.0</v>
      </c>
      <c r="E168" s="43" t="str">
        <f t="shared" si="1"/>
        <v>2026</v>
      </c>
      <c r="F168" s="43" t="str">
        <f t="shared" si="2"/>
        <v>01 Jan</v>
      </c>
      <c r="G168" s="45" t="s">
        <v>43</v>
      </c>
      <c r="H168" s="45" t="s">
        <v>149</v>
      </c>
      <c r="I168" s="45" t="s">
        <v>436</v>
      </c>
      <c r="J168" s="41" t="s">
        <v>180</v>
      </c>
      <c r="K168" s="43" t="str">
        <f t="array" ref="K168">IF(J168="","", XLOOKUP(J168,'⚙️ Pengaturan'!$E$2:$E3237,'⚙️ Pengaturan'!$G$2:$G3237))</f>
        <v>KLINIK FT SESI</v>
      </c>
      <c r="L168" s="43" t="str">
        <f t="shared" si="3"/>
        <v>LANJUTAN</v>
      </c>
      <c r="M168" s="41" t="s">
        <v>31</v>
      </c>
      <c r="N168" s="46">
        <v>150000.0</v>
      </c>
      <c r="O168" s="65">
        <v>0.0</v>
      </c>
      <c r="P168" s="48">
        <f t="array" ref="P168">IFNA(XLOOKUP(J168,'⚙️ Pengaturan'!$E$2:$E3237,'⚙️ Pengaturan'!$F$2:$F3237),"")</f>
        <v>150000</v>
      </c>
      <c r="Q168" s="49">
        <f t="shared" si="4"/>
        <v>0</v>
      </c>
      <c r="R168" s="41" t="s">
        <v>32</v>
      </c>
      <c r="S168" s="69" t="s">
        <v>33</v>
      </c>
      <c r="T168" s="51" t="b">
        <v>1</v>
      </c>
      <c r="U168" s="94"/>
    </row>
    <row r="169" ht="30.0" customHeight="1">
      <c r="A169" s="39"/>
      <c r="B169" s="40">
        <v>2202.0</v>
      </c>
      <c r="C169" s="41" t="s">
        <v>69</v>
      </c>
      <c r="D169" s="86">
        <v>46031.0</v>
      </c>
      <c r="E169" s="43" t="str">
        <f t="shared" si="1"/>
        <v>2026</v>
      </c>
      <c r="F169" s="43" t="str">
        <f t="shared" si="2"/>
        <v>01 Jan</v>
      </c>
      <c r="G169" s="45" t="s">
        <v>173</v>
      </c>
      <c r="H169" s="45" t="s">
        <v>149</v>
      </c>
      <c r="I169" s="45" t="s">
        <v>454</v>
      </c>
      <c r="J169" s="41" t="s">
        <v>28</v>
      </c>
      <c r="K169" s="43" t="str">
        <f t="array" ref="K169">IF(J169="","", XLOOKUP(J169,'⚙️ Pengaturan'!$E$2:$E3237,'⚙️ Pengaturan'!$G$2:$G3237))</f>
        <v>KLINIK FT TA</v>
      </c>
      <c r="L169" s="43" t="str">
        <f t="shared" si="3"/>
        <v>BARU</v>
      </c>
      <c r="M169" s="41" t="s">
        <v>31</v>
      </c>
      <c r="N169" s="46">
        <v>250000.0</v>
      </c>
      <c r="O169" s="65">
        <v>0.0</v>
      </c>
      <c r="P169" s="48">
        <f t="array" ref="P169">IFNA(XLOOKUP(J169,'⚙️ Pengaturan'!$E$2:$E3237,'⚙️ Pengaturan'!$F$2:$F3237),"")</f>
        <v>250000</v>
      </c>
      <c r="Q169" s="49">
        <f t="shared" si="4"/>
        <v>0</v>
      </c>
      <c r="R169" s="41" t="s">
        <v>32</v>
      </c>
      <c r="S169" s="69" t="s">
        <v>33</v>
      </c>
      <c r="T169" s="51" t="b">
        <v>1</v>
      </c>
      <c r="U169" s="94"/>
    </row>
    <row r="170" ht="30.0" customHeight="1">
      <c r="A170" s="39"/>
      <c r="B170" s="40">
        <v>2203.0</v>
      </c>
      <c r="C170" s="41" t="s">
        <v>69</v>
      </c>
      <c r="D170" s="86">
        <v>46031.0</v>
      </c>
      <c r="E170" s="43" t="str">
        <f t="shared" si="1"/>
        <v>2026</v>
      </c>
      <c r="F170" s="43" t="str">
        <f t="shared" si="2"/>
        <v>01 Jan</v>
      </c>
      <c r="G170" s="45" t="s">
        <v>155</v>
      </c>
      <c r="H170" s="45" t="s">
        <v>149</v>
      </c>
      <c r="I170" s="45" t="s">
        <v>438</v>
      </c>
      <c r="J170" s="41" t="s">
        <v>56</v>
      </c>
      <c r="K170" s="43" t="str">
        <f t="array" ref="K170">IF(J170="","", XLOOKUP(J170,'⚙️ Pengaturan'!$E$2:$E3237,'⚙️ Pengaturan'!$G$2:$G3237))</f>
        <v>KLINIK FT PAKET</v>
      </c>
      <c r="L170" s="43" t="str">
        <f t="shared" si="3"/>
        <v>BARU</v>
      </c>
      <c r="M170" s="41" t="s">
        <v>60</v>
      </c>
      <c r="N170" s="46">
        <v>200000.0</v>
      </c>
      <c r="O170" s="65">
        <v>0.0</v>
      </c>
      <c r="P170" s="48">
        <f t="array" ref="P170">IFNA(XLOOKUP(J170,'⚙️ Pengaturan'!$E$2:$E3237,'⚙️ Pengaturan'!$F$2:$F3237),"")</f>
        <v>650000</v>
      </c>
      <c r="Q170" s="49">
        <f t="shared" si="4"/>
        <v>-450000</v>
      </c>
      <c r="R170" s="41" t="s">
        <v>32</v>
      </c>
      <c r="S170" s="69" t="s">
        <v>33</v>
      </c>
      <c r="T170" s="51" t="b">
        <v>1</v>
      </c>
      <c r="U170" s="94"/>
    </row>
    <row r="171" ht="30.0" customHeight="1">
      <c r="A171" s="39"/>
      <c r="B171" s="40">
        <v>2204.0</v>
      </c>
      <c r="C171" s="41" t="s">
        <v>79</v>
      </c>
      <c r="D171" s="86">
        <v>46032.0</v>
      </c>
      <c r="E171" s="43" t="str">
        <f t="shared" si="1"/>
        <v>2026</v>
      </c>
      <c r="F171" s="43" t="str">
        <f t="shared" si="2"/>
        <v>01 Jan</v>
      </c>
      <c r="G171" s="45" t="s">
        <v>195</v>
      </c>
      <c r="H171" s="45" t="s">
        <v>149</v>
      </c>
      <c r="I171" s="45" t="s">
        <v>456</v>
      </c>
      <c r="J171" s="41" t="s">
        <v>28</v>
      </c>
      <c r="K171" s="43" t="str">
        <f t="array" ref="K171">IF(J171="","", XLOOKUP(J171,'⚙️ Pengaturan'!$E$2:$E3237,'⚙️ Pengaturan'!$G$2:$G3237))</f>
        <v>KLINIK FT TA</v>
      </c>
      <c r="L171" s="43" t="str">
        <f t="shared" si="3"/>
        <v>BARU</v>
      </c>
      <c r="M171" s="41" t="s">
        <v>31</v>
      </c>
      <c r="N171" s="46">
        <v>250000.0</v>
      </c>
      <c r="O171" s="65">
        <v>0.0</v>
      </c>
      <c r="P171" s="48">
        <f t="array" ref="P171">IFNA(XLOOKUP(J171,'⚙️ Pengaturan'!$E$2:$E3237,'⚙️ Pengaturan'!$F$2:$F3237),"")</f>
        <v>250000</v>
      </c>
      <c r="Q171" s="49">
        <f t="shared" si="4"/>
        <v>0</v>
      </c>
      <c r="R171" s="41" t="s">
        <v>37</v>
      </c>
      <c r="S171" s="69" t="s">
        <v>456</v>
      </c>
      <c r="T171" s="51" t="b">
        <v>1</v>
      </c>
      <c r="U171" s="94"/>
    </row>
    <row r="172" ht="30.0" customHeight="1">
      <c r="A172" s="39"/>
      <c r="B172" s="40">
        <v>2205.0</v>
      </c>
      <c r="C172" s="41" t="s">
        <v>79</v>
      </c>
      <c r="D172" s="86">
        <v>46032.0</v>
      </c>
      <c r="E172" s="43" t="str">
        <f t="shared" si="1"/>
        <v>2026</v>
      </c>
      <c r="F172" s="43" t="str">
        <f t="shared" si="2"/>
        <v>01 Jan</v>
      </c>
      <c r="G172" s="45" t="s">
        <v>25</v>
      </c>
      <c r="H172" s="45" t="s">
        <v>96</v>
      </c>
      <c r="I172" s="45" t="s">
        <v>413</v>
      </c>
      <c r="J172" s="41" t="s">
        <v>180</v>
      </c>
      <c r="K172" s="43" t="str">
        <f t="array" ref="K172">IF(J172="","", XLOOKUP(J172,'⚙️ Pengaturan'!$E$2:$E3237,'⚙️ Pengaturan'!$G$2:$G3237))</f>
        <v>KLINIK FT SESI</v>
      </c>
      <c r="L172" s="43" t="str">
        <f t="shared" si="3"/>
        <v>BARU</v>
      </c>
      <c r="M172" s="41" t="s">
        <v>31</v>
      </c>
      <c r="N172" s="46">
        <v>150000.0</v>
      </c>
      <c r="O172" s="65">
        <v>0.0</v>
      </c>
      <c r="P172" s="48">
        <f t="array" ref="P172">IFNA(XLOOKUP(J172,'⚙️ Pengaturan'!$E$2:$E3237,'⚙️ Pengaturan'!$F$2:$F3237),"")</f>
        <v>150000</v>
      </c>
      <c r="Q172" s="49">
        <f t="shared" si="4"/>
        <v>0</v>
      </c>
      <c r="R172" s="41" t="s">
        <v>37</v>
      </c>
      <c r="S172" s="69" t="s">
        <v>413</v>
      </c>
      <c r="T172" s="51" t="b">
        <v>1</v>
      </c>
      <c r="U172" s="94"/>
    </row>
    <row r="173" ht="30.0" customHeight="1">
      <c r="A173" s="39"/>
      <c r="B173" s="40">
        <v>2206.0</v>
      </c>
      <c r="C173" s="41" t="s">
        <v>79</v>
      </c>
      <c r="D173" s="86">
        <v>46032.0</v>
      </c>
      <c r="E173" s="43" t="str">
        <f t="shared" si="1"/>
        <v>2026</v>
      </c>
      <c r="F173" s="43" t="str">
        <f t="shared" si="2"/>
        <v>01 Jan</v>
      </c>
      <c r="G173" s="45" t="s">
        <v>195</v>
      </c>
      <c r="H173" s="45" t="s">
        <v>103</v>
      </c>
      <c r="I173" s="45" t="s">
        <v>125</v>
      </c>
      <c r="J173" s="41" t="s">
        <v>92</v>
      </c>
      <c r="K173" s="43" t="str">
        <f t="array" ref="K173">IF(J173="","", XLOOKUP(J173,'⚙️ Pengaturan'!$E$2:$E3237,'⚙️ Pengaturan'!$G$2:$G3237))</f>
        <v>KLINIK FT PAKET</v>
      </c>
      <c r="L173" s="43" t="str">
        <f t="shared" si="3"/>
        <v>LANJUTAN</v>
      </c>
      <c r="M173" s="41" t="s">
        <v>164</v>
      </c>
      <c r="N173" s="46">
        <v>600000.0</v>
      </c>
      <c r="O173" s="65">
        <v>600000.0</v>
      </c>
      <c r="P173" s="48">
        <f t="array" ref="P173">IFNA(XLOOKUP(J173,'⚙️ Pengaturan'!$E$2:$E3237,'⚙️ Pengaturan'!$F$2:$F3237),"")</f>
        <v>1200000</v>
      </c>
      <c r="Q173" s="49">
        <f t="shared" si="4"/>
        <v>0</v>
      </c>
      <c r="R173" s="41" t="s">
        <v>32</v>
      </c>
      <c r="S173" s="69" t="s">
        <v>33</v>
      </c>
      <c r="T173" s="51" t="b">
        <v>1</v>
      </c>
      <c r="U173" s="94"/>
    </row>
    <row r="174" ht="30.0" customHeight="1">
      <c r="A174" s="39"/>
      <c r="B174" s="40">
        <v>2207.0</v>
      </c>
      <c r="C174" s="41" t="s">
        <v>79</v>
      </c>
      <c r="D174" s="86">
        <v>46032.0</v>
      </c>
      <c r="E174" s="43" t="str">
        <f t="shared" si="1"/>
        <v>2026</v>
      </c>
      <c r="F174" s="43" t="str">
        <f t="shared" si="2"/>
        <v>01 Jan</v>
      </c>
      <c r="G174" s="45" t="s">
        <v>206</v>
      </c>
      <c r="H174" s="45" t="s">
        <v>149</v>
      </c>
      <c r="I174" s="45" t="s">
        <v>458</v>
      </c>
      <c r="J174" s="41" t="s">
        <v>28</v>
      </c>
      <c r="K174" s="43" t="str">
        <f t="array" ref="K174">IF(J174="","", XLOOKUP(J174,'⚙️ Pengaturan'!$E$2:$E3237,'⚙️ Pengaturan'!$G$2:$G3237))</f>
        <v>KLINIK FT TA</v>
      </c>
      <c r="L174" s="43" t="str">
        <f t="shared" si="3"/>
        <v>BARU</v>
      </c>
      <c r="M174" s="41" t="s">
        <v>31</v>
      </c>
      <c r="N174" s="46">
        <v>250000.0</v>
      </c>
      <c r="O174" s="65">
        <v>0.0</v>
      </c>
      <c r="P174" s="48">
        <f t="array" ref="P174">IFNA(XLOOKUP(J174,'⚙️ Pengaturan'!$E$2:$E3237,'⚙️ Pengaturan'!$F$2:$F3237),"")</f>
        <v>250000</v>
      </c>
      <c r="Q174" s="49">
        <f t="shared" si="4"/>
        <v>0</v>
      </c>
      <c r="R174" s="41" t="s">
        <v>32</v>
      </c>
      <c r="S174" s="69" t="s">
        <v>33</v>
      </c>
      <c r="T174" s="51" t="b">
        <v>1</v>
      </c>
      <c r="U174" s="94"/>
    </row>
    <row r="175" ht="30.0" customHeight="1">
      <c r="A175" s="39"/>
      <c r="B175" s="40">
        <v>2208.0</v>
      </c>
      <c r="C175" s="41" t="s">
        <v>79</v>
      </c>
      <c r="D175" s="86">
        <v>46032.0</v>
      </c>
      <c r="E175" s="43" t="str">
        <f t="shared" si="1"/>
        <v>2026</v>
      </c>
      <c r="F175" s="43" t="str">
        <f t="shared" si="2"/>
        <v>01 Jan</v>
      </c>
      <c r="G175" s="45" t="s">
        <v>206</v>
      </c>
      <c r="H175" s="45" t="s">
        <v>47</v>
      </c>
      <c r="I175" s="45" t="s">
        <v>460</v>
      </c>
      <c r="J175" s="41" t="s">
        <v>28</v>
      </c>
      <c r="K175" s="43" t="str">
        <f t="array" ref="K175">IF(J175="","", XLOOKUP(J175,'⚙️ Pengaturan'!$E$2:$E3237,'⚙️ Pengaturan'!$G$2:$G3237))</f>
        <v>KLINIK FT TA</v>
      </c>
      <c r="L175" s="43" t="str">
        <f t="shared" si="3"/>
        <v>BARU</v>
      </c>
      <c r="M175" s="41" t="s">
        <v>31</v>
      </c>
      <c r="N175" s="46">
        <v>250000.0</v>
      </c>
      <c r="O175" s="65">
        <v>0.0</v>
      </c>
      <c r="P175" s="48">
        <f t="array" ref="P175">IFNA(XLOOKUP(J175,'⚙️ Pengaturan'!$E$2:$E3237,'⚙️ Pengaturan'!$F$2:$F3237),"")</f>
        <v>250000</v>
      </c>
      <c r="Q175" s="49">
        <f t="shared" si="4"/>
        <v>0</v>
      </c>
      <c r="R175" s="41" t="s">
        <v>93</v>
      </c>
      <c r="S175" s="69" t="s">
        <v>461</v>
      </c>
      <c r="T175" s="51" t="b">
        <v>1</v>
      </c>
      <c r="U175" s="94"/>
    </row>
    <row r="176" ht="30.0" customHeight="1">
      <c r="A176" s="39"/>
      <c r="B176" s="40">
        <v>2209.0</v>
      </c>
      <c r="C176" s="41" t="s">
        <v>79</v>
      </c>
      <c r="D176" s="86">
        <v>46032.0</v>
      </c>
      <c r="E176" s="43" t="str">
        <f t="shared" si="1"/>
        <v>2026</v>
      </c>
      <c r="F176" s="43" t="str">
        <f t="shared" si="2"/>
        <v>01 Jan</v>
      </c>
      <c r="G176" s="45" t="s">
        <v>206</v>
      </c>
      <c r="H176" s="45" t="s">
        <v>47</v>
      </c>
      <c r="I176" s="45" t="s">
        <v>460</v>
      </c>
      <c r="J176" s="41" t="s">
        <v>92</v>
      </c>
      <c r="K176" s="43" t="str">
        <f t="array" ref="K176">IF(J176="","", XLOOKUP(J176,'⚙️ Pengaturan'!$E$2:$E3237,'⚙️ Pengaturan'!$G$2:$G3237))</f>
        <v>KLINIK FT PAKET</v>
      </c>
      <c r="L176" s="43" t="str">
        <f t="shared" si="3"/>
        <v>BARU</v>
      </c>
      <c r="M176" s="41" t="s">
        <v>31</v>
      </c>
      <c r="N176" s="46">
        <v>1200000.0</v>
      </c>
      <c r="O176" s="65">
        <v>0.0</v>
      </c>
      <c r="P176" s="48">
        <f t="array" ref="P176">IFNA(XLOOKUP(J176,'⚙️ Pengaturan'!$E$2:$E3237,'⚙️ Pengaturan'!$F$2:$F3237),"")</f>
        <v>1200000</v>
      </c>
      <c r="Q176" s="49">
        <f t="shared" si="4"/>
        <v>0</v>
      </c>
      <c r="R176" s="41" t="s">
        <v>93</v>
      </c>
      <c r="S176" s="69" t="s">
        <v>461</v>
      </c>
      <c r="T176" s="51" t="b">
        <v>1</v>
      </c>
      <c r="U176" s="94"/>
    </row>
    <row r="177" ht="30.0" customHeight="1">
      <c r="A177" s="39"/>
      <c r="B177" s="40">
        <v>2210.0</v>
      </c>
      <c r="C177" s="41" t="s">
        <v>79</v>
      </c>
      <c r="D177" s="86">
        <v>46032.0</v>
      </c>
      <c r="E177" s="43" t="str">
        <f t="shared" si="1"/>
        <v>2026</v>
      </c>
      <c r="F177" s="43" t="str">
        <f t="shared" si="2"/>
        <v>01 Jan</v>
      </c>
      <c r="G177" s="45" t="s">
        <v>206</v>
      </c>
      <c r="H177" s="45" t="s">
        <v>96</v>
      </c>
      <c r="I177" s="45" t="s">
        <v>464</v>
      </c>
      <c r="J177" s="41" t="s">
        <v>28</v>
      </c>
      <c r="K177" s="43" t="str">
        <f t="array" ref="K177">IF(J177="","", XLOOKUP(J177,'⚙️ Pengaturan'!$E$2:$E3237,'⚙️ Pengaturan'!$G$2:$G3237))</f>
        <v>KLINIK FT TA</v>
      </c>
      <c r="L177" s="43" t="str">
        <f t="shared" si="3"/>
        <v>BARU</v>
      </c>
      <c r="M177" s="41" t="s">
        <v>31</v>
      </c>
      <c r="N177" s="46">
        <v>250000.0</v>
      </c>
      <c r="O177" s="65">
        <v>0.0</v>
      </c>
      <c r="P177" s="48">
        <f t="array" ref="P177">IFNA(XLOOKUP(J177,'⚙️ Pengaturan'!$E$2:$E3237,'⚙️ Pengaturan'!$F$2:$F3237),"")</f>
        <v>250000</v>
      </c>
      <c r="Q177" s="49">
        <f t="shared" si="4"/>
        <v>0</v>
      </c>
      <c r="R177" s="41" t="s">
        <v>93</v>
      </c>
      <c r="S177" s="69" t="s">
        <v>464</v>
      </c>
      <c r="T177" s="51" t="b">
        <v>1</v>
      </c>
      <c r="U177" s="94"/>
    </row>
    <row r="178" ht="30.0" customHeight="1">
      <c r="A178" s="39"/>
      <c r="B178" s="40">
        <v>2211.0</v>
      </c>
      <c r="C178" s="41" t="s">
        <v>79</v>
      </c>
      <c r="D178" s="86">
        <v>46032.0</v>
      </c>
      <c r="E178" s="43" t="str">
        <f t="shared" si="1"/>
        <v>2026</v>
      </c>
      <c r="F178" s="43" t="str">
        <f t="shared" si="2"/>
        <v>01 Jan</v>
      </c>
      <c r="G178" s="45" t="s">
        <v>161</v>
      </c>
      <c r="H178" s="45" t="s">
        <v>162</v>
      </c>
      <c r="I178" s="45" t="s">
        <v>163</v>
      </c>
      <c r="J178" s="41" t="s">
        <v>56</v>
      </c>
      <c r="K178" s="43" t="str">
        <f t="array" ref="K178">IF(J178="","", XLOOKUP(J178,'⚙️ Pengaturan'!$E$2:$E3237,'⚙️ Pengaturan'!$G$2:$G3237))</f>
        <v>KLINIK FT PAKET</v>
      </c>
      <c r="L178" s="43" t="str">
        <f t="shared" si="3"/>
        <v>LANJUTAN</v>
      </c>
      <c r="M178" s="41" t="s">
        <v>164</v>
      </c>
      <c r="N178" s="46">
        <v>450000.0</v>
      </c>
      <c r="O178" s="65">
        <v>200000.0</v>
      </c>
      <c r="P178" s="48">
        <v>650000.0</v>
      </c>
      <c r="Q178" s="49">
        <v>0.0</v>
      </c>
      <c r="R178" s="41" t="s">
        <v>32</v>
      </c>
      <c r="S178" s="69" t="s">
        <v>33</v>
      </c>
      <c r="T178" s="51" t="b">
        <v>1</v>
      </c>
      <c r="U178" s="94"/>
    </row>
    <row r="179" ht="30.0" customHeight="1">
      <c r="A179" s="39"/>
      <c r="B179" s="40">
        <v>2212.0</v>
      </c>
      <c r="C179" s="41" t="s">
        <v>79</v>
      </c>
      <c r="D179" s="86">
        <v>46032.0</v>
      </c>
      <c r="E179" s="43" t="str">
        <f t="shared" si="1"/>
        <v>2026</v>
      </c>
      <c r="F179" s="43" t="str">
        <f t="shared" si="2"/>
        <v>01 Jan</v>
      </c>
      <c r="G179" s="45" t="s">
        <v>35</v>
      </c>
      <c r="H179" s="45" t="s">
        <v>149</v>
      </c>
      <c r="I179" s="45" t="s">
        <v>449</v>
      </c>
      <c r="J179" s="41" t="s">
        <v>56</v>
      </c>
      <c r="K179" s="43" t="str">
        <f t="array" ref="K179">IF(J179="","", XLOOKUP(J179,'⚙️ Pengaturan'!$E$2:$E3237,'⚙️ Pengaturan'!$G$2:$G3237))</f>
        <v>KLINIK FT PAKET</v>
      </c>
      <c r="L179" s="43" t="str">
        <f t="shared" si="3"/>
        <v>BARU</v>
      </c>
      <c r="M179" s="41" t="s">
        <v>60</v>
      </c>
      <c r="N179" s="46">
        <v>200000.0</v>
      </c>
      <c r="O179" s="65">
        <v>0.0</v>
      </c>
      <c r="P179" s="48">
        <f t="array" ref="P179">IFNA(XLOOKUP(J179,'⚙️ Pengaturan'!$E$2:$E3237,'⚙️ Pengaturan'!$F$2:$F3237),"")</f>
        <v>650000</v>
      </c>
      <c r="Q179" s="49">
        <f t="shared" ref="Q179:Q501" si="5">IF(I179="","",(N179+O179)-P179)</f>
        <v>-450000</v>
      </c>
      <c r="R179" s="41" t="s">
        <v>93</v>
      </c>
      <c r="S179" s="69" t="s">
        <v>91</v>
      </c>
      <c r="T179" s="51" t="b">
        <v>1</v>
      </c>
      <c r="U179" s="94"/>
    </row>
    <row r="180" ht="30.0" customHeight="1">
      <c r="A180" s="39"/>
      <c r="B180" s="40">
        <v>2213.0</v>
      </c>
      <c r="C180" s="41" t="s">
        <v>79</v>
      </c>
      <c r="D180" s="86">
        <v>46032.0</v>
      </c>
      <c r="E180" s="43" t="str">
        <f t="shared" si="1"/>
        <v>2026</v>
      </c>
      <c r="F180" s="43" t="str">
        <f t="shared" si="2"/>
        <v>01 Jan</v>
      </c>
      <c r="G180" s="45" t="s">
        <v>35</v>
      </c>
      <c r="H180" s="45" t="s">
        <v>47</v>
      </c>
      <c r="I180" s="45" t="s">
        <v>420</v>
      </c>
      <c r="J180" s="41" t="s">
        <v>180</v>
      </c>
      <c r="K180" s="43" t="str">
        <f t="array" ref="K180">IF(J180="","", XLOOKUP(J180,'⚙️ Pengaturan'!$E$2:$E3237,'⚙️ Pengaturan'!$G$2:$G3237))</f>
        <v>KLINIK FT SESI</v>
      </c>
      <c r="L180" s="43" t="str">
        <f t="shared" si="3"/>
        <v>BARU</v>
      </c>
      <c r="M180" s="41" t="s">
        <v>31</v>
      </c>
      <c r="N180" s="46">
        <v>150000.0</v>
      </c>
      <c r="O180" s="65">
        <v>0.0</v>
      </c>
      <c r="P180" s="48">
        <f t="array" ref="P180">IFNA(XLOOKUP(J180,'⚙️ Pengaturan'!$E$2:$E3237,'⚙️ Pengaturan'!$F$2:$F3237),"")</f>
        <v>150000</v>
      </c>
      <c r="Q180" s="49">
        <f t="shared" si="5"/>
        <v>0</v>
      </c>
      <c r="R180" s="41" t="s">
        <v>32</v>
      </c>
      <c r="S180" s="69" t="s">
        <v>33</v>
      </c>
      <c r="T180" s="51" t="b">
        <v>1</v>
      </c>
      <c r="U180" s="94"/>
    </row>
    <row r="181" ht="30.0" customHeight="1">
      <c r="A181" s="39"/>
      <c r="B181" s="40">
        <v>2214.0</v>
      </c>
      <c r="C181" s="41" t="s">
        <v>79</v>
      </c>
      <c r="D181" s="86">
        <v>46032.0</v>
      </c>
      <c r="E181" s="43" t="str">
        <f t="shared" si="1"/>
        <v>2026</v>
      </c>
      <c r="F181" s="43" t="str">
        <f t="shared" si="2"/>
        <v>01 Jan</v>
      </c>
      <c r="G181" s="45" t="s">
        <v>35</v>
      </c>
      <c r="H181" s="45" t="s">
        <v>26</v>
      </c>
      <c r="I181" s="45" t="s">
        <v>470</v>
      </c>
      <c r="J181" s="41" t="s">
        <v>92</v>
      </c>
      <c r="K181" s="43" t="str">
        <f t="array" ref="K181">IF(J181="","", XLOOKUP(J181,'⚙️ Pengaturan'!$E$2:$E3237,'⚙️ Pengaturan'!$G$2:$G3237))</f>
        <v>KLINIK FT PAKET</v>
      </c>
      <c r="L181" s="43" t="str">
        <f t="shared" si="3"/>
        <v>BARU</v>
      </c>
      <c r="M181" s="41" t="s">
        <v>31</v>
      </c>
      <c r="N181" s="46">
        <v>1200000.0</v>
      </c>
      <c r="O181" s="65">
        <v>0.0</v>
      </c>
      <c r="P181" s="48">
        <f t="array" ref="P181">IFNA(XLOOKUP(J181,'⚙️ Pengaturan'!$E$2:$E3237,'⚙️ Pengaturan'!$F$2:$F3237),"")</f>
        <v>1200000</v>
      </c>
      <c r="Q181" s="49">
        <f t="shared" si="5"/>
        <v>0</v>
      </c>
      <c r="R181" s="41" t="s">
        <v>93</v>
      </c>
      <c r="S181" s="69" t="s">
        <v>470</v>
      </c>
      <c r="T181" s="51" t="b">
        <v>1</v>
      </c>
      <c r="U181" s="94"/>
    </row>
    <row r="182" ht="30.0" customHeight="1">
      <c r="A182" s="39"/>
      <c r="B182" s="40">
        <v>2215.0</v>
      </c>
      <c r="C182" s="41" t="s">
        <v>79</v>
      </c>
      <c r="D182" s="86">
        <v>46032.0</v>
      </c>
      <c r="E182" s="43" t="str">
        <f t="shared" si="1"/>
        <v>2026</v>
      </c>
      <c r="F182" s="43" t="str">
        <f t="shared" si="2"/>
        <v>01 Jan</v>
      </c>
      <c r="G182" s="45" t="s">
        <v>35</v>
      </c>
      <c r="H182" s="45" t="s">
        <v>162</v>
      </c>
      <c r="I182" s="45" t="s">
        <v>179</v>
      </c>
      <c r="J182" s="41" t="s">
        <v>180</v>
      </c>
      <c r="K182" s="43" t="str">
        <f t="array" ref="K182">IF(J182="","", XLOOKUP(J182,'⚙️ Pengaturan'!$E$2:$E3237,'⚙️ Pengaturan'!$G$2:$G3237))</f>
        <v>KLINIK FT SESI</v>
      </c>
      <c r="L182" s="43" t="str">
        <f t="shared" si="3"/>
        <v>LANJUTAN</v>
      </c>
      <c r="M182" s="41" t="s">
        <v>31</v>
      </c>
      <c r="N182" s="46">
        <v>150000.0</v>
      </c>
      <c r="O182" s="65">
        <v>0.0</v>
      </c>
      <c r="P182" s="48">
        <f t="array" ref="P182">IFNA(XLOOKUP(J182,'⚙️ Pengaturan'!$E$2:$E3237,'⚙️ Pengaturan'!$F$2:$F3237),"")</f>
        <v>150000</v>
      </c>
      <c r="Q182" s="49">
        <f t="shared" si="5"/>
        <v>0</v>
      </c>
      <c r="R182" s="41" t="s">
        <v>32</v>
      </c>
      <c r="S182" s="69" t="s">
        <v>33</v>
      </c>
      <c r="T182" s="51" t="b">
        <v>1</v>
      </c>
      <c r="U182" s="94"/>
    </row>
    <row r="183" ht="30.0" customHeight="1">
      <c r="A183" s="39"/>
      <c r="B183" s="40">
        <v>2216.0</v>
      </c>
      <c r="C183" s="41" t="s">
        <v>50</v>
      </c>
      <c r="D183" s="86">
        <v>46032.0</v>
      </c>
      <c r="E183" s="43" t="str">
        <f t="shared" si="1"/>
        <v>2026</v>
      </c>
      <c r="F183" s="43" t="str">
        <f t="shared" si="2"/>
        <v>01 Jan</v>
      </c>
      <c r="G183" s="45" t="s">
        <v>43</v>
      </c>
      <c r="H183" s="45" t="s">
        <v>166</v>
      </c>
      <c r="I183" s="45" t="s">
        <v>200</v>
      </c>
      <c r="J183" s="41" t="s">
        <v>180</v>
      </c>
      <c r="K183" s="43" t="str">
        <f t="array" ref="K183">IF(J183="","", XLOOKUP(J183,'⚙️ Pengaturan'!$E$2:$E3237,'⚙️ Pengaturan'!$G$2:$G3237))</f>
        <v>KLINIK FT SESI</v>
      </c>
      <c r="L183" s="43" t="str">
        <f t="shared" si="3"/>
        <v>LANJUTAN</v>
      </c>
      <c r="M183" s="41" t="s">
        <v>31</v>
      </c>
      <c r="N183" s="46">
        <v>150000.0</v>
      </c>
      <c r="O183" s="65">
        <v>0.0</v>
      </c>
      <c r="P183" s="48">
        <f t="array" ref="P183">IFNA(XLOOKUP(J183,'⚙️ Pengaturan'!$E$2:$E3237,'⚙️ Pengaturan'!$F$2:$F3237),"")</f>
        <v>150000</v>
      </c>
      <c r="Q183" s="49">
        <f t="shared" si="5"/>
        <v>0</v>
      </c>
      <c r="R183" s="41" t="s">
        <v>32</v>
      </c>
      <c r="S183" s="69" t="s">
        <v>33</v>
      </c>
      <c r="T183" s="51" t="b">
        <v>1</v>
      </c>
      <c r="U183" s="94"/>
    </row>
    <row r="184" ht="30.0" customHeight="1">
      <c r="A184" s="39"/>
      <c r="B184" s="40">
        <v>2217.0</v>
      </c>
      <c r="C184" s="41" t="s">
        <v>50</v>
      </c>
      <c r="D184" s="86">
        <v>46032.0</v>
      </c>
      <c r="E184" s="43" t="str">
        <f t="shared" si="1"/>
        <v>2026</v>
      </c>
      <c r="F184" s="43" t="str">
        <f t="shared" si="2"/>
        <v>01 Jan</v>
      </c>
      <c r="G184" s="45" t="s">
        <v>43</v>
      </c>
      <c r="H184" s="45" t="s">
        <v>150</v>
      </c>
      <c r="I184" s="45" t="s">
        <v>397</v>
      </c>
      <c r="J184" s="41" t="s">
        <v>180</v>
      </c>
      <c r="K184" s="43" t="str">
        <f t="array" ref="K184">IF(J184="","", XLOOKUP(J184,'⚙️ Pengaturan'!$E$2:$E3237,'⚙️ Pengaturan'!$G$2:$G3237))</f>
        <v>KLINIK FT SESI</v>
      </c>
      <c r="L184" s="43" t="str">
        <f t="shared" si="3"/>
        <v>BARU</v>
      </c>
      <c r="M184" s="41" t="s">
        <v>31</v>
      </c>
      <c r="N184" s="46">
        <v>150000.0</v>
      </c>
      <c r="O184" s="65">
        <v>0.0</v>
      </c>
      <c r="P184" s="48">
        <f t="array" ref="P184">IFNA(XLOOKUP(J184,'⚙️ Pengaturan'!$E$2:$E3237,'⚙️ Pengaturan'!$F$2:$F3237),"")</f>
        <v>150000</v>
      </c>
      <c r="Q184" s="49">
        <f t="shared" si="5"/>
        <v>0</v>
      </c>
      <c r="R184" s="41" t="s">
        <v>32</v>
      </c>
      <c r="S184" s="69" t="s">
        <v>33</v>
      </c>
      <c r="T184" s="51" t="b">
        <v>1</v>
      </c>
      <c r="U184" s="94"/>
    </row>
    <row r="185" ht="30.0" customHeight="1">
      <c r="A185" s="39"/>
      <c r="B185" s="40">
        <v>2218.0</v>
      </c>
      <c r="C185" s="41" t="s">
        <v>50</v>
      </c>
      <c r="D185" s="86">
        <v>46032.0</v>
      </c>
      <c r="E185" s="43" t="str">
        <f t="shared" si="1"/>
        <v>2026</v>
      </c>
      <c r="F185" s="43" t="str">
        <f t="shared" si="2"/>
        <v>01 Jan</v>
      </c>
      <c r="G185" s="45" t="s">
        <v>173</v>
      </c>
      <c r="H185" s="45" t="s">
        <v>76</v>
      </c>
      <c r="I185" s="45" t="s">
        <v>472</v>
      </c>
      <c r="J185" s="41" t="s">
        <v>28</v>
      </c>
      <c r="K185" s="43" t="str">
        <f t="array" ref="K185">IF(J185="","", XLOOKUP(J185,'⚙️ Pengaturan'!$E$2:$E3237,'⚙️ Pengaturan'!$G$2:$G3237))</f>
        <v>KLINIK FT TA</v>
      </c>
      <c r="L185" s="43" t="str">
        <f t="shared" si="3"/>
        <v>BARU</v>
      </c>
      <c r="M185" s="41" t="s">
        <v>31</v>
      </c>
      <c r="N185" s="46">
        <v>250000.0</v>
      </c>
      <c r="O185" s="65">
        <v>0.0</v>
      </c>
      <c r="P185" s="48">
        <f t="array" ref="P185">IFNA(XLOOKUP(J185,'⚙️ Pengaturan'!$E$2:$E3237,'⚙️ Pengaturan'!$F$2:$F3237),"")</f>
        <v>250000</v>
      </c>
      <c r="Q185" s="49">
        <f t="shared" si="5"/>
        <v>0</v>
      </c>
      <c r="R185" s="41" t="s">
        <v>32</v>
      </c>
      <c r="S185" s="69" t="s">
        <v>33</v>
      </c>
      <c r="T185" s="51" t="b">
        <v>1</v>
      </c>
      <c r="U185" s="94"/>
    </row>
    <row r="186" ht="30.0" customHeight="1">
      <c r="A186" s="39"/>
      <c r="B186" s="40">
        <v>2219.0</v>
      </c>
      <c r="C186" s="41" t="s">
        <v>50</v>
      </c>
      <c r="D186" s="86">
        <v>46032.0</v>
      </c>
      <c r="E186" s="43" t="str">
        <f t="shared" si="1"/>
        <v>2026</v>
      </c>
      <c r="F186" s="43" t="str">
        <f t="shared" si="2"/>
        <v>01 Jan</v>
      </c>
      <c r="G186" s="45" t="s">
        <v>173</v>
      </c>
      <c r="H186" s="45" t="s">
        <v>26</v>
      </c>
      <c r="I186" s="45" t="s">
        <v>429</v>
      </c>
      <c r="J186" s="41" t="s">
        <v>56</v>
      </c>
      <c r="K186" s="43" t="str">
        <f t="array" ref="K186">IF(J186="","", XLOOKUP(J186,'⚙️ Pengaturan'!$E$2:$E3237,'⚙️ Pengaturan'!$G$2:$G3237))</f>
        <v>KLINIK FT PAKET</v>
      </c>
      <c r="L186" s="43" t="str">
        <f t="shared" si="3"/>
        <v>BARU</v>
      </c>
      <c r="M186" s="41" t="s">
        <v>31</v>
      </c>
      <c r="N186" s="46">
        <v>650000.0</v>
      </c>
      <c r="O186" s="65">
        <v>0.0</v>
      </c>
      <c r="P186" s="48">
        <f t="array" ref="P186">IFNA(XLOOKUP(J186,'⚙️ Pengaturan'!$E$2:$E3237,'⚙️ Pengaturan'!$F$2:$F3237),"")</f>
        <v>650000</v>
      </c>
      <c r="Q186" s="49">
        <f t="shared" si="5"/>
        <v>0</v>
      </c>
      <c r="R186" s="41" t="s">
        <v>37</v>
      </c>
      <c r="S186" s="69" t="s">
        <v>429</v>
      </c>
      <c r="T186" s="51" t="b">
        <v>1</v>
      </c>
      <c r="U186" s="94"/>
    </row>
    <row r="187" ht="30.0" customHeight="1">
      <c r="A187" s="39"/>
      <c r="B187" s="40">
        <v>2220.0</v>
      </c>
      <c r="C187" s="41" t="s">
        <v>50</v>
      </c>
      <c r="D187" s="86">
        <v>46032.0</v>
      </c>
      <c r="E187" s="43" t="str">
        <f t="shared" si="1"/>
        <v>2026</v>
      </c>
      <c r="F187" s="43" t="str">
        <f t="shared" si="2"/>
        <v>01 Jan</v>
      </c>
      <c r="G187" s="45" t="s">
        <v>173</v>
      </c>
      <c r="H187" s="45" t="s">
        <v>166</v>
      </c>
      <c r="I187" s="45" t="s">
        <v>308</v>
      </c>
      <c r="J187" s="41" t="s">
        <v>180</v>
      </c>
      <c r="K187" s="43" t="str">
        <f t="array" ref="K187">IF(J187="","", XLOOKUP(J187,'⚙️ Pengaturan'!$E$2:$E3237,'⚙️ Pengaturan'!$G$2:$G3237))</f>
        <v>KLINIK FT SESI</v>
      </c>
      <c r="L187" s="43" t="str">
        <f t="shared" si="3"/>
        <v>LANJUTAN</v>
      </c>
      <c r="M187" s="41" t="s">
        <v>31</v>
      </c>
      <c r="N187" s="46">
        <v>150000.0</v>
      </c>
      <c r="O187" s="65">
        <v>0.0</v>
      </c>
      <c r="P187" s="48">
        <f t="array" ref="P187">IFNA(XLOOKUP(J187,'⚙️ Pengaturan'!$E$2:$E3237,'⚙️ Pengaturan'!$F$2:$F3237),"")</f>
        <v>150000</v>
      </c>
      <c r="Q187" s="49">
        <f t="shared" si="5"/>
        <v>0</v>
      </c>
      <c r="R187" s="41" t="s">
        <v>37</v>
      </c>
      <c r="S187" s="69" t="s">
        <v>308</v>
      </c>
      <c r="T187" s="51" t="b">
        <v>1</v>
      </c>
      <c r="U187" s="94"/>
    </row>
    <row r="188" ht="30.0" customHeight="1">
      <c r="A188" s="39"/>
      <c r="B188" s="40">
        <v>2221.0</v>
      </c>
      <c r="C188" s="41" t="s">
        <v>50</v>
      </c>
      <c r="D188" s="86">
        <v>46032.0</v>
      </c>
      <c r="E188" s="43" t="str">
        <f t="shared" si="1"/>
        <v>2026</v>
      </c>
      <c r="F188" s="43" t="str">
        <f t="shared" si="2"/>
        <v>01 Jan</v>
      </c>
      <c r="G188" s="45" t="s">
        <v>46</v>
      </c>
      <c r="H188" s="45" t="s">
        <v>26</v>
      </c>
      <c r="I188" s="45" t="s">
        <v>279</v>
      </c>
      <c r="J188" s="41" t="s">
        <v>92</v>
      </c>
      <c r="K188" s="43" t="str">
        <f t="array" ref="K188">IF(J188="","", XLOOKUP(J188,'⚙️ Pengaturan'!$E$2:$E3237,'⚙️ Pengaturan'!$G$2:$G3237))</f>
        <v>KLINIK FT PAKET</v>
      </c>
      <c r="L188" s="43" t="str">
        <f t="shared" si="3"/>
        <v>LANJUTAN</v>
      </c>
      <c r="M188" s="41" t="s">
        <v>164</v>
      </c>
      <c r="N188" s="46">
        <v>700000.0</v>
      </c>
      <c r="O188" s="65">
        <v>500000.0</v>
      </c>
      <c r="P188" s="48">
        <f t="array" ref="P188">IFNA(XLOOKUP(J188,'⚙️ Pengaturan'!$E$2:$E3237,'⚙️ Pengaturan'!$F$2:$F3237),"")</f>
        <v>1200000</v>
      </c>
      <c r="Q188" s="49">
        <f t="shared" si="5"/>
        <v>0</v>
      </c>
      <c r="R188" s="41" t="s">
        <v>32</v>
      </c>
      <c r="S188" s="69" t="s">
        <v>33</v>
      </c>
      <c r="T188" s="51" t="b">
        <v>1</v>
      </c>
      <c r="U188" s="94"/>
    </row>
    <row r="189" ht="30.0" customHeight="1">
      <c r="A189" s="39"/>
      <c r="B189" s="40">
        <v>2222.0</v>
      </c>
      <c r="C189" s="41" t="s">
        <v>50</v>
      </c>
      <c r="D189" s="86">
        <v>46032.0</v>
      </c>
      <c r="E189" s="43" t="str">
        <f t="shared" si="1"/>
        <v>2026</v>
      </c>
      <c r="F189" s="43" t="str">
        <f t="shared" si="2"/>
        <v>01 Jan</v>
      </c>
      <c r="G189" s="45" t="s">
        <v>195</v>
      </c>
      <c r="H189" s="45" t="s">
        <v>162</v>
      </c>
      <c r="I189" s="45" t="s">
        <v>427</v>
      </c>
      <c r="J189" s="41" t="s">
        <v>180</v>
      </c>
      <c r="K189" s="43" t="str">
        <f t="array" ref="K189">IF(J189="","", XLOOKUP(J189,'⚙️ Pengaturan'!$E$2:$E3237,'⚙️ Pengaturan'!$G$2:$G3237))</f>
        <v>KLINIK FT SESI</v>
      </c>
      <c r="L189" s="43" t="str">
        <f t="shared" si="3"/>
        <v>BARU</v>
      </c>
      <c r="M189" s="41" t="s">
        <v>31</v>
      </c>
      <c r="N189" s="46">
        <v>150000.0</v>
      </c>
      <c r="O189" s="65">
        <v>0.0</v>
      </c>
      <c r="P189" s="48">
        <f t="array" ref="P189">IFNA(XLOOKUP(J189,'⚙️ Pengaturan'!$E$2:$E3237,'⚙️ Pengaturan'!$F$2:$F3237),"")</f>
        <v>150000</v>
      </c>
      <c r="Q189" s="49">
        <f t="shared" si="5"/>
        <v>0</v>
      </c>
      <c r="R189" s="41" t="s">
        <v>93</v>
      </c>
      <c r="S189" s="69" t="s">
        <v>427</v>
      </c>
      <c r="T189" s="51" t="b">
        <v>1</v>
      </c>
      <c r="U189" s="94"/>
    </row>
    <row r="190" ht="30.0" customHeight="1">
      <c r="A190" s="39"/>
      <c r="B190" s="40">
        <v>2223.0</v>
      </c>
      <c r="C190" s="41" t="s">
        <v>50</v>
      </c>
      <c r="D190" s="86">
        <v>46032.0</v>
      </c>
      <c r="E190" s="43" t="str">
        <f t="shared" si="1"/>
        <v>2026</v>
      </c>
      <c r="F190" s="43" t="str">
        <f t="shared" si="2"/>
        <v>01 Jan</v>
      </c>
      <c r="G190" s="45" t="s">
        <v>155</v>
      </c>
      <c r="H190" s="45" t="s">
        <v>166</v>
      </c>
      <c r="I190" s="45" t="s">
        <v>277</v>
      </c>
      <c r="J190" s="41" t="s">
        <v>56</v>
      </c>
      <c r="K190" s="43" t="str">
        <f t="array" ref="K190">IF(J190="","", XLOOKUP(J190,'⚙️ Pengaturan'!$E$2:$E3237,'⚙️ Pengaturan'!$G$2:$G3237))</f>
        <v>KLINIK FT PAKET</v>
      </c>
      <c r="L190" s="43" t="str">
        <f t="shared" si="3"/>
        <v>LANJUTAN</v>
      </c>
      <c r="M190" s="41" t="s">
        <v>164</v>
      </c>
      <c r="N190" s="46">
        <v>450000.0</v>
      </c>
      <c r="O190" s="65">
        <v>200000.0</v>
      </c>
      <c r="P190" s="48">
        <f t="array" ref="P190">IFNA(XLOOKUP(J190,'⚙️ Pengaturan'!$E$2:$E3237,'⚙️ Pengaturan'!$F$2:$F3237),"")</f>
        <v>650000</v>
      </c>
      <c r="Q190" s="49">
        <f t="shared" si="5"/>
        <v>0</v>
      </c>
      <c r="R190" s="41" t="s">
        <v>32</v>
      </c>
      <c r="S190" s="69" t="s">
        <v>33</v>
      </c>
      <c r="T190" s="51" t="b">
        <v>1</v>
      </c>
      <c r="U190" s="94"/>
    </row>
    <row r="191" ht="30.0" customHeight="1">
      <c r="A191" s="39"/>
      <c r="B191" s="40">
        <v>2224.0</v>
      </c>
      <c r="C191" s="41" t="s">
        <v>50</v>
      </c>
      <c r="D191" s="86">
        <v>46032.0</v>
      </c>
      <c r="E191" s="43" t="str">
        <f t="shared" si="1"/>
        <v>2026</v>
      </c>
      <c r="F191" s="43" t="str">
        <f t="shared" si="2"/>
        <v>01 Jan</v>
      </c>
      <c r="G191" s="45" t="s">
        <v>190</v>
      </c>
      <c r="H191" s="45" t="s">
        <v>76</v>
      </c>
      <c r="I191" s="45" t="s">
        <v>477</v>
      </c>
      <c r="J191" s="41" t="s">
        <v>28</v>
      </c>
      <c r="K191" s="43" t="str">
        <f t="array" ref="K191">IF(J191="","", XLOOKUP(J191,'⚙️ Pengaturan'!$E$2:$E3237,'⚙️ Pengaturan'!$G$2:$G3237))</f>
        <v>KLINIK FT TA</v>
      </c>
      <c r="L191" s="43" t="str">
        <f t="shared" si="3"/>
        <v>BARU</v>
      </c>
      <c r="M191" s="41" t="s">
        <v>31</v>
      </c>
      <c r="N191" s="46">
        <v>250000.0</v>
      </c>
      <c r="O191" s="65">
        <v>0.0</v>
      </c>
      <c r="P191" s="48">
        <f t="array" ref="P191">IFNA(XLOOKUP(J191,'⚙️ Pengaturan'!$E$2:$E3237,'⚙️ Pengaturan'!$F$2:$F3237),"")</f>
        <v>250000</v>
      </c>
      <c r="Q191" s="49">
        <f t="shared" si="5"/>
        <v>0</v>
      </c>
      <c r="R191" s="41" t="s">
        <v>37</v>
      </c>
      <c r="S191" s="69" t="s">
        <v>477</v>
      </c>
      <c r="T191" s="51" t="b">
        <v>1</v>
      </c>
      <c r="U191" s="94"/>
    </row>
    <row r="192" ht="30.0" customHeight="1">
      <c r="A192" s="39"/>
      <c r="B192" s="40">
        <v>2225.0</v>
      </c>
      <c r="C192" s="41" t="s">
        <v>50</v>
      </c>
      <c r="D192" s="86">
        <v>46032.0</v>
      </c>
      <c r="E192" s="43" t="str">
        <f t="shared" si="1"/>
        <v>2026</v>
      </c>
      <c r="F192" s="43" t="str">
        <f t="shared" si="2"/>
        <v>01 Jan</v>
      </c>
      <c r="G192" s="45" t="s">
        <v>190</v>
      </c>
      <c r="H192" s="45" t="s">
        <v>26</v>
      </c>
      <c r="I192" s="45" t="s">
        <v>478</v>
      </c>
      <c r="J192" s="41" t="s">
        <v>28</v>
      </c>
      <c r="K192" s="43" t="str">
        <f t="array" ref="K192">IF(J192="","", XLOOKUP(J192,'⚙️ Pengaturan'!$E$2:$E3237,'⚙️ Pengaturan'!$G$2:$G3237))</f>
        <v>KLINIK FT TA</v>
      </c>
      <c r="L192" s="43" t="str">
        <f t="shared" si="3"/>
        <v>BARU</v>
      </c>
      <c r="M192" s="41" t="s">
        <v>31</v>
      </c>
      <c r="N192" s="46">
        <v>250000.0</v>
      </c>
      <c r="O192" s="65">
        <v>0.0</v>
      </c>
      <c r="P192" s="48">
        <f t="array" ref="P192">IFNA(XLOOKUP(J192,'⚙️ Pengaturan'!$E$2:$E3237,'⚙️ Pengaturan'!$F$2:$F3237),"")</f>
        <v>250000</v>
      </c>
      <c r="Q192" s="49">
        <f t="shared" si="5"/>
        <v>0</v>
      </c>
      <c r="R192" s="41" t="s">
        <v>37</v>
      </c>
      <c r="S192" s="69" t="s">
        <v>478</v>
      </c>
      <c r="T192" s="51" t="b">
        <v>1</v>
      </c>
      <c r="U192" s="94"/>
    </row>
    <row r="193" ht="30.0" customHeight="1">
      <c r="A193" s="39"/>
      <c r="B193" s="40">
        <v>2226.0</v>
      </c>
      <c r="C193" s="41" t="s">
        <v>79</v>
      </c>
      <c r="D193" s="86">
        <v>46033.0</v>
      </c>
      <c r="E193" s="43" t="str">
        <f t="shared" si="1"/>
        <v>2026</v>
      </c>
      <c r="F193" s="43" t="str">
        <f t="shared" si="2"/>
        <v>01 Jan</v>
      </c>
      <c r="G193" s="45" t="s">
        <v>195</v>
      </c>
      <c r="H193" s="45" t="s">
        <v>76</v>
      </c>
      <c r="I193" s="45" t="s">
        <v>433</v>
      </c>
      <c r="J193" s="41" t="s">
        <v>56</v>
      </c>
      <c r="K193" s="43" t="str">
        <f t="array" ref="K193">IF(J193="","", XLOOKUP(J193,'⚙️ Pengaturan'!$E$2:$E3237,'⚙️ Pengaturan'!$G$2:$G3237))</f>
        <v>KLINIK FT PAKET</v>
      </c>
      <c r="L193" s="43" t="str">
        <f t="shared" si="3"/>
        <v>BARU</v>
      </c>
      <c r="M193" s="41" t="s">
        <v>31</v>
      </c>
      <c r="N193" s="46">
        <v>650000.0</v>
      </c>
      <c r="O193" s="65">
        <v>0.0</v>
      </c>
      <c r="P193" s="48">
        <f t="array" ref="P193">IFNA(XLOOKUP(J193,'⚙️ Pengaturan'!$E$2:$E3237,'⚙️ Pengaturan'!$F$2:$F3237),"")</f>
        <v>650000</v>
      </c>
      <c r="Q193" s="49">
        <f t="shared" si="5"/>
        <v>0</v>
      </c>
      <c r="R193" s="41" t="s">
        <v>32</v>
      </c>
      <c r="S193" s="69" t="s">
        <v>33</v>
      </c>
      <c r="T193" s="51" t="b">
        <v>1</v>
      </c>
      <c r="U193" s="94"/>
    </row>
    <row r="194" ht="30.0" customHeight="1">
      <c r="A194" s="39"/>
      <c r="B194" s="40">
        <v>2227.0</v>
      </c>
      <c r="C194" s="41" t="s">
        <v>79</v>
      </c>
      <c r="D194" s="86">
        <v>46033.0</v>
      </c>
      <c r="E194" s="43" t="str">
        <f t="shared" si="1"/>
        <v>2026</v>
      </c>
      <c r="F194" s="43" t="str">
        <f t="shared" si="2"/>
        <v>01 Jan</v>
      </c>
      <c r="G194" s="45" t="s">
        <v>195</v>
      </c>
      <c r="H194" s="45" t="s">
        <v>103</v>
      </c>
      <c r="I194" s="45" t="s">
        <v>482</v>
      </c>
      <c r="J194" s="41" t="s">
        <v>28</v>
      </c>
      <c r="K194" s="43" t="str">
        <f t="array" ref="K194">IF(J194="","", XLOOKUP(J194,'⚙️ Pengaturan'!$E$2:$E3237,'⚙️ Pengaturan'!$G$2:$G3237))</f>
        <v>KLINIK FT TA</v>
      </c>
      <c r="L194" s="43" t="str">
        <f t="shared" si="3"/>
        <v>BARU</v>
      </c>
      <c r="M194" s="41" t="s">
        <v>31</v>
      </c>
      <c r="N194" s="46">
        <v>250000.0</v>
      </c>
      <c r="O194" s="65">
        <v>0.0</v>
      </c>
      <c r="P194" s="48">
        <f t="array" ref="P194">IFNA(XLOOKUP(J194,'⚙️ Pengaturan'!$E$2:$E3237,'⚙️ Pengaturan'!$F$2:$F3237),"")</f>
        <v>250000</v>
      </c>
      <c r="Q194" s="49">
        <f t="shared" si="5"/>
        <v>0</v>
      </c>
      <c r="R194" s="41" t="s">
        <v>32</v>
      </c>
      <c r="S194" s="69" t="s">
        <v>33</v>
      </c>
      <c r="T194" s="51" t="b">
        <v>1</v>
      </c>
      <c r="U194" s="94"/>
    </row>
    <row r="195" ht="30.0" customHeight="1">
      <c r="A195" s="39"/>
      <c r="B195" s="40">
        <v>2228.0</v>
      </c>
      <c r="C195" s="41" t="s">
        <v>79</v>
      </c>
      <c r="D195" s="86">
        <v>46033.0</v>
      </c>
      <c r="E195" s="43" t="str">
        <f t="shared" si="1"/>
        <v>2026</v>
      </c>
      <c r="F195" s="43" t="str">
        <f t="shared" si="2"/>
        <v>01 Jan</v>
      </c>
      <c r="G195" s="45" t="s">
        <v>195</v>
      </c>
      <c r="H195" s="45" t="s">
        <v>47</v>
      </c>
      <c r="I195" s="45" t="s">
        <v>483</v>
      </c>
      <c r="J195" s="41" t="s">
        <v>28</v>
      </c>
      <c r="K195" s="43" t="str">
        <f t="array" ref="K195">IF(J195="","", XLOOKUP(J195,'⚙️ Pengaturan'!$E$2:$E3237,'⚙️ Pengaturan'!$G$2:$G3237))</f>
        <v>KLINIK FT TA</v>
      </c>
      <c r="L195" s="43" t="str">
        <f t="shared" si="3"/>
        <v>BARU</v>
      </c>
      <c r="M195" s="41" t="s">
        <v>31</v>
      </c>
      <c r="N195" s="46">
        <v>250000.0</v>
      </c>
      <c r="O195" s="65">
        <v>0.0</v>
      </c>
      <c r="P195" s="48">
        <f t="array" ref="P195">IFNA(XLOOKUP(J195,'⚙️ Pengaturan'!$E$2:$E3237,'⚙️ Pengaturan'!$F$2:$F3237),"")</f>
        <v>250000</v>
      </c>
      <c r="Q195" s="49">
        <f t="shared" si="5"/>
        <v>0</v>
      </c>
      <c r="R195" s="41" t="s">
        <v>32</v>
      </c>
      <c r="S195" s="69" t="s">
        <v>33</v>
      </c>
      <c r="T195" s="51" t="b">
        <v>1</v>
      </c>
      <c r="U195" s="94"/>
    </row>
    <row r="196" ht="30.0" customHeight="1">
      <c r="A196" s="39"/>
      <c r="B196" s="40">
        <v>2229.0</v>
      </c>
      <c r="C196" s="41" t="s">
        <v>79</v>
      </c>
      <c r="D196" s="86">
        <v>46033.0</v>
      </c>
      <c r="E196" s="43" t="str">
        <f t="shared" si="1"/>
        <v>2026</v>
      </c>
      <c r="F196" s="43" t="str">
        <f t="shared" si="2"/>
        <v>01 Jan</v>
      </c>
      <c r="G196" s="45" t="s">
        <v>206</v>
      </c>
      <c r="H196" s="45" t="s">
        <v>96</v>
      </c>
      <c r="I196" s="45" t="s">
        <v>484</v>
      </c>
      <c r="J196" s="41" t="s">
        <v>28</v>
      </c>
      <c r="K196" s="43" t="str">
        <f t="array" ref="K196">IF(J196="","", XLOOKUP(J196,'⚙️ Pengaturan'!$E$2:$E3237,'⚙️ Pengaturan'!$G$2:$G3237))</f>
        <v>KLINIK FT TA</v>
      </c>
      <c r="L196" s="43" t="str">
        <f t="shared" si="3"/>
        <v>BARU</v>
      </c>
      <c r="M196" s="41" t="s">
        <v>60</v>
      </c>
      <c r="N196" s="46">
        <v>100000.0</v>
      </c>
      <c r="O196" s="65">
        <v>0.0</v>
      </c>
      <c r="P196" s="48">
        <f t="array" ref="P196">IFNA(XLOOKUP(J196,'⚙️ Pengaturan'!$E$2:$E3237,'⚙️ Pengaturan'!$F$2:$F3237),"")</f>
        <v>250000</v>
      </c>
      <c r="Q196" s="49">
        <f t="shared" si="5"/>
        <v>-150000</v>
      </c>
      <c r="R196" s="41" t="s">
        <v>32</v>
      </c>
      <c r="S196" s="69" t="s">
        <v>33</v>
      </c>
      <c r="T196" s="51" t="b">
        <v>1</v>
      </c>
      <c r="U196" s="94"/>
    </row>
    <row r="197" ht="30.0" customHeight="1">
      <c r="A197" s="39"/>
      <c r="B197" s="40">
        <v>2230.0</v>
      </c>
      <c r="C197" s="41" t="s">
        <v>79</v>
      </c>
      <c r="D197" s="86">
        <v>46033.0</v>
      </c>
      <c r="E197" s="43" t="str">
        <f t="shared" si="1"/>
        <v>2026</v>
      </c>
      <c r="F197" s="43" t="str">
        <f t="shared" si="2"/>
        <v>01 Jan</v>
      </c>
      <c r="G197" s="45" t="s">
        <v>206</v>
      </c>
      <c r="H197" s="45" t="s">
        <v>96</v>
      </c>
      <c r="I197" s="45" t="s">
        <v>484</v>
      </c>
      <c r="J197" s="41" t="s">
        <v>28</v>
      </c>
      <c r="K197" s="43" t="str">
        <f t="array" ref="K197">IF(J197="","", XLOOKUP(J197,'⚙️ Pengaturan'!$E$2:$E3237,'⚙️ Pengaturan'!$G$2:$G3237))</f>
        <v>KLINIK FT TA</v>
      </c>
      <c r="L197" s="43" t="str">
        <f t="shared" si="3"/>
        <v>LANJUTAN</v>
      </c>
      <c r="M197" s="41" t="s">
        <v>164</v>
      </c>
      <c r="N197" s="46">
        <v>150000.0</v>
      </c>
      <c r="O197" s="65">
        <v>100000.0</v>
      </c>
      <c r="P197" s="48">
        <f t="array" ref="P197">IFNA(XLOOKUP(J197,'⚙️ Pengaturan'!$E$2:$E3237,'⚙️ Pengaturan'!$F$2:$F3237),"")</f>
        <v>250000</v>
      </c>
      <c r="Q197" s="49">
        <f t="shared" si="5"/>
        <v>0</v>
      </c>
      <c r="R197" s="41" t="s">
        <v>37</v>
      </c>
      <c r="S197" s="69" t="s">
        <v>484</v>
      </c>
      <c r="T197" s="51" t="b">
        <v>1</v>
      </c>
      <c r="U197" s="94"/>
    </row>
    <row r="198" ht="30.0" customHeight="1">
      <c r="A198" s="39"/>
      <c r="B198" s="40">
        <v>2231.0</v>
      </c>
      <c r="C198" s="41" t="s">
        <v>79</v>
      </c>
      <c r="D198" s="86">
        <v>46033.0</v>
      </c>
      <c r="E198" s="43" t="str">
        <f t="shared" si="1"/>
        <v>2026</v>
      </c>
      <c r="F198" s="43" t="str">
        <f t="shared" si="2"/>
        <v>01 Jan</v>
      </c>
      <c r="G198" s="45" t="s">
        <v>206</v>
      </c>
      <c r="H198" s="45" t="s">
        <v>47</v>
      </c>
      <c r="I198" s="45" t="s">
        <v>255</v>
      </c>
      <c r="J198" s="41" t="s">
        <v>180</v>
      </c>
      <c r="K198" s="43" t="str">
        <f t="array" ref="K198">IF(J198="","", XLOOKUP(J198,'⚙️ Pengaturan'!$E$2:$E3237,'⚙️ Pengaturan'!$G$2:$G3237))</f>
        <v>KLINIK FT SESI</v>
      </c>
      <c r="L198" s="43" t="str">
        <f t="shared" si="3"/>
        <v>LANJUTAN</v>
      </c>
      <c r="M198" s="41" t="s">
        <v>31</v>
      </c>
      <c r="N198" s="46">
        <v>150000.0</v>
      </c>
      <c r="O198" s="65">
        <v>0.0</v>
      </c>
      <c r="P198" s="48">
        <f t="array" ref="P198">IFNA(XLOOKUP(J198,'⚙️ Pengaturan'!$E$2:$E3237,'⚙️ Pengaturan'!$F$2:$F3237),"")</f>
        <v>150000</v>
      </c>
      <c r="Q198" s="49">
        <f t="shared" si="5"/>
        <v>0</v>
      </c>
      <c r="R198" s="41" t="s">
        <v>37</v>
      </c>
      <c r="S198" s="69" t="s">
        <v>255</v>
      </c>
      <c r="T198" s="51" t="b">
        <v>1</v>
      </c>
      <c r="U198" s="94"/>
    </row>
    <row r="199" ht="30.0" customHeight="1">
      <c r="A199" s="39"/>
      <c r="B199" s="40">
        <v>2232.0</v>
      </c>
      <c r="C199" s="41" t="s">
        <v>50</v>
      </c>
      <c r="D199" s="86">
        <v>46033.0</v>
      </c>
      <c r="E199" s="43" t="str">
        <f t="shared" si="1"/>
        <v>2026</v>
      </c>
      <c r="F199" s="43" t="str">
        <f t="shared" si="2"/>
        <v>01 Jan</v>
      </c>
      <c r="G199" s="45" t="s">
        <v>35</v>
      </c>
      <c r="H199" s="45" t="s">
        <v>47</v>
      </c>
      <c r="I199" s="45" t="s">
        <v>193</v>
      </c>
      <c r="J199" s="41" t="s">
        <v>56</v>
      </c>
      <c r="K199" s="43" t="str">
        <f t="array" ref="K199">IF(J199="","", XLOOKUP(J199,'⚙️ Pengaturan'!$E$2:$E3237,'⚙️ Pengaturan'!$G$2:$G3237))</f>
        <v>KLINIK FT PAKET</v>
      </c>
      <c r="L199" s="43" t="str">
        <f t="shared" si="3"/>
        <v>LANJUTAN</v>
      </c>
      <c r="M199" s="41" t="s">
        <v>31</v>
      </c>
      <c r="N199" s="46">
        <v>650000.0</v>
      </c>
      <c r="O199" s="65">
        <v>0.0</v>
      </c>
      <c r="P199" s="48">
        <f t="array" ref="P199">IFNA(XLOOKUP(J199,'⚙️ Pengaturan'!$E$2:$E3237,'⚙️ Pengaturan'!$F$2:$F3237),"")</f>
        <v>650000</v>
      </c>
      <c r="Q199" s="49">
        <f t="shared" si="5"/>
        <v>0</v>
      </c>
      <c r="R199" s="41" t="s">
        <v>37</v>
      </c>
      <c r="S199" s="69" t="s">
        <v>193</v>
      </c>
      <c r="T199" s="51" t="b">
        <v>1</v>
      </c>
      <c r="U199" s="94"/>
    </row>
    <row r="200" ht="30.0" customHeight="1">
      <c r="A200" s="39"/>
      <c r="B200" s="40">
        <v>2233.0</v>
      </c>
      <c r="C200" s="41" t="s">
        <v>50</v>
      </c>
      <c r="D200" s="86">
        <v>46033.0</v>
      </c>
      <c r="E200" s="43" t="str">
        <f t="shared" si="1"/>
        <v>2026</v>
      </c>
      <c r="F200" s="43" t="str">
        <f t="shared" si="2"/>
        <v>01 Jan</v>
      </c>
      <c r="G200" s="45" t="s">
        <v>40</v>
      </c>
      <c r="H200" s="45" t="s">
        <v>166</v>
      </c>
      <c r="I200" s="45" t="s">
        <v>494</v>
      </c>
      <c r="J200" s="41" t="s">
        <v>92</v>
      </c>
      <c r="K200" s="43" t="str">
        <f t="array" ref="K200">IF(J200="","", XLOOKUP(J200,'⚙️ Pengaturan'!$E$2:$E3237,'⚙️ Pengaturan'!$G$2:$G3237))</f>
        <v>KLINIK FT PAKET</v>
      </c>
      <c r="L200" s="43" t="str">
        <f t="shared" si="3"/>
        <v>BARU</v>
      </c>
      <c r="M200" s="41" t="s">
        <v>60</v>
      </c>
      <c r="N200" s="46">
        <v>500000.0</v>
      </c>
      <c r="O200" s="65">
        <v>0.0</v>
      </c>
      <c r="P200" s="48">
        <f t="array" ref="P200">IFNA(XLOOKUP(J200,'⚙️ Pengaturan'!$E$2:$E3237,'⚙️ Pengaturan'!$F$2:$F3237),"")</f>
        <v>1200000</v>
      </c>
      <c r="Q200" s="49">
        <f t="shared" si="5"/>
        <v>-700000</v>
      </c>
      <c r="R200" s="41" t="s">
        <v>32</v>
      </c>
      <c r="S200" s="69" t="s">
        <v>33</v>
      </c>
      <c r="T200" s="51" t="b">
        <v>1</v>
      </c>
      <c r="U200" s="94"/>
    </row>
    <row r="201" ht="30.0" customHeight="1">
      <c r="A201" s="39"/>
      <c r="B201" s="40">
        <v>2234.0</v>
      </c>
      <c r="C201" s="41" t="s">
        <v>50</v>
      </c>
      <c r="D201" s="86">
        <v>46033.0</v>
      </c>
      <c r="E201" s="43" t="str">
        <f t="shared" si="1"/>
        <v>2026</v>
      </c>
      <c r="F201" s="43" t="str">
        <f t="shared" si="2"/>
        <v>01 Jan</v>
      </c>
      <c r="G201" s="45" t="s">
        <v>43</v>
      </c>
      <c r="H201" s="45" t="s">
        <v>150</v>
      </c>
      <c r="I201" s="45" t="s">
        <v>495</v>
      </c>
      <c r="J201" s="41" t="s">
        <v>180</v>
      </c>
      <c r="K201" s="43" t="str">
        <f t="array" ref="K201">IF(J201="","", XLOOKUP(J201,'⚙️ Pengaturan'!$E$2:$E3237,'⚙️ Pengaturan'!$G$2:$G3237))</f>
        <v>KLINIK FT SESI</v>
      </c>
      <c r="L201" s="43" t="str">
        <f t="shared" si="3"/>
        <v>BARU</v>
      </c>
      <c r="M201" s="41" t="s">
        <v>31</v>
      </c>
      <c r="N201" s="46">
        <v>150000.0</v>
      </c>
      <c r="O201" s="65">
        <v>0.0</v>
      </c>
      <c r="P201" s="48">
        <f t="array" ref="P201">IFNA(XLOOKUP(J201,'⚙️ Pengaturan'!$E$2:$E3237,'⚙️ Pengaturan'!$F$2:$F3237),"")</f>
        <v>150000</v>
      </c>
      <c r="Q201" s="49">
        <f t="shared" si="5"/>
        <v>0</v>
      </c>
      <c r="R201" s="41" t="s">
        <v>32</v>
      </c>
      <c r="S201" s="69" t="s">
        <v>33</v>
      </c>
      <c r="T201" s="51" t="b">
        <v>1</v>
      </c>
      <c r="U201" s="94"/>
    </row>
    <row r="202" ht="30.0" customHeight="1">
      <c r="A202" s="39"/>
      <c r="B202" s="40">
        <v>2235.0</v>
      </c>
      <c r="C202" s="41" t="s">
        <v>50</v>
      </c>
      <c r="D202" s="86">
        <v>46033.0</v>
      </c>
      <c r="E202" s="43" t="str">
        <f t="shared" si="1"/>
        <v>2026</v>
      </c>
      <c r="F202" s="43" t="str">
        <f t="shared" si="2"/>
        <v>01 Jan</v>
      </c>
      <c r="G202" s="45" t="s">
        <v>43</v>
      </c>
      <c r="H202" s="45" t="s">
        <v>150</v>
      </c>
      <c r="I202" s="45" t="s">
        <v>495</v>
      </c>
      <c r="J202" s="41" t="s">
        <v>180</v>
      </c>
      <c r="K202" s="43" t="str">
        <f t="array" ref="K202">IF(J202="","", XLOOKUP(J202,'⚙️ Pengaturan'!$E$2:$E3237,'⚙️ Pengaturan'!$G$2:$G3237))</f>
        <v>KLINIK FT SESI</v>
      </c>
      <c r="L202" s="43" t="str">
        <f t="shared" si="3"/>
        <v>LANJUTAN</v>
      </c>
      <c r="M202" s="41" t="s">
        <v>31</v>
      </c>
      <c r="N202" s="46">
        <v>150000.0</v>
      </c>
      <c r="O202" s="65">
        <v>0.0</v>
      </c>
      <c r="P202" s="48">
        <f t="array" ref="P202">IFNA(XLOOKUP(J202,'⚙️ Pengaturan'!$E$2:$E3237,'⚙️ Pengaturan'!$F$2:$F3237),"")</f>
        <v>150000</v>
      </c>
      <c r="Q202" s="49">
        <f t="shared" si="5"/>
        <v>0</v>
      </c>
      <c r="R202" s="41" t="s">
        <v>32</v>
      </c>
      <c r="S202" s="69" t="s">
        <v>33</v>
      </c>
      <c r="T202" s="51" t="b">
        <v>1</v>
      </c>
      <c r="U202" s="94"/>
    </row>
    <row r="203" ht="30.0" customHeight="1">
      <c r="A203" s="39"/>
      <c r="B203" s="40">
        <v>2236.0</v>
      </c>
      <c r="C203" s="41" t="s">
        <v>50</v>
      </c>
      <c r="D203" s="86">
        <v>46033.0</v>
      </c>
      <c r="E203" s="43" t="str">
        <f t="shared" si="1"/>
        <v>2026</v>
      </c>
      <c r="F203" s="43" t="str">
        <f t="shared" si="2"/>
        <v>01 Jan</v>
      </c>
      <c r="G203" s="45" t="s">
        <v>43</v>
      </c>
      <c r="H203" s="45" t="s">
        <v>26</v>
      </c>
      <c r="I203" s="45" t="s">
        <v>497</v>
      </c>
      <c r="J203" s="41" t="s">
        <v>28</v>
      </c>
      <c r="K203" s="43" t="str">
        <f t="array" ref="K203">IF(J203="","", XLOOKUP(J203,'⚙️ Pengaturan'!$E$2:$E3237,'⚙️ Pengaturan'!$G$2:$G3237))</f>
        <v>KLINIK FT TA</v>
      </c>
      <c r="L203" s="43" t="str">
        <f t="shared" si="3"/>
        <v>BARU</v>
      </c>
      <c r="M203" s="41" t="s">
        <v>31</v>
      </c>
      <c r="N203" s="46">
        <v>250000.0</v>
      </c>
      <c r="O203" s="65">
        <v>0.0</v>
      </c>
      <c r="P203" s="48">
        <f t="array" ref="P203">IFNA(XLOOKUP(J203,'⚙️ Pengaturan'!$E$2:$E3237,'⚙️ Pengaturan'!$F$2:$F3237),"")</f>
        <v>250000</v>
      </c>
      <c r="Q203" s="49">
        <f t="shared" si="5"/>
        <v>0</v>
      </c>
      <c r="R203" s="41" t="s">
        <v>32</v>
      </c>
      <c r="S203" s="69" t="s">
        <v>33</v>
      </c>
      <c r="T203" s="51" t="b">
        <v>1</v>
      </c>
      <c r="U203" s="94"/>
    </row>
    <row r="204" ht="30.0" customHeight="1">
      <c r="A204" s="39"/>
      <c r="B204" s="40">
        <v>2237.0</v>
      </c>
      <c r="C204" s="41" t="s">
        <v>50</v>
      </c>
      <c r="D204" s="86">
        <v>46033.0</v>
      </c>
      <c r="E204" s="43" t="str">
        <f t="shared" si="1"/>
        <v>2026</v>
      </c>
      <c r="F204" s="43" t="str">
        <f t="shared" si="2"/>
        <v>01 Jan</v>
      </c>
      <c r="G204" s="45" t="s">
        <v>155</v>
      </c>
      <c r="H204" s="45" t="s">
        <v>162</v>
      </c>
      <c r="I204" s="45" t="s">
        <v>498</v>
      </c>
      <c r="J204" s="41" t="s">
        <v>28</v>
      </c>
      <c r="K204" s="43" t="str">
        <f t="array" ref="K204">IF(J204="","", XLOOKUP(J204,'⚙️ Pengaturan'!$E$2:$E3237,'⚙️ Pengaturan'!$G$2:$G3237))</f>
        <v>KLINIK FT TA</v>
      </c>
      <c r="L204" s="43" t="str">
        <f t="shared" si="3"/>
        <v>BARU</v>
      </c>
      <c r="M204" s="41" t="s">
        <v>31</v>
      </c>
      <c r="N204" s="46">
        <v>250000.0</v>
      </c>
      <c r="O204" s="65">
        <v>0.0</v>
      </c>
      <c r="P204" s="48">
        <f t="array" ref="P204">IFNA(XLOOKUP(J204,'⚙️ Pengaturan'!$E$2:$E3237,'⚙️ Pengaturan'!$F$2:$F3237),"")</f>
        <v>250000</v>
      </c>
      <c r="Q204" s="49">
        <f t="shared" si="5"/>
        <v>0</v>
      </c>
      <c r="R204" s="41" t="s">
        <v>32</v>
      </c>
      <c r="S204" s="69" t="s">
        <v>33</v>
      </c>
      <c r="T204" s="51" t="b">
        <v>1</v>
      </c>
      <c r="U204" s="94"/>
    </row>
    <row r="205" ht="30.0" customHeight="1">
      <c r="A205" s="39"/>
      <c r="B205" s="40">
        <v>2238.0</v>
      </c>
      <c r="C205" s="41" t="s">
        <v>50</v>
      </c>
      <c r="D205" s="86">
        <v>46033.0</v>
      </c>
      <c r="E205" s="43" t="str">
        <f t="shared" si="1"/>
        <v>2026</v>
      </c>
      <c r="F205" s="43" t="str">
        <f t="shared" si="2"/>
        <v>01 Jan</v>
      </c>
      <c r="G205" s="45" t="s">
        <v>155</v>
      </c>
      <c r="H205" s="45" t="s">
        <v>162</v>
      </c>
      <c r="I205" s="45" t="s">
        <v>498</v>
      </c>
      <c r="J205" s="41" t="s">
        <v>56</v>
      </c>
      <c r="K205" s="43" t="str">
        <f t="array" ref="K205">IF(J205="","", XLOOKUP(J205,'⚙️ Pengaturan'!$E$2:$E3237,'⚙️ Pengaturan'!$G$2:$G3237))</f>
        <v>KLINIK FT PAKET</v>
      </c>
      <c r="L205" s="43" t="str">
        <f t="shared" si="3"/>
        <v>BARU</v>
      </c>
      <c r="M205" s="41" t="s">
        <v>60</v>
      </c>
      <c r="N205" s="46">
        <v>200000.0</v>
      </c>
      <c r="O205" s="65">
        <v>0.0</v>
      </c>
      <c r="P205" s="48">
        <f t="array" ref="P205">IFNA(XLOOKUP(J205,'⚙️ Pengaturan'!$E$2:$E3237,'⚙️ Pengaturan'!$F$2:$F3237),"")</f>
        <v>650000</v>
      </c>
      <c r="Q205" s="49">
        <f t="shared" si="5"/>
        <v>-450000</v>
      </c>
      <c r="R205" s="41" t="s">
        <v>32</v>
      </c>
      <c r="S205" s="69" t="s">
        <v>33</v>
      </c>
      <c r="T205" s="51" t="b">
        <v>1</v>
      </c>
      <c r="U205" s="94"/>
    </row>
    <row r="206" ht="30.0" customHeight="1">
      <c r="A206" s="39"/>
      <c r="B206" s="40">
        <v>2239.0</v>
      </c>
      <c r="C206" s="41" t="s">
        <v>50</v>
      </c>
      <c r="D206" s="86">
        <v>46033.0</v>
      </c>
      <c r="E206" s="43" t="str">
        <f t="shared" si="1"/>
        <v>2026</v>
      </c>
      <c r="F206" s="43" t="str">
        <f t="shared" si="2"/>
        <v>01 Jan</v>
      </c>
      <c r="G206" s="45" t="s">
        <v>155</v>
      </c>
      <c r="H206" s="45" t="s">
        <v>26</v>
      </c>
      <c r="I206" s="45" t="s">
        <v>438</v>
      </c>
      <c r="J206" s="41" t="s">
        <v>56</v>
      </c>
      <c r="K206" s="43" t="str">
        <f t="array" ref="K206">IF(J206="","", XLOOKUP(J206,'⚙️ Pengaturan'!$E$2:$E3237,'⚙️ Pengaturan'!$G$2:$G3237))</f>
        <v>KLINIK FT PAKET</v>
      </c>
      <c r="L206" s="43" t="str">
        <f t="shared" si="3"/>
        <v>LANJUTAN</v>
      </c>
      <c r="M206" s="41" t="s">
        <v>81</v>
      </c>
      <c r="N206" s="46">
        <v>300000.0</v>
      </c>
      <c r="O206" s="65">
        <v>200000.0</v>
      </c>
      <c r="P206" s="48">
        <f t="array" ref="P206">IFNA(XLOOKUP(J206,'⚙️ Pengaturan'!$E$2:$E3237,'⚙️ Pengaturan'!$F$2:$F3237),"")</f>
        <v>650000</v>
      </c>
      <c r="Q206" s="49">
        <f t="shared" si="5"/>
        <v>-150000</v>
      </c>
      <c r="R206" s="41" t="s">
        <v>32</v>
      </c>
      <c r="S206" s="69" t="s">
        <v>33</v>
      </c>
      <c r="T206" s="51" t="b">
        <v>1</v>
      </c>
      <c r="U206" s="94"/>
    </row>
    <row r="207" ht="30.0" customHeight="1">
      <c r="A207" s="39"/>
      <c r="B207" s="40">
        <v>2240.0</v>
      </c>
      <c r="C207" s="41" t="s">
        <v>79</v>
      </c>
      <c r="D207" s="86">
        <v>46034.0</v>
      </c>
      <c r="E207" s="43" t="str">
        <f t="shared" si="1"/>
        <v>2026</v>
      </c>
      <c r="F207" s="43" t="str">
        <f t="shared" si="2"/>
        <v>01 Jan</v>
      </c>
      <c r="G207" s="45" t="s">
        <v>69</v>
      </c>
      <c r="H207" s="45" t="s">
        <v>149</v>
      </c>
      <c r="I207" s="45" t="s">
        <v>502</v>
      </c>
      <c r="J207" s="41" t="s">
        <v>56</v>
      </c>
      <c r="K207" s="43" t="str">
        <f t="array" ref="K207">IF(J207="","", XLOOKUP(J207,'⚙️ Pengaturan'!$E$2:$E3237,'⚙️ Pengaturan'!$G$2:$G3237))</f>
        <v>KLINIK FT PAKET</v>
      </c>
      <c r="L207" s="43" t="str">
        <f t="shared" si="3"/>
        <v>BARU</v>
      </c>
      <c r="M207" s="41" t="s">
        <v>31</v>
      </c>
      <c r="N207" s="46">
        <v>650000.0</v>
      </c>
      <c r="O207" s="65">
        <v>0.0</v>
      </c>
      <c r="P207" s="48">
        <f t="array" ref="P207">IFNA(XLOOKUP(J207,'⚙️ Pengaturan'!$E$2:$E3237,'⚙️ Pengaturan'!$F$2:$F3237),"")</f>
        <v>650000</v>
      </c>
      <c r="Q207" s="49">
        <f t="shared" si="5"/>
        <v>0</v>
      </c>
      <c r="R207" s="41" t="s">
        <v>93</v>
      </c>
      <c r="S207" s="69" t="s">
        <v>502</v>
      </c>
      <c r="T207" s="51" t="b">
        <v>1</v>
      </c>
      <c r="U207" s="94"/>
    </row>
    <row r="208" ht="30.0" customHeight="1">
      <c r="A208" s="39"/>
      <c r="B208" s="40">
        <v>2241.0</v>
      </c>
      <c r="C208" s="41" t="s">
        <v>79</v>
      </c>
      <c r="D208" s="86">
        <v>46034.0</v>
      </c>
      <c r="E208" s="43" t="str">
        <f t="shared" si="1"/>
        <v>2026</v>
      </c>
      <c r="F208" s="43" t="str">
        <f t="shared" si="2"/>
        <v>01 Jan</v>
      </c>
      <c r="G208" s="45" t="s">
        <v>195</v>
      </c>
      <c r="H208" s="45" t="s">
        <v>166</v>
      </c>
      <c r="I208" s="45" t="s">
        <v>504</v>
      </c>
      <c r="J208" s="41" t="s">
        <v>28</v>
      </c>
      <c r="K208" s="43" t="str">
        <f t="array" ref="K208">IF(J208="","", XLOOKUP(J208,'⚙️ Pengaturan'!$E$2:$E3237,'⚙️ Pengaturan'!$G$2:$G3237))</f>
        <v>KLINIK FT TA</v>
      </c>
      <c r="L208" s="43" t="str">
        <f t="shared" si="3"/>
        <v>BARU</v>
      </c>
      <c r="M208" s="41" t="s">
        <v>31</v>
      </c>
      <c r="N208" s="46">
        <v>250000.0</v>
      </c>
      <c r="O208" s="65">
        <v>0.0</v>
      </c>
      <c r="P208" s="48">
        <f t="array" ref="P208">IFNA(XLOOKUP(J208,'⚙️ Pengaturan'!$E$2:$E3237,'⚙️ Pengaturan'!$F$2:$F3237),"")</f>
        <v>250000</v>
      </c>
      <c r="Q208" s="49">
        <f t="shared" si="5"/>
        <v>0</v>
      </c>
      <c r="R208" s="41" t="s">
        <v>37</v>
      </c>
      <c r="S208" s="69" t="s">
        <v>504</v>
      </c>
      <c r="T208" s="51" t="b">
        <v>1</v>
      </c>
      <c r="U208" s="94"/>
    </row>
    <row r="209" ht="30.0" customHeight="1">
      <c r="A209" s="39"/>
      <c r="B209" s="40">
        <v>2242.0</v>
      </c>
      <c r="C209" s="41" t="s">
        <v>79</v>
      </c>
      <c r="D209" s="86">
        <v>46034.0</v>
      </c>
      <c r="E209" s="43" t="str">
        <f t="shared" si="1"/>
        <v>2026</v>
      </c>
      <c r="F209" s="43" t="str">
        <f t="shared" si="2"/>
        <v>01 Jan</v>
      </c>
      <c r="G209" s="45" t="s">
        <v>195</v>
      </c>
      <c r="H209" s="45" t="s">
        <v>150</v>
      </c>
      <c r="I209" s="45" t="s">
        <v>505</v>
      </c>
      <c r="J209" s="41" t="s">
        <v>28</v>
      </c>
      <c r="K209" s="43" t="str">
        <f t="array" ref="K209">IF(J209="","", XLOOKUP(J209,'⚙️ Pengaturan'!$E$2:$E3237,'⚙️ Pengaturan'!$G$2:$G3237))</f>
        <v>KLINIK FT TA</v>
      </c>
      <c r="L209" s="43" t="str">
        <f t="shared" si="3"/>
        <v>BARU</v>
      </c>
      <c r="M209" s="41" t="s">
        <v>31</v>
      </c>
      <c r="N209" s="46">
        <v>250000.0</v>
      </c>
      <c r="O209" s="65">
        <v>0.0</v>
      </c>
      <c r="P209" s="48">
        <f t="array" ref="P209">IFNA(XLOOKUP(J209,'⚙️ Pengaturan'!$E$2:$E3237,'⚙️ Pengaturan'!$F$2:$F3237),"")</f>
        <v>250000</v>
      </c>
      <c r="Q209" s="49">
        <f t="shared" si="5"/>
        <v>0</v>
      </c>
      <c r="R209" s="41" t="s">
        <v>32</v>
      </c>
      <c r="S209" s="69" t="s">
        <v>33</v>
      </c>
      <c r="T209" s="51" t="b">
        <v>1</v>
      </c>
      <c r="U209" s="94"/>
    </row>
    <row r="210" ht="30.0" customHeight="1">
      <c r="A210" s="39"/>
      <c r="B210" s="40">
        <v>2243.0</v>
      </c>
      <c r="C210" s="41" t="s">
        <v>79</v>
      </c>
      <c r="D210" s="86">
        <v>46034.0</v>
      </c>
      <c r="E210" s="43" t="str">
        <f t="shared" si="1"/>
        <v>2026</v>
      </c>
      <c r="F210" s="43" t="str">
        <f t="shared" si="2"/>
        <v>01 Jan</v>
      </c>
      <c r="G210" s="45" t="s">
        <v>25</v>
      </c>
      <c r="H210" s="45" t="s">
        <v>162</v>
      </c>
      <c r="I210" s="45" t="s">
        <v>507</v>
      </c>
      <c r="J210" s="41" t="s">
        <v>28</v>
      </c>
      <c r="K210" s="43" t="str">
        <f t="array" ref="K210">IF(J210="","", XLOOKUP(J210,'⚙️ Pengaturan'!$E$2:$E3237,'⚙️ Pengaturan'!$G$2:$G3237))</f>
        <v>KLINIK FT TA</v>
      </c>
      <c r="L210" s="43" t="str">
        <f t="shared" si="3"/>
        <v>BARU</v>
      </c>
      <c r="M210" s="41" t="s">
        <v>31</v>
      </c>
      <c r="N210" s="46">
        <v>250000.0</v>
      </c>
      <c r="O210" s="65">
        <v>0.0</v>
      </c>
      <c r="P210" s="48">
        <f t="array" ref="P210">IFNA(XLOOKUP(J210,'⚙️ Pengaturan'!$E$2:$E3237,'⚙️ Pengaturan'!$F$2:$F3237),"")</f>
        <v>250000</v>
      </c>
      <c r="Q210" s="49">
        <f t="shared" si="5"/>
        <v>0</v>
      </c>
      <c r="R210" s="41" t="s">
        <v>32</v>
      </c>
      <c r="S210" s="69" t="s">
        <v>33</v>
      </c>
      <c r="T210" s="51" t="b">
        <v>1</v>
      </c>
      <c r="U210" s="94"/>
    </row>
    <row r="211" ht="30.0" customHeight="1">
      <c r="A211" s="39"/>
      <c r="B211" s="40">
        <v>2244.0</v>
      </c>
      <c r="C211" s="41" t="s">
        <v>79</v>
      </c>
      <c r="D211" s="86">
        <v>46034.0</v>
      </c>
      <c r="E211" s="43" t="str">
        <f t="shared" si="1"/>
        <v>2026</v>
      </c>
      <c r="F211" s="43" t="str">
        <f t="shared" si="2"/>
        <v>01 Jan</v>
      </c>
      <c r="G211" s="45" t="s">
        <v>25</v>
      </c>
      <c r="H211" s="45" t="s">
        <v>166</v>
      </c>
      <c r="I211" s="45" t="s">
        <v>402</v>
      </c>
      <c r="J211" s="41" t="s">
        <v>180</v>
      </c>
      <c r="K211" s="43" t="str">
        <f t="array" ref="K211">IF(J211="","", XLOOKUP(J211,'⚙️ Pengaturan'!$E$2:$E3237,'⚙️ Pengaturan'!$G$2:$G3237))</f>
        <v>KLINIK FT SESI</v>
      </c>
      <c r="L211" s="43" t="str">
        <f t="shared" si="3"/>
        <v>LANJUTAN</v>
      </c>
      <c r="M211" s="41" t="s">
        <v>31</v>
      </c>
      <c r="N211" s="46">
        <v>150000.0</v>
      </c>
      <c r="O211" s="65">
        <v>0.0</v>
      </c>
      <c r="P211" s="48">
        <f t="array" ref="P211">IFNA(XLOOKUP(J211,'⚙️ Pengaturan'!$E$2:$E3237,'⚙️ Pengaturan'!$F$2:$F3237),"")</f>
        <v>150000</v>
      </c>
      <c r="Q211" s="49">
        <f t="shared" si="5"/>
        <v>0</v>
      </c>
      <c r="R211" s="41" t="s">
        <v>37</v>
      </c>
      <c r="S211" s="69" t="s">
        <v>402</v>
      </c>
      <c r="T211" s="51" t="b">
        <v>1</v>
      </c>
      <c r="U211" s="94"/>
    </row>
    <row r="212" ht="30.0" customHeight="1">
      <c r="A212" s="39"/>
      <c r="B212" s="40">
        <v>2245.0</v>
      </c>
      <c r="C212" s="41" t="s">
        <v>79</v>
      </c>
      <c r="D212" s="86">
        <v>46034.0</v>
      </c>
      <c r="E212" s="43" t="str">
        <f t="shared" si="1"/>
        <v>2026</v>
      </c>
      <c r="F212" s="43" t="str">
        <f t="shared" si="2"/>
        <v>01 Jan</v>
      </c>
      <c r="G212" s="45" t="s">
        <v>206</v>
      </c>
      <c r="H212" s="45" t="s">
        <v>162</v>
      </c>
      <c r="I212" s="45" t="s">
        <v>510</v>
      </c>
      <c r="J212" s="41" t="s">
        <v>28</v>
      </c>
      <c r="K212" s="43" t="str">
        <f t="array" ref="K212">IF(J212="","", XLOOKUP(J212,'⚙️ Pengaturan'!$E$2:$E3237,'⚙️ Pengaturan'!$G$2:$G3237))</f>
        <v>KLINIK FT TA</v>
      </c>
      <c r="L212" s="43" t="str">
        <f t="shared" si="3"/>
        <v>BARU</v>
      </c>
      <c r="M212" s="41" t="s">
        <v>31</v>
      </c>
      <c r="N212" s="46">
        <v>250000.0</v>
      </c>
      <c r="O212" s="65">
        <v>0.0</v>
      </c>
      <c r="P212" s="48">
        <f t="array" ref="P212">IFNA(XLOOKUP(J212,'⚙️ Pengaturan'!$E$2:$E3237,'⚙️ Pengaturan'!$F$2:$F3237),"")</f>
        <v>250000</v>
      </c>
      <c r="Q212" s="49">
        <f t="shared" si="5"/>
        <v>0</v>
      </c>
      <c r="R212" s="41" t="s">
        <v>118</v>
      </c>
      <c r="S212" s="69" t="s">
        <v>510</v>
      </c>
      <c r="T212" s="51" t="b">
        <v>1</v>
      </c>
      <c r="U212" s="94"/>
    </row>
    <row r="213" ht="30.0" customHeight="1">
      <c r="A213" s="39"/>
      <c r="B213" s="40">
        <v>2246.0</v>
      </c>
      <c r="C213" s="41" t="s">
        <v>79</v>
      </c>
      <c r="D213" s="86">
        <v>46034.0</v>
      </c>
      <c r="E213" s="43" t="str">
        <f t="shared" si="1"/>
        <v>2026</v>
      </c>
      <c r="F213" s="43" t="str">
        <f t="shared" si="2"/>
        <v>01 Jan</v>
      </c>
      <c r="G213" s="45" t="s">
        <v>206</v>
      </c>
      <c r="H213" s="45" t="s">
        <v>150</v>
      </c>
      <c r="I213" s="45" t="s">
        <v>513</v>
      </c>
      <c r="J213" s="41" t="s">
        <v>28</v>
      </c>
      <c r="K213" s="43" t="str">
        <f t="array" ref="K213">IF(J213="","", XLOOKUP(J213,'⚙️ Pengaturan'!$E$2:$E3237,'⚙️ Pengaturan'!$G$2:$G3237))</f>
        <v>KLINIK FT TA</v>
      </c>
      <c r="L213" s="43" t="str">
        <f t="shared" si="3"/>
        <v>BARU</v>
      </c>
      <c r="M213" s="41" t="s">
        <v>31</v>
      </c>
      <c r="N213" s="46">
        <v>250000.0</v>
      </c>
      <c r="O213" s="65">
        <v>0.0</v>
      </c>
      <c r="P213" s="48">
        <f t="array" ref="P213">IFNA(XLOOKUP(J213,'⚙️ Pengaturan'!$E$2:$E3237,'⚙️ Pengaturan'!$F$2:$F3237),"")</f>
        <v>250000</v>
      </c>
      <c r="Q213" s="49">
        <f t="shared" si="5"/>
        <v>0</v>
      </c>
      <c r="R213" s="41" t="s">
        <v>37</v>
      </c>
      <c r="S213" s="69" t="s">
        <v>513</v>
      </c>
      <c r="T213" s="51" t="b">
        <v>1</v>
      </c>
      <c r="U213" s="94"/>
    </row>
    <row r="214" ht="30.0" customHeight="1">
      <c r="A214" s="39"/>
      <c r="B214" s="40">
        <v>2247.0</v>
      </c>
      <c r="C214" s="41" t="s">
        <v>79</v>
      </c>
      <c r="D214" s="86">
        <v>46034.0</v>
      </c>
      <c r="E214" s="43" t="str">
        <f t="shared" si="1"/>
        <v>2026</v>
      </c>
      <c r="F214" s="43" t="str">
        <f t="shared" si="2"/>
        <v>01 Jan</v>
      </c>
      <c r="G214" s="45" t="s">
        <v>35</v>
      </c>
      <c r="H214" s="45" t="s">
        <v>162</v>
      </c>
      <c r="I214" s="45" t="s">
        <v>516</v>
      </c>
      <c r="J214" s="79" t="s">
        <v>28</v>
      </c>
      <c r="K214" s="43" t="str">
        <f t="array" ref="K214">IF(J214="","", XLOOKUP(J214,'⚙️ Pengaturan'!$E$2:$E3237,'⚙️ Pengaturan'!$G$2:$G3237))</f>
        <v>KLINIK FT TA</v>
      </c>
      <c r="L214" s="43" t="str">
        <f t="shared" si="3"/>
        <v>BARU</v>
      </c>
      <c r="M214" s="79" t="s">
        <v>31</v>
      </c>
      <c r="N214" s="83">
        <v>250000.0</v>
      </c>
      <c r="O214" s="84">
        <v>0.0</v>
      </c>
      <c r="P214" s="48">
        <f t="array" ref="P214">IFNA(XLOOKUP(J214,'⚙️ Pengaturan'!$E$2:$E3237,'⚙️ Pengaturan'!$F$2:$F3237),"")</f>
        <v>250000</v>
      </c>
      <c r="Q214" s="49">
        <f t="shared" si="5"/>
        <v>0</v>
      </c>
      <c r="R214" s="41" t="s">
        <v>37</v>
      </c>
      <c r="S214" s="69" t="s">
        <v>517</v>
      </c>
      <c r="T214" s="51" t="b">
        <v>1</v>
      </c>
      <c r="U214" s="94"/>
    </row>
    <row r="215" ht="30.0" customHeight="1">
      <c r="A215" s="39"/>
      <c r="B215" s="40">
        <v>2248.0</v>
      </c>
      <c r="C215" s="41" t="s">
        <v>79</v>
      </c>
      <c r="D215" s="86">
        <v>46034.0</v>
      </c>
      <c r="E215" s="43" t="str">
        <f t="shared" si="1"/>
        <v>2026</v>
      </c>
      <c r="F215" s="43" t="str">
        <f t="shared" si="2"/>
        <v>01 Jan</v>
      </c>
      <c r="G215" s="45" t="s">
        <v>35</v>
      </c>
      <c r="H215" s="45" t="s">
        <v>166</v>
      </c>
      <c r="I215" s="45" t="s">
        <v>518</v>
      </c>
      <c r="J215" s="122" t="s">
        <v>28</v>
      </c>
      <c r="K215" s="43" t="str">
        <f t="array" ref="K215">IF(J215="","", XLOOKUP(J215,'⚙️ Pengaturan'!$E$2:$E3237,'⚙️ Pengaturan'!$G$2:$G3237))</f>
        <v>KLINIK FT TA</v>
      </c>
      <c r="L215" s="43" t="str">
        <f t="shared" si="3"/>
        <v>BARU</v>
      </c>
      <c r="M215" s="122" t="s">
        <v>31</v>
      </c>
      <c r="N215" s="123">
        <v>250000.0</v>
      </c>
      <c r="O215" s="124">
        <v>0.0</v>
      </c>
      <c r="P215" s="48">
        <f t="array" ref="P215">IFNA(XLOOKUP(J215,'⚙️ Pengaturan'!$E$2:$E3237,'⚙️ Pengaturan'!$F$2:$F3237),"")</f>
        <v>250000</v>
      </c>
      <c r="Q215" s="49">
        <f t="shared" si="5"/>
        <v>0</v>
      </c>
      <c r="R215" s="41" t="s">
        <v>118</v>
      </c>
      <c r="S215" s="69" t="s">
        <v>518</v>
      </c>
      <c r="T215" s="51" t="b">
        <v>1</v>
      </c>
      <c r="U215" s="94"/>
    </row>
    <row r="216" ht="30.0" customHeight="1">
      <c r="A216" s="39"/>
      <c r="B216" s="40">
        <v>2249.0</v>
      </c>
      <c r="C216" s="41" t="s">
        <v>50</v>
      </c>
      <c r="D216" s="86">
        <v>46034.0</v>
      </c>
      <c r="E216" s="43" t="str">
        <f t="shared" si="1"/>
        <v>2026</v>
      </c>
      <c r="F216" s="43" t="str">
        <f t="shared" si="2"/>
        <v>01 Jan</v>
      </c>
      <c r="G216" s="45" t="s">
        <v>40</v>
      </c>
      <c r="H216" s="45" t="s">
        <v>47</v>
      </c>
      <c r="I216" s="45" t="s">
        <v>519</v>
      </c>
      <c r="J216" s="41" t="s">
        <v>28</v>
      </c>
      <c r="K216" s="43" t="str">
        <f t="array" ref="K216">IF(J216="","", XLOOKUP(J216,'⚙️ Pengaturan'!$E$2:$E3237,'⚙️ Pengaturan'!$G$2:$G3237))</f>
        <v>KLINIK FT TA</v>
      </c>
      <c r="L216" s="43" t="str">
        <f t="shared" si="3"/>
        <v>BARU</v>
      </c>
      <c r="M216" s="41" t="s">
        <v>31</v>
      </c>
      <c r="N216" s="123">
        <v>250000.0</v>
      </c>
      <c r="O216" s="124">
        <v>0.0</v>
      </c>
      <c r="P216" s="48">
        <f t="array" ref="P216">IFNA(XLOOKUP(J216,'⚙️ Pengaturan'!$E$2:$E3237,'⚙️ Pengaturan'!$F$2:$F3237),"")</f>
        <v>250000</v>
      </c>
      <c r="Q216" s="49">
        <f t="shared" si="5"/>
        <v>0</v>
      </c>
      <c r="R216" s="41" t="s">
        <v>32</v>
      </c>
      <c r="S216" s="69" t="s">
        <v>33</v>
      </c>
      <c r="T216" s="51" t="b">
        <v>1</v>
      </c>
      <c r="U216" s="94"/>
    </row>
    <row r="217" ht="30.0" customHeight="1">
      <c r="A217" s="39"/>
      <c r="B217" s="40">
        <v>2250.0</v>
      </c>
      <c r="C217" s="41" t="s">
        <v>50</v>
      </c>
      <c r="D217" s="86">
        <v>46034.0</v>
      </c>
      <c r="E217" s="43" t="str">
        <f t="shared" si="1"/>
        <v>2026</v>
      </c>
      <c r="F217" s="43" t="str">
        <f t="shared" si="2"/>
        <v>01 Jan</v>
      </c>
      <c r="G217" s="45" t="s">
        <v>40</v>
      </c>
      <c r="H217" s="45" t="s">
        <v>149</v>
      </c>
      <c r="I217" s="45" t="s">
        <v>521</v>
      </c>
      <c r="J217" s="41" t="s">
        <v>180</v>
      </c>
      <c r="K217" s="43" t="str">
        <f t="array" ref="K217">IF(J217="","", XLOOKUP(J217,'⚙️ Pengaturan'!$E$2:$E3237,'⚙️ Pengaturan'!$G$2:$G3237))</f>
        <v>KLINIK FT SESI</v>
      </c>
      <c r="L217" s="43" t="str">
        <f t="shared" si="3"/>
        <v>BARU</v>
      </c>
      <c r="M217" s="41" t="s">
        <v>31</v>
      </c>
      <c r="N217" s="46">
        <v>150000.0</v>
      </c>
      <c r="O217" s="65">
        <v>0.0</v>
      </c>
      <c r="P217" s="48">
        <f t="array" ref="P217">IFNA(XLOOKUP(J217,'⚙️ Pengaturan'!$E$2:$E3237,'⚙️ Pengaturan'!$F$2:$F3237),"")</f>
        <v>150000</v>
      </c>
      <c r="Q217" s="49">
        <f t="shared" si="5"/>
        <v>0</v>
      </c>
      <c r="R217" s="41" t="s">
        <v>37</v>
      </c>
      <c r="S217" s="69" t="s">
        <v>521</v>
      </c>
      <c r="T217" s="51" t="b">
        <v>1</v>
      </c>
      <c r="U217" s="94"/>
    </row>
    <row r="218" ht="30.0" customHeight="1">
      <c r="A218" s="39"/>
      <c r="B218" s="40">
        <v>2251.0</v>
      </c>
      <c r="C218" s="41" t="s">
        <v>50</v>
      </c>
      <c r="D218" s="86">
        <v>46034.0</v>
      </c>
      <c r="E218" s="43" t="str">
        <f t="shared" si="1"/>
        <v>2026</v>
      </c>
      <c r="F218" s="43" t="str">
        <f t="shared" si="2"/>
        <v>01 Jan</v>
      </c>
      <c r="G218" s="45" t="s">
        <v>43</v>
      </c>
      <c r="H218" s="45" t="s">
        <v>47</v>
      </c>
      <c r="I218" s="45" t="s">
        <v>522</v>
      </c>
      <c r="J218" s="41" t="s">
        <v>28</v>
      </c>
      <c r="K218" s="43" t="str">
        <f t="array" ref="K218">IF(J218="","", XLOOKUP(J218,'⚙️ Pengaturan'!$E$2:$E3237,'⚙️ Pengaturan'!$G$2:$G3237))</f>
        <v>KLINIK FT TA</v>
      </c>
      <c r="L218" s="43" t="str">
        <f t="shared" si="3"/>
        <v>BARU</v>
      </c>
      <c r="M218" s="41" t="s">
        <v>31</v>
      </c>
      <c r="N218" s="46">
        <v>250000.0</v>
      </c>
      <c r="O218" s="65">
        <v>0.0</v>
      </c>
      <c r="P218" s="48">
        <f t="array" ref="P218">IFNA(XLOOKUP(J218,'⚙️ Pengaturan'!$E$2:$E3237,'⚙️ Pengaturan'!$F$2:$F3237),"")</f>
        <v>250000</v>
      </c>
      <c r="Q218" s="49">
        <f t="shared" si="5"/>
        <v>0</v>
      </c>
      <c r="R218" s="41" t="s">
        <v>37</v>
      </c>
      <c r="S218" s="69" t="s">
        <v>522</v>
      </c>
      <c r="T218" s="51" t="b">
        <v>1</v>
      </c>
      <c r="U218" s="94"/>
    </row>
    <row r="219" ht="30.0" customHeight="1">
      <c r="A219" s="39"/>
      <c r="B219" s="40">
        <v>2252.0</v>
      </c>
      <c r="C219" s="41" t="s">
        <v>50</v>
      </c>
      <c r="D219" s="86">
        <v>46034.0</v>
      </c>
      <c r="E219" s="43" t="str">
        <f t="shared" si="1"/>
        <v>2026</v>
      </c>
      <c r="F219" s="43" t="str">
        <f t="shared" si="2"/>
        <v>01 Jan</v>
      </c>
      <c r="G219" s="45" t="s">
        <v>43</v>
      </c>
      <c r="H219" s="45" t="s">
        <v>149</v>
      </c>
      <c r="I219" s="45" t="s">
        <v>436</v>
      </c>
      <c r="J219" s="41" t="s">
        <v>180</v>
      </c>
      <c r="K219" s="43" t="str">
        <f t="array" ref="K219">IF(J219="","", XLOOKUP(J219,'⚙️ Pengaturan'!$E$2:$E3237,'⚙️ Pengaturan'!$G$2:$G3237))</f>
        <v>KLINIK FT SESI</v>
      </c>
      <c r="L219" s="43" t="str">
        <f t="shared" si="3"/>
        <v>LANJUTAN</v>
      </c>
      <c r="M219" s="41" t="s">
        <v>31</v>
      </c>
      <c r="N219" s="46">
        <v>150000.0</v>
      </c>
      <c r="O219" s="65">
        <v>0.0</v>
      </c>
      <c r="P219" s="48">
        <f t="array" ref="P219">IFNA(XLOOKUP(J219,'⚙️ Pengaturan'!$E$2:$E3237,'⚙️ Pengaturan'!$F$2:$F3237),"")</f>
        <v>150000</v>
      </c>
      <c r="Q219" s="49">
        <f t="shared" si="5"/>
        <v>0</v>
      </c>
      <c r="R219" s="41" t="s">
        <v>32</v>
      </c>
      <c r="S219" s="69" t="s">
        <v>33</v>
      </c>
      <c r="T219" s="51" t="b">
        <v>1</v>
      </c>
      <c r="U219" s="94"/>
    </row>
    <row r="220" ht="30.0" customHeight="1">
      <c r="A220" s="39"/>
      <c r="B220" s="40">
        <v>2253.0</v>
      </c>
      <c r="C220" s="41" t="s">
        <v>50</v>
      </c>
      <c r="D220" s="86">
        <v>46034.0</v>
      </c>
      <c r="E220" s="43" t="str">
        <f t="shared" si="1"/>
        <v>2026</v>
      </c>
      <c r="F220" s="43" t="str">
        <f t="shared" si="2"/>
        <v>01 Jan</v>
      </c>
      <c r="G220" s="45" t="s">
        <v>43</v>
      </c>
      <c r="H220" s="45" t="s">
        <v>76</v>
      </c>
      <c r="I220" s="45" t="s">
        <v>256</v>
      </c>
      <c r="J220" s="41" t="s">
        <v>180</v>
      </c>
      <c r="K220" s="43" t="str">
        <f t="array" ref="K220">IF(J220="","", XLOOKUP(J220,'⚙️ Pengaturan'!$E$2:$E3237,'⚙️ Pengaturan'!$G$2:$G3237))</f>
        <v>KLINIK FT SESI</v>
      </c>
      <c r="L220" s="43" t="str">
        <f t="shared" si="3"/>
        <v>LANJUTAN</v>
      </c>
      <c r="M220" s="41" t="s">
        <v>31</v>
      </c>
      <c r="N220" s="46">
        <v>150000.0</v>
      </c>
      <c r="O220" s="65">
        <v>0.0</v>
      </c>
      <c r="P220" s="48">
        <f t="array" ref="P220">IFNA(XLOOKUP(J220,'⚙️ Pengaturan'!$E$2:$E3237,'⚙️ Pengaturan'!$F$2:$F3237),"")</f>
        <v>150000</v>
      </c>
      <c r="Q220" s="49">
        <f t="shared" si="5"/>
        <v>0</v>
      </c>
      <c r="R220" s="41" t="s">
        <v>32</v>
      </c>
      <c r="S220" s="69" t="s">
        <v>33</v>
      </c>
      <c r="T220" s="51" t="b">
        <v>1</v>
      </c>
      <c r="U220" s="94"/>
    </row>
    <row r="221" ht="30.0" customHeight="1">
      <c r="A221" s="39"/>
      <c r="B221" s="40">
        <v>2254.0</v>
      </c>
      <c r="C221" s="41" t="s">
        <v>50</v>
      </c>
      <c r="D221" s="86">
        <v>46034.0</v>
      </c>
      <c r="E221" s="43" t="str">
        <f t="shared" si="1"/>
        <v>2026</v>
      </c>
      <c r="F221" s="43" t="str">
        <f t="shared" si="2"/>
        <v>01 Jan</v>
      </c>
      <c r="G221" s="45" t="s">
        <v>43</v>
      </c>
      <c r="H221" s="45" t="s">
        <v>96</v>
      </c>
      <c r="I221" s="45" t="s">
        <v>413</v>
      </c>
      <c r="J221" s="41" t="s">
        <v>180</v>
      </c>
      <c r="K221" s="43" t="str">
        <f t="array" ref="K221">IF(J221="","", XLOOKUP(J221,'⚙️ Pengaturan'!$E$2:$E3237,'⚙️ Pengaturan'!$G$2:$G3237))</f>
        <v>KLINIK FT SESI</v>
      </c>
      <c r="L221" s="43" t="str">
        <f t="shared" si="3"/>
        <v>LANJUTAN</v>
      </c>
      <c r="M221" s="41" t="s">
        <v>31</v>
      </c>
      <c r="N221" s="46">
        <v>150000.0</v>
      </c>
      <c r="O221" s="65">
        <v>0.0</v>
      </c>
      <c r="P221" s="48">
        <f t="array" ref="P221">IFNA(XLOOKUP(J221,'⚙️ Pengaturan'!$E$2:$E3237,'⚙️ Pengaturan'!$F$2:$F3237),"")</f>
        <v>150000</v>
      </c>
      <c r="Q221" s="49">
        <f t="shared" si="5"/>
        <v>0</v>
      </c>
      <c r="R221" s="41" t="s">
        <v>37</v>
      </c>
      <c r="S221" s="69" t="s">
        <v>413</v>
      </c>
      <c r="T221" s="51" t="b">
        <v>1</v>
      </c>
      <c r="U221" s="94"/>
    </row>
    <row r="222" ht="30.0" customHeight="1">
      <c r="A222" s="39"/>
      <c r="B222" s="40">
        <v>2255.0</v>
      </c>
      <c r="C222" s="41" t="s">
        <v>50</v>
      </c>
      <c r="D222" s="86">
        <v>46034.0</v>
      </c>
      <c r="E222" s="43" t="str">
        <f t="shared" si="1"/>
        <v>2026</v>
      </c>
      <c r="F222" s="43" t="str">
        <f t="shared" si="2"/>
        <v>01 Jan</v>
      </c>
      <c r="G222" s="45" t="s">
        <v>43</v>
      </c>
      <c r="H222" s="45" t="s">
        <v>166</v>
      </c>
      <c r="I222" s="45" t="s">
        <v>326</v>
      </c>
      <c r="J222" s="41" t="s">
        <v>364</v>
      </c>
      <c r="K222" s="43" t="str">
        <f t="array" ref="K222">IF(J222="","", XLOOKUP(J222,'⚙️ Pengaturan'!$E$2:$E3237,'⚙️ Pengaturan'!$G$2:$G3237))</f>
        <v>VISIT FT PAKET</v>
      </c>
      <c r="L222" s="43" t="str">
        <f t="shared" si="3"/>
        <v>BARU</v>
      </c>
      <c r="M222" s="41" t="s">
        <v>31</v>
      </c>
      <c r="N222" s="46">
        <v>2300000.0</v>
      </c>
      <c r="O222" s="65">
        <v>0.0</v>
      </c>
      <c r="P222" s="48">
        <f t="array" ref="P222">IFNA(XLOOKUP(J222,'⚙️ Pengaturan'!$E$2:$E3237,'⚙️ Pengaturan'!$F$2:$F3237),"")</f>
        <v>2300000</v>
      </c>
      <c r="Q222" s="49">
        <f t="shared" si="5"/>
        <v>0</v>
      </c>
      <c r="R222" s="41" t="s">
        <v>37</v>
      </c>
      <c r="S222" s="69" t="s">
        <v>327</v>
      </c>
      <c r="T222" s="51" t="b">
        <v>1</v>
      </c>
      <c r="U222" s="94"/>
    </row>
    <row r="223" ht="30.0" customHeight="1">
      <c r="A223" s="39"/>
      <c r="B223" s="40">
        <v>2256.0</v>
      </c>
      <c r="C223" s="41" t="s">
        <v>50</v>
      </c>
      <c r="D223" s="86">
        <v>46034.0</v>
      </c>
      <c r="E223" s="43" t="str">
        <f t="shared" si="1"/>
        <v>2026</v>
      </c>
      <c r="F223" s="43" t="str">
        <f t="shared" si="2"/>
        <v>01 Jan</v>
      </c>
      <c r="G223" s="45" t="s">
        <v>43</v>
      </c>
      <c r="H223" s="45" t="s">
        <v>103</v>
      </c>
      <c r="I223" s="45" t="s">
        <v>525</v>
      </c>
      <c r="J223" s="41" t="s">
        <v>56</v>
      </c>
      <c r="K223" s="43" t="str">
        <f t="array" ref="K223">IF(J223="","", XLOOKUP(J223,'⚙️ Pengaturan'!$E$2:$E3237,'⚙️ Pengaturan'!$G$2:$G3237))</f>
        <v>KLINIK FT PAKET</v>
      </c>
      <c r="L223" s="43" t="str">
        <f t="shared" si="3"/>
        <v>BARU</v>
      </c>
      <c r="M223" s="41" t="s">
        <v>31</v>
      </c>
      <c r="N223" s="46">
        <v>650000.0</v>
      </c>
      <c r="O223" s="65">
        <v>0.0</v>
      </c>
      <c r="P223" s="48">
        <f t="array" ref="P223">IFNA(XLOOKUP(J223,'⚙️ Pengaturan'!$E$2:$E3237,'⚙️ Pengaturan'!$F$2:$F3237),"")</f>
        <v>650000</v>
      </c>
      <c r="Q223" s="49">
        <f t="shared" si="5"/>
        <v>0</v>
      </c>
      <c r="R223" s="41" t="s">
        <v>37</v>
      </c>
      <c r="S223" s="69" t="s">
        <v>526</v>
      </c>
      <c r="T223" s="51" t="b">
        <v>1</v>
      </c>
      <c r="U223" s="94"/>
    </row>
    <row r="224" ht="30.0" customHeight="1">
      <c r="A224" s="39"/>
      <c r="B224" s="40">
        <v>2257.0</v>
      </c>
      <c r="C224" s="41" t="s">
        <v>50</v>
      </c>
      <c r="D224" s="86">
        <v>46034.0</v>
      </c>
      <c r="E224" s="43" t="str">
        <f t="shared" si="1"/>
        <v>2026</v>
      </c>
      <c r="F224" s="43" t="str">
        <f t="shared" si="2"/>
        <v>01 Jan</v>
      </c>
      <c r="G224" s="45" t="s">
        <v>155</v>
      </c>
      <c r="H224" s="45" t="s">
        <v>47</v>
      </c>
      <c r="I224" s="45" t="s">
        <v>478</v>
      </c>
      <c r="J224" s="41" t="s">
        <v>180</v>
      </c>
      <c r="K224" s="43" t="str">
        <f t="array" ref="K224">IF(J224="","", XLOOKUP(J224,'⚙️ Pengaturan'!$E$2:$E3237,'⚙️ Pengaturan'!$G$2:$G3237))</f>
        <v>KLINIK FT SESI</v>
      </c>
      <c r="L224" s="43" t="str">
        <f t="shared" si="3"/>
        <v>BARU</v>
      </c>
      <c r="M224" s="41" t="s">
        <v>31</v>
      </c>
      <c r="N224" s="46">
        <v>150000.0</v>
      </c>
      <c r="O224" s="65">
        <v>0.0</v>
      </c>
      <c r="P224" s="48">
        <f t="array" ref="P224">IFNA(XLOOKUP(J224,'⚙️ Pengaturan'!$E$2:$E3237,'⚙️ Pengaturan'!$F$2:$F3237),"")</f>
        <v>150000</v>
      </c>
      <c r="Q224" s="49">
        <f t="shared" si="5"/>
        <v>0</v>
      </c>
      <c r="R224" s="41" t="s">
        <v>37</v>
      </c>
      <c r="S224" s="69" t="s">
        <v>478</v>
      </c>
      <c r="T224" s="51" t="b">
        <v>1</v>
      </c>
      <c r="U224" s="94"/>
    </row>
    <row r="225" ht="30.0" customHeight="1">
      <c r="A225" s="39"/>
      <c r="B225" s="40">
        <v>2258.0</v>
      </c>
      <c r="C225" s="41" t="s">
        <v>50</v>
      </c>
      <c r="D225" s="86">
        <v>46034.0</v>
      </c>
      <c r="E225" s="43" t="str">
        <f t="shared" si="1"/>
        <v>2026</v>
      </c>
      <c r="F225" s="43" t="str">
        <f t="shared" si="2"/>
        <v>01 Jan</v>
      </c>
      <c r="G225" s="45" t="s">
        <v>155</v>
      </c>
      <c r="H225" s="45" t="s">
        <v>149</v>
      </c>
      <c r="I225" s="45" t="s">
        <v>191</v>
      </c>
      <c r="J225" s="41" t="s">
        <v>92</v>
      </c>
      <c r="K225" s="43" t="str">
        <f t="array" ref="K225">IF(J225="","", XLOOKUP(J225,'⚙️ Pengaturan'!$E$2:$E3237,'⚙️ Pengaturan'!$G$2:$G3237))</f>
        <v>KLINIK FT PAKET</v>
      </c>
      <c r="L225" s="43" t="str">
        <f t="shared" si="3"/>
        <v>BARU</v>
      </c>
      <c r="M225" s="41" t="s">
        <v>31</v>
      </c>
      <c r="N225" s="46">
        <v>1200000.0</v>
      </c>
      <c r="O225" s="65">
        <v>0.0</v>
      </c>
      <c r="P225" s="48">
        <f t="array" ref="P225">IFNA(XLOOKUP(J225,'⚙️ Pengaturan'!$E$2:$E3237,'⚙️ Pengaturan'!$F$2:$F3237),"")</f>
        <v>1200000</v>
      </c>
      <c r="Q225" s="49">
        <f t="shared" si="5"/>
        <v>0</v>
      </c>
      <c r="R225" s="41" t="s">
        <v>37</v>
      </c>
      <c r="S225" s="69" t="s">
        <v>191</v>
      </c>
      <c r="T225" s="51" t="b">
        <v>1</v>
      </c>
      <c r="U225" s="94"/>
    </row>
    <row r="226" ht="30.0" customHeight="1">
      <c r="A226" s="39"/>
      <c r="B226" s="40">
        <v>2259.0</v>
      </c>
      <c r="C226" s="41" t="s">
        <v>50</v>
      </c>
      <c r="D226" s="86">
        <v>46034.0</v>
      </c>
      <c r="E226" s="43" t="str">
        <f t="shared" si="1"/>
        <v>2026</v>
      </c>
      <c r="F226" s="43" t="str">
        <f t="shared" si="2"/>
        <v>01 Jan</v>
      </c>
      <c r="G226" s="45" t="s">
        <v>155</v>
      </c>
      <c r="H226" s="45" t="s">
        <v>96</v>
      </c>
      <c r="I226" s="45" t="s">
        <v>334</v>
      </c>
      <c r="J226" s="41" t="s">
        <v>56</v>
      </c>
      <c r="K226" s="43" t="str">
        <f t="array" ref="K226">IF(J226="","", XLOOKUP(J226,'⚙️ Pengaturan'!$E$2:$E3237,'⚙️ Pengaturan'!$G$2:$G3237))</f>
        <v>KLINIK FT PAKET</v>
      </c>
      <c r="L226" s="43" t="str">
        <f t="shared" si="3"/>
        <v>LANJUTAN</v>
      </c>
      <c r="M226" s="41" t="s">
        <v>164</v>
      </c>
      <c r="N226" s="46">
        <v>450000.0</v>
      </c>
      <c r="O226" s="65">
        <v>200000.0</v>
      </c>
      <c r="P226" s="48">
        <f t="array" ref="P226">IFNA(XLOOKUP(J226,'⚙️ Pengaturan'!$E$2:$E3237,'⚙️ Pengaturan'!$F$2:$F3237),"")</f>
        <v>650000</v>
      </c>
      <c r="Q226" s="49">
        <f t="shared" si="5"/>
        <v>0</v>
      </c>
      <c r="R226" s="41" t="s">
        <v>37</v>
      </c>
      <c r="S226" s="69" t="s">
        <v>334</v>
      </c>
      <c r="T226" s="51" t="b">
        <v>1</v>
      </c>
      <c r="U226" s="94"/>
    </row>
    <row r="227" ht="30.0" customHeight="1">
      <c r="A227" s="39"/>
      <c r="B227" s="40">
        <v>2260.0</v>
      </c>
      <c r="C227" s="41" t="s">
        <v>50</v>
      </c>
      <c r="D227" s="86">
        <v>46034.0</v>
      </c>
      <c r="E227" s="43" t="str">
        <f t="shared" si="1"/>
        <v>2026</v>
      </c>
      <c r="F227" s="43" t="str">
        <f t="shared" si="2"/>
        <v>01 Jan</v>
      </c>
      <c r="G227" s="45" t="s">
        <v>190</v>
      </c>
      <c r="H227" s="45" t="s">
        <v>76</v>
      </c>
      <c r="I227" s="45" t="s">
        <v>427</v>
      </c>
      <c r="J227" s="41" t="s">
        <v>180</v>
      </c>
      <c r="K227" s="43" t="str">
        <f t="array" ref="K227">IF(J227="","", XLOOKUP(J227,'⚙️ Pengaturan'!$E$2:$E3237,'⚙️ Pengaturan'!$G$2:$G3237))</f>
        <v>KLINIK FT SESI</v>
      </c>
      <c r="L227" s="43" t="str">
        <f t="shared" si="3"/>
        <v>LANJUTAN</v>
      </c>
      <c r="M227" s="41" t="s">
        <v>31</v>
      </c>
      <c r="N227" s="46">
        <v>150000.0</v>
      </c>
      <c r="O227" s="65">
        <v>0.0</v>
      </c>
      <c r="P227" s="48">
        <f t="array" ref="P227">IFNA(XLOOKUP(J227,'⚙️ Pengaturan'!$E$2:$E3237,'⚙️ Pengaturan'!$F$2:$F3237),"")</f>
        <v>150000</v>
      </c>
      <c r="Q227" s="49">
        <f t="shared" si="5"/>
        <v>0</v>
      </c>
      <c r="R227" s="41" t="s">
        <v>32</v>
      </c>
      <c r="S227" s="69" t="s">
        <v>33</v>
      </c>
      <c r="T227" s="51" t="b">
        <v>1</v>
      </c>
      <c r="U227" s="94"/>
    </row>
    <row r="228" ht="30.0" customHeight="1">
      <c r="A228" s="39"/>
      <c r="B228" s="40">
        <v>2261.0</v>
      </c>
      <c r="C228" s="41" t="s">
        <v>50</v>
      </c>
      <c r="D228" s="86">
        <v>46034.0</v>
      </c>
      <c r="E228" s="43" t="str">
        <f t="shared" si="1"/>
        <v>2026</v>
      </c>
      <c r="F228" s="43" t="str">
        <f t="shared" si="2"/>
        <v>01 Jan</v>
      </c>
      <c r="G228" s="45" t="s">
        <v>190</v>
      </c>
      <c r="H228" s="45" t="s">
        <v>150</v>
      </c>
      <c r="I228" s="45" t="s">
        <v>531</v>
      </c>
      <c r="J228" s="41" t="s">
        <v>364</v>
      </c>
      <c r="K228" s="43" t="str">
        <f t="array" ref="K228">IF(J228="","", XLOOKUP(J228,'⚙️ Pengaturan'!$E$2:$E3237,'⚙️ Pengaturan'!$G$2:$G3237))</f>
        <v>VISIT FT PAKET</v>
      </c>
      <c r="L228" s="43" t="str">
        <f t="shared" si="3"/>
        <v>BARU</v>
      </c>
      <c r="M228" s="41" t="s">
        <v>31</v>
      </c>
      <c r="N228" s="46">
        <v>2300000.0</v>
      </c>
      <c r="O228" s="65">
        <v>0.0</v>
      </c>
      <c r="P228" s="48">
        <f t="array" ref="P228">IFNA(XLOOKUP(J228,'⚙️ Pengaturan'!$E$2:$E3237,'⚙️ Pengaturan'!$F$2:$F3237),"")</f>
        <v>2300000</v>
      </c>
      <c r="Q228" s="49">
        <f t="shared" si="5"/>
        <v>0</v>
      </c>
      <c r="R228" s="41" t="s">
        <v>37</v>
      </c>
      <c r="S228" s="69" t="s">
        <v>531</v>
      </c>
      <c r="T228" s="51" t="b">
        <v>1</v>
      </c>
      <c r="U228" s="94"/>
    </row>
    <row r="229" ht="30.0" customHeight="1">
      <c r="A229" s="39"/>
      <c r="B229" s="40">
        <v>2262.0</v>
      </c>
      <c r="C229" s="41" t="s">
        <v>50</v>
      </c>
      <c r="D229" s="86">
        <v>46034.0</v>
      </c>
      <c r="E229" s="43" t="str">
        <f t="shared" si="1"/>
        <v>2026</v>
      </c>
      <c r="F229" s="43" t="str">
        <f t="shared" si="2"/>
        <v>01 Jan</v>
      </c>
      <c r="G229" s="45" t="s">
        <v>190</v>
      </c>
      <c r="H229" s="45" t="s">
        <v>96</v>
      </c>
      <c r="I229" s="45" t="s">
        <v>277</v>
      </c>
      <c r="J229" s="41" t="s">
        <v>56</v>
      </c>
      <c r="K229" s="43" t="str">
        <f t="array" ref="K229">IF(J229="","", XLOOKUP(J229,'⚙️ Pengaturan'!$E$2:$E3237,'⚙️ Pengaturan'!$G$2:$G3237))</f>
        <v>KLINIK FT PAKET</v>
      </c>
      <c r="L229" s="43" t="str">
        <f t="shared" si="3"/>
        <v>LANJUTAN</v>
      </c>
      <c r="M229" s="41" t="s">
        <v>60</v>
      </c>
      <c r="N229" s="46">
        <v>200000.0</v>
      </c>
      <c r="O229" s="65">
        <v>0.0</v>
      </c>
      <c r="P229" s="48">
        <f t="array" ref="P229">IFNA(XLOOKUP(J229,'⚙️ Pengaturan'!$E$2:$E3237,'⚙️ Pengaturan'!$F$2:$F3237),"")</f>
        <v>650000</v>
      </c>
      <c r="Q229" s="49">
        <f t="shared" si="5"/>
        <v>-450000</v>
      </c>
      <c r="R229" s="41" t="s">
        <v>32</v>
      </c>
      <c r="S229" s="69" t="s">
        <v>33</v>
      </c>
      <c r="T229" s="51" t="b">
        <v>1</v>
      </c>
      <c r="U229" s="94"/>
    </row>
    <row r="230" ht="30.0" customHeight="1">
      <c r="A230" s="39"/>
      <c r="B230" s="40">
        <v>2263.0</v>
      </c>
      <c r="C230" s="41" t="s">
        <v>50</v>
      </c>
      <c r="D230" s="86">
        <v>46035.0</v>
      </c>
      <c r="E230" s="43" t="str">
        <f t="shared" si="1"/>
        <v>2026</v>
      </c>
      <c r="F230" s="43" t="str">
        <f t="shared" si="2"/>
        <v>01 Jan</v>
      </c>
      <c r="G230" s="45" t="s">
        <v>206</v>
      </c>
      <c r="H230" s="45" t="s">
        <v>103</v>
      </c>
      <c r="I230" s="45" t="s">
        <v>534</v>
      </c>
      <c r="J230" s="41" t="s">
        <v>92</v>
      </c>
      <c r="K230" s="43" t="str">
        <f t="array" ref="K230">IF(J230="","", XLOOKUP(J230,'⚙️ Pengaturan'!$E$2:$E3237,'⚙️ Pengaturan'!$G$2:$G3237))</f>
        <v>KLINIK FT PAKET</v>
      </c>
      <c r="L230" s="43" t="str">
        <f t="shared" si="3"/>
        <v>BARU</v>
      </c>
      <c r="M230" s="41" t="s">
        <v>31</v>
      </c>
      <c r="N230" s="46">
        <v>1200000.0</v>
      </c>
      <c r="O230" s="65">
        <v>0.0</v>
      </c>
      <c r="P230" s="48">
        <f t="array" ref="P230">IFNA(XLOOKUP(J230,'⚙️ Pengaturan'!$E$2:$E3237,'⚙️ Pengaturan'!$F$2:$F3237),"")</f>
        <v>1200000</v>
      </c>
      <c r="Q230" s="49">
        <f t="shared" si="5"/>
        <v>0</v>
      </c>
      <c r="R230" s="41" t="s">
        <v>32</v>
      </c>
      <c r="S230" s="69" t="s">
        <v>33</v>
      </c>
      <c r="T230" s="51" t="b">
        <v>1</v>
      </c>
      <c r="U230" s="94"/>
    </row>
    <row r="231" ht="30.0" customHeight="1">
      <c r="A231" s="39"/>
      <c r="B231" s="40">
        <v>2264.0</v>
      </c>
      <c r="C231" s="41" t="s">
        <v>50</v>
      </c>
      <c r="D231" s="86">
        <v>46035.0</v>
      </c>
      <c r="E231" s="43" t="str">
        <f t="shared" si="1"/>
        <v>2026</v>
      </c>
      <c r="F231" s="43" t="str">
        <f t="shared" si="2"/>
        <v>01 Jan</v>
      </c>
      <c r="G231" s="45" t="s">
        <v>206</v>
      </c>
      <c r="H231" s="45" t="s">
        <v>76</v>
      </c>
      <c r="I231" s="45" t="s">
        <v>537</v>
      </c>
      <c r="J231" s="41" t="s">
        <v>28</v>
      </c>
      <c r="K231" s="43" t="str">
        <f t="array" ref="K231">IF(J231="","", XLOOKUP(J231,'⚙️ Pengaturan'!$E$2:$E3237,'⚙️ Pengaturan'!$G$2:$G3237))</f>
        <v>KLINIK FT TA</v>
      </c>
      <c r="L231" s="43" t="str">
        <f t="shared" si="3"/>
        <v>BARU</v>
      </c>
      <c r="M231" s="41" t="s">
        <v>31</v>
      </c>
      <c r="N231" s="46">
        <v>250000.0</v>
      </c>
      <c r="O231" s="65">
        <v>0.0</v>
      </c>
      <c r="P231" s="48">
        <f t="array" ref="P231">IFNA(XLOOKUP(J231,'⚙️ Pengaturan'!$E$2:$E3237,'⚙️ Pengaturan'!$F$2:$F3237),"")</f>
        <v>250000</v>
      </c>
      <c r="Q231" s="49">
        <f t="shared" si="5"/>
        <v>0</v>
      </c>
      <c r="R231" s="41" t="s">
        <v>32</v>
      </c>
      <c r="S231" s="69" t="s">
        <v>33</v>
      </c>
      <c r="T231" s="51" t="b">
        <v>1</v>
      </c>
      <c r="U231" s="94"/>
    </row>
    <row r="232" ht="30.0" customHeight="1">
      <c r="A232" s="39"/>
      <c r="B232" s="40">
        <v>2265.0</v>
      </c>
      <c r="C232" s="41" t="s">
        <v>50</v>
      </c>
      <c r="D232" s="86">
        <v>46035.0</v>
      </c>
      <c r="E232" s="43" t="str">
        <f t="shared" si="1"/>
        <v>2026</v>
      </c>
      <c r="F232" s="43" t="str">
        <f t="shared" si="2"/>
        <v>01 Jan</v>
      </c>
      <c r="G232" s="45" t="s">
        <v>206</v>
      </c>
      <c r="H232" s="45" t="s">
        <v>96</v>
      </c>
      <c r="I232" s="45" t="s">
        <v>540</v>
      </c>
      <c r="J232" s="41" t="s">
        <v>291</v>
      </c>
      <c r="K232" s="43" t="str">
        <f t="array" ref="K232">IF(J232="","", XLOOKUP(J232,'⚙️ Pengaturan'!$E$2:$E3237,'⚙️ Pengaturan'!$G$2:$G3237))</f>
        <v>VISIT FT TA</v>
      </c>
      <c r="L232" s="43" t="str">
        <f t="shared" si="3"/>
        <v>BARU</v>
      </c>
      <c r="M232" s="41" t="s">
        <v>31</v>
      </c>
      <c r="N232" s="46">
        <v>350000.0</v>
      </c>
      <c r="O232" s="65">
        <v>0.0</v>
      </c>
      <c r="P232" s="48">
        <f t="array" ref="P232">IFNA(XLOOKUP(J232,'⚙️ Pengaturan'!$E$2:$E3237,'⚙️ Pengaturan'!$F$2:$F3237),"")</f>
        <v>350000</v>
      </c>
      <c r="Q232" s="49">
        <f t="shared" si="5"/>
        <v>0</v>
      </c>
      <c r="R232" s="41" t="s">
        <v>37</v>
      </c>
      <c r="S232" s="69" t="s">
        <v>541</v>
      </c>
      <c r="T232" s="51" t="b">
        <v>1</v>
      </c>
      <c r="U232" s="94"/>
    </row>
    <row r="233" ht="30.0" customHeight="1">
      <c r="A233" s="39"/>
      <c r="B233" s="40">
        <v>2266.0</v>
      </c>
      <c r="C233" s="41" t="s">
        <v>50</v>
      </c>
      <c r="D233" s="86">
        <v>46035.0</v>
      </c>
      <c r="E233" s="43" t="str">
        <f t="shared" si="1"/>
        <v>2026</v>
      </c>
      <c r="F233" s="43" t="str">
        <f t="shared" si="2"/>
        <v>01 Jan</v>
      </c>
      <c r="G233" s="45" t="s">
        <v>206</v>
      </c>
      <c r="H233" s="45" t="s">
        <v>149</v>
      </c>
      <c r="I233" s="45" t="s">
        <v>458</v>
      </c>
      <c r="J233" s="41" t="s">
        <v>56</v>
      </c>
      <c r="K233" s="43" t="str">
        <f t="array" ref="K233">IF(J233="","", XLOOKUP(J233,'⚙️ Pengaturan'!$E$2:$E3237,'⚙️ Pengaturan'!$G$2:$G3237))</f>
        <v>KLINIK FT PAKET</v>
      </c>
      <c r="L233" s="43" t="str">
        <f t="shared" si="3"/>
        <v>BARU</v>
      </c>
      <c r="M233" s="41" t="s">
        <v>31</v>
      </c>
      <c r="N233" s="46">
        <v>650000.0</v>
      </c>
      <c r="O233" s="65">
        <v>0.0</v>
      </c>
      <c r="P233" s="48">
        <f t="array" ref="P233">IFNA(XLOOKUP(J233,'⚙️ Pengaturan'!$E$2:$E3237,'⚙️ Pengaturan'!$F$2:$F3237),"")</f>
        <v>650000</v>
      </c>
      <c r="Q233" s="49">
        <f t="shared" si="5"/>
        <v>0</v>
      </c>
      <c r="R233" s="41" t="s">
        <v>37</v>
      </c>
      <c r="S233" s="69" t="s">
        <v>458</v>
      </c>
      <c r="T233" s="51" t="b">
        <v>1</v>
      </c>
      <c r="U233" s="94"/>
    </row>
    <row r="234" ht="30.0" customHeight="1">
      <c r="A234" s="39"/>
      <c r="B234" s="40">
        <v>2267.0</v>
      </c>
      <c r="C234" s="41" t="s">
        <v>50</v>
      </c>
      <c r="D234" s="86">
        <v>46035.0</v>
      </c>
      <c r="E234" s="43" t="str">
        <f t="shared" si="1"/>
        <v>2026</v>
      </c>
      <c r="F234" s="43" t="str">
        <f t="shared" si="2"/>
        <v>01 Jan</v>
      </c>
      <c r="G234" s="45" t="s">
        <v>161</v>
      </c>
      <c r="H234" s="45" t="s">
        <v>47</v>
      </c>
      <c r="I234" s="45" t="s">
        <v>245</v>
      </c>
      <c r="J234" s="41" t="s">
        <v>180</v>
      </c>
      <c r="K234" s="43" t="str">
        <f t="array" ref="K234">IF(J234="","", XLOOKUP(J234,'⚙️ Pengaturan'!$E$2:$E3237,'⚙️ Pengaturan'!$G$2:$G3237))</f>
        <v>KLINIK FT SESI</v>
      </c>
      <c r="L234" s="43" t="str">
        <f t="shared" si="3"/>
        <v>LANJUTAN</v>
      </c>
      <c r="M234" s="41" t="s">
        <v>31</v>
      </c>
      <c r="N234" s="46">
        <v>150000.0</v>
      </c>
      <c r="O234" s="65">
        <v>0.0</v>
      </c>
      <c r="P234" s="48">
        <f t="array" ref="P234">IFNA(XLOOKUP(J234,'⚙️ Pengaturan'!$E$2:$E3237,'⚙️ Pengaturan'!$F$2:$F3237),"")</f>
        <v>150000</v>
      </c>
      <c r="Q234" s="49">
        <f t="shared" si="5"/>
        <v>0</v>
      </c>
      <c r="R234" s="41" t="s">
        <v>37</v>
      </c>
      <c r="S234" s="69" t="s">
        <v>245</v>
      </c>
      <c r="T234" s="51" t="b">
        <v>1</v>
      </c>
      <c r="U234" s="94"/>
    </row>
    <row r="235" ht="30.0" customHeight="1">
      <c r="A235" s="39"/>
      <c r="B235" s="40">
        <v>2268.0</v>
      </c>
      <c r="C235" s="41" t="s">
        <v>50</v>
      </c>
      <c r="D235" s="86">
        <v>46035.0</v>
      </c>
      <c r="E235" s="43" t="str">
        <f t="shared" si="1"/>
        <v>2026</v>
      </c>
      <c r="F235" s="43" t="str">
        <f t="shared" si="2"/>
        <v>01 Jan</v>
      </c>
      <c r="G235" s="45" t="s">
        <v>161</v>
      </c>
      <c r="H235" s="45" t="s">
        <v>149</v>
      </c>
      <c r="I235" s="45" t="s">
        <v>454</v>
      </c>
      <c r="J235" s="41" t="s">
        <v>92</v>
      </c>
      <c r="K235" s="43" t="str">
        <f t="array" ref="K235">IF(J235="","", XLOOKUP(J235,'⚙️ Pengaturan'!$E$2:$E3237,'⚙️ Pengaturan'!$G$2:$G3237))</f>
        <v>KLINIK FT PAKET</v>
      </c>
      <c r="L235" s="43" t="str">
        <f t="shared" si="3"/>
        <v>BARU</v>
      </c>
      <c r="M235" s="41" t="s">
        <v>31</v>
      </c>
      <c r="N235" s="46">
        <v>1200000.0</v>
      </c>
      <c r="O235" s="65">
        <v>0.0</v>
      </c>
      <c r="P235" s="48">
        <f t="array" ref="P235">IFNA(XLOOKUP(J235,'⚙️ Pengaturan'!$E$2:$E3237,'⚙️ Pengaturan'!$F$2:$F3237),"")</f>
        <v>1200000</v>
      </c>
      <c r="Q235" s="49">
        <f t="shared" si="5"/>
        <v>0</v>
      </c>
      <c r="R235" s="41" t="s">
        <v>32</v>
      </c>
      <c r="S235" s="69" t="s">
        <v>33</v>
      </c>
      <c r="T235" s="51" t="b">
        <v>1</v>
      </c>
      <c r="U235" s="94"/>
    </row>
    <row r="236" ht="30.0" customHeight="1">
      <c r="A236" s="39"/>
      <c r="B236" s="40">
        <v>2269.0</v>
      </c>
      <c r="C236" s="41" t="s">
        <v>79</v>
      </c>
      <c r="D236" s="86">
        <v>46035.0</v>
      </c>
      <c r="E236" s="43" t="str">
        <f t="shared" si="1"/>
        <v>2026</v>
      </c>
      <c r="F236" s="43" t="str">
        <f t="shared" si="2"/>
        <v>01 Jan</v>
      </c>
      <c r="G236" s="45" t="s">
        <v>40</v>
      </c>
      <c r="H236" s="45" t="s">
        <v>150</v>
      </c>
      <c r="I236" s="45" t="s">
        <v>543</v>
      </c>
      <c r="J236" s="41" t="s">
        <v>28</v>
      </c>
      <c r="K236" s="43" t="str">
        <f t="array" ref="K236">IF(J236="","", XLOOKUP(J236,'⚙️ Pengaturan'!$E$2:$E3237,'⚙️ Pengaturan'!$G$2:$G3237))</f>
        <v>KLINIK FT TA</v>
      </c>
      <c r="L236" s="43" t="str">
        <f t="shared" si="3"/>
        <v>BARU</v>
      </c>
      <c r="M236" s="41" t="s">
        <v>31</v>
      </c>
      <c r="N236" s="46">
        <v>250000.0</v>
      </c>
      <c r="O236" s="65">
        <v>0.0</v>
      </c>
      <c r="P236" s="48">
        <f t="array" ref="P236">IFNA(XLOOKUP(J236,'⚙️ Pengaturan'!$E$2:$E3237,'⚙️ Pengaturan'!$F$2:$F3237),"")</f>
        <v>250000</v>
      </c>
      <c r="Q236" s="49">
        <f t="shared" si="5"/>
        <v>0</v>
      </c>
      <c r="R236" s="41" t="s">
        <v>37</v>
      </c>
      <c r="S236" s="69" t="s">
        <v>543</v>
      </c>
      <c r="T236" s="51" t="b">
        <v>1</v>
      </c>
      <c r="U236" s="94"/>
    </row>
    <row r="237" ht="30.0" customHeight="1">
      <c r="A237" s="39"/>
      <c r="B237" s="40">
        <v>2270.0</v>
      </c>
      <c r="C237" s="41" t="s">
        <v>79</v>
      </c>
      <c r="D237" s="86">
        <v>46035.0</v>
      </c>
      <c r="E237" s="43" t="str">
        <f t="shared" si="1"/>
        <v>2026</v>
      </c>
      <c r="F237" s="43" t="str">
        <f t="shared" si="2"/>
        <v>01 Jan</v>
      </c>
      <c r="G237" s="45" t="s">
        <v>40</v>
      </c>
      <c r="H237" s="45" t="s">
        <v>162</v>
      </c>
      <c r="I237" s="45" t="s">
        <v>544</v>
      </c>
      <c r="J237" s="41" t="s">
        <v>28</v>
      </c>
      <c r="K237" s="43" t="str">
        <f t="array" ref="K237">IF(J237="","", XLOOKUP(J237,'⚙️ Pengaturan'!$E$2:$E3237,'⚙️ Pengaturan'!$G$2:$G3237))</f>
        <v>KLINIK FT TA</v>
      </c>
      <c r="L237" s="43" t="str">
        <f t="shared" si="3"/>
        <v>BARU</v>
      </c>
      <c r="M237" s="41" t="s">
        <v>31</v>
      </c>
      <c r="N237" s="46">
        <v>250000.0</v>
      </c>
      <c r="O237" s="65">
        <v>0.0</v>
      </c>
      <c r="P237" s="48">
        <f t="array" ref="P237">IFNA(XLOOKUP(J237,'⚙️ Pengaturan'!$E$2:$E3237,'⚙️ Pengaturan'!$F$2:$F3237),"")</f>
        <v>250000</v>
      </c>
      <c r="Q237" s="49">
        <f t="shared" si="5"/>
        <v>0</v>
      </c>
      <c r="R237" s="41" t="s">
        <v>32</v>
      </c>
      <c r="S237" s="69" t="s">
        <v>33</v>
      </c>
      <c r="T237" s="51" t="b">
        <v>1</v>
      </c>
      <c r="U237" s="94"/>
    </row>
    <row r="238" ht="30.0" customHeight="1">
      <c r="A238" s="39"/>
      <c r="B238" s="40">
        <v>2271.0</v>
      </c>
      <c r="C238" s="41" t="s">
        <v>79</v>
      </c>
      <c r="D238" s="86">
        <v>46035.0</v>
      </c>
      <c r="E238" s="43" t="str">
        <f t="shared" si="1"/>
        <v>2026</v>
      </c>
      <c r="F238" s="43" t="str">
        <f t="shared" si="2"/>
        <v>01 Jan</v>
      </c>
      <c r="G238" s="45" t="s">
        <v>40</v>
      </c>
      <c r="H238" s="45" t="s">
        <v>166</v>
      </c>
      <c r="I238" s="45" t="s">
        <v>484</v>
      </c>
      <c r="J238" s="41" t="s">
        <v>180</v>
      </c>
      <c r="K238" s="43" t="str">
        <f t="array" ref="K238">IF(J238="","", XLOOKUP(J238,'⚙️ Pengaturan'!$E$2:$E3237,'⚙️ Pengaturan'!$G$2:$G3237))</f>
        <v>KLINIK FT SESI</v>
      </c>
      <c r="L238" s="43" t="str">
        <f t="shared" si="3"/>
        <v>BARU</v>
      </c>
      <c r="M238" s="41" t="s">
        <v>31</v>
      </c>
      <c r="N238" s="46">
        <v>150000.0</v>
      </c>
      <c r="O238" s="65">
        <v>0.0</v>
      </c>
      <c r="P238" s="48">
        <f t="array" ref="P238">IFNA(XLOOKUP(J238,'⚙️ Pengaturan'!$E$2:$E3237,'⚙️ Pengaturan'!$F$2:$F3237),"")</f>
        <v>150000</v>
      </c>
      <c r="Q238" s="49">
        <f t="shared" si="5"/>
        <v>0</v>
      </c>
      <c r="R238" s="41" t="s">
        <v>37</v>
      </c>
      <c r="S238" s="69" t="s">
        <v>484</v>
      </c>
      <c r="T238" s="51" t="b">
        <v>1</v>
      </c>
      <c r="U238" s="94"/>
    </row>
    <row r="239" ht="30.0" customHeight="1">
      <c r="A239" s="39"/>
      <c r="B239" s="40">
        <v>2272.0</v>
      </c>
      <c r="C239" s="41" t="s">
        <v>79</v>
      </c>
      <c r="D239" s="86">
        <v>46035.0</v>
      </c>
      <c r="E239" s="43" t="str">
        <f t="shared" si="1"/>
        <v>2026</v>
      </c>
      <c r="F239" s="43" t="str">
        <f t="shared" si="2"/>
        <v>01 Jan</v>
      </c>
      <c r="G239" s="45" t="s">
        <v>173</v>
      </c>
      <c r="H239" s="45" t="s">
        <v>26</v>
      </c>
      <c r="I239" s="45" t="s">
        <v>546</v>
      </c>
      <c r="J239" s="41" t="s">
        <v>28</v>
      </c>
      <c r="K239" s="43" t="str">
        <f t="array" ref="K239">IF(J239="","", XLOOKUP(J239,'⚙️ Pengaturan'!$E$2:$E3237,'⚙️ Pengaturan'!$G$2:$G3237))</f>
        <v>KLINIK FT TA</v>
      </c>
      <c r="L239" s="43" t="str">
        <f t="shared" si="3"/>
        <v>BARU</v>
      </c>
      <c r="M239" s="41" t="s">
        <v>31</v>
      </c>
      <c r="N239" s="46">
        <v>250000.0</v>
      </c>
      <c r="O239" s="65">
        <v>0.0</v>
      </c>
      <c r="P239" s="48">
        <f t="array" ref="P239">IFNA(XLOOKUP(J239,'⚙️ Pengaturan'!$E$2:$E3237,'⚙️ Pengaturan'!$F$2:$F3237),"")</f>
        <v>250000</v>
      </c>
      <c r="Q239" s="49">
        <f t="shared" si="5"/>
        <v>0</v>
      </c>
      <c r="R239" s="41" t="s">
        <v>37</v>
      </c>
      <c r="S239" s="69" t="s">
        <v>546</v>
      </c>
      <c r="T239" s="51" t="b">
        <v>1</v>
      </c>
      <c r="U239" s="94"/>
    </row>
    <row r="240" ht="30.0" customHeight="1">
      <c r="A240" s="39"/>
      <c r="B240" s="40">
        <v>2273.0</v>
      </c>
      <c r="C240" s="41" t="s">
        <v>79</v>
      </c>
      <c r="D240" s="86">
        <v>46035.0</v>
      </c>
      <c r="E240" s="43" t="str">
        <f t="shared" si="1"/>
        <v>2026</v>
      </c>
      <c r="F240" s="43" t="str">
        <f t="shared" si="2"/>
        <v>01 Jan</v>
      </c>
      <c r="G240" s="45" t="s">
        <v>195</v>
      </c>
      <c r="H240" s="45" t="s">
        <v>26</v>
      </c>
      <c r="I240" s="45" t="s">
        <v>546</v>
      </c>
      <c r="J240" s="41" t="s">
        <v>92</v>
      </c>
      <c r="K240" s="43" t="str">
        <f t="array" ref="K240">IF(J240="","", XLOOKUP(J240,'⚙️ Pengaturan'!$E$2:$E3237,'⚙️ Pengaturan'!$G$2:$G3237))</f>
        <v>KLINIK FT PAKET</v>
      </c>
      <c r="L240" s="43" t="str">
        <f t="shared" si="3"/>
        <v>BARU</v>
      </c>
      <c r="M240" s="41" t="s">
        <v>31</v>
      </c>
      <c r="N240" s="46">
        <v>1200000.0</v>
      </c>
      <c r="O240" s="65">
        <v>0.0</v>
      </c>
      <c r="P240" s="48">
        <f t="array" ref="P240">IFNA(XLOOKUP(J240,'⚙️ Pengaturan'!$E$2:$E3237,'⚙️ Pengaturan'!$F$2:$F3237),"")</f>
        <v>1200000</v>
      </c>
      <c r="Q240" s="49">
        <f t="shared" si="5"/>
        <v>0</v>
      </c>
      <c r="R240" s="41" t="s">
        <v>37</v>
      </c>
      <c r="S240" s="69" t="s">
        <v>546</v>
      </c>
      <c r="T240" s="51" t="b">
        <v>1</v>
      </c>
      <c r="U240" s="94"/>
    </row>
    <row r="241" ht="30.0" customHeight="1">
      <c r="A241" s="39"/>
      <c r="B241" s="40">
        <v>2274.0</v>
      </c>
      <c r="C241" s="41" t="s">
        <v>79</v>
      </c>
      <c r="D241" s="86">
        <v>46035.0</v>
      </c>
      <c r="E241" s="43" t="str">
        <f t="shared" si="1"/>
        <v>2026</v>
      </c>
      <c r="F241" s="43" t="str">
        <f t="shared" si="2"/>
        <v>01 Jan</v>
      </c>
      <c r="G241" s="45" t="s">
        <v>173</v>
      </c>
      <c r="H241" s="45" t="s">
        <v>162</v>
      </c>
      <c r="I241" s="45" t="s">
        <v>549</v>
      </c>
      <c r="J241" s="41" t="s">
        <v>28</v>
      </c>
      <c r="K241" s="43" t="str">
        <f t="array" ref="K241">IF(J241="","", XLOOKUP(J241,'⚙️ Pengaturan'!$E$2:$E3237,'⚙️ Pengaturan'!$G$2:$G3237))</f>
        <v>KLINIK FT TA</v>
      </c>
      <c r="L241" s="43" t="str">
        <f t="shared" si="3"/>
        <v>BARU</v>
      </c>
      <c r="M241" s="41" t="s">
        <v>31</v>
      </c>
      <c r="N241" s="46">
        <v>250000.0</v>
      </c>
      <c r="O241" s="65">
        <v>0.0</v>
      </c>
      <c r="P241" s="48">
        <f t="array" ref="P241">IFNA(XLOOKUP(J241,'⚙️ Pengaturan'!$E$2:$E3237,'⚙️ Pengaturan'!$F$2:$F3237),"")</f>
        <v>250000</v>
      </c>
      <c r="Q241" s="49">
        <f t="shared" si="5"/>
        <v>0</v>
      </c>
      <c r="R241" s="41" t="s">
        <v>37</v>
      </c>
      <c r="S241" s="69" t="s">
        <v>550</v>
      </c>
      <c r="T241" s="51" t="b">
        <v>1</v>
      </c>
      <c r="U241" s="94"/>
    </row>
    <row r="242" ht="30.0" customHeight="1">
      <c r="A242" s="39"/>
      <c r="B242" s="40">
        <v>2275.0</v>
      </c>
      <c r="C242" s="41" t="s">
        <v>79</v>
      </c>
      <c r="D242" s="86">
        <v>46035.0</v>
      </c>
      <c r="E242" s="43" t="str">
        <f t="shared" si="1"/>
        <v>2026</v>
      </c>
      <c r="F242" s="43" t="str">
        <f t="shared" si="2"/>
        <v>01 Jan</v>
      </c>
      <c r="G242" s="45" t="s">
        <v>173</v>
      </c>
      <c r="H242" s="45" t="s">
        <v>166</v>
      </c>
      <c r="I242" s="45" t="s">
        <v>504</v>
      </c>
      <c r="J242" s="41" t="s">
        <v>180</v>
      </c>
      <c r="K242" s="43" t="str">
        <f t="array" ref="K242">IF(J242="","", XLOOKUP(J242,'⚙️ Pengaturan'!$E$2:$E3237,'⚙️ Pengaturan'!$G$2:$G3237))</f>
        <v>KLINIK FT SESI</v>
      </c>
      <c r="L242" s="43" t="str">
        <f t="shared" si="3"/>
        <v>BARU</v>
      </c>
      <c r="M242" s="41" t="s">
        <v>31</v>
      </c>
      <c r="N242" s="46">
        <v>150000.0</v>
      </c>
      <c r="O242" s="65">
        <v>0.0</v>
      </c>
      <c r="P242" s="48">
        <f t="array" ref="P242">IFNA(XLOOKUP(J242,'⚙️ Pengaturan'!$E$2:$E3237,'⚙️ Pengaturan'!$F$2:$F3237),"")</f>
        <v>150000</v>
      </c>
      <c r="Q242" s="49">
        <f t="shared" si="5"/>
        <v>0</v>
      </c>
      <c r="R242" s="41" t="s">
        <v>32</v>
      </c>
      <c r="S242" s="69" t="s">
        <v>33</v>
      </c>
      <c r="T242" s="51" t="b">
        <v>1</v>
      </c>
      <c r="U242" s="94"/>
    </row>
    <row r="243" ht="30.0" customHeight="1">
      <c r="A243" s="39"/>
      <c r="B243" s="40">
        <v>2276.0</v>
      </c>
      <c r="C243" s="41" t="s">
        <v>79</v>
      </c>
      <c r="D243" s="86">
        <v>46035.0</v>
      </c>
      <c r="E243" s="43" t="str">
        <f t="shared" si="1"/>
        <v>2026</v>
      </c>
      <c r="F243" s="43" t="str">
        <f t="shared" si="2"/>
        <v>01 Jan</v>
      </c>
      <c r="G243" s="45" t="s">
        <v>155</v>
      </c>
      <c r="H243" s="45" t="s">
        <v>150</v>
      </c>
      <c r="I243" s="45" t="s">
        <v>554</v>
      </c>
      <c r="J243" s="41" t="s">
        <v>92</v>
      </c>
      <c r="K243" s="43" t="str">
        <f t="array" ref="K243">IF(J243="","", XLOOKUP(J243,'⚙️ Pengaturan'!$E$2:$E3237,'⚙️ Pengaturan'!$G$2:$G3237))</f>
        <v>KLINIK FT PAKET</v>
      </c>
      <c r="L243" s="43" t="str">
        <f t="shared" si="3"/>
        <v>BARU</v>
      </c>
      <c r="M243" s="41" t="s">
        <v>31</v>
      </c>
      <c r="N243" s="46">
        <v>1200000.0</v>
      </c>
      <c r="O243" s="65">
        <v>0.0</v>
      </c>
      <c r="P243" s="48">
        <f t="array" ref="P243">IFNA(XLOOKUP(J243,'⚙️ Pengaturan'!$E$2:$E3237,'⚙️ Pengaturan'!$F$2:$F3237),"")</f>
        <v>1200000</v>
      </c>
      <c r="Q243" s="49">
        <f t="shared" si="5"/>
        <v>0</v>
      </c>
      <c r="R243" s="41" t="s">
        <v>37</v>
      </c>
      <c r="S243" s="69" t="s">
        <v>554</v>
      </c>
      <c r="T243" s="51" t="b">
        <v>1</v>
      </c>
      <c r="U243" s="94"/>
    </row>
    <row r="244" ht="30.0" customHeight="1">
      <c r="A244" s="39"/>
      <c r="B244" s="40">
        <v>2277.0</v>
      </c>
      <c r="C244" s="41" t="s">
        <v>79</v>
      </c>
      <c r="D244" s="86">
        <v>46035.0</v>
      </c>
      <c r="E244" s="43" t="str">
        <f t="shared" si="1"/>
        <v>2026</v>
      </c>
      <c r="F244" s="43" t="str">
        <f t="shared" si="2"/>
        <v>01 Jan</v>
      </c>
      <c r="G244" s="45" t="s">
        <v>155</v>
      </c>
      <c r="H244" s="45" t="s">
        <v>150</v>
      </c>
      <c r="I244" s="45" t="s">
        <v>554</v>
      </c>
      <c r="J244" s="41" t="s">
        <v>92</v>
      </c>
      <c r="K244" s="43" t="str">
        <f t="array" ref="K244">IF(J244="","", XLOOKUP(J244,'⚙️ Pengaturan'!$E$2:$E3237,'⚙️ Pengaturan'!$G$2:$G3237))</f>
        <v>KLINIK FT PAKET</v>
      </c>
      <c r="L244" s="43" t="str">
        <f t="shared" si="3"/>
        <v>LANJUTAN</v>
      </c>
      <c r="M244" s="41" t="s">
        <v>31</v>
      </c>
      <c r="N244" s="46">
        <v>1200000.0</v>
      </c>
      <c r="O244" s="65">
        <v>0.0</v>
      </c>
      <c r="P244" s="48">
        <f t="array" ref="P244">IFNA(XLOOKUP(J244,'⚙️ Pengaturan'!$E$2:$E3237,'⚙️ Pengaturan'!$F$2:$F3237),"")</f>
        <v>1200000</v>
      </c>
      <c r="Q244" s="49">
        <f t="shared" si="5"/>
        <v>0</v>
      </c>
      <c r="R244" s="41" t="s">
        <v>37</v>
      </c>
      <c r="S244" s="69" t="s">
        <v>554</v>
      </c>
      <c r="T244" s="51" t="b">
        <v>1</v>
      </c>
      <c r="U244" s="94"/>
    </row>
    <row r="245" ht="30.0" customHeight="1">
      <c r="A245" s="39"/>
      <c r="B245" s="40">
        <v>2278.0</v>
      </c>
      <c r="C245" s="41" t="s">
        <v>79</v>
      </c>
      <c r="D245" s="86">
        <v>46035.0</v>
      </c>
      <c r="E245" s="43" t="str">
        <f t="shared" si="1"/>
        <v>2026</v>
      </c>
      <c r="F245" s="43" t="str">
        <f t="shared" si="2"/>
        <v>01 Jan</v>
      </c>
      <c r="G245" s="45" t="s">
        <v>155</v>
      </c>
      <c r="H245" s="45" t="s">
        <v>166</v>
      </c>
      <c r="I245" s="45" t="s">
        <v>558</v>
      </c>
      <c r="J245" s="41" t="s">
        <v>28</v>
      </c>
      <c r="K245" s="43" t="str">
        <f t="array" ref="K245">IF(J245="","", XLOOKUP(J245,'⚙️ Pengaturan'!$E$2:$E3237,'⚙️ Pengaturan'!$G$2:$G3237))</f>
        <v>KLINIK FT TA</v>
      </c>
      <c r="L245" s="43" t="str">
        <f t="shared" si="3"/>
        <v>BARU</v>
      </c>
      <c r="M245" s="41" t="s">
        <v>31</v>
      </c>
      <c r="N245" s="46">
        <v>250000.0</v>
      </c>
      <c r="O245" s="65">
        <v>0.0</v>
      </c>
      <c r="P245" s="48">
        <f t="array" ref="P245">IFNA(XLOOKUP(J245,'⚙️ Pengaturan'!$E$2:$E3237,'⚙️ Pengaturan'!$F$2:$F3237),"")</f>
        <v>250000</v>
      </c>
      <c r="Q245" s="49">
        <f t="shared" si="5"/>
        <v>0</v>
      </c>
      <c r="R245" s="41" t="s">
        <v>32</v>
      </c>
      <c r="S245" s="69" t="s">
        <v>33</v>
      </c>
      <c r="T245" s="51" t="b">
        <v>1</v>
      </c>
      <c r="U245" s="94"/>
    </row>
    <row r="246" ht="30.0" customHeight="1">
      <c r="A246" s="39"/>
      <c r="B246" s="40">
        <v>2279.0</v>
      </c>
      <c r="C246" s="41" t="s">
        <v>79</v>
      </c>
      <c r="D246" s="86">
        <v>46035.0</v>
      </c>
      <c r="E246" s="43" t="str">
        <f t="shared" si="1"/>
        <v>2026</v>
      </c>
      <c r="F246" s="43" t="str">
        <f t="shared" si="2"/>
        <v>01 Jan</v>
      </c>
      <c r="G246" s="45" t="s">
        <v>155</v>
      </c>
      <c r="H246" s="45" t="s">
        <v>26</v>
      </c>
      <c r="I246" s="45" t="s">
        <v>561</v>
      </c>
      <c r="J246" s="41" t="s">
        <v>92</v>
      </c>
      <c r="K246" s="43" t="str">
        <f t="array" ref="K246">IF(J246="","", XLOOKUP(J246,'⚙️ Pengaturan'!$E$2:$E3237,'⚙️ Pengaturan'!$G$2:$G3237))</f>
        <v>KLINIK FT PAKET</v>
      </c>
      <c r="L246" s="43" t="str">
        <f t="shared" si="3"/>
        <v>BARU</v>
      </c>
      <c r="M246" s="41" t="s">
        <v>31</v>
      </c>
      <c r="N246" s="46">
        <v>1200000.0</v>
      </c>
      <c r="O246" s="65">
        <v>0.0</v>
      </c>
      <c r="P246" s="48">
        <f t="array" ref="P246">IFNA(XLOOKUP(J246,'⚙️ Pengaturan'!$E$2:$E3237,'⚙️ Pengaturan'!$F$2:$F3237),"")</f>
        <v>1200000</v>
      </c>
      <c r="Q246" s="49">
        <f t="shared" si="5"/>
        <v>0</v>
      </c>
      <c r="R246" s="41" t="s">
        <v>37</v>
      </c>
      <c r="S246" s="69" t="s">
        <v>561</v>
      </c>
      <c r="T246" s="51" t="b">
        <v>1</v>
      </c>
      <c r="U246" s="94"/>
    </row>
    <row r="247" ht="30.0" customHeight="1">
      <c r="A247" s="39"/>
      <c r="B247" s="40">
        <v>2280.0</v>
      </c>
      <c r="C247" s="41" t="s">
        <v>79</v>
      </c>
      <c r="D247" s="86">
        <v>46035.0</v>
      </c>
      <c r="E247" s="43" t="str">
        <f t="shared" si="1"/>
        <v>2026</v>
      </c>
      <c r="F247" s="43" t="str">
        <f t="shared" si="2"/>
        <v>01 Jan</v>
      </c>
      <c r="G247" s="45" t="s">
        <v>190</v>
      </c>
      <c r="H247" s="45" t="s">
        <v>26</v>
      </c>
      <c r="I247" s="45" t="s">
        <v>497</v>
      </c>
      <c r="J247" s="41" t="s">
        <v>180</v>
      </c>
      <c r="K247" s="43" t="str">
        <f t="array" ref="K247">IF(J247="","", XLOOKUP(J247,'⚙️ Pengaturan'!$E$2:$E3237,'⚙️ Pengaturan'!$G$2:$G3237))</f>
        <v>KLINIK FT SESI</v>
      </c>
      <c r="L247" s="43" t="str">
        <f t="shared" si="3"/>
        <v>BARU</v>
      </c>
      <c r="M247" s="41" t="s">
        <v>31</v>
      </c>
      <c r="N247" s="46">
        <v>150000.0</v>
      </c>
      <c r="O247" s="65">
        <v>0.0</v>
      </c>
      <c r="P247" s="48">
        <f t="array" ref="P247">IFNA(XLOOKUP(J247,'⚙️ Pengaturan'!$E$2:$E3237,'⚙️ Pengaturan'!$F$2:$F3237),"")</f>
        <v>150000</v>
      </c>
      <c r="Q247" s="49">
        <f t="shared" si="5"/>
        <v>0</v>
      </c>
      <c r="R247" s="41" t="s">
        <v>32</v>
      </c>
      <c r="S247" s="69" t="s">
        <v>33</v>
      </c>
      <c r="T247" s="51" t="b">
        <v>1</v>
      </c>
      <c r="U247" s="94"/>
    </row>
    <row r="248" ht="30.0" customHeight="1">
      <c r="A248" s="39"/>
      <c r="B248" s="40">
        <v>2281.0</v>
      </c>
      <c r="C248" s="41" t="s">
        <v>79</v>
      </c>
      <c r="D248" s="86">
        <v>46036.0</v>
      </c>
      <c r="E248" s="43" t="str">
        <f t="shared" si="1"/>
        <v>2026</v>
      </c>
      <c r="F248" s="43" t="str">
        <f t="shared" si="2"/>
        <v>01 Jan</v>
      </c>
      <c r="G248" s="45" t="s">
        <v>69</v>
      </c>
      <c r="H248" s="45" t="s">
        <v>149</v>
      </c>
      <c r="I248" s="45" t="s">
        <v>564</v>
      </c>
      <c r="J248" s="41" t="s">
        <v>138</v>
      </c>
      <c r="K248" s="43" t="str">
        <f t="array" ref="K248">IF(J248="","", XLOOKUP(J248,'⚙️ Pengaturan'!$E$2:$E3237,'⚙️ Pengaturan'!$G$2:$G3237))</f>
        <v>VISIT FT PAKET</v>
      </c>
      <c r="L248" s="43" t="str">
        <f t="shared" si="3"/>
        <v>BARU</v>
      </c>
      <c r="M248" s="41" t="s">
        <v>164</v>
      </c>
      <c r="N248" s="46">
        <v>800000.0</v>
      </c>
      <c r="O248" s="65">
        <v>1000000.0</v>
      </c>
      <c r="P248" s="48">
        <f t="array" ref="P248">IFNA(XLOOKUP(J248,'⚙️ Pengaturan'!$E$2:$E3237,'⚙️ Pengaturan'!$F$2:$F3237),"")</f>
        <v>1800000</v>
      </c>
      <c r="Q248" s="49">
        <f t="shared" si="5"/>
        <v>0</v>
      </c>
      <c r="R248" s="41" t="s">
        <v>32</v>
      </c>
      <c r="S248" s="69" t="s">
        <v>33</v>
      </c>
      <c r="T248" s="51" t="b">
        <v>1</v>
      </c>
      <c r="U248" s="94"/>
    </row>
    <row r="249" ht="30.0" customHeight="1">
      <c r="A249" s="39"/>
      <c r="B249" s="40">
        <v>2282.0</v>
      </c>
      <c r="C249" s="41" t="s">
        <v>79</v>
      </c>
      <c r="D249" s="86">
        <v>46036.0</v>
      </c>
      <c r="E249" s="43" t="str">
        <f t="shared" si="1"/>
        <v>2026</v>
      </c>
      <c r="F249" s="43" t="str">
        <f t="shared" si="2"/>
        <v>01 Jan</v>
      </c>
      <c r="G249" s="45" t="s">
        <v>195</v>
      </c>
      <c r="H249" s="45" t="s">
        <v>76</v>
      </c>
      <c r="I249" s="45" t="s">
        <v>507</v>
      </c>
      <c r="J249" s="41" t="s">
        <v>56</v>
      </c>
      <c r="K249" s="43" t="str">
        <f t="array" ref="K249">IF(J249="","", XLOOKUP(J249,'⚙️ Pengaturan'!$E$2:$E3237,'⚙️ Pengaturan'!$G$2:$G3237))</f>
        <v>KLINIK FT PAKET</v>
      </c>
      <c r="L249" s="43" t="str">
        <f t="shared" si="3"/>
        <v>BARU</v>
      </c>
      <c r="M249" s="41" t="s">
        <v>60</v>
      </c>
      <c r="N249" s="46">
        <v>200000.0</v>
      </c>
      <c r="O249" s="65">
        <v>0.0</v>
      </c>
      <c r="P249" s="48">
        <f t="array" ref="P249">IFNA(XLOOKUP(J249,'⚙️ Pengaturan'!$E$2:$E3237,'⚙️ Pengaturan'!$F$2:$F3237),"")</f>
        <v>650000</v>
      </c>
      <c r="Q249" s="49">
        <f t="shared" si="5"/>
        <v>-450000</v>
      </c>
      <c r="R249" s="41" t="s">
        <v>32</v>
      </c>
      <c r="S249" s="69" t="s">
        <v>33</v>
      </c>
      <c r="T249" s="51" t="b">
        <v>1</v>
      </c>
      <c r="U249" s="94"/>
    </row>
    <row r="250" ht="30.0" customHeight="1">
      <c r="A250" s="39"/>
      <c r="B250" s="40">
        <v>2283.0</v>
      </c>
      <c r="C250" s="41" t="s">
        <v>79</v>
      </c>
      <c r="D250" s="86">
        <v>46036.0</v>
      </c>
      <c r="E250" s="43" t="str">
        <f t="shared" si="1"/>
        <v>2026</v>
      </c>
      <c r="F250" s="43" t="str">
        <f t="shared" si="2"/>
        <v>01 Jan</v>
      </c>
      <c r="G250" s="126" t="s">
        <v>25</v>
      </c>
      <c r="H250" s="45" t="s">
        <v>76</v>
      </c>
      <c r="I250" s="45" t="s">
        <v>513</v>
      </c>
      <c r="J250" s="41" t="s">
        <v>180</v>
      </c>
      <c r="K250" s="43" t="str">
        <f t="array" ref="K250">IF(J250="","", XLOOKUP(J250,'⚙️ Pengaturan'!$E$2:$E3237,'⚙️ Pengaturan'!$G$2:$G3237))</f>
        <v>KLINIK FT SESI</v>
      </c>
      <c r="L250" s="43" t="str">
        <f t="shared" si="3"/>
        <v>BARU</v>
      </c>
      <c r="M250" s="41" t="s">
        <v>31</v>
      </c>
      <c r="N250" s="46">
        <v>150000.0</v>
      </c>
      <c r="O250" s="65">
        <v>0.0</v>
      </c>
      <c r="P250" s="48">
        <f t="array" ref="P250">IFNA(XLOOKUP(J250,'⚙️ Pengaturan'!$E$2:$E3237,'⚙️ Pengaturan'!$F$2:$F3237),"")</f>
        <v>150000</v>
      </c>
      <c r="Q250" s="49">
        <f t="shared" si="5"/>
        <v>0</v>
      </c>
      <c r="R250" s="41" t="s">
        <v>37</v>
      </c>
      <c r="S250" s="69" t="s">
        <v>566</v>
      </c>
      <c r="T250" s="51" t="b">
        <v>1</v>
      </c>
      <c r="U250" s="94"/>
    </row>
    <row r="251" ht="30.0" customHeight="1">
      <c r="A251" s="39"/>
      <c r="B251" s="40">
        <v>2284.0</v>
      </c>
      <c r="C251" s="41" t="s">
        <v>79</v>
      </c>
      <c r="D251" s="86">
        <v>46036.0</v>
      </c>
      <c r="E251" s="43" t="str">
        <f t="shared" si="1"/>
        <v>2026</v>
      </c>
      <c r="F251" s="43" t="str">
        <f t="shared" si="2"/>
        <v>01 Jan</v>
      </c>
      <c r="G251" s="126" t="s">
        <v>25</v>
      </c>
      <c r="H251" s="45" t="s">
        <v>96</v>
      </c>
      <c r="I251" s="45" t="s">
        <v>413</v>
      </c>
      <c r="J251" s="41" t="s">
        <v>180</v>
      </c>
      <c r="K251" s="43" t="str">
        <f t="array" ref="K251">IF(J251="","", XLOOKUP(J251,'⚙️ Pengaturan'!$E$2:$E3237,'⚙️ Pengaturan'!$G$2:$G3237))</f>
        <v>KLINIK FT SESI</v>
      </c>
      <c r="L251" s="43" t="str">
        <f t="shared" si="3"/>
        <v>LANJUTAN</v>
      </c>
      <c r="M251" s="41" t="s">
        <v>31</v>
      </c>
      <c r="N251" s="46">
        <v>150000.0</v>
      </c>
      <c r="O251" s="65">
        <v>0.0</v>
      </c>
      <c r="P251" s="48">
        <f t="array" ref="P251">IFNA(XLOOKUP(J251,'⚙️ Pengaturan'!$E$2:$E3237,'⚙️ Pengaturan'!$F$2:$F3237),"")</f>
        <v>150000</v>
      </c>
      <c r="Q251" s="49">
        <f t="shared" si="5"/>
        <v>0</v>
      </c>
      <c r="R251" s="41" t="s">
        <v>37</v>
      </c>
      <c r="S251" s="69" t="s">
        <v>413</v>
      </c>
      <c r="T251" s="51" t="b">
        <v>1</v>
      </c>
      <c r="U251" s="94"/>
    </row>
    <row r="252" ht="30.0" customHeight="1">
      <c r="A252" s="39"/>
      <c r="B252" s="40">
        <v>2285.0</v>
      </c>
      <c r="C252" s="41" t="s">
        <v>79</v>
      </c>
      <c r="D252" s="86">
        <v>46036.0</v>
      </c>
      <c r="E252" s="43" t="str">
        <f t="shared" si="1"/>
        <v>2026</v>
      </c>
      <c r="F252" s="43" t="str">
        <f t="shared" si="2"/>
        <v>01 Jan</v>
      </c>
      <c r="G252" s="126" t="s">
        <v>161</v>
      </c>
      <c r="H252" s="45" t="s">
        <v>76</v>
      </c>
      <c r="I252" s="45" t="s">
        <v>569</v>
      </c>
      <c r="J252" s="41" t="s">
        <v>28</v>
      </c>
      <c r="K252" s="43" t="str">
        <f t="array" ref="K252">IF(J252="","", XLOOKUP(J252,'⚙️ Pengaturan'!$E$2:$E3237,'⚙️ Pengaturan'!$G$2:$G3237))</f>
        <v>KLINIK FT TA</v>
      </c>
      <c r="L252" s="43" t="str">
        <f t="shared" si="3"/>
        <v>BARU</v>
      </c>
      <c r="M252" s="41" t="s">
        <v>31</v>
      </c>
      <c r="N252" s="46">
        <v>250000.0</v>
      </c>
      <c r="O252" s="65">
        <v>0.0</v>
      </c>
      <c r="P252" s="48">
        <f t="array" ref="P252">IFNA(XLOOKUP(J252,'⚙️ Pengaturan'!$E$2:$E3237,'⚙️ Pengaturan'!$F$2:$F3237),"")</f>
        <v>250000</v>
      </c>
      <c r="Q252" s="49">
        <f t="shared" si="5"/>
        <v>0</v>
      </c>
      <c r="R252" s="41" t="s">
        <v>37</v>
      </c>
      <c r="S252" s="69" t="s">
        <v>569</v>
      </c>
      <c r="T252" s="51" t="b">
        <v>1</v>
      </c>
      <c r="U252" s="94"/>
    </row>
    <row r="253" ht="30.0" customHeight="1">
      <c r="A253" s="39"/>
      <c r="B253" s="40">
        <v>2286.0</v>
      </c>
      <c r="C253" s="41" t="s">
        <v>79</v>
      </c>
      <c r="D253" s="86">
        <v>46036.0</v>
      </c>
      <c r="E253" s="43" t="str">
        <f t="shared" si="1"/>
        <v>2026</v>
      </c>
      <c r="F253" s="43" t="str">
        <f t="shared" si="2"/>
        <v>01 Jan</v>
      </c>
      <c r="G253" s="126" t="s">
        <v>161</v>
      </c>
      <c r="H253" s="45" t="s">
        <v>47</v>
      </c>
      <c r="I253" s="45" t="s">
        <v>571</v>
      </c>
      <c r="J253" s="41" t="s">
        <v>28</v>
      </c>
      <c r="K253" s="43" t="str">
        <f t="array" ref="K253">IF(J253="","", XLOOKUP(J253,'⚙️ Pengaturan'!$E$2:$E3237,'⚙️ Pengaturan'!$G$2:$G3237))</f>
        <v>KLINIK FT TA</v>
      </c>
      <c r="L253" s="43" t="str">
        <f t="shared" si="3"/>
        <v>BARU</v>
      </c>
      <c r="M253" s="41" t="s">
        <v>31</v>
      </c>
      <c r="N253" s="46">
        <v>250000.0</v>
      </c>
      <c r="O253" s="65">
        <v>0.0</v>
      </c>
      <c r="P253" s="48">
        <f t="array" ref="P253">IFNA(XLOOKUP(J253,'⚙️ Pengaturan'!$E$2:$E3237,'⚙️ Pengaturan'!$F$2:$F3237),"")</f>
        <v>250000</v>
      </c>
      <c r="Q253" s="49">
        <f t="shared" si="5"/>
        <v>0</v>
      </c>
      <c r="R253" s="41" t="s">
        <v>37</v>
      </c>
      <c r="S253" s="69" t="s">
        <v>572</v>
      </c>
      <c r="T253" s="51" t="b">
        <v>1</v>
      </c>
      <c r="U253" s="94"/>
    </row>
    <row r="254" ht="30.0" customHeight="1">
      <c r="A254" s="39"/>
      <c r="B254" s="40">
        <v>2287.0</v>
      </c>
      <c r="C254" s="41" t="s">
        <v>79</v>
      </c>
      <c r="D254" s="86">
        <v>46036.0</v>
      </c>
      <c r="E254" s="43" t="str">
        <f t="shared" si="1"/>
        <v>2026</v>
      </c>
      <c r="F254" s="43" t="str">
        <f t="shared" si="2"/>
        <v>01 Jan</v>
      </c>
      <c r="G254" s="126" t="s">
        <v>35</v>
      </c>
      <c r="H254" s="45" t="s">
        <v>76</v>
      </c>
      <c r="I254" s="45" t="s">
        <v>573</v>
      </c>
      <c r="J254" s="41" t="s">
        <v>28</v>
      </c>
      <c r="K254" s="43" t="str">
        <f t="array" ref="K254">IF(J254="","", XLOOKUP(J254,'⚙️ Pengaturan'!$E$2:$E3237,'⚙️ Pengaturan'!$G$2:$G3237))</f>
        <v>KLINIK FT TA</v>
      </c>
      <c r="L254" s="43" t="str">
        <f t="shared" si="3"/>
        <v>BARU</v>
      </c>
      <c r="M254" s="41" t="s">
        <v>31</v>
      </c>
      <c r="N254" s="46">
        <v>250000.0</v>
      </c>
      <c r="O254" s="65">
        <v>0.0</v>
      </c>
      <c r="P254" s="48">
        <f t="array" ref="P254">IFNA(XLOOKUP(J254,'⚙️ Pengaturan'!$E$2:$E3237,'⚙️ Pengaturan'!$F$2:$F3237),"")</f>
        <v>250000</v>
      </c>
      <c r="Q254" s="49">
        <f t="shared" si="5"/>
        <v>0</v>
      </c>
      <c r="R254" s="41" t="s">
        <v>37</v>
      </c>
      <c r="S254" s="69" t="s">
        <v>573</v>
      </c>
      <c r="T254" s="51" t="b">
        <v>1</v>
      </c>
      <c r="U254" s="94"/>
    </row>
    <row r="255" ht="30.0" customHeight="1">
      <c r="A255" s="39"/>
      <c r="B255" s="40">
        <v>2288.0</v>
      </c>
      <c r="C255" s="41" t="s">
        <v>50</v>
      </c>
      <c r="D255" s="86">
        <v>46036.0</v>
      </c>
      <c r="E255" s="43" t="str">
        <f t="shared" si="1"/>
        <v>2026</v>
      </c>
      <c r="F255" s="43" t="str">
        <f t="shared" si="2"/>
        <v>01 Jan</v>
      </c>
      <c r="G255" s="126" t="s">
        <v>40</v>
      </c>
      <c r="H255" s="45" t="s">
        <v>162</v>
      </c>
      <c r="I255" s="45" t="s">
        <v>544</v>
      </c>
      <c r="J255" s="41" t="s">
        <v>56</v>
      </c>
      <c r="K255" s="43" t="str">
        <f t="array" ref="K255">IF(J255="","", XLOOKUP(J255,'⚙️ Pengaturan'!$E$2:$E3237,'⚙️ Pengaturan'!$G$2:$G3237))</f>
        <v>KLINIK FT PAKET</v>
      </c>
      <c r="L255" s="43" t="str">
        <f t="shared" si="3"/>
        <v>BARU</v>
      </c>
      <c r="M255" s="41" t="s">
        <v>60</v>
      </c>
      <c r="N255" s="46">
        <v>200000.0</v>
      </c>
      <c r="O255" s="65">
        <v>0.0</v>
      </c>
      <c r="P255" s="48">
        <f t="array" ref="P255">IFNA(XLOOKUP(J255,'⚙️ Pengaturan'!$E$2:$E3237,'⚙️ Pengaturan'!$F$2:$F3237),"")</f>
        <v>650000</v>
      </c>
      <c r="Q255" s="49">
        <f t="shared" si="5"/>
        <v>-450000</v>
      </c>
      <c r="R255" s="41" t="s">
        <v>37</v>
      </c>
      <c r="S255" s="69" t="s">
        <v>544</v>
      </c>
      <c r="T255" s="51" t="b">
        <v>1</v>
      </c>
      <c r="U255" s="94"/>
    </row>
    <row r="256" ht="30.0" customHeight="1">
      <c r="A256" s="39"/>
      <c r="B256" s="40">
        <v>2289.0</v>
      </c>
      <c r="C256" s="41" t="s">
        <v>50</v>
      </c>
      <c r="D256" s="86">
        <v>46036.0</v>
      </c>
      <c r="E256" s="43" t="str">
        <f t="shared" si="1"/>
        <v>2026</v>
      </c>
      <c r="F256" s="43" t="str">
        <f t="shared" si="2"/>
        <v>01 Jan</v>
      </c>
      <c r="G256" s="126" t="s">
        <v>43</v>
      </c>
      <c r="H256" s="45" t="s">
        <v>162</v>
      </c>
      <c r="I256" s="45" t="s">
        <v>516</v>
      </c>
      <c r="J256" s="41" t="s">
        <v>92</v>
      </c>
      <c r="K256" s="43" t="str">
        <f t="array" ref="K256">IF(J256="","", XLOOKUP(J256,'⚙️ Pengaturan'!$E$2:$E3237,'⚙️ Pengaturan'!$G$2:$G3237))</f>
        <v>KLINIK FT PAKET</v>
      </c>
      <c r="L256" s="43" t="str">
        <f t="shared" si="3"/>
        <v>BARU</v>
      </c>
      <c r="M256" s="41" t="s">
        <v>60</v>
      </c>
      <c r="N256" s="46">
        <v>500000.0</v>
      </c>
      <c r="O256" s="65">
        <v>0.0</v>
      </c>
      <c r="P256" s="48">
        <f t="array" ref="P256">IFNA(XLOOKUP(J256,'⚙️ Pengaturan'!$E$2:$E3237,'⚙️ Pengaturan'!$F$2:$F3237),"")</f>
        <v>1200000</v>
      </c>
      <c r="Q256" s="49">
        <f t="shared" si="5"/>
        <v>-700000</v>
      </c>
      <c r="R256" s="41" t="s">
        <v>37</v>
      </c>
      <c r="S256" s="69" t="s">
        <v>575</v>
      </c>
      <c r="T256" s="51" t="b">
        <v>1</v>
      </c>
      <c r="U256" s="94"/>
    </row>
    <row r="257" ht="30.0" customHeight="1">
      <c r="A257" s="39"/>
      <c r="B257" s="40">
        <v>2290.0</v>
      </c>
      <c r="C257" s="41" t="s">
        <v>50</v>
      </c>
      <c r="D257" s="86">
        <v>46036.0</v>
      </c>
      <c r="E257" s="43" t="str">
        <f t="shared" si="1"/>
        <v>2026</v>
      </c>
      <c r="F257" s="43" t="str">
        <f t="shared" si="2"/>
        <v>01 Jan</v>
      </c>
      <c r="G257" s="126" t="s">
        <v>43</v>
      </c>
      <c r="H257" s="45" t="s">
        <v>150</v>
      </c>
      <c r="I257" s="45" t="s">
        <v>576</v>
      </c>
      <c r="J257" s="41" t="s">
        <v>28</v>
      </c>
      <c r="K257" s="43" t="str">
        <f t="array" ref="K257">IF(J257="","", XLOOKUP(J257,'⚙️ Pengaturan'!$E$2:$E3237,'⚙️ Pengaturan'!$G$2:$G3237))</f>
        <v>KLINIK FT TA</v>
      </c>
      <c r="L257" s="43" t="str">
        <f t="shared" si="3"/>
        <v>BARU</v>
      </c>
      <c r="M257" s="41" t="s">
        <v>31</v>
      </c>
      <c r="N257" s="46">
        <v>250000.0</v>
      </c>
      <c r="O257" s="65">
        <v>0.0</v>
      </c>
      <c r="P257" s="48">
        <f t="array" ref="P257">IFNA(XLOOKUP(J257,'⚙️ Pengaturan'!$E$2:$E3237,'⚙️ Pengaturan'!$F$2:$F3237),"")</f>
        <v>250000</v>
      </c>
      <c r="Q257" s="49">
        <f t="shared" si="5"/>
        <v>0</v>
      </c>
      <c r="R257" s="41" t="s">
        <v>37</v>
      </c>
      <c r="S257" s="69" t="s">
        <v>576</v>
      </c>
      <c r="T257" s="51" t="b">
        <v>1</v>
      </c>
      <c r="U257" s="94"/>
    </row>
    <row r="258" ht="30.0" customHeight="1">
      <c r="A258" s="39"/>
      <c r="B258" s="40">
        <v>2291.0</v>
      </c>
      <c r="C258" s="41" t="s">
        <v>50</v>
      </c>
      <c r="D258" s="86">
        <v>46036.0</v>
      </c>
      <c r="E258" s="43" t="str">
        <f t="shared" si="1"/>
        <v>2026</v>
      </c>
      <c r="F258" s="43" t="str">
        <f t="shared" si="2"/>
        <v>01 Jan</v>
      </c>
      <c r="G258" s="126" t="s">
        <v>173</v>
      </c>
      <c r="H258" s="45" t="s">
        <v>150</v>
      </c>
      <c r="I258" s="45" t="s">
        <v>505</v>
      </c>
      <c r="J258" s="41" t="s">
        <v>92</v>
      </c>
      <c r="K258" s="43" t="str">
        <f t="array" ref="K258">IF(J258="","", XLOOKUP(J258,'⚙️ Pengaturan'!$E$2:$E3237,'⚙️ Pengaturan'!$G$2:$G3237))</f>
        <v>KLINIK FT PAKET</v>
      </c>
      <c r="L258" s="43" t="str">
        <f t="shared" si="3"/>
        <v>BARU</v>
      </c>
      <c r="M258" s="41" t="s">
        <v>60</v>
      </c>
      <c r="N258" s="46">
        <v>500000.0</v>
      </c>
      <c r="O258" s="65">
        <v>0.0</v>
      </c>
      <c r="P258" s="48">
        <f t="array" ref="P258">IFNA(XLOOKUP(J258,'⚙️ Pengaturan'!$E$2:$E3237,'⚙️ Pengaturan'!$F$2:$F3237),"")</f>
        <v>1200000</v>
      </c>
      <c r="Q258" s="49">
        <f t="shared" si="5"/>
        <v>-700000</v>
      </c>
      <c r="R258" s="41" t="s">
        <v>37</v>
      </c>
      <c r="S258" s="69" t="s">
        <v>505</v>
      </c>
      <c r="T258" s="51" t="b">
        <v>1</v>
      </c>
      <c r="U258" s="94"/>
    </row>
    <row r="259" ht="30.0" customHeight="1">
      <c r="A259" s="39"/>
      <c r="B259" s="40">
        <v>2292.0</v>
      </c>
      <c r="C259" s="41" t="s">
        <v>50</v>
      </c>
      <c r="D259" s="86">
        <v>46036.0</v>
      </c>
      <c r="E259" s="43" t="str">
        <f t="shared" si="1"/>
        <v>2026</v>
      </c>
      <c r="F259" s="43" t="str">
        <f t="shared" si="2"/>
        <v>01 Jan</v>
      </c>
      <c r="G259" s="126" t="s">
        <v>173</v>
      </c>
      <c r="H259" s="45" t="s">
        <v>166</v>
      </c>
      <c r="I259" s="45" t="s">
        <v>577</v>
      </c>
      <c r="J259" s="41" t="s">
        <v>28</v>
      </c>
      <c r="K259" s="43" t="str">
        <f t="array" ref="K259">IF(J259="","", XLOOKUP(J259,'⚙️ Pengaturan'!$E$2:$E3237,'⚙️ Pengaturan'!$G$2:$G3237))</f>
        <v>KLINIK FT TA</v>
      </c>
      <c r="L259" s="43" t="str">
        <f t="shared" si="3"/>
        <v>BARU</v>
      </c>
      <c r="M259" s="41" t="s">
        <v>31</v>
      </c>
      <c r="N259" s="46">
        <v>250000.0</v>
      </c>
      <c r="O259" s="65">
        <v>0.0</v>
      </c>
      <c r="P259" s="48">
        <f t="array" ref="P259">IFNA(XLOOKUP(J259,'⚙️ Pengaturan'!$E$2:$E3237,'⚙️ Pengaturan'!$F$2:$F3237),"")</f>
        <v>250000</v>
      </c>
      <c r="Q259" s="49">
        <f t="shared" si="5"/>
        <v>0</v>
      </c>
      <c r="R259" s="41" t="s">
        <v>32</v>
      </c>
      <c r="S259" s="69" t="s">
        <v>33</v>
      </c>
      <c r="T259" s="51" t="b">
        <v>1</v>
      </c>
      <c r="U259" s="94"/>
    </row>
    <row r="260" ht="30.0" customHeight="1">
      <c r="A260" s="39"/>
      <c r="B260" s="40">
        <v>2293.0</v>
      </c>
      <c r="C260" s="41" t="s">
        <v>50</v>
      </c>
      <c r="D260" s="86">
        <v>46036.0</v>
      </c>
      <c r="E260" s="43" t="str">
        <f t="shared" si="1"/>
        <v>2026</v>
      </c>
      <c r="F260" s="43" t="str">
        <f t="shared" si="2"/>
        <v>01 Jan</v>
      </c>
      <c r="G260" s="126" t="s">
        <v>173</v>
      </c>
      <c r="H260" s="45" t="s">
        <v>166</v>
      </c>
      <c r="I260" s="45" t="s">
        <v>577</v>
      </c>
      <c r="J260" s="41" t="s">
        <v>56</v>
      </c>
      <c r="K260" s="43" t="str">
        <f t="array" ref="K260">IF(J260="","", XLOOKUP(J260,'⚙️ Pengaturan'!$E$2:$E3237,'⚙️ Pengaturan'!$G$2:$G3237))</f>
        <v>KLINIK FT PAKET</v>
      </c>
      <c r="L260" s="43" t="str">
        <f t="shared" si="3"/>
        <v>BARU</v>
      </c>
      <c r="M260" s="41" t="s">
        <v>31</v>
      </c>
      <c r="N260" s="46">
        <v>650000.0</v>
      </c>
      <c r="O260" s="65">
        <v>0.0</v>
      </c>
      <c r="P260" s="48">
        <f t="array" ref="P260">IFNA(XLOOKUP(J260,'⚙️ Pengaturan'!$E$2:$E3237,'⚙️ Pengaturan'!$F$2:$F3237),"")</f>
        <v>650000</v>
      </c>
      <c r="Q260" s="49">
        <f t="shared" si="5"/>
        <v>0</v>
      </c>
      <c r="R260" s="41" t="s">
        <v>32</v>
      </c>
      <c r="S260" s="69" t="s">
        <v>33</v>
      </c>
      <c r="T260" s="51" t="b">
        <v>1</v>
      </c>
      <c r="U260" s="94"/>
    </row>
    <row r="261" ht="30.0" customHeight="1">
      <c r="A261" s="39"/>
      <c r="B261" s="40">
        <v>2294.0</v>
      </c>
      <c r="C261" s="41" t="s">
        <v>50</v>
      </c>
      <c r="D261" s="86">
        <v>46036.0</v>
      </c>
      <c r="E261" s="43" t="str">
        <f t="shared" si="1"/>
        <v>2026</v>
      </c>
      <c r="F261" s="43" t="str">
        <f t="shared" si="2"/>
        <v>01 Jan</v>
      </c>
      <c r="G261" s="126" t="s">
        <v>155</v>
      </c>
      <c r="H261" s="45" t="s">
        <v>166</v>
      </c>
      <c r="I261" s="45" t="s">
        <v>478</v>
      </c>
      <c r="J261" s="41" t="s">
        <v>180</v>
      </c>
      <c r="K261" s="43" t="str">
        <f t="array" ref="K261">IF(J261="","", XLOOKUP(J261,'⚙️ Pengaturan'!$E$2:$E3237,'⚙️ Pengaturan'!$G$2:$G3237))</f>
        <v>KLINIK FT SESI</v>
      </c>
      <c r="L261" s="43" t="str">
        <f t="shared" si="3"/>
        <v>LANJUTAN</v>
      </c>
      <c r="M261" s="41" t="s">
        <v>31</v>
      </c>
      <c r="N261" s="46">
        <v>150000.0</v>
      </c>
      <c r="O261" s="65">
        <v>0.0</v>
      </c>
      <c r="P261" s="48">
        <f t="array" ref="P261">IFNA(XLOOKUP(J261,'⚙️ Pengaturan'!$E$2:$E3237,'⚙️ Pengaturan'!$F$2:$F3237),"")</f>
        <v>150000</v>
      </c>
      <c r="Q261" s="49">
        <f t="shared" si="5"/>
        <v>0</v>
      </c>
      <c r="R261" s="41" t="s">
        <v>37</v>
      </c>
      <c r="S261" s="69" t="s">
        <v>478</v>
      </c>
      <c r="T261" s="51" t="b">
        <v>1</v>
      </c>
      <c r="U261" s="94"/>
    </row>
    <row r="262" ht="30.0" customHeight="1">
      <c r="A262" s="39"/>
      <c r="B262" s="40">
        <v>2295.0</v>
      </c>
      <c r="C262" s="41" t="s">
        <v>50</v>
      </c>
      <c r="D262" s="86">
        <v>46036.0</v>
      </c>
      <c r="E262" s="43" t="str">
        <f t="shared" si="1"/>
        <v>2026</v>
      </c>
      <c r="F262" s="43" t="str">
        <f t="shared" si="2"/>
        <v>01 Jan</v>
      </c>
      <c r="G262" s="126" t="s">
        <v>190</v>
      </c>
      <c r="H262" s="45" t="s">
        <v>162</v>
      </c>
      <c r="I262" s="45" t="s">
        <v>477</v>
      </c>
      <c r="J262" s="41" t="s">
        <v>180</v>
      </c>
      <c r="K262" s="43" t="str">
        <f t="array" ref="K262">IF(J262="","", XLOOKUP(J262,'⚙️ Pengaturan'!$E$2:$E3237,'⚙️ Pengaturan'!$G$2:$G3237))</f>
        <v>KLINIK FT SESI</v>
      </c>
      <c r="L262" s="43" t="str">
        <f t="shared" si="3"/>
        <v>BARU</v>
      </c>
      <c r="M262" s="41" t="s">
        <v>31</v>
      </c>
      <c r="N262" s="46">
        <v>150000.0</v>
      </c>
      <c r="O262" s="65">
        <v>0.0</v>
      </c>
      <c r="P262" s="48">
        <f t="array" ref="P262">IFNA(XLOOKUP(J262,'⚙️ Pengaturan'!$E$2:$E3237,'⚙️ Pengaturan'!$F$2:$F3237),"")</f>
        <v>150000</v>
      </c>
      <c r="Q262" s="49">
        <f t="shared" si="5"/>
        <v>0</v>
      </c>
      <c r="R262" s="41" t="s">
        <v>32</v>
      </c>
      <c r="S262" s="69" t="s">
        <v>33</v>
      </c>
      <c r="T262" s="51" t="b">
        <v>1</v>
      </c>
      <c r="U262" s="94"/>
    </row>
    <row r="263" ht="30.0" customHeight="1">
      <c r="A263" s="39"/>
      <c r="B263" s="40">
        <v>2296.0</v>
      </c>
      <c r="C263" s="41" t="s">
        <v>50</v>
      </c>
      <c r="D263" s="86">
        <v>46036.0</v>
      </c>
      <c r="E263" s="43" t="str">
        <f t="shared" si="1"/>
        <v>2026</v>
      </c>
      <c r="F263" s="43" t="str">
        <f t="shared" si="2"/>
        <v>01 Jan</v>
      </c>
      <c r="G263" s="126" t="s">
        <v>69</v>
      </c>
      <c r="H263" s="45" t="s">
        <v>76</v>
      </c>
      <c r="I263" s="45" t="s">
        <v>579</v>
      </c>
      <c r="J263" s="41" t="s">
        <v>323</v>
      </c>
      <c r="K263" s="43" t="str">
        <f t="array" ref="K263">IF(J263="","", XLOOKUP(J263,'⚙️ Pengaturan'!$E$2:$E3237,'⚙️ Pengaturan'!$G$2:$G3237))</f>
        <v>VISIT FT SESI</v>
      </c>
      <c r="L263" s="43" t="str">
        <f t="shared" si="3"/>
        <v>BARU</v>
      </c>
      <c r="M263" s="41" t="s">
        <v>31</v>
      </c>
      <c r="N263" s="46">
        <v>200000.0</v>
      </c>
      <c r="O263" s="65">
        <v>0.0</v>
      </c>
      <c r="P263" s="48">
        <f t="array" ref="P263">IFNA(XLOOKUP(J263,'⚙️ Pengaturan'!$E$2:$E3237,'⚙️ Pengaturan'!$F$2:$F3237),"")</f>
        <v>200000</v>
      </c>
      <c r="Q263" s="49">
        <f t="shared" si="5"/>
        <v>0</v>
      </c>
      <c r="R263" s="41" t="s">
        <v>32</v>
      </c>
      <c r="S263" s="69" t="s">
        <v>33</v>
      </c>
      <c r="T263" s="51" t="b">
        <v>1</v>
      </c>
      <c r="U263" s="94"/>
    </row>
    <row r="264" ht="30.0" customHeight="1">
      <c r="A264" s="39"/>
      <c r="B264" s="40">
        <v>2297.0</v>
      </c>
      <c r="C264" s="41" t="s">
        <v>79</v>
      </c>
      <c r="D264" s="86">
        <v>46037.0</v>
      </c>
      <c r="E264" s="43" t="str">
        <f t="shared" si="1"/>
        <v>2026</v>
      </c>
      <c r="F264" s="43" t="str">
        <f t="shared" si="2"/>
        <v>01 Jan</v>
      </c>
      <c r="G264" s="126" t="s">
        <v>195</v>
      </c>
      <c r="H264" s="45" t="s">
        <v>150</v>
      </c>
      <c r="I264" s="45" t="s">
        <v>580</v>
      </c>
      <c r="J264" s="41" t="s">
        <v>28</v>
      </c>
      <c r="K264" s="43" t="str">
        <f t="array" ref="K264">IF(J264="","", XLOOKUP(J264,'⚙️ Pengaturan'!$E$2:$E3237,'⚙️ Pengaturan'!$G$2:$G3237))</f>
        <v>KLINIK FT TA</v>
      </c>
      <c r="L264" s="43" t="str">
        <f t="shared" si="3"/>
        <v>BARU</v>
      </c>
      <c r="M264" s="41" t="s">
        <v>31</v>
      </c>
      <c r="N264" s="46">
        <v>250000.0</v>
      </c>
      <c r="O264" s="65">
        <v>0.0</v>
      </c>
      <c r="P264" s="48">
        <f t="array" ref="P264">IFNA(XLOOKUP(J264,'⚙️ Pengaturan'!$E$2:$E3237,'⚙️ Pengaturan'!$F$2:$F3237),"")</f>
        <v>250000</v>
      </c>
      <c r="Q264" s="49">
        <f t="shared" si="5"/>
        <v>0</v>
      </c>
      <c r="R264" s="41" t="s">
        <v>32</v>
      </c>
      <c r="S264" s="69" t="s">
        <v>33</v>
      </c>
      <c r="T264" s="51" t="b">
        <v>1</v>
      </c>
      <c r="U264" s="94"/>
    </row>
    <row r="265" ht="30.0" customHeight="1">
      <c r="A265" s="39"/>
      <c r="B265" s="40">
        <v>2298.0</v>
      </c>
      <c r="C265" s="41" t="s">
        <v>79</v>
      </c>
      <c r="D265" s="86">
        <v>46037.0</v>
      </c>
      <c r="E265" s="43" t="str">
        <f t="shared" si="1"/>
        <v>2026</v>
      </c>
      <c r="F265" s="43" t="str">
        <f t="shared" si="2"/>
        <v>01 Jan</v>
      </c>
      <c r="G265" s="126" t="s">
        <v>195</v>
      </c>
      <c r="H265" s="45" t="s">
        <v>162</v>
      </c>
      <c r="I265" s="45" t="s">
        <v>549</v>
      </c>
      <c r="J265" s="41" t="s">
        <v>180</v>
      </c>
      <c r="K265" s="43" t="str">
        <f t="array" ref="K265">IF(J265="","", XLOOKUP(J265,'⚙️ Pengaturan'!$E$2:$E3237,'⚙️ Pengaturan'!$G$2:$G3237))</f>
        <v>KLINIK FT SESI</v>
      </c>
      <c r="L265" s="43" t="str">
        <f t="shared" si="3"/>
        <v>BARU</v>
      </c>
      <c r="M265" s="41" t="s">
        <v>31</v>
      </c>
      <c r="N265" s="46">
        <v>150000.0</v>
      </c>
      <c r="O265" s="65">
        <v>0.0</v>
      </c>
      <c r="P265" s="48">
        <f t="array" ref="P265">IFNA(XLOOKUP(J265,'⚙️ Pengaturan'!$E$2:$E3237,'⚙️ Pengaturan'!$F$2:$F3237),"")</f>
        <v>150000</v>
      </c>
      <c r="Q265" s="49">
        <f t="shared" si="5"/>
        <v>0</v>
      </c>
      <c r="R265" s="41" t="s">
        <v>37</v>
      </c>
      <c r="S265" s="69" t="s">
        <v>550</v>
      </c>
      <c r="T265" s="51" t="b">
        <v>1</v>
      </c>
      <c r="U265" s="94"/>
    </row>
    <row r="266" ht="30.0" customHeight="1">
      <c r="A266" s="39"/>
      <c r="B266" s="40">
        <v>2299.0</v>
      </c>
      <c r="C266" s="41" t="s">
        <v>79</v>
      </c>
      <c r="D266" s="86">
        <v>46037.0</v>
      </c>
      <c r="E266" s="43" t="str">
        <f t="shared" si="1"/>
        <v>2026</v>
      </c>
      <c r="F266" s="43" t="str">
        <f t="shared" si="2"/>
        <v>01 Jan</v>
      </c>
      <c r="G266" s="126" t="s">
        <v>25</v>
      </c>
      <c r="H266" s="45" t="s">
        <v>162</v>
      </c>
      <c r="I266" s="45" t="s">
        <v>581</v>
      </c>
      <c r="J266" s="41" t="s">
        <v>28</v>
      </c>
      <c r="K266" s="43" t="str">
        <f t="array" ref="K266">IF(J266="","", XLOOKUP(J266,'⚙️ Pengaturan'!$E$2:$E3237,'⚙️ Pengaturan'!$G$2:$G3237))</f>
        <v>KLINIK FT TA</v>
      </c>
      <c r="L266" s="43" t="str">
        <f t="shared" si="3"/>
        <v>BARU</v>
      </c>
      <c r="M266" s="41" t="s">
        <v>31</v>
      </c>
      <c r="N266" s="46">
        <v>250000.0</v>
      </c>
      <c r="O266" s="65">
        <v>0.0</v>
      </c>
      <c r="P266" s="48">
        <f t="array" ref="P266">IFNA(XLOOKUP(J266,'⚙️ Pengaturan'!$E$2:$E3237,'⚙️ Pengaturan'!$F$2:$F3237),"")</f>
        <v>250000</v>
      </c>
      <c r="Q266" s="49">
        <f t="shared" si="5"/>
        <v>0</v>
      </c>
      <c r="R266" s="41" t="s">
        <v>32</v>
      </c>
      <c r="S266" s="69" t="s">
        <v>33</v>
      </c>
      <c r="T266" s="51" t="b">
        <v>1</v>
      </c>
      <c r="U266" s="94"/>
    </row>
    <row r="267" ht="30.0" customHeight="1">
      <c r="A267" s="39"/>
      <c r="B267" s="40">
        <v>2300.0</v>
      </c>
      <c r="C267" s="41" t="s">
        <v>79</v>
      </c>
      <c r="D267" s="86">
        <v>46037.0</v>
      </c>
      <c r="E267" s="43" t="str">
        <f t="shared" si="1"/>
        <v>2026</v>
      </c>
      <c r="F267" s="43" t="str">
        <f t="shared" si="2"/>
        <v>01 Jan</v>
      </c>
      <c r="G267" s="126" t="s">
        <v>206</v>
      </c>
      <c r="H267" s="45" t="s">
        <v>26</v>
      </c>
      <c r="I267" s="45" t="s">
        <v>438</v>
      </c>
      <c r="J267" s="41" t="s">
        <v>56</v>
      </c>
      <c r="K267" s="43" t="str">
        <f t="array" ref="K267">IF(J267="","", XLOOKUP(J267,'⚙️ Pengaturan'!$E$2:$E3237,'⚙️ Pengaturan'!$G$2:$G3237))</f>
        <v>KLINIK FT PAKET</v>
      </c>
      <c r="L267" s="43" t="str">
        <f t="shared" si="3"/>
        <v>LANJUTAN</v>
      </c>
      <c r="M267" s="41" t="s">
        <v>164</v>
      </c>
      <c r="N267" s="46">
        <v>150000.0</v>
      </c>
      <c r="O267" s="65">
        <v>500000.0</v>
      </c>
      <c r="P267" s="48">
        <f t="array" ref="P267">IFNA(XLOOKUP(J267,'⚙️ Pengaturan'!$E$2:$E3237,'⚙️ Pengaturan'!$F$2:$F3237),"")</f>
        <v>650000</v>
      </c>
      <c r="Q267" s="49">
        <f t="shared" si="5"/>
        <v>0</v>
      </c>
      <c r="R267" s="41" t="s">
        <v>32</v>
      </c>
      <c r="S267" s="69" t="s">
        <v>33</v>
      </c>
      <c r="T267" s="51" t="b">
        <v>1</v>
      </c>
      <c r="U267" s="94"/>
    </row>
    <row r="268" ht="30.0" customHeight="1">
      <c r="A268" s="39"/>
      <c r="B268" s="40">
        <v>2301.0</v>
      </c>
      <c r="C268" s="41" t="s">
        <v>79</v>
      </c>
      <c r="D268" s="86">
        <v>46037.0</v>
      </c>
      <c r="E268" s="43" t="str">
        <f t="shared" si="1"/>
        <v>2026</v>
      </c>
      <c r="F268" s="43" t="str">
        <f t="shared" si="2"/>
        <v>01 Jan</v>
      </c>
      <c r="G268" s="126" t="s">
        <v>206</v>
      </c>
      <c r="H268" s="45" t="s">
        <v>150</v>
      </c>
      <c r="I268" s="45" t="s">
        <v>582</v>
      </c>
      <c r="J268" s="41" t="s">
        <v>28</v>
      </c>
      <c r="K268" s="43" t="str">
        <f t="array" ref="K268">IF(J268="","", XLOOKUP(J268,'⚙️ Pengaturan'!$E$2:$E3237,'⚙️ Pengaturan'!$G$2:$G3237))</f>
        <v>KLINIK FT TA</v>
      </c>
      <c r="L268" s="43" t="str">
        <f t="shared" si="3"/>
        <v>BARU</v>
      </c>
      <c r="M268" s="41" t="s">
        <v>31</v>
      </c>
      <c r="N268" s="46">
        <v>250000.0</v>
      </c>
      <c r="O268" s="65">
        <v>0.0</v>
      </c>
      <c r="P268" s="48">
        <f t="array" ref="P268">IFNA(XLOOKUP(J268,'⚙️ Pengaturan'!$E$2:$E3237,'⚙️ Pengaturan'!$F$2:$F3237),"")</f>
        <v>250000</v>
      </c>
      <c r="Q268" s="49">
        <f t="shared" si="5"/>
        <v>0</v>
      </c>
      <c r="R268" s="41" t="s">
        <v>37</v>
      </c>
      <c r="S268" s="69" t="s">
        <v>582</v>
      </c>
      <c r="T268" s="51" t="b">
        <v>1</v>
      </c>
      <c r="U268" s="94"/>
    </row>
    <row r="269" ht="30.0" customHeight="1">
      <c r="A269" s="39"/>
      <c r="B269" s="40">
        <v>2302.0</v>
      </c>
      <c r="C269" s="41" t="s">
        <v>79</v>
      </c>
      <c r="D269" s="86">
        <v>46037.0</v>
      </c>
      <c r="E269" s="43" t="str">
        <f t="shared" si="1"/>
        <v>2026</v>
      </c>
      <c r="F269" s="43" t="str">
        <f t="shared" si="2"/>
        <v>01 Jan</v>
      </c>
      <c r="G269" s="126" t="s">
        <v>241</v>
      </c>
      <c r="H269" s="45" t="s">
        <v>150</v>
      </c>
      <c r="I269" s="45" t="s">
        <v>498</v>
      </c>
      <c r="J269" s="41" t="s">
        <v>56</v>
      </c>
      <c r="K269" s="43" t="str">
        <f t="array" ref="K269">IF(J269="","", XLOOKUP(J269,'⚙️ Pengaturan'!$E$2:$E3237,'⚙️ Pengaturan'!$G$2:$G3237))</f>
        <v>KLINIK FT PAKET</v>
      </c>
      <c r="L269" s="43" t="str">
        <f t="shared" si="3"/>
        <v>LANJUTAN</v>
      </c>
      <c r="M269" s="41" t="s">
        <v>164</v>
      </c>
      <c r="N269" s="46">
        <v>450000.0</v>
      </c>
      <c r="O269" s="65">
        <v>200000.0</v>
      </c>
      <c r="P269" s="48">
        <f t="array" ref="P269">IFNA(XLOOKUP(J269,'⚙️ Pengaturan'!$E$2:$E3237,'⚙️ Pengaturan'!$F$2:$F3237),"")</f>
        <v>650000</v>
      </c>
      <c r="Q269" s="49">
        <f t="shared" si="5"/>
        <v>0</v>
      </c>
      <c r="R269" s="41" t="s">
        <v>32</v>
      </c>
      <c r="S269" s="69" t="s">
        <v>33</v>
      </c>
      <c r="T269" s="51" t="b">
        <v>1</v>
      </c>
      <c r="U269" s="94"/>
    </row>
    <row r="270" ht="30.0" customHeight="1">
      <c r="A270" s="39"/>
      <c r="B270" s="40">
        <v>2303.0</v>
      </c>
      <c r="C270" s="41" t="s">
        <v>79</v>
      </c>
      <c r="D270" s="86">
        <v>46037.0</v>
      </c>
      <c r="E270" s="43" t="str">
        <f t="shared" si="1"/>
        <v>2026</v>
      </c>
      <c r="F270" s="43" t="str">
        <f t="shared" si="2"/>
        <v>01 Jan</v>
      </c>
      <c r="G270" s="126" t="s">
        <v>241</v>
      </c>
      <c r="H270" s="45" t="s">
        <v>166</v>
      </c>
      <c r="I270" s="45" t="s">
        <v>277</v>
      </c>
      <c r="J270" s="41" t="s">
        <v>56</v>
      </c>
      <c r="K270" s="43" t="str">
        <f t="array" ref="K270">IF(J270="","", XLOOKUP(J270,'⚙️ Pengaturan'!$E$2:$E3237,'⚙️ Pengaturan'!$G$2:$G3237))</f>
        <v>KLINIK FT PAKET</v>
      </c>
      <c r="L270" s="43" t="str">
        <f t="shared" si="3"/>
        <v>LANJUTAN</v>
      </c>
      <c r="M270" s="41" t="s">
        <v>164</v>
      </c>
      <c r="N270" s="46">
        <v>450000.0</v>
      </c>
      <c r="O270" s="65">
        <v>200000.0</v>
      </c>
      <c r="P270" s="48">
        <f t="array" ref="P270">IFNA(XLOOKUP(J270,'⚙️ Pengaturan'!$E$2:$E3237,'⚙️ Pengaturan'!$F$2:$F3237),"")</f>
        <v>650000</v>
      </c>
      <c r="Q270" s="49">
        <f t="shared" si="5"/>
        <v>0</v>
      </c>
      <c r="R270" s="41" t="s">
        <v>32</v>
      </c>
      <c r="S270" s="127"/>
      <c r="T270" s="51" t="b">
        <v>1</v>
      </c>
      <c r="U270" s="94"/>
    </row>
    <row r="271" ht="30.0" customHeight="1">
      <c r="A271" s="39"/>
      <c r="B271" s="40">
        <v>2304.0</v>
      </c>
      <c r="C271" s="41" t="s">
        <v>79</v>
      </c>
      <c r="D271" s="86">
        <v>46037.0</v>
      </c>
      <c r="E271" s="43" t="str">
        <f t="shared" si="1"/>
        <v>2026</v>
      </c>
      <c r="F271" s="43" t="str">
        <f t="shared" si="2"/>
        <v>01 Jan</v>
      </c>
      <c r="G271" s="126" t="s">
        <v>161</v>
      </c>
      <c r="H271" s="45" t="s">
        <v>150</v>
      </c>
      <c r="I271" s="45" t="s">
        <v>583</v>
      </c>
      <c r="J271" s="41" t="s">
        <v>28</v>
      </c>
      <c r="K271" s="43" t="str">
        <f t="array" ref="K271">IF(J271="","", XLOOKUP(J271,'⚙️ Pengaturan'!$E$2:$E3237,'⚙️ Pengaturan'!$G$2:$G3237))</f>
        <v>KLINIK FT TA</v>
      </c>
      <c r="L271" s="43" t="str">
        <f t="shared" si="3"/>
        <v>BARU</v>
      </c>
      <c r="M271" s="41" t="s">
        <v>31</v>
      </c>
      <c r="N271" s="46">
        <v>250000.0</v>
      </c>
      <c r="O271" s="65">
        <v>0.0</v>
      </c>
      <c r="P271" s="48">
        <f t="array" ref="P271">IFNA(XLOOKUP(J271,'⚙️ Pengaturan'!$E$2:$E3237,'⚙️ Pengaturan'!$F$2:$F3237),"")</f>
        <v>250000</v>
      </c>
      <c r="Q271" s="49">
        <f t="shared" si="5"/>
        <v>0</v>
      </c>
      <c r="R271" s="41" t="s">
        <v>32</v>
      </c>
      <c r="S271" s="69" t="s">
        <v>33</v>
      </c>
      <c r="T271" s="51" t="b">
        <v>1</v>
      </c>
      <c r="U271" s="94"/>
    </row>
    <row r="272" ht="30.0" customHeight="1">
      <c r="A272" s="39"/>
      <c r="B272" s="40">
        <v>2305.0</v>
      </c>
      <c r="C272" s="41" t="s">
        <v>79</v>
      </c>
      <c r="D272" s="86">
        <v>46037.0</v>
      </c>
      <c r="E272" s="43" t="str">
        <f t="shared" si="1"/>
        <v>2026</v>
      </c>
      <c r="F272" s="43" t="str">
        <f t="shared" si="2"/>
        <v>01 Jan</v>
      </c>
      <c r="G272" s="126" t="s">
        <v>161</v>
      </c>
      <c r="H272" s="45" t="s">
        <v>166</v>
      </c>
      <c r="I272" s="45" t="s">
        <v>584</v>
      </c>
      <c r="J272" s="41" t="s">
        <v>28</v>
      </c>
      <c r="K272" s="43" t="str">
        <f t="array" ref="K272">IF(J272="","", XLOOKUP(J272,'⚙️ Pengaturan'!$E$2:$E3237,'⚙️ Pengaturan'!$G$2:$G3237))</f>
        <v>KLINIK FT TA</v>
      </c>
      <c r="L272" s="43" t="str">
        <f t="shared" si="3"/>
        <v>BARU</v>
      </c>
      <c r="M272" s="41" t="s">
        <v>31</v>
      </c>
      <c r="N272" s="46">
        <v>250000.0</v>
      </c>
      <c r="O272" s="65">
        <v>0.0</v>
      </c>
      <c r="P272" s="48">
        <f t="array" ref="P272">IFNA(XLOOKUP(J272,'⚙️ Pengaturan'!$E$2:$E3237,'⚙️ Pengaturan'!$F$2:$F3237),"")</f>
        <v>250000</v>
      </c>
      <c r="Q272" s="49">
        <f t="shared" si="5"/>
        <v>0</v>
      </c>
      <c r="R272" s="41" t="s">
        <v>37</v>
      </c>
      <c r="S272" s="69" t="s">
        <v>584</v>
      </c>
      <c r="T272" s="51" t="b">
        <v>1</v>
      </c>
      <c r="U272" s="94"/>
    </row>
    <row r="273" ht="30.0" customHeight="1">
      <c r="A273" s="39"/>
      <c r="B273" s="40">
        <v>2306.0</v>
      </c>
      <c r="C273" s="41" t="s">
        <v>79</v>
      </c>
      <c r="D273" s="86">
        <v>46037.0</v>
      </c>
      <c r="E273" s="43" t="str">
        <f t="shared" si="1"/>
        <v>2026</v>
      </c>
      <c r="F273" s="43" t="str">
        <f t="shared" si="2"/>
        <v>01 Jan</v>
      </c>
      <c r="G273" s="126" t="s">
        <v>161</v>
      </c>
      <c r="H273" s="45" t="s">
        <v>26</v>
      </c>
      <c r="I273" s="45" t="s">
        <v>585</v>
      </c>
      <c r="J273" s="41" t="s">
        <v>180</v>
      </c>
      <c r="K273" s="43" t="str">
        <f t="array" ref="K273">IF(J273="","", XLOOKUP(J273,'⚙️ Pengaturan'!$E$2:$E3237,'⚙️ Pengaturan'!$G$2:$G3237))</f>
        <v>KLINIK FT SESI</v>
      </c>
      <c r="L273" s="43" t="str">
        <f t="shared" si="3"/>
        <v>BARU</v>
      </c>
      <c r="M273" s="41" t="s">
        <v>31</v>
      </c>
      <c r="N273" s="46">
        <v>150000.0</v>
      </c>
      <c r="O273" s="65">
        <v>0.0</v>
      </c>
      <c r="P273" s="48">
        <f t="array" ref="P273">IFNA(XLOOKUP(J273,'⚙️ Pengaturan'!$E$2:$E3237,'⚙️ Pengaturan'!$F$2:$F3237),"")</f>
        <v>150000</v>
      </c>
      <c r="Q273" s="49">
        <f t="shared" si="5"/>
        <v>0</v>
      </c>
      <c r="R273" s="41" t="s">
        <v>37</v>
      </c>
      <c r="S273" s="69" t="s">
        <v>585</v>
      </c>
      <c r="T273" s="51" t="b">
        <v>1</v>
      </c>
      <c r="U273" s="94"/>
    </row>
    <row r="274" ht="30.0" customHeight="1">
      <c r="A274" s="39"/>
      <c r="B274" s="40">
        <v>2307.0</v>
      </c>
      <c r="C274" s="41" t="s">
        <v>79</v>
      </c>
      <c r="D274" s="86">
        <v>46037.0</v>
      </c>
      <c r="E274" s="43" t="str">
        <f t="shared" si="1"/>
        <v>2026</v>
      </c>
      <c r="F274" s="43" t="str">
        <f t="shared" si="2"/>
        <v>01 Jan</v>
      </c>
      <c r="G274" s="126" t="s">
        <v>161</v>
      </c>
      <c r="H274" s="45" t="s">
        <v>162</v>
      </c>
      <c r="I274" s="45" t="s">
        <v>537</v>
      </c>
      <c r="J274" s="41" t="s">
        <v>180</v>
      </c>
      <c r="K274" s="43" t="str">
        <f t="array" ref="K274">IF(J274="","", XLOOKUP(J274,'⚙️ Pengaturan'!$E$2:$E3237,'⚙️ Pengaturan'!$G$2:$G3237))</f>
        <v>KLINIK FT SESI</v>
      </c>
      <c r="L274" s="43" t="str">
        <f t="shared" si="3"/>
        <v>BARU</v>
      </c>
      <c r="M274" s="41" t="s">
        <v>31</v>
      </c>
      <c r="N274" s="46">
        <v>150000.0</v>
      </c>
      <c r="O274" s="65">
        <v>0.0</v>
      </c>
      <c r="P274" s="48">
        <f t="array" ref="P274">IFNA(XLOOKUP(J274,'⚙️ Pengaturan'!$E$2:$E3237,'⚙️ Pengaturan'!$F$2:$F3237),"")</f>
        <v>150000</v>
      </c>
      <c r="Q274" s="49">
        <f t="shared" si="5"/>
        <v>0</v>
      </c>
      <c r="R274" s="41" t="s">
        <v>32</v>
      </c>
      <c r="S274" s="69" t="s">
        <v>33</v>
      </c>
      <c r="T274" s="51" t="b">
        <v>1</v>
      </c>
      <c r="U274" s="94"/>
    </row>
    <row r="275" ht="30.0" customHeight="1">
      <c r="A275" s="39"/>
      <c r="B275" s="40">
        <v>2308.0</v>
      </c>
      <c r="C275" s="41" t="s">
        <v>79</v>
      </c>
      <c r="D275" s="86">
        <v>46037.0</v>
      </c>
      <c r="E275" s="43" t="str">
        <f t="shared" si="1"/>
        <v>2026</v>
      </c>
      <c r="F275" s="43" t="str">
        <f t="shared" si="2"/>
        <v>01 Jan</v>
      </c>
      <c r="G275" s="126" t="s">
        <v>69</v>
      </c>
      <c r="H275" s="45" t="s">
        <v>96</v>
      </c>
      <c r="I275" s="45" t="s">
        <v>586</v>
      </c>
      <c r="J275" s="41" t="s">
        <v>138</v>
      </c>
      <c r="K275" s="43" t="str">
        <f t="array" ref="K275">IF(J275="","", XLOOKUP(J275,'⚙️ Pengaturan'!$E$2:$E3237,'⚙️ Pengaturan'!$G$2:$G3237))</f>
        <v>VISIT FT PAKET</v>
      </c>
      <c r="L275" s="43" t="str">
        <f t="shared" si="3"/>
        <v>BARU</v>
      </c>
      <c r="M275" s="41" t="s">
        <v>60</v>
      </c>
      <c r="N275" s="46">
        <v>1000000.0</v>
      </c>
      <c r="O275" s="65">
        <v>0.0</v>
      </c>
      <c r="P275" s="48">
        <f t="array" ref="P275">IFNA(XLOOKUP(J275,'⚙️ Pengaturan'!$E$2:$E3237,'⚙️ Pengaturan'!$F$2:$F3237),"")</f>
        <v>1800000</v>
      </c>
      <c r="Q275" s="49">
        <f t="shared" si="5"/>
        <v>-800000</v>
      </c>
      <c r="R275" s="41" t="s">
        <v>32</v>
      </c>
      <c r="S275" s="69" t="s">
        <v>33</v>
      </c>
      <c r="T275" s="51" t="b">
        <v>1</v>
      </c>
      <c r="U275" s="94"/>
    </row>
    <row r="276" ht="30.0" customHeight="1">
      <c r="A276" s="39"/>
      <c r="B276" s="40">
        <v>2309.0</v>
      </c>
      <c r="C276" s="41" t="s">
        <v>50</v>
      </c>
      <c r="D276" s="86">
        <v>46037.0</v>
      </c>
      <c r="E276" s="43" t="str">
        <f t="shared" si="1"/>
        <v>2026</v>
      </c>
      <c r="F276" s="43" t="str">
        <f t="shared" si="2"/>
        <v>01 Jan</v>
      </c>
      <c r="G276" s="126" t="s">
        <v>40</v>
      </c>
      <c r="H276" s="45" t="s">
        <v>47</v>
      </c>
      <c r="I276" s="45" t="s">
        <v>587</v>
      </c>
      <c r="J276" s="41" t="s">
        <v>28</v>
      </c>
      <c r="K276" s="43" t="str">
        <f t="array" ref="K276">IF(J276="","", XLOOKUP(J276,'⚙️ Pengaturan'!$E$2:$E3237,'⚙️ Pengaturan'!$G$2:$G3237))</f>
        <v>KLINIK FT TA</v>
      </c>
      <c r="L276" s="43" t="str">
        <f t="shared" si="3"/>
        <v>BARU</v>
      </c>
      <c r="M276" s="41" t="s">
        <v>31</v>
      </c>
      <c r="N276" s="46">
        <v>250000.0</v>
      </c>
      <c r="O276" s="65">
        <v>0.0</v>
      </c>
      <c r="P276" s="48">
        <f t="array" ref="P276">IFNA(XLOOKUP(J276,'⚙️ Pengaturan'!$E$2:$E3237,'⚙️ Pengaturan'!$F$2:$F3237),"")</f>
        <v>250000</v>
      </c>
      <c r="Q276" s="49">
        <f t="shared" si="5"/>
        <v>0</v>
      </c>
      <c r="R276" s="41" t="s">
        <v>32</v>
      </c>
      <c r="S276" s="69" t="s">
        <v>33</v>
      </c>
      <c r="T276" s="51" t="b">
        <v>1</v>
      </c>
      <c r="U276" s="94"/>
    </row>
    <row r="277" ht="30.0" customHeight="1">
      <c r="A277" s="39"/>
      <c r="B277" s="40">
        <v>2310.0</v>
      </c>
      <c r="C277" s="41" t="s">
        <v>50</v>
      </c>
      <c r="D277" s="86">
        <v>46037.0</v>
      </c>
      <c r="E277" s="43" t="str">
        <f t="shared" si="1"/>
        <v>2026</v>
      </c>
      <c r="F277" s="43" t="str">
        <f t="shared" si="2"/>
        <v>01 Jan</v>
      </c>
      <c r="G277" s="126" t="s">
        <v>40</v>
      </c>
      <c r="H277" s="45" t="s">
        <v>149</v>
      </c>
      <c r="I277" s="45" t="s">
        <v>543</v>
      </c>
      <c r="J277" s="41" t="s">
        <v>180</v>
      </c>
      <c r="K277" s="43" t="str">
        <f t="array" ref="K277">IF(J277="","", XLOOKUP(J277,'⚙️ Pengaturan'!$E$2:$E3237,'⚙️ Pengaturan'!$G$2:$G3237))</f>
        <v>KLINIK FT SESI</v>
      </c>
      <c r="L277" s="43" t="str">
        <f t="shared" si="3"/>
        <v>BARU</v>
      </c>
      <c r="M277" s="41" t="s">
        <v>31</v>
      </c>
      <c r="N277" s="46">
        <v>150000.0</v>
      </c>
      <c r="O277" s="65">
        <v>0.0</v>
      </c>
      <c r="P277" s="48">
        <f t="array" ref="P277">IFNA(XLOOKUP(J277,'⚙️ Pengaturan'!$E$2:$E3237,'⚙️ Pengaturan'!$F$2:$F3237),"")</f>
        <v>150000</v>
      </c>
      <c r="Q277" s="49">
        <f t="shared" si="5"/>
        <v>0</v>
      </c>
      <c r="R277" s="41" t="s">
        <v>37</v>
      </c>
      <c r="S277" s="69" t="s">
        <v>543</v>
      </c>
      <c r="T277" s="51" t="b">
        <v>1</v>
      </c>
      <c r="U277" s="94"/>
    </row>
    <row r="278" ht="30.0" customHeight="1">
      <c r="A278" s="39"/>
      <c r="B278" s="40">
        <v>2311.0</v>
      </c>
      <c r="C278" s="41" t="s">
        <v>50</v>
      </c>
      <c r="D278" s="86">
        <v>46037.0</v>
      </c>
      <c r="E278" s="43" t="str">
        <f t="shared" si="1"/>
        <v>2026</v>
      </c>
      <c r="F278" s="43" t="str">
        <f t="shared" si="2"/>
        <v>01 Jan</v>
      </c>
      <c r="G278" s="126" t="s">
        <v>43</v>
      </c>
      <c r="H278" s="45" t="s">
        <v>149</v>
      </c>
      <c r="I278" s="45" t="s">
        <v>497</v>
      </c>
      <c r="J278" s="41" t="s">
        <v>180</v>
      </c>
      <c r="K278" s="43" t="str">
        <f t="array" ref="K278">IF(J278="","", XLOOKUP(J278,'⚙️ Pengaturan'!$E$2:$E3237,'⚙️ Pengaturan'!$G$2:$G3237))</f>
        <v>KLINIK FT SESI</v>
      </c>
      <c r="L278" s="43" t="str">
        <f t="shared" si="3"/>
        <v>LANJUTAN</v>
      </c>
      <c r="M278" s="41" t="s">
        <v>31</v>
      </c>
      <c r="N278" s="46">
        <v>150000.0</v>
      </c>
      <c r="O278" s="65">
        <v>0.0</v>
      </c>
      <c r="P278" s="48">
        <f t="array" ref="P278">IFNA(XLOOKUP(J278,'⚙️ Pengaturan'!$E$2:$E3237,'⚙️ Pengaturan'!$F$2:$F3237),"")</f>
        <v>150000</v>
      </c>
      <c r="Q278" s="49">
        <f t="shared" si="5"/>
        <v>0</v>
      </c>
      <c r="R278" s="41" t="s">
        <v>32</v>
      </c>
      <c r="S278" s="69" t="s">
        <v>33</v>
      </c>
      <c r="T278" s="51" t="b">
        <v>1</v>
      </c>
      <c r="U278" s="94"/>
    </row>
    <row r="279" ht="30.0" customHeight="1">
      <c r="A279" s="39"/>
      <c r="B279" s="40">
        <v>2312.0</v>
      </c>
      <c r="C279" s="41" t="s">
        <v>50</v>
      </c>
      <c r="D279" s="86">
        <v>46037.0</v>
      </c>
      <c r="E279" s="43" t="str">
        <f t="shared" si="1"/>
        <v>2026</v>
      </c>
      <c r="F279" s="43" t="str">
        <f t="shared" si="2"/>
        <v>01 Jan</v>
      </c>
      <c r="G279" s="126" t="s">
        <v>173</v>
      </c>
      <c r="H279" s="45" t="s">
        <v>149</v>
      </c>
      <c r="I279" s="45" t="s">
        <v>588</v>
      </c>
      <c r="J279" s="41" t="s">
        <v>28</v>
      </c>
      <c r="K279" s="43" t="str">
        <f t="array" ref="K279">IF(J279="","", XLOOKUP(J279,'⚙️ Pengaturan'!$E$2:$E3237,'⚙️ Pengaturan'!$G$2:$G3237))</f>
        <v>KLINIK FT TA</v>
      </c>
      <c r="L279" s="43" t="str">
        <f t="shared" si="3"/>
        <v>BARU</v>
      </c>
      <c r="M279" s="41" t="s">
        <v>31</v>
      </c>
      <c r="N279" s="46">
        <v>250000.0</v>
      </c>
      <c r="O279" s="65">
        <v>0.0</v>
      </c>
      <c r="P279" s="48">
        <f t="array" ref="P279">IFNA(XLOOKUP(J279,'⚙️ Pengaturan'!$E$2:$E3237,'⚙️ Pengaturan'!$F$2:$F3237),"")</f>
        <v>250000</v>
      </c>
      <c r="Q279" s="49">
        <f t="shared" si="5"/>
        <v>0</v>
      </c>
      <c r="R279" s="41" t="s">
        <v>37</v>
      </c>
      <c r="S279" s="128" t="s">
        <v>588</v>
      </c>
      <c r="T279" s="51" t="b">
        <v>1</v>
      </c>
      <c r="U279" s="94"/>
    </row>
    <row r="280" ht="30.0" customHeight="1">
      <c r="A280" s="39"/>
      <c r="B280" s="40">
        <v>2313.0</v>
      </c>
      <c r="C280" s="41" t="s">
        <v>50</v>
      </c>
      <c r="D280" s="86">
        <v>46037.0</v>
      </c>
      <c r="E280" s="43" t="str">
        <f t="shared" si="1"/>
        <v>2026</v>
      </c>
      <c r="F280" s="43" t="str">
        <f t="shared" si="2"/>
        <v>01 Jan</v>
      </c>
      <c r="G280" s="126" t="s">
        <v>173</v>
      </c>
      <c r="H280" s="45" t="s">
        <v>47</v>
      </c>
      <c r="I280" s="45" t="s">
        <v>589</v>
      </c>
      <c r="J280" s="41" t="s">
        <v>28</v>
      </c>
      <c r="K280" s="43" t="str">
        <f t="array" ref="K280">IF(J280="","", XLOOKUP(J280,'⚙️ Pengaturan'!$E$2:$E3237,'⚙️ Pengaturan'!$G$2:$G3237))</f>
        <v>KLINIK FT TA</v>
      </c>
      <c r="L280" s="43" t="str">
        <f t="shared" si="3"/>
        <v>BARU</v>
      </c>
      <c r="M280" s="41" t="s">
        <v>31</v>
      </c>
      <c r="N280" s="46">
        <v>250000.0</v>
      </c>
      <c r="O280" s="65">
        <v>0.0</v>
      </c>
      <c r="P280" s="48">
        <f t="array" ref="P280">IFNA(XLOOKUP(J280,'⚙️ Pengaturan'!$E$2:$E3237,'⚙️ Pengaturan'!$F$2:$F3237),"")</f>
        <v>250000</v>
      </c>
      <c r="Q280" s="49">
        <f t="shared" si="5"/>
        <v>0</v>
      </c>
      <c r="R280" s="41" t="s">
        <v>32</v>
      </c>
      <c r="S280" s="69" t="s">
        <v>33</v>
      </c>
      <c r="T280" s="51" t="b">
        <v>1</v>
      </c>
      <c r="U280" s="94"/>
    </row>
    <row r="281" ht="30.0" customHeight="1">
      <c r="A281" s="39"/>
      <c r="B281" s="40">
        <v>2314.0</v>
      </c>
      <c r="C281" s="41" t="s">
        <v>50</v>
      </c>
      <c r="D281" s="86">
        <v>46037.0</v>
      </c>
      <c r="E281" s="43" t="str">
        <f t="shared" si="1"/>
        <v>2026</v>
      </c>
      <c r="F281" s="43" t="str">
        <f t="shared" si="2"/>
        <v>01 Jan</v>
      </c>
      <c r="G281" s="126" t="s">
        <v>35</v>
      </c>
      <c r="H281" s="45" t="s">
        <v>26</v>
      </c>
      <c r="I281" s="45" t="s">
        <v>590</v>
      </c>
      <c r="J281" s="41" t="s">
        <v>28</v>
      </c>
      <c r="K281" s="43" t="str">
        <f t="array" ref="K281">IF(J281="","", XLOOKUP(J281,'⚙️ Pengaturan'!$E$2:$E3237,'⚙️ Pengaturan'!$G$2:$G3237))</f>
        <v>KLINIK FT TA</v>
      </c>
      <c r="L281" s="43" t="str">
        <f t="shared" si="3"/>
        <v>BARU</v>
      </c>
      <c r="M281" s="41" t="s">
        <v>31</v>
      </c>
      <c r="N281" s="46">
        <v>250000.0</v>
      </c>
      <c r="O281" s="65">
        <v>0.0</v>
      </c>
      <c r="P281" s="48">
        <f t="array" ref="P281">IFNA(XLOOKUP(J281,'⚙️ Pengaturan'!$E$2:$E3237,'⚙️ Pengaturan'!$F$2:$F3237),"")</f>
        <v>250000</v>
      </c>
      <c r="Q281" s="49">
        <f t="shared" si="5"/>
        <v>0</v>
      </c>
      <c r="R281" s="41" t="s">
        <v>32</v>
      </c>
      <c r="S281" s="69" t="s">
        <v>33</v>
      </c>
      <c r="T281" s="51" t="b">
        <v>1</v>
      </c>
      <c r="U281" s="94"/>
    </row>
    <row r="282" ht="30.0" customHeight="1">
      <c r="A282" s="39"/>
      <c r="B282" s="40">
        <v>2315.0</v>
      </c>
      <c r="C282" s="41" t="s">
        <v>50</v>
      </c>
      <c r="D282" s="86">
        <v>46037.0</v>
      </c>
      <c r="E282" s="43" t="str">
        <f t="shared" si="1"/>
        <v>2026</v>
      </c>
      <c r="F282" s="43" t="str">
        <f t="shared" si="2"/>
        <v>01 Jan</v>
      </c>
      <c r="G282" s="126" t="s">
        <v>69</v>
      </c>
      <c r="H282" s="45" t="s">
        <v>96</v>
      </c>
      <c r="I282" s="45" t="s">
        <v>540</v>
      </c>
      <c r="J282" s="41" t="s">
        <v>364</v>
      </c>
      <c r="K282" s="43" t="str">
        <f t="array" ref="K282">IF(J282="","", XLOOKUP(J282,'⚙️ Pengaturan'!$E$2:$E3237,'⚙️ Pengaturan'!$G$2:$G3237))</f>
        <v>VISIT FT PAKET</v>
      </c>
      <c r="L282" s="43" t="str">
        <f t="shared" si="3"/>
        <v>BARU</v>
      </c>
      <c r="M282" s="41" t="s">
        <v>31</v>
      </c>
      <c r="N282" s="46">
        <v>2300000.0</v>
      </c>
      <c r="O282" s="65">
        <v>0.0</v>
      </c>
      <c r="P282" s="48">
        <f t="array" ref="P282">IFNA(XLOOKUP(J282,'⚙️ Pengaturan'!$E$2:$E3237,'⚙️ Pengaturan'!$F$2:$F3237),"")</f>
        <v>2300000</v>
      </c>
      <c r="Q282" s="49">
        <f t="shared" si="5"/>
        <v>0</v>
      </c>
      <c r="R282" s="41" t="s">
        <v>93</v>
      </c>
      <c r="S282" s="69" t="s">
        <v>541</v>
      </c>
      <c r="T282" s="51" t="b">
        <v>1</v>
      </c>
      <c r="U282" s="94"/>
    </row>
    <row r="283" ht="30.0" customHeight="1">
      <c r="A283" s="39"/>
      <c r="B283" s="40">
        <v>2316.0</v>
      </c>
      <c r="C283" s="41" t="s">
        <v>50</v>
      </c>
      <c r="D283" s="86">
        <v>46037.0</v>
      </c>
      <c r="E283" s="43" t="str">
        <f t="shared" si="1"/>
        <v>2026</v>
      </c>
      <c r="F283" s="43" t="str">
        <f t="shared" si="2"/>
        <v>01 Jan</v>
      </c>
      <c r="G283" s="126" t="s">
        <v>190</v>
      </c>
      <c r="H283" s="45" t="s">
        <v>149</v>
      </c>
      <c r="I283" s="45" t="s">
        <v>436</v>
      </c>
      <c r="J283" s="41" t="s">
        <v>180</v>
      </c>
      <c r="K283" s="43" t="str">
        <f t="array" ref="K283">IF(J283="","", XLOOKUP(J283,'⚙️ Pengaturan'!$E$2:$E3237,'⚙️ Pengaturan'!$G$2:$G3237))</f>
        <v>KLINIK FT SESI</v>
      </c>
      <c r="L283" s="43" t="str">
        <f t="shared" si="3"/>
        <v>LANJUTAN</v>
      </c>
      <c r="M283" s="41" t="s">
        <v>31</v>
      </c>
      <c r="N283" s="46">
        <v>150000.0</v>
      </c>
      <c r="O283" s="65">
        <v>0.0</v>
      </c>
      <c r="P283" s="48">
        <f t="array" ref="P283">IFNA(XLOOKUP(J283,'⚙️ Pengaturan'!$E$2:$E3237,'⚙️ Pengaturan'!$F$2:$F3237),"")</f>
        <v>150000</v>
      </c>
      <c r="Q283" s="49">
        <f t="shared" si="5"/>
        <v>0</v>
      </c>
      <c r="R283" s="41" t="s">
        <v>32</v>
      </c>
      <c r="S283" s="69" t="s">
        <v>33</v>
      </c>
      <c r="T283" s="51" t="b">
        <v>1</v>
      </c>
      <c r="U283" s="94"/>
    </row>
    <row r="284" ht="30.0" customHeight="1">
      <c r="A284" s="39"/>
      <c r="B284" s="40">
        <v>2317.0</v>
      </c>
      <c r="C284" s="41" t="s">
        <v>50</v>
      </c>
      <c r="D284" s="86">
        <v>46037.0</v>
      </c>
      <c r="E284" s="43" t="str">
        <f t="shared" si="1"/>
        <v>2026</v>
      </c>
      <c r="F284" s="43" t="str">
        <f t="shared" si="2"/>
        <v>01 Jan</v>
      </c>
      <c r="G284" s="126" t="s">
        <v>35</v>
      </c>
      <c r="H284" s="45" t="s">
        <v>162</v>
      </c>
      <c r="I284" s="45" t="s">
        <v>569</v>
      </c>
      <c r="J284" s="41" t="s">
        <v>180</v>
      </c>
      <c r="K284" s="43" t="str">
        <f t="array" ref="K284">IF(J284="","", XLOOKUP(J284,'⚙️ Pengaturan'!$E$2:$E3237,'⚙️ Pengaturan'!$G$2:$G3237))</f>
        <v>KLINIK FT SESI</v>
      </c>
      <c r="L284" s="43" t="str">
        <f t="shared" si="3"/>
        <v>BARU</v>
      </c>
      <c r="M284" s="41" t="s">
        <v>31</v>
      </c>
      <c r="N284" s="46">
        <v>150000.0</v>
      </c>
      <c r="O284" s="65">
        <v>0.0</v>
      </c>
      <c r="P284" s="48">
        <f t="array" ref="P284">IFNA(XLOOKUP(J284,'⚙️ Pengaturan'!$E$2:$E3237,'⚙️ Pengaturan'!$F$2:$F3237),"")</f>
        <v>150000</v>
      </c>
      <c r="Q284" s="49">
        <f t="shared" si="5"/>
        <v>0</v>
      </c>
      <c r="R284" s="41" t="s">
        <v>37</v>
      </c>
      <c r="S284" s="69" t="s">
        <v>569</v>
      </c>
      <c r="T284" s="51" t="b">
        <v>1</v>
      </c>
      <c r="U284" s="94"/>
    </row>
    <row r="285" ht="30.0" customHeight="1">
      <c r="A285" s="39"/>
      <c r="B285" s="40">
        <v>2318.0</v>
      </c>
      <c r="C285" s="41" t="s">
        <v>79</v>
      </c>
      <c r="D285" s="86">
        <v>46039.0</v>
      </c>
      <c r="E285" s="43" t="str">
        <f t="shared" si="1"/>
        <v>2026</v>
      </c>
      <c r="F285" s="43" t="str">
        <f t="shared" si="2"/>
        <v>01 Jan</v>
      </c>
      <c r="G285" s="126" t="s">
        <v>195</v>
      </c>
      <c r="H285" s="45" t="s">
        <v>149</v>
      </c>
      <c r="I285" s="45" t="s">
        <v>591</v>
      </c>
      <c r="J285" s="79" t="s">
        <v>28</v>
      </c>
      <c r="K285" s="43" t="str">
        <f t="array" ref="K285">IF(J285="","", XLOOKUP(J285,'⚙️ Pengaturan'!$E$2:$E3237,'⚙️ Pengaturan'!$G$2:$G3237))</f>
        <v>KLINIK FT TA</v>
      </c>
      <c r="L285" s="43" t="str">
        <f t="shared" si="3"/>
        <v>BARU</v>
      </c>
      <c r="M285" s="79" t="s">
        <v>31</v>
      </c>
      <c r="N285" s="83">
        <v>250000.0</v>
      </c>
      <c r="O285" s="84">
        <v>0.0</v>
      </c>
      <c r="P285" s="48">
        <f t="array" ref="P285">IFNA(XLOOKUP(J285,'⚙️ Pengaturan'!$E$2:$E3237,'⚙️ Pengaturan'!$F$2:$F3237),"")</f>
        <v>250000</v>
      </c>
      <c r="Q285" s="49">
        <f t="shared" si="5"/>
        <v>0</v>
      </c>
      <c r="R285" s="41" t="s">
        <v>32</v>
      </c>
      <c r="S285" s="69" t="s">
        <v>33</v>
      </c>
      <c r="T285" s="51" t="b">
        <v>1</v>
      </c>
      <c r="U285" s="94"/>
    </row>
    <row r="286" ht="30.0" customHeight="1">
      <c r="A286" s="39"/>
      <c r="B286" s="40">
        <v>2319.0</v>
      </c>
      <c r="C286" s="41" t="s">
        <v>79</v>
      </c>
      <c r="D286" s="86">
        <v>46039.0</v>
      </c>
      <c r="E286" s="43" t="str">
        <f t="shared" si="1"/>
        <v>2026</v>
      </c>
      <c r="F286" s="43" t="str">
        <f t="shared" si="2"/>
        <v>01 Jan</v>
      </c>
      <c r="G286" s="126" t="s">
        <v>195</v>
      </c>
      <c r="H286" s="45" t="s">
        <v>150</v>
      </c>
      <c r="I286" s="45" t="s">
        <v>580</v>
      </c>
      <c r="J286" s="41" t="s">
        <v>56</v>
      </c>
      <c r="K286" s="43" t="str">
        <f t="array" ref="K286">IF(J286="","", XLOOKUP(J286,'⚙️ Pengaturan'!$E$2:$E3237,'⚙️ Pengaturan'!$G$2:$G3237))</f>
        <v>KLINIK FT PAKET</v>
      </c>
      <c r="L286" s="43" t="str">
        <f t="shared" si="3"/>
        <v>BARU</v>
      </c>
      <c r="M286" s="41" t="s">
        <v>31</v>
      </c>
      <c r="N286" s="46">
        <v>650000.0</v>
      </c>
      <c r="O286" s="65">
        <v>0.0</v>
      </c>
      <c r="P286" s="48">
        <f t="array" ref="P286">IFNA(XLOOKUP(J286,'⚙️ Pengaturan'!$E$2:$E3237,'⚙️ Pengaturan'!$F$2:$F3237),"")</f>
        <v>650000</v>
      </c>
      <c r="Q286" s="49">
        <f t="shared" si="5"/>
        <v>0</v>
      </c>
      <c r="R286" s="41" t="s">
        <v>37</v>
      </c>
      <c r="S286" s="69" t="s">
        <v>592</v>
      </c>
      <c r="T286" s="51" t="b">
        <v>1</v>
      </c>
      <c r="U286" s="94"/>
    </row>
    <row r="287" ht="30.0" customHeight="1">
      <c r="A287" s="39"/>
      <c r="B287" s="40">
        <v>2320.0</v>
      </c>
      <c r="C287" s="41" t="s">
        <v>79</v>
      </c>
      <c r="D287" s="86">
        <v>46039.0</v>
      </c>
      <c r="E287" s="43" t="str">
        <f t="shared" si="1"/>
        <v>2026</v>
      </c>
      <c r="F287" s="43" t="str">
        <f t="shared" si="2"/>
        <v>01 Jan</v>
      </c>
      <c r="G287" s="126" t="s">
        <v>195</v>
      </c>
      <c r="H287" s="45" t="s">
        <v>150</v>
      </c>
      <c r="I287" s="45" t="s">
        <v>580</v>
      </c>
      <c r="J287" s="41" t="s">
        <v>323</v>
      </c>
      <c r="K287" s="43" t="str">
        <f t="array" ref="K287">IF(J287="","", XLOOKUP(J287,'⚙️ Pengaturan'!$E$2:$E3237,'⚙️ Pengaturan'!$G$2:$G3237))</f>
        <v>VISIT FT SESI</v>
      </c>
      <c r="L287" s="43" t="str">
        <f t="shared" si="3"/>
        <v>BARU</v>
      </c>
      <c r="M287" s="41" t="s">
        <v>31</v>
      </c>
      <c r="N287" s="46">
        <v>200000.0</v>
      </c>
      <c r="O287" s="65">
        <v>0.0</v>
      </c>
      <c r="P287" s="48">
        <f t="array" ref="P287">IFNA(XLOOKUP(J287,'⚙️ Pengaturan'!$E$2:$E3237,'⚙️ Pengaturan'!$F$2:$F3237),"")</f>
        <v>200000</v>
      </c>
      <c r="Q287" s="49">
        <f t="shared" si="5"/>
        <v>0</v>
      </c>
      <c r="R287" s="41" t="s">
        <v>37</v>
      </c>
      <c r="S287" s="69" t="s">
        <v>592</v>
      </c>
      <c r="T287" s="51" t="b">
        <v>1</v>
      </c>
      <c r="U287" s="94"/>
    </row>
    <row r="288" ht="30.0" customHeight="1">
      <c r="A288" s="39"/>
      <c r="B288" s="40">
        <v>2321.0</v>
      </c>
      <c r="C288" s="41" t="s">
        <v>79</v>
      </c>
      <c r="D288" s="86">
        <v>46039.0</v>
      </c>
      <c r="E288" s="43" t="str">
        <f t="shared" si="1"/>
        <v>2026</v>
      </c>
      <c r="F288" s="43" t="str">
        <f t="shared" si="2"/>
        <v>01 Jan</v>
      </c>
      <c r="G288" s="126" t="s">
        <v>206</v>
      </c>
      <c r="H288" s="45" t="s">
        <v>149</v>
      </c>
      <c r="I288" s="45" t="s">
        <v>593</v>
      </c>
      <c r="J288" s="41" t="s">
        <v>28</v>
      </c>
      <c r="K288" s="43" t="str">
        <f t="array" ref="K288">IF(J288="","", XLOOKUP(J288,'⚙️ Pengaturan'!$E$2:$E3237,'⚙️ Pengaturan'!$G$2:$G3237))</f>
        <v>KLINIK FT TA</v>
      </c>
      <c r="L288" s="43" t="str">
        <f t="shared" si="3"/>
        <v>BARU</v>
      </c>
      <c r="M288" s="41" t="s">
        <v>31</v>
      </c>
      <c r="N288" s="46">
        <v>250000.0</v>
      </c>
      <c r="O288" s="65">
        <v>0.0</v>
      </c>
      <c r="P288" s="48">
        <f t="array" ref="P288">IFNA(XLOOKUP(J288,'⚙️ Pengaturan'!$E$2:$E3237,'⚙️ Pengaturan'!$F$2:$F3237),"")</f>
        <v>250000</v>
      </c>
      <c r="Q288" s="49">
        <f t="shared" si="5"/>
        <v>0</v>
      </c>
      <c r="R288" s="41" t="s">
        <v>37</v>
      </c>
      <c r="S288" s="69" t="s">
        <v>594</v>
      </c>
      <c r="T288" s="51" t="b">
        <v>1</v>
      </c>
      <c r="U288" s="94"/>
    </row>
    <row r="289" ht="30.0" customHeight="1">
      <c r="A289" s="39"/>
      <c r="B289" s="40">
        <v>2322.0</v>
      </c>
      <c r="C289" s="41" t="s">
        <v>79</v>
      </c>
      <c r="D289" s="86">
        <v>46039.0</v>
      </c>
      <c r="E289" s="43" t="str">
        <f t="shared" si="1"/>
        <v>2026</v>
      </c>
      <c r="F289" s="43" t="str">
        <f t="shared" si="2"/>
        <v>01 Jan</v>
      </c>
      <c r="G289" s="126" t="s">
        <v>206</v>
      </c>
      <c r="H289" s="45" t="s">
        <v>26</v>
      </c>
      <c r="I289" s="45" t="s">
        <v>595</v>
      </c>
      <c r="J289" s="79" t="s">
        <v>28</v>
      </c>
      <c r="K289" s="43" t="str">
        <f t="array" ref="K289">IF(J289="","", XLOOKUP(J289,'⚙️ Pengaturan'!$E$2:$E3237,'⚙️ Pengaturan'!$G$2:$G3237))</f>
        <v>KLINIK FT TA</v>
      </c>
      <c r="L289" s="43" t="str">
        <f t="shared" si="3"/>
        <v>BARU</v>
      </c>
      <c r="M289" s="79" t="s">
        <v>31</v>
      </c>
      <c r="N289" s="83">
        <v>250000.0</v>
      </c>
      <c r="O289" s="84">
        <v>0.0</v>
      </c>
      <c r="P289" s="48">
        <f t="array" ref="P289">IFNA(XLOOKUP(J289,'⚙️ Pengaturan'!$E$2:$E3237,'⚙️ Pengaturan'!$F$2:$F3237),"")</f>
        <v>250000</v>
      </c>
      <c r="Q289" s="49">
        <f t="shared" si="5"/>
        <v>0</v>
      </c>
      <c r="R289" s="41" t="s">
        <v>37</v>
      </c>
      <c r="S289" s="69" t="s">
        <v>594</v>
      </c>
      <c r="T289" s="51" t="b">
        <v>1</v>
      </c>
      <c r="U289" s="94"/>
    </row>
    <row r="290" ht="30.0" customHeight="1">
      <c r="A290" s="39"/>
      <c r="B290" s="40">
        <v>2323.0</v>
      </c>
      <c r="C290" s="41" t="s">
        <v>79</v>
      </c>
      <c r="D290" s="86">
        <v>46039.0</v>
      </c>
      <c r="E290" s="43" t="str">
        <f t="shared" si="1"/>
        <v>2026</v>
      </c>
      <c r="F290" s="43" t="str">
        <f t="shared" si="2"/>
        <v>01 Jan</v>
      </c>
      <c r="G290" s="126" t="s">
        <v>69</v>
      </c>
      <c r="H290" s="45" t="s">
        <v>76</v>
      </c>
      <c r="I290" s="45" t="s">
        <v>596</v>
      </c>
      <c r="J290" s="41" t="s">
        <v>121</v>
      </c>
      <c r="K290" s="43" t="str">
        <f t="array" ref="K290">IF(J290="","", XLOOKUP(J290,'⚙️ Pengaturan'!$E$2:$E3237,'⚙️ Pengaturan'!$G$2:$G3237))</f>
        <v>VISIT FT TA</v>
      </c>
      <c r="L290" s="43" t="str">
        <f t="shared" si="3"/>
        <v>BARU</v>
      </c>
      <c r="M290" s="41" t="s">
        <v>31</v>
      </c>
      <c r="N290" s="46">
        <v>300000.0</v>
      </c>
      <c r="O290" s="65">
        <v>0.0</v>
      </c>
      <c r="P290" s="48">
        <f t="array" ref="P290">IFNA(XLOOKUP(J290,'⚙️ Pengaturan'!$E$2:$E3237,'⚙️ Pengaturan'!$F$2:$F3237),"")</f>
        <v>300000</v>
      </c>
      <c r="Q290" s="49">
        <f t="shared" si="5"/>
        <v>0</v>
      </c>
      <c r="R290" s="41" t="s">
        <v>32</v>
      </c>
      <c r="S290" s="69" t="s">
        <v>33</v>
      </c>
      <c r="T290" s="51" t="b">
        <v>1</v>
      </c>
      <c r="U290" s="94"/>
    </row>
    <row r="291" ht="30.0" customHeight="1">
      <c r="A291" s="39"/>
      <c r="B291" s="40">
        <v>2324.0</v>
      </c>
      <c r="C291" s="41" t="s">
        <v>79</v>
      </c>
      <c r="D291" s="86">
        <v>46039.0</v>
      </c>
      <c r="E291" s="43" t="str">
        <f t="shared" si="1"/>
        <v>2026</v>
      </c>
      <c r="F291" s="43" t="str">
        <f t="shared" si="2"/>
        <v>01 Jan</v>
      </c>
      <c r="G291" s="126" t="s">
        <v>69</v>
      </c>
      <c r="H291" s="45" t="s">
        <v>47</v>
      </c>
      <c r="I291" s="45" t="s">
        <v>597</v>
      </c>
      <c r="J291" s="41" t="s">
        <v>121</v>
      </c>
      <c r="K291" s="43" t="str">
        <f t="array" ref="K291">IF(J291="","", XLOOKUP(J291,'⚙️ Pengaturan'!$E$2:$E3237,'⚙️ Pengaturan'!$G$2:$G3237))</f>
        <v>VISIT FT TA</v>
      </c>
      <c r="L291" s="43" t="str">
        <f t="shared" si="3"/>
        <v>BARU</v>
      </c>
      <c r="M291" s="41" t="s">
        <v>31</v>
      </c>
      <c r="N291" s="46">
        <v>300000.0</v>
      </c>
      <c r="O291" s="65">
        <v>0.0</v>
      </c>
      <c r="P291" s="48">
        <f t="array" ref="P291">IFNA(XLOOKUP(J291,'⚙️ Pengaturan'!$E$2:$E3237,'⚙️ Pengaturan'!$F$2:$F3237),"")</f>
        <v>300000</v>
      </c>
      <c r="Q291" s="49">
        <f t="shared" si="5"/>
        <v>0</v>
      </c>
      <c r="R291" s="41" t="s">
        <v>32</v>
      </c>
      <c r="S291" s="69" t="s">
        <v>33</v>
      </c>
      <c r="T291" s="51" t="b">
        <v>1</v>
      </c>
      <c r="U291" s="94"/>
    </row>
    <row r="292" ht="30.0" customHeight="1">
      <c r="A292" s="39"/>
      <c r="B292" s="40">
        <v>2325.0</v>
      </c>
      <c r="C292" s="41" t="s">
        <v>79</v>
      </c>
      <c r="D292" s="86">
        <v>46039.0</v>
      </c>
      <c r="E292" s="43" t="str">
        <f t="shared" si="1"/>
        <v>2026</v>
      </c>
      <c r="F292" s="43" t="str">
        <f t="shared" si="2"/>
        <v>01 Jan</v>
      </c>
      <c r="G292" s="126" t="s">
        <v>35</v>
      </c>
      <c r="H292" s="45" t="s">
        <v>162</v>
      </c>
      <c r="I292" s="45" t="s">
        <v>179</v>
      </c>
      <c r="J292" s="41" t="s">
        <v>180</v>
      </c>
      <c r="K292" s="43" t="str">
        <f t="array" ref="K292">IF(J292="","", XLOOKUP(J292,'⚙️ Pengaturan'!$E$2:$E3237,'⚙️ Pengaturan'!$G$2:$G3237))</f>
        <v>KLINIK FT SESI</v>
      </c>
      <c r="L292" s="43" t="str">
        <f t="shared" si="3"/>
        <v>LANJUTAN</v>
      </c>
      <c r="M292" s="41" t="s">
        <v>31</v>
      </c>
      <c r="N292" s="46">
        <v>150000.0</v>
      </c>
      <c r="O292" s="65">
        <v>0.0</v>
      </c>
      <c r="P292" s="48">
        <f t="array" ref="P292">IFNA(XLOOKUP(J292,'⚙️ Pengaturan'!$E$2:$E3237,'⚙️ Pengaturan'!$F$2:$F3237),"")</f>
        <v>150000</v>
      </c>
      <c r="Q292" s="49">
        <f t="shared" si="5"/>
        <v>0</v>
      </c>
      <c r="R292" s="41" t="s">
        <v>32</v>
      </c>
      <c r="S292" s="69" t="s">
        <v>33</v>
      </c>
      <c r="T292" s="51" t="b">
        <v>1</v>
      </c>
      <c r="U292" s="94"/>
    </row>
    <row r="293" ht="30.0" customHeight="1">
      <c r="A293" s="39"/>
      <c r="B293" s="40">
        <v>2326.0</v>
      </c>
      <c r="C293" s="41" t="s">
        <v>79</v>
      </c>
      <c r="D293" s="86">
        <v>46039.0</v>
      </c>
      <c r="E293" s="43" t="str">
        <f t="shared" si="1"/>
        <v>2026</v>
      </c>
      <c r="F293" s="43" t="str">
        <f t="shared" si="2"/>
        <v>01 Jan</v>
      </c>
      <c r="G293" s="126" t="s">
        <v>69</v>
      </c>
      <c r="H293" s="45" t="s">
        <v>156</v>
      </c>
      <c r="I293" s="45" t="s">
        <v>598</v>
      </c>
      <c r="J293" s="41" t="s">
        <v>28</v>
      </c>
      <c r="K293" s="43" t="str">
        <f t="array" ref="K293">IF(J293="","", XLOOKUP(J293,'⚙️ Pengaturan'!$E$2:$E3237,'⚙️ Pengaturan'!$G$2:$G3237))</f>
        <v>KLINIK FT TA</v>
      </c>
      <c r="L293" s="43" t="str">
        <f t="shared" si="3"/>
        <v>BARU</v>
      </c>
      <c r="M293" s="41" t="s">
        <v>31</v>
      </c>
      <c r="N293" s="46">
        <v>250000.0</v>
      </c>
      <c r="O293" s="65">
        <v>0.0</v>
      </c>
      <c r="P293" s="48">
        <f t="array" ref="P293">IFNA(XLOOKUP(J293,'⚙️ Pengaturan'!$E$2:$E3237,'⚙️ Pengaturan'!$F$2:$F3237),"")</f>
        <v>250000</v>
      </c>
      <c r="Q293" s="49">
        <f t="shared" si="5"/>
        <v>0</v>
      </c>
      <c r="R293" s="41" t="s">
        <v>37</v>
      </c>
      <c r="S293" s="69" t="s">
        <v>598</v>
      </c>
      <c r="T293" s="51" t="b">
        <v>1</v>
      </c>
      <c r="U293" s="94"/>
    </row>
    <row r="294" ht="30.0" customHeight="1">
      <c r="A294" s="39"/>
      <c r="B294" s="40">
        <v>2327.0</v>
      </c>
      <c r="C294" s="41" t="s">
        <v>79</v>
      </c>
      <c r="D294" s="86">
        <v>46039.0</v>
      </c>
      <c r="E294" s="43" t="str">
        <f t="shared" si="1"/>
        <v>2026</v>
      </c>
      <c r="F294" s="43" t="str">
        <f t="shared" si="2"/>
        <v>01 Jan</v>
      </c>
      <c r="G294" s="126" t="s">
        <v>69</v>
      </c>
      <c r="H294" s="45" t="s">
        <v>156</v>
      </c>
      <c r="I294" s="45" t="s">
        <v>598</v>
      </c>
      <c r="J294" s="41" t="s">
        <v>180</v>
      </c>
      <c r="K294" s="43" t="str">
        <f t="array" ref="K294">IF(J294="","", XLOOKUP(J294,'⚙️ Pengaturan'!$E$2:$E3237,'⚙️ Pengaturan'!$G$2:$G3237))</f>
        <v>KLINIK FT SESI</v>
      </c>
      <c r="L294" s="43" t="str">
        <f t="shared" si="3"/>
        <v>BARU</v>
      </c>
      <c r="M294" s="41" t="s">
        <v>31</v>
      </c>
      <c r="N294" s="46">
        <v>150000.0</v>
      </c>
      <c r="O294" s="65">
        <v>0.0</v>
      </c>
      <c r="P294" s="48">
        <f t="array" ref="P294">IFNA(XLOOKUP(J294,'⚙️ Pengaturan'!$E$2:$E3237,'⚙️ Pengaturan'!$F$2:$F3237),"")</f>
        <v>150000</v>
      </c>
      <c r="Q294" s="49">
        <f t="shared" si="5"/>
        <v>0</v>
      </c>
      <c r="R294" s="41" t="s">
        <v>37</v>
      </c>
      <c r="S294" s="69" t="s">
        <v>598</v>
      </c>
      <c r="T294" s="51" t="b">
        <v>1</v>
      </c>
      <c r="U294" s="94"/>
    </row>
    <row r="295" ht="30.0" customHeight="1">
      <c r="A295" s="39"/>
      <c r="B295" s="40">
        <v>2328.0</v>
      </c>
      <c r="C295" s="41" t="s">
        <v>79</v>
      </c>
      <c r="D295" s="86">
        <v>46039.0</v>
      </c>
      <c r="E295" s="43" t="str">
        <f t="shared" si="1"/>
        <v>2026</v>
      </c>
      <c r="F295" s="43" t="str">
        <f t="shared" si="2"/>
        <v>01 Jan</v>
      </c>
      <c r="G295" s="126" t="s">
        <v>69</v>
      </c>
      <c r="H295" s="45" t="s">
        <v>156</v>
      </c>
      <c r="I295" s="45" t="s">
        <v>598</v>
      </c>
      <c r="J295" s="41" t="s">
        <v>180</v>
      </c>
      <c r="K295" s="43" t="str">
        <f t="array" ref="K295">IF(J295="","", XLOOKUP(J295,'⚙️ Pengaturan'!$E$2:$E3237,'⚙️ Pengaturan'!$G$2:$G3237))</f>
        <v>KLINIK FT SESI</v>
      </c>
      <c r="L295" s="43" t="str">
        <f t="shared" si="3"/>
        <v>LANJUTAN</v>
      </c>
      <c r="M295" s="41" t="s">
        <v>31</v>
      </c>
      <c r="N295" s="46">
        <v>150000.0</v>
      </c>
      <c r="O295" s="65">
        <v>0.0</v>
      </c>
      <c r="P295" s="48">
        <f t="array" ref="P295">IFNA(XLOOKUP(J295,'⚙️ Pengaturan'!$E$2:$E3237,'⚙️ Pengaturan'!$F$2:$F3237),"")</f>
        <v>150000</v>
      </c>
      <c r="Q295" s="49">
        <f t="shared" si="5"/>
        <v>0</v>
      </c>
      <c r="R295" s="41" t="s">
        <v>37</v>
      </c>
      <c r="S295" s="69" t="s">
        <v>598</v>
      </c>
      <c r="T295" s="51" t="b">
        <v>1</v>
      </c>
      <c r="U295" s="94"/>
    </row>
    <row r="296" ht="30.0" customHeight="1">
      <c r="A296" s="39"/>
      <c r="B296" s="40">
        <v>2329.0</v>
      </c>
      <c r="C296" s="41" t="s">
        <v>79</v>
      </c>
      <c r="D296" s="86">
        <v>46039.0</v>
      </c>
      <c r="E296" s="43" t="str">
        <f t="shared" si="1"/>
        <v>2026</v>
      </c>
      <c r="F296" s="43" t="str">
        <f t="shared" si="2"/>
        <v>01 Jan</v>
      </c>
      <c r="G296" s="126" t="s">
        <v>69</v>
      </c>
      <c r="H296" s="45" t="s">
        <v>96</v>
      </c>
      <c r="I296" s="45" t="s">
        <v>599</v>
      </c>
      <c r="J296" s="41" t="s">
        <v>28</v>
      </c>
      <c r="K296" s="43" t="str">
        <f t="array" ref="K296">IF(J296="","", XLOOKUP(J296,'⚙️ Pengaturan'!$E$2:$E3237,'⚙️ Pengaturan'!$G$2:$G3237))</f>
        <v>KLINIK FT TA</v>
      </c>
      <c r="L296" s="43" t="str">
        <f t="shared" si="3"/>
        <v>BARU</v>
      </c>
      <c r="M296" s="41" t="s">
        <v>31</v>
      </c>
      <c r="N296" s="46">
        <v>250000.0</v>
      </c>
      <c r="O296" s="65">
        <v>0.0</v>
      </c>
      <c r="P296" s="48">
        <f t="array" ref="P296">IFNA(XLOOKUP(J296,'⚙️ Pengaturan'!$E$2:$E3237,'⚙️ Pengaturan'!$F$2:$F3237),"")</f>
        <v>250000</v>
      </c>
      <c r="Q296" s="49">
        <f t="shared" si="5"/>
        <v>0</v>
      </c>
      <c r="R296" s="41" t="s">
        <v>37</v>
      </c>
      <c r="S296" s="69" t="s">
        <v>599</v>
      </c>
      <c r="T296" s="51" t="b">
        <v>1</v>
      </c>
      <c r="U296" s="94"/>
    </row>
    <row r="297" ht="30.0" customHeight="1">
      <c r="A297" s="39"/>
      <c r="B297" s="40">
        <v>2330.0</v>
      </c>
      <c r="C297" s="41" t="s">
        <v>50</v>
      </c>
      <c r="D297" s="86">
        <v>46039.0</v>
      </c>
      <c r="E297" s="43" t="str">
        <f t="shared" si="1"/>
        <v>2026</v>
      </c>
      <c r="F297" s="43" t="str">
        <f t="shared" si="2"/>
        <v>01 Jan</v>
      </c>
      <c r="G297" s="126" t="s">
        <v>40</v>
      </c>
      <c r="H297" s="45" t="s">
        <v>47</v>
      </c>
      <c r="I297" s="45" t="s">
        <v>245</v>
      </c>
      <c r="J297" s="41" t="s">
        <v>180</v>
      </c>
      <c r="K297" s="43" t="str">
        <f t="array" ref="K297">IF(J297="","", XLOOKUP(J297,'⚙️ Pengaturan'!$E$2:$E3237,'⚙️ Pengaturan'!$G$2:$G3237))</f>
        <v>KLINIK FT SESI</v>
      </c>
      <c r="L297" s="43" t="str">
        <f t="shared" si="3"/>
        <v>LANJUTAN</v>
      </c>
      <c r="M297" s="41" t="s">
        <v>31</v>
      </c>
      <c r="N297" s="46">
        <v>150000.0</v>
      </c>
      <c r="O297" s="65">
        <v>0.0</v>
      </c>
      <c r="P297" s="48">
        <f t="array" ref="P297">IFNA(XLOOKUP(J297,'⚙️ Pengaturan'!$E$2:$E3237,'⚙️ Pengaturan'!$F$2:$F3237),"")</f>
        <v>150000</v>
      </c>
      <c r="Q297" s="49">
        <f t="shared" si="5"/>
        <v>0</v>
      </c>
      <c r="R297" s="41" t="s">
        <v>37</v>
      </c>
      <c r="S297" s="69" t="s">
        <v>245</v>
      </c>
      <c r="T297" s="51" t="b">
        <v>1</v>
      </c>
      <c r="U297" s="94"/>
    </row>
    <row r="298" ht="30.0" customHeight="1">
      <c r="A298" s="39"/>
      <c r="B298" s="40">
        <v>2331.0</v>
      </c>
      <c r="C298" s="41" t="s">
        <v>50</v>
      </c>
      <c r="D298" s="86">
        <v>46039.0</v>
      </c>
      <c r="E298" s="43" t="str">
        <f t="shared" si="1"/>
        <v>2026</v>
      </c>
      <c r="F298" s="43" t="str">
        <f t="shared" si="2"/>
        <v>01 Jan</v>
      </c>
      <c r="G298" s="126" t="s">
        <v>40</v>
      </c>
      <c r="H298" s="45" t="s">
        <v>76</v>
      </c>
      <c r="I298" s="45" t="s">
        <v>581</v>
      </c>
      <c r="J298" s="41" t="s">
        <v>180</v>
      </c>
      <c r="K298" s="43" t="str">
        <f t="array" ref="K298">IF(J298="","", XLOOKUP(J298,'⚙️ Pengaturan'!$E$2:$E3237,'⚙️ Pengaturan'!$G$2:$G3237))</f>
        <v>KLINIK FT SESI</v>
      </c>
      <c r="L298" s="43" t="str">
        <f t="shared" si="3"/>
        <v>BARU</v>
      </c>
      <c r="M298" s="41" t="s">
        <v>31</v>
      </c>
      <c r="N298" s="46">
        <v>150000.0</v>
      </c>
      <c r="O298" s="65">
        <v>0.0</v>
      </c>
      <c r="P298" s="48">
        <f t="array" ref="P298">IFNA(XLOOKUP(J298,'⚙️ Pengaturan'!$E$2:$E3237,'⚙️ Pengaturan'!$F$2:$F3237),"")</f>
        <v>150000</v>
      </c>
      <c r="Q298" s="49">
        <f t="shared" si="5"/>
        <v>0</v>
      </c>
      <c r="R298" s="41" t="s">
        <v>32</v>
      </c>
      <c r="S298" s="69" t="s">
        <v>33</v>
      </c>
      <c r="T298" s="51" t="b">
        <v>1</v>
      </c>
      <c r="U298" s="94"/>
    </row>
    <row r="299" ht="30.0" customHeight="1">
      <c r="A299" s="39"/>
      <c r="B299" s="40">
        <v>2332.0</v>
      </c>
      <c r="C299" s="41" t="s">
        <v>50</v>
      </c>
      <c r="D299" s="86">
        <v>46039.0</v>
      </c>
      <c r="E299" s="43" t="str">
        <f t="shared" si="1"/>
        <v>2026</v>
      </c>
      <c r="F299" s="43" t="str">
        <f t="shared" si="2"/>
        <v>01 Jan</v>
      </c>
      <c r="G299" s="126" t="s">
        <v>40</v>
      </c>
      <c r="H299" s="45" t="s">
        <v>166</v>
      </c>
      <c r="I299" s="45" t="s">
        <v>440</v>
      </c>
      <c r="J299" s="41" t="s">
        <v>56</v>
      </c>
      <c r="K299" s="43" t="str">
        <f t="array" ref="K299">IF(J299="","", XLOOKUP(J299,'⚙️ Pengaturan'!$E$2:$E3237,'⚙️ Pengaturan'!$G$2:$G3237))</f>
        <v>KLINIK FT PAKET</v>
      </c>
      <c r="L299" s="43" t="str">
        <f t="shared" si="3"/>
        <v>LANJUTAN</v>
      </c>
      <c r="M299" s="41" t="s">
        <v>164</v>
      </c>
      <c r="N299" s="46">
        <v>450000.0</v>
      </c>
      <c r="O299" s="65">
        <v>200000.0</v>
      </c>
      <c r="P299" s="48">
        <f t="array" ref="P299">IFNA(XLOOKUP(J299,'⚙️ Pengaturan'!$E$2:$E3237,'⚙️ Pengaturan'!$F$2:$F3237),"")</f>
        <v>650000</v>
      </c>
      <c r="Q299" s="49">
        <f t="shared" si="5"/>
        <v>0</v>
      </c>
      <c r="R299" s="41" t="s">
        <v>37</v>
      </c>
      <c r="S299" s="69" t="s">
        <v>440</v>
      </c>
      <c r="T299" s="51" t="b">
        <v>1</v>
      </c>
      <c r="U299" s="94"/>
    </row>
    <row r="300" ht="30.0" customHeight="1">
      <c r="A300" s="39"/>
      <c r="B300" s="40">
        <v>2333.0</v>
      </c>
      <c r="C300" s="41" t="s">
        <v>50</v>
      </c>
      <c r="D300" s="86">
        <v>46039.0</v>
      </c>
      <c r="E300" s="43" t="str">
        <f t="shared" si="1"/>
        <v>2026</v>
      </c>
      <c r="F300" s="43" t="str">
        <f t="shared" si="2"/>
        <v>01 Jan</v>
      </c>
      <c r="G300" s="126" t="s">
        <v>43</v>
      </c>
      <c r="H300" s="45" t="s">
        <v>166</v>
      </c>
      <c r="I300" s="45" t="s">
        <v>494</v>
      </c>
      <c r="J300" s="41" t="s">
        <v>92</v>
      </c>
      <c r="K300" s="43" t="str">
        <f t="array" ref="K300">IF(J300="","", XLOOKUP(J300,'⚙️ Pengaturan'!$E$2:$E3237,'⚙️ Pengaturan'!$G$2:$G3237))</f>
        <v>KLINIK FT PAKET</v>
      </c>
      <c r="L300" s="43" t="str">
        <f t="shared" si="3"/>
        <v>LANJUTAN</v>
      </c>
      <c r="M300" s="41" t="s">
        <v>164</v>
      </c>
      <c r="N300" s="46">
        <v>700000.0</v>
      </c>
      <c r="O300" s="65">
        <v>500000.0</v>
      </c>
      <c r="P300" s="48">
        <f t="array" ref="P300">IFNA(XLOOKUP(J300,'⚙️ Pengaturan'!$E$2:$E3237,'⚙️ Pengaturan'!$F$2:$F3237),"")</f>
        <v>1200000</v>
      </c>
      <c r="Q300" s="49">
        <f t="shared" si="5"/>
        <v>0</v>
      </c>
      <c r="R300" s="41" t="s">
        <v>32</v>
      </c>
      <c r="S300" s="69" t="s">
        <v>33</v>
      </c>
      <c r="T300" s="51" t="b">
        <v>1</v>
      </c>
      <c r="U300" s="94"/>
    </row>
    <row r="301" ht="30.0" customHeight="1">
      <c r="A301" s="39"/>
      <c r="B301" s="40">
        <v>2334.0</v>
      </c>
      <c r="C301" s="41" t="s">
        <v>50</v>
      </c>
      <c r="D301" s="86">
        <v>46039.0</v>
      </c>
      <c r="E301" s="43" t="str">
        <f t="shared" si="1"/>
        <v>2026</v>
      </c>
      <c r="F301" s="43" t="str">
        <f t="shared" si="2"/>
        <v>01 Jan</v>
      </c>
      <c r="G301" s="126" t="s">
        <v>43</v>
      </c>
      <c r="H301" s="45" t="s">
        <v>76</v>
      </c>
      <c r="I301" s="45" t="s">
        <v>427</v>
      </c>
      <c r="J301" s="41" t="s">
        <v>180</v>
      </c>
      <c r="K301" s="43" t="str">
        <f t="array" ref="K301">IF(J301="","", XLOOKUP(J301,'⚙️ Pengaturan'!$E$2:$E3237,'⚙️ Pengaturan'!$G$2:$G3237))</f>
        <v>KLINIK FT SESI</v>
      </c>
      <c r="L301" s="43" t="str">
        <f t="shared" si="3"/>
        <v>LANJUTAN</v>
      </c>
      <c r="M301" s="41" t="s">
        <v>31</v>
      </c>
      <c r="N301" s="46">
        <v>150000.0</v>
      </c>
      <c r="O301" s="65">
        <v>0.0</v>
      </c>
      <c r="P301" s="48">
        <f t="array" ref="P301">IFNA(XLOOKUP(J301,'⚙️ Pengaturan'!$E$2:$E3237,'⚙️ Pengaturan'!$F$2:$F3237),"")</f>
        <v>150000</v>
      </c>
      <c r="Q301" s="49">
        <f t="shared" si="5"/>
        <v>0</v>
      </c>
      <c r="R301" s="41" t="s">
        <v>32</v>
      </c>
      <c r="S301" s="69" t="s">
        <v>33</v>
      </c>
      <c r="T301" s="51" t="b">
        <v>1</v>
      </c>
      <c r="U301" s="94"/>
    </row>
    <row r="302" ht="30.0" customHeight="1">
      <c r="A302" s="39"/>
      <c r="B302" s="40">
        <v>2335.0</v>
      </c>
      <c r="C302" s="41" t="s">
        <v>50</v>
      </c>
      <c r="D302" s="86">
        <v>46039.0</v>
      </c>
      <c r="E302" s="43" t="str">
        <f t="shared" si="1"/>
        <v>2026</v>
      </c>
      <c r="F302" s="43" t="str">
        <f t="shared" si="2"/>
        <v>01 Jan</v>
      </c>
      <c r="G302" s="126" t="s">
        <v>43</v>
      </c>
      <c r="H302" s="45" t="s">
        <v>96</v>
      </c>
      <c r="I302" s="45" t="s">
        <v>309</v>
      </c>
      <c r="J302" s="41" t="s">
        <v>56</v>
      </c>
      <c r="K302" s="43" t="str">
        <f t="array" ref="K302">IF(J302="","", XLOOKUP(J302,'⚙️ Pengaturan'!$E$2:$E3237,'⚙️ Pengaturan'!$G$2:$G3237))</f>
        <v>KLINIK FT PAKET</v>
      </c>
      <c r="L302" s="43" t="str">
        <f t="shared" si="3"/>
        <v>LANJUTAN</v>
      </c>
      <c r="M302" s="41" t="s">
        <v>164</v>
      </c>
      <c r="N302" s="46">
        <v>200000.0</v>
      </c>
      <c r="O302" s="65">
        <v>450000.0</v>
      </c>
      <c r="P302" s="48">
        <f t="array" ref="P302">IFNA(XLOOKUP(J302,'⚙️ Pengaturan'!$E$2:$E3237,'⚙️ Pengaturan'!$F$2:$F3237),"")</f>
        <v>650000</v>
      </c>
      <c r="Q302" s="49">
        <f t="shared" si="5"/>
        <v>0</v>
      </c>
      <c r="R302" s="41" t="s">
        <v>37</v>
      </c>
      <c r="S302" s="69" t="s">
        <v>309</v>
      </c>
      <c r="T302" s="51" t="b">
        <v>1</v>
      </c>
      <c r="U302" s="94"/>
    </row>
    <row r="303" ht="30.0" customHeight="1">
      <c r="A303" s="39"/>
      <c r="B303" s="40">
        <v>2336.0</v>
      </c>
      <c r="C303" s="41" t="s">
        <v>50</v>
      </c>
      <c r="D303" s="86">
        <v>46039.0</v>
      </c>
      <c r="E303" s="43" t="str">
        <f t="shared" si="1"/>
        <v>2026</v>
      </c>
      <c r="F303" s="43" t="str">
        <f t="shared" si="2"/>
        <v>01 Jan</v>
      </c>
      <c r="G303" s="126" t="s">
        <v>173</v>
      </c>
      <c r="H303" s="45" t="s">
        <v>76</v>
      </c>
      <c r="I303" s="45" t="s">
        <v>573</v>
      </c>
      <c r="J303" s="41" t="s">
        <v>180</v>
      </c>
      <c r="K303" s="43" t="str">
        <f t="array" ref="K303">IF(J303="","", XLOOKUP(J303,'⚙️ Pengaturan'!$E$2:$E3237,'⚙️ Pengaturan'!$G$2:$G3237))</f>
        <v>KLINIK FT SESI</v>
      </c>
      <c r="L303" s="43" t="str">
        <f t="shared" si="3"/>
        <v>BARU</v>
      </c>
      <c r="M303" s="41" t="s">
        <v>31</v>
      </c>
      <c r="N303" s="46">
        <v>150000.0</v>
      </c>
      <c r="O303" s="65">
        <v>0.0</v>
      </c>
      <c r="P303" s="48">
        <f t="array" ref="P303">IFNA(XLOOKUP(J303,'⚙️ Pengaturan'!$E$2:$E3237,'⚙️ Pengaturan'!$F$2:$F3237),"")</f>
        <v>150000</v>
      </c>
      <c r="Q303" s="49">
        <f t="shared" si="5"/>
        <v>0</v>
      </c>
      <c r="R303" s="41" t="s">
        <v>37</v>
      </c>
      <c r="S303" s="69" t="s">
        <v>573</v>
      </c>
      <c r="T303" s="51" t="b">
        <v>1</v>
      </c>
      <c r="U303" s="94"/>
    </row>
    <row r="304" ht="30.0" customHeight="1">
      <c r="A304" s="39"/>
      <c r="B304" s="40">
        <v>2337.0</v>
      </c>
      <c r="C304" s="41" t="s">
        <v>50</v>
      </c>
      <c r="D304" s="86">
        <v>46039.0</v>
      </c>
      <c r="E304" s="43" t="str">
        <f t="shared" si="1"/>
        <v>2026</v>
      </c>
      <c r="F304" s="43" t="str">
        <f t="shared" si="2"/>
        <v>01 Jan</v>
      </c>
      <c r="G304" s="126" t="s">
        <v>173</v>
      </c>
      <c r="H304" s="45" t="s">
        <v>166</v>
      </c>
      <c r="I304" s="45" t="s">
        <v>600</v>
      </c>
      <c r="J304" s="41" t="s">
        <v>28</v>
      </c>
      <c r="K304" s="43" t="str">
        <f t="array" ref="K304">IF(J304="","", XLOOKUP(J304,'⚙️ Pengaturan'!$E$2:$E3237,'⚙️ Pengaturan'!$G$2:$G3237))</f>
        <v>KLINIK FT TA</v>
      </c>
      <c r="L304" s="43" t="str">
        <f t="shared" si="3"/>
        <v>BARU</v>
      </c>
      <c r="M304" s="41" t="s">
        <v>31</v>
      </c>
      <c r="N304" s="46">
        <v>250000.0</v>
      </c>
      <c r="O304" s="65">
        <v>0.0</v>
      </c>
      <c r="P304" s="48">
        <f t="array" ref="P304">IFNA(XLOOKUP(J304,'⚙️ Pengaturan'!$E$2:$E3237,'⚙️ Pengaturan'!$F$2:$F3237),"")</f>
        <v>250000</v>
      </c>
      <c r="Q304" s="49">
        <f t="shared" si="5"/>
        <v>0</v>
      </c>
      <c r="R304" s="41" t="s">
        <v>32</v>
      </c>
      <c r="S304" s="69" t="s">
        <v>33</v>
      </c>
      <c r="T304" s="51" t="b">
        <v>1</v>
      </c>
      <c r="U304" s="94"/>
    </row>
    <row r="305" ht="30.0" customHeight="1">
      <c r="A305" s="39"/>
      <c r="B305" s="40">
        <v>2338.0</v>
      </c>
      <c r="C305" s="41" t="s">
        <v>50</v>
      </c>
      <c r="D305" s="86">
        <v>46039.0</v>
      </c>
      <c r="E305" s="43" t="str">
        <f t="shared" si="1"/>
        <v>2026</v>
      </c>
      <c r="F305" s="43" t="str">
        <f t="shared" si="2"/>
        <v>01 Jan</v>
      </c>
      <c r="G305" s="126" t="s">
        <v>155</v>
      </c>
      <c r="H305" s="45" t="s">
        <v>47</v>
      </c>
      <c r="I305" s="45" t="s">
        <v>601</v>
      </c>
      <c r="J305" s="41" t="s">
        <v>28</v>
      </c>
      <c r="K305" s="43" t="str">
        <f t="array" ref="K305">IF(J305="","", XLOOKUP(J305,'⚙️ Pengaturan'!$E$2:$E3237,'⚙️ Pengaturan'!$G$2:$G3237))</f>
        <v>KLINIK FT TA</v>
      </c>
      <c r="L305" s="43" t="str">
        <f t="shared" si="3"/>
        <v>BARU</v>
      </c>
      <c r="M305" s="41" t="s">
        <v>31</v>
      </c>
      <c r="N305" s="46">
        <v>250000.0</v>
      </c>
      <c r="O305" s="65">
        <v>0.0</v>
      </c>
      <c r="P305" s="48">
        <f t="array" ref="P305">IFNA(XLOOKUP(J305,'⚙️ Pengaturan'!$E$2:$E3237,'⚙️ Pengaturan'!$F$2:$F3237),"")</f>
        <v>250000</v>
      </c>
      <c r="Q305" s="49">
        <f t="shared" si="5"/>
        <v>0</v>
      </c>
      <c r="R305" s="41" t="s">
        <v>32</v>
      </c>
      <c r="S305" s="69" t="s">
        <v>33</v>
      </c>
      <c r="T305" s="51" t="b">
        <v>1</v>
      </c>
      <c r="U305" s="94"/>
    </row>
    <row r="306" ht="30.0" customHeight="1">
      <c r="A306" s="39"/>
      <c r="B306" s="40">
        <v>2339.0</v>
      </c>
      <c r="C306" s="41" t="s">
        <v>50</v>
      </c>
      <c r="D306" s="86">
        <v>46039.0</v>
      </c>
      <c r="E306" s="43" t="str">
        <f t="shared" si="1"/>
        <v>2026</v>
      </c>
      <c r="F306" s="43" t="str">
        <f t="shared" si="2"/>
        <v>01 Jan</v>
      </c>
      <c r="G306" s="126" t="s">
        <v>190</v>
      </c>
      <c r="H306" s="45" t="s">
        <v>47</v>
      </c>
      <c r="I306" s="45" t="s">
        <v>602</v>
      </c>
      <c r="J306" s="41" t="s">
        <v>28</v>
      </c>
      <c r="K306" s="43" t="str">
        <f t="array" ref="K306">IF(J306="","", XLOOKUP(J306,'⚙️ Pengaturan'!$E$2:$E3237,'⚙️ Pengaturan'!$G$2:$G3237))</f>
        <v>KLINIK FT TA</v>
      </c>
      <c r="L306" s="43" t="str">
        <f t="shared" si="3"/>
        <v>BARU</v>
      </c>
      <c r="M306" s="41" t="s">
        <v>31</v>
      </c>
      <c r="N306" s="46">
        <v>250000.0</v>
      </c>
      <c r="O306" s="65">
        <v>0.0</v>
      </c>
      <c r="P306" s="48">
        <f t="array" ref="P306">IFNA(XLOOKUP(J306,'⚙️ Pengaturan'!$E$2:$E3237,'⚙️ Pengaturan'!$F$2:$F3237),"")</f>
        <v>250000</v>
      </c>
      <c r="Q306" s="49">
        <f t="shared" si="5"/>
        <v>0</v>
      </c>
      <c r="R306" s="41" t="s">
        <v>32</v>
      </c>
      <c r="S306" s="69" t="s">
        <v>33</v>
      </c>
      <c r="T306" s="51" t="b">
        <v>1</v>
      </c>
      <c r="U306" s="94"/>
    </row>
    <row r="307" ht="30.0" customHeight="1">
      <c r="A307" s="39"/>
      <c r="B307" s="40">
        <v>2340.0</v>
      </c>
      <c r="C307" s="41" t="s">
        <v>50</v>
      </c>
      <c r="D307" s="86">
        <v>46039.0</v>
      </c>
      <c r="E307" s="43" t="str">
        <f t="shared" si="1"/>
        <v>2026</v>
      </c>
      <c r="F307" s="43" t="str">
        <f t="shared" si="2"/>
        <v>01 Jan</v>
      </c>
      <c r="G307" s="126" t="s">
        <v>35</v>
      </c>
      <c r="H307" s="45" t="s">
        <v>150</v>
      </c>
      <c r="I307" s="45" t="s">
        <v>603</v>
      </c>
      <c r="J307" s="41" t="s">
        <v>28</v>
      </c>
      <c r="K307" s="43" t="str">
        <f t="array" ref="K307">IF(J307="","", XLOOKUP(J307,'⚙️ Pengaturan'!$E$2:$E3237,'⚙️ Pengaturan'!$G$2:$G3237))</f>
        <v>KLINIK FT TA</v>
      </c>
      <c r="L307" s="43" t="str">
        <f t="shared" si="3"/>
        <v>BARU</v>
      </c>
      <c r="M307" s="41" t="s">
        <v>31</v>
      </c>
      <c r="N307" s="46">
        <v>250000.0</v>
      </c>
      <c r="O307" s="65">
        <v>0.0</v>
      </c>
      <c r="P307" s="48">
        <f t="array" ref="P307">IFNA(XLOOKUP(J307,'⚙️ Pengaturan'!$E$2:$E3237,'⚙️ Pengaturan'!$F$2:$F3237),"")</f>
        <v>250000</v>
      </c>
      <c r="Q307" s="49">
        <f t="shared" si="5"/>
        <v>0</v>
      </c>
      <c r="R307" s="41" t="s">
        <v>32</v>
      </c>
      <c r="S307" s="69" t="s">
        <v>33</v>
      </c>
      <c r="T307" s="51" t="b">
        <v>1</v>
      </c>
      <c r="U307" s="94"/>
    </row>
    <row r="308" ht="30.0" customHeight="1">
      <c r="A308" s="39"/>
      <c r="B308" s="40">
        <v>2341.0</v>
      </c>
      <c r="C308" s="41" t="s">
        <v>50</v>
      </c>
      <c r="D308" s="86">
        <v>46039.0</v>
      </c>
      <c r="E308" s="43" t="str">
        <f t="shared" si="1"/>
        <v>2026</v>
      </c>
      <c r="F308" s="43" t="str">
        <f t="shared" si="2"/>
        <v>01 Jan</v>
      </c>
      <c r="G308" s="126" t="s">
        <v>69</v>
      </c>
      <c r="H308" s="45" t="s">
        <v>96</v>
      </c>
      <c r="I308" s="45" t="s">
        <v>212</v>
      </c>
      <c r="J308" s="41" t="s">
        <v>365</v>
      </c>
      <c r="K308" s="43" t="str">
        <f t="array" ref="K308">IF(J308="","", XLOOKUP(J308,'⚙️ Pengaturan'!$E$2:$E3237,'⚙️ Pengaturan'!$G$2:$G3237))</f>
        <v>VISIT FT SESI</v>
      </c>
      <c r="L308" s="43" t="str">
        <f t="shared" si="3"/>
        <v>BARU</v>
      </c>
      <c r="M308" s="41" t="s">
        <v>31</v>
      </c>
      <c r="N308" s="46">
        <v>250000.0</v>
      </c>
      <c r="O308" s="65">
        <v>0.0</v>
      </c>
      <c r="P308" s="48">
        <f t="array" ref="P308">IFNA(XLOOKUP(J308,'⚙️ Pengaturan'!$E$2:$E3237,'⚙️ Pengaturan'!$F$2:$F3237),"")</f>
        <v>250000</v>
      </c>
      <c r="Q308" s="49">
        <f t="shared" si="5"/>
        <v>0</v>
      </c>
      <c r="R308" s="41" t="s">
        <v>32</v>
      </c>
      <c r="S308" s="69" t="s">
        <v>33</v>
      </c>
      <c r="T308" s="51" t="b">
        <v>1</v>
      </c>
      <c r="U308" s="94"/>
    </row>
    <row r="309" ht="30.0" customHeight="1">
      <c r="A309" s="39"/>
      <c r="B309" s="40">
        <v>2342.0</v>
      </c>
      <c r="C309" s="41" t="s">
        <v>50</v>
      </c>
      <c r="D309" s="86">
        <v>46039.0</v>
      </c>
      <c r="E309" s="43" t="str">
        <f t="shared" si="1"/>
        <v>2026</v>
      </c>
      <c r="F309" s="43" t="str">
        <f t="shared" si="2"/>
        <v>01 Jan</v>
      </c>
      <c r="G309" s="126" t="s">
        <v>35</v>
      </c>
      <c r="H309" s="45" t="s">
        <v>149</v>
      </c>
      <c r="I309" s="45" t="s">
        <v>497</v>
      </c>
      <c r="J309" s="41" t="s">
        <v>180</v>
      </c>
      <c r="K309" s="43" t="str">
        <f t="array" ref="K309">IF(J309="","", XLOOKUP(J309,'⚙️ Pengaturan'!$E$2:$E3237,'⚙️ Pengaturan'!$G$2:$G3237))</f>
        <v>KLINIK FT SESI</v>
      </c>
      <c r="L309" s="43" t="str">
        <f t="shared" si="3"/>
        <v>LANJUTAN</v>
      </c>
      <c r="M309" s="41" t="s">
        <v>31</v>
      </c>
      <c r="N309" s="46">
        <v>150000.0</v>
      </c>
      <c r="O309" s="65">
        <v>0.0</v>
      </c>
      <c r="P309" s="48">
        <f t="array" ref="P309">IFNA(XLOOKUP(J309,'⚙️ Pengaturan'!$E$2:$E3237,'⚙️ Pengaturan'!$F$2:$F3237),"")</f>
        <v>150000</v>
      </c>
      <c r="Q309" s="49">
        <f t="shared" si="5"/>
        <v>0</v>
      </c>
      <c r="R309" s="41" t="s">
        <v>32</v>
      </c>
      <c r="S309" s="69" t="s">
        <v>33</v>
      </c>
      <c r="T309" s="51" t="b">
        <v>1</v>
      </c>
      <c r="U309" s="94"/>
    </row>
    <row r="310" ht="30.0" customHeight="1">
      <c r="A310" s="39"/>
      <c r="B310" s="40">
        <v>2343.0</v>
      </c>
      <c r="C310" s="41" t="s">
        <v>79</v>
      </c>
      <c r="D310" s="86">
        <v>46040.0</v>
      </c>
      <c r="E310" s="43" t="str">
        <f t="shared" si="1"/>
        <v>2026</v>
      </c>
      <c r="F310" s="43" t="str">
        <f t="shared" si="2"/>
        <v>01 Jan</v>
      </c>
      <c r="G310" s="126" t="s">
        <v>195</v>
      </c>
      <c r="H310" s="45" t="s">
        <v>47</v>
      </c>
      <c r="I310" s="45" t="s">
        <v>604</v>
      </c>
      <c r="J310" s="41" t="s">
        <v>28</v>
      </c>
      <c r="K310" s="43" t="str">
        <f t="array" ref="K310">IF(J310="","", XLOOKUP(J310,'⚙️ Pengaturan'!$E$2:$E3237,'⚙️ Pengaturan'!$G$2:$G3237))</f>
        <v>KLINIK FT TA</v>
      </c>
      <c r="L310" s="43" t="str">
        <f t="shared" si="3"/>
        <v>BARU</v>
      </c>
      <c r="M310" s="41" t="s">
        <v>31</v>
      </c>
      <c r="N310" s="46">
        <v>250000.0</v>
      </c>
      <c r="O310" s="65">
        <v>0.0</v>
      </c>
      <c r="P310" s="48">
        <f t="array" ref="P310">IFNA(XLOOKUP(J310,'⚙️ Pengaturan'!$E$2:$E3237,'⚙️ Pengaturan'!$F$2:$F3237),"")</f>
        <v>250000</v>
      </c>
      <c r="Q310" s="49">
        <f t="shared" si="5"/>
        <v>0</v>
      </c>
      <c r="R310" s="41" t="s">
        <v>37</v>
      </c>
      <c r="S310" s="69" t="s">
        <v>604</v>
      </c>
      <c r="T310" s="51" t="b">
        <v>1</v>
      </c>
      <c r="U310" s="94"/>
    </row>
    <row r="311" ht="30.0" customHeight="1">
      <c r="A311" s="39"/>
      <c r="B311" s="40">
        <v>2344.0</v>
      </c>
      <c r="C311" s="41" t="s">
        <v>79</v>
      </c>
      <c r="D311" s="86">
        <v>46040.0</v>
      </c>
      <c r="E311" s="43" t="str">
        <f t="shared" si="1"/>
        <v>2026</v>
      </c>
      <c r="F311" s="43" t="str">
        <f t="shared" si="2"/>
        <v>01 Jan</v>
      </c>
      <c r="G311" s="126" t="s">
        <v>195</v>
      </c>
      <c r="H311" s="45" t="s">
        <v>76</v>
      </c>
      <c r="I311" s="45" t="s">
        <v>605</v>
      </c>
      <c r="J311" s="129" t="s">
        <v>28</v>
      </c>
      <c r="K311" s="43" t="str">
        <f t="array" ref="K311">IF(J311="","", XLOOKUP(J311,'⚙️ Pengaturan'!$E$2:$E3237,'⚙️ Pengaturan'!$G$2:$G3237))</f>
        <v>KLINIK FT TA</v>
      </c>
      <c r="L311" s="43" t="str">
        <f t="shared" si="3"/>
        <v>BARU</v>
      </c>
      <c r="M311" s="130" t="s">
        <v>31</v>
      </c>
      <c r="N311" s="46">
        <v>250000.0</v>
      </c>
      <c r="O311" s="65">
        <v>0.0</v>
      </c>
      <c r="P311" s="48">
        <f t="array" ref="P311">IFNA(XLOOKUP(J311,'⚙️ Pengaturan'!$E$2:$E3237,'⚙️ Pengaturan'!$F$2:$F3237),"")</f>
        <v>250000</v>
      </c>
      <c r="Q311" s="49">
        <f t="shared" si="5"/>
        <v>0</v>
      </c>
      <c r="R311" s="41" t="s">
        <v>32</v>
      </c>
      <c r="S311" s="69" t="s">
        <v>33</v>
      </c>
      <c r="T311" s="51" t="b">
        <v>1</v>
      </c>
      <c r="U311" s="94"/>
    </row>
    <row r="312" ht="30.0" customHeight="1">
      <c r="A312" s="39"/>
      <c r="B312" s="40">
        <v>2345.0</v>
      </c>
      <c r="C312" s="41" t="s">
        <v>79</v>
      </c>
      <c r="D312" s="86">
        <v>46040.0</v>
      </c>
      <c r="E312" s="43" t="str">
        <f t="shared" si="1"/>
        <v>2026</v>
      </c>
      <c r="F312" s="43" t="str">
        <f t="shared" si="2"/>
        <v>01 Jan</v>
      </c>
      <c r="G312" s="126" t="s">
        <v>195</v>
      </c>
      <c r="H312" s="45" t="s">
        <v>149</v>
      </c>
      <c r="I312" s="45" t="s">
        <v>436</v>
      </c>
      <c r="J312" s="41" t="s">
        <v>180</v>
      </c>
      <c r="K312" s="43" t="str">
        <f t="array" ref="K312">IF(J312="","", XLOOKUP(J312,'⚙️ Pengaturan'!$E$2:$E3237,'⚙️ Pengaturan'!$G$2:$G3237))</f>
        <v>KLINIK FT SESI</v>
      </c>
      <c r="L312" s="43" t="str">
        <f t="shared" si="3"/>
        <v>LANJUTAN</v>
      </c>
      <c r="M312" s="41" t="s">
        <v>31</v>
      </c>
      <c r="N312" s="46">
        <v>150000.0</v>
      </c>
      <c r="O312" s="65">
        <v>0.0</v>
      </c>
      <c r="P312" s="48">
        <f t="array" ref="P312">IFNA(XLOOKUP(J312,'⚙️ Pengaturan'!$E$2:$E3237,'⚙️ Pengaturan'!$F$2:$F3237),"")</f>
        <v>150000</v>
      </c>
      <c r="Q312" s="49">
        <f t="shared" si="5"/>
        <v>0</v>
      </c>
      <c r="R312" s="41" t="s">
        <v>32</v>
      </c>
      <c r="S312" s="69" t="s">
        <v>33</v>
      </c>
      <c r="T312" s="51" t="b">
        <v>1</v>
      </c>
      <c r="U312" s="94"/>
    </row>
    <row r="313" ht="30.0" customHeight="1">
      <c r="A313" s="39"/>
      <c r="B313" s="40">
        <v>2346.0</v>
      </c>
      <c r="C313" s="41" t="s">
        <v>79</v>
      </c>
      <c r="D313" s="86">
        <v>46040.0</v>
      </c>
      <c r="E313" s="43" t="str">
        <f t="shared" si="1"/>
        <v>2026</v>
      </c>
      <c r="F313" s="43" t="str">
        <f t="shared" si="2"/>
        <v>01 Jan</v>
      </c>
      <c r="G313" s="126" t="s">
        <v>25</v>
      </c>
      <c r="H313" s="45" t="s">
        <v>47</v>
      </c>
      <c r="I313" s="45" t="s">
        <v>255</v>
      </c>
      <c r="J313" s="41" t="s">
        <v>180</v>
      </c>
      <c r="K313" s="43" t="str">
        <f t="array" ref="K313">IF(J313="","", XLOOKUP(J313,'⚙️ Pengaturan'!$E$2:$E3237,'⚙️ Pengaturan'!$G$2:$G3237))</f>
        <v>KLINIK FT SESI</v>
      </c>
      <c r="L313" s="43" t="str">
        <f t="shared" si="3"/>
        <v>LANJUTAN</v>
      </c>
      <c r="M313" s="41" t="s">
        <v>31</v>
      </c>
      <c r="N313" s="46">
        <v>150000.0</v>
      </c>
      <c r="O313" s="65">
        <v>0.0</v>
      </c>
      <c r="P313" s="48">
        <f t="array" ref="P313">IFNA(XLOOKUP(J313,'⚙️ Pengaturan'!$E$2:$E3237,'⚙️ Pengaturan'!$F$2:$F3237),"")</f>
        <v>150000</v>
      </c>
      <c r="Q313" s="49">
        <f t="shared" si="5"/>
        <v>0</v>
      </c>
      <c r="R313" s="41" t="s">
        <v>37</v>
      </c>
      <c r="S313" s="69" t="s">
        <v>255</v>
      </c>
      <c r="T313" s="51" t="b">
        <v>1</v>
      </c>
      <c r="U313" s="94"/>
    </row>
    <row r="314" ht="30.0" customHeight="1">
      <c r="A314" s="39"/>
      <c r="B314" s="40">
        <v>2347.0</v>
      </c>
      <c r="C314" s="41" t="s">
        <v>79</v>
      </c>
      <c r="D314" s="86">
        <v>46040.0</v>
      </c>
      <c r="E314" s="43" t="str">
        <f t="shared" si="1"/>
        <v>2026</v>
      </c>
      <c r="F314" s="43" t="str">
        <f t="shared" si="2"/>
        <v>01 Jan</v>
      </c>
      <c r="G314" s="126" t="s">
        <v>25</v>
      </c>
      <c r="H314" s="45" t="s">
        <v>149</v>
      </c>
      <c r="I314" s="45" t="s">
        <v>606</v>
      </c>
      <c r="J314" s="129" t="s">
        <v>28</v>
      </c>
      <c r="K314" s="43" t="str">
        <f t="array" ref="K314">IF(J314="","", XLOOKUP(J314,'⚙️ Pengaturan'!$E$2:$E3237,'⚙️ Pengaturan'!$G$2:$G3237))</f>
        <v>KLINIK FT TA</v>
      </c>
      <c r="L314" s="43" t="str">
        <f t="shared" si="3"/>
        <v>BARU</v>
      </c>
      <c r="M314" s="130" t="s">
        <v>31</v>
      </c>
      <c r="N314" s="131">
        <v>250000.0</v>
      </c>
      <c r="O314" s="132">
        <v>0.0</v>
      </c>
      <c r="P314" s="48">
        <f t="array" ref="P314">IFNA(XLOOKUP(J314,'⚙️ Pengaturan'!$E$2:$E3237,'⚙️ Pengaturan'!$F$2:$F3237),"")</f>
        <v>250000</v>
      </c>
      <c r="Q314" s="49">
        <f t="shared" si="5"/>
        <v>0</v>
      </c>
      <c r="R314" s="41" t="s">
        <v>32</v>
      </c>
      <c r="S314" s="69" t="s">
        <v>33</v>
      </c>
      <c r="T314" s="51" t="b">
        <v>1</v>
      </c>
      <c r="U314" s="94"/>
    </row>
    <row r="315" ht="30.0" customHeight="1">
      <c r="A315" s="39"/>
      <c r="B315" s="40">
        <v>2348.0</v>
      </c>
      <c r="C315" s="41" t="s">
        <v>79</v>
      </c>
      <c r="D315" s="86">
        <v>46040.0</v>
      </c>
      <c r="E315" s="43" t="str">
        <f t="shared" si="1"/>
        <v>2026</v>
      </c>
      <c r="F315" s="43" t="str">
        <f t="shared" si="2"/>
        <v>01 Jan</v>
      </c>
      <c r="G315" s="126" t="s">
        <v>25</v>
      </c>
      <c r="H315" s="45" t="s">
        <v>149</v>
      </c>
      <c r="I315" s="45" t="s">
        <v>606</v>
      </c>
      <c r="J315" s="41" t="s">
        <v>56</v>
      </c>
      <c r="K315" s="43" t="str">
        <f t="array" ref="K315">IF(J315="","", XLOOKUP(J315,'⚙️ Pengaturan'!$E$2:$E3237,'⚙️ Pengaturan'!$G$2:$G3237))</f>
        <v>KLINIK FT PAKET</v>
      </c>
      <c r="L315" s="43" t="str">
        <f t="shared" si="3"/>
        <v>BARU</v>
      </c>
      <c r="M315" s="41" t="s">
        <v>60</v>
      </c>
      <c r="N315" s="46">
        <v>250000.0</v>
      </c>
      <c r="O315" s="65">
        <v>0.0</v>
      </c>
      <c r="P315" s="48">
        <f t="array" ref="P315">IFNA(XLOOKUP(J315,'⚙️ Pengaturan'!$E$2:$E3237,'⚙️ Pengaturan'!$F$2:$F3237),"")</f>
        <v>650000</v>
      </c>
      <c r="Q315" s="49">
        <f t="shared" si="5"/>
        <v>-400000</v>
      </c>
      <c r="R315" s="41" t="s">
        <v>32</v>
      </c>
      <c r="S315" s="69" t="s">
        <v>33</v>
      </c>
      <c r="T315" s="51" t="b">
        <v>1</v>
      </c>
      <c r="U315" s="94"/>
    </row>
    <row r="316" ht="30.0" customHeight="1">
      <c r="A316" s="39"/>
      <c r="B316" s="40">
        <v>2349.0</v>
      </c>
      <c r="C316" s="41" t="s">
        <v>79</v>
      </c>
      <c r="D316" s="86">
        <v>46040.0</v>
      </c>
      <c r="E316" s="43" t="str">
        <f t="shared" si="1"/>
        <v>2026</v>
      </c>
      <c r="F316" s="43" t="str">
        <f t="shared" si="2"/>
        <v>01 Jan</v>
      </c>
      <c r="G316" s="126" t="s">
        <v>206</v>
      </c>
      <c r="H316" s="45" t="s">
        <v>149</v>
      </c>
      <c r="I316" s="45" t="s">
        <v>498</v>
      </c>
      <c r="J316" s="41" t="s">
        <v>180</v>
      </c>
      <c r="K316" s="43" t="str">
        <f t="array" ref="K316">IF(J316="","", XLOOKUP(J316,'⚙️ Pengaturan'!$E$2:$E3237,'⚙️ Pengaturan'!$G$2:$G3237))</f>
        <v>KLINIK FT SESI</v>
      </c>
      <c r="L316" s="43" t="str">
        <f t="shared" si="3"/>
        <v>BARU</v>
      </c>
      <c r="M316" s="41" t="s">
        <v>31</v>
      </c>
      <c r="N316" s="46">
        <v>150000.0</v>
      </c>
      <c r="O316" s="65">
        <v>0.0</v>
      </c>
      <c r="P316" s="48">
        <f t="array" ref="P316">IFNA(XLOOKUP(J316,'⚙️ Pengaturan'!$E$2:$E3237,'⚙️ Pengaturan'!$F$2:$F3237),"")</f>
        <v>150000</v>
      </c>
      <c r="Q316" s="49">
        <f t="shared" si="5"/>
        <v>0</v>
      </c>
      <c r="R316" s="41" t="s">
        <v>32</v>
      </c>
      <c r="S316" s="69" t="s">
        <v>33</v>
      </c>
      <c r="T316" s="51" t="b">
        <v>1</v>
      </c>
      <c r="U316" s="94"/>
    </row>
    <row r="317" ht="30.0" customHeight="1">
      <c r="A317" s="39"/>
      <c r="B317" s="40">
        <v>2350.0</v>
      </c>
      <c r="C317" s="41" t="s">
        <v>79</v>
      </c>
      <c r="D317" s="86">
        <v>46040.0</v>
      </c>
      <c r="E317" s="43" t="str">
        <f t="shared" si="1"/>
        <v>2026</v>
      </c>
      <c r="F317" s="43" t="str">
        <f t="shared" si="2"/>
        <v>01 Jan</v>
      </c>
      <c r="G317" s="126" t="s">
        <v>206</v>
      </c>
      <c r="H317" s="45" t="s">
        <v>76</v>
      </c>
      <c r="I317" s="45" t="s">
        <v>607</v>
      </c>
      <c r="J317" s="122" t="s">
        <v>28</v>
      </c>
      <c r="K317" s="43" t="str">
        <f t="array" ref="K317">IF(J317="","", XLOOKUP(J317,'⚙️ Pengaturan'!$E$2:$E3237,'⚙️ Pengaturan'!$G$2:$G3237))</f>
        <v>KLINIK FT TA</v>
      </c>
      <c r="L317" s="43" t="str">
        <f t="shared" si="3"/>
        <v>BARU</v>
      </c>
      <c r="M317" s="122" t="s">
        <v>31</v>
      </c>
      <c r="N317" s="123">
        <v>250000.0</v>
      </c>
      <c r="O317" s="124">
        <v>0.0</v>
      </c>
      <c r="P317" s="48">
        <f t="array" ref="P317">IFNA(XLOOKUP(J317,'⚙️ Pengaturan'!$E$2:$E3237,'⚙️ Pengaturan'!$F$2:$F3237),"")</f>
        <v>250000</v>
      </c>
      <c r="Q317" s="49">
        <f t="shared" si="5"/>
        <v>0</v>
      </c>
      <c r="R317" s="41" t="s">
        <v>32</v>
      </c>
      <c r="S317" s="69" t="s">
        <v>33</v>
      </c>
      <c r="T317" s="51" t="b">
        <v>1</v>
      </c>
      <c r="U317" s="94"/>
    </row>
    <row r="318" ht="30.0" customHeight="1">
      <c r="A318" s="39"/>
      <c r="B318" s="40">
        <v>2351.0</v>
      </c>
      <c r="C318" s="41" t="s">
        <v>50</v>
      </c>
      <c r="D318" s="86">
        <v>46040.0</v>
      </c>
      <c r="E318" s="43" t="str">
        <f t="shared" si="1"/>
        <v>2026</v>
      </c>
      <c r="F318" s="43" t="str">
        <f t="shared" si="2"/>
        <v>01 Jan</v>
      </c>
      <c r="G318" s="126" t="s">
        <v>40</v>
      </c>
      <c r="H318" s="45" t="s">
        <v>162</v>
      </c>
      <c r="I318" s="45" t="s">
        <v>549</v>
      </c>
      <c r="J318" s="41" t="s">
        <v>180</v>
      </c>
      <c r="K318" s="43" t="str">
        <f t="array" ref="K318">IF(J318="","", XLOOKUP(J318,'⚙️ Pengaturan'!$E$2:$E3237,'⚙️ Pengaturan'!$G$2:$G3237))</f>
        <v>KLINIK FT SESI</v>
      </c>
      <c r="L318" s="43" t="str">
        <f t="shared" si="3"/>
        <v>LANJUTAN</v>
      </c>
      <c r="M318" s="41" t="s">
        <v>31</v>
      </c>
      <c r="N318" s="46">
        <v>150000.0</v>
      </c>
      <c r="O318" s="65">
        <v>0.0</v>
      </c>
      <c r="P318" s="48">
        <f t="array" ref="P318">IFNA(XLOOKUP(J318,'⚙️ Pengaturan'!$E$2:$E3237,'⚙️ Pengaturan'!$F$2:$F3237),"")</f>
        <v>150000</v>
      </c>
      <c r="Q318" s="49">
        <f t="shared" si="5"/>
        <v>0</v>
      </c>
      <c r="R318" s="41" t="s">
        <v>37</v>
      </c>
      <c r="S318" s="69" t="s">
        <v>549</v>
      </c>
      <c r="T318" s="51" t="b">
        <v>1</v>
      </c>
      <c r="U318" s="94"/>
    </row>
    <row r="319" ht="30.0" customHeight="1">
      <c r="A319" s="39"/>
      <c r="B319" s="40">
        <v>2352.0</v>
      </c>
      <c r="C319" s="41" t="s">
        <v>50</v>
      </c>
      <c r="D319" s="86">
        <v>46040.0</v>
      </c>
      <c r="E319" s="43" t="str">
        <f t="shared" si="1"/>
        <v>2026</v>
      </c>
      <c r="F319" s="43" t="str">
        <f t="shared" si="2"/>
        <v>01 Jan</v>
      </c>
      <c r="G319" s="126" t="s">
        <v>43</v>
      </c>
      <c r="H319" s="45" t="s">
        <v>26</v>
      </c>
      <c r="I319" s="45" t="s">
        <v>608</v>
      </c>
      <c r="J319" s="41" t="s">
        <v>28</v>
      </c>
      <c r="K319" s="43" t="str">
        <f t="array" ref="K319">IF(J319="","", XLOOKUP(J319,'⚙️ Pengaturan'!$E$2:$E3237,'⚙️ Pengaturan'!$G$2:$G3237))</f>
        <v>KLINIK FT TA</v>
      </c>
      <c r="L319" s="43" t="str">
        <f t="shared" si="3"/>
        <v>BARU</v>
      </c>
      <c r="M319" s="41" t="s">
        <v>31</v>
      </c>
      <c r="N319" s="46">
        <v>250000.0</v>
      </c>
      <c r="O319" s="65">
        <v>0.0</v>
      </c>
      <c r="P319" s="48">
        <f t="array" ref="P319">IFNA(XLOOKUP(J319,'⚙️ Pengaturan'!$E$2:$E3237,'⚙️ Pengaturan'!$F$2:$F3237),"")</f>
        <v>250000</v>
      </c>
      <c r="Q319" s="49">
        <f t="shared" si="5"/>
        <v>0</v>
      </c>
      <c r="R319" s="41" t="s">
        <v>37</v>
      </c>
      <c r="S319" s="69" t="s">
        <v>608</v>
      </c>
      <c r="T319" s="51" t="b">
        <v>1</v>
      </c>
      <c r="U319" s="94"/>
    </row>
    <row r="320" ht="30.0" customHeight="1">
      <c r="A320" s="39"/>
      <c r="B320" s="40">
        <v>2353.0</v>
      </c>
      <c r="C320" s="41" t="s">
        <v>50</v>
      </c>
      <c r="D320" s="86">
        <v>46040.0</v>
      </c>
      <c r="E320" s="43" t="str">
        <f t="shared" si="1"/>
        <v>2026</v>
      </c>
      <c r="F320" s="43" t="str">
        <f t="shared" si="2"/>
        <v>01 Jan</v>
      </c>
      <c r="G320" s="126" t="s">
        <v>43</v>
      </c>
      <c r="H320" s="45" t="s">
        <v>150</v>
      </c>
      <c r="I320" s="45" t="s">
        <v>609</v>
      </c>
      <c r="J320" s="41" t="s">
        <v>28</v>
      </c>
      <c r="K320" s="43" t="str">
        <f t="array" ref="K320">IF(J320="","", XLOOKUP(J320,'⚙️ Pengaturan'!$E$2:$E3237,'⚙️ Pengaturan'!$G$2:$G3237))</f>
        <v>KLINIK FT TA</v>
      </c>
      <c r="L320" s="43" t="str">
        <f t="shared" si="3"/>
        <v>BARU</v>
      </c>
      <c r="M320" s="41" t="s">
        <v>31</v>
      </c>
      <c r="N320" s="46">
        <v>250000.0</v>
      </c>
      <c r="O320" s="65">
        <v>0.0</v>
      </c>
      <c r="P320" s="48">
        <f t="array" ref="P320">IFNA(XLOOKUP(J320,'⚙️ Pengaturan'!$E$2:$E3237,'⚙️ Pengaturan'!$F$2:$F3237),"")</f>
        <v>250000</v>
      </c>
      <c r="Q320" s="49">
        <f t="shared" si="5"/>
        <v>0</v>
      </c>
      <c r="R320" s="41" t="s">
        <v>37</v>
      </c>
      <c r="S320" s="69" t="s">
        <v>608</v>
      </c>
      <c r="T320" s="51" t="b">
        <v>1</v>
      </c>
      <c r="U320" s="94"/>
    </row>
    <row r="321" ht="30.0" customHeight="1">
      <c r="A321" s="39"/>
      <c r="B321" s="40">
        <v>2354.0</v>
      </c>
      <c r="C321" s="41" t="s">
        <v>50</v>
      </c>
      <c r="D321" s="86">
        <v>46040.0</v>
      </c>
      <c r="E321" s="43" t="str">
        <f t="shared" si="1"/>
        <v>2026</v>
      </c>
      <c r="F321" s="43" t="str">
        <f t="shared" si="2"/>
        <v>01 Jan</v>
      </c>
      <c r="G321" s="126" t="s">
        <v>43</v>
      </c>
      <c r="H321" s="45" t="s">
        <v>166</v>
      </c>
      <c r="I321" s="45" t="s">
        <v>610</v>
      </c>
      <c r="J321" s="41" t="s">
        <v>28</v>
      </c>
      <c r="K321" s="43" t="str">
        <f t="array" ref="K321">IF(J321="","", XLOOKUP(J321,'⚙️ Pengaturan'!$E$2:$E3237,'⚙️ Pengaturan'!$G$2:$G3237))</f>
        <v>KLINIK FT TA</v>
      </c>
      <c r="L321" s="43" t="str">
        <f t="shared" si="3"/>
        <v>BARU</v>
      </c>
      <c r="M321" s="41" t="s">
        <v>31</v>
      </c>
      <c r="N321" s="46">
        <v>250000.0</v>
      </c>
      <c r="O321" s="65">
        <v>0.0</v>
      </c>
      <c r="P321" s="48">
        <f t="array" ref="P321">IFNA(XLOOKUP(J321,'⚙️ Pengaturan'!$E$2:$E3237,'⚙️ Pengaturan'!$F$2:$F3237),"")</f>
        <v>250000</v>
      </c>
      <c r="Q321" s="49">
        <f t="shared" si="5"/>
        <v>0</v>
      </c>
      <c r="R321" s="41" t="s">
        <v>37</v>
      </c>
      <c r="S321" s="69" t="s">
        <v>610</v>
      </c>
      <c r="T321" s="51" t="b">
        <v>1</v>
      </c>
      <c r="U321" s="94"/>
    </row>
    <row r="322" ht="30.0" customHeight="1">
      <c r="A322" s="39"/>
      <c r="B322" s="40">
        <v>2355.0</v>
      </c>
      <c r="C322" s="41" t="s">
        <v>50</v>
      </c>
      <c r="D322" s="86">
        <v>46040.0</v>
      </c>
      <c r="E322" s="43" t="str">
        <f t="shared" si="1"/>
        <v>2026</v>
      </c>
      <c r="F322" s="43" t="str">
        <f t="shared" si="2"/>
        <v>01 Jan</v>
      </c>
      <c r="G322" s="126" t="s">
        <v>173</v>
      </c>
      <c r="H322" s="45" t="s">
        <v>162</v>
      </c>
      <c r="I322" s="45" t="s">
        <v>544</v>
      </c>
      <c r="J322" s="41" t="s">
        <v>56</v>
      </c>
      <c r="K322" s="43" t="str">
        <f t="array" ref="K322">IF(J322="","", XLOOKUP(J322,'⚙️ Pengaturan'!$E$2:$E3237,'⚙️ Pengaturan'!$G$2:$G3237))</f>
        <v>KLINIK FT PAKET</v>
      </c>
      <c r="L322" s="43" t="str">
        <f t="shared" si="3"/>
        <v>LANJUTAN</v>
      </c>
      <c r="M322" s="41" t="s">
        <v>164</v>
      </c>
      <c r="N322" s="46">
        <v>450000.0</v>
      </c>
      <c r="O322" s="65">
        <v>200000.0</v>
      </c>
      <c r="P322" s="48">
        <f t="array" ref="P322">IFNA(XLOOKUP(J322,'⚙️ Pengaturan'!$E$2:$E3237,'⚙️ Pengaturan'!$F$2:$F3237),"")</f>
        <v>650000</v>
      </c>
      <c r="Q322" s="49">
        <f t="shared" si="5"/>
        <v>0</v>
      </c>
      <c r="R322" s="41" t="s">
        <v>37</v>
      </c>
      <c r="S322" s="69" t="s">
        <v>544</v>
      </c>
      <c r="T322" s="51" t="b">
        <v>1</v>
      </c>
      <c r="U322" s="94"/>
    </row>
    <row r="323" ht="30.0" customHeight="1">
      <c r="A323" s="39"/>
      <c r="B323" s="40">
        <v>2356.0</v>
      </c>
      <c r="C323" s="41" t="s">
        <v>50</v>
      </c>
      <c r="D323" s="86">
        <v>46040.0</v>
      </c>
      <c r="E323" s="43" t="str">
        <f t="shared" si="1"/>
        <v>2026</v>
      </c>
      <c r="F323" s="43" t="str">
        <f t="shared" si="2"/>
        <v>01 Jan</v>
      </c>
      <c r="G323" s="126" t="s">
        <v>155</v>
      </c>
      <c r="H323" s="45" t="s">
        <v>150</v>
      </c>
      <c r="I323" s="45" t="s">
        <v>611</v>
      </c>
      <c r="J323" s="41" t="s">
        <v>28</v>
      </c>
      <c r="K323" s="43" t="str">
        <f t="array" ref="K323">IF(J323="","", XLOOKUP(J323,'⚙️ Pengaturan'!$E$2:$E3237,'⚙️ Pengaturan'!$G$2:$G3237))</f>
        <v>KLINIK FT TA</v>
      </c>
      <c r="L323" s="43" t="str">
        <f t="shared" si="3"/>
        <v>BARU</v>
      </c>
      <c r="M323" s="41" t="s">
        <v>31</v>
      </c>
      <c r="N323" s="46">
        <v>250000.0</v>
      </c>
      <c r="O323" s="65">
        <v>0.0</v>
      </c>
      <c r="P323" s="48">
        <f t="array" ref="P323">IFNA(XLOOKUP(J323,'⚙️ Pengaturan'!$E$2:$E3237,'⚙️ Pengaturan'!$F$2:$F3237),"")</f>
        <v>250000</v>
      </c>
      <c r="Q323" s="49">
        <f t="shared" si="5"/>
        <v>0</v>
      </c>
      <c r="R323" s="41" t="s">
        <v>37</v>
      </c>
      <c r="S323" s="69" t="s">
        <v>612</v>
      </c>
      <c r="T323" s="51" t="b">
        <v>1</v>
      </c>
      <c r="U323" s="94"/>
    </row>
    <row r="324" ht="30.0" customHeight="1">
      <c r="A324" s="39"/>
      <c r="B324" s="40">
        <v>2357.0</v>
      </c>
      <c r="C324" s="41" t="s">
        <v>50</v>
      </c>
      <c r="D324" s="86">
        <v>46040.0</v>
      </c>
      <c r="E324" s="43" t="str">
        <f t="shared" si="1"/>
        <v>2026</v>
      </c>
      <c r="F324" s="43" t="str">
        <f t="shared" si="2"/>
        <v>01 Jan</v>
      </c>
      <c r="G324" s="126" t="s">
        <v>155</v>
      </c>
      <c r="H324" s="45" t="s">
        <v>162</v>
      </c>
      <c r="I324" s="45" t="s">
        <v>613</v>
      </c>
      <c r="J324" s="41" t="s">
        <v>56</v>
      </c>
      <c r="K324" s="43" t="str">
        <f t="array" ref="K324">IF(J324="","", XLOOKUP(J324,'⚙️ Pengaturan'!$E$2:$E3237,'⚙️ Pengaturan'!$G$2:$G3237))</f>
        <v>KLINIK FT PAKET</v>
      </c>
      <c r="L324" s="43" t="str">
        <f t="shared" si="3"/>
        <v>BARU</v>
      </c>
      <c r="M324" s="41" t="s">
        <v>60</v>
      </c>
      <c r="N324" s="46">
        <v>200000.0</v>
      </c>
      <c r="O324" s="65">
        <v>0.0</v>
      </c>
      <c r="P324" s="48">
        <f t="array" ref="P324">IFNA(XLOOKUP(J324,'⚙️ Pengaturan'!$E$2:$E3237,'⚙️ Pengaturan'!$F$2:$F3237),"")</f>
        <v>650000</v>
      </c>
      <c r="Q324" s="49">
        <f t="shared" si="5"/>
        <v>-450000</v>
      </c>
      <c r="R324" s="41" t="s">
        <v>32</v>
      </c>
      <c r="S324" s="69" t="s">
        <v>33</v>
      </c>
      <c r="T324" s="51" t="b">
        <v>1</v>
      </c>
      <c r="U324" s="94"/>
    </row>
    <row r="325" ht="30.0" customHeight="1">
      <c r="A325" s="39"/>
      <c r="B325" s="40">
        <v>2358.0</v>
      </c>
      <c r="C325" s="41" t="s">
        <v>79</v>
      </c>
      <c r="D325" s="86">
        <v>46041.0</v>
      </c>
      <c r="E325" s="43" t="str">
        <f t="shared" si="1"/>
        <v>2026</v>
      </c>
      <c r="F325" s="43" t="str">
        <f t="shared" si="2"/>
        <v>01 Jan</v>
      </c>
      <c r="G325" s="126" t="s">
        <v>195</v>
      </c>
      <c r="H325" s="45" t="s">
        <v>150</v>
      </c>
      <c r="I325" s="45" t="s">
        <v>591</v>
      </c>
      <c r="J325" s="41" t="s">
        <v>180</v>
      </c>
      <c r="K325" s="43" t="str">
        <f t="array" ref="K325">IF(J325="","", XLOOKUP(J325,'⚙️ Pengaturan'!$E$2:$E3237,'⚙️ Pengaturan'!$G$2:$G3237))</f>
        <v>KLINIK FT SESI</v>
      </c>
      <c r="L325" s="43" t="str">
        <f t="shared" si="3"/>
        <v>BARU</v>
      </c>
      <c r="M325" s="41" t="s">
        <v>31</v>
      </c>
      <c r="N325" s="46">
        <v>150000.0</v>
      </c>
      <c r="O325" s="65">
        <v>0.0</v>
      </c>
      <c r="P325" s="48">
        <f t="array" ref="P325">IFNA(XLOOKUP(J325,'⚙️ Pengaturan'!$E$2:$E3237,'⚙️ Pengaturan'!$F$2:$F3237),"")</f>
        <v>150000</v>
      </c>
      <c r="Q325" s="49">
        <f t="shared" si="5"/>
        <v>0</v>
      </c>
      <c r="R325" s="41" t="s">
        <v>32</v>
      </c>
      <c r="S325" s="69" t="s">
        <v>33</v>
      </c>
      <c r="T325" s="51" t="b">
        <v>1</v>
      </c>
      <c r="U325" s="94"/>
    </row>
    <row r="326" ht="30.0" customHeight="1">
      <c r="A326" s="39"/>
      <c r="B326" s="40">
        <v>2359.0</v>
      </c>
      <c r="C326" s="41" t="s">
        <v>79</v>
      </c>
      <c r="D326" s="86">
        <v>46041.0</v>
      </c>
      <c r="E326" s="43" t="str">
        <f t="shared" si="1"/>
        <v>2026</v>
      </c>
      <c r="F326" s="43" t="str">
        <f t="shared" si="2"/>
        <v>01 Jan</v>
      </c>
      <c r="G326" s="126" t="s">
        <v>195</v>
      </c>
      <c r="H326" s="45" t="s">
        <v>103</v>
      </c>
      <c r="I326" s="45" t="s">
        <v>610</v>
      </c>
      <c r="J326" s="133" t="s">
        <v>56</v>
      </c>
      <c r="K326" s="43" t="str">
        <f t="array" ref="K326">IF(J326="","", XLOOKUP(J326,'⚙️ Pengaturan'!$E$2:$E3237,'⚙️ Pengaturan'!$G$2:$G3237))</f>
        <v>KLINIK FT PAKET</v>
      </c>
      <c r="L326" s="43" t="str">
        <f t="shared" si="3"/>
        <v>BARU</v>
      </c>
      <c r="M326" s="133" t="s">
        <v>60</v>
      </c>
      <c r="N326" s="83">
        <v>150000.0</v>
      </c>
      <c r="O326" s="84">
        <v>0.0</v>
      </c>
      <c r="P326" s="48">
        <f t="array" ref="P326">IFNA(XLOOKUP(J326,'⚙️ Pengaturan'!$E$2:$E3237,'⚙️ Pengaturan'!$F$2:$F3237),"")</f>
        <v>650000</v>
      </c>
      <c r="Q326" s="49">
        <f t="shared" si="5"/>
        <v>-500000</v>
      </c>
      <c r="R326" s="41" t="s">
        <v>37</v>
      </c>
      <c r="S326" s="69" t="s">
        <v>610</v>
      </c>
      <c r="T326" s="51" t="b">
        <v>1</v>
      </c>
      <c r="U326" s="94"/>
    </row>
    <row r="327" ht="30.0" customHeight="1">
      <c r="A327" s="39"/>
      <c r="B327" s="40">
        <v>2360.0</v>
      </c>
      <c r="C327" s="41" t="s">
        <v>79</v>
      </c>
      <c r="D327" s="86">
        <v>46041.0</v>
      </c>
      <c r="E327" s="43" t="str">
        <f t="shared" si="1"/>
        <v>2026</v>
      </c>
      <c r="F327" s="43" t="str">
        <f t="shared" si="2"/>
        <v>01 Jan</v>
      </c>
      <c r="G327" s="126" t="s">
        <v>195</v>
      </c>
      <c r="H327" s="45" t="s">
        <v>26</v>
      </c>
      <c r="I327" s="45" t="s">
        <v>614</v>
      </c>
      <c r="J327" s="79" t="s">
        <v>180</v>
      </c>
      <c r="K327" s="43" t="str">
        <f t="array" ref="K327">IF(J327="","", XLOOKUP(J327,'⚙️ Pengaturan'!$E$2:$E3237,'⚙️ Pengaturan'!$G$2:$G3237))</f>
        <v>KLINIK FT SESI</v>
      </c>
      <c r="L327" s="43" t="str">
        <f t="shared" si="3"/>
        <v>BARU</v>
      </c>
      <c r="M327" s="79" t="s">
        <v>31</v>
      </c>
      <c r="N327" s="83">
        <v>150000.0</v>
      </c>
      <c r="O327" s="84">
        <v>0.0</v>
      </c>
      <c r="P327" s="48">
        <f t="array" ref="P327">IFNA(XLOOKUP(J327,'⚙️ Pengaturan'!$E$2:$E3237,'⚙️ Pengaturan'!$F$2:$F3237),"")</f>
        <v>150000</v>
      </c>
      <c r="Q327" s="49">
        <f t="shared" si="5"/>
        <v>0</v>
      </c>
      <c r="R327" s="41" t="s">
        <v>32</v>
      </c>
      <c r="S327" s="69" t="s">
        <v>33</v>
      </c>
      <c r="T327" s="51" t="b">
        <v>1</v>
      </c>
      <c r="U327" s="94"/>
    </row>
    <row r="328" ht="30.0" customHeight="1">
      <c r="A328" s="39"/>
      <c r="B328" s="40">
        <v>2361.0</v>
      </c>
      <c r="C328" s="41" t="s">
        <v>79</v>
      </c>
      <c r="D328" s="86">
        <v>46041.0</v>
      </c>
      <c r="E328" s="43" t="str">
        <f t="shared" si="1"/>
        <v>2026</v>
      </c>
      <c r="F328" s="43" t="str">
        <f t="shared" si="2"/>
        <v>01 Jan</v>
      </c>
      <c r="G328" s="126" t="s">
        <v>25</v>
      </c>
      <c r="H328" s="45" t="s">
        <v>150</v>
      </c>
      <c r="I328" s="45" t="s">
        <v>580</v>
      </c>
      <c r="J328" s="41" t="s">
        <v>323</v>
      </c>
      <c r="K328" s="43" t="str">
        <f t="array" ref="K328">IF(J328="","", XLOOKUP(J328,'⚙️ Pengaturan'!$E$2:$E3237,'⚙️ Pengaturan'!$G$2:$G3237))</f>
        <v>VISIT FT SESI</v>
      </c>
      <c r="L328" s="43" t="str">
        <f t="shared" si="3"/>
        <v>LANJUTAN</v>
      </c>
      <c r="M328" s="41" t="s">
        <v>31</v>
      </c>
      <c r="N328" s="46">
        <v>200000.0</v>
      </c>
      <c r="O328" s="65">
        <v>0.0</v>
      </c>
      <c r="P328" s="48">
        <f t="array" ref="P328">IFNA(XLOOKUP(J328,'⚙️ Pengaturan'!$E$2:$E3237,'⚙️ Pengaturan'!$F$2:$F3237),"")</f>
        <v>200000</v>
      </c>
      <c r="Q328" s="49">
        <f t="shared" si="5"/>
        <v>0</v>
      </c>
      <c r="R328" s="41" t="s">
        <v>37</v>
      </c>
      <c r="S328" s="69" t="s">
        <v>592</v>
      </c>
      <c r="T328" s="51" t="b">
        <v>1</v>
      </c>
      <c r="U328" s="94"/>
    </row>
    <row r="329" ht="30.0" customHeight="1">
      <c r="A329" s="39"/>
      <c r="B329" s="40">
        <v>2362.0</v>
      </c>
      <c r="C329" s="41" t="s">
        <v>79</v>
      </c>
      <c r="D329" s="86">
        <v>46041.0</v>
      </c>
      <c r="E329" s="43" t="str">
        <f t="shared" si="1"/>
        <v>2026</v>
      </c>
      <c r="F329" s="43" t="str">
        <f t="shared" si="2"/>
        <v>01 Jan</v>
      </c>
      <c r="G329" s="126" t="s">
        <v>25</v>
      </c>
      <c r="H329" s="45" t="s">
        <v>162</v>
      </c>
      <c r="I329" s="45" t="s">
        <v>507</v>
      </c>
      <c r="J329" s="41" t="s">
        <v>56</v>
      </c>
      <c r="K329" s="43" t="str">
        <f t="array" ref="K329">IF(J329="","", XLOOKUP(J329,'⚙️ Pengaturan'!$E$2:$E3237,'⚙️ Pengaturan'!$G$2:$G3237))</f>
        <v>KLINIK FT PAKET</v>
      </c>
      <c r="L329" s="43" t="str">
        <f t="shared" si="3"/>
        <v>LANJUTAN</v>
      </c>
      <c r="M329" s="41" t="s">
        <v>164</v>
      </c>
      <c r="N329" s="46">
        <v>450000.0</v>
      </c>
      <c r="O329" s="65">
        <v>200000.0</v>
      </c>
      <c r="P329" s="48">
        <f t="array" ref="P329">IFNA(XLOOKUP(J329,'⚙️ Pengaturan'!$E$2:$E3237,'⚙️ Pengaturan'!$F$2:$F3237),"")</f>
        <v>650000</v>
      </c>
      <c r="Q329" s="49">
        <f t="shared" si="5"/>
        <v>0</v>
      </c>
      <c r="R329" s="41" t="s">
        <v>32</v>
      </c>
      <c r="S329" s="69" t="s">
        <v>33</v>
      </c>
      <c r="T329" s="51" t="b">
        <v>1</v>
      </c>
      <c r="U329" s="94"/>
    </row>
    <row r="330" ht="30.0" customHeight="1">
      <c r="A330" s="39"/>
      <c r="B330" s="40">
        <v>2363.0</v>
      </c>
      <c r="C330" s="41" t="s">
        <v>50</v>
      </c>
      <c r="D330" s="86">
        <v>46041.0</v>
      </c>
      <c r="E330" s="43" t="str">
        <f t="shared" si="1"/>
        <v>2026</v>
      </c>
      <c r="F330" s="43" t="str">
        <f t="shared" si="2"/>
        <v>01 Jan</v>
      </c>
      <c r="G330" s="126" t="s">
        <v>43</v>
      </c>
      <c r="H330" s="45" t="s">
        <v>76</v>
      </c>
      <c r="I330" s="45" t="s">
        <v>615</v>
      </c>
      <c r="J330" s="41" t="s">
        <v>92</v>
      </c>
      <c r="K330" s="43" t="str">
        <f t="array" ref="K330">IF(J330="","", XLOOKUP(J330,'⚙️ Pengaturan'!$E$2:$E3237,'⚙️ Pengaturan'!$G$2:$G3237))</f>
        <v>KLINIK FT PAKET</v>
      </c>
      <c r="L330" s="43" t="str">
        <f t="shared" si="3"/>
        <v>BARU</v>
      </c>
      <c r="M330" s="41" t="s">
        <v>31</v>
      </c>
      <c r="N330" s="46">
        <v>1200000.0</v>
      </c>
      <c r="O330" s="65">
        <v>0.0</v>
      </c>
      <c r="P330" s="48">
        <f t="array" ref="P330">IFNA(XLOOKUP(J330,'⚙️ Pengaturan'!$E$2:$E3237,'⚙️ Pengaturan'!$F$2:$F3237),"")</f>
        <v>1200000</v>
      </c>
      <c r="Q330" s="49">
        <f t="shared" si="5"/>
        <v>0</v>
      </c>
      <c r="R330" s="41" t="s">
        <v>37</v>
      </c>
      <c r="S330" s="69" t="s">
        <v>616</v>
      </c>
      <c r="T330" s="51" t="b">
        <v>1</v>
      </c>
      <c r="U330" s="94"/>
    </row>
    <row r="331" ht="30.0" customHeight="1">
      <c r="A331" s="39"/>
      <c r="B331" s="40">
        <v>2364.0</v>
      </c>
      <c r="C331" s="41" t="s">
        <v>50</v>
      </c>
      <c r="D331" s="86">
        <v>46041.0</v>
      </c>
      <c r="E331" s="43" t="str">
        <f t="shared" si="1"/>
        <v>2026</v>
      </c>
      <c r="F331" s="43" t="str">
        <f t="shared" si="2"/>
        <v>01 Jan</v>
      </c>
      <c r="G331" s="126" t="s">
        <v>155</v>
      </c>
      <c r="H331" s="45" t="s">
        <v>76</v>
      </c>
      <c r="I331" s="45" t="s">
        <v>617</v>
      </c>
      <c r="J331" s="41" t="s">
        <v>92</v>
      </c>
      <c r="K331" s="43" t="str">
        <f t="array" ref="K331">IF(J331="","", XLOOKUP(J331,'⚙️ Pengaturan'!$E$2:$E3237,'⚙️ Pengaturan'!$G$2:$G3237))</f>
        <v>KLINIK FT PAKET</v>
      </c>
      <c r="L331" s="43" t="str">
        <f t="shared" si="3"/>
        <v>BARU</v>
      </c>
      <c r="M331" s="41" t="s">
        <v>31</v>
      </c>
      <c r="N331" s="46">
        <v>1200000.0</v>
      </c>
      <c r="O331" s="65">
        <v>0.0</v>
      </c>
      <c r="P331" s="48">
        <f t="array" ref="P331">IFNA(XLOOKUP(J331,'⚙️ Pengaturan'!$E$2:$E3237,'⚙️ Pengaturan'!$F$2:$F3237),"")</f>
        <v>1200000</v>
      </c>
      <c r="Q331" s="49">
        <f t="shared" si="5"/>
        <v>0</v>
      </c>
      <c r="R331" s="41" t="s">
        <v>37</v>
      </c>
      <c r="S331" s="69" t="s">
        <v>617</v>
      </c>
      <c r="T331" s="51" t="b">
        <v>1</v>
      </c>
      <c r="U331" s="94"/>
    </row>
    <row r="332" ht="30.0" customHeight="1">
      <c r="A332" s="39"/>
      <c r="B332" s="40">
        <v>2365.0</v>
      </c>
      <c r="C332" s="41" t="s">
        <v>50</v>
      </c>
      <c r="D332" s="86">
        <v>46041.0</v>
      </c>
      <c r="E332" s="43" t="str">
        <f t="shared" si="1"/>
        <v>2026</v>
      </c>
      <c r="F332" s="43" t="str">
        <f t="shared" si="2"/>
        <v>01 Jan</v>
      </c>
      <c r="G332" s="126" t="s">
        <v>155</v>
      </c>
      <c r="H332" s="45" t="s">
        <v>47</v>
      </c>
      <c r="I332" s="45" t="s">
        <v>618</v>
      </c>
      <c r="J332" s="41" t="s">
        <v>28</v>
      </c>
      <c r="K332" s="43" t="str">
        <f t="array" ref="K332">IF(J332="","", XLOOKUP(J332,'⚙️ Pengaturan'!$E$2:$E3237,'⚙️ Pengaturan'!$G$2:$G3237))</f>
        <v>KLINIK FT TA</v>
      </c>
      <c r="L332" s="43" t="str">
        <f t="shared" si="3"/>
        <v>BARU</v>
      </c>
      <c r="M332" s="41" t="s">
        <v>31</v>
      </c>
      <c r="N332" s="46">
        <v>250000.0</v>
      </c>
      <c r="O332" s="65">
        <v>0.0</v>
      </c>
      <c r="P332" s="48">
        <f t="array" ref="P332">IFNA(XLOOKUP(J332,'⚙️ Pengaturan'!$E$2:$E3237,'⚙️ Pengaturan'!$F$2:$F3237),"")</f>
        <v>250000</v>
      </c>
      <c r="Q332" s="49">
        <f t="shared" si="5"/>
        <v>0</v>
      </c>
      <c r="R332" s="41" t="s">
        <v>32</v>
      </c>
      <c r="S332" s="69" t="s">
        <v>33</v>
      </c>
      <c r="T332" s="51" t="b">
        <v>1</v>
      </c>
      <c r="U332" s="94"/>
    </row>
    <row r="333" ht="30.0" customHeight="1">
      <c r="A333" s="39"/>
      <c r="B333" s="40">
        <v>2366.0</v>
      </c>
      <c r="C333" s="41" t="s">
        <v>50</v>
      </c>
      <c r="D333" s="86">
        <v>46042.0</v>
      </c>
      <c r="E333" s="43" t="str">
        <f t="shared" si="1"/>
        <v>2026</v>
      </c>
      <c r="F333" s="43" t="str">
        <f t="shared" si="2"/>
        <v>01 Jan</v>
      </c>
      <c r="G333" s="126" t="s">
        <v>195</v>
      </c>
      <c r="H333" s="45" t="s">
        <v>47</v>
      </c>
      <c r="I333" s="45" t="s">
        <v>619</v>
      </c>
      <c r="J333" s="41" t="s">
        <v>28</v>
      </c>
      <c r="K333" s="43" t="str">
        <f t="array" ref="K333">IF(J333="","", XLOOKUP(J333,'⚙️ Pengaturan'!$E$2:$E3237,'⚙️ Pengaturan'!$G$2:$G3237))</f>
        <v>KLINIK FT TA</v>
      </c>
      <c r="L333" s="43" t="str">
        <f t="shared" si="3"/>
        <v>BARU</v>
      </c>
      <c r="M333" s="41" t="s">
        <v>31</v>
      </c>
      <c r="N333" s="46">
        <v>250000.0</v>
      </c>
      <c r="O333" s="65">
        <v>0.0</v>
      </c>
      <c r="P333" s="48">
        <f t="array" ref="P333">IFNA(XLOOKUP(J333,'⚙️ Pengaturan'!$E$2:$E3237,'⚙️ Pengaturan'!$F$2:$F3237),"")</f>
        <v>250000</v>
      </c>
      <c r="Q333" s="49">
        <f t="shared" si="5"/>
        <v>0</v>
      </c>
      <c r="R333" s="41" t="s">
        <v>118</v>
      </c>
      <c r="S333" s="69" t="s">
        <v>619</v>
      </c>
      <c r="T333" s="51" t="b">
        <v>1</v>
      </c>
      <c r="U333" s="94"/>
    </row>
    <row r="334" ht="30.0" customHeight="1">
      <c r="A334" s="39"/>
      <c r="B334" s="40">
        <v>2367.0</v>
      </c>
      <c r="C334" s="41" t="s">
        <v>50</v>
      </c>
      <c r="D334" s="86">
        <v>46042.0</v>
      </c>
      <c r="E334" s="43" t="str">
        <f t="shared" si="1"/>
        <v>2026</v>
      </c>
      <c r="F334" s="43" t="str">
        <f t="shared" si="2"/>
        <v>01 Jan</v>
      </c>
      <c r="G334" s="126" t="s">
        <v>25</v>
      </c>
      <c r="H334" s="45" t="s">
        <v>149</v>
      </c>
      <c r="I334" s="45" t="s">
        <v>327</v>
      </c>
      <c r="J334" s="41" t="s">
        <v>28</v>
      </c>
      <c r="K334" s="43" t="str">
        <f t="array" ref="K334">IF(J334="","", XLOOKUP(J334,'⚙️ Pengaturan'!$E$2:$E3237,'⚙️ Pengaturan'!$G$2:$G3237))</f>
        <v>KLINIK FT TA</v>
      </c>
      <c r="L334" s="43" t="str">
        <f t="shared" si="3"/>
        <v>BARU</v>
      </c>
      <c r="M334" s="41" t="s">
        <v>31</v>
      </c>
      <c r="N334" s="46">
        <v>250000.0</v>
      </c>
      <c r="O334" s="65">
        <v>0.0</v>
      </c>
      <c r="P334" s="48">
        <f t="array" ref="P334">IFNA(XLOOKUP(J334,'⚙️ Pengaturan'!$E$2:$E3237,'⚙️ Pengaturan'!$F$2:$F3237),"")</f>
        <v>250000</v>
      </c>
      <c r="Q334" s="49">
        <f t="shared" si="5"/>
        <v>0</v>
      </c>
      <c r="R334" s="41" t="s">
        <v>37</v>
      </c>
      <c r="S334" s="69" t="s">
        <v>327</v>
      </c>
      <c r="T334" s="51" t="b">
        <v>1</v>
      </c>
      <c r="U334" s="94"/>
    </row>
    <row r="335" ht="30.0" customHeight="1">
      <c r="A335" s="39"/>
      <c r="B335" s="40">
        <v>2368.0</v>
      </c>
      <c r="C335" s="41" t="s">
        <v>50</v>
      </c>
      <c r="D335" s="86">
        <v>46042.0</v>
      </c>
      <c r="E335" s="43" t="str">
        <f t="shared" si="1"/>
        <v>2026</v>
      </c>
      <c r="F335" s="43" t="str">
        <f t="shared" si="2"/>
        <v>01 Jan</v>
      </c>
      <c r="G335" s="126" t="s">
        <v>25</v>
      </c>
      <c r="H335" s="45" t="s">
        <v>156</v>
      </c>
      <c r="I335" s="45" t="s">
        <v>620</v>
      </c>
      <c r="J335" s="41" t="s">
        <v>180</v>
      </c>
      <c r="K335" s="43" t="str">
        <f t="array" ref="K335">IF(J335="","", XLOOKUP(J335,'⚙️ Pengaturan'!$E$2:$E3237,'⚙️ Pengaturan'!$G$2:$G3237))</f>
        <v>KLINIK FT SESI</v>
      </c>
      <c r="L335" s="43" t="str">
        <f t="shared" si="3"/>
        <v>BARU</v>
      </c>
      <c r="M335" s="41" t="s">
        <v>31</v>
      </c>
      <c r="N335" s="46">
        <v>150000.0</v>
      </c>
      <c r="O335" s="65">
        <v>0.0</v>
      </c>
      <c r="P335" s="48">
        <f t="array" ref="P335">IFNA(XLOOKUP(J335,'⚙️ Pengaturan'!$E$2:$E3237,'⚙️ Pengaturan'!$F$2:$F3237),"")</f>
        <v>150000</v>
      </c>
      <c r="Q335" s="49">
        <f t="shared" si="5"/>
        <v>0</v>
      </c>
      <c r="R335" s="41" t="s">
        <v>37</v>
      </c>
      <c r="S335" s="69" t="s">
        <v>620</v>
      </c>
      <c r="T335" s="51" t="b">
        <v>1</v>
      </c>
      <c r="U335" s="94"/>
    </row>
    <row r="336" ht="30.0" customHeight="1">
      <c r="A336" s="39"/>
      <c r="B336" s="40">
        <v>2369.0</v>
      </c>
      <c r="C336" s="41" t="s">
        <v>50</v>
      </c>
      <c r="D336" s="86">
        <v>46042.0</v>
      </c>
      <c r="E336" s="43" t="str">
        <f t="shared" si="1"/>
        <v>2026</v>
      </c>
      <c r="F336" s="43" t="str">
        <f t="shared" si="2"/>
        <v>01 Jan</v>
      </c>
      <c r="G336" s="126" t="s">
        <v>206</v>
      </c>
      <c r="H336" s="45" t="s">
        <v>149</v>
      </c>
      <c r="I336" s="45" t="s">
        <v>498</v>
      </c>
      <c r="J336" s="41" t="s">
        <v>180</v>
      </c>
      <c r="K336" s="43" t="str">
        <f t="array" ref="K336">IF(J336="","", XLOOKUP(J336,'⚙️ Pengaturan'!$E$2:$E3237,'⚙️ Pengaturan'!$G$2:$G3237))</f>
        <v>KLINIK FT SESI</v>
      </c>
      <c r="L336" s="43" t="str">
        <f t="shared" si="3"/>
        <v>LANJUTAN</v>
      </c>
      <c r="M336" s="41" t="s">
        <v>31</v>
      </c>
      <c r="N336" s="46">
        <v>150000.0</v>
      </c>
      <c r="O336" s="65">
        <v>0.0</v>
      </c>
      <c r="P336" s="48">
        <f t="array" ref="P336">IFNA(XLOOKUP(J336,'⚙️ Pengaturan'!$E$2:$E3237,'⚙️ Pengaturan'!$F$2:$F3237),"")</f>
        <v>150000</v>
      </c>
      <c r="Q336" s="49">
        <f t="shared" si="5"/>
        <v>0</v>
      </c>
      <c r="R336" s="41" t="s">
        <v>32</v>
      </c>
      <c r="S336" s="69" t="s">
        <v>33</v>
      </c>
      <c r="T336" s="51" t="b">
        <v>1</v>
      </c>
      <c r="U336" s="94"/>
    </row>
    <row r="337" ht="30.0" customHeight="1">
      <c r="A337" s="39"/>
      <c r="B337" s="40">
        <v>2370.0</v>
      </c>
      <c r="C337" s="41" t="s">
        <v>50</v>
      </c>
      <c r="D337" s="86">
        <v>46042.0</v>
      </c>
      <c r="E337" s="43" t="str">
        <f t="shared" si="1"/>
        <v>2026</v>
      </c>
      <c r="F337" s="43" t="str">
        <f t="shared" si="2"/>
        <v>01 Jan</v>
      </c>
      <c r="G337" s="126" t="s">
        <v>206</v>
      </c>
      <c r="H337" s="45" t="s">
        <v>47</v>
      </c>
      <c r="I337" s="45" t="s">
        <v>621</v>
      </c>
      <c r="J337" s="41" t="s">
        <v>28</v>
      </c>
      <c r="K337" s="43" t="str">
        <f t="array" ref="K337">IF(J337="","", XLOOKUP(J337,'⚙️ Pengaturan'!$E$2:$E3237,'⚙️ Pengaturan'!$G$2:$G3237))</f>
        <v>KLINIK FT TA</v>
      </c>
      <c r="L337" s="43" t="str">
        <f t="shared" si="3"/>
        <v>BARU</v>
      </c>
      <c r="M337" s="41" t="s">
        <v>31</v>
      </c>
      <c r="N337" s="46">
        <v>250000.0</v>
      </c>
      <c r="O337" s="65">
        <v>0.0</v>
      </c>
      <c r="P337" s="48">
        <f t="array" ref="P337">IFNA(XLOOKUP(J337,'⚙️ Pengaturan'!$E$2:$E3237,'⚙️ Pengaturan'!$F$2:$F3237),"")</f>
        <v>250000</v>
      </c>
      <c r="Q337" s="49">
        <f t="shared" si="5"/>
        <v>0</v>
      </c>
      <c r="R337" s="41" t="s">
        <v>37</v>
      </c>
      <c r="S337" s="69" t="s">
        <v>621</v>
      </c>
      <c r="T337" s="51" t="b">
        <v>1</v>
      </c>
      <c r="U337" s="94"/>
    </row>
    <row r="338" ht="30.0" customHeight="1">
      <c r="A338" s="39"/>
      <c r="B338" s="40">
        <v>2371.0</v>
      </c>
      <c r="C338" s="41" t="s">
        <v>50</v>
      </c>
      <c r="D338" s="86">
        <v>46042.0</v>
      </c>
      <c r="E338" s="43" t="str">
        <f t="shared" si="1"/>
        <v>2026</v>
      </c>
      <c r="F338" s="43" t="str">
        <f t="shared" si="2"/>
        <v>01 Jan</v>
      </c>
      <c r="G338" s="126" t="s">
        <v>161</v>
      </c>
      <c r="H338" s="45" t="s">
        <v>47</v>
      </c>
      <c r="I338" s="45" t="s">
        <v>622</v>
      </c>
      <c r="J338" s="41" t="s">
        <v>28</v>
      </c>
      <c r="K338" s="43" t="str">
        <f t="array" ref="K338">IF(J338="","", XLOOKUP(J338,'⚙️ Pengaturan'!$E$2:$E3237,'⚙️ Pengaturan'!$G$2:$G3237))</f>
        <v>KLINIK FT TA</v>
      </c>
      <c r="L338" s="43" t="str">
        <f t="shared" si="3"/>
        <v>BARU</v>
      </c>
      <c r="M338" s="41" t="s">
        <v>31</v>
      </c>
      <c r="N338" s="46">
        <v>250000.0</v>
      </c>
      <c r="O338" s="65">
        <v>0.0</v>
      </c>
      <c r="P338" s="48">
        <f t="array" ref="P338">IFNA(XLOOKUP(J338,'⚙️ Pengaturan'!$E$2:$E3237,'⚙️ Pengaturan'!$F$2:$F3237),"")</f>
        <v>250000</v>
      </c>
      <c r="Q338" s="49">
        <f t="shared" si="5"/>
        <v>0</v>
      </c>
      <c r="R338" s="41" t="s">
        <v>32</v>
      </c>
      <c r="S338" s="69" t="s">
        <v>33</v>
      </c>
      <c r="T338" s="51" t="b">
        <v>1</v>
      </c>
      <c r="U338" s="94"/>
    </row>
    <row r="339" ht="30.0" customHeight="1">
      <c r="A339" s="39"/>
      <c r="B339" s="40">
        <v>2372.0</v>
      </c>
      <c r="C339" s="41" t="s">
        <v>50</v>
      </c>
      <c r="D339" s="86">
        <v>46042.0</v>
      </c>
      <c r="E339" s="43" t="str">
        <f t="shared" si="1"/>
        <v>2026</v>
      </c>
      <c r="F339" s="43" t="str">
        <f t="shared" si="2"/>
        <v>01 Jan</v>
      </c>
      <c r="G339" s="126" t="s">
        <v>161</v>
      </c>
      <c r="H339" s="45" t="s">
        <v>76</v>
      </c>
      <c r="I339" s="45" t="s">
        <v>581</v>
      </c>
      <c r="J339" s="41" t="s">
        <v>180</v>
      </c>
      <c r="K339" s="43" t="str">
        <f t="array" ref="K339">IF(J339="","", XLOOKUP(J339,'⚙️ Pengaturan'!$E$2:$E3237,'⚙️ Pengaturan'!$G$2:$G3237))</f>
        <v>KLINIK FT SESI</v>
      </c>
      <c r="L339" s="43" t="str">
        <f t="shared" si="3"/>
        <v>LANJUTAN</v>
      </c>
      <c r="M339" s="41" t="s">
        <v>31</v>
      </c>
      <c r="N339" s="46">
        <v>150000.0</v>
      </c>
      <c r="O339" s="65">
        <v>0.0</v>
      </c>
      <c r="P339" s="48">
        <f t="array" ref="P339">IFNA(XLOOKUP(J339,'⚙️ Pengaturan'!$E$2:$E3237,'⚙️ Pengaturan'!$F$2:$F3237),"")</f>
        <v>150000</v>
      </c>
      <c r="Q339" s="49">
        <f t="shared" si="5"/>
        <v>0</v>
      </c>
      <c r="R339" s="41" t="s">
        <v>37</v>
      </c>
      <c r="S339" s="69" t="s">
        <v>581</v>
      </c>
      <c r="T339" s="51" t="b">
        <v>1</v>
      </c>
      <c r="U339" s="94"/>
    </row>
    <row r="340" ht="30.0" customHeight="1">
      <c r="A340" s="39"/>
      <c r="B340" s="40">
        <v>2373.0</v>
      </c>
      <c r="C340" s="41" t="s">
        <v>50</v>
      </c>
      <c r="D340" s="86">
        <v>46042.0</v>
      </c>
      <c r="E340" s="43" t="str">
        <f t="shared" si="1"/>
        <v>2026</v>
      </c>
      <c r="F340" s="43" t="str">
        <f t="shared" si="2"/>
        <v>01 Jan</v>
      </c>
      <c r="G340" s="126" t="s">
        <v>35</v>
      </c>
      <c r="H340" s="45" t="s">
        <v>149</v>
      </c>
      <c r="I340" s="45" t="s">
        <v>595</v>
      </c>
      <c r="J340" s="41" t="s">
        <v>56</v>
      </c>
      <c r="K340" s="43" t="str">
        <f t="array" ref="K340">IF(J340="","", XLOOKUP(J340,'⚙️ Pengaturan'!$E$2:$E3237,'⚙️ Pengaturan'!$G$2:$G3237))</f>
        <v>KLINIK FT PAKET</v>
      </c>
      <c r="L340" s="43" t="str">
        <f t="shared" si="3"/>
        <v>BARU</v>
      </c>
      <c r="M340" s="41" t="s">
        <v>31</v>
      </c>
      <c r="N340" s="46">
        <v>650000.0</v>
      </c>
      <c r="O340" s="65">
        <v>0.0</v>
      </c>
      <c r="P340" s="48">
        <f t="array" ref="P340">IFNA(XLOOKUP(J340,'⚙️ Pengaturan'!$E$2:$E3237,'⚙️ Pengaturan'!$F$2:$F3237),"")</f>
        <v>650000</v>
      </c>
      <c r="Q340" s="49">
        <f t="shared" si="5"/>
        <v>0</v>
      </c>
      <c r="R340" s="41" t="s">
        <v>32</v>
      </c>
      <c r="S340" s="69" t="s">
        <v>33</v>
      </c>
      <c r="T340" s="51" t="b">
        <v>1</v>
      </c>
      <c r="U340" s="94"/>
    </row>
    <row r="341" ht="30.0" customHeight="1">
      <c r="A341" s="39"/>
      <c r="B341" s="40">
        <v>2374.0</v>
      </c>
      <c r="C341" s="41" t="s">
        <v>50</v>
      </c>
      <c r="D341" s="86">
        <v>46042.0</v>
      </c>
      <c r="E341" s="43" t="str">
        <f t="shared" si="1"/>
        <v>2026</v>
      </c>
      <c r="F341" s="43" t="str">
        <f t="shared" si="2"/>
        <v>01 Jan</v>
      </c>
      <c r="G341" s="126" t="s">
        <v>35</v>
      </c>
      <c r="H341" s="45" t="s">
        <v>96</v>
      </c>
      <c r="I341" s="45" t="s">
        <v>277</v>
      </c>
      <c r="J341" s="41" t="s">
        <v>180</v>
      </c>
      <c r="K341" s="43" t="str">
        <f t="array" ref="K341">IF(J341="","", XLOOKUP(J341,'⚙️ Pengaturan'!$E$2:$E3237,'⚙️ Pengaturan'!$G$2:$G3237))</f>
        <v>KLINIK FT SESI</v>
      </c>
      <c r="L341" s="43" t="str">
        <f t="shared" si="3"/>
        <v>BARU</v>
      </c>
      <c r="M341" s="41" t="s">
        <v>31</v>
      </c>
      <c r="N341" s="46">
        <v>150000.0</v>
      </c>
      <c r="O341" s="65">
        <v>0.0</v>
      </c>
      <c r="P341" s="48">
        <f t="array" ref="P341">IFNA(XLOOKUP(J341,'⚙️ Pengaturan'!$E$2:$E3237,'⚙️ Pengaturan'!$F$2:$F3237),"")</f>
        <v>150000</v>
      </c>
      <c r="Q341" s="49">
        <f t="shared" si="5"/>
        <v>0</v>
      </c>
      <c r="R341" s="41" t="s">
        <v>32</v>
      </c>
      <c r="S341" s="69" t="s">
        <v>33</v>
      </c>
      <c r="T341" s="51" t="b">
        <v>1</v>
      </c>
      <c r="U341" s="94"/>
    </row>
    <row r="342" ht="30.0" customHeight="1">
      <c r="A342" s="39"/>
      <c r="B342" s="40">
        <v>2375.0</v>
      </c>
      <c r="C342" s="41" t="s">
        <v>79</v>
      </c>
      <c r="D342" s="86">
        <v>46042.0</v>
      </c>
      <c r="E342" s="43" t="str">
        <f t="shared" si="1"/>
        <v>2026</v>
      </c>
      <c r="F342" s="43" t="str">
        <f t="shared" si="2"/>
        <v>01 Jan</v>
      </c>
      <c r="G342" s="126" t="s">
        <v>40</v>
      </c>
      <c r="H342" s="45" t="s">
        <v>162</v>
      </c>
      <c r="I342" s="45" t="s">
        <v>537</v>
      </c>
      <c r="J342" s="41" t="s">
        <v>180</v>
      </c>
      <c r="K342" s="43" t="str">
        <f t="array" ref="K342">IF(J342="","", XLOOKUP(J342,'⚙️ Pengaturan'!$E$2:$E3237,'⚙️ Pengaturan'!$G$2:$G3237))</f>
        <v>KLINIK FT SESI</v>
      </c>
      <c r="L342" s="43" t="str">
        <f t="shared" si="3"/>
        <v>LANJUTAN</v>
      </c>
      <c r="M342" s="41" t="s">
        <v>31</v>
      </c>
      <c r="N342" s="46">
        <v>150000.0</v>
      </c>
      <c r="O342" s="65">
        <v>0.0</v>
      </c>
      <c r="P342" s="119">
        <v>150000.0</v>
      </c>
      <c r="Q342" s="49">
        <f t="shared" si="5"/>
        <v>0</v>
      </c>
      <c r="R342" s="41" t="s">
        <v>32</v>
      </c>
      <c r="S342" s="69" t="s">
        <v>33</v>
      </c>
      <c r="T342" s="51" t="b">
        <v>1</v>
      </c>
      <c r="U342" s="94"/>
    </row>
    <row r="343" ht="30.0" customHeight="1">
      <c r="A343" s="39"/>
      <c r="B343" s="40">
        <v>2376.0</v>
      </c>
      <c r="C343" s="41" t="s">
        <v>79</v>
      </c>
      <c r="D343" s="86">
        <v>46042.0</v>
      </c>
      <c r="E343" s="43" t="str">
        <f t="shared" si="1"/>
        <v>2026</v>
      </c>
      <c r="F343" s="43" t="str">
        <f t="shared" si="2"/>
        <v>01 Jan</v>
      </c>
      <c r="G343" s="126" t="s">
        <v>40</v>
      </c>
      <c r="H343" s="45" t="s">
        <v>150</v>
      </c>
      <c r="I343" s="45" t="s">
        <v>543</v>
      </c>
      <c r="J343" s="41" t="s">
        <v>180</v>
      </c>
      <c r="K343" s="43" t="str">
        <f t="array" ref="K343">IF(J343="","", XLOOKUP(J343,'⚙️ Pengaturan'!$E$2:$E3237,'⚙️ Pengaturan'!$G$2:$G3237))</f>
        <v>KLINIK FT SESI</v>
      </c>
      <c r="L343" s="43" t="str">
        <f t="shared" si="3"/>
        <v>LANJUTAN</v>
      </c>
      <c r="M343" s="41" t="s">
        <v>31</v>
      </c>
      <c r="N343" s="46">
        <v>150000.0</v>
      </c>
      <c r="O343" s="65">
        <v>0.0</v>
      </c>
      <c r="P343" s="48">
        <f t="array" ref="P343">IFNA(XLOOKUP(J343,'⚙️ Pengaturan'!$E$2:$E3237,'⚙️ Pengaturan'!$F$2:$F3237),"")</f>
        <v>150000</v>
      </c>
      <c r="Q343" s="49">
        <f t="shared" si="5"/>
        <v>0</v>
      </c>
      <c r="R343" s="41" t="s">
        <v>37</v>
      </c>
      <c r="S343" s="69" t="s">
        <v>33</v>
      </c>
      <c r="T343" s="51" t="b">
        <v>1</v>
      </c>
      <c r="U343" s="94"/>
    </row>
    <row r="344" ht="30.0" customHeight="1">
      <c r="A344" s="39"/>
      <c r="B344" s="40">
        <v>2377.0</v>
      </c>
      <c r="C344" s="41" t="s">
        <v>79</v>
      </c>
      <c r="D344" s="86">
        <v>46042.0</v>
      </c>
      <c r="E344" s="43" t="str">
        <f t="shared" si="1"/>
        <v>2026</v>
      </c>
      <c r="F344" s="43" t="str">
        <f t="shared" si="2"/>
        <v>01 Jan</v>
      </c>
      <c r="G344" s="126" t="s">
        <v>173</v>
      </c>
      <c r="H344" s="45" t="s">
        <v>162</v>
      </c>
      <c r="I344" s="45" t="s">
        <v>605</v>
      </c>
      <c r="J344" s="41" t="s">
        <v>180</v>
      </c>
      <c r="K344" s="43" t="str">
        <f t="array" ref="K344">IF(J344="","", XLOOKUP(J344,'⚙️ Pengaturan'!$E$2:$E3237,'⚙️ Pengaturan'!$G$2:$G3237))</f>
        <v>KLINIK FT SESI</v>
      </c>
      <c r="L344" s="43" t="str">
        <f t="shared" si="3"/>
        <v>BARU</v>
      </c>
      <c r="M344" s="41" t="s">
        <v>31</v>
      </c>
      <c r="N344" s="46">
        <v>150000.0</v>
      </c>
      <c r="O344" s="65">
        <v>0.0</v>
      </c>
      <c r="P344" s="48">
        <f t="array" ref="P344">IFNA(XLOOKUP(J344,'⚙️ Pengaturan'!$E$2:$E3237,'⚙️ Pengaturan'!$F$2:$F3237),"")</f>
        <v>150000</v>
      </c>
      <c r="Q344" s="49">
        <f t="shared" si="5"/>
        <v>0</v>
      </c>
      <c r="R344" s="41" t="s">
        <v>32</v>
      </c>
      <c r="S344" s="69" t="s">
        <v>33</v>
      </c>
      <c r="T344" s="51" t="b">
        <v>1</v>
      </c>
      <c r="U344" s="94"/>
    </row>
    <row r="345" ht="30.0" customHeight="1">
      <c r="A345" s="39"/>
      <c r="B345" s="40">
        <v>2378.0</v>
      </c>
      <c r="C345" s="41" t="s">
        <v>79</v>
      </c>
      <c r="D345" s="86">
        <v>46042.0</v>
      </c>
      <c r="E345" s="43" t="str">
        <f t="shared" si="1"/>
        <v>2026</v>
      </c>
      <c r="F345" s="43" t="str">
        <f t="shared" si="2"/>
        <v>01 Jan</v>
      </c>
      <c r="G345" s="126" t="s">
        <v>46</v>
      </c>
      <c r="H345" s="45" t="s">
        <v>150</v>
      </c>
      <c r="I345" s="45" t="s">
        <v>600</v>
      </c>
      <c r="J345" s="41" t="s">
        <v>56</v>
      </c>
      <c r="K345" s="43" t="str">
        <f t="array" ref="K345">IF(J345="","", XLOOKUP(J345,'⚙️ Pengaturan'!$E$2:$E3237,'⚙️ Pengaturan'!$G$2:$G3237))</f>
        <v>KLINIK FT PAKET</v>
      </c>
      <c r="L345" s="43" t="str">
        <f t="shared" si="3"/>
        <v>BARU</v>
      </c>
      <c r="M345" s="41" t="s">
        <v>60</v>
      </c>
      <c r="N345" s="46">
        <v>200000.0</v>
      </c>
      <c r="O345" s="65">
        <v>0.0</v>
      </c>
      <c r="P345" s="48">
        <f t="array" ref="P345">IFNA(XLOOKUP(J345,'⚙️ Pengaturan'!$E$2:$E3237,'⚙️ Pengaturan'!$F$2:$F3237),"")</f>
        <v>650000</v>
      </c>
      <c r="Q345" s="49">
        <f t="shared" si="5"/>
        <v>-450000</v>
      </c>
      <c r="R345" s="41" t="s">
        <v>32</v>
      </c>
      <c r="S345" s="69" t="s">
        <v>33</v>
      </c>
      <c r="T345" s="51" t="b">
        <v>1</v>
      </c>
      <c r="U345" s="94"/>
    </row>
    <row r="346" ht="30.0" customHeight="1">
      <c r="A346" s="39"/>
      <c r="B346" s="40">
        <v>2379.0</v>
      </c>
      <c r="C346" s="41" t="s">
        <v>79</v>
      </c>
      <c r="D346" s="86">
        <v>46042.0</v>
      </c>
      <c r="E346" s="43" t="str">
        <f t="shared" si="1"/>
        <v>2026</v>
      </c>
      <c r="F346" s="43" t="str">
        <f t="shared" si="2"/>
        <v>01 Jan</v>
      </c>
      <c r="G346" s="126" t="s">
        <v>43</v>
      </c>
      <c r="H346" s="45" t="s">
        <v>162</v>
      </c>
      <c r="I346" s="45" t="s">
        <v>623</v>
      </c>
      <c r="J346" s="41" t="s">
        <v>28</v>
      </c>
      <c r="K346" s="43" t="str">
        <f t="array" ref="K346">IF(J346="","", XLOOKUP(J346,'⚙️ Pengaturan'!$E$2:$E3237,'⚙️ Pengaturan'!$G$2:$G3237))</f>
        <v>KLINIK FT TA</v>
      </c>
      <c r="L346" s="43" t="str">
        <f t="shared" si="3"/>
        <v>BARU</v>
      </c>
      <c r="M346" s="41" t="s">
        <v>31</v>
      </c>
      <c r="N346" s="46">
        <v>250000.0</v>
      </c>
      <c r="O346" s="65">
        <v>0.0</v>
      </c>
      <c r="P346" s="48">
        <f t="array" ref="P346">IFNA(XLOOKUP(J346,'⚙️ Pengaturan'!$E$2:$E3237,'⚙️ Pengaturan'!$F$2:$F3237),"")</f>
        <v>250000</v>
      </c>
      <c r="Q346" s="49">
        <f t="shared" si="5"/>
        <v>0</v>
      </c>
      <c r="R346" s="41" t="s">
        <v>37</v>
      </c>
      <c r="S346" s="69" t="s">
        <v>623</v>
      </c>
      <c r="T346" s="51" t="b">
        <v>1</v>
      </c>
      <c r="U346" s="94"/>
    </row>
    <row r="347" ht="30.0" customHeight="1">
      <c r="A347" s="39"/>
      <c r="B347" s="40">
        <v>2380.0</v>
      </c>
      <c r="C347" s="41" t="s">
        <v>79</v>
      </c>
      <c r="D347" s="86">
        <v>46042.0</v>
      </c>
      <c r="E347" s="43" t="str">
        <f t="shared" si="1"/>
        <v>2026</v>
      </c>
      <c r="F347" s="43" t="str">
        <f t="shared" si="2"/>
        <v>01 Jan</v>
      </c>
      <c r="G347" s="126" t="s">
        <v>155</v>
      </c>
      <c r="H347" s="45" t="s">
        <v>162</v>
      </c>
      <c r="I347" s="45" t="s">
        <v>549</v>
      </c>
      <c r="J347" s="41" t="s">
        <v>180</v>
      </c>
      <c r="K347" s="43" t="str">
        <f t="array" ref="K347">IF(J347="","", XLOOKUP(J347,'⚙️ Pengaturan'!$E$2:$E3237,'⚙️ Pengaturan'!$G$2:$G3237))</f>
        <v>KLINIK FT SESI</v>
      </c>
      <c r="L347" s="43" t="str">
        <f t="shared" si="3"/>
        <v>LANJUTAN</v>
      </c>
      <c r="M347" s="41" t="s">
        <v>31</v>
      </c>
      <c r="N347" s="46">
        <v>150000.0</v>
      </c>
      <c r="O347" s="65">
        <v>0.0</v>
      </c>
      <c r="P347" s="48">
        <f t="array" ref="P347">IFNA(XLOOKUP(J347,'⚙️ Pengaturan'!$E$2:$E3237,'⚙️ Pengaturan'!$F$2:$F3237),"")</f>
        <v>150000</v>
      </c>
      <c r="Q347" s="49">
        <f t="shared" si="5"/>
        <v>0</v>
      </c>
      <c r="R347" s="41" t="s">
        <v>37</v>
      </c>
      <c r="S347" s="69" t="s">
        <v>624</v>
      </c>
      <c r="T347" s="51" t="b">
        <v>1</v>
      </c>
      <c r="U347" s="94"/>
    </row>
    <row r="348" ht="30.0" customHeight="1">
      <c r="A348" s="39"/>
      <c r="B348" s="40">
        <v>2381.0</v>
      </c>
      <c r="C348" s="41" t="s">
        <v>79</v>
      </c>
      <c r="D348" s="86">
        <v>46042.0</v>
      </c>
      <c r="E348" s="43" t="str">
        <f t="shared" si="1"/>
        <v>2026</v>
      </c>
      <c r="F348" s="43" t="str">
        <f t="shared" si="2"/>
        <v>01 Jan</v>
      </c>
      <c r="G348" s="126" t="s">
        <v>190</v>
      </c>
      <c r="H348" s="45" t="s">
        <v>150</v>
      </c>
      <c r="I348" s="45" t="s">
        <v>601</v>
      </c>
      <c r="J348" s="41" t="s">
        <v>180</v>
      </c>
      <c r="K348" s="43" t="str">
        <f t="array" ref="K348">IF(J348="","", XLOOKUP(J348,'⚙️ Pengaturan'!$E$2:$E3237,'⚙️ Pengaturan'!$G$2:$G3237))</f>
        <v>KLINIK FT SESI</v>
      </c>
      <c r="L348" s="43" t="str">
        <f t="shared" si="3"/>
        <v>BARU</v>
      </c>
      <c r="M348" s="41" t="s">
        <v>31</v>
      </c>
      <c r="N348" s="46">
        <v>150000.0</v>
      </c>
      <c r="O348" s="65">
        <v>0.0</v>
      </c>
      <c r="P348" s="48">
        <f t="array" ref="P348">IFNA(XLOOKUP(J348,'⚙️ Pengaturan'!$E$2:$E3237,'⚙️ Pengaturan'!$F$2:$F3237),"")</f>
        <v>150000</v>
      </c>
      <c r="Q348" s="49">
        <f t="shared" si="5"/>
        <v>0</v>
      </c>
      <c r="R348" s="41" t="s">
        <v>32</v>
      </c>
      <c r="S348" s="69" t="s">
        <v>33</v>
      </c>
      <c r="T348" s="51" t="b">
        <v>1</v>
      </c>
      <c r="U348" s="94"/>
    </row>
    <row r="349" ht="30.0" customHeight="1">
      <c r="A349" s="39"/>
      <c r="B349" s="40">
        <v>2382.0</v>
      </c>
      <c r="C349" s="41" t="s">
        <v>79</v>
      </c>
      <c r="D349" s="86">
        <v>46043.0</v>
      </c>
      <c r="E349" s="43" t="str">
        <f t="shared" si="1"/>
        <v>2026</v>
      </c>
      <c r="F349" s="43" t="str">
        <f t="shared" si="2"/>
        <v>01 Jan</v>
      </c>
      <c r="G349" s="126" t="s">
        <v>195</v>
      </c>
      <c r="H349" s="45" t="s">
        <v>103</v>
      </c>
      <c r="I349" s="45" t="s">
        <v>610</v>
      </c>
      <c r="J349" s="41" t="s">
        <v>56</v>
      </c>
      <c r="K349" s="43" t="str">
        <f t="array" ref="K349">IF(J349="","", XLOOKUP(J349,'⚙️ Pengaturan'!$E$2:$E3237,'⚙️ Pengaturan'!$G$2:$G3237))</f>
        <v>KLINIK FT PAKET</v>
      </c>
      <c r="L349" s="43" t="str">
        <f t="shared" si="3"/>
        <v>LANJUTAN</v>
      </c>
      <c r="M349" s="41" t="s">
        <v>164</v>
      </c>
      <c r="N349" s="46">
        <v>500000.0</v>
      </c>
      <c r="O349" s="65">
        <v>150000.0</v>
      </c>
      <c r="P349" s="48">
        <f t="array" ref="P349">IFNA(XLOOKUP(J349,'⚙️ Pengaturan'!$E$2:$E3237,'⚙️ Pengaturan'!$F$2:$F3237),"")</f>
        <v>650000</v>
      </c>
      <c r="Q349" s="49">
        <f t="shared" si="5"/>
        <v>0</v>
      </c>
      <c r="R349" s="41" t="s">
        <v>37</v>
      </c>
      <c r="S349" s="69" t="s">
        <v>610</v>
      </c>
      <c r="T349" s="51" t="b">
        <v>1</v>
      </c>
      <c r="U349" s="94"/>
    </row>
    <row r="350" ht="30.0" customHeight="1">
      <c r="A350" s="39"/>
      <c r="B350" s="40">
        <v>2383.0</v>
      </c>
      <c r="C350" s="41" t="s">
        <v>79</v>
      </c>
      <c r="D350" s="86">
        <v>46043.0</v>
      </c>
      <c r="E350" s="43" t="str">
        <f t="shared" si="1"/>
        <v>2026</v>
      </c>
      <c r="F350" s="43" t="str">
        <f t="shared" si="2"/>
        <v>01 Jan</v>
      </c>
      <c r="G350" s="126" t="s">
        <v>195</v>
      </c>
      <c r="H350" s="45" t="s">
        <v>149</v>
      </c>
      <c r="I350" s="45" t="s">
        <v>591</v>
      </c>
      <c r="J350" s="41" t="s">
        <v>180</v>
      </c>
      <c r="K350" s="43" t="str">
        <f t="array" ref="K350">IF(J350="","", XLOOKUP(J350,'⚙️ Pengaturan'!$E$2:$E3237,'⚙️ Pengaturan'!$G$2:$G3237))</f>
        <v>KLINIK FT SESI</v>
      </c>
      <c r="L350" s="43" t="str">
        <f t="shared" si="3"/>
        <v>LANJUTAN</v>
      </c>
      <c r="M350" s="41" t="s">
        <v>31</v>
      </c>
      <c r="N350" s="46">
        <v>150000.0</v>
      </c>
      <c r="O350" s="65">
        <v>0.0</v>
      </c>
      <c r="P350" s="48">
        <f t="array" ref="P350">IFNA(XLOOKUP(J350,'⚙️ Pengaturan'!$E$2:$E3237,'⚙️ Pengaturan'!$F$2:$F3237),"")</f>
        <v>150000</v>
      </c>
      <c r="Q350" s="49">
        <f t="shared" si="5"/>
        <v>0</v>
      </c>
      <c r="R350" s="41" t="s">
        <v>32</v>
      </c>
      <c r="S350" s="69" t="s">
        <v>33</v>
      </c>
      <c r="T350" s="51" t="b">
        <v>1</v>
      </c>
      <c r="U350" s="94"/>
    </row>
    <row r="351" ht="30.0" customHeight="1">
      <c r="A351" s="39"/>
      <c r="B351" s="40">
        <v>2384.0</v>
      </c>
      <c r="C351" s="41" t="s">
        <v>79</v>
      </c>
      <c r="D351" s="86">
        <v>46043.0</v>
      </c>
      <c r="E351" s="43" t="str">
        <f t="shared" si="1"/>
        <v>2026</v>
      </c>
      <c r="F351" s="43" t="str">
        <f t="shared" si="2"/>
        <v>01 Jan</v>
      </c>
      <c r="G351" s="126" t="s">
        <v>195</v>
      </c>
      <c r="H351" s="45" t="s">
        <v>47</v>
      </c>
      <c r="I351" s="45" t="s">
        <v>604</v>
      </c>
      <c r="J351" s="41" t="s">
        <v>56</v>
      </c>
      <c r="K351" s="43" t="str">
        <f t="array" ref="K351">IF(J351="","", XLOOKUP(J351,'⚙️ Pengaturan'!$E$2:$E3237,'⚙️ Pengaturan'!$G$2:$G3237))</f>
        <v>KLINIK FT PAKET</v>
      </c>
      <c r="L351" s="43" t="str">
        <f t="shared" si="3"/>
        <v>BARU</v>
      </c>
      <c r="M351" s="41" t="s">
        <v>60</v>
      </c>
      <c r="N351" s="46">
        <v>200000.0</v>
      </c>
      <c r="O351" s="65">
        <v>0.0</v>
      </c>
      <c r="P351" s="48">
        <f t="array" ref="P351">IFNA(XLOOKUP(J351,'⚙️ Pengaturan'!$E$2:$E3237,'⚙️ Pengaturan'!$F$2:$F3237),"")</f>
        <v>650000</v>
      </c>
      <c r="Q351" s="49">
        <f t="shared" si="5"/>
        <v>-450000</v>
      </c>
      <c r="R351" s="41" t="s">
        <v>37</v>
      </c>
      <c r="S351" s="69" t="s">
        <v>604</v>
      </c>
      <c r="T351" s="51" t="b">
        <v>1</v>
      </c>
      <c r="U351" s="94"/>
    </row>
    <row r="352" ht="30.0" customHeight="1">
      <c r="A352" s="39"/>
      <c r="B352" s="40">
        <v>2385.0</v>
      </c>
      <c r="C352" s="41" t="s">
        <v>79</v>
      </c>
      <c r="D352" s="86">
        <v>46043.0</v>
      </c>
      <c r="E352" s="43" t="str">
        <f t="shared" si="1"/>
        <v>2026</v>
      </c>
      <c r="F352" s="43" t="str">
        <f t="shared" si="2"/>
        <v>01 Jan</v>
      </c>
      <c r="G352" s="126" t="s">
        <v>195</v>
      </c>
      <c r="H352" s="45" t="s">
        <v>47</v>
      </c>
      <c r="I352" s="45" t="s">
        <v>582</v>
      </c>
      <c r="J352" s="41" t="s">
        <v>56</v>
      </c>
      <c r="K352" s="43" t="str">
        <f t="array" ref="K352">IF(J352="","", XLOOKUP(J352,'⚙️ Pengaturan'!$E$2:$E3237,'⚙️ Pengaturan'!$G$2:$G3237))</f>
        <v>KLINIK FT PAKET</v>
      </c>
      <c r="L352" s="43" t="str">
        <f t="shared" si="3"/>
        <v>BARU</v>
      </c>
      <c r="M352" s="41" t="s">
        <v>31</v>
      </c>
      <c r="N352" s="46">
        <v>650000.0</v>
      </c>
      <c r="O352" s="65">
        <v>0.0</v>
      </c>
      <c r="P352" s="48">
        <v>650000.0</v>
      </c>
      <c r="Q352" s="49">
        <f t="shared" si="5"/>
        <v>0</v>
      </c>
      <c r="R352" s="41" t="s">
        <v>37</v>
      </c>
      <c r="S352" s="69" t="s">
        <v>582</v>
      </c>
      <c r="T352" s="51" t="b">
        <v>1</v>
      </c>
      <c r="U352" s="94"/>
    </row>
    <row r="353" ht="30.0" customHeight="1">
      <c r="A353" s="39"/>
      <c r="B353" s="40">
        <v>2386.0</v>
      </c>
      <c r="C353" s="41" t="s">
        <v>79</v>
      </c>
      <c r="D353" s="86">
        <v>46043.0</v>
      </c>
      <c r="E353" s="43" t="str">
        <f t="shared" si="1"/>
        <v>2026</v>
      </c>
      <c r="F353" s="43" t="str">
        <f t="shared" si="2"/>
        <v>01 Jan</v>
      </c>
      <c r="G353" s="126" t="s">
        <v>206</v>
      </c>
      <c r="H353" s="45" t="s">
        <v>47</v>
      </c>
      <c r="I353" s="45" t="s">
        <v>621</v>
      </c>
      <c r="J353" s="41" t="s">
        <v>180</v>
      </c>
      <c r="K353" s="43" t="str">
        <f t="array" ref="K353">IF(J353="","", XLOOKUP(J353,'⚙️ Pengaturan'!$E$2:$E3237,'⚙️ Pengaturan'!$G$2:$G3237))</f>
        <v>KLINIK FT SESI</v>
      </c>
      <c r="L353" s="43" t="str">
        <f t="shared" si="3"/>
        <v>BARU</v>
      </c>
      <c r="M353" s="41" t="s">
        <v>31</v>
      </c>
      <c r="N353" s="46">
        <v>150000.0</v>
      </c>
      <c r="O353" s="65">
        <v>0.0</v>
      </c>
      <c r="P353" s="48">
        <f t="array" ref="P353">IFNA(XLOOKUP(J353,'⚙️ Pengaturan'!$E$2:$E3237,'⚙️ Pengaturan'!$F$2:$F3237),"")</f>
        <v>150000</v>
      </c>
      <c r="Q353" s="49">
        <f t="shared" si="5"/>
        <v>0</v>
      </c>
      <c r="R353" s="41" t="s">
        <v>37</v>
      </c>
      <c r="S353" s="69" t="s">
        <v>621</v>
      </c>
      <c r="T353" s="51" t="b">
        <v>1</v>
      </c>
      <c r="U353" s="94"/>
    </row>
    <row r="354" ht="30.0" customHeight="1">
      <c r="A354" s="39"/>
      <c r="B354" s="40">
        <v>2387.0</v>
      </c>
      <c r="C354" s="41" t="s">
        <v>79</v>
      </c>
      <c r="D354" s="86">
        <v>46043.0</v>
      </c>
      <c r="E354" s="43" t="str">
        <f t="shared" si="1"/>
        <v>2026</v>
      </c>
      <c r="F354" s="43" t="str">
        <f t="shared" si="2"/>
        <v>01 Jan</v>
      </c>
      <c r="G354" s="126" t="s">
        <v>161</v>
      </c>
      <c r="H354" s="45" t="s">
        <v>76</v>
      </c>
      <c r="I354" s="45" t="s">
        <v>607</v>
      </c>
      <c r="J354" s="41" t="s">
        <v>180</v>
      </c>
      <c r="K354" s="43" t="str">
        <f t="array" ref="K354">IF(J354="","", XLOOKUP(J354,'⚙️ Pengaturan'!$E$2:$E3237,'⚙️ Pengaturan'!$G$2:$G3237))</f>
        <v>KLINIK FT SESI</v>
      </c>
      <c r="L354" s="43" t="str">
        <f t="shared" si="3"/>
        <v>BARU</v>
      </c>
      <c r="M354" s="41" t="s">
        <v>31</v>
      </c>
      <c r="N354" s="46">
        <v>150000.0</v>
      </c>
      <c r="O354" s="65">
        <v>0.0</v>
      </c>
      <c r="P354" s="48">
        <v>150000.0</v>
      </c>
      <c r="Q354" s="49">
        <f t="shared" si="5"/>
        <v>0</v>
      </c>
      <c r="R354" s="41" t="s">
        <v>32</v>
      </c>
      <c r="S354" s="69" t="s">
        <v>33</v>
      </c>
      <c r="T354" s="51" t="b">
        <v>1</v>
      </c>
      <c r="U354" s="94"/>
    </row>
    <row r="355" ht="30.0" customHeight="1">
      <c r="A355" s="39"/>
      <c r="B355" s="40">
        <v>2388.0</v>
      </c>
      <c r="C355" s="41" t="s">
        <v>79</v>
      </c>
      <c r="D355" s="86">
        <v>46043.0</v>
      </c>
      <c r="E355" s="43" t="str">
        <f t="shared" si="1"/>
        <v>2026</v>
      </c>
      <c r="F355" s="43" t="str">
        <f t="shared" si="2"/>
        <v>01 Jan</v>
      </c>
      <c r="G355" s="126" t="s">
        <v>161</v>
      </c>
      <c r="H355" s="45" t="s">
        <v>156</v>
      </c>
      <c r="I355" s="45" t="s">
        <v>625</v>
      </c>
      <c r="J355" s="41" t="s">
        <v>28</v>
      </c>
      <c r="K355" s="43" t="str">
        <f t="array" ref="K355">IF(J355="","", XLOOKUP(J355,'⚙️ Pengaturan'!$E$2:$E3237,'⚙️ Pengaturan'!$G$2:$G3237))</f>
        <v>KLINIK FT TA</v>
      </c>
      <c r="L355" s="43" t="str">
        <f t="shared" si="3"/>
        <v>BARU</v>
      </c>
      <c r="M355" s="41" t="s">
        <v>31</v>
      </c>
      <c r="N355" s="46">
        <v>250000.0</v>
      </c>
      <c r="O355" s="65">
        <v>0.0</v>
      </c>
      <c r="P355" s="48">
        <v>250000.0</v>
      </c>
      <c r="Q355" s="49">
        <f t="shared" si="5"/>
        <v>0</v>
      </c>
      <c r="R355" s="41" t="s">
        <v>118</v>
      </c>
      <c r="S355" s="69" t="s">
        <v>626</v>
      </c>
      <c r="T355" s="51" t="b">
        <v>1</v>
      </c>
      <c r="U355" s="94"/>
    </row>
    <row r="356" ht="30.0" customHeight="1">
      <c r="A356" s="39"/>
      <c r="B356" s="40">
        <v>2389.0</v>
      </c>
      <c r="C356" s="41" t="s">
        <v>79</v>
      </c>
      <c r="D356" s="86">
        <v>46043.0</v>
      </c>
      <c r="E356" s="43" t="str">
        <f t="shared" si="1"/>
        <v>2026</v>
      </c>
      <c r="F356" s="43" t="str">
        <f t="shared" si="2"/>
        <v>01 Jan</v>
      </c>
      <c r="G356" s="126" t="s">
        <v>35</v>
      </c>
      <c r="H356" s="45" t="s">
        <v>149</v>
      </c>
      <c r="I356" s="45" t="s">
        <v>627</v>
      </c>
      <c r="J356" s="41" t="s">
        <v>28</v>
      </c>
      <c r="K356" s="43" t="str">
        <f t="array" ref="K356">IF(J356="","", XLOOKUP(J356,'⚙️ Pengaturan'!$E$2:$E3237,'⚙️ Pengaturan'!$G$2:$G3237))</f>
        <v>KLINIK FT TA</v>
      </c>
      <c r="L356" s="43" t="str">
        <f t="shared" si="3"/>
        <v>BARU</v>
      </c>
      <c r="M356" s="41" t="s">
        <v>31</v>
      </c>
      <c r="N356" s="46">
        <v>250000.0</v>
      </c>
      <c r="O356" s="65">
        <v>0.0</v>
      </c>
      <c r="P356" s="48">
        <v>250000.0</v>
      </c>
      <c r="Q356" s="49">
        <f t="shared" si="5"/>
        <v>0</v>
      </c>
      <c r="R356" s="41" t="s">
        <v>118</v>
      </c>
      <c r="S356" s="69" t="s">
        <v>627</v>
      </c>
      <c r="T356" s="51" t="b">
        <v>1</v>
      </c>
      <c r="U356" s="94"/>
    </row>
    <row r="357" ht="30.0" customHeight="1">
      <c r="A357" s="39"/>
      <c r="B357" s="40">
        <v>2390.0</v>
      </c>
      <c r="C357" s="41" t="s">
        <v>79</v>
      </c>
      <c r="D357" s="86">
        <v>46043.0</v>
      </c>
      <c r="E357" s="43" t="str">
        <f t="shared" si="1"/>
        <v>2026</v>
      </c>
      <c r="F357" s="43" t="str">
        <f t="shared" si="2"/>
        <v>01 Jan</v>
      </c>
      <c r="G357" s="126" t="s">
        <v>35</v>
      </c>
      <c r="H357" s="45" t="s">
        <v>96</v>
      </c>
      <c r="I357" s="45" t="s">
        <v>628</v>
      </c>
      <c r="J357" s="41" t="s">
        <v>28</v>
      </c>
      <c r="K357" s="43" t="str">
        <f t="array" ref="K357">IF(J357="","", XLOOKUP(J357,'⚙️ Pengaturan'!$E$2:$E3237,'⚙️ Pengaturan'!$G$2:$G3237))</f>
        <v>KLINIK FT TA</v>
      </c>
      <c r="L357" s="43" t="str">
        <f t="shared" si="3"/>
        <v>BARU</v>
      </c>
      <c r="M357" s="41" t="s">
        <v>31</v>
      </c>
      <c r="N357" s="46">
        <v>250000.0</v>
      </c>
      <c r="O357" s="65">
        <v>0.0</v>
      </c>
      <c r="P357" s="48">
        <f t="array" ref="P357">IFNA(XLOOKUP(J357,'⚙️ Pengaturan'!$E$2:$E3237,'⚙️ Pengaturan'!$F$2:$F3237),"")</f>
        <v>250000</v>
      </c>
      <c r="Q357" s="49">
        <f t="shared" si="5"/>
        <v>0</v>
      </c>
      <c r="R357" s="41" t="s">
        <v>32</v>
      </c>
      <c r="S357" s="69" t="s">
        <v>33</v>
      </c>
      <c r="T357" s="51" t="b">
        <v>1</v>
      </c>
      <c r="U357" s="94"/>
    </row>
    <row r="358" ht="30.0" customHeight="1">
      <c r="A358" s="39"/>
      <c r="B358" s="40">
        <v>2391.0</v>
      </c>
      <c r="C358" s="41" t="s">
        <v>79</v>
      </c>
      <c r="D358" s="86">
        <v>46043.0</v>
      </c>
      <c r="E358" s="43" t="str">
        <f t="shared" si="1"/>
        <v>2026</v>
      </c>
      <c r="F358" s="43" t="str">
        <f t="shared" si="2"/>
        <v>01 Jan</v>
      </c>
      <c r="G358" s="126" t="s">
        <v>69</v>
      </c>
      <c r="H358" s="45" t="s">
        <v>76</v>
      </c>
      <c r="I358" s="45" t="s">
        <v>629</v>
      </c>
      <c r="J358" s="41" t="s">
        <v>291</v>
      </c>
      <c r="K358" s="43" t="str">
        <f t="array" ref="K358">IF(J358="","", XLOOKUP(J358,'⚙️ Pengaturan'!$E$2:$E3237,'⚙️ Pengaturan'!$G$2:$G3237))</f>
        <v>VISIT FT TA</v>
      </c>
      <c r="L358" s="43" t="str">
        <f t="shared" si="3"/>
        <v>BARU</v>
      </c>
      <c r="M358" s="41" t="s">
        <v>31</v>
      </c>
      <c r="N358" s="46">
        <v>350000.0</v>
      </c>
      <c r="O358" s="65">
        <v>0.0</v>
      </c>
      <c r="P358" s="48">
        <f t="array" ref="P358">IFNA(XLOOKUP(J358,'⚙️ Pengaturan'!$E$2:$E3237,'⚙️ Pengaturan'!$F$2:$F3237),"")</f>
        <v>350000</v>
      </c>
      <c r="Q358" s="49">
        <f t="shared" si="5"/>
        <v>0</v>
      </c>
      <c r="R358" s="41" t="s">
        <v>32</v>
      </c>
      <c r="S358" s="69" t="s">
        <v>33</v>
      </c>
      <c r="T358" s="51" t="b">
        <v>1</v>
      </c>
      <c r="U358" s="94"/>
    </row>
    <row r="359" ht="30.0" customHeight="1">
      <c r="A359" s="39"/>
      <c r="B359" s="40">
        <v>2392.0</v>
      </c>
      <c r="C359" s="41" t="s">
        <v>50</v>
      </c>
      <c r="D359" s="86">
        <v>46043.0</v>
      </c>
      <c r="E359" s="43" t="str">
        <f t="shared" si="1"/>
        <v>2026</v>
      </c>
      <c r="F359" s="43" t="str">
        <f t="shared" si="2"/>
        <v>01 Jan</v>
      </c>
      <c r="G359" s="126" t="s">
        <v>43</v>
      </c>
      <c r="H359" s="45" t="s">
        <v>166</v>
      </c>
      <c r="I359" s="45" t="s">
        <v>577</v>
      </c>
      <c r="J359" s="41" t="s">
        <v>56</v>
      </c>
      <c r="K359" s="43" t="str">
        <f t="array" ref="K359">IF(J359="","", XLOOKUP(J359,'⚙️ Pengaturan'!$E$2:$E3237,'⚙️ Pengaturan'!$G$2:$G3237))</f>
        <v>KLINIK FT PAKET</v>
      </c>
      <c r="L359" s="43" t="str">
        <f t="shared" si="3"/>
        <v>LANJUTAN</v>
      </c>
      <c r="M359" s="41" t="s">
        <v>31</v>
      </c>
      <c r="N359" s="46">
        <v>650000.0</v>
      </c>
      <c r="O359" s="65">
        <v>0.0</v>
      </c>
      <c r="P359" s="48">
        <f t="array" ref="P359">IFNA(XLOOKUP(J359,'⚙️ Pengaturan'!$E$2:$E3237,'⚙️ Pengaturan'!$F$2:$F3237),"")</f>
        <v>650000</v>
      </c>
      <c r="Q359" s="49">
        <f t="shared" si="5"/>
        <v>0</v>
      </c>
      <c r="R359" s="41" t="s">
        <v>32</v>
      </c>
      <c r="S359" s="69" t="s">
        <v>33</v>
      </c>
      <c r="T359" s="51" t="b">
        <v>1</v>
      </c>
      <c r="U359" s="94"/>
    </row>
    <row r="360" ht="30.0" customHeight="1">
      <c r="A360" s="39"/>
      <c r="B360" s="40">
        <v>2393.0</v>
      </c>
      <c r="C360" s="41" t="s">
        <v>50</v>
      </c>
      <c r="D360" s="86">
        <v>46043.0</v>
      </c>
      <c r="E360" s="43" t="str">
        <f t="shared" si="1"/>
        <v>2026</v>
      </c>
      <c r="F360" s="43" t="str">
        <f t="shared" si="2"/>
        <v>01 Jan</v>
      </c>
      <c r="G360" s="126" t="s">
        <v>43</v>
      </c>
      <c r="H360" s="45" t="s">
        <v>162</v>
      </c>
      <c r="I360" s="45" t="s">
        <v>630</v>
      </c>
      <c r="J360" s="41" t="s">
        <v>92</v>
      </c>
      <c r="K360" s="43" t="str">
        <f t="array" ref="K360">IF(J360="","", XLOOKUP(J360,'⚙️ Pengaturan'!$E$2:$E3237,'⚙️ Pengaturan'!$G$2:$G3237))</f>
        <v>KLINIK FT PAKET</v>
      </c>
      <c r="L360" s="43" t="str">
        <f t="shared" si="3"/>
        <v>BARU</v>
      </c>
      <c r="M360" s="41" t="s">
        <v>31</v>
      </c>
      <c r="N360" s="46">
        <v>1200000.0</v>
      </c>
      <c r="O360" s="65">
        <v>0.0</v>
      </c>
      <c r="P360" s="48">
        <f t="array" ref="P360">IFNA(XLOOKUP(J360,'⚙️ Pengaturan'!$E$2:$E3237,'⚙️ Pengaturan'!$F$2:$F3237),"")</f>
        <v>1200000</v>
      </c>
      <c r="Q360" s="49">
        <f t="shared" si="5"/>
        <v>0</v>
      </c>
      <c r="R360" s="41" t="s">
        <v>32</v>
      </c>
      <c r="S360" s="69" t="s">
        <v>33</v>
      </c>
      <c r="T360" s="51" t="b">
        <v>1</v>
      </c>
      <c r="U360" s="94"/>
    </row>
    <row r="361" ht="30.0" customHeight="1">
      <c r="A361" s="39"/>
      <c r="B361" s="40">
        <v>2394.0</v>
      </c>
      <c r="C361" s="41" t="s">
        <v>50</v>
      </c>
      <c r="D361" s="86">
        <v>46043.0</v>
      </c>
      <c r="E361" s="43" t="str">
        <f t="shared" si="1"/>
        <v>2026</v>
      </c>
      <c r="F361" s="43" t="str">
        <f t="shared" si="2"/>
        <v>01 Jan</v>
      </c>
      <c r="G361" s="126" t="s">
        <v>173</v>
      </c>
      <c r="H361" s="45" t="s">
        <v>162</v>
      </c>
      <c r="I361" s="45" t="s">
        <v>588</v>
      </c>
      <c r="J361" s="41" t="s">
        <v>180</v>
      </c>
      <c r="K361" s="43" t="str">
        <f t="array" ref="K361">IF(J361="","", XLOOKUP(J361,'⚙️ Pengaturan'!$E$2:$E3237,'⚙️ Pengaturan'!$G$2:$G3237))</f>
        <v>KLINIK FT SESI</v>
      </c>
      <c r="L361" s="43" t="str">
        <f t="shared" si="3"/>
        <v>BARU</v>
      </c>
      <c r="M361" s="41" t="s">
        <v>31</v>
      </c>
      <c r="N361" s="46">
        <v>150000.0</v>
      </c>
      <c r="O361" s="65">
        <v>0.0</v>
      </c>
      <c r="P361" s="48">
        <f t="array" ref="P361">IFNA(XLOOKUP(J361,'⚙️ Pengaturan'!$E$2:$E3237,'⚙️ Pengaturan'!$F$2:$F3237),"")</f>
        <v>150000</v>
      </c>
      <c r="Q361" s="49">
        <f t="shared" si="5"/>
        <v>0</v>
      </c>
      <c r="R361" s="41" t="s">
        <v>37</v>
      </c>
      <c r="S361" s="69" t="s">
        <v>588</v>
      </c>
      <c r="T361" s="51" t="b">
        <v>1</v>
      </c>
      <c r="U361" s="94"/>
    </row>
    <row r="362" ht="30.0" customHeight="1">
      <c r="A362" s="39"/>
      <c r="B362" s="40">
        <v>2395.0</v>
      </c>
      <c r="C362" s="41" t="s">
        <v>50</v>
      </c>
      <c r="D362" s="86">
        <v>46043.0</v>
      </c>
      <c r="E362" s="43" t="str">
        <f t="shared" si="1"/>
        <v>2026</v>
      </c>
      <c r="F362" s="43" t="str">
        <f t="shared" si="2"/>
        <v>01 Jan</v>
      </c>
      <c r="G362" s="126" t="s">
        <v>155</v>
      </c>
      <c r="H362" s="45" t="s">
        <v>150</v>
      </c>
      <c r="I362" s="45" t="s">
        <v>631</v>
      </c>
      <c r="J362" s="41" t="s">
        <v>28</v>
      </c>
      <c r="K362" s="43" t="str">
        <f t="array" ref="K362">IF(J362="","", XLOOKUP(J362,'⚙️ Pengaturan'!$E$2:$E3237,'⚙️ Pengaturan'!$G$2:$G3237))</f>
        <v>KLINIK FT TA</v>
      </c>
      <c r="L362" s="43" t="str">
        <f t="shared" si="3"/>
        <v>BARU</v>
      </c>
      <c r="M362" s="41" t="s">
        <v>31</v>
      </c>
      <c r="N362" s="46">
        <v>250000.0</v>
      </c>
      <c r="O362" s="65">
        <v>0.0</v>
      </c>
      <c r="P362" s="48">
        <f t="array" ref="P362">IFNA(XLOOKUP(J362,'⚙️ Pengaturan'!$E$2:$E3237,'⚙️ Pengaturan'!$F$2:$F3237),"")</f>
        <v>250000</v>
      </c>
      <c r="Q362" s="49">
        <f t="shared" si="5"/>
        <v>0</v>
      </c>
      <c r="R362" s="41" t="s">
        <v>118</v>
      </c>
      <c r="S362" s="69" t="s">
        <v>631</v>
      </c>
      <c r="T362" s="51" t="b">
        <v>1</v>
      </c>
      <c r="U362" s="94"/>
    </row>
    <row r="363" ht="30.0" customHeight="1">
      <c r="A363" s="39"/>
      <c r="B363" s="40">
        <v>2396.0</v>
      </c>
      <c r="C363" s="41" t="s">
        <v>50</v>
      </c>
      <c r="D363" s="86">
        <v>46043.0</v>
      </c>
      <c r="E363" s="43" t="str">
        <f t="shared" si="1"/>
        <v>2026</v>
      </c>
      <c r="F363" s="43" t="str">
        <f t="shared" si="2"/>
        <v>01 Jan</v>
      </c>
      <c r="G363" s="126" t="s">
        <v>155</v>
      </c>
      <c r="H363" s="45" t="s">
        <v>162</v>
      </c>
      <c r="I363" s="45" t="s">
        <v>632</v>
      </c>
      <c r="J363" s="41" t="s">
        <v>28</v>
      </c>
      <c r="K363" s="43" t="str">
        <f t="array" ref="K363">IF(J363="","", XLOOKUP(J363,'⚙️ Pengaturan'!$E$2:$E3237,'⚙️ Pengaturan'!$G$2:$G3237))</f>
        <v>KLINIK FT TA</v>
      </c>
      <c r="L363" s="43" t="str">
        <f t="shared" si="3"/>
        <v>BARU</v>
      </c>
      <c r="M363" s="41" t="s">
        <v>31</v>
      </c>
      <c r="N363" s="46">
        <v>250000.0</v>
      </c>
      <c r="O363" s="65">
        <v>0.0</v>
      </c>
      <c r="P363" s="48">
        <f t="array" ref="P363">IFNA(XLOOKUP(J363,'⚙️ Pengaturan'!$E$2:$E3237,'⚙️ Pengaturan'!$F$2:$F3237),"")</f>
        <v>250000</v>
      </c>
      <c r="Q363" s="49">
        <f t="shared" si="5"/>
        <v>0</v>
      </c>
      <c r="R363" s="41" t="s">
        <v>37</v>
      </c>
      <c r="S363" s="69" t="s">
        <v>632</v>
      </c>
      <c r="T363" s="51" t="b">
        <v>1</v>
      </c>
      <c r="U363" s="94"/>
    </row>
    <row r="364" ht="30.0" customHeight="1">
      <c r="A364" s="39"/>
      <c r="B364" s="40">
        <v>2397.0</v>
      </c>
      <c r="C364" s="41" t="s">
        <v>50</v>
      </c>
      <c r="D364" s="86">
        <v>46043.0</v>
      </c>
      <c r="E364" s="43" t="str">
        <f t="shared" si="1"/>
        <v>2026</v>
      </c>
      <c r="F364" s="43" t="str">
        <f t="shared" si="2"/>
        <v>01 Jan</v>
      </c>
      <c r="G364" s="126" t="s">
        <v>190</v>
      </c>
      <c r="H364" s="45" t="s">
        <v>162</v>
      </c>
      <c r="I364" s="45" t="s">
        <v>472</v>
      </c>
      <c r="J364" s="41" t="s">
        <v>92</v>
      </c>
      <c r="K364" s="43" t="str">
        <f t="array" ref="K364">IF(J364="","", XLOOKUP(J364,'⚙️ Pengaturan'!$E$2:$E3237,'⚙️ Pengaturan'!$G$2:$G3237))</f>
        <v>KLINIK FT PAKET</v>
      </c>
      <c r="L364" s="43" t="str">
        <f t="shared" si="3"/>
        <v>BARU</v>
      </c>
      <c r="M364" s="41" t="s">
        <v>60</v>
      </c>
      <c r="N364" s="46">
        <v>500000.0</v>
      </c>
      <c r="O364" s="65">
        <v>0.0</v>
      </c>
      <c r="P364" s="48">
        <f t="array" ref="P364">IFNA(XLOOKUP(J364,'⚙️ Pengaturan'!$E$2:$E3237,'⚙️ Pengaturan'!$F$2:$F3237),"")</f>
        <v>1200000</v>
      </c>
      <c r="Q364" s="49">
        <f t="shared" si="5"/>
        <v>-700000</v>
      </c>
      <c r="R364" s="41" t="s">
        <v>37</v>
      </c>
      <c r="S364" s="69" t="s">
        <v>472</v>
      </c>
      <c r="T364" s="51" t="b">
        <v>1</v>
      </c>
      <c r="U364" s="94"/>
    </row>
    <row r="365" ht="30.0" customHeight="1">
      <c r="A365" s="39"/>
      <c r="B365" s="40">
        <v>2398.0</v>
      </c>
      <c r="C365" s="41" t="s">
        <v>50</v>
      </c>
      <c r="D365" s="86">
        <v>46043.0</v>
      </c>
      <c r="E365" s="43" t="str">
        <f t="shared" si="1"/>
        <v>2026</v>
      </c>
      <c r="F365" s="43" t="str">
        <f t="shared" si="2"/>
        <v>01 Jan</v>
      </c>
      <c r="G365" s="126" t="s">
        <v>206</v>
      </c>
      <c r="H365" s="45" t="s">
        <v>96</v>
      </c>
      <c r="I365" s="45" t="s">
        <v>277</v>
      </c>
      <c r="J365" s="41" t="s">
        <v>180</v>
      </c>
      <c r="K365" s="43" t="str">
        <f t="array" ref="K365">IF(J365="","", XLOOKUP(J365,'⚙️ Pengaturan'!$E$2:$E3237,'⚙️ Pengaturan'!$G$2:$G3237))</f>
        <v>KLINIK FT SESI</v>
      </c>
      <c r="L365" s="43" t="str">
        <f t="shared" si="3"/>
        <v>LANJUTAN</v>
      </c>
      <c r="M365" s="41" t="s">
        <v>31</v>
      </c>
      <c r="N365" s="46">
        <v>150000.0</v>
      </c>
      <c r="O365" s="65">
        <v>0.0</v>
      </c>
      <c r="P365" s="48">
        <f t="array" ref="P365">IFNA(XLOOKUP(J365,'⚙️ Pengaturan'!$E$2:$E3237,'⚙️ Pengaturan'!$F$2:$F3237),"")</f>
        <v>150000</v>
      </c>
      <c r="Q365" s="49">
        <f t="shared" si="5"/>
        <v>0</v>
      </c>
      <c r="R365" s="41" t="s">
        <v>32</v>
      </c>
      <c r="S365" s="69" t="s">
        <v>33</v>
      </c>
      <c r="T365" s="51" t="b">
        <v>1</v>
      </c>
      <c r="U365" s="94"/>
    </row>
    <row r="366" ht="30.0" customHeight="1">
      <c r="A366" s="39"/>
      <c r="B366" s="40">
        <v>2399.0</v>
      </c>
      <c r="C366" s="41" t="s">
        <v>50</v>
      </c>
      <c r="D366" s="86">
        <v>46043.0</v>
      </c>
      <c r="E366" s="43" t="str">
        <f t="shared" si="1"/>
        <v>2026</v>
      </c>
      <c r="F366" s="43" t="str">
        <f t="shared" si="2"/>
        <v>01 Jan</v>
      </c>
      <c r="G366" s="126" t="s">
        <v>161</v>
      </c>
      <c r="H366" s="45" t="s">
        <v>47</v>
      </c>
      <c r="I366" s="45" t="s">
        <v>245</v>
      </c>
      <c r="J366" s="41" t="s">
        <v>180</v>
      </c>
      <c r="K366" s="43" t="str">
        <f t="array" ref="K366">IF(J366="","", XLOOKUP(J366,'⚙️ Pengaturan'!$E$2:$E3237,'⚙️ Pengaturan'!$G$2:$G3237))</f>
        <v>KLINIK FT SESI</v>
      </c>
      <c r="L366" s="43" t="str">
        <f t="shared" si="3"/>
        <v>LANJUTAN</v>
      </c>
      <c r="M366" s="41" t="s">
        <v>31</v>
      </c>
      <c r="N366" s="46">
        <v>150000.0</v>
      </c>
      <c r="O366" s="65">
        <v>0.0</v>
      </c>
      <c r="P366" s="48">
        <f t="array" ref="P366">IFNA(XLOOKUP(J366,'⚙️ Pengaturan'!$E$2:$E3237,'⚙️ Pengaturan'!$F$2:$F3237),"")</f>
        <v>150000</v>
      </c>
      <c r="Q366" s="49">
        <f t="shared" si="5"/>
        <v>0</v>
      </c>
      <c r="R366" s="41" t="s">
        <v>37</v>
      </c>
      <c r="S366" s="69" t="s">
        <v>245</v>
      </c>
      <c r="T366" s="51" t="b">
        <v>1</v>
      </c>
      <c r="U366" s="94"/>
    </row>
    <row r="367" ht="30.0" customHeight="1">
      <c r="A367" s="39"/>
      <c r="B367" s="40">
        <v>2400.0</v>
      </c>
      <c r="C367" s="41" t="s">
        <v>79</v>
      </c>
      <c r="D367" s="86">
        <v>46044.0</v>
      </c>
      <c r="E367" s="43" t="str">
        <f t="shared" si="1"/>
        <v>2026</v>
      </c>
      <c r="F367" s="43" t="str">
        <f t="shared" si="2"/>
        <v>01 Jan</v>
      </c>
      <c r="G367" s="126" t="s">
        <v>195</v>
      </c>
      <c r="H367" s="45" t="s">
        <v>162</v>
      </c>
      <c r="I367" s="45" t="s">
        <v>623</v>
      </c>
      <c r="J367" s="41" t="s">
        <v>56</v>
      </c>
      <c r="K367" s="43" t="str">
        <f t="array" ref="K367">IF(J367="","", XLOOKUP(J367,'⚙️ Pengaturan'!$E$2:$E3237,'⚙️ Pengaturan'!$G$2:$G3237))</f>
        <v>KLINIK FT PAKET</v>
      </c>
      <c r="L367" s="43" t="str">
        <f t="shared" si="3"/>
        <v>BARU</v>
      </c>
      <c r="M367" s="41" t="s">
        <v>31</v>
      </c>
      <c r="N367" s="46">
        <v>650000.0</v>
      </c>
      <c r="O367" s="65">
        <v>0.0</v>
      </c>
      <c r="P367" s="48">
        <f t="array" ref="P367">IFNA(XLOOKUP(J367,'⚙️ Pengaturan'!$E$2:$E3237,'⚙️ Pengaturan'!$F$2:$F3237),"")</f>
        <v>650000</v>
      </c>
      <c r="Q367" s="49">
        <f t="shared" si="5"/>
        <v>0</v>
      </c>
      <c r="R367" s="41" t="s">
        <v>37</v>
      </c>
      <c r="S367" s="69" t="s">
        <v>623</v>
      </c>
      <c r="T367" s="51" t="b">
        <v>1</v>
      </c>
      <c r="U367" s="94"/>
    </row>
    <row r="368" ht="30.0" customHeight="1">
      <c r="A368" s="39"/>
      <c r="B368" s="40">
        <v>2401.0</v>
      </c>
      <c r="C368" s="41" t="s">
        <v>79</v>
      </c>
      <c r="D368" s="86">
        <v>46044.0</v>
      </c>
      <c r="E368" s="43" t="str">
        <f t="shared" si="1"/>
        <v>2026</v>
      </c>
      <c r="F368" s="43" t="str">
        <f t="shared" si="2"/>
        <v>01 Jan</v>
      </c>
      <c r="G368" s="126" t="s">
        <v>195</v>
      </c>
      <c r="H368" s="45" t="s">
        <v>166</v>
      </c>
      <c r="I368" s="45" t="s">
        <v>633</v>
      </c>
      <c r="J368" s="41" t="s">
        <v>28</v>
      </c>
      <c r="K368" s="43" t="str">
        <f t="array" ref="K368">IF(J368="","", XLOOKUP(J368,'⚙️ Pengaturan'!$E$2:$E3237,'⚙️ Pengaturan'!$G$2:$G3237))</f>
        <v>KLINIK FT TA</v>
      </c>
      <c r="L368" s="43" t="str">
        <f t="shared" si="3"/>
        <v>BARU</v>
      </c>
      <c r="M368" s="41" t="s">
        <v>31</v>
      </c>
      <c r="N368" s="46">
        <v>250000.0</v>
      </c>
      <c r="O368" s="65">
        <v>0.0</v>
      </c>
      <c r="P368" s="48">
        <f t="array" ref="P368">IFNA(XLOOKUP(J368,'⚙️ Pengaturan'!$E$2:$E3237,'⚙️ Pengaturan'!$F$2:$F3237),"")</f>
        <v>250000</v>
      </c>
      <c r="Q368" s="49">
        <f t="shared" si="5"/>
        <v>0</v>
      </c>
      <c r="R368" s="41" t="s">
        <v>32</v>
      </c>
      <c r="S368" s="69" t="s">
        <v>33</v>
      </c>
      <c r="T368" s="51" t="b">
        <v>1</v>
      </c>
      <c r="U368" s="94"/>
    </row>
    <row r="369" ht="30.0" customHeight="1">
      <c r="A369" s="39"/>
      <c r="B369" s="40">
        <v>2402.0</v>
      </c>
      <c r="C369" s="41" t="s">
        <v>79</v>
      </c>
      <c r="D369" s="86">
        <v>46044.0</v>
      </c>
      <c r="E369" s="43" t="str">
        <f t="shared" si="1"/>
        <v>2026</v>
      </c>
      <c r="F369" s="43" t="str">
        <f t="shared" si="2"/>
        <v>01 Jan</v>
      </c>
      <c r="G369" s="126" t="s">
        <v>25</v>
      </c>
      <c r="H369" s="45" t="s">
        <v>150</v>
      </c>
      <c r="I369" s="45" t="s">
        <v>619</v>
      </c>
      <c r="J369" s="41" t="s">
        <v>56</v>
      </c>
      <c r="K369" s="43" t="str">
        <f t="array" ref="K369">IF(J369="","", XLOOKUP(J369,'⚙️ Pengaturan'!$E$2:$E3237,'⚙️ Pengaturan'!$G$2:$G3237))</f>
        <v>KLINIK FT PAKET</v>
      </c>
      <c r="L369" s="43" t="str">
        <f t="shared" si="3"/>
        <v>BARU</v>
      </c>
      <c r="M369" s="41" t="s">
        <v>60</v>
      </c>
      <c r="N369" s="46">
        <v>200000.0</v>
      </c>
      <c r="O369" s="65">
        <v>0.0</v>
      </c>
      <c r="P369" s="48">
        <f t="array" ref="P369">IFNA(XLOOKUP(J369,'⚙️ Pengaturan'!$E$2:$E3237,'⚙️ Pengaturan'!$F$2:$F3237),"")</f>
        <v>650000</v>
      </c>
      <c r="Q369" s="49">
        <f t="shared" si="5"/>
        <v>-450000</v>
      </c>
      <c r="R369" s="41" t="s">
        <v>32</v>
      </c>
      <c r="S369" s="69" t="s">
        <v>33</v>
      </c>
      <c r="T369" s="51" t="b">
        <v>1</v>
      </c>
      <c r="U369" s="94"/>
    </row>
    <row r="370" ht="30.0" customHeight="1">
      <c r="A370" s="39"/>
      <c r="B370" s="40">
        <v>2403.0</v>
      </c>
      <c r="C370" s="41" t="s">
        <v>79</v>
      </c>
      <c r="D370" s="86">
        <v>46044.0</v>
      </c>
      <c r="E370" s="43" t="str">
        <f t="shared" si="1"/>
        <v>2026</v>
      </c>
      <c r="F370" s="43" t="str">
        <f t="shared" si="2"/>
        <v>01 Jan</v>
      </c>
      <c r="G370" s="126" t="s">
        <v>206</v>
      </c>
      <c r="H370" s="45" t="s">
        <v>162</v>
      </c>
      <c r="I370" s="45" t="s">
        <v>634</v>
      </c>
      <c r="J370" s="41" t="s">
        <v>28</v>
      </c>
      <c r="K370" s="43" t="str">
        <f t="array" ref="K370">IF(J370="","", XLOOKUP(J370,'⚙️ Pengaturan'!$E$2:$E3237,'⚙️ Pengaturan'!$G$2:$G3237))</f>
        <v>KLINIK FT TA</v>
      </c>
      <c r="L370" s="43" t="str">
        <f t="shared" si="3"/>
        <v>BARU</v>
      </c>
      <c r="M370" s="41" t="s">
        <v>31</v>
      </c>
      <c r="N370" s="46">
        <v>250000.0</v>
      </c>
      <c r="O370" s="65">
        <v>0.0</v>
      </c>
      <c r="P370" s="48">
        <f t="array" ref="P370">IFNA(XLOOKUP(J370,'⚙️ Pengaturan'!$E$2:$E3237,'⚙️ Pengaturan'!$F$2:$F3237),"")</f>
        <v>250000</v>
      </c>
      <c r="Q370" s="49">
        <f t="shared" si="5"/>
        <v>0</v>
      </c>
      <c r="R370" s="41" t="s">
        <v>32</v>
      </c>
      <c r="S370" s="69" t="s">
        <v>33</v>
      </c>
      <c r="T370" s="51" t="b">
        <v>1</v>
      </c>
      <c r="U370" s="94"/>
    </row>
    <row r="371" ht="30.0" customHeight="1">
      <c r="A371" s="39"/>
      <c r="B371" s="40">
        <v>2404.0</v>
      </c>
      <c r="C371" s="41" t="s">
        <v>79</v>
      </c>
      <c r="D371" s="86">
        <v>46044.0</v>
      </c>
      <c r="E371" s="43" t="str">
        <f t="shared" si="1"/>
        <v>2026</v>
      </c>
      <c r="F371" s="43" t="str">
        <f t="shared" si="2"/>
        <v>01 Jan</v>
      </c>
      <c r="G371" s="126" t="s">
        <v>161</v>
      </c>
      <c r="H371" s="45" t="s">
        <v>150</v>
      </c>
      <c r="I371" s="45" t="s">
        <v>603</v>
      </c>
      <c r="J371" s="41" t="s">
        <v>180</v>
      </c>
      <c r="K371" s="43" t="str">
        <f t="array" ref="K371">IF(J371="","", XLOOKUP(J371,'⚙️ Pengaturan'!$E$2:$E3237,'⚙️ Pengaturan'!$G$2:$G3237))</f>
        <v>KLINIK FT SESI</v>
      </c>
      <c r="L371" s="43" t="str">
        <f t="shared" si="3"/>
        <v>BARU</v>
      </c>
      <c r="M371" s="41" t="s">
        <v>31</v>
      </c>
      <c r="N371" s="46">
        <v>150000.0</v>
      </c>
      <c r="O371" s="65">
        <v>0.0</v>
      </c>
      <c r="P371" s="48">
        <f t="array" ref="P371">IFNA(XLOOKUP(J371,'⚙️ Pengaturan'!$E$2:$E3237,'⚙️ Pengaturan'!$F$2:$F3237),"")</f>
        <v>150000</v>
      </c>
      <c r="Q371" s="49">
        <f t="shared" si="5"/>
        <v>0</v>
      </c>
      <c r="R371" s="41" t="s">
        <v>32</v>
      </c>
      <c r="S371" s="69" t="s">
        <v>33</v>
      </c>
      <c r="T371" s="51" t="b">
        <v>1</v>
      </c>
      <c r="U371" s="94"/>
    </row>
    <row r="372" ht="30.0" customHeight="1">
      <c r="A372" s="39"/>
      <c r="B372" s="40">
        <v>2405.0</v>
      </c>
      <c r="C372" s="41" t="s">
        <v>79</v>
      </c>
      <c r="D372" s="86">
        <v>46044.0</v>
      </c>
      <c r="E372" s="43" t="str">
        <f t="shared" si="1"/>
        <v>2026</v>
      </c>
      <c r="F372" s="43" t="str">
        <f t="shared" si="2"/>
        <v>01 Jan</v>
      </c>
      <c r="G372" s="126" t="s">
        <v>206</v>
      </c>
      <c r="H372" s="45" t="s">
        <v>166</v>
      </c>
      <c r="I372" s="45" t="s">
        <v>635</v>
      </c>
      <c r="J372" s="41" t="s">
        <v>28</v>
      </c>
      <c r="K372" s="43" t="str">
        <f t="array" ref="K372">IF(J372="","", XLOOKUP(J372,'⚙️ Pengaturan'!$E$2:$E3237,'⚙️ Pengaturan'!$G$2:$G3237))</f>
        <v>KLINIK FT TA</v>
      </c>
      <c r="L372" s="43" t="str">
        <f t="shared" si="3"/>
        <v>BARU</v>
      </c>
      <c r="M372" s="41" t="s">
        <v>31</v>
      </c>
      <c r="N372" s="46">
        <v>250000.0</v>
      </c>
      <c r="O372" s="65">
        <v>0.0</v>
      </c>
      <c r="P372" s="48">
        <v>250000.0</v>
      </c>
      <c r="Q372" s="49">
        <f t="shared" si="5"/>
        <v>0</v>
      </c>
      <c r="R372" s="41" t="s">
        <v>32</v>
      </c>
      <c r="S372" s="69" t="s">
        <v>33</v>
      </c>
      <c r="T372" s="51" t="b">
        <v>1</v>
      </c>
      <c r="U372" s="94"/>
    </row>
    <row r="373" ht="30.0" customHeight="1">
      <c r="A373" s="39"/>
      <c r="B373" s="40">
        <v>2406.0</v>
      </c>
      <c r="C373" s="41" t="s">
        <v>50</v>
      </c>
      <c r="D373" s="86">
        <v>46044.0</v>
      </c>
      <c r="E373" s="43" t="str">
        <f t="shared" si="1"/>
        <v>2026</v>
      </c>
      <c r="F373" s="43" t="str">
        <f t="shared" si="2"/>
        <v>01 Jan</v>
      </c>
      <c r="G373" s="126" t="s">
        <v>40</v>
      </c>
      <c r="H373" s="45" t="s">
        <v>47</v>
      </c>
      <c r="I373" s="45" t="s">
        <v>636</v>
      </c>
      <c r="J373" s="41" t="s">
        <v>28</v>
      </c>
      <c r="K373" s="43" t="str">
        <f t="array" ref="K373">IF(J373="","", XLOOKUP(J373,'⚙️ Pengaturan'!$E$2:$E3237,'⚙️ Pengaturan'!$G$2:$G3237))</f>
        <v>KLINIK FT TA</v>
      </c>
      <c r="L373" s="43" t="str">
        <f t="shared" si="3"/>
        <v>BARU</v>
      </c>
      <c r="M373" s="41" t="s">
        <v>31</v>
      </c>
      <c r="N373" s="46">
        <v>250000.0</v>
      </c>
      <c r="O373" s="65">
        <v>0.0</v>
      </c>
      <c r="P373" s="48">
        <f t="array" ref="P373">IFNA(XLOOKUP(J373,'⚙️ Pengaturan'!$E$2:$E3237,'⚙️ Pengaturan'!$F$2:$F3237),"")</f>
        <v>250000</v>
      </c>
      <c r="Q373" s="49">
        <f t="shared" si="5"/>
        <v>0</v>
      </c>
      <c r="R373" s="41" t="s">
        <v>93</v>
      </c>
      <c r="S373" s="69" t="s">
        <v>636</v>
      </c>
      <c r="T373" s="51" t="b">
        <v>1</v>
      </c>
      <c r="U373" s="94"/>
    </row>
    <row r="374" ht="30.0" customHeight="1">
      <c r="A374" s="39"/>
      <c r="B374" s="40">
        <v>2407.0</v>
      </c>
      <c r="C374" s="41" t="s">
        <v>50</v>
      </c>
      <c r="D374" s="86">
        <v>46044.0</v>
      </c>
      <c r="E374" s="43" t="str">
        <f t="shared" si="1"/>
        <v>2026</v>
      </c>
      <c r="F374" s="43" t="str">
        <f t="shared" si="2"/>
        <v>01 Jan</v>
      </c>
      <c r="G374" s="126" t="s">
        <v>43</v>
      </c>
      <c r="H374" s="45" t="s">
        <v>96</v>
      </c>
      <c r="I374" s="45" t="s">
        <v>637</v>
      </c>
      <c r="J374" s="41" t="s">
        <v>28</v>
      </c>
      <c r="K374" s="43" t="str">
        <f t="array" ref="K374">IF(J374="","", XLOOKUP(J374,'⚙️ Pengaturan'!$E$2:$E3237,'⚙️ Pengaturan'!$G$2:$G3237))</f>
        <v>KLINIK FT TA</v>
      </c>
      <c r="L374" s="43" t="str">
        <f t="shared" si="3"/>
        <v>BARU</v>
      </c>
      <c r="M374" s="41" t="s">
        <v>31</v>
      </c>
      <c r="N374" s="46">
        <v>250000.0</v>
      </c>
      <c r="O374" s="65">
        <v>0.0</v>
      </c>
      <c r="P374" s="48">
        <f t="array" ref="P374">IFNA(XLOOKUP(J374,'⚙️ Pengaturan'!$E$2:$E3237,'⚙️ Pengaturan'!$F$2:$F3237),"")</f>
        <v>250000</v>
      </c>
      <c r="Q374" s="49">
        <f t="shared" si="5"/>
        <v>0</v>
      </c>
      <c r="R374" s="41" t="s">
        <v>32</v>
      </c>
      <c r="S374" s="69" t="s">
        <v>33</v>
      </c>
      <c r="T374" s="51" t="b">
        <v>1</v>
      </c>
      <c r="U374" s="94"/>
    </row>
    <row r="375" ht="30.0" customHeight="1">
      <c r="A375" s="39"/>
      <c r="B375" s="40">
        <v>2408.0</v>
      </c>
      <c r="C375" s="41" t="s">
        <v>50</v>
      </c>
      <c r="D375" s="86">
        <v>46044.0</v>
      </c>
      <c r="E375" s="43" t="str">
        <f t="shared" si="1"/>
        <v>2026</v>
      </c>
      <c r="F375" s="43" t="str">
        <f t="shared" si="2"/>
        <v>01 Jan</v>
      </c>
      <c r="G375" s="126" t="s">
        <v>43</v>
      </c>
      <c r="H375" s="45" t="s">
        <v>149</v>
      </c>
      <c r="I375" s="45" t="s">
        <v>327</v>
      </c>
      <c r="J375" s="41" t="s">
        <v>180</v>
      </c>
      <c r="K375" s="43" t="str">
        <f t="array" ref="K375">IF(J375="","", XLOOKUP(J375,'⚙️ Pengaturan'!$E$2:$E3237,'⚙️ Pengaturan'!$G$2:$G3237))</f>
        <v>KLINIK FT SESI</v>
      </c>
      <c r="L375" s="43" t="str">
        <f t="shared" si="3"/>
        <v>BARU</v>
      </c>
      <c r="M375" s="41" t="s">
        <v>31</v>
      </c>
      <c r="N375" s="46">
        <v>150000.0</v>
      </c>
      <c r="O375" s="65">
        <v>0.0</v>
      </c>
      <c r="P375" s="48">
        <f t="array" ref="P375">IFNA(XLOOKUP(J375,'⚙️ Pengaturan'!$E$2:$E3237,'⚙️ Pengaturan'!$F$2:$F3237),"")</f>
        <v>150000</v>
      </c>
      <c r="Q375" s="49">
        <f t="shared" si="5"/>
        <v>0</v>
      </c>
      <c r="R375" s="41" t="s">
        <v>118</v>
      </c>
      <c r="S375" s="69" t="s">
        <v>327</v>
      </c>
      <c r="T375" s="51" t="b">
        <v>1</v>
      </c>
      <c r="U375" s="94"/>
    </row>
    <row r="376" ht="30.0" customHeight="1">
      <c r="A376" s="39"/>
      <c r="B376" s="40">
        <v>2409.0</v>
      </c>
      <c r="C376" s="41" t="s">
        <v>50</v>
      </c>
      <c r="D376" s="86">
        <v>46044.0</v>
      </c>
      <c r="E376" s="43" t="str">
        <f t="shared" si="1"/>
        <v>2026</v>
      </c>
      <c r="F376" s="43" t="str">
        <f t="shared" si="2"/>
        <v>01 Jan</v>
      </c>
      <c r="G376" s="126" t="s">
        <v>173</v>
      </c>
      <c r="H376" s="45" t="s">
        <v>149</v>
      </c>
      <c r="I376" s="45" t="s">
        <v>638</v>
      </c>
      <c r="J376" s="41" t="s">
        <v>28</v>
      </c>
      <c r="K376" s="43" t="str">
        <f t="array" ref="K376">IF(J376="","", XLOOKUP(J376,'⚙️ Pengaturan'!$E$2:$E3237,'⚙️ Pengaturan'!$G$2:$G3237))</f>
        <v>KLINIK FT TA</v>
      </c>
      <c r="L376" s="43" t="str">
        <f t="shared" si="3"/>
        <v>BARU</v>
      </c>
      <c r="M376" s="41" t="s">
        <v>31</v>
      </c>
      <c r="N376" s="46">
        <v>250000.0</v>
      </c>
      <c r="O376" s="65">
        <v>0.0</v>
      </c>
      <c r="P376" s="48">
        <f t="array" ref="P376">IFNA(XLOOKUP(J376,'⚙️ Pengaturan'!$E$2:$E3237,'⚙️ Pengaturan'!$F$2:$F3237),"")</f>
        <v>250000</v>
      </c>
      <c r="Q376" s="49">
        <f t="shared" si="5"/>
        <v>0</v>
      </c>
      <c r="R376" s="41" t="s">
        <v>93</v>
      </c>
      <c r="S376" s="69" t="s">
        <v>638</v>
      </c>
      <c r="T376" s="51" t="b">
        <v>1</v>
      </c>
      <c r="U376" s="94"/>
    </row>
    <row r="377" ht="30.0" customHeight="1">
      <c r="A377" s="39"/>
      <c r="B377" s="40">
        <v>2410.0</v>
      </c>
      <c r="C377" s="41" t="s">
        <v>50</v>
      </c>
      <c r="D377" s="86">
        <v>46044.0</v>
      </c>
      <c r="E377" s="43" t="str">
        <f t="shared" si="1"/>
        <v>2026</v>
      </c>
      <c r="F377" s="43" t="str">
        <f t="shared" si="2"/>
        <v>01 Jan</v>
      </c>
      <c r="G377" s="126" t="s">
        <v>155</v>
      </c>
      <c r="H377" s="45" t="s">
        <v>96</v>
      </c>
      <c r="I377" s="45" t="s">
        <v>288</v>
      </c>
      <c r="J377" s="41" t="s">
        <v>56</v>
      </c>
      <c r="K377" s="43" t="str">
        <f t="array" ref="K377">IF(J377="","", XLOOKUP(J377,'⚙️ Pengaturan'!$E$2:$E3237,'⚙️ Pengaturan'!$G$2:$G3237))</f>
        <v>KLINIK FT PAKET</v>
      </c>
      <c r="L377" s="43" t="str">
        <f t="shared" si="3"/>
        <v>LANJUTAN</v>
      </c>
      <c r="M377" s="41" t="s">
        <v>31</v>
      </c>
      <c r="N377" s="46">
        <v>650000.0</v>
      </c>
      <c r="O377" s="65">
        <v>0.0</v>
      </c>
      <c r="P377" s="48">
        <f t="array" ref="P377">IFNA(XLOOKUP(J377,'⚙️ Pengaturan'!$E$2:$E3237,'⚙️ Pengaturan'!$F$2:$F3237),"")</f>
        <v>650000</v>
      </c>
      <c r="Q377" s="49">
        <f t="shared" si="5"/>
        <v>0</v>
      </c>
      <c r="R377" s="41" t="s">
        <v>37</v>
      </c>
      <c r="S377" s="69" t="s">
        <v>639</v>
      </c>
      <c r="T377" s="51" t="b">
        <v>1</v>
      </c>
      <c r="U377" s="94"/>
    </row>
    <row r="378" ht="30.0" customHeight="1">
      <c r="A378" s="39"/>
      <c r="B378" s="40">
        <v>2411.0</v>
      </c>
      <c r="C378" s="41" t="s">
        <v>50</v>
      </c>
      <c r="D378" s="86">
        <v>46044.0</v>
      </c>
      <c r="E378" s="43" t="str">
        <f t="shared" si="1"/>
        <v>2026</v>
      </c>
      <c r="F378" s="43" t="str">
        <f t="shared" si="2"/>
        <v>01 Jan</v>
      </c>
      <c r="G378" s="126" t="s">
        <v>190</v>
      </c>
      <c r="H378" s="45" t="s">
        <v>96</v>
      </c>
      <c r="I378" s="45" t="s">
        <v>497</v>
      </c>
      <c r="J378" s="41" t="s">
        <v>180</v>
      </c>
      <c r="K378" s="43" t="str">
        <f t="array" ref="K378">IF(J378="","", XLOOKUP(J378,'⚙️ Pengaturan'!$E$2:$E3237,'⚙️ Pengaturan'!$G$2:$G3237))</f>
        <v>KLINIK FT SESI</v>
      </c>
      <c r="L378" s="43" t="str">
        <f t="shared" si="3"/>
        <v>LANJUTAN</v>
      </c>
      <c r="M378" s="41" t="s">
        <v>31</v>
      </c>
      <c r="N378" s="46">
        <v>150000.0</v>
      </c>
      <c r="O378" s="65">
        <v>0.0</v>
      </c>
      <c r="P378" s="48">
        <f t="array" ref="P378">IFNA(XLOOKUP(J378,'⚙️ Pengaturan'!$E$2:$E3237,'⚙️ Pengaturan'!$F$2:$F3237),"")</f>
        <v>150000</v>
      </c>
      <c r="Q378" s="49">
        <f t="shared" si="5"/>
        <v>0</v>
      </c>
      <c r="R378" s="41" t="s">
        <v>32</v>
      </c>
      <c r="S378" s="69" t="s">
        <v>33</v>
      </c>
      <c r="T378" s="51" t="b">
        <v>1</v>
      </c>
      <c r="U378" s="94"/>
    </row>
    <row r="379" ht="30.0" customHeight="1">
      <c r="A379" s="39"/>
      <c r="B379" s="40">
        <v>2412.0</v>
      </c>
      <c r="C379" s="41" t="s">
        <v>69</v>
      </c>
      <c r="D379" s="86">
        <v>46045.0</v>
      </c>
      <c r="E379" s="43" t="str">
        <f t="shared" si="1"/>
        <v>2026</v>
      </c>
      <c r="F379" s="43" t="str">
        <f t="shared" si="2"/>
        <v>01 Jan</v>
      </c>
      <c r="G379" s="126" t="s">
        <v>40</v>
      </c>
      <c r="H379" s="45" t="s">
        <v>156</v>
      </c>
      <c r="I379" s="45" t="s">
        <v>640</v>
      </c>
      <c r="J379" s="41" t="s">
        <v>28</v>
      </c>
      <c r="K379" s="43" t="str">
        <f t="array" ref="K379">IF(J379="","", XLOOKUP(J379,'⚙️ Pengaturan'!$E$2:$E3237,'⚙️ Pengaturan'!$G$2:$G3237))</f>
        <v>KLINIK FT TA</v>
      </c>
      <c r="L379" s="43" t="str">
        <f t="shared" si="3"/>
        <v>BARU</v>
      </c>
      <c r="M379" s="41" t="s">
        <v>31</v>
      </c>
      <c r="N379" s="46">
        <v>250000.0</v>
      </c>
      <c r="O379" s="65">
        <v>0.0</v>
      </c>
      <c r="P379" s="48">
        <f t="array" ref="P379">IFNA(XLOOKUP(J379,'⚙️ Pengaturan'!$E$2:$E3237,'⚙️ Pengaturan'!$F$2:$F3237),"")</f>
        <v>250000</v>
      </c>
      <c r="Q379" s="49">
        <f t="shared" si="5"/>
        <v>0</v>
      </c>
      <c r="R379" s="41" t="s">
        <v>32</v>
      </c>
      <c r="S379" s="69" t="s">
        <v>33</v>
      </c>
      <c r="T379" s="51" t="b">
        <v>1</v>
      </c>
      <c r="U379" s="94"/>
    </row>
    <row r="380" ht="30.0" customHeight="1">
      <c r="A380" s="39"/>
      <c r="B380" s="40">
        <v>2413.0</v>
      </c>
      <c r="C380" s="41" t="s">
        <v>69</v>
      </c>
      <c r="D380" s="86">
        <v>46045.0</v>
      </c>
      <c r="E380" s="43" t="str">
        <f t="shared" si="1"/>
        <v>2026</v>
      </c>
      <c r="F380" s="43" t="str">
        <f t="shared" si="2"/>
        <v>01 Jan</v>
      </c>
      <c r="G380" s="126" t="s">
        <v>43</v>
      </c>
      <c r="H380" s="45" t="s">
        <v>26</v>
      </c>
      <c r="I380" s="45" t="s">
        <v>627</v>
      </c>
      <c r="J380" s="41" t="s">
        <v>180</v>
      </c>
      <c r="K380" s="43" t="str">
        <f t="array" ref="K380">IF(J380="","", XLOOKUP(J380,'⚙️ Pengaturan'!$E$2:$E3237,'⚙️ Pengaturan'!$G$2:$G3237))</f>
        <v>KLINIK FT SESI</v>
      </c>
      <c r="L380" s="43" t="str">
        <f t="shared" si="3"/>
        <v>BARU</v>
      </c>
      <c r="M380" s="41" t="s">
        <v>31</v>
      </c>
      <c r="N380" s="46">
        <v>150000.0</v>
      </c>
      <c r="O380" s="65">
        <v>0.0</v>
      </c>
      <c r="P380" s="48">
        <f t="array" ref="P380">IFNA(XLOOKUP(J380,'⚙️ Pengaturan'!$E$2:$E3237,'⚙️ Pengaturan'!$F$2:$F3237),"")</f>
        <v>150000</v>
      </c>
      <c r="Q380" s="49">
        <f t="shared" si="5"/>
        <v>0</v>
      </c>
      <c r="R380" s="41" t="s">
        <v>118</v>
      </c>
      <c r="S380" s="69" t="s">
        <v>627</v>
      </c>
      <c r="T380" s="51" t="b">
        <v>1</v>
      </c>
      <c r="U380" s="94"/>
    </row>
    <row r="381" ht="30.0" customHeight="1">
      <c r="A381" s="39"/>
      <c r="B381" s="40">
        <v>2414.0</v>
      </c>
      <c r="C381" s="41" t="s">
        <v>69</v>
      </c>
      <c r="D381" s="86">
        <v>46045.0</v>
      </c>
      <c r="E381" s="43" t="str">
        <f t="shared" si="1"/>
        <v>2026</v>
      </c>
      <c r="F381" s="43" t="str">
        <f t="shared" si="2"/>
        <v>01 Jan</v>
      </c>
      <c r="G381" s="126" t="s">
        <v>173</v>
      </c>
      <c r="H381" s="45" t="s">
        <v>156</v>
      </c>
      <c r="I381" s="45" t="s">
        <v>625</v>
      </c>
      <c r="J381" s="41" t="s">
        <v>56</v>
      </c>
      <c r="K381" s="43" t="str">
        <f t="array" ref="K381">IF(J381="","", XLOOKUP(J381,'⚙️ Pengaturan'!$E$2:$E3237,'⚙️ Pengaturan'!$G$2:$G3237))</f>
        <v>KLINIK FT PAKET</v>
      </c>
      <c r="L381" s="43" t="str">
        <f t="shared" si="3"/>
        <v>BARU</v>
      </c>
      <c r="M381" s="41" t="s">
        <v>31</v>
      </c>
      <c r="N381" s="46">
        <v>650000.0</v>
      </c>
      <c r="O381" s="65">
        <v>0.0</v>
      </c>
      <c r="P381" s="48">
        <f t="array" ref="P381">IFNA(XLOOKUP(J381,'⚙️ Pengaturan'!$E$2:$E3237,'⚙️ Pengaturan'!$F$2:$F3237),"")</f>
        <v>650000</v>
      </c>
      <c r="Q381" s="49">
        <f t="shared" si="5"/>
        <v>0</v>
      </c>
      <c r="R381" s="41" t="s">
        <v>37</v>
      </c>
      <c r="S381" s="69" t="s">
        <v>641</v>
      </c>
      <c r="T381" s="51" t="b">
        <v>1</v>
      </c>
      <c r="U381" s="94"/>
    </row>
    <row r="382" ht="30.0" customHeight="1">
      <c r="A382" s="39"/>
      <c r="B382" s="40">
        <v>2415.0</v>
      </c>
      <c r="C382" s="41" t="s">
        <v>69</v>
      </c>
      <c r="D382" s="86">
        <v>46045.0</v>
      </c>
      <c r="E382" s="43" t="str">
        <f t="shared" si="1"/>
        <v>2026</v>
      </c>
      <c r="F382" s="43" t="str">
        <f t="shared" si="2"/>
        <v>01 Jan</v>
      </c>
      <c r="G382" s="126" t="s">
        <v>155</v>
      </c>
      <c r="H382" s="45" t="s">
        <v>156</v>
      </c>
      <c r="I382" s="45" t="s">
        <v>642</v>
      </c>
      <c r="J382" s="41" t="s">
        <v>28</v>
      </c>
      <c r="K382" s="43" t="str">
        <f t="array" ref="K382">IF(J382="","", XLOOKUP(J382,'⚙️ Pengaturan'!$E$2:$E3237,'⚙️ Pengaturan'!$G$2:$G3237))</f>
        <v>KLINIK FT TA</v>
      </c>
      <c r="L382" s="43" t="str">
        <f t="shared" si="3"/>
        <v>BARU</v>
      </c>
      <c r="M382" s="41" t="s">
        <v>31</v>
      </c>
      <c r="N382" s="46">
        <v>250000.0</v>
      </c>
      <c r="O382" s="65">
        <v>0.0</v>
      </c>
      <c r="P382" s="48">
        <f t="array" ref="P382">IFNA(XLOOKUP(J382,'⚙️ Pengaturan'!$E$2:$E3237,'⚙️ Pengaturan'!$F$2:$F3237),"")</f>
        <v>250000</v>
      </c>
      <c r="Q382" s="49">
        <f t="shared" si="5"/>
        <v>0</v>
      </c>
      <c r="R382" s="41" t="s">
        <v>118</v>
      </c>
      <c r="S382" s="69" t="s">
        <v>642</v>
      </c>
      <c r="T382" s="51" t="b">
        <v>1</v>
      </c>
      <c r="U382" s="94"/>
    </row>
    <row r="383" ht="30.0" customHeight="1">
      <c r="A383" s="39"/>
      <c r="B383" s="40">
        <v>2416.0</v>
      </c>
      <c r="C383" s="41" t="s">
        <v>79</v>
      </c>
      <c r="D383" s="86">
        <v>46046.0</v>
      </c>
      <c r="E383" s="43" t="str">
        <f t="shared" si="1"/>
        <v>2026</v>
      </c>
      <c r="F383" s="43" t="str">
        <f t="shared" si="2"/>
        <v>01 Jan</v>
      </c>
      <c r="G383" s="126" t="s">
        <v>25</v>
      </c>
      <c r="H383" s="45" t="s">
        <v>26</v>
      </c>
      <c r="I383" s="45" t="s">
        <v>643</v>
      </c>
      <c r="J383" s="41" t="s">
        <v>28</v>
      </c>
      <c r="K383" s="43" t="str">
        <f t="array" ref="K383">IF(J383="","", XLOOKUP(J383,'⚙️ Pengaturan'!$E$2:$E3237,'⚙️ Pengaturan'!$G$2:$G3237))</f>
        <v>KLINIK FT TA</v>
      </c>
      <c r="L383" s="43" t="str">
        <f t="shared" si="3"/>
        <v>BARU</v>
      </c>
      <c r="M383" s="41" t="s">
        <v>31</v>
      </c>
      <c r="N383" s="46">
        <v>250000.0</v>
      </c>
      <c r="O383" s="65">
        <v>0.0</v>
      </c>
      <c r="P383" s="48">
        <f t="array" ref="P383">IFNA(XLOOKUP(J383,'⚙️ Pengaturan'!$E$2:$E3237,'⚙️ Pengaturan'!$F$2:$F3237),"")</f>
        <v>250000</v>
      </c>
      <c r="Q383" s="49">
        <f t="shared" si="5"/>
        <v>0</v>
      </c>
      <c r="R383" s="41" t="s">
        <v>32</v>
      </c>
      <c r="S383" s="69" t="s">
        <v>33</v>
      </c>
      <c r="T383" s="51" t="b">
        <v>1</v>
      </c>
      <c r="U383" s="94"/>
    </row>
    <row r="384" ht="30.0" customHeight="1">
      <c r="A384" s="39"/>
      <c r="B384" s="40">
        <v>2417.0</v>
      </c>
      <c r="C384" s="41" t="s">
        <v>79</v>
      </c>
      <c r="D384" s="86">
        <v>46046.0</v>
      </c>
      <c r="E384" s="43" t="str">
        <f t="shared" si="1"/>
        <v>2026</v>
      </c>
      <c r="F384" s="43" t="str">
        <f t="shared" si="2"/>
        <v>01 Jan</v>
      </c>
      <c r="G384" s="126" t="s">
        <v>25</v>
      </c>
      <c r="H384" s="45" t="s">
        <v>166</v>
      </c>
      <c r="I384" s="45" t="s">
        <v>600</v>
      </c>
      <c r="J384" s="41" t="s">
        <v>56</v>
      </c>
      <c r="K384" s="43" t="str">
        <f t="array" ref="K384">IF(J384="","", XLOOKUP(J384,'⚙️ Pengaturan'!$E$2:$E3237,'⚙️ Pengaturan'!$G$2:$G3237))</f>
        <v>KLINIK FT PAKET</v>
      </c>
      <c r="L384" s="43" t="str">
        <f t="shared" si="3"/>
        <v>LANJUTAN</v>
      </c>
      <c r="M384" s="41" t="s">
        <v>164</v>
      </c>
      <c r="N384" s="46">
        <v>450000.0</v>
      </c>
      <c r="O384" s="65">
        <v>200000.0</v>
      </c>
      <c r="P384" s="48">
        <f t="array" ref="P384">IFNA(XLOOKUP(J384,'⚙️ Pengaturan'!$E$2:$E3237,'⚙️ Pengaturan'!$F$2:$F3237),"")</f>
        <v>650000</v>
      </c>
      <c r="Q384" s="49">
        <f t="shared" si="5"/>
        <v>0</v>
      </c>
      <c r="R384" s="41" t="s">
        <v>32</v>
      </c>
      <c r="S384" s="69" t="s">
        <v>33</v>
      </c>
      <c r="T384" s="51" t="b">
        <v>1</v>
      </c>
      <c r="U384" s="94"/>
    </row>
    <row r="385" ht="30.0" customHeight="1">
      <c r="A385" s="39"/>
      <c r="B385" s="40">
        <v>2418.0</v>
      </c>
      <c r="C385" s="41" t="s">
        <v>79</v>
      </c>
      <c r="D385" s="86">
        <v>46046.0</v>
      </c>
      <c r="E385" s="43" t="str">
        <f t="shared" si="1"/>
        <v>2026</v>
      </c>
      <c r="F385" s="43" t="str">
        <f t="shared" si="2"/>
        <v>01 Jan</v>
      </c>
      <c r="G385" s="126" t="s">
        <v>206</v>
      </c>
      <c r="H385" s="45" t="s">
        <v>166</v>
      </c>
      <c r="I385" s="45" t="s">
        <v>644</v>
      </c>
      <c r="J385" s="134" t="s">
        <v>28</v>
      </c>
      <c r="K385" s="43" t="str">
        <f t="array" ref="K385">IF(J385="","", XLOOKUP(J385,'⚙️ Pengaturan'!$E$2:$E3237,'⚙️ Pengaturan'!$G$2:$G3237))</f>
        <v>KLINIK FT TA</v>
      </c>
      <c r="L385" s="43" t="str">
        <f t="shared" si="3"/>
        <v>BARU</v>
      </c>
      <c r="M385" s="135" t="s">
        <v>31</v>
      </c>
      <c r="N385" s="136">
        <v>250000.0</v>
      </c>
      <c r="O385" s="137">
        <v>0.0</v>
      </c>
      <c r="P385" s="48">
        <f t="array" ref="P385">IFNA(XLOOKUP(J385,'⚙️ Pengaturan'!$E$2:$E3237,'⚙️ Pengaturan'!$F$2:$F3237),"")</f>
        <v>250000</v>
      </c>
      <c r="Q385" s="49">
        <f t="shared" si="5"/>
        <v>0</v>
      </c>
      <c r="R385" s="41" t="s">
        <v>37</v>
      </c>
      <c r="S385" s="69" t="s">
        <v>644</v>
      </c>
      <c r="T385" s="51" t="b">
        <v>1</v>
      </c>
      <c r="U385" s="94"/>
    </row>
    <row r="386" ht="30.0" customHeight="1">
      <c r="A386" s="39"/>
      <c r="B386" s="40">
        <v>2419.0</v>
      </c>
      <c r="C386" s="41" t="s">
        <v>79</v>
      </c>
      <c r="D386" s="86">
        <v>46046.0</v>
      </c>
      <c r="E386" s="43" t="str">
        <f t="shared" si="1"/>
        <v>2026</v>
      </c>
      <c r="F386" s="43" t="str">
        <f t="shared" si="2"/>
        <v>01 Jan</v>
      </c>
      <c r="G386" s="126" t="s">
        <v>206</v>
      </c>
      <c r="H386" s="45" t="s">
        <v>162</v>
      </c>
      <c r="I386" s="45" t="s">
        <v>645</v>
      </c>
      <c r="J386" s="79" t="s">
        <v>28</v>
      </c>
      <c r="K386" s="43" t="str">
        <f t="array" ref="K386">IF(J386="","", XLOOKUP(J386,'⚙️ Pengaturan'!$E$2:$E3237,'⚙️ Pengaturan'!$G$2:$G3237))</f>
        <v>KLINIK FT TA</v>
      </c>
      <c r="L386" s="43" t="str">
        <f t="shared" si="3"/>
        <v>BARU</v>
      </c>
      <c r="M386" s="79" t="s">
        <v>31</v>
      </c>
      <c r="N386" s="83">
        <v>250000.0</v>
      </c>
      <c r="O386" s="84">
        <v>0.0</v>
      </c>
      <c r="P386" s="48">
        <f t="array" ref="P386">IFNA(XLOOKUP(J386,'⚙️ Pengaturan'!$E$2:$E3237,'⚙️ Pengaturan'!$F$2:$F3237),"")</f>
        <v>250000</v>
      </c>
      <c r="Q386" s="49">
        <f t="shared" si="5"/>
        <v>0</v>
      </c>
      <c r="R386" s="41" t="s">
        <v>32</v>
      </c>
      <c r="S386" s="69" t="s">
        <v>33</v>
      </c>
      <c r="T386" s="51" t="b">
        <v>1</v>
      </c>
      <c r="U386" s="94"/>
    </row>
    <row r="387" ht="30.0" customHeight="1">
      <c r="A387" s="39"/>
      <c r="B387" s="40">
        <v>2420.0</v>
      </c>
      <c r="C387" s="41" t="s">
        <v>79</v>
      </c>
      <c r="D387" s="86">
        <v>46046.0</v>
      </c>
      <c r="E387" s="43" t="str">
        <f t="shared" si="1"/>
        <v>2026</v>
      </c>
      <c r="F387" s="43" t="str">
        <f t="shared" si="2"/>
        <v>01 Jan</v>
      </c>
      <c r="G387" s="126" t="s">
        <v>25</v>
      </c>
      <c r="H387" s="45" t="s">
        <v>166</v>
      </c>
      <c r="I387" s="45" t="s">
        <v>619</v>
      </c>
      <c r="J387" s="41" t="s">
        <v>56</v>
      </c>
      <c r="K387" s="43" t="str">
        <f t="array" ref="K387">IF(J387="","", XLOOKUP(J387,'⚙️ Pengaturan'!$E$2:$E3237,'⚙️ Pengaturan'!$G$2:$G3237))</f>
        <v>KLINIK FT PAKET</v>
      </c>
      <c r="L387" s="43" t="str">
        <f t="shared" si="3"/>
        <v>LANJUTAN</v>
      </c>
      <c r="M387" s="41" t="s">
        <v>81</v>
      </c>
      <c r="N387" s="46">
        <v>100000.0</v>
      </c>
      <c r="O387" s="65">
        <v>200000.0</v>
      </c>
      <c r="P387" s="48">
        <f t="array" ref="P387">IFNA(XLOOKUP(J387,'⚙️ Pengaturan'!$E$2:$E3237,'⚙️ Pengaturan'!$F$2:$F3237),"")</f>
        <v>650000</v>
      </c>
      <c r="Q387" s="49">
        <f t="shared" si="5"/>
        <v>-350000</v>
      </c>
      <c r="R387" s="41" t="s">
        <v>32</v>
      </c>
      <c r="S387" s="69" t="s">
        <v>33</v>
      </c>
      <c r="T387" s="51" t="b">
        <v>1</v>
      </c>
      <c r="U387" s="94"/>
    </row>
    <row r="388" ht="30.0" customHeight="1">
      <c r="A388" s="39"/>
      <c r="B388" s="40">
        <v>2421.0</v>
      </c>
      <c r="C388" s="41" t="s">
        <v>79</v>
      </c>
      <c r="D388" s="86">
        <v>46046.0</v>
      </c>
      <c r="E388" s="43" t="str">
        <f t="shared" si="1"/>
        <v>2026</v>
      </c>
      <c r="F388" s="43" t="str">
        <f t="shared" si="2"/>
        <v>01 Jan</v>
      </c>
      <c r="G388" s="126" t="s">
        <v>206</v>
      </c>
      <c r="H388" s="45" t="s">
        <v>162</v>
      </c>
      <c r="I388" s="45" t="s">
        <v>179</v>
      </c>
      <c r="J388" s="41" t="s">
        <v>180</v>
      </c>
      <c r="K388" s="43" t="str">
        <f t="array" ref="K388">IF(J388="","", XLOOKUP(J388,'⚙️ Pengaturan'!$E$2:$E3237,'⚙️ Pengaturan'!$G$2:$G3237))</f>
        <v>KLINIK FT SESI</v>
      </c>
      <c r="L388" s="43" t="str">
        <f t="shared" si="3"/>
        <v>LANJUTAN</v>
      </c>
      <c r="M388" s="41" t="s">
        <v>31</v>
      </c>
      <c r="N388" s="46">
        <v>150000.0</v>
      </c>
      <c r="O388" s="65">
        <v>0.0</v>
      </c>
      <c r="P388" s="48">
        <f t="array" ref="P388">IFNA(XLOOKUP(J388,'⚙️ Pengaturan'!$E$2:$E3237,'⚙️ Pengaturan'!$F$2:$F3237),"")</f>
        <v>150000</v>
      </c>
      <c r="Q388" s="49">
        <f t="shared" si="5"/>
        <v>0</v>
      </c>
      <c r="R388" s="41" t="s">
        <v>32</v>
      </c>
      <c r="S388" s="69" t="s">
        <v>33</v>
      </c>
      <c r="T388" s="51" t="b">
        <v>1</v>
      </c>
      <c r="U388" s="94"/>
    </row>
    <row r="389" ht="30.0" customHeight="1">
      <c r="A389" s="39"/>
      <c r="B389" s="40">
        <v>2422.0</v>
      </c>
      <c r="C389" s="41" t="s">
        <v>50</v>
      </c>
      <c r="D389" s="86">
        <v>46046.0</v>
      </c>
      <c r="E389" s="43" t="str">
        <f t="shared" si="1"/>
        <v>2026</v>
      </c>
      <c r="F389" s="43" t="str">
        <f t="shared" si="2"/>
        <v>01 Jan</v>
      </c>
      <c r="G389" s="126" t="s">
        <v>40</v>
      </c>
      <c r="H389" s="45" t="s">
        <v>47</v>
      </c>
      <c r="I389" s="45" t="s">
        <v>646</v>
      </c>
      <c r="J389" s="41" t="s">
        <v>56</v>
      </c>
      <c r="K389" s="43" t="str">
        <f t="array" ref="K389">IF(J389="","", XLOOKUP(J389,'⚙️ Pengaturan'!$E$2:$E3237,'⚙️ Pengaturan'!$G$2:$G3237))</f>
        <v>KLINIK FT PAKET</v>
      </c>
      <c r="L389" s="43" t="str">
        <f t="shared" si="3"/>
        <v>BARU</v>
      </c>
      <c r="M389" s="41" t="s">
        <v>60</v>
      </c>
      <c r="N389" s="46">
        <v>200000.0</v>
      </c>
      <c r="O389" s="65">
        <v>0.0</v>
      </c>
      <c r="P389" s="48">
        <f t="array" ref="P389">IFNA(XLOOKUP(J389,'⚙️ Pengaturan'!$E$2:$E3237,'⚙️ Pengaturan'!$F$2:$F3237),"")</f>
        <v>650000</v>
      </c>
      <c r="Q389" s="49">
        <f t="shared" si="5"/>
        <v>-450000</v>
      </c>
      <c r="R389" s="41" t="s">
        <v>32</v>
      </c>
      <c r="S389" s="69" t="s">
        <v>33</v>
      </c>
      <c r="T389" s="51" t="b">
        <v>1</v>
      </c>
      <c r="U389" s="94"/>
    </row>
    <row r="390" ht="30.0" customHeight="1">
      <c r="A390" s="39"/>
      <c r="B390" s="40">
        <v>2423.0</v>
      </c>
      <c r="C390" s="41" t="s">
        <v>50</v>
      </c>
      <c r="D390" s="86">
        <v>46046.0</v>
      </c>
      <c r="E390" s="43" t="str">
        <f t="shared" si="1"/>
        <v>2026</v>
      </c>
      <c r="F390" s="43" t="str">
        <f t="shared" si="2"/>
        <v>01 Jan</v>
      </c>
      <c r="G390" s="126" t="s">
        <v>40</v>
      </c>
      <c r="H390" s="45" t="s">
        <v>149</v>
      </c>
      <c r="I390" s="45" t="s">
        <v>327</v>
      </c>
      <c r="J390" s="41" t="s">
        <v>180</v>
      </c>
      <c r="K390" s="43" t="str">
        <f t="array" ref="K390">IF(J390="","", XLOOKUP(J390,'⚙️ Pengaturan'!$E$2:$E3237,'⚙️ Pengaturan'!$G$2:$G3237))</f>
        <v>KLINIK FT SESI</v>
      </c>
      <c r="L390" s="43" t="str">
        <f t="shared" si="3"/>
        <v>LANJUTAN</v>
      </c>
      <c r="M390" s="41" t="s">
        <v>31</v>
      </c>
      <c r="N390" s="46">
        <v>150000.0</v>
      </c>
      <c r="O390" s="65">
        <v>0.0</v>
      </c>
      <c r="P390" s="48">
        <f t="array" ref="P390">IFNA(XLOOKUP(J390,'⚙️ Pengaturan'!$E$2:$E3237,'⚙️ Pengaturan'!$F$2:$F3237),"")</f>
        <v>150000</v>
      </c>
      <c r="Q390" s="49">
        <f t="shared" si="5"/>
        <v>0</v>
      </c>
      <c r="R390" s="41" t="s">
        <v>118</v>
      </c>
      <c r="S390" s="69" t="s">
        <v>327</v>
      </c>
      <c r="T390" s="51" t="b">
        <v>1</v>
      </c>
      <c r="U390" s="94"/>
    </row>
    <row r="391" ht="30.0" customHeight="1">
      <c r="A391" s="39"/>
      <c r="B391" s="40">
        <v>2424.0</v>
      </c>
      <c r="C391" s="41" t="s">
        <v>50</v>
      </c>
      <c r="D391" s="86">
        <v>46046.0</v>
      </c>
      <c r="E391" s="43" t="str">
        <f t="shared" si="1"/>
        <v>2026</v>
      </c>
      <c r="F391" s="43" t="str">
        <f t="shared" si="2"/>
        <v>01 Jan</v>
      </c>
      <c r="G391" s="126" t="s">
        <v>40</v>
      </c>
      <c r="H391" s="45" t="s">
        <v>96</v>
      </c>
      <c r="I391" s="45" t="s">
        <v>647</v>
      </c>
      <c r="J391" s="41" t="s">
        <v>180</v>
      </c>
      <c r="K391" s="43" t="str">
        <f t="array" ref="K391">IF(J391="","", XLOOKUP(J391,'⚙️ Pengaturan'!$E$2:$E3237,'⚙️ Pengaturan'!$G$2:$G3237))</f>
        <v>KLINIK FT SESI</v>
      </c>
      <c r="L391" s="43" t="str">
        <f t="shared" si="3"/>
        <v>BARU</v>
      </c>
      <c r="M391" s="41" t="s">
        <v>31</v>
      </c>
      <c r="N391" s="46">
        <v>150000.0</v>
      </c>
      <c r="O391" s="65">
        <v>0.0</v>
      </c>
      <c r="P391" s="48">
        <f t="array" ref="P391">IFNA(XLOOKUP(J391,'⚙️ Pengaturan'!$E$2:$E3237,'⚙️ Pengaturan'!$F$2:$F3237),"")</f>
        <v>150000</v>
      </c>
      <c r="Q391" s="49">
        <f t="shared" si="5"/>
        <v>0</v>
      </c>
      <c r="R391" s="41" t="s">
        <v>37</v>
      </c>
      <c r="S391" s="69" t="s">
        <v>647</v>
      </c>
      <c r="T391" s="51" t="b">
        <v>1</v>
      </c>
      <c r="U391" s="94"/>
    </row>
    <row r="392" ht="30.0" customHeight="1">
      <c r="A392" s="39"/>
      <c r="B392" s="40">
        <v>2425.0</v>
      </c>
      <c r="C392" s="41" t="s">
        <v>50</v>
      </c>
      <c r="D392" s="86">
        <v>46046.0</v>
      </c>
      <c r="E392" s="43" t="str">
        <f t="shared" si="1"/>
        <v>2026</v>
      </c>
      <c r="F392" s="43" t="str">
        <f t="shared" si="2"/>
        <v>01 Jan</v>
      </c>
      <c r="G392" s="126" t="s">
        <v>69</v>
      </c>
      <c r="H392" s="45" t="s">
        <v>166</v>
      </c>
      <c r="I392" s="45" t="s">
        <v>648</v>
      </c>
      <c r="J392" s="41" t="s">
        <v>291</v>
      </c>
      <c r="K392" s="43" t="str">
        <f t="array" ref="K392">IF(J392="","", XLOOKUP(J392,'⚙️ Pengaturan'!$E$2:$E3237,'⚙️ Pengaturan'!$G$2:$G3237))</f>
        <v>VISIT FT TA</v>
      </c>
      <c r="L392" s="43" t="str">
        <f t="shared" si="3"/>
        <v>BARU</v>
      </c>
      <c r="M392" s="41" t="s">
        <v>31</v>
      </c>
      <c r="N392" s="46">
        <v>350000.0</v>
      </c>
      <c r="O392" s="65">
        <v>0.0</v>
      </c>
      <c r="P392" s="48">
        <f t="array" ref="P392">IFNA(XLOOKUP(J392,'⚙️ Pengaturan'!$E$2:$E3237,'⚙️ Pengaturan'!$F$2:$F3237),"")</f>
        <v>350000</v>
      </c>
      <c r="Q392" s="49">
        <f t="shared" si="5"/>
        <v>0</v>
      </c>
      <c r="R392" s="41" t="s">
        <v>37</v>
      </c>
      <c r="S392" s="69" t="s">
        <v>649</v>
      </c>
      <c r="T392" s="51" t="b">
        <v>1</v>
      </c>
      <c r="U392" s="94"/>
    </row>
    <row r="393" ht="30.0" customHeight="1">
      <c r="A393" s="39"/>
      <c r="B393" s="40">
        <v>2426.0</v>
      </c>
      <c r="C393" s="41" t="s">
        <v>50</v>
      </c>
      <c r="D393" s="86">
        <v>46046.0</v>
      </c>
      <c r="E393" s="43" t="str">
        <f t="shared" si="1"/>
        <v>2026</v>
      </c>
      <c r="F393" s="43" t="str">
        <f t="shared" si="2"/>
        <v>01 Jan</v>
      </c>
      <c r="G393" s="126" t="s">
        <v>173</v>
      </c>
      <c r="H393" s="45" t="s">
        <v>47</v>
      </c>
      <c r="I393" s="45" t="s">
        <v>650</v>
      </c>
      <c r="J393" s="41" t="s">
        <v>28</v>
      </c>
      <c r="K393" s="43" t="str">
        <f t="array" ref="K393">IF(J393="","", XLOOKUP(J393,'⚙️ Pengaturan'!$E$2:$E3237,'⚙️ Pengaturan'!$G$2:$G3237))</f>
        <v>KLINIK FT TA</v>
      </c>
      <c r="L393" s="43" t="str">
        <f t="shared" si="3"/>
        <v>BARU</v>
      </c>
      <c r="M393" s="41" t="s">
        <v>31</v>
      </c>
      <c r="N393" s="46">
        <v>250000.0</v>
      </c>
      <c r="O393" s="65">
        <v>0.0</v>
      </c>
      <c r="P393" s="48">
        <f t="array" ref="P393">IFNA(XLOOKUP(J393,'⚙️ Pengaturan'!$E$2:$E3237,'⚙️ Pengaturan'!$F$2:$F3237),"")</f>
        <v>250000</v>
      </c>
      <c r="Q393" s="49">
        <f t="shared" si="5"/>
        <v>0</v>
      </c>
      <c r="R393" s="41" t="s">
        <v>32</v>
      </c>
      <c r="S393" s="69" t="s">
        <v>33</v>
      </c>
      <c r="T393" s="51" t="b">
        <v>1</v>
      </c>
      <c r="U393" s="94"/>
    </row>
    <row r="394" ht="30.0" customHeight="1">
      <c r="A394" s="39"/>
      <c r="B394" s="40">
        <v>2427.0</v>
      </c>
      <c r="C394" s="41" t="s">
        <v>50</v>
      </c>
      <c r="D394" s="86">
        <v>46046.0</v>
      </c>
      <c r="E394" s="43" t="str">
        <f t="shared" si="1"/>
        <v>2026</v>
      </c>
      <c r="F394" s="43" t="str">
        <f t="shared" si="2"/>
        <v>01 Jan</v>
      </c>
      <c r="G394" s="126" t="s">
        <v>46</v>
      </c>
      <c r="H394" s="45" t="s">
        <v>149</v>
      </c>
      <c r="I394" s="45" t="s">
        <v>606</v>
      </c>
      <c r="J394" s="41" t="s">
        <v>56</v>
      </c>
      <c r="K394" s="43" t="str">
        <f t="array" ref="K394">IF(J394="","", XLOOKUP(J394,'⚙️ Pengaturan'!$E$2:$E3237,'⚙️ Pengaturan'!$G$2:$G3237))</f>
        <v>KLINIK FT PAKET</v>
      </c>
      <c r="L394" s="43" t="str">
        <f t="shared" si="3"/>
        <v>LANJUTAN</v>
      </c>
      <c r="M394" s="41" t="s">
        <v>164</v>
      </c>
      <c r="N394" s="46">
        <v>400000.0</v>
      </c>
      <c r="O394" s="65">
        <v>250000.0</v>
      </c>
      <c r="P394" s="48">
        <f t="array" ref="P394">IFNA(XLOOKUP(J394,'⚙️ Pengaturan'!$E$2:$E3237,'⚙️ Pengaturan'!$F$2:$F3237),"")</f>
        <v>650000</v>
      </c>
      <c r="Q394" s="49">
        <f t="shared" si="5"/>
        <v>0</v>
      </c>
      <c r="R394" s="41" t="s">
        <v>32</v>
      </c>
      <c r="S394" s="69" t="s">
        <v>33</v>
      </c>
      <c r="T394" s="51" t="b">
        <v>1</v>
      </c>
      <c r="U394" s="94"/>
    </row>
    <row r="395" ht="30.0" customHeight="1">
      <c r="A395" s="39"/>
      <c r="B395" s="40">
        <v>2428.0</v>
      </c>
      <c r="C395" s="41" t="s">
        <v>50</v>
      </c>
      <c r="D395" s="86">
        <v>46046.0</v>
      </c>
      <c r="E395" s="43" t="str">
        <f t="shared" si="1"/>
        <v>2026</v>
      </c>
      <c r="F395" s="43" t="str">
        <f t="shared" si="2"/>
        <v>01 Jan</v>
      </c>
      <c r="G395" s="126" t="s">
        <v>155</v>
      </c>
      <c r="H395" s="45" t="s">
        <v>47</v>
      </c>
      <c r="I395" s="45" t="s">
        <v>651</v>
      </c>
      <c r="J395" s="41" t="s">
        <v>28</v>
      </c>
      <c r="K395" s="43" t="str">
        <f t="array" ref="K395">IF(J395="","", XLOOKUP(J395,'⚙️ Pengaturan'!$E$2:$E3237,'⚙️ Pengaturan'!$G$2:$G3237))</f>
        <v>KLINIK FT TA</v>
      </c>
      <c r="L395" s="43" t="str">
        <f t="shared" si="3"/>
        <v>BARU</v>
      </c>
      <c r="M395" s="41" t="s">
        <v>31</v>
      </c>
      <c r="N395" s="46">
        <v>250000.0</v>
      </c>
      <c r="O395" s="65">
        <v>0.0</v>
      </c>
      <c r="P395" s="48">
        <f t="array" ref="P395">IFNA(XLOOKUP(J395,'⚙️ Pengaturan'!$E$2:$E3237,'⚙️ Pengaturan'!$F$2:$F3237),"")</f>
        <v>250000</v>
      </c>
      <c r="Q395" s="49">
        <f t="shared" si="5"/>
        <v>0</v>
      </c>
      <c r="R395" s="41" t="s">
        <v>118</v>
      </c>
      <c r="S395" s="69" t="s">
        <v>651</v>
      </c>
      <c r="T395" s="51" t="b">
        <v>1</v>
      </c>
      <c r="U395" s="94"/>
    </row>
    <row r="396" ht="30.0" customHeight="1">
      <c r="A396" s="39"/>
      <c r="B396" s="40">
        <v>2429.0</v>
      </c>
      <c r="C396" s="41" t="s">
        <v>50</v>
      </c>
      <c r="D396" s="86">
        <v>46046.0</v>
      </c>
      <c r="E396" s="43" t="str">
        <f t="shared" si="1"/>
        <v>2026</v>
      </c>
      <c r="F396" s="43" t="str">
        <f t="shared" si="2"/>
        <v>01 Jan</v>
      </c>
      <c r="G396" s="126" t="s">
        <v>190</v>
      </c>
      <c r="H396" s="45" t="s">
        <v>47</v>
      </c>
      <c r="I396" s="45" t="s">
        <v>652</v>
      </c>
      <c r="J396" s="41" t="s">
        <v>28</v>
      </c>
      <c r="K396" s="43" t="str">
        <f t="array" ref="K396">IF(J396="","", XLOOKUP(J396,'⚙️ Pengaturan'!$E$2:$E3237,'⚙️ Pengaturan'!$G$2:$G3237))</f>
        <v>KLINIK FT TA</v>
      </c>
      <c r="L396" s="43" t="str">
        <f t="shared" si="3"/>
        <v>BARU</v>
      </c>
      <c r="M396" s="41" t="s">
        <v>31</v>
      </c>
      <c r="N396" s="46">
        <v>250000.0</v>
      </c>
      <c r="O396" s="65">
        <v>0.0</v>
      </c>
      <c r="P396" s="48">
        <f t="array" ref="P396">IFNA(XLOOKUP(J396,'⚙️ Pengaturan'!$E$2:$E3237,'⚙️ Pengaturan'!$F$2:$F3237),"")</f>
        <v>250000</v>
      </c>
      <c r="Q396" s="49">
        <f t="shared" si="5"/>
        <v>0</v>
      </c>
      <c r="R396" s="41" t="s">
        <v>32</v>
      </c>
      <c r="S396" s="69" t="s">
        <v>33</v>
      </c>
      <c r="T396" s="51" t="b">
        <v>1</v>
      </c>
      <c r="U396" s="94"/>
    </row>
    <row r="397" ht="30.0" customHeight="1">
      <c r="A397" s="39"/>
      <c r="B397" s="40">
        <v>2430.0</v>
      </c>
      <c r="C397" s="41" t="s">
        <v>50</v>
      </c>
      <c r="D397" s="86">
        <v>46046.0</v>
      </c>
      <c r="E397" s="43" t="str">
        <f t="shared" si="1"/>
        <v>2026</v>
      </c>
      <c r="F397" s="43" t="str">
        <f t="shared" si="2"/>
        <v>01 Jan</v>
      </c>
      <c r="G397" s="126" t="s">
        <v>190</v>
      </c>
      <c r="H397" s="45" t="s">
        <v>96</v>
      </c>
      <c r="I397" s="45" t="s">
        <v>653</v>
      </c>
      <c r="J397" s="41" t="s">
        <v>56</v>
      </c>
      <c r="K397" s="43" t="str">
        <f t="array" ref="K397">IF(J397="","", XLOOKUP(J397,'⚙️ Pengaturan'!$E$2:$E3237,'⚙️ Pengaturan'!$G$2:$G3237))</f>
        <v>KLINIK FT PAKET</v>
      </c>
      <c r="L397" s="43" t="str">
        <f t="shared" si="3"/>
        <v>BARU</v>
      </c>
      <c r="M397" s="41" t="s">
        <v>60</v>
      </c>
      <c r="N397" s="46">
        <v>250000.0</v>
      </c>
      <c r="O397" s="65">
        <v>0.0</v>
      </c>
      <c r="P397" s="48">
        <f t="array" ref="P397">IFNA(XLOOKUP(J397,'⚙️ Pengaturan'!$E$2:$E3237,'⚙️ Pengaturan'!$F$2:$F3237),"")</f>
        <v>650000</v>
      </c>
      <c r="Q397" s="49">
        <f t="shared" si="5"/>
        <v>-400000</v>
      </c>
      <c r="R397" s="41" t="s">
        <v>37</v>
      </c>
      <c r="S397" s="69" t="s">
        <v>654</v>
      </c>
      <c r="T397" s="51" t="b">
        <v>1</v>
      </c>
      <c r="U397" s="94"/>
    </row>
    <row r="398" ht="30.0" customHeight="1">
      <c r="A398" s="39"/>
      <c r="B398" s="40">
        <v>2431.0</v>
      </c>
      <c r="C398" s="41" t="s">
        <v>50</v>
      </c>
      <c r="D398" s="86">
        <v>46046.0</v>
      </c>
      <c r="E398" s="43" t="str">
        <f t="shared" si="1"/>
        <v>2026</v>
      </c>
      <c r="F398" s="43" t="str">
        <f t="shared" si="2"/>
        <v>01 Jan</v>
      </c>
      <c r="G398" s="126" t="s">
        <v>190</v>
      </c>
      <c r="H398" s="45" t="s">
        <v>149</v>
      </c>
      <c r="I398" s="45" t="s">
        <v>655</v>
      </c>
      <c r="J398" s="41" t="s">
        <v>28</v>
      </c>
      <c r="K398" s="43" t="str">
        <f t="array" ref="K398">IF(J398="","", XLOOKUP(J398,'⚙️ Pengaturan'!$E$2:$E3237,'⚙️ Pengaturan'!$G$2:$G3237))</f>
        <v>KLINIK FT TA</v>
      </c>
      <c r="L398" s="43" t="str">
        <f t="shared" si="3"/>
        <v>BARU</v>
      </c>
      <c r="M398" s="41" t="s">
        <v>31</v>
      </c>
      <c r="N398" s="46">
        <v>250000.0</v>
      </c>
      <c r="O398" s="65">
        <v>0.0</v>
      </c>
      <c r="P398" s="48">
        <f t="array" ref="P398">IFNA(XLOOKUP(J398,'⚙️ Pengaturan'!$E$2:$E3237,'⚙️ Pengaturan'!$F$2:$F3237),"")</f>
        <v>250000</v>
      </c>
      <c r="Q398" s="49">
        <f t="shared" si="5"/>
        <v>0</v>
      </c>
      <c r="R398" s="41" t="s">
        <v>37</v>
      </c>
      <c r="S398" s="69" t="s">
        <v>656</v>
      </c>
      <c r="T398" s="51" t="b">
        <v>1</v>
      </c>
      <c r="U398" s="94"/>
    </row>
    <row r="399" ht="30.0" customHeight="1">
      <c r="A399" s="39"/>
      <c r="B399" s="40">
        <v>2432.0</v>
      </c>
      <c r="C399" s="41" t="s">
        <v>50</v>
      </c>
      <c r="D399" s="86">
        <v>46047.0</v>
      </c>
      <c r="E399" s="43" t="str">
        <f t="shared" si="1"/>
        <v>2026</v>
      </c>
      <c r="F399" s="43" t="str">
        <f t="shared" si="2"/>
        <v>01 Jan</v>
      </c>
      <c r="G399" s="126" t="s">
        <v>69</v>
      </c>
      <c r="H399" s="45" t="s">
        <v>150</v>
      </c>
      <c r="I399" s="45" t="s">
        <v>580</v>
      </c>
      <c r="J399" s="41" t="s">
        <v>323</v>
      </c>
      <c r="K399" s="43" t="str">
        <f t="array" ref="K399">IF(J399="","", XLOOKUP(J399,'⚙️ Pengaturan'!$E$2:$E3237,'⚙️ Pengaturan'!$G$2:$G3237))</f>
        <v>VISIT FT SESI</v>
      </c>
      <c r="L399" s="43" t="str">
        <f t="shared" si="3"/>
        <v>LANJUTAN</v>
      </c>
      <c r="M399" s="41" t="s">
        <v>31</v>
      </c>
      <c r="N399" s="46">
        <v>200000.0</v>
      </c>
      <c r="O399" s="65">
        <v>0.0</v>
      </c>
      <c r="P399" s="48">
        <f t="array" ref="P399">IFNA(XLOOKUP(J399,'⚙️ Pengaturan'!$E$2:$E3237,'⚙️ Pengaturan'!$F$2:$F3237),"")</f>
        <v>200000</v>
      </c>
      <c r="Q399" s="49">
        <f t="shared" si="5"/>
        <v>0</v>
      </c>
      <c r="R399" s="41" t="s">
        <v>37</v>
      </c>
      <c r="S399" s="69" t="s">
        <v>592</v>
      </c>
      <c r="T399" s="51" t="b">
        <v>1</v>
      </c>
      <c r="U399" s="94"/>
    </row>
    <row r="400" ht="30.0" customHeight="1">
      <c r="A400" s="39"/>
      <c r="B400" s="40">
        <v>2433.0</v>
      </c>
      <c r="C400" s="41" t="s">
        <v>50</v>
      </c>
      <c r="D400" s="86">
        <v>46047.0</v>
      </c>
      <c r="E400" s="43" t="str">
        <f t="shared" si="1"/>
        <v>2026</v>
      </c>
      <c r="F400" s="43" t="str">
        <f t="shared" si="2"/>
        <v>01 Jan</v>
      </c>
      <c r="G400" s="126" t="s">
        <v>195</v>
      </c>
      <c r="H400" s="45" t="s">
        <v>149</v>
      </c>
      <c r="I400" s="45" t="s">
        <v>591</v>
      </c>
      <c r="J400" s="41" t="s">
        <v>180</v>
      </c>
      <c r="K400" s="43" t="str">
        <f t="array" ref="K400">IF(J400="","", XLOOKUP(J400,'⚙️ Pengaturan'!$E$2:$E3237,'⚙️ Pengaturan'!$G$2:$G3237))</f>
        <v>KLINIK FT SESI</v>
      </c>
      <c r="L400" s="43" t="str">
        <f t="shared" si="3"/>
        <v>LANJUTAN</v>
      </c>
      <c r="M400" s="41" t="s">
        <v>31</v>
      </c>
      <c r="N400" s="46">
        <v>150000.0</v>
      </c>
      <c r="O400" s="65">
        <v>0.0</v>
      </c>
      <c r="P400" s="48">
        <f t="array" ref="P400">IFNA(XLOOKUP(J400,'⚙️ Pengaturan'!$E$2:$E3237,'⚙️ Pengaturan'!$F$2:$F3237),"")</f>
        <v>150000</v>
      </c>
      <c r="Q400" s="49">
        <f t="shared" si="5"/>
        <v>0</v>
      </c>
      <c r="R400" s="41" t="s">
        <v>32</v>
      </c>
      <c r="S400" s="69" t="s">
        <v>33</v>
      </c>
      <c r="T400" s="51" t="b">
        <v>1</v>
      </c>
      <c r="U400" s="94"/>
    </row>
    <row r="401" ht="30.0" customHeight="1">
      <c r="A401" s="39"/>
      <c r="B401" s="40">
        <v>2434.0</v>
      </c>
      <c r="C401" s="41" t="s">
        <v>50</v>
      </c>
      <c r="D401" s="86">
        <v>46047.0</v>
      </c>
      <c r="E401" s="43" t="str">
        <f t="shared" si="1"/>
        <v>2026</v>
      </c>
      <c r="F401" s="43" t="str">
        <f t="shared" si="2"/>
        <v>01 Jan</v>
      </c>
      <c r="G401" s="126" t="s">
        <v>195</v>
      </c>
      <c r="H401" s="45" t="s">
        <v>76</v>
      </c>
      <c r="I401" s="45" t="s">
        <v>607</v>
      </c>
      <c r="J401" s="41" t="s">
        <v>180</v>
      </c>
      <c r="K401" s="43" t="str">
        <f t="array" ref="K401">IF(J401="","", XLOOKUP(J401,'⚙️ Pengaturan'!$E$2:$E3237,'⚙️ Pengaturan'!$G$2:$G3237))</f>
        <v>KLINIK FT SESI</v>
      </c>
      <c r="L401" s="43" t="str">
        <f t="shared" si="3"/>
        <v>LANJUTAN</v>
      </c>
      <c r="M401" s="41" t="s">
        <v>31</v>
      </c>
      <c r="N401" s="46">
        <v>150000.0</v>
      </c>
      <c r="O401" s="65">
        <v>0.0</v>
      </c>
      <c r="P401" s="48">
        <f t="array" ref="P401">IFNA(XLOOKUP(J401,'⚙️ Pengaturan'!$E$2:$E3237,'⚙️ Pengaturan'!$F$2:$F3237),"")</f>
        <v>150000</v>
      </c>
      <c r="Q401" s="49">
        <f t="shared" si="5"/>
        <v>0</v>
      </c>
      <c r="R401" s="41" t="s">
        <v>118</v>
      </c>
      <c r="S401" s="69" t="s">
        <v>607</v>
      </c>
      <c r="T401" s="51" t="b">
        <v>1</v>
      </c>
      <c r="U401" s="94"/>
    </row>
    <row r="402" ht="30.0" customHeight="1">
      <c r="A402" s="39"/>
      <c r="B402" s="40">
        <v>2435.0</v>
      </c>
      <c r="C402" s="41" t="s">
        <v>50</v>
      </c>
      <c r="D402" s="86">
        <v>46047.0</v>
      </c>
      <c r="E402" s="43" t="str">
        <f t="shared" si="1"/>
        <v>2026</v>
      </c>
      <c r="F402" s="43" t="str">
        <f t="shared" si="2"/>
        <v>01 Jan</v>
      </c>
      <c r="G402" s="126" t="s">
        <v>195</v>
      </c>
      <c r="H402" s="45" t="s">
        <v>96</v>
      </c>
      <c r="I402" s="45" t="s">
        <v>657</v>
      </c>
      <c r="J402" s="41" t="s">
        <v>28</v>
      </c>
      <c r="K402" s="43" t="str">
        <f t="array" ref="K402">IF(J402="","", XLOOKUP(J402,'⚙️ Pengaturan'!$E$2:$E3237,'⚙️ Pengaturan'!$G$2:$G3237))</f>
        <v>KLINIK FT TA</v>
      </c>
      <c r="L402" s="43" t="str">
        <f t="shared" si="3"/>
        <v>BARU</v>
      </c>
      <c r="M402" s="41" t="s">
        <v>31</v>
      </c>
      <c r="N402" s="46">
        <v>250000.0</v>
      </c>
      <c r="O402" s="65">
        <v>0.0</v>
      </c>
      <c r="P402" s="48">
        <f t="array" ref="P402">IFNA(XLOOKUP(J402,'⚙️ Pengaturan'!$E$2:$E3237,'⚙️ Pengaturan'!$F$2:$F3237),"")</f>
        <v>250000</v>
      </c>
      <c r="Q402" s="49">
        <f t="shared" si="5"/>
        <v>0</v>
      </c>
      <c r="R402" s="41" t="s">
        <v>32</v>
      </c>
      <c r="S402" s="69" t="s">
        <v>33</v>
      </c>
      <c r="T402" s="51" t="b">
        <v>1</v>
      </c>
      <c r="U402" s="94"/>
    </row>
    <row r="403" ht="30.0" customHeight="1">
      <c r="A403" s="39"/>
      <c r="B403" s="40">
        <v>2436.0</v>
      </c>
      <c r="C403" s="41" t="s">
        <v>50</v>
      </c>
      <c r="D403" s="86">
        <v>46047.0</v>
      </c>
      <c r="E403" s="43" t="str">
        <f t="shared" si="1"/>
        <v>2026</v>
      </c>
      <c r="F403" s="43" t="str">
        <f t="shared" si="2"/>
        <v>01 Jan</v>
      </c>
      <c r="G403" s="126" t="s">
        <v>25</v>
      </c>
      <c r="H403" s="45" t="s">
        <v>96</v>
      </c>
      <c r="I403" s="45" t="s">
        <v>658</v>
      </c>
      <c r="J403" s="41" t="s">
        <v>28</v>
      </c>
      <c r="K403" s="43" t="str">
        <f t="array" ref="K403">IF(J403="","", XLOOKUP(J403,'⚙️ Pengaturan'!$E$2:$E3237,'⚙️ Pengaturan'!$G$2:$G3237))</f>
        <v>KLINIK FT TA</v>
      </c>
      <c r="L403" s="43" t="str">
        <f t="shared" si="3"/>
        <v>BARU</v>
      </c>
      <c r="M403" s="41" t="s">
        <v>31</v>
      </c>
      <c r="N403" s="46">
        <v>250000.0</v>
      </c>
      <c r="O403" s="65">
        <v>0.0</v>
      </c>
      <c r="P403" s="48">
        <f t="array" ref="P403">IFNA(XLOOKUP(J403,'⚙️ Pengaturan'!$E$2:$E3237,'⚙️ Pengaturan'!$F$2:$F3237),"")</f>
        <v>250000</v>
      </c>
      <c r="Q403" s="49">
        <f t="shared" si="5"/>
        <v>0</v>
      </c>
      <c r="R403" s="41" t="s">
        <v>32</v>
      </c>
      <c r="S403" s="69" t="s">
        <v>33</v>
      </c>
      <c r="T403" s="51" t="b">
        <v>1</v>
      </c>
      <c r="U403" s="94"/>
    </row>
    <row r="404" ht="30.0" customHeight="1">
      <c r="A404" s="39"/>
      <c r="B404" s="40">
        <v>2437.0</v>
      </c>
      <c r="C404" s="41" t="s">
        <v>50</v>
      </c>
      <c r="D404" s="86">
        <v>46047.0</v>
      </c>
      <c r="E404" s="43" t="str">
        <f t="shared" si="1"/>
        <v>2026</v>
      </c>
      <c r="F404" s="43" t="str">
        <f t="shared" si="2"/>
        <v>01 Jan</v>
      </c>
      <c r="G404" s="126" t="s">
        <v>206</v>
      </c>
      <c r="H404" s="45" t="s">
        <v>149</v>
      </c>
      <c r="I404" s="45" t="s">
        <v>659</v>
      </c>
      <c r="J404" s="41" t="s">
        <v>28</v>
      </c>
      <c r="K404" s="43" t="str">
        <f t="array" ref="K404">IF(J404="","", XLOOKUP(J404,'⚙️ Pengaturan'!$E$2:$E3237,'⚙️ Pengaturan'!$G$2:$G3237))</f>
        <v>KLINIK FT TA</v>
      </c>
      <c r="L404" s="43" t="str">
        <f t="shared" si="3"/>
        <v>BARU</v>
      </c>
      <c r="M404" s="41" t="s">
        <v>31</v>
      </c>
      <c r="N404" s="46">
        <v>250000.0</v>
      </c>
      <c r="O404" s="65">
        <v>0.0</v>
      </c>
      <c r="P404" s="48">
        <f t="array" ref="P404">IFNA(XLOOKUP(J404,'⚙️ Pengaturan'!$E$2:$E3237,'⚙️ Pengaturan'!$F$2:$F3237),"")</f>
        <v>250000</v>
      </c>
      <c r="Q404" s="49">
        <f t="shared" si="5"/>
        <v>0</v>
      </c>
      <c r="R404" s="41" t="s">
        <v>37</v>
      </c>
      <c r="S404" s="69" t="s">
        <v>659</v>
      </c>
      <c r="T404" s="51" t="b">
        <v>1</v>
      </c>
      <c r="U404" s="94"/>
    </row>
    <row r="405" ht="30.0" customHeight="1">
      <c r="A405" s="39"/>
      <c r="B405" s="40">
        <v>2438.0</v>
      </c>
      <c r="C405" s="41" t="s">
        <v>50</v>
      </c>
      <c r="D405" s="86">
        <v>46047.0</v>
      </c>
      <c r="E405" s="43" t="str">
        <f t="shared" si="1"/>
        <v>2026</v>
      </c>
      <c r="F405" s="43" t="str">
        <f t="shared" si="2"/>
        <v>01 Jan</v>
      </c>
      <c r="G405" s="126" t="s">
        <v>161</v>
      </c>
      <c r="H405" s="45" t="s">
        <v>76</v>
      </c>
      <c r="I405" s="45" t="s">
        <v>660</v>
      </c>
      <c r="J405" s="41" t="s">
        <v>28</v>
      </c>
      <c r="K405" s="43" t="str">
        <f t="array" ref="K405">IF(J405="","", XLOOKUP(J405,'⚙️ Pengaturan'!$E$2:$E3237,'⚙️ Pengaturan'!$G$2:$G3237))</f>
        <v>KLINIK FT TA</v>
      </c>
      <c r="L405" s="43" t="str">
        <f t="shared" si="3"/>
        <v>BARU</v>
      </c>
      <c r="M405" s="41" t="s">
        <v>31</v>
      </c>
      <c r="N405" s="46">
        <v>250000.0</v>
      </c>
      <c r="O405" s="65">
        <v>0.0</v>
      </c>
      <c r="P405" s="48">
        <f t="array" ref="P405">IFNA(XLOOKUP(J405,'⚙️ Pengaturan'!$E$2:$E3237,'⚙️ Pengaturan'!$F$2:$F3237),"")</f>
        <v>250000</v>
      </c>
      <c r="Q405" s="49">
        <f t="shared" si="5"/>
        <v>0</v>
      </c>
      <c r="R405" s="41" t="s">
        <v>37</v>
      </c>
      <c r="S405" s="69" t="s">
        <v>660</v>
      </c>
      <c r="T405" s="51" t="b">
        <v>1</v>
      </c>
      <c r="U405" s="94"/>
    </row>
    <row r="406" ht="30.0" customHeight="1">
      <c r="A406" s="39"/>
      <c r="B406" s="40">
        <v>2439.0</v>
      </c>
      <c r="C406" s="41" t="s">
        <v>50</v>
      </c>
      <c r="D406" s="86">
        <v>46047.0</v>
      </c>
      <c r="E406" s="43" t="str">
        <f t="shared" si="1"/>
        <v>2026</v>
      </c>
      <c r="F406" s="43" t="str">
        <f t="shared" si="2"/>
        <v>01 Jan</v>
      </c>
      <c r="G406" s="126" t="s">
        <v>161</v>
      </c>
      <c r="H406" s="45" t="s">
        <v>156</v>
      </c>
      <c r="I406" s="45" t="s">
        <v>661</v>
      </c>
      <c r="J406" s="41" t="s">
        <v>28</v>
      </c>
      <c r="K406" s="43" t="str">
        <f t="array" ref="K406">IF(J406="","", XLOOKUP(J406,'⚙️ Pengaturan'!$E$2:$E3237,'⚙️ Pengaturan'!$G$2:$G3237))</f>
        <v>KLINIK FT TA</v>
      </c>
      <c r="L406" s="43" t="str">
        <f t="shared" si="3"/>
        <v>BARU</v>
      </c>
      <c r="M406" s="41" t="s">
        <v>31</v>
      </c>
      <c r="N406" s="46">
        <v>250000.0</v>
      </c>
      <c r="O406" s="65">
        <v>0.0</v>
      </c>
      <c r="P406" s="48">
        <f t="array" ref="P406">IFNA(XLOOKUP(J406,'⚙️ Pengaturan'!$E$2:$E3237,'⚙️ Pengaturan'!$F$2:$F3237),"")</f>
        <v>250000</v>
      </c>
      <c r="Q406" s="49">
        <f t="shared" si="5"/>
        <v>0</v>
      </c>
      <c r="R406" s="41"/>
      <c r="S406" s="69"/>
      <c r="T406" s="51" t="b">
        <v>0</v>
      </c>
      <c r="U406" s="94" t="s">
        <v>662</v>
      </c>
    </row>
    <row r="407" ht="30.0" customHeight="1">
      <c r="A407" s="39"/>
      <c r="B407" s="40">
        <v>2440.0</v>
      </c>
      <c r="C407" s="41" t="s">
        <v>50</v>
      </c>
      <c r="D407" s="86">
        <v>46047.0</v>
      </c>
      <c r="E407" s="43" t="str">
        <f t="shared" si="1"/>
        <v>2026</v>
      </c>
      <c r="F407" s="43" t="str">
        <f t="shared" si="2"/>
        <v>01 Jan</v>
      </c>
      <c r="G407" s="126" t="s">
        <v>161</v>
      </c>
      <c r="H407" s="45" t="s">
        <v>149</v>
      </c>
      <c r="I407" s="45" t="s">
        <v>663</v>
      </c>
      <c r="J407" s="41" t="s">
        <v>28</v>
      </c>
      <c r="K407" s="43" t="str">
        <f t="array" ref="K407">IF(J407="","", XLOOKUP(J407,'⚙️ Pengaturan'!$E$2:$E3237,'⚙️ Pengaturan'!$G$2:$G3237))</f>
        <v>KLINIK FT TA</v>
      </c>
      <c r="L407" s="43" t="str">
        <f t="shared" si="3"/>
        <v>BARU</v>
      </c>
      <c r="M407" s="41" t="s">
        <v>31</v>
      </c>
      <c r="N407" s="46">
        <v>250000.0</v>
      </c>
      <c r="O407" s="65">
        <v>0.0</v>
      </c>
      <c r="P407" s="48">
        <f t="array" ref="P407">IFNA(XLOOKUP(J407,'⚙️ Pengaturan'!$E$2:$E3237,'⚙️ Pengaturan'!$F$2:$F3237),"")</f>
        <v>250000</v>
      </c>
      <c r="Q407" s="49">
        <f t="shared" si="5"/>
        <v>0</v>
      </c>
      <c r="R407" s="41" t="s">
        <v>32</v>
      </c>
      <c r="S407" s="69" t="s">
        <v>33</v>
      </c>
      <c r="T407" s="51" t="b">
        <v>1</v>
      </c>
      <c r="U407" s="94"/>
    </row>
    <row r="408" ht="30.0" customHeight="1">
      <c r="A408" s="39"/>
      <c r="B408" s="40">
        <v>2441.0</v>
      </c>
      <c r="C408" s="41" t="s">
        <v>50</v>
      </c>
      <c r="D408" s="86">
        <v>46047.0</v>
      </c>
      <c r="E408" s="43" t="str">
        <f t="shared" si="1"/>
        <v>2026</v>
      </c>
      <c r="F408" s="43" t="str">
        <f t="shared" si="2"/>
        <v>01 Jan</v>
      </c>
      <c r="G408" s="126" t="s">
        <v>35</v>
      </c>
      <c r="H408" s="45" t="s">
        <v>76</v>
      </c>
      <c r="I408" s="45" t="s">
        <v>664</v>
      </c>
      <c r="J408" s="41" t="s">
        <v>28</v>
      </c>
      <c r="K408" s="43" t="str">
        <f t="array" ref="K408">IF(J408="","", XLOOKUP(J408,'⚙️ Pengaturan'!$E$2:$E3237,'⚙️ Pengaturan'!$G$2:$G3237))</f>
        <v>KLINIK FT TA</v>
      </c>
      <c r="L408" s="43" t="str">
        <f t="shared" si="3"/>
        <v>BARU</v>
      </c>
      <c r="M408" s="41" t="s">
        <v>31</v>
      </c>
      <c r="N408" s="46">
        <v>250000.0</v>
      </c>
      <c r="O408" s="65">
        <v>0.0</v>
      </c>
      <c r="P408" s="48">
        <f t="array" ref="P408">IFNA(XLOOKUP(J408,'⚙️ Pengaturan'!$E$2:$E3237,'⚙️ Pengaturan'!$F$2:$F3237),"")</f>
        <v>250000</v>
      </c>
      <c r="Q408" s="49">
        <f t="shared" si="5"/>
        <v>0</v>
      </c>
      <c r="R408" s="41" t="s">
        <v>93</v>
      </c>
      <c r="S408" s="69" t="s">
        <v>664</v>
      </c>
      <c r="T408" s="51" t="b">
        <v>1</v>
      </c>
      <c r="U408" s="94"/>
    </row>
    <row r="409" ht="30.0" customHeight="1">
      <c r="A409" s="39"/>
      <c r="B409" s="40">
        <v>2442.0</v>
      </c>
      <c r="C409" s="41" t="s">
        <v>50</v>
      </c>
      <c r="D409" s="86">
        <v>46047.0</v>
      </c>
      <c r="E409" s="43" t="str">
        <f t="shared" si="1"/>
        <v>2026</v>
      </c>
      <c r="F409" s="43" t="str">
        <f t="shared" si="2"/>
        <v>01 Jan</v>
      </c>
      <c r="G409" s="126" t="s">
        <v>40</v>
      </c>
      <c r="H409" s="45" t="s">
        <v>162</v>
      </c>
      <c r="I409" s="45" t="s">
        <v>665</v>
      </c>
      <c r="J409" s="41" t="s">
        <v>28</v>
      </c>
      <c r="K409" s="43" t="str">
        <f t="array" ref="K409">IF(J409="","", XLOOKUP(J409,'⚙️ Pengaturan'!$E$2:$E3237,'⚙️ Pengaturan'!$G$2:$G3237))</f>
        <v>KLINIK FT TA</v>
      </c>
      <c r="L409" s="43" t="str">
        <f t="shared" si="3"/>
        <v>BARU</v>
      </c>
      <c r="M409" s="41" t="s">
        <v>31</v>
      </c>
      <c r="N409" s="46">
        <v>250000.0</v>
      </c>
      <c r="O409" s="65">
        <v>0.0</v>
      </c>
      <c r="P409" s="48">
        <f t="array" ref="P409">IFNA(XLOOKUP(J409,'⚙️ Pengaturan'!$E$2:$E3237,'⚙️ Pengaturan'!$F$2:$F3237),"")</f>
        <v>250000</v>
      </c>
      <c r="Q409" s="49">
        <f t="shared" si="5"/>
        <v>0</v>
      </c>
      <c r="R409" s="41" t="s">
        <v>32</v>
      </c>
      <c r="S409" s="69" t="s">
        <v>33</v>
      </c>
      <c r="T409" s="51" t="b">
        <v>1</v>
      </c>
      <c r="U409" s="94"/>
    </row>
    <row r="410" ht="30.0" customHeight="1">
      <c r="A410" s="39"/>
      <c r="B410" s="40">
        <v>2443.0</v>
      </c>
      <c r="C410" s="41" t="s">
        <v>50</v>
      </c>
      <c r="D410" s="86">
        <v>46047.0</v>
      </c>
      <c r="E410" s="43" t="str">
        <f t="shared" si="1"/>
        <v>2026</v>
      </c>
      <c r="F410" s="43" t="str">
        <f t="shared" si="2"/>
        <v>01 Jan</v>
      </c>
      <c r="G410" s="126" t="s">
        <v>40</v>
      </c>
      <c r="H410" s="45" t="s">
        <v>150</v>
      </c>
      <c r="I410" s="45" t="s">
        <v>666</v>
      </c>
      <c r="J410" s="41" t="s">
        <v>28</v>
      </c>
      <c r="K410" s="43" t="str">
        <f t="array" ref="K410">IF(J410="","", XLOOKUP(J410,'⚙️ Pengaturan'!$E$2:$E3237,'⚙️ Pengaturan'!$G$2:$G3237))</f>
        <v>KLINIK FT TA</v>
      </c>
      <c r="L410" s="43" t="str">
        <f t="shared" si="3"/>
        <v>BARU</v>
      </c>
      <c r="M410" s="41" t="s">
        <v>31</v>
      </c>
      <c r="N410" s="46">
        <v>250000.0</v>
      </c>
      <c r="O410" s="65">
        <v>0.0</v>
      </c>
      <c r="P410" s="48">
        <f t="array" ref="P410">IFNA(XLOOKUP(J410,'⚙️ Pengaturan'!$E$2:$E3237,'⚙️ Pengaturan'!$F$2:$F3237),"")</f>
        <v>250000</v>
      </c>
      <c r="Q410" s="49">
        <f t="shared" si="5"/>
        <v>0</v>
      </c>
      <c r="R410" s="41" t="s">
        <v>93</v>
      </c>
      <c r="S410" s="69" t="s">
        <v>667</v>
      </c>
      <c r="T410" s="51" t="b">
        <v>1</v>
      </c>
      <c r="U410" s="94" t="s">
        <v>668</v>
      </c>
    </row>
    <row r="411" ht="30.0" customHeight="1">
      <c r="A411" s="39"/>
      <c r="B411" s="40">
        <v>2444.0</v>
      </c>
      <c r="C411" s="41" t="s">
        <v>50</v>
      </c>
      <c r="D411" s="86">
        <v>46047.0</v>
      </c>
      <c r="E411" s="43" t="str">
        <f t="shared" si="1"/>
        <v>2026</v>
      </c>
      <c r="F411" s="43" t="str">
        <f t="shared" si="2"/>
        <v>01 Jan</v>
      </c>
      <c r="G411" s="126" t="s">
        <v>40</v>
      </c>
      <c r="H411" s="45" t="s">
        <v>150</v>
      </c>
      <c r="I411" s="45" t="s">
        <v>666</v>
      </c>
      <c r="J411" s="41" t="s">
        <v>56</v>
      </c>
      <c r="K411" s="43" t="str">
        <f t="array" ref="K411">IF(J411="","", XLOOKUP(J411,'⚙️ Pengaturan'!$E$2:$E3237,'⚙️ Pengaturan'!$G$2:$G3237))</f>
        <v>KLINIK FT PAKET</v>
      </c>
      <c r="L411" s="43" t="str">
        <f t="shared" si="3"/>
        <v>BARU</v>
      </c>
      <c r="M411" s="41" t="s">
        <v>31</v>
      </c>
      <c r="N411" s="46">
        <v>650000.0</v>
      </c>
      <c r="O411" s="65">
        <v>0.0</v>
      </c>
      <c r="P411" s="48">
        <f t="array" ref="P411">IFNA(XLOOKUP(J411,'⚙️ Pengaturan'!$E$2:$E3237,'⚙️ Pengaturan'!$F$2:$F3237),"")</f>
        <v>650000</v>
      </c>
      <c r="Q411" s="49">
        <f t="shared" si="5"/>
        <v>0</v>
      </c>
      <c r="R411" s="41" t="s">
        <v>93</v>
      </c>
      <c r="S411" s="69" t="s">
        <v>667</v>
      </c>
      <c r="T411" s="51" t="b">
        <v>1</v>
      </c>
      <c r="U411" s="94" t="s">
        <v>668</v>
      </c>
    </row>
    <row r="412" ht="30.0" customHeight="1">
      <c r="A412" s="39"/>
      <c r="B412" s="40">
        <v>2445.0</v>
      </c>
      <c r="C412" s="41" t="s">
        <v>79</v>
      </c>
      <c r="D412" s="86">
        <v>46047.0</v>
      </c>
      <c r="E412" s="43" t="str">
        <f t="shared" si="1"/>
        <v>2026</v>
      </c>
      <c r="F412" s="43" t="str">
        <f t="shared" si="2"/>
        <v>01 Jan</v>
      </c>
      <c r="G412" s="126" t="s">
        <v>43</v>
      </c>
      <c r="H412" s="45" t="s">
        <v>47</v>
      </c>
      <c r="I412" s="45" t="s">
        <v>604</v>
      </c>
      <c r="J412" s="41" t="s">
        <v>56</v>
      </c>
      <c r="K412" s="43" t="str">
        <f t="array" ref="K412">IF(J412="","", XLOOKUP(J412,'⚙️ Pengaturan'!$E$2:$E3237,'⚙️ Pengaturan'!$G$2:$G3237))</f>
        <v>KLINIK FT PAKET</v>
      </c>
      <c r="L412" s="43" t="str">
        <f t="shared" si="3"/>
        <v>LANJUTAN</v>
      </c>
      <c r="M412" s="41" t="s">
        <v>164</v>
      </c>
      <c r="N412" s="46">
        <v>450000.0</v>
      </c>
      <c r="O412" s="65">
        <v>200000.0</v>
      </c>
      <c r="P412" s="48">
        <f t="array" ref="P412">IFNA(XLOOKUP(J412,'⚙️ Pengaturan'!$E$2:$E3237,'⚙️ Pengaturan'!$F$2:$F3237),"")</f>
        <v>650000</v>
      </c>
      <c r="Q412" s="49">
        <f t="shared" si="5"/>
        <v>0</v>
      </c>
      <c r="R412" s="41" t="s">
        <v>37</v>
      </c>
      <c r="S412" s="69" t="s">
        <v>604</v>
      </c>
      <c r="T412" s="51" t="b">
        <v>1</v>
      </c>
      <c r="U412" s="94"/>
    </row>
    <row r="413" ht="30.0" customHeight="1">
      <c r="A413" s="39"/>
      <c r="B413" s="40">
        <v>2446.0</v>
      </c>
      <c r="C413" s="41" t="s">
        <v>79</v>
      </c>
      <c r="D413" s="86">
        <v>46047.0</v>
      </c>
      <c r="E413" s="43" t="str">
        <f t="shared" si="1"/>
        <v>2026</v>
      </c>
      <c r="F413" s="43" t="str">
        <f t="shared" si="2"/>
        <v>01 Jan</v>
      </c>
      <c r="G413" s="126" t="s">
        <v>43</v>
      </c>
      <c r="H413" s="45" t="s">
        <v>166</v>
      </c>
      <c r="I413" s="45" t="s">
        <v>633</v>
      </c>
      <c r="J413" s="41" t="s">
        <v>56</v>
      </c>
      <c r="K413" s="43" t="str">
        <f t="array" ref="K413">IF(J413="","", XLOOKUP(J413,'⚙️ Pengaturan'!$E$2:$E3237,'⚙️ Pengaturan'!$G$2:$G3237))</f>
        <v>KLINIK FT PAKET</v>
      </c>
      <c r="L413" s="43" t="str">
        <f t="shared" si="3"/>
        <v>BARU</v>
      </c>
      <c r="M413" s="41" t="s">
        <v>31</v>
      </c>
      <c r="N413" s="46">
        <v>650000.0</v>
      </c>
      <c r="O413" s="65">
        <v>0.0</v>
      </c>
      <c r="P413" s="48">
        <f t="array" ref="P413">IFNA(XLOOKUP(J413,'⚙️ Pengaturan'!$E$2:$E3237,'⚙️ Pengaturan'!$F$2:$F3237),"")</f>
        <v>650000</v>
      </c>
      <c r="Q413" s="49">
        <f t="shared" si="5"/>
        <v>0</v>
      </c>
      <c r="R413" s="41" t="s">
        <v>37</v>
      </c>
      <c r="S413" s="69" t="s">
        <v>633</v>
      </c>
      <c r="T413" s="51" t="b">
        <v>1</v>
      </c>
      <c r="U413" s="69"/>
    </row>
    <row r="414" ht="30.0" customHeight="1">
      <c r="A414" s="39"/>
      <c r="B414" s="40">
        <v>2447.0</v>
      </c>
      <c r="C414" s="41" t="s">
        <v>79</v>
      </c>
      <c r="D414" s="86">
        <v>46047.0</v>
      </c>
      <c r="E414" s="43" t="str">
        <f t="shared" si="1"/>
        <v>2026</v>
      </c>
      <c r="F414" s="43" t="str">
        <f t="shared" si="2"/>
        <v>01 Jan</v>
      </c>
      <c r="G414" s="126" t="s">
        <v>173</v>
      </c>
      <c r="H414" s="45" t="s">
        <v>150</v>
      </c>
      <c r="I414" s="45" t="s">
        <v>631</v>
      </c>
      <c r="J414" s="41" t="s">
        <v>56</v>
      </c>
      <c r="K414" s="43" t="str">
        <f t="array" ref="K414">IF(J414="","", XLOOKUP(J414,'⚙️ Pengaturan'!$E$2:$E3237,'⚙️ Pengaturan'!$G$2:$G3237))</f>
        <v>KLINIK FT PAKET</v>
      </c>
      <c r="L414" s="43" t="str">
        <f t="shared" si="3"/>
        <v>BARU</v>
      </c>
      <c r="M414" s="41" t="s">
        <v>31</v>
      </c>
      <c r="N414" s="46">
        <v>650000.0</v>
      </c>
      <c r="O414" s="65">
        <v>0.0</v>
      </c>
      <c r="P414" s="48">
        <f t="array" ref="P414">IFNA(XLOOKUP(J414,'⚙️ Pengaturan'!$E$2:$E3237,'⚙️ Pengaturan'!$F$2:$F3237),"")</f>
        <v>650000</v>
      </c>
      <c r="Q414" s="49">
        <f t="shared" si="5"/>
        <v>0</v>
      </c>
      <c r="R414" s="41" t="s">
        <v>37</v>
      </c>
      <c r="S414" s="69" t="s">
        <v>631</v>
      </c>
      <c r="T414" s="51" t="b">
        <v>1</v>
      </c>
      <c r="U414" s="69"/>
    </row>
    <row r="415" ht="30.0" customHeight="1">
      <c r="A415" s="39"/>
      <c r="B415" s="40">
        <v>2448.0</v>
      </c>
      <c r="C415" s="41" t="s">
        <v>79</v>
      </c>
      <c r="D415" s="86">
        <v>46047.0</v>
      </c>
      <c r="E415" s="43" t="str">
        <f t="shared" si="1"/>
        <v>2026</v>
      </c>
      <c r="F415" s="43" t="str">
        <f t="shared" si="2"/>
        <v>01 Jan</v>
      </c>
      <c r="G415" s="126" t="s">
        <v>173</v>
      </c>
      <c r="H415" s="45" t="s">
        <v>166</v>
      </c>
      <c r="I415" s="45" t="s">
        <v>635</v>
      </c>
      <c r="J415" s="41" t="s">
        <v>56</v>
      </c>
      <c r="K415" s="43" t="str">
        <f t="array" ref="K415">IF(J415="","", XLOOKUP(J415,'⚙️ Pengaturan'!$E$2:$E3237,'⚙️ Pengaturan'!$G$2:$G3237))</f>
        <v>KLINIK FT PAKET</v>
      </c>
      <c r="L415" s="43" t="str">
        <f t="shared" si="3"/>
        <v>BARU</v>
      </c>
      <c r="M415" s="41" t="s">
        <v>31</v>
      </c>
      <c r="N415" s="46">
        <v>650000.0</v>
      </c>
      <c r="O415" s="65">
        <v>0.0</v>
      </c>
      <c r="P415" s="48">
        <f t="array" ref="P415">IFNA(XLOOKUP(J415,'⚙️ Pengaturan'!$E$2:$E3237,'⚙️ Pengaturan'!$F$2:$F3237),"")</f>
        <v>650000</v>
      </c>
      <c r="Q415" s="49">
        <f t="shared" si="5"/>
        <v>0</v>
      </c>
      <c r="R415" s="41" t="s">
        <v>32</v>
      </c>
      <c r="S415" s="69" t="s">
        <v>33</v>
      </c>
      <c r="T415" s="51" t="b">
        <v>1</v>
      </c>
      <c r="U415" s="94" t="s">
        <v>33</v>
      </c>
    </row>
    <row r="416" ht="30.0" customHeight="1">
      <c r="A416" s="39"/>
      <c r="B416" s="40">
        <v>2449.0</v>
      </c>
      <c r="C416" s="41" t="s">
        <v>79</v>
      </c>
      <c r="D416" s="86">
        <v>46047.0</v>
      </c>
      <c r="E416" s="43" t="str">
        <f t="shared" si="1"/>
        <v>2026</v>
      </c>
      <c r="F416" s="43" t="str">
        <f t="shared" si="2"/>
        <v>01 Jan</v>
      </c>
      <c r="G416" s="126" t="s">
        <v>173</v>
      </c>
      <c r="H416" s="45" t="s">
        <v>47</v>
      </c>
      <c r="I416" s="45" t="s">
        <v>655</v>
      </c>
      <c r="J416" s="41" t="s">
        <v>180</v>
      </c>
      <c r="K416" s="43" t="str">
        <f t="array" ref="K416">IF(J416="","", XLOOKUP(J416,'⚙️ Pengaturan'!$E$2:$E3237,'⚙️ Pengaturan'!$G$2:$G3237))</f>
        <v>KLINIK FT SESI</v>
      </c>
      <c r="L416" s="43" t="str">
        <f t="shared" si="3"/>
        <v>BARU</v>
      </c>
      <c r="M416" s="41" t="s">
        <v>31</v>
      </c>
      <c r="N416" s="46">
        <v>150000.0</v>
      </c>
      <c r="O416" s="65">
        <v>0.0</v>
      </c>
      <c r="P416" s="48">
        <f t="array" ref="P416">IFNA(XLOOKUP(J416,'⚙️ Pengaturan'!$E$2:$E3237,'⚙️ Pengaturan'!$F$2:$F3237),"")</f>
        <v>150000</v>
      </c>
      <c r="Q416" s="49">
        <f t="shared" si="5"/>
        <v>0</v>
      </c>
      <c r="R416" s="41" t="s">
        <v>37</v>
      </c>
      <c r="S416" s="69" t="s">
        <v>669</v>
      </c>
      <c r="T416" s="51" t="b">
        <v>1</v>
      </c>
      <c r="U416" s="94"/>
    </row>
    <row r="417" ht="30.0" customHeight="1">
      <c r="A417" s="39"/>
      <c r="B417" s="40">
        <v>2450.0</v>
      </c>
      <c r="C417" s="41" t="s">
        <v>79</v>
      </c>
      <c r="D417" s="86">
        <v>46047.0</v>
      </c>
      <c r="E417" s="43" t="str">
        <f t="shared" si="1"/>
        <v>2026</v>
      </c>
      <c r="F417" s="43" t="str">
        <f t="shared" si="2"/>
        <v>01 Jan</v>
      </c>
      <c r="G417" s="126" t="s">
        <v>173</v>
      </c>
      <c r="H417" s="45" t="s">
        <v>47</v>
      </c>
      <c r="I417" s="45" t="s">
        <v>670</v>
      </c>
      <c r="J417" s="41" t="s">
        <v>28</v>
      </c>
      <c r="K417" s="43" t="str">
        <f t="array" ref="K417">IF(J417="","", XLOOKUP(J417,'⚙️ Pengaturan'!$E$2:$E3237,'⚙️ Pengaturan'!$G$2:$G3237))</f>
        <v>KLINIK FT TA</v>
      </c>
      <c r="L417" s="43" t="str">
        <f t="shared" si="3"/>
        <v>BARU</v>
      </c>
      <c r="M417" s="41" t="s">
        <v>31</v>
      </c>
      <c r="N417" s="46">
        <v>250000.0</v>
      </c>
      <c r="O417" s="65">
        <v>0.0</v>
      </c>
      <c r="P417" s="48">
        <f t="array" ref="P417">IFNA(XLOOKUP(J417,'⚙️ Pengaturan'!$E$2:$E3237,'⚙️ Pengaturan'!$F$2:$F3237),"")</f>
        <v>250000</v>
      </c>
      <c r="Q417" s="49">
        <f t="shared" si="5"/>
        <v>0</v>
      </c>
      <c r="R417" s="41" t="s">
        <v>93</v>
      </c>
      <c r="S417" s="69" t="s">
        <v>671</v>
      </c>
      <c r="T417" s="51" t="b">
        <v>1</v>
      </c>
      <c r="U417" s="94"/>
    </row>
    <row r="418" ht="30.0" customHeight="1">
      <c r="A418" s="39"/>
      <c r="B418" s="40">
        <v>2451.0</v>
      </c>
      <c r="C418" s="41" t="s">
        <v>79</v>
      </c>
      <c r="D418" s="86">
        <v>46047.0</v>
      </c>
      <c r="E418" s="43" t="str">
        <f t="shared" si="1"/>
        <v>2026</v>
      </c>
      <c r="F418" s="43" t="str">
        <f t="shared" si="2"/>
        <v>01 Jan</v>
      </c>
      <c r="G418" s="126" t="s">
        <v>173</v>
      </c>
      <c r="H418" s="45" t="s">
        <v>162</v>
      </c>
      <c r="I418" s="45" t="s">
        <v>544</v>
      </c>
      <c r="J418" s="41" t="s">
        <v>56</v>
      </c>
      <c r="K418" s="43" t="str">
        <f t="array" ref="K418">IF(J418="","", XLOOKUP(J418,'⚙️ Pengaturan'!$E$2:$E3237,'⚙️ Pengaturan'!$G$2:$G3237))</f>
        <v>KLINIK FT PAKET</v>
      </c>
      <c r="L418" s="43" t="str">
        <f t="shared" si="3"/>
        <v>LANJUTAN</v>
      </c>
      <c r="M418" s="41" t="s">
        <v>31</v>
      </c>
      <c r="N418" s="46">
        <v>0.0</v>
      </c>
      <c r="O418" s="65">
        <v>650000.0</v>
      </c>
      <c r="P418" s="48">
        <v>650000.0</v>
      </c>
      <c r="Q418" s="49">
        <f t="shared" si="5"/>
        <v>0</v>
      </c>
      <c r="R418" s="41" t="s">
        <v>32</v>
      </c>
      <c r="S418" s="69" t="s">
        <v>33</v>
      </c>
      <c r="T418" s="51" t="b">
        <v>1</v>
      </c>
      <c r="U418" s="94" t="s">
        <v>672</v>
      </c>
    </row>
    <row r="419" ht="30.0" customHeight="1">
      <c r="A419" s="39"/>
      <c r="B419" s="40">
        <v>2452.0</v>
      </c>
      <c r="C419" s="41" t="s">
        <v>79</v>
      </c>
      <c r="D419" s="86">
        <v>46047.0</v>
      </c>
      <c r="E419" s="43" t="str">
        <f t="shared" si="1"/>
        <v>2026</v>
      </c>
      <c r="F419" s="43" t="str">
        <f t="shared" si="2"/>
        <v>01 Jan</v>
      </c>
      <c r="G419" s="126" t="s">
        <v>46</v>
      </c>
      <c r="H419" s="45" t="s">
        <v>47</v>
      </c>
      <c r="I419" s="45" t="s">
        <v>673</v>
      </c>
      <c r="J419" s="41" t="s">
        <v>28</v>
      </c>
      <c r="K419" s="43" t="str">
        <f t="array" ref="K419">IF(J419="","", XLOOKUP(J419,'⚙️ Pengaturan'!$E$2:$E3237,'⚙️ Pengaturan'!$G$2:$G3237))</f>
        <v>KLINIK FT TA</v>
      </c>
      <c r="L419" s="43" t="str">
        <f t="shared" si="3"/>
        <v>BARU</v>
      </c>
      <c r="M419" s="41" t="s">
        <v>31</v>
      </c>
      <c r="N419" s="46">
        <v>250000.0</v>
      </c>
      <c r="O419" s="65">
        <v>0.0</v>
      </c>
      <c r="P419" s="48">
        <f t="array" ref="P419">IFNA(XLOOKUP(J419,'⚙️ Pengaturan'!$E$2:$E3237,'⚙️ Pengaturan'!$F$2:$F3237),"")</f>
        <v>250000</v>
      </c>
      <c r="Q419" s="49">
        <f t="shared" si="5"/>
        <v>0</v>
      </c>
      <c r="R419" s="41" t="s">
        <v>32</v>
      </c>
      <c r="S419" s="69" t="s">
        <v>33</v>
      </c>
      <c r="T419" s="51" t="b">
        <v>1</v>
      </c>
      <c r="U419" s="94"/>
    </row>
    <row r="420" ht="30.0" customHeight="1">
      <c r="A420" s="39"/>
      <c r="B420" s="40">
        <v>2453.0</v>
      </c>
      <c r="C420" s="41" t="s">
        <v>79</v>
      </c>
      <c r="D420" s="86">
        <v>46047.0</v>
      </c>
      <c r="E420" s="43" t="str">
        <f t="shared" si="1"/>
        <v>2026</v>
      </c>
      <c r="F420" s="43" t="str">
        <f t="shared" si="2"/>
        <v>01 Jan</v>
      </c>
      <c r="G420" s="126" t="s">
        <v>46</v>
      </c>
      <c r="H420" s="45" t="s">
        <v>166</v>
      </c>
      <c r="I420" s="45" t="s">
        <v>674</v>
      </c>
      <c r="J420" s="41" t="s">
        <v>28</v>
      </c>
      <c r="K420" s="43" t="str">
        <f t="array" ref="K420">IF(J420="","", XLOOKUP(J420,'⚙️ Pengaturan'!$E$2:$E3237,'⚙️ Pengaturan'!$G$2:$G3237))</f>
        <v>KLINIK FT TA</v>
      </c>
      <c r="L420" s="43" t="str">
        <f t="shared" si="3"/>
        <v>BARU</v>
      </c>
      <c r="M420" s="41" t="s">
        <v>31</v>
      </c>
      <c r="N420" s="46">
        <v>250000.0</v>
      </c>
      <c r="O420" s="65">
        <v>0.0</v>
      </c>
      <c r="P420" s="48">
        <f t="array" ref="P420">IFNA(XLOOKUP(J420,'⚙️ Pengaturan'!$E$2:$E3237,'⚙️ Pengaturan'!$F$2:$F3237),"")</f>
        <v>250000</v>
      </c>
      <c r="Q420" s="49">
        <f t="shared" si="5"/>
        <v>0</v>
      </c>
      <c r="R420" s="41" t="s">
        <v>93</v>
      </c>
      <c r="S420" s="69" t="s">
        <v>674</v>
      </c>
      <c r="T420" s="51" t="b">
        <v>1</v>
      </c>
      <c r="U420" s="94"/>
    </row>
    <row r="421" ht="30.0" customHeight="1">
      <c r="A421" s="39"/>
      <c r="B421" s="40">
        <v>2454.0</v>
      </c>
      <c r="C421" s="41" t="s">
        <v>79</v>
      </c>
      <c r="D421" s="86">
        <v>46047.0</v>
      </c>
      <c r="E421" s="43" t="str">
        <f t="shared" si="1"/>
        <v>2026</v>
      </c>
      <c r="F421" s="43" t="str">
        <f t="shared" si="2"/>
        <v>01 Jan</v>
      </c>
      <c r="G421" s="126" t="s">
        <v>46</v>
      </c>
      <c r="H421" s="45" t="s">
        <v>162</v>
      </c>
      <c r="I421" s="45" t="s">
        <v>581</v>
      </c>
      <c r="J421" s="41" t="s">
        <v>180</v>
      </c>
      <c r="K421" s="43" t="str">
        <f t="array" ref="K421">IF(J421="","", XLOOKUP(J421,'⚙️ Pengaturan'!$E$2:$E3237,'⚙️ Pengaturan'!$G$2:$G3237))</f>
        <v>KLINIK FT SESI</v>
      </c>
      <c r="L421" s="43" t="str">
        <f t="shared" si="3"/>
        <v>LANJUTAN</v>
      </c>
      <c r="M421" s="41" t="s">
        <v>31</v>
      </c>
      <c r="N421" s="46">
        <v>150000.0</v>
      </c>
      <c r="O421" s="65">
        <v>0.0</v>
      </c>
      <c r="P421" s="48">
        <f t="array" ref="P421">IFNA(XLOOKUP(J421,'⚙️ Pengaturan'!$E$2:$E3237,'⚙️ Pengaturan'!$F$2:$F3237),"")</f>
        <v>150000</v>
      </c>
      <c r="Q421" s="49">
        <f t="shared" si="5"/>
        <v>0</v>
      </c>
      <c r="R421" s="41" t="s">
        <v>32</v>
      </c>
      <c r="S421" s="69" t="s">
        <v>33</v>
      </c>
      <c r="T421" s="51" t="b">
        <v>1</v>
      </c>
      <c r="U421" s="94"/>
    </row>
    <row r="422" ht="30.0" customHeight="1">
      <c r="A422" s="39"/>
      <c r="B422" s="40">
        <v>2455.0</v>
      </c>
      <c r="C422" s="41" t="s">
        <v>79</v>
      </c>
      <c r="D422" s="86">
        <v>46048.0</v>
      </c>
      <c r="E422" s="43" t="str">
        <f t="shared" si="1"/>
        <v>2026</v>
      </c>
      <c r="F422" s="43" t="str">
        <f t="shared" si="2"/>
        <v>01 Jan</v>
      </c>
      <c r="G422" s="126" t="s">
        <v>195</v>
      </c>
      <c r="H422" s="45" t="s">
        <v>162</v>
      </c>
      <c r="I422" s="45" t="s">
        <v>675</v>
      </c>
      <c r="J422" s="41" t="s">
        <v>28</v>
      </c>
      <c r="K422" s="43" t="str">
        <f t="array" ref="K422">IF(J422="","", XLOOKUP(J422,'⚙️ Pengaturan'!$E$2:$E3237,'⚙️ Pengaturan'!$G$2:$G3237))</f>
        <v>KLINIK FT TA</v>
      </c>
      <c r="L422" s="43" t="str">
        <f t="shared" si="3"/>
        <v>BARU</v>
      </c>
      <c r="M422" s="41" t="s">
        <v>31</v>
      </c>
      <c r="N422" s="46">
        <v>250000.0</v>
      </c>
      <c r="O422" s="65">
        <v>0.0</v>
      </c>
      <c r="P422" s="48">
        <f t="array" ref="P422">IFNA(XLOOKUP(J422,'⚙️ Pengaturan'!$E$2:$E3237,'⚙️ Pengaturan'!$F$2:$F3237),"")</f>
        <v>250000</v>
      </c>
      <c r="Q422" s="49">
        <f t="shared" si="5"/>
        <v>0</v>
      </c>
      <c r="R422" s="41" t="s">
        <v>32</v>
      </c>
      <c r="S422" s="69" t="s">
        <v>33</v>
      </c>
      <c r="T422" s="51" t="b">
        <v>1</v>
      </c>
      <c r="U422" s="94"/>
    </row>
    <row r="423" ht="30.0" customHeight="1">
      <c r="A423" s="39"/>
      <c r="B423" s="40">
        <v>2456.0</v>
      </c>
      <c r="C423" s="41" t="s">
        <v>79</v>
      </c>
      <c r="D423" s="86">
        <v>46048.0</v>
      </c>
      <c r="E423" s="43" t="str">
        <f t="shared" si="1"/>
        <v>2026</v>
      </c>
      <c r="F423" s="43" t="str">
        <f t="shared" si="2"/>
        <v>01 Jan</v>
      </c>
      <c r="G423" s="126" t="s">
        <v>195</v>
      </c>
      <c r="H423" s="45" t="s">
        <v>26</v>
      </c>
      <c r="I423" s="45" t="s">
        <v>643</v>
      </c>
      <c r="J423" s="41" t="s">
        <v>180</v>
      </c>
      <c r="K423" s="43" t="str">
        <f t="array" ref="K423">IF(J423="","", XLOOKUP(J423,'⚙️ Pengaturan'!$E$2:$E3237,'⚙️ Pengaturan'!$G$2:$G3237))</f>
        <v>KLINIK FT SESI</v>
      </c>
      <c r="L423" s="43" t="str">
        <f t="shared" si="3"/>
        <v>BARU</v>
      </c>
      <c r="M423" s="41" t="s">
        <v>31</v>
      </c>
      <c r="N423" s="46">
        <v>150000.0</v>
      </c>
      <c r="O423" s="65">
        <v>0.0</v>
      </c>
      <c r="P423" s="48">
        <f t="array" ref="P423">IFNA(XLOOKUP(J423,'⚙️ Pengaturan'!$E$2:$E3237,'⚙️ Pengaturan'!$F$2:$F3237),"")</f>
        <v>150000</v>
      </c>
      <c r="Q423" s="49">
        <f t="shared" si="5"/>
        <v>0</v>
      </c>
      <c r="R423" s="41" t="s">
        <v>32</v>
      </c>
      <c r="S423" s="69" t="s">
        <v>33</v>
      </c>
      <c r="T423" s="51" t="b">
        <v>1</v>
      </c>
      <c r="U423" s="94"/>
    </row>
    <row r="424" ht="30.0" customHeight="1">
      <c r="A424" s="39"/>
      <c r="B424" s="40">
        <v>2457.0</v>
      </c>
      <c r="C424" s="41" t="s">
        <v>79</v>
      </c>
      <c r="D424" s="86">
        <v>46048.0</v>
      </c>
      <c r="E424" s="43" t="str">
        <f t="shared" si="1"/>
        <v>2026</v>
      </c>
      <c r="F424" s="43" t="str">
        <f t="shared" si="2"/>
        <v>01 Jan</v>
      </c>
      <c r="G424" s="126" t="s">
        <v>195</v>
      </c>
      <c r="H424" s="45" t="s">
        <v>166</v>
      </c>
      <c r="I424" s="45" t="s">
        <v>676</v>
      </c>
      <c r="J424" s="41" t="s">
        <v>28</v>
      </c>
      <c r="K424" s="43" t="str">
        <f t="array" ref="K424">IF(J424="","", XLOOKUP(J424,'⚙️ Pengaturan'!$E$2:$E3237,'⚙️ Pengaturan'!$G$2:$G3237))</f>
        <v>KLINIK FT TA</v>
      </c>
      <c r="L424" s="43" t="str">
        <f t="shared" si="3"/>
        <v>BARU</v>
      </c>
      <c r="M424" s="41" t="s">
        <v>31</v>
      </c>
      <c r="N424" s="46">
        <v>250000.0</v>
      </c>
      <c r="O424" s="65">
        <v>0.0</v>
      </c>
      <c r="P424" s="48">
        <f t="array" ref="P424">IFNA(XLOOKUP(J424,'⚙️ Pengaturan'!$E$2:$E3237,'⚙️ Pengaturan'!$F$2:$F3237),"")</f>
        <v>250000</v>
      </c>
      <c r="Q424" s="49">
        <f t="shared" si="5"/>
        <v>0</v>
      </c>
      <c r="R424" s="41" t="s">
        <v>32</v>
      </c>
      <c r="S424" s="69" t="s">
        <v>33</v>
      </c>
      <c r="T424" s="51" t="b">
        <v>1</v>
      </c>
      <c r="U424" s="94"/>
    </row>
    <row r="425" ht="30.0" customHeight="1">
      <c r="A425" s="39"/>
      <c r="B425" s="40">
        <v>2458.0</v>
      </c>
      <c r="C425" s="41" t="s">
        <v>79</v>
      </c>
      <c r="D425" s="86">
        <v>46048.0</v>
      </c>
      <c r="E425" s="43" t="str">
        <f t="shared" si="1"/>
        <v>2026</v>
      </c>
      <c r="F425" s="43" t="str">
        <f t="shared" si="2"/>
        <v>01 Jan</v>
      </c>
      <c r="G425" s="126" t="s">
        <v>206</v>
      </c>
      <c r="H425" s="45" t="s">
        <v>150</v>
      </c>
      <c r="I425" s="45" t="s">
        <v>327</v>
      </c>
      <c r="J425" s="41" t="s">
        <v>180</v>
      </c>
      <c r="K425" s="43" t="str">
        <f t="array" ref="K425">IF(J425="","", XLOOKUP(J425,'⚙️ Pengaturan'!$E$2:$E3237,'⚙️ Pengaturan'!$G$2:$G3237))</f>
        <v>KLINIK FT SESI</v>
      </c>
      <c r="L425" s="43" t="str">
        <f t="shared" si="3"/>
        <v>LANJUTAN</v>
      </c>
      <c r="M425" s="41" t="s">
        <v>31</v>
      </c>
      <c r="N425" s="46">
        <v>150000.0</v>
      </c>
      <c r="O425" s="65">
        <v>0.0</v>
      </c>
      <c r="P425" s="48">
        <f t="array" ref="P425">IFNA(XLOOKUP(J425,'⚙️ Pengaturan'!$E$2:$E3237,'⚙️ Pengaturan'!$F$2:$F3237),"")</f>
        <v>150000</v>
      </c>
      <c r="Q425" s="49">
        <f t="shared" si="5"/>
        <v>0</v>
      </c>
      <c r="R425" s="41" t="s">
        <v>118</v>
      </c>
      <c r="S425" s="69" t="s">
        <v>327</v>
      </c>
      <c r="T425" s="51" t="b">
        <v>1</v>
      </c>
      <c r="U425" s="94"/>
    </row>
    <row r="426" ht="30.0" customHeight="1">
      <c r="A426" s="39"/>
      <c r="B426" s="40">
        <v>2459.0</v>
      </c>
      <c r="C426" s="41" t="s">
        <v>79</v>
      </c>
      <c r="D426" s="86">
        <v>46048.0</v>
      </c>
      <c r="E426" s="43" t="str">
        <f t="shared" si="1"/>
        <v>2026</v>
      </c>
      <c r="F426" s="43" t="str">
        <f t="shared" si="2"/>
        <v>01 Jan</v>
      </c>
      <c r="G426" s="126" t="s">
        <v>206</v>
      </c>
      <c r="H426" s="45" t="s">
        <v>156</v>
      </c>
      <c r="I426" s="45" t="s">
        <v>642</v>
      </c>
      <c r="J426" s="41" t="s">
        <v>180</v>
      </c>
      <c r="K426" s="43" t="str">
        <f t="array" ref="K426">IF(J426="","", XLOOKUP(J426,'⚙️ Pengaturan'!$E$2:$E3237,'⚙️ Pengaturan'!$G$2:$G3237))</f>
        <v>KLINIK FT SESI</v>
      </c>
      <c r="L426" s="43" t="str">
        <f t="shared" si="3"/>
        <v>BARU</v>
      </c>
      <c r="M426" s="41" t="s">
        <v>31</v>
      </c>
      <c r="N426" s="46">
        <v>150000.0</v>
      </c>
      <c r="O426" s="65">
        <v>0.0</v>
      </c>
      <c r="P426" s="48">
        <f t="array" ref="P426">IFNA(XLOOKUP(J426,'⚙️ Pengaturan'!$E$2:$E3237,'⚙️ Pengaturan'!$F$2:$F3237),"")</f>
        <v>150000</v>
      </c>
      <c r="Q426" s="49">
        <f t="shared" si="5"/>
        <v>0</v>
      </c>
      <c r="R426" s="41" t="s">
        <v>118</v>
      </c>
      <c r="S426" s="69" t="s">
        <v>642</v>
      </c>
      <c r="T426" s="51" t="b">
        <v>1</v>
      </c>
      <c r="U426" s="94"/>
    </row>
    <row r="427" ht="30.0" customHeight="1">
      <c r="A427" s="39"/>
      <c r="B427" s="40">
        <v>2460.0</v>
      </c>
      <c r="C427" s="41" t="s">
        <v>79</v>
      </c>
      <c r="D427" s="86">
        <v>46048.0</v>
      </c>
      <c r="E427" s="43" t="str">
        <f t="shared" si="1"/>
        <v>2026</v>
      </c>
      <c r="F427" s="43" t="str">
        <f t="shared" si="2"/>
        <v>01 Jan</v>
      </c>
      <c r="G427" s="126" t="s">
        <v>161</v>
      </c>
      <c r="H427" s="45" t="s">
        <v>166</v>
      </c>
      <c r="I427" s="45" t="s">
        <v>677</v>
      </c>
      <c r="J427" s="41" t="s">
        <v>28</v>
      </c>
      <c r="K427" s="43" t="str">
        <f t="array" ref="K427">IF(J427="","", XLOOKUP(J427,'⚙️ Pengaturan'!$E$2:$E3237,'⚙️ Pengaturan'!$G$2:$G3237))</f>
        <v>KLINIK FT TA</v>
      </c>
      <c r="L427" s="43" t="str">
        <f t="shared" si="3"/>
        <v>BARU</v>
      </c>
      <c r="M427" s="41" t="s">
        <v>31</v>
      </c>
      <c r="N427" s="46">
        <v>250000.0</v>
      </c>
      <c r="O427" s="65">
        <v>0.0</v>
      </c>
      <c r="P427" s="48">
        <f t="array" ref="P427">IFNA(XLOOKUP(J427,'⚙️ Pengaturan'!$E$2:$E3237,'⚙️ Pengaturan'!$F$2:$F3237),"")</f>
        <v>250000</v>
      </c>
      <c r="Q427" s="49">
        <f t="shared" si="5"/>
        <v>0</v>
      </c>
      <c r="R427" s="41" t="s">
        <v>37</v>
      </c>
      <c r="S427" s="69" t="s">
        <v>677</v>
      </c>
      <c r="T427" s="51" t="b">
        <v>1</v>
      </c>
      <c r="U427" s="94"/>
    </row>
    <row r="428" ht="30.0" customHeight="1">
      <c r="A428" s="39"/>
      <c r="B428" s="40">
        <v>2461.0</v>
      </c>
      <c r="C428" s="41" t="s">
        <v>79</v>
      </c>
      <c r="D428" s="86">
        <v>46048.0</v>
      </c>
      <c r="E428" s="43" t="str">
        <f t="shared" si="1"/>
        <v>2026</v>
      </c>
      <c r="F428" s="43" t="str">
        <f t="shared" si="2"/>
        <v>01 Jan</v>
      </c>
      <c r="G428" s="126" t="s">
        <v>161</v>
      </c>
      <c r="H428" s="45" t="s">
        <v>162</v>
      </c>
      <c r="I428" s="45" t="s">
        <v>678</v>
      </c>
      <c r="J428" s="41" t="s">
        <v>28</v>
      </c>
      <c r="K428" s="43" t="str">
        <f t="array" ref="K428">IF(J428="","", XLOOKUP(J428,'⚙️ Pengaturan'!$E$2:$E3237,'⚙️ Pengaturan'!$G$2:$G3237))</f>
        <v>KLINIK FT TA</v>
      </c>
      <c r="L428" s="43" t="str">
        <f t="shared" si="3"/>
        <v>BARU</v>
      </c>
      <c r="M428" s="41" t="s">
        <v>31</v>
      </c>
      <c r="N428" s="46">
        <v>200000.0</v>
      </c>
      <c r="O428" s="65">
        <v>50000.0</v>
      </c>
      <c r="P428" s="48">
        <f t="array" ref="P428">IFNA(XLOOKUP(J428,'⚙️ Pengaturan'!$E$2:$E3237,'⚙️ Pengaturan'!$F$2:$F3237),"")</f>
        <v>250000</v>
      </c>
      <c r="Q428" s="49">
        <f t="shared" si="5"/>
        <v>0</v>
      </c>
      <c r="R428" s="41" t="s">
        <v>32</v>
      </c>
      <c r="S428" s="69" t="s">
        <v>33</v>
      </c>
      <c r="T428" s="51" t="b">
        <v>1</v>
      </c>
      <c r="U428" s="94"/>
    </row>
    <row r="429" ht="30.0" customHeight="1">
      <c r="A429" s="39"/>
      <c r="B429" s="40">
        <v>2462.0</v>
      </c>
      <c r="C429" s="41" t="s">
        <v>79</v>
      </c>
      <c r="D429" s="86">
        <v>46048.0</v>
      </c>
      <c r="E429" s="43" t="str">
        <f t="shared" si="1"/>
        <v>2026</v>
      </c>
      <c r="F429" s="43" t="str">
        <f t="shared" si="2"/>
        <v>01 Jan</v>
      </c>
      <c r="G429" s="126" t="s">
        <v>69</v>
      </c>
      <c r="H429" s="45" t="s">
        <v>96</v>
      </c>
      <c r="I429" s="45" t="s">
        <v>586</v>
      </c>
      <c r="J429" s="41" t="s">
        <v>138</v>
      </c>
      <c r="K429" s="43" t="str">
        <f t="array" ref="K429">IF(J429="","", XLOOKUP(J429,'⚙️ Pengaturan'!$E$2:$E3237,'⚙️ Pengaturan'!$G$2:$G3237))</f>
        <v>VISIT FT PAKET</v>
      </c>
      <c r="L429" s="43" t="str">
        <f t="shared" si="3"/>
        <v>LANJUTAN</v>
      </c>
      <c r="M429" s="41" t="s">
        <v>164</v>
      </c>
      <c r="N429" s="46">
        <v>800000.0</v>
      </c>
      <c r="O429" s="65">
        <v>1000000.0</v>
      </c>
      <c r="P429" s="48">
        <f t="array" ref="P429">IFNA(XLOOKUP(J429,'⚙️ Pengaturan'!$E$2:$E3237,'⚙️ Pengaturan'!$F$2:$F3237),"")</f>
        <v>1800000</v>
      </c>
      <c r="Q429" s="49">
        <f t="shared" si="5"/>
        <v>0</v>
      </c>
      <c r="R429" s="41" t="s">
        <v>32</v>
      </c>
      <c r="S429" s="69" t="s">
        <v>33</v>
      </c>
      <c r="T429" s="51" t="b">
        <v>1</v>
      </c>
      <c r="U429" s="94"/>
    </row>
    <row r="430" ht="30.0" customHeight="1">
      <c r="A430" s="39"/>
      <c r="B430" s="40">
        <v>2463.0</v>
      </c>
      <c r="C430" s="41" t="s">
        <v>79</v>
      </c>
      <c r="D430" s="86">
        <v>46048.0</v>
      </c>
      <c r="E430" s="43" t="str">
        <f t="shared" si="1"/>
        <v>2026</v>
      </c>
      <c r="F430" s="43" t="str">
        <f t="shared" si="2"/>
        <v>01 Jan</v>
      </c>
      <c r="G430" s="126" t="s">
        <v>161</v>
      </c>
      <c r="H430" s="45" t="s">
        <v>166</v>
      </c>
      <c r="I430" s="45" t="s">
        <v>677</v>
      </c>
      <c r="J430" s="41" t="s">
        <v>353</v>
      </c>
      <c r="K430" s="43" t="str">
        <f t="array" ref="K430">IF(J430="","", XLOOKUP(J430,'⚙️ Pengaturan'!$E$2:$E3237,'⚙️ Pengaturan'!$G$2:$G3237))</f>
        <v>STORE  </v>
      </c>
      <c r="L430" s="43" t="str">
        <f t="shared" si="3"/>
        <v>BARU</v>
      </c>
      <c r="M430" s="41" t="s">
        <v>31</v>
      </c>
      <c r="N430" s="46">
        <v>25000.0</v>
      </c>
      <c r="O430" s="65">
        <v>0.0</v>
      </c>
      <c r="P430" s="48">
        <f t="array" ref="P430">IFNA(XLOOKUP(J430,'⚙️ Pengaturan'!$E$2:$E3237,'⚙️ Pengaturan'!$F$2:$F3237),"")</f>
        <v>25000</v>
      </c>
      <c r="Q430" s="49">
        <f t="shared" si="5"/>
        <v>0</v>
      </c>
      <c r="R430" s="41" t="s">
        <v>37</v>
      </c>
      <c r="S430" s="69" t="s">
        <v>677</v>
      </c>
      <c r="T430" s="51" t="b">
        <v>1</v>
      </c>
      <c r="U430" s="94"/>
    </row>
    <row r="431" ht="30.0" customHeight="1">
      <c r="A431" s="39"/>
      <c r="B431" s="40">
        <v>2464.0</v>
      </c>
      <c r="C431" s="41" t="s">
        <v>50</v>
      </c>
      <c r="D431" s="86">
        <v>46048.0</v>
      </c>
      <c r="E431" s="43" t="str">
        <f t="shared" si="1"/>
        <v>2026</v>
      </c>
      <c r="F431" s="43" t="str">
        <f t="shared" si="2"/>
        <v>01 Jan</v>
      </c>
      <c r="G431" s="126" t="s">
        <v>40</v>
      </c>
      <c r="H431" s="45" t="s">
        <v>96</v>
      </c>
      <c r="I431" s="45" t="s">
        <v>651</v>
      </c>
      <c r="J431" s="41" t="s">
        <v>180</v>
      </c>
      <c r="K431" s="43" t="str">
        <f t="array" ref="K431">IF(J431="","", XLOOKUP(J431,'⚙️ Pengaturan'!$E$2:$E3237,'⚙️ Pengaturan'!$G$2:$G3237))</f>
        <v>KLINIK FT SESI</v>
      </c>
      <c r="L431" s="43" t="str">
        <f t="shared" si="3"/>
        <v>BARU</v>
      </c>
      <c r="M431" s="41" t="s">
        <v>31</v>
      </c>
      <c r="N431" s="46">
        <v>150000.0</v>
      </c>
      <c r="O431" s="65">
        <v>0.0</v>
      </c>
      <c r="P431" s="48">
        <f t="array" ref="P431">IFNA(XLOOKUP(J431,'⚙️ Pengaturan'!$E$2:$E3237,'⚙️ Pengaturan'!$F$2:$F3237),"")</f>
        <v>150000</v>
      </c>
      <c r="Q431" s="49">
        <f t="shared" si="5"/>
        <v>0</v>
      </c>
      <c r="R431" s="41" t="s">
        <v>32</v>
      </c>
      <c r="S431" s="69" t="s">
        <v>33</v>
      </c>
      <c r="T431" s="51" t="b">
        <v>1</v>
      </c>
      <c r="U431" s="94"/>
    </row>
    <row r="432" ht="30.0" customHeight="1">
      <c r="A432" s="39"/>
      <c r="B432" s="40">
        <v>2465.0</v>
      </c>
      <c r="C432" s="41" t="s">
        <v>50</v>
      </c>
      <c r="D432" s="86">
        <v>46048.0</v>
      </c>
      <c r="E432" s="43" t="str">
        <f t="shared" si="1"/>
        <v>2026</v>
      </c>
      <c r="F432" s="43" t="str">
        <f t="shared" si="2"/>
        <v>01 Jan</v>
      </c>
      <c r="G432" s="126" t="s">
        <v>40</v>
      </c>
      <c r="H432" s="45" t="s">
        <v>47</v>
      </c>
      <c r="I432" s="45" t="s">
        <v>650</v>
      </c>
      <c r="J432" s="41" t="s">
        <v>180</v>
      </c>
      <c r="K432" s="43" t="str">
        <f t="array" ref="K432">IF(J432="","", XLOOKUP(J432,'⚙️ Pengaturan'!$E$2:$E3237,'⚙️ Pengaturan'!$G$2:$G3237))</f>
        <v>KLINIK FT SESI</v>
      </c>
      <c r="L432" s="43" t="str">
        <f t="shared" si="3"/>
        <v>BARU</v>
      </c>
      <c r="M432" s="41" t="s">
        <v>31</v>
      </c>
      <c r="N432" s="46">
        <v>150000.0</v>
      </c>
      <c r="O432" s="65">
        <v>0.0</v>
      </c>
      <c r="P432" s="48">
        <f t="array" ref="P432">IFNA(XLOOKUP(J432,'⚙️ Pengaturan'!$E$2:$E3237,'⚙️ Pengaturan'!$F$2:$F3237),"")</f>
        <v>150000</v>
      </c>
      <c r="Q432" s="49">
        <f t="shared" si="5"/>
        <v>0</v>
      </c>
      <c r="R432" s="41" t="s">
        <v>32</v>
      </c>
      <c r="S432" s="69" t="s">
        <v>33</v>
      </c>
      <c r="T432" s="51" t="b">
        <v>1</v>
      </c>
      <c r="U432" s="94"/>
    </row>
    <row r="433" ht="30.0" customHeight="1">
      <c r="A433" s="39"/>
      <c r="B433" s="40">
        <v>2466.0</v>
      </c>
      <c r="C433" s="41" t="s">
        <v>50</v>
      </c>
      <c r="D433" s="86">
        <v>46048.0</v>
      </c>
      <c r="E433" s="43" t="str">
        <f t="shared" si="1"/>
        <v>2026</v>
      </c>
      <c r="F433" s="43" t="str">
        <f t="shared" si="2"/>
        <v>01 Jan</v>
      </c>
      <c r="G433" s="126" t="s">
        <v>40</v>
      </c>
      <c r="H433" s="45" t="s">
        <v>149</v>
      </c>
      <c r="I433" s="45" t="s">
        <v>666</v>
      </c>
      <c r="J433" s="41" t="s">
        <v>356</v>
      </c>
      <c r="K433" s="43" t="str">
        <f t="array" ref="K433">IF(J433="","", XLOOKUP(J433,'⚙️ Pengaturan'!$E$2:$E3237,'⚙️ Pengaturan'!$G$2:$G3237))</f>
        <v>STORE  </v>
      </c>
      <c r="L433" s="43" t="str">
        <f t="shared" si="3"/>
        <v>BARU</v>
      </c>
      <c r="M433" s="41" t="s">
        <v>31</v>
      </c>
      <c r="N433" s="46">
        <v>45000.0</v>
      </c>
      <c r="O433" s="65">
        <v>0.0</v>
      </c>
      <c r="P433" s="48">
        <f t="array" ref="P433">IFNA(XLOOKUP(J433,'⚙️ Pengaturan'!$E$2:$E3237,'⚙️ Pengaturan'!$F$2:$F3237),"")</f>
        <v>45000</v>
      </c>
      <c r="Q433" s="49">
        <f t="shared" si="5"/>
        <v>0</v>
      </c>
      <c r="R433" s="41" t="s">
        <v>32</v>
      </c>
      <c r="S433" s="69" t="s">
        <v>33</v>
      </c>
      <c r="T433" s="51" t="b">
        <v>1</v>
      </c>
      <c r="U433" s="94"/>
    </row>
    <row r="434" ht="30.0" customHeight="1">
      <c r="A434" s="39"/>
      <c r="B434" s="40">
        <v>2467.0</v>
      </c>
      <c r="C434" s="41" t="s">
        <v>50</v>
      </c>
      <c r="D434" s="86">
        <v>46048.0</v>
      </c>
      <c r="E434" s="43" t="str">
        <f t="shared" si="1"/>
        <v>2026</v>
      </c>
      <c r="F434" s="43" t="str">
        <f t="shared" si="2"/>
        <v>01 Jan</v>
      </c>
      <c r="G434" s="126" t="s">
        <v>40</v>
      </c>
      <c r="H434" s="45" t="s">
        <v>149</v>
      </c>
      <c r="I434" s="45" t="s">
        <v>666</v>
      </c>
      <c r="J434" s="41" t="s">
        <v>356</v>
      </c>
      <c r="K434" s="43" t="str">
        <f t="array" ref="K434">IF(J434="","", XLOOKUP(J434,'⚙️ Pengaturan'!$E$2:$E3237,'⚙️ Pengaturan'!$G$2:$G3237))</f>
        <v>STORE  </v>
      </c>
      <c r="L434" s="43" t="str">
        <f t="shared" si="3"/>
        <v>LANJUTAN</v>
      </c>
      <c r="M434" s="41" t="s">
        <v>31</v>
      </c>
      <c r="N434" s="46">
        <v>45000.0</v>
      </c>
      <c r="O434" s="65">
        <v>0.0</v>
      </c>
      <c r="P434" s="48">
        <f t="array" ref="P434">IFNA(XLOOKUP(J434,'⚙️ Pengaturan'!$E$2:$E3237,'⚙️ Pengaturan'!$F$2:$F3237),"")</f>
        <v>45000</v>
      </c>
      <c r="Q434" s="49">
        <f t="shared" si="5"/>
        <v>0</v>
      </c>
      <c r="R434" s="41" t="s">
        <v>32</v>
      </c>
      <c r="S434" s="69" t="s">
        <v>33</v>
      </c>
      <c r="T434" s="51" t="b">
        <v>1</v>
      </c>
      <c r="U434" s="94"/>
    </row>
    <row r="435" ht="30.0" customHeight="1">
      <c r="A435" s="39"/>
      <c r="B435" s="40">
        <v>2468.0</v>
      </c>
      <c r="C435" s="41" t="s">
        <v>50</v>
      </c>
      <c r="D435" s="86">
        <v>46048.0</v>
      </c>
      <c r="E435" s="43" t="str">
        <f t="shared" si="1"/>
        <v>2026</v>
      </c>
      <c r="F435" s="43" t="str">
        <f t="shared" si="2"/>
        <v>01 Jan</v>
      </c>
      <c r="G435" s="126" t="s">
        <v>40</v>
      </c>
      <c r="H435" s="45" t="s">
        <v>149</v>
      </c>
      <c r="I435" s="45" t="s">
        <v>666</v>
      </c>
      <c r="J435" s="41" t="s">
        <v>356</v>
      </c>
      <c r="K435" s="43" t="str">
        <f t="array" ref="K435">IF(J435="","", XLOOKUP(J435,'⚙️ Pengaturan'!$E$2:$E3237,'⚙️ Pengaturan'!$G$2:$G3237))</f>
        <v>STORE  </v>
      </c>
      <c r="L435" s="43" t="str">
        <f t="shared" si="3"/>
        <v>LANJUTAN</v>
      </c>
      <c r="M435" s="41" t="s">
        <v>31</v>
      </c>
      <c r="N435" s="46">
        <v>45000.0</v>
      </c>
      <c r="O435" s="65">
        <v>0.0</v>
      </c>
      <c r="P435" s="48">
        <f t="array" ref="P435">IFNA(XLOOKUP(J435,'⚙️ Pengaturan'!$E$2:$E3237,'⚙️ Pengaturan'!$F$2:$F3237),"")</f>
        <v>45000</v>
      </c>
      <c r="Q435" s="49">
        <f t="shared" si="5"/>
        <v>0</v>
      </c>
      <c r="R435" s="41" t="s">
        <v>32</v>
      </c>
      <c r="S435" s="69" t="s">
        <v>33</v>
      </c>
      <c r="T435" s="51" t="b">
        <v>1</v>
      </c>
      <c r="U435" s="94"/>
    </row>
    <row r="436" ht="30.0" customHeight="1">
      <c r="A436" s="39"/>
      <c r="B436" s="40">
        <v>2469.0</v>
      </c>
      <c r="C436" s="41" t="s">
        <v>50</v>
      </c>
      <c r="D436" s="86">
        <v>46048.0</v>
      </c>
      <c r="E436" s="43" t="str">
        <f t="shared" si="1"/>
        <v>2026</v>
      </c>
      <c r="F436" s="43" t="str">
        <f t="shared" si="2"/>
        <v>01 Jan</v>
      </c>
      <c r="G436" s="126" t="s">
        <v>40</v>
      </c>
      <c r="H436" s="45" t="s">
        <v>149</v>
      </c>
      <c r="I436" s="45" t="s">
        <v>666</v>
      </c>
      <c r="J436" s="41" t="s">
        <v>356</v>
      </c>
      <c r="K436" s="43" t="str">
        <f t="array" ref="K436">IF(J436="","", XLOOKUP(J436,'⚙️ Pengaturan'!$E$2:$E3237,'⚙️ Pengaturan'!$G$2:$G3237))</f>
        <v>STORE  </v>
      </c>
      <c r="L436" s="43" t="str">
        <f t="shared" si="3"/>
        <v>LANJUTAN</v>
      </c>
      <c r="M436" s="41" t="s">
        <v>31</v>
      </c>
      <c r="N436" s="46">
        <v>45000.0</v>
      </c>
      <c r="O436" s="65">
        <v>0.0</v>
      </c>
      <c r="P436" s="48">
        <f t="array" ref="P436">IFNA(XLOOKUP(J436,'⚙️ Pengaturan'!$E$2:$E3237,'⚙️ Pengaturan'!$F$2:$F3237),"")</f>
        <v>45000</v>
      </c>
      <c r="Q436" s="49">
        <f t="shared" si="5"/>
        <v>0</v>
      </c>
      <c r="R436" s="41" t="s">
        <v>32</v>
      </c>
      <c r="S436" s="69" t="s">
        <v>33</v>
      </c>
      <c r="T436" s="51" t="b">
        <v>1</v>
      </c>
      <c r="U436" s="94"/>
    </row>
    <row r="437" ht="30.0" customHeight="1">
      <c r="A437" s="39"/>
      <c r="B437" s="40">
        <v>2470.0</v>
      </c>
      <c r="C437" s="41" t="s">
        <v>50</v>
      </c>
      <c r="D437" s="86">
        <v>46048.0</v>
      </c>
      <c r="E437" s="43" t="str">
        <f t="shared" si="1"/>
        <v>2026</v>
      </c>
      <c r="F437" s="43" t="str">
        <f t="shared" si="2"/>
        <v>01 Jan</v>
      </c>
      <c r="G437" s="126" t="s">
        <v>40</v>
      </c>
      <c r="H437" s="45" t="s">
        <v>149</v>
      </c>
      <c r="I437" s="45" t="s">
        <v>666</v>
      </c>
      <c r="J437" s="41" t="s">
        <v>355</v>
      </c>
      <c r="K437" s="43" t="str">
        <f t="array" ref="K437">IF(J437="","", XLOOKUP(J437,'⚙️ Pengaturan'!$E$2:$E3237,'⚙️ Pengaturan'!$G$2:$G3237))</f>
        <v>STORE  </v>
      </c>
      <c r="L437" s="43" t="str">
        <f t="shared" si="3"/>
        <v>BARU</v>
      </c>
      <c r="M437" s="41" t="s">
        <v>31</v>
      </c>
      <c r="N437" s="46">
        <v>50000.0</v>
      </c>
      <c r="O437" s="65">
        <v>0.0</v>
      </c>
      <c r="P437" s="48">
        <f t="array" ref="P437">IFNA(XLOOKUP(J437,'⚙️ Pengaturan'!$E$2:$E3237,'⚙️ Pengaturan'!$F$2:$F3237),"")</f>
        <v>50000</v>
      </c>
      <c r="Q437" s="49">
        <f t="shared" si="5"/>
        <v>0</v>
      </c>
      <c r="R437" s="41" t="s">
        <v>32</v>
      </c>
      <c r="S437" s="69" t="s">
        <v>33</v>
      </c>
      <c r="T437" s="51" t="b">
        <v>1</v>
      </c>
      <c r="U437" s="94"/>
    </row>
    <row r="438" ht="30.0" customHeight="1">
      <c r="A438" s="39"/>
      <c r="B438" s="40">
        <v>2471.0</v>
      </c>
      <c r="C438" s="41" t="s">
        <v>50</v>
      </c>
      <c r="D438" s="86">
        <v>46048.0</v>
      </c>
      <c r="E438" s="43" t="str">
        <f t="shared" si="1"/>
        <v>2026</v>
      </c>
      <c r="F438" s="43" t="str">
        <f t="shared" si="2"/>
        <v>01 Jan</v>
      </c>
      <c r="G438" s="126" t="s">
        <v>43</v>
      </c>
      <c r="H438" s="45" t="s">
        <v>96</v>
      </c>
      <c r="I438" s="45" t="s">
        <v>679</v>
      </c>
      <c r="J438" s="41" t="s">
        <v>28</v>
      </c>
      <c r="K438" s="43" t="str">
        <f t="array" ref="K438">IF(J438="","", XLOOKUP(J438,'⚙️ Pengaturan'!$E$2:$E3237,'⚙️ Pengaturan'!$G$2:$G3237))</f>
        <v>KLINIK FT TA</v>
      </c>
      <c r="L438" s="43" t="str">
        <f t="shared" si="3"/>
        <v>BARU</v>
      </c>
      <c r="M438" s="41" t="s">
        <v>31</v>
      </c>
      <c r="N438" s="46">
        <v>250000.0</v>
      </c>
      <c r="O438" s="65">
        <v>0.0</v>
      </c>
      <c r="P438" s="48">
        <f t="array" ref="P438">IFNA(XLOOKUP(J438,'⚙️ Pengaturan'!$E$2:$E3237,'⚙️ Pengaturan'!$F$2:$F3237),"")</f>
        <v>250000</v>
      </c>
      <c r="Q438" s="49">
        <f t="shared" si="5"/>
        <v>0</v>
      </c>
      <c r="R438" s="41" t="s">
        <v>32</v>
      </c>
      <c r="S438" s="69" t="s">
        <v>33</v>
      </c>
      <c r="T438" s="51" t="b">
        <v>1</v>
      </c>
      <c r="U438" s="94"/>
    </row>
    <row r="439" ht="30.0" customHeight="1">
      <c r="A439" s="39"/>
      <c r="B439" s="40">
        <v>2472.0</v>
      </c>
      <c r="C439" s="41" t="s">
        <v>50</v>
      </c>
      <c r="D439" s="86">
        <v>46048.0</v>
      </c>
      <c r="E439" s="43" t="str">
        <f t="shared" si="1"/>
        <v>2026</v>
      </c>
      <c r="F439" s="43" t="str">
        <f t="shared" si="2"/>
        <v>01 Jan</v>
      </c>
      <c r="G439" s="126" t="s">
        <v>173</v>
      </c>
      <c r="H439" s="45" t="s">
        <v>76</v>
      </c>
      <c r="I439" s="45" t="s">
        <v>680</v>
      </c>
      <c r="J439" s="41" t="s">
        <v>28</v>
      </c>
      <c r="K439" s="43" t="str">
        <f t="array" ref="K439">IF(J439="","", XLOOKUP(J439,'⚙️ Pengaturan'!$E$2:$E3237,'⚙️ Pengaturan'!$G$2:$G3237))</f>
        <v>KLINIK FT TA</v>
      </c>
      <c r="L439" s="43" t="str">
        <f t="shared" si="3"/>
        <v>BARU</v>
      </c>
      <c r="M439" s="41" t="s">
        <v>31</v>
      </c>
      <c r="N439" s="46">
        <v>250000.0</v>
      </c>
      <c r="O439" s="65">
        <v>0.0</v>
      </c>
      <c r="P439" s="48">
        <f t="array" ref="P439">IFNA(XLOOKUP(J439,'⚙️ Pengaturan'!$E$2:$E3237,'⚙️ Pengaturan'!$F$2:$F3237),"")</f>
        <v>250000</v>
      </c>
      <c r="Q439" s="49">
        <f t="shared" si="5"/>
        <v>0</v>
      </c>
      <c r="R439" s="41" t="s">
        <v>32</v>
      </c>
      <c r="S439" s="69" t="s">
        <v>33</v>
      </c>
      <c r="T439" s="51" t="b">
        <v>1</v>
      </c>
      <c r="U439" s="94"/>
    </row>
    <row r="440" ht="30.0" customHeight="1">
      <c r="A440" s="39"/>
      <c r="B440" s="40">
        <v>2473.0</v>
      </c>
      <c r="C440" s="41" t="s">
        <v>50</v>
      </c>
      <c r="D440" s="86">
        <v>46048.0</v>
      </c>
      <c r="E440" s="43" t="str">
        <f t="shared" si="1"/>
        <v>2026</v>
      </c>
      <c r="F440" s="43" t="str">
        <f t="shared" si="2"/>
        <v>01 Jan</v>
      </c>
      <c r="G440" s="126" t="s">
        <v>155</v>
      </c>
      <c r="H440" s="45" t="s">
        <v>47</v>
      </c>
      <c r="I440" s="45" t="s">
        <v>652</v>
      </c>
      <c r="J440" s="41" t="s">
        <v>56</v>
      </c>
      <c r="K440" s="43" t="str">
        <f t="array" ref="K440">IF(J440="","", XLOOKUP(J440,'⚙️ Pengaturan'!$E$2:$E3237,'⚙️ Pengaturan'!$G$2:$G3237))</f>
        <v>KLINIK FT PAKET</v>
      </c>
      <c r="L440" s="43" t="str">
        <f t="shared" si="3"/>
        <v>BARU</v>
      </c>
      <c r="M440" s="41" t="s">
        <v>60</v>
      </c>
      <c r="N440" s="46">
        <v>200000.0</v>
      </c>
      <c r="O440" s="65">
        <v>0.0</v>
      </c>
      <c r="P440" s="48">
        <f t="array" ref="P440">IFNA(XLOOKUP(J440,'⚙️ Pengaturan'!$E$2:$E3237,'⚙️ Pengaturan'!$F$2:$F3237),"")</f>
        <v>650000</v>
      </c>
      <c r="Q440" s="49">
        <f t="shared" si="5"/>
        <v>-450000</v>
      </c>
      <c r="R440" s="41" t="s">
        <v>32</v>
      </c>
      <c r="S440" s="69" t="s">
        <v>33</v>
      </c>
      <c r="T440" s="51" t="b">
        <v>1</v>
      </c>
      <c r="U440" s="94"/>
    </row>
    <row r="441" ht="30.0" customHeight="1">
      <c r="A441" s="39"/>
      <c r="B441" s="40">
        <v>2474.0</v>
      </c>
      <c r="C441" s="41" t="s">
        <v>50</v>
      </c>
      <c r="D441" s="86">
        <v>46048.0</v>
      </c>
      <c r="E441" s="43" t="str">
        <f t="shared" si="1"/>
        <v>2026</v>
      </c>
      <c r="F441" s="43" t="str">
        <f t="shared" si="2"/>
        <v>01 Jan</v>
      </c>
      <c r="G441" s="126" t="s">
        <v>190</v>
      </c>
      <c r="H441" s="45" t="s">
        <v>47</v>
      </c>
      <c r="I441" s="45" t="s">
        <v>681</v>
      </c>
      <c r="J441" s="41" t="s">
        <v>56</v>
      </c>
      <c r="K441" s="43" t="str">
        <f t="array" ref="K441">IF(J441="","", XLOOKUP(J441,'⚙️ Pengaturan'!$E$2:$E3237,'⚙️ Pengaturan'!$G$2:$G3237))</f>
        <v>KLINIK FT PAKET</v>
      </c>
      <c r="L441" s="43" t="str">
        <f t="shared" si="3"/>
        <v>BARU</v>
      </c>
      <c r="M441" s="41" t="s">
        <v>31</v>
      </c>
      <c r="N441" s="46">
        <v>150000.0</v>
      </c>
      <c r="O441" s="65">
        <v>0.0</v>
      </c>
      <c r="P441" s="48">
        <f t="array" ref="P441">IFNA(XLOOKUP(J441,'⚙️ Pengaturan'!$E$2:$E3237,'⚙️ Pengaturan'!$F$2:$F3237),"")</f>
        <v>650000</v>
      </c>
      <c r="Q441" s="49">
        <f t="shared" si="5"/>
        <v>-500000</v>
      </c>
      <c r="R441" s="41" t="s">
        <v>32</v>
      </c>
      <c r="S441" s="69" t="s">
        <v>33</v>
      </c>
      <c r="T441" s="51" t="b">
        <v>1</v>
      </c>
      <c r="U441" s="94"/>
    </row>
    <row r="442" ht="30.0" customHeight="1">
      <c r="A442" s="39"/>
      <c r="B442" s="40">
        <v>2475.0</v>
      </c>
      <c r="C442" s="41" t="s">
        <v>50</v>
      </c>
      <c r="D442" s="86">
        <v>46048.0</v>
      </c>
      <c r="E442" s="43" t="str">
        <f t="shared" si="1"/>
        <v>2026</v>
      </c>
      <c r="F442" s="43" t="str">
        <f t="shared" si="2"/>
        <v>01 Jan</v>
      </c>
      <c r="G442" s="126" t="s">
        <v>69</v>
      </c>
      <c r="H442" s="45" t="s">
        <v>96</v>
      </c>
      <c r="I442" s="45" t="s">
        <v>682</v>
      </c>
      <c r="J442" s="41" t="s">
        <v>121</v>
      </c>
      <c r="K442" s="43" t="str">
        <f t="array" ref="K442">IF(J442="","", XLOOKUP(J442,'⚙️ Pengaturan'!$E$2:$E3237,'⚙️ Pengaturan'!$G$2:$G3237))</f>
        <v>VISIT FT TA</v>
      </c>
      <c r="L442" s="43" t="str">
        <f t="shared" si="3"/>
        <v>BARU</v>
      </c>
      <c r="M442" s="41" t="s">
        <v>31</v>
      </c>
      <c r="N442" s="46">
        <v>300000.0</v>
      </c>
      <c r="O442" s="65">
        <v>0.0</v>
      </c>
      <c r="P442" s="48">
        <f t="array" ref="P442">IFNA(XLOOKUP(J442,'⚙️ Pengaturan'!$E$2:$E3237,'⚙️ Pengaturan'!$F$2:$F3237),"")</f>
        <v>300000</v>
      </c>
      <c r="Q442" s="49">
        <f t="shared" si="5"/>
        <v>0</v>
      </c>
      <c r="R442" s="41" t="s">
        <v>37</v>
      </c>
      <c r="S442" s="69" t="s">
        <v>683</v>
      </c>
      <c r="T442" s="51" t="b">
        <v>1</v>
      </c>
      <c r="U442" s="94"/>
    </row>
    <row r="443" ht="30.0" customHeight="1">
      <c r="A443" s="39"/>
      <c r="B443" s="40">
        <v>2476.0</v>
      </c>
      <c r="C443" s="41" t="s">
        <v>50</v>
      </c>
      <c r="D443" s="86">
        <v>46048.0</v>
      </c>
      <c r="E443" s="43" t="str">
        <f t="shared" si="1"/>
        <v>2026</v>
      </c>
      <c r="F443" s="43" t="str">
        <f t="shared" si="2"/>
        <v>01 Jan</v>
      </c>
      <c r="G443" s="126" t="s">
        <v>190</v>
      </c>
      <c r="H443" s="45" t="s">
        <v>149</v>
      </c>
      <c r="I443" s="45" t="s">
        <v>497</v>
      </c>
      <c r="J443" s="41" t="s">
        <v>180</v>
      </c>
      <c r="K443" s="43" t="str">
        <f t="array" ref="K443">IF(J443="","", XLOOKUP(J443,'⚙️ Pengaturan'!$E$2:$E3237,'⚙️ Pengaturan'!$G$2:$G3237))</f>
        <v>KLINIK FT SESI</v>
      </c>
      <c r="L443" s="43" t="str">
        <f t="shared" si="3"/>
        <v>LANJUTAN</v>
      </c>
      <c r="M443" s="41" t="s">
        <v>31</v>
      </c>
      <c r="N443" s="46">
        <v>150000.0</v>
      </c>
      <c r="O443" s="65">
        <v>0.0</v>
      </c>
      <c r="P443" s="48">
        <f t="array" ref="P443">IFNA(XLOOKUP(J443,'⚙️ Pengaturan'!$E$2:$E3237,'⚙️ Pengaturan'!$F$2:$F3237),"")</f>
        <v>150000</v>
      </c>
      <c r="Q443" s="49">
        <f t="shared" si="5"/>
        <v>0</v>
      </c>
      <c r="R443" s="41" t="s">
        <v>32</v>
      </c>
      <c r="S443" s="69" t="s">
        <v>33</v>
      </c>
      <c r="T443" s="51" t="b">
        <v>1</v>
      </c>
      <c r="U443" s="94"/>
    </row>
    <row r="444" ht="30.0" customHeight="1">
      <c r="A444" s="39"/>
      <c r="B444" s="40">
        <v>2477.0</v>
      </c>
      <c r="C444" s="41" t="s">
        <v>50</v>
      </c>
      <c r="D444" s="86">
        <v>46048.0</v>
      </c>
      <c r="E444" s="43" t="str">
        <f t="shared" si="1"/>
        <v>2026</v>
      </c>
      <c r="F444" s="43" t="str">
        <f t="shared" si="2"/>
        <v>01 Jan</v>
      </c>
      <c r="G444" s="126" t="s">
        <v>35</v>
      </c>
      <c r="H444" s="45" t="s">
        <v>166</v>
      </c>
      <c r="I444" s="45" t="s">
        <v>684</v>
      </c>
      <c r="J444" s="41" t="s">
        <v>28</v>
      </c>
      <c r="K444" s="43" t="str">
        <f t="array" ref="K444">IF(J444="","", XLOOKUP(J444,'⚙️ Pengaturan'!$E$2:$E3237,'⚙️ Pengaturan'!$G$2:$G3237))</f>
        <v>KLINIK FT TA</v>
      </c>
      <c r="L444" s="43" t="str">
        <f t="shared" si="3"/>
        <v>BARU</v>
      </c>
      <c r="M444" s="41" t="s">
        <v>31</v>
      </c>
      <c r="N444" s="46">
        <v>250000.0</v>
      </c>
      <c r="O444" s="65">
        <v>0.0</v>
      </c>
      <c r="P444" s="48">
        <f t="array" ref="P444">IFNA(XLOOKUP(J444,'⚙️ Pengaturan'!$E$2:$E3237,'⚙️ Pengaturan'!$F$2:$F3237),"")</f>
        <v>250000</v>
      </c>
      <c r="Q444" s="49">
        <f t="shared" si="5"/>
        <v>0</v>
      </c>
      <c r="R444" s="41" t="s">
        <v>32</v>
      </c>
      <c r="S444" s="69" t="s">
        <v>33</v>
      </c>
      <c r="T444" s="51" t="b">
        <v>1</v>
      </c>
      <c r="U444" s="94"/>
    </row>
    <row r="445" ht="30.0" customHeight="1">
      <c r="A445" s="39"/>
      <c r="B445" s="40">
        <v>2478.0</v>
      </c>
      <c r="C445" s="41" t="s">
        <v>79</v>
      </c>
      <c r="D445" s="86">
        <v>46049.0</v>
      </c>
      <c r="E445" s="43" t="str">
        <f t="shared" si="1"/>
        <v>2026</v>
      </c>
      <c r="F445" s="43" t="str">
        <f t="shared" si="2"/>
        <v>01 Jan</v>
      </c>
      <c r="G445" s="126" t="s">
        <v>195</v>
      </c>
      <c r="H445" s="45" t="s">
        <v>96</v>
      </c>
      <c r="I445" s="45" t="s">
        <v>685</v>
      </c>
      <c r="J445" s="41" t="s">
        <v>28</v>
      </c>
      <c r="K445" s="43" t="str">
        <f t="array" ref="K445">IF(J445="","", XLOOKUP(J445,'⚙️ Pengaturan'!$E$2:$E3237,'⚙️ Pengaturan'!$G$2:$G3237))</f>
        <v>KLINIK FT TA</v>
      </c>
      <c r="L445" s="43" t="str">
        <f t="shared" si="3"/>
        <v>BARU</v>
      </c>
      <c r="M445" s="41" t="s">
        <v>31</v>
      </c>
      <c r="N445" s="46">
        <v>250000.0</v>
      </c>
      <c r="O445" s="65">
        <v>0.0</v>
      </c>
      <c r="P445" s="48">
        <v>250000.0</v>
      </c>
      <c r="Q445" s="49">
        <f t="shared" si="5"/>
        <v>0</v>
      </c>
      <c r="R445" s="41" t="s">
        <v>37</v>
      </c>
      <c r="S445" s="69" t="s">
        <v>685</v>
      </c>
      <c r="T445" s="51" t="b">
        <v>1</v>
      </c>
      <c r="U445" s="94"/>
    </row>
    <row r="446" ht="30.0" customHeight="1">
      <c r="A446" s="39"/>
      <c r="B446" s="40">
        <v>2479.0</v>
      </c>
      <c r="C446" s="41" t="s">
        <v>79</v>
      </c>
      <c r="D446" s="86">
        <v>46049.0</v>
      </c>
      <c r="E446" s="43" t="str">
        <f t="shared" si="1"/>
        <v>2026</v>
      </c>
      <c r="F446" s="43" t="str">
        <f t="shared" si="2"/>
        <v>01 Jan</v>
      </c>
      <c r="G446" s="126" t="s">
        <v>195</v>
      </c>
      <c r="H446" s="45" t="s">
        <v>96</v>
      </c>
      <c r="I446" s="45" t="s">
        <v>685</v>
      </c>
      <c r="J446" s="41" t="s">
        <v>92</v>
      </c>
      <c r="K446" s="43" t="str">
        <f t="array" ref="K446">IF(J446="","", XLOOKUP(J446,'⚙️ Pengaturan'!$E$2:$E3237,'⚙️ Pengaturan'!$G$2:$G3237))</f>
        <v>KLINIK FT PAKET</v>
      </c>
      <c r="L446" s="43" t="str">
        <f t="shared" si="3"/>
        <v>BARU</v>
      </c>
      <c r="M446" s="41" t="s">
        <v>60</v>
      </c>
      <c r="N446" s="46">
        <v>200000.0</v>
      </c>
      <c r="O446" s="65">
        <v>0.0</v>
      </c>
      <c r="P446" s="119">
        <v>1200000.0</v>
      </c>
      <c r="Q446" s="49">
        <f t="shared" si="5"/>
        <v>-1000000</v>
      </c>
      <c r="R446" s="41" t="s">
        <v>37</v>
      </c>
      <c r="S446" s="69" t="s">
        <v>685</v>
      </c>
      <c r="T446" s="51" t="b">
        <v>1</v>
      </c>
      <c r="U446" s="94"/>
    </row>
    <row r="447" ht="30.0" customHeight="1">
      <c r="A447" s="39"/>
      <c r="B447" s="40">
        <v>2480.0</v>
      </c>
      <c r="C447" s="41" t="s">
        <v>79</v>
      </c>
      <c r="D447" s="86">
        <v>46049.0</v>
      </c>
      <c r="E447" s="43" t="str">
        <f t="shared" si="1"/>
        <v>2026</v>
      </c>
      <c r="F447" s="43" t="str">
        <f t="shared" si="2"/>
        <v>01 Jan</v>
      </c>
      <c r="G447" s="126" t="s">
        <v>25</v>
      </c>
      <c r="H447" s="45" t="s">
        <v>47</v>
      </c>
      <c r="I447" s="45" t="s">
        <v>686</v>
      </c>
      <c r="J447" s="41" t="s">
        <v>28</v>
      </c>
      <c r="K447" s="43" t="str">
        <f t="array" ref="K447">IF(J447="","", XLOOKUP(J447,'⚙️ Pengaturan'!$E$2:$E3237,'⚙️ Pengaturan'!$G$2:$G3237))</f>
        <v>KLINIK FT TA</v>
      </c>
      <c r="L447" s="43" t="str">
        <f t="shared" si="3"/>
        <v>BARU</v>
      </c>
      <c r="M447" s="41" t="s">
        <v>31</v>
      </c>
      <c r="N447" s="46">
        <v>250000.0</v>
      </c>
      <c r="O447" s="65">
        <v>0.0</v>
      </c>
      <c r="P447" s="48">
        <v>250000.0</v>
      </c>
      <c r="Q447" s="49">
        <f t="shared" si="5"/>
        <v>0</v>
      </c>
      <c r="R447" s="41" t="s">
        <v>32</v>
      </c>
      <c r="S447" s="69" t="s">
        <v>33</v>
      </c>
      <c r="T447" s="51" t="b">
        <v>1</v>
      </c>
      <c r="U447" s="94"/>
    </row>
    <row r="448" ht="30.0" customHeight="1">
      <c r="A448" s="39"/>
      <c r="B448" s="40">
        <v>2481.0</v>
      </c>
      <c r="C448" s="41" t="s">
        <v>79</v>
      </c>
      <c r="D448" s="86">
        <v>46049.0</v>
      </c>
      <c r="E448" s="43" t="str">
        <f t="shared" si="1"/>
        <v>2026</v>
      </c>
      <c r="F448" s="43" t="str">
        <f t="shared" si="2"/>
        <v>01 Jan</v>
      </c>
      <c r="G448" s="126" t="s">
        <v>161</v>
      </c>
      <c r="H448" s="45" t="s">
        <v>149</v>
      </c>
      <c r="I448" s="45" t="s">
        <v>687</v>
      </c>
      <c r="J448" s="41" t="s">
        <v>28</v>
      </c>
      <c r="K448" s="43" t="str">
        <f t="array" ref="K448">IF(J448="","", XLOOKUP(J448,'⚙️ Pengaturan'!$E$2:$E3237,'⚙️ Pengaturan'!$G$2:$G3237))</f>
        <v>KLINIK FT TA</v>
      </c>
      <c r="L448" s="43" t="str">
        <f t="shared" si="3"/>
        <v>BARU</v>
      </c>
      <c r="M448" s="41" t="s">
        <v>31</v>
      </c>
      <c r="N448" s="46">
        <v>250000.0</v>
      </c>
      <c r="O448" s="65">
        <v>0.0</v>
      </c>
      <c r="P448" s="48">
        <f t="array" ref="P448">IFNA(XLOOKUP(J448,'⚙️ Pengaturan'!$E$2:$E3237,'⚙️ Pengaturan'!$F$2:$F3237),"")</f>
        <v>250000</v>
      </c>
      <c r="Q448" s="49">
        <f t="shared" si="5"/>
        <v>0</v>
      </c>
      <c r="R448" s="41" t="s">
        <v>37</v>
      </c>
      <c r="S448" s="69" t="s">
        <v>660</v>
      </c>
      <c r="T448" s="51" t="b">
        <v>1</v>
      </c>
      <c r="U448" s="94"/>
    </row>
    <row r="449" ht="30.0" customHeight="1">
      <c r="A449" s="39"/>
      <c r="B449" s="40">
        <v>2482.0</v>
      </c>
      <c r="C449" s="41" t="s">
        <v>79</v>
      </c>
      <c r="D449" s="86">
        <v>46049.0</v>
      </c>
      <c r="E449" s="43" t="str">
        <f t="shared" si="1"/>
        <v>2026</v>
      </c>
      <c r="F449" s="43" t="str">
        <f t="shared" si="2"/>
        <v>01 Jan</v>
      </c>
      <c r="G449" s="126" t="s">
        <v>161</v>
      </c>
      <c r="H449" s="45" t="s">
        <v>76</v>
      </c>
      <c r="I449" s="45" t="s">
        <v>660</v>
      </c>
      <c r="J449" s="41" t="s">
        <v>92</v>
      </c>
      <c r="K449" s="43" t="str">
        <f t="array" ref="K449">IF(J449="","", XLOOKUP(J449,'⚙️ Pengaturan'!$E$2:$E3237,'⚙️ Pengaturan'!$G$2:$G3237))</f>
        <v>KLINIK FT PAKET</v>
      </c>
      <c r="L449" s="43" t="str">
        <f t="shared" si="3"/>
        <v>BARU</v>
      </c>
      <c r="M449" s="41" t="s">
        <v>31</v>
      </c>
      <c r="N449" s="46">
        <v>1200000.0</v>
      </c>
      <c r="O449" s="65">
        <v>0.0</v>
      </c>
      <c r="P449" s="48">
        <f t="array" ref="P449">IFNA(XLOOKUP(J449,'⚙️ Pengaturan'!$E$2:$E3237,'⚙️ Pengaturan'!$F$2:$F3237),"")</f>
        <v>1200000</v>
      </c>
      <c r="Q449" s="49">
        <f t="shared" si="5"/>
        <v>0</v>
      </c>
      <c r="R449" s="41" t="s">
        <v>37</v>
      </c>
      <c r="S449" s="69" t="s">
        <v>660</v>
      </c>
      <c r="T449" s="51" t="b">
        <v>1</v>
      </c>
      <c r="U449" s="94"/>
    </row>
    <row r="450" ht="30.0" customHeight="1">
      <c r="A450" s="39"/>
      <c r="B450" s="40">
        <v>2483.0</v>
      </c>
      <c r="C450" s="41" t="s">
        <v>79</v>
      </c>
      <c r="D450" s="86">
        <v>46049.0</v>
      </c>
      <c r="E450" s="43" t="str">
        <f t="shared" si="1"/>
        <v>2026</v>
      </c>
      <c r="F450" s="43" t="str">
        <f t="shared" si="2"/>
        <v>01 Jan</v>
      </c>
      <c r="G450" s="126" t="s">
        <v>161</v>
      </c>
      <c r="H450" s="45" t="s">
        <v>96</v>
      </c>
      <c r="I450" s="45" t="s">
        <v>688</v>
      </c>
      <c r="J450" s="41" t="s">
        <v>28</v>
      </c>
      <c r="K450" s="43" t="str">
        <f t="array" ref="K450">IF(J450="","", XLOOKUP(J450,'⚙️ Pengaturan'!$E$2:$E3237,'⚙️ Pengaturan'!$G$2:$G3237))</f>
        <v>KLINIK FT TA</v>
      </c>
      <c r="L450" s="43" t="str">
        <f t="shared" si="3"/>
        <v>BARU</v>
      </c>
      <c r="M450" s="41" t="s">
        <v>31</v>
      </c>
      <c r="N450" s="46">
        <v>250000.0</v>
      </c>
      <c r="O450" s="65">
        <v>0.0</v>
      </c>
      <c r="P450" s="48">
        <f t="array" ref="P450">IFNA(XLOOKUP(J450,'⚙️ Pengaturan'!$E$2:$E3237,'⚙️ Pengaturan'!$F$2:$F3237),"")</f>
        <v>250000</v>
      </c>
      <c r="Q450" s="49">
        <f t="shared" si="5"/>
        <v>0</v>
      </c>
      <c r="R450" s="41" t="s">
        <v>37</v>
      </c>
      <c r="S450" s="69" t="s">
        <v>688</v>
      </c>
      <c r="T450" s="51" t="b">
        <v>1</v>
      </c>
      <c r="U450" s="94"/>
    </row>
    <row r="451" ht="30.0" customHeight="1">
      <c r="A451" s="39"/>
      <c r="B451" s="40">
        <v>2484.0</v>
      </c>
      <c r="C451" s="41" t="s">
        <v>50</v>
      </c>
      <c r="D451" s="86">
        <v>46049.0</v>
      </c>
      <c r="E451" s="43" t="str">
        <f t="shared" si="1"/>
        <v>2026</v>
      </c>
      <c r="F451" s="43" t="str">
        <f t="shared" si="2"/>
        <v>01 Jan</v>
      </c>
      <c r="G451" s="126" t="s">
        <v>69</v>
      </c>
      <c r="H451" s="45" t="s">
        <v>26</v>
      </c>
      <c r="I451" s="45" t="s">
        <v>689</v>
      </c>
      <c r="J451" s="41" t="s">
        <v>291</v>
      </c>
      <c r="K451" s="43" t="str">
        <f t="array" ref="K451">IF(J451="","", XLOOKUP(J451,'⚙️ Pengaturan'!$E$2:$E3237,'⚙️ Pengaturan'!$G$2:$G3237))</f>
        <v>VISIT FT TA</v>
      </c>
      <c r="L451" s="43" t="str">
        <f t="shared" si="3"/>
        <v>BARU</v>
      </c>
      <c r="M451" s="41" t="s">
        <v>31</v>
      </c>
      <c r="N451" s="46">
        <v>350000.0</v>
      </c>
      <c r="O451" s="65">
        <v>0.0</v>
      </c>
      <c r="P451" s="48">
        <f t="array" ref="P451">IFNA(XLOOKUP(J451,'⚙️ Pengaturan'!$E$2:$E3237,'⚙️ Pengaturan'!$F$2:$F3237),"")</f>
        <v>350000</v>
      </c>
      <c r="Q451" s="49">
        <f t="shared" si="5"/>
        <v>0</v>
      </c>
      <c r="R451" s="41" t="s">
        <v>32</v>
      </c>
      <c r="S451" s="69" t="s">
        <v>33</v>
      </c>
      <c r="T451" s="51" t="b">
        <v>1</v>
      </c>
      <c r="U451" s="94"/>
    </row>
    <row r="452" ht="30.0" customHeight="1">
      <c r="A452" s="39"/>
      <c r="B452" s="40">
        <v>2485.0</v>
      </c>
      <c r="C452" s="41" t="s">
        <v>50</v>
      </c>
      <c r="D452" s="86">
        <v>46049.0</v>
      </c>
      <c r="E452" s="43" t="str">
        <f t="shared" si="1"/>
        <v>2026</v>
      </c>
      <c r="F452" s="43" t="str">
        <f t="shared" si="2"/>
        <v>01 Jan</v>
      </c>
      <c r="G452" s="126" t="s">
        <v>35</v>
      </c>
      <c r="H452" s="45" t="s">
        <v>149</v>
      </c>
      <c r="I452" s="45" t="s">
        <v>690</v>
      </c>
      <c r="J452" s="41" t="s">
        <v>28</v>
      </c>
      <c r="K452" s="43" t="str">
        <f t="array" ref="K452">IF(J452="","", XLOOKUP(J452,'⚙️ Pengaturan'!$E$2:$E3237,'⚙️ Pengaturan'!$G$2:$G3237))</f>
        <v>KLINIK FT TA</v>
      </c>
      <c r="L452" s="43" t="str">
        <f t="shared" si="3"/>
        <v>BARU</v>
      </c>
      <c r="M452" s="41" t="s">
        <v>31</v>
      </c>
      <c r="N452" s="46">
        <v>250000.0</v>
      </c>
      <c r="O452" s="65">
        <v>0.0</v>
      </c>
      <c r="P452" s="48">
        <f t="array" ref="P452">IFNA(XLOOKUP(J452,'⚙️ Pengaturan'!$E$2:$E3237,'⚙️ Pengaturan'!$F$2:$F3237),"")</f>
        <v>250000</v>
      </c>
      <c r="Q452" s="49">
        <f t="shared" si="5"/>
        <v>0</v>
      </c>
      <c r="R452" s="41" t="s">
        <v>118</v>
      </c>
      <c r="S452" s="69" t="s">
        <v>690</v>
      </c>
      <c r="T452" s="51" t="b">
        <v>1</v>
      </c>
      <c r="U452" s="94"/>
    </row>
    <row r="453" ht="30.0" customHeight="1">
      <c r="A453" s="39"/>
      <c r="B453" s="40">
        <v>2486.0</v>
      </c>
      <c r="C453" s="41" t="s">
        <v>50</v>
      </c>
      <c r="D453" s="86">
        <v>46049.0</v>
      </c>
      <c r="E453" s="43" t="str">
        <f t="shared" si="1"/>
        <v>2026</v>
      </c>
      <c r="F453" s="43" t="str">
        <f t="shared" si="2"/>
        <v>01 Jan</v>
      </c>
      <c r="G453" s="126" t="s">
        <v>35</v>
      </c>
      <c r="H453" s="45" t="s">
        <v>149</v>
      </c>
      <c r="I453" s="45" t="s">
        <v>690</v>
      </c>
      <c r="J453" s="41" t="s">
        <v>56</v>
      </c>
      <c r="K453" s="43" t="str">
        <f t="array" ref="K453">IF(J453="","", XLOOKUP(J453,'⚙️ Pengaturan'!$E$2:$E3237,'⚙️ Pengaturan'!$G$2:$G3237))</f>
        <v>KLINIK FT PAKET</v>
      </c>
      <c r="L453" s="43" t="str">
        <f t="shared" si="3"/>
        <v>BARU</v>
      </c>
      <c r="M453" s="41" t="s">
        <v>31</v>
      </c>
      <c r="N453" s="46">
        <v>650000.0</v>
      </c>
      <c r="O453" s="65">
        <v>0.0</v>
      </c>
      <c r="P453" s="48">
        <f t="array" ref="P453">IFNA(XLOOKUP(J453,'⚙️ Pengaturan'!$E$2:$E3237,'⚙️ Pengaturan'!$F$2:$F3237),"")</f>
        <v>650000</v>
      </c>
      <c r="Q453" s="49">
        <f t="shared" si="5"/>
        <v>0</v>
      </c>
      <c r="R453" s="41" t="s">
        <v>118</v>
      </c>
      <c r="S453" s="69" t="s">
        <v>690</v>
      </c>
      <c r="T453" s="51" t="b">
        <v>1</v>
      </c>
      <c r="U453" s="94"/>
    </row>
    <row r="454" ht="30.0" customHeight="1">
      <c r="A454" s="39"/>
      <c r="B454" s="40">
        <v>2487.0</v>
      </c>
      <c r="C454" s="41" t="s">
        <v>50</v>
      </c>
      <c r="D454" s="86">
        <v>46049.0</v>
      </c>
      <c r="E454" s="43" t="str">
        <f t="shared" si="1"/>
        <v>2026</v>
      </c>
      <c r="F454" s="43" t="str">
        <f t="shared" si="2"/>
        <v>01 Jan</v>
      </c>
      <c r="G454" s="126" t="s">
        <v>35</v>
      </c>
      <c r="H454" s="45" t="s">
        <v>47</v>
      </c>
      <c r="I454" s="45" t="s">
        <v>691</v>
      </c>
      <c r="J454" s="79" t="s">
        <v>28</v>
      </c>
      <c r="K454" s="43" t="str">
        <f t="array" ref="K454">IF(J454="","", XLOOKUP(J454,'⚙️ Pengaturan'!$E$2:$E3237,'⚙️ Pengaturan'!$G$2:$G3237))</f>
        <v>KLINIK FT TA</v>
      </c>
      <c r="L454" s="43" t="str">
        <f t="shared" si="3"/>
        <v>BARU</v>
      </c>
      <c r="M454" s="79" t="s">
        <v>31</v>
      </c>
      <c r="N454" s="83">
        <v>250000.0</v>
      </c>
      <c r="O454" s="84">
        <v>0.0</v>
      </c>
      <c r="P454" s="48">
        <f t="array" ref="P454">IFNA(XLOOKUP(J454,'⚙️ Pengaturan'!$E$2:$E3237,'⚙️ Pengaturan'!$F$2:$F3237),"")</f>
        <v>250000</v>
      </c>
      <c r="Q454" s="49">
        <f t="shared" si="5"/>
        <v>0</v>
      </c>
      <c r="R454" s="41" t="s">
        <v>118</v>
      </c>
      <c r="S454" s="69" t="s">
        <v>691</v>
      </c>
      <c r="T454" s="51" t="b">
        <v>1</v>
      </c>
      <c r="U454" s="94"/>
    </row>
    <row r="455" ht="30.0" customHeight="1">
      <c r="A455" s="39"/>
      <c r="B455" s="40">
        <v>2488.0</v>
      </c>
      <c r="C455" s="41" t="s">
        <v>50</v>
      </c>
      <c r="D455" s="86">
        <v>46049.0</v>
      </c>
      <c r="E455" s="43" t="str">
        <f t="shared" si="1"/>
        <v>2026</v>
      </c>
      <c r="F455" s="43" t="str">
        <f t="shared" si="2"/>
        <v>01 Jan</v>
      </c>
      <c r="G455" s="126" t="s">
        <v>35</v>
      </c>
      <c r="H455" s="45" t="s">
        <v>47</v>
      </c>
      <c r="I455" s="45" t="s">
        <v>691</v>
      </c>
      <c r="J455" s="41" t="s">
        <v>56</v>
      </c>
      <c r="K455" s="43" t="str">
        <f t="array" ref="K455">IF(J455="","", XLOOKUP(J455,'⚙️ Pengaturan'!$E$2:$E3237,'⚙️ Pengaturan'!$G$2:$G3237))</f>
        <v>KLINIK FT PAKET</v>
      </c>
      <c r="L455" s="43" t="str">
        <f t="shared" si="3"/>
        <v>BARU</v>
      </c>
      <c r="M455" s="41" t="s">
        <v>31</v>
      </c>
      <c r="N455" s="46">
        <v>650000.0</v>
      </c>
      <c r="O455" s="65">
        <v>0.0</v>
      </c>
      <c r="P455" s="48">
        <f t="array" ref="P455">IFNA(XLOOKUP(J455,'⚙️ Pengaturan'!$E$2:$E3237,'⚙️ Pengaturan'!$F$2:$F3237),"")</f>
        <v>650000</v>
      </c>
      <c r="Q455" s="49">
        <f t="shared" si="5"/>
        <v>0</v>
      </c>
      <c r="R455" s="41" t="s">
        <v>118</v>
      </c>
      <c r="S455" s="69" t="s">
        <v>691</v>
      </c>
      <c r="T455" s="51" t="b">
        <v>1</v>
      </c>
      <c r="U455" s="94"/>
    </row>
    <row r="456" ht="30.0" customHeight="1">
      <c r="A456" s="39"/>
      <c r="B456" s="40">
        <v>2489.0</v>
      </c>
      <c r="C456" s="41" t="s">
        <v>50</v>
      </c>
      <c r="D456" s="86">
        <v>46049.0</v>
      </c>
      <c r="E456" s="43" t="str">
        <f t="shared" si="1"/>
        <v>2026</v>
      </c>
      <c r="F456" s="43" t="str">
        <f t="shared" si="2"/>
        <v>01 Jan</v>
      </c>
      <c r="G456" s="126" t="s">
        <v>40</v>
      </c>
      <c r="H456" s="45" t="s">
        <v>166</v>
      </c>
      <c r="I456" s="45" t="s">
        <v>619</v>
      </c>
      <c r="J456" s="41" t="s">
        <v>56</v>
      </c>
      <c r="K456" s="43" t="str">
        <f t="array" ref="K456">IF(J456="","", XLOOKUP(J456,'⚙️ Pengaturan'!$E$2:$E3237,'⚙️ Pengaturan'!$G$2:$G3237))</f>
        <v>KLINIK FT PAKET</v>
      </c>
      <c r="L456" s="43" t="str">
        <f t="shared" si="3"/>
        <v>LANJUTAN</v>
      </c>
      <c r="M456" s="41" t="s">
        <v>164</v>
      </c>
      <c r="N456" s="46">
        <v>350000.0</v>
      </c>
      <c r="O456" s="65">
        <v>0.0</v>
      </c>
      <c r="P456" s="48">
        <f t="array" ref="P456">IFNA(XLOOKUP(J456,'⚙️ Pengaturan'!$E$2:$E3237,'⚙️ Pengaturan'!$F$2:$F3237),"")</f>
        <v>650000</v>
      </c>
      <c r="Q456" s="49">
        <f t="shared" si="5"/>
        <v>-300000</v>
      </c>
      <c r="R456" s="41" t="s">
        <v>118</v>
      </c>
      <c r="S456" s="69" t="s">
        <v>619</v>
      </c>
      <c r="T456" s="51" t="b">
        <v>1</v>
      </c>
      <c r="U456" s="94"/>
    </row>
    <row r="457" ht="30.0" customHeight="1">
      <c r="A457" s="39"/>
      <c r="B457" s="40">
        <v>2490.0</v>
      </c>
      <c r="C457" s="41" t="s">
        <v>50</v>
      </c>
      <c r="D457" s="86">
        <v>46049.0</v>
      </c>
      <c r="E457" s="43" t="str">
        <f t="shared" si="1"/>
        <v>2026</v>
      </c>
      <c r="F457" s="43" t="str">
        <f t="shared" si="2"/>
        <v>01 Jan</v>
      </c>
      <c r="G457" s="126" t="s">
        <v>173</v>
      </c>
      <c r="H457" s="45" t="s">
        <v>150</v>
      </c>
      <c r="I457" s="45" t="s">
        <v>692</v>
      </c>
      <c r="J457" s="41" t="s">
        <v>28</v>
      </c>
      <c r="K457" s="43" t="str">
        <f t="array" ref="K457">IF(J457="","", XLOOKUP(J457,'⚙️ Pengaturan'!$E$2:$E3237,'⚙️ Pengaturan'!$G$2:$G3237))</f>
        <v>KLINIK FT TA</v>
      </c>
      <c r="L457" s="43" t="str">
        <f t="shared" si="3"/>
        <v>BARU</v>
      </c>
      <c r="M457" s="41" t="s">
        <v>31</v>
      </c>
      <c r="N457" s="46">
        <v>250000.0</v>
      </c>
      <c r="O457" s="65">
        <v>0.0</v>
      </c>
      <c r="P457" s="48">
        <f t="array" ref="P457">IFNA(XLOOKUP(J457,'⚙️ Pengaturan'!$E$2:$E3237,'⚙️ Pengaturan'!$F$2:$F3237),"")</f>
        <v>250000</v>
      </c>
      <c r="Q457" s="49">
        <f t="shared" si="5"/>
        <v>0</v>
      </c>
      <c r="R457" s="41" t="s">
        <v>32</v>
      </c>
      <c r="S457" s="69" t="s">
        <v>33</v>
      </c>
      <c r="T457" s="51" t="b">
        <v>1</v>
      </c>
      <c r="U457" s="94"/>
    </row>
    <row r="458" ht="30.0" customHeight="1">
      <c r="A458" s="39"/>
      <c r="B458" s="40">
        <v>2491.0</v>
      </c>
      <c r="C458" s="41" t="s">
        <v>50</v>
      </c>
      <c r="D458" s="86">
        <v>46049.0</v>
      </c>
      <c r="E458" s="43" t="str">
        <f t="shared" si="1"/>
        <v>2026</v>
      </c>
      <c r="F458" s="43" t="str">
        <f t="shared" si="2"/>
        <v>01 Jan</v>
      </c>
      <c r="G458" s="126" t="s">
        <v>173</v>
      </c>
      <c r="H458" s="45" t="s">
        <v>162</v>
      </c>
      <c r="I458" s="45" t="s">
        <v>693</v>
      </c>
      <c r="J458" s="41" t="s">
        <v>28</v>
      </c>
      <c r="K458" s="43" t="str">
        <f t="array" ref="K458">IF(J458="","", XLOOKUP(J458,'⚙️ Pengaturan'!$E$2:$E3237,'⚙️ Pengaturan'!$G$2:$G3237))</f>
        <v>KLINIK FT TA</v>
      </c>
      <c r="L458" s="43" t="str">
        <f t="shared" si="3"/>
        <v>BARU</v>
      </c>
      <c r="M458" s="41" t="s">
        <v>31</v>
      </c>
      <c r="N458" s="46">
        <v>250000.0</v>
      </c>
      <c r="O458" s="65">
        <v>0.0</v>
      </c>
      <c r="P458" s="48">
        <f t="array" ref="P458">IFNA(XLOOKUP(J458,'⚙️ Pengaturan'!$E$2:$E3237,'⚙️ Pengaturan'!$F$2:$F3237),"")</f>
        <v>250000</v>
      </c>
      <c r="Q458" s="49">
        <f t="shared" si="5"/>
        <v>0</v>
      </c>
      <c r="R458" s="41" t="s">
        <v>32</v>
      </c>
      <c r="S458" s="69" t="s">
        <v>33</v>
      </c>
      <c r="T458" s="51" t="b">
        <v>1</v>
      </c>
      <c r="U458" s="94"/>
    </row>
    <row r="459" ht="30.0" customHeight="1">
      <c r="A459" s="39"/>
      <c r="B459" s="40">
        <v>2492.0</v>
      </c>
      <c r="C459" s="41" t="s">
        <v>50</v>
      </c>
      <c r="D459" s="86">
        <v>46049.0</v>
      </c>
      <c r="E459" s="43" t="str">
        <f t="shared" si="1"/>
        <v>2026</v>
      </c>
      <c r="F459" s="43" t="str">
        <f t="shared" si="2"/>
        <v>01 Jan</v>
      </c>
      <c r="G459" s="126" t="s">
        <v>173</v>
      </c>
      <c r="H459" s="45" t="s">
        <v>166</v>
      </c>
      <c r="I459" s="45" t="s">
        <v>694</v>
      </c>
      <c r="J459" s="41" t="s">
        <v>28</v>
      </c>
      <c r="K459" s="43" t="str">
        <f t="array" ref="K459">IF(J459="","", XLOOKUP(J459,'⚙️ Pengaturan'!$E$2:$E3237,'⚙️ Pengaturan'!$G$2:$G3237))</f>
        <v>KLINIK FT TA</v>
      </c>
      <c r="L459" s="43" t="str">
        <f t="shared" si="3"/>
        <v>BARU</v>
      </c>
      <c r="M459" s="41" t="s">
        <v>31</v>
      </c>
      <c r="N459" s="46">
        <v>250000.0</v>
      </c>
      <c r="O459" s="65">
        <v>0.0</v>
      </c>
      <c r="P459" s="48">
        <f t="array" ref="P459">IFNA(XLOOKUP(J459,'⚙️ Pengaturan'!$E$2:$E3237,'⚙️ Pengaturan'!$F$2:$F3237),"")</f>
        <v>250000</v>
      </c>
      <c r="Q459" s="49">
        <f t="shared" si="5"/>
        <v>0</v>
      </c>
      <c r="R459" s="41" t="s">
        <v>32</v>
      </c>
      <c r="S459" s="69" t="s">
        <v>33</v>
      </c>
      <c r="T459" s="51" t="b">
        <v>1</v>
      </c>
      <c r="U459" s="94"/>
    </row>
    <row r="460" ht="30.0" customHeight="1">
      <c r="A460" s="39"/>
      <c r="B460" s="40">
        <v>2493.0</v>
      </c>
      <c r="C460" s="41" t="s">
        <v>50</v>
      </c>
      <c r="D460" s="86">
        <v>46049.0</v>
      </c>
      <c r="E460" s="43" t="str">
        <f t="shared" si="1"/>
        <v>2026</v>
      </c>
      <c r="F460" s="43" t="str">
        <f t="shared" si="2"/>
        <v>01 Jan</v>
      </c>
      <c r="G460" s="126" t="s">
        <v>155</v>
      </c>
      <c r="H460" s="45" t="s">
        <v>162</v>
      </c>
      <c r="I460" s="45" t="s">
        <v>695</v>
      </c>
      <c r="J460" s="41" t="s">
        <v>28</v>
      </c>
      <c r="K460" s="43" t="str">
        <f t="array" ref="K460">IF(J460="","", XLOOKUP(J460,'⚙️ Pengaturan'!$E$2:$E3237,'⚙️ Pengaturan'!$G$2:$G3237))</f>
        <v>KLINIK FT TA</v>
      </c>
      <c r="L460" s="43" t="str">
        <f t="shared" si="3"/>
        <v>BARU</v>
      </c>
      <c r="M460" s="41" t="s">
        <v>31</v>
      </c>
      <c r="N460" s="46">
        <v>250000.0</v>
      </c>
      <c r="O460" s="65">
        <v>0.0</v>
      </c>
      <c r="P460" s="48">
        <f t="array" ref="P460">IFNA(XLOOKUP(J460,'⚙️ Pengaturan'!$E$2:$E3237,'⚙️ Pengaturan'!$F$2:$F3237),"")</f>
        <v>250000</v>
      </c>
      <c r="Q460" s="49">
        <f t="shared" si="5"/>
        <v>0</v>
      </c>
      <c r="R460" s="41" t="s">
        <v>32</v>
      </c>
      <c r="S460" s="69" t="s">
        <v>33</v>
      </c>
      <c r="T460" s="51" t="b">
        <v>1</v>
      </c>
      <c r="U460" s="94"/>
    </row>
    <row r="461" ht="30.0" customHeight="1">
      <c r="A461" s="39"/>
      <c r="B461" s="40">
        <v>2494.0</v>
      </c>
      <c r="C461" s="41" t="s">
        <v>50</v>
      </c>
      <c r="D461" s="86">
        <v>46049.0</v>
      </c>
      <c r="E461" s="43" t="str">
        <f t="shared" si="1"/>
        <v>2026</v>
      </c>
      <c r="F461" s="43" t="str">
        <f t="shared" si="2"/>
        <v>01 Jan</v>
      </c>
      <c r="G461" s="126" t="s">
        <v>195</v>
      </c>
      <c r="H461" s="45" t="s">
        <v>149</v>
      </c>
      <c r="I461" s="45" t="s">
        <v>663</v>
      </c>
      <c r="J461" s="41" t="s">
        <v>180</v>
      </c>
      <c r="K461" s="43" t="str">
        <f t="array" ref="K461">IF(J461="","", XLOOKUP(J461,'⚙️ Pengaturan'!$E$2:$E3237,'⚙️ Pengaturan'!$G$2:$G3237))</f>
        <v>KLINIK FT SESI</v>
      </c>
      <c r="L461" s="43" t="str">
        <f t="shared" si="3"/>
        <v>BARU</v>
      </c>
      <c r="M461" s="41" t="s">
        <v>31</v>
      </c>
      <c r="N461" s="46">
        <v>150000.0</v>
      </c>
      <c r="O461" s="65">
        <v>0.0</v>
      </c>
      <c r="P461" s="48">
        <f t="array" ref="P461">IFNA(XLOOKUP(J461,'⚙️ Pengaturan'!$E$2:$E3237,'⚙️ Pengaturan'!$F$2:$F3237),"")</f>
        <v>150000</v>
      </c>
      <c r="Q461" s="49">
        <f t="shared" si="5"/>
        <v>0</v>
      </c>
      <c r="R461" s="41" t="s">
        <v>37</v>
      </c>
      <c r="S461" s="69" t="s">
        <v>663</v>
      </c>
      <c r="T461" s="51" t="b">
        <v>1</v>
      </c>
      <c r="U461" s="94"/>
    </row>
    <row r="462" ht="30.0" customHeight="1">
      <c r="A462" s="39"/>
      <c r="B462" s="40">
        <v>2495.0</v>
      </c>
      <c r="C462" s="41" t="s">
        <v>50</v>
      </c>
      <c r="D462" s="86">
        <v>46049.0</v>
      </c>
      <c r="E462" s="43" t="str">
        <f t="shared" si="1"/>
        <v>2026</v>
      </c>
      <c r="F462" s="43" t="str">
        <f t="shared" si="2"/>
        <v>01 Jan</v>
      </c>
      <c r="G462" s="126" t="s">
        <v>35</v>
      </c>
      <c r="H462" s="45" t="s">
        <v>76</v>
      </c>
      <c r="I462" s="45" t="s">
        <v>607</v>
      </c>
      <c r="J462" s="41" t="s">
        <v>180</v>
      </c>
      <c r="K462" s="43" t="str">
        <f t="array" ref="K462">IF(J462="","", XLOOKUP(J462,'⚙️ Pengaturan'!$E$2:$E3237,'⚙️ Pengaturan'!$G$2:$G3237))</f>
        <v>KLINIK FT SESI</v>
      </c>
      <c r="L462" s="43" t="str">
        <f t="shared" si="3"/>
        <v>LANJUTAN</v>
      </c>
      <c r="M462" s="41" t="s">
        <v>31</v>
      </c>
      <c r="N462" s="46">
        <v>150000.0</v>
      </c>
      <c r="O462" s="65">
        <v>0.0</v>
      </c>
      <c r="P462" s="48">
        <f t="array" ref="P462">IFNA(XLOOKUP(J462,'⚙️ Pengaturan'!$E$2:$E3237,'⚙️ Pengaturan'!$F$2:$F3237),"")</f>
        <v>150000</v>
      </c>
      <c r="Q462" s="49">
        <f t="shared" si="5"/>
        <v>0</v>
      </c>
      <c r="R462" s="41" t="s">
        <v>37</v>
      </c>
      <c r="S462" s="69" t="s">
        <v>607</v>
      </c>
      <c r="T462" s="51" t="b">
        <v>1</v>
      </c>
      <c r="U462" s="94"/>
    </row>
    <row r="463" ht="30.0" customHeight="1">
      <c r="A463" s="39"/>
      <c r="B463" s="40">
        <v>2496.0</v>
      </c>
      <c r="C463" s="41" t="s">
        <v>79</v>
      </c>
      <c r="D463" s="86">
        <v>46050.0</v>
      </c>
      <c r="E463" s="43" t="str">
        <f t="shared" si="1"/>
        <v>2026</v>
      </c>
      <c r="F463" s="43" t="str">
        <f t="shared" si="2"/>
        <v>01 Jan</v>
      </c>
      <c r="G463" s="126" t="s">
        <v>195</v>
      </c>
      <c r="H463" s="45" t="s">
        <v>149</v>
      </c>
      <c r="I463" s="45" t="s">
        <v>692</v>
      </c>
      <c r="J463" s="41" t="s">
        <v>180</v>
      </c>
      <c r="K463" s="43" t="str">
        <f t="array" ref="K463">IF(J463="","", XLOOKUP(J463,'⚙️ Pengaturan'!$E$2:$E3237,'⚙️ Pengaturan'!$G$2:$G3237))</f>
        <v>KLINIK FT SESI</v>
      </c>
      <c r="L463" s="43" t="str">
        <f t="shared" si="3"/>
        <v>BARU</v>
      </c>
      <c r="M463" s="41" t="s">
        <v>31</v>
      </c>
      <c r="N463" s="46">
        <v>150000.0</v>
      </c>
      <c r="O463" s="65">
        <v>0.0</v>
      </c>
      <c r="P463" s="48">
        <f t="array" ref="P463">IFNA(XLOOKUP(J463,'⚙️ Pengaturan'!$E$2:$E3237,'⚙️ Pengaturan'!$F$2:$F3237),"")</f>
        <v>150000</v>
      </c>
      <c r="Q463" s="49">
        <f t="shared" si="5"/>
        <v>0</v>
      </c>
      <c r="R463" s="41" t="s">
        <v>32</v>
      </c>
      <c r="S463" s="69" t="s">
        <v>33</v>
      </c>
      <c r="T463" s="51" t="b">
        <v>1</v>
      </c>
      <c r="U463" s="94"/>
    </row>
    <row r="464" ht="30.0" customHeight="1">
      <c r="A464" s="39"/>
      <c r="B464" s="40">
        <v>2497.0</v>
      </c>
      <c r="C464" s="41" t="s">
        <v>79</v>
      </c>
      <c r="D464" s="86">
        <v>46050.0</v>
      </c>
      <c r="E464" s="43" t="str">
        <f t="shared" si="1"/>
        <v>2026</v>
      </c>
      <c r="F464" s="43" t="str">
        <f t="shared" si="2"/>
        <v>01 Jan</v>
      </c>
      <c r="G464" s="126" t="s">
        <v>195</v>
      </c>
      <c r="H464" s="45" t="s">
        <v>96</v>
      </c>
      <c r="I464" s="45" t="s">
        <v>665</v>
      </c>
      <c r="J464" s="41" t="s">
        <v>56</v>
      </c>
      <c r="K464" s="43" t="str">
        <f t="array" ref="K464">IF(J464="","", XLOOKUP(J464,'⚙️ Pengaturan'!$E$2:$E3237,'⚙️ Pengaturan'!$G$2:$G3237))</f>
        <v>KLINIK FT PAKET</v>
      </c>
      <c r="L464" s="43" t="str">
        <f t="shared" si="3"/>
        <v>BARU</v>
      </c>
      <c r="M464" s="41" t="s">
        <v>60</v>
      </c>
      <c r="N464" s="46">
        <v>300000.0</v>
      </c>
      <c r="O464" s="65">
        <v>0.0</v>
      </c>
      <c r="P464" s="48">
        <f t="array" ref="P464">IFNA(XLOOKUP(J464,'⚙️ Pengaturan'!$E$2:$E3237,'⚙️ Pengaturan'!$F$2:$F3237),"")</f>
        <v>650000</v>
      </c>
      <c r="Q464" s="49">
        <f t="shared" si="5"/>
        <v>-350000</v>
      </c>
      <c r="R464" s="41" t="s">
        <v>32</v>
      </c>
      <c r="S464" s="69" t="s">
        <v>33</v>
      </c>
      <c r="T464" s="51" t="b">
        <v>1</v>
      </c>
      <c r="U464" s="94"/>
    </row>
    <row r="465" ht="30.0" customHeight="1">
      <c r="A465" s="39"/>
      <c r="B465" s="40">
        <v>2498.0</v>
      </c>
      <c r="C465" s="41" t="s">
        <v>79</v>
      </c>
      <c r="D465" s="86">
        <v>46050.0</v>
      </c>
      <c r="E465" s="43" t="str">
        <f t="shared" si="1"/>
        <v>2026</v>
      </c>
      <c r="F465" s="43" t="str">
        <f t="shared" si="2"/>
        <v>01 Jan</v>
      </c>
      <c r="G465" s="126" t="s">
        <v>195</v>
      </c>
      <c r="H465" s="45" t="s">
        <v>47</v>
      </c>
      <c r="I465" s="45" t="s">
        <v>696</v>
      </c>
      <c r="J465" s="41" t="s">
        <v>28</v>
      </c>
      <c r="K465" s="43" t="str">
        <f t="array" ref="K465">IF(J465="","", XLOOKUP(J465,'⚙️ Pengaturan'!$E$2:$E3237,'⚙️ Pengaturan'!$G$2:$G3237))</f>
        <v>KLINIK FT TA</v>
      </c>
      <c r="L465" s="43" t="str">
        <f t="shared" si="3"/>
        <v>BARU</v>
      </c>
      <c r="M465" s="41" t="s">
        <v>31</v>
      </c>
      <c r="N465" s="46">
        <v>250000.0</v>
      </c>
      <c r="O465" s="65">
        <v>0.0</v>
      </c>
      <c r="P465" s="48">
        <f t="array" ref="P465">IFNA(XLOOKUP(J465,'⚙️ Pengaturan'!$E$2:$E3237,'⚙️ Pengaturan'!$F$2:$F3237),"")</f>
        <v>250000</v>
      </c>
      <c r="Q465" s="49">
        <f t="shared" si="5"/>
        <v>0</v>
      </c>
      <c r="R465" s="41" t="s">
        <v>37</v>
      </c>
      <c r="S465" s="69" t="s">
        <v>696</v>
      </c>
      <c r="T465" s="51" t="b">
        <v>1</v>
      </c>
      <c r="U465" s="94"/>
    </row>
    <row r="466" ht="30.0" customHeight="1">
      <c r="A466" s="39"/>
      <c r="B466" s="40">
        <v>2499.0</v>
      </c>
      <c r="C466" s="41" t="s">
        <v>79</v>
      </c>
      <c r="D466" s="86">
        <v>46050.0</v>
      </c>
      <c r="E466" s="43" t="str">
        <f t="shared" si="1"/>
        <v>2026</v>
      </c>
      <c r="F466" s="43" t="str">
        <f t="shared" si="2"/>
        <v>01 Jan</v>
      </c>
      <c r="G466" s="126" t="s">
        <v>206</v>
      </c>
      <c r="H466" s="45" t="s">
        <v>96</v>
      </c>
      <c r="I466" s="45" t="s">
        <v>659</v>
      </c>
      <c r="J466" s="41" t="s">
        <v>56</v>
      </c>
      <c r="K466" s="43" t="str">
        <f t="array" ref="K466">IF(J466="","", XLOOKUP(J466,'⚙️ Pengaturan'!$E$2:$E3237,'⚙️ Pengaturan'!$G$2:$G3237))</f>
        <v>KLINIK FT PAKET</v>
      </c>
      <c r="L466" s="43" t="str">
        <f t="shared" si="3"/>
        <v>BARU</v>
      </c>
      <c r="M466" s="41" t="s">
        <v>31</v>
      </c>
      <c r="N466" s="46">
        <v>650000.0</v>
      </c>
      <c r="O466" s="65">
        <v>0.0</v>
      </c>
      <c r="P466" s="48">
        <f t="array" ref="P466">IFNA(XLOOKUP(J466,'⚙️ Pengaturan'!$E$2:$E3237,'⚙️ Pengaturan'!$F$2:$F3237),"")</f>
        <v>650000</v>
      </c>
      <c r="Q466" s="49">
        <f t="shared" si="5"/>
        <v>0</v>
      </c>
      <c r="R466" s="41" t="s">
        <v>37</v>
      </c>
      <c r="S466" s="69" t="s">
        <v>659</v>
      </c>
      <c r="T466" s="51" t="b">
        <v>1</v>
      </c>
      <c r="U466" s="94"/>
    </row>
    <row r="467" ht="30.0" customHeight="1">
      <c r="A467" s="39"/>
      <c r="B467" s="40">
        <v>2500.0</v>
      </c>
      <c r="C467" s="41" t="s">
        <v>79</v>
      </c>
      <c r="D467" s="86">
        <v>46050.0</v>
      </c>
      <c r="E467" s="43" t="str">
        <f t="shared" si="1"/>
        <v>2026</v>
      </c>
      <c r="F467" s="43" t="str">
        <f t="shared" si="2"/>
        <v>01 Jan</v>
      </c>
      <c r="G467" s="126" t="s">
        <v>206</v>
      </c>
      <c r="H467" s="45" t="s">
        <v>96</v>
      </c>
      <c r="I467" s="45" t="s">
        <v>697</v>
      </c>
      <c r="J467" s="41" t="s">
        <v>28</v>
      </c>
      <c r="K467" s="43" t="str">
        <f t="array" ref="K467">IF(J467="","", XLOOKUP(J467,'⚙️ Pengaturan'!$E$2:$E3237,'⚙️ Pengaturan'!$G$2:$G3237))</f>
        <v>KLINIK FT TA</v>
      </c>
      <c r="L467" s="43" t="str">
        <f t="shared" si="3"/>
        <v>BARU</v>
      </c>
      <c r="M467" s="41" t="s">
        <v>31</v>
      </c>
      <c r="N467" s="46">
        <v>250000.0</v>
      </c>
      <c r="O467" s="65">
        <v>0.0</v>
      </c>
      <c r="P467" s="48">
        <f t="array" ref="P467">IFNA(XLOOKUP(J467,'⚙️ Pengaturan'!$E$2:$E3237,'⚙️ Pengaturan'!$F$2:$F3237),"")</f>
        <v>250000</v>
      </c>
      <c r="Q467" s="49">
        <f t="shared" si="5"/>
        <v>0</v>
      </c>
      <c r="R467" s="41" t="s">
        <v>37</v>
      </c>
      <c r="S467" s="69" t="s">
        <v>697</v>
      </c>
      <c r="T467" s="51" t="b">
        <v>1</v>
      </c>
      <c r="U467" s="94"/>
    </row>
    <row r="468" ht="30.0" customHeight="1">
      <c r="A468" s="39"/>
      <c r="B468" s="40">
        <v>2501.0</v>
      </c>
      <c r="C468" s="41" t="s">
        <v>79</v>
      </c>
      <c r="D468" s="86">
        <v>46050.0</v>
      </c>
      <c r="E468" s="43" t="str">
        <f t="shared" si="1"/>
        <v>2026</v>
      </c>
      <c r="F468" s="43" t="str">
        <f t="shared" si="2"/>
        <v>01 Jan</v>
      </c>
      <c r="G468" s="126" t="s">
        <v>241</v>
      </c>
      <c r="H468" s="45" t="s">
        <v>149</v>
      </c>
      <c r="I468" s="45" t="s">
        <v>698</v>
      </c>
      <c r="J468" s="41" t="s">
        <v>28</v>
      </c>
      <c r="K468" s="43" t="str">
        <f t="array" ref="K468">IF(J468="","", XLOOKUP(J468,'⚙️ Pengaturan'!$E$2:$E3237,'⚙️ Pengaturan'!$G$2:$G3237))</f>
        <v>KLINIK FT TA</v>
      </c>
      <c r="L468" s="43" t="str">
        <f t="shared" si="3"/>
        <v>BARU</v>
      </c>
      <c r="M468" s="41" t="s">
        <v>31</v>
      </c>
      <c r="N468" s="46">
        <v>250000.0</v>
      </c>
      <c r="O468" s="65">
        <v>0.0</v>
      </c>
      <c r="P468" s="48">
        <f t="array" ref="P468">IFNA(XLOOKUP(J468,'⚙️ Pengaturan'!$E$2:$E3237,'⚙️ Pengaturan'!$F$2:$F3237),"")</f>
        <v>250000</v>
      </c>
      <c r="Q468" s="49">
        <f t="shared" si="5"/>
        <v>0</v>
      </c>
      <c r="R468" s="41" t="s">
        <v>37</v>
      </c>
      <c r="S468" s="69" t="s">
        <v>698</v>
      </c>
      <c r="T468" s="51" t="b">
        <v>1</v>
      </c>
      <c r="U468" s="94"/>
    </row>
    <row r="469" ht="30.0" customHeight="1">
      <c r="A469" s="39"/>
      <c r="B469" s="40">
        <v>2502.0</v>
      </c>
      <c r="C469" s="41" t="s">
        <v>79</v>
      </c>
      <c r="D469" s="86">
        <v>46050.0</v>
      </c>
      <c r="E469" s="43" t="str">
        <f t="shared" si="1"/>
        <v>2026</v>
      </c>
      <c r="F469" s="43" t="str">
        <f t="shared" si="2"/>
        <v>01 Jan</v>
      </c>
      <c r="G469" s="126" t="s">
        <v>241</v>
      </c>
      <c r="H469" s="45" t="s">
        <v>96</v>
      </c>
      <c r="I469" s="45" t="s">
        <v>697</v>
      </c>
      <c r="J469" s="41" t="s">
        <v>28</v>
      </c>
      <c r="K469" s="43" t="str">
        <f t="array" ref="K469">IF(J469="","", XLOOKUP(J469,'⚙️ Pengaturan'!$E$2:$E3237,'⚙️ Pengaturan'!$G$2:$G3237))</f>
        <v>KLINIK FT TA</v>
      </c>
      <c r="L469" s="43" t="str">
        <f t="shared" si="3"/>
        <v>LANJUTAN</v>
      </c>
      <c r="M469" s="41" t="s">
        <v>31</v>
      </c>
      <c r="N469" s="46">
        <v>250000.0</v>
      </c>
      <c r="O469" s="65">
        <v>0.0</v>
      </c>
      <c r="P469" s="48">
        <f t="array" ref="P469">IFNA(XLOOKUP(J469,'⚙️ Pengaturan'!$E$2:$E3237,'⚙️ Pengaturan'!$F$2:$F3237),"")</f>
        <v>250000</v>
      </c>
      <c r="Q469" s="49">
        <f t="shared" si="5"/>
        <v>0</v>
      </c>
      <c r="R469" s="41" t="s">
        <v>32</v>
      </c>
      <c r="S469" s="69" t="s">
        <v>33</v>
      </c>
      <c r="T469" s="51" t="b">
        <v>1</v>
      </c>
      <c r="U469" s="94"/>
    </row>
    <row r="470" ht="30.0" customHeight="1">
      <c r="A470" s="39"/>
      <c r="B470" s="40">
        <v>2503.0</v>
      </c>
      <c r="C470" s="41" t="s">
        <v>79</v>
      </c>
      <c r="D470" s="86">
        <v>46050.0</v>
      </c>
      <c r="E470" s="43" t="str">
        <f t="shared" si="1"/>
        <v>2026</v>
      </c>
      <c r="F470" s="43" t="str">
        <f t="shared" si="2"/>
        <v>01 Jan</v>
      </c>
      <c r="G470" s="126" t="s">
        <v>241</v>
      </c>
      <c r="H470" s="45" t="s">
        <v>96</v>
      </c>
      <c r="I470" s="45" t="s">
        <v>699</v>
      </c>
      <c r="J470" s="41" t="s">
        <v>28</v>
      </c>
      <c r="K470" s="43" t="str">
        <f t="array" ref="K470">IF(J470="","", XLOOKUP(J470,'⚙️ Pengaturan'!$E$2:$E3237,'⚙️ Pengaturan'!$G$2:$G3237))</f>
        <v>KLINIK FT TA</v>
      </c>
      <c r="L470" s="43" t="str">
        <f t="shared" si="3"/>
        <v>BARU</v>
      </c>
      <c r="M470" s="41" t="s">
        <v>31</v>
      </c>
      <c r="N470" s="46">
        <v>250000.0</v>
      </c>
      <c r="O470" s="65">
        <v>0.0</v>
      </c>
      <c r="P470" s="48">
        <f t="array" ref="P470">IFNA(XLOOKUP(J470,'⚙️ Pengaturan'!$E$2:$E3237,'⚙️ Pengaturan'!$F$2:$F3237),"")</f>
        <v>250000</v>
      </c>
      <c r="Q470" s="49">
        <f t="shared" si="5"/>
        <v>0</v>
      </c>
      <c r="R470" s="41" t="s">
        <v>32</v>
      </c>
      <c r="S470" s="69" t="s">
        <v>33</v>
      </c>
      <c r="T470" s="51" t="b">
        <v>1</v>
      </c>
      <c r="U470" s="94"/>
    </row>
    <row r="471" ht="30.0" customHeight="1">
      <c r="A471" s="39"/>
      <c r="B471" s="40">
        <v>2504.0</v>
      </c>
      <c r="C471" s="41" t="s">
        <v>79</v>
      </c>
      <c r="D471" s="86">
        <v>46050.0</v>
      </c>
      <c r="E471" s="43" t="str">
        <f t="shared" si="1"/>
        <v>2026</v>
      </c>
      <c r="F471" s="43" t="str">
        <f t="shared" si="2"/>
        <v>01 Jan</v>
      </c>
      <c r="G471" s="126" t="s">
        <v>241</v>
      </c>
      <c r="H471" s="45" t="s">
        <v>47</v>
      </c>
      <c r="I471" s="45" t="s">
        <v>700</v>
      </c>
      <c r="J471" s="41" t="s">
        <v>28</v>
      </c>
      <c r="K471" s="43" t="str">
        <f t="array" ref="K471">IF(J471="","", XLOOKUP(J471,'⚙️ Pengaturan'!$E$2:$E3237,'⚙️ Pengaturan'!$G$2:$G3237))</f>
        <v>KLINIK FT TA</v>
      </c>
      <c r="L471" s="43" t="str">
        <f t="shared" si="3"/>
        <v>BARU</v>
      </c>
      <c r="M471" s="41" t="s">
        <v>31</v>
      </c>
      <c r="N471" s="46">
        <v>250000.0</v>
      </c>
      <c r="O471" s="65">
        <v>0.0</v>
      </c>
      <c r="P471" s="48">
        <f t="array" ref="P471">IFNA(XLOOKUP(J471,'⚙️ Pengaturan'!$E$2:$E3237,'⚙️ Pengaturan'!$F$2:$F3237),"")</f>
        <v>250000</v>
      </c>
      <c r="Q471" s="49">
        <f t="shared" si="5"/>
        <v>0</v>
      </c>
      <c r="R471" s="41" t="s">
        <v>32</v>
      </c>
      <c r="S471" s="69" t="s">
        <v>33</v>
      </c>
      <c r="T471" s="51" t="b">
        <v>1</v>
      </c>
      <c r="U471" s="94"/>
    </row>
    <row r="472" ht="30.0" customHeight="1">
      <c r="A472" s="39"/>
      <c r="B472" s="40">
        <v>2505.0</v>
      </c>
      <c r="C472" s="41" t="s">
        <v>50</v>
      </c>
      <c r="D472" s="86">
        <v>46050.0</v>
      </c>
      <c r="E472" s="43" t="str">
        <f t="shared" si="1"/>
        <v>2026</v>
      </c>
      <c r="F472" s="43" t="str">
        <f t="shared" si="2"/>
        <v>01 Jan</v>
      </c>
      <c r="G472" s="126" t="s">
        <v>40</v>
      </c>
      <c r="H472" s="45" t="s">
        <v>166</v>
      </c>
      <c r="I472" s="45" t="s">
        <v>677</v>
      </c>
      <c r="J472" s="41" t="s">
        <v>180</v>
      </c>
      <c r="K472" s="43" t="str">
        <f t="array" ref="K472">IF(J472="","", XLOOKUP(J472,'⚙️ Pengaturan'!$E$2:$E3237,'⚙️ Pengaturan'!$G$2:$G3237))</f>
        <v>KLINIK FT SESI</v>
      </c>
      <c r="L472" s="43" t="str">
        <f t="shared" si="3"/>
        <v>BARU</v>
      </c>
      <c r="M472" s="41" t="s">
        <v>31</v>
      </c>
      <c r="N472" s="46">
        <v>150000.0</v>
      </c>
      <c r="O472" s="65">
        <v>0.0</v>
      </c>
      <c r="P472" s="48">
        <f t="array" ref="P472">IFNA(XLOOKUP(J472,'⚙️ Pengaturan'!$E$2:$E3237,'⚙️ Pengaturan'!$F$2:$F3237),"")</f>
        <v>150000</v>
      </c>
      <c r="Q472" s="49">
        <f t="shared" si="5"/>
        <v>0</v>
      </c>
      <c r="R472" s="41" t="s">
        <v>37</v>
      </c>
      <c r="S472" s="69" t="s">
        <v>677</v>
      </c>
      <c r="T472" s="51" t="b">
        <v>1</v>
      </c>
      <c r="U472" s="94"/>
    </row>
    <row r="473" ht="30.0" customHeight="1">
      <c r="A473" s="39"/>
      <c r="B473" s="40">
        <v>2506.0</v>
      </c>
      <c r="C473" s="41" t="s">
        <v>50</v>
      </c>
      <c r="D473" s="86">
        <v>46050.0</v>
      </c>
      <c r="E473" s="43" t="str">
        <f t="shared" si="1"/>
        <v>2026</v>
      </c>
      <c r="F473" s="43" t="str">
        <f t="shared" si="2"/>
        <v>01 Jan</v>
      </c>
      <c r="G473" s="126" t="s">
        <v>40</v>
      </c>
      <c r="H473" s="45" t="s">
        <v>162</v>
      </c>
      <c r="I473" s="45" t="s">
        <v>675</v>
      </c>
      <c r="J473" s="41" t="s">
        <v>180</v>
      </c>
      <c r="K473" s="43" t="str">
        <f t="array" ref="K473">IF(J473="","", XLOOKUP(J473,'⚙️ Pengaturan'!$E$2:$E3237,'⚙️ Pengaturan'!$G$2:$G3237))</f>
        <v>KLINIK FT SESI</v>
      </c>
      <c r="L473" s="43" t="str">
        <f t="shared" si="3"/>
        <v>BARU</v>
      </c>
      <c r="M473" s="41" t="s">
        <v>31</v>
      </c>
      <c r="N473" s="46">
        <v>150000.0</v>
      </c>
      <c r="O473" s="65">
        <v>0.0</v>
      </c>
      <c r="P473" s="48">
        <f t="array" ref="P473">IFNA(XLOOKUP(J473,'⚙️ Pengaturan'!$E$2:$E3237,'⚙️ Pengaturan'!$F$2:$F3237),"")</f>
        <v>150000</v>
      </c>
      <c r="Q473" s="49">
        <f t="shared" si="5"/>
        <v>0</v>
      </c>
      <c r="R473" s="41" t="s">
        <v>37</v>
      </c>
      <c r="S473" s="69" t="s">
        <v>675</v>
      </c>
      <c r="T473" s="51" t="b">
        <v>1</v>
      </c>
      <c r="U473" s="94"/>
    </row>
    <row r="474" ht="30.0" customHeight="1">
      <c r="A474" s="39"/>
      <c r="B474" s="40">
        <v>2507.0</v>
      </c>
      <c r="C474" s="41" t="s">
        <v>50</v>
      </c>
      <c r="D474" s="86">
        <v>46050.0</v>
      </c>
      <c r="E474" s="43" t="str">
        <f t="shared" si="1"/>
        <v>2026</v>
      </c>
      <c r="F474" s="43" t="str">
        <f t="shared" si="2"/>
        <v>01 Jan</v>
      </c>
      <c r="G474" s="126" t="s">
        <v>43</v>
      </c>
      <c r="H474" s="45" t="s">
        <v>162</v>
      </c>
      <c r="I474" s="45" t="s">
        <v>516</v>
      </c>
      <c r="J474" s="41" t="s">
        <v>92</v>
      </c>
      <c r="K474" s="43" t="str">
        <f t="array" ref="K474">IF(J474="","", XLOOKUP(J474,'⚙️ Pengaturan'!$E$2:$E3237,'⚙️ Pengaturan'!$G$2:$G3237))</f>
        <v>KLINIK FT PAKET</v>
      </c>
      <c r="L474" s="43" t="str">
        <f t="shared" si="3"/>
        <v>LANJUTAN</v>
      </c>
      <c r="M474" s="41" t="s">
        <v>164</v>
      </c>
      <c r="N474" s="46">
        <v>700000.0</v>
      </c>
      <c r="O474" s="65">
        <v>500000.0</v>
      </c>
      <c r="P474" s="48">
        <f t="array" ref="P474">IFNA(XLOOKUP(J474,'⚙️ Pengaturan'!$E$2:$E3237,'⚙️ Pengaturan'!$F$2:$F3237),"")</f>
        <v>1200000</v>
      </c>
      <c r="Q474" s="49">
        <f t="shared" si="5"/>
        <v>0</v>
      </c>
      <c r="R474" s="41" t="s">
        <v>93</v>
      </c>
      <c r="S474" s="69" t="s">
        <v>575</v>
      </c>
      <c r="T474" s="51" t="b">
        <v>1</v>
      </c>
      <c r="U474" s="94"/>
    </row>
    <row r="475" ht="30.0" customHeight="1">
      <c r="A475" s="39"/>
      <c r="B475" s="40">
        <v>2508.0</v>
      </c>
      <c r="C475" s="41" t="s">
        <v>50</v>
      </c>
      <c r="D475" s="86">
        <v>46050.0</v>
      </c>
      <c r="E475" s="43" t="str">
        <f t="shared" si="1"/>
        <v>2026</v>
      </c>
      <c r="F475" s="43" t="str">
        <f t="shared" si="2"/>
        <v>01 Jan</v>
      </c>
      <c r="G475" s="126" t="s">
        <v>43</v>
      </c>
      <c r="H475" s="45" t="s">
        <v>26</v>
      </c>
      <c r="I475" s="45" t="s">
        <v>701</v>
      </c>
      <c r="J475" s="41" t="s">
        <v>92</v>
      </c>
      <c r="K475" s="43" t="str">
        <f t="array" ref="K475">IF(J475="","", XLOOKUP(J475,'⚙️ Pengaturan'!$E$2:$E3237,'⚙️ Pengaturan'!$G$2:$G3237))</f>
        <v>KLINIK FT PAKET</v>
      </c>
      <c r="L475" s="43" t="str">
        <f t="shared" si="3"/>
        <v>BARU</v>
      </c>
      <c r="M475" s="41" t="s">
        <v>60</v>
      </c>
      <c r="N475" s="46">
        <v>200000.0</v>
      </c>
      <c r="O475" s="65">
        <v>0.0</v>
      </c>
      <c r="P475" s="48">
        <f t="array" ref="P475">IFNA(XLOOKUP(J475,'⚙️ Pengaturan'!$E$2:$E3237,'⚙️ Pengaturan'!$F$2:$F3237),"")</f>
        <v>1200000</v>
      </c>
      <c r="Q475" s="49">
        <f t="shared" si="5"/>
        <v>-1000000</v>
      </c>
      <c r="R475" s="41" t="s">
        <v>37</v>
      </c>
      <c r="S475" s="69" t="s">
        <v>701</v>
      </c>
      <c r="T475" s="51" t="b">
        <v>1</v>
      </c>
      <c r="U475" s="94"/>
    </row>
    <row r="476" ht="30.0" customHeight="1">
      <c r="A476" s="39"/>
      <c r="B476" s="40">
        <v>2509.0</v>
      </c>
      <c r="C476" s="41" t="s">
        <v>50</v>
      </c>
      <c r="D476" s="86">
        <v>46050.0</v>
      </c>
      <c r="E476" s="43" t="str">
        <f t="shared" si="1"/>
        <v>2026</v>
      </c>
      <c r="F476" s="43" t="str">
        <f t="shared" si="2"/>
        <v>01 Jan</v>
      </c>
      <c r="G476" s="126" t="s">
        <v>43</v>
      </c>
      <c r="H476" s="45" t="s">
        <v>166</v>
      </c>
      <c r="I476" s="45" t="s">
        <v>702</v>
      </c>
      <c r="J476" s="41" t="s">
        <v>28</v>
      </c>
      <c r="K476" s="43" t="str">
        <f t="array" ref="K476">IF(J476="","", XLOOKUP(J476,'⚙️ Pengaturan'!$E$2:$E3237,'⚙️ Pengaturan'!$G$2:$G3237))</f>
        <v>KLINIK FT TA</v>
      </c>
      <c r="L476" s="43" t="str">
        <f t="shared" si="3"/>
        <v>BARU</v>
      </c>
      <c r="M476" s="41" t="s">
        <v>31</v>
      </c>
      <c r="N476" s="46">
        <v>250000.0</v>
      </c>
      <c r="O476" s="65">
        <v>0.0</v>
      </c>
      <c r="P476" s="48">
        <f t="array" ref="P476">IFNA(XLOOKUP(J476,'⚙️ Pengaturan'!$E$2:$E3237,'⚙️ Pengaturan'!$F$2:$F3237),"")</f>
        <v>250000</v>
      </c>
      <c r="Q476" s="49">
        <f t="shared" si="5"/>
        <v>0</v>
      </c>
      <c r="R476" s="41" t="s">
        <v>37</v>
      </c>
      <c r="S476" s="69" t="s">
        <v>703</v>
      </c>
      <c r="T476" s="51" t="b">
        <v>1</v>
      </c>
      <c r="U476" s="94"/>
    </row>
    <row r="477" ht="30.0" customHeight="1">
      <c r="A477" s="39"/>
      <c r="B477" s="40">
        <v>2510.0</v>
      </c>
      <c r="C477" s="41" t="s">
        <v>50</v>
      </c>
      <c r="D477" s="86">
        <v>46050.0</v>
      </c>
      <c r="E477" s="43" t="str">
        <f t="shared" si="1"/>
        <v>2026</v>
      </c>
      <c r="F477" s="43" t="str">
        <f t="shared" si="2"/>
        <v>01 Jan</v>
      </c>
      <c r="G477" s="126" t="s">
        <v>173</v>
      </c>
      <c r="H477" s="45" t="s">
        <v>150</v>
      </c>
      <c r="I477" s="45" t="s">
        <v>704</v>
      </c>
      <c r="J477" s="41" t="s">
        <v>28</v>
      </c>
      <c r="K477" s="43" t="str">
        <f t="array" ref="K477">IF(J477="","", XLOOKUP(J477,'⚙️ Pengaturan'!$E$2:$E3237,'⚙️ Pengaturan'!$G$2:$G3237))</f>
        <v>KLINIK FT TA</v>
      </c>
      <c r="L477" s="43" t="str">
        <f t="shared" si="3"/>
        <v>BARU</v>
      </c>
      <c r="M477" s="41" t="s">
        <v>31</v>
      </c>
      <c r="N477" s="46">
        <v>250000.0</v>
      </c>
      <c r="O477" s="65">
        <v>0.0</v>
      </c>
      <c r="P477" s="48">
        <f t="array" ref="P477">IFNA(XLOOKUP(J477,'⚙️ Pengaturan'!$E$2:$E3237,'⚙️ Pengaturan'!$F$2:$F3237),"")</f>
        <v>250000</v>
      </c>
      <c r="Q477" s="49">
        <f t="shared" si="5"/>
        <v>0</v>
      </c>
      <c r="R477" s="41" t="s">
        <v>118</v>
      </c>
      <c r="S477" s="69" t="s">
        <v>704</v>
      </c>
      <c r="T477" s="51" t="b">
        <v>1</v>
      </c>
      <c r="U477" s="94"/>
    </row>
    <row r="478" ht="30.0" customHeight="1">
      <c r="A478" s="39"/>
      <c r="B478" s="40">
        <v>2511.0</v>
      </c>
      <c r="C478" s="41" t="s">
        <v>50</v>
      </c>
      <c r="D478" s="86">
        <v>46050.0</v>
      </c>
      <c r="E478" s="43" t="str">
        <f t="shared" si="1"/>
        <v>2026</v>
      </c>
      <c r="F478" s="43" t="str">
        <f t="shared" si="2"/>
        <v>01 Jan</v>
      </c>
      <c r="G478" s="126" t="s">
        <v>35</v>
      </c>
      <c r="H478" s="45" t="s">
        <v>149</v>
      </c>
      <c r="I478" s="45" t="s">
        <v>327</v>
      </c>
      <c r="J478" s="41" t="s">
        <v>180</v>
      </c>
      <c r="K478" s="43" t="str">
        <f t="array" ref="K478">IF(J478="","", XLOOKUP(J478,'⚙️ Pengaturan'!$E$2:$E3237,'⚙️ Pengaturan'!$G$2:$G3237))</f>
        <v>KLINIK FT SESI</v>
      </c>
      <c r="L478" s="43" t="str">
        <f t="shared" si="3"/>
        <v>LANJUTAN</v>
      </c>
      <c r="M478" s="41" t="s">
        <v>31</v>
      </c>
      <c r="N478" s="46">
        <v>150000.0</v>
      </c>
      <c r="O478" s="65">
        <v>0.0</v>
      </c>
      <c r="P478" s="119">
        <v>150000.0</v>
      </c>
      <c r="Q478" s="49">
        <f t="shared" si="5"/>
        <v>0</v>
      </c>
      <c r="R478" s="41" t="s">
        <v>118</v>
      </c>
      <c r="S478" s="69" t="s">
        <v>327</v>
      </c>
      <c r="T478" s="51" t="b">
        <v>1</v>
      </c>
      <c r="U478" s="94"/>
    </row>
    <row r="479" ht="30.0" customHeight="1">
      <c r="A479" s="39"/>
      <c r="B479" s="40">
        <v>2512.0</v>
      </c>
      <c r="C479" s="41" t="s">
        <v>50</v>
      </c>
      <c r="D479" s="86">
        <v>46050.0</v>
      </c>
      <c r="E479" s="43" t="str">
        <f t="shared" si="1"/>
        <v>2026</v>
      </c>
      <c r="F479" s="43" t="str">
        <f t="shared" si="2"/>
        <v>01 Jan</v>
      </c>
      <c r="G479" s="126" t="s">
        <v>173</v>
      </c>
      <c r="H479" s="45" t="s">
        <v>162</v>
      </c>
      <c r="I479" s="45" t="s">
        <v>705</v>
      </c>
      <c r="J479" s="41" t="s">
        <v>28</v>
      </c>
      <c r="K479" s="43" t="str">
        <f t="array" ref="K479">IF(J479="","", XLOOKUP(J479,'⚙️ Pengaturan'!$E$2:$E3237,'⚙️ Pengaturan'!$G$2:$G3237))</f>
        <v>KLINIK FT TA</v>
      </c>
      <c r="L479" s="43" t="str">
        <f t="shared" si="3"/>
        <v>BARU</v>
      </c>
      <c r="M479" s="41" t="s">
        <v>31</v>
      </c>
      <c r="N479" s="46">
        <v>250000.0</v>
      </c>
      <c r="O479" s="65">
        <v>0.0</v>
      </c>
      <c r="P479" s="48">
        <f t="array" ref="P479">IFNA(XLOOKUP(J479,'⚙️ Pengaturan'!$E$2:$E3237,'⚙️ Pengaturan'!$F$2:$F3237),"")</f>
        <v>250000</v>
      </c>
      <c r="Q479" s="49">
        <f t="shared" si="5"/>
        <v>0</v>
      </c>
      <c r="R479" s="41" t="s">
        <v>37</v>
      </c>
      <c r="S479" s="69" t="s">
        <v>705</v>
      </c>
      <c r="T479" s="51" t="b">
        <v>1</v>
      </c>
      <c r="U479" s="94"/>
    </row>
    <row r="480" ht="30.0" customHeight="1">
      <c r="A480" s="39"/>
      <c r="B480" s="40">
        <v>2513.0</v>
      </c>
      <c r="C480" s="41" t="s">
        <v>50</v>
      </c>
      <c r="D480" s="86">
        <v>46050.0</v>
      </c>
      <c r="E480" s="43" t="str">
        <f t="shared" si="1"/>
        <v>2026</v>
      </c>
      <c r="F480" s="43" t="str">
        <f t="shared" si="2"/>
        <v>01 Jan</v>
      </c>
      <c r="G480" s="126" t="s">
        <v>173</v>
      </c>
      <c r="H480" s="45" t="s">
        <v>162</v>
      </c>
      <c r="I480" s="45" t="s">
        <v>705</v>
      </c>
      <c r="J480" s="41" t="s">
        <v>56</v>
      </c>
      <c r="K480" s="43" t="str">
        <f t="array" ref="K480">IF(J480="","", XLOOKUP(J480,'⚙️ Pengaturan'!$E$2:$E3237,'⚙️ Pengaturan'!$G$2:$G3237))</f>
        <v>KLINIK FT PAKET</v>
      </c>
      <c r="L480" s="43" t="str">
        <f t="shared" si="3"/>
        <v>BARU</v>
      </c>
      <c r="M480" s="41" t="s">
        <v>31</v>
      </c>
      <c r="N480" s="46">
        <v>650000.0</v>
      </c>
      <c r="O480" s="65">
        <v>0.0</v>
      </c>
      <c r="P480" s="48">
        <f t="array" ref="P480">IFNA(XLOOKUP(J480,'⚙️ Pengaturan'!$E$2:$E3237,'⚙️ Pengaturan'!$F$2:$F3237),"")</f>
        <v>650000</v>
      </c>
      <c r="Q480" s="49">
        <f t="shared" si="5"/>
        <v>0</v>
      </c>
      <c r="R480" s="41" t="s">
        <v>37</v>
      </c>
      <c r="S480" s="69" t="s">
        <v>705</v>
      </c>
      <c r="T480" s="51" t="b">
        <v>1</v>
      </c>
      <c r="U480" s="94"/>
    </row>
    <row r="481" ht="30.0" customHeight="1">
      <c r="A481" s="39"/>
      <c r="B481" s="40">
        <v>2514.0</v>
      </c>
      <c r="C481" s="41" t="s">
        <v>79</v>
      </c>
      <c r="D481" s="86">
        <v>46051.0</v>
      </c>
      <c r="E481" s="43" t="str">
        <f t="shared" si="1"/>
        <v>2026</v>
      </c>
      <c r="F481" s="43" t="str">
        <f t="shared" si="2"/>
        <v>01 Jan</v>
      </c>
      <c r="G481" s="126" t="s">
        <v>25</v>
      </c>
      <c r="H481" s="45" t="s">
        <v>103</v>
      </c>
      <c r="I481" s="45" t="s">
        <v>600</v>
      </c>
      <c r="J481" s="41" t="s">
        <v>92</v>
      </c>
      <c r="K481" s="43" t="str">
        <f t="array" ref="K481">IF(J481="","", XLOOKUP(J481,'⚙️ Pengaturan'!$E$2:$E3237,'⚙️ Pengaturan'!$G$2:$G3237))</f>
        <v>KLINIK FT PAKET</v>
      </c>
      <c r="L481" s="43" t="str">
        <f t="shared" si="3"/>
        <v>BARU</v>
      </c>
      <c r="M481" s="41" t="s">
        <v>31</v>
      </c>
      <c r="N481" s="46">
        <v>200000.0</v>
      </c>
      <c r="O481" s="65">
        <v>0.0</v>
      </c>
      <c r="P481" s="48">
        <f t="array" ref="P481">IFNA(XLOOKUP(J481,'⚙️ Pengaturan'!$E$2:$E3237,'⚙️ Pengaturan'!$F$2:$F3237),"")</f>
        <v>1200000</v>
      </c>
      <c r="Q481" s="49">
        <f t="shared" si="5"/>
        <v>-1000000</v>
      </c>
      <c r="R481" s="41" t="s">
        <v>32</v>
      </c>
      <c r="S481" s="69" t="s">
        <v>33</v>
      </c>
      <c r="T481" s="51" t="b">
        <v>1</v>
      </c>
      <c r="U481" s="94"/>
    </row>
    <row r="482" ht="30.0" customHeight="1">
      <c r="A482" s="39"/>
      <c r="B482" s="40">
        <v>2515.0</v>
      </c>
      <c r="C482" s="41" t="s">
        <v>79</v>
      </c>
      <c r="D482" s="86">
        <v>46051.0</v>
      </c>
      <c r="E482" s="43" t="str">
        <f t="shared" si="1"/>
        <v>2026</v>
      </c>
      <c r="F482" s="43" t="str">
        <f t="shared" si="2"/>
        <v>01 Jan</v>
      </c>
      <c r="G482" s="126" t="s">
        <v>25</v>
      </c>
      <c r="H482" s="45" t="s">
        <v>26</v>
      </c>
      <c r="I482" s="45" t="s">
        <v>643</v>
      </c>
      <c r="J482" s="41" t="s">
        <v>180</v>
      </c>
      <c r="K482" s="43" t="str">
        <f t="array" ref="K482">IF(J482="","", XLOOKUP(J482,'⚙️ Pengaturan'!$E$2:$E3237,'⚙️ Pengaturan'!$G$2:$G3237))</f>
        <v>KLINIK FT SESI</v>
      </c>
      <c r="L482" s="43" t="str">
        <f t="shared" si="3"/>
        <v>LANJUTAN</v>
      </c>
      <c r="M482" s="41" t="s">
        <v>31</v>
      </c>
      <c r="N482" s="46">
        <v>150000.0</v>
      </c>
      <c r="O482" s="65">
        <v>0.0</v>
      </c>
      <c r="P482" s="48">
        <f t="array" ref="P482">IFNA(XLOOKUP(J482,'⚙️ Pengaturan'!$E$2:$E3237,'⚙️ Pengaturan'!$F$2:$F3237),"")</f>
        <v>150000</v>
      </c>
      <c r="Q482" s="49">
        <f t="shared" si="5"/>
        <v>0</v>
      </c>
      <c r="R482" s="41" t="s">
        <v>32</v>
      </c>
      <c r="S482" s="69" t="s">
        <v>33</v>
      </c>
      <c r="T482" s="51" t="b">
        <v>1</v>
      </c>
      <c r="U482" s="94"/>
    </row>
    <row r="483" ht="30.0" customHeight="1">
      <c r="A483" s="39"/>
      <c r="B483" s="40">
        <v>2516.0</v>
      </c>
      <c r="C483" s="41" t="s">
        <v>79</v>
      </c>
      <c r="D483" s="86">
        <v>46051.0</v>
      </c>
      <c r="E483" s="43" t="str">
        <f t="shared" si="1"/>
        <v>2026</v>
      </c>
      <c r="F483" s="43" t="str">
        <f t="shared" si="2"/>
        <v>01 Jan</v>
      </c>
      <c r="G483" s="126" t="s">
        <v>25</v>
      </c>
      <c r="H483" s="45" t="s">
        <v>150</v>
      </c>
      <c r="I483" s="45" t="s">
        <v>706</v>
      </c>
      <c r="J483" s="41" t="s">
        <v>28</v>
      </c>
      <c r="K483" s="43" t="str">
        <f t="array" ref="K483">IF(J483="","", XLOOKUP(J483,'⚙️ Pengaturan'!$E$2:$E3237,'⚙️ Pengaturan'!$G$2:$G3237))</f>
        <v>KLINIK FT TA</v>
      </c>
      <c r="L483" s="43" t="str">
        <f t="shared" si="3"/>
        <v>BARU</v>
      </c>
      <c r="M483" s="41" t="s">
        <v>31</v>
      </c>
      <c r="N483" s="46">
        <v>250000.0</v>
      </c>
      <c r="O483" s="65">
        <v>0.0</v>
      </c>
      <c r="P483" s="48">
        <f t="array" ref="P483">IFNA(XLOOKUP(J483,'⚙️ Pengaturan'!$E$2:$E3237,'⚙️ Pengaturan'!$F$2:$F3237),"")</f>
        <v>250000</v>
      </c>
      <c r="Q483" s="49">
        <f t="shared" si="5"/>
        <v>0</v>
      </c>
      <c r="R483" s="41" t="s">
        <v>32</v>
      </c>
      <c r="S483" s="69" t="s">
        <v>33</v>
      </c>
      <c r="T483" s="51" t="b">
        <v>1</v>
      </c>
      <c r="U483" s="94"/>
    </row>
    <row r="484" ht="30.0" customHeight="1">
      <c r="A484" s="39"/>
      <c r="B484" s="40">
        <v>2517.0</v>
      </c>
      <c r="C484" s="41" t="s">
        <v>79</v>
      </c>
      <c r="D484" s="86">
        <v>46051.0</v>
      </c>
      <c r="E484" s="43" t="str">
        <f t="shared" si="1"/>
        <v>2026</v>
      </c>
      <c r="F484" s="43" t="str">
        <f t="shared" si="2"/>
        <v>01 Jan</v>
      </c>
      <c r="G484" s="126" t="s">
        <v>25</v>
      </c>
      <c r="H484" s="45" t="s">
        <v>26</v>
      </c>
      <c r="I484" s="45" t="s">
        <v>707</v>
      </c>
      <c r="J484" s="41" t="s">
        <v>28</v>
      </c>
      <c r="K484" s="43" t="str">
        <f t="array" ref="K484">IF(J484="","", XLOOKUP(J484,'⚙️ Pengaturan'!$E$2:$E3237,'⚙️ Pengaturan'!$G$2:$G3237))</f>
        <v>KLINIK FT TA</v>
      </c>
      <c r="L484" s="43" t="str">
        <f t="shared" si="3"/>
        <v>BARU</v>
      </c>
      <c r="M484" s="41" t="s">
        <v>31</v>
      </c>
      <c r="N484" s="46">
        <v>250000.0</v>
      </c>
      <c r="O484" s="65">
        <v>0.0</v>
      </c>
      <c r="P484" s="48">
        <f t="array" ref="P484">IFNA(XLOOKUP(J484,'⚙️ Pengaturan'!$E$2:$E3237,'⚙️ Pengaturan'!$F$2:$F3237),"")</f>
        <v>250000</v>
      </c>
      <c r="Q484" s="49">
        <f t="shared" si="5"/>
        <v>0</v>
      </c>
      <c r="R484" s="41" t="s">
        <v>37</v>
      </c>
      <c r="S484" s="69" t="s">
        <v>708</v>
      </c>
      <c r="T484" s="51" t="b">
        <v>1</v>
      </c>
      <c r="U484" s="94"/>
    </row>
    <row r="485" ht="30.0" customHeight="1">
      <c r="A485" s="39"/>
      <c r="B485" s="40">
        <v>2518.0</v>
      </c>
      <c r="C485" s="41" t="s">
        <v>79</v>
      </c>
      <c r="D485" s="86">
        <v>46051.0</v>
      </c>
      <c r="E485" s="43" t="str">
        <f t="shared" si="1"/>
        <v>2026</v>
      </c>
      <c r="F485" s="43" t="str">
        <f t="shared" si="2"/>
        <v>01 Jan</v>
      </c>
      <c r="G485" s="126" t="s">
        <v>206</v>
      </c>
      <c r="H485" s="45" t="s">
        <v>162</v>
      </c>
      <c r="I485" s="45" t="s">
        <v>709</v>
      </c>
      <c r="J485" s="41" t="s">
        <v>28</v>
      </c>
      <c r="K485" s="43" t="str">
        <f t="array" ref="K485">IF(J485="","", XLOOKUP(J485,'⚙️ Pengaturan'!$E$2:$E3237,'⚙️ Pengaturan'!$G$2:$G3237))</f>
        <v>KLINIK FT TA</v>
      </c>
      <c r="L485" s="43" t="str">
        <f t="shared" si="3"/>
        <v>BARU</v>
      </c>
      <c r="M485" s="41" t="s">
        <v>31</v>
      </c>
      <c r="N485" s="46">
        <v>250000.0</v>
      </c>
      <c r="O485" s="65">
        <v>0.0</v>
      </c>
      <c r="P485" s="48">
        <f t="array" ref="P485">IFNA(XLOOKUP(J485,'⚙️ Pengaturan'!$E$2:$E3237,'⚙️ Pengaturan'!$F$2:$F3237),"")</f>
        <v>250000</v>
      </c>
      <c r="Q485" s="49">
        <f t="shared" si="5"/>
        <v>0</v>
      </c>
      <c r="R485" s="41" t="s">
        <v>32</v>
      </c>
      <c r="S485" s="69" t="s">
        <v>33</v>
      </c>
      <c r="T485" s="51" t="b">
        <v>1</v>
      </c>
      <c r="U485" s="94"/>
    </row>
    <row r="486" ht="30.0" customHeight="1">
      <c r="A486" s="39"/>
      <c r="B486" s="40">
        <v>2519.0</v>
      </c>
      <c r="C486" s="41" t="s">
        <v>79</v>
      </c>
      <c r="D486" s="86">
        <v>46051.0</v>
      </c>
      <c r="E486" s="43" t="str">
        <f t="shared" si="1"/>
        <v>2026</v>
      </c>
      <c r="F486" s="43" t="str">
        <f t="shared" si="2"/>
        <v>01 Jan</v>
      </c>
      <c r="G486" s="126" t="s">
        <v>206</v>
      </c>
      <c r="H486" s="45" t="s">
        <v>166</v>
      </c>
      <c r="I486" s="45" t="s">
        <v>710</v>
      </c>
      <c r="J486" s="41" t="s">
        <v>92</v>
      </c>
      <c r="K486" s="43" t="str">
        <f t="array" ref="K486">IF(J486="","", XLOOKUP(J486,'⚙️ Pengaturan'!$E$2:$E3237,'⚙️ Pengaturan'!$G$2:$G3237))</f>
        <v>KLINIK FT PAKET</v>
      </c>
      <c r="L486" s="43" t="str">
        <f t="shared" si="3"/>
        <v>BARU</v>
      </c>
      <c r="M486" s="41" t="s">
        <v>31</v>
      </c>
      <c r="N486" s="46">
        <v>1200000.0</v>
      </c>
      <c r="O486" s="65">
        <v>0.0</v>
      </c>
      <c r="P486" s="48">
        <f t="array" ref="P486">IFNA(XLOOKUP(J486,'⚙️ Pengaturan'!$E$2:$E3237,'⚙️ Pengaturan'!$F$2:$F3237),"")</f>
        <v>1200000</v>
      </c>
      <c r="Q486" s="49">
        <f t="shared" si="5"/>
        <v>0</v>
      </c>
      <c r="R486" s="41" t="s">
        <v>37</v>
      </c>
      <c r="S486" s="69" t="s">
        <v>710</v>
      </c>
      <c r="T486" s="51" t="b">
        <v>1</v>
      </c>
      <c r="U486" s="94"/>
    </row>
    <row r="487" ht="30.0" customHeight="1">
      <c r="A487" s="39"/>
      <c r="B487" s="40">
        <v>2520.0</v>
      </c>
      <c r="C487" s="41" t="s">
        <v>79</v>
      </c>
      <c r="D487" s="86">
        <v>46051.0</v>
      </c>
      <c r="E487" s="43" t="str">
        <f t="shared" si="1"/>
        <v>2026</v>
      </c>
      <c r="F487" s="43" t="str">
        <f t="shared" si="2"/>
        <v>01 Jan</v>
      </c>
      <c r="G487" s="126" t="s">
        <v>161</v>
      </c>
      <c r="H487" s="45" t="s">
        <v>162</v>
      </c>
      <c r="I487" s="45" t="s">
        <v>711</v>
      </c>
      <c r="J487" s="41" t="s">
        <v>28</v>
      </c>
      <c r="K487" s="43" t="str">
        <f t="array" ref="K487">IF(J487="","", XLOOKUP(J487,'⚙️ Pengaturan'!$E$2:$E3237,'⚙️ Pengaturan'!$G$2:$G3237))</f>
        <v>KLINIK FT TA</v>
      </c>
      <c r="L487" s="43" t="str">
        <f t="shared" si="3"/>
        <v>BARU</v>
      </c>
      <c r="M487" s="41" t="s">
        <v>31</v>
      </c>
      <c r="N487" s="46">
        <v>250000.0</v>
      </c>
      <c r="O487" s="65">
        <v>0.0</v>
      </c>
      <c r="P487" s="48">
        <f t="array" ref="P487">IFNA(XLOOKUP(J487,'⚙️ Pengaturan'!$E$2:$E3237,'⚙️ Pengaturan'!$F$2:$F3237),"")</f>
        <v>250000</v>
      </c>
      <c r="Q487" s="49">
        <f t="shared" si="5"/>
        <v>0</v>
      </c>
      <c r="R487" s="41" t="s">
        <v>32</v>
      </c>
      <c r="S487" s="69" t="s">
        <v>33</v>
      </c>
      <c r="T487" s="51" t="b">
        <v>1</v>
      </c>
      <c r="U487" s="94"/>
    </row>
    <row r="488" ht="30.0" customHeight="1">
      <c r="A488" s="39"/>
      <c r="B488" s="40">
        <v>2521.0</v>
      </c>
      <c r="C488" s="41" t="s">
        <v>79</v>
      </c>
      <c r="D488" s="86">
        <v>46051.0</v>
      </c>
      <c r="E488" s="43" t="str">
        <f t="shared" si="1"/>
        <v>2026</v>
      </c>
      <c r="F488" s="43" t="str">
        <f t="shared" si="2"/>
        <v>01 Jan</v>
      </c>
      <c r="G488" s="126" t="s">
        <v>161</v>
      </c>
      <c r="H488" s="45" t="s">
        <v>150</v>
      </c>
      <c r="I488" s="45" t="s">
        <v>712</v>
      </c>
      <c r="J488" s="41" t="s">
        <v>28</v>
      </c>
      <c r="K488" s="43" t="str">
        <f t="array" ref="K488">IF(J488="","", XLOOKUP(J488,'⚙️ Pengaturan'!$E$2:$E3237,'⚙️ Pengaturan'!$G$2:$G3237))</f>
        <v>KLINIK FT TA</v>
      </c>
      <c r="L488" s="43" t="str">
        <f t="shared" si="3"/>
        <v>BARU</v>
      </c>
      <c r="M488" s="41" t="s">
        <v>31</v>
      </c>
      <c r="N488" s="46">
        <v>250000.0</v>
      </c>
      <c r="O488" s="65">
        <v>0.0</v>
      </c>
      <c r="P488" s="48">
        <f t="array" ref="P488">IFNA(XLOOKUP(J488,'⚙️ Pengaturan'!$E$2:$E3237,'⚙️ Pengaturan'!$F$2:$F3237),"")</f>
        <v>250000</v>
      </c>
      <c r="Q488" s="49">
        <f t="shared" si="5"/>
        <v>0</v>
      </c>
      <c r="R488" s="41" t="s">
        <v>37</v>
      </c>
      <c r="S488" s="69" t="s">
        <v>712</v>
      </c>
      <c r="T488" s="51" t="b">
        <v>1</v>
      </c>
      <c r="U488" s="94"/>
    </row>
    <row r="489" ht="30.0" customHeight="1">
      <c r="A489" s="39"/>
      <c r="B489" s="40">
        <v>2522.0</v>
      </c>
      <c r="C489" s="41" t="s">
        <v>79</v>
      </c>
      <c r="D489" s="86">
        <v>46051.0</v>
      </c>
      <c r="E489" s="43" t="str">
        <f t="shared" si="1"/>
        <v>2026</v>
      </c>
      <c r="F489" s="43" t="str">
        <f t="shared" si="2"/>
        <v>01 Jan</v>
      </c>
      <c r="G489" s="126" t="s">
        <v>35</v>
      </c>
      <c r="H489" s="45" t="s">
        <v>162</v>
      </c>
      <c r="I489" s="45" t="s">
        <v>713</v>
      </c>
      <c r="J489" s="41" t="s">
        <v>28</v>
      </c>
      <c r="K489" s="43" t="str">
        <f t="array" ref="K489">IF(J489="","", XLOOKUP(J489,'⚙️ Pengaturan'!$E$2:$E3237,'⚙️ Pengaturan'!$G$2:$G3237))</f>
        <v>KLINIK FT TA</v>
      </c>
      <c r="L489" s="43" t="str">
        <f t="shared" si="3"/>
        <v>BARU</v>
      </c>
      <c r="M489" s="41" t="s">
        <v>31</v>
      </c>
      <c r="N489" s="46">
        <v>250000.0</v>
      </c>
      <c r="O489" s="65">
        <v>0.0</v>
      </c>
      <c r="P489" s="48">
        <f t="array" ref="P489">IFNA(XLOOKUP(J489,'⚙️ Pengaturan'!$E$2:$E3237,'⚙️ Pengaturan'!$F$2:$F3237),"")</f>
        <v>250000</v>
      </c>
      <c r="Q489" s="49">
        <f t="shared" si="5"/>
        <v>0</v>
      </c>
      <c r="R489" s="41" t="s">
        <v>32</v>
      </c>
      <c r="S489" s="69" t="s">
        <v>33</v>
      </c>
      <c r="T489" s="51" t="b">
        <v>1</v>
      </c>
      <c r="U489" s="94"/>
    </row>
    <row r="490" ht="30.0" customHeight="1">
      <c r="A490" s="39"/>
      <c r="B490" s="40">
        <v>2523.0</v>
      </c>
      <c r="C490" s="41" t="s">
        <v>50</v>
      </c>
      <c r="D490" s="86">
        <v>46051.0</v>
      </c>
      <c r="E490" s="43" t="str">
        <f t="shared" si="1"/>
        <v>2026</v>
      </c>
      <c r="F490" s="43" t="str">
        <f t="shared" si="2"/>
        <v>01 Jan</v>
      </c>
      <c r="G490" s="126" t="s">
        <v>43</v>
      </c>
      <c r="H490" s="45" t="s">
        <v>41</v>
      </c>
      <c r="I490" s="45" t="s">
        <v>714</v>
      </c>
      <c r="J490" s="41" t="s">
        <v>28</v>
      </c>
      <c r="K490" s="43" t="str">
        <f t="array" ref="K490">IF(J490="","", XLOOKUP(J490,'⚙️ Pengaturan'!$E$2:$E3237,'⚙️ Pengaturan'!$G$2:$G3237))</f>
        <v>KLINIK FT TA</v>
      </c>
      <c r="L490" s="43" t="str">
        <f t="shared" si="3"/>
        <v>BARU</v>
      </c>
      <c r="M490" s="41" t="s">
        <v>31</v>
      </c>
      <c r="N490" s="46">
        <v>250000.0</v>
      </c>
      <c r="O490" s="65">
        <v>0.0</v>
      </c>
      <c r="P490" s="48">
        <f t="array" ref="P490">IFNA(XLOOKUP(J490,'⚙️ Pengaturan'!$E$2:$E3237,'⚙️ Pengaturan'!$F$2:$F3237),"")</f>
        <v>250000</v>
      </c>
      <c r="Q490" s="49">
        <f t="shared" si="5"/>
        <v>0</v>
      </c>
      <c r="R490" s="41" t="s">
        <v>37</v>
      </c>
      <c r="S490" s="69" t="s">
        <v>714</v>
      </c>
      <c r="T490" s="51" t="b">
        <v>1</v>
      </c>
      <c r="U490" s="94"/>
    </row>
    <row r="491" ht="30.0" customHeight="1">
      <c r="A491" s="39"/>
      <c r="B491" s="40">
        <v>2524.0</v>
      </c>
      <c r="C491" s="41" t="s">
        <v>50</v>
      </c>
      <c r="D491" s="86">
        <v>46051.0</v>
      </c>
      <c r="E491" s="43" t="str">
        <f t="shared" si="1"/>
        <v>2026</v>
      </c>
      <c r="F491" s="43" t="str">
        <f t="shared" si="2"/>
        <v>01 Jan</v>
      </c>
      <c r="G491" s="126" t="s">
        <v>173</v>
      </c>
      <c r="H491" s="45" t="s">
        <v>149</v>
      </c>
      <c r="I491" s="45" t="s">
        <v>663</v>
      </c>
      <c r="J491" s="41" t="s">
        <v>180</v>
      </c>
      <c r="K491" s="43" t="str">
        <f t="array" ref="K491">IF(J491="","", XLOOKUP(J491,'⚙️ Pengaturan'!$E$2:$E3237,'⚙️ Pengaturan'!$G$2:$G3237))</f>
        <v>KLINIK FT SESI</v>
      </c>
      <c r="L491" s="43" t="str">
        <f t="shared" si="3"/>
        <v>LANJUTAN</v>
      </c>
      <c r="M491" s="41" t="s">
        <v>31</v>
      </c>
      <c r="N491" s="46">
        <v>150000.0</v>
      </c>
      <c r="O491" s="65">
        <v>0.0</v>
      </c>
      <c r="P491" s="48">
        <f t="array" ref="P491">IFNA(XLOOKUP(J491,'⚙️ Pengaturan'!$E$2:$E3237,'⚙️ Pengaturan'!$F$2:$F3237),"")</f>
        <v>150000</v>
      </c>
      <c r="Q491" s="49">
        <f t="shared" si="5"/>
        <v>0</v>
      </c>
      <c r="R491" s="41" t="s">
        <v>32</v>
      </c>
      <c r="S491" s="69" t="s">
        <v>33</v>
      </c>
      <c r="T491" s="51" t="b">
        <v>1</v>
      </c>
      <c r="U491" s="94"/>
    </row>
    <row r="492" ht="30.0" customHeight="1">
      <c r="A492" s="39"/>
      <c r="B492" s="40">
        <v>2525.0</v>
      </c>
      <c r="C492" s="41" t="s">
        <v>50</v>
      </c>
      <c r="D492" s="86">
        <v>46051.0</v>
      </c>
      <c r="E492" s="43" t="str">
        <f t="shared" si="1"/>
        <v>2026</v>
      </c>
      <c r="F492" s="43" t="str">
        <f t="shared" si="2"/>
        <v>01 Jan</v>
      </c>
      <c r="G492" s="126" t="s">
        <v>173</v>
      </c>
      <c r="H492" s="45" t="s">
        <v>96</v>
      </c>
      <c r="I492" s="45" t="s">
        <v>658</v>
      </c>
      <c r="J492" s="41" t="s">
        <v>180</v>
      </c>
      <c r="K492" s="43" t="str">
        <f t="array" ref="K492">IF(J492="","", XLOOKUP(J492,'⚙️ Pengaturan'!$E$2:$E3237,'⚙️ Pengaturan'!$G$2:$G3237))</f>
        <v>KLINIK FT SESI</v>
      </c>
      <c r="L492" s="43" t="str">
        <f t="shared" si="3"/>
        <v>BARU</v>
      </c>
      <c r="M492" s="41" t="s">
        <v>31</v>
      </c>
      <c r="N492" s="46">
        <v>150000.0</v>
      </c>
      <c r="O492" s="65">
        <v>0.0</v>
      </c>
      <c r="P492" s="48">
        <f t="array" ref="P492">IFNA(XLOOKUP(J492,'⚙️ Pengaturan'!$E$2:$E3237,'⚙️ Pengaturan'!$F$2:$F3237),"")</f>
        <v>150000</v>
      </c>
      <c r="Q492" s="49">
        <f t="shared" si="5"/>
        <v>0</v>
      </c>
      <c r="R492" s="41" t="s">
        <v>32</v>
      </c>
      <c r="S492" s="69" t="s">
        <v>33</v>
      </c>
      <c r="T492" s="51" t="b">
        <v>1</v>
      </c>
      <c r="U492" s="94"/>
    </row>
    <row r="493" ht="30.0" customHeight="1">
      <c r="A493" s="39"/>
      <c r="B493" s="40">
        <v>2526.0</v>
      </c>
      <c r="C493" s="41" t="s">
        <v>50</v>
      </c>
      <c r="D493" s="86">
        <v>46051.0</v>
      </c>
      <c r="E493" s="43" t="str">
        <f t="shared" si="1"/>
        <v>2026</v>
      </c>
      <c r="F493" s="43" t="str">
        <f t="shared" si="2"/>
        <v>01 Jan</v>
      </c>
      <c r="G493" s="126" t="s">
        <v>155</v>
      </c>
      <c r="H493" s="45" t="s">
        <v>149</v>
      </c>
      <c r="I493" s="45" t="s">
        <v>715</v>
      </c>
      <c r="J493" s="41" t="s">
        <v>28</v>
      </c>
      <c r="K493" s="43" t="str">
        <f t="array" ref="K493">IF(J493="","", XLOOKUP(J493,'⚙️ Pengaturan'!$E$2:$E3237,'⚙️ Pengaturan'!$G$2:$G3237))</f>
        <v>KLINIK FT TA</v>
      </c>
      <c r="L493" s="43" t="str">
        <f t="shared" si="3"/>
        <v>BARU</v>
      </c>
      <c r="M493" s="41" t="s">
        <v>31</v>
      </c>
      <c r="N493" s="46">
        <v>250000.0</v>
      </c>
      <c r="O493" s="65">
        <v>0.0</v>
      </c>
      <c r="P493" s="48">
        <f t="array" ref="P493">IFNA(XLOOKUP(J493,'⚙️ Pengaturan'!$E$2:$E3237,'⚙️ Pengaturan'!$F$2:$F3237),"")</f>
        <v>250000</v>
      </c>
      <c r="Q493" s="49">
        <f t="shared" si="5"/>
        <v>0</v>
      </c>
      <c r="R493" s="41" t="s">
        <v>32</v>
      </c>
      <c r="S493" s="69" t="s">
        <v>33</v>
      </c>
      <c r="T493" s="51" t="b">
        <v>1</v>
      </c>
      <c r="U493" s="94"/>
    </row>
    <row r="494" ht="30.0" customHeight="1">
      <c r="A494" s="39"/>
      <c r="B494" s="40">
        <v>2527.0</v>
      </c>
      <c r="C494" s="41" t="s">
        <v>50</v>
      </c>
      <c r="D494" s="86">
        <v>46051.0</v>
      </c>
      <c r="E494" s="43" t="str">
        <f t="shared" si="1"/>
        <v>2026</v>
      </c>
      <c r="F494" s="43" t="str">
        <f t="shared" si="2"/>
        <v>01 Jan</v>
      </c>
      <c r="G494" s="126" t="s">
        <v>155</v>
      </c>
      <c r="H494" s="45" t="s">
        <v>41</v>
      </c>
      <c r="I494" s="45" t="s">
        <v>716</v>
      </c>
      <c r="J494" s="41" t="s">
        <v>28</v>
      </c>
      <c r="K494" s="43" t="str">
        <f t="array" ref="K494">IF(J494="","", XLOOKUP(J494,'⚙️ Pengaturan'!$E$2:$E3237,'⚙️ Pengaturan'!$G$2:$G3237))</f>
        <v>KLINIK FT TA</v>
      </c>
      <c r="L494" s="43" t="str">
        <f t="shared" si="3"/>
        <v>BARU</v>
      </c>
      <c r="M494" s="41" t="s">
        <v>31</v>
      </c>
      <c r="N494" s="46">
        <v>250000.0</v>
      </c>
      <c r="O494" s="65">
        <v>0.0</v>
      </c>
      <c r="P494" s="48">
        <f t="array" ref="P494">IFNA(XLOOKUP(J494,'⚙️ Pengaturan'!$E$2:$E3237,'⚙️ Pengaturan'!$F$2:$F3237),"")</f>
        <v>250000</v>
      </c>
      <c r="Q494" s="49">
        <f t="shared" si="5"/>
        <v>0</v>
      </c>
      <c r="R494" s="41" t="s">
        <v>32</v>
      </c>
      <c r="S494" s="69" t="s">
        <v>33</v>
      </c>
      <c r="T494" s="51" t="b">
        <v>1</v>
      </c>
      <c r="U494" s="94"/>
    </row>
    <row r="495" ht="30.0" customHeight="1">
      <c r="A495" s="39"/>
      <c r="B495" s="40">
        <v>2528.0</v>
      </c>
      <c r="C495" s="41" t="s">
        <v>50</v>
      </c>
      <c r="D495" s="86">
        <v>46051.0</v>
      </c>
      <c r="E495" s="43" t="str">
        <f t="shared" si="1"/>
        <v>2026</v>
      </c>
      <c r="F495" s="43" t="str">
        <f t="shared" si="2"/>
        <v>01 Jan</v>
      </c>
      <c r="G495" s="126" t="s">
        <v>190</v>
      </c>
      <c r="H495" s="45" t="s">
        <v>96</v>
      </c>
      <c r="I495" s="45" t="s">
        <v>717</v>
      </c>
      <c r="J495" s="41" t="s">
        <v>56</v>
      </c>
      <c r="K495" s="43" t="str">
        <f t="array" ref="K495">IF(J495="","", XLOOKUP(J495,'⚙️ Pengaturan'!$E$2:$E3237,'⚙️ Pengaturan'!$G$2:$G3237))</f>
        <v>KLINIK FT PAKET</v>
      </c>
      <c r="L495" s="43" t="str">
        <f t="shared" si="3"/>
        <v>BARU</v>
      </c>
      <c r="M495" s="41" t="s">
        <v>31</v>
      </c>
      <c r="N495" s="46">
        <v>650000.0</v>
      </c>
      <c r="O495" s="65">
        <v>0.0</v>
      </c>
      <c r="P495" s="48">
        <f t="array" ref="P495">IFNA(XLOOKUP(J495,'⚙️ Pengaturan'!$E$2:$E3237,'⚙️ Pengaturan'!$F$2:$F3237),"")</f>
        <v>650000</v>
      </c>
      <c r="Q495" s="49">
        <f t="shared" si="5"/>
        <v>0</v>
      </c>
      <c r="R495" s="41" t="s">
        <v>32</v>
      </c>
      <c r="S495" s="69" t="s">
        <v>33</v>
      </c>
      <c r="T495" s="51" t="b">
        <v>1</v>
      </c>
      <c r="U495" s="94"/>
    </row>
    <row r="496" ht="30.0" customHeight="1">
      <c r="A496" s="39"/>
      <c r="B496" s="40">
        <v>2529.0</v>
      </c>
      <c r="C496" s="41" t="s">
        <v>69</v>
      </c>
      <c r="D496" s="86">
        <v>46052.0</v>
      </c>
      <c r="E496" s="43" t="str">
        <f t="shared" si="1"/>
        <v>2026</v>
      </c>
      <c r="F496" s="43" t="str">
        <f t="shared" si="2"/>
        <v>01 Jan</v>
      </c>
      <c r="G496" s="126" t="s">
        <v>43</v>
      </c>
      <c r="H496" s="45" t="s">
        <v>47</v>
      </c>
      <c r="I496" s="45" t="s">
        <v>718</v>
      </c>
      <c r="J496" s="41" t="s">
        <v>28</v>
      </c>
      <c r="K496" s="43" t="str">
        <f t="array" ref="K496">IF(J496="","", XLOOKUP(J496,'⚙️ Pengaturan'!$E$2:$E3237,'⚙️ Pengaturan'!$G$2:$G3237))</f>
        <v>KLINIK FT TA</v>
      </c>
      <c r="L496" s="43" t="str">
        <f t="shared" si="3"/>
        <v>BARU</v>
      </c>
      <c r="M496" s="41" t="s">
        <v>31</v>
      </c>
      <c r="N496" s="46">
        <v>250000.0</v>
      </c>
      <c r="O496" s="65">
        <v>0.0</v>
      </c>
      <c r="P496" s="48">
        <f t="array" ref="P496">IFNA(XLOOKUP(J496,'⚙️ Pengaturan'!$E$2:$E3237,'⚙️ Pengaturan'!$F$2:$F3237),"")</f>
        <v>250000</v>
      </c>
      <c r="Q496" s="49">
        <f t="shared" si="5"/>
        <v>0</v>
      </c>
      <c r="R496" s="41" t="s">
        <v>37</v>
      </c>
      <c r="S496" s="69" t="s">
        <v>719</v>
      </c>
      <c r="T496" s="51" t="b">
        <v>1</v>
      </c>
      <c r="U496" s="94"/>
    </row>
    <row r="497" ht="30.0" customHeight="1">
      <c r="A497" s="39"/>
      <c r="B497" s="40">
        <v>2530.0</v>
      </c>
      <c r="C497" s="41" t="s">
        <v>69</v>
      </c>
      <c r="D497" s="86">
        <v>46052.0</v>
      </c>
      <c r="E497" s="43" t="str">
        <f t="shared" si="1"/>
        <v>2026</v>
      </c>
      <c r="F497" s="43" t="str">
        <f t="shared" si="2"/>
        <v>01 Jan</v>
      </c>
      <c r="G497" s="126" t="s">
        <v>43</v>
      </c>
      <c r="H497" s="45" t="s">
        <v>47</v>
      </c>
      <c r="I497" s="45" t="s">
        <v>718</v>
      </c>
      <c r="J497" s="41" t="s">
        <v>92</v>
      </c>
      <c r="K497" s="43" t="str">
        <f t="array" ref="K497">IF(J497="","", XLOOKUP(J497,'⚙️ Pengaturan'!$E$2:$E3237,'⚙️ Pengaturan'!$G$2:$G3237))</f>
        <v>KLINIK FT PAKET</v>
      </c>
      <c r="L497" s="43" t="str">
        <f t="shared" si="3"/>
        <v>BARU</v>
      </c>
      <c r="M497" s="41" t="s">
        <v>31</v>
      </c>
      <c r="N497" s="46">
        <v>1200000.0</v>
      </c>
      <c r="O497" s="65">
        <v>0.0</v>
      </c>
      <c r="P497" s="48">
        <f t="array" ref="P497">IFNA(XLOOKUP(J497,'⚙️ Pengaturan'!$E$2:$E3237,'⚙️ Pengaturan'!$F$2:$F3237),"")</f>
        <v>1200000</v>
      </c>
      <c r="Q497" s="49">
        <f t="shared" si="5"/>
        <v>0</v>
      </c>
      <c r="R497" s="41" t="s">
        <v>37</v>
      </c>
      <c r="S497" s="69" t="s">
        <v>719</v>
      </c>
      <c r="T497" s="51" t="b">
        <v>1</v>
      </c>
      <c r="U497" s="94"/>
    </row>
    <row r="498" ht="30.0" customHeight="1">
      <c r="A498" s="39"/>
      <c r="B498" s="40">
        <v>2531.0</v>
      </c>
      <c r="C498" s="41" t="s">
        <v>69</v>
      </c>
      <c r="D498" s="86">
        <v>46052.0</v>
      </c>
      <c r="E498" s="43" t="str">
        <f t="shared" si="1"/>
        <v>2026</v>
      </c>
      <c r="F498" s="43" t="str">
        <f t="shared" si="2"/>
        <v>01 Jan</v>
      </c>
      <c r="G498" s="126" t="s">
        <v>155</v>
      </c>
      <c r="H498" s="45" t="s">
        <v>156</v>
      </c>
      <c r="I498" s="45" t="s">
        <v>720</v>
      </c>
      <c r="J498" s="41" t="s">
        <v>28</v>
      </c>
      <c r="K498" s="43" t="str">
        <f t="array" ref="K498">IF(J498="","", XLOOKUP(J498,'⚙️ Pengaturan'!$E$2:$E3237,'⚙️ Pengaturan'!$G$2:$G3237))</f>
        <v>KLINIK FT TA</v>
      </c>
      <c r="L498" s="43" t="str">
        <f t="shared" si="3"/>
        <v>BARU</v>
      </c>
      <c r="M498" s="41" t="s">
        <v>31</v>
      </c>
      <c r="N498" s="46">
        <v>250000.0</v>
      </c>
      <c r="O498" s="65">
        <v>0.0</v>
      </c>
      <c r="P498" s="48">
        <f t="array" ref="P498">IFNA(XLOOKUP(J498,'⚙️ Pengaturan'!$E$2:$E3237,'⚙️ Pengaturan'!$F$2:$F3237),"")</f>
        <v>250000</v>
      </c>
      <c r="Q498" s="49">
        <f t="shared" si="5"/>
        <v>0</v>
      </c>
      <c r="R498" s="41" t="s">
        <v>37</v>
      </c>
      <c r="S498" s="69" t="s">
        <v>720</v>
      </c>
      <c r="T498" s="51" t="b">
        <v>1</v>
      </c>
      <c r="U498" s="94"/>
    </row>
    <row r="499" ht="30.0" customHeight="1">
      <c r="A499" s="39"/>
      <c r="B499" s="40">
        <v>2532.0</v>
      </c>
      <c r="C499" s="41" t="s">
        <v>69</v>
      </c>
      <c r="D499" s="86">
        <v>46052.0</v>
      </c>
      <c r="E499" s="43" t="str">
        <f t="shared" si="1"/>
        <v>2026</v>
      </c>
      <c r="F499" s="43" t="str">
        <f t="shared" si="2"/>
        <v>01 Jan</v>
      </c>
      <c r="G499" s="126" t="s">
        <v>155</v>
      </c>
      <c r="H499" s="45" t="s">
        <v>47</v>
      </c>
      <c r="I499" s="45" t="s">
        <v>721</v>
      </c>
      <c r="J499" s="41" t="s">
        <v>28</v>
      </c>
      <c r="K499" s="43" t="str">
        <f t="array" ref="K499">IF(J499="","", XLOOKUP(J499,'⚙️ Pengaturan'!$E$2:$E3237,'⚙️ Pengaturan'!$G$2:$G3237))</f>
        <v>KLINIK FT TA</v>
      </c>
      <c r="L499" s="43" t="str">
        <f t="shared" si="3"/>
        <v>BARU</v>
      </c>
      <c r="M499" s="41" t="s">
        <v>31</v>
      </c>
      <c r="N499" s="46">
        <v>250000.0</v>
      </c>
      <c r="O499" s="65">
        <v>0.0</v>
      </c>
      <c r="P499" s="48">
        <f t="array" ref="P499">IFNA(XLOOKUP(J499,'⚙️ Pengaturan'!$E$2:$E3237,'⚙️ Pengaturan'!$F$2:$F3237),"")</f>
        <v>250000</v>
      </c>
      <c r="Q499" s="49">
        <f t="shared" si="5"/>
        <v>0</v>
      </c>
      <c r="R499" s="41" t="s">
        <v>37</v>
      </c>
      <c r="S499" s="69" t="s">
        <v>721</v>
      </c>
      <c r="T499" s="51" t="b">
        <v>1</v>
      </c>
      <c r="U499" s="94"/>
    </row>
    <row r="500" ht="30.0" customHeight="1">
      <c r="A500" s="39"/>
      <c r="B500" s="40">
        <v>2533.0</v>
      </c>
      <c r="C500" s="41" t="s">
        <v>69</v>
      </c>
      <c r="D500" s="86">
        <v>46052.0</v>
      </c>
      <c r="E500" s="43" t="str">
        <f t="shared" si="1"/>
        <v>2026</v>
      </c>
      <c r="F500" s="43" t="str">
        <f t="shared" si="2"/>
        <v>01 Jan</v>
      </c>
      <c r="G500" s="126" t="s">
        <v>155</v>
      </c>
      <c r="H500" s="45" t="s">
        <v>47</v>
      </c>
      <c r="I500" s="45" t="s">
        <v>721</v>
      </c>
      <c r="J500" s="41" t="s">
        <v>56</v>
      </c>
      <c r="K500" s="43" t="str">
        <f t="array" ref="K500">IF(J500="","", XLOOKUP(J500,'⚙️ Pengaturan'!$E$2:$E3237,'⚙️ Pengaturan'!$G$2:$G3237))</f>
        <v>KLINIK FT PAKET</v>
      </c>
      <c r="L500" s="43" t="str">
        <f t="shared" si="3"/>
        <v>BARU</v>
      </c>
      <c r="M500" s="41" t="s">
        <v>31</v>
      </c>
      <c r="N500" s="46">
        <v>650000.0</v>
      </c>
      <c r="O500" s="65">
        <v>0.0</v>
      </c>
      <c r="P500" s="48">
        <f t="array" ref="P500">IFNA(XLOOKUP(J500,'⚙️ Pengaturan'!$E$2:$E3237,'⚙️ Pengaturan'!$F$2:$F3237),"")</f>
        <v>650000</v>
      </c>
      <c r="Q500" s="49">
        <f t="shared" si="5"/>
        <v>0</v>
      </c>
      <c r="R500" s="41" t="s">
        <v>37</v>
      </c>
      <c r="S500" s="69" t="s">
        <v>721</v>
      </c>
      <c r="T500" s="51" t="b">
        <v>1</v>
      </c>
      <c r="U500" s="94"/>
    </row>
    <row r="501" ht="30.0" customHeight="1">
      <c r="A501" s="39"/>
      <c r="B501" s="40">
        <v>2534.0</v>
      </c>
      <c r="C501" s="41" t="s">
        <v>69</v>
      </c>
      <c r="D501" s="86">
        <v>46052.0</v>
      </c>
      <c r="E501" s="43" t="str">
        <f t="shared" si="1"/>
        <v>2026</v>
      </c>
      <c r="F501" s="43" t="str">
        <f t="shared" si="2"/>
        <v>01 Jan</v>
      </c>
      <c r="G501" s="126" t="s">
        <v>190</v>
      </c>
      <c r="H501" s="45" t="s">
        <v>47</v>
      </c>
      <c r="I501" s="45" t="s">
        <v>686</v>
      </c>
      <c r="J501" s="41" t="s">
        <v>180</v>
      </c>
      <c r="K501" s="43" t="str">
        <f t="array" ref="K501">IF(J501="","", XLOOKUP(J501,'⚙️ Pengaturan'!$E$2:$E3237,'⚙️ Pengaturan'!$G$2:$G3237))</f>
        <v>KLINIK FT SESI</v>
      </c>
      <c r="L501" s="43" t="str">
        <f t="shared" si="3"/>
        <v>BARU</v>
      </c>
      <c r="M501" s="41" t="s">
        <v>31</v>
      </c>
      <c r="N501" s="46">
        <v>150000.0</v>
      </c>
      <c r="O501" s="65">
        <v>0.0</v>
      </c>
      <c r="P501" s="48">
        <f t="array" ref="P501">IFNA(XLOOKUP(J501,'⚙️ Pengaturan'!$E$2:$E3237,'⚙️ Pengaturan'!$F$2:$F3237),"")</f>
        <v>150000</v>
      </c>
      <c r="Q501" s="49">
        <f t="shared" si="5"/>
        <v>0</v>
      </c>
      <c r="R501" s="41" t="s">
        <v>37</v>
      </c>
      <c r="S501" s="69" t="s">
        <v>686</v>
      </c>
      <c r="T501" s="51" t="b">
        <v>1</v>
      </c>
      <c r="U501" s="94"/>
    </row>
    <row r="502" ht="30.0" customHeight="1">
      <c r="A502" s="39"/>
      <c r="B502" s="40">
        <v>2535.0</v>
      </c>
      <c r="C502" s="41" t="s">
        <v>79</v>
      </c>
      <c r="D502" s="86">
        <v>46053.0</v>
      </c>
      <c r="E502" s="43" t="str">
        <f t="shared" si="1"/>
        <v>2026</v>
      </c>
      <c r="F502" s="43" t="str">
        <f t="shared" si="2"/>
        <v>01 Jan</v>
      </c>
      <c r="G502" s="126" t="s">
        <v>195</v>
      </c>
      <c r="H502" s="45" t="s">
        <v>149</v>
      </c>
      <c r="I502" s="45" t="s">
        <v>454</v>
      </c>
      <c r="J502" s="41" t="s">
        <v>56</v>
      </c>
      <c r="K502" s="43" t="str">
        <f t="array" ref="K502">IF(J502="","", XLOOKUP(J502,'⚙️ Pengaturan'!$E$2:$E3237,'⚙️ Pengaturan'!$G$2:$G3237))</f>
        <v>KLINIK FT PAKET</v>
      </c>
      <c r="L502" s="43" t="str">
        <f t="shared" si="3"/>
        <v>BARU</v>
      </c>
      <c r="M502" s="41" t="s">
        <v>31</v>
      </c>
      <c r="N502" s="46">
        <v>650000.0</v>
      </c>
      <c r="O502" s="65">
        <v>0.0</v>
      </c>
      <c r="P502" s="48">
        <f t="array" ref="P502">IFNA(XLOOKUP(J502,'⚙️ Pengaturan'!$E$2:$E3237,'⚙️ Pengaturan'!$F$2:$F3237),"")</f>
        <v>650000</v>
      </c>
      <c r="Q502" s="49">
        <v>0.0</v>
      </c>
      <c r="R502" s="41" t="s">
        <v>32</v>
      </c>
      <c r="S502" s="69" t="s">
        <v>33</v>
      </c>
      <c r="T502" s="51" t="b">
        <v>1</v>
      </c>
      <c r="U502" s="94"/>
    </row>
    <row r="503" ht="30.0" customHeight="1">
      <c r="A503" s="39"/>
      <c r="B503" s="40">
        <v>2536.0</v>
      </c>
      <c r="C503" s="41" t="s">
        <v>79</v>
      </c>
      <c r="D503" s="86">
        <v>46053.0</v>
      </c>
      <c r="E503" s="43" t="str">
        <f t="shared" si="1"/>
        <v>2026</v>
      </c>
      <c r="F503" s="43" t="str">
        <f t="shared" si="2"/>
        <v>01 Jan</v>
      </c>
      <c r="G503" s="126" t="s">
        <v>25</v>
      </c>
      <c r="H503" s="45" t="s">
        <v>149</v>
      </c>
      <c r="I503" s="45" t="s">
        <v>702</v>
      </c>
      <c r="J503" s="41" t="s">
        <v>180</v>
      </c>
      <c r="K503" s="43" t="str">
        <f t="array" ref="K503">IF(J503="","", XLOOKUP(J503,'⚙️ Pengaturan'!$E$2:$E3237,'⚙️ Pengaturan'!$G$2:$G3237))</f>
        <v>KLINIK FT SESI</v>
      </c>
      <c r="L503" s="43" t="str">
        <f t="shared" si="3"/>
        <v>BARU</v>
      </c>
      <c r="M503" s="41" t="s">
        <v>31</v>
      </c>
      <c r="N503" s="46">
        <v>150000.0</v>
      </c>
      <c r="O503" s="65">
        <v>0.0</v>
      </c>
      <c r="P503" s="48">
        <f t="array" ref="P503">IFNA(XLOOKUP(J503,'⚙️ Pengaturan'!$E$2:$E3237,'⚙️ Pengaturan'!$F$2:$F3237),"")</f>
        <v>150000</v>
      </c>
      <c r="Q503" s="49">
        <v>0.0</v>
      </c>
      <c r="R503" s="41" t="s">
        <v>32</v>
      </c>
      <c r="S503" s="69" t="s">
        <v>33</v>
      </c>
      <c r="T503" s="51" t="b">
        <v>1</v>
      </c>
      <c r="U503" s="94"/>
    </row>
    <row r="504" ht="30.0" customHeight="1">
      <c r="A504" s="39"/>
      <c r="B504" s="40">
        <v>2537.0</v>
      </c>
      <c r="C504" s="41" t="s">
        <v>79</v>
      </c>
      <c r="D504" s="86">
        <v>46053.0</v>
      </c>
      <c r="E504" s="43" t="str">
        <f t="shared" si="1"/>
        <v>2026</v>
      </c>
      <c r="F504" s="43" t="str">
        <f t="shared" si="2"/>
        <v>01 Jan</v>
      </c>
      <c r="G504" s="126" t="s">
        <v>241</v>
      </c>
      <c r="H504" s="45" t="s">
        <v>76</v>
      </c>
      <c r="I504" s="45" t="s">
        <v>697</v>
      </c>
      <c r="J504" s="41" t="s">
        <v>180</v>
      </c>
      <c r="K504" s="43" t="str">
        <f t="array" ref="K504">IF(J504="","", XLOOKUP(J504,'⚙️ Pengaturan'!$E$2:$E3237,'⚙️ Pengaturan'!$G$2:$G3237))</f>
        <v>KLINIK FT SESI</v>
      </c>
      <c r="L504" s="43" t="str">
        <f t="shared" si="3"/>
        <v>BARU</v>
      </c>
      <c r="M504" s="41" t="s">
        <v>31</v>
      </c>
      <c r="N504" s="46">
        <v>150000.0</v>
      </c>
      <c r="O504" s="65">
        <v>0.0</v>
      </c>
      <c r="P504" s="48">
        <f t="array" ref="P504">IFNA(XLOOKUP(J504,'⚙️ Pengaturan'!$E$2:$E3237,'⚙️ Pengaturan'!$F$2:$F3237),"")</f>
        <v>150000</v>
      </c>
      <c r="Q504" s="49">
        <v>0.0</v>
      </c>
      <c r="R504" s="41" t="s">
        <v>37</v>
      </c>
      <c r="S504" s="69" t="s">
        <v>697</v>
      </c>
      <c r="T504" s="51" t="b">
        <v>1</v>
      </c>
      <c r="U504" s="94"/>
    </row>
    <row r="505" ht="30.0" customHeight="1">
      <c r="A505" s="39"/>
      <c r="B505" s="40">
        <v>2538.0</v>
      </c>
      <c r="C505" s="41" t="s">
        <v>79</v>
      </c>
      <c r="D505" s="86">
        <v>46053.0</v>
      </c>
      <c r="E505" s="43" t="str">
        <f t="shared" si="1"/>
        <v>2026</v>
      </c>
      <c r="F505" s="43" t="str">
        <f t="shared" si="2"/>
        <v>01 Jan</v>
      </c>
      <c r="G505" s="126" t="s">
        <v>161</v>
      </c>
      <c r="H505" s="45" t="s">
        <v>149</v>
      </c>
      <c r="I505" s="45" t="s">
        <v>692</v>
      </c>
      <c r="J505" s="41" t="s">
        <v>180</v>
      </c>
      <c r="K505" s="43" t="str">
        <f t="array" ref="K505">IF(J505="","", XLOOKUP(J505,'⚙️ Pengaturan'!$E$2:$E3237,'⚙️ Pengaturan'!$G$2:$G3237))</f>
        <v>KLINIK FT SESI</v>
      </c>
      <c r="L505" s="43" t="str">
        <f t="shared" si="3"/>
        <v>LANJUTAN</v>
      </c>
      <c r="M505" s="41" t="s">
        <v>31</v>
      </c>
      <c r="N505" s="46">
        <v>150000.0</v>
      </c>
      <c r="O505" s="65">
        <v>0.0</v>
      </c>
      <c r="P505" s="48">
        <f t="array" ref="P505">IFNA(XLOOKUP(J505,'⚙️ Pengaturan'!$E$2:$E3237,'⚙️ Pengaturan'!$F$2:$F3237),"")</f>
        <v>150000</v>
      </c>
      <c r="Q505" s="49">
        <v>0.0</v>
      </c>
      <c r="R505" s="41" t="s">
        <v>32</v>
      </c>
      <c r="S505" s="69" t="s">
        <v>33</v>
      </c>
      <c r="T505" s="51" t="b">
        <v>1</v>
      </c>
      <c r="U505" s="94"/>
    </row>
    <row r="506" ht="30.0" customHeight="1">
      <c r="A506" s="39"/>
      <c r="B506" s="40">
        <v>2539.0</v>
      </c>
      <c r="C506" s="41" t="s">
        <v>79</v>
      </c>
      <c r="D506" s="86">
        <v>46053.0</v>
      </c>
      <c r="E506" s="43" t="str">
        <f t="shared" si="1"/>
        <v>2026</v>
      </c>
      <c r="F506" s="43" t="str">
        <f t="shared" si="2"/>
        <v>01 Jan</v>
      </c>
      <c r="G506" s="126" t="s">
        <v>35</v>
      </c>
      <c r="H506" s="45" t="s">
        <v>41</v>
      </c>
      <c r="I506" s="45" t="s">
        <v>722</v>
      </c>
      <c r="J506" s="41" t="s">
        <v>180</v>
      </c>
      <c r="K506" s="43" t="str">
        <f t="array" ref="K506">IF(J506="","", XLOOKUP(J506,'⚙️ Pengaturan'!$E$2:$E3237,'⚙️ Pengaturan'!$G$2:$G3237))</f>
        <v>KLINIK FT SESI</v>
      </c>
      <c r="L506" s="43" t="str">
        <f t="shared" si="3"/>
        <v>BARU</v>
      </c>
      <c r="M506" s="41" t="s">
        <v>31</v>
      </c>
      <c r="N506" s="46">
        <v>150000.0</v>
      </c>
      <c r="O506" s="65">
        <v>0.0</v>
      </c>
      <c r="P506" s="48">
        <f t="array" ref="P506">IFNA(XLOOKUP(J506,'⚙️ Pengaturan'!$E$2:$E3237,'⚙️ Pengaturan'!$F$2:$F3237),"")</f>
        <v>150000</v>
      </c>
      <c r="Q506" s="49">
        <f t="shared" ref="Q506:Q519" si="6">IF(I506="","",(N506+O506)-P506)</f>
        <v>0</v>
      </c>
      <c r="R506" s="41" t="s">
        <v>32</v>
      </c>
      <c r="S506" s="69" t="s">
        <v>33</v>
      </c>
      <c r="T506" s="51" t="b">
        <v>1</v>
      </c>
      <c r="U506" s="94"/>
    </row>
    <row r="507" ht="30.0" customHeight="1">
      <c r="A507" s="39"/>
      <c r="B507" s="40">
        <v>2540.0</v>
      </c>
      <c r="C507" s="41" t="s">
        <v>79</v>
      </c>
      <c r="D507" s="86">
        <v>46053.0</v>
      </c>
      <c r="E507" s="43" t="str">
        <f t="shared" si="1"/>
        <v>2026</v>
      </c>
      <c r="F507" s="43" t="str">
        <f t="shared" si="2"/>
        <v>01 Jan</v>
      </c>
      <c r="G507" s="126" t="s">
        <v>35</v>
      </c>
      <c r="H507" s="45" t="s">
        <v>149</v>
      </c>
      <c r="I507" s="45" t="s">
        <v>497</v>
      </c>
      <c r="J507" s="138" t="s">
        <v>180</v>
      </c>
      <c r="K507" s="43" t="str">
        <f t="array" ref="K507">IF(J507="","", XLOOKUP(J507,'⚙️ Pengaturan'!$E$2:$E3237,'⚙️ Pengaturan'!$G$2:$G3237))</f>
        <v>KLINIK FT SESI</v>
      </c>
      <c r="L507" s="43" t="str">
        <f t="shared" si="3"/>
        <v>LANJUTAN</v>
      </c>
      <c r="M507" s="139" t="s">
        <v>31</v>
      </c>
      <c r="N507" s="140">
        <v>150000.0</v>
      </c>
      <c r="O507" s="141">
        <v>0.0</v>
      </c>
      <c r="P507" s="48">
        <f t="array" ref="P507">IFNA(XLOOKUP(J507,'⚙️ Pengaturan'!$E$2:$E3237,'⚙️ Pengaturan'!$F$2:$F3237),"")</f>
        <v>150000</v>
      </c>
      <c r="Q507" s="142">
        <f t="shared" si="6"/>
        <v>0</v>
      </c>
      <c r="R507" s="41" t="s">
        <v>32</v>
      </c>
      <c r="S507" s="69" t="s">
        <v>33</v>
      </c>
      <c r="T507" s="51" t="b">
        <v>1</v>
      </c>
      <c r="U507" s="94"/>
    </row>
    <row r="508" ht="30.0" customHeight="1">
      <c r="A508" s="39"/>
      <c r="B508" s="40">
        <v>2541.0</v>
      </c>
      <c r="C508" s="41" t="s">
        <v>79</v>
      </c>
      <c r="D508" s="86">
        <v>46053.0</v>
      </c>
      <c r="E508" s="43" t="str">
        <f t="shared" si="1"/>
        <v>2026</v>
      </c>
      <c r="F508" s="43" t="str">
        <f t="shared" si="2"/>
        <v>01 Jan</v>
      </c>
      <c r="G508" s="126" t="s">
        <v>69</v>
      </c>
      <c r="H508" s="45" t="s">
        <v>156</v>
      </c>
      <c r="I508" s="45" t="s">
        <v>723</v>
      </c>
      <c r="J508" s="143" t="s">
        <v>28</v>
      </c>
      <c r="K508" s="43" t="str">
        <f t="array" ref="K508">IF(J508="","", XLOOKUP(J508,'⚙️ Pengaturan'!$E$2:$E3237,'⚙️ Pengaturan'!$G$2:$G3237))</f>
        <v>KLINIK FT TA</v>
      </c>
      <c r="L508" s="43" t="str">
        <f t="shared" si="3"/>
        <v>BARU</v>
      </c>
      <c r="M508" s="144" t="s">
        <v>31</v>
      </c>
      <c r="N508" s="145">
        <v>250000.0</v>
      </c>
      <c r="O508" s="146">
        <v>0.0</v>
      </c>
      <c r="P508" s="48">
        <f t="array" ref="P508">IFNA(XLOOKUP(J508,'⚙️ Pengaturan'!$E$2:$E3237,'⚙️ Pengaturan'!$F$2:$F3237),"")</f>
        <v>250000</v>
      </c>
      <c r="Q508" s="147">
        <f t="shared" si="6"/>
        <v>0</v>
      </c>
      <c r="R508" s="41" t="s">
        <v>37</v>
      </c>
      <c r="S508" s="69" t="s">
        <v>723</v>
      </c>
      <c r="T508" s="51" t="b">
        <v>1</v>
      </c>
      <c r="U508" s="94"/>
    </row>
    <row r="509" ht="30.0" customHeight="1">
      <c r="A509" s="39"/>
      <c r="B509" s="40">
        <v>2542.0</v>
      </c>
      <c r="C509" s="41" t="s">
        <v>79</v>
      </c>
      <c r="D509" s="86">
        <v>46053.0</v>
      </c>
      <c r="E509" s="43" t="str">
        <f t="shared" si="1"/>
        <v>2026</v>
      </c>
      <c r="F509" s="43" t="str">
        <f t="shared" si="2"/>
        <v>01 Jan</v>
      </c>
      <c r="G509" s="126" t="s">
        <v>69</v>
      </c>
      <c r="H509" s="45" t="s">
        <v>41</v>
      </c>
      <c r="I509" s="45" t="s">
        <v>724</v>
      </c>
      <c r="J509" s="143" t="s">
        <v>28</v>
      </c>
      <c r="K509" s="43" t="str">
        <f t="array" ref="K509">IF(J509="","", XLOOKUP(J509,'⚙️ Pengaturan'!$E$2:$E3237,'⚙️ Pengaturan'!$G$2:$G3237))</f>
        <v>KLINIK FT TA</v>
      </c>
      <c r="L509" s="43" t="str">
        <f t="shared" si="3"/>
        <v>BARU</v>
      </c>
      <c r="M509" s="144" t="s">
        <v>31</v>
      </c>
      <c r="N509" s="145">
        <v>250000.0</v>
      </c>
      <c r="O509" s="146">
        <v>0.0</v>
      </c>
      <c r="P509" s="48">
        <f t="array" ref="P509">IFNA(XLOOKUP(J509,'⚙️ Pengaturan'!$E$2:$E3237,'⚙️ Pengaturan'!$F$2:$F3237),"")</f>
        <v>250000</v>
      </c>
      <c r="Q509" s="147">
        <f t="shared" si="6"/>
        <v>0</v>
      </c>
      <c r="R509" s="41" t="s">
        <v>37</v>
      </c>
      <c r="S509" s="69" t="s">
        <v>724</v>
      </c>
      <c r="T509" s="51" t="b">
        <v>1</v>
      </c>
      <c r="U509" s="94"/>
    </row>
    <row r="510" ht="30.0" customHeight="1">
      <c r="A510" s="39"/>
      <c r="B510" s="40">
        <v>2543.0</v>
      </c>
      <c r="C510" s="41" t="s">
        <v>50</v>
      </c>
      <c r="D510" s="86">
        <v>46053.0</v>
      </c>
      <c r="E510" s="43" t="str">
        <f t="shared" si="1"/>
        <v>2026</v>
      </c>
      <c r="F510" s="43" t="str">
        <f t="shared" si="2"/>
        <v>01 Jan</v>
      </c>
      <c r="G510" s="126" t="s">
        <v>43</v>
      </c>
      <c r="H510" s="45" t="s">
        <v>166</v>
      </c>
      <c r="I510" s="45" t="s">
        <v>646</v>
      </c>
      <c r="J510" s="143" t="s">
        <v>56</v>
      </c>
      <c r="K510" s="43" t="str">
        <f t="array" ref="K510">IF(J510="","", XLOOKUP(J510,'⚙️ Pengaturan'!$E$2:$E3237,'⚙️ Pengaturan'!$G$2:$G3237))</f>
        <v>KLINIK FT PAKET</v>
      </c>
      <c r="L510" s="43" t="str">
        <f t="shared" si="3"/>
        <v>LANJUTAN</v>
      </c>
      <c r="M510" s="144" t="s">
        <v>164</v>
      </c>
      <c r="N510" s="145">
        <v>450000.0</v>
      </c>
      <c r="O510" s="146">
        <v>200000.0</v>
      </c>
      <c r="P510" s="48">
        <f t="array" ref="P510">IFNA(XLOOKUP(J510,'⚙️ Pengaturan'!$E$2:$E3237,'⚙️ Pengaturan'!$F$2:$F3237),"")</f>
        <v>650000</v>
      </c>
      <c r="Q510" s="147">
        <f t="shared" si="6"/>
        <v>0</v>
      </c>
      <c r="R510" s="41" t="s">
        <v>32</v>
      </c>
      <c r="S510" s="69" t="s">
        <v>33</v>
      </c>
      <c r="T510" s="51" t="b">
        <v>1</v>
      </c>
      <c r="U510" s="94"/>
    </row>
    <row r="511" ht="30.0" customHeight="1">
      <c r="A511" s="39"/>
      <c r="B511" s="40">
        <v>2544.0</v>
      </c>
      <c r="C511" s="41" t="s">
        <v>50</v>
      </c>
      <c r="D511" s="86">
        <v>46053.0</v>
      </c>
      <c r="E511" s="43" t="str">
        <f t="shared" si="1"/>
        <v>2026</v>
      </c>
      <c r="F511" s="43" t="str">
        <f t="shared" si="2"/>
        <v>01 Jan</v>
      </c>
      <c r="G511" s="126" t="s">
        <v>43</v>
      </c>
      <c r="H511" s="45" t="s">
        <v>162</v>
      </c>
      <c r="I511" s="45" t="s">
        <v>179</v>
      </c>
      <c r="J511" s="143" t="s">
        <v>180</v>
      </c>
      <c r="K511" s="43" t="str">
        <f t="array" ref="K511">IF(J511="","", XLOOKUP(J511,'⚙️ Pengaturan'!$E$2:$E3237,'⚙️ Pengaturan'!$G$2:$G3237))</f>
        <v>KLINIK FT SESI</v>
      </c>
      <c r="L511" s="43" t="str">
        <f t="shared" si="3"/>
        <v>LANJUTAN</v>
      </c>
      <c r="M511" s="144" t="s">
        <v>31</v>
      </c>
      <c r="N511" s="145">
        <v>150000.0</v>
      </c>
      <c r="O511" s="146">
        <v>0.0</v>
      </c>
      <c r="P511" s="48">
        <f t="array" ref="P511">IFNA(XLOOKUP(J511,'⚙️ Pengaturan'!$E$2:$E3237,'⚙️ Pengaturan'!$F$2:$F3237),"")</f>
        <v>150000</v>
      </c>
      <c r="Q511" s="147">
        <f t="shared" si="6"/>
        <v>0</v>
      </c>
      <c r="R511" s="41" t="s">
        <v>32</v>
      </c>
      <c r="S511" s="69" t="s">
        <v>33</v>
      </c>
      <c r="T511" s="51" t="b">
        <v>1</v>
      </c>
      <c r="U511" s="94"/>
    </row>
    <row r="512" ht="30.0" customHeight="1">
      <c r="A512" s="39"/>
      <c r="B512" s="40">
        <v>2545.0</v>
      </c>
      <c r="C512" s="41" t="s">
        <v>50</v>
      </c>
      <c r="D512" s="86">
        <v>46053.0</v>
      </c>
      <c r="E512" s="43" t="str">
        <f t="shared" si="1"/>
        <v>2026</v>
      </c>
      <c r="F512" s="43" t="str">
        <f t="shared" si="2"/>
        <v>01 Jan</v>
      </c>
      <c r="G512" s="126" t="s">
        <v>43</v>
      </c>
      <c r="H512" s="45" t="s">
        <v>150</v>
      </c>
      <c r="I512" s="45" t="s">
        <v>679</v>
      </c>
      <c r="J512" s="143" t="s">
        <v>180</v>
      </c>
      <c r="K512" s="43" t="str">
        <f t="array" ref="K512">IF(J512="","", XLOOKUP(J512,'⚙️ Pengaturan'!$E$2:$E3237,'⚙️ Pengaturan'!$G$2:$G3237))</f>
        <v>KLINIK FT SESI</v>
      </c>
      <c r="L512" s="43" t="str">
        <f t="shared" si="3"/>
        <v>BARU</v>
      </c>
      <c r="M512" s="144" t="s">
        <v>31</v>
      </c>
      <c r="N512" s="145">
        <v>150000.0</v>
      </c>
      <c r="O512" s="146">
        <v>0.0</v>
      </c>
      <c r="P512" s="48">
        <f t="array" ref="P512">IFNA(XLOOKUP(J512,'⚙️ Pengaturan'!$E$2:$E3237,'⚙️ Pengaturan'!$F$2:$F3237),"")</f>
        <v>150000</v>
      </c>
      <c r="Q512" s="147">
        <f t="shared" si="6"/>
        <v>0</v>
      </c>
      <c r="R512" s="41" t="s">
        <v>32</v>
      </c>
      <c r="S512" s="69" t="s">
        <v>33</v>
      </c>
      <c r="T512" s="51" t="b">
        <v>1</v>
      </c>
      <c r="U512" s="94"/>
    </row>
    <row r="513" ht="30.0" customHeight="1">
      <c r="A513" s="39"/>
      <c r="B513" s="40">
        <v>2546.0</v>
      </c>
      <c r="C513" s="41" t="s">
        <v>50</v>
      </c>
      <c r="D513" s="86">
        <v>46053.0</v>
      </c>
      <c r="E513" s="43" t="str">
        <f t="shared" si="1"/>
        <v>2026</v>
      </c>
      <c r="F513" s="43" t="str">
        <f t="shared" si="2"/>
        <v>01 Jan</v>
      </c>
      <c r="G513" s="126" t="s">
        <v>173</v>
      </c>
      <c r="H513" s="45" t="s">
        <v>162</v>
      </c>
      <c r="I513" s="45" t="s">
        <v>709</v>
      </c>
      <c r="J513" s="143" t="s">
        <v>180</v>
      </c>
      <c r="K513" s="43" t="str">
        <f t="array" ref="K513">IF(J513="","", XLOOKUP(J513,'⚙️ Pengaturan'!$E$2:$E3237,'⚙️ Pengaturan'!$G$2:$G3237))</f>
        <v>KLINIK FT SESI</v>
      </c>
      <c r="L513" s="43" t="str">
        <f t="shared" si="3"/>
        <v>BARU</v>
      </c>
      <c r="M513" s="144" t="s">
        <v>31</v>
      </c>
      <c r="N513" s="145">
        <v>150000.0</v>
      </c>
      <c r="O513" s="146">
        <v>0.0</v>
      </c>
      <c r="P513" s="48">
        <f t="array" ref="P513">IFNA(XLOOKUP(J513,'⚙️ Pengaturan'!$E$2:$E3237,'⚙️ Pengaturan'!$F$2:$F3237),"")</f>
        <v>150000</v>
      </c>
      <c r="Q513" s="147">
        <f t="shared" si="6"/>
        <v>0</v>
      </c>
      <c r="R513" s="41" t="s">
        <v>32</v>
      </c>
      <c r="S513" s="69" t="s">
        <v>33</v>
      </c>
      <c r="T513" s="51" t="b">
        <v>1</v>
      </c>
      <c r="U513" s="94"/>
    </row>
    <row r="514" ht="30.0" customHeight="1">
      <c r="A514" s="39"/>
      <c r="B514" s="40">
        <v>2547.0</v>
      </c>
      <c r="C514" s="41" t="s">
        <v>50</v>
      </c>
      <c r="D514" s="86">
        <v>46053.0</v>
      </c>
      <c r="E514" s="43" t="str">
        <f t="shared" si="1"/>
        <v>2026</v>
      </c>
      <c r="F514" s="43" t="str">
        <f t="shared" si="2"/>
        <v>01 Jan</v>
      </c>
      <c r="G514" s="126" t="s">
        <v>69</v>
      </c>
      <c r="H514" s="45" t="s">
        <v>76</v>
      </c>
      <c r="I514" s="45" t="s">
        <v>725</v>
      </c>
      <c r="J514" s="143" t="s">
        <v>121</v>
      </c>
      <c r="K514" s="43" t="str">
        <f t="array" ref="K514">IF(J514="","", XLOOKUP(J514,'⚙️ Pengaturan'!$E$2:$E3237,'⚙️ Pengaturan'!$G$2:$G3237))</f>
        <v>VISIT FT TA</v>
      </c>
      <c r="L514" s="43" t="str">
        <f t="shared" si="3"/>
        <v>BARU</v>
      </c>
      <c r="M514" s="144" t="s">
        <v>31</v>
      </c>
      <c r="N514" s="145">
        <v>300000.0</v>
      </c>
      <c r="O514" s="146">
        <v>0.0</v>
      </c>
      <c r="P514" s="48">
        <f t="array" ref="P514">IFNA(XLOOKUP(J514,'⚙️ Pengaturan'!$E$2:$E3237,'⚙️ Pengaturan'!$F$2:$F3237),"")</f>
        <v>300000</v>
      </c>
      <c r="Q514" s="147">
        <f t="shared" si="6"/>
        <v>0</v>
      </c>
      <c r="R514" s="41" t="s">
        <v>37</v>
      </c>
      <c r="S514" s="69" t="s">
        <v>726</v>
      </c>
      <c r="T514" s="51" t="b">
        <v>1</v>
      </c>
      <c r="U514" s="94"/>
    </row>
    <row r="515" ht="30.0" customHeight="1">
      <c r="A515" s="39"/>
      <c r="B515" s="40">
        <v>2548.0</v>
      </c>
      <c r="C515" s="41" t="s">
        <v>50</v>
      </c>
      <c r="D515" s="86">
        <v>46053.0</v>
      </c>
      <c r="E515" s="43" t="str">
        <f t="shared" si="1"/>
        <v>2026</v>
      </c>
      <c r="F515" s="43" t="str">
        <f t="shared" si="2"/>
        <v>01 Jan</v>
      </c>
      <c r="G515" s="126" t="s">
        <v>190</v>
      </c>
      <c r="H515" s="45" t="s">
        <v>162</v>
      </c>
      <c r="I515" s="45" t="s">
        <v>711</v>
      </c>
      <c r="J515" s="143" t="s">
        <v>180</v>
      </c>
      <c r="K515" s="43" t="str">
        <f t="array" ref="K515">IF(J515="","", XLOOKUP(J515,'⚙️ Pengaturan'!$E$2:$E3237,'⚙️ Pengaturan'!$G$2:$G3237))</f>
        <v>KLINIK FT SESI</v>
      </c>
      <c r="L515" s="43" t="str">
        <f t="shared" si="3"/>
        <v>BARU</v>
      </c>
      <c r="M515" s="144" t="s">
        <v>31</v>
      </c>
      <c r="N515" s="145">
        <v>150000.0</v>
      </c>
      <c r="O515" s="146">
        <v>0.0</v>
      </c>
      <c r="P515" s="48">
        <f t="array" ref="P515">IFNA(XLOOKUP(J515,'⚙️ Pengaturan'!$E$2:$E3237,'⚙️ Pengaturan'!$F$2:$F3237),"")</f>
        <v>150000</v>
      </c>
      <c r="Q515" s="147">
        <f t="shared" si="6"/>
        <v>0</v>
      </c>
      <c r="R515" s="41" t="s">
        <v>32</v>
      </c>
      <c r="S515" s="69" t="s">
        <v>33</v>
      </c>
      <c r="T515" s="51" t="b">
        <v>1</v>
      </c>
      <c r="U515" s="94"/>
    </row>
    <row r="516" ht="30.0" customHeight="1">
      <c r="A516" s="39"/>
      <c r="B516" s="40">
        <v>2549.0</v>
      </c>
      <c r="C516" s="41" t="s">
        <v>50</v>
      </c>
      <c r="D516" s="86">
        <v>46053.0</v>
      </c>
      <c r="E516" s="43" t="str">
        <f t="shared" si="1"/>
        <v>2026</v>
      </c>
      <c r="F516" s="43" t="str">
        <f t="shared" si="2"/>
        <v>01 Jan</v>
      </c>
      <c r="G516" s="126" t="s">
        <v>190</v>
      </c>
      <c r="H516" s="45" t="s">
        <v>166</v>
      </c>
      <c r="I516" s="45" t="s">
        <v>727</v>
      </c>
      <c r="J516" s="143" t="s">
        <v>28</v>
      </c>
      <c r="K516" s="43" t="str">
        <f t="array" ref="K516">IF(J516="","", XLOOKUP(J516,'⚙️ Pengaturan'!$E$2:$E3237,'⚙️ Pengaturan'!$G$2:$G3237))</f>
        <v>KLINIK FT TA</v>
      </c>
      <c r="L516" s="43" t="str">
        <f t="shared" si="3"/>
        <v>BARU</v>
      </c>
      <c r="M516" s="144" t="s">
        <v>31</v>
      </c>
      <c r="N516" s="145">
        <v>250000.0</v>
      </c>
      <c r="O516" s="146">
        <v>0.0</v>
      </c>
      <c r="P516" s="48">
        <f t="array" ref="P516">IFNA(XLOOKUP(J516,'⚙️ Pengaturan'!$E$2:$E3237,'⚙️ Pengaturan'!$F$2:$F3237),"")</f>
        <v>250000</v>
      </c>
      <c r="Q516" s="147">
        <f t="shared" si="6"/>
        <v>0</v>
      </c>
      <c r="R516" s="41" t="s">
        <v>32</v>
      </c>
      <c r="S516" s="69" t="s">
        <v>33</v>
      </c>
      <c r="T516" s="51" t="b">
        <v>1</v>
      </c>
      <c r="U516" s="94"/>
    </row>
    <row r="517" ht="30.0" customHeight="1">
      <c r="A517" s="39"/>
      <c r="B517" s="40">
        <v>2550.0</v>
      </c>
      <c r="C517" s="41" t="s">
        <v>50</v>
      </c>
      <c r="D517" s="86">
        <v>46053.0</v>
      </c>
      <c r="E517" s="43" t="str">
        <f t="shared" si="1"/>
        <v>2026</v>
      </c>
      <c r="F517" s="43" t="str">
        <f t="shared" si="2"/>
        <v>01 Jan</v>
      </c>
      <c r="G517" s="126" t="s">
        <v>190</v>
      </c>
      <c r="H517" s="45" t="s">
        <v>150</v>
      </c>
      <c r="I517" s="45" t="s">
        <v>728</v>
      </c>
      <c r="J517" s="143" t="s">
        <v>28</v>
      </c>
      <c r="K517" s="43" t="str">
        <f t="array" ref="K517">IF(J517="","", XLOOKUP(J517,'⚙️ Pengaturan'!$E$2:$E3237,'⚙️ Pengaturan'!$G$2:$G3237))</f>
        <v>KLINIK FT TA</v>
      </c>
      <c r="L517" s="43" t="str">
        <f t="shared" si="3"/>
        <v>BARU</v>
      </c>
      <c r="M517" s="144" t="s">
        <v>31</v>
      </c>
      <c r="N517" s="145">
        <v>250000.0</v>
      </c>
      <c r="O517" s="146">
        <v>0.0</v>
      </c>
      <c r="P517" s="48">
        <f t="array" ref="P517">IFNA(XLOOKUP(J517,'⚙️ Pengaturan'!$E$2:$E3237,'⚙️ Pengaturan'!$F$2:$F3237),"")</f>
        <v>250000</v>
      </c>
      <c r="Q517" s="147">
        <f t="shared" si="6"/>
        <v>0</v>
      </c>
      <c r="R517" s="41" t="s">
        <v>32</v>
      </c>
      <c r="S517" s="69" t="s">
        <v>33</v>
      </c>
      <c r="T517" s="51" t="b">
        <v>1</v>
      </c>
      <c r="U517" s="94"/>
    </row>
    <row r="518" ht="30.0" customHeight="1">
      <c r="A518" s="39"/>
      <c r="B518" s="40">
        <v>2551.0</v>
      </c>
      <c r="C518" s="41" t="s">
        <v>50</v>
      </c>
      <c r="D518" s="86">
        <v>46054.0</v>
      </c>
      <c r="E518" s="43" t="str">
        <f t="shared" si="1"/>
        <v>2026</v>
      </c>
      <c r="F518" s="43" t="str">
        <f t="shared" si="2"/>
        <v>02 Feb</v>
      </c>
      <c r="G518" s="126" t="s">
        <v>195</v>
      </c>
      <c r="H518" s="45" t="s">
        <v>150</v>
      </c>
      <c r="I518" s="45" t="s">
        <v>712</v>
      </c>
      <c r="J518" s="143" t="s">
        <v>56</v>
      </c>
      <c r="K518" s="43" t="str">
        <f t="array" ref="K518">IF(J518="","", XLOOKUP(J518,'⚙️ Pengaturan'!$E$2:$E3237,'⚙️ Pengaturan'!$G$2:$G3237))</f>
        <v>KLINIK FT PAKET</v>
      </c>
      <c r="L518" s="43" t="str">
        <f t="shared" si="3"/>
        <v>BARU</v>
      </c>
      <c r="M518" s="144" t="s">
        <v>31</v>
      </c>
      <c r="N518" s="145">
        <v>650000.0</v>
      </c>
      <c r="O518" s="146">
        <v>0.0</v>
      </c>
      <c r="P518" s="48">
        <f t="array" ref="P518">IFNA(XLOOKUP(J518,'⚙️ Pengaturan'!$E$2:$E3237,'⚙️ Pengaturan'!$F$2:$F3237),"")</f>
        <v>650000</v>
      </c>
      <c r="Q518" s="147">
        <f t="shared" si="6"/>
        <v>0</v>
      </c>
      <c r="R518" s="41" t="s">
        <v>37</v>
      </c>
      <c r="S518" s="69" t="s">
        <v>729</v>
      </c>
      <c r="T518" s="51" t="b">
        <v>1</v>
      </c>
      <c r="U518" s="94"/>
    </row>
    <row r="519" ht="30.0" customHeight="1">
      <c r="A519" s="39"/>
      <c r="B519" s="40">
        <v>2552.0</v>
      </c>
      <c r="C519" s="41" t="s">
        <v>50</v>
      </c>
      <c r="D519" s="86">
        <v>46054.0</v>
      </c>
      <c r="E519" s="43" t="str">
        <f t="shared" si="1"/>
        <v>2026</v>
      </c>
      <c r="F519" s="43" t="str">
        <f t="shared" si="2"/>
        <v>02 Feb</v>
      </c>
      <c r="G519" s="126" t="s">
        <v>195</v>
      </c>
      <c r="H519" s="45" t="s">
        <v>47</v>
      </c>
      <c r="I519" s="45" t="s">
        <v>652</v>
      </c>
      <c r="J519" s="143" t="s">
        <v>56</v>
      </c>
      <c r="K519" s="43" t="str">
        <f t="array" ref="K519">IF(J519="","", XLOOKUP(J519,'⚙️ Pengaturan'!$E$2:$E3237,'⚙️ Pengaturan'!$G$2:$G3237))</f>
        <v>KLINIK FT PAKET</v>
      </c>
      <c r="L519" s="43" t="str">
        <f t="shared" si="3"/>
        <v>LANJUTAN</v>
      </c>
      <c r="M519" s="144" t="s">
        <v>164</v>
      </c>
      <c r="N519" s="145">
        <v>450000.0</v>
      </c>
      <c r="O519" s="146">
        <v>200000.0</v>
      </c>
      <c r="P519" s="48">
        <f t="array" ref="P519">IFNA(XLOOKUP(J519,'⚙️ Pengaturan'!$E$2:$E3237,'⚙️ Pengaturan'!$F$2:$F3237),"")</f>
        <v>650000</v>
      </c>
      <c r="Q519" s="147">
        <f t="shared" si="6"/>
        <v>0</v>
      </c>
      <c r="R519" s="41" t="s">
        <v>32</v>
      </c>
      <c r="S519" s="69" t="s">
        <v>33</v>
      </c>
      <c r="T519" s="51" t="b">
        <v>1</v>
      </c>
      <c r="U519" s="94"/>
    </row>
    <row r="520" ht="30.0" customHeight="1">
      <c r="A520" s="39"/>
      <c r="B520" s="40">
        <v>2553.0</v>
      </c>
      <c r="C520" s="41" t="s">
        <v>79</v>
      </c>
      <c r="D520" s="86">
        <v>46054.0</v>
      </c>
      <c r="E520" s="43" t="str">
        <f t="shared" si="1"/>
        <v>2026</v>
      </c>
      <c r="F520" s="43" t="str">
        <f t="shared" si="2"/>
        <v>02 Feb</v>
      </c>
      <c r="G520" s="126" t="s">
        <v>195</v>
      </c>
      <c r="H520" s="45" t="s">
        <v>76</v>
      </c>
      <c r="I520" s="45" t="s">
        <v>730</v>
      </c>
      <c r="J520" s="143" t="s">
        <v>28</v>
      </c>
      <c r="K520" s="43" t="str">
        <f t="array" ref="K520">IF(J520="","", XLOOKUP(J520,'⚙️ Pengaturan'!$E$2:$E3237,'⚙️ Pengaturan'!$G$2:$G3237))</f>
        <v>KLINIK FT TA</v>
      </c>
      <c r="L520" s="43" t="str">
        <f t="shared" si="3"/>
        <v>BARU</v>
      </c>
      <c r="M520" s="144" t="s">
        <v>31</v>
      </c>
      <c r="N520" s="145">
        <v>250000.0</v>
      </c>
      <c r="O520" s="146">
        <v>0.0</v>
      </c>
      <c r="P520" s="48">
        <f t="array" ref="P520">IFNA(XLOOKUP(J520,'⚙️ Pengaturan'!$E$2:$E3237,'⚙️ Pengaturan'!$F$2:$F3237),"")</f>
        <v>250000</v>
      </c>
      <c r="Q520" s="147">
        <v>0.0</v>
      </c>
      <c r="R520" s="41" t="s">
        <v>32</v>
      </c>
      <c r="S520" s="69" t="s">
        <v>33</v>
      </c>
      <c r="T520" s="51" t="b">
        <v>1</v>
      </c>
      <c r="U520" s="94"/>
    </row>
    <row r="521" ht="30.0" customHeight="1">
      <c r="A521" s="39"/>
      <c r="B521" s="40">
        <v>2554.0</v>
      </c>
      <c r="C521" s="41" t="s">
        <v>79</v>
      </c>
      <c r="D521" s="86">
        <v>46054.0</v>
      </c>
      <c r="E521" s="43" t="str">
        <f t="shared" si="1"/>
        <v>2026</v>
      </c>
      <c r="F521" s="43" t="str">
        <f t="shared" si="2"/>
        <v>02 Feb</v>
      </c>
      <c r="G521" s="126" t="s">
        <v>195</v>
      </c>
      <c r="H521" s="45" t="s">
        <v>150</v>
      </c>
      <c r="I521" s="45" t="s">
        <v>706</v>
      </c>
      <c r="J521" s="143" t="s">
        <v>56</v>
      </c>
      <c r="K521" s="43" t="str">
        <f t="array" ref="K521">IF(J521="","", XLOOKUP(J521,'⚙️ Pengaturan'!$E$2:$E3237,'⚙️ Pengaturan'!$G$2:$G3237))</f>
        <v>KLINIK FT PAKET</v>
      </c>
      <c r="L521" s="43" t="str">
        <f t="shared" si="3"/>
        <v>BARU</v>
      </c>
      <c r="M521" s="144" t="s">
        <v>60</v>
      </c>
      <c r="N521" s="145">
        <v>200000.0</v>
      </c>
      <c r="O521" s="146">
        <v>0.0</v>
      </c>
      <c r="P521" s="48">
        <f t="array" ref="P521">IFNA(XLOOKUP(J521,'⚙️ Pengaturan'!$E$2:$E3237,'⚙️ Pengaturan'!$F$2:$F3237),"")</f>
        <v>650000</v>
      </c>
      <c r="Q521" s="147">
        <f t="shared" ref="Q521:Q530" si="7">IF(I521="","",(N521+O521)-P521)</f>
        <v>-450000</v>
      </c>
      <c r="R521" s="41" t="s">
        <v>32</v>
      </c>
      <c r="S521" s="69" t="s">
        <v>33</v>
      </c>
      <c r="T521" s="51" t="b">
        <v>1</v>
      </c>
      <c r="U521" s="94"/>
    </row>
    <row r="522" ht="30.0" customHeight="1">
      <c r="A522" s="39"/>
      <c r="B522" s="40">
        <v>2555.0</v>
      </c>
      <c r="C522" s="41" t="s">
        <v>79</v>
      </c>
      <c r="D522" s="86">
        <v>46054.0</v>
      </c>
      <c r="E522" s="43" t="str">
        <f t="shared" si="1"/>
        <v>2026</v>
      </c>
      <c r="F522" s="43" t="str">
        <f t="shared" si="2"/>
        <v>02 Feb</v>
      </c>
      <c r="G522" s="126" t="s">
        <v>241</v>
      </c>
      <c r="H522" s="45" t="s">
        <v>47</v>
      </c>
      <c r="I522" s="45" t="s">
        <v>696</v>
      </c>
      <c r="J522" s="143" t="s">
        <v>180</v>
      </c>
      <c r="K522" s="43" t="str">
        <f t="array" ref="K522">IF(J522="","", XLOOKUP(J522,'⚙️ Pengaturan'!$E$2:$E3237,'⚙️ Pengaturan'!$G$2:$G3237))</f>
        <v>KLINIK FT SESI</v>
      </c>
      <c r="L522" s="43" t="str">
        <f t="shared" si="3"/>
        <v>BARU</v>
      </c>
      <c r="M522" s="144" t="s">
        <v>31</v>
      </c>
      <c r="N522" s="145">
        <v>150000.0</v>
      </c>
      <c r="O522" s="146">
        <v>0.0</v>
      </c>
      <c r="P522" s="48">
        <f t="array" ref="P522">IFNA(XLOOKUP(J522,'⚙️ Pengaturan'!$E$2:$E3237,'⚙️ Pengaturan'!$F$2:$F3237),"")</f>
        <v>150000</v>
      </c>
      <c r="Q522" s="147">
        <f t="shared" si="7"/>
        <v>0</v>
      </c>
      <c r="R522" s="41" t="s">
        <v>118</v>
      </c>
      <c r="S522" s="69" t="s">
        <v>696</v>
      </c>
      <c r="T522" s="51" t="b">
        <v>1</v>
      </c>
      <c r="U522" s="94"/>
    </row>
    <row r="523" ht="30.0" customHeight="1">
      <c r="A523" s="39"/>
      <c r="B523" s="40">
        <v>2556.0</v>
      </c>
      <c r="C523" s="41" t="s">
        <v>79</v>
      </c>
      <c r="D523" s="86">
        <v>46054.0</v>
      </c>
      <c r="E523" s="43" t="str">
        <f t="shared" si="1"/>
        <v>2026</v>
      </c>
      <c r="F523" s="43" t="str">
        <f t="shared" si="2"/>
        <v>02 Feb</v>
      </c>
      <c r="G523" s="126" t="s">
        <v>161</v>
      </c>
      <c r="H523" s="45" t="s">
        <v>150</v>
      </c>
      <c r="I523" s="45" t="s">
        <v>731</v>
      </c>
      <c r="J523" s="143" t="s">
        <v>28</v>
      </c>
      <c r="K523" s="43" t="str">
        <f t="array" ref="K523">IF(J523="","", XLOOKUP(J523,'⚙️ Pengaturan'!$E$2:$E3237,'⚙️ Pengaturan'!$G$2:$G3237))</f>
        <v>KLINIK FT TA</v>
      </c>
      <c r="L523" s="43" t="str">
        <f t="shared" si="3"/>
        <v>BARU</v>
      </c>
      <c r="M523" s="144" t="s">
        <v>31</v>
      </c>
      <c r="N523" s="145">
        <v>250000.0</v>
      </c>
      <c r="O523" s="146">
        <v>0.0</v>
      </c>
      <c r="P523" s="48">
        <f t="array" ref="P523">IFNA(XLOOKUP(J523,'⚙️ Pengaturan'!$E$2:$E3237,'⚙️ Pengaturan'!$F$2:$F3237),"")</f>
        <v>250000</v>
      </c>
      <c r="Q523" s="147">
        <f t="shared" si="7"/>
        <v>0</v>
      </c>
      <c r="R523" s="41" t="s">
        <v>37</v>
      </c>
      <c r="S523" s="69" t="s">
        <v>731</v>
      </c>
      <c r="T523" s="51" t="b">
        <v>1</v>
      </c>
      <c r="U523" s="94"/>
    </row>
    <row r="524" ht="30.0" customHeight="1">
      <c r="A524" s="39"/>
      <c r="B524" s="40">
        <v>2557.0</v>
      </c>
      <c r="C524" s="41" t="s">
        <v>79</v>
      </c>
      <c r="D524" s="86">
        <v>46054.0</v>
      </c>
      <c r="E524" s="43" t="str">
        <f t="shared" si="1"/>
        <v>2026</v>
      </c>
      <c r="F524" s="43" t="str">
        <f t="shared" si="2"/>
        <v>02 Feb</v>
      </c>
      <c r="G524" s="126" t="s">
        <v>161</v>
      </c>
      <c r="H524" s="45" t="s">
        <v>41</v>
      </c>
      <c r="I524" s="45" t="s">
        <v>732</v>
      </c>
      <c r="J524" s="143" t="s">
        <v>28</v>
      </c>
      <c r="K524" s="43" t="str">
        <f t="array" ref="K524">IF(J524="","", XLOOKUP(J524,'⚙️ Pengaturan'!$E$2:$E3237,'⚙️ Pengaturan'!$G$2:$G3237))</f>
        <v>KLINIK FT TA</v>
      </c>
      <c r="L524" s="43" t="str">
        <f t="shared" si="3"/>
        <v>BARU</v>
      </c>
      <c r="M524" s="144" t="s">
        <v>31</v>
      </c>
      <c r="N524" s="145">
        <v>250000.0</v>
      </c>
      <c r="O524" s="146">
        <v>0.0</v>
      </c>
      <c r="P524" s="48">
        <f t="array" ref="P524">IFNA(XLOOKUP(J524,'⚙️ Pengaturan'!$E$2:$E3237,'⚙️ Pengaturan'!$F$2:$F3237),"")</f>
        <v>250000</v>
      </c>
      <c r="Q524" s="147">
        <f t="shared" si="7"/>
        <v>0</v>
      </c>
      <c r="R524" s="41" t="s">
        <v>32</v>
      </c>
      <c r="S524" s="69" t="s">
        <v>33</v>
      </c>
      <c r="T524" s="51" t="b">
        <v>1</v>
      </c>
      <c r="U524" s="94"/>
    </row>
    <row r="525" ht="30.0" customHeight="1">
      <c r="A525" s="39"/>
      <c r="B525" s="40">
        <v>2558.0</v>
      </c>
      <c r="C525" s="41" t="s">
        <v>79</v>
      </c>
      <c r="D525" s="86">
        <v>46054.0</v>
      </c>
      <c r="E525" s="43" t="str">
        <f t="shared" si="1"/>
        <v>2026</v>
      </c>
      <c r="F525" s="43" t="str">
        <f t="shared" si="2"/>
        <v>02 Feb</v>
      </c>
      <c r="G525" s="126" t="s">
        <v>161</v>
      </c>
      <c r="H525" s="45" t="s">
        <v>41</v>
      </c>
      <c r="I525" s="45" t="s">
        <v>716</v>
      </c>
      <c r="J525" s="143" t="s">
        <v>180</v>
      </c>
      <c r="K525" s="43" t="str">
        <f t="array" ref="K525">IF(J525="","", XLOOKUP(J525,'⚙️ Pengaturan'!$E$2:$E3237,'⚙️ Pengaturan'!$G$2:$G3237))</f>
        <v>KLINIK FT SESI</v>
      </c>
      <c r="L525" s="43" t="str">
        <f t="shared" si="3"/>
        <v>BARU</v>
      </c>
      <c r="M525" s="144" t="s">
        <v>31</v>
      </c>
      <c r="N525" s="145">
        <v>150000.0</v>
      </c>
      <c r="O525" s="146">
        <v>0.0</v>
      </c>
      <c r="P525" s="48">
        <f t="array" ref="P525">IFNA(XLOOKUP(J525,'⚙️ Pengaturan'!$E$2:$E3237,'⚙️ Pengaturan'!$F$2:$F3237),"")</f>
        <v>150000</v>
      </c>
      <c r="Q525" s="147">
        <f t="shared" si="7"/>
        <v>0</v>
      </c>
      <c r="R525" s="41" t="s">
        <v>37</v>
      </c>
      <c r="S525" s="69" t="s">
        <v>716</v>
      </c>
      <c r="T525" s="51" t="b">
        <v>1</v>
      </c>
      <c r="U525" s="94"/>
    </row>
    <row r="526" ht="30.0" customHeight="1">
      <c r="A526" s="39"/>
      <c r="B526" s="40">
        <v>2559.0</v>
      </c>
      <c r="C526" s="41" t="s">
        <v>50</v>
      </c>
      <c r="D526" s="86">
        <v>46054.0</v>
      </c>
      <c r="E526" s="43" t="str">
        <f t="shared" si="1"/>
        <v>2026</v>
      </c>
      <c r="F526" s="43" t="str">
        <f t="shared" si="2"/>
        <v>02 Feb</v>
      </c>
      <c r="G526" s="126" t="s">
        <v>40</v>
      </c>
      <c r="H526" s="45" t="s">
        <v>149</v>
      </c>
      <c r="I526" s="45" t="s">
        <v>650</v>
      </c>
      <c r="J526" s="143" t="s">
        <v>180</v>
      </c>
      <c r="K526" s="43" t="str">
        <f t="array" ref="K526">IF(J526="","", XLOOKUP(J526,'⚙️ Pengaturan'!$E$2:$E3237,'⚙️ Pengaturan'!$G$2:$G3237))</f>
        <v>KLINIK FT SESI</v>
      </c>
      <c r="L526" s="43" t="str">
        <f t="shared" si="3"/>
        <v>LANJUTAN</v>
      </c>
      <c r="M526" s="144" t="s">
        <v>31</v>
      </c>
      <c r="N526" s="145">
        <v>150000.0</v>
      </c>
      <c r="O526" s="146">
        <v>0.0</v>
      </c>
      <c r="P526" s="48">
        <f t="array" ref="P526">IFNA(XLOOKUP(J526,'⚙️ Pengaturan'!$E$2:$E3237,'⚙️ Pengaturan'!$F$2:$F3237),"")</f>
        <v>150000</v>
      </c>
      <c r="Q526" s="147">
        <f t="shared" si="7"/>
        <v>0</v>
      </c>
      <c r="R526" s="41" t="s">
        <v>32</v>
      </c>
      <c r="S526" s="69" t="s">
        <v>33</v>
      </c>
      <c r="T526" s="51" t="b">
        <v>1</v>
      </c>
      <c r="U526" s="94"/>
    </row>
    <row r="527" ht="30.0" customHeight="1">
      <c r="A527" s="39"/>
      <c r="B527" s="40">
        <v>2560.0</v>
      </c>
      <c r="C527" s="41" t="s">
        <v>50</v>
      </c>
      <c r="D527" s="86">
        <v>46054.0</v>
      </c>
      <c r="E527" s="43" t="str">
        <f t="shared" si="1"/>
        <v>2026</v>
      </c>
      <c r="F527" s="43" t="str">
        <f t="shared" si="2"/>
        <v>02 Feb</v>
      </c>
      <c r="G527" s="126" t="s">
        <v>40</v>
      </c>
      <c r="H527" s="45" t="s">
        <v>76</v>
      </c>
      <c r="I527" s="45" t="s">
        <v>640</v>
      </c>
      <c r="J527" s="143" t="s">
        <v>180</v>
      </c>
      <c r="K527" s="43" t="str">
        <f t="array" ref="K527">IF(J527="","", XLOOKUP(J527,'⚙️ Pengaturan'!$E$2:$E3237,'⚙️ Pengaturan'!$G$2:$G3237))</f>
        <v>KLINIK FT SESI</v>
      </c>
      <c r="L527" s="43" t="str">
        <f t="shared" si="3"/>
        <v>BARU</v>
      </c>
      <c r="M527" s="144" t="s">
        <v>31</v>
      </c>
      <c r="N527" s="145">
        <v>150000.0</v>
      </c>
      <c r="O527" s="146">
        <v>0.0</v>
      </c>
      <c r="P527" s="48">
        <f t="array" ref="P527">IFNA(XLOOKUP(J527,'⚙️ Pengaturan'!$E$2:$E3237,'⚙️ Pengaturan'!$F$2:$F3237),"")</f>
        <v>150000</v>
      </c>
      <c r="Q527" s="147">
        <f t="shared" si="7"/>
        <v>0</v>
      </c>
      <c r="R527" s="41" t="s">
        <v>32</v>
      </c>
      <c r="S527" s="69" t="s">
        <v>33</v>
      </c>
      <c r="T527" s="51" t="b">
        <v>1</v>
      </c>
      <c r="U527" s="94"/>
    </row>
    <row r="528" ht="30.0" customHeight="1">
      <c r="A528" s="39"/>
      <c r="B528" s="40">
        <v>2561.0</v>
      </c>
      <c r="C528" s="41" t="s">
        <v>50</v>
      </c>
      <c r="D528" s="86">
        <v>46054.0</v>
      </c>
      <c r="E528" s="43" t="str">
        <f t="shared" si="1"/>
        <v>2026</v>
      </c>
      <c r="F528" s="43" t="str">
        <f t="shared" si="2"/>
        <v>02 Feb</v>
      </c>
      <c r="G528" s="126" t="s">
        <v>43</v>
      </c>
      <c r="H528" s="45" t="s">
        <v>149</v>
      </c>
      <c r="I528" s="45" t="s">
        <v>713</v>
      </c>
      <c r="J528" s="143" t="s">
        <v>56</v>
      </c>
      <c r="K528" s="43" t="str">
        <f t="array" ref="K528">IF(J528="","", XLOOKUP(J528,'⚙️ Pengaturan'!$E$2:$E3237,'⚙️ Pengaturan'!$G$2:$G3237))</f>
        <v>KLINIK FT PAKET</v>
      </c>
      <c r="L528" s="43" t="str">
        <f t="shared" si="3"/>
        <v>BARU</v>
      </c>
      <c r="M528" s="144" t="s">
        <v>60</v>
      </c>
      <c r="N528" s="145">
        <v>200000.0</v>
      </c>
      <c r="O528" s="146">
        <v>0.0</v>
      </c>
      <c r="P528" s="48">
        <f t="array" ref="P528">IFNA(XLOOKUP(J528,'⚙️ Pengaturan'!$E$2:$E3237,'⚙️ Pengaturan'!$F$2:$F3237),"")</f>
        <v>650000</v>
      </c>
      <c r="Q528" s="147">
        <f t="shared" si="7"/>
        <v>-450000</v>
      </c>
      <c r="R528" s="41" t="s">
        <v>32</v>
      </c>
      <c r="S528" s="69" t="s">
        <v>33</v>
      </c>
      <c r="T528" s="51" t="b">
        <v>1</v>
      </c>
      <c r="U528" s="94"/>
    </row>
    <row r="529" ht="30.0" customHeight="1">
      <c r="A529" s="39"/>
      <c r="B529" s="40">
        <v>2562.0</v>
      </c>
      <c r="C529" s="41" t="s">
        <v>50</v>
      </c>
      <c r="D529" s="86">
        <v>46054.0</v>
      </c>
      <c r="E529" s="43" t="str">
        <f t="shared" si="1"/>
        <v>2026</v>
      </c>
      <c r="F529" s="43" t="str">
        <f t="shared" si="2"/>
        <v>02 Feb</v>
      </c>
      <c r="G529" s="126" t="s">
        <v>43</v>
      </c>
      <c r="H529" s="45" t="s">
        <v>166</v>
      </c>
      <c r="I529" s="45" t="s">
        <v>147</v>
      </c>
      <c r="J529" s="143" t="s">
        <v>92</v>
      </c>
      <c r="K529" s="43" t="str">
        <f t="array" ref="K529">IF(J529="","", XLOOKUP(J529,'⚙️ Pengaturan'!$E$2:$E3237,'⚙️ Pengaturan'!$G$2:$G3237))</f>
        <v>KLINIK FT PAKET</v>
      </c>
      <c r="L529" s="43" t="str">
        <f t="shared" si="3"/>
        <v>LANJUTAN</v>
      </c>
      <c r="M529" s="144" t="s">
        <v>164</v>
      </c>
      <c r="N529" s="145">
        <v>700000.0</v>
      </c>
      <c r="O529" s="146">
        <v>500000.0</v>
      </c>
      <c r="P529" s="48">
        <f t="array" ref="P529">IFNA(XLOOKUP(J529,'⚙️ Pengaturan'!$E$2:$E3237,'⚙️ Pengaturan'!$F$2:$F3237),"")</f>
        <v>1200000</v>
      </c>
      <c r="Q529" s="147">
        <f t="shared" si="7"/>
        <v>0</v>
      </c>
      <c r="R529" s="41" t="s">
        <v>32</v>
      </c>
      <c r="S529" s="69" t="s">
        <v>33</v>
      </c>
      <c r="T529" s="51" t="b">
        <v>1</v>
      </c>
      <c r="U529" s="94"/>
    </row>
    <row r="530" ht="30.0" customHeight="1">
      <c r="A530" s="39"/>
      <c r="B530" s="40">
        <v>2563.0</v>
      </c>
      <c r="C530" s="41" t="s">
        <v>50</v>
      </c>
      <c r="D530" s="86">
        <v>46054.0</v>
      </c>
      <c r="E530" s="43" t="str">
        <f t="shared" si="1"/>
        <v>2026</v>
      </c>
      <c r="F530" s="43" t="str">
        <f t="shared" si="2"/>
        <v>02 Feb</v>
      </c>
      <c r="G530" s="126" t="s">
        <v>173</v>
      </c>
      <c r="H530" s="45" t="s">
        <v>149</v>
      </c>
      <c r="I530" s="45" t="s">
        <v>733</v>
      </c>
      <c r="J530" s="143" t="s">
        <v>28</v>
      </c>
      <c r="K530" s="43" t="str">
        <f t="array" ref="K530">IF(J530="","", XLOOKUP(J530,'⚙️ Pengaturan'!$E$2:$E3237,'⚙️ Pengaturan'!$G$2:$G3237))</f>
        <v>KLINIK FT TA</v>
      </c>
      <c r="L530" s="43" t="str">
        <f t="shared" si="3"/>
        <v>BARU</v>
      </c>
      <c r="M530" s="144" t="s">
        <v>31</v>
      </c>
      <c r="N530" s="145">
        <v>250000.0</v>
      </c>
      <c r="O530" s="146">
        <v>0.0</v>
      </c>
      <c r="P530" s="48">
        <f t="array" ref="P530">IFNA(XLOOKUP(J530,'⚙️ Pengaturan'!$E$2:$E3237,'⚙️ Pengaturan'!$F$2:$F3237),"")</f>
        <v>250000</v>
      </c>
      <c r="Q530" s="147">
        <f t="shared" si="7"/>
        <v>0</v>
      </c>
      <c r="R530" s="41" t="s">
        <v>37</v>
      </c>
      <c r="S530" s="69" t="s">
        <v>733</v>
      </c>
      <c r="T530" s="51" t="b">
        <v>1</v>
      </c>
      <c r="U530" s="94"/>
    </row>
    <row r="531" ht="30.0" customHeight="1">
      <c r="A531" s="39"/>
      <c r="B531" s="40">
        <v>2564.0</v>
      </c>
      <c r="C531" s="41" t="s">
        <v>50</v>
      </c>
      <c r="D531" s="86">
        <v>46054.0</v>
      </c>
      <c r="E531" s="43" t="str">
        <f t="shared" si="1"/>
        <v>2026</v>
      </c>
      <c r="F531" s="43" t="str">
        <f t="shared" si="2"/>
        <v>02 Feb</v>
      </c>
      <c r="G531" s="126" t="s">
        <v>155</v>
      </c>
      <c r="H531" s="45" t="s">
        <v>162</v>
      </c>
      <c r="I531" s="45" t="s">
        <v>720</v>
      </c>
      <c r="J531" s="143" t="s">
        <v>56</v>
      </c>
      <c r="K531" s="43" t="str">
        <f t="array" ref="K531">IF(J531="","", XLOOKUP(J531,'⚙️ Pengaturan'!$E$2:$E3237,'⚙️ Pengaturan'!$G$2:$G3237))</f>
        <v>KLINIK FT PAKET</v>
      </c>
      <c r="L531" s="43" t="str">
        <f t="shared" si="3"/>
        <v>BARU</v>
      </c>
      <c r="M531" s="144" t="s">
        <v>31</v>
      </c>
      <c r="N531" s="145">
        <v>650000.0</v>
      </c>
      <c r="O531" s="146">
        <v>0.0</v>
      </c>
      <c r="P531" s="48">
        <f t="array" ref="P531">IFNA(XLOOKUP(J531,'⚙️ Pengaturan'!$E$2:$E3237,'⚙️ Pengaturan'!$F$2:$F3237),"")</f>
        <v>650000</v>
      </c>
      <c r="Q531" s="147">
        <v>0.0</v>
      </c>
      <c r="R531" s="41" t="s">
        <v>37</v>
      </c>
      <c r="S531" s="69" t="s">
        <v>720</v>
      </c>
      <c r="T531" s="51" t="b">
        <v>1</v>
      </c>
      <c r="U531" s="94"/>
    </row>
    <row r="532" ht="30.0" customHeight="1">
      <c r="A532" s="39"/>
      <c r="B532" s="40">
        <v>2565.0</v>
      </c>
      <c r="C532" s="41" t="s">
        <v>50</v>
      </c>
      <c r="D532" s="86">
        <v>46054.0</v>
      </c>
      <c r="E532" s="43" t="str">
        <f t="shared" si="1"/>
        <v>2026</v>
      </c>
      <c r="F532" s="43" t="str">
        <f t="shared" si="2"/>
        <v>02 Feb</v>
      </c>
      <c r="G532" s="126" t="s">
        <v>190</v>
      </c>
      <c r="H532" s="45" t="s">
        <v>162</v>
      </c>
      <c r="I532" s="45" t="s">
        <v>734</v>
      </c>
      <c r="J532" s="143" t="s">
        <v>28</v>
      </c>
      <c r="K532" s="43" t="str">
        <f t="array" ref="K532">IF(J532="","", XLOOKUP(J532,'⚙️ Pengaturan'!$E$2:$E3237,'⚙️ Pengaturan'!$G$2:$G3237))</f>
        <v>KLINIK FT TA</v>
      </c>
      <c r="L532" s="43" t="str">
        <f t="shared" si="3"/>
        <v>BARU</v>
      </c>
      <c r="M532" s="144" t="s">
        <v>31</v>
      </c>
      <c r="N532" s="145">
        <v>250000.0</v>
      </c>
      <c r="O532" s="146">
        <v>0.0</v>
      </c>
      <c r="P532" s="48">
        <f t="array" ref="P532">IFNA(XLOOKUP(J532,'⚙️ Pengaturan'!$E$2:$E3237,'⚙️ Pengaturan'!$F$2:$F3237),"")</f>
        <v>250000</v>
      </c>
      <c r="Q532" s="147">
        <f t="shared" ref="Q532:Q591" si="8">IF(I532="","",(N532+O532)-P532)</f>
        <v>0</v>
      </c>
      <c r="R532" s="41" t="s">
        <v>32</v>
      </c>
      <c r="S532" s="69" t="s">
        <v>33</v>
      </c>
      <c r="T532" s="51" t="b">
        <v>1</v>
      </c>
      <c r="U532" s="94"/>
    </row>
    <row r="533" ht="30.0" customHeight="1">
      <c r="A533" s="39"/>
      <c r="B533" s="40">
        <v>2566.0</v>
      </c>
      <c r="C533" s="41" t="s">
        <v>50</v>
      </c>
      <c r="D533" s="86">
        <v>46054.0</v>
      </c>
      <c r="E533" s="43" t="str">
        <f t="shared" si="1"/>
        <v>2026</v>
      </c>
      <c r="F533" s="43" t="str">
        <f t="shared" si="2"/>
        <v>02 Feb</v>
      </c>
      <c r="G533" s="126" t="s">
        <v>190</v>
      </c>
      <c r="H533" s="45" t="s">
        <v>149</v>
      </c>
      <c r="I533" s="45" t="s">
        <v>715</v>
      </c>
      <c r="J533" s="143" t="s">
        <v>180</v>
      </c>
      <c r="K533" s="43" t="str">
        <f t="array" ref="K533">IF(J533="","", XLOOKUP(J533,'⚙️ Pengaturan'!$E$2:$E3237,'⚙️ Pengaturan'!$G$2:$G3237))</f>
        <v>KLINIK FT SESI</v>
      </c>
      <c r="L533" s="43" t="str">
        <f t="shared" si="3"/>
        <v>BARU</v>
      </c>
      <c r="M533" s="144" t="s">
        <v>31</v>
      </c>
      <c r="N533" s="145">
        <v>150000.0</v>
      </c>
      <c r="O533" s="146">
        <v>0.0</v>
      </c>
      <c r="P533" s="48">
        <f t="array" ref="P533">IFNA(XLOOKUP(J533,'⚙️ Pengaturan'!$E$2:$E3237,'⚙️ Pengaturan'!$F$2:$F3237),"")</f>
        <v>150000</v>
      </c>
      <c r="Q533" s="147">
        <f t="shared" si="8"/>
        <v>0</v>
      </c>
      <c r="R533" s="41" t="s">
        <v>32</v>
      </c>
      <c r="S533" s="69" t="s">
        <v>33</v>
      </c>
      <c r="T533" s="51" t="b">
        <v>1</v>
      </c>
      <c r="U533" s="94"/>
    </row>
    <row r="534" ht="30.0" customHeight="1">
      <c r="A534" s="39"/>
      <c r="B534" s="40">
        <v>2567.0</v>
      </c>
      <c r="C534" s="41" t="s">
        <v>50</v>
      </c>
      <c r="D534" s="86">
        <v>46054.0</v>
      </c>
      <c r="E534" s="43" t="str">
        <f t="shared" si="1"/>
        <v>2026</v>
      </c>
      <c r="F534" s="43" t="str">
        <f t="shared" si="2"/>
        <v>02 Feb</v>
      </c>
      <c r="G534" s="126" t="s">
        <v>161</v>
      </c>
      <c r="H534" s="45" t="s">
        <v>76</v>
      </c>
      <c r="I534" s="45" t="s">
        <v>735</v>
      </c>
      <c r="J534" s="143" t="s">
        <v>28</v>
      </c>
      <c r="K534" s="43" t="str">
        <f t="array" ref="K534">IF(J534="","", XLOOKUP(J534,'⚙️ Pengaturan'!$E$2:$E3237,'⚙️ Pengaturan'!$G$2:$G3237))</f>
        <v>KLINIK FT TA</v>
      </c>
      <c r="L534" s="43" t="str">
        <f t="shared" si="3"/>
        <v>BARU</v>
      </c>
      <c r="M534" s="144" t="s">
        <v>31</v>
      </c>
      <c r="N534" s="145">
        <v>250000.0</v>
      </c>
      <c r="O534" s="146">
        <v>0.0</v>
      </c>
      <c r="P534" s="48">
        <f t="array" ref="P534">IFNA(XLOOKUP(J534,'⚙️ Pengaturan'!$E$2:$E3237,'⚙️ Pengaturan'!$F$2:$F3237),"")</f>
        <v>250000</v>
      </c>
      <c r="Q534" s="147">
        <f t="shared" si="8"/>
        <v>0</v>
      </c>
      <c r="R534" s="41" t="s">
        <v>32</v>
      </c>
      <c r="S534" s="69" t="s">
        <v>33</v>
      </c>
      <c r="T534" s="51" t="b">
        <v>1</v>
      </c>
      <c r="U534" s="94"/>
    </row>
    <row r="535" ht="30.0" customHeight="1">
      <c r="A535" s="39"/>
      <c r="B535" s="40">
        <v>2568.0</v>
      </c>
      <c r="C535" s="41" t="s">
        <v>50</v>
      </c>
      <c r="D535" s="86">
        <v>46054.0</v>
      </c>
      <c r="E535" s="43" t="str">
        <f t="shared" si="1"/>
        <v>2026</v>
      </c>
      <c r="F535" s="43" t="str">
        <f t="shared" si="2"/>
        <v>02 Feb</v>
      </c>
      <c r="G535" s="126" t="s">
        <v>35</v>
      </c>
      <c r="H535" s="45" t="s">
        <v>47</v>
      </c>
      <c r="I535" s="45" t="s">
        <v>667</v>
      </c>
      <c r="J535" s="143" t="s">
        <v>28</v>
      </c>
      <c r="K535" s="43" t="str">
        <f t="array" ref="K535">IF(J535="","", XLOOKUP(J535,'⚙️ Pengaturan'!$E$2:$E3237,'⚙️ Pengaturan'!$G$2:$G3237))</f>
        <v>KLINIK FT TA</v>
      </c>
      <c r="L535" s="43" t="str">
        <f t="shared" si="3"/>
        <v>BARU</v>
      </c>
      <c r="M535" s="144" t="s">
        <v>31</v>
      </c>
      <c r="N535" s="145">
        <v>250000.0</v>
      </c>
      <c r="O535" s="146">
        <v>0.0</v>
      </c>
      <c r="P535" s="48">
        <f t="array" ref="P535">IFNA(XLOOKUP(J535,'⚙️ Pengaturan'!$E$2:$E3237,'⚙️ Pengaturan'!$F$2:$F3237),"")</f>
        <v>250000</v>
      </c>
      <c r="Q535" s="147">
        <f t="shared" si="8"/>
        <v>0</v>
      </c>
      <c r="R535" s="41" t="s">
        <v>32</v>
      </c>
      <c r="S535" s="69" t="s">
        <v>33</v>
      </c>
      <c r="T535" s="51" t="b">
        <v>1</v>
      </c>
      <c r="U535" s="94"/>
    </row>
    <row r="536" ht="30.0" customHeight="1">
      <c r="A536" s="39"/>
      <c r="B536" s="40">
        <v>2569.0</v>
      </c>
      <c r="C536" s="41" t="s">
        <v>79</v>
      </c>
      <c r="D536" s="86">
        <v>46055.0</v>
      </c>
      <c r="E536" s="43" t="str">
        <f t="shared" si="1"/>
        <v>2026</v>
      </c>
      <c r="F536" s="43" t="str">
        <f t="shared" si="2"/>
        <v>02 Feb</v>
      </c>
      <c r="G536" s="126" t="s">
        <v>195</v>
      </c>
      <c r="H536" s="45" t="s">
        <v>162</v>
      </c>
      <c r="I536" s="45" t="s">
        <v>735</v>
      </c>
      <c r="J536" s="143" t="s">
        <v>120</v>
      </c>
      <c r="K536" s="43" t="str">
        <f t="array" ref="K536">IF(J536="","", XLOOKUP(J536,'⚙️ Pengaturan'!$E$2:$E3237,'⚙️ Pengaturan'!$G$2:$G3237))</f>
        <v>KLINIK FT SESI</v>
      </c>
      <c r="L536" s="43" t="str">
        <f t="shared" si="3"/>
        <v>BARU</v>
      </c>
      <c r="M536" s="144" t="s">
        <v>31</v>
      </c>
      <c r="N536" s="145">
        <v>180000.0</v>
      </c>
      <c r="O536" s="146">
        <v>0.0</v>
      </c>
      <c r="P536" s="48">
        <f t="array" ref="P536">IFNA(XLOOKUP(J536,'⚙️ Pengaturan'!$E$2:$E3237,'⚙️ Pengaturan'!$F$2:$F3237),"")</f>
        <v>180000</v>
      </c>
      <c r="Q536" s="147">
        <f t="shared" si="8"/>
        <v>0</v>
      </c>
      <c r="R536" s="41" t="s">
        <v>32</v>
      </c>
      <c r="S536" s="69" t="s">
        <v>33</v>
      </c>
      <c r="T536" s="51" t="b">
        <v>1</v>
      </c>
      <c r="U536" s="94"/>
    </row>
    <row r="537" ht="30.0" customHeight="1">
      <c r="A537" s="39"/>
      <c r="B537" s="40">
        <v>2570.0</v>
      </c>
      <c r="C537" s="41" t="s">
        <v>79</v>
      </c>
      <c r="D537" s="86">
        <v>46055.0</v>
      </c>
      <c r="E537" s="43" t="str">
        <f t="shared" si="1"/>
        <v>2026</v>
      </c>
      <c r="F537" s="43" t="str">
        <f t="shared" si="2"/>
        <v>02 Feb</v>
      </c>
      <c r="G537" s="126" t="s">
        <v>195</v>
      </c>
      <c r="H537" s="45" t="s">
        <v>150</v>
      </c>
      <c r="I537" s="45" t="s">
        <v>707</v>
      </c>
      <c r="J537" s="143" t="s">
        <v>56</v>
      </c>
      <c r="K537" s="43" t="str">
        <f t="array" ref="K537">IF(J537="","", XLOOKUP(J537,'⚙️ Pengaturan'!$E$2:$E3237,'⚙️ Pengaturan'!$G$2:$G3237))</f>
        <v>KLINIK FT PAKET</v>
      </c>
      <c r="L537" s="43" t="str">
        <f t="shared" si="3"/>
        <v>BARU</v>
      </c>
      <c r="M537" s="144" t="s">
        <v>31</v>
      </c>
      <c r="N537" s="145">
        <v>650000.0</v>
      </c>
      <c r="O537" s="146">
        <v>0.0</v>
      </c>
      <c r="P537" s="48">
        <f t="array" ref="P537">IFNA(XLOOKUP(J537,'⚙️ Pengaturan'!$E$2:$E3237,'⚙️ Pengaturan'!$F$2:$F3237),"")</f>
        <v>650000</v>
      </c>
      <c r="Q537" s="147">
        <f t="shared" si="8"/>
        <v>0</v>
      </c>
      <c r="R537" s="41" t="s">
        <v>37</v>
      </c>
      <c r="S537" s="69" t="s">
        <v>707</v>
      </c>
      <c r="T537" s="51" t="b">
        <v>1</v>
      </c>
      <c r="U537" s="94"/>
    </row>
    <row r="538" ht="30.0" customHeight="1">
      <c r="A538" s="39"/>
      <c r="B538" s="40">
        <v>2571.0</v>
      </c>
      <c r="C538" s="41" t="s">
        <v>79</v>
      </c>
      <c r="D538" s="86">
        <v>46055.0</v>
      </c>
      <c r="E538" s="43" t="str">
        <f t="shared" si="1"/>
        <v>2026</v>
      </c>
      <c r="F538" s="43" t="str">
        <f t="shared" si="2"/>
        <v>02 Feb</v>
      </c>
      <c r="G538" s="126" t="s">
        <v>25</v>
      </c>
      <c r="H538" s="45" t="s">
        <v>150</v>
      </c>
      <c r="I538" s="45" t="s">
        <v>685</v>
      </c>
      <c r="J538" s="143" t="s">
        <v>92</v>
      </c>
      <c r="K538" s="43" t="str">
        <f t="array" ref="K538">IF(J538="","", XLOOKUP(J538,'⚙️ Pengaturan'!$E$2:$E3237,'⚙️ Pengaturan'!$G$2:$G3237))</f>
        <v>KLINIK FT PAKET</v>
      </c>
      <c r="L538" s="43" t="str">
        <f t="shared" si="3"/>
        <v>LANJUTAN</v>
      </c>
      <c r="M538" s="144" t="s">
        <v>164</v>
      </c>
      <c r="N538" s="145">
        <v>1000000.0</v>
      </c>
      <c r="O538" s="146">
        <v>200000.0</v>
      </c>
      <c r="P538" s="48">
        <f t="array" ref="P538">IFNA(XLOOKUP(J538,'⚙️ Pengaturan'!$E$2:$E3237,'⚙️ Pengaturan'!$F$2:$F3237),"")</f>
        <v>1200000</v>
      </c>
      <c r="Q538" s="147">
        <f t="shared" si="8"/>
        <v>0</v>
      </c>
      <c r="R538" s="41" t="s">
        <v>93</v>
      </c>
      <c r="S538" s="69" t="s">
        <v>685</v>
      </c>
      <c r="T538" s="51" t="b">
        <v>1</v>
      </c>
      <c r="U538" s="94"/>
    </row>
    <row r="539" ht="30.0" customHeight="1">
      <c r="A539" s="39"/>
      <c r="B539" s="40">
        <v>2572.0</v>
      </c>
      <c r="C539" s="41" t="s">
        <v>79</v>
      </c>
      <c r="D539" s="86">
        <v>46055.0</v>
      </c>
      <c r="E539" s="43" t="str">
        <f t="shared" si="1"/>
        <v>2026</v>
      </c>
      <c r="F539" s="43" t="str">
        <f t="shared" si="2"/>
        <v>02 Feb</v>
      </c>
      <c r="G539" s="126" t="s">
        <v>161</v>
      </c>
      <c r="H539" s="45" t="s">
        <v>166</v>
      </c>
      <c r="I539" s="45" t="s">
        <v>700</v>
      </c>
      <c r="J539" s="143" t="s">
        <v>180</v>
      </c>
      <c r="K539" s="43" t="str">
        <f t="array" ref="K539">IF(J539="","", XLOOKUP(J539,'⚙️ Pengaturan'!$E$2:$E3237,'⚙️ Pengaturan'!$G$2:$G3237))</f>
        <v>KLINIK FT SESI</v>
      </c>
      <c r="L539" s="43" t="str">
        <f t="shared" si="3"/>
        <v>BARU</v>
      </c>
      <c r="M539" s="144" t="s">
        <v>31</v>
      </c>
      <c r="N539" s="145">
        <v>150000.0</v>
      </c>
      <c r="O539" s="146">
        <v>0.0</v>
      </c>
      <c r="P539" s="48">
        <f t="array" ref="P539">IFNA(XLOOKUP(J539,'⚙️ Pengaturan'!$E$2:$E3237,'⚙️ Pengaturan'!$F$2:$F3237),"")</f>
        <v>150000</v>
      </c>
      <c r="Q539" s="147">
        <f t="shared" si="8"/>
        <v>0</v>
      </c>
      <c r="R539" s="41" t="s">
        <v>32</v>
      </c>
      <c r="S539" s="69" t="s">
        <v>33</v>
      </c>
      <c r="T539" s="51" t="b">
        <v>1</v>
      </c>
      <c r="U539" s="94"/>
    </row>
    <row r="540" ht="30.0" customHeight="1">
      <c r="A540" s="39"/>
      <c r="B540" s="40">
        <v>2573.0</v>
      </c>
      <c r="C540" s="41" t="s">
        <v>79</v>
      </c>
      <c r="D540" s="86">
        <v>46055.0</v>
      </c>
      <c r="E540" s="43" t="str">
        <f t="shared" si="1"/>
        <v>2026</v>
      </c>
      <c r="F540" s="43" t="str">
        <f t="shared" si="2"/>
        <v>02 Feb</v>
      </c>
      <c r="G540" s="126" t="s">
        <v>35</v>
      </c>
      <c r="H540" s="45" t="s">
        <v>166</v>
      </c>
      <c r="I540" s="45" t="s">
        <v>684</v>
      </c>
      <c r="J540" s="143" t="s">
        <v>56</v>
      </c>
      <c r="K540" s="43" t="str">
        <f t="array" ref="K540">IF(J540="","", XLOOKUP(J540,'⚙️ Pengaturan'!$E$2:$E3237,'⚙️ Pengaturan'!$G$2:$G3237))</f>
        <v>KLINIK FT PAKET</v>
      </c>
      <c r="L540" s="43" t="str">
        <f t="shared" si="3"/>
        <v>BARU</v>
      </c>
      <c r="M540" s="144" t="s">
        <v>60</v>
      </c>
      <c r="N540" s="145">
        <v>300000.0</v>
      </c>
      <c r="O540" s="146">
        <v>0.0</v>
      </c>
      <c r="P540" s="48">
        <f t="array" ref="P540">IFNA(XLOOKUP(J540,'⚙️ Pengaturan'!$E$2:$E3237,'⚙️ Pengaturan'!$F$2:$F3237),"")</f>
        <v>650000</v>
      </c>
      <c r="Q540" s="147">
        <f t="shared" si="8"/>
        <v>-350000</v>
      </c>
      <c r="R540" s="41" t="s">
        <v>32</v>
      </c>
      <c r="S540" s="69" t="s">
        <v>33</v>
      </c>
      <c r="T540" s="51" t="b">
        <v>1</v>
      </c>
      <c r="U540" s="94"/>
    </row>
    <row r="541" ht="30.0" customHeight="1">
      <c r="A541" s="39"/>
      <c r="B541" s="40">
        <v>2574.0</v>
      </c>
      <c r="C541" s="41" t="s">
        <v>50</v>
      </c>
      <c r="D541" s="86">
        <v>46055.0</v>
      </c>
      <c r="E541" s="43" t="str">
        <f t="shared" si="1"/>
        <v>2026</v>
      </c>
      <c r="F541" s="43" t="str">
        <f t="shared" si="2"/>
        <v>02 Feb</v>
      </c>
      <c r="G541" s="126" t="s">
        <v>40</v>
      </c>
      <c r="H541" s="45" t="s">
        <v>41</v>
      </c>
      <c r="I541" s="45" t="s">
        <v>736</v>
      </c>
      <c r="J541" s="143" t="s">
        <v>28</v>
      </c>
      <c r="K541" s="43" t="str">
        <f t="array" ref="K541">IF(J541="","", XLOOKUP(J541,'⚙️ Pengaturan'!$E$2:$E3237,'⚙️ Pengaturan'!$G$2:$G3237))</f>
        <v>KLINIK FT TA</v>
      </c>
      <c r="L541" s="43" t="str">
        <f t="shared" si="3"/>
        <v>BARU</v>
      </c>
      <c r="M541" s="144" t="s">
        <v>31</v>
      </c>
      <c r="N541" s="145">
        <v>250000.0</v>
      </c>
      <c r="O541" s="146">
        <v>0.0</v>
      </c>
      <c r="P541" s="48">
        <f t="array" ref="P541">IFNA(XLOOKUP(J541,'⚙️ Pengaturan'!$E$2:$E3237,'⚙️ Pengaturan'!$F$2:$F3237),"")</f>
        <v>250000</v>
      </c>
      <c r="Q541" s="147">
        <f t="shared" si="8"/>
        <v>0</v>
      </c>
      <c r="R541" s="41" t="s">
        <v>32</v>
      </c>
      <c r="S541" s="69" t="s">
        <v>33</v>
      </c>
      <c r="T541" s="51" t="b">
        <v>1</v>
      </c>
      <c r="U541" s="94"/>
    </row>
    <row r="542" ht="30.0" customHeight="1">
      <c r="A542" s="39"/>
      <c r="B542" s="40">
        <v>2575.0</v>
      </c>
      <c r="C542" s="41" t="s">
        <v>50</v>
      </c>
      <c r="D542" s="86">
        <v>46055.0</v>
      </c>
      <c r="E542" s="43" t="str">
        <f t="shared" si="1"/>
        <v>2026</v>
      </c>
      <c r="F542" s="43" t="str">
        <f t="shared" si="2"/>
        <v>02 Feb</v>
      </c>
      <c r="G542" s="126" t="s">
        <v>43</v>
      </c>
      <c r="H542" s="45" t="s">
        <v>47</v>
      </c>
      <c r="I542" s="45" t="s">
        <v>255</v>
      </c>
      <c r="J542" s="143" t="s">
        <v>180</v>
      </c>
      <c r="K542" s="43" t="str">
        <f t="array" ref="K542">IF(J542="","", XLOOKUP(J542,'⚙️ Pengaturan'!$E$2:$E3237,'⚙️ Pengaturan'!$G$2:$G3237))</f>
        <v>KLINIK FT SESI</v>
      </c>
      <c r="L542" s="43" t="str">
        <f t="shared" si="3"/>
        <v>LANJUTAN</v>
      </c>
      <c r="M542" s="144" t="s">
        <v>31</v>
      </c>
      <c r="N542" s="145">
        <v>150000.0</v>
      </c>
      <c r="O542" s="146">
        <v>0.0</v>
      </c>
      <c r="P542" s="48">
        <f t="array" ref="P542">IFNA(XLOOKUP(J542,'⚙️ Pengaturan'!$E$2:$E3237,'⚙️ Pengaturan'!$F$2:$F3237),"")</f>
        <v>150000</v>
      </c>
      <c r="Q542" s="147">
        <f t="shared" si="8"/>
        <v>0</v>
      </c>
      <c r="R542" s="41" t="s">
        <v>37</v>
      </c>
      <c r="S542" s="69" t="s">
        <v>255</v>
      </c>
      <c r="T542" s="51" t="b">
        <v>1</v>
      </c>
      <c r="U542" s="94"/>
    </row>
    <row r="543" ht="30.0" customHeight="1">
      <c r="A543" s="39"/>
      <c r="B543" s="40">
        <v>2576.0</v>
      </c>
      <c r="C543" s="41" t="s">
        <v>50</v>
      </c>
      <c r="D543" s="86">
        <v>46055.0</v>
      </c>
      <c r="E543" s="43" t="str">
        <f t="shared" si="1"/>
        <v>2026</v>
      </c>
      <c r="F543" s="43" t="str">
        <f t="shared" si="2"/>
        <v>02 Feb</v>
      </c>
      <c r="G543" s="126" t="s">
        <v>43</v>
      </c>
      <c r="H543" s="45" t="s">
        <v>41</v>
      </c>
      <c r="I543" s="45" t="s">
        <v>737</v>
      </c>
      <c r="J543" s="143" t="s">
        <v>28</v>
      </c>
      <c r="K543" s="43" t="str">
        <f t="array" ref="K543">IF(J543="","", XLOOKUP(J543,'⚙️ Pengaturan'!$E$2:$E3237,'⚙️ Pengaturan'!$G$2:$G3237))</f>
        <v>KLINIK FT TA</v>
      </c>
      <c r="L543" s="43" t="str">
        <f t="shared" si="3"/>
        <v>BARU</v>
      </c>
      <c r="M543" s="144" t="s">
        <v>31</v>
      </c>
      <c r="N543" s="145">
        <v>250000.0</v>
      </c>
      <c r="O543" s="146">
        <v>0.0</v>
      </c>
      <c r="P543" s="48">
        <f t="array" ref="P543">IFNA(XLOOKUP(J543,'⚙️ Pengaturan'!$E$2:$E3237,'⚙️ Pengaturan'!$F$2:$F3237),"")</f>
        <v>250000</v>
      </c>
      <c r="Q543" s="147">
        <f t="shared" si="8"/>
        <v>0</v>
      </c>
      <c r="R543" s="41" t="s">
        <v>37</v>
      </c>
      <c r="S543" s="69" t="s">
        <v>737</v>
      </c>
      <c r="T543" s="51" t="b">
        <v>1</v>
      </c>
      <c r="U543" s="94"/>
    </row>
    <row r="544" ht="30.0" customHeight="1">
      <c r="A544" s="39"/>
      <c r="B544" s="40">
        <v>2577.0</v>
      </c>
      <c r="C544" s="41" t="s">
        <v>50</v>
      </c>
      <c r="D544" s="86">
        <v>46055.0</v>
      </c>
      <c r="E544" s="43" t="str">
        <f t="shared" si="1"/>
        <v>2026</v>
      </c>
      <c r="F544" s="43" t="str">
        <f t="shared" si="2"/>
        <v>02 Feb</v>
      </c>
      <c r="G544" s="126" t="s">
        <v>173</v>
      </c>
      <c r="H544" s="45" t="s">
        <v>96</v>
      </c>
      <c r="I544" s="45" t="s">
        <v>658</v>
      </c>
      <c r="J544" s="143" t="s">
        <v>180</v>
      </c>
      <c r="K544" s="43" t="str">
        <f t="array" ref="K544">IF(J544="","", XLOOKUP(J544,'⚙️ Pengaturan'!$E$2:$E3237,'⚙️ Pengaturan'!$G$2:$G3237))</f>
        <v>KLINIK FT SESI</v>
      </c>
      <c r="L544" s="43" t="str">
        <f t="shared" si="3"/>
        <v>LANJUTAN</v>
      </c>
      <c r="M544" s="144" t="s">
        <v>31</v>
      </c>
      <c r="N544" s="145">
        <v>150000.0</v>
      </c>
      <c r="O544" s="146">
        <v>0.0</v>
      </c>
      <c r="P544" s="48">
        <f t="array" ref="P544">IFNA(XLOOKUP(J544,'⚙️ Pengaturan'!$E$2:$E3237,'⚙️ Pengaturan'!$F$2:$F3237),"")</f>
        <v>150000</v>
      </c>
      <c r="Q544" s="147">
        <f t="shared" si="8"/>
        <v>0</v>
      </c>
      <c r="R544" s="41" t="s">
        <v>32</v>
      </c>
      <c r="S544" s="69" t="s">
        <v>33</v>
      </c>
      <c r="T544" s="51" t="b">
        <v>1</v>
      </c>
      <c r="U544" s="94"/>
    </row>
    <row r="545" ht="30.0" customHeight="1">
      <c r="A545" s="39"/>
      <c r="B545" s="40">
        <v>2578.0</v>
      </c>
      <c r="C545" s="41" t="s">
        <v>50</v>
      </c>
      <c r="D545" s="86">
        <v>46055.0</v>
      </c>
      <c r="E545" s="43" t="str">
        <f t="shared" si="1"/>
        <v>2026</v>
      </c>
      <c r="F545" s="43" t="str">
        <f t="shared" si="2"/>
        <v>02 Feb</v>
      </c>
      <c r="G545" s="126" t="s">
        <v>173</v>
      </c>
      <c r="H545" s="45" t="s">
        <v>149</v>
      </c>
      <c r="I545" s="45" t="s">
        <v>436</v>
      </c>
      <c r="J545" s="143" t="s">
        <v>180</v>
      </c>
      <c r="K545" s="43" t="str">
        <f t="array" ref="K545">IF(J545="","", XLOOKUP(J545,'⚙️ Pengaturan'!$E$2:$E3237,'⚙️ Pengaturan'!$G$2:$G3237))</f>
        <v>KLINIK FT SESI</v>
      </c>
      <c r="L545" s="43" t="str">
        <f t="shared" si="3"/>
        <v>LANJUTAN</v>
      </c>
      <c r="M545" s="144" t="s">
        <v>31</v>
      </c>
      <c r="N545" s="145">
        <v>150000.0</v>
      </c>
      <c r="O545" s="146">
        <v>0.0</v>
      </c>
      <c r="P545" s="48">
        <f t="array" ref="P545">IFNA(XLOOKUP(J545,'⚙️ Pengaturan'!$E$2:$E3237,'⚙️ Pengaturan'!$F$2:$F3237),"")</f>
        <v>150000</v>
      </c>
      <c r="Q545" s="147">
        <f t="shared" si="8"/>
        <v>0</v>
      </c>
      <c r="R545" s="41" t="s">
        <v>32</v>
      </c>
      <c r="S545" s="69" t="s">
        <v>33</v>
      </c>
      <c r="T545" s="51" t="b">
        <v>1</v>
      </c>
      <c r="U545" s="94"/>
    </row>
    <row r="546" ht="30.0" customHeight="1">
      <c r="A546" s="39"/>
      <c r="B546" s="40">
        <v>2579.0</v>
      </c>
      <c r="C546" s="41" t="s">
        <v>50</v>
      </c>
      <c r="D546" s="86">
        <v>46055.0</v>
      </c>
      <c r="E546" s="43" t="str">
        <f t="shared" si="1"/>
        <v>2026</v>
      </c>
      <c r="F546" s="43" t="str">
        <f t="shared" si="2"/>
        <v>02 Feb</v>
      </c>
      <c r="G546" s="126" t="s">
        <v>173</v>
      </c>
      <c r="H546" s="45" t="s">
        <v>41</v>
      </c>
      <c r="I546" s="45" t="s">
        <v>679</v>
      </c>
      <c r="J546" s="143" t="s">
        <v>180</v>
      </c>
      <c r="K546" s="43" t="str">
        <f t="array" ref="K546">IF(J546="","", XLOOKUP(J546,'⚙️ Pengaturan'!$E$2:$E3237,'⚙️ Pengaturan'!$G$2:$G3237))</f>
        <v>KLINIK FT SESI</v>
      </c>
      <c r="L546" s="43" t="str">
        <f t="shared" si="3"/>
        <v>LANJUTAN</v>
      </c>
      <c r="M546" s="144" t="s">
        <v>31</v>
      </c>
      <c r="N546" s="145">
        <v>150000.0</v>
      </c>
      <c r="O546" s="146">
        <v>0.0</v>
      </c>
      <c r="P546" s="48">
        <f t="array" ref="P546">IFNA(XLOOKUP(J546,'⚙️ Pengaturan'!$E$2:$E3237,'⚙️ Pengaturan'!$F$2:$F3237),"")</f>
        <v>150000</v>
      </c>
      <c r="Q546" s="147">
        <f t="shared" si="8"/>
        <v>0</v>
      </c>
      <c r="R546" s="41" t="s">
        <v>32</v>
      </c>
      <c r="S546" s="69" t="s">
        <v>33</v>
      </c>
      <c r="T546" s="51" t="b">
        <v>1</v>
      </c>
      <c r="U546" s="94"/>
    </row>
    <row r="547" ht="30.0" customHeight="1">
      <c r="A547" s="39"/>
      <c r="B547" s="40">
        <v>2580.0</v>
      </c>
      <c r="C547" s="41" t="s">
        <v>50</v>
      </c>
      <c r="D547" s="86">
        <v>46055.0</v>
      </c>
      <c r="E547" s="43" t="str">
        <f t="shared" si="1"/>
        <v>2026</v>
      </c>
      <c r="F547" s="43" t="str">
        <f t="shared" si="2"/>
        <v>02 Feb</v>
      </c>
      <c r="G547" s="126" t="s">
        <v>173</v>
      </c>
      <c r="H547" s="45" t="s">
        <v>76</v>
      </c>
      <c r="I547" s="45" t="s">
        <v>738</v>
      </c>
      <c r="J547" s="143" t="s">
        <v>28</v>
      </c>
      <c r="K547" s="43" t="str">
        <f t="array" ref="K547">IF(J547="","", XLOOKUP(J547,'⚙️ Pengaturan'!$E$2:$E3237,'⚙️ Pengaturan'!$G$2:$G3237))</f>
        <v>KLINIK FT TA</v>
      </c>
      <c r="L547" s="43" t="str">
        <f t="shared" si="3"/>
        <v>BARU</v>
      </c>
      <c r="M547" s="144" t="s">
        <v>31</v>
      </c>
      <c r="N547" s="145">
        <v>250000.0</v>
      </c>
      <c r="O547" s="146">
        <v>0.0</v>
      </c>
      <c r="P547" s="48">
        <f t="array" ref="P547">IFNA(XLOOKUP(J547,'⚙️ Pengaturan'!$E$2:$E3237,'⚙️ Pengaturan'!$F$2:$F3237),"")</f>
        <v>250000</v>
      </c>
      <c r="Q547" s="147">
        <f t="shared" si="8"/>
        <v>0</v>
      </c>
      <c r="R547" s="41" t="s">
        <v>32</v>
      </c>
      <c r="S547" s="69" t="s">
        <v>33</v>
      </c>
      <c r="T547" s="51" t="b">
        <v>1</v>
      </c>
      <c r="U547" s="94"/>
    </row>
    <row r="548" ht="30.0" customHeight="1">
      <c r="A548" s="39"/>
      <c r="B548" s="40">
        <v>2581.0</v>
      </c>
      <c r="C548" s="41" t="s">
        <v>50</v>
      </c>
      <c r="D548" s="86">
        <v>46055.0</v>
      </c>
      <c r="E548" s="43" t="str">
        <f t="shared" si="1"/>
        <v>2026</v>
      </c>
      <c r="F548" s="43" t="str">
        <f t="shared" si="2"/>
        <v>02 Feb</v>
      </c>
      <c r="G548" s="126" t="s">
        <v>155</v>
      </c>
      <c r="H548" s="45" t="s">
        <v>76</v>
      </c>
      <c r="I548" s="45" t="s">
        <v>739</v>
      </c>
      <c r="J548" s="143" t="s">
        <v>28</v>
      </c>
      <c r="K548" s="43" t="str">
        <f t="array" ref="K548">IF(J548="","", XLOOKUP(J548,'⚙️ Pengaturan'!$E$2:$E3237,'⚙️ Pengaturan'!$G$2:$G3237))</f>
        <v>KLINIK FT TA</v>
      </c>
      <c r="L548" s="43" t="str">
        <f t="shared" si="3"/>
        <v>BARU</v>
      </c>
      <c r="M548" s="144" t="s">
        <v>31</v>
      </c>
      <c r="N548" s="145">
        <v>250000.0</v>
      </c>
      <c r="O548" s="146">
        <v>0.0</v>
      </c>
      <c r="P548" s="48">
        <f t="array" ref="P548">IFNA(XLOOKUP(J548,'⚙️ Pengaturan'!$E$2:$E3237,'⚙️ Pengaturan'!$F$2:$F3237),"")</f>
        <v>250000</v>
      </c>
      <c r="Q548" s="147">
        <f t="shared" si="8"/>
        <v>0</v>
      </c>
      <c r="R548" s="41" t="s">
        <v>37</v>
      </c>
      <c r="S548" s="69" t="s">
        <v>739</v>
      </c>
      <c r="T548" s="51" t="b">
        <v>1</v>
      </c>
      <c r="U548" s="94"/>
    </row>
    <row r="549" ht="30.0" customHeight="1">
      <c r="A549" s="39"/>
      <c r="B549" s="40">
        <v>2582.0</v>
      </c>
      <c r="C549" s="41" t="s">
        <v>50</v>
      </c>
      <c r="D549" s="86">
        <v>46055.0</v>
      </c>
      <c r="E549" s="43" t="str">
        <f t="shared" si="1"/>
        <v>2026</v>
      </c>
      <c r="F549" s="43" t="str">
        <f t="shared" si="2"/>
        <v>02 Feb</v>
      </c>
      <c r="G549" s="126" t="s">
        <v>155</v>
      </c>
      <c r="H549" s="45" t="s">
        <v>96</v>
      </c>
      <c r="I549" s="45" t="s">
        <v>740</v>
      </c>
      <c r="J549" s="143" t="s">
        <v>28</v>
      </c>
      <c r="K549" s="43" t="str">
        <f t="array" ref="K549">IF(J549="","", XLOOKUP(J549,'⚙️ Pengaturan'!$E$2:$E3237,'⚙️ Pengaturan'!$G$2:$G3237))</f>
        <v>KLINIK FT TA</v>
      </c>
      <c r="L549" s="43" t="str">
        <f t="shared" si="3"/>
        <v>BARU</v>
      </c>
      <c r="M549" s="144" t="s">
        <v>31</v>
      </c>
      <c r="N549" s="145">
        <v>250000.0</v>
      </c>
      <c r="O549" s="146">
        <v>0.0</v>
      </c>
      <c r="P549" s="48">
        <f t="array" ref="P549">IFNA(XLOOKUP(J549,'⚙️ Pengaturan'!$E$2:$E3237,'⚙️ Pengaturan'!$F$2:$F3237),"")</f>
        <v>250000</v>
      </c>
      <c r="Q549" s="147">
        <f t="shared" si="8"/>
        <v>0</v>
      </c>
      <c r="R549" s="41" t="s">
        <v>37</v>
      </c>
      <c r="S549" s="69" t="s">
        <v>739</v>
      </c>
      <c r="T549" s="51" t="b">
        <v>1</v>
      </c>
      <c r="U549" s="94"/>
    </row>
    <row r="550" ht="30.0" customHeight="1">
      <c r="A550" s="39"/>
      <c r="B550" s="40">
        <v>2583.0</v>
      </c>
      <c r="C550" s="41" t="s">
        <v>50</v>
      </c>
      <c r="D550" s="86">
        <v>46055.0</v>
      </c>
      <c r="E550" s="43" t="str">
        <f t="shared" si="1"/>
        <v>2026</v>
      </c>
      <c r="F550" s="43" t="str">
        <f t="shared" si="2"/>
        <v>02 Feb</v>
      </c>
      <c r="G550" s="126" t="s">
        <v>155</v>
      </c>
      <c r="H550" s="45" t="s">
        <v>41</v>
      </c>
      <c r="I550" s="45" t="s">
        <v>741</v>
      </c>
      <c r="J550" s="143" t="s">
        <v>28</v>
      </c>
      <c r="K550" s="43" t="str">
        <f t="array" ref="K550">IF(J550="","", XLOOKUP(J550,'⚙️ Pengaturan'!$E$2:$E3237,'⚙️ Pengaturan'!$G$2:$G3237))</f>
        <v>KLINIK FT TA</v>
      </c>
      <c r="L550" s="43" t="str">
        <f t="shared" si="3"/>
        <v>BARU</v>
      </c>
      <c r="M550" s="144" t="s">
        <v>31</v>
      </c>
      <c r="N550" s="145">
        <v>250000.0</v>
      </c>
      <c r="O550" s="146">
        <v>0.0</v>
      </c>
      <c r="P550" s="48">
        <f t="array" ref="P550">IFNA(XLOOKUP(J550,'⚙️ Pengaturan'!$E$2:$E3237,'⚙️ Pengaturan'!$F$2:$F3237),"")</f>
        <v>250000</v>
      </c>
      <c r="Q550" s="147">
        <f t="shared" si="8"/>
        <v>0</v>
      </c>
      <c r="R550" s="41" t="s">
        <v>37</v>
      </c>
      <c r="S550" s="69" t="s">
        <v>739</v>
      </c>
      <c r="T550" s="51" t="b">
        <v>1</v>
      </c>
      <c r="U550" s="94"/>
    </row>
    <row r="551" ht="30.0" customHeight="1">
      <c r="A551" s="39"/>
      <c r="B551" s="40">
        <v>2584.0</v>
      </c>
      <c r="C551" s="41" t="s">
        <v>50</v>
      </c>
      <c r="D551" s="86">
        <v>46055.0</v>
      </c>
      <c r="E551" s="43" t="str">
        <f t="shared" si="1"/>
        <v>2026</v>
      </c>
      <c r="F551" s="43" t="str">
        <f t="shared" si="2"/>
        <v>02 Feb</v>
      </c>
      <c r="G551" s="126" t="s">
        <v>190</v>
      </c>
      <c r="H551" s="45" t="s">
        <v>41</v>
      </c>
      <c r="I551" s="45" t="s">
        <v>742</v>
      </c>
      <c r="J551" s="143" t="s">
        <v>28</v>
      </c>
      <c r="K551" s="43" t="str">
        <f t="array" ref="K551">IF(J551="","", XLOOKUP(J551,'⚙️ Pengaturan'!$E$2:$E3237,'⚙️ Pengaturan'!$G$2:$G3237))</f>
        <v>KLINIK FT TA</v>
      </c>
      <c r="L551" s="43" t="str">
        <f t="shared" si="3"/>
        <v>BARU</v>
      </c>
      <c r="M551" s="144" t="s">
        <v>31</v>
      </c>
      <c r="N551" s="145">
        <v>250000.0</v>
      </c>
      <c r="O551" s="146">
        <v>0.0</v>
      </c>
      <c r="P551" s="48">
        <f t="array" ref="P551">IFNA(XLOOKUP(J551,'⚙️ Pengaturan'!$E$2:$E3237,'⚙️ Pengaturan'!$F$2:$F3237),"")</f>
        <v>250000</v>
      </c>
      <c r="Q551" s="147">
        <f t="shared" si="8"/>
        <v>0</v>
      </c>
      <c r="R551" s="41" t="s">
        <v>32</v>
      </c>
      <c r="S551" s="69" t="s">
        <v>33</v>
      </c>
      <c r="T551" s="51" t="b">
        <v>1</v>
      </c>
      <c r="U551" s="94"/>
    </row>
    <row r="552" ht="30.0" customHeight="1">
      <c r="A552" s="39"/>
      <c r="B552" s="40">
        <v>2585.0</v>
      </c>
      <c r="C552" s="41" t="s">
        <v>50</v>
      </c>
      <c r="D552" s="86">
        <v>46055.0</v>
      </c>
      <c r="E552" s="43" t="str">
        <f t="shared" si="1"/>
        <v>2026</v>
      </c>
      <c r="F552" s="43" t="str">
        <f t="shared" si="2"/>
        <v>02 Feb</v>
      </c>
      <c r="G552" s="126" t="s">
        <v>190</v>
      </c>
      <c r="H552" s="45" t="s">
        <v>76</v>
      </c>
      <c r="I552" s="45" t="s">
        <v>743</v>
      </c>
      <c r="J552" s="143" t="s">
        <v>28</v>
      </c>
      <c r="K552" s="43" t="str">
        <f t="array" ref="K552">IF(J552="","", XLOOKUP(J552,'⚙️ Pengaturan'!$E$2:$E3237,'⚙️ Pengaturan'!$G$2:$G3237))</f>
        <v>KLINIK FT TA</v>
      </c>
      <c r="L552" s="43" t="str">
        <f t="shared" si="3"/>
        <v>BARU</v>
      </c>
      <c r="M552" s="144" t="s">
        <v>31</v>
      </c>
      <c r="N552" s="145">
        <v>250000.0</v>
      </c>
      <c r="O552" s="146">
        <v>0.0</v>
      </c>
      <c r="P552" s="48">
        <f t="array" ref="P552">IFNA(XLOOKUP(J552,'⚙️ Pengaturan'!$E$2:$E3237,'⚙️ Pengaturan'!$F$2:$F3237),"")</f>
        <v>250000</v>
      </c>
      <c r="Q552" s="147">
        <f t="shared" si="8"/>
        <v>0</v>
      </c>
      <c r="R552" s="41" t="s">
        <v>118</v>
      </c>
      <c r="S552" s="69" t="s">
        <v>744</v>
      </c>
      <c r="T552" s="51" t="b">
        <v>1</v>
      </c>
      <c r="U552" s="94"/>
    </row>
    <row r="553" ht="30.0" customHeight="1">
      <c r="A553" s="39"/>
      <c r="B553" s="40">
        <v>2586.0</v>
      </c>
      <c r="C553" s="41" t="s">
        <v>50</v>
      </c>
      <c r="D553" s="86">
        <v>46055.0</v>
      </c>
      <c r="E553" s="43" t="str">
        <f t="shared" si="1"/>
        <v>2026</v>
      </c>
      <c r="F553" s="43" t="str">
        <f t="shared" si="2"/>
        <v>02 Feb</v>
      </c>
      <c r="G553" s="126" t="s">
        <v>195</v>
      </c>
      <c r="H553" s="45" t="s">
        <v>162</v>
      </c>
      <c r="I553" s="45" t="s">
        <v>735</v>
      </c>
      <c r="J553" s="143" t="s">
        <v>180</v>
      </c>
      <c r="K553" s="43" t="str">
        <f t="array" ref="K553">IF(J553="","", XLOOKUP(J553,'⚙️ Pengaturan'!$E$2:$E3237,'⚙️ Pengaturan'!$G$2:$G3237))</f>
        <v>KLINIK FT SESI</v>
      </c>
      <c r="L553" s="43" t="str">
        <f t="shared" si="3"/>
        <v>BARU</v>
      </c>
      <c r="M553" s="144" t="s">
        <v>31</v>
      </c>
      <c r="N553" s="145">
        <v>150000.0</v>
      </c>
      <c r="O553" s="146">
        <v>0.0</v>
      </c>
      <c r="P553" s="48">
        <f t="array" ref="P553">IFNA(XLOOKUP(J553,'⚙️ Pengaturan'!$E$2:$E3237,'⚙️ Pengaturan'!$F$2:$F3237),"")</f>
        <v>150000</v>
      </c>
      <c r="Q553" s="147">
        <f t="shared" si="8"/>
        <v>0</v>
      </c>
      <c r="R553" s="41" t="s">
        <v>32</v>
      </c>
      <c r="S553" s="69" t="s">
        <v>33</v>
      </c>
      <c r="T553" s="51" t="b">
        <v>1</v>
      </c>
      <c r="U553" s="94"/>
    </row>
    <row r="554" ht="30.0" customHeight="1">
      <c r="A554" s="39"/>
      <c r="B554" s="40">
        <v>2587.0</v>
      </c>
      <c r="C554" s="41" t="s">
        <v>50</v>
      </c>
      <c r="D554" s="86">
        <v>46055.0</v>
      </c>
      <c r="E554" s="43" t="str">
        <f t="shared" si="1"/>
        <v>2026</v>
      </c>
      <c r="F554" s="43" t="str">
        <f t="shared" si="2"/>
        <v>02 Feb</v>
      </c>
      <c r="G554" s="126" t="s">
        <v>195</v>
      </c>
      <c r="H554" s="45" t="s">
        <v>166</v>
      </c>
      <c r="I554" s="45" t="s">
        <v>665</v>
      </c>
      <c r="J554" s="143" t="s">
        <v>56</v>
      </c>
      <c r="K554" s="43" t="str">
        <f t="array" ref="K554">IF(J554="","", XLOOKUP(J554,'⚙️ Pengaturan'!$E$2:$E3237,'⚙️ Pengaturan'!$G$2:$G3237))</f>
        <v>KLINIK FT PAKET</v>
      </c>
      <c r="L554" s="43" t="str">
        <f t="shared" si="3"/>
        <v>LANJUTAN</v>
      </c>
      <c r="M554" s="144" t="s">
        <v>164</v>
      </c>
      <c r="N554" s="145">
        <v>450000.0</v>
      </c>
      <c r="O554" s="146">
        <v>200000.0</v>
      </c>
      <c r="P554" s="48">
        <f t="array" ref="P554">IFNA(XLOOKUP(J554,'⚙️ Pengaturan'!$E$2:$E3237,'⚙️ Pengaturan'!$F$2:$F3237),"")</f>
        <v>650000</v>
      </c>
      <c r="Q554" s="147">
        <f t="shared" si="8"/>
        <v>0</v>
      </c>
      <c r="R554" s="41" t="s">
        <v>37</v>
      </c>
      <c r="S554" s="69" t="s">
        <v>665</v>
      </c>
      <c r="T554" s="51" t="b">
        <v>1</v>
      </c>
      <c r="U554" s="94"/>
    </row>
    <row r="555" ht="30.0" customHeight="1">
      <c r="A555" s="39"/>
      <c r="B555" s="40">
        <v>2588.0</v>
      </c>
      <c r="C555" s="41" t="s">
        <v>50</v>
      </c>
      <c r="D555" s="86">
        <v>46056.0</v>
      </c>
      <c r="E555" s="43" t="str">
        <f t="shared" si="1"/>
        <v>2026</v>
      </c>
      <c r="F555" s="43" t="str">
        <f t="shared" si="2"/>
        <v>02 Feb</v>
      </c>
      <c r="G555" s="126" t="s">
        <v>195</v>
      </c>
      <c r="H555" s="45" t="s">
        <v>76</v>
      </c>
      <c r="I555" s="45" t="s">
        <v>745</v>
      </c>
      <c r="J555" s="143" t="s">
        <v>28</v>
      </c>
      <c r="K555" s="43" t="str">
        <f t="array" ref="K555">IF(J555="","", XLOOKUP(J555,'⚙️ Pengaturan'!$E$2:$E3237,'⚙️ Pengaturan'!$G$2:$G3237))</f>
        <v>KLINIK FT TA</v>
      </c>
      <c r="L555" s="43" t="str">
        <f t="shared" si="3"/>
        <v>BARU</v>
      </c>
      <c r="M555" s="144" t="s">
        <v>31</v>
      </c>
      <c r="N555" s="145">
        <v>250000.0</v>
      </c>
      <c r="O555" s="146">
        <v>0.0</v>
      </c>
      <c r="P555" s="48">
        <f t="array" ref="P555">IFNA(XLOOKUP(J555,'⚙️ Pengaturan'!$E$2:$E3237,'⚙️ Pengaturan'!$F$2:$F3237),"")</f>
        <v>250000</v>
      </c>
      <c r="Q555" s="147">
        <f t="shared" si="8"/>
        <v>0</v>
      </c>
      <c r="R555" s="41" t="s">
        <v>32</v>
      </c>
      <c r="S555" s="69" t="s">
        <v>33</v>
      </c>
      <c r="T555" s="51" t="b">
        <v>1</v>
      </c>
      <c r="U555" s="94"/>
    </row>
    <row r="556" ht="30.0" customHeight="1">
      <c r="A556" s="39"/>
      <c r="B556" s="40">
        <v>2589.0</v>
      </c>
      <c r="C556" s="41" t="s">
        <v>50</v>
      </c>
      <c r="D556" s="86">
        <v>46056.0</v>
      </c>
      <c r="E556" s="43" t="str">
        <f t="shared" si="1"/>
        <v>2026</v>
      </c>
      <c r="F556" s="43" t="str">
        <f t="shared" si="2"/>
        <v>02 Feb</v>
      </c>
      <c r="G556" s="126" t="s">
        <v>69</v>
      </c>
      <c r="H556" s="45" t="s">
        <v>150</v>
      </c>
      <c r="I556" s="45" t="s">
        <v>746</v>
      </c>
      <c r="J556" s="143" t="s">
        <v>291</v>
      </c>
      <c r="K556" s="43" t="str">
        <f t="array" ref="K556">IF(J556="","", XLOOKUP(J556,'⚙️ Pengaturan'!$E$2:$E3237,'⚙️ Pengaturan'!$G$2:$G3237))</f>
        <v>VISIT FT TA</v>
      </c>
      <c r="L556" s="43" t="str">
        <f t="shared" si="3"/>
        <v>BARU</v>
      </c>
      <c r="M556" s="144" t="s">
        <v>31</v>
      </c>
      <c r="N556" s="145">
        <v>350000.0</v>
      </c>
      <c r="O556" s="146">
        <v>0.0</v>
      </c>
      <c r="P556" s="48">
        <f t="array" ref="P556">IFNA(XLOOKUP(J556,'⚙️ Pengaturan'!$E$2:$E3237,'⚙️ Pengaturan'!$F$2:$F3237),"")</f>
        <v>350000</v>
      </c>
      <c r="Q556" s="147">
        <f t="shared" si="8"/>
        <v>0</v>
      </c>
      <c r="R556" s="41" t="s">
        <v>37</v>
      </c>
      <c r="S556" s="69" t="s">
        <v>746</v>
      </c>
      <c r="T556" s="51" t="b">
        <v>1</v>
      </c>
      <c r="U556" s="94"/>
    </row>
    <row r="557" ht="30.0" customHeight="1">
      <c r="A557" s="39"/>
      <c r="B557" s="40">
        <v>2590.0</v>
      </c>
      <c r="C557" s="41" t="s">
        <v>50</v>
      </c>
      <c r="D557" s="86">
        <v>46056.0</v>
      </c>
      <c r="E557" s="43" t="str">
        <f t="shared" si="1"/>
        <v>2026</v>
      </c>
      <c r="F557" s="43" t="str">
        <f t="shared" si="2"/>
        <v>02 Feb</v>
      </c>
      <c r="G557" s="126" t="s">
        <v>241</v>
      </c>
      <c r="H557" s="45" t="s">
        <v>76</v>
      </c>
      <c r="I557" s="45" t="s">
        <v>723</v>
      </c>
      <c r="J557" s="143" t="s">
        <v>56</v>
      </c>
      <c r="K557" s="43" t="str">
        <f t="array" ref="K557">IF(J557="","", XLOOKUP(J557,'⚙️ Pengaturan'!$E$2:$E3237,'⚙️ Pengaturan'!$G$2:$G3237))</f>
        <v>KLINIK FT PAKET</v>
      </c>
      <c r="L557" s="43" t="str">
        <f t="shared" si="3"/>
        <v>BARU</v>
      </c>
      <c r="M557" s="144" t="s">
        <v>31</v>
      </c>
      <c r="N557" s="145">
        <v>650000.0</v>
      </c>
      <c r="O557" s="146">
        <v>0.0</v>
      </c>
      <c r="P557" s="48">
        <f t="array" ref="P557">IFNA(XLOOKUP(J557,'⚙️ Pengaturan'!$E$2:$E3237,'⚙️ Pengaturan'!$F$2:$F3237),"")</f>
        <v>650000</v>
      </c>
      <c r="Q557" s="147">
        <f t="shared" si="8"/>
        <v>0</v>
      </c>
      <c r="R557" s="41" t="s">
        <v>93</v>
      </c>
      <c r="S557" s="69" t="s">
        <v>747</v>
      </c>
      <c r="T557" s="51" t="b">
        <v>1</v>
      </c>
      <c r="U557" s="94"/>
    </row>
    <row r="558" ht="30.0" customHeight="1">
      <c r="A558" s="39"/>
      <c r="B558" s="40">
        <v>2591.0</v>
      </c>
      <c r="C558" s="41" t="s">
        <v>50</v>
      </c>
      <c r="D558" s="86">
        <v>46056.0</v>
      </c>
      <c r="E558" s="43" t="str">
        <f t="shared" si="1"/>
        <v>2026</v>
      </c>
      <c r="F558" s="43" t="str">
        <f t="shared" si="2"/>
        <v>02 Feb</v>
      </c>
      <c r="G558" s="126" t="s">
        <v>69</v>
      </c>
      <c r="H558" s="45" t="s">
        <v>26</v>
      </c>
      <c r="I558" s="45" t="s">
        <v>689</v>
      </c>
      <c r="J558" s="143" t="s">
        <v>323</v>
      </c>
      <c r="K558" s="43" t="str">
        <f t="array" ref="K558">IF(J558="","", XLOOKUP(J558,'⚙️ Pengaturan'!$E$2:$E3237,'⚙️ Pengaturan'!$G$2:$G3237))</f>
        <v>VISIT FT SESI</v>
      </c>
      <c r="L558" s="43" t="str">
        <f t="shared" si="3"/>
        <v>BARU</v>
      </c>
      <c r="M558" s="144" t="s">
        <v>31</v>
      </c>
      <c r="N558" s="145">
        <v>200000.0</v>
      </c>
      <c r="O558" s="146">
        <v>0.0</v>
      </c>
      <c r="P558" s="48">
        <f t="array" ref="P558">IFNA(XLOOKUP(J558,'⚙️ Pengaturan'!$E$2:$E3237,'⚙️ Pengaturan'!$F$2:$F3237),"")</f>
        <v>200000</v>
      </c>
      <c r="Q558" s="147">
        <f t="shared" si="8"/>
        <v>0</v>
      </c>
      <c r="R558" s="41" t="s">
        <v>32</v>
      </c>
      <c r="S558" s="69" t="s">
        <v>33</v>
      </c>
      <c r="T558" s="51" t="b">
        <v>1</v>
      </c>
      <c r="U558" s="94"/>
    </row>
    <row r="559" ht="30.0" customHeight="1">
      <c r="A559" s="39"/>
      <c r="B559" s="40">
        <v>2592.0</v>
      </c>
      <c r="C559" s="41" t="s">
        <v>50</v>
      </c>
      <c r="D559" s="86">
        <v>46056.0</v>
      </c>
      <c r="E559" s="43" t="str">
        <f t="shared" si="1"/>
        <v>2026</v>
      </c>
      <c r="F559" s="43" t="str">
        <f t="shared" si="2"/>
        <v>02 Feb</v>
      </c>
      <c r="G559" s="126" t="s">
        <v>35</v>
      </c>
      <c r="H559" s="45" t="s">
        <v>162</v>
      </c>
      <c r="I559" s="45" t="s">
        <v>713</v>
      </c>
      <c r="J559" s="143" t="s">
        <v>56</v>
      </c>
      <c r="K559" s="43" t="str">
        <f t="array" ref="K559">IF(J559="","", XLOOKUP(J559,'⚙️ Pengaturan'!$E$2:$E3237,'⚙️ Pengaturan'!$G$2:$G3237))</f>
        <v>KLINIK FT PAKET</v>
      </c>
      <c r="L559" s="43" t="str">
        <f t="shared" si="3"/>
        <v>LANJUTAN</v>
      </c>
      <c r="M559" s="144" t="s">
        <v>164</v>
      </c>
      <c r="N559" s="145">
        <v>450000.0</v>
      </c>
      <c r="O559" s="146">
        <v>200000.0</v>
      </c>
      <c r="P559" s="48">
        <f t="array" ref="P559">IFNA(XLOOKUP(J559,'⚙️ Pengaturan'!$E$2:$E3237,'⚙️ Pengaturan'!$F$2:$F3237),"")</f>
        <v>650000</v>
      </c>
      <c r="Q559" s="147">
        <f t="shared" si="8"/>
        <v>0</v>
      </c>
      <c r="R559" s="41" t="s">
        <v>32</v>
      </c>
      <c r="S559" s="69" t="s">
        <v>33</v>
      </c>
      <c r="T559" s="51" t="b">
        <v>1</v>
      </c>
      <c r="U559" s="94"/>
    </row>
    <row r="560" ht="30.0" customHeight="1">
      <c r="A560" s="39"/>
      <c r="B560" s="40">
        <v>2593.0</v>
      </c>
      <c r="C560" s="41" t="s">
        <v>79</v>
      </c>
      <c r="D560" s="86">
        <v>46056.0</v>
      </c>
      <c r="E560" s="43" t="str">
        <f t="shared" si="1"/>
        <v>2026</v>
      </c>
      <c r="F560" s="43" t="str">
        <f t="shared" si="2"/>
        <v>02 Feb</v>
      </c>
      <c r="G560" s="126" t="s">
        <v>43</v>
      </c>
      <c r="H560" s="45" t="s">
        <v>166</v>
      </c>
      <c r="I560" s="45" t="s">
        <v>748</v>
      </c>
      <c r="J560" s="143" t="s">
        <v>28</v>
      </c>
      <c r="K560" s="43" t="str">
        <f t="array" ref="K560">IF(J560="","", XLOOKUP(J560,'⚙️ Pengaturan'!$E$2:$E3237,'⚙️ Pengaturan'!$G$2:$G3237))</f>
        <v>KLINIK FT TA</v>
      </c>
      <c r="L560" s="43" t="str">
        <f t="shared" si="3"/>
        <v>BARU</v>
      </c>
      <c r="M560" s="144" t="s">
        <v>31</v>
      </c>
      <c r="N560" s="145">
        <v>250000.0</v>
      </c>
      <c r="O560" s="146">
        <v>0.0</v>
      </c>
      <c r="P560" s="48">
        <f t="array" ref="P560">IFNA(XLOOKUP(J560,'⚙️ Pengaturan'!$E$2:$E3237,'⚙️ Pengaturan'!$F$2:$F3237),"")</f>
        <v>250000</v>
      </c>
      <c r="Q560" s="147">
        <f t="shared" si="8"/>
        <v>0</v>
      </c>
      <c r="R560" s="41" t="s">
        <v>37</v>
      </c>
      <c r="S560" s="69" t="s">
        <v>582</v>
      </c>
      <c r="T560" s="51" t="b">
        <v>1</v>
      </c>
      <c r="U560" s="94"/>
    </row>
    <row r="561" ht="30.0" customHeight="1">
      <c r="A561" s="39"/>
      <c r="B561" s="40">
        <v>2594.0</v>
      </c>
      <c r="C561" s="41" t="s">
        <v>79</v>
      </c>
      <c r="D561" s="86">
        <v>46056.0</v>
      </c>
      <c r="E561" s="43" t="str">
        <f t="shared" si="1"/>
        <v>2026</v>
      </c>
      <c r="F561" s="43" t="str">
        <f t="shared" si="2"/>
        <v>02 Feb</v>
      </c>
      <c r="G561" s="126" t="s">
        <v>43</v>
      </c>
      <c r="H561" s="45" t="s">
        <v>162</v>
      </c>
      <c r="I561" s="45" t="s">
        <v>749</v>
      </c>
      <c r="J561" s="143" t="s">
        <v>28</v>
      </c>
      <c r="K561" s="43" t="str">
        <f t="array" ref="K561">IF(J561="","", XLOOKUP(J561,'⚙️ Pengaturan'!$E$2:$E3237,'⚙️ Pengaturan'!$G$2:$G3237))</f>
        <v>KLINIK FT TA</v>
      </c>
      <c r="L561" s="43" t="str">
        <f t="shared" si="3"/>
        <v>BARU</v>
      </c>
      <c r="M561" s="144" t="s">
        <v>31</v>
      </c>
      <c r="N561" s="145">
        <v>250000.0</v>
      </c>
      <c r="O561" s="146">
        <v>0.0</v>
      </c>
      <c r="P561" s="48">
        <f t="array" ref="P561">IFNA(XLOOKUP(J561,'⚙️ Pengaturan'!$E$2:$E3237,'⚙️ Pengaturan'!$F$2:$F3237),"")</f>
        <v>250000</v>
      </c>
      <c r="Q561" s="147">
        <f t="shared" si="8"/>
        <v>0</v>
      </c>
      <c r="R561" s="41" t="s">
        <v>37</v>
      </c>
      <c r="S561" s="69" t="s">
        <v>749</v>
      </c>
      <c r="T561" s="51" t="b">
        <v>1</v>
      </c>
      <c r="U561" s="94"/>
    </row>
    <row r="562" ht="30.0" customHeight="1">
      <c r="A562" s="39"/>
      <c r="B562" s="40">
        <v>2595.0</v>
      </c>
      <c r="C562" s="41" t="s">
        <v>79</v>
      </c>
      <c r="D562" s="86">
        <v>46056.0</v>
      </c>
      <c r="E562" s="43" t="str">
        <f t="shared" si="1"/>
        <v>2026</v>
      </c>
      <c r="F562" s="43" t="str">
        <f t="shared" si="2"/>
        <v>02 Feb</v>
      </c>
      <c r="G562" s="126" t="s">
        <v>155</v>
      </c>
      <c r="H562" s="45" t="s">
        <v>166</v>
      </c>
      <c r="I562" s="45" t="s">
        <v>750</v>
      </c>
      <c r="J562" s="143" t="s">
        <v>28</v>
      </c>
      <c r="K562" s="43" t="str">
        <f t="array" ref="K562">IF(J562="","", XLOOKUP(J562,'⚙️ Pengaturan'!$E$2:$E3237,'⚙️ Pengaturan'!$G$2:$G3237))</f>
        <v>KLINIK FT TA</v>
      </c>
      <c r="L562" s="43" t="str">
        <f t="shared" si="3"/>
        <v>BARU</v>
      </c>
      <c r="M562" s="144" t="s">
        <v>31</v>
      </c>
      <c r="N562" s="145">
        <v>250000.0</v>
      </c>
      <c r="O562" s="146">
        <v>0.0</v>
      </c>
      <c r="P562" s="48">
        <f t="array" ref="P562">IFNA(XLOOKUP(J562,'⚙️ Pengaturan'!$E$2:$E3237,'⚙️ Pengaturan'!$F$2:$F3237),"")</f>
        <v>250000</v>
      </c>
      <c r="Q562" s="147">
        <f t="shared" si="8"/>
        <v>0</v>
      </c>
      <c r="R562" s="41" t="s">
        <v>37</v>
      </c>
      <c r="S562" s="69" t="s">
        <v>750</v>
      </c>
      <c r="T562" s="51" t="b">
        <v>1</v>
      </c>
      <c r="U562" s="94"/>
    </row>
    <row r="563" ht="30.0" customHeight="1">
      <c r="A563" s="39"/>
      <c r="B563" s="40">
        <v>2596.0</v>
      </c>
      <c r="C563" s="41" t="s">
        <v>79</v>
      </c>
      <c r="D563" s="86">
        <v>46056.0</v>
      </c>
      <c r="E563" s="43" t="str">
        <f t="shared" si="1"/>
        <v>2026</v>
      </c>
      <c r="F563" s="43" t="str">
        <f t="shared" si="2"/>
        <v>02 Feb</v>
      </c>
      <c r="G563" s="126" t="s">
        <v>155</v>
      </c>
      <c r="H563" s="45" t="s">
        <v>26</v>
      </c>
      <c r="I563" s="45" t="s">
        <v>643</v>
      </c>
      <c r="J563" s="143" t="s">
        <v>180</v>
      </c>
      <c r="K563" s="43" t="str">
        <f t="array" ref="K563">IF(J563="","", XLOOKUP(J563,'⚙️ Pengaturan'!$E$2:$E3237,'⚙️ Pengaturan'!$G$2:$G3237))</f>
        <v>KLINIK FT SESI</v>
      </c>
      <c r="L563" s="43" t="str">
        <f t="shared" si="3"/>
        <v>LANJUTAN</v>
      </c>
      <c r="M563" s="144" t="s">
        <v>31</v>
      </c>
      <c r="N563" s="145">
        <v>150000.0</v>
      </c>
      <c r="O563" s="146">
        <v>0.0</v>
      </c>
      <c r="P563" s="48">
        <f t="array" ref="P563">IFNA(XLOOKUP(J563,'⚙️ Pengaturan'!$E$2:$E3237,'⚙️ Pengaturan'!$F$2:$F3237),"")</f>
        <v>150000</v>
      </c>
      <c r="Q563" s="147">
        <f t="shared" si="8"/>
        <v>0</v>
      </c>
      <c r="R563" s="41" t="s">
        <v>32</v>
      </c>
      <c r="S563" s="69" t="s">
        <v>33</v>
      </c>
      <c r="T563" s="51" t="b">
        <v>1</v>
      </c>
      <c r="U563" s="94"/>
    </row>
    <row r="564" ht="30.0" customHeight="1">
      <c r="A564" s="39"/>
      <c r="B564" s="40">
        <v>2597.0</v>
      </c>
      <c r="C564" s="41" t="s">
        <v>79</v>
      </c>
      <c r="D564" s="86">
        <v>46056.0</v>
      </c>
      <c r="E564" s="43" t="str">
        <f t="shared" si="1"/>
        <v>2026</v>
      </c>
      <c r="F564" s="43" t="str">
        <f t="shared" si="2"/>
        <v>02 Feb</v>
      </c>
      <c r="G564" s="126" t="s">
        <v>155</v>
      </c>
      <c r="H564" s="45" t="s">
        <v>26</v>
      </c>
      <c r="I564" s="45" t="s">
        <v>279</v>
      </c>
      <c r="J564" s="143" t="s">
        <v>92</v>
      </c>
      <c r="K564" s="43" t="str">
        <f t="array" ref="K564">IF(J564="","", XLOOKUP(J564,'⚙️ Pengaturan'!$E$2:$E3237,'⚙️ Pengaturan'!$G$2:$G3237))</f>
        <v>KLINIK FT PAKET</v>
      </c>
      <c r="L564" s="43" t="str">
        <f t="shared" si="3"/>
        <v>LANJUTAN</v>
      </c>
      <c r="M564" s="144" t="s">
        <v>60</v>
      </c>
      <c r="N564" s="145">
        <v>200000.0</v>
      </c>
      <c r="O564" s="146">
        <v>0.0</v>
      </c>
      <c r="P564" s="48">
        <f t="array" ref="P564">IFNA(XLOOKUP(J564,'⚙️ Pengaturan'!$E$2:$E3237,'⚙️ Pengaturan'!$F$2:$F3237),"")</f>
        <v>1200000</v>
      </c>
      <c r="Q564" s="147">
        <f t="shared" si="8"/>
        <v>-1000000</v>
      </c>
      <c r="R564" s="41" t="s">
        <v>32</v>
      </c>
      <c r="S564" s="69" t="s">
        <v>33</v>
      </c>
      <c r="T564" s="51" t="b">
        <v>1</v>
      </c>
      <c r="U564" s="94"/>
    </row>
    <row r="565" ht="30.0" customHeight="1">
      <c r="A565" s="39"/>
      <c r="B565" s="40">
        <v>2598.0</v>
      </c>
      <c r="C565" s="41" t="s">
        <v>79</v>
      </c>
      <c r="D565" s="86">
        <v>46056.0</v>
      </c>
      <c r="E565" s="43" t="str">
        <f t="shared" si="1"/>
        <v>2026</v>
      </c>
      <c r="F565" s="43" t="str">
        <f t="shared" si="2"/>
        <v>02 Feb</v>
      </c>
      <c r="G565" s="126" t="s">
        <v>35</v>
      </c>
      <c r="H565" s="45" t="s">
        <v>76</v>
      </c>
      <c r="I565" s="45" t="s">
        <v>751</v>
      </c>
      <c r="J565" s="143" t="s">
        <v>28</v>
      </c>
      <c r="K565" s="43" t="str">
        <f t="array" ref="K565">IF(J565="","", XLOOKUP(J565,'⚙️ Pengaturan'!$E$2:$E3237,'⚙️ Pengaturan'!$G$2:$G3237))</f>
        <v>KLINIK FT TA</v>
      </c>
      <c r="L565" s="43" t="str">
        <f t="shared" si="3"/>
        <v>BARU</v>
      </c>
      <c r="M565" s="144" t="s">
        <v>31</v>
      </c>
      <c r="N565" s="145">
        <v>250000.0</v>
      </c>
      <c r="O565" s="146">
        <v>0.0</v>
      </c>
      <c r="P565" s="48">
        <f t="array" ref="P565">IFNA(XLOOKUP(J565,'⚙️ Pengaturan'!$E$2:$E3237,'⚙️ Pengaturan'!$F$2:$F3237),"")</f>
        <v>250000</v>
      </c>
      <c r="Q565" s="147">
        <f t="shared" si="8"/>
        <v>0</v>
      </c>
      <c r="R565" s="41" t="s">
        <v>32</v>
      </c>
      <c r="S565" s="69" t="s">
        <v>33</v>
      </c>
      <c r="T565" s="51" t="b">
        <v>1</v>
      </c>
      <c r="U565" s="94"/>
    </row>
    <row r="566" ht="30.0" customHeight="1">
      <c r="A566" s="39"/>
      <c r="B566" s="40">
        <v>2599.0</v>
      </c>
      <c r="C566" s="41" t="s">
        <v>79</v>
      </c>
      <c r="D566" s="86">
        <v>46056.0</v>
      </c>
      <c r="E566" s="43" t="str">
        <f t="shared" si="1"/>
        <v>2026</v>
      </c>
      <c r="F566" s="43" t="str">
        <f t="shared" si="2"/>
        <v>02 Feb</v>
      </c>
      <c r="G566" s="126" t="s">
        <v>190</v>
      </c>
      <c r="H566" s="45" t="s">
        <v>162</v>
      </c>
      <c r="I566" s="45" t="s">
        <v>752</v>
      </c>
      <c r="J566" s="143" t="s">
        <v>28</v>
      </c>
      <c r="K566" s="43" t="str">
        <f t="array" ref="K566">IF(J566="","", XLOOKUP(J566,'⚙️ Pengaturan'!$E$2:$E3237,'⚙️ Pengaturan'!$G$2:$G3237))</f>
        <v>KLINIK FT TA</v>
      </c>
      <c r="L566" s="43" t="str">
        <f t="shared" si="3"/>
        <v>BARU</v>
      </c>
      <c r="M566" s="144" t="s">
        <v>31</v>
      </c>
      <c r="N566" s="145">
        <v>250000.0</v>
      </c>
      <c r="O566" s="146">
        <v>0.0</v>
      </c>
      <c r="P566" s="48">
        <f t="array" ref="P566">IFNA(XLOOKUP(J566,'⚙️ Pengaturan'!$E$2:$E3237,'⚙️ Pengaturan'!$F$2:$F3237),"")</f>
        <v>250000</v>
      </c>
      <c r="Q566" s="147">
        <f t="shared" si="8"/>
        <v>0</v>
      </c>
      <c r="R566" s="41" t="s">
        <v>37</v>
      </c>
      <c r="S566" s="69" t="s">
        <v>752</v>
      </c>
      <c r="T566" s="51" t="b">
        <v>1</v>
      </c>
      <c r="U566" s="94"/>
    </row>
    <row r="567" ht="30.0" customHeight="1">
      <c r="A567" s="39"/>
      <c r="B567" s="40">
        <v>2600.0</v>
      </c>
      <c r="C567" s="41" t="s">
        <v>79</v>
      </c>
      <c r="D567" s="86">
        <v>46056.0</v>
      </c>
      <c r="E567" s="43" t="str">
        <f t="shared" si="1"/>
        <v>2026</v>
      </c>
      <c r="F567" s="43" t="str">
        <f t="shared" si="2"/>
        <v>02 Feb</v>
      </c>
      <c r="G567" s="126" t="s">
        <v>190</v>
      </c>
      <c r="H567" s="45" t="s">
        <v>166</v>
      </c>
      <c r="I567" s="45" t="s">
        <v>753</v>
      </c>
      <c r="J567" s="143" t="s">
        <v>28</v>
      </c>
      <c r="K567" s="43" t="str">
        <f t="array" ref="K567">IF(J567="","", XLOOKUP(J567,'⚙️ Pengaturan'!$E$2:$E3237,'⚙️ Pengaturan'!$G$2:$G3237))</f>
        <v>KLINIK FT TA</v>
      </c>
      <c r="L567" s="43" t="str">
        <f t="shared" si="3"/>
        <v>BARU</v>
      </c>
      <c r="M567" s="144" t="s">
        <v>31</v>
      </c>
      <c r="N567" s="145">
        <v>0.0</v>
      </c>
      <c r="O567" s="146">
        <v>250000.0</v>
      </c>
      <c r="P567" s="48">
        <v>250000.0</v>
      </c>
      <c r="Q567" s="147">
        <f t="shared" si="8"/>
        <v>0</v>
      </c>
      <c r="R567" s="41" t="s">
        <v>32</v>
      </c>
      <c r="S567" s="69" t="s">
        <v>33</v>
      </c>
      <c r="T567" s="51" t="b">
        <v>1</v>
      </c>
      <c r="U567" s="94"/>
    </row>
    <row r="568" ht="30.0" customHeight="1">
      <c r="A568" s="39"/>
      <c r="B568" s="40">
        <v>2601.0</v>
      </c>
      <c r="C568" s="41" t="s">
        <v>79</v>
      </c>
      <c r="D568" s="86">
        <v>46057.0</v>
      </c>
      <c r="E568" s="43" t="str">
        <f t="shared" si="1"/>
        <v>2026</v>
      </c>
      <c r="F568" s="43" t="str">
        <f t="shared" si="2"/>
        <v>02 Feb</v>
      </c>
      <c r="G568" s="126" t="s">
        <v>69</v>
      </c>
      <c r="H568" s="45" t="s">
        <v>47</v>
      </c>
      <c r="I568" s="45" t="s">
        <v>754</v>
      </c>
      <c r="J568" s="143" t="s">
        <v>291</v>
      </c>
      <c r="K568" s="43" t="str">
        <f t="array" ref="K568">IF(J568="","", XLOOKUP(J568,'⚙️ Pengaturan'!$E$2:$E3237,'⚙️ Pengaturan'!$G$2:$G3237))</f>
        <v>VISIT FT TA</v>
      </c>
      <c r="L568" s="43" t="str">
        <f t="shared" si="3"/>
        <v>BARU</v>
      </c>
      <c r="M568" s="144" t="s">
        <v>31</v>
      </c>
      <c r="N568" s="145">
        <v>350000.0</v>
      </c>
      <c r="O568" s="146">
        <v>0.0</v>
      </c>
      <c r="P568" s="48">
        <f t="array" ref="P568">IFNA(XLOOKUP(J568,'⚙️ Pengaturan'!$E$2:$E3237,'⚙️ Pengaturan'!$F$2:$F3237),"")</f>
        <v>350000</v>
      </c>
      <c r="Q568" s="147">
        <f t="shared" si="8"/>
        <v>0</v>
      </c>
      <c r="R568" s="41" t="s">
        <v>32</v>
      </c>
      <c r="S568" s="69" t="s">
        <v>33</v>
      </c>
      <c r="T568" s="51" t="b">
        <v>1</v>
      </c>
      <c r="U568" s="94"/>
    </row>
    <row r="569" ht="30.0" customHeight="1">
      <c r="A569" s="39"/>
      <c r="B569" s="40">
        <v>2602.0</v>
      </c>
      <c r="C569" s="41" t="s">
        <v>79</v>
      </c>
      <c r="D569" s="86">
        <v>46057.0</v>
      </c>
      <c r="E569" s="43" t="str">
        <f t="shared" si="1"/>
        <v>2026</v>
      </c>
      <c r="F569" s="43" t="str">
        <f t="shared" si="2"/>
        <v>02 Feb</v>
      </c>
      <c r="G569" s="126" t="s">
        <v>69</v>
      </c>
      <c r="H569" s="45" t="s">
        <v>26</v>
      </c>
      <c r="I569" s="45" t="s">
        <v>755</v>
      </c>
      <c r="J569" s="143" t="s">
        <v>291</v>
      </c>
      <c r="K569" s="43" t="str">
        <f t="array" ref="K569">IF(J569="","", XLOOKUP(J569,'⚙️ Pengaturan'!$E$2:$E3237,'⚙️ Pengaturan'!$G$2:$G3237))</f>
        <v>VISIT FT TA</v>
      </c>
      <c r="L569" s="43" t="str">
        <f t="shared" si="3"/>
        <v>BARU</v>
      </c>
      <c r="M569" s="148" t="s">
        <v>31</v>
      </c>
      <c r="N569" s="149">
        <v>350000.0</v>
      </c>
      <c r="O569" s="150">
        <v>0.0</v>
      </c>
      <c r="P569" s="151">
        <v>350000.0</v>
      </c>
      <c r="Q569" s="147">
        <f t="shared" si="8"/>
        <v>0</v>
      </c>
      <c r="R569" s="41" t="s">
        <v>32</v>
      </c>
      <c r="S569" s="69" t="s">
        <v>33</v>
      </c>
      <c r="T569" s="51" t="b">
        <v>1</v>
      </c>
      <c r="U569" s="94"/>
    </row>
    <row r="570" ht="30.0" customHeight="1">
      <c r="A570" s="39"/>
      <c r="B570" s="40">
        <v>2603.0</v>
      </c>
      <c r="C570" s="41" t="s">
        <v>79</v>
      </c>
      <c r="D570" s="86">
        <v>46057.0</v>
      </c>
      <c r="E570" s="43" t="str">
        <f t="shared" si="1"/>
        <v>2026</v>
      </c>
      <c r="F570" s="43" t="str">
        <f t="shared" si="2"/>
        <v>02 Feb</v>
      </c>
      <c r="G570" s="126" t="s">
        <v>161</v>
      </c>
      <c r="H570" s="45" t="s">
        <v>96</v>
      </c>
      <c r="I570" s="45" t="s">
        <v>756</v>
      </c>
      <c r="J570" s="143" t="s">
        <v>28</v>
      </c>
      <c r="K570" s="43" t="str">
        <f t="array" ref="K570">IF(J570="","", XLOOKUP(J570,'⚙️ Pengaturan'!$E$2:$E3237,'⚙️ Pengaturan'!$G$2:$G3237))</f>
        <v>KLINIK FT TA</v>
      </c>
      <c r="L570" s="43" t="str">
        <f t="shared" si="3"/>
        <v>BARU</v>
      </c>
      <c r="M570" s="144" t="s">
        <v>31</v>
      </c>
      <c r="N570" s="145">
        <v>250000.0</v>
      </c>
      <c r="O570" s="146">
        <v>0.0</v>
      </c>
      <c r="P570" s="48">
        <f t="array" ref="P570">IFNA(XLOOKUP(J570,'⚙️ Pengaturan'!$E$2:$E3237,'⚙️ Pengaturan'!$F$2:$F3237),"")</f>
        <v>250000</v>
      </c>
      <c r="Q570" s="147">
        <f t="shared" si="8"/>
        <v>0</v>
      </c>
      <c r="R570" s="41" t="s">
        <v>37</v>
      </c>
      <c r="S570" s="69" t="s">
        <v>757</v>
      </c>
      <c r="T570" s="51" t="b">
        <v>1</v>
      </c>
      <c r="U570" s="94"/>
    </row>
    <row r="571" ht="30.0" customHeight="1">
      <c r="A571" s="39"/>
      <c r="B571" s="40">
        <v>2604.0</v>
      </c>
      <c r="C571" s="41" t="s">
        <v>79</v>
      </c>
      <c r="D571" s="86">
        <v>46057.0</v>
      </c>
      <c r="E571" s="43" t="str">
        <f t="shared" si="1"/>
        <v>2026</v>
      </c>
      <c r="F571" s="43" t="str">
        <f t="shared" si="2"/>
        <v>02 Feb</v>
      </c>
      <c r="G571" s="126" t="s">
        <v>35</v>
      </c>
      <c r="H571" s="45" t="s">
        <v>149</v>
      </c>
      <c r="I571" s="45" t="s">
        <v>327</v>
      </c>
      <c r="J571" s="143" t="s">
        <v>180</v>
      </c>
      <c r="K571" s="43" t="str">
        <f t="array" ref="K571">IF(J571="","", XLOOKUP(J571,'⚙️ Pengaturan'!$E$2:$E3237,'⚙️ Pengaturan'!$G$2:$G3237))</f>
        <v>KLINIK FT SESI</v>
      </c>
      <c r="L571" s="43" t="str">
        <f t="shared" si="3"/>
        <v>LANJUTAN</v>
      </c>
      <c r="M571" s="144" t="s">
        <v>31</v>
      </c>
      <c r="N571" s="145">
        <v>150000.0</v>
      </c>
      <c r="O571" s="146">
        <v>0.0</v>
      </c>
      <c r="P571" s="48">
        <f t="array" ref="P571">IFNA(XLOOKUP(J571,'⚙️ Pengaturan'!$E$2:$E3237,'⚙️ Pengaturan'!$F$2:$F3237),"")</f>
        <v>150000</v>
      </c>
      <c r="Q571" s="147">
        <f t="shared" si="8"/>
        <v>0</v>
      </c>
      <c r="R571" s="41" t="s">
        <v>37</v>
      </c>
      <c r="S571" s="69" t="s">
        <v>327</v>
      </c>
      <c r="T571" s="51" t="b">
        <v>1</v>
      </c>
      <c r="U571" s="94"/>
    </row>
    <row r="572" ht="30.0" customHeight="1">
      <c r="A572" s="39"/>
      <c r="B572" s="40">
        <v>2605.0</v>
      </c>
      <c r="C572" s="41" t="s">
        <v>50</v>
      </c>
      <c r="D572" s="86">
        <v>46057.0</v>
      </c>
      <c r="E572" s="43" t="str">
        <f t="shared" si="1"/>
        <v>2026</v>
      </c>
      <c r="F572" s="43" t="str">
        <f t="shared" si="2"/>
        <v>02 Feb</v>
      </c>
      <c r="G572" s="126" t="s">
        <v>40</v>
      </c>
      <c r="H572" s="45" t="s">
        <v>26</v>
      </c>
      <c r="I572" s="45" t="s">
        <v>701</v>
      </c>
      <c r="J572" s="143" t="s">
        <v>92</v>
      </c>
      <c r="K572" s="43" t="str">
        <f t="array" ref="K572">IF(J572="","", XLOOKUP(J572,'⚙️ Pengaturan'!$E$2:$E3237,'⚙️ Pengaturan'!$G$2:$G3237))</f>
        <v>KLINIK FT PAKET</v>
      </c>
      <c r="L572" s="43" t="str">
        <f t="shared" si="3"/>
        <v>LANJUTAN</v>
      </c>
      <c r="M572" s="144" t="s">
        <v>81</v>
      </c>
      <c r="N572" s="145">
        <v>300000.0</v>
      </c>
      <c r="O572" s="146">
        <v>200000.0</v>
      </c>
      <c r="P572" s="48">
        <f t="array" ref="P572">IFNA(XLOOKUP(J572,'⚙️ Pengaturan'!$E$2:$E3237,'⚙️ Pengaturan'!$F$2:$F3237),"")</f>
        <v>1200000</v>
      </c>
      <c r="Q572" s="147">
        <f t="shared" si="8"/>
        <v>-700000</v>
      </c>
      <c r="R572" s="41" t="s">
        <v>37</v>
      </c>
      <c r="S572" s="69" t="s">
        <v>758</v>
      </c>
      <c r="T572" s="51" t="b">
        <v>1</v>
      </c>
      <c r="U572" s="94"/>
    </row>
    <row r="573" ht="30.0" customHeight="1">
      <c r="A573" s="39"/>
      <c r="B573" s="40">
        <v>2606.0</v>
      </c>
      <c r="C573" s="41" t="s">
        <v>50</v>
      </c>
      <c r="D573" s="86">
        <v>46057.0</v>
      </c>
      <c r="E573" s="43" t="str">
        <f t="shared" si="1"/>
        <v>2026</v>
      </c>
      <c r="F573" s="43" t="str">
        <f t="shared" si="2"/>
        <v>02 Feb</v>
      </c>
      <c r="G573" s="126" t="s">
        <v>40</v>
      </c>
      <c r="H573" s="45" t="s">
        <v>162</v>
      </c>
      <c r="I573" s="45" t="s">
        <v>640</v>
      </c>
      <c r="J573" s="143" t="s">
        <v>180</v>
      </c>
      <c r="K573" s="43" t="str">
        <f t="array" ref="K573">IF(J573="","", XLOOKUP(J573,'⚙️ Pengaturan'!$E$2:$E3237,'⚙️ Pengaturan'!$G$2:$G3237))</f>
        <v>KLINIK FT SESI</v>
      </c>
      <c r="L573" s="43" t="str">
        <f t="shared" si="3"/>
        <v>LANJUTAN</v>
      </c>
      <c r="M573" s="144" t="s">
        <v>31</v>
      </c>
      <c r="N573" s="145">
        <v>150000.0</v>
      </c>
      <c r="O573" s="146">
        <v>0.0</v>
      </c>
      <c r="P573" s="48">
        <f t="array" ref="P573">IFNA(XLOOKUP(J573,'⚙️ Pengaturan'!$E$2:$E3237,'⚙️ Pengaturan'!$F$2:$F3237),"")</f>
        <v>150000</v>
      </c>
      <c r="Q573" s="147">
        <f t="shared" si="8"/>
        <v>0</v>
      </c>
      <c r="R573" s="41" t="s">
        <v>32</v>
      </c>
      <c r="S573" s="69" t="s">
        <v>33</v>
      </c>
      <c r="T573" s="51" t="b">
        <v>1</v>
      </c>
      <c r="U573" s="94"/>
    </row>
    <row r="574" ht="30.0" customHeight="1">
      <c r="A574" s="39"/>
      <c r="B574" s="40">
        <v>2607.0</v>
      </c>
      <c r="C574" s="41" t="s">
        <v>50</v>
      </c>
      <c r="D574" s="86">
        <v>46057.0</v>
      </c>
      <c r="E574" s="43" t="str">
        <f t="shared" si="1"/>
        <v>2026</v>
      </c>
      <c r="F574" s="43" t="str">
        <f t="shared" si="2"/>
        <v>02 Feb</v>
      </c>
      <c r="G574" s="126" t="s">
        <v>40</v>
      </c>
      <c r="H574" s="45" t="s">
        <v>166</v>
      </c>
      <c r="I574" s="45" t="s">
        <v>679</v>
      </c>
      <c r="J574" s="143" t="s">
        <v>180</v>
      </c>
      <c r="K574" s="43" t="str">
        <f t="array" ref="K574">IF(J574="","", XLOOKUP(J574,'⚙️ Pengaturan'!$E$2:$E3237,'⚙️ Pengaturan'!$G$2:$G3237))</f>
        <v>KLINIK FT SESI</v>
      </c>
      <c r="L574" s="43" t="str">
        <f t="shared" si="3"/>
        <v>LANJUTAN</v>
      </c>
      <c r="M574" s="144" t="s">
        <v>31</v>
      </c>
      <c r="N574" s="145">
        <v>150000.0</v>
      </c>
      <c r="O574" s="146">
        <v>0.0</v>
      </c>
      <c r="P574" s="48">
        <f t="array" ref="P574">IFNA(XLOOKUP(J574,'⚙️ Pengaturan'!$E$2:$E3237,'⚙️ Pengaturan'!$F$2:$F3237),"")</f>
        <v>150000</v>
      </c>
      <c r="Q574" s="147">
        <f t="shared" si="8"/>
        <v>0</v>
      </c>
      <c r="R574" s="41" t="s">
        <v>32</v>
      </c>
      <c r="S574" s="69" t="s">
        <v>33</v>
      </c>
      <c r="T574" s="51" t="b">
        <v>1</v>
      </c>
      <c r="U574" s="94"/>
    </row>
    <row r="575" ht="30.0" customHeight="1">
      <c r="A575" s="39"/>
      <c r="B575" s="40">
        <v>2608.0</v>
      </c>
      <c r="C575" s="41" t="s">
        <v>50</v>
      </c>
      <c r="D575" s="86">
        <v>46057.0</v>
      </c>
      <c r="E575" s="43" t="str">
        <f t="shared" si="1"/>
        <v>2026</v>
      </c>
      <c r="F575" s="43" t="str">
        <f t="shared" si="2"/>
        <v>02 Feb</v>
      </c>
      <c r="G575" s="126" t="s">
        <v>43</v>
      </c>
      <c r="H575" s="45" t="s">
        <v>162</v>
      </c>
      <c r="I575" s="45" t="s">
        <v>759</v>
      </c>
      <c r="J575" s="143" t="s">
        <v>28</v>
      </c>
      <c r="K575" s="43" t="str">
        <f t="array" ref="K575">IF(J575="","", XLOOKUP(J575,'⚙️ Pengaturan'!$E$2:$E3237,'⚙️ Pengaturan'!$G$2:$G3237))</f>
        <v>KLINIK FT TA</v>
      </c>
      <c r="L575" s="43" t="str">
        <f t="shared" si="3"/>
        <v>BARU</v>
      </c>
      <c r="M575" s="144" t="s">
        <v>31</v>
      </c>
      <c r="N575" s="145">
        <v>250000.0</v>
      </c>
      <c r="O575" s="146">
        <v>0.0</v>
      </c>
      <c r="P575" s="48">
        <f t="array" ref="P575">IFNA(XLOOKUP(J575,'⚙️ Pengaturan'!$E$2:$E3237,'⚙️ Pengaturan'!$F$2:$F3237),"")</f>
        <v>250000</v>
      </c>
      <c r="Q575" s="147">
        <f t="shared" si="8"/>
        <v>0</v>
      </c>
      <c r="R575" s="41" t="s">
        <v>32</v>
      </c>
      <c r="S575" s="69" t="s">
        <v>33</v>
      </c>
      <c r="T575" s="51" t="b">
        <v>1</v>
      </c>
      <c r="U575" s="94"/>
    </row>
    <row r="576" ht="30.0" customHeight="1">
      <c r="A576" s="39"/>
      <c r="B576" s="40">
        <v>2609.0</v>
      </c>
      <c r="C576" s="41" t="s">
        <v>50</v>
      </c>
      <c r="D576" s="86">
        <v>46057.0</v>
      </c>
      <c r="E576" s="43" t="str">
        <f t="shared" si="1"/>
        <v>2026</v>
      </c>
      <c r="F576" s="43" t="str">
        <f t="shared" si="2"/>
        <v>02 Feb</v>
      </c>
      <c r="G576" s="126" t="s">
        <v>173</v>
      </c>
      <c r="H576" s="45" t="s">
        <v>150</v>
      </c>
      <c r="I576" s="45" t="s">
        <v>546</v>
      </c>
      <c r="J576" s="143" t="s">
        <v>56</v>
      </c>
      <c r="K576" s="43" t="str">
        <f t="array" ref="K576">IF(J576="","", XLOOKUP(J576,'⚙️ Pengaturan'!$E$2:$E3237,'⚙️ Pengaturan'!$G$2:$G3237))</f>
        <v>KLINIK FT PAKET</v>
      </c>
      <c r="L576" s="43" t="str">
        <f t="shared" si="3"/>
        <v>BARU</v>
      </c>
      <c r="M576" s="144" t="s">
        <v>31</v>
      </c>
      <c r="N576" s="145">
        <v>650000.0</v>
      </c>
      <c r="O576" s="146">
        <v>0.0</v>
      </c>
      <c r="P576" s="48">
        <f t="array" ref="P576">IFNA(XLOOKUP(J576,'⚙️ Pengaturan'!$E$2:$E3237,'⚙️ Pengaturan'!$F$2:$F3237),"")</f>
        <v>650000</v>
      </c>
      <c r="Q576" s="147">
        <f t="shared" si="8"/>
        <v>0</v>
      </c>
      <c r="R576" s="41" t="s">
        <v>37</v>
      </c>
      <c r="S576" s="69" t="s">
        <v>546</v>
      </c>
      <c r="T576" s="51" t="b">
        <v>1</v>
      </c>
      <c r="U576" s="94"/>
    </row>
    <row r="577" ht="30.0" customHeight="1">
      <c r="A577" s="39"/>
      <c r="B577" s="40">
        <v>2610.0</v>
      </c>
      <c r="C577" s="41" t="s">
        <v>50</v>
      </c>
      <c r="D577" s="86">
        <v>46057.0</v>
      </c>
      <c r="E577" s="43" t="str">
        <f t="shared" si="1"/>
        <v>2026</v>
      </c>
      <c r="F577" s="43" t="str">
        <f t="shared" si="2"/>
        <v>02 Feb</v>
      </c>
      <c r="G577" s="126" t="s">
        <v>155</v>
      </c>
      <c r="H577" s="45" t="s">
        <v>150</v>
      </c>
      <c r="I577" s="45" t="s">
        <v>760</v>
      </c>
      <c r="J577" s="143" t="s">
        <v>28</v>
      </c>
      <c r="K577" s="43" t="str">
        <f t="array" ref="K577">IF(J577="","", XLOOKUP(J577,'⚙️ Pengaturan'!$E$2:$E3237,'⚙️ Pengaturan'!$G$2:$G3237))</f>
        <v>KLINIK FT TA</v>
      </c>
      <c r="L577" s="43" t="str">
        <f t="shared" si="3"/>
        <v>BARU</v>
      </c>
      <c r="M577" s="144" t="s">
        <v>31</v>
      </c>
      <c r="N577" s="145">
        <v>250000.0</v>
      </c>
      <c r="O577" s="146">
        <v>0.0</v>
      </c>
      <c r="P577" s="48">
        <f t="array" ref="P577">IFNA(XLOOKUP(J577,'⚙️ Pengaturan'!$E$2:$E3237,'⚙️ Pengaturan'!$F$2:$F3237),"")</f>
        <v>250000</v>
      </c>
      <c r="Q577" s="147">
        <f t="shared" si="8"/>
        <v>0</v>
      </c>
      <c r="R577" s="41" t="s">
        <v>32</v>
      </c>
      <c r="S577" s="69" t="s">
        <v>33</v>
      </c>
      <c r="T577" s="51" t="b">
        <v>1</v>
      </c>
      <c r="U577" s="94"/>
    </row>
    <row r="578" ht="30.0" customHeight="1">
      <c r="A578" s="39"/>
      <c r="B578" s="40">
        <v>2611.0</v>
      </c>
      <c r="C578" s="41" t="s">
        <v>50</v>
      </c>
      <c r="D578" s="86">
        <v>46057.0</v>
      </c>
      <c r="E578" s="43" t="str">
        <f t="shared" si="1"/>
        <v>2026</v>
      </c>
      <c r="F578" s="43" t="str">
        <f t="shared" si="2"/>
        <v>02 Feb</v>
      </c>
      <c r="G578" s="126" t="s">
        <v>190</v>
      </c>
      <c r="H578" s="45" t="s">
        <v>166</v>
      </c>
      <c r="I578" s="45" t="s">
        <v>736</v>
      </c>
      <c r="J578" s="143" t="s">
        <v>119</v>
      </c>
      <c r="K578" s="43" t="str">
        <f t="array" ref="K578">IF(J578="","", XLOOKUP(J578,'⚙️ Pengaturan'!$E$2:$E3237,'⚙️ Pengaturan'!$G$2:$G3237))</f>
        <v>KLINIK FT PAKET</v>
      </c>
      <c r="L578" s="43" t="str">
        <f t="shared" si="3"/>
        <v>BARU</v>
      </c>
      <c r="M578" s="144" t="s">
        <v>60</v>
      </c>
      <c r="N578" s="145">
        <v>250000.0</v>
      </c>
      <c r="O578" s="146">
        <v>0.0</v>
      </c>
      <c r="P578" s="48">
        <f t="array" ref="P578">IFNA(XLOOKUP(J578,'⚙️ Pengaturan'!$E$2:$E3237,'⚙️ Pengaturan'!$F$2:$F3237),"")</f>
        <v>750000</v>
      </c>
      <c r="Q578" s="147">
        <f t="shared" si="8"/>
        <v>-500000</v>
      </c>
      <c r="R578" s="41" t="s">
        <v>32</v>
      </c>
      <c r="S578" s="69" t="s">
        <v>33</v>
      </c>
      <c r="T578" s="51" t="b">
        <v>1</v>
      </c>
      <c r="U578" s="94"/>
    </row>
    <row r="579" ht="30.0" customHeight="1">
      <c r="A579" s="39"/>
      <c r="B579" s="40">
        <v>2612.0</v>
      </c>
      <c r="C579" s="41" t="s">
        <v>50</v>
      </c>
      <c r="D579" s="86">
        <v>46057.0</v>
      </c>
      <c r="E579" s="43" t="str">
        <f t="shared" si="1"/>
        <v>2026</v>
      </c>
      <c r="F579" s="43" t="str">
        <f t="shared" si="2"/>
        <v>02 Feb</v>
      </c>
      <c r="G579" s="126" t="s">
        <v>69</v>
      </c>
      <c r="H579" s="45" t="s">
        <v>47</v>
      </c>
      <c r="I579" s="45" t="s">
        <v>183</v>
      </c>
      <c r="J579" s="143" t="s">
        <v>138</v>
      </c>
      <c r="K579" s="43" t="str">
        <f t="array" ref="K579">IF(J579="","", XLOOKUP(J579,'⚙️ Pengaturan'!$E$2:$E3237,'⚙️ Pengaturan'!$G$2:$G3237))</f>
        <v>VISIT FT PAKET</v>
      </c>
      <c r="L579" s="43" t="str">
        <f t="shared" si="3"/>
        <v>BARU</v>
      </c>
      <c r="M579" s="144" t="s">
        <v>31</v>
      </c>
      <c r="N579" s="145">
        <v>1800000.0</v>
      </c>
      <c r="O579" s="146">
        <v>0.0</v>
      </c>
      <c r="P579" s="48">
        <f t="array" ref="P579">IFNA(XLOOKUP(J579,'⚙️ Pengaturan'!$E$2:$E3237,'⚙️ Pengaturan'!$F$2:$F3237),"")</f>
        <v>1800000</v>
      </c>
      <c r="Q579" s="147">
        <f t="shared" si="8"/>
        <v>0</v>
      </c>
      <c r="R579" s="41" t="s">
        <v>37</v>
      </c>
      <c r="S579" s="69" t="s">
        <v>541</v>
      </c>
      <c r="T579" s="51" t="b">
        <v>1</v>
      </c>
      <c r="U579" s="94"/>
    </row>
    <row r="580" ht="30.0" customHeight="1">
      <c r="A580" s="39"/>
      <c r="B580" s="40">
        <v>2613.0</v>
      </c>
      <c r="C580" s="41" t="s">
        <v>79</v>
      </c>
      <c r="D580" s="86">
        <v>46058.0</v>
      </c>
      <c r="E580" s="43" t="str">
        <f t="shared" si="1"/>
        <v>2026</v>
      </c>
      <c r="F580" s="43" t="str">
        <f t="shared" si="2"/>
        <v>02 Feb</v>
      </c>
      <c r="G580" s="126" t="s">
        <v>35</v>
      </c>
      <c r="H580" s="45" t="s">
        <v>150</v>
      </c>
      <c r="I580" s="45" t="s">
        <v>715</v>
      </c>
      <c r="J580" s="143" t="s">
        <v>56</v>
      </c>
      <c r="K580" s="43" t="str">
        <f t="array" ref="K580">IF(J580="","", XLOOKUP(J580,'⚙️ Pengaturan'!$E$2:$E3237,'⚙️ Pengaturan'!$G$2:$G3237))</f>
        <v>KLINIK FT PAKET</v>
      </c>
      <c r="L580" s="43" t="str">
        <f t="shared" si="3"/>
        <v>BARU</v>
      </c>
      <c r="M580" s="144" t="s">
        <v>60</v>
      </c>
      <c r="N580" s="145">
        <v>350000.0</v>
      </c>
      <c r="O580" s="146">
        <v>0.0</v>
      </c>
      <c r="P580" s="48">
        <f t="array" ref="P580">IFNA(XLOOKUP(J580,'⚙️ Pengaturan'!$E$2:$E3237,'⚙️ Pengaturan'!$F$2:$F3237),"")</f>
        <v>650000</v>
      </c>
      <c r="Q580" s="147">
        <f t="shared" si="8"/>
        <v>-300000</v>
      </c>
      <c r="R580" s="41" t="s">
        <v>32</v>
      </c>
      <c r="S580" s="69" t="s">
        <v>33</v>
      </c>
      <c r="T580" s="51" t="b">
        <v>1</v>
      </c>
      <c r="U580" s="94"/>
    </row>
    <row r="581" ht="30.0" customHeight="1">
      <c r="A581" s="39"/>
      <c r="B581" s="40">
        <v>2614.0</v>
      </c>
      <c r="C581" s="41" t="s">
        <v>50</v>
      </c>
      <c r="D581" s="86">
        <v>46058.0</v>
      </c>
      <c r="E581" s="43" t="str">
        <f t="shared" si="1"/>
        <v>2026</v>
      </c>
      <c r="F581" s="43" t="str">
        <f t="shared" si="2"/>
        <v>02 Feb</v>
      </c>
      <c r="G581" s="126" t="s">
        <v>40</v>
      </c>
      <c r="H581" s="45" t="s">
        <v>41</v>
      </c>
      <c r="I581" s="45" t="s">
        <v>742</v>
      </c>
      <c r="J581" s="143" t="s">
        <v>120</v>
      </c>
      <c r="K581" s="43" t="str">
        <f t="array" ref="K581">IF(J581="","", XLOOKUP(J581,'⚙️ Pengaturan'!$E$2:$E3237,'⚙️ Pengaturan'!$G$2:$G3237))</f>
        <v>KLINIK FT SESI</v>
      </c>
      <c r="L581" s="43" t="str">
        <f t="shared" si="3"/>
        <v>BARU</v>
      </c>
      <c r="M581" s="144" t="s">
        <v>31</v>
      </c>
      <c r="N581" s="145">
        <v>180000.0</v>
      </c>
      <c r="O581" s="146">
        <v>0.0</v>
      </c>
      <c r="P581" s="48">
        <f t="array" ref="P581">IFNA(XLOOKUP(J581,'⚙️ Pengaturan'!$E$2:$E3237,'⚙️ Pengaturan'!$F$2:$F3237),"")</f>
        <v>180000</v>
      </c>
      <c r="Q581" s="147">
        <f t="shared" si="8"/>
        <v>0</v>
      </c>
      <c r="R581" s="41" t="s">
        <v>37</v>
      </c>
      <c r="S581" s="69" t="s">
        <v>742</v>
      </c>
      <c r="T581" s="51" t="b">
        <v>1</v>
      </c>
      <c r="U581" s="94"/>
    </row>
    <row r="582" ht="30.0" customHeight="1">
      <c r="A582" s="39"/>
      <c r="B582" s="40">
        <v>2615.0</v>
      </c>
      <c r="C582" s="41" t="s">
        <v>50</v>
      </c>
      <c r="D582" s="86">
        <v>46058.0</v>
      </c>
      <c r="E582" s="43" t="str">
        <f t="shared" si="1"/>
        <v>2026</v>
      </c>
      <c r="F582" s="43" t="str">
        <f t="shared" si="2"/>
        <v>02 Feb</v>
      </c>
      <c r="G582" s="126" t="s">
        <v>69</v>
      </c>
      <c r="H582" s="45" t="s">
        <v>96</v>
      </c>
      <c r="I582" s="45" t="s">
        <v>761</v>
      </c>
      <c r="J582" s="143" t="s">
        <v>121</v>
      </c>
      <c r="K582" s="43" t="str">
        <f t="array" ref="K582">IF(J582="","", XLOOKUP(J582,'⚙️ Pengaturan'!$E$2:$E3237,'⚙️ Pengaturan'!$G$2:$G3237))</f>
        <v>VISIT FT TA</v>
      </c>
      <c r="L582" s="43" t="str">
        <f t="shared" si="3"/>
        <v>BARU</v>
      </c>
      <c r="M582" s="144" t="s">
        <v>31</v>
      </c>
      <c r="N582" s="145">
        <v>300000.0</v>
      </c>
      <c r="O582" s="146">
        <v>0.0</v>
      </c>
      <c r="P582" s="48">
        <f t="array" ref="P582">IFNA(XLOOKUP(J582,'⚙️ Pengaturan'!$E$2:$E3237,'⚙️ Pengaturan'!$F$2:$F3237),"")</f>
        <v>300000</v>
      </c>
      <c r="Q582" s="147">
        <f t="shared" si="8"/>
        <v>0</v>
      </c>
      <c r="R582" s="41" t="s">
        <v>32</v>
      </c>
      <c r="S582" s="69" t="s">
        <v>33</v>
      </c>
      <c r="T582" s="51" t="b">
        <v>1</v>
      </c>
      <c r="U582" s="94"/>
    </row>
    <row r="583" ht="30.0" customHeight="1">
      <c r="A583" s="39"/>
      <c r="B583" s="40">
        <v>2616.0</v>
      </c>
      <c r="C583" s="41" t="s">
        <v>50</v>
      </c>
      <c r="D583" s="86">
        <v>46058.0</v>
      </c>
      <c r="E583" s="43" t="str">
        <f t="shared" si="1"/>
        <v>2026</v>
      </c>
      <c r="F583" s="43" t="str">
        <f t="shared" si="2"/>
        <v>02 Feb</v>
      </c>
      <c r="G583" s="126" t="s">
        <v>173</v>
      </c>
      <c r="H583" s="45" t="s">
        <v>149</v>
      </c>
      <c r="I583" s="45" t="s">
        <v>733</v>
      </c>
      <c r="J583" s="143" t="s">
        <v>347</v>
      </c>
      <c r="K583" s="43" t="str">
        <f t="array" ref="K583">IF(J583="","", XLOOKUP(J583,'⚙️ Pengaturan'!$E$2:$E3237,'⚙️ Pengaturan'!$G$2:$G3237))</f>
        <v>KLINIK FT PAKET</v>
      </c>
      <c r="L583" s="43" t="str">
        <f t="shared" si="3"/>
        <v>BARU</v>
      </c>
      <c r="M583" s="144" t="s">
        <v>60</v>
      </c>
      <c r="N583" s="145">
        <v>750000.0</v>
      </c>
      <c r="O583" s="146">
        <v>0.0</v>
      </c>
      <c r="P583" s="48">
        <f t="array" ref="P583">IFNA(XLOOKUP(J583,'⚙️ Pengaturan'!$E$2:$E3237,'⚙️ Pengaturan'!$F$2:$F3237),"")</f>
        <v>1300000</v>
      </c>
      <c r="Q583" s="147">
        <f t="shared" si="8"/>
        <v>-550000</v>
      </c>
      <c r="R583" s="41" t="s">
        <v>37</v>
      </c>
      <c r="S583" s="69" t="s">
        <v>733</v>
      </c>
      <c r="T583" s="51" t="b">
        <v>1</v>
      </c>
      <c r="U583" s="94"/>
    </row>
    <row r="584" ht="30.0" customHeight="1">
      <c r="A584" s="39"/>
      <c r="B584" s="40">
        <v>2617.0</v>
      </c>
      <c r="C584" s="41" t="s">
        <v>50</v>
      </c>
      <c r="D584" s="86">
        <v>46058.0</v>
      </c>
      <c r="E584" s="43" t="str">
        <f t="shared" si="1"/>
        <v>2026</v>
      </c>
      <c r="F584" s="43" t="str">
        <f t="shared" si="2"/>
        <v>02 Feb</v>
      </c>
      <c r="G584" s="126" t="s">
        <v>173</v>
      </c>
      <c r="H584" s="45" t="s">
        <v>76</v>
      </c>
      <c r="I584" s="45" t="s">
        <v>762</v>
      </c>
      <c r="J584" s="143" t="s">
        <v>28</v>
      </c>
      <c r="K584" s="43" t="str">
        <f t="array" ref="K584">IF(J584="","", XLOOKUP(J584,'⚙️ Pengaturan'!$E$2:$E3237,'⚙️ Pengaturan'!$G$2:$G3237))</f>
        <v>KLINIK FT TA</v>
      </c>
      <c r="L584" s="43" t="str">
        <f t="shared" si="3"/>
        <v>BARU</v>
      </c>
      <c r="M584" s="144" t="s">
        <v>31</v>
      </c>
      <c r="N584" s="145">
        <v>250000.0</v>
      </c>
      <c r="O584" s="146">
        <v>0.0</v>
      </c>
      <c r="P584" s="48">
        <f t="array" ref="P584">IFNA(XLOOKUP(J584,'⚙️ Pengaturan'!$E$2:$E3237,'⚙️ Pengaturan'!$F$2:$F3237),"")</f>
        <v>250000</v>
      </c>
      <c r="Q584" s="147">
        <f t="shared" si="8"/>
        <v>0</v>
      </c>
      <c r="R584" s="41" t="s">
        <v>37</v>
      </c>
      <c r="S584" s="69" t="s">
        <v>733</v>
      </c>
      <c r="T584" s="51" t="b">
        <v>1</v>
      </c>
      <c r="U584" s="94"/>
    </row>
    <row r="585" ht="30.0" customHeight="1">
      <c r="A585" s="39"/>
      <c r="B585" s="40">
        <v>2618.0</v>
      </c>
      <c r="C585" s="41" t="s">
        <v>50</v>
      </c>
      <c r="D585" s="86">
        <v>46058.0</v>
      </c>
      <c r="E585" s="43" t="str">
        <f t="shared" si="1"/>
        <v>2026</v>
      </c>
      <c r="F585" s="43" t="str">
        <f t="shared" si="2"/>
        <v>02 Feb</v>
      </c>
      <c r="G585" s="126" t="s">
        <v>155</v>
      </c>
      <c r="H585" s="45" t="s">
        <v>76</v>
      </c>
      <c r="I585" s="45" t="s">
        <v>139</v>
      </c>
      <c r="J585" s="143" t="s">
        <v>92</v>
      </c>
      <c r="K585" s="43" t="str">
        <f t="array" ref="K585">IF(J585="","", XLOOKUP(J585,'⚙️ Pengaturan'!$E$2:$E3237,'⚙️ Pengaturan'!$G$2:$G3237))</f>
        <v>KLINIK FT PAKET</v>
      </c>
      <c r="L585" s="43" t="str">
        <f t="shared" si="3"/>
        <v>LANJUTAN</v>
      </c>
      <c r="M585" s="144" t="s">
        <v>164</v>
      </c>
      <c r="N585" s="145">
        <v>700000.0</v>
      </c>
      <c r="O585" s="146">
        <v>500000.0</v>
      </c>
      <c r="P585" s="48">
        <f t="array" ref="P585">IFNA(XLOOKUP(J585,'⚙️ Pengaturan'!$E$2:$E3237,'⚙️ Pengaturan'!$F$2:$F3237),"")</f>
        <v>1200000</v>
      </c>
      <c r="Q585" s="147">
        <f t="shared" si="8"/>
        <v>0</v>
      </c>
      <c r="R585" s="41" t="s">
        <v>37</v>
      </c>
      <c r="S585" s="69" t="s">
        <v>141</v>
      </c>
      <c r="T585" s="51" t="b">
        <v>1</v>
      </c>
      <c r="U585" s="94"/>
    </row>
    <row r="586" ht="30.0" customHeight="1">
      <c r="A586" s="39"/>
      <c r="B586" s="40">
        <v>2619.0</v>
      </c>
      <c r="C586" s="41" t="s">
        <v>50</v>
      </c>
      <c r="D586" s="86">
        <v>46058.0</v>
      </c>
      <c r="E586" s="43" t="str">
        <f t="shared" si="1"/>
        <v>2026</v>
      </c>
      <c r="F586" s="43" t="str">
        <f t="shared" si="2"/>
        <v>02 Feb</v>
      </c>
      <c r="G586" s="126" t="s">
        <v>69</v>
      </c>
      <c r="H586" s="45" t="s">
        <v>150</v>
      </c>
      <c r="I586" s="45" t="s">
        <v>746</v>
      </c>
      <c r="J586" s="143" t="s">
        <v>364</v>
      </c>
      <c r="K586" s="43" t="str">
        <f t="array" ref="K586">IF(J586="","", XLOOKUP(J586,'⚙️ Pengaturan'!$E$2:$E3237,'⚙️ Pengaturan'!$G$2:$G3237))</f>
        <v>VISIT FT PAKET</v>
      </c>
      <c r="L586" s="43" t="str">
        <f t="shared" si="3"/>
        <v>BARU</v>
      </c>
      <c r="M586" s="144" t="s">
        <v>31</v>
      </c>
      <c r="N586" s="145">
        <v>2300000.0</v>
      </c>
      <c r="O586" s="146">
        <v>0.0</v>
      </c>
      <c r="P586" s="48">
        <f t="array" ref="P586">IFNA(XLOOKUP(J586,'⚙️ Pengaturan'!$E$2:$E3237,'⚙️ Pengaturan'!$F$2:$F3237),"")</f>
        <v>2300000</v>
      </c>
      <c r="Q586" s="147">
        <f t="shared" si="8"/>
        <v>0</v>
      </c>
      <c r="R586" s="41" t="s">
        <v>37</v>
      </c>
      <c r="S586" s="69" t="s">
        <v>746</v>
      </c>
      <c r="T586" s="51" t="b">
        <v>1</v>
      </c>
      <c r="U586" s="94"/>
    </row>
    <row r="587" ht="30.0" customHeight="1">
      <c r="A587" s="39"/>
      <c r="B587" s="40">
        <v>2620.0</v>
      </c>
      <c r="C587" s="41" t="s">
        <v>79</v>
      </c>
      <c r="D587" s="86">
        <v>46059.0</v>
      </c>
      <c r="E587" s="43" t="str">
        <f t="shared" si="1"/>
        <v>2026</v>
      </c>
      <c r="F587" s="43" t="str">
        <f t="shared" si="2"/>
        <v>02 Feb</v>
      </c>
      <c r="G587" s="126" t="s">
        <v>195</v>
      </c>
      <c r="H587" s="45" t="s">
        <v>47</v>
      </c>
      <c r="I587" s="45" t="s">
        <v>763</v>
      </c>
      <c r="J587" s="143" t="s">
        <v>28</v>
      </c>
      <c r="K587" s="43" t="str">
        <f t="array" ref="K587">IF(J587="","", XLOOKUP(J587,'⚙️ Pengaturan'!$E$2:$E3237,'⚙️ Pengaturan'!$G$2:$G3237))</f>
        <v>KLINIK FT TA</v>
      </c>
      <c r="L587" s="43" t="str">
        <f t="shared" si="3"/>
        <v>BARU</v>
      </c>
      <c r="M587" s="144" t="s">
        <v>31</v>
      </c>
      <c r="N587" s="145">
        <v>250000.0</v>
      </c>
      <c r="O587" s="146">
        <v>0.0</v>
      </c>
      <c r="P587" s="48">
        <f t="array" ref="P587">IFNA(XLOOKUP(J587,'⚙️ Pengaturan'!$E$2:$E3237,'⚙️ Pengaturan'!$F$2:$F3237),"")</f>
        <v>250000</v>
      </c>
      <c r="Q587" s="147">
        <f t="shared" si="8"/>
        <v>0</v>
      </c>
      <c r="R587" s="41" t="s">
        <v>37</v>
      </c>
      <c r="S587" s="69" t="s">
        <v>763</v>
      </c>
      <c r="T587" s="51" t="b">
        <v>1</v>
      </c>
      <c r="U587" s="94"/>
    </row>
    <row r="588" ht="30.0" customHeight="1">
      <c r="A588" s="39"/>
      <c r="B588" s="40">
        <v>2621.0</v>
      </c>
      <c r="C588" s="41" t="s">
        <v>79</v>
      </c>
      <c r="D588" s="86">
        <v>46059.0</v>
      </c>
      <c r="E588" s="43" t="str">
        <f t="shared" si="1"/>
        <v>2026</v>
      </c>
      <c r="F588" s="43" t="str">
        <f t="shared" si="2"/>
        <v>02 Feb</v>
      </c>
      <c r="G588" s="126" t="s">
        <v>69</v>
      </c>
      <c r="H588" s="45" t="s">
        <v>41</v>
      </c>
      <c r="I588" s="45" t="s">
        <v>756</v>
      </c>
      <c r="J588" s="143" t="s">
        <v>180</v>
      </c>
      <c r="K588" s="43" t="str">
        <f t="array" ref="K588">IF(J588="","", XLOOKUP(J588,'⚙️ Pengaturan'!$E$2:$E3237,'⚙️ Pengaturan'!$G$2:$G3237))</f>
        <v>KLINIK FT SESI</v>
      </c>
      <c r="L588" s="43" t="str">
        <f t="shared" si="3"/>
        <v>BARU</v>
      </c>
      <c r="M588" s="144" t="s">
        <v>31</v>
      </c>
      <c r="N588" s="145">
        <v>150000.0</v>
      </c>
      <c r="O588" s="146">
        <v>0.0</v>
      </c>
      <c r="P588" s="48">
        <f t="array" ref="P588">IFNA(XLOOKUP(J588,'⚙️ Pengaturan'!$E$2:$E3237,'⚙️ Pengaturan'!$F$2:$F3237),"")</f>
        <v>150000</v>
      </c>
      <c r="Q588" s="147">
        <f t="shared" si="8"/>
        <v>0</v>
      </c>
      <c r="R588" s="41" t="s">
        <v>32</v>
      </c>
      <c r="S588" s="69" t="s">
        <v>33</v>
      </c>
      <c r="T588" s="51" t="b">
        <v>1</v>
      </c>
      <c r="U588" s="94"/>
    </row>
    <row r="589" ht="30.0" customHeight="1">
      <c r="A589" s="39"/>
      <c r="B589" s="40">
        <v>2622.0</v>
      </c>
      <c r="C589" s="41" t="s">
        <v>79</v>
      </c>
      <c r="D589" s="86">
        <v>46059.0</v>
      </c>
      <c r="E589" s="43" t="str">
        <f t="shared" si="1"/>
        <v>2026</v>
      </c>
      <c r="F589" s="43" t="str">
        <f t="shared" si="2"/>
        <v>02 Feb</v>
      </c>
      <c r="G589" s="126" t="s">
        <v>69</v>
      </c>
      <c r="H589" s="45" t="s">
        <v>162</v>
      </c>
      <c r="I589" s="45" t="s">
        <v>763</v>
      </c>
      <c r="J589" s="143" t="s">
        <v>28</v>
      </c>
      <c r="K589" s="43" t="str">
        <f t="array" ref="K589">IF(J589="","", XLOOKUP(J589,'⚙️ Pengaturan'!$E$2:$E3237,'⚙️ Pengaturan'!$G$2:$G3237))</f>
        <v>KLINIK FT TA</v>
      </c>
      <c r="L589" s="43" t="str">
        <f t="shared" si="3"/>
        <v>LANJUTAN</v>
      </c>
      <c r="M589" s="144" t="s">
        <v>31</v>
      </c>
      <c r="N589" s="145">
        <v>250000.0</v>
      </c>
      <c r="O589" s="146">
        <v>0.0</v>
      </c>
      <c r="P589" s="48">
        <f t="array" ref="P589">IFNA(XLOOKUP(J589,'⚙️ Pengaturan'!$E$2:$E3237,'⚙️ Pengaturan'!$F$2:$F3237),"")</f>
        <v>250000</v>
      </c>
      <c r="Q589" s="147">
        <f t="shared" si="8"/>
        <v>0</v>
      </c>
      <c r="R589" s="41" t="s">
        <v>32</v>
      </c>
      <c r="S589" s="69" t="s">
        <v>33</v>
      </c>
      <c r="T589" s="51" t="b">
        <v>1</v>
      </c>
      <c r="U589" s="94"/>
    </row>
    <row r="590" ht="30.0" customHeight="1">
      <c r="A590" s="39"/>
      <c r="B590" s="40">
        <v>2623.0</v>
      </c>
      <c r="C590" s="41" t="s">
        <v>79</v>
      </c>
      <c r="D590" s="86">
        <v>46059.0</v>
      </c>
      <c r="E590" s="43" t="str">
        <f t="shared" si="1"/>
        <v>2026</v>
      </c>
      <c r="F590" s="43" t="str">
        <f t="shared" si="2"/>
        <v>02 Feb</v>
      </c>
      <c r="G590" s="126" t="s">
        <v>69</v>
      </c>
      <c r="H590" s="45" t="s">
        <v>162</v>
      </c>
      <c r="I590" s="45" t="s">
        <v>764</v>
      </c>
      <c r="J590" s="143" t="s">
        <v>28</v>
      </c>
      <c r="K590" s="43" t="str">
        <f t="array" ref="K590">IF(J590="","", XLOOKUP(J590,'⚙️ Pengaturan'!$E$2:$E3237,'⚙️ Pengaturan'!$G$2:$G3237))</f>
        <v>KLINIK FT TA</v>
      </c>
      <c r="L590" s="43" t="str">
        <f t="shared" si="3"/>
        <v>BARU</v>
      </c>
      <c r="M590" s="144" t="s">
        <v>31</v>
      </c>
      <c r="N590" s="145">
        <v>250000.0</v>
      </c>
      <c r="O590" s="146">
        <v>0.0</v>
      </c>
      <c r="P590" s="48">
        <f t="array" ref="P590">IFNA(XLOOKUP(J590,'⚙️ Pengaturan'!$E$2:$E3237,'⚙️ Pengaturan'!$F$2:$F3237),"")</f>
        <v>250000</v>
      </c>
      <c r="Q590" s="147">
        <f t="shared" si="8"/>
        <v>0</v>
      </c>
      <c r="R590" s="41" t="s">
        <v>32</v>
      </c>
      <c r="S590" s="69" t="s">
        <v>33</v>
      </c>
      <c r="T590" s="51" t="b">
        <v>1</v>
      </c>
      <c r="U590" s="94"/>
    </row>
    <row r="591" ht="30.0" customHeight="1">
      <c r="A591" s="39"/>
      <c r="B591" s="40">
        <v>2624.0</v>
      </c>
      <c r="C591" s="41" t="s">
        <v>79</v>
      </c>
      <c r="D591" s="86">
        <v>46060.0</v>
      </c>
      <c r="E591" s="43" t="str">
        <f t="shared" si="1"/>
        <v>2026</v>
      </c>
      <c r="F591" s="43" t="str">
        <f t="shared" si="2"/>
        <v>02 Feb</v>
      </c>
      <c r="G591" s="126" t="s">
        <v>195</v>
      </c>
      <c r="H591" s="45" t="s">
        <v>149</v>
      </c>
      <c r="I591" s="45" t="s">
        <v>650</v>
      </c>
      <c r="J591" s="143" t="s">
        <v>180</v>
      </c>
      <c r="K591" s="43" t="str">
        <f t="array" ref="K591">IF(J591="","", XLOOKUP(J591,'⚙️ Pengaturan'!$E$2:$E3237,'⚙️ Pengaturan'!$G$2:$G3237))</f>
        <v>KLINIK FT SESI</v>
      </c>
      <c r="L591" s="43" t="str">
        <f t="shared" si="3"/>
        <v>LANJUTAN</v>
      </c>
      <c r="M591" s="144" t="s">
        <v>31</v>
      </c>
      <c r="N591" s="145">
        <v>150000.0</v>
      </c>
      <c r="O591" s="146">
        <v>0.0</v>
      </c>
      <c r="P591" s="48">
        <f t="array" ref="P591">IFNA(XLOOKUP(J591,'⚙️ Pengaturan'!$E$2:$E3237,'⚙️ Pengaturan'!$F$2:$F3237),"")</f>
        <v>150000</v>
      </c>
      <c r="Q591" s="147">
        <f t="shared" si="8"/>
        <v>0</v>
      </c>
      <c r="R591" s="41" t="s">
        <v>32</v>
      </c>
      <c r="S591" s="152" t="s">
        <v>33</v>
      </c>
      <c r="T591" s="51" t="b">
        <v>1</v>
      </c>
      <c r="U591" s="94"/>
    </row>
    <row r="592" ht="30.0" customHeight="1">
      <c r="A592" s="39"/>
      <c r="B592" s="40">
        <v>2625.0</v>
      </c>
      <c r="C592" s="41" t="s">
        <v>79</v>
      </c>
      <c r="D592" s="86">
        <v>46060.0</v>
      </c>
      <c r="E592" s="43" t="str">
        <f t="shared" si="1"/>
        <v>2026</v>
      </c>
      <c r="F592" s="43" t="str">
        <f t="shared" si="2"/>
        <v>02 Feb</v>
      </c>
      <c r="G592" s="126" t="s">
        <v>195</v>
      </c>
      <c r="H592" s="45" t="s">
        <v>47</v>
      </c>
      <c r="I592" s="45" t="s">
        <v>619</v>
      </c>
      <c r="J592" s="143" t="s">
        <v>56</v>
      </c>
      <c r="K592" s="43" t="str">
        <f t="array" ref="K592">IF(J592="","", XLOOKUP(J592,'⚙️ Pengaturan'!$E$2:$E3237,'⚙️ Pengaturan'!$G$2:$G3237))</f>
        <v>KLINIK FT PAKET</v>
      </c>
      <c r="L592" s="43" t="str">
        <f t="shared" si="3"/>
        <v>LANJUTAN</v>
      </c>
      <c r="M592" s="144" t="s">
        <v>60</v>
      </c>
      <c r="N592" s="145">
        <v>200000.0</v>
      </c>
      <c r="O592" s="146">
        <v>0.0</v>
      </c>
      <c r="P592" s="48">
        <v>650000.0</v>
      </c>
      <c r="Q592" s="147">
        <v>-630000.0</v>
      </c>
      <c r="R592" s="41" t="s">
        <v>118</v>
      </c>
      <c r="S592" s="69" t="s">
        <v>619</v>
      </c>
      <c r="T592" s="51" t="b">
        <v>1</v>
      </c>
      <c r="U592" s="94"/>
    </row>
    <row r="593" ht="30.0" customHeight="1">
      <c r="A593" s="39"/>
      <c r="B593" s="40">
        <v>2626.0</v>
      </c>
      <c r="C593" s="41" t="s">
        <v>79</v>
      </c>
      <c r="D593" s="86">
        <v>46060.0</v>
      </c>
      <c r="E593" s="43" t="str">
        <f t="shared" si="1"/>
        <v>2026</v>
      </c>
      <c r="F593" s="43" t="str">
        <f t="shared" si="2"/>
        <v>02 Feb</v>
      </c>
      <c r="G593" s="126" t="s">
        <v>206</v>
      </c>
      <c r="H593" s="45" t="s">
        <v>96</v>
      </c>
      <c r="I593" s="45" t="s">
        <v>717</v>
      </c>
      <c r="J593" s="143" t="s">
        <v>56</v>
      </c>
      <c r="K593" s="43" t="str">
        <f t="array" ref="K593">IF(J593="","", XLOOKUP(J593,'⚙️ Pengaturan'!$E$2:$E3237,'⚙️ Pengaturan'!$G$2:$G3237))</f>
        <v>KLINIK FT PAKET</v>
      </c>
      <c r="L593" s="43" t="str">
        <f t="shared" si="3"/>
        <v>LANJUTAN</v>
      </c>
      <c r="M593" s="144" t="s">
        <v>31</v>
      </c>
      <c r="N593" s="145">
        <v>650000.0</v>
      </c>
      <c r="O593" s="146">
        <v>0.0</v>
      </c>
      <c r="P593" s="48">
        <f t="array" ref="P593">IFNA(XLOOKUP(J593,'⚙️ Pengaturan'!$E$2:$E3237,'⚙️ Pengaturan'!$F$2:$F3237),"")</f>
        <v>650000</v>
      </c>
      <c r="Q593" s="147">
        <f t="shared" ref="Q593:Q749" si="9">IF(I593="","",(N593+O593)-P593)</f>
        <v>0</v>
      </c>
      <c r="R593" s="41" t="s">
        <v>37</v>
      </c>
      <c r="S593" s="69" t="s">
        <v>717</v>
      </c>
      <c r="T593" s="51" t="b">
        <v>1</v>
      </c>
      <c r="U593" s="94"/>
    </row>
    <row r="594" ht="30.0" customHeight="1">
      <c r="A594" s="39"/>
      <c r="B594" s="40">
        <v>2627.0</v>
      </c>
      <c r="C594" s="41" t="s">
        <v>79</v>
      </c>
      <c r="D594" s="86">
        <v>46060.0</v>
      </c>
      <c r="E594" s="43" t="str">
        <f t="shared" si="1"/>
        <v>2026</v>
      </c>
      <c r="F594" s="43" t="str">
        <f t="shared" si="2"/>
        <v>02 Feb</v>
      </c>
      <c r="G594" s="126" t="s">
        <v>206</v>
      </c>
      <c r="H594" s="45" t="s">
        <v>76</v>
      </c>
      <c r="I594" s="45" t="s">
        <v>765</v>
      </c>
      <c r="J594" s="143" t="s">
        <v>92</v>
      </c>
      <c r="K594" s="43" t="str">
        <f t="array" ref="K594">IF(J594="","", XLOOKUP(J594,'⚙️ Pengaturan'!$E$2:$E3237,'⚙️ Pengaturan'!$G$2:$G3237))</f>
        <v>KLINIK FT PAKET</v>
      </c>
      <c r="L594" s="43" t="str">
        <f t="shared" si="3"/>
        <v>BARU</v>
      </c>
      <c r="M594" s="144" t="s">
        <v>31</v>
      </c>
      <c r="N594" s="145">
        <v>1200000.0</v>
      </c>
      <c r="O594" s="146">
        <v>0.0</v>
      </c>
      <c r="P594" s="48">
        <f t="array" ref="P594">IFNA(XLOOKUP(J594,'⚙️ Pengaturan'!$E$2:$E3237,'⚙️ Pengaturan'!$F$2:$F3237),"")</f>
        <v>1200000</v>
      </c>
      <c r="Q594" s="147">
        <f t="shared" si="9"/>
        <v>0</v>
      </c>
      <c r="R594" s="41" t="s">
        <v>37</v>
      </c>
      <c r="S594" s="69" t="s">
        <v>765</v>
      </c>
      <c r="T594" s="51" t="b">
        <v>1</v>
      </c>
      <c r="U594" s="94"/>
    </row>
    <row r="595" ht="30.0" customHeight="1">
      <c r="A595" s="39"/>
      <c r="B595" s="40">
        <v>2628.0</v>
      </c>
      <c r="C595" s="41" t="s">
        <v>79</v>
      </c>
      <c r="D595" s="86">
        <v>46060.0</v>
      </c>
      <c r="E595" s="43" t="str">
        <f t="shared" si="1"/>
        <v>2026</v>
      </c>
      <c r="F595" s="43" t="str">
        <f t="shared" si="2"/>
        <v>02 Feb</v>
      </c>
      <c r="G595" s="126" t="s">
        <v>241</v>
      </c>
      <c r="H595" s="45" t="s">
        <v>96</v>
      </c>
      <c r="I595" s="45" t="s">
        <v>657</v>
      </c>
      <c r="J595" s="143" t="s">
        <v>56</v>
      </c>
      <c r="K595" s="43" t="str">
        <f t="array" ref="K595">IF(J595="","", XLOOKUP(J595,'⚙️ Pengaturan'!$E$2:$E3237,'⚙️ Pengaturan'!$G$2:$G3237))</f>
        <v>KLINIK FT PAKET</v>
      </c>
      <c r="L595" s="43" t="str">
        <f t="shared" si="3"/>
        <v>BARU</v>
      </c>
      <c r="M595" s="144" t="s">
        <v>31</v>
      </c>
      <c r="N595" s="145">
        <v>650000.0</v>
      </c>
      <c r="O595" s="146">
        <v>0.0</v>
      </c>
      <c r="P595" s="48">
        <f t="array" ref="P595">IFNA(XLOOKUP(J595,'⚙️ Pengaturan'!$E$2:$E3237,'⚙️ Pengaturan'!$F$2:$F3237),"")</f>
        <v>650000</v>
      </c>
      <c r="Q595" s="147">
        <f t="shared" si="9"/>
        <v>0</v>
      </c>
      <c r="R595" s="41" t="s">
        <v>37</v>
      </c>
      <c r="S595" s="69" t="s">
        <v>766</v>
      </c>
      <c r="T595" s="51" t="b">
        <v>1</v>
      </c>
      <c r="U595" s="94"/>
    </row>
    <row r="596" ht="30.0" customHeight="1">
      <c r="A596" s="39"/>
      <c r="B596" s="40">
        <v>2629.0</v>
      </c>
      <c r="C596" s="41" t="s">
        <v>79</v>
      </c>
      <c r="D596" s="86">
        <v>46060.0</v>
      </c>
      <c r="E596" s="43" t="str">
        <f t="shared" si="1"/>
        <v>2026</v>
      </c>
      <c r="F596" s="43" t="str">
        <f t="shared" si="2"/>
        <v>02 Feb</v>
      </c>
      <c r="G596" s="126" t="s">
        <v>35</v>
      </c>
      <c r="H596" s="45" t="s">
        <v>76</v>
      </c>
      <c r="I596" s="45" t="s">
        <v>767</v>
      </c>
      <c r="J596" s="143" t="s">
        <v>28</v>
      </c>
      <c r="K596" s="43" t="str">
        <f t="array" ref="K596">IF(J596="","", XLOOKUP(J596,'⚙️ Pengaturan'!$E$2:$E3237,'⚙️ Pengaturan'!$G$2:$G3237))</f>
        <v>KLINIK FT TA</v>
      </c>
      <c r="L596" s="43" t="str">
        <f t="shared" si="3"/>
        <v>BARU</v>
      </c>
      <c r="M596" s="144" t="s">
        <v>31</v>
      </c>
      <c r="N596" s="145">
        <v>250000.0</v>
      </c>
      <c r="O596" s="146">
        <v>0.0</v>
      </c>
      <c r="P596" s="48">
        <f t="array" ref="P596">IFNA(XLOOKUP(J596,'⚙️ Pengaturan'!$E$2:$E3237,'⚙️ Pengaturan'!$F$2:$F3237),"")</f>
        <v>250000</v>
      </c>
      <c r="Q596" s="147">
        <f t="shared" si="9"/>
        <v>0</v>
      </c>
      <c r="R596" s="41" t="s">
        <v>32</v>
      </c>
      <c r="S596" s="69" t="s">
        <v>33</v>
      </c>
      <c r="T596" s="51" t="b">
        <v>1</v>
      </c>
      <c r="U596" s="94"/>
    </row>
    <row r="597" ht="30.0" customHeight="1">
      <c r="A597" s="39"/>
      <c r="B597" s="40">
        <v>2630.0</v>
      </c>
      <c r="C597" s="41" t="s">
        <v>79</v>
      </c>
      <c r="D597" s="86">
        <v>46060.0</v>
      </c>
      <c r="E597" s="43" t="str">
        <f t="shared" si="1"/>
        <v>2026</v>
      </c>
      <c r="F597" s="43" t="str">
        <f t="shared" si="2"/>
        <v>02 Feb</v>
      </c>
      <c r="G597" s="126" t="s">
        <v>35</v>
      </c>
      <c r="H597" s="45" t="s">
        <v>47</v>
      </c>
      <c r="I597" s="45" t="s">
        <v>768</v>
      </c>
      <c r="J597" s="143" t="s">
        <v>28</v>
      </c>
      <c r="K597" s="43" t="str">
        <f t="array" ref="K597">IF(J597="","", XLOOKUP(J597,'⚙️ Pengaturan'!$E$2:$E3237,'⚙️ Pengaturan'!$G$2:$G3237))</f>
        <v>KLINIK FT TA</v>
      </c>
      <c r="L597" s="43" t="str">
        <f t="shared" si="3"/>
        <v>BARU</v>
      </c>
      <c r="M597" s="144" t="s">
        <v>31</v>
      </c>
      <c r="N597" s="145">
        <v>250000.0</v>
      </c>
      <c r="O597" s="146">
        <v>0.0</v>
      </c>
      <c r="P597" s="48">
        <f t="array" ref="P597">IFNA(XLOOKUP(J597,'⚙️ Pengaturan'!$E$2:$E3237,'⚙️ Pengaturan'!$F$2:$F3237),"")</f>
        <v>250000</v>
      </c>
      <c r="Q597" s="147">
        <f t="shared" si="9"/>
        <v>0</v>
      </c>
      <c r="R597" s="41" t="s">
        <v>37</v>
      </c>
      <c r="S597" s="69" t="s">
        <v>768</v>
      </c>
      <c r="T597" s="51" t="b">
        <v>1</v>
      </c>
      <c r="U597" s="94"/>
    </row>
    <row r="598" ht="30.0" customHeight="1">
      <c r="A598" s="39"/>
      <c r="B598" s="40">
        <v>2631.0</v>
      </c>
      <c r="C598" s="41" t="s">
        <v>50</v>
      </c>
      <c r="D598" s="86">
        <v>46060.0</v>
      </c>
      <c r="E598" s="43" t="str">
        <f t="shared" si="1"/>
        <v>2026</v>
      </c>
      <c r="F598" s="43" t="str">
        <f t="shared" si="2"/>
        <v>02 Feb</v>
      </c>
      <c r="G598" s="126" t="s">
        <v>40</v>
      </c>
      <c r="H598" s="45" t="s">
        <v>166</v>
      </c>
      <c r="I598" s="45" t="s">
        <v>684</v>
      </c>
      <c r="J598" s="143" t="s">
        <v>56</v>
      </c>
      <c r="K598" s="43" t="str">
        <f t="array" ref="K598">IF(J598="","", XLOOKUP(J598,'⚙️ Pengaturan'!$E$2:$E3237,'⚙️ Pengaturan'!$G$2:$G3237))</f>
        <v>KLINIK FT PAKET</v>
      </c>
      <c r="L598" s="43" t="str">
        <f t="shared" si="3"/>
        <v>LANJUTAN</v>
      </c>
      <c r="M598" s="144" t="s">
        <v>164</v>
      </c>
      <c r="N598" s="145">
        <v>350000.0</v>
      </c>
      <c r="O598" s="146">
        <v>300000.0</v>
      </c>
      <c r="P598" s="48">
        <f t="array" ref="P598">IFNA(XLOOKUP(J598,'⚙️ Pengaturan'!$E$2:$E3237,'⚙️ Pengaturan'!$F$2:$F3237),"")</f>
        <v>650000</v>
      </c>
      <c r="Q598" s="147">
        <f t="shared" si="9"/>
        <v>0</v>
      </c>
      <c r="R598" s="41" t="s">
        <v>32</v>
      </c>
      <c r="S598" s="69" t="s">
        <v>33</v>
      </c>
      <c r="T598" s="51" t="b">
        <v>1</v>
      </c>
      <c r="U598" s="94"/>
    </row>
    <row r="599" ht="30.0" customHeight="1">
      <c r="A599" s="39"/>
      <c r="B599" s="40">
        <v>2632.0</v>
      </c>
      <c r="C599" s="41" t="s">
        <v>50</v>
      </c>
      <c r="D599" s="86">
        <v>46060.0</v>
      </c>
      <c r="E599" s="43" t="str">
        <f t="shared" si="1"/>
        <v>2026</v>
      </c>
      <c r="F599" s="43" t="str">
        <f t="shared" si="2"/>
        <v>02 Feb</v>
      </c>
      <c r="G599" s="126" t="s">
        <v>40</v>
      </c>
      <c r="H599" s="45" t="s">
        <v>150</v>
      </c>
      <c r="I599" s="45" t="s">
        <v>706</v>
      </c>
      <c r="J599" s="143" t="s">
        <v>56</v>
      </c>
      <c r="K599" s="43" t="str">
        <f t="array" ref="K599">IF(J599="","", XLOOKUP(J599,'⚙️ Pengaturan'!$E$2:$E3237,'⚙️ Pengaturan'!$G$2:$G3237))</f>
        <v>KLINIK FT PAKET</v>
      </c>
      <c r="L599" s="43" t="str">
        <f t="shared" si="3"/>
        <v>LANJUTAN</v>
      </c>
      <c r="M599" s="144" t="s">
        <v>164</v>
      </c>
      <c r="N599" s="145">
        <v>400000.0</v>
      </c>
      <c r="O599" s="146">
        <v>200000.0</v>
      </c>
      <c r="P599" s="48">
        <f t="array" ref="P599">IFNA(XLOOKUP(J599,'⚙️ Pengaturan'!$E$2:$E3237,'⚙️ Pengaturan'!$F$2:$F3237),"")</f>
        <v>650000</v>
      </c>
      <c r="Q599" s="147">
        <f t="shared" si="9"/>
        <v>-50000</v>
      </c>
      <c r="R599" s="41" t="s">
        <v>32</v>
      </c>
      <c r="S599" s="69" t="s">
        <v>33</v>
      </c>
      <c r="T599" s="51" t="b">
        <v>1</v>
      </c>
      <c r="U599" s="94"/>
    </row>
    <row r="600" ht="30.0" customHeight="1">
      <c r="A600" s="39"/>
      <c r="B600" s="40">
        <v>2633.0</v>
      </c>
      <c r="C600" s="41" t="s">
        <v>50</v>
      </c>
      <c r="D600" s="86">
        <v>46060.0</v>
      </c>
      <c r="E600" s="43" t="str">
        <f t="shared" si="1"/>
        <v>2026</v>
      </c>
      <c r="F600" s="43" t="str">
        <f t="shared" si="2"/>
        <v>02 Feb</v>
      </c>
      <c r="G600" s="126" t="s">
        <v>40</v>
      </c>
      <c r="H600" s="45" t="s">
        <v>26</v>
      </c>
      <c r="I600" s="45" t="s">
        <v>640</v>
      </c>
      <c r="J600" s="143" t="s">
        <v>180</v>
      </c>
      <c r="K600" s="43" t="str">
        <f t="array" ref="K600">IF(J600="","", XLOOKUP(J600,'⚙️ Pengaturan'!$E$2:$E3237,'⚙️ Pengaturan'!$G$2:$G3237))</f>
        <v>KLINIK FT SESI</v>
      </c>
      <c r="L600" s="43" t="str">
        <f t="shared" si="3"/>
        <v>LANJUTAN</v>
      </c>
      <c r="M600" s="144" t="s">
        <v>31</v>
      </c>
      <c r="N600" s="145">
        <v>150000.0</v>
      </c>
      <c r="O600" s="146">
        <v>0.0</v>
      </c>
      <c r="P600" s="48">
        <f t="array" ref="P600">IFNA(XLOOKUP(J600,'⚙️ Pengaturan'!$E$2:$E3237,'⚙️ Pengaturan'!$F$2:$F3237),"")</f>
        <v>150000</v>
      </c>
      <c r="Q600" s="147">
        <f t="shared" si="9"/>
        <v>0</v>
      </c>
      <c r="R600" s="41" t="s">
        <v>32</v>
      </c>
      <c r="S600" s="69" t="s">
        <v>33</v>
      </c>
      <c r="T600" s="51" t="b">
        <v>1</v>
      </c>
      <c r="U600" s="94"/>
    </row>
    <row r="601" ht="30.0" customHeight="1">
      <c r="A601" s="39"/>
      <c r="B601" s="40">
        <v>2634.0</v>
      </c>
      <c r="C601" s="41" t="s">
        <v>50</v>
      </c>
      <c r="D601" s="86">
        <v>46060.0</v>
      </c>
      <c r="E601" s="43" t="str">
        <f t="shared" si="1"/>
        <v>2026</v>
      </c>
      <c r="F601" s="43" t="str">
        <f t="shared" si="2"/>
        <v>02 Feb</v>
      </c>
      <c r="G601" s="126" t="s">
        <v>43</v>
      </c>
      <c r="H601" s="45" t="s">
        <v>26</v>
      </c>
      <c r="I601" s="45" t="s">
        <v>769</v>
      </c>
      <c r="J601" s="143" t="s">
        <v>28</v>
      </c>
      <c r="K601" s="43" t="str">
        <f t="array" ref="K601">IF(J601="","", XLOOKUP(J601,'⚙️ Pengaturan'!$E$2:$E3237,'⚙️ Pengaturan'!$G$2:$G3237))</f>
        <v>KLINIK FT TA</v>
      </c>
      <c r="L601" s="43" t="str">
        <f t="shared" si="3"/>
        <v>BARU</v>
      </c>
      <c r="M601" s="144" t="s">
        <v>31</v>
      </c>
      <c r="N601" s="145">
        <v>250000.0</v>
      </c>
      <c r="O601" s="146">
        <v>0.0</v>
      </c>
      <c r="P601" s="48">
        <f t="array" ref="P601">IFNA(XLOOKUP(J601,'⚙️ Pengaturan'!$E$2:$E3237,'⚙️ Pengaturan'!$F$2:$F3237),"")</f>
        <v>250000</v>
      </c>
      <c r="Q601" s="147">
        <f t="shared" si="9"/>
        <v>0</v>
      </c>
      <c r="R601" s="41" t="s">
        <v>37</v>
      </c>
      <c r="S601" s="69" t="s">
        <v>769</v>
      </c>
      <c r="T601" s="51" t="b">
        <v>1</v>
      </c>
      <c r="U601" s="94"/>
    </row>
    <row r="602" ht="30.0" customHeight="1">
      <c r="A602" s="39"/>
      <c r="B602" s="40">
        <v>2635.0</v>
      </c>
      <c r="C602" s="41" t="s">
        <v>50</v>
      </c>
      <c r="D602" s="86">
        <v>46060.0</v>
      </c>
      <c r="E602" s="43" t="str">
        <f t="shared" si="1"/>
        <v>2026</v>
      </c>
      <c r="F602" s="43" t="str">
        <f t="shared" si="2"/>
        <v>02 Feb</v>
      </c>
      <c r="G602" s="126" t="s">
        <v>43</v>
      </c>
      <c r="H602" s="45" t="s">
        <v>166</v>
      </c>
      <c r="I602" s="45" t="s">
        <v>750</v>
      </c>
      <c r="J602" s="143" t="s">
        <v>119</v>
      </c>
      <c r="K602" s="43" t="str">
        <f t="array" ref="K602">IF(J602="","", XLOOKUP(J602,'⚙️ Pengaturan'!$E$2:$E3237,'⚙️ Pengaturan'!$G$2:$G3237))</f>
        <v>KLINIK FT PAKET</v>
      </c>
      <c r="L602" s="43" t="str">
        <f t="shared" si="3"/>
        <v>BARU</v>
      </c>
      <c r="M602" s="144" t="s">
        <v>31</v>
      </c>
      <c r="N602" s="145">
        <v>750000.0</v>
      </c>
      <c r="O602" s="146">
        <v>0.0</v>
      </c>
      <c r="P602" s="48">
        <f t="array" ref="P602">IFNA(XLOOKUP(J602,'⚙️ Pengaturan'!$E$2:$E3237,'⚙️ Pengaturan'!$F$2:$F3237),"")</f>
        <v>750000</v>
      </c>
      <c r="Q602" s="147">
        <f t="shared" si="9"/>
        <v>0</v>
      </c>
      <c r="R602" s="41" t="s">
        <v>37</v>
      </c>
      <c r="S602" s="69" t="s">
        <v>750</v>
      </c>
      <c r="T602" s="51" t="b">
        <v>1</v>
      </c>
      <c r="U602" s="94"/>
    </row>
    <row r="603" ht="30.0" customHeight="1">
      <c r="A603" s="39"/>
      <c r="B603" s="40">
        <v>2636.0</v>
      </c>
      <c r="C603" s="41" t="s">
        <v>50</v>
      </c>
      <c r="D603" s="86">
        <v>46060.0</v>
      </c>
      <c r="E603" s="43" t="str">
        <f t="shared" si="1"/>
        <v>2026</v>
      </c>
      <c r="F603" s="43" t="str">
        <f t="shared" si="2"/>
        <v>02 Feb</v>
      </c>
      <c r="G603" s="126" t="s">
        <v>173</v>
      </c>
      <c r="H603" s="45" t="s">
        <v>166</v>
      </c>
      <c r="I603" s="45" t="s">
        <v>679</v>
      </c>
      <c r="J603" s="143" t="s">
        <v>180</v>
      </c>
      <c r="K603" s="43" t="str">
        <f t="array" ref="K603">IF(J603="","", XLOOKUP(J603,'⚙️ Pengaturan'!$E$2:$E3237,'⚙️ Pengaturan'!$G$2:$G3237))</f>
        <v>KLINIK FT SESI</v>
      </c>
      <c r="L603" s="43" t="str">
        <f t="shared" si="3"/>
        <v>LANJUTAN</v>
      </c>
      <c r="M603" s="144" t="s">
        <v>31</v>
      </c>
      <c r="N603" s="145">
        <v>150000.0</v>
      </c>
      <c r="O603" s="146">
        <v>0.0</v>
      </c>
      <c r="P603" s="48">
        <f t="array" ref="P603">IFNA(XLOOKUP(J603,'⚙️ Pengaturan'!$E$2:$E3237,'⚙️ Pengaturan'!$F$2:$F3237),"")</f>
        <v>150000</v>
      </c>
      <c r="Q603" s="147">
        <f t="shared" si="9"/>
        <v>0</v>
      </c>
      <c r="R603" s="41" t="s">
        <v>32</v>
      </c>
      <c r="S603" s="69" t="s">
        <v>33</v>
      </c>
      <c r="T603" s="51" t="b">
        <v>1</v>
      </c>
      <c r="U603" s="94"/>
    </row>
    <row r="604" ht="30.0" customHeight="1">
      <c r="A604" s="39"/>
      <c r="B604" s="40">
        <v>2637.0</v>
      </c>
      <c r="C604" s="41" t="s">
        <v>50</v>
      </c>
      <c r="D604" s="86">
        <v>46060.0</v>
      </c>
      <c r="E604" s="43" t="str">
        <f t="shared" si="1"/>
        <v>2026</v>
      </c>
      <c r="F604" s="43" t="str">
        <f t="shared" si="2"/>
        <v>02 Feb</v>
      </c>
      <c r="G604" s="126" t="s">
        <v>173</v>
      </c>
      <c r="H604" s="45" t="s">
        <v>162</v>
      </c>
      <c r="I604" s="45" t="s">
        <v>751</v>
      </c>
      <c r="J604" s="143" t="s">
        <v>120</v>
      </c>
      <c r="K604" s="43" t="str">
        <f t="array" ref="K604">IF(J604="","", XLOOKUP(J604,'⚙️ Pengaturan'!$E$2:$E3237,'⚙️ Pengaturan'!$G$2:$G3237))</f>
        <v>KLINIK FT SESI</v>
      </c>
      <c r="L604" s="43" t="str">
        <f t="shared" si="3"/>
        <v>BARU</v>
      </c>
      <c r="M604" s="144" t="s">
        <v>31</v>
      </c>
      <c r="N604" s="145">
        <v>180000.0</v>
      </c>
      <c r="O604" s="146">
        <v>0.0</v>
      </c>
      <c r="P604" s="48">
        <f t="array" ref="P604">IFNA(XLOOKUP(J604,'⚙️ Pengaturan'!$E$2:$E3237,'⚙️ Pengaturan'!$F$2:$F3237),"")</f>
        <v>180000</v>
      </c>
      <c r="Q604" s="147">
        <f t="shared" si="9"/>
        <v>0</v>
      </c>
      <c r="R604" s="41" t="s">
        <v>37</v>
      </c>
      <c r="S604" s="69" t="s">
        <v>751</v>
      </c>
      <c r="T604" s="51" t="b">
        <v>1</v>
      </c>
      <c r="U604" s="94"/>
    </row>
    <row r="605" ht="30.0" customHeight="1">
      <c r="A605" s="39"/>
      <c r="B605" s="40">
        <v>2638.0</v>
      </c>
      <c r="C605" s="41" t="s">
        <v>50</v>
      </c>
      <c r="D605" s="86">
        <v>46060.0</v>
      </c>
      <c r="E605" s="43" t="str">
        <f t="shared" si="1"/>
        <v>2026</v>
      </c>
      <c r="F605" s="43" t="str">
        <f t="shared" si="2"/>
        <v>02 Feb</v>
      </c>
      <c r="G605" s="126" t="s">
        <v>155</v>
      </c>
      <c r="H605" s="45" t="s">
        <v>26</v>
      </c>
      <c r="I605" s="45" t="s">
        <v>279</v>
      </c>
      <c r="J605" s="143" t="s">
        <v>92</v>
      </c>
      <c r="K605" s="43" t="str">
        <f t="array" ref="K605">IF(J605="","", XLOOKUP(J605,'⚙️ Pengaturan'!$E$2:$E3237,'⚙️ Pengaturan'!$G$2:$G3237))</f>
        <v>KLINIK FT PAKET</v>
      </c>
      <c r="L605" s="43" t="str">
        <f t="shared" si="3"/>
        <v>LANJUTAN</v>
      </c>
      <c r="M605" s="144" t="s">
        <v>81</v>
      </c>
      <c r="N605" s="145">
        <v>300000.0</v>
      </c>
      <c r="O605" s="146">
        <v>200000.0</v>
      </c>
      <c r="P605" s="48">
        <f t="array" ref="P605">IFNA(XLOOKUP(J605,'⚙️ Pengaturan'!$E$2:$E3237,'⚙️ Pengaturan'!$F$2:$F3237),"")</f>
        <v>1200000</v>
      </c>
      <c r="Q605" s="147">
        <f t="shared" si="9"/>
        <v>-700000</v>
      </c>
      <c r="R605" s="41" t="s">
        <v>32</v>
      </c>
      <c r="S605" s="69" t="s">
        <v>33</v>
      </c>
      <c r="T605" s="51" t="b">
        <v>1</v>
      </c>
      <c r="U605" s="94"/>
    </row>
    <row r="606" ht="30.0" customHeight="1">
      <c r="A606" s="39"/>
      <c r="B606" s="40">
        <v>2639.0</v>
      </c>
      <c r="C606" s="41" t="s">
        <v>50</v>
      </c>
      <c r="D606" s="86">
        <v>46060.0</v>
      </c>
      <c r="E606" s="43" t="str">
        <f t="shared" si="1"/>
        <v>2026</v>
      </c>
      <c r="F606" s="43" t="str">
        <f t="shared" si="2"/>
        <v>02 Feb</v>
      </c>
      <c r="G606" s="126" t="s">
        <v>190</v>
      </c>
      <c r="H606" s="45" t="s">
        <v>150</v>
      </c>
      <c r="I606" s="45" t="s">
        <v>715</v>
      </c>
      <c r="J606" s="143" t="s">
        <v>119</v>
      </c>
      <c r="K606" s="43" t="str">
        <f t="array" ref="K606">IF(J606="","", XLOOKUP(J606,'⚙️ Pengaturan'!$E$2:$E3237,'⚙️ Pengaturan'!$G$2:$G3237))</f>
        <v>KLINIK FT PAKET</v>
      </c>
      <c r="L606" s="43" t="str">
        <f t="shared" si="3"/>
        <v>BARU</v>
      </c>
      <c r="M606" s="144" t="s">
        <v>31</v>
      </c>
      <c r="N606" s="145">
        <v>400000.0</v>
      </c>
      <c r="O606" s="146">
        <v>350000.0</v>
      </c>
      <c r="P606" s="48">
        <f t="array" ref="P606">IFNA(XLOOKUP(J606,'⚙️ Pengaturan'!$E$2:$E3237,'⚙️ Pengaturan'!$F$2:$F3237),"")</f>
        <v>750000</v>
      </c>
      <c r="Q606" s="147">
        <f t="shared" si="9"/>
        <v>0</v>
      </c>
      <c r="R606" s="41" t="s">
        <v>32</v>
      </c>
      <c r="S606" s="69" t="s">
        <v>33</v>
      </c>
      <c r="T606" s="51" t="b">
        <v>1</v>
      </c>
      <c r="U606" s="94"/>
    </row>
    <row r="607" ht="30.0" customHeight="1">
      <c r="A607" s="39"/>
      <c r="B607" s="40">
        <v>2640.0</v>
      </c>
      <c r="C607" s="41" t="s">
        <v>79</v>
      </c>
      <c r="D607" s="86">
        <v>46061.0</v>
      </c>
      <c r="E607" s="43" t="str">
        <f t="shared" si="1"/>
        <v>2026</v>
      </c>
      <c r="F607" s="43" t="str">
        <f t="shared" si="2"/>
        <v>02 Feb</v>
      </c>
      <c r="G607" s="126" t="s">
        <v>195</v>
      </c>
      <c r="H607" s="45" t="s">
        <v>149</v>
      </c>
      <c r="I607" s="45" t="s">
        <v>770</v>
      </c>
      <c r="J607" s="143" t="s">
        <v>28</v>
      </c>
      <c r="K607" s="43" t="str">
        <f t="array" ref="K607">IF(J607="","", XLOOKUP(J607,'⚙️ Pengaturan'!$E$2:$E3237,'⚙️ Pengaturan'!$G$2:$G3237))</f>
        <v>KLINIK FT TA</v>
      </c>
      <c r="L607" s="43" t="str">
        <f t="shared" si="3"/>
        <v>BARU</v>
      </c>
      <c r="M607" s="144" t="s">
        <v>31</v>
      </c>
      <c r="N607" s="145">
        <v>250000.0</v>
      </c>
      <c r="O607" s="146">
        <v>0.0</v>
      </c>
      <c r="P607" s="48">
        <f t="array" ref="P607">IFNA(XLOOKUP(J607,'⚙️ Pengaturan'!$E$2:$E3237,'⚙️ Pengaturan'!$F$2:$F3237),"")</f>
        <v>250000</v>
      </c>
      <c r="Q607" s="147">
        <f t="shared" si="9"/>
        <v>0</v>
      </c>
      <c r="R607" s="41" t="s">
        <v>32</v>
      </c>
      <c r="S607" s="69" t="s">
        <v>33</v>
      </c>
      <c r="T607" s="51" t="b">
        <v>1</v>
      </c>
      <c r="U607" s="94"/>
    </row>
    <row r="608" ht="30.0" customHeight="1">
      <c r="A608" s="39"/>
      <c r="B608" s="40">
        <v>2641.0</v>
      </c>
      <c r="C608" s="41" t="s">
        <v>79</v>
      </c>
      <c r="D608" s="86">
        <v>46061.0</v>
      </c>
      <c r="E608" s="43" t="str">
        <f t="shared" si="1"/>
        <v>2026</v>
      </c>
      <c r="F608" s="43" t="str">
        <f t="shared" si="2"/>
        <v>02 Feb</v>
      </c>
      <c r="G608" s="126" t="s">
        <v>195</v>
      </c>
      <c r="H608" s="45" t="s">
        <v>96</v>
      </c>
      <c r="I608" s="45" t="s">
        <v>764</v>
      </c>
      <c r="J608" s="143" t="s">
        <v>119</v>
      </c>
      <c r="K608" s="43" t="str">
        <f t="array" ref="K608">IF(J608="","", XLOOKUP(J608,'⚙️ Pengaturan'!$E$2:$E3237,'⚙️ Pengaturan'!$G$2:$G3237))</f>
        <v>KLINIK FT PAKET</v>
      </c>
      <c r="L608" s="43" t="str">
        <f t="shared" si="3"/>
        <v>BARU</v>
      </c>
      <c r="M608" s="144" t="s">
        <v>31</v>
      </c>
      <c r="N608" s="145">
        <v>750000.0</v>
      </c>
      <c r="O608" s="146">
        <v>0.0</v>
      </c>
      <c r="P608" s="48">
        <f t="array" ref="P608">IFNA(XLOOKUP(J608,'⚙️ Pengaturan'!$E$2:$E3237,'⚙️ Pengaturan'!$F$2:$F3237),"")</f>
        <v>750000</v>
      </c>
      <c r="Q608" s="147">
        <f t="shared" si="9"/>
        <v>0</v>
      </c>
      <c r="R608" s="41" t="s">
        <v>37</v>
      </c>
      <c r="S608" s="69" t="s">
        <v>764</v>
      </c>
      <c r="T608" s="51" t="b">
        <v>1</v>
      </c>
      <c r="U608" s="94"/>
    </row>
    <row r="609" ht="30.0" customHeight="1">
      <c r="A609" s="39"/>
      <c r="B609" s="40">
        <v>2642.0</v>
      </c>
      <c r="C609" s="41" t="s">
        <v>79</v>
      </c>
      <c r="D609" s="86">
        <v>46061.0</v>
      </c>
      <c r="E609" s="43" t="str">
        <f t="shared" si="1"/>
        <v>2026</v>
      </c>
      <c r="F609" s="43" t="str">
        <f t="shared" si="2"/>
        <v>02 Feb</v>
      </c>
      <c r="G609" s="126" t="s">
        <v>195</v>
      </c>
      <c r="H609" s="45" t="s">
        <v>149</v>
      </c>
      <c r="I609" s="45" t="s">
        <v>770</v>
      </c>
      <c r="J609" s="143" t="s">
        <v>120</v>
      </c>
      <c r="K609" s="43" t="str">
        <f t="array" ref="K609">IF(J609="","", XLOOKUP(J609,'⚙️ Pengaturan'!$E$2:$E3237,'⚙️ Pengaturan'!$G$2:$G3237))</f>
        <v>KLINIK FT SESI</v>
      </c>
      <c r="L609" s="43" t="str">
        <f t="shared" si="3"/>
        <v>BARU</v>
      </c>
      <c r="M609" s="144" t="s">
        <v>60</v>
      </c>
      <c r="N609" s="145">
        <v>200000.0</v>
      </c>
      <c r="O609" s="146">
        <v>0.0</v>
      </c>
      <c r="P609" s="48">
        <f t="array" ref="P609">IFNA(XLOOKUP(J609,'⚙️ Pengaturan'!$E$2:$E3237,'⚙️ Pengaturan'!$F$2:$F3237),"")</f>
        <v>180000</v>
      </c>
      <c r="Q609" s="147">
        <f t="shared" si="9"/>
        <v>20000</v>
      </c>
      <c r="R609" s="41" t="s">
        <v>32</v>
      </c>
      <c r="S609" s="69" t="s">
        <v>33</v>
      </c>
      <c r="T609" s="51" t="b">
        <v>1</v>
      </c>
      <c r="U609" s="94"/>
    </row>
    <row r="610" ht="30.0" customHeight="1">
      <c r="A610" s="39"/>
      <c r="B610" s="40">
        <v>2643.0</v>
      </c>
      <c r="C610" s="41" t="s">
        <v>79</v>
      </c>
      <c r="D610" s="86">
        <v>46061.0</v>
      </c>
      <c r="E610" s="43" t="str">
        <f t="shared" si="1"/>
        <v>2026</v>
      </c>
      <c r="F610" s="43" t="str">
        <f t="shared" si="2"/>
        <v>02 Feb</v>
      </c>
      <c r="G610" s="126" t="s">
        <v>25</v>
      </c>
      <c r="H610" s="45" t="s">
        <v>76</v>
      </c>
      <c r="I610" s="45" t="s">
        <v>771</v>
      </c>
      <c r="J610" s="143" t="s">
        <v>28</v>
      </c>
      <c r="K610" s="43" t="str">
        <f t="array" ref="K610">IF(J610="","", XLOOKUP(J610,'⚙️ Pengaturan'!$E$2:$E3237,'⚙️ Pengaturan'!$G$2:$G3237))</f>
        <v>KLINIK FT TA</v>
      </c>
      <c r="L610" s="43" t="str">
        <f t="shared" si="3"/>
        <v>BARU</v>
      </c>
      <c r="M610" s="144" t="s">
        <v>31</v>
      </c>
      <c r="N610" s="145">
        <v>250000.0</v>
      </c>
      <c r="O610" s="146">
        <v>0.0</v>
      </c>
      <c r="P610" s="48">
        <f t="array" ref="P610">IFNA(XLOOKUP(J610,'⚙️ Pengaturan'!$E$2:$E3237,'⚙️ Pengaturan'!$F$2:$F3237),"")</f>
        <v>250000</v>
      </c>
      <c r="Q610" s="147">
        <f t="shared" si="9"/>
        <v>0</v>
      </c>
      <c r="R610" s="41" t="s">
        <v>32</v>
      </c>
      <c r="S610" s="69" t="s">
        <v>33</v>
      </c>
      <c r="T610" s="51" t="b">
        <v>1</v>
      </c>
      <c r="U610" s="94"/>
    </row>
    <row r="611" ht="30.0" customHeight="1">
      <c r="A611" s="39"/>
      <c r="B611" s="40">
        <v>2644.0</v>
      </c>
      <c r="C611" s="41" t="s">
        <v>79</v>
      </c>
      <c r="D611" s="86">
        <v>46061.0</v>
      </c>
      <c r="E611" s="43" t="str">
        <f t="shared" si="1"/>
        <v>2026</v>
      </c>
      <c r="F611" s="43" t="str">
        <f t="shared" si="2"/>
        <v>02 Feb</v>
      </c>
      <c r="G611" s="126" t="s">
        <v>25</v>
      </c>
      <c r="H611" s="45" t="s">
        <v>96</v>
      </c>
      <c r="I611" s="45" t="s">
        <v>772</v>
      </c>
      <c r="J611" s="143" t="s">
        <v>28</v>
      </c>
      <c r="K611" s="43" t="str">
        <f t="array" ref="K611">IF(J611="","", XLOOKUP(J611,'⚙️ Pengaturan'!$E$2:$E3237,'⚙️ Pengaturan'!$G$2:$G3237))</f>
        <v>KLINIK FT TA</v>
      </c>
      <c r="L611" s="43" t="str">
        <f t="shared" si="3"/>
        <v>BARU</v>
      </c>
      <c r="M611" s="144" t="s">
        <v>31</v>
      </c>
      <c r="N611" s="145">
        <v>250000.0</v>
      </c>
      <c r="O611" s="146">
        <v>0.0</v>
      </c>
      <c r="P611" s="48">
        <f t="array" ref="P611">IFNA(XLOOKUP(J611,'⚙️ Pengaturan'!$E$2:$E3237,'⚙️ Pengaturan'!$F$2:$F3237),"")</f>
        <v>250000</v>
      </c>
      <c r="Q611" s="147">
        <f t="shared" si="9"/>
        <v>0</v>
      </c>
      <c r="R611" s="41" t="s">
        <v>37</v>
      </c>
      <c r="S611" s="69" t="s">
        <v>772</v>
      </c>
      <c r="T611" s="51" t="b">
        <v>1</v>
      </c>
      <c r="U611" s="94"/>
    </row>
    <row r="612" ht="30.0" customHeight="1">
      <c r="A612" s="39"/>
      <c r="B612" s="40">
        <v>2645.0</v>
      </c>
      <c r="C612" s="41" t="s">
        <v>79</v>
      </c>
      <c r="D612" s="86">
        <v>46061.0</v>
      </c>
      <c r="E612" s="43" t="str">
        <f t="shared" si="1"/>
        <v>2026</v>
      </c>
      <c r="F612" s="43" t="str">
        <f t="shared" si="2"/>
        <v>02 Feb</v>
      </c>
      <c r="G612" s="126" t="s">
        <v>161</v>
      </c>
      <c r="H612" s="45" t="s">
        <v>76</v>
      </c>
      <c r="I612" s="45" t="s">
        <v>773</v>
      </c>
      <c r="J612" s="143" t="s">
        <v>28</v>
      </c>
      <c r="K612" s="43" t="str">
        <f t="array" ref="K612">IF(J612="","", XLOOKUP(J612,'⚙️ Pengaturan'!$E$2:$E3237,'⚙️ Pengaturan'!$G$2:$G3237))</f>
        <v>KLINIK FT TA</v>
      </c>
      <c r="L612" s="43" t="str">
        <f t="shared" si="3"/>
        <v>BARU</v>
      </c>
      <c r="M612" s="144" t="s">
        <v>31</v>
      </c>
      <c r="N612" s="145">
        <v>250000.0</v>
      </c>
      <c r="O612" s="146">
        <v>0.0</v>
      </c>
      <c r="P612" s="48">
        <f t="array" ref="P612">IFNA(XLOOKUP(J612,'⚙️ Pengaturan'!$E$2:$E3237,'⚙️ Pengaturan'!$F$2:$F3237),"")</f>
        <v>250000</v>
      </c>
      <c r="Q612" s="147">
        <f t="shared" si="9"/>
        <v>0</v>
      </c>
      <c r="R612" s="41" t="s">
        <v>37</v>
      </c>
      <c r="S612" s="69" t="s">
        <v>774</v>
      </c>
      <c r="T612" s="51" t="b">
        <v>1</v>
      </c>
      <c r="U612" s="94"/>
    </row>
    <row r="613" ht="30.0" customHeight="1">
      <c r="A613" s="39"/>
      <c r="B613" s="40">
        <v>2646.0</v>
      </c>
      <c r="C613" s="41" t="s">
        <v>79</v>
      </c>
      <c r="D613" s="86">
        <v>46061.0</v>
      </c>
      <c r="E613" s="43" t="str">
        <f t="shared" si="1"/>
        <v>2026</v>
      </c>
      <c r="F613" s="43" t="str">
        <f t="shared" si="2"/>
        <v>02 Feb</v>
      </c>
      <c r="G613" s="126" t="s">
        <v>35</v>
      </c>
      <c r="H613" s="45" t="s">
        <v>47</v>
      </c>
      <c r="I613" s="45" t="s">
        <v>245</v>
      </c>
      <c r="J613" s="143" t="s">
        <v>180</v>
      </c>
      <c r="K613" s="43" t="str">
        <f t="array" ref="K613">IF(J613="","", XLOOKUP(J613,'⚙️ Pengaturan'!$E$2:$E3237,'⚙️ Pengaturan'!$G$2:$G3237))</f>
        <v>KLINIK FT SESI</v>
      </c>
      <c r="L613" s="43" t="str">
        <f t="shared" si="3"/>
        <v>LANJUTAN</v>
      </c>
      <c r="M613" s="144" t="s">
        <v>31</v>
      </c>
      <c r="N613" s="145">
        <v>150000.0</v>
      </c>
      <c r="O613" s="146">
        <v>0.0</v>
      </c>
      <c r="P613" s="48">
        <f t="array" ref="P613">IFNA(XLOOKUP(J613,'⚙️ Pengaturan'!$E$2:$E3237,'⚙️ Pengaturan'!$F$2:$F3237),"")</f>
        <v>150000</v>
      </c>
      <c r="Q613" s="147">
        <f t="shared" si="9"/>
        <v>0</v>
      </c>
      <c r="R613" s="41" t="s">
        <v>37</v>
      </c>
      <c r="S613" s="69" t="s">
        <v>245</v>
      </c>
      <c r="T613" s="51" t="b">
        <v>1</v>
      </c>
      <c r="U613" s="94"/>
    </row>
    <row r="614" ht="30.0" customHeight="1">
      <c r="A614" s="39"/>
      <c r="B614" s="40">
        <v>2647.0</v>
      </c>
      <c r="C614" s="41" t="s">
        <v>79</v>
      </c>
      <c r="D614" s="86">
        <v>46061.0</v>
      </c>
      <c r="E614" s="43" t="str">
        <f t="shared" si="1"/>
        <v>2026</v>
      </c>
      <c r="F614" s="43" t="str">
        <f t="shared" si="2"/>
        <v>02 Feb</v>
      </c>
      <c r="G614" s="126" t="s">
        <v>35</v>
      </c>
      <c r="H614" s="45" t="s">
        <v>41</v>
      </c>
      <c r="I614" s="45" t="s">
        <v>775</v>
      </c>
      <c r="J614" s="143" t="s">
        <v>28</v>
      </c>
      <c r="K614" s="43" t="str">
        <f t="array" ref="K614">IF(J614="","", XLOOKUP(J614,'⚙️ Pengaturan'!$E$2:$E3237,'⚙️ Pengaturan'!$G$2:$G3237))</f>
        <v>KLINIK FT TA</v>
      </c>
      <c r="L614" s="43" t="str">
        <f t="shared" si="3"/>
        <v>BARU</v>
      </c>
      <c r="M614" s="144" t="s">
        <v>31</v>
      </c>
      <c r="N614" s="145">
        <v>250000.0</v>
      </c>
      <c r="O614" s="146">
        <v>0.0</v>
      </c>
      <c r="P614" s="48">
        <f t="array" ref="P614">IFNA(XLOOKUP(J614,'⚙️ Pengaturan'!$E$2:$E3237,'⚙️ Pengaturan'!$F$2:$F3237),"")</f>
        <v>250000</v>
      </c>
      <c r="Q614" s="147">
        <f t="shared" si="9"/>
        <v>0</v>
      </c>
      <c r="R614" s="41" t="s">
        <v>37</v>
      </c>
      <c r="S614" s="69" t="s">
        <v>659</v>
      </c>
      <c r="T614" s="51" t="b">
        <v>1</v>
      </c>
      <c r="U614" s="94"/>
    </row>
    <row r="615" ht="30.0" customHeight="1">
      <c r="A615" s="39"/>
      <c r="B615" s="40">
        <v>2648.0</v>
      </c>
      <c r="C615" s="41" t="s">
        <v>79</v>
      </c>
      <c r="D615" s="86">
        <v>46061.0</v>
      </c>
      <c r="E615" s="43" t="str">
        <f t="shared" si="1"/>
        <v>2026</v>
      </c>
      <c r="F615" s="43" t="str">
        <f t="shared" si="2"/>
        <v>02 Feb</v>
      </c>
      <c r="G615" s="126" t="s">
        <v>35</v>
      </c>
      <c r="H615" s="45" t="s">
        <v>76</v>
      </c>
      <c r="I615" s="45" t="s">
        <v>762</v>
      </c>
      <c r="J615" s="143" t="s">
        <v>347</v>
      </c>
      <c r="K615" s="43" t="str">
        <f t="array" ref="K615">IF(J615="","", XLOOKUP(J615,'⚙️ Pengaturan'!$E$2:$E3237,'⚙️ Pengaturan'!$G$2:$G3237))</f>
        <v>KLINIK FT PAKET</v>
      </c>
      <c r="L615" s="43" t="str">
        <f t="shared" si="3"/>
        <v>BARU</v>
      </c>
      <c r="M615" s="144" t="s">
        <v>31</v>
      </c>
      <c r="N615" s="145">
        <v>1300000.0</v>
      </c>
      <c r="O615" s="146">
        <v>0.0</v>
      </c>
      <c r="P615" s="48">
        <f t="array" ref="P615">IFNA(XLOOKUP(J615,'⚙️ Pengaturan'!$E$2:$E3237,'⚙️ Pengaturan'!$F$2:$F3237),"")</f>
        <v>1300000</v>
      </c>
      <c r="Q615" s="147">
        <f t="shared" si="9"/>
        <v>0</v>
      </c>
      <c r="R615" s="41" t="s">
        <v>37</v>
      </c>
      <c r="S615" s="69" t="s">
        <v>733</v>
      </c>
      <c r="T615" s="51" t="b">
        <v>1</v>
      </c>
      <c r="U615" s="94"/>
    </row>
    <row r="616" ht="30.0" customHeight="1">
      <c r="A616" s="39"/>
      <c r="B616" s="40">
        <v>2649.0</v>
      </c>
      <c r="C616" s="41" t="s">
        <v>79</v>
      </c>
      <c r="D616" s="86">
        <v>46061.0</v>
      </c>
      <c r="E616" s="43" t="str">
        <f t="shared" si="1"/>
        <v>2026</v>
      </c>
      <c r="F616" s="43" t="str">
        <f t="shared" si="2"/>
        <v>02 Feb</v>
      </c>
      <c r="G616" s="126" t="s">
        <v>35</v>
      </c>
      <c r="H616" s="45" t="s">
        <v>149</v>
      </c>
      <c r="I616" s="45" t="s">
        <v>733</v>
      </c>
      <c r="J616" s="143" t="s">
        <v>347</v>
      </c>
      <c r="K616" s="43" t="str">
        <f t="array" ref="K616">IF(J616="","", XLOOKUP(J616,'⚙️ Pengaturan'!$E$2:$E3237,'⚙️ Pengaturan'!$G$2:$G3237))</f>
        <v>KLINIK FT PAKET</v>
      </c>
      <c r="L616" s="43" t="str">
        <f t="shared" si="3"/>
        <v>LANJUTAN</v>
      </c>
      <c r="M616" s="144" t="s">
        <v>164</v>
      </c>
      <c r="N616" s="145">
        <v>550000.0</v>
      </c>
      <c r="O616" s="146">
        <v>750000.0</v>
      </c>
      <c r="P616" s="48">
        <f t="array" ref="P616">IFNA(XLOOKUP(J616,'⚙️ Pengaturan'!$E$2:$E3237,'⚙️ Pengaturan'!$F$2:$F3237),"")</f>
        <v>1300000</v>
      </c>
      <c r="Q616" s="147">
        <f t="shared" si="9"/>
        <v>0</v>
      </c>
      <c r="R616" s="41" t="s">
        <v>37</v>
      </c>
      <c r="S616" s="69" t="s">
        <v>733</v>
      </c>
      <c r="T616" s="51" t="b">
        <v>1</v>
      </c>
      <c r="U616" s="94"/>
    </row>
    <row r="617" ht="30.0" customHeight="1">
      <c r="A617" s="39"/>
      <c r="B617" s="40">
        <v>2650.0</v>
      </c>
      <c r="C617" s="41" t="s">
        <v>50</v>
      </c>
      <c r="D617" s="86">
        <v>46061.0</v>
      </c>
      <c r="E617" s="43" t="str">
        <f t="shared" si="1"/>
        <v>2026</v>
      </c>
      <c r="F617" s="43" t="str">
        <f t="shared" si="2"/>
        <v>02 Feb</v>
      </c>
      <c r="G617" s="126" t="s">
        <v>40</v>
      </c>
      <c r="H617" s="45" t="s">
        <v>166</v>
      </c>
      <c r="I617" s="45" t="s">
        <v>736</v>
      </c>
      <c r="J617" s="143" t="s">
        <v>119</v>
      </c>
      <c r="K617" s="43" t="str">
        <f t="array" ref="K617">IF(J617="","", XLOOKUP(J617,'⚙️ Pengaturan'!$E$2:$E3237,'⚙️ Pengaturan'!$G$2:$G3237))</f>
        <v>KLINIK FT PAKET</v>
      </c>
      <c r="L617" s="43" t="str">
        <f t="shared" si="3"/>
        <v>LANJUTAN</v>
      </c>
      <c r="M617" s="144" t="s">
        <v>81</v>
      </c>
      <c r="N617" s="145">
        <v>250000.0</v>
      </c>
      <c r="O617" s="146">
        <v>250000.0</v>
      </c>
      <c r="P617" s="48">
        <f t="array" ref="P617">IFNA(XLOOKUP(J617,'⚙️ Pengaturan'!$E$2:$E3237,'⚙️ Pengaturan'!$F$2:$F3237),"")</f>
        <v>750000</v>
      </c>
      <c r="Q617" s="147">
        <f t="shared" si="9"/>
        <v>-250000</v>
      </c>
      <c r="R617" s="41" t="s">
        <v>32</v>
      </c>
      <c r="S617" s="69" t="s">
        <v>33</v>
      </c>
      <c r="T617" s="51" t="b">
        <v>1</v>
      </c>
      <c r="U617" s="94"/>
    </row>
    <row r="618" ht="30.0" customHeight="1">
      <c r="A618" s="39"/>
      <c r="B618" s="40">
        <v>2651.0</v>
      </c>
      <c r="C618" s="41" t="s">
        <v>50</v>
      </c>
      <c r="D618" s="86">
        <v>46062.0</v>
      </c>
      <c r="E618" s="43" t="str">
        <f t="shared" si="1"/>
        <v>2026</v>
      </c>
      <c r="F618" s="43" t="str">
        <f t="shared" si="2"/>
        <v>02 Feb</v>
      </c>
      <c r="G618" s="126" t="s">
        <v>195</v>
      </c>
      <c r="H618" s="45" t="s">
        <v>166</v>
      </c>
      <c r="I618" s="45" t="s">
        <v>621</v>
      </c>
      <c r="J618" s="143" t="s">
        <v>56</v>
      </c>
      <c r="K618" s="43" t="str">
        <f t="array" ref="K618">IF(J618="","", XLOOKUP(J618,'⚙️ Pengaturan'!$E$2:$E3237,'⚙️ Pengaturan'!$G$2:$G3237))</f>
        <v>KLINIK FT PAKET</v>
      </c>
      <c r="L618" s="43" t="str">
        <f t="shared" si="3"/>
        <v>BARU</v>
      </c>
      <c r="M618" s="144" t="s">
        <v>31</v>
      </c>
      <c r="N618" s="145">
        <v>650000.0</v>
      </c>
      <c r="O618" s="146">
        <v>0.0</v>
      </c>
      <c r="P618" s="48">
        <f t="array" ref="P618">IFNA(XLOOKUP(J618,'⚙️ Pengaturan'!$E$2:$E3237,'⚙️ Pengaturan'!$F$2:$F3237),"")</f>
        <v>650000</v>
      </c>
      <c r="Q618" s="147">
        <f t="shared" si="9"/>
        <v>0</v>
      </c>
      <c r="R618" s="41" t="s">
        <v>37</v>
      </c>
      <c r="S618" s="69" t="s">
        <v>621</v>
      </c>
      <c r="T618" s="51" t="b">
        <v>1</v>
      </c>
      <c r="U618" s="94"/>
    </row>
    <row r="619" ht="30.0" customHeight="1">
      <c r="A619" s="39"/>
      <c r="B619" s="40">
        <v>2652.0</v>
      </c>
      <c r="C619" s="41" t="s">
        <v>50</v>
      </c>
      <c r="D619" s="86">
        <v>46062.0</v>
      </c>
      <c r="E619" s="43" t="str">
        <f t="shared" si="1"/>
        <v>2026</v>
      </c>
      <c r="F619" s="43" t="str">
        <f t="shared" si="2"/>
        <v>02 Feb</v>
      </c>
      <c r="G619" s="126" t="s">
        <v>195</v>
      </c>
      <c r="H619" s="45" t="s">
        <v>162</v>
      </c>
      <c r="I619" s="45" t="s">
        <v>777</v>
      </c>
      <c r="J619" s="143" t="s">
        <v>28</v>
      </c>
      <c r="K619" s="43" t="str">
        <f t="array" ref="K619">IF(J619="","", XLOOKUP(J619,'⚙️ Pengaturan'!$E$2:$E3237,'⚙️ Pengaturan'!$G$2:$G3237))</f>
        <v>KLINIK FT TA</v>
      </c>
      <c r="L619" s="43" t="str">
        <f t="shared" si="3"/>
        <v>BARU</v>
      </c>
      <c r="M619" s="144" t="s">
        <v>31</v>
      </c>
      <c r="N619" s="145">
        <v>250000.0</v>
      </c>
      <c r="O619" s="146">
        <v>0.0</v>
      </c>
      <c r="P619" s="48">
        <f t="array" ref="P619">IFNA(XLOOKUP(J619,'⚙️ Pengaturan'!$E$2:$E3237,'⚙️ Pengaturan'!$F$2:$F3237),"")</f>
        <v>250000</v>
      </c>
      <c r="Q619" s="147">
        <f t="shared" si="9"/>
        <v>0</v>
      </c>
      <c r="R619" s="41" t="s">
        <v>37</v>
      </c>
      <c r="S619" s="69" t="s">
        <v>777</v>
      </c>
      <c r="T619" s="51" t="b">
        <v>1</v>
      </c>
      <c r="U619" s="94"/>
    </row>
    <row r="620" ht="30.0" customHeight="1">
      <c r="A620" s="39"/>
      <c r="B620" s="40">
        <v>2653.0</v>
      </c>
      <c r="C620" s="41" t="s">
        <v>50</v>
      </c>
      <c r="D620" s="86">
        <v>46062.0</v>
      </c>
      <c r="E620" s="43" t="str">
        <f t="shared" si="1"/>
        <v>2026</v>
      </c>
      <c r="F620" s="43" t="str">
        <f t="shared" si="2"/>
        <v>02 Feb</v>
      </c>
      <c r="G620" s="126" t="s">
        <v>25</v>
      </c>
      <c r="H620" s="45" t="s">
        <v>26</v>
      </c>
      <c r="I620" s="45" t="s">
        <v>778</v>
      </c>
      <c r="J620" s="143" t="s">
        <v>28</v>
      </c>
      <c r="K620" s="43" t="str">
        <f t="array" ref="K620">IF(J620="","", XLOOKUP(J620,'⚙️ Pengaturan'!$E$2:$E3237,'⚙️ Pengaturan'!$G$2:$G3237))</f>
        <v>KLINIK FT TA</v>
      </c>
      <c r="L620" s="43" t="str">
        <f t="shared" si="3"/>
        <v>BARU</v>
      </c>
      <c r="M620" s="144" t="s">
        <v>31</v>
      </c>
      <c r="N620" s="145">
        <v>250000.0</v>
      </c>
      <c r="O620" s="146">
        <v>0.0</v>
      </c>
      <c r="P620" s="48">
        <f t="array" ref="P620">IFNA(XLOOKUP(J620,'⚙️ Pengaturan'!$E$2:$E3237,'⚙️ Pengaturan'!$F$2:$F3237),"")</f>
        <v>250000</v>
      </c>
      <c r="Q620" s="147">
        <f t="shared" si="9"/>
        <v>0</v>
      </c>
      <c r="R620" s="41" t="s">
        <v>32</v>
      </c>
      <c r="S620" s="69" t="s">
        <v>33</v>
      </c>
      <c r="T620" s="51" t="b">
        <v>1</v>
      </c>
      <c r="U620" s="94"/>
    </row>
    <row r="621" ht="30.0" customHeight="1">
      <c r="A621" s="39"/>
      <c r="B621" s="40">
        <v>2654.0</v>
      </c>
      <c r="C621" s="41" t="s">
        <v>50</v>
      </c>
      <c r="D621" s="86">
        <v>46062.0</v>
      </c>
      <c r="E621" s="43" t="str">
        <f t="shared" si="1"/>
        <v>2026</v>
      </c>
      <c r="F621" s="43" t="str">
        <f t="shared" si="2"/>
        <v>02 Feb</v>
      </c>
      <c r="G621" s="126" t="s">
        <v>206</v>
      </c>
      <c r="H621" s="45" t="s">
        <v>166</v>
      </c>
      <c r="I621" s="45" t="s">
        <v>779</v>
      </c>
      <c r="J621" s="143" t="s">
        <v>28</v>
      </c>
      <c r="K621" s="43" t="str">
        <f t="array" ref="K621">IF(J621="","", XLOOKUP(J621,'⚙️ Pengaturan'!$E$2:$E3237,'⚙️ Pengaturan'!$G$2:$G3237))</f>
        <v>KLINIK FT TA</v>
      </c>
      <c r="L621" s="43" t="str">
        <f t="shared" si="3"/>
        <v>BARU</v>
      </c>
      <c r="M621" s="144" t="s">
        <v>31</v>
      </c>
      <c r="N621" s="145">
        <v>250000.0</v>
      </c>
      <c r="O621" s="146">
        <v>0.0</v>
      </c>
      <c r="P621" s="48">
        <f t="array" ref="P621">IFNA(XLOOKUP(J621,'⚙️ Pengaturan'!$E$2:$E3237,'⚙️ Pengaturan'!$F$2:$F3237),"")</f>
        <v>250000</v>
      </c>
      <c r="Q621" s="147">
        <f t="shared" si="9"/>
        <v>0</v>
      </c>
      <c r="R621" s="41" t="s">
        <v>32</v>
      </c>
      <c r="S621" s="69" t="s">
        <v>33</v>
      </c>
      <c r="T621" s="51" t="b">
        <v>1</v>
      </c>
      <c r="U621" s="94"/>
    </row>
    <row r="622" ht="30.0" customHeight="1">
      <c r="A622" s="39"/>
      <c r="B622" s="40">
        <v>2655.0</v>
      </c>
      <c r="C622" s="41" t="s">
        <v>50</v>
      </c>
      <c r="D622" s="86">
        <v>46062.0</v>
      </c>
      <c r="E622" s="43" t="str">
        <f t="shared" si="1"/>
        <v>2026</v>
      </c>
      <c r="F622" s="43" t="str">
        <f t="shared" si="2"/>
        <v>02 Feb</v>
      </c>
      <c r="G622" s="126" t="s">
        <v>206</v>
      </c>
      <c r="H622" s="45" t="s">
        <v>26</v>
      </c>
      <c r="I622" s="45" t="s">
        <v>780</v>
      </c>
      <c r="J622" s="143" t="s">
        <v>28</v>
      </c>
      <c r="K622" s="43" t="str">
        <f t="array" ref="K622">IF(J622="","", XLOOKUP(J622,'⚙️ Pengaturan'!$E$2:$E3237,'⚙️ Pengaturan'!$G$2:$G3237))</f>
        <v>KLINIK FT TA</v>
      </c>
      <c r="L622" s="43" t="str">
        <f t="shared" si="3"/>
        <v>BARU</v>
      </c>
      <c r="M622" s="144" t="s">
        <v>31</v>
      </c>
      <c r="N622" s="145">
        <v>250000.0</v>
      </c>
      <c r="O622" s="146">
        <v>0.0</v>
      </c>
      <c r="P622" s="48">
        <f t="array" ref="P622">IFNA(XLOOKUP(J622,'⚙️ Pengaturan'!$E$2:$E3237,'⚙️ Pengaturan'!$F$2:$F3237),"")</f>
        <v>250000</v>
      </c>
      <c r="Q622" s="147">
        <f t="shared" si="9"/>
        <v>0</v>
      </c>
      <c r="R622" s="41" t="s">
        <v>32</v>
      </c>
      <c r="S622" s="69" t="s">
        <v>33</v>
      </c>
      <c r="T622" s="51" t="b">
        <v>1</v>
      </c>
      <c r="U622" s="94"/>
    </row>
    <row r="623" ht="30.0" customHeight="1">
      <c r="A623" s="39"/>
      <c r="B623" s="40">
        <v>2656.0</v>
      </c>
      <c r="C623" s="41" t="s">
        <v>50</v>
      </c>
      <c r="D623" s="86">
        <v>46062.0</v>
      </c>
      <c r="E623" s="43" t="str">
        <f t="shared" si="1"/>
        <v>2026</v>
      </c>
      <c r="F623" s="43" t="str">
        <f t="shared" si="2"/>
        <v>02 Feb</v>
      </c>
      <c r="G623" s="126" t="s">
        <v>195</v>
      </c>
      <c r="H623" s="45" t="s">
        <v>26</v>
      </c>
      <c r="I623" s="45" t="s">
        <v>781</v>
      </c>
      <c r="J623" s="143" t="s">
        <v>28</v>
      </c>
      <c r="K623" s="43" t="str">
        <f t="array" ref="K623">IF(J623="","", XLOOKUP(J623,'⚙️ Pengaturan'!$E$2:$E3237,'⚙️ Pengaturan'!$G$2:$G3237))</f>
        <v>KLINIK FT TA</v>
      </c>
      <c r="L623" s="43" t="str">
        <f t="shared" si="3"/>
        <v>BARU</v>
      </c>
      <c r="M623" s="144" t="s">
        <v>31</v>
      </c>
      <c r="N623" s="145">
        <v>250000.0</v>
      </c>
      <c r="O623" s="146">
        <v>0.0</v>
      </c>
      <c r="P623" s="48">
        <f t="array" ref="P623">IFNA(XLOOKUP(J623,'⚙️ Pengaturan'!$E$2:$E3237,'⚙️ Pengaturan'!$F$2:$F3237),"")</f>
        <v>250000</v>
      </c>
      <c r="Q623" s="147">
        <f t="shared" si="9"/>
        <v>0</v>
      </c>
      <c r="R623" s="41" t="s">
        <v>32</v>
      </c>
      <c r="S623" s="69" t="s">
        <v>33</v>
      </c>
      <c r="T623" s="51" t="b">
        <v>1</v>
      </c>
      <c r="U623" s="94"/>
    </row>
    <row r="624" ht="30.0" customHeight="1">
      <c r="A624" s="39"/>
      <c r="B624" s="40">
        <v>2657.0</v>
      </c>
      <c r="C624" s="41" t="s">
        <v>79</v>
      </c>
      <c r="D624" s="86">
        <v>46062.0</v>
      </c>
      <c r="E624" s="43" t="str">
        <f t="shared" si="1"/>
        <v>2026</v>
      </c>
      <c r="F624" s="43" t="str">
        <f t="shared" si="2"/>
        <v>02 Feb</v>
      </c>
      <c r="G624" s="126" t="s">
        <v>43</v>
      </c>
      <c r="H624" s="45" t="s">
        <v>41</v>
      </c>
      <c r="I624" s="45" t="s">
        <v>420</v>
      </c>
      <c r="J624" s="143" t="s">
        <v>120</v>
      </c>
      <c r="K624" s="43" t="str">
        <f t="array" ref="K624">IF(J624="","", XLOOKUP(J624,'⚙️ Pengaturan'!$E$2:$E3237,'⚙️ Pengaturan'!$G$2:$G3237))</f>
        <v>KLINIK FT SESI</v>
      </c>
      <c r="L624" s="43" t="str">
        <f t="shared" si="3"/>
        <v>BARU</v>
      </c>
      <c r="M624" s="144" t="s">
        <v>31</v>
      </c>
      <c r="N624" s="145">
        <v>180000.0</v>
      </c>
      <c r="O624" s="146">
        <v>0.0</v>
      </c>
      <c r="P624" s="48">
        <f t="array" ref="P624">IFNA(XLOOKUP(J624,'⚙️ Pengaturan'!$E$2:$E3237,'⚙️ Pengaturan'!$F$2:$F3237),"")</f>
        <v>180000</v>
      </c>
      <c r="Q624" s="147">
        <f t="shared" si="9"/>
        <v>0</v>
      </c>
      <c r="R624" s="41" t="s">
        <v>37</v>
      </c>
      <c r="S624" s="69" t="s">
        <v>420</v>
      </c>
      <c r="T624" s="51" t="b">
        <v>1</v>
      </c>
      <c r="U624" s="94"/>
    </row>
    <row r="625" ht="30.0" customHeight="1">
      <c r="A625" s="39"/>
      <c r="B625" s="40">
        <v>2658.0</v>
      </c>
      <c r="C625" s="41" t="s">
        <v>79</v>
      </c>
      <c r="D625" s="86">
        <v>46062.0</v>
      </c>
      <c r="E625" s="43" t="str">
        <f t="shared" si="1"/>
        <v>2026</v>
      </c>
      <c r="F625" s="43" t="str">
        <f t="shared" si="2"/>
        <v>02 Feb</v>
      </c>
      <c r="G625" s="126" t="s">
        <v>43</v>
      </c>
      <c r="H625" s="45" t="s">
        <v>96</v>
      </c>
      <c r="I625" s="45" t="s">
        <v>769</v>
      </c>
      <c r="J625" s="143" t="s">
        <v>120</v>
      </c>
      <c r="K625" s="43" t="str">
        <f t="array" ref="K625">IF(J625="","", XLOOKUP(J625,'⚙️ Pengaturan'!$E$2:$E3237,'⚙️ Pengaturan'!$G$2:$G3237))</f>
        <v>KLINIK FT SESI</v>
      </c>
      <c r="L625" s="43" t="str">
        <f t="shared" si="3"/>
        <v>BARU</v>
      </c>
      <c r="M625" s="144" t="s">
        <v>31</v>
      </c>
      <c r="N625" s="145">
        <v>180000.0</v>
      </c>
      <c r="O625" s="146">
        <v>0.0</v>
      </c>
      <c r="P625" s="48">
        <f t="array" ref="P625">IFNA(XLOOKUP(J625,'⚙️ Pengaturan'!$E$2:$E3237,'⚙️ Pengaturan'!$F$2:$F3237),"")</f>
        <v>180000</v>
      </c>
      <c r="Q625" s="147">
        <f t="shared" si="9"/>
        <v>0</v>
      </c>
      <c r="R625" s="41" t="s">
        <v>37</v>
      </c>
      <c r="S625" s="69" t="s">
        <v>769</v>
      </c>
      <c r="T625" s="51" t="b">
        <v>1</v>
      </c>
      <c r="U625" s="94"/>
    </row>
    <row r="626" ht="30.0" customHeight="1">
      <c r="A626" s="39"/>
      <c r="B626" s="40">
        <v>2659.0</v>
      </c>
      <c r="C626" s="41" t="s">
        <v>79</v>
      </c>
      <c r="D626" s="86">
        <v>46062.0</v>
      </c>
      <c r="E626" s="43" t="str">
        <f t="shared" si="1"/>
        <v>2026</v>
      </c>
      <c r="F626" s="43" t="str">
        <f t="shared" si="2"/>
        <v>02 Feb</v>
      </c>
      <c r="G626" s="126" t="s">
        <v>40</v>
      </c>
      <c r="H626" s="45" t="s">
        <v>96</v>
      </c>
      <c r="I626" s="45" t="s">
        <v>288</v>
      </c>
      <c r="J626" s="143" t="s">
        <v>56</v>
      </c>
      <c r="K626" s="43" t="str">
        <f t="array" ref="K626">IF(J626="","", XLOOKUP(J626,'⚙️ Pengaturan'!$E$2:$E3237,'⚙️ Pengaturan'!$G$2:$G3237))</f>
        <v>KLINIK FT PAKET</v>
      </c>
      <c r="L626" s="43" t="str">
        <f t="shared" si="3"/>
        <v>LANJUTAN</v>
      </c>
      <c r="M626" s="144" t="s">
        <v>31</v>
      </c>
      <c r="N626" s="145">
        <v>650000.0</v>
      </c>
      <c r="O626" s="146">
        <v>0.0</v>
      </c>
      <c r="P626" s="48">
        <f t="array" ref="P626">IFNA(XLOOKUP(J626,'⚙️ Pengaturan'!$E$2:$E3237,'⚙️ Pengaturan'!$F$2:$F3237),"")</f>
        <v>650000</v>
      </c>
      <c r="Q626" s="147">
        <f t="shared" si="9"/>
        <v>0</v>
      </c>
      <c r="R626" s="41" t="s">
        <v>37</v>
      </c>
      <c r="S626" s="69" t="s">
        <v>639</v>
      </c>
      <c r="T626" s="51" t="b">
        <v>1</v>
      </c>
      <c r="U626" s="94"/>
    </row>
    <row r="627" ht="30.0" customHeight="1">
      <c r="A627" s="39"/>
      <c r="B627" s="40">
        <v>2660.0</v>
      </c>
      <c r="C627" s="41" t="s">
        <v>79</v>
      </c>
      <c r="D627" s="86">
        <v>46062.0</v>
      </c>
      <c r="E627" s="43" t="str">
        <f t="shared" si="1"/>
        <v>2026</v>
      </c>
      <c r="F627" s="43" t="str">
        <f t="shared" si="2"/>
        <v>02 Feb</v>
      </c>
      <c r="G627" s="126" t="s">
        <v>155</v>
      </c>
      <c r="H627" s="45" t="s">
        <v>41</v>
      </c>
      <c r="I627" s="45" t="s">
        <v>782</v>
      </c>
      <c r="J627" s="143" t="s">
        <v>28</v>
      </c>
      <c r="K627" s="43" t="str">
        <f t="array" ref="K627">IF(J627="","", XLOOKUP(J627,'⚙️ Pengaturan'!$E$2:$E3237,'⚙️ Pengaturan'!$G$2:$G3237))</f>
        <v>KLINIK FT TA</v>
      </c>
      <c r="L627" s="43" t="str">
        <f t="shared" si="3"/>
        <v>BARU</v>
      </c>
      <c r="M627" s="144" t="s">
        <v>31</v>
      </c>
      <c r="N627" s="145">
        <v>250000.0</v>
      </c>
      <c r="O627" s="146">
        <v>0.0</v>
      </c>
      <c r="P627" s="48">
        <f t="array" ref="P627">IFNA(XLOOKUP(J627,'⚙️ Pengaturan'!$E$2:$E3237,'⚙️ Pengaturan'!$F$2:$F3237),"")</f>
        <v>250000</v>
      </c>
      <c r="Q627" s="147">
        <f t="shared" si="9"/>
        <v>0</v>
      </c>
      <c r="R627" s="41" t="s">
        <v>37</v>
      </c>
      <c r="S627" s="69" t="s">
        <v>783</v>
      </c>
      <c r="T627" s="51" t="b">
        <v>1</v>
      </c>
      <c r="U627" s="94"/>
    </row>
    <row r="628" ht="30.0" customHeight="1">
      <c r="A628" s="39"/>
      <c r="B628" s="40">
        <v>2661.0</v>
      </c>
      <c r="C628" s="41" t="s">
        <v>79</v>
      </c>
      <c r="D628" s="86">
        <v>46062.0</v>
      </c>
      <c r="E628" s="43" t="str">
        <f t="shared" si="1"/>
        <v>2026</v>
      </c>
      <c r="F628" s="43" t="str">
        <f t="shared" si="2"/>
        <v>02 Feb</v>
      </c>
      <c r="G628" s="126" t="s">
        <v>155</v>
      </c>
      <c r="H628" s="45" t="s">
        <v>96</v>
      </c>
      <c r="I628" s="45" t="s">
        <v>784</v>
      </c>
      <c r="J628" s="143" t="s">
        <v>28</v>
      </c>
      <c r="K628" s="43" t="str">
        <f t="array" ref="K628">IF(J628="","", XLOOKUP(J628,'⚙️ Pengaturan'!$E$2:$E3237,'⚙️ Pengaturan'!$G$2:$G3237))</f>
        <v>KLINIK FT TA</v>
      </c>
      <c r="L628" s="43" t="str">
        <f t="shared" si="3"/>
        <v>BARU</v>
      </c>
      <c r="M628" s="144" t="s">
        <v>31</v>
      </c>
      <c r="N628" s="145">
        <v>250000.0</v>
      </c>
      <c r="O628" s="146">
        <v>0.0</v>
      </c>
      <c r="P628" s="48">
        <f t="array" ref="P628">IFNA(XLOOKUP(J628,'⚙️ Pengaturan'!$E$2:$E3237,'⚙️ Pengaturan'!$F$2:$F3237),"")</f>
        <v>250000</v>
      </c>
      <c r="Q628" s="147">
        <f t="shared" si="9"/>
        <v>0</v>
      </c>
      <c r="R628" s="41" t="s">
        <v>37</v>
      </c>
      <c r="S628" s="69" t="s">
        <v>784</v>
      </c>
      <c r="T628" s="51" t="b">
        <v>1</v>
      </c>
      <c r="U628" s="94"/>
    </row>
    <row r="629" ht="30.0" customHeight="1">
      <c r="A629" s="39"/>
      <c r="B629" s="40">
        <v>2662.0</v>
      </c>
      <c r="C629" s="41" t="s">
        <v>79</v>
      </c>
      <c r="D629" s="86">
        <v>46062.0</v>
      </c>
      <c r="E629" s="43" t="str">
        <f t="shared" si="1"/>
        <v>2026</v>
      </c>
      <c r="F629" s="43" t="str">
        <f t="shared" si="2"/>
        <v>02 Feb</v>
      </c>
      <c r="G629" s="126" t="s">
        <v>155</v>
      </c>
      <c r="H629" s="45" t="s">
        <v>76</v>
      </c>
      <c r="I629" s="45" t="s">
        <v>785</v>
      </c>
      <c r="J629" s="143" t="s">
        <v>28</v>
      </c>
      <c r="K629" s="43" t="str">
        <f t="array" ref="K629">IF(J629="","", XLOOKUP(J629,'⚙️ Pengaturan'!$E$2:$E3237,'⚙️ Pengaturan'!$G$2:$G3237))</f>
        <v>KLINIK FT TA</v>
      </c>
      <c r="L629" s="43" t="str">
        <f t="shared" si="3"/>
        <v>BARU</v>
      </c>
      <c r="M629" s="144" t="s">
        <v>31</v>
      </c>
      <c r="N629" s="145">
        <v>250000.0</v>
      </c>
      <c r="O629" s="146">
        <v>0.0</v>
      </c>
      <c r="P629" s="48">
        <f t="array" ref="P629">IFNA(XLOOKUP(J629,'⚙️ Pengaturan'!$E$2:$E3237,'⚙️ Pengaturan'!$F$2:$F3237),"")</f>
        <v>250000</v>
      </c>
      <c r="Q629" s="147">
        <f t="shared" si="9"/>
        <v>0</v>
      </c>
      <c r="R629" s="41" t="s">
        <v>32</v>
      </c>
      <c r="S629" s="69" t="s">
        <v>33</v>
      </c>
      <c r="T629" s="51" t="b">
        <v>1</v>
      </c>
      <c r="U629" s="94"/>
    </row>
    <row r="630" ht="30.0" customHeight="1">
      <c r="A630" s="39"/>
      <c r="B630" s="40">
        <v>2663.0</v>
      </c>
      <c r="C630" s="41" t="s">
        <v>79</v>
      </c>
      <c r="D630" s="86">
        <v>46062.0</v>
      </c>
      <c r="E630" s="43" t="str">
        <f t="shared" si="1"/>
        <v>2026</v>
      </c>
      <c r="F630" s="43" t="str">
        <f t="shared" si="2"/>
        <v>02 Feb</v>
      </c>
      <c r="G630" s="126" t="s">
        <v>155</v>
      </c>
      <c r="H630" s="45" t="s">
        <v>76</v>
      </c>
      <c r="I630" s="45" t="s">
        <v>785</v>
      </c>
      <c r="J630" s="143" t="s">
        <v>119</v>
      </c>
      <c r="K630" s="43" t="str">
        <f t="array" ref="K630">IF(J630="","", XLOOKUP(J630,'⚙️ Pengaturan'!$E$2:$E3237,'⚙️ Pengaturan'!$G$2:$G3237))</f>
        <v>KLINIK FT PAKET</v>
      </c>
      <c r="L630" s="43" t="str">
        <f t="shared" si="3"/>
        <v>BARU</v>
      </c>
      <c r="M630" s="144" t="s">
        <v>31</v>
      </c>
      <c r="N630" s="145">
        <v>750000.0</v>
      </c>
      <c r="O630" s="146">
        <v>0.0</v>
      </c>
      <c r="P630" s="48">
        <f t="array" ref="P630">IFNA(XLOOKUP(J630,'⚙️ Pengaturan'!$E$2:$E3237,'⚙️ Pengaturan'!$F$2:$F3237),"")</f>
        <v>750000</v>
      </c>
      <c r="Q630" s="147">
        <f t="shared" si="9"/>
        <v>0</v>
      </c>
      <c r="R630" s="41" t="s">
        <v>32</v>
      </c>
      <c r="S630" s="69" t="s">
        <v>33</v>
      </c>
      <c r="T630" s="51" t="b">
        <v>1</v>
      </c>
      <c r="U630" s="94"/>
    </row>
    <row r="631" ht="30.0" customHeight="1">
      <c r="A631" s="39"/>
      <c r="B631" s="40">
        <v>2664.0</v>
      </c>
      <c r="C631" s="41" t="s">
        <v>79</v>
      </c>
      <c r="D631" s="86">
        <v>46062.0</v>
      </c>
      <c r="E631" s="43" t="str">
        <f t="shared" si="1"/>
        <v>2026</v>
      </c>
      <c r="F631" s="43" t="str">
        <f t="shared" si="2"/>
        <v>02 Feb</v>
      </c>
      <c r="G631" s="126" t="s">
        <v>173</v>
      </c>
      <c r="H631" s="45" t="s">
        <v>96</v>
      </c>
      <c r="I631" s="45" t="s">
        <v>277</v>
      </c>
      <c r="J631" s="143" t="s">
        <v>120</v>
      </c>
      <c r="K631" s="43" t="str">
        <f t="array" ref="K631">IF(J631="","", XLOOKUP(J631,'⚙️ Pengaturan'!$E$2:$E3237,'⚙️ Pengaturan'!$G$2:$G3237))</f>
        <v>KLINIK FT SESI</v>
      </c>
      <c r="L631" s="43" t="str">
        <f t="shared" si="3"/>
        <v>BARU</v>
      </c>
      <c r="M631" s="144" t="s">
        <v>31</v>
      </c>
      <c r="N631" s="145">
        <v>180000.0</v>
      </c>
      <c r="O631" s="146">
        <v>0.0</v>
      </c>
      <c r="P631" s="48">
        <f t="array" ref="P631">IFNA(XLOOKUP(J631,'⚙️ Pengaturan'!$E$2:$E3237,'⚙️ Pengaturan'!$F$2:$F3237),"")</f>
        <v>180000</v>
      </c>
      <c r="Q631" s="147">
        <f t="shared" si="9"/>
        <v>0</v>
      </c>
      <c r="R631" s="41" t="s">
        <v>32</v>
      </c>
      <c r="S631" s="69" t="s">
        <v>33</v>
      </c>
      <c r="T631" s="51" t="b">
        <v>1</v>
      </c>
      <c r="U631" s="94"/>
    </row>
    <row r="632" ht="30.0" customHeight="1">
      <c r="A632" s="39"/>
      <c r="B632" s="40">
        <v>2665.0</v>
      </c>
      <c r="C632" s="41" t="s">
        <v>79</v>
      </c>
      <c r="D632" s="86">
        <v>46062.0</v>
      </c>
      <c r="E632" s="43" t="str">
        <f t="shared" si="1"/>
        <v>2026</v>
      </c>
      <c r="F632" s="43" t="str">
        <f t="shared" si="2"/>
        <v>02 Feb</v>
      </c>
      <c r="G632" s="126" t="s">
        <v>173</v>
      </c>
      <c r="H632" s="45" t="s">
        <v>76</v>
      </c>
      <c r="I632" s="45" t="s">
        <v>786</v>
      </c>
      <c r="J632" s="143" t="s">
        <v>28</v>
      </c>
      <c r="K632" s="43" t="str">
        <f t="array" ref="K632">IF(J632="","", XLOOKUP(J632,'⚙️ Pengaturan'!$E$2:$E3237,'⚙️ Pengaturan'!$G$2:$G3237))</f>
        <v>KLINIK FT TA</v>
      </c>
      <c r="L632" s="43" t="str">
        <f t="shared" si="3"/>
        <v>BARU</v>
      </c>
      <c r="M632" s="144" t="s">
        <v>31</v>
      </c>
      <c r="N632" s="145">
        <v>250000.0</v>
      </c>
      <c r="O632" s="146">
        <v>0.0</v>
      </c>
      <c r="P632" s="48">
        <f t="array" ref="P632">IFNA(XLOOKUP(J632,'⚙️ Pengaturan'!$E$2:$E3237,'⚙️ Pengaturan'!$F$2:$F3237),"")</f>
        <v>250000</v>
      </c>
      <c r="Q632" s="147">
        <f t="shared" si="9"/>
        <v>0</v>
      </c>
      <c r="R632" s="41" t="s">
        <v>32</v>
      </c>
      <c r="S632" s="69" t="s">
        <v>33</v>
      </c>
      <c r="T632" s="51" t="b">
        <v>1</v>
      </c>
      <c r="U632" s="94"/>
    </row>
    <row r="633" ht="30.0" customHeight="1">
      <c r="A633" s="39"/>
      <c r="B633" s="40">
        <v>2666.0</v>
      </c>
      <c r="C633" s="41" t="s">
        <v>79</v>
      </c>
      <c r="D633" s="86">
        <v>46062.0</v>
      </c>
      <c r="E633" s="43" t="str">
        <f t="shared" si="1"/>
        <v>2026</v>
      </c>
      <c r="F633" s="43" t="str">
        <f t="shared" si="2"/>
        <v>02 Feb</v>
      </c>
      <c r="G633" s="126" t="s">
        <v>155</v>
      </c>
      <c r="H633" s="45" t="s">
        <v>47</v>
      </c>
      <c r="I633" s="45" t="s">
        <v>652</v>
      </c>
      <c r="J633" s="143" t="s">
        <v>180</v>
      </c>
      <c r="K633" s="43" t="str">
        <f t="array" ref="K633">IF(J633="","", XLOOKUP(J633,'⚙️ Pengaturan'!$E$2:$E3237,'⚙️ Pengaturan'!$G$2:$G3237))</f>
        <v>KLINIK FT SESI</v>
      </c>
      <c r="L633" s="43" t="str">
        <f t="shared" si="3"/>
        <v>BARU</v>
      </c>
      <c r="M633" s="144" t="s">
        <v>31</v>
      </c>
      <c r="N633" s="145">
        <v>150000.0</v>
      </c>
      <c r="O633" s="146">
        <v>0.0</v>
      </c>
      <c r="P633" s="48">
        <f t="array" ref="P633">IFNA(XLOOKUP(J633,'⚙️ Pengaturan'!$E$2:$E3237,'⚙️ Pengaturan'!$F$2:$F3237),"")</f>
        <v>150000</v>
      </c>
      <c r="Q633" s="147">
        <f t="shared" si="9"/>
        <v>0</v>
      </c>
      <c r="R633" s="41" t="s">
        <v>32</v>
      </c>
      <c r="S633" s="69" t="s">
        <v>33</v>
      </c>
      <c r="T633" s="51" t="b">
        <v>1</v>
      </c>
      <c r="U633" s="94"/>
    </row>
    <row r="634" ht="30.0" customHeight="1">
      <c r="A634" s="39"/>
      <c r="B634" s="40">
        <v>2667.0</v>
      </c>
      <c r="C634" s="41" t="s">
        <v>79</v>
      </c>
      <c r="D634" s="86">
        <v>46062.0</v>
      </c>
      <c r="E634" s="43" t="str">
        <f t="shared" si="1"/>
        <v>2026</v>
      </c>
      <c r="F634" s="43" t="str">
        <f t="shared" si="2"/>
        <v>02 Feb</v>
      </c>
      <c r="G634" s="126" t="s">
        <v>190</v>
      </c>
      <c r="H634" s="45" t="s">
        <v>149</v>
      </c>
      <c r="I634" s="45" t="s">
        <v>653</v>
      </c>
      <c r="J634" s="143" t="s">
        <v>56</v>
      </c>
      <c r="K634" s="43" t="str">
        <f t="array" ref="K634">IF(J634="","", XLOOKUP(J634,'⚙️ Pengaturan'!$E$2:$E3237,'⚙️ Pengaturan'!$G$2:$G3237))</f>
        <v>KLINIK FT PAKET</v>
      </c>
      <c r="L634" s="43" t="str">
        <f t="shared" si="3"/>
        <v>LANJUTAN</v>
      </c>
      <c r="M634" s="144" t="s">
        <v>60</v>
      </c>
      <c r="N634" s="145">
        <v>200000.0</v>
      </c>
      <c r="O634" s="146">
        <v>0.0</v>
      </c>
      <c r="P634" s="48">
        <f t="array" ref="P634">IFNA(XLOOKUP(J634,'⚙️ Pengaturan'!$E$2:$E3237,'⚙️ Pengaturan'!$F$2:$F3237),"")</f>
        <v>650000</v>
      </c>
      <c r="Q634" s="147">
        <f t="shared" si="9"/>
        <v>-450000</v>
      </c>
      <c r="R634" s="41" t="s">
        <v>32</v>
      </c>
      <c r="S634" s="69" t="s">
        <v>33</v>
      </c>
      <c r="T634" s="51" t="b">
        <v>1</v>
      </c>
      <c r="U634" s="94"/>
    </row>
    <row r="635" ht="30.0" customHeight="1">
      <c r="A635" s="39"/>
      <c r="B635" s="40">
        <v>2668.0</v>
      </c>
      <c r="C635" s="41" t="s">
        <v>79</v>
      </c>
      <c r="D635" s="86">
        <v>46062.0</v>
      </c>
      <c r="E635" s="43" t="str">
        <f t="shared" si="1"/>
        <v>2026</v>
      </c>
      <c r="F635" s="43" t="str">
        <f t="shared" si="2"/>
        <v>02 Feb</v>
      </c>
      <c r="G635" s="126" t="s">
        <v>190</v>
      </c>
      <c r="H635" s="45" t="s">
        <v>41</v>
      </c>
      <c r="I635" s="45" t="s">
        <v>787</v>
      </c>
      <c r="J635" s="143" t="s">
        <v>28</v>
      </c>
      <c r="K635" s="43" t="str">
        <f t="array" ref="K635">IF(J635="","", XLOOKUP(J635,'⚙️ Pengaturan'!$E$2:$E3237,'⚙️ Pengaturan'!$G$2:$G3237))</f>
        <v>KLINIK FT TA</v>
      </c>
      <c r="L635" s="43" t="str">
        <f t="shared" si="3"/>
        <v>BARU</v>
      </c>
      <c r="M635" s="144" t="s">
        <v>31</v>
      </c>
      <c r="N635" s="145">
        <v>250000.0</v>
      </c>
      <c r="O635" s="146">
        <v>0.0</v>
      </c>
      <c r="P635" s="48">
        <f t="array" ref="P635">IFNA(XLOOKUP(J635,'⚙️ Pengaturan'!$E$2:$E3237,'⚙️ Pengaturan'!$F$2:$F3237),"")</f>
        <v>250000</v>
      </c>
      <c r="Q635" s="147">
        <f t="shared" si="9"/>
        <v>0</v>
      </c>
      <c r="R635" s="41" t="s">
        <v>37</v>
      </c>
      <c r="S635" s="69" t="s">
        <v>787</v>
      </c>
      <c r="T635" s="51" t="b">
        <v>1</v>
      </c>
      <c r="U635" s="94"/>
    </row>
    <row r="636" ht="30.0" customHeight="1">
      <c r="A636" s="39"/>
      <c r="B636" s="40">
        <v>2669.0</v>
      </c>
      <c r="C636" s="41" t="s">
        <v>79</v>
      </c>
      <c r="D636" s="86">
        <v>46062.0</v>
      </c>
      <c r="E636" s="43" t="str">
        <f t="shared" si="1"/>
        <v>2026</v>
      </c>
      <c r="F636" s="43" t="str">
        <f t="shared" si="2"/>
        <v>02 Feb</v>
      </c>
      <c r="G636" s="126" t="s">
        <v>190</v>
      </c>
      <c r="H636" s="45" t="s">
        <v>47</v>
      </c>
      <c r="I636" s="45" t="s">
        <v>768</v>
      </c>
      <c r="J636" s="143" t="s">
        <v>347</v>
      </c>
      <c r="K636" s="43" t="str">
        <f t="array" ref="K636">IF(J636="","", XLOOKUP(J636,'⚙️ Pengaturan'!$E$2:$E3237,'⚙️ Pengaturan'!$G$2:$G3237))</f>
        <v>KLINIK FT PAKET</v>
      </c>
      <c r="L636" s="43" t="str">
        <f t="shared" si="3"/>
        <v>BARU</v>
      </c>
      <c r="M636" s="144" t="s">
        <v>31</v>
      </c>
      <c r="N636" s="145">
        <v>1300000.0</v>
      </c>
      <c r="O636" s="146">
        <v>0.0</v>
      </c>
      <c r="P636" s="48">
        <f t="array" ref="P636">IFNA(XLOOKUP(J636,'⚙️ Pengaturan'!$E$2:$E3237,'⚙️ Pengaturan'!$F$2:$F3237),"")</f>
        <v>1300000</v>
      </c>
      <c r="Q636" s="147">
        <f t="shared" si="9"/>
        <v>0</v>
      </c>
      <c r="R636" s="41" t="s">
        <v>37</v>
      </c>
      <c r="S636" s="69" t="s">
        <v>768</v>
      </c>
      <c r="T636" s="51" t="b">
        <v>1</v>
      </c>
      <c r="U636" s="94"/>
    </row>
    <row r="637" ht="30.0" customHeight="1">
      <c r="A637" s="39"/>
      <c r="B637" s="40">
        <v>2670.0</v>
      </c>
      <c r="C637" s="41" t="s">
        <v>79</v>
      </c>
      <c r="D637" s="86">
        <v>46063.0</v>
      </c>
      <c r="E637" s="43" t="str">
        <f t="shared" si="1"/>
        <v>2026</v>
      </c>
      <c r="F637" s="43" t="str">
        <f t="shared" si="2"/>
        <v>02 Feb</v>
      </c>
      <c r="G637" s="126" t="s">
        <v>195</v>
      </c>
      <c r="H637" s="45" t="s">
        <v>41</v>
      </c>
      <c r="I637" s="45" t="s">
        <v>788</v>
      </c>
      <c r="J637" s="143" t="s">
        <v>28</v>
      </c>
      <c r="K637" s="43" t="str">
        <f t="array" ref="K637">IF(J637="","", XLOOKUP(J637,'⚙️ Pengaturan'!$E$2:$E3237,'⚙️ Pengaturan'!$G$2:$G3237))</f>
        <v>KLINIK FT TA</v>
      </c>
      <c r="L637" s="43" t="str">
        <f t="shared" si="3"/>
        <v>BARU</v>
      </c>
      <c r="M637" s="144" t="s">
        <v>31</v>
      </c>
      <c r="N637" s="145">
        <v>250000.0</v>
      </c>
      <c r="O637" s="146">
        <v>0.0</v>
      </c>
      <c r="P637" s="48">
        <f t="array" ref="P637">IFNA(XLOOKUP(J637,'⚙️ Pengaturan'!$E$2:$E3237,'⚙️ Pengaturan'!$F$2:$F3237),"")</f>
        <v>250000</v>
      </c>
      <c r="Q637" s="147">
        <f t="shared" si="9"/>
        <v>0</v>
      </c>
      <c r="R637" s="41" t="s">
        <v>37</v>
      </c>
      <c r="S637" s="69" t="s">
        <v>788</v>
      </c>
      <c r="T637" s="51" t="b">
        <v>1</v>
      </c>
      <c r="U637" s="94"/>
    </row>
    <row r="638" ht="30.0" customHeight="1">
      <c r="A638" s="39"/>
      <c r="B638" s="40">
        <v>2671.0</v>
      </c>
      <c r="C638" s="41" t="s">
        <v>79</v>
      </c>
      <c r="D638" s="86">
        <v>46063.0</v>
      </c>
      <c r="E638" s="43" t="str">
        <f t="shared" si="1"/>
        <v>2026</v>
      </c>
      <c r="F638" s="43" t="str">
        <f t="shared" si="2"/>
        <v>02 Feb</v>
      </c>
      <c r="G638" s="126" t="s">
        <v>25</v>
      </c>
      <c r="H638" s="45" t="s">
        <v>47</v>
      </c>
      <c r="I638" s="45" t="s">
        <v>650</v>
      </c>
      <c r="J638" s="143" t="s">
        <v>180</v>
      </c>
      <c r="K638" s="43" t="str">
        <f t="array" ref="K638">IF(J638="","", XLOOKUP(J638,'⚙️ Pengaturan'!$E$2:$E3237,'⚙️ Pengaturan'!$G$2:$G3237))</f>
        <v>KLINIK FT SESI</v>
      </c>
      <c r="L638" s="43" t="str">
        <f t="shared" si="3"/>
        <v>LANJUTAN</v>
      </c>
      <c r="M638" s="144" t="s">
        <v>31</v>
      </c>
      <c r="N638" s="145">
        <v>150000.0</v>
      </c>
      <c r="O638" s="146">
        <v>0.0</v>
      </c>
      <c r="P638" s="48">
        <f t="array" ref="P638">IFNA(XLOOKUP(J638,'⚙️ Pengaturan'!$E$2:$E3237,'⚙️ Pengaturan'!$F$2:$F3237),"")</f>
        <v>150000</v>
      </c>
      <c r="Q638" s="147">
        <f t="shared" si="9"/>
        <v>0</v>
      </c>
      <c r="R638" s="41" t="s">
        <v>32</v>
      </c>
      <c r="S638" s="69" t="s">
        <v>33</v>
      </c>
      <c r="T638" s="51" t="b">
        <v>1</v>
      </c>
      <c r="U638" s="94"/>
    </row>
    <row r="639" ht="30.0" customHeight="1">
      <c r="A639" s="39"/>
      <c r="B639" s="40">
        <v>2672.0</v>
      </c>
      <c r="C639" s="41" t="s">
        <v>79</v>
      </c>
      <c r="D639" s="86">
        <v>46063.0</v>
      </c>
      <c r="E639" s="43" t="str">
        <f t="shared" si="1"/>
        <v>2026</v>
      </c>
      <c r="F639" s="43" t="str">
        <f t="shared" si="2"/>
        <v>02 Feb</v>
      </c>
      <c r="G639" s="126" t="s">
        <v>206</v>
      </c>
      <c r="H639" s="45" t="s">
        <v>96</v>
      </c>
      <c r="I639" s="45" t="s">
        <v>772</v>
      </c>
      <c r="J639" s="143" t="s">
        <v>120</v>
      </c>
      <c r="K639" s="43" t="str">
        <f t="array" ref="K639">IF(J639="","", XLOOKUP(J639,'⚙️ Pengaturan'!$E$2:$E3237,'⚙️ Pengaturan'!$G$2:$G3237))</f>
        <v>KLINIK FT SESI</v>
      </c>
      <c r="L639" s="43" t="str">
        <f t="shared" si="3"/>
        <v>BARU</v>
      </c>
      <c r="M639" s="144" t="s">
        <v>31</v>
      </c>
      <c r="N639" s="145">
        <v>180000.0</v>
      </c>
      <c r="O639" s="146">
        <v>0.0</v>
      </c>
      <c r="P639" s="48">
        <f t="array" ref="P639">IFNA(XLOOKUP(J639,'⚙️ Pengaturan'!$E$2:$E3237,'⚙️ Pengaturan'!$F$2:$F3237),"")</f>
        <v>180000</v>
      </c>
      <c r="Q639" s="147">
        <f t="shared" si="9"/>
        <v>0</v>
      </c>
      <c r="R639" s="41" t="s">
        <v>32</v>
      </c>
      <c r="S639" s="69" t="s">
        <v>33</v>
      </c>
      <c r="T639" s="51" t="b">
        <v>1</v>
      </c>
      <c r="U639" s="94"/>
    </row>
    <row r="640" ht="30.0" customHeight="1">
      <c r="A640" s="39"/>
      <c r="B640" s="40">
        <v>2673.0</v>
      </c>
      <c r="C640" s="41" t="s">
        <v>79</v>
      </c>
      <c r="D640" s="86">
        <v>46063.0</v>
      </c>
      <c r="E640" s="43" t="str">
        <f t="shared" si="1"/>
        <v>2026</v>
      </c>
      <c r="F640" s="43" t="str">
        <f t="shared" si="2"/>
        <v>02 Feb</v>
      </c>
      <c r="G640" s="126" t="s">
        <v>206</v>
      </c>
      <c r="H640" s="45" t="s">
        <v>76</v>
      </c>
      <c r="I640" s="45" t="s">
        <v>773</v>
      </c>
      <c r="J640" s="143" t="s">
        <v>119</v>
      </c>
      <c r="K640" s="43" t="str">
        <f t="array" ref="K640">IF(J640="","", XLOOKUP(J640,'⚙️ Pengaturan'!$E$2:$E3237,'⚙️ Pengaturan'!$G$2:$G3237))</f>
        <v>KLINIK FT PAKET</v>
      </c>
      <c r="L640" s="43" t="str">
        <f t="shared" si="3"/>
        <v>BARU</v>
      </c>
      <c r="M640" s="144" t="s">
        <v>60</v>
      </c>
      <c r="N640" s="145">
        <v>300000.0</v>
      </c>
      <c r="O640" s="146">
        <v>0.0</v>
      </c>
      <c r="P640" s="48">
        <f t="array" ref="P640">IFNA(XLOOKUP(J640,'⚙️ Pengaturan'!$E$2:$E3237,'⚙️ Pengaturan'!$F$2:$F3237),"")</f>
        <v>750000</v>
      </c>
      <c r="Q640" s="147">
        <f t="shared" si="9"/>
        <v>-450000</v>
      </c>
      <c r="R640" s="41" t="s">
        <v>37</v>
      </c>
      <c r="S640" s="69" t="s">
        <v>774</v>
      </c>
      <c r="T640" s="51" t="b">
        <v>1</v>
      </c>
      <c r="U640" s="94"/>
    </row>
    <row r="641" ht="30.0" customHeight="1">
      <c r="A641" s="39"/>
      <c r="B641" s="40">
        <v>2674.0</v>
      </c>
      <c r="C641" s="41" t="s">
        <v>79</v>
      </c>
      <c r="D641" s="86">
        <v>46063.0</v>
      </c>
      <c r="E641" s="43" t="str">
        <f t="shared" si="1"/>
        <v>2026</v>
      </c>
      <c r="F641" s="43" t="str">
        <f t="shared" si="2"/>
        <v>02 Feb</v>
      </c>
      <c r="G641" s="126" t="s">
        <v>35</v>
      </c>
      <c r="H641" s="45" t="s">
        <v>76</v>
      </c>
      <c r="I641" s="45" t="s">
        <v>709</v>
      </c>
      <c r="J641" s="143" t="s">
        <v>364</v>
      </c>
      <c r="K641" s="43" t="str">
        <f t="array" ref="K641">IF(J641="","", XLOOKUP(J641,'⚙️ Pengaturan'!$E$2:$E3237,'⚙️ Pengaturan'!$G$2:$G3237))</f>
        <v>VISIT FT PAKET</v>
      </c>
      <c r="L641" s="43" t="str">
        <f t="shared" si="3"/>
        <v>BARU</v>
      </c>
      <c r="M641" s="144" t="s">
        <v>31</v>
      </c>
      <c r="N641" s="145">
        <v>2300000.0</v>
      </c>
      <c r="O641" s="146">
        <v>0.0</v>
      </c>
      <c r="P641" s="48">
        <f t="array" ref="P641">IFNA(XLOOKUP(J641,'⚙️ Pengaturan'!$E$2:$E3237,'⚙️ Pengaturan'!$F$2:$F3237),"")</f>
        <v>2300000</v>
      </c>
      <c r="Q641" s="147">
        <f t="shared" si="9"/>
        <v>0</v>
      </c>
      <c r="R641" s="41" t="s">
        <v>37</v>
      </c>
      <c r="S641" s="69" t="s">
        <v>714</v>
      </c>
      <c r="T641" s="51" t="b">
        <v>1</v>
      </c>
      <c r="U641" s="94"/>
    </row>
    <row r="642" ht="30.0" customHeight="1">
      <c r="A642" s="39"/>
      <c r="B642" s="40">
        <v>2675.0</v>
      </c>
      <c r="C642" s="41" t="s">
        <v>79</v>
      </c>
      <c r="D642" s="86">
        <v>46063.0</v>
      </c>
      <c r="E642" s="43" t="str">
        <f t="shared" si="1"/>
        <v>2026</v>
      </c>
      <c r="F642" s="43" t="str">
        <f t="shared" si="2"/>
        <v>02 Feb</v>
      </c>
      <c r="G642" s="126" t="s">
        <v>161</v>
      </c>
      <c r="H642" s="45" t="s">
        <v>41</v>
      </c>
      <c r="I642" s="45" t="s">
        <v>789</v>
      </c>
      <c r="J642" s="143" t="s">
        <v>28</v>
      </c>
      <c r="K642" s="43" t="str">
        <f t="array" ref="K642">IF(J642="","", XLOOKUP(J642,'⚙️ Pengaturan'!$E$2:$E3237,'⚙️ Pengaturan'!$G$2:$G3237))</f>
        <v>KLINIK FT TA</v>
      </c>
      <c r="L642" s="43" t="str">
        <f t="shared" si="3"/>
        <v>BARU</v>
      </c>
      <c r="M642" s="144" t="s">
        <v>31</v>
      </c>
      <c r="N642" s="145">
        <v>50000.0</v>
      </c>
      <c r="O642" s="146">
        <v>200000.0</v>
      </c>
      <c r="P642" s="48">
        <f t="array" ref="P642">IFNA(XLOOKUP(J642,'⚙️ Pengaturan'!$E$2:$E3237,'⚙️ Pengaturan'!$F$2:$F3237),"")</f>
        <v>250000</v>
      </c>
      <c r="Q642" s="147">
        <f t="shared" si="9"/>
        <v>0</v>
      </c>
      <c r="R642" s="41" t="s">
        <v>32</v>
      </c>
      <c r="S642" s="69" t="s">
        <v>33</v>
      </c>
      <c r="T642" s="51" t="b">
        <v>1</v>
      </c>
      <c r="U642" s="94"/>
    </row>
    <row r="643" ht="30.0" customHeight="1">
      <c r="A643" s="39"/>
      <c r="B643" s="40">
        <v>2676.0</v>
      </c>
      <c r="C643" s="41" t="s">
        <v>79</v>
      </c>
      <c r="D643" s="86">
        <v>46063.0</v>
      </c>
      <c r="E643" s="43" t="str">
        <f t="shared" si="1"/>
        <v>2026</v>
      </c>
      <c r="F643" s="43" t="str">
        <f t="shared" si="2"/>
        <v>02 Feb</v>
      </c>
      <c r="G643" s="126" t="s">
        <v>161</v>
      </c>
      <c r="H643" s="45" t="s">
        <v>96</v>
      </c>
      <c r="I643" s="45" t="s">
        <v>277</v>
      </c>
      <c r="J643" s="143" t="s">
        <v>120</v>
      </c>
      <c r="K643" s="43" t="str">
        <f t="array" ref="K643">IF(J643="","", XLOOKUP(J643,'⚙️ Pengaturan'!$E$2:$E3237,'⚙️ Pengaturan'!$G$2:$G3237))</f>
        <v>KLINIK FT SESI</v>
      </c>
      <c r="L643" s="43" t="str">
        <f t="shared" si="3"/>
        <v>LANJUTAN</v>
      </c>
      <c r="M643" s="144" t="s">
        <v>31</v>
      </c>
      <c r="N643" s="145">
        <v>180000.0</v>
      </c>
      <c r="O643" s="146">
        <v>0.0</v>
      </c>
      <c r="P643" s="48">
        <f t="array" ref="P643">IFNA(XLOOKUP(J643,'⚙️ Pengaturan'!$E$2:$E3237,'⚙️ Pengaturan'!$F$2:$F3237),"")</f>
        <v>180000</v>
      </c>
      <c r="Q643" s="147">
        <f t="shared" si="9"/>
        <v>0</v>
      </c>
      <c r="R643" s="41" t="s">
        <v>32</v>
      </c>
      <c r="S643" s="69" t="s">
        <v>33</v>
      </c>
      <c r="T643" s="51" t="b">
        <v>1</v>
      </c>
      <c r="U643" s="94"/>
    </row>
    <row r="644" ht="30.0" customHeight="1">
      <c r="A644" s="39"/>
      <c r="B644" s="40">
        <v>2677.0</v>
      </c>
      <c r="C644" s="41" t="s">
        <v>79</v>
      </c>
      <c r="D644" s="86">
        <v>46063.0</v>
      </c>
      <c r="E644" s="43" t="str">
        <f t="shared" si="1"/>
        <v>2026</v>
      </c>
      <c r="F644" s="43" t="str">
        <f t="shared" si="2"/>
        <v>02 Feb</v>
      </c>
      <c r="G644" s="126" t="s">
        <v>161</v>
      </c>
      <c r="H644" s="45" t="s">
        <v>76</v>
      </c>
      <c r="I644" s="45" t="s">
        <v>786</v>
      </c>
      <c r="J644" s="143" t="s">
        <v>120</v>
      </c>
      <c r="K644" s="43" t="str">
        <f t="array" ref="K644">IF(J644="","", XLOOKUP(J644,'⚙️ Pengaturan'!$E$2:$E3237,'⚙️ Pengaturan'!$G$2:$G3237))</f>
        <v>KLINIK FT SESI</v>
      </c>
      <c r="L644" s="43" t="str">
        <f t="shared" si="3"/>
        <v>BARU</v>
      </c>
      <c r="M644" s="144" t="s">
        <v>31</v>
      </c>
      <c r="N644" s="145">
        <v>180000.0</v>
      </c>
      <c r="O644" s="146">
        <v>0.0</v>
      </c>
      <c r="P644" s="48">
        <f t="array" ref="P644">IFNA(XLOOKUP(J644,'⚙️ Pengaturan'!$E$2:$E3237,'⚙️ Pengaturan'!$F$2:$F3237),"")</f>
        <v>180000</v>
      </c>
      <c r="Q644" s="147">
        <f t="shared" si="9"/>
        <v>0</v>
      </c>
      <c r="R644" s="41" t="s">
        <v>32</v>
      </c>
      <c r="S644" s="69" t="s">
        <v>33</v>
      </c>
      <c r="T644" s="51" t="b">
        <v>1</v>
      </c>
      <c r="U644" s="94"/>
    </row>
    <row r="645" ht="30.0" customHeight="1">
      <c r="A645" s="39"/>
      <c r="B645" s="40">
        <v>2678.0</v>
      </c>
      <c r="C645" s="41" t="s">
        <v>50</v>
      </c>
      <c r="D645" s="86">
        <v>46063.0</v>
      </c>
      <c r="E645" s="43" t="str">
        <f t="shared" si="1"/>
        <v>2026</v>
      </c>
      <c r="F645" s="43" t="str">
        <f t="shared" si="2"/>
        <v>02 Feb</v>
      </c>
      <c r="G645" s="126" t="s">
        <v>69</v>
      </c>
      <c r="H645" s="45" t="s">
        <v>26</v>
      </c>
      <c r="I645" s="45" t="s">
        <v>781</v>
      </c>
      <c r="J645" s="143" t="s">
        <v>365</v>
      </c>
      <c r="K645" s="43" t="str">
        <f t="array" ref="K645">IF(J645="","", XLOOKUP(J645,'⚙️ Pengaturan'!$E$2:$E3237,'⚙️ Pengaturan'!$G$2:$G3237))</f>
        <v>VISIT FT SESI</v>
      </c>
      <c r="L645" s="43" t="str">
        <f t="shared" si="3"/>
        <v>BARU</v>
      </c>
      <c r="M645" s="144" t="s">
        <v>31</v>
      </c>
      <c r="N645" s="145">
        <v>250000.0</v>
      </c>
      <c r="O645" s="146">
        <v>0.0</v>
      </c>
      <c r="P645" s="48">
        <f t="array" ref="P645">IFNA(XLOOKUP(J645,'⚙️ Pengaturan'!$E$2:$E3237,'⚙️ Pengaturan'!$F$2:$F3237),"")</f>
        <v>250000</v>
      </c>
      <c r="Q645" s="147">
        <f t="shared" si="9"/>
        <v>0</v>
      </c>
      <c r="R645" s="41" t="s">
        <v>32</v>
      </c>
      <c r="S645" s="69" t="s">
        <v>33</v>
      </c>
      <c r="T645" s="51" t="b">
        <v>1</v>
      </c>
      <c r="U645" s="94"/>
    </row>
    <row r="646" ht="30.0" customHeight="1">
      <c r="A646" s="39"/>
      <c r="B646" s="40">
        <v>2679.0</v>
      </c>
      <c r="C646" s="41" t="s">
        <v>50</v>
      </c>
      <c r="D646" s="86">
        <v>46063.0</v>
      </c>
      <c r="E646" s="43" t="str">
        <f t="shared" si="1"/>
        <v>2026</v>
      </c>
      <c r="F646" s="43" t="str">
        <f t="shared" si="2"/>
        <v>02 Feb</v>
      </c>
      <c r="G646" s="126" t="s">
        <v>40</v>
      </c>
      <c r="H646" s="45" t="s">
        <v>150</v>
      </c>
      <c r="I646" s="45" t="s">
        <v>790</v>
      </c>
      <c r="J646" s="143" t="s">
        <v>28</v>
      </c>
      <c r="K646" s="43" t="str">
        <f t="array" ref="K646">IF(J646="","", XLOOKUP(J646,'⚙️ Pengaturan'!$E$2:$E3237,'⚙️ Pengaturan'!$G$2:$G3237))</f>
        <v>KLINIK FT TA</v>
      </c>
      <c r="L646" s="43" t="str">
        <f t="shared" si="3"/>
        <v>BARU</v>
      </c>
      <c r="M646" s="144" t="s">
        <v>31</v>
      </c>
      <c r="N646" s="145">
        <v>250000.0</v>
      </c>
      <c r="O646" s="146">
        <v>0.0</v>
      </c>
      <c r="P646" s="48">
        <f t="array" ref="P646">IFNA(XLOOKUP(J646,'⚙️ Pengaturan'!$E$2:$E3237,'⚙️ Pengaturan'!$F$2:$F3237),"")</f>
        <v>250000</v>
      </c>
      <c r="Q646" s="147">
        <f t="shared" si="9"/>
        <v>0</v>
      </c>
      <c r="R646" s="41" t="s">
        <v>32</v>
      </c>
      <c r="S646" s="69" t="s">
        <v>33</v>
      </c>
      <c r="T646" s="51" t="b">
        <v>1</v>
      </c>
      <c r="U646" s="94"/>
    </row>
    <row r="647" ht="30.0" customHeight="1">
      <c r="A647" s="39"/>
      <c r="B647" s="40">
        <v>2680.0</v>
      </c>
      <c r="C647" s="41" t="s">
        <v>50</v>
      </c>
      <c r="D647" s="86">
        <v>46063.0</v>
      </c>
      <c r="E647" s="43" t="str">
        <f t="shared" si="1"/>
        <v>2026</v>
      </c>
      <c r="F647" s="43" t="str">
        <f t="shared" si="2"/>
        <v>02 Feb</v>
      </c>
      <c r="G647" s="126" t="s">
        <v>40</v>
      </c>
      <c r="H647" s="45" t="s">
        <v>162</v>
      </c>
      <c r="I647" s="45" t="s">
        <v>791</v>
      </c>
      <c r="J647" s="143" t="s">
        <v>28</v>
      </c>
      <c r="K647" s="43" t="str">
        <f t="array" ref="K647">IF(J647="","", XLOOKUP(J647,'⚙️ Pengaturan'!$E$2:$E3237,'⚙️ Pengaturan'!$G$2:$G3237))</f>
        <v>KLINIK FT TA</v>
      </c>
      <c r="L647" s="43" t="str">
        <f t="shared" si="3"/>
        <v>BARU</v>
      </c>
      <c r="M647" s="144" t="s">
        <v>31</v>
      </c>
      <c r="N647" s="145">
        <v>250000.0</v>
      </c>
      <c r="O647" s="146">
        <v>0.0</v>
      </c>
      <c r="P647" s="48">
        <f t="array" ref="P647">IFNA(XLOOKUP(J647,'⚙️ Pengaturan'!$E$2:$E3237,'⚙️ Pengaturan'!$F$2:$F3237),"")</f>
        <v>250000</v>
      </c>
      <c r="Q647" s="147">
        <f t="shared" si="9"/>
        <v>0</v>
      </c>
      <c r="R647" s="41" t="s">
        <v>37</v>
      </c>
      <c r="S647" s="69" t="s">
        <v>791</v>
      </c>
      <c r="T647" s="51" t="b">
        <v>1</v>
      </c>
      <c r="U647" s="94"/>
    </row>
    <row r="648" ht="30.0" customHeight="1">
      <c r="A648" s="39"/>
      <c r="B648" s="40">
        <v>2681.0</v>
      </c>
      <c r="C648" s="41" t="s">
        <v>50</v>
      </c>
      <c r="D648" s="86">
        <v>46063.0</v>
      </c>
      <c r="E648" s="43" t="str">
        <f t="shared" si="1"/>
        <v>2026</v>
      </c>
      <c r="F648" s="43" t="str">
        <f t="shared" si="2"/>
        <v>02 Feb</v>
      </c>
      <c r="G648" s="126" t="s">
        <v>43</v>
      </c>
      <c r="H648" s="45" t="s">
        <v>26</v>
      </c>
      <c r="I648" s="45" t="s">
        <v>792</v>
      </c>
      <c r="J648" s="143" t="s">
        <v>28</v>
      </c>
      <c r="K648" s="43" t="str">
        <f t="array" ref="K648">IF(J648="","", XLOOKUP(J648,'⚙️ Pengaturan'!$E$2:$E3237,'⚙️ Pengaturan'!$G$2:$G3237))</f>
        <v>KLINIK FT TA</v>
      </c>
      <c r="L648" s="43" t="str">
        <f t="shared" si="3"/>
        <v>BARU</v>
      </c>
      <c r="M648" s="144" t="s">
        <v>31</v>
      </c>
      <c r="N648" s="145">
        <v>250000.0</v>
      </c>
      <c r="O648" s="146">
        <v>0.0</v>
      </c>
      <c r="P648" s="48">
        <f t="array" ref="P648">IFNA(XLOOKUP(J648,'⚙️ Pengaturan'!$E$2:$E3237,'⚙️ Pengaturan'!$F$2:$F3237),"")</f>
        <v>250000</v>
      </c>
      <c r="Q648" s="147">
        <f t="shared" si="9"/>
        <v>0</v>
      </c>
      <c r="R648" s="41" t="s">
        <v>37</v>
      </c>
      <c r="S648" s="69" t="s">
        <v>792</v>
      </c>
      <c r="T648" s="51" t="b">
        <v>1</v>
      </c>
      <c r="U648" s="94"/>
    </row>
    <row r="649" ht="30.0" customHeight="1">
      <c r="A649" s="39"/>
      <c r="B649" s="40">
        <v>2682.0</v>
      </c>
      <c r="C649" s="41" t="s">
        <v>50</v>
      </c>
      <c r="D649" s="86">
        <v>46063.0</v>
      </c>
      <c r="E649" s="43" t="str">
        <f t="shared" si="1"/>
        <v>2026</v>
      </c>
      <c r="F649" s="43" t="str">
        <f t="shared" si="2"/>
        <v>02 Feb</v>
      </c>
      <c r="G649" s="126" t="s">
        <v>43</v>
      </c>
      <c r="H649" s="45" t="s">
        <v>166</v>
      </c>
      <c r="I649" s="45" t="s">
        <v>679</v>
      </c>
      <c r="J649" s="143" t="s">
        <v>180</v>
      </c>
      <c r="K649" s="43" t="str">
        <f t="array" ref="K649">IF(J649="","", XLOOKUP(J649,'⚙️ Pengaturan'!$E$2:$E3237,'⚙️ Pengaturan'!$G$2:$G3237))</f>
        <v>KLINIK FT SESI</v>
      </c>
      <c r="L649" s="43" t="str">
        <f t="shared" si="3"/>
        <v>LANJUTAN</v>
      </c>
      <c r="M649" s="144" t="s">
        <v>31</v>
      </c>
      <c r="N649" s="145">
        <v>150000.0</v>
      </c>
      <c r="O649" s="146">
        <v>0.0</v>
      </c>
      <c r="P649" s="48">
        <f t="array" ref="P649">IFNA(XLOOKUP(J649,'⚙️ Pengaturan'!$E$2:$E3237,'⚙️ Pengaturan'!$F$2:$F3237),"")</f>
        <v>150000</v>
      </c>
      <c r="Q649" s="147">
        <f t="shared" si="9"/>
        <v>0</v>
      </c>
      <c r="R649" s="41" t="s">
        <v>32</v>
      </c>
      <c r="S649" s="69" t="s">
        <v>33</v>
      </c>
      <c r="T649" s="51" t="b">
        <v>1</v>
      </c>
      <c r="U649" s="94"/>
    </row>
    <row r="650" ht="30.0" customHeight="1">
      <c r="A650" s="39"/>
      <c r="B650" s="40">
        <v>2683.0</v>
      </c>
      <c r="C650" s="41" t="s">
        <v>79</v>
      </c>
      <c r="D650" s="86">
        <v>46064.0</v>
      </c>
      <c r="E650" s="43" t="str">
        <f t="shared" si="1"/>
        <v>2026</v>
      </c>
      <c r="F650" s="43" t="str">
        <f t="shared" si="2"/>
        <v>02 Feb</v>
      </c>
      <c r="G650" s="126" t="s">
        <v>206</v>
      </c>
      <c r="H650" s="45" t="s">
        <v>96</v>
      </c>
      <c r="I650" s="45" t="s">
        <v>277</v>
      </c>
      <c r="J650" s="143" t="s">
        <v>120</v>
      </c>
      <c r="K650" s="43" t="str">
        <f t="array" ref="K650">IF(J650="","", XLOOKUP(J650,'⚙️ Pengaturan'!$E$2:$E3237,'⚙️ Pengaturan'!$G$2:$G3237))</f>
        <v>KLINIK FT SESI</v>
      </c>
      <c r="L650" s="43" t="str">
        <f t="shared" si="3"/>
        <v>LANJUTAN</v>
      </c>
      <c r="M650" s="144" t="s">
        <v>31</v>
      </c>
      <c r="N650" s="145">
        <v>180000.0</v>
      </c>
      <c r="O650" s="146">
        <v>0.0</v>
      </c>
      <c r="P650" s="48">
        <f t="array" ref="P650">IFNA(XLOOKUP(J650,'⚙️ Pengaturan'!$E$2:$E3237,'⚙️ Pengaturan'!$F$2:$F3237),"")</f>
        <v>180000</v>
      </c>
      <c r="Q650" s="147">
        <f t="shared" si="9"/>
        <v>0</v>
      </c>
      <c r="R650" s="41" t="s">
        <v>32</v>
      </c>
      <c r="S650" s="69" t="s">
        <v>33</v>
      </c>
      <c r="T650" s="51" t="b">
        <v>1</v>
      </c>
      <c r="U650" s="94"/>
    </row>
    <row r="651" ht="30.0" customHeight="1">
      <c r="A651" s="39"/>
      <c r="B651" s="40">
        <v>2684.0</v>
      </c>
      <c r="C651" s="41" t="s">
        <v>79</v>
      </c>
      <c r="D651" s="86">
        <v>46076.0</v>
      </c>
      <c r="E651" s="43" t="str">
        <f t="shared" si="1"/>
        <v>2026</v>
      </c>
      <c r="F651" s="43" t="str">
        <f t="shared" si="2"/>
        <v>02 Feb</v>
      </c>
      <c r="G651" s="126" t="s">
        <v>206</v>
      </c>
      <c r="H651" s="45" t="s">
        <v>47</v>
      </c>
      <c r="I651" s="45" t="s">
        <v>705</v>
      </c>
      <c r="J651" s="143" t="s">
        <v>56</v>
      </c>
      <c r="K651" s="43" t="str">
        <f t="array" ref="K651">IF(J651="","", XLOOKUP(J651,'⚙️ Pengaturan'!$E$2:$E3237,'⚙️ Pengaturan'!$G$2:$G3237))</f>
        <v>KLINIK FT PAKET</v>
      </c>
      <c r="L651" s="43" t="str">
        <f t="shared" si="3"/>
        <v>LANJUTAN</v>
      </c>
      <c r="M651" s="144" t="s">
        <v>31</v>
      </c>
      <c r="N651" s="145">
        <v>650000.0</v>
      </c>
      <c r="O651" s="146">
        <v>0.0</v>
      </c>
      <c r="P651" s="48">
        <f t="array" ref="P651">IFNA(XLOOKUP(J651,'⚙️ Pengaturan'!$E$2:$E3237,'⚙️ Pengaturan'!$F$2:$F3237),"")</f>
        <v>650000</v>
      </c>
      <c r="Q651" s="147">
        <f t="shared" si="9"/>
        <v>0</v>
      </c>
      <c r="R651" s="41" t="s">
        <v>37</v>
      </c>
      <c r="S651" s="69" t="s">
        <v>705</v>
      </c>
      <c r="T651" s="51" t="b">
        <v>1</v>
      </c>
      <c r="U651" s="94"/>
    </row>
    <row r="652" ht="30.0" customHeight="1">
      <c r="A652" s="39"/>
      <c r="B652" s="40">
        <v>2685.0</v>
      </c>
      <c r="C652" s="41" t="s">
        <v>79</v>
      </c>
      <c r="D652" s="86">
        <v>46064.0</v>
      </c>
      <c r="E652" s="43" t="str">
        <f t="shared" si="1"/>
        <v>2026</v>
      </c>
      <c r="F652" s="43" t="str">
        <f t="shared" si="2"/>
        <v>02 Feb</v>
      </c>
      <c r="G652" s="126" t="s">
        <v>206</v>
      </c>
      <c r="H652" s="45" t="s">
        <v>76</v>
      </c>
      <c r="I652" s="45" t="s">
        <v>793</v>
      </c>
      <c r="J652" s="143" t="s">
        <v>28</v>
      </c>
      <c r="K652" s="43" t="str">
        <f t="array" ref="K652">IF(J652="","", XLOOKUP(J652,'⚙️ Pengaturan'!$E$2:$E3237,'⚙️ Pengaturan'!$G$2:$G3237))</f>
        <v>KLINIK FT TA</v>
      </c>
      <c r="L652" s="43" t="str">
        <f t="shared" si="3"/>
        <v>BARU</v>
      </c>
      <c r="M652" s="144" t="s">
        <v>31</v>
      </c>
      <c r="N652" s="145">
        <v>250000.0</v>
      </c>
      <c r="O652" s="146">
        <v>0.0</v>
      </c>
      <c r="P652" s="48">
        <f t="array" ref="P652">IFNA(XLOOKUP(J652,'⚙️ Pengaturan'!$E$2:$E3237,'⚙️ Pengaturan'!$F$2:$F3237),"")</f>
        <v>250000</v>
      </c>
      <c r="Q652" s="147">
        <f t="shared" si="9"/>
        <v>0</v>
      </c>
      <c r="R652" s="41" t="s">
        <v>37</v>
      </c>
      <c r="S652" s="69" t="s">
        <v>793</v>
      </c>
      <c r="T652" s="51" t="b">
        <v>1</v>
      </c>
      <c r="U652" s="94"/>
    </row>
    <row r="653" ht="30.0" customHeight="1">
      <c r="A653" s="39"/>
      <c r="B653" s="40">
        <v>2686.0</v>
      </c>
      <c r="C653" s="41" t="s">
        <v>79</v>
      </c>
      <c r="D653" s="86">
        <v>46064.0</v>
      </c>
      <c r="E653" s="43" t="str">
        <f t="shared" si="1"/>
        <v>2026</v>
      </c>
      <c r="F653" s="43" t="str">
        <f t="shared" si="2"/>
        <v>02 Feb</v>
      </c>
      <c r="G653" s="126" t="s">
        <v>161</v>
      </c>
      <c r="H653" s="45" t="s">
        <v>47</v>
      </c>
      <c r="I653" s="45" t="s">
        <v>597</v>
      </c>
      <c r="J653" s="143" t="s">
        <v>28</v>
      </c>
      <c r="K653" s="43" t="str">
        <f t="array" ref="K653">IF(J653="","", XLOOKUP(J653,'⚙️ Pengaturan'!$E$2:$E3237,'⚙️ Pengaturan'!$G$2:$G3237))</f>
        <v>KLINIK FT TA</v>
      </c>
      <c r="L653" s="43" t="str">
        <f t="shared" si="3"/>
        <v>BARU</v>
      </c>
      <c r="M653" s="144" t="s">
        <v>31</v>
      </c>
      <c r="N653" s="145">
        <v>150000.0</v>
      </c>
      <c r="O653" s="146">
        <v>100000.0</v>
      </c>
      <c r="P653" s="48">
        <f t="array" ref="P653">IFNA(XLOOKUP(J653,'⚙️ Pengaturan'!$E$2:$E3237,'⚙️ Pengaturan'!$F$2:$F3237),"")</f>
        <v>250000</v>
      </c>
      <c r="Q653" s="147">
        <f t="shared" si="9"/>
        <v>0</v>
      </c>
      <c r="R653" s="41" t="s">
        <v>37</v>
      </c>
      <c r="S653" s="69" t="s">
        <v>794</v>
      </c>
      <c r="T653" s="51" t="b">
        <v>1</v>
      </c>
      <c r="U653" s="94"/>
    </row>
    <row r="654" ht="30.0" customHeight="1">
      <c r="A654" s="39"/>
      <c r="B654" s="40">
        <v>2687.0</v>
      </c>
      <c r="C654" s="41" t="s">
        <v>79</v>
      </c>
      <c r="D654" s="86">
        <v>46064.0</v>
      </c>
      <c r="E654" s="43" t="str">
        <f t="shared" si="1"/>
        <v>2026</v>
      </c>
      <c r="F654" s="43" t="str">
        <f t="shared" si="2"/>
        <v>02 Feb</v>
      </c>
      <c r="G654" s="126" t="s">
        <v>35</v>
      </c>
      <c r="H654" s="45" t="s">
        <v>96</v>
      </c>
      <c r="I654" s="45" t="s">
        <v>769</v>
      </c>
      <c r="J654" s="143" t="s">
        <v>120</v>
      </c>
      <c r="K654" s="43" t="str">
        <f t="array" ref="K654">IF(J654="","", XLOOKUP(J654,'⚙️ Pengaturan'!$E$2:$E3237,'⚙️ Pengaturan'!$G$2:$G3237))</f>
        <v>KLINIK FT SESI</v>
      </c>
      <c r="L654" s="43" t="str">
        <f t="shared" si="3"/>
        <v>LANJUTAN</v>
      </c>
      <c r="M654" s="144" t="s">
        <v>31</v>
      </c>
      <c r="N654" s="145">
        <v>180000.0</v>
      </c>
      <c r="O654" s="146">
        <v>0.0</v>
      </c>
      <c r="P654" s="48">
        <f t="array" ref="P654">IFNA(XLOOKUP(J654,'⚙️ Pengaturan'!$E$2:$E3237,'⚙️ Pengaturan'!$F$2:$F3237),"")</f>
        <v>180000</v>
      </c>
      <c r="Q654" s="147">
        <f t="shared" si="9"/>
        <v>0</v>
      </c>
      <c r="R654" s="41" t="s">
        <v>37</v>
      </c>
      <c r="S654" s="69" t="s">
        <v>769</v>
      </c>
      <c r="T654" s="51" t="b">
        <v>1</v>
      </c>
      <c r="U654" s="94"/>
    </row>
    <row r="655" ht="30.0" customHeight="1">
      <c r="A655" s="39"/>
      <c r="B655" s="40">
        <v>2688.0</v>
      </c>
      <c r="C655" s="41" t="s">
        <v>79</v>
      </c>
      <c r="D655" s="86">
        <v>46064.0</v>
      </c>
      <c r="E655" s="43" t="str">
        <f t="shared" si="1"/>
        <v>2026</v>
      </c>
      <c r="F655" s="43" t="str">
        <f t="shared" si="2"/>
        <v>02 Feb</v>
      </c>
      <c r="G655" s="126" t="s">
        <v>35</v>
      </c>
      <c r="H655" s="45" t="s">
        <v>41</v>
      </c>
      <c r="I655" s="45" t="s">
        <v>795</v>
      </c>
      <c r="J655" s="143" t="s">
        <v>28</v>
      </c>
      <c r="K655" s="43" t="str">
        <f t="array" ref="K655">IF(J655="","", XLOOKUP(J655,'⚙️ Pengaturan'!$E$2:$E3237,'⚙️ Pengaturan'!$G$2:$G3237))</f>
        <v>KLINIK FT TA</v>
      </c>
      <c r="L655" s="43" t="str">
        <f t="shared" si="3"/>
        <v>BARU</v>
      </c>
      <c r="M655" s="144" t="s">
        <v>31</v>
      </c>
      <c r="N655" s="145">
        <v>250000.0</v>
      </c>
      <c r="O655" s="146">
        <v>0.0</v>
      </c>
      <c r="P655" s="48">
        <f t="array" ref="P655">IFNA(XLOOKUP(J655,'⚙️ Pengaturan'!$E$2:$E3237,'⚙️ Pengaturan'!$F$2:$F3237),"")</f>
        <v>250000</v>
      </c>
      <c r="Q655" s="147">
        <f t="shared" si="9"/>
        <v>0</v>
      </c>
      <c r="R655" s="41" t="s">
        <v>32</v>
      </c>
      <c r="S655" s="69" t="s">
        <v>33</v>
      </c>
      <c r="T655" s="51" t="b">
        <v>1</v>
      </c>
      <c r="U655" s="94"/>
    </row>
    <row r="656" ht="30.0" customHeight="1">
      <c r="A656" s="39"/>
      <c r="B656" s="40">
        <v>2689.0</v>
      </c>
      <c r="C656" s="41" t="s">
        <v>79</v>
      </c>
      <c r="D656" s="86">
        <v>46065.0</v>
      </c>
      <c r="E656" s="43" t="str">
        <f t="shared" si="1"/>
        <v>2026</v>
      </c>
      <c r="F656" s="43" t="str">
        <f t="shared" si="2"/>
        <v>02 Feb</v>
      </c>
      <c r="G656" s="126" t="s">
        <v>35</v>
      </c>
      <c r="H656" s="45" t="s">
        <v>149</v>
      </c>
      <c r="I656" s="45" t="s">
        <v>796</v>
      </c>
      <c r="J656" s="143" t="s">
        <v>28</v>
      </c>
      <c r="K656" s="43" t="str">
        <f t="array" ref="K656">IF(J656="","", XLOOKUP(J656,'⚙️ Pengaturan'!$E$2:$E3237,'⚙️ Pengaturan'!$G$2:$G3237))</f>
        <v>KLINIK FT TA</v>
      </c>
      <c r="L656" s="43" t="str">
        <f t="shared" si="3"/>
        <v>BARU</v>
      </c>
      <c r="M656" s="144" t="s">
        <v>31</v>
      </c>
      <c r="N656" s="145">
        <v>250000.0</v>
      </c>
      <c r="O656" s="146">
        <v>0.0</v>
      </c>
      <c r="P656" s="48">
        <f t="array" ref="P656">IFNA(XLOOKUP(J656,'⚙️ Pengaturan'!$E$2:$E3237,'⚙️ Pengaturan'!$F$2:$F3237),"")</f>
        <v>250000</v>
      </c>
      <c r="Q656" s="147">
        <f t="shared" si="9"/>
        <v>0</v>
      </c>
      <c r="R656" s="41" t="s">
        <v>37</v>
      </c>
      <c r="S656" s="69" t="s">
        <v>796</v>
      </c>
      <c r="T656" s="51" t="b">
        <v>1</v>
      </c>
      <c r="U656" s="94"/>
    </row>
    <row r="657" ht="30.0" customHeight="1">
      <c r="A657" s="39"/>
      <c r="B657" s="40">
        <v>2690.0</v>
      </c>
      <c r="C657" s="41" t="s">
        <v>79</v>
      </c>
      <c r="D657" s="86">
        <v>46065.0</v>
      </c>
      <c r="E657" s="43" t="str">
        <f t="shared" si="1"/>
        <v>2026</v>
      </c>
      <c r="F657" s="43" t="str">
        <f t="shared" si="2"/>
        <v>02 Feb</v>
      </c>
      <c r="G657" s="126" t="s">
        <v>35</v>
      </c>
      <c r="H657" s="45" t="s">
        <v>149</v>
      </c>
      <c r="I657" s="45" t="s">
        <v>796</v>
      </c>
      <c r="J657" s="143" t="s">
        <v>349</v>
      </c>
      <c r="K657" s="43" t="str">
        <f t="array" ref="K657">IF(J657="","", XLOOKUP(J657,'⚙️ Pengaturan'!$E$2:$E3237,'⚙️ Pengaturan'!$G$2:$G3237))</f>
        <v>KLINIK FT PAKET</v>
      </c>
      <c r="L657" s="43" t="str">
        <f t="shared" si="3"/>
        <v>BARU</v>
      </c>
      <c r="M657" s="144" t="s">
        <v>31</v>
      </c>
      <c r="N657" s="145">
        <v>2400000.0</v>
      </c>
      <c r="O657" s="146">
        <v>0.0</v>
      </c>
      <c r="P657" s="48">
        <f t="array" ref="P657">IFNA(XLOOKUP(J657,'⚙️ Pengaturan'!$E$2:$E3237,'⚙️ Pengaturan'!$F$2:$F3237),"")</f>
        <v>2400000</v>
      </c>
      <c r="Q657" s="147">
        <f t="shared" si="9"/>
        <v>0</v>
      </c>
      <c r="R657" s="41" t="s">
        <v>37</v>
      </c>
      <c r="S657" s="69" t="s">
        <v>796</v>
      </c>
      <c r="T657" s="51" t="b">
        <v>1</v>
      </c>
      <c r="U657" s="94"/>
    </row>
    <row r="658" ht="30.0" customHeight="1">
      <c r="A658" s="39"/>
      <c r="B658" s="40">
        <v>2691.0</v>
      </c>
      <c r="C658" s="41" t="s">
        <v>50</v>
      </c>
      <c r="D658" s="86">
        <v>46064.0</v>
      </c>
      <c r="E658" s="43" t="str">
        <f t="shared" si="1"/>
        <v>2026</v>
      </c>
      <c r="F658" s="43" t="str">
        <f t="shared" si="2"/>
        <v>02 Feb</v>
      </c>
      <c r="G658" s="126" t="s">
        <v>69</v>
      </c>
      <c r="H658" s="45" t="s">
        <v>26</v>
      </c>
      <c r="I658" s="45" t="s">
        <v>781</v>
      </c>
      <c r="J658" s="143" t="s">
        <v>365</v>
      </c>
      <c r="K658" s="43" t="str">
        <f t="array" ref="K658">IF(J658="","", XLOOKUP(J658,'⚙️ Pengaturan'!$E$2:$E3237,'⚙️ Pengaturan'!$G$2:$G3237))</f>
        <v>VISIT FT SESI</v>
      </c>
      <c r="L658" s="43" t="str">
        <f t="shared" si="3"/>
        <v>LANJUTAN</v>
      </c>
      <c r="M658" s="144" t="s">
        <v>31</v>
      </c>
      <c r="N658" s="145">
        <v>250000.0</v>
      </c>
      <c r="O658" s="146">
        <v>0.0</v>
      </c>
      <c r="P658" s="48">
        <f t="array" ref="P658">IFNA(XLOOKUP(J658,'⚙️ Pengaturan'!$E$2:$E3237,'⚙️ Pengaturan'!$F$2:$F3237),"")</f>
        <v>250000</v>
      </c>
      <c r="Q658" s="147">
        <f t="shared" si="9"/>
        <v>0</v>
      </c>
      <c r="R658" s="41" t="s">
        <v>32</v>
      </c>
      <c r="S658" s="69" t="s">
        <v>33</v>
      </c>
      <c r="T658" s="51" t="b">
        <v>1</v>
      </c>
      <c r="U658" s="94"/>
    </row>
    <row r="659" ht="30.0" customHeight="1">
      <c r="A659" s="39"/>
      <c r="B659" s="40">
        <v>2692.0</v>
      </c>
      <c r="C659" s="41" t="s">
        <v>50</v>
      </c>
      <c r="D659" s="86">
        <v>46064.0</v>
      </c>
      <c r="E659" s="43" t="str">
        <f t="shared" si="1"/>
        <v>2026</v>
      </c>
      <c r="F659" s="43" t="str">
        <f t="shared" si="2"/>
        <v>02 Feb</v>
      </c>
      <c r="G659" s="126" t="s">
        <v>40</v>
      </c>
      <c r="H659" s="45" t="s">
        <v>166</v>
      </c>
      <c r="I659" s="45" t="s">
        <v>736</v>
      </c>
      <c r="J659" s="143" t="s">
        <v>119</v>
      </c>
      <c r="K659" s="43" t="str">
        <f t="array" ref="K659">IF(J659="","", XLOOKUP(J659,'⚙️ Pengaturan'!$E$2:$E3237,'⚙️ Pengaturan'!$G$2:$G3237))</f>
        <v>KLINIK FT PAKET</v>
      </c>
      <c r="L659" s="43" t="str">
        <f t="shared" si="3"/>
        <v>LANJUTAN</v>
      </c>
      <c r="M659" s="144" t="s">
        <v>164</v>
      </c>
      <c r="N659" s="145">
        <v>250000.0</v>
      </c>
      <c r="O659" s="146">
        <v>500000.0</v>
      </c>
      <c r="P659" s="48">
        <f t="array" ref="P659">IFNA(XLOOKUP(J659,'⚙️ Pengaturan'!$E$2:$E3237,'⚙️ Pengaturan'!$F$2:$F3237),"")</f>
        <v>750000</v>
      </c>
      <c r="Q659" s="147">
        <f t="shared" si="9"/>
        <v>0</v>
      </c>
      <c r="R659" s="41" t="s">
        <v>32</v>
      </c>
      <c r="S659" s="69" t="s">
        <v>33</v>
      </c>
      <c r="T659" s="51" t="b">
        <v>1</v>
      </c>
      <c r="U659" s="94"/>
    </row>
    <row r="660" ht="30.0" customHeight="1">
      <c r="A660" s="39"/>
      <c r="B660" s="40">
        <v>2693.0</v>
      </c>
      <c r="C660" s="41" t="s">
        <v>50</v>
      </c>
      <c r="D660" s="86">
        <v>46064.0</v>
      </c>
      <c r="E660" s="43" t="str">
        <f t="shared" si="1"/>
        <v>2026</v>
      </c>
      <c r="F660" s="43" t="str">
        <f t="shared" si="2"/>
        <v>02 Feb</v>
      </c>
      <c r="G660" s="126" t="s">
        <v>40</v>
      </c>
      <c r="H660" s="45" t="s">
        <v>26</v>
      </c>
      <c r="I660" s="45" t="s">
        <v>426</v>
      </c>
      <c r="J660" s="143" t="s">
        <v>56</v>
      </c>
      <c r="K660" s="43" t="str">
        <f t="array" ref="K660">IF(J660="","", XLOOKUP(J660,'⚙️ Pengaturan'!$E$2:$E3237,'⚙️ Pengaturan'!$G$2:$G3237))</f>
        <v>KLINIK FT PAKET</v>
      </c>
      <c r="L660" s="43" t="str">
        <f t="shared" si="3"/>
        <v>LANJUTAN</v>
      </c>
      <c r="M660" s="144" t="s">
        <v>31</v>
      </c>
      <c r="N660" s="145">
        <v>650000.0</v>
      </c>
      <c r="O660" s="146">
        <v>0.0</v>
      </c>
      <c r="P660" s="48">
        <f t="array" ref="P660">IFNA(XLOOKUP(J660,'⚙️ Pengaturan'!$E$2:$E3237,'⚙️ Pengaturan'!$F$2:$F3237),"")</f>
        <v>650000</v>
      </c>
      <c r="Q660" s="147">
        <f t="shared" si="9"/>
        <v>0</v>
      </c>
      <c r="R660" s="41" t="s">
        <v>37</v>
      </c>
      <c r="S660" s="69" t="s">
        <v>426</v>
      </c>
      <c r="T660" s="51" t="b">
        <v>1</v>
      </c>
      <c r="U660" s="94"/>
    </row>
    <row r="661" ht="30.0" customHeight="1">
      <c r="A661" s="39"/>
      <c r="B661" s="40">
        <v>2694.0</v>
      </c>
      <c r="C661" s="41" t="s">
        <v>50</v>
      </c>
      <c r="D661" s="86">
        <v>46064.0</v>
      </c>
      <c r="E661" s="43" t="str">
        <f t="shared" si="1"/>
        <v>2026</v>
      </c>
      <c r="F661" s="43" t="str">
        <f t="shared" si="2"/>
        <v>02 Feb</v>
      </c>
      <c r="G661" s="126" t="s">
        <v>43</v>
      </c>
      <c r="H661" s="45" t="s">
        <v>166</v>
      </c>
      <c r="I661" s="45" t="s">
        <v>779</v>
      </c>
      <c r="J661" s="143" t="s">
        <v>120</v>
      </c>
      <c r="K661" s="43" t="str">
        <f t="array" ref="K661">IF(J661="","", XLOOKUP(J661,'⚙️ Pengaturan'!$E$2:$E3237,'⚙️ Pengaturan'!$G$2:$G3237))</f>
        <v>KLINIK FT SESI</v>
      </c>
      <c r="L661" s="43" t="str">
        <f t="shared" si="3"/>
        <v>BARU</v>
      </c>
      <c r="M661" s="144" t="s">
        <v>31</v>
      </c>
      <c r="N661" s="145">
        <v>180000.0</v>
      </c>
      <c r="O661" s="146">
        <v>0.0</v>
      </c>
      <c r="P661" s="48">
        <f t="array" ref="P661">IFNA(XLOOKUP(J661,'⚙️ Pengaturan'!$E$2:$E3237,'⚙️ Pengaturan'!$F$2:$F3237),"")</f>
        <v>180000</v>
      </c>
      <c r="Q661" s="147">
        <f t="shared" si="9"/>
        <v>0</v>
      </c>
      <c r="R661" s="41" t="s">
        <v>37</v>
      </c>
      <c r="S661" s="69" t="s">
        <v>779</v>
      </c>
      <c r="T661" s="51" t="b">
        <v>1</v>
      </c>
      <c r="U661" s="94"/>
    </row>
    <row r="662" ht="30.0" customHeight="1">
      <c r="A662" s="39"/>
      <c r="B662" s="40">
        <v>2695.0</v>
      </c>
      <c r="C662" s="41" t="s">
        <v>50</v>
      </c>
      <c r="D662" s="86">
        <v>46064.0</v>
      </c>
      <c r="E662" s="43" t="str">
        <f t="shared" si="1"/>
        <v>2026</v>
      </c>
      <c r="F662" s="43" t="str">
        <f t="shared" si="2"/>
        <v>02 Feb</v>
      </c>
      <c r="G662" s="126" t="s">
        <v>43</v>
      </c>
      <c r="H662" s="45" t="s">
        <v>166</v>
      </c>
      <c r="I662" s="45" t="s">
        <v>779</v>
      </c>
      <c r="J662" s="143" t="s">
        <v>120</v>
      </c>
      <c r="K662" s="43" t="str">
        <f t="array" ref="K662">IF(J662="","", XLOOKUP(J662,'⚙️ Pengaturan'!$E$2:$E3237,'⚙️ Pengaturan'!$G$2:$G3237))</f>
        <v>KLINIK FT SESI</v>
      </c>
      <c r="L662" s="43" t="str">
        <f t="shared" si="3"/>
        <v>LANJUTAN</v>
      </c>
      <c r="M662" s="144" t="s">
        <v>31</v>
      </c>
      <c r="N662" s="145">
        <v>180000.0</v>
      </c>
      <c r="O662" s="146">
        <v>0.0</v>
      </c>
      <c r="P662" s="48">
        <f t="array" ref="P662">IFNA(XLOOKUP(J662,'⚙️ Pengaturan'!$E$2:$E3237,'⚙️ Pengaturan'!$F$2:$F3237),"")</f>
        <v>180000</v>
      </c>
      <c r="Q662" s="147">
        <f t="shared" si="9"/>
        <v>0</v>
      </c>
      <c r="R662" s="41" t="s">
        <v>37</v>
      </c>
      <c r="S662" s="69" t="s">
        <v>779</v>
      </c>
      <c r="T662" s="51" t="b">
        <v>1</v>
      </c>
      <c r="U662" s="94" t="s">
        <v>797</v>
      </c>
    </row>
    <row r="663" ht="30.0" customHeight="1">
      <c r="A663" s="39"/>
      <c r="B663" s="40">
        <v>2696.0</v>
      </c>
      <c r="C663" s="41" t="s">
        <v>50</v>
      </c>
      <c r="D663" s="86">
        <v>46064.0</v>
      </c>
      <c r="E663" s="43" t="str">
        <f t="shared" si="1"/>
        <v>2026</v>
      </c>
      <c r="F663" s="43" t="str">
        <f t="shared" si="2"/>
        <v>02 Feb</v>
      </c>
      <c r="G663" s="126" t="s">
        <v>43</v>
      </c>
      <c r="H663" s="45" t="s">
        <v>150</v>
      </c>
      <c r="I663" s="45" t="s">
        <v>787</v>
      </c>
      <c r="J663" s="143" t="s">
        <v>120</v>
      </c>
      <c r="K663" s="43" t="str">
        <f t="array" ref="K663">IF(J663="","", XLOOKUP(J663,'⚙️ Pengaturan'!$E$2:$E3237,'⚙️ Pengaturan'!$G$2:$G3237))</f>
        <v>KLINIK FT SESI</v>
      </c>
      <c r="L663" s="43" t="str">
        <f t="shared" si="3"/>
        <v>BARU</v>
      </c>
      <c r="M663" s="144" t="s">
        <v>31</v>
      </c>
      <c r="N663" s="145">
        <v>180000.0</v>
      </c>
      <c r="O663" s="146">
        <v>0.0</v>
      </c>
      <c r="P663" s="48">
        <f t="array" ref="P663">IFNA(XLOOKUP(J663,'⚙️ Pengaturan'!$E$2:$E3237,'⚙️ Pengaturan'!$F$2:$F3237),"")</f>
        <v>180000</v>
      </c>
      <c r="Q663" s="147">
        <f t="shared" si="9"/>
        <v>0</v>
      </c>
      <c r="R663" s="41" t="s">
        <v>37</v>
      </c>
      <c r="S663" s="69" t="s">
        <v>787</v>
      </c>
      <c r="T663" s="51" t="b">
        <v>1</v>
      </c>
      <c r="U663" s="94"/>
    </row>
    <row r="664" ht="30.0" customHeight="1">
      <c r="A664" s="39"/>
      <c r="B664" s="40">
        <v>2697.0</v>
      </c>
      <c r="C664" s="41" t="s">
        <v>50</v>
      </c>
      <c r="D664" s="86">
        <v>46064.0</v>
      </c>
      <c r="E664" s="43" t="str">
        <f t="shared" si="1"/>
        <v>2026</v>
      </c>
      <c r="F664" s="43" t="str">
        <f t="shared" si="2"/>
        <v>02 Feb</v>
      </c>
      <c r="G664" s="126" t="s">
        <v>43</v>
      </c>
      <c r="H664" s="45" t="s">
        <v>26</v>
      </c>
      <c r="I664" s="45" t="s">
        <v>780</v>
      </c>
      <c r="J664" s="143" t="s">
        <v>120</v>
      </c>
      <c r="K664" s="43" t="str">
        <f t="array" ref="K664">IF(J664="","", XLOOKUP(J664,'⚙️ Pengaturan'!$E$2:$E3237,'⚙️ Pengaturan'!$G$2:$G3237))</f>
        <v>KLINIK FT SESI</v>
      </c>
      <c r="L664" s="43" t="str">
        <f t="shared" si="3"/>
        <v>BARU</v>
      </c>
      <c r="M664" s="144" t="s">
        <v>31</v>
      </c>
      <c r="N664" s="145">
        <v>180000.0</v>
      </c>
      <c r="O664" s="146">
        <v>0.0</v>
      </c>
      <c r="P664" s="48">
        <f t="array" ref="P664">IFNA(XLOOKUP(J664,'⚙️ Pengaturan'!$E$2:$E3237,'⚙️ Pengaturan'!$F$2:$F3237),"")</f>
        <v>180000</v>
      </c>
      <c r="Q664" s="147">
        <f t="shared" si="9"/>
        <v>0</v>
      </c>
      <c r="R664" s="41" t="s">
        <v>37</v>
      </c>
      <c r="S664" s="69" t="s">
        <v>780</v>
      </c>
      <c r="T664" s="51" t="b">
        <v>1</v>
      </c>
      <c r="U664" s="94"/>
    </row>
    <row r="665" ht="30.0" customHeight="1">
      <c r="A665" s="39"/>
      <c r="B665" s="40">
        <v>2698.0</v>
      </c>
      <c r="C665" s="41" t="s">
        <v>50</v>
      </c>
      <c r="D665" s="86">
        <v>46064.0</v>
      </c>
      <c r="E665" s="43" t="str">
        <f t="shared" si="1"/>
        <v>2026</v>
      </c>
      <c r="F665" s="43" t="str">
        <f t="shared" si="2"/>
        <v>02 Feb</v>
      </c>
      <c r="G665" s="126" t="s">
        <v>43</v>
      </c>
      <c r="H665" s="45" t="s">
        <v>162</v>
      </c>
      <c r="I665" s="45" t="s">
        <v>777</v>
      </c>
      <c r="J665" s="143" t="s">
        <v>119</v>
      </c>
      <c r="K665" s="43" t="str">
        <f t="array" ref="K665">IF(J665="","", XLOOKUP(J665,'⚙️ Pengaturan'!$E$2:$E3237,'⚙️ Pengaturan'!$G$2:$G3237))</f>
        <v>KLINIK FT PAKET</v>
      </c>
      <c r="L665" s="43" t="str">
        <f t="shared" si="3"/>
        <v>BARU</v>
      </c>
      <c r="M665" s="144" t="s">
        <v>31</v>
      </c>
      <c r="N665" s="145">
        <v>750000.0</v>
      </c>
      <c r="O665" s="146">
        <v>0.0</v>
      </c>
      <c r="P665" s="48">
        <f t="array" ref="P665">IFNA(XLOOKUP(J665,'⚙️ Pengaturan'!$E$2:$E3237,'⚙️ Pengaturan'!$F$2:$F3237),"")</f>
        <v>750000</v>
      </c>
      <c r="Q665" s="147">
        <f t="shared" si="9"/>
        <v>0</v>
      </c>
      <c r="R665" s="41" t="s">
        <v>37</v>
      </c>
      <c r="S665" s="69" t="s">
        <v>777</v>
      </c>
      <c r="T665" s="51" t="b">
        <v>1</v>
      </c>
      <c r="U665" s="94"/>
    </row>
    <row r="666" ht="30.0" customHeight="1">
      <c r="A666" s="39"/>
      <c r="B666" s="40">
        <v>2699.0</v>
      </c>
      <c r="C666" s="41" t="s">
        <v>50</v>
      </c>
      <c r="D666" s="86">
        <v>46064.0</v>
      </c>
      <c r="E666" s="43" t="str">
        <f t="shared" si="1"/>
        <v>2026</v>
      </c>
      <c r="F666" s="43" t="str">
        <f t="shared" si="2"/>
        <v>02 Feb</v>
      </c>
      <c r="G666" s="126" t="s">
        <v>46</v>
      </c>
      <c r="H666" s="45" t="s">
        <v>96</v>
      </c>
      <c r="I666" s="45" t="s">
        <v>798</v>
      </c>
      <c r="J666" s="143" t="s">
        <v>92</v>
      </c>
      <c r="K666" s="43" t="str">
        <f t="array" ref="K666">IF(J666="","", XLOOKUP(J666,'⚙️ Pengaturan'!$E$2:$E3237,'⚙️ Pengaturan'!$G$2:$G3237))</f>
        <v>KLINIK FT PAKET</v>
      </c>
      <c r="L666" s="43" t="str">
        <f t="shared" si="3"/>
        <v>BARU</v>
      </c>
      <c r="M666" s="144" t="s">
        <v>31</v>
      </c>
      <c r="N666" s="145">
        <v>1200000.0</v>
      </c>
      <c r="O666" s="146">
        <v>0.0</v>
      </c>
      <c r="P666" s="48">
        <f t="array" ref="P666">IFNA(XLOOKUP(J666,'⚙️ Pengaturan'!$E$2:$E3237,'⚙️ Pengaturan'!$F$2:$F3237),"")</f>
        <v>1200000</v>
      </c>
      <c r="Q666" s="147">
        <f t="shared" si="9"/>
        <v>0</v>
      </c>
      <c r="R666" s="41" t="s">
        <v>37</v>
      </c>
      <c r="S666" s="69" t="s">
        <v>798</v>
      </c>
      <c r="T666" s="51" t="b">
        <v>1</v>
      </c>
      <c r="U666" s="94"/>
    </row>
    <row r="667" ht="30.0" customHeight="1">
      <c r="A667" s="39"/>
      <c r="B667" s="40">
        <v>2700.0</v>
      </c>
      <c r="C667" s="41" t="s">
        <v>50</v>
      </c>
      <c r="D667" s="86">
        <v>46064.0</v>
      </c>
      <c r="E667" s="43" t="str">
        <f t="shared" si="1"/>
        <v>2026</v>
      </c>
      <c r="F667" s="43" t="str">
        <f t="shared" si="2"/>
        <v>02 Feb</v>
      </c>
      <c r="G667" s="126" t="s">
        <v>155</v>
      </c>
      <c r="H667" s="45" t="s">
        <v>26</v>
      </c>
      <c r="I667" s="45" t="s">
        <v>435</v>
      </c>
      <c r="J667" s="143" t="s">
        <v>56</v>
      </c>
      <c r="K667" s="43" t="str">
        <f t="array" ref="K667">IF(J667="","", XLOOKUP(J667,'⚙️ Pengaturan'!$E$2:$E3237,'⚙️ Pengaturan'!$G$2:$G3237))</f>
        <v>KLINIK FT PAKET</v>
      </c>
      <c r="L667" s="43" t="str">
        <f t="shared" si="3"/>
        <v>LANJUTAN</v>
      </c>
      <c r="M667" s="144" t="s">
        <v>31</v>
      </c>
      <c r="N667" s="145">
        <v>650000.0</v>
      </c>
      <c r="O667" s="146">
        <v>0.0</v>
      </c>
      <c r="P667" s="48">
        <f t="array" ref="P667">IFNA(XLOOKUP(J667,'⚙️ Pengaturan'!$E$2:$E3237,'⚙️ Pengaturan'!$F$2:$F3237),"")</f>
        <v>650000</v>
      </c>
      <c r="Q667" s="147">
        <f t="shared" si="9"/>
        <v>0</v>
      </c>
      <c r="R667" s="41" t="s">
        <v>37</v>
      </c>
      <c r="S667" s="69" t="s">
        <v>426</v>
      </c>
      <c r="T667" s="51" t="b">
        <v>1</v>
      </c>
      <c r="U667" s="94"/>
    </row>
    <row r="668" ht="30.0" customHeight="1">
      <c r="A668" s="39"/>
      <c r="B668" s="40">
        <v>2701.0</v>
      </c>
      <c r="C668" s="41" t="s">
        <v>50</v>
      </c>
      <c r="D668" s="86">
        <v>46064.0</v>
      </c>
      <c r="E668" s="43" t="str">
        <f t="shared" si="1"/>
        <v>2026</v>
      </c>
      <c r="F668" s="43" t="str">
        <f t="shared" si="2"/>
        <v>02 Feb</v>
      </c>
      <c r="G668" s="126" t="s">
        <v>155</v>
      </c>
      <c r="H668" s="45" t="s">
        <v>162</v>
      </c>
      <c r="I668" s="45" t="s">
        <v>782</v>
      </c>
      <c r="J668" s="143" t="s">
        <v>120</v>
      </c>
      <c r="K668" s="43" t="str">
        <f t="array" ref="K668">IF(J668="","", XLOOKUP(J668,'⚙️ Pengaturan'!$E$2:$E3237,'⚙️ Pengaturan'!$G$2:$G3237))</f>
        <v>KLINIK FT SESI</v>
      </c>
      <c r="L668" s="43" t="str">
        <f t="shared" si="3"/>
        <v>BARU</v>
      </c>
      <c r="M668" s="144" t="s">
        <v>31</v>
      </c>
      <c r="N668" s="145">
        <v>180000.0</v>
      </c>
      <c r="O668" s="146">
        <v>0.0</v>
      </c>
      <c r="P668" s="48">
        <f t="array" ref="P668">IFNA(XLOOKUP(J668,'⚙️ Pengaturan'!$E$2:$E3237,'⚙️ Pengaturan'!$F$2:$F3237),"")</f>
        <v>180000</v>
      </c>
      <c r="Q668" s="147">
        <f t="shared" si="9"/>
        <v>0</v>
      </c>
      <c r="R668" s="41" t="s">
        <v>32</v>
      </c>
      <c r="S668" s="69" t="s">
        <v>33</v>
      </c>
      <c r="T668" s="51" t="b">
        <v>1</v>
      </c>
      <c r="U668" s="94"/>
    </row>
    <row r="669" ht="30.0" customHeight="1">
      <c r="A669" s="39"/>
      <c r="B669" s="40">
        <v>2702.0</v>
      </c>
      <c r="C669" s="41" t="s">
        <v>50</v>
      </c>
      <c r="D669" s="86">
        <v>46064.0</v>
      </c>
      <c r="E669" s="43" t="str">
        <f t="shared" si="1"/>
        <v>2026</v>
      </c>
      <c r="F669" s="43" t="str">
        <f t="shared" si="2"/>
        <v>02 Feb</v>
      </c>
      <c r="G669" s="126" t="s">
        <v>43</v>
      </c>
      <c r="H669" s="45" t="s">
        <v>166</v>
      </c>
      <c r="I669" s="45" t="s">
        <v>779</v>
      </c>
      <c r="J669" s="143" t="s">
        <v>120</v>
      </c>
      <c r="K669" s="43" t="str">
        <f t="array" ref="K669">IF(J669="","", XLOOKUP(J669,'⚙️ Pengaturan'!$E$2:$E3237,'⚙️ Pengaturan'!$G$2:$G3237))</f>
        <v>KLINIK FT SESI</v>
      </c>
      <c r="L669" s="43" t="str">
        <f t="shared" si="3"/>
        <v>LANJUTAN</v>
      </c>
      <c r="M669" s="144" t="s">
        <v>31</v>
      </c>
      <c r="N669" s="145">
        <v>180000.0</v>
      </c>
      <c r="O669" s="146">
        <v>0.0</v>
      </c>
      <c r="P669" s="48">
        <f t="array" ref="P669">IFNA(XLOOKUP(J669,'⚙️ Pengaturan'!$E$2:$E3237,'⚙️ Pengaturan'!$F$2:$F3237),"")</f>
        <v>180000</v>
      </c>
      <c r="Q669" s="147">
        <f t="shared" si="9"/>
        <v>0</v>
      </c>
      <c r="R669" s="41" t="s">
        <v>37</v>
      </c>
      <c r="S669" s="69" t="s">
        <v>779</v>
      </c>
      <c r="T669" s="51" t="b">
        <v>1</v>
      </c>
      <c r="U669" s="94" t="s">
        <v>799</v>
      </c>
    </row>
    <row r="670" ht="30.0" customHeight="1">
      <c r="A670" s="39"/>
      <c r="B670" s="40">
        <v>2703.0</v>
      </c>
      <c r="C670" s="41" t="s">
        <v>50</v>
      </c>
      <c r="D670" s="86">
        <v>46064.0</v>
      </c>
      <c r="E670" s="43" t="str">
        <f t="shared" si="1"/>
        <v>2026</v>
      </c>
      <c r="F670" s="43" t="str">
        <f t="shared" si="2"/>
        <v>02 Feb</v>
      </c>
      <c r="G670" s="126" t="s">
        <v>190</v>
      </c>
      <c r="H670" s="45" t="s">
        <v>166</v>
      </c>
      <c r="I670" s="45" t="s">
        <v>800</v>
      </c>
      <c r="J670" s="143" t="s">
        <v>28</v>
      </c>
      <c r="K670" s="43" t="str">
        <f t="array" ref="K670">IF(J670="","", XLOOKUP(J670,'⚙️ Pengaturan'!$E$2:$E3237,'⚙️ Pengaturan'!$G$2:$G3237))</f>
        <v>KLINIK FT TA</v>
      </c>
      <c r="L670" s="43" t="str">
        <f t="shared" si="3"/>
        <v>BARU</v>
      </c>
      <c r="M670" s="144" t="s">
        <v>31</v>
      </c>
      <c r="N670" s="145">
        <v>250000.0</v>
      </c>
      <c r="O670" s="146">
        <v>0.0</v>
      </c>
      <c r="P670" s="48">
        <f t="array" ref="P670">IFNA(XLOOKUP(J670,'⚙️ Pengaturan'!$E$2:$E3237,'⚙️ Pengaturan'!$F$2:$F3237),"")</f>
        <v>250000</v>
      </c>
      <c r="Q670" s="147">
        <f t="shared" si="9"/>
        <v>0</v>
      </c>
      <c r="R670" s="41" t="s">
        <v>32</v>
      </c>
      <c r="S670" s="69" t="s">
        <v>33</v>
      </c>
      <c r="T670" s="51" t="b">
        <v>1</v>
      </c>
      <c r="U670" s="94"/>
    </row>
    <row r="671" ht="30.0" customHeight="1">
      <c r="A671" s="39"/>
      <c r="B671" s="40">
        <v>2704.0</v>
      </c>
      <c r="C671" s="41" t="s">
        <v>50</v>
      </c>
      <c r="D671" s="86">
        <v>46064.0</v>
      </c>
      <c r="E671" s="43" t="str">
        <f t="shared" si="1"/>
        <v>2026</v>
      </c>
      <c r="F671" s="43" t="str">
        <f t="shared" si="2"/>
        <v>02 Feb</v>
      </c>
      <c r="G671" s="126" t="s">
        <v>190</v>
      </c>
      <c r="H671" s="45" t="s">
        <v>150</v>
      </c>
      <c r="I671" s="45" t="s">
        <v>801</v>
      </c>
      <c r="J671" s="143" t="s">
        <v>28</v>
      </c>
      <c r="K671" s="43" t="str">
        <f t="array" ref="K671">IF(J671="","", XLOOKUP(J671,'⚙️ Pengaturan'!$E$2:$E3237,'⚙️ Pengaturan'!$G$2:$G3237))</f>
        <v>KLINIK FT TA</v>
      </c>
      <c r="L671" s="43" t="str">
        <f t="shared" si="3"/>
        <v>BARU</v>
      </c>
      <c r="M671" s="144" t="s">
        <v>31</v>
      </c>
      <c r="N671" s="145">
        <v>250000.0</v>
      </c>
      <c r="O671" s="146">
        <v>0.0</v>
      </c>
      <c r="P671" s="48">
        <f t="array" ref="P671">IFNA(XLOOKUP(J671,'⚙️ Pengaturan'!$E$2:$E3237,'⚙️ Pengaturan'!$F$2:$F3237),"")</f>
        <v>250000</v>
      </c>
      <c r="Q671" s="147">
        <f t="shared" si="9"/>
        <v>0</v>
      </c>
      <c r="R671" s="41" t="s">
        <v>93</v>
      </c>
      <c r="S671" s="69" t="s">
        <v>801</v>
      </c>
      <c r="T671" s="51" t="b">
        <v>1</v>
      </c>
      <c r="U671" s="94"/>
    </row>
    <row r="672" ht="30.0" customHeight="1">
      <c r="A672" s="39"/>
      <c r="B672" s="40">
        <v>2705.0</v>
      </c>
      <c r="C672" s="41" t="s">
        <v>79</v>
      </c>
      <c r="D672" s="86">
        <v>46065.0</v>
      </c>
      <c r="E672" s="43" t="str">
        <f t="shared" si="1"/>
        <v>2026</v>
      </c>
      <c r="F672" s="43" t="str">
        <f t="shared" si="2"/>
        <v>02 Feb</v>
      </c>
      <c r="G672" s="126" t="s">
        <v>195</v>
      </c>
      <c r="H672" s="45" t="s">
        <v>150</v>
      </c>
      <c r="I672" s="45" t="s">
        <v>706</v>
      </c>
      <c r="J672" s="143" t="s">
        <v>56</v>
      </c>
      <c r="K672" s="43" t="str">
        <f t="array" ref="K672">IF(J672="","", XLOOKUP(J672,'⚙️ Pengaturan'!$E$2:$E3237,'⚙️ Pengaturan'!$G$2:$G3237))</f>
        <v>KLINIK FT PAKET</v>
      </c>
      <c r="L672" s="43" t="str">
        <f t="shared" si="3"/>
        <v>LANJUTAN</v>
      </c>
      <c r="M672" s="144" t="s">
        <v>164</v>
      </c>
      <c r="N672" s="145">
        <v>50000.0</v>
      </c>
      <c r="O672" s="146">
        <v>0.0</v>
      </c>
      <c r="P672" s="119">
        <v>50000.0</v>
      </c>
      <c r="Q672" s="147">
        <f t="shared" si="9"/>
        <v>0</v>
      </c>
      <c r="R672" s="41" t="s">
        <v>32</v>
      </c>
      <c r="S672" s="69" t="s">
        <v>33</v>
      </c>
      <c r="T672" s="51" t="b">
        <v>1</v>
      </c>
      <c r="U672" s="94"/>
    </row>
    <row r="673" ht="30.0" customHeight="1">
      <c r="A673" s="39"/>
      <c r="B673" s="40">
        <v>2706.0</v>
      </c>
      <c r="C673" s="41" t="s">
        <v>79</v>
      </c>
      <c r="D673" s="86">
        <v>46065.0</v>
      </c>
      <c r="E673" s="43" t="str">
        <f t="shared" si="1"/>
        <v>2026</v>
      </c>
      <c r="F673" s="43" t="str">
        <f t="shared" si="2"/>
        <v>02 Feb</v>
      </c>
      <c r="G673" s="126" t="s">
        <v>206</v>
      </c>
      <c r="H673" s="45" t="s">
        <v>26</v>
      </c>
      <c r="I673" s="45" t="s">
        <v>802</v>
      </c>
      <c r="J673" s="143" t="s">
        <v>28</v>
      </c>
      <c r="K673" s="43" t="str">
        <f t="array" ref="K673">IF(J673="","", XLOOKUP(J673,'⚙️ Pengaturan'!$E$2:$E3237,'⚙️ Pengaturan'!$G$2:$G3237))</f>
        <v>KLINIK FT TA</v>
      </c>
      <c r="L673" s="43" t="str">
        <f t="shared" si="3"/>
        <v>BARU</v>
      </c>
      <c r="M673" s="144" t="s">
        <v>31</v>
      </c>
      <c r="N673" s="145">
        <v>250000.0</v>
      </c>
      <c r="O673" s="146">
        <v>0.0</v>
      </c>
      <c r="P673" s="48">
        <f t="array" ref="P673">IFNA(XLOOKUP(J673,'⚙️ Pengaturan'!$E$2:$E3237,'⚙️ Pengaturan'!$F$2:$F3237),"")</f>
        <v>250000</v>
      </c>
      <c r="Q673" s="147">
        <f t="shared" si="9"/>
        <v>0</v>
      </c>
      <c r="R673" s="41" t="s">
        <v>37</v>
      </c>
      <c r="S673" s="69" t="s">
        <v>803</v>
      </c>
      <c r="T673" s="51" t="b">
        <v>1</v>
      </c>
      <c r="U673" s="94"/>
    </row>
    <row r="674" ht="30.0" customHeight="1">
      <c r="A674" s="39"/>
      <c r="B674" s="40">
        <v>2707.0</v>
      </c>
      <c r="C674" s="41" t="s">
        <v>79</v>
      </c>
      <c r="D674" s="86">
        <v>46065.0</v>
      </c>
      <c r="E674" s="43" t="str">
        <f t="shared" si="1"/>
        <v>2026</v>
      </c>
      <c r="F674" s="43" t="str">
        <f t="shared" si="2"/>
        <v>02 Feb</v>
      </c>
      <c r="G674" s="126" t="s">
        <v>161</v>
      </c>
      <c r="H674" s="45" t="s">
        <v>162</v>
      </c>
      <c r="I674" s="45" t="s">
        <v>804</v>
      </c>
      <c r="J674" s="143" t="s">
        <v>28</v>
      </c>
      <c r="K674" s="43" t="str">
        <f t="array" ref="K674">IF(J674="","", XLOOKUP(J674,'⚙️ Pengaturan'!$E$2:$E3237,'⚙️ Pengaturan'!$G$2:$G3237))</f>
        <v>KLINIK FT TA</v>
      </c>
      <c r="L674" s="43" t="str">
        <f t="shared" si="3"/>
        <v>BARU</v>
      </c>
      <c r="M674" s="144" t="s">
        <v>31</v>
      </c>
      <c r="N674" s="145">
        <v>250000.0</v>
      </c>
      <c r="O674" s="146">
        <v>0.0</v>
      </c>
      <c r="P674" s="48">
        <f t="array" ref="P674">IFNA(XLOOKUP(J674,'⚙️ Pengaturan'!$E$2:$E3237,'⚙️ Pengaturan'!$F$2:$F3237),"")</f>
        <v>250000</v>
      </c>
      <c r="Q674" s="147">
        <f t="shared" si="9"/>
        <v>0</v>
      </c>
      <c r="R674" s="41" t="s">
        <v>37</v>
      </c>
      <c r="S674" s="69" t="s">
        <v>804</v>
      </c>
      <c r="T674" s="51" t="b">
        <v>1</v>
      </c>
      <c r="U674" s="94"/>
    </row>
    <row r="675" ht="30.0" customHeight="1">
      <c r="A675" s="39"/>
      <c r="B675" s="40">
        <v>2708.0</v>
      </c>
      <c r="C675" s="41" t="s">
        <v>79</v>
      </c>
      <c r="D675" s="86">
        <v>46065.0</v>
      </c>
      <c r="E675" s="43" t="str">
        <f t="shared" si="1"/>
        <v>2026</v>
      </c>
      <c r="F675" s="43" t="str">
        <f t="shared" si="2"/>
        <v>02 Feb</v>
      </c>
      <c r="G675" s="126" t="s">
        <v>161</v>
      </c>
      <c r="H675" s="45" t="s">
        <v>26</v>
      </c>
      <c r="I675" s="45" t="s">
        <v>792</v>
      </c>
      <c r="J675" s="143" t="s">
        <v>120</v>
      </c>
      <c r="K675" s="43" t="str">
        <f t="array" ref="K675">IF(J675="","", XLOOKUP(J675,'⚙️ Pengaturan'!$E$2:$E3237,'⚙️ Pengaturan'!$G$2:$G3237))</f>
        <v>KLINIK FT SESI</v>
      </c>
      <c r="L675" s="43" t="str">
        <f t="shared" si="3"/>
        <v>BARU</v>
      </c>
      <c r="M675" s="144" t="s">
        <v>31</v>
      </c>
      <c r="N675" s="145">
        <v>180000.0</v>
      </c>
      <c r="O675" s="146">
        <v>0.0</v>
      </c>
      <c r="P675" s="48">
        <f t="array" ref="P675">IFNA(XLOOKUP(J675,'⚙️ Pengaturan'!$E$2:$E3237,'⚙️ Pengaturan'!$F$2:$F3237),"")</f>
        <v>180000</v>
      </c>
      <c r="Q675" s="147">
        <f t="shared" si="9"/>
        <v>0</v>
      </c>
      <c r="R675" s="41" t="s">
        <v>32</v>
      </c>
      <c r="S675" s="69" t="s">
        <v>33</v>
      </c>
      <c r="T675" s="51" t="b">
        <v>1</v>
      </c>
      <c r="U675" s="94"/>
    </row>
    <row r="676" ht="30.0" customHeight="1">
      <c r="A676" s="39"/>
      <c r="B676" s="40">
        <v>2709.0</v>
      </c>
      <c r="C676" s="41" t="s">
        <v>79</v>
      </c>
      <c r="D676" s="86">
        <v>46065.0</v>
      </c>
      <c r="E676" s="43" t="str">
        <f t="shared" si="1"/>
        <v>2026</v>
      </c>
      <c r="F676" s="43" t="str">
        <f t="shared" si="2"/>
        <v>02 Feb</v>
      </c>
      <c r="G676" s="126" t="s">
        <v>195</v>
      </c>
      <c r="H676" s="45" t="s">
        <v>76</v>
      </c>
      <c r="I676" s="45" t="s">
        <v>725</v>
      </c>
      <c r="J676" s="143" t="s">
        <v>138</v>
      </c>
      <c r="K676" s="43" t="str">
        <f t="array" ref="K676">IF(J676="","", XLOOKUP(J676,'⚙️ Pengaturan'!$E$2:$E3237,'⚙️ Pengaturan'!$G$2:$G3237))</f>
        <v>VISIT FT PAKET</v>
      </c>
      <c r="L676" s="43" t="str">
        <f t="shared" si="3"/>
        <v>BARU</v>
      </c>
      <c r="M676" s="144" t="s">
        <v>31</v>
      </c>
      <c r="N676" s="145">
        <v>1800000.0</v>
      </c>
      <c r="O676" s="146">
        <v>0.0</v>
      </c>
      <c r="P676" s="48">
        <f t="array" ref="P676">IFNA(XLOOKUP(J676,'⚙️ Pengaturan'!$E$2:$E3237,'⚙️ Pengaturan'!$F$2:$F3237),"")</f>
        <v>1800000</v>
      </c>
      <c r="Q676" s="147">
        <f t="shared" si="9"/>
        <v>0</v>
      </c>
      <c r="R676" s="41" t="s">
        <v>37</v>
      </c>
      <c r="S676" s="69" t="s">
        <v>726</v>
      </c>
      <c r="T676" s="51" t="b">
        <v>1</v>
      </c>
      <c r="U676" s="94"/>
    </row>
    <row r="677" ht="30.0" customHeight="1">
      <c r="A677" s="39"/>
      <c r="B677" s="40">
        <v>2710.0</v>
      </c>
      <c r="C677" s="41" t="s">
        <v>79</v>
      </c>
      <c r="D677" s="86">
        <v>46065.0</v>
      </c>
      <c r="E677" s="43" t="str">
        <f t="shared" si="1"/>
        <v>2026</v>
      </c>
      <c r="F677" s="43" t="str">
        <f t="shared" si="2"/>
        <v>02 Feb</v>
      </c>
      <c r="G677" s="126" t="s">
        <v>241</v>
      </c>
      <c r="H677" s="45" t="s">
        <v>41</v>
      </c>
      <c r="I677" s="45" t="s">
        <v>805</v>
      </c>
      <c r="J677" s="143" t="s">
        <v>365</v>
      </c>
      <c r="K677" s="43" t="str">
        <f t="array" ref="K677">IF(J677="","", XLOOKUP(J677,'⚙️ Pengaturan'!$E$2:$E3237,'⚙️ Pengaturan'!$G$2:$G3237))</f>
        <v>VISIT FT SESI</v>
      </c>
      <c r="L677" s="43" t="str">
        <f t="shared" si="3"/>
        <v>BARU</v>
      </c>
      <c r="M677" s="144" t="s">
        <v>31</v>
      </c>
      <c r="N677" s="145">
        <v>250000.0</v>
      </c>
      <c r="O677" s="146">
        <v>0.0</v>
      </c>
      <c r="P677" s="48">
        <f t="array" ref="P677">IFNA(XLOOKUP(J677,'⚙️ Pengaturan'!$E$2:$E3237,'⚙️ Pengaturan'!$F$2:$F3237),"")</f>
        <v>250000</v>
      </c>
      <c r="Q677" s="147">
        <f t="shared" si="9"/>
        <v>0</v>
      </c>
      <c r="R677" s="41" t="s">
        <v>37</v>
      </c>
      <c r="S677" s="69" t="s">
        <v>806</v>
      </c>
      <c r="T677" s="51" t="b">
        <v>1</v>
      </c>
      <c r="U677" s="94"/>
    </row>
    <row r="678" ht="30.0" customHeight="1">
      <c r="A678" s="39"/>
      <c r="B678" s="40">
        <v>2711.0</v>
      </c>
      <c r="C678" s="41" t="s">
        <v>79</v>
      </c>
      <c r="D678" s="86">
        <v>46065.0</v>
      </c>
      <c r="E678" s="43" t="str">
        <f t="shared" si="1"/>
        <v>2026</v>
      </c>
      <c r="F678" s="43" t="str">
        <f t="shared" si="2"/>
        <v>02 Feb</v>
      </c>
      <c r="G678" s="126" t="s">
        <v>35</v>
      </c>
      <c r="H678" s="45" t="s">
        <v>162</v>
      </c>
      <c r="I678" s="45" t="s">
        <v>791</v>
      </c>
      <c r="J678" s="143" t="s">
        <v>120</v>
      </c>
      <c r="K678" s="43" t="str">
        <f t="array" ref="K678">IF(J678="","", XLOOKUP(J678,'⚙️ Pengaturan'!$E$2:$E3237,'⚙️ Pengaturan'!$G$2:$G3237))</f>
        <v>KLINIK FT SESI</v>
      </c>
      <c r="L678" s="43" t="str">
        <f t="shared" si="3"/>
        <v>BARU</v>
      </c>
      <c r="M678" s="144" t="s">
        <v>31</v>
      </c>
      <c r="N678" s="145">
        <v>180000.0</v>
      </c>
      <c r="O678" s="146">
        <v>0.0</v>
      </c>
      <c r="P678" s="48">
        <f t="array" ref="P678">IFNA(XLOOKUP(J678,'⚙️ Pengaturan'!$E$2:$E3237,'⚙️ Pengaturan'!$F$2:$F3237),"")</f>
        <v>180000</v>
      </c>
      <c r="Q678" s="147">
        <f t="shared" si="9"/>
        <v>0</v>
      </c>
      <c r="R678" s="41" t="s">
        <v>118</v>
      </c>
      <c r="S678" s="69" t="s">
        <v>791</v>
      </c>
      <c r="T678" s="51" t="b">
        <v>1</v>
      </c>
      <c r="U678" s="94"/>
    </row>
    <row r="679" ht="30.0" customHeight="1">
      <c r="A679" s="39"/>
      <c r="B679" s="40">
        <v>2712.0</v>
      </c>
      <c r="C679" s="41" t="s">
        <v>79</v>
      </c>
      <c r="D679" s="86">
        <v>46065.0</v>
      </c>
      <c r="E679" s="43" t="str">
        <f t="shared" si="1"/>
        <v>2026</v>
      </c>
      <c r="F679" s="43" t="str">
        <f t="shared" si="2"/>
        <v>02 Feb</v>
      </c>
      <c r="G679" s="126" t="s">
        <v>35</v>
      </c>
      <c r="H679" s="45" t="s">
        <v>166</v>
      </c>
      <c r="I679" s="45" t="s">
        <v>600</v>
      </c>
      <c r="J679" s="143" t="s">
        <v>92</v>
      </c>
      <c r="K679" s="43" t="str">
        <f t="array" ref="K679">IF(J679="","", XLOOKUP(J679,'⚙️ Pengaturan'!$E$2:$E3237,'⚙️ Pengaturan'!$G$2:$G3237))</f>
        <v>KLINIK FT PAKET</v>
      </c>
      <c r="L679" s="43" t="str">
        <f t="shared" si="3"/>
        <v>LANJUTAN</v>
      </c>
      <c r="M679" s="144" t="s">
        <v>164</v>
      </c>
      <c r="N679" s="145">
        <v>1000000.0</v>
      </c>
      <c r="O679" s="146">
        <v>0.0</v>
      </c>
      <c r="P679" s="48">
        <f t="array" ref="P679">IFNA(XLOOKUP(J679,'⚙️ Pengaturan'!$E$2:$E3237,'⚙️ Pengaturan'!$F$2:$F3237),"")</f>
        <v>1200000</v>
      </c>
      <c r="Q679" s="147">
        <f t="shared" si="9"/>
        <v>-200000</v>
      </c>
      <c r="R679" s="41" t="s">
        <v>32</v>
      </c>
      <c r="S679" s="69" t="s">
        <v>33</v>
      </c>
      <c r="T679" s="51" t="b">
        <v>1</v>
      </c>
      <c r="U679" s="94"/>
    </row>
    <row r="680" ht="30.0" customHeight="1">
      <c r="A680" s="39"/>
      <c r="B680" s="40">
        <v>2713.0</v>
      </c>
      <c r="C680" s="41" t="s">
        <v>50</v>
      </c>
      <c r="D680" s="86">
        <v>46065.0</v>
      </c>
      <c r="E680" s="43" t="str">
        <f t="shared" si="1"/>
        <v>2026</v>
      </c>
      <c r="F680" s="43" t="str">
        <f t="shared" si="2"/>
        <v>02 Feb</v>
      </c>
      <c r="G680" s="126" t="s">
        <v>40</v>
      </c>
      <c r="H680" s="45" t="s">
        <v>41</v>
      </c>
      <c r="I680" s="45" t="s">
        <v>640</v>
      </c>
      <c r="J680" s="143" t="s">
        <v>180</v>
      </c>
      <c r="K680" s="43" t="str">
        <f t="array" ref="K680">IF(J680="","", XLOOKUP(J680,'⚙️ Pengaturan'!$E$2:$E3237,'⚙️ Pengaturan'!$G$2:$G3237))</f>
        <v>KLINIK FT SESI</v>
      </c>
      <c r="L680" s="43" t="str">
        <f t="shared" si="3"/>
        <v>LANJUTAN</v>
      </c>
      <c r="M680" s="144" t="s">
        <v>31</v>
      </c>
      <c r="N680" s="145">
        <v>150000.0</v>
      </c>
      <c r="O680" s="146">
        <v>0.0</v>
      </c>
      <c r="P680" s="48">
        <f t="array" ref="P680">IFNA(XLOOKUP(J680,'⚙️ Pengaturan'!$E$2:$E3237,'⚙️ Pengaturan'!$F$2:$F3237),"")</f>
        <v>150000</v>
      </c>
      <c r="Q680" s="147">
        <f t="shared" si="9"/>
        <v>0</v>
      </c>
      <c r="R680" s="41" t="s">
        <v>32</v>
      </c>
      <c r="S680" s="69" t="s">
        <v>33</v>
      </c>
      <c r="T680" s="51" t="b">
        <v>1</v>
      </c>
      <c r="U680" s="94"/>
    </row>
    <row r="681" ht="30.0" customHeight="1">
      <c r="A681" s="39"/>
      <c r="B681" s="40">
        <v>2714.0</v>
      </c>
      <c r="C681" s="41" t="s">
        <v>50</v>
      </c>
      <c r="D681" s="86">
        <v>46065.0</v>
      </c>
      <c r="E681" s="43" t="str">
        <f t="shared" si="1"/>
        <v>2026</v>
      </c>
      <c r="F681" s="43" t="str">
        <f t="shared" si="2"/>
        <v>02 Feb</v>
      </c>
      <c r="G681" s="126" t="s">
        <v>43</v>
      </c>
      <c r="H681" s="45" t="s">
        <v>41</v>
      </c>
      <c r="I681" s="45" t="s">
        <v>789</v>
      </c>
      <c r="J681" s="143" t="s">
        <v>120</v>
      </c>
      <c r="K681" s="43" t="str">
        <f t="array" ref="K681">IF(J681="","", XLOOKUP(J681,'⚙️ Pengaturan'!$E$2:$E3237,'⚙️ Pengaturan'!$G$2:$G3237))</f>
        <v>KLINIK FT SESI</v>
      </c>
      <c r="L681" s="43" t="str">
        <f t="shared" si="3"/>
        <v>BARU</v>
      </c>
      <c r="M681" s="144" t="s">
        <v>31</v>
      </c>
      <c r="N681" s="145">
        <v>180000.0</v>
      </c>
      <c r="O681" s="146">
        <v>0.0</v>
      </c>
      <c r="P681" s="48">
        <f t="array" ref="P681">IFNA(XLOOKUP(J681,'⚙️ Pengaturan'!$E$2:$E3237,'⚙️ Pengaturan'!$F$2:$F3237),"")</f>
        <v>180000</v>
      </c>
      <c r="Q681" s="147">
        <f t="shared" si="9"/>
        <v>0</v>
      </c>
      <c r="R681" s="41" t="s">
        <v>32</v>
      </c>
      <c r="S681" s="69" t="s">
        <v>33</v>
      </c>
      <c r="T681" s="51" t="b">
        <v>1</v>
      </c>
      <c r="U681" s="94"/>
    </row>
    <row r="682" ht="30.0" customHeight="1">
      <c r="A682" s="39"/>
      <c r="B682" s="40">
        <v>2715.0</v>
      </c>
      <c r="C682" s="41" t="s">
        <v>50</v>
      </c>
      <c r="D682" s="86">
        <v>46065.0</v>
      </c>
      <c r="E682" s="43" t="str">
        <f t="shared" si="1"/>
        <v>2026</v>
      </c>
      <c r="F682" s="43" t="str">
        <f t="shared" si="2"/>
        <v>02 Feb</v>
      </c>
      <c r="G682" s="126" t="s">
        <v>43</v>
      </c>
      <c r="H682" s="45" t="s">
        <v>76</v>
      </c>
      <c r="I682" s="45" t="s">
        <v>773</v>
      </c>
      <c r="J682" s="143" t="s">
        <v>119</v>
      </c>
      <c r="K682" s="43" t="str">
        <f t="array" ref="K682">IF(J682="","", XLOOKUP(J682,'⚙️ Pengaturan'!$E$2:$E3237,'⚙️ Pengaturan'!$G$2:$G3237))</f>
        <v>KLINIK FT PAKET</v>
      </c>
      <c r="L682" s="43" t="str">
        <f t="shared" si="3"/>
        <v>LANJUTAN</v>
      </c>
      <c r="M682" s="144" t="s">
        <v>164</v>
      </c>
      <c r="N682" s="145">
        <v>450000.0</v>
      </c>
      <c r="O682" s="146">
        <v>300000.0</v>
      </c>
      <c r="P682" s="48">
        <f t="array" ref="P682">IFNA(XLOOKUP(J682,'⚙️ Pengaturan'!$E$2:$E3237,'⚙️ Pengaturan'!$F$2:$F3237),"")</f>
        <v>750000</v>
      </c>
      <c r="Q682" s="147">
        <f t="shared" si="9"/>
        <v>0</v>
      </c>
      <c r="R682" s="41" t="s">
        <v>37</v>
      </c>
      <c r="S682" s="69" t="s">
        <v>773</v>
      </c>
      <c r="T682" s="51" t="b">
        <v>1</v>
      </c>
      <c r="U682" s="94"/>
    </row>
    <row r="683" ht="30.0" customHeight="1">
      <c r="A683" s="39"/>
      <c r="B683" s="40">
        <v>2716.0</v>
      </c>
      <c r="C683" s="41" t="s">
        <v>50</v>
      </c>
      <c r="D683" s="86">
        <v>46065.0</v>
      </c>
      <c r="E683" s="43" t="str">
        <f t="shared" si="1"/>
        <v>2026</v>
      </c>
      <c r="F683" s="43" t="str">
        <f t="shared" si="2"/>
        <v>02 Feb</v>
      </c>
      <c r="G683" s="126" t="s">
        <v>173</v>
      </c>
      <c r="H683" s="45" t="s">
        <v>149</v>
      </c>
      <c r="I683" s="45" t="s">
        <v>807</v>
      </c>
      <c r="J683" s="143" t="s">
        <v>28</v>
      </c>
      <c r="K683" s="43" t="str">
        <f t="array" ref="K683">IF(J683="","", XLOOKUP(J683,'⚙️ Pengaturan'!$E$2:$E3237,'⚙️ Pengaturan'!$G$2:$G3237))</f>
        <v>KLINIK FT TA</v>
      </c>
      <c r="L683" s="43" t="str">
        <f t="shared" si="3"/>
        <v>BARU</v>
      </c>
      <c r="M683" s="144" t="s">
        <v>31</v>
      </c>
      <c r="N683" s="145">
        <v>250000.0</v>
      </c>
      <c r="O683" s="146">
        <v>0.0</v>
      </c>
      <c r="P683" s="48">
        <f t="array" ref="P683">IFNA(XLOOKUP(J683,'⚙️ Pengaturan'!$E$2:$E3237,'⚙️ Pengaturan'!$F$2:$F3237),"")</f>
        <v>250000</v>
      </c>
      <c r="Q683" s="147">
        <f t="shared" si="9"/>
        <v>0</v>
      </c>
      <c r="R683" s="41" t="s">
        <v>32</v>
      </c>
      <c r="S683" s="69" t="s">
        <v>33</v>
      </c>
      <c r="T683" s="51" t="b">
        <v>1</v>
      </c>
      <c r="U683" s="94"/>
    </row>
    <row r="684" ht="30.0" customHeight="1">
      <c r="A684" s="39"/>
      <c r="B684" s="40">
        <v>2717.0</v>
      </c>
      <c r="C684" s="41" t="s">
        <v>50</v>
      </c>
      <c r="D684" s="86">
        <v>46065.0</v>
      </c>
      <c r="E684" s="43" t="str">
        <f t="shared" si="1"/>
        <v>2026</v>
      </c>
      <c r="F684" s="43" t="str">
        <f t="shared" si="2"/>
        <v>02 Feb</v>
      </c>
      <c r="G684" s="126" t="s">
        <v>173</v>
      </c>
      <c r="H684" s="45" t="s">
        <v>41</v>
      </c>
      <c r="I684" s="45" t="s">
        <v>808</v>
      </c>
      <c r="J684" s="143" t="s">
        <v>28</v>
      </c>
      <c r="K684" s="43" t="str">
        <f t="array" ref="K684">IF(J684="","", XLOOKUP(J684,'⚙️ Pengaturan'!$E$2:$E3237,'⚙️ Pengaturan'!$G$2:$G3237))</f>
        <v>KLINIK FT TA</v>
      </c>
      <c r="L684" s="43" t="str">
        <f t="shared" si="3"/>
        <v>BARU</v>
      </c>
      <c r="M684" s="144" t="s">
        <v>31</v>
      </c>
      <c r="N684" s="145">
        <v>250000.0</v>
      </c>
      <c r="O684" s="146">
        <v>0.0</v>
      </c>
      <c r="P684" s="48">
        <f t="array" ref="P684">IFNA(XLOOKUP(J684,'⚙️ Pengaturan'!$E$2:$E3237,'⚙️ Pengaturan'!$F$2:$F3237),"")</f>
        <v>250000</v>
      </c>
      <c r="Q684" s="147">
        <f t="shared" si="9"/>
        <v>0</v>
      </c>
      <c r="R684" s="41" t="s">
        <v>32</v>
      </c>
      <c r="S684" s="69" t="s">
        <v>33</v>
      </c>
      <c r="T684" s="51" t="b">
        <v>1</v>
      </c>
      <c r="U684" s="94"/>
    </row>
    <row r="685" ht="30.0" customHeight="1">
      <c r="A685" s="39"/>
      <c r="B685" s="40">
        <v>2718.0</v>
      </c>
      <c r="C685" s="41" t="s">
        <v>50</v>
      </c>
      <c r="D685" s="86">
        <v>46065.0</v>
      </c>
      <c r="E685" s="43" t="str">
        <f t="shared" si="1"/>
        <v>2026</v>
      </c>
      <c r="F685" s="43" t="str">
        <f t="shared" si="2"/>
        <v>02 Feb</v>
      </c>
      <c r="G685" s="126" t="s">
        <v>155</v>
      </c>
      <c r="H685" s="45" t="s">
        <v>41</v>
      </c>
      <c r="I685" s="45" t="s">
        <v>809</v>
      </c>
      <c r="J685" s="143" t="s">
        <v>28</v>
      </c>
      <c r="K685" s="43" t="str">
        <f t="array" ref="K685">IF(J685="","", XLOOKUP(J685,'⚙️ Pengaturan'!$E$2:$E3237,'⚙️ Pengaturan'!$G$2:$G3237))</f>
        <v>KLINIK FT TA</v>
      </c>
      <c r="L685" s="43" t="str">
        <f t="shared" si="3"/>
        <v>BARU</v>
      </c>
      <c r="M685" s="144" t="s">
        <v>31</v>
      </c>
      <c r="N685" s="145">
        <v>250000.0</v>
      </c>
      <c r="O685" s="146">
        <v>0.0</v>
      </c>
      <c r="P685" s="48">
        <f t="array" ref="P685">IFNA(XLOOKUP(J685,'⚙️ Pengaturan'!$E$2:$E3237,'⚙️ Pengaturan'!$F$2:$F3237),"")</f>
        <v>250000</v>
      </c>
      <c r="Q685" s="147">
        <f t="shared" si="9"/>
        <v>0</v>
      </c>
      <c r="R685" s="41" t="s">
        <v>37</v>
      </c>
      <c r="S685" s="69" t="s">
        <v>809</v>
      </c>
      <c r="T685" s="51" t="b">
        <v>1</v>
      </c>
      <c r="U685" s="94"/>
    </row>
    <row r="686" ht="30.0" customHeight="1">
      <c r="A686" s="39"/>
      <c r="B686" s="40">
        <v>2719.0</v>
      </c>
      <c r="C686" s="41" t="s">
        <v>50</v>
      </c>
      <c r="D686" s="86">
        <v>46065.0</v>
      </c>
      <c r="E686" s="43" t="str">
        <f t="shared" si="1"/>
        <v>2026</v>
      </c>
      <c r="F686" s="43" t="str">
        <f t="shared" si="2"/>
        <v>02 Feb</v>
      </c>
      <c r="G686" s="126" t="s">
        <v>155</v>
      </c>
      <c r="H686" s="45" t="s">
        <v>41</v>
      </c>
      <c r="I686" s="45" t="s">
        <v>809</v>
      </c>
      <c r="J686" s="143" t="s">
        <v>119</v>
      </c>
      <c r="K686" s="43" t="str">
        <f t="array" ref="K686">IF(J686="","", XLOOKUP(J686,'⚙️ Pengaturan'!$E$2:$E3237,'⚙️ Pengaturan'!$G$2:$G3237))</f>
        <v>KLINIK FT PAKET</v>
      </c>
      <c r="L686" s="43" t="str">
        <f t="shared" si="3"/>
        <v>BARU</v>
      </c>
      <c r="M686" s="144" t="s">
        <v>31</v>
      </c>
      <c r="N686" s="145">
        <v>750000.0</v>
      </c>
      <c r="O686" s="146">
        <v>0.0</v>
      </c>
      <c r="P686" s="48">
        <f t="array" ref="P686">IFNA(XLOOKUP(J686,'⚙️ Pengaturan'!$E$2:$E3237,'⚙️ Pengaturan'!$F$2:$F3237),"")</f>
        <v>750000</v>
      </c>
      <c r="Q686" s="147">
        <f t="shared" si="9"/>
        <v>0</v>
      </c>
      <c r="R686" s="41" t="s">
        <v>37</v>
      </c>
      <c r="S686" s="69" t="s">
        <v>809</v>
      </c>
      <c r="T686" s="51" t="b">
        <v>1</v>
      </c>
      <c r="U686" s="94"/>
    </row>
    <row r="687" ht="30.0" customHeight="1">
      <c r="A687" s="39"/>
      <c r="B687" s="40">
        <v>2720.0</v>
      </c>
      <c r="C687" s="41" t="s">
        <v>50</v>
      </c>
      <c r="D687" s="86">
        <v>46065.0</v>
      </c>
      <c r="E687" s="43" t="str">
        <f t="shared" si="1"/>
        <v>2026</v>
      </c>
      <c r="F687" s="43" t="str">
        <f t="shared" si="2"/>
        <v>02 Feb</v>
      </c>
      <c r="G687" s="126" t="s">
        <v>190</v>
      </c>
      <c r="H687" s="45" t="s">
        <v>47</v>
      </c>
      <c r="I687" s="45" t="s">
        <v>652</v>
      </c>
      <c r="J687" s="143" t="s">
        <v>120</v>
      </c>
      <c r="K687" s="43" t="str">
        <f t="array" ref="K687">IF(J687="","", XLOOKUP(J687,'⚙️ Pengaturan'!$E$2:$E3237,'⚙️ Pengaturan'!$G$2:$G3237))</f>
        <v>KLINIK FT SESI</v>
      </c>
      <c r="L687" s="43" t="str">
        <f t="shared" si="3"/>
        <v>BARU</v>
      </c>
      <c r="M687" s="144" t="s">
        <v>31</v>
      </c>
      <c r="N687" s="145">
        <v>180000.0</v>
      </c>
      <c r="O687" s="146">
        <v>0.0</v>
      </c>
      <c r="P687" s="48">
        <f t="array" ref="P687">IFNA(XLOOKUP(J687,'⚙️ Pengaturan'!$E$2:$E3237,'⚙️ Pengaturan'!$F$2:$F3237),"")</f>
        <v>180000</v>
      </c>
      <c r="Q687" s="147">
        <f t="shared" si="9"/>
        <v>0</v>
      </c>
      <c r="R687" s="41" t="s">
        <v>32</v>
      </c>
      <c r="S687" s="69" t="s">
        <v>33</v>
      </c>
      <c r="T687" s="51" t="b">
        <v>1</v>
      </c>
      <c r="U687" s="94"/>
    </row>
    <row r="688" ht="30.0" customHeight="1">
      <c r="A688" s="39"/>
      <c r="B688" s="40">
        <v>2721.0</v>
      </c>
      <c r="C688" s="41" t="s">
        <v>50</v>
      </c>
      <c r="D688" s="86">
        <v>46065.0</v>
      </c>
      <c r="E688" s="43" t="str">
        <f t="shared" si="1"/>
        <v>2026</v>
      </c>
      <c r="F688" s="43" t="str">
        <f t="shared" si="2"/>
        <v>02 Feb</v>
      </c>
      <c r="G688" s="126" t="s">
        <v>190</v>
      </c>
      <c r="H688" s="45" t="s">
        <v>41</v>
      </c>
      <c r="I688" s="45" t="s">
        <v>810</v>
      </c>
      <c r="J688" s="143" t="s">
        <v>120</v>
      </c>
      <c r="K688" s="43" t="str">
        <f t="array" ref="K688">IF(J688="","", XLOOKUP(J688,'⚙️ Pengaturan'!$E$2:$E3237,'⚙️ Pengaturan'!$G$2:$G3237))</f>
        <v>KLINIK FT SESI</v>
      </c>
      <c r="L688" s="43" t="str">
        <f t="shared" si="3"/>
        <v>BARU</v>
      </c>
      <c r="M688" s="144" t="s">
        <v>31</v>
      </c>
      <c r="N688" s="145">
        <v>180000.0</v>
      </c>
      <c r="O688" s="146">
        <v>0.0</v>
      </c>
      <c r="P688" s="48">
        <f t="array" ref="P688">IFNA(XLOOKUP(J688,'⚙️ Pengaturan'!$E$2:$E3237,'⚙️ Pengaturan'!$F$2:$F3237),"")</f>
        <v>180000</v>
      </c>
      <c r="Q688" s="147">
        <f t="shared" si="9"/>
        <v>0</v>
      </c>
      <c r="R688" s="41" t="s">
        <v>32</v>
      </c>
      <c r="S688" s="69" t="s">
        <v>33</v>
      </c>
      <c r="T688" s="51" t="b">
        <v>1</v>
      </c>
      <c r="U688" s="94"/>
    </row>
    <row r="689" ht="30.0" customHeight="1">
      <c r="A689" s="39"/>
      <c r="B689" s="40">
        <v>2722.0</v>
      </c>
      <c r="C689" s="41" t="s">
        <v>50</v>
      </c>
      <c r="D689" s="86">
        <v>46066.0</v>
      </c>
      <c r="E689" s="43" t="str">
        <f t="shared" si="1"/>
        <v>2026</v>
      </c>
      <c r="F689" s="43" t="str">
        <f t="shared" si="2"/>
        <v>02 Feb</v>
      </c>
      <c r="G689" s="126" t="s">
        <v>69</v>
      </c>
      <c r="H689" s="45" t="s">
        <v>41</v>
      </c>
      <c r="I689" s="45" t="s">
        <v>811</v>
      </c>
      <c r="J689" s="143" t="s">
        <v>365</v>
      </c>
      <c r="K689" s="43" t="str">
        <f t="array" ref="K689">IF(J689="","", XLOOKUP(J689,'⚙️ Pengaturan'!$E$2:$E3237,'⚙️ Pengaturan'!$G$2:$G3237))</f>
        <v>VISIT FT SESI</v>
      </c>
      <c r="L689" s="43" t="str">
        <f t="shared" si="3"/>
        <v>BARU</v>
      </c>
      <c r="M689" s="144" t="s">
        <v>31</v>
      </c>
      <c r="N689" s="145">
        <v>250000.0</v>
      </c>
      <c r="O689" s="146">
        <v>0.0</v>
      </c>
      <c r="P689" s="48">
        <f t="array" ref="P689">IFNA(XLOOKUP(J689,'⚙️ Pengaturan'!$E$2:$E3237,'⚙️ Pengaturan'!$F$2:$F3237),"")</f>
        <v>250000</v>
      </c>
      <c r="Q689" s="147">
        <f t="shared" si="9"/>
        <v>0</v>
      </c>
      <c r="R689" s="41" t="s">
        <v>37</v>
      </c>
      <c r="S689" s="69" t="s">
        <v>806</v>
      </c>
      <c r="T689" s="51" t="b">
        <v>1</v>
      </c>
      <c r="U689" s="94"/>
    </row>
    <row r="690" ht="30.0" customHeight="1">
      <c r="A690" s="39"/>
      <c r="B690" s="40">
        <v>2723.0</v>
      </c>
      <c r="C690" s="41" t="s">
        <v>79</v>
      </c>
      <c r="D690" s="86">
        <v>46066.0</v>
      </c>
      <c r="E690" s="43" t="str">
        <f t="shared" si="1"/>
        <v>2026</v>
      </c>
      <c r="F690" s="43" t="str">
        <f t="shared" si="2"/>
        <v>02 Feb</v>
      </c>
      <c r="G690" s="126" t="s">
        <v>40</v>
      </c>
      <c r="H690" s="45" t="s">
        <v>41</v>
      </c>
      <c r="I690" s="45" t="s">
        <v>812</v>
      </c>
      <c r="J690" s="143" t="s">
        <v>28</v>
      </c>
      <c r="K690" s="43" t="str">
        <f t="array" ref="K690">IF(J690="","", XLOOKUP(J690,'⚙️ Pengaturan'!$E$2:$E3237,'⚙️ Pengaturan'!$G$2:$G3237))</f>
        <v>KLINIK FT TA</v>
      </c>
      <c r="L690" s="43" t="str">
        <f t="shared" si="3"/>
        <v>BARU</v>
      </c>
      <c r="M690" s="144" t="s">
        <v>31</v>
      </c>
      <c r="N690" s="145">
        <v>250000.0</v>
      </c>
      <c r="O690" s="146">
        <v>0.0</v>
      </c>
      <c r="P690" s="48">
        <f t="array" ref="P690">IFNA(XLOOKUP(J690,'⚙️ Pengaturan'!$E$2:$E3237,'⚙️ Pengaturan'!$F$2:$F3237),"")</f>
        <v>250000</v>
      </c>
      <c r="Q690" s="147">
        <f t="shared" si="9"/>
        <v>0</v>
      </c>
      <c r="R690" s="41" t="s">
        <v>32</v>
      </c>
      <c r="S690" s="69" t="s">
        <v>33</v>
      </c>
      <c r="T690" s="51" t="b">
        <v>1</v>
      </c>
      <c r="U690" s="94"/>
    </row>
    <row r="691" ht="30.0" customHeight="1">
      <c r="A691" s="39"/>
      <c r="B691" s="40">
        <v>2724.0</v>
      </c>
      <c r="C691" s="41" t="s">
        <v>79</v>
      </c>
      <c r="D691" s="86">
        <v>46066.0</v>
      </c>
      <c r="E691" s="43" t="str">
        <f t="shared" si="1"/>
        <v>2026</v>
      </c>
      <c r="F691" s="43" t="str">
        <f t="shared" si="2"/>
        <v>02 Feb</v>
      </c>
      <c r="G691" s="126" t="s">
        <v>43</v>
      </c>
      <c r="H691" s="45" t="s">
        <v>96</v>
      </c>
      <c r="I691" s="45" t="s">
        <v>650</v>
      </c>
      <c r="J691" s="143" t="s">
        <v>180</v>
      </c>
      <c r="K691" s="43" t="str">
        <f t="array" ref="K691">IF(J691="","", XLOOKUP(J691,'⚙️ Pengaturan'!$E$2:$E3237,'⚙️ Pengaturan'!$G$2:$G3237))</f>
        <v>KLINIK FT SESI</v>
      </c>
      <c r="L691" s="43" t="str">
        <f t="shared" si="3"/>
        <v>LANJUTAN</v>
      </c>
      <c r="M691" s="144" t="s">
        <v>31</v>
      </c>
      <c r="N691" s="145">
        <v>150000.0</v>
      </c>
      <c r="O691" s="146">
        <v>0.0</v>
      </c>
      <c r="P691" s="48">
        <f t="array" ref="P691">IFNA(XLOOKUP(J691,'⚙️ Pengaturan'!$E$2:$E3237,'⚙️ Pengaturan'!$F$2:$F3237),"")</f>
        <v>150000</v>
      </c>
      <c r="Q691" s="147">
        <f t="shared" si="9"/>
        <v>0</v>
      </c>
      <c r="R691" s="41" t="s">
        <v>32</v>
      </c>
      <c r="S691" s="69" t="s">
        <v>33</v>
      </c>
      <c r="T691" s="51" t="b">
        <v>1</v>
      </c>
      <c r="U691" s="94"/>
    </row>
    <row r="692" ht="30.0" customHeight="1">
      <c r="A692" s="39"/>
      <c r="B692" s="40">
        <v>2725.0</v>
      </c>
      <c r="C692" s="41" t="s">
        <v>79</v>
      </c>
      <c r="D692" s="86">
        <v>46066.0</v>
      </c>
      <c r="E692" s="43" t="str">
        <f t="shared" si="1"/>
        <v>2026</v>
      </c>
      <c r="F692" s="43" t="str">
        <f t="shared" si="2"/>
        <v>02 Feb</v>
      </c>
      <c r="G692" s="126" t="s">
        <v>173</v>
      </c>
      <c r="H692" s="45" t="s">
        <v>41</v>
      </c>
      <c r="I692" s="45" t="s">
        <v>793</v>
      </c>
      <c r="J692" s="143" t="s">
        <v>120</v>
      </c>
      <c r="K692" s="43" t="str">
        <f t="array" ref="K692">IF(J692="","", XLOOKUP(J692,'⚙️ Pengaturan'!$E$2:$E3237,'⚙️ Pengaturan'!$G$2:$G3237))</f>
        <v>KLINIK FT SESI</v>
      </c>
      <c r="L692" s="43" t="str">
        <f t="shared" si="3"/>
        <v>BARU</v>
      </c>
      <c r="M692" s="144" t="s">
        <v>31</v>
      </c>
      <c r="N692" s="145">
        <v>180000.0</v>
      </c>
      <c r="O692" s="146">
        <v>0.0</v>
      </c>
      <c r="P692" s="48">
        <f t="array" ref="P692">IFNA(XLOOKUP(J692,'⚙️ Pengaturan'!$E$2:$E3237,'⚙️ Pengaturan'!$F$2:$F3237),"")</f>
        <v>180000</v>
      </c>
      <c r="Q692" s="147">
        <f t="shared" si="9"/>
        <v>0</v>
      </c>
      <c r="R692" s="41" t="s">
        <v>37</v>
      </c>
      <c r="S692" s="69" t="s">
        <v>793</v>
      </c>
      <c r="T692" s="51" t="b">
        <v>1</v>
      </c>
      <c r="U692" s="94"/>
    </row>
    <row r="693" ht="30.0" customHeight="1">
      <c r="A693" s="39"/>
      <c r="B693" s="40">
        <v>2726.0</v>
      </c>
      <c r="C693" s="41" t="s">
        <v>79</v>
      </c>
      <c r="D693" s="86">
        <v>46067.0</v>
      </c>
      <c r="E693" s="43" t="str">
        <f t="shared" si="1"/>
        <v>2026</v>
      </c>
      <c r="F693" s="43" t="str">
        <f t="shared" si="2"/>
        <v>02 Feb</v>
      </c>
      <c r="G693" s="126" t="s">
        <v>25</v>
      </c>
      <c r="H693" s="45" t="s">
        <v>26</v>
      </c>
      <c r="I693" s="45" t="s">
        <v>801</v>
      </c>
      <c r="J693" s="143" t="s">
        <v>120</v>
      </c>
      <c r="K693" s="43" t="str">
        <f t="array" ref="K693">IF(J693="","", XLOOKUP(J693,'⚙️ Pengaturan'!$E$2:$E3237,'⚙️ Pengaturan'!$G$2:$G3237))</f>
        <v>KLINIK FT SESI</v>
      </c>
      <c r="L693" s="43" t="str">
        <f t="shared" si="3"/>
        <v>BARU</v>
      </c>
      <c r="M693" s="144" t="s">
        <v>31</v>
      </c>
      <c r="N693" s="145">
        <v>180000.0</v>
      </c>
      <c r="O693" s="146">
        <v>0.0</v>
      </c>
      <c r="P693" s="48">
        <f t="array" ref="P693">IFNA(XLOOKUP(J693,'⚙️ Pengaturan'!$E$2:$E3237,'⚙️ Pengaturan'!$F$2:$F3237),"")</f>
        <v>180000</v>
      </c>
      <c r="Q693" s="147">
        <f t="shared" si="9"/>
        <v>0</v>
      </c>
      <c r="R693" s="41" t="s">
        <v>32</v>
      </c>
      <c r="S693" s="69" t="s">
        <v>33</v>
      </c>
      <c r="T693" s="51" t="b">
        <v>1</v>
      </c>
      <c r="U693" s="94"/>
    </row>
    <row r="694" ht="30.0" customHeight="1">
      <c r="A694" s="39"/>
      <c r="B694" s="40">
        <v>2727.0</v>
      </c>
      <c r="C694" s="41" t="s">
        <v>79</v>
      </c>
      <c r="D694" s="86">
        <v>46067.0</v>
      </c>
      <c r="E694" s="43" t="str">
        <f t="shared" si="1"/>
        <v>2026</v>
      </c>
      <c r="F694" s="43" t="str">
        <f t="shared" si="2"/>
        <v>02 Feb</v>
      </c>
      <c r="G694" s="126" t="s">
        <v>206</v>
      </c>
      <c r="H694" s="45" t="s">
        <v>162</v>
      </c>
      <c r="I694" s="45" t="s">
        <v>813</v>
      </c>
      <c r="J694" s="143" t="s">
        <v>28</v>
      </c>
      <c r="K694" s="43" t="str">
        <f t="array" ref="K694">IF(J694="","", XLOOKUP(J694,'⚙️ Pengaturan'!$E$2:$E3237,'⚙️ Pengaturan'!$G$2:$G3237))</f>
        <v>KLINIK FT TA</v>
      </c>
      <c r="L694" s="43" t="str">
        <f t="shared" si="3"/>
        <v>BARU</v>
      </c>
      <c r="M694" s="144" t="s">
        <v>31</v>
      </c>
      <c r="N694" s="145">
        <v>250000.0</v>
      </c>
      <c r="O694" s="146">
        <v>0.0</v>
      </c>
      <c r="P694" s="48">
        <f t="array" ref="P694">IFNA(XLOOKUP(J694,'⚙️ Pengaturan'!$E$2:$E3237,'⚙️ Pengaturan'!$F$2:$F3237),"")</f>
        <v>250000</v>
      </c>
      <c r="Q694" s="147">
        <f t="shared" si="9"/>
        <v>0</v>
      </c>
      <c r="R694" s="41" t="s">
        <v>37</v>
      </c>
      <c r="S694" s="69" t="s">
        <v>813</v>
      </c>
      <c r="T694" s="51" t="b">
        <v>1</v>
      </c>
      <c r="U694" s="94"/>
    </row>
    <row r="695" ht="30.0" customHeight="1">
      <c r="A695" s="39"/>
      <c r="B695" s="40">
        <v>2728.0</v>
      </c>
      <c r="C695" s="41" t="s">
        <v>79</v>
      </c>
      <c r="D695" s="86">
        <v>46067.0</v>
      </c>
      <c r="E695" s="43" t="str">
        <f t="shared" si="1"/>
        <v>2026</v>
      </c>
      <c r="F695" s="43" t="str">
        <f t="shared" si="2"/>
        <v>02 Feb</v>
      </c>
      <c r="G695" s="126" t="s">
        <v>241</v>
      </c>
      <c r="H695" s="45" t="s">
        <v>166</v>
      </c>
      <c r="I695" s="45" t="s">
        <v>577</v>
      </c>
      <c r="J695" s="143" t="s">
        <v>56</v>
      </c>
      <c r="K695" s="43" t="str">
        <f t="array" ref="K695">IF(J695="","", XLOOKUP(J695,'⚙️ Pengaturan'!$E$2:$E3237,'⚙️ Pengaturan'!$G$2:$G3237))</f>
        <v>KLINIK FT PAKET</v>
      </c>
      <c r="L695" s="43" t="str">
        <f t="shared" si="3"/>
        <v>LANJUTAN</v>
      </c>
      <c r="M695" s="144" t="s">
        <v>60</v>
      </c>
      <c r="N695" s="145">
        <v>300000.0</v>
      </c>
      <c r="O695" s="146">
        <v>0.0</v>
      </c>
      <c r="P695" s="48">
        <f t="array" ref="P695">IFNA(XLOOKUP(J695,'⚙️ Pengaturan'!$E$2:$E3237,'⚙️ Pengaturan'!$F$2:$F3237),"")</f>
        <v>650000</v>
      </c>
      <c r="Q695" s="147">
        <f t="shared" si="9"/>
        <v>-350000</v>
      </c>
      <c r="R695" s="41" t="s">
        <v>32</v>
      </c>
      <c r="S695" s="69" t="s">
        <v>33</v>
      </c>
      <c r="T695" s="51" t="b">
        <v>1</v>
      </c>
      <c r="U695" s="94"/>
    </row>
    <row r="696" ht="30.0" customHeight="1">
      <c r="A696" s="39"/>
      <c r="B696" s="40">
        <v>2729.0</v>
      </c>
      <c r="C696" s="41" t="s">
        <v>79</v>
      </c>
      <c r="D696" s="86">
        <v>46067.0</v>
      </c>
      <c r="E696" s="43" t="str">
        <f t="shared" si="1"/>
        <v>2026</v>
      </c>
      <c r="F696" s="43" t="str">
        <f t="shared" si="2"/>
        <v>02 Feb</v>
      </c>
      <c r="G696" s="126" t="s">
        <v>35</v>
      </c>
      <c r="H696" s="45" t="s">
        <v>162</v>
      </c>
      <c r="I696" s="45" t="s">
        <v>179</v>
      </c>
      <c r="J696" s="143" t="s">
        <v>180</v>
      </c>
      <c r="K696" s="43" t="str">
        <f t="array" ref="K696">IF(J696="","", XLOOKUP(J696,'⚙️ Pengaturan'!$E$2:$E3237,'⚙️ Pengaturan'!$G$2:$G3237))</f>
        <v>KLINIK FT SESI</v>
      </c>
      <c r="L696" s="43" t="str">
        <f t="shared" si="3"/>
        <v>LANJUTAN</v>
      </c>
      <c r="M696" s="144" t="s">
        <v>31</v>
      </c>
      <c r="N696" s="145">
        <v>150000.0</v>
      </c>
      <c r="O696" s="146">
        <v>0.0</v>
      </c>
      <c r="P696" s="48">
        <f t="array" ref="P696">IFNA(XLOOKUP(J696,'⚙️ Pengaturan'!$E$2:$E3237,'⚙️ Pengaturan'!$F$2:$F3237),"")</f>
        <v>150000</v>
      </c>
      <c r="Q696" s="147">
        <f t="shared" si="9"/>
        <v>0</v>
      </c>
      <c r="R696" s="41" t="s">
        <v>32</v>
      </c>
      <c r="S696" s="69" t="s">
        <v>33</v>
      </c>
      <c r="T696" s="51" t="b">
        <v>1</v>
      </c>
      <c r="U696" s="94"/>
    </row>
    <row r="697" ht="30.0" customHeight="1">
      <c r="A697" s="39"/>
      <c r="B697" s="40">
        <v>2730.0</v>
      </c>
      <c r="C697" s="41" t="s">
        <v>50</v>
      </c>
      <c r="D697" s="86">
        <v>46067.0</v>
      </c>
      <c r="E697" s="43" t="str">
        <f t="shared" si="1"/>
        <v>2026</v>
      </c>
      <c r="F697" s="43" t="str">
        <f t="shared" si="2"/>
        <v>02 Feb</v>
      </c>
      <c r="G697" s="126" t="s">
        <v>40</v>
      </c>
      <c r="H697" s="45" t="s">
        <v>47</v>
      </c>
      <c r="I697" s="45" t="s">
        <v>814</v>
      </c>
      <c r="J697" s="143" t="s">
        <v>28</v>
      </c>
      <c r="K697" s="43" t="str">
        <f t="array" ref="K697">IF(J697="","", XLOOKUP(J697,'⚙️ Pengaturan'!$E$2:$E3237,'⚙️ Pengaturan'!$G$2:$G3237))</f>
        <v>KLINIK FT TA</v>
      </c>
      <c r="L697" s="43" t="str">
        <f t="shared" si="3"/>
        <v>BARU</v>
      </c>
      <c r="M697" s="144" t="s">
        <v>31</v>
      </c>
      <c r="N697" s="145">
        <v>250000.0</v>
      </c>
      <c r="O697" s="146">
        <v>0.0</v>
      </c>
      <c r="P697" s="48">
        <f t="array" ref="P697">IFNA(XLOOKUP(J697,'⚙️ Pengaturan'!$E$2:$E3237,'⚙️ Pengaturan'!$F$2:$F3237),"")</f>
        <v>250000</v>
      </c>
      <c r="Q697" s="147">
        <f t="shared" si="9"/>
        <v>0</v>
      </c>
      <c r="R697" s="41" t="s">
        <v>37</v>
      </c>
      <c r="S697" s="69" t="s">
        <v>814</v>
      </c>
      <c r="T697" s="51" t="b">
        <v>1</v>
      </c>
      <c r="U697" s="94"/>
    </row>
    <row r="698" ht="30.0" customHeight="1">
      <c r="A698" s="39"/>
      <c r="B698" s="40">
        <v>2731.0</v>
      </c>
      <c r="C698" s="41" t="s">
        <v>50</v>
      </c>
      <c r="D698" s="86">
        <v>46067.0</v>
      </c>
      <c r="E698" s="43" t="str">
        <f t="shared" si="1"/>
        <v>2026</v>
      </c>
      <c r="F698" s="43" t="str">
        <f t="shared" si="2"/>
        <v>02 Feb</v>
      </c>
      <c r="G698" s="126" t="s">
        <v>43</v>
      </c>
      <c r="H698" s="45" t="s">
        <v>47</v>
      </c>
      <c r="I698" s="45" t="s">
        <v>639</v>
      </c>
      <c r="J698" s="143" t="s">
        <v>28</v>
      </c>
      <c r="K698" s="43" t="str">
        <f t="array" ref="K698">IF(J698="","", XLOOKUP(J698,'⚙️ Pengaturan'!$E$2:$E3237,'⚙️ Pengaturan'!$G$2:$G3237))</f>
        <v>KLINIK FT TA</v>
      </c>
      <c r="L698" s="43" t="str">
        <f t="shared" si="3"/>
        <v>BARU</v>
      </c>
      <c r="M698" s="144" t="s">
        <v>31</v>
      </c>
      <c r="N698" s="145">
        <v>250000.0</v>
      </c>
      <c r="O698" s="146">
        <v>0.0</v>
      </c>
      <c r="P698" s="48">
        <f t="array" ref="P698">IFNA(XLOOKUP(J698,'⚙️ Pengaturan'!$E$2:$E3237,'⚙️ Pengaturan'!$F$2:$F3237),"")</f>
        <v>250000</v>
      </c>
      <c r="Q698" s="147">
        <f t="shared" si="9"/>
        <v>0</v>
      </c>
      <c r="R698" s="41" t="s">
        <v>37</v>
      </c>
      <c r="S698" s="69" t="s">
        <v>639</v>
      </c>
      <c r="T698" s="51" t="b">
        <v>1</v>
      </c>
      <c r="U698" s="94"/>
    </row>
    <row r="699" ht="30.0" customHeight="1">
      <c r="A699" s="39"/>
      <c r="B699" s="40">
        <v>2732.0</v>
      </c>
      <c r="C699" s="41" t="s">
        <v>50</v>
      </c>
      <c r="D699" s="86">
        <v>46067.0</v>
      </c>
      <c r="E699" s="43" t="str">
        <f t="shared" si="1"/>
        <v>2026</v>
      </c>
      <c r="F699" s="43" t="str">
        <f t="shared" si="2"/>
        <v>02 Feb</v>
      </c>
      <c r="G699" s="126" t="s">
        <v>173</v>
      </c>
      <c r="H699" s="45" t="s">
        <v>96</v>
      </c>
      <c r="I699" s="45" t="s">
        <v>769</v>
      </c>
      <c r="J699" s="143" t="s">
        <v>120</v>
      </c>
      <c r="K699" s="43" t="str">
        <f t="array" ref="K699">IF(J699="","", XLOOKUP(J699,'⚙️ Pengaturan'!$E$2:$E3237,'⚙️ Pengaturan'!$G$2:$G3237))</f>
        <v>KLINIK FT SESI</v>
      </c>
      <c r="L699" s="43" t="str">
        <f t="shared" si="3"/>
        <v>LANJUTAN</v>
      </c>
      <c r="M699" s="144" t="s">
        <v>31</v>
      </c>
      <c r="N699" s="145">
        <v>180000.0</v>
      </c>
      <c r="O699" s="146">
        <v>0.0</v>
      </c>
      <c r="P699" s="48">
        <f t="array" ref="P699">IFNA(XLOOKUP(J699,'⚙️ Pengaturan'!$E$2:$E3237,'⚙️ Pengaturan'!$F$2:$F3237),"")</f>
        <v>180000</v>
      </c>
      <c r="Q699" s="147">
        <f t="shared" si="9"/>
        <v>0</v>
      </c>
      <c r="R699" s="41" t="s">
        <v>37</v>
      </c>
      <c r="S699" s="69" t="s">
        <v>769</v>
      </c>
      <c r="T699" s="51" t="b">
        <v>1</v>
      </c>
      <c r="U699" s="94"/>
    </row>
    <row r="700" ht="30.0" customHeight="1">
      <c r="A700" s="39"/>
      <c r="B700" s="40">
        <v>2733.0</v>
      </c>
      <c r="C700" s="41" t="s">
        <v>50</v>
      </c>
      <c r="D700" s="86">
        <v>46067.0</v>
      </c>
      <c r="E700" s="43" t="str">
        <f t="shared" si="1"/>
        <v>2026</v>
      </c>
      <c r="F700" s="43" t="str">
        <f t="shared" si="2"/>
        <v>02 Feb</v>
      </c>
      <c r="G700" s="126" t="s">
        <v>173</v>
      </c>
      <c r="H700" s="45" t="s">
        <v>47</v>
      </c>
      <c r="I700" s="45" t="s">
        <v>815</v>
      </c>
      <c r="J700" s="143" t="s">
        <v>28</v>
      </c>
      <c r="K700" s="43" t="str">
        <f t="array" ref="K700">IF(J700="","", XLOOKUP(J700,'⚙️ Pengaturan'!$E$2:$E3237,'⚙️ Pengaturan'!$G$2:$G3237))</f>
        <v>KLINIK FT TA</v>
      </c>
      <c r="L700" s="43" t="str">
        <f t="shared" si="3"/>
        <v>BARU</v>
      </c>
      <c r="M700" s="144" t="s">
        <v>31</v>
      </c>
      <c r="N700" s="145">
        <v>250000.0</v>
      </c>
      <c r="O700" s="146">
        <v>0.0</v>
      </c>
      <c r="P700" s="48">
        <f t="array" ref="P700">IFNA(XLOOKUP(J700,'⚙️ Pengaturan'!$E$2:$E3237,'⚙️ Pengaturan'!$F$2:$F3237),"")</f>
        <v>250000</v>
      </c>
      <c r="Q700" s="147">
        <f t="shared" si="9"/>
        <v>0</v>
      </c>
      <c r="R700" s="41" t="s">
        <v>32</v>
      </c>
      <c r="S700" s="69" t="s">
        <v>33</v>
      </c>
      <c r="T700" s="51" t="b">
        <v>1</v>
      </c>
      <c r="U700" s="94"/>
    </row>
    <row r="701" ht="30.0" customHeight="1">
      <c r="A701" s="39"/>
      <c r="B701" s="40">
        <v>2734.0</v>
      </c>
      <c r="C701" s="41" t="s">
        <v>50</v>
      </c>
      <c r="D701" s="86">
        <v>46067.0</v>
      </c>
      <c r="E701" s="43" t="str">
        <f t="shared" si="1"/>
        <v>2026</v>
      </c>
      <c r="F701" s="43" t="str">
        <f t="shared" si="2"/>
        <v>02 Feb</v>
      </c>
      <c r="G701" s="126" t="s">
        <v>155</v>
      </c>
      <c r="H701" s="45" t="s">
        <v>47</v>
      </c>
      <c r="I701" s="45" t="s">
        <v>816</v>
      </c>
      <c r="J701" s="143" t="s">
        <v>28</v>
      </c>
      <c r="K701" s="43" t="str">
        <f t="array" ref="K701">IF(J701="","", XLOOKUP(J701,'⚙️ Pengaturan'!$E$2:$E3237,'⚙️ Pengaturan'!$G$2:$G3237))</f>
        <v>KLINIK FT TA</v>
      </c>
      <c r="L701" s="43" t="str">
        <f t="shared" si="3"/>
        <v>BARU</v>
      </c>
      <c r="M701" s="144" t="s">
        <v>31</v>
      </c>
      <c r="N701" s="145">
        <v>250000.0</v>
      </c>
      <c r="O701" s="146">
        <v>0.0</v>
      </c>
      <c r="P701" s="48">
        <f t="array" ref="P701">IFNA(XLOOKUP(J701,'⚙️ Pengaturan'!$E$2:$E3237,'⚙️ Pengaturan'!$F$2:$F3237),"")</f>
        <v>250000</v>
      </c>
      <c r="Q701" s="147">
        <f t="shared" si="9"/>
        <v>0</v>
      </c>
      <c r="R701" s="41" t="s">
        <v>32</v>
      </c>
      <c r="S701" s="69" t="s">
        <v>33</v>
      </c>
      <c r="T701" s="51" t="b">
        <v>1</v>
      </c>
      <c r="U701" s="94"/>
    </row>
    <row r="702" ht="30.0" customHeight="1">
      <c r="A702" s="39"/>
      <c r="B702" s="40">
        <v>2735.0</v>
      </c>
      <c r="C702" s="41" t="s">
        <v>79</v>
      </c>
      <c r="D702" s="86">
        <v>46068.0</v>
      </c>
      <c r="E702" s="43" t="str">
        <f t="shared" si="1"/>
        <v>2026</v>
      </c>
      <c r="F702" s="43" t="str">
        <f t="shared" si="2"/>
        <v>02 Feb</v>
      </c>
      <c r="G702" s="126" t="s">
        <v>195</v>
      </c>
      <c r="H702" s="45" t="s">
        <v>149</v>
      </c>
      <c r="I702" s="45" t="s">
        <v>807</v>
      </c>
      <c r="J702" s="143" t="s">
        <v>120</v>
      </c>
      <c r="K702" s="43" t="str">
        <f t="array" ref="K702">IF(J702="","", XLOOKUP(J702,'⚙️ Pengaturan'!$E$2:$E3237,'⚙️ Pengaturan'!$G$2:$G3237))</f>
        <v>KLINIK FT SESI</v>
      </c>
      <c r="L702" s="43" t="str">
        <f t="shared" si="3"/>
        <v>BARU</v>
      </c>
      <c r="M702" s="144" t="s">
        <v>31</v>
      </c>
      <c r="N702" s="145">
        <v>180000.0</v>
      </c>
      <c r="O702" s="146">
        <v>0.0</v>
      </c>
      <c r="P702" s="48">
        <f t="array" ref="P702">IFNA(XLOOKUP(J702,'⚙️ Pengaturan'!$E$2:$E3237,'⚙️ Pengaturan'!$F$2:$F3237),"")</f>
        <v>180000</v>
      </c>
      <c r="Q702" s="147">
        <f t="shared" si="9"/>
        <v>0</v>
      </c>
      <c r="R702" s="41" t="s">
        <v>32</v>
      </c>
      <c r="S702" s="69" t="s">
        <v>33</v>
      </c>
      <c r="T702" s="51" t="b">
        <v>1</v>
      </c>
      <c r="U702" s="94"/>
    </row>
    <row r="703" ht="30.0" customHeight="1">
      <c r="A703" s="39"/>
      <c r="B703" s="40">
        <v>2736.0</v>
      </c>
      <c r="C703" s="41" t="s">
        <v>79</v>
      </c>
      <c r="D703" s="86">
        <v>46068.0</v>
      </c>
      <c r="E703" s="43" t="str">
        <f t="shared" si="1"/>
        <v>2026</v>
      </c>
      <c r="F703" s="43" t="str">
        <f t="shared" si="2"/>
        <v>02 Feb</v>
      </c>
      <c r="G703" s="126" t="s">
        <v>195</v>
      </c>
      <c r="H703" s="45" t="s">
        <v>47</v>
      </c>
      <c r="I703" s="45" t="s">
        <v>817</v>
      </c>
      <c r="J703" s="143" t="s">
        <v>56</v>
      </c>
      <c r="K703" s="43" t="str">
        <f t="array" ref="K703">IF(J703="","", XLOOKUP(J703,'⚙️ Pengaturan'!$E$2:$E3237,'⚙️ Pengaturan'!$G$2:$G3237))</f>
        <v>KLINIK FT PAKET</v>
      </c>
      <c r="L703" s="43" t="str">
        <f t="shared" si="3"/>
        <v>BARU</v>
      </c>
      <c r="M703" s="144" t="s">
        <v>164</v>
      </c>
      <c r="N703" s="145">
        <v>450000.0</v>
      </c>
      <c r="O703" s="146">
        <v>0.0</v>
      </c>
      <c r="P703" s="48">
        <f t="array" ref="P703">IFNA(XLOOKUP(J703,'⚙️ Pengaturan'!$E$2:$E3237,'⚙️ Pengaturan'!$F$2:$F3237),"")</f>
        <v>650000</v>
      </c>
      <c r="Q703" s="147">
        <f t="shared" si="9"/>
        <v>-200000</v>
      </c>
      <c r="R703" s="41" t="s">
        <v>118</v>
      </c>
      <c r="S703" s="69" t="s">
        <v>619</v>
      </c>
      <c r="T703" s="51" t="b">
        <v>1</v>
      </c>
      <c r="U703" s="94"/>
    </row>
    <row r="704" ht="30.0" customHeight="1">
      <c r="A704" s="39"/>
      <c r="B704" s="40">
        <v>2737.0</v>
      </c>
      <c r="C704" s="41" t="s">
        <v>79</v>
      </c>
      <c r="D704" s="86">
        <v>46066.0</v>
      </c>
      <c r="E704" s="43" t="str">
        <f t="shared" si="1"/>
        <v>2026</v>
      </c>
      <c r="F704" s="43" t="str">
        <f t="shared" si="2"/>
        <v>02 Feb</v>
      </c>
      <c r="G704" s="126" t="s">
        <v>25</v>
      </c>
      <c r="H704" s="45" t="s">
        <v>96</v>
      </c>
      <c r="I704" s="45" t="s">
        <v>502</v>
      </c>
      <c r="J704" s="143" t="s">
        <v>56</v>
      </c>
      <c r="K704" s="43" t="str">
        <f t="array" ref="K704">IF(J704="","", XLOOKUP(J704,'⚙️ Pengaturan'!$E$2:$E3237,'⚙️ Pengaturan'!$G$2:$G3237))</f>
        <v>KLINIK FT PAKET</v>
      </c>
      <c r="L704" s="43" t="str">
        <f t="shared" si="3"/>
        <v>LANJUTAN</v>
      </c>
      <c r="M704" s="144" t="s">
        <v>31</v>
      </c>
      <c r="N704" s="145">
        <v>650000.0</v>
      </c>
      <c r="O704" s="146">
        <v>0.0</v>
      </c>
      <c r="P704" s="48">
        <f t="array" ref="P704">IFNA(XLOOKUP(J704,'⚙️ Pengaturan'!$E$2:$E3237,'⚙️ Pengaturan'!$F$2:$F3237),"")</f>
        <v>650000</v>
      </c>
      <c r="Q704" s="147">
        <f t="shared" si="9"/>
        <v>0</v>
      </c>
      <c r="R704" s="41" t="s">
        <v>37</v>
      </c>
      <c r="S704" s="69" t="s">
        <v>502</v>
      </c>
      <c r="T704" s="51" t="b">
        <v>1</v>
      </c>
      <c r="U704" s="94"/>
    </row>
    <row r="705" ht="30.0" customHeight="1">
      <c r="A705" s="39"/>
      <c r="B705" s="40">
        <v>2738.0</v>
      </c>
      <c r="C705" s="41" t="s">
        <v>79</v>
      </c>
      <c r="D705" s="86">
        <v>46068.0</v>
      </c>
      <c r="E705" s="43" t="str">
        <f t="shared" si="1"/>
        <v>2026</v>
      </c>
      <c r="F705" s="43" t="str">
        <f t="shared" si="2"/>
        <v>02 Feb</v>
      </c>
      <c r="G705" s="126" t="s">
        <v>25</v>
      </c>
      <c r="H705" s="45" t="s">
        <v>76</v>
      </c>
      <c r="I705" s="45" t="s">
        <v>170</v>
      </c>
      <c r="J705" s="143" t="s">
        <v>56</v>
      </c>
      <c r="K705" s="43" t="str">
        <f t="array" ref="K705">IF(J705="","", XLOOKUP(J705,'⚙️ Pengaturan'!$E$2:$E3237,'⚙️ Pengaturan'!$G$2:$G3237))</f>
        <v>KLINIK FT PAKET</v>
      </c>
      <c r="L705" s="43" t="str">
        <f t="shared" si="3"/>
        <v>LANJUTAN</v>
      </c>
      <c r="M705" s="144" t="s">
        <v>31</v>
      </c>
      <c r="N705" s="145">
        <v>650000.0</v>
      </c>
      <c r="O705" s="146">
        <v>0.0</v>
      </c>
      <c r="P705" s="48">
        <f t="array" ref="P705">IFNA(XLOOKUP(J705,'⚙️ Pengaturan'!$E$2:$E3237,'⚙️ Pengaturan'!$F$2:$F3237),"")</f>
        <v>650000</v>
      </c>
      <c r="Q705" s="147">
        <f t="shared" si="9"/>
        <v>0</v>
      </c>
      <c r="R705" s="41" t="s">
        <v>37</v>
      </c>
      <c r="S705" s="69" t="s">
        <v>502</v>
      </c>
      <c r="T705" s="51" t="b">
        <v>1</v>
      </c>
      <c r="U705" s="94"/>
    </row>
    <row r="706" ht="30.0" customHeight="1">
      <c r="A706" s="39"/>
      <c r="B706" s="40">
        <v>2739.0</v>
      </c>
      <c r="C706" s="41" t="s">
        <v>79</v>
      </c>
      <c r="D706" s="86">
        <v>46068.0</v>
      </c>
      <c r="E706" s="43" t="str">
        <f t="shared" si="1"/>
        <v>2026</v>
      </c>
      <c r="F706" s="43" t="str">
        <f t="shared" si="2"/>
        <v>02 Feb</v>
      </c>
      <c r="G706" s="126" t="s">
        <v>25</v>
      </c>
      <c r="H706" s="45" t="s">
        <v>76</v>
      </c>
      <c r="I706" s="45" t="s">
        <v>260</v>
      </c>
      <c r="J706" s="143" t="s">
        <v>56</v>
      </c>
      <c r="K706" s="43" t="str">
        <f t="array" ref="K706">IF(J706="","", XLOOKUP(J706,'⚙️ Pengaturan'!$E$2:$E3237,'⚙️ Pengaturan'!$G$2:$G3237))</f>
        <v>KLINIK FT PAKET</v>
      </c>
      <c r="L706" s="43" t="str">
        <f t="shared" si="3"/>
        <v>LANJUTAN</v>
      </c>
      <c r="M706" s="144" t="s">
        <v>31</v>
      </c>
      <c r="N706" s="145">
        <v>650000.0</v>
      </c>
      <c r="O706" s="146">
        <v>0.0</v>
      </c>
      <c r="P706" s="48">
        <f t="array" ref="P706">IFNA(XLOOKUP(J706,'⚙️ Pengaturan'!$E$2:$E3237,'⚙️ Pengaturan'!$F$2:$F3237),"")</f>
        <v>650000</v>
      </c>
      <c r="Q706" s="147">
        <f t="shared" si="9"/>
        <v>0</v>
      </c>
      <c r="R706" s="41" t="s">
        <v>32</v>
      </c>
      <c r="S706" s="69" t="s">
        <v>33</v>
      </c>
      <c r="T706" s="51" t="b">
        <v>1</v>
      </c>
      <c r="U706" s="94"/>
    </row>
    <row r="707" ht="30.0" customHeight="1">
      <c r="A707" s="39"/>
      <c r="B707" s="40">
        <v>2740.0</v>
      </c>
      <c r="C707" s="41" t="s">
        <v>79</v>
      </c>
      <c r="D707" s="86">
        <v>46068.0</v>
      </c>
      <c r="E707" s="43" t="str">
        <f t="shared" si="1"/>
        <v>2026</v>
      </c>
      <c r="F707" s="43" t="str">
        <f t="shared" si="2"/>
        <v>02 Feb</v>
      </c>
      <c r="G707" s="126" t="s">
        <v>25</v>
      </c>
      <c r="H707" s="45" t="s">
        <v>41</v>
      </c>
      <c r="I707" s="45" t="s">
        <v>818</v>
      </c>
      <c r="J707" s="143" t="s">
        <v>28</v>
      </c>
      <c r="K707" s="43" t="str">
        <f t="array" ref="K707">IF(J707="","", XLOOKUP(J707,'⚙️ Pengaturan'!$E$2:$E3237,'⚙️ Pengaturan'!$G$2:$G3237))</f>
        <v>KLINIK FT TA</v>
      </c>
      <c r="L707" s="43" t="str">
        <f t="shared" si="3"/>
        <v>BARU</v>
      </c>
      <c r="M707" s="144" t="s">
        <v>31</v>
      </c>
      <c r="N707" s="145">
        <v>250000.0</v>
      </c>
      <c r="O707" s="146">
        <v>0.0</v>
      </c>
      <c r="P707" s="48">
        <f t="array" ref="P707">IFNA(XLOOKUP(J707,'⚙️ Pengaturan'!$E$2:$E3237,'⚙️ Pengaturan'!$F$2:$F3237),"")</f>
        <v>250000</v>
      </c>
      <c r="Q707" s="147">
        <f t="shared" si="9"/>
        <v>0</v>
      </c>
      <c r="R707" s="41" t="s">
        <v>37</v>
      </c>
      <c r="S707" s="69" t="s">
        <v>818</v>
      </c>
      <c r="T707" s="51" t="b">
        <v>1</v>
      </c>
      <c r="U707" s="94"/>
    </row>
    <row r="708" ht="30.0" customHeight="1">
      <c r="A708" s="39"/>
      <c r="B708" s="40">
        <v>2741.0</v>
      </c>
      <c r="C708" s="41" t="s">
        <v>79</v>
      </c>
      <c r="D708" s="86">
        <v>46068.0</v>
      </c>
      <c r="E708" s="43" t="str">
        <f t="shared" si="1"/>
        <v>2026</v>
      </c>
      <c r="F708" s="43" t="str">
        <f t="shared" si="2"/>
        <v>02 Feb</v>
      </c>
      <c r="G708" s="126" t="s">
        <v>206</v>
      </c>
      <c r="H708" s="45" t="s">
        <v>149</v>
      </c>
      <c r="I708" s="45" t="s">
        <v>804</v>
      </c>
      <c r="J708" s="143" t="s">
        <v>120</v>
      </c>
      <c r="K708" s="43" t="str">
        <f t="array" ref="K708">IF(J708="","", XLOOKUP(J708,'⚙️ Pengaturan'!$E$2:$E3237,'⚙️ Pengaturan'!$G$2:$G3237))</f>
        <v>KLINIK FT SESI</v>
      </c>
      <c r="L708" s="43" t="str">
        <f t="shared" si="3"/>
        <v>BARU</v>
      </c>
      <c r="M708" s="144" t="s">
        <v>31</v>
      </c>
      <c r="N708" s="145">
        <v>180000.0</v>
      </c>
      <c r="O708" s="146">
        <v>0.0</v>
      </c>
      <c r="P708" s="48">
        <f t="array" ref="P708">IFNA(XLOOKUP(J708,'⚙️ Pengaturan'!$E$2:$E3237,'⚙️ Pengaturan'!$F$2:$F3237),"")</f>
        <v>180000</v>
      </c>
      <c r="Q708" s="147">
        <f t="shared" si="9"/>
        <v>0</v>
      </c>
      <c r="R708" s="41" t="s">
        <v>37</v>
      </c>
      <c r="S708" s="69" t="s">
        <v>804</v>
      </c>
      <c r="T708" s="51" t="b">
        <v>1</v>
      </c>
      <c r="U708" s="94"/>
    </row>
    <row r="709" ht="30.0" customHeight="1">
      <c r="A709" s="39"/>
      <c r="B709" s="40">
        <v>2742.0</v>
      </c>
      <c r="C709" s="41" t="s">
        <v>79</v>
      </c>
      <c r="D709" s="86">
        <v>46068.0</v>
      </c>
      <c r="E709" s="43" t="str">
        <f t="shared" si="1"/>
        <v>2026</v>
      </c>
      <c r="F709" s="43" t="str">
        <f t="shared" si="2"/>
        <v>02 Feb</v>
      </c>
      <c r="G709" s="126" t="s">
        <v>206</v>
      </c>
      <c r="H709" s="45" t="s">
        <v>47</v>
      </c>
      <c r="I709" s="45" t="s">
        <v>639</v>
      </c>
      <c r="J709" s="143" t="s">
        <v>119</v>
      </c>
      <c r="K709" s="43" t="str">
        <f t="array" ref="K709">IF(J709="","", XLOOKUP(J709,'⚙️ Pengaturan'!$E$2:$E3237,'⚙️ Pengaturan'!$G$2:$G3237))</f>
        <v>KLINIK FT PAKET</v>
      </c>
      <c r="L709" s="43" t="str">
        <f t="shared" si="3"/>
        <v>BARU</v>
      </c>
      <c r="M709" s="144" t="s">
        <v>31</v>
      </c>
      <c r="N709" s="145">
        <v>750000.0</v>
      </c>
      <c r="O709" s="146">
        <v>0.0</v>
      </c>
      <c r="P709" s="48">
        <f t="array" ref="P709">IFNA(XLOOKUP(J709,'⚙️ Pengaturan'!$E$2:$E3237,'⚙️ Pengaturan'!$F$2:$F3237),"")</f>
        <v>750000</v>
      </c>
      <c r="Q709" s="147">
        <f t="shared" si="9"/>
        <v>0</v>
      </c>
      <c r="R709" s="41" t="s">
        <v>37</v>
      </c>
      <c r="S709" s="69" t="s">
        <v>639</v>
      </c>
      <c r="T709" s="51" t="b">
        <v>1</v>
      </c>
      <c r="U709" s="94"/>
    </row>
    <row r="710" ht="30.0" customHeight="1">
      <c r="A710" s="39"/>
      <c r="B710" s="40">
        <v>2743.0</v>
      </c>
      <c r="C710" s="41" t="s">
        <v>79</v>
      </c>
      <c r="D710" s="86">
        <v>46068.0</v>
      </c>
      <c r="E710" s="43" t="str">
        <f t="shared" si="1"/>
        <v>2026</v>
      </c>
      <c r="F710" s="43" t="str">
        <f t="shared" si="2"/>
        <v>02 Feb</v>
      </c>
      <c r="G710" s="126" t="s">
        <v>206</v>
      </c>
      <c r="H710" s="45" t="s">
        <v>41</v>
      </c>
      <c r="I710" s="45" t="s">
        <v>789</v>
      </c>
      <c r="J710" s="143" t="s">
        <v>120</v>
      </c>
      <c r="K710" s="43" t="str">
        <f t="array" ref="K710">IF(J710="","", XLOOKUP(J710,'⚙️ Pengaturan'!$E$2:$E3237,'⚙️ Pengaturan'!$G$2:$G3237))</f>
        <v>KLINIK FT SESI</v>
      </c>
      <c r="L710" s="43" t="str">
        <f t="shared" si="3"/>
        <v>LANJUTAN</v>
      </c>
      <c r="M710" s="144" t="s">
        <v>31</v>
      </c>
      <c r="N710" s="145">
        <v>50000.0</v>
      </c>
      <c r="O710" s="146">
        <v>130000.0</v>
      </c>
      <c r="P710" s="48">
        <f t="array" ref="P710">IFNA(XLOOKUP(J710,'⚙️ Pengaturan'!$E$2:$E3237,'⚙️ Pengaturan'!$F$2:$F3237),"")</f>
        <v>180000</v>
      </c>
      <c r="Q710" s="147">
        <f t="shared" si="9"/>
        <v>0</v>
      </c>
      <c r="R710" s="41" t="s">
        <v>32</v>
      </c>
      <c r="S710" s="69" t="s">
        <v>33</v>
      </c>
      <c r="T710" s="51" t="b">
        <v>1</v>
      </c>
      <c r="U710" s="94"/>
    </row>
    <row r="711" ht="30.0" customHeight="1">
      <c r="A711" s="39"/>
      <c r="B711" s="40">
        <v>2744.0</v>
      </c>
      <c r="C711" s="41" t="s">
        <v>79</v>
      </c>
      <c r="D711" s="86">
        <v>46068.0</v>
      </c>
      <c r="E711" s="43" t="str">
        <f t="shared" si="1"/>
        <v>2026</v>
      </c>
      <c r="F711" s="43" t="str">
        <f t="shared" si="2"/>
        <v>02 Feb</v>
      </c>
      <c r="G711" s="126" t="s">
        <v>35</v>
      </c>
      <c r="H711" s="45" t="s">
        <v>76</v>
      </c>
      <c r="I711" s="45" t="s">
        <v>793</v>
      </c>
      <c r="J711" s="143" t="s">
        <v>120</v>
      </c>
      <c r="K711" s="43" t="str">
        <f t="array" ref="K711">IF(J711="","", XLOOKUP(J711,'⚙️ Pengaturan'!$E$2:$E3237,'⚙️ Pengaturan'!$G$2:$G3237))</f>
        <v>KLINIK FT SESI</v>
      </c>
      <c r="L711" s="43" t="str">
        <f t="shared" si="3"/>
        <v>LANJUTAN</v>
      </c>
      <c r="M711" s="144" t="s">
        <v>31</v>
      </c>
      <c r="N711" s="145">
        <v>180000.0</v>
      </c>
      <c r="O711" s="146">
        <v>0.0</v>
      </c>
      <c r="P711" s="48">
        <f t="array" ref="P711">IFNA(XLOOKUP(J711,'⚙️ Pengaturan'!$E$2:$E3237,'⚙️ Pengaturan'!$F$2:$F3237),"")</f>
        <v>180000</v>
      </c>
      <c r="Q711" s="147">
        <f t="shared" si="9"/>
        <v>0</v>
      </c>
      <c r="R711" s="41" t="s">
        <v>37</v>
      </c>
      <c r="S711" s="69" t="s">
        <v>793</v>
      </c>
      <c r="T711" s="51" t="b">
        <v>1</v>
      </c>
      <c r="U711" s="94"/>
    </row>
    <row r="712" ht="30.0" customHeight="1">
      <c r="A712" s="39"/>
      <c r="B712" s="40">
        <v>2745.0</v>
      </c>
      <c r="C712" s="41" t="s">
        <v>79</v>
      </c>
      <c r="D712" s="86">
        <v>46068.0</v>
      </c>
      <c r="E712" s="43" t="str">
        <f t="shared" si="1"/>
        <v>2026</v>
      </c>
      <c r="F712" s="43" t="str">
        <f t="shared" si="2"/>
        <v>02 Feb</v>
      </c>
      <c r="G712" s="126" t="s">
        <v>161</v>
      </c>
      <c r="H712" s="45" t="s">
        <v>41</v>
      </c>
      <c r="I712" s="45" t="s">
        <v>819</v>
      </c>
      <c r="J712" s="143" t="s">
        <v>28</v>
      </c>
      <c r="K712" s="43" t="str">
        <f t="array" ref="K712">IF(J712="","", XLOOKUP(J712,'⚙️ Pengaturan'!$E$2:$E3237,'⚙️ Pengaturan'!$G$2:$G3237))</f>
        <v>KLINIK FT TA</v>
      </c>
      <c r="L712" s="43" t="str">
        <f t="shared" si="3"/>
        <v>BARU</v>
      </c>
      <c r="M712" s="144" t="s">
        <v>31</v>
      </c>
      <c r="N712" s="145">
        <v>200000.0</v>
      </c>
      <c r="O712" s="146">
        <v>50000.0</v>
      </c>
      <c r="P712" s="48">
        <f t="array" ref="P712">IFNA(XLOOKUP(J712,'⚙️ Pengaturan'!$E$2:$E3237,'⚙️ Pengaturan'!$F$2:$F3237),"")</f>
        <v>250000</v>
      </c>
      <c r="Q712" s="147">
        <f t="shared" si="9"/>
        <v>0</v>
      </c>
      <c r="R712" s="41" t="s">
        <v>32</v>
      </c>
      <c r="S712" s="69" t="s">
        <v>33</v>
      </c>
      <c r="T712" s="51" t="b">
        <v>1</v>
      </c>
      <c r="U712" s="94"/>
    </row>
    <row r="713" ht="30.0" customHeight="1">
      <c r="A713" s="39"/>
      <c r="B713" s="40">
        <v>2746.0</v>
      </c>
      <c r="C713" s="41" t="s">
        <v>79</v>
      </c>
      <c r="D713" s="86">
        <v>46068.0</v>
      </c>
      <c r="E713" s="43" t="str">
        <f t="shared" si="1"/>
        <v>2026</v>
      </c>
      <c r="F713" s="43" t="str">
        <f t="shared" si="2"/>
        <v>02 Feb</v>
      </c>
      <c r="G713" s="126" t="s">
        <v>35</v>
      </c>
      <c r="H713" s="45" t="s">
        <v>76</v>
      </c>
      <c r="I713" s="45" t="s">
        <v>709</v>
      </c>
      <c r="J713" s="143" t="s">
        <v>180</v>
      </c>
      <c r="K713" s="43" t="str">
        <f t="array" ref="K713">IF(J713="","", XLOOKUP(J713,'⚙️ Pengaturan'!$E$2:$E3237,'⚙️ Pengaturan'!$G$2:$G3237))</f>
        <v>KLINIK FT SESI</v>
      </c>
      <c r="L713" s="43" t="str">
        <f t="shared" si="3"/>
        <v>LANJUTAN</v>
      </c>
      <c r="M713" s="144" t="s">
        <v>31</v>
      </c>
      <c r="N713" s="145">
        <v>150000.0</v>
      </c>
      <c r="O713" s="146">
        <v>0.0</v>
      </c>
      <c r="P713" s="48">
        <f t="array" ref="P713">IFNA(XLOOKUP(J713,'⚙️ Pengaturan'!$E$2:$E3237,'⚙️ Pengaturan'!$F$2:$F3237),"")</f>
        <v>150000</v>
      </c>
      <c r="Q713" s="147">
        <f t="shared" si="9"/>
        <v>0</v>
      </c>
      <c r="R713" s="41" t="s">
        <v>37</v>
      </c>
      <c r="S713" s="69" t="s">
        <v>33</v>
      </c>
      <c r="T713" s="51" t="b">
        <v>1</v>
      </c>
      <c r="U713" s="94"/>
    </row>
    <row r="714" ht="30.0" customHeight="1">
      <c r="A714" s="39"/>
      <c r="B714" s="40">
        <v>2747.0</v>
      </c>
      <c r="C714" s="41" t="s">
        <v>79</v>
      </c>
      <c r="D714" s="86">
        <v>46068.0</v>
      </c>
      <c r="E714" s="43" t="str">
        <f t="shared" si="1"/>
        <v>2026</v>
      </c>
      <c r="F714" s="43" t="str">
        <f t="shared" si="2"/>
        <v>02 Feb</v>
      </c>
      <c r="G714" s="126" t="s">
        <v>35</v>
      </c>
      <c r="H714" s="45" t="s">
        <v>41</v>
      </c>
      <c r="I714" s="45" t="s">
        <v>725</v>
      </c>
      <c r="J714" s="143" t="s">
        <v>28</v>
      </c>
      <c r="K714" s="43" t="str">
        <f t="array" ref="K714">IF(J714="","", XLOOKUP(J714,'⚙️ Pengaturan'!$E$2:$E3237,'⚙️ Pengaturan'!$G$2:$G3237))</f>
        <v>KLINIK FT TA</v>
      </c>
      <c r="L714" s="43" t="str">
        <f t="shared" si="3"/>
        <v>BARU</v>
      </c>
      <c r="M714" s="144" t="s">
        <v>31</v>
      </c>
      <c r="N714" s="145">
        <v>250000.0</v>
      </c>
      <c r="O714" s="146">
        <v>0.0</v>
      </c>
      <c r="P714" s="48">
        <f t="array" ref="P714">IFNA(XLOOKUP(J714,'⚙️ Pengaturan'!$E$2:$E3237,'⚙️ Pengaturan'!$F$2:$F3237),"")</f>
        <v>250000</v>
      </c>
      <c r="Q714" s="147">
        <f t="shared" si="9"/>
        <v>0</v>
      </c>
      <c r="R714" s="41" t="s">
        <v>37</v>
      </c>
      <c r="S714" s="69" t="s">
        <v>820</v>
      </c>
      <c r="T714" s="51" t="b">
        <v>1</v>
      </c>
      <c r="U714" s="94"/>
    </row>
    <row r="715" ht="30.0" customHeight="1">
      <c r="A715" s="39"/>
      <c r="B715" s="40">
        <v>2748.0</v>
      </c>
      <c r="C715" s="41" t="s">
        <v>50</v>
      </c>
      <c r="D715" s="86">
        <v>46068.0</v>
      </c>
      <c r="E715" s="43" t="str">
        <f t="shared" si="1"/>
        <v>2026</v>
      </c>
      <c r="F715" s="43" t="str">
        <f t="shared" si="2"/>
        <v>02 Feb</v>
      </c>
      <c r="G715" s="126" t="s">
        <v>241</v>
      </c>
      <c r="H715" s="45" t="s">
        <v>166</v>
      </c>
      <c r="I715" s="45" t="s">
        <v>779</v>
      </c>
      <c r="J715" s="143" t="s">
        <v>120</v>
      </c>
      <c r="K715" s="43" t="str">
        <f t="array" ref="K715">IF(J715="","", XLOOKUP(J715,'⚙️ Pengaturan'!$E$2:$E3237,'⚙️ Pengaturan'!$G$2:$G3237))</f>
        <v>KLINIK FT SESI</v>
      </c>
      <c r="L715" s="43" t="str">
        <f t="shared" si="3"/>
        <v>LANJUTAN</v>
      </c>
      <c r="M715" s="144" t="s">
        <v>31</v>
      </c>
      <c r="N715" s="145">
        <v>180000.0</v>
      </c>
      <c r="O715" s="146">
        <v>0.0</v>
      </c>
      <c r="P715" s="48">
        <f t="array" ref="P715">IFNA(XLOOKUP(J715,'⚙️ Pengaturan'!$E$2:$E3237,'⚙️ Pengaturan'!$F$2:$F3237),"")</f>
        <v>180000</v>
      </c>
      <c r="Q715" s="147">
        <f t="shared" si="9"/>
        <v>0</v>
      </c>
      <c r="R715" s="41" t="s">
        <v>37</v>
      </c>
      <c r="S715" s="69" t="s">
        <v>779</v>
      </c>
      <c r="T715" s="51" t="b">
        <v>1</v>
      </c>
      <c r="U715" s="94" t="s">
        <v>821</v>
      </c>
    </row>
    <row r="716" ht="30.0" customHeight="1">
      <c r="A716" s="39"/>
      <c r="B716" s="40">
        <v>2749.0</v>
      </c>
      <c r="C716" s="41" t="s">
        <v>50</v>
      </c>
      <c r="D716" s="86">
        <v>46068.0</v>
      </c>
      <c r="E716" s="43" t="str">
        <f t="shared" si="1"/>
        <v>2026</v>
      </c>
      <c r="F716" s="43" t="str">
        <f t="shared" si="2"/>
        <v>02 Feb</v>
      </c>
      <c r="G716" s="126" t="s">
        <v>241</v>
      </c>
      <c r="H716" s="45" t="s">
        <v>166</v>
      </c>
      <c r="I716" s="45" t="s">
        <v>779</v>
      </c>
      <c r="J716" s="143" t="s">
        <v>120</v>
      </c>
      <c r="K716" s="43" t="str">
        <f t="array" ref="K716">IF(J716="","", XLOOKUP(J716,'⚙️ Pengaturan'!$E$2:$E3237,'⚙️ Pengaturan'!$G$2:$G3237))</f>
        <v>KLINIK FT SESI</v>
      </c>
      <c r="L716" s="43" t="str">
        <f t="shared" si="3"/>
        <v>LANJUTAN</v>
      </c>
      <c r="M716" s="144" t="s">
        <v>31</v>
      </c>
      <c r="N716" s="145">
        <v>180000.0</v>
      </c>
      <c r="O716" s="146">
        <v>0.0</v>
      </c>
      <c r="P716" s="48">
        <f t="array" ref="P716">IFNA(XLOOKUP(J716,'⚙️ Pengaturan'!$E$2:$E3237,'⚙️ Pengaturan'!$F$2:$F3237),"")</f>
        <v>180000</v>
      </c>
      <c r="Q716" s="147">
        <f t="shared" si="9"/>
        <v>0</v>
      </c>
      <c r="R716" s="41" t="s">
        <v>37</v>
      </c>
      <c r="S716" s="69" t="s">
        <v>779</v>
      </c>
      <c r="T716" s="51" t="b">
        <v>1</v>
      </c>
      <c r="U716" s="94" t="s">
        <v>821</v>
      </c>
    </row>
    <row r="717" ht="30.0" customHeight="1">
      <c r="A717" s="39"/>
      <c r="B717" s="40">
        <v>2750.0</v>
      </c>
      <c r="C717" s="41" t="s">
        <v>50</v>
      </c>
      <c r="D717" s="86">
        <v>46068.0</v>
      </c>
      <c r="E717" s="43" t="str">
        <f t="shared" si="1"/>
        <v>2026</v>
      </c>
      <c r="F717" s="43" t="str">
        <f t="shared" si="2"/>
        <v>02 Feb</v>
      </c>
      <c r="G717" s="126" t="s">
        <v>69</v>
      </c>
      <c r="H717" s="45" t="s">
        <v>26</v>
      </c>
      <c r="I717" s="45" t="s">
        <v>781</v>
      </c>
      <c r="J717" s="143" t="s">
        <v>323</v>
      </c>
      <c r="K717" s="43" t="str">
        <f t="array" ref="K717">IF(J717="","", XLOOKUP(J717,'⚙️ Pengaturan'!$E$2:$E3237,'⚙️ Pengaturan'!$G$2:$G3237))</f>
        <v>VISIT FT SESI</v>
      </c>
      <c r="L717" s="43" t="str">
        <f t="shared" si="3"/>
        <v>BARU</v>
      </c>
      <c r="M717" s="144" t="s">
        <v>31</v>
      </c>
      <c r="N717" s="145">
        <v>200000.0</v>
      </c>
      <c r="O717" s="146">
        <v>0.0</v>
      </c>
      <c r="P717" s="48">
        <f t="array" ref="P717">IFNA(XLOOKUP(J717,'⚙️ Pengaturan'!$E$2:$E3237,'⚙️ Pengaturan'!$F$2:$F3237),"")</f>
        <v>200000</v>
      </c>
      <c r="Q717" s="147">
        <f t="shared" si="9"/>
        <v>0</v>
      </c>
      <c r="R717" s="41" t="s">
        <v>32</v>
      </c>
      <c r="S717" s="69" t="s">
        <v>33</v>
      </c>
      <c r="T717" s="51" t="b">
        <v>1</v>
      </c>
      <c r="U717" s="94"/>
    </row>
    <row r="718" ht="30.0" customHeight="1">
      <c r="A718" s="39"/>
      <c r="B718" s="40">
        <v>2751.0</v>
      </c>
      <c r="C718" s="41" t="s">
        <v>50</v>
      </c>
      <c r="D718" s="86">
        <v>46068.0</v>
      </c>
      <c r="E718" s="43" t="str">
        <f t="shared" si="1"/>
        <v>2026</v>
      </c>
      <c r="F718" s="43" t="str">
        <f t="shared" si="2"/>
        <v>02 Feb</v>
      </c>
      <c r="G718" s="126" t="s">
        <v>40</v>
      </c>
      <c r="H718" s="45" t="s">
        <v>162</v>
      </c>
      <c r="I718" s="45" t="s">
        <v>822</v>
      </c>
      <c r="J718" s="143" t="s">
        <v>28</v>
      </c>
      <c r="K718" s="43" t="str">
        <f t="array" ref="K718">IF(J718="","", XLOOKUP(J718,'⚙️ Pengaturan'!$E$2:$E3237,'⚙️ Pengaturan'!$G$2:$G3237))</f>
        <v>KLINIK FT TA</v>
      </c>
      <c r="L718" s="43" t="str">
        <f t="shared" si="3"/>
        <v>BARU</v>
      </c>
      <c r="M718" s="144" t="s">
        <v>31</v>
      </c>
      <c r="N718" s="145">
        <v>250000.0</v>
      </c>
      <c r="O718" s="146">
        <v>0.0</v>
      </c>
      <c r="P718" s="48">
        <f t="array" ref="P718">IFNA(XLOOKUP(J718,'⚙️ Pengaturan'!$E$2:$E3237,'⚙️ Pengaturan'!$F$2:$F3237),"")</f>
        <v>250000</v>
      </c>
      <c r="Q718" s="147">
        <f t="shared" si="9"/>
        <v>0</v>
      </c>
      <c r="R718" s="41" t="s">
        <v>37</v>
      </c>
      <c r="S718" s="69" t="s">
        <v>822</v>
      </c>
      <c r="T718" s="51" t="b">
        <v>1</v>
      </c>
      <c r="U718" s="94"/>
    </row>
    <row r="719" ht="30.0" customHeight="1">
      <c r="A719" s="39"/>
      <c r="B719" s="40">
        <v>2752.0</v>
      </c>
      <c r="C719" s="41" t="s">
        <v>50</v>
      </c>
      <c r="D719" s="86">
        <v>46068.0</v>
      </c>
      <c r="E719" s="43" t="str">
        <f t="shared" si="1"/>
        <v>2026</v>
      </c>
      <c r="F719" s="43" t="str">
        <f t="shared" si="2"/>
        <v>02 Feb</v>
      </c>
      <c r="G719" s="126" t="s">
        <v>43</v>
      </c>
      <c r="H719" s="45" t="s">
        <v>26</v>
      </c>
      <c r="I719" s="45" t="s">
        <v>802</v>
      </c>
      <c r="J719" s="143" t="s">
        <v>120</v>
      </c>
      <c r="K719" s="43" t="str">
        <f t="array" ref="K719">IF(J719="","", XLOOKUP(J719,'⚙️ Pengaturan'!$E$2:$E3237,'⚙️ Pengaturan'!$G$2:$G3237))</f>
        <v>KLINIK FT SESI</v>
      </c>
      <c r="L719" s="43" t="str">
        <f t="shared" si="3"/>
        <v>BARU</v>
      </c>
      <c r="M719" s="144" t="s">
        <v>31</v>
      </c>
      <c r="N719" s="145">
        <v>180000.0</v>
      </c>
      <c r="O719" s="146">
        <v>0.0</v>
      </c>
      <c r="P719" s="48">
        <f t="array" ref="P719">IFNA(XLOOKUP(J719,'⚙️ Pengaturan'!$E$2:$E3237,'⚙️ Pengaturan'!$F$2:$F3237),"")</f>
        <v>180000</v>
      </c>
      <c r="Q719" s="147">
        <f t="shared" si="9"/>
        <v>0</v>
      </c>
      <c r="R719" s="41" t="s">
        <v>32</v>
      </c>
      <c r="S719" s="69" t="s">
        <v>33</v>
      </c>
      <c r="T719" s="51" t="b">
        <v>1</v>
      </c>
      <c r="U719" s="94"/>
    </row>
    <row r="720" ht="30.0" customHeight="1">
      <c r="A720" s="39"/>
      <c r="B720" s="40">
        <v>2753.0</v>
      </c>
      <c r="C720" s="41" t="s">
        <v>50</v>
      </c>
      <c r="D720" s="86">
        <v>46068.0</v>
      </c>
      <c r="E720" s="43" t="str">
        <f t="shared" si="1"/>
        <v>2026</v>
      </c>
      <c r="F720" s="43" t="str">
        <f t="shared" si="2"/>
        <v>02 Feb</v>
      </c>
      <c r="G720" s="126" t="s">
        <v>155</v>
      </c>
      <c r="H720" s="45" t="s">
        <v>150</v>
      </c>
      <c r="I720" s="45" t="s">
        <v>800</v>
      </c>
      <c r="J720" s="143" t="s">
        <v>119</v>
      </c>
      <c r="K720" s="43" t="str">
        <f t="array" ref="K720">IF(J720="","", XLOOKUP(J720,'⚙️ Pengaturan'!$E$2:$E3237,'⚙️ Pengaturan'!$G$2:$G3237))</f>
        <v>KLINIK FT PAKET</v>
      </c>
      <c r="L720" s="43" t="str">
        <f t="shared" si="3"/>
        <v>BARU</v>
      </c>
      <c r="M720" s="144" t="s">
        <v>60</v>
      </c>
      <c r="N720" s="145">
        <v>200000.0</v>
      </c>
      <c r="O720" s="146">
        <v>0.0</v>
      </c>
      <c r="P720" s="48">
        <f t="array" ref="P720">IFNA(XLOOKUP(J720,'⚙️ Pengaturan'!$E$2:$E3237,'⚙️ Pengaturan'!$F$2:$F3237),"")</f>
        <v>750000</v>
      </c>
      <c r="Q720" s="147">
        <f t="shared" si="9"/>
        <v>-550000</v>
      </c>
      <c r="R720" s="41" t="s">
        <v>32</v>
      </c>
      <c r="S720" s="69" t="s">
        <v>33</v>
      </c>
      <c r="T720" s="51" t="b">
        <v>1</v>
      </c>
      <c r="U720" s="94"/>
    </row>
    <row r="721" ht="30.0" customHeight="1">
      <c r="A721" s="39"/>
      <c r="B721" s="40">
        <v>2754.0</v>
      </c>
      <c r="C721" s="41" t="s">
        <v>50</v>
      </c>
      <c r="D721" s="86">
        <v>46068.0</v>
      </c>
      <c r="E721" s="43" t="str">
        <f t="shared" si="1"/>
        <v>2026</v>
      </c>
      <c r="F721" s="43" t="str">
        <f t="shared" si="2"/>
        <v>02 Feb</v>
      </c>
      <c r="G721" s="126" t="s">
        <v>155</v>
      </c>
      <c r="H721" s="45" t="s">
        <v>26</v>
      </c>
      <c r="I721" s="45" t="s">
        <v>279</v>
      </c>
      <c r="J721" s="143" t="s">
        <v>92</v>
      </c>
      <c r="K721" s="43" t="str">
        <f t="array" ref="K721">IF(J721="","", XLOOKUP(J721,'⚙️ Pengaturan'!$E$2:$E3237,'⚙️ Pengaturan'!$G$2:$G3237))</f>
        <v>KLINIK FT PAKET</v>
      </c>
      <c r="L721" s="43" t="str">
        <f t="shared" si="3"/>
        <v>LANJUTAN</v>
      </c>
      <c r="M721" s="144" t="s">
        <v>164</v>
      </c>
      <c r="N721" s="145">
        <v>700000.0</v>
      </c>
      <c r="O721" s="146">
        <v>500000.0</v>
      </c>
      <c r="P721" s="48">
        <f t="array" ref="P721">IFNA(XLOOKUP(J721,'⚙️ Pengaturan'!$E$2:$E3237,'⚙️ Pengaturan'!$F$2:$F3237),"")</f>
        <v>1200000</v>
      </c>
      <c r="Q721" s="147">
        <f t="shared" si="9"/>
        <v>0</v>
      </c>
      <c r="R721" s="41" t="s">
        <v>37</v>
      </c>
      <c r="S721" s="69" t="s">
        <v>279</v>
      </c>
      <c r="T721" s="51" t="b">
        <v>1</v>
      </c>
      <c r="U721" s="94"/>
    </row>
    <row r="722" ht="30.0" customHeight="1">
      <c r="A722" s="39"/>
      <c r="B722" s="40">
        <v>2755.0</v>
      </c>
      <c r="C722" s="41" t="s">
        <v>79</v>
      </c>
      <c r="D722" s="86">
        <v>46069.0</v>
      </c>
      <c r="E722" s="43" t="str">
        <f t="shared" si="1"/>
        <v>2026</v>
      </c>
      <c r="F722" s="43" t="str">
        <f t="shared" si="2"/>
        <v>02 Feb</v>
      </c>
      <c r="G722" s="126" t="s">
        <v>25</v>
      </c>
      <c r="H722" s="45" t="s">
        <v>162</v>
      </c>
      <c r="I722" s="45" t="s">
        <v>823</v>
      </c>
      <c r="J722" s="143" t="s">
        <v>28</v>
      </c>
      <c r="K722" s="43" t="str">
        <f t="array" ref="K722">IF(J722="","", XLOOKUP(J722,'⚙️ Pengaturan'!$E$2:$E3237,'⚙️ Pengaturan'!$G$2:$G3237))</f>
        <v>KLINIK FT TA</v>
      </c>
      <c r="L722" s="43" t="str">
        <f t="shared" si="3"/>
        <v>BARU</v>
      </c>
      <c r="M722" s="144" t="s">
        <v>31</v>
      </c>
      <c r="N722" s="145">
        <v>200000.0</v>
      </c>
      <c r="O722" s="146">
        <v>50000.0</v>
      </c>
      <c r="P722" s="48">
        <f t="array" ref="P722">IFNA(XLOOKUP(J722,'⚙️ Pengaturan'!$E$2:$E3237,'⚙️ Pengaturan'!$F$2:$F3237),"")</f>
        <v>250000</v>
      </c>
      <c r="Q722" s="147">
        <f t="shared" si="9"/>
        <v>0</v>
      </c>
      <c r="R722" s="41" t="s">
        <v>37</v>
      </c>
      <c r="S722" s="69" t="s">
        <v>823</v>
      </c>
      <c r="T722" s="51" t="b">
        <v>1</v>
      </c>
      <c r="U722" s="94"/>
    </row>
    <row r="723" ht="30.0" customHeight="1">
      <c r="A723" s="39"/>
      <c r="B723" s="40">
        <v>2756.0</v>
      </c>
      <c r="C723" s="41" t="s">
        <v>79</v>
      </c>
      <c r="D723" s="86">
        <v>46069.0</v>
      </c>
      <c r="E723" s="43" t="str">
        <f t="shared" si="1"/>
        <v>2026</v>
      </c>
      <c r="F723" s="43" t="str">
        <f t="shared" si="2"/>
        <v>02 Feb</v>
      </c>
      <c r="G723" s="126" t="s">
        <v>25</v>
      </c>
      <c r="H723" s="45" t="s">
        <v>150</v>
      </c>
      <c r="I723" s="45" t="s">
        <v>814</v>
      </c>
      <c r="J723" s="143" t="s">
        <v>120</v>
      </c>
      <c r="K723" s="43" t="str">
        <f t="array" ref="K723">IF(J723="","", XLOOKUP(J723,'⚙️ Pengaturan'!$E$2:$E3237,'⚙️ Pengaturan'!$G$2:$G3237))</f>
        <v>KLINIK FT SESI</v>
      </c>
      <c r="L723" s="43" t="str">
        <f t="shared" si="3"/>
        <v>BARU</v>
      </c>
      <c r="M723" s="144" t="s">
        <v>31</v>
      </c>
      <c r="N723" s="145">
        <v>180000.0</v>
      </c>
      <c r="O723" s="146">
        <v>0.0</v>
      </c>
      <c r="P723" s="48">
        <f t="array" ref="P723">IFNA(XLOOKUP(J723,'⚙️ Pengaturan'!$E$2:$E3237,'⚙️ Pengaturan'!$F$2:$F3237),"")</f>
        <v>180000</v>
      </c>
      <c r="Q723" s="147">
        <f t="shared" si="9"/>
        <v>0</v>
      </c>
      <c r="R723" s="41" t="s">
        <v>118</v>
      </c>
      <c r="S723" s="69" t="s">
        <v>814</v>
      </c>
      <c r="T723" s="51" t="b">
        <v>1</v>
      </c>
      <c r="U723" s="94"/>
    </row>
    <row r="724" ht="30.0" customHeight="1">
      <c r="A724" s="39"/>
      <c r="B724" s="40">
        <v>2757.0</v>
      </c>
      <c r="C724" s="41" t="s">
        <v>79</v>
      </c>
      <c r="D724" s="86">
        <v>46069.0</v>
      </c>
      <c r="E724" s="43" t="str">
        <f t="shared" si="1"/>
        <v>2026</v>
      </c>
      <c r="F724" s="43" t="str">
        <f t="shared" si="2"/>
        <v>02 Feb</v>
      </c>
      <c r="G724" s="126" t="s">
        <v>25</v>
      </c>
      <c r="H724" s="45" t="s">
        <v>26</v>
      </c>
      <c r="I724" s="45" t="s">
        <v>824</v>
      </c>
      <c r="J724" s="143" t="s">
        <v>28</v>
      </c>
      <c r="K724" s="43" t="str">
        <f t="array" ref="K724">IF(J724="","", XLOOKUP(J724,'⚙️ Pengaturan'!$E$2:$E3237,'⚙️ Pengaturan'!$G$2:$G3237))</f>
        <v>KLINIK FT TA</v>
      </c>
      <c r="L724" s="43" t="str">
        <f t="shared" si="3"/>
        <v>BARU</v>
      </c>
      <c r="M724" s="144" t="s">
        <v>31</v>
      </c>
      <c r="N724" s="145">
        <v>250000.0</v>
      </c>
      <c r="O724" s="146">
        <v>0.0</v>
      </c>
      <c r="P724" s="48">
        <f t="array" ref="P724">IFNA(XLOOKUP(J724,'⚙️ Pengaturan'!$E$2:$E3237,'⚙️ Pengaturan'!$F$2:$F3237),"")</f>
        <v>250000</v>
      </c>
      <c r="Q724" s="147">
        <f t="shared" si="9"/>
        <v>0</v>
      </c>
      <c r="R724" s="41" t="s">
        <v>32</v>
      </c>
      <c r="S724" s="69" t="s">
        <v>33</v>
      </c>
      <c r="T724" s="51" t="b">
        <v>1</v>
      </c>
      <c r="U724" s="94"/>
    </row>
    <row r="725" ht="30.0" customHeight="1">
      <c r="A725" s="39"/>
      <c r="B725" s="40">
        <v>2758.0</v>
      </c>
      <c r="C725" s="41" t="s">
        <v>79</v>
      </c>
      <c r="D725" s="86">
        <v>46069.0</v>
      </c>
      <c r="E725" s="43" t="str">
        <f t="shared" si="1"/>
        <v>2026</v>
      </c>
      <c r="F725" s="43" t="str">
        <f t="shared" si="2"/>
        <v>02 Feb</v>
      </c>
      <c r="G725" s="126" t="s">
        <v>206</v>
      </c>
      <c r="H725" s="45" t="s">
        <v>162</v>
      </c>
      <c r="I725" s="45" t="s">
        <v>825</v>
      </c>
      <c r="J725" s="143" t="s">
        <v>28</v>
      </c>
      <c r="K725" s="43" t="str">
        <f t="array" ref="K725">IF(J725="","", XLOOKUP(J725,'⚙️ Pengaturan'!$E$2:$E3237,'⚙️ Pengaturan'!$G$2:$G3237))</f>
        <v>KLINIK FT TA</v>
      </c>
      <c r="L725" s="43" t="str">
        <f t="shared" si="3"/>
        <v>BARU</v>
      </c>
      <c r="M725" s="144" t="s">
        <v>31</v>
      </c>
      <c r="N725" s="145">
        <v>250000.0</v>
      </c>
      <c r="O725" s="146">
        <v>0.0</v>
      </c>
      <c r="P725" s="48">
        <f t="array" ref="P725">IFNA(XLOOKUP(J725,'⚙️ Pengaturan'!$E$2:$E3237,'⚙️ Pengaturan'!$F$2:$F3237),"")</f>
        <v>250000</v>
      </c>
      <c r="Q725" s="147">
        <f t="shared" si="9"/>
        <v>0</v>
      </c>
      <c r="R725" s="41" t="s">
        <v>37</v>
      </c>
      <c r="S725" s="69" t="s">
        <v>826</v>
      </c>
      <c r="T725" s="51" t="b">
        <v>1</v>
      </c>
      <c r="U725" s="94"/>
    </row>
    <row r="726" ht="30.0" customHeight="1">
      <c r="A726" s="39"/>
      <c r="B726" s="40">
        <v>2759.0</v>
      </c>
      <c r="C726" s="41" t="s">
        <v>79</v>
      </c>
      <c r="D726" s="86">
        <v>46069.0</v>
      </c>
      <c r="E726" s="43" t="str">
        <f t="shared" si="1"/>
        <v>2026</v>
      </c>
      <c r="F726" s="43" t="str">
        <f t="shared" si="2"/>
        <v>02 Feb</v>
      </c>
      <c r="G726" s="126" t="s">
        <v>35</v>
      </c>
      <c r="H726" s="45" t="s">
        <v>166</v>
      </c>
      <c r="I726" s="45" t="s">
        <v>494</v>
      </c>
      <c r="J726" s="143" t="s">
        <v>92</v>
      </c>
      <c r="K726" s="43" t="str">
        <f t="array" ref="K726">IF(J726="","", XLOOKUP(J726,'⚙️ Pengaturan'!$E$2:$E3237,'⚙️ Pengaturan'!$G$2:$G3237))</f>
        <v>KLINIK FT PAKET</v>
      </c>
      <c r="L726" s="43" t="str">
        <f t="shared" si="3"/>
        <v>LANJUTAN</v>
      </c>
      <c r="M726" s="144" t="s">
        <v>60</v>
      </c>
      <c r="N726" s="145">
        <v>500000.0</v>
      </c>
      <c r="O726" s="146">
        <v>0.0</v>
      </c>
      <c r="P726" s="48">
        <f t="array" ref="P726">IFNA(XLOOKUP(J726,'⚙️ Pengaturan'!$E$2:$E3237,'⚙️ Pengaturan'!$F$2:$F3237),"")</f>
        <v>1200000</v>
      </c>
      <c r="Q726" s="147">
        <f t="shared" si="9"/>
        <v>-700000</v>
      </c>
      <c r="R726" s="41" t="s">
        <v>37</v>
      </c>
      <c r="S726" s="69" t="s">
        <v>494</v>
      </c>
      <c r="T726" s="51" t="b">
        <v>1</v>
      </c>
      <c r="U726" s="94"/>
    </row>
    <row r="727" ht="30.0" customHeight="1">
      <c r="A727" s="39"/>
      <c r="B727" s="40">
        <v>2760.0</v>
      </c>
      <c r="C727" s="41" t="s">
        <v>79</v>
      </c>
      <c r="D727" s="86">
        <v>46069.0</v>
      </c>
      <c r="E727" s="43" t="str">
        <f t="shared" si="1"/>
        <v>2026</v>
      </c>
      <c r="F727" s="43" t="str">
        <f t="shared" si="2"/>
        <v>02 Feb</v>
      </c>
      <c r="G727" s="126" t="s">
        <v>35</v>
      </c>
      <c r="H727" s="45" t="s">
        <v>26</v>
      </c>
      <c r="I727" s="45" t="s">
        <v>827</v>
      </c>
      <c r="J727" s="143" t="s">
        <v>28</v>
      </c>
      <c r="K727" s="43" t="str">
        <f t="array" ref="K727">IF(J727="","", XLOOKUP(J727,'⚙️ Pengaturan'!$E$2:$E3237,'⚙️ Pengaturan'!$G$2:$G3237))</f>
        <v>KLINIK FT TA</v>
      </c>
      <c r="L727" s="43" t="str">
        <f t="shared" si="3"/>
        <v>BARU</v>
      </c>
      <c r="M727" s="144" t="s">
        <v>31</v>
      </c>
      <c r="N727" s="145">
        <v>250000.0</v>
      </c>
      <c r="O727" s="146">
        <v>0.0</v>
      </c>
      <c r="P727" s="48">
        <f t="array" ref="P727">IFNA(XLOOKUP(J727,'⚙️ Pengaturan'!$E$2:$E3237,'⚙️ Pengaturan'!$F$2:$F3237),"")</f>
        <v>250000</v>
      </c>
      <c r="Q727" s="147">
        <f t="shared" si="9"/>
        <v>0</v>
      </c>
      <c r="R727" s="41" t="s">
        <v>32</v>
      </c>
      <c r="S727" s="69" t="s">
        <v>33</v>
      </c>
      <c r="T727" s="51" t="b">
        <v>1</v>
      </c>
      <c r="U727" s="94"/>
    </row>
    <row r="728" ht="30.0" customHeight="1">
      <c r="A728" s="39"/>
      <c r="B728" s="40">
        <v>2761.0</v>
      </c>
      <c r="C728" s="41" t="s">
        <v>79</v>
      </c>
      <c r="D728" s="86">
        <v>46069.0</v>
      </c>
      <c r="E728" s="43" t="str">
        <f t="shared" si="1"/>
        <v>2026</v>
      </c>
      <c r="F728" s="43" t="str">
        <f t="shared" si="2"/>
        <v>02 Feb</v>
      </c>
      <c r="G728" s="126" t="s">
        <v>35</v>
      </c>
      <c r="H728" s="45" t="s">
        <v>162</v>
      </c>
      <c r="I728" s="45" t="s">
        <v>828</v>
      </c>
      <c r="J728" s="143" t="s">
        <v>28</v>
      </c>
      <c r="K728" s="43" t="str">
        <f t="array" ref="K728">IF(J728="","", XLOOKUP(J728,'⚙️ Pengaturan'!$E$2:$E3237,'⚙️ Pengaturan'!$G$2:$G3237))</f>
        <v>KLINIK FT TA</v>
      </c>
      <c r="L728" s="43" t="str">
        <f t="shared" si="3"/>
        <v>BARU</v>
      </c>
      <c r="M728" s="144" t="s">
        <v>31</v>
      </c>
      <c r="N728" s="145">
        <v>250000.0</v>
      </c>
      <c r="O728" s="146">
        <v>0.0</v>
      </c>
      <c r="P728" s="48">
        <f t="array" ref="P728">IFNA(XLOOKUP(J728,'⚙️ Pengaturan'!$E$2:$E3237,'⚙️ Pengaturan'!$F$2:$F3237),"")</f>
        <v>250000</v>
      </c>
      <c r="Q728" s="147">
        <f t="shared" si="9"/>
        <v>0</v>
      </c>
      <c r="R728" s="41" t="s">
        <v>37</v>
      </c>
      <c r="S728" s="69" t="s">
        <v>828</v>
      </c>
      <c r="T728" s="51" t="b">
        <v>1</v>
      </c>
      <c r="U728" s="94"/>
    </row>
    <row r="729" ht="30.0" customHeight="1">
      <c r="A729" s="39"/>
      <c r="B729" s="40">
        <v>2762.0</v>
      </c>
      <c r="C729" s="41" t="s">
        <v>50</v>
      </c>
      <c r="D729" s="86">
        <v>46069.0</v>
      </c>
      <c r="E729" s="43" t="str">
        <f t="shared" si="1"/>
        <v>2026</v>
      </c>
      <c r="F729" s="43" t="str">
        <f t="shared" si="2"/>
        <v>02 Feb</v>
      </c>
      <c r="G729" s="126" t="s">
        <v>40</v>
      </c>
      <c r="H729" s="45" t="s">
        <v>76</v>
      </c>
      <c r="I729" s="45" t="s">
        <v>407</v>
      </c>
      <c r="J729" s="143" t="s">
        <v>92</v>
      </c>
      <c r="K729" s="43" t="str">
        <f t="array" ref="K729">IF(J729="","", XLOOKUP(J729,'⚙️ Pengaturan'!$E$2:$E3237,'⚙️ Pengaturan'!$G$2:$G3237))</f>
        <v>KLINIK FT PAKET</v>
      </c>
      <c r="L729" s="43" t="str">
        <f t="shared" si="3"/>
        <v>LANJUTAN</v>
      </c>
      <c r="M729" s="144" t="s">
        <v>31</v>
      </c>
      <c r="N729" s="145">
        <v>1200000.0</v>
      </c>
      <c r="O729" s="146">
        <v>0.0</v>
      </c>
      <c r="P729" s="48">
        <f t="array" ref="P729">IFNA(XLOOKUP(J729,'⚙️ Pengaturan'!$E$2:$E3237,'⚙️ Pengaturan'!$F$2:$F3237),"")</f>
        <v>1200000</v>
      </c>
      <c r="Q729" s="147">
        <f t="shared" si="9"/>
        <v>0</v>
      </c>
      <c r="R729" s="41" t="s">
        <v>37</v>
      </c>
      <c r="S729" s="69" t="s">
        <v>408</v>
      </c>
      <c r="T729" s="51" t="b">
        <v>1</v>
      </c>
      <c r="U729" s="94"/>
    </row>
    <row r="730" ht="30.0" customHeight="1">
      <c r="A730" s="39"/>
      <c r="B730" s="40">
        <v>2763.0</v>
      </c>
      <c r="C730" s="41" t="s">
        <v>50</v>
      </c>
      <c r="D730" s="86">
        <v>46069.0</v>
      </c>
      <c r="E730" s="43" t="str">
        <f t="shared" si="1"/>
        <v>2026</v>
      </c>
      <c r="F730" s="43" t="str">
        <f t="shared" si="2"/>
        <v>02 Feb</v>
      </c>
      <c r="G730" s="126" t="s">
        <v>40</v>
      </c>
      <c r="H730" s="45" t="s">
        <v>149</v>
      </c>
      <c r="I730" s="45" t="s">
        <v>454</v>
      </c>
      <c r="J730" s="143" t="s">
        <v>56</v>
      </c>
      <c r="K730" s="43" t="str">
        <f t="array" ref="K730">IF(J730="","", XLOOKUP(J730,'⚙️ Pengaturan'!$E$2:$E3237,'⚙️ Pengaturan'!$G$2:$G3237))</f>
        <v>KLINIK FT PAKET</v>
      </c>
      <c r="L730" s="43" t="str">
        <f t="shared" si="3"/>
        <v>LANJUTAN</v>
      </c>
      <c r="M730" s="144" t="s">
        <v>31</v>
      </c>
      <c r="N730" s="145">
        <v>650000.0</v>
      </c>
      <c r="O730" s="146">
        <v>0.0</v>
      </c>
      <c r="P730" s="48">
        <f t="array" ref="P730">IFNA(XLOOKUP(J730,'⚙️ Pengaturan'!$E$2:$E3237,'⚙️ Pengaturan'!$F$2:$F3237),"")</f>
        <v>650000</v>
      </c>
      <c r="Q730" s="147">
        <f t="shared" si="9"/>
        <v>0</v>
      </c>
      <c r="R730" s="41" t="s">
        <v>37</v>
      </c>
      <c r="S730" s="69" t="s">
        <v>454</v>
      </c>
      <c r="T730" s="51" t="b">
        <v>1</v>
      </c>
      <c r="U730" s="94"/>
    </row>
    <row r="731" ht="30.0" customHeight="1">
      <c r="A731" s="39"/>
      <c r="B731" s="40">
        <v>2764.0</v>
      </c>
      <c r="C731" s="41" t="s">
        <v>50</v>
      </c>
      <c r="D731" s="86">
        <v>46069.0</v>
      </c>
      <c r="E731" s="43" t="str">
        <f t="shared" si="1"/>
        <v>2026</v>
      </c>
      <c r="F731" s="43" t="str">
        <f t="shared" si="2"/>
        <v>02 Feb</v>
      </c>
      <c r="G731" s="126" t="s">
        <v>43</v>
      </c>
      <c r="H731" s="45" t="s">
        <v>41</v>
      </c>
      <c r="I731" s="45" t="s">
        <v>819</v>
      </c>
      <c r="J731" s="143" t="s">
        <v>120</v>
      </c>
      <c r="K731" s="43" t="str">
        <f t="array" ref="K731">IF(J731="","", XLOOKUP(J731,'⚙️ Pengaturan'!$E$2:$E3237,'⚙️ Pengaturan'!$G$2:$G3237))</f>
        <v>KLINIK FT SESI</v>
      </c>
      <c r="L731" s="43" t="str">
        <f t="shared" si="3"/>
        <v>BARU</v>
      </c>
      <c r="M731" s="144" t="s">
        <v>31</v>
      </c>
      <c r="N731" s="145">
        <v>144000.0</v>
      </c>
      <c r="O731" s="146">
        <v>36000.0</v>
      </c>
      <c r="P731" s="48">
        <f t="array" ref="P731">IFNA(XLOOKUP(J731,'⚙️ Pengaturan'!$E$2:$E3237,'⚙️ Pengaturan'!$F$2:$F3237),"")</f>
        <v>180000</v>
      </c>
      <c r="Q731" s="147">
        <f t="shared" si="9"/>
        <v>0</v>
      </c>
      <c r="R731" s="41" t="s">
        <v>32</v>
      </c>
      <c r="S731" s="69" t="s">
        <v>33</v>
      </c>
      <c r="T731" s="51" t="b">
        <v>1</v>
      </c>
      <c r="U731" s="94" t="s">
        <v>829</v>
      </c>
    </row>
    <row r="732" ht="30.0" customHeight="1">
      <c r="A732" s="39"/>
      <c r="B732" s="40">
        <v>2765.0</v>
      </c>
      <c r="C732" s="41" t="s">
        <v>50</v>
      </c>
      <c r="D732" s="86">
        <v>46069.0</v>
      </c>
      <c r="E732" s="43" t="str">
        <f t="shared" si="1"/>
        <v>2026</v>
      </c>
      <c r="F732" s="43" t="str">
        <f t="shared" si="2"/>
        <v>02 Feb</v>
      </c>
      <c r="G732" s="126" t="s">
        <v>173</v>
      </c>
      <c r="H732" s="45" t="s">
        <v>47</v>
      </c>
      <c r="I732" s="45" t="s">
        <v>830</v>
      </c>
      <c r="J732" s="143" t="s">
        <v>28</v>
      </c>
      <c r="K732" s="43" t="str">
        <f t="array" ref="K732">IF(J732="","", XLOOKUP(J732,'⚙️ Pengaturan'!$E$2:$E3237,'⚙️ Pengaturan'!$G$2:$G3237))</f>
        <v>KLINIK FT TA</v>
      </c>
      <c r="L732" s="43" t="str">
        <f t="shared" si="3"/>
        <v>BARU</v>
      </c>
      <c r="M732" s="144" t="s">
        <v>31</v>
      </c>
      <c r="N732" s="145">
        <v>250000.0</v>
      </c>
      <c r="O732" s="146">
        <v>0.0</v>
      </c>
      <c r="P732" s="48">
        <f t="array" ref="P732">IFNA(XLOOKUP(J732,'⚙️ Pengaturan'!$E$2:$E3237,'⚙️ Pengaturan'!$F$2:$F3237),"")</f>
        <v>250000</v>
      </c>
      <c r="Q732" s="147">
        <f t="shared" si="9"/>
        <v>0</v>
      </c>
      <c r="R732" s="41" t="s">
        <v>32</v>
      </c>
      <c r="S732" s="69" t="s">
        <v>33</v>
      </c>
      <c r="T732" s="51" t="b">
        <v>1</v>
      </c>
      <c r="U732" s="94"/>
    </row>
    <row r="733" ht="30.0" customHeight="1">
      <c r="A733" s="39"/>
      <c r="B733" s="40">
        <v>2766.0</v>
      </c>
      <c r="C733" s="41" t="s">
        <v>50</v>
      </c>
      <c r="D733" s="86">
        <v>46069.0</v>
      </c>
      <c r="E733" s="43" t="str">
        <f t="shared" si="1"/>
        <v>2026</v>
      </c>
      <c r="F733" s="43" t="str">
        <f t="shared" si="2"/>
        <v>02 Feb</v>
      </c>
      <c r="G733" s="126" t="s">
        <v>173</v>
      </c>
      <c r="H733" s="45" t="s">
        <v>41</v>
      </c>
      <c r="I733" s="45" t="s">
        <v>831</v>
      </c>
      <c r="J733" s="143" t="s">
        <v>28</v>
      </c>
      <c r="K733" s="43" t="str">
        <f t="array" ref="K733">IF(J733="","", XLOOKUP(J733,'⚙️ Pengaturan'!$E$2:$E3237,'⚙️ Pengaturan'!$G$2:$G3237))</f>
        <v>KLINIK FT TA</v>
      </c>
      <c r="L733" s="43" t="str">
        <f t="shared" si="3"/>
        <v>BARU</v>
      </c>
      <c r="M733" s="144" t="s">
        <v>31</v>
      </c>
      <c r="N733" s="145">
        <v>250000.0</v>
      </c>
      <c r="O733" s="146">
        <v>0.0</v>
      </c>
      <c r="P733" s="48">
        <f t="array" ref="P733">IFNA(XLOOKUP(J733,'⚙️ Pengaturan'!$E$2:$E3237,'⚙️ Pengaturan'!$F$2:$F3237),"")</f>
        <v>250000</v>
      </c>
      <c r="Q733" s="147">
        <f t="shared" si="9"/>
        <v>0</v>
      </c>
      <c r="R733" s="41" t="s">
        <v>37</v>
      </c>
      <c r="S733" s="69" t="s">
        <v>831</v>
      </c>
      <c r="T733" s="51" t="b">
        <v>1</v>
      </c>
      <c r="U733" s="94"/>
    </row>
    <row r="734" ht="30.0" customHeight="1">
      <c r="A734" s="39"/>
      <c r="B734" s="40">
        <v>2767.0</v>
      </c>
      <c r="C734" s="41" t="s">
        <v>50</v>
      </c>
      <c r="D734" s="86">
        <v>46069.0</v>
      </c>
      <c r="E734" s="43" t="str">
        <f t="shared" si="1"/>
        <v>2026</v>
      </c>
      <c r="F734" s="43" t="str">
        <f t="shared" si="2"/>
        <v>02 Feb</v>
      </c>
      <c r="G734" s="126" t="s">
        <v>155</v>
      </c>
      <c r="H734" s="45" t="s">
        <v>41</v>
      </c>
      <c r="I734" s="45" t="s">
        <v>832</v>
      </c>
      <c r="J734" s="143" t="s">
        <v>28</v>
      </c>
      <c r="K734" s="43" t="str">
        <f t="array" ref="K734">IF(J734="","", XLOOKUP(J734,'⚙️ Pengaturan'!$E$2:$E3237,'⚙️ Pengaturan'!$G$2:$G3237))</f>
        <v>KLINIK FT TA</v>
      </c>
      <c r="L734" s="43" t="str">
        <f t="shared" si="3"/>
        <v>BARU</v>
      </c>
      <c r="M734" s="144" t="s">
        <v>31</v>
      </c>
      <c r="N734" s="145">
        <v>250000.0</v>
      </c>
      <c r="O734" s="146">
        <v>0.0</v>
      </c>
      <c r="P734" s="48">
        <f t="array" ref="P734">IFNA(XLOOKUP(J734,'⚙️ Pengaturan'!$E$2:$E3237,'⚙️ Pengaturan'!$F$2:$F3237),"")</f>
        <v>250000</v>
      </c>
      <c r="Q734" s="147">
        <f t="shared" si="9"/>
        <v>0</v>
      </c>
      <c r="R734" s="41" t="s">
        <v>37</v>
      </c>
      <c r="S734" s="69" t="s">
        <v>832</v>
      </c>
      <c r="T734" s="51" t="b">
        <v>1</v>
      </c>
      <c r="U734" s="94"/>
    </row>
    <row r="735" ht="30.0" customHeight="1">
      <c r="A735" s="39"/>
      <c r="B735" s="40">
        <v>2768.0</v>
      </c>
      <c r="C735" s="41" t="s">
        <v>50</v>
      </c>
      <c r="D735" s="86">
        <v>46069.0</v>
      </c>
      <c r="E735" s="43" t="str">
        <f t="shared" si="1"/>
        <v>2026</v>
      </c>
      <c r="F735" s="43" t="str">
        <f t="shared" si="2"/>
        <v>02 Feb</v>
      </c>
      <c r="G735" s="126" t="s">
        <v>155</v>
      </c>
      <c r="H735" s="45" t="s">
        <v>47</v>
      </c>
      <c r="I735" s="45" t="s">
        <v>617</v>
      </c>
      <c r="J735" s="143" t="s">
        <v>92</v>
      </c>
      <c r="K735" s="43" t="str">
        <f t="array" ref="K735">IF(J735="","", XLOOKUP(J735,'⚙️ Pengaturan'!$E$2:$E3237,'⚙️ Pengaturan'!$G$2:$G3237))</f>
        <v>KLINIK FT PAKET</v>
      </c>
      <c r="L735" s="43" t="str">
        <f t="shared" si="3"/>
        <v>LANJUTAN</v>
      </c>
      <c r="M735" s="144" t="s">
        <v>31</v>
      </c>
      <c r="N735" s="145">
        <v>1200000.0</v>
      </c>
      <c r="O735" s="146">
        <v>0.0</v>
      </c>
      <c r="P735" s="48">
        <f t="array" ref="P735">IFNA(XLOOKUP(J735,'⚙️ Pengaturan'!$E$2:$E3237,'⚙️ Pengaturan'!$F$2:$F3237),"")</f>
        <v>1200000</v>
      </c>
      <c r="Q735" s="147">
        <f t="shared" si="9"/>
        <v>0</v>
      </c>
      <c r="R735" s="41" t="s">
        <v>37</v>
      </c>
      <c r="S735" s="69" t="s">
        <v>617</v>
      </c>
      <c r="T735" s="51" t="b">
        <v>1</v>
      </c>
      <c r="U735" s="94"/>
    </row>
    <row r="736" ht="30.0" customHeight="1">
      <c r="A736" s="39"/>
      <c r="B736" s="40">
        <v>2769.0</v>
      </c>
      <c r="C736" s="41" t="s">
        <v>50</v>
      </c>
      <c r="D736" s="86">
        <v>46069.0</v>
      </c>
      <c r="E736" s="43" t="str">
        <f t="shared" si="1"/>
        <v>2026</v>
      </c>
      <c r="F736" s="43" t="str">
        <f t="shared" si="2"/>
        <v>02 Feb</v>
      </c>
      <c r="G736" s="126" t="s">
        <v>190</v>
      </c>
      <c r="H736" s="45" t="s">
        <v>47</v>
      </c>
      <c r="I736" s="45" t="s">
        <v>816</v>
      </c>
      <c r="J736" s="143" t="s">
        <v>119</v>
      </c>
      <c r="K736" s="43" t="str">
        <f t="array" ref="K736">IF(J736="","", XLOOKUP(J736,'⚙️ Pengaturan'!$E$2:$E3237,'⚙️ Pengaturan'!$G$2:$G3237))</f>
        <v>KLINIK FT PAKET</v>
      </c>
      <c r="L736" s="43" t="str">
        <f t="shared" si="3"/>
        <v>BARU</v>
      </c>
      <c r="M736" s="144" t="s">
        <v>31</v>
      </c>
      <c r="N736" s="145">
        <v>750000.0</v>
      </c>
      <c r="O736" s="146">
        <v>0.0</v>
      </c>
      <c r="P736" s="48">
        <f t="array" ref="P736">IFNA(XLOOKUP(J736,'⚙️ Pengaturan'!$E$2:$E3237,'⚙️ Pengaturan'!$F$2:$F3237),"")</f>
        <v>750000</v>
      </c>
      <c r="Q736" s="147">
        <f t="shared" si="9"/>
        <v>0</v>
      </c>
      <c r="R736" s="41" t="s">
        <v>32</v>
      </c>
      <c r="S736" s="69" t="s">
        <v>33</v>
      </c>
      <c r="T736" s="51" t="b">
        <v>1</v>
      </c>
      <c r="U736" s="94"/>
    </row>
    <row r="737" ht="30.0" customHeight="1">
      <c r="A737" s="39"/>
      <c r="B737" s="40">
        <v>2770.0</v>
      </c>
      <c r="C737" s="41" t="s">
        <v>79</v>
      </c>
      <c r="D737" s="86">
        <v>46071.0</v>
      </c>
      <c r="E737" s="43" t="str">
        <f t="shared" si="1"/>
        <v>2026</v>
      </c>
      <c r="F737" s="43" t="str">
        <f t="shared" si="2"/>
        <v>02 Feb</v>
      </c>
      <c r="G737" s="126" t="s">
        <v>25</v>
      </c>
      <c r="H737" s="45" t="s">
        <v>149</v>
      </c>
      <c r="I737" s="45" t="s">
        <v>807</v>
      </c>
      <c r="J737" s="143" t="s">
        <v>120</v>
      </c>
      <c r="K737" s="43" t="str">
        <f t="array" ref="K737">IF(J737="","", XLOOKUP(J737,'⚙️ Pengaturan'!$E$2:$E3237,'⚙️ Pengaturan'!$G$2:$G3237))</f>
        <v>KLINIK FT SESI</v>
      </c>
      <c r="L737" s="43" t="str">
        <f t="shared" si="3"/>
        <v>LANJUTAN</v>
      </c>
      <c r="M737" s="144" t="s">
        <v>31</v>
      </c>
      <c r="N737" s="145">
        <v>180000.0</v>
      </c>
      <c r="O737" s="146">
        <v>0.0</v>
      </c>
      <c r="P737" s="48">
        <f t="array" ref="P737">IFNA(XLOOKUP(J737,'⚙️ Pengaturan'!$E$2:$E3237,'⚙️ Pengaturan'!$F$2:$F3237),"")</f>
        <v>180000</v>
      </c>
      <c r="Q737" s="147">
        <f t="shared" si="9"/>
        <v>0</v>
      </c>
      <c r="R737" s="41" t="s">
        <v>32</v>
      </c>
      <c r="S737" s="69" t="s">
        <v>33</v>
      </c>
      <c r="T737" s="51" t="b">
        <v>1</v>
      </c>
      <c r="U737" s="94"/>
    </row>
    <row r="738" ht="30.0" customHeight="1">
      <c r="A738" s="39"/>
      <c r="B738" s="40">
        <v>2771.0</v>
      </c>
      <c r="C738" s="41" t="s">
        <v>79</v>
      </c>
      <c r="D738" s="86">
        <v>46071.0</v>
      </c>
      <c r="E738" s="43" t="str">
        <f t="shared" si="1"/>
        <v>2026</v>
      </c>
      <c r="F738" s="43" t="str">
        <f t="shared" si="2"/>
        <v>02 Feb</v>
      </c>
      <c r="G738" s="126" t="s">
        <v>25</v>
      </c>
      <c r="H738" s="45" t="s">
        <v>47</v>
      </c>
      <c r="I738" s="45" t="s">
        <v>833</v>
      </c>
      <c r="J738" s="143" t="s">
        <v>28</v>
      </c>
      <c r="K738" s="43" t="str">
        <f t="array" ref="K738">IF(J738="","", XLOOKUP(J738,'⚙️ Pengaturan'!$E$2:$E3237,'⚙️ Pengaturan'!$G$2:$G3237))</f>
        <v>KLINIK FT TA</v>
      </c>
      <c r="L738" s="43" t="str">
        <f t="shared" si="3"/>
        <v>BARU</v>
      </c>
      <c r="M738" s="144" t="s">
        <v>31</v>
      </c>
      <c r="N738" s="145">
        <v>250000.0</v>
      </c>
      <c r="O738" s="146">
        <v>0.0</v>
      </c>
      <c r="P738" s="48">
        <f t="array" ref="P738">IFNA(XLOOKUP(J738,'⚙️ Pengaturan'!$E$2:$E3237,'⚙️ Pengaturan'!$F$2:$F3237),"")</f>
        <v>250000</v>
      </c>
      <c r="Q738" s="147">
        <f t="shared" si="9"/>
        <v>0</v>
      </c>
      <c r="R738" s="41" t="s">
        <v>32</v>
      </c>
      <c r="S738" s="69" t="s">
        <v>33</v>
      </c>
      <c r="T738" s="51" t="b">
        <v>1</v>
      </c>
      <c r="U738" s="94"/>
    </row>
    <row r="739" ht="30.0" customHeight="1">
      <c r="A739" s="39"/>
      <c r="B739" s="40">
        <v>2772.0</v>
      </c>
      <c r="C739" s="41" t="s">
        <v>79</v>
      </c>
      <c r="D739" s="86">
        <v>46071.0</v>
      </c>
      <c r="E739" s="43" t="str">
        <f t="shared" si="1"/>
        <v>2026</v>
      </c>
      <c r="F739" s="43" t="str">
        <f t="shared" si="2"/>
        <v>02 Feb</v>
      </c>
      <c r="G739" s="126" t="s">
        <v>25</v>
      </c>
      <c r="H739" s="45" t="s">
        <v>41</v>
      </c>
      <c r="I739" s="45" t="s">
        <v>831</v>
      </c>
      <c r="J739" s="143" t="s">
        <v>119</v>
      </c>
      <c r="K739" s="43" t="str">
        <f t="array" ref="K739">IF(J739="","", XLOOKUP(J739,'⚙️ Pengaturan'!$E$2:$E3237,'⚙️ Pengaturan'!$G$2:$G3237))</f>
        <v>KLINIK FT PAKET</v>
      </c>
      <c r="L739" s="43" t="str">
        <f t="shared" si="3"/>
        <v>BARU</v>
      </c>
      <c r="M739" s="144" t="s">
        <v>31</v>
      </c>
      <c r="N739" s="145">
        <v>750000.0</v>
      </c>
      <c r="O739" s="146">
        <v>0.0</v>
      </c>
      <c r="P739" s="48">
        <f t="array" ref="P739">IFNA(XLOOKUP(J739,'⚙️ Pengaturan'!$E$2:$E3237,'⚙️ Pengaturan'!$F$2:$F3237),"")</f>
        <v>750000</v>
      </c>
      <c r="Q739" s="147">
        <f t="shared" si="9"/>
        <v>0</v>
      </c>
      <c r="R739" s="41" t="s">
        <v>37</v>
      </c>
      <c r="S739" s="69" t="s">
        <v>831</v>
      </c>
      <c r="T739" s="51" t="b">
        <v>1</v>
      </c>
      <c r="U739" s="94"/>
    </row>
    <row r="740" ht="30.0" customHeight="1">
      <c r="A740" s="39"/>
      <c r="B740" s="40">
        <v>2773.0</v>
      </c>
      <c r="C740" s="41" t="s">
        <v>79</v>
      </c>
      <c r="D740" s="86">
        <v>46071.0</v>
      </c>
      <c r="E740" s="43" t="str">
        <f t="shared" si="1"/>
        <v>2026</v>
      </c>
      <c r="F740" s="43" t="str">
        <f t="shared" si="2"/>
        <v>02 Feb</v>
      </c>
      <c r="G740" s="126" t="s">
        <v>25</v>
      </c>
      <c r="H740" s="45" t="s">
        <v>41</v>
      </c>
      <c r="I740" s="45" t="s">
        <v>834</v>
      </c>
      <c r="J740" s="143" t="s">
        <v>28</v>
      </c>
      <c r="K740" s="43" t="str">
        <f t="array" ref="K740">IF(J740="","", XLOOKUP(J740,'⚙️ Pengaturan'!$E$2:$E3237,'⚙️ Pengaturan'!$G$2:$G3237))</f>
        <v>KLINIK FT TA</v>
      </c>
      <c r="L740" s="43" t="str">
        <f t="shared" si="3"/>
        <v>BARU</v>
      </c>
      <c r="M740" s="144" t="s">
        <v>31</v>
      </c>
      <c r="N740" s="145">
        <v>250000.0</v>
      </c>
      <c r="O740" s="146">
        <v>0.0</v>
      </c>
      <c r="P740" s="48">
        <f t="array" ref="P740">IFNA(XLOOKUP(J740,'⚙️ Pengaturan'!$E$2:$E3237,'⚙️ Pengaturan'!$F$2:$F3237),"")</f>
        <v>250000</v>
      </c>
      <c r="Q740" s="147">
        <f t="shared" si="9"/>
        <v>0</v>
      </c>
      <c r="R740" s="41" t="s">
        <v>118</v>
      </c>
      <c r="S740" s="69" t="s">
        <v>835</v>
      </c>
      <c r="T740" s="51" t="b">
        <v>1</v>
      </c>
      <c r="U740" s="94"/>
    </row>
    <row r="741" ht="30.0" customHeight="1">
      <c r="A741" s="39"/>
      <c r="B741" s="40">
        <v>2774.0</v>
      </c>
      <c r="C741" s="41" t="s">
        <v>79</v>
      </c>
      <c r="D741" s="86">
        <v>46071.0</v>
      </c>
      <c r="E741" s="43" t="str">
        <f t="shared" si="1"/>
        <v>2026</v>
      </c>
      <c r="F741" s="43" t="str">
        <f t="shared" si="2"/>
        <v>02 Feb</v>
      </c>
      <c r="G741" s="126" t="s">
        <v>25</v>
      </c>
      <c r="H741" s="45" t="s">
        <v>41</v>
      </c>
      <c r="I741" s="45" t="s">
        <v>834</v>
      </c>
      <c r="J741" s="143" t="s">
        <v>347</v>
      </c>
      <c r="K741" s="43" t="str">
        <f t="array" ref="K741">IF(J741="","", XLOOKUP(J741,'⚙️ Pengaturan'!$E$2:$E3237,'⚙️ Pengaturan'!$G$2:$G3237))</f>
        <v>KLINIK FT PAKET</v>
      </c>
      <c r="L741" s="43" t="str">
        <f t="shared" si="3"/>
        <v>BARU</v>
      </c>
      <c r="M741" s="144" t="s">
        <v>31</v>
      </c>
      <c r="N741" s="145">
        <v>1300000.0</v>
      </c>
      <c r="O741" s="146">
        <v>0.0</v>
      </c>
      <c r="P741" s="48">
        <f t="array" ref="P741">IFNA(XLOOKUP(J741,'⚙️ Pengaturan'!$E$2:$E3237,'⚙️ Pengaturan'!$F$2:$F3237),"")</f>
        <v>1300000</v>
      </c>
      <c r="Q741" s="147">
        <f t="shared" si="9"/>
        <v>0</v>
      </c>
      <c r="R741" s="41" t="s">
        <v>118</v>
      </c>
      <c r="S741" s="69" t="s">
        <v>835</v>
      </c>
      <c r="T741" s="51" t="b">
        <v>1</v>
      </c>
      <c r="U741" s="94"/>
    </row>
    <row r="742" ht="30.0" customHeight="1">
      <c r="A742" s="39"/>
      <c r="B742" s="40">
        <v>2775.0</v>
      </c>
      <c r="C742" s="41" t="s">
        <v>79</v>
      </c>
      <c r="D742" s="86">
        <v>46071.0</v>
      </c>
      <c r="E742" s="43" t="str">
        <f t="shared" si="1"/>
        <v>2026</v>
      </c>
      <c r="F742" s="43" t="str">
        <f t="shared" si="2"/>
        <v>02 Feb</v>
      </c>
      <c r="G742" s="126" t="s">
        <v>35</v>
      </c>
      <c r="H742" s="45" t="s">
        <v>166</v>
      </c>
      <c r="I742" s="45" t="s">
        <v>779</v>
      </c>
      <c r="J742" s="143" t="s">
        <v>120</v>
      </c>
      <c r="K742" s="43" t="str">
        <f t="array" ref="K742">IF(J742="","", XLOOKUP(J742,'⚙️ Pengaturan'!$E$2:$E3237,'⚙️ Pengaturan'!$G$2:$G3237))</f>
        <v>KLINIK FT SESI</v>
      </c>
      <c r="L742" s="43" t="str">
        <f t="shared" si="3"/>
        <v>LANJUTAN</v>
      </c>
      <c r="M742" s="144" t="s">
        <v>31</v>
      </c>
      <c r="N742" s="145">
        <v>180000.0</v>
      </c>
      <c r="O742" s="146">
        <v>0.0</v>
      </c>
      <c r="P742" s="48">
        <f t="array" ref="P742">IFNA(XLOOKUP(J742,'⚙️ Pengaturan'!$E$2:$E3237,'⚙️ Pengaturan'!$F$2:$F3237),"")</f>
        <v>180000</v>
      </c>
      <c r="Q742" s="147">
        <f t="shared" si="9"/>
        <v>0</v>
      </c>
      <c r="R742" s="41" t="s">
        <v>37</v>
      </c>
      <c r="S742" s="69" t="s">
        <v>779</v>
      </c>
      <c r="T742" s="51" t="b">
        <v>1</v>
      </c>
      <c r="U742" s="94"/>
    </row>
    <row r="743" ht="30.0" customHeight="1">
      <c r="A743" s="39"/>
      <c r="B743" s="40">
        <v>2776.0</v>
      </c>
      <c r="C743" s="41" t="s">
        <v>79</v>
      </c>
      <c r="D743" s="86">
        <v>46071.0</v>
      </c>
      <c r="E743" s="43" t="str">
        <f t="shared" si="1"/>
        <v>2026</v>
      </c>
      <c r="F743" s="43" t="str">
        <f t="shared" si="2"/>
        <v>02 Feb</v>
      </c>
      <c r="G743" s="126" t="s">
        <v>35</v>
      </c>
      <c r="H743" s="45" t="s">
        <v>166</v>
      </c>
      <c r="I743" s="45" t="s">
        <v>779</v>
      </c>
      <c r="J743" s="143" t="s">
        <v>120</v>
      </c>
      <c r="K743" s="43" t="str">
        <f t="array" ref="K743">IF(J743="","", XLOOKUP(J743,'⚙️ Pengaturan'!$E$2:$E3237,'⚙️ Pengaturan'!$G$2:$G3237))</f>
        <v>KLINIK FT SESI</v>
      </c>
      <c r="L743" s="43" t="str">
        <f t="shared" si="3"/>
        <v>LANJUTAN</v>
      </c>
      <c r="M743" s="144" t="s">
        <v>31</v>
      </c>
      <c r="N743" s="145">
        <v>180000.0</v>
      </c>
      <c r="O743" s="146">
        <v>0.0</v>
      </c>
      <c r="P743" s="48">
        <f t="array" ref="P743">IFNA(XLOOKUP(J743,'⚙️ Pengaturan'!$E$2:$E3237,'⚙️ Pengaturan'!$F$2:$F3237),"")</f>
        <v>180000</v>
      </c>
      <c r="Q743" s="147">
        <f t="shared" si="9"/>
        <v>0</v>
      </c>
      <c r="R743" s="41" t="s">
        <v>37</v>
      </c>
      <c r="S743" s="69" t="s">
        <v>779</v>
      </c>
      <c r="T743" s="51" t="b">
        <v>1</v>
      </c>
      <c r="U743" s="94" t="s">
        <v>836</v>
      </c>
    </row>
    <row r="744" ht="30.0" customHeight="1">
      <c r="A744" s="39"/>
      <c r="B744" s="40">
        <v>2777.0</v>
      </c>
      <c r="C744" s="41" t="s">
        <v>79</v>
      </c>
      <c r="D744" s="86">
        <v>46071.0</v>
      </c>
      <c r="E744" s="43" t="str">
        <f t="shared" si="1"/>
        <v>2026</v>
      </c>
      <c r="F744" s="43" t="str">
        <f t="shared" si="2"/>
        <v>02 Feb</v>
      </c>
      <c r="G744" s="126" t="s">
        <v>35</v>
      </c>
      <c r="H744" s="45" t="s">
        <v>76</v>
      </c>
      <c r="I744" s="45" t="s">
        <v>713</v>
      </c>
      <c r="J744" s="143" t="s">
        <v>56</v>
      </c>
      <c r="K744" s="43" t="str">
        <f t="array" ref="K744">IF(J744="","", XLOOKUP(J744,'⚙️ Pengaturan'!$E$2:$E3237,'⚙️ Pengaturan'!$G$2:$G3237))</f>
        <v>KLINIK FT PAKET</v>
      </c>
      <c r="L744" s="43" t="str">
        <f t="shared" si="3"/>
        <v>LANJUTAN</v>
      </c>
      <c r="M744" s="144" t="s">
        <v>31</v>
      </c>
      <c r="N744" s="145">
        <v>650000.0</v>
      </c>
      <c r="O744" s="146">
        <v>0.0</v>
      </c>
      <c r="P744" s="48">
        <f t="array" ref="P744">IFNA(XLOOKUP(J744,'⚙️ Pengaturan'!$E$2:$E3237,'⚙️ Pengaturan'!$F$2:$F3237),"")</f>
        <v>650000</v>
      </c>
      <c r="Q744" s="147">
        <f t="shared" si="9"/>
        <v>0</v>
      </c>
      <c r="R744" s="41" t="s">
        <v>32</v>
      </c>
      <c r="S744" s="69" t="s">
        <v>33</v>
      </c>
      <c r="T744" s="51" t="b">
        <v>1</v>
      </c>
      <c r="U744" s="94"/>
    </row>
    <row r="745" ht="30.0" customHeight="1">
      <c r="A745" s="39"/>
      <c r="B745" s="40">
        <v>2778.0</v>
      </c>
      <c r="C745" s="41" t="s">
        <v>79</v>
      </c>
      <c r="D745" s="86">
        <v>46071.0</v>
      </c>
      <c r="E745" s="43" t="str">
        <f t="shared" si="1"/>
        <v>2026</v>
      </c>
      <c r="F745" s="43" t="str">
        <f t="shared" si="2"/>
        <v>02 Feb</v>
      </c>
      <c r="G745" s="126" t="s">
        <v>35</v>
      </c>
      <c r="H745" s="45" t="s">
        <v>41</v>
      </c>
      <c r="I745" s="45" t="s">
        <v>725</v>
      </c>
      <c r="J745" s="143" t="s">
        <v>119</v>
      </c>
      <c r="K745" s="43" t="str">
        <f t="array" ref="K745">IF(J745="","", XLOOKUP(J745,'⚙️ Pengaturan'!$E$2:$E3237,'⚙️ Pengaturan'!$G$2:$G3237))</f>
        <v>KLINIK FT PAKET</v>
      </c>
      <c r="L745" s="43" t="str">
        <f t="shared" si="3"/>
        <v>BARU</v>
      </c>
      <c r="M745" s="144" t="s">
        <v>31</v>
      </c>
      <c r="N745" s="145">
        <v>750000.0</v>
      </c>
      <c r="O745" s="146">
        <v>0.0</v>
      </c>
      <c r="P745" s="48">
        <f t="array" ref="P745">IFNA(XLOOKUP(J745,'⚙️ Pengaturan'!$E$2:$E3237,'⚙️ Pengaturan'!$F$2:$F3237),"")</f>
        <v>750000</v>
      </c>
      <c r="Q745" s="147">
        <f t="shared" si="9"/>
        <v>0</v>
      </c>
      <c r="R745" s="41" t="s">
        <v>37</v>
      </c>
      <c r="S745" s="69" t="s">
        <v>820</v>
      </c>
      <c r="T745" s="51" t="b">
        <v>1</v>
      </c>
      <c r="U745" s="94"/>
    </row>
    <row r="746" ht="30.0" customHeight="1">
      <c r="A746" s="39"/>
      <c r="B746" s="40">
        <v>2779.0</v>
      </c>
      <c r="C746" s="41" t="s">
        <v>79</v>
      </c>
      <c r="D746" s="86">
        <v>46071.0</v>
      </c>
      <c r="E746" s="43" t="str">
        <f t="shared" si="1"/>
        <v>2026</v>
      </c>
      <c r="F746" s="43" t="str">
        <f t="shared" si="2"/>
        <v>02 Feb</v>
      </c>
      <c r="G746" s="126" t="s">
        <v>35</v>
      </c>
      <c r="H746" s="45" t="s">
        <v>103</v>
      </c>
      <c r="I746" s="45" t="s">
        <v>837</v>
      </c>
      <c r="J746" s="143" t="s">
        <v>28</v>
      </c>
      <c r="K746" s="43" t="str">
        <f t="array" ref="K746">IF(J746="","", XLOOKUP(J746,'⚙️ Pengaturan'!$E$2:$E3237,'⚙️ Pengaturan'!$G$2:$G3237))</f>
        <v>KLINIK FT TA</v>
      </c>
      <c r="L746" s="43" t="str">
        <f t="shared" si="3"/>
        <v>BARU</v>
      </c>
      <c r="M746" s="144" t="s">
        <v>31</v>
      </c>
      <c r="N746" s="145">
        <v>250000.0</v>
      </c>
      <c r="O746" s="146">
        <v>0.0</v>
      </c>
      <c r="P746" s="48">
        <f t="array" ref="P746">IFNA(XLOOKUP(J746,'⚙️ Pengaturan'!$E$2:$E3237,'⚙️ Pengaturan'!$F$2:$F3237),"")</f>
        <v>250000</v>
      </c>
      <c r="Q746" s="147">
        <f t="shared" si="9"/>
        <v>0</v>
      </c>
      <c r="R746" s="41" t="s">
        <v>32</v>
      </c>
      <c r="S746" s="69" t="s">
        <v>33</v>
      </c>
      <c r="T746" s="51" t="b">
        <v>1</v>
      </c>
      <c r="U746" s="94"/>
    </row>
    <row r="747" ht="30.0" customHeight="1">
      <c r="A747" s="39"/>
      <c r="B747" s="40">
        <v>2780.0</v>
      </c>
      <c r="C747" s="41" t="s">
        <v>50</v>
      </c>
      <c r="D747" s="86">
        <v>46071.0</v>
      </c>
      <c r="E747" s="43" t="str">
        <f t="shared" si="1"/>
        <v>2026</v>
      </c>
      <c r="F747" s="43" t="str">
        <f t="shared" si="2"/>
        <v>02 Feb</v>
      </c>
      <c r="G747" s="126" t="s">
        <v>35</v>
      </c>
      <c r="H747" s="45" t="s">
        <v>162</v>
      </c>
      <c r="I747" s="45" t="s">
        <v>838</v>
      </c>
      <c r="J747" s="143" t="s">
        <v>291</v>
      </c>
      <c r="K747" s="43" t="str">
        <f t="array" ref="K747">IF(J747="","", XLOOKUP(J747,'⚙️ Pengaturan'!$E$2:$E3237,'⚙️ Pengaturan'!$G$2:$G3237))</f>
        <v>VISIT FT TA</v>
      </c>
      <c r="L747" s="43" t="str">
        <f t="shared" si="3"/>
        <v>BARU</v>
      </c>
      <c r="M747" s="144" t="s">
        <v>31</v>
      </c>
      <c r="N747" s="145">
        <v>350000.0</v>
      </c>
      <c r="O747" s="146">
        <v>0.0</v>
      </c>
      <c r="P747" s="48">
        <f t="array" ref="P747">IFNA(XLOOKUP(J747,'⚙️ Pengaturan'!$E$2:$E3237,'⚙️ Pengaturan'!$F$2:$F3237),"")</f>
        <v>350000</v>
      </c>
      <c r="Q747" s="147">
        <f t="shared" si="9"/>
        <v>0</v>
      </c>
      <c r="R747" s="41" t="s">
        <v>32</v>
      </c>
      <c r="S747" s="69" t="s">
        <v>33</v>
      </c>
      <c r="T747" s="51" t="b">
        <v>1</v>
      </c>
      <c r="U747" s="94"/>
    </row>
    <row r="748" ht="30.0" customHeight="1">
      <c r="A748" s="39"/>
      <c r="B748" s="40">
        <v>2781.0</v>
      </c>
      <c r="C748" s="41" t="s">
        <v>50</v>
      </c>
      <c r="D748" s="86">
        <v>46071.0</v>
      </c>
      <c r="E748" s="43" t="str">
        <f t="shared" si="1"/>
        <v>2026</v>
      </c>
      <c r="F748" s="43" t="str">
        <f t="shared" si="2"/>
        <v>02 Feb</v>
      </c>
      <c r="G748" s="126" t="s">
        <v>40</v>
      </c>
      <c r="H748" s="45" t="s">
        <v>162</v>
      </c>
      <c r="I748" s="45" t="s">
        <v>322</v>
      </c>
      <c r="J748" s="143" t="s">
        <v>28</v>
      </c>
      <c r="K748" s="43" t="str">
        <f t="array" ref="K748">IF(J748="","", XLOOKUP(J748,'⚙️ Pengaturan'!$E$2:$E3237,'⚙️ Pengaturan'!$G$2:$G3237))</f>
        <v>KLINIK FT TA</v>
      </c>
      <c r="L748" s="43" t="str">
        <f t="shared" si="3"/>
        <v>BARU</v>
      </c>
      <c r="M748" s="144" t="s">
        <v>31</v>
      </c>
      <c r="N748" s="145">
        <v>250000.0</v>
      </c>
      <c r="O748" s="146">
        <v>0.0</v>
      </c>
      <c r="P748" s="48">
        <f t="array" ref="P748">IFNA(XLOOKUP(J748,'⚙️ Pengaturan'!$E$2:$E3237,'⚙️ Pengaturan'!$F$2:$F3237),"")</f>
        <v>250000</v>
      </c>
      <c r="Q748" s="147">
        <f t="shared" si="9"/>
        <v>0</v>
      </c>
      <c r="R748" s="41" t="s">
        <v>32</v>
      </c>
      <c r="S748" s="69" t="s">
        <v>33</v>
      </c>
      <c r="T748" s="51" t="b">
        <v>1</v>
      </c>
      <c r="U748" s="94"/>
    </row>
    <row r="749" ht="30.0" customHeight="1">
      <c r="A749" s="39"/>
      <c r="B749" s="40">
        <v>2782.0</v>
      </c>
      <c r="C749" s="41" t="s">
        <v>50</v>
      </c>
      <c r="D749" s="86">
        <v>46071.0</v>
      </c>
      <c r="E749" s="43" t="str">
        <f t="shared" si="1"/>
        <v>2026</v>
      </c>
      <c r="F749" s="43" t="str">
        <f t="shared" si="2"/>
        <v>02 Feb</v>
      </c>
      <c r="G749" s="126" t="s">
        <v>43</v>
      </c>
      <c r="H749" s="45" t="s">
        <v>166</v>
      </c>
      <c r="I749" s="45" t="s">
        <v>600</v>
      </c>
      <c r="J749" s="143" t="s">
        <v>92</v>
      </c>
      <c r="K749" s="43" t="str">
        <f t="array" ref="K749">IF(J749="","", XLOOKUP(J749,'⚙️ Pengaturan'!$E$2:$E3237,'⚙️ Pengaturan'!$G$2:$G3237))</f>
        <v>KLINIK FT PAKET</v>
      </c>
      <c r="L749" s="43" t="str">
        <f t="shared" si="3"/>
        <v>LANJUTAN</v>
      </c>
      <c r="M749" s="144" t="s">
        <v>60</v>
      </c>
      <c r="N749" s="145">
        <v>200000.0</v>
      </c>
      <c r="O749" s="146">
        <v>0.0</v>
      </c>
      <c r="P749" s="48">
        <f t="array" ref="P749">IFNA(XLOOKUP(J749,'⚙️ Pengaturan'!$E$2:$E3237,'⚙️ Pengaturan'!$F$2:$F3237),"")</f>
        <v>1200000</v>
      </c>
      <c r="Q749" s="147">
        <f t="shared" si="9"/>
        <v>-1000000</v>
      </c>
      <c r="R749" s="41" t="s">
        <v>32</v>
      </c>
      <c r="S749" s="69" t="s">
        <v>33</v>
      </c>
      <c r="T749" s="51" t="b">
        <v>1</v>
      </c>
      <c r="U749" s="94"/>
    </row>
    <row r="750" ht="30.0" customHeight="1">
      <c r="A750" s="39"/>
      <c r="B750" s="40">
        <v>2783.0</v>
      </c>
      <c r="C750" s="41" t="s">
        <v>79</v>
      </c>
      <c r="D750" s="86">
        <v>46071.0</v>
      </c>
      <c r="E750" s="43" t="str">
        <f t="shared" si="1"/>
        <v>2026</v>
      </c>
      <c r="F750" s="43" t="str">
        <f t="shared" si="2"/>
        <v>02 Feb</v>
      </c>
      <c r="G750" s="126" t="s">
        <v>195</v>
      </c>
      <c r="H750" s="45" t="s">
        <v>150</v>
      </c>
      <c r="I750" s="45" t="s">
        <v>707</v>
      </c>
      <c r="J750" s="143" t="s">
        <v>56</v>
      </c>
      <c r="K750" s="43" t="str">
        <f t="array" ref="K750">IF(J750="","", XLOOKUP(J750,'⚙️ Pengaturan'!$E$2:$E3237,'⚙️ Pengaturan'!$G$2:$G3237))</f>
        <v>KLINIK FT PAKET</v>
      </c>
      <c r="L750" s="43" t="str">
        <f t="shared" si="3"/>
        <v>LANJUTAN</v>
      </c>
      <c r="M750" s="144" t="s">
        <v>31</v>
      </c>
      <c r="N750" s="145">
        <v>650000.0</v>
      </c>
      <c r="O750" s="119">
        <v>0.0</v>
      </c>
      <c r="P750" s="48">
        <f t="array" ref="P750">IFNA(XLOOKUP(J750,'⚙️ Pengaturan'!$E$2:$E3237,'⚙️ Pengaturan'!$F$2:$F3237),"")</f>
        <v>650000</v>
      </c>
      <c r="Q750" s="147" t="str">
        <f>IF(I750="","",(N750+#REF!)-P750)</f>
        <v>#REF!</v>
      </c>
      <c r="R750" s="41" t="s">
        <v>37</v>
      </c>
      <c r="S750" s="69" t="s">
        <v>839</v>
      </c>
      <c r="T750" s="51" t="b">
        <v>1</v>
      </c>
      <c r="U750" s="94"/>
    </row>
    <row r="751" ht="30.0" customHeight="1">
      <c r="A751" s="39"/>
      <c r="B751" s="40">
        <v>2784.0</v>
      </c>
      <c r="C751" s="41" t="s">
        <v>79</v>
      </c>
      <c r="D751" s="86">
        <v>46072.0</v>
      </c>
      <c r="E751" s="43" t="str">
        <f t="shared" si="1"/>
        <v>2026</v>
      </c>
      <c r="F751" s="43" t="str">
        <f t="shared" si="2"/>
        <v>02 Feb</v>
      </c>
      <c r="G751" s="126" t="s">
        <v>25</v>
      </c>
      <c r="H751" s="45" t="s">
        <v>150</v>
      </c>
      <c r="I751" s="45" t="s">
        <v>269</v>
      </c>
      <c r="J751" s="143" t="s">
        <v>28</v>
      </c>
      <c r="K751" s="43" t="str">
        <f t="array" ref="K751">IF(J751="","", XLOOKUP(J751,'⚙️ Pengaturan'!$E$2:$E3237,'⚙️ Pengaturan'!$G$2:$G3237))</f>
        <v>KLINIK FT TA</v>
      </c>
      <c r="L751" s="43" t="str">
        <f t="shared" si="3"/>
        <v>LANJUTAN</v>
      </c>
      <c r="M751" s="144" t="s">
        <v>31</v>
      </c>
      <c r="N751" s="145">
        <v>250000.0</v>
      </c>
      <c r="O751" s="146">
        <v>0.0</v>
      </c>
      <c r="P751" s="48">
        <f t="array" ref="P751">IFNA(XLOOKUP(J751,'⚙️ Pengaturan'!$E$2:$E3237,'⚙️ Pengaturan'!$F$2:$F3237),"")</f>
        <v>250000</v>
      </c>
      <c r="Q751" s="147">
        <f t="shared" ref="Q751:Q762" si="10">IF(I751="","",(N751+O751)-P751)</f>
        <v>0</v>
      </c>
      <c r="R751" s="41" t="s">
        <v>37</v>
      </c>
      <c r="S751" s="69" t="s">
        <v>269</v>
      </c>
      <c r="T751" s="51" t="b">
        <v>1</v>
      </c>
      <c r="U751" s="94"/>
    </row>
    <row r="752" ht="30.0" customHeight="1">
      <c r="A752" s="39"/>
      <c r="B752" s="40">
        <v>2785.0</v>
      </c>
      <c r="C752" s="41" t="s">
        <v>79</v>
      </c>
      <c r="D752" s="86">
        <v>46072.0</v>
      </c>
      <c r="E752" s="43" t="str">
        <f t="shared" si="1"/>
        <v>2026</v>
      </c>
      <c r="F752" s="43" t="str">
        <f t="shared" si="2"/>
        <v>02 Feb</v>
      </c>
      <c r="G752" s="126" t="s">
        <v>206</v>
      </c>
      <c r="H752" s="45" t="s">
        <v>156</v>
      </c>
      <c r="I752" s="45" t="s">
        <v>642</v>
      </c>
      <c r="J752" s="143" t="s">
        <v>56</v>
      </c>
      <c r="K752" s="43" t="str">
        <f t="array" ref="K752">IF(J752="","", XLOOKUP(J752,'⚙️ Pengaturan'!$E$2:$E3237,'⚙️ Pengaturan'!$G$2:$G3237))</f>
        <v>KLINIK FT PAKET</v>
      </c>
      <c r="L752" s="43" t="str">
        <f t="shared" si="3"/>
        <v>BARU</v>
      </c>
      <c r="M752" s="144" t="s">
        <v>31</v>
      </c>
      <c r="N752" s="145">
        <v>650000.0</v>
      </c>
      <c r="O752" s="146">
        <v>0.0</v>
      </c>
      <c r="P752" s="48">
        <f t="array" ref="P752">IFNA(XLOOKUP(J752,'⚙️ Pengaturan'!$E$2:$E3237,'⚙️ Pengaturan'!$F$2:$F3237),"")</f>
        <v>650000</v>
      </c>
      <c r="Q752" s="147">
        <f t="shared" si="10"/>
        <v>0</v>
      </c>
      <c r="R752" s="41" t="s">
        <v>37</v>
      </c>
      <c r="S752" s="69" t="s">
        <v>642</v>
      </c>
      <c r="T752" s="51" t="b">
        <v>1</v>
      </c>
      <c r="U752" s="94"/>
    </row>
    <row r="753" ht="30.0" customHeight="1">
      <c r="A753" s="39"/>
      <c r="B753" s="40">
        <v>2786.0</v>
      </c>
      <c r="C753" s="41" t="s">
        <v>79</v>
      </c>
      <c r="D753" s="86">
        <v>46072.0</v>
      </c>
      <c r="E753" s="43" t="str">
        <f t="shared" si="1"/>
        <v>2026</v>
      </c>
      <c r="F753" s="43" t="str">
        <f t="shared" si="2"/>
        <v>02 Feb</v>
      </c>
      <c r="G753" s="126" t="s">
        <v>161</v>
      </c>
      <c r="H753" s="45" t="s">
        <v>162</v>
      </c>
      <c r="I753" s="45" t="s">
        <v>840</v>
      </c>
      <c r="J753" s="143" t="s">
        <v>28</v>
      </c>
      <c r="K753" s="43" t="str">
        <f t="array" ref="K753">IF(J753="","", XLOOKUP(J753,'⚙️ Pengaturan'!$E$2:$E3237,'⚙️ Pengaturan'!$G$2:$G3237))</f>
        <v>KLINIK FT TA</v>
      </c>
      <c r="L753" s="43" t="str">
        <f t="shared" si="3"/>
        <v>BARU</v>
      </c>
      <c r="M753" s="144" t="s">
        <v>31</v>
      </c>
      <c r="N753" s="145">
        <v>250000.0</v>
      </c>
      <c r="O753" s="146">
        <v>0.0</v>
      </c>
      <c r="P753" s="48">
        <f t="array" ref="P753">IFNA(XLOOKUP(J753,'⚙️ Pengaturan'!$E$2:$E3237,'⚙️ Pengaturan'!$F$2:$F3237),"")</f>
        <v>250000</v>
      </c>
      <c r="Q753" s="147">
        <f t="shared" si="10"/>
        <v>0</v>
      </c>
      <c r="R753" s="41" t="s">
        <v>32</v>
      </c>
      <c r="S753" s="69" t="s">
        <v>33</v>
      </c>
      <c r="T753" s="51" t="b">
        <v>1</v>
      </c>
      <c r="U753" s="94"/>
    </row>
    <row r="754" ht="30.0" customHeight="1">
      <c r="A754" s="39"/>
      <c r="B754" s="40">
        <v>2787.0</v>
      </c>
      <c r="C754" s="41" t="s">
        <v>79</v>
      </c>
      <c r="D754" s="86">
        <v>46072.0</v>
      </c>
      <c r="E754" s="43" t="str">
        <f t="shared" si="1"/>
        <v>2026</v>
      </c>
      <c r="F754" s="43" t="str">
        <f t="shared" si="2"/>
        <v>02 Feb</v>
      </c>
      <c r="G754" s="126" t="s">
        <v>161</v>
      </c>
      <c r="H754" s="45" t="s">
        <v>26</v>
      </c>
      <c r="I754" s="45" t="s">
        <v>841</v>
      </c>
      <c r="J754" s="143" t="s">
        <v>28</v>
      </c>
      <c r="K754" s="43" t="str">
        <f t="array" ref="K754">IF(J754="","", XLOOKUP(J754,'⚙️ Pengaturan'!$E$2:$E3237,'⚙️ Pengaturan'!$G$2:$G3237))</f>
        <v>KLINIK FT TA</v>
      </c>
      <c r="L754" s="43" t="str">
        <f t="shared" si="3"/>
        <v>BARU</v>
      </c>
      <c r="M754" s="144" t="s">
        <v>31</v>
      </c>
      <c r="N754" s="145">
        <v>250000.0</v>
      </c>
      <c r="O754" s="146">
        <v>0.0</v>
      </c>
      <c r="P754" s="48">
        <f t="array" ref="P754">IFNA(XLOOKUP(J754,'⚙️ Pengaturan'!$E$2:$E3237,'⚙️ Pengaturan'!$F$2:$F3237),"")</f>
        <v>250000</v>
      </c>
      <c r="Q754" s="147">
        <f t="shared" si="10"/>
        <v>0</v>
      </c>
      <c r="R754" s="41" t="s">
        <v>37</v>
      </c>
      <c r="S754" s="69" t="s">
        <v>841</v>
      </c>
      <c r="T754" s="51" t="b">
        <v>1</v>
      </c>
      <c r="U754" s="94"/>
    </row>
    <row r="755" ht="30.0" customHeight="1">
      <c r="A755" s="39"/>
      <c r="B755" s="40">
        <v>2788.0</v>
      </c>
      <c r="C755" s="41" t="s">
        <v>79</v>
      </c>
      <c r="D755" s="86">
        <v>46072.0</v>
      </c>
      <c r="E755" s="43" t="str">
        <f t="shared" si="1"/>
        <v>2026</v>
      </c>
      <c r="F755" s="43" t="str">
        <f t="shared" si="2"/>
        <v>02 Feb</v>
      </c>
      <c r="G755" s="126" t="s">
        <v>35</v>
      </c>
      <c r="H755" s="45" t="s">
        <v>26</v>
      </c>
      <c r="I755" s="45" t="s">
        <v>842</v>
      </c>
      <c r="J755" s="143" t="s">
        <v>28</v>
      </c>
      <c r="K755" s="43" t="str">
        <f t="array" ref="K755">IF(J755="","", XLOOKUP(J755,'⚙️ Pengaturan'!$E$2:$E3237,'⚙️ Pengaturan'!$G$2:$G3237))</f>
        <v>KLINIK FT TA</v>
      </c>
      <c r="L755" s="43" t="str">
        <f t="shared" si="3"/>
        <v>BARU</v>
      </c>
      <c r="M755" s="144" t="s">
        <v>31</v>
      </c>
      <c r="N755" s="145">
        <v>250000.0</v>
      </c>
      <c r="O755" s="146">
        <v>0.0</v>
      </c>
      <c r="P755" s="48">
        <f t="array" ref="P755">IFNA(XLOOKUP(J755,'⚙️ Pengaturan'!$E$2:$E3237,'⚙️ Pengaturan'!$F$2:$F3237),"")</f>
        <v>250000</v>
      </c>
      <c r="Q755" s="147">
        <f t="shared" si="10"/>
        <v>0</v>
      </c>
      <c r="R755" s="41" t="s">
        <v>32</v>
      </c>
      <c r="S755" s="69" t="s">
        <v>33</v>
      </c>
      <c r="T755" s="51" t="b">
        <v>1</v>
      </c>
      <c r="U755" s="94"/>
    </row>
    <row r="756" ht="30.0" customHeight="1">
      <c r="A756" s="39"/>
      <c r="B756" s="40">
        <v>2789.0</v>
      </c>
      <c r="C756" s="41" t="s">
        <v>50</v>
      </c>
      <c r="D756" s="86">
        <v>46072.0</v>
      </c>
      <c r="E756" s="43" t="str">
        <f t="shared" si="1"/>
        <v>2026</v>
      </c>
      <c r="F756" s="43" t="str">
        <f t="shared" si="2"/>
        <v>02 Feb</v>
      </c>
      <c r="G756" s="126" t="s">
        <v>40</v>
      </c>
      <c r="H756" s="45" t="s">
        <v>47</v>
      </c>
      <c r="I756" s="45" t="s">
        <v>705</v>
      </c>
      <c r="J756" s="143" t="s">
        <v>28</v>
      </c>
      <c r="K756" s="43" t="str">
        <f t="array" ref="K756">IF(J756="","", XLOOKUP(J756,'⚙️ Pengaturan'!$E$2:$E3237,'⚙️ Pengaturan'!$G$2:$G3237))</f>
        <v>KLINIK FT TA</v>
      </c>
      <c r="L756" s="43" t="str">
        <f t="shared" si="3"/>
        <v>LANJUTAN</v>
      </c>
      <c r="M756" s="144" t="s">
        <v>31</v>
      </c>
      <c r="N756" s="145">
        <v>250000.0</v>
      </c>
      <c r="O756" s="146">
        <v>0.0</v>
      </c>
      <c r="P756" s="48">
        <f t="array" ref="P756">IFNA(XLOOKUP(J756,'⚙️ Pengaturan'!$E$2:$E3237,'⚙️ Pengaturan'!$F$2:$F3237),"")</f>
        <v>250000</v>
      </c>
      <c r="Q756" s="147">
        <f t="shared" si="10"/>
        <v>0</v>
      </c>
      <c r="R756" s="41" t="s">
        <v>32</v>
      </c>
      <c r="S756" s="69" t="s">
        <v>33</v>
      </c>
      <c r="T756" s="51" t="b">
        <v>1</v>
      </c>
      <c r="U756" s="94"/>
    </row>
    <row r="757" ht="30.0" customHeight="1">
      <c r="A757" s="39"/>
      <c r="B757" s="40">
        <v>2790.0</v>
      </c>
      <c r="C757" s="41" t="s">
        <v>50</v>
      </c>
      <c r="D757" s="86">
        <v>46072.0</v>
      </c>
      <c r="E757" s="43" t="str">
        <f t="shared" si="1"/>
        <v>2026</v>
      </c>
      <c r="F757" s="43" t="str">
        <f t="shared" si="2"/>
        <v>02 Feb</v>
      </c>
      <c r="G757" s="126" t="s">
        <v>43</v>
      </c>
      <c r="H757" s="45" t="s">
        <v>96</v>
      </c>
      <c r="I757" s="45" t="s">
        <v>650</v>
      </c>
      <c r="J757" s="143" t="s">
        <v>180</v>
      </c>
      <c r="K757" s="43" t="str">
        <f t="array" ref="K757">IF(J757="","", XLOOKUP(J757,'⚙️ Pengaturan'!$E$2:$E3237,'⚙️ Pengaturan'!$G$2:$G3237))</f>
        <v>KLINIK FT SESI</v>
      </c>
      <c r="L757" s="43" t="str">
        <f t="shared" si="3"/>
        <v>LANJUTAN</v>
      </c>
      <c r="M757" s="144" t="s">
        <v>31</v>
      </c>
      <c r="N757" s="145">
        <v>150000.0</v>
      </c>
      <c r="O757" s="146">
        <v>0.0</v>
      </c>
      <c r="P757" s="48">
        <f t="array" ref="P757">IFNA(XLOOKUP(J757,'⚙️ Pengaturan'!$E$2:$E3237,'⚙️ Pengaturan'!$F$2:$F3237),"")</f>
        <v>150000</v>
      </c>
      <c r="Q757" s="147">
        <f t="shared" si="10"/>
        <v>0</v>
      </c>
      <c r="R757" s="41" t="s">
        <v>32</v>
      </c>
      <c r="S757" s="69" t="s">
        <v>33</v>
      </c>
      <c r="T757" s="51" t="b">
        <v>1</v>
      </c>
      <c r="U757" s="94"/>
    </row>
    <row r="758" ht="30.0" customHeight="1">
      <c r="A758" s="39"/>
      <c r="B758" s="40">
        <v>2791.0</v>
      </c>
      <c r="C758" s="41" t="s">
        <v>50</v>
      </c>
      <c r="D758" s="86">
        <v>46072.0</v>
      </c>
      <c r="E758" s="43" t="str">
        <f t="shared" si="1"/>
        <v>2026</v>
      </c>
      <c r="F758" s="43" t="str">
        <f t="shared" si="2"/>
        <v>02 Feb</v>
      </c>
      <c r="G758" s="126" t="s">
        <v>190</v>
      </c>
      <c r="H758" s="45" t="s">
        <v>76</v>
      </c>
      <c r="I758" s="45" t="s">
        <v>815</v>
      </c>
      <c r="J758" s="143" t="s">
        <v>120</v>
      </c>
      <c r="K758" s="43" t="str">
        <f t="array" ref="K758">IF(J758="","", XLOOKUP(J758,'⚙️ Pengaturan'!$E$2:$E3237,'⚙️ Pengaturan'!$G$2:$G3237))</f>
        <v>KLINIK FT SESI</v>
      </c>
      <c r="L758" s="43" t="str">
        <f t="shared" si="3"/>
        <v>BARU</v>
      </c>
      <c r="M758" s="144" t="s">
        <v>31</v>
      </c>
      <c r="N758" s="145">
        <v>180000.0</v>
      </c>
      <c r="O758" s="146">
        <v>0.0</v>
      </c>
      <c r="P758" s="48">
        <f t="array" ref="P758">IFNA(XLOOKUP(J758,'⚙️ Pengaturan'!$E$2:$E3237,'⚙️ Pengaturan'!$F$2:$F3237),"")</f>
        <v>180000</v>
      </c>
      <c r="Q758" s="147">
        <f t="shared" si="10"/>
        <v>0</v>
      </c>
      <c r="R758" s="41" t="s">
        <v>32</v>
      </c>
      <c r="S758" s="69" t="s">
        <v>33</v>
      </c>
      <c r="T758" s="51" t="b">
        <v>1</v>
      </c>
      <c r="U758" s="94"/>
    </row>
    <row r="759" ht="30.0" customHeight="1">
      <c r="A759" s="39"/>
      <c r="B759" s="40">
        <v>2792.0</v>
      </c>
      <c r="C759" s="41" t="s">
        <v>69</v>
      </c>
      <c r="D759" s="86">
        <v>46073.0</v>
      </c>
      <c r="E759" s="43" t="str">
        <f t="shared" si="1"/>
        <v>2026</v>
      </c>
      <c r="F759" s="43" t="str">
        <f t="shared" si="2"/>
        <v>02 Feb</v>
      </c>
      <c r="G759" s="126" t="s">
        <v>206</v>
      </c>
      <c r="H759" s="45" t="s">
        <v>76</v>
      </c>
      <c r="I759" s="45" t="s">
        <v>843</v>
      </c>
      <c r="J759" s="143" t="s">
        <v>28</v>
      </c>
      <c r="K759" s="43" t="str">
        <f t="array" ref="K759">IF(J759="","", XLOOKUP(J759,'⚙️ Pengaturan'!$E$2:$E3237,'⚙️ Pengaturan'!$G$2:$G3237))</f>
        <v>KLINIK FT TA</v>
      </c>
      <c r="L759" s="43" t="str">
        <f t="shared" si="3"/>
        <v>BARU</v>
      </c>
      <c r="M759" s="144" t="s">
        <v>31</v>
      </c>
      <c r="N759" s="145">
        <v>250000.0</v>
      </c>
      <c r="O759" s="146">
        <v>0.0</v>
      </c>
      <c r="P759" s="48">
        <f t="array" ref="P759">IFNA(XLOOKUP(J759,'⚙️ Pengaturan'!$E$2:$E3237,'⚙️ Pengaturan'!$F$2:$F3237),"")</f>
        <v>250000</v>
      </c>
      <c r="Q759" s="147">
        <f t="shared" si="10"/>
        <v>0</v>
      </c>
      <c r="R759" s="41" t="s">
        <v>37</v>
      </c>
      <c r="S759" s="69" t="s">
        <v>843</v>
      </c>
      <c r="T759" s="51" t="b">
        <v>1</v>
      </c>
      <c r="U759" s="94"/>
    </row>
    <row r="760" ht="30.0" customHeight="1">
      <c r="A760" s="39"/>
      <c r="B760" s="40">
        <v>2793.0</v>
      </c>
      <c r="C760" s="41" t="s">
        <v>79</v>
      </c>
      <c r="D760" s="86">
        <v>46073.0</v>
      </c>
      <c r="E760" s="43" t="str">
        <f t="shared" si="1"/>
        <v>2026</v>
      </c>
      <c r="F760" s="43" t="str">
        <f t="shared" si="2"/>
        <v>02 Feb</v>
      </c>
      <c r="G760" s="126" t="s">
        <v>35</v>
      </c>
      <c r="H760" s="45" t="s">
        <v>149</v>
      </c>
      <c r="I760" s="45" t="s">
        <v>844</v>
      </c>
      <c r="J760" s="143" t="s">
        <v>28</v>
      </c>
      <c r="K760" s="43" t="str">
        <f t="array" ref="K760">IF(J760="","", XLOOKUP(J760,'⚙️ Pengaturan'!$E$2:$E3237,'⚙️ Pengaturan'!$G$2:$G3237))</f>
        <v>KLINIK FT TA</v>
      </c>
      <c r="L760" s="43" t="str">
        <f t="shared" si="3"/>
        <v>BARU</v>
      </c>
      <c r="M760" s="144" t="s">
        <v>31</v>
      </c>
      <c r="N760" s="145">
        <v>250000.0</v>
      </c>
      <c r="O760" s="146">
        <v>0.0</v>
      </c>
      <c r="P760" s="48">
        <f t="array" ref="P760">IFNA(XLOOKUP(J760,'⚙️ Pengaturan'!$E$2:$E3237,'⚙️ Pengaturan'!$F$2:$F3237),"")</f>
        <v>250000</v>
      </c>
      <c r="Q760" s="147">
        <f t="shared" si="10"/>
        <v>0</v>
      </c>
      <c r="R760" s="41" t="s">
        <v>37</v>
      </c>
      <c r="S760" s="69" t="s">
        <v>844</v>
      </c>
      <c r="T760" s="51" t="b">
        <v>1</v>
      </c>
      <c r="U760" s="94"/>
    </row>
    <row r="761" ht="30.0" customHeight="1">
      <c r="A761" s="39"/>
      <c r="B761" s="40">
        <v>2794.0</v>
      </c>
      <c r="C761" s="41" t="s">
        <v>79</v>
      </c>
      <c r="D761" s="86">
        <v>46074.0</v>
      </c>
      <c r="E761" s="43" t="str">
        <f t="shared" si="1"/>
        <v>2026</v>
      </c>
      <c r="F761" s="43" t="str">
        <f t="shared" si="2"/>
        <v>02 Feb</v>
      </c>
      <c r="G761" s="126" t="s">
        <v>35</v>
      </c>
      <c r="H761" s="45" t="s">
        <v>149</v>
      </c>
      <c r="I761" s="45" t="s">
        <v>844</v>
      </c>
      <c r="J761" s="143" t="s">
        <v>119</v>
      </c>
      <c r="K761" s="43" t="str">
        <f t="array" ref="K761">IF(J761="","", XLOOKUP(J761,'⚙️ Pengaturan'!$E$2:$E3237,'⚙️ Pengaturan'!$G$2:$G3237))</f>
        <v>KLINIK FT PAKET</v>
      </c>
      <c r="L761" s="43" t="str">
        <f t="shared" si="3"/>
        <v>BARU</v>
      </c>
      <c r="M761" s="144" t="s">
        <v>60</v>
      </c>
      <c r="N761" s="145">
        <v>300000.0</v>
      </c>
      <c r="O761" s="146">
        <v>0.0</v>
      </c>
      <c r="P761" s="48">
        <f t="array" ref="P761">IFNA(XLOOKUP(J761,'⚙️ Pengaturan'!$E$2:$E3237,'⚙️ Pengaturan'!$F$2:$F3237),"")</f>
        <v>750000</v>
      </c>
      <c r="Q761" s="147">
        <f t="shared" si="10"/>
        <v>-450000</v>
      </c>
      <c r="R761" s="41" t="s">
        <v>37</v>
      </c>
      <c r="S761" s="69" t="s">
        <v>844</v>
      </c>
      <c r="T761" s="51" t="b">
        <v>1</v>
      </c>
      <c r="U761" s="94"/>
    </row>
    <row r="762" ht="30.0" customHeight="1">
      <c r="A762" s="39"/>
      <c r="B762" s="40">
        <v>2795.0</v>
      </c>
      <c r="C762" s="41" t="s">
        <v>79</v>
      </c>
      <c r="D762" s="86">
        <v>46073.0</v>
      </c>
      <c r="E762" s="43" t="str">
        <f t="shared" si="1"/>
        <v>2026</v>
      </c>
      <c r="F762" s="43" t="str">
        <f t="shared" si="2"/>
        <v>02 Feb</v>
      </c>
      <c r="G762" s="126" t="s">
        <v>35</v>
      </c>
      <c r="H762" s="45" t="s">
        <v>76</v>
      </c>
      <c r="I762" s="45" t="s">
        <v>322</v>
      </c>
      <c r="J762" s="143" t="s">
        <v>347</v>
      </c>
      <c r="K762" s="43" t="str">
        <f t="array" ref="K762">IF(J762="","", XLOOKUP(J762,'⚙️ Pengaturan'!$E$2:$E3237,'⚙️ Pengaturan'!$G$2:$G3237))</f>
        <v>KLINIK FT PAKET</v>
      </c>
      <c r="L762" s="43" t="str">
        <f t="shared" si="3"/>
        <v>BARU</v>
      </c>
      <c r="M762" s="144" t="s">
        <v>31</v>
      </c>
      <c r="N762" s="145">
        <v>1300000.0</v>
      </c>
      <c r="O762" s="146">
        <v>0.0</v>
      </c>
      <c r="P762" s="48">
        <f t="array" ref="P762">IFNA(XLOOKUP(J762,'⚙️ Pengaturan'!$E$2:$E3237,'⚙️ Pengaturan'!$F$2:$F3237),"")</f>
        <v>1300000</v>
      </c>
      <c r="Q762" s="147">
        <f t="shared" si="10"/>
        <v>0</v>
      </c>
      <c r="R762" s="41" t="s">
        <v>37</v>
      </c>
      <c r="S762" s="69" t="s">
        <v>322</v>
      </c>
      <c r="T762" s="51" t="b">
        <v>1</v>
      </c>
      <c r="U762" s="94"/>
    </row>
    <row r="763" ht="30.0" customHeight="1">
      <c r="A763" s="39"/>
      <c r="B763" s="40">
        <v>2796.0</v>
      </c>
      <c r="C763" s="41" t="s">
        <v>79</v>
      </c>
      <c r="D763" s="86">
        <v>46073.0</v>
      </c>
      <c r="E763" s="43" t="str">
        <f t="shared" si="1"/>
        <v>2026</v>
      </c>
      <c r="F763" s="43" t="str">
        <f t="shared" si="2"/>
        <v>02 Feb</v>
      </c>
      <c r="G763" s="126" t="s">
        <v>40</v>
      </c>
      <c r="H763" s="45" t="s">
        <v>156</v>
      </c>
      <c r="I763" s="45" t="s">
        <v>845</v>
      </c>
      <c r="J763" s="143" t="s">
        <v>28</v>
      </c>
      <c r="K763" s="43" t="str">
        <f t="array" ref="K763">IF(J763="","", XLOOKUP(J763,'⚙️ Pengaturan'!$E$2:$E3237,'⚙️ Pengaturan'!$G$2:$G3237))</f>
        <v>KLINIK FT TA</v>
      </c>
      <c r="L763" s="43" t="str">
        <f t="shared" si="3"/>
        <v>BARU</v>
      </c>
      <c r="M763" s="144" t="s">
        <v>31</v>
      </c>
      <c r="N763" s="145">
        <v>250000.0</v>
      </c>
      <c r="O763" s="146">
        <v>0.0</v>
      </c>
      <c r="P763" s="48">
        <f t="array" ref="P763">IFNA(XLOOKUP(J763,'⚙️ Pengaturan'!$E$2:$E3237,'⚙️ Pengaturan'!$F$2:$F3237),"")</f>
        <v>250000</v>
      </c>
      <c r="Q763" s="153">
        <v>0.0</v>
      </c>
      <c r="R763" s="41" t="s">
        <v>37</v>
      </c>
      <c r="S763" s="69" t="s">
        <v>846</v>
      </c>
      <c r="T763" s="51" t="b">
        <v>1</v>
      </c>
      <c r="U763" s="94"/>
    </row>
    <row r="764" ht="30.0" customHeight="1">
      <c r="A764" s="39"/>
      <c r="B764" s="40">
        <v>2797.0</v>
      </c>
      <c r="C764" s="41" t="s">
        <v>79</v>
      </c>
      <c r="D764" s="86">
        <v>46073.0</v>
      </c>
      <c r="E764" s="43" t="str">
        <f t="shared" si="1"/>
        <v>2026</v>
      </c>
      <c r="F764" s="43" t="str">
        <f t="shared" si="2"/>
        <v>02 Feb</v>
      </c>
      <c r="G764" s="126" t="s">
        <v>43</v>
      </c>
      <c r="H764" s="45" t="s">
        <v>149</v>
      </c>
      <c r="I764" s="45" t="s">
        <v>640</v>
      </c>
      <c r="J764" s="143" t="s">
        <v>180</v>
      </c>
      <c r="K764" s="43" t="str">
        <f t="array" ref="K764">IF(J764="","", XLOOKUP(J764,'⚙️ Pengaturan'!$E$2:$E3237,'⚙️ Pengaturan'!$G$2:$G3237))</f>
        <v>KLINIK FT SESI</v>
      </c>
      <c r="L764" s="43" t="str">
        <f t="shared" si="3"/>
        <v>LANJUTAN</v>
      </c>
      <c r="M764" s="144" t="s">
        <v>31</v>
      </c>
      <c r="N764" s="145">
        <v>150000.0</v>
      </c>
      <c r="O764" s="146">
        <v>0.0</v>
      </c>
      <c r="P764" s="48">
        <f t="array" ref="P764">IFNA(XLOOKUP(J764,'⚙️ Pengaturan'!$E$2:$E3237,'⚙️ Pengaturan'!$F$2:$F3237),"")</f>
        <v>150000</v>
      </c>
      <c r="Q764" s="147">
        <f t="shared" ref="Q764:Q857" si="11">IF(I764="","",(N764+O764)-P764)</f>
        <v>0</v>
      </c>
      <c r="R764" s="41" t="s">
        <v>32</v>
      </c>
      <c r="S764" s="69" t="s">
        <v>33</v>
      </c>
      <c r="T764" s="51" t="b">
        <v>1</v>
      </c>
      <c r="U764" s="94"/>
    </row>
    <row r="765" ht="30.0" customHeight="1">
      <c r="A765" s="39"/>
      <c r="B765" s="40">
        <v>2798.0</v>
      </c>
      <c r="C765" s="41" t="s">
        <v>79</v>
      </c>
      <c r="D765" s="86">
        <v>46074.0</v>
      </c>
      <c r="E765" s="43" t="str">
        <f t="shared" si="1"/>
        <v>2026</v>
      </c>
      <c r="F765" s="43" t="str">
        <f t="shared" si="2"/>
        <v>02 Feb</v>
      </c>
      <c r="G765" s="126" t="s">
        <v>190</v>
      </c>
      <c r="H765" s="45" t="s">
        <v>76</v>
      </c>
      <c r="I765" s="45" t="s">
        <v>847</v>
      </c>
      <c r="J765" s="143" t="s">
        <v>92</v>
      </c>
      <c r="K765" s="43" t="str">
        <f t="array" ref="K765">IF(J765="","", XLOOKUP(J765,'⚙️ Pengaturan'!$E$2:$E3237,'⚙️ Pengaturan'!$G$2:$G3237))</f>
        <v>KLINIK FT PAKET</v>
      </c>
      <c r="L765" s="43" t="str">
        <f t="shared" si="3"/>
        <v>BARU</v>
      </c>
      <c r="M765" s="144" t="s">
        <v>31</v>
      </c>
      <c r="N765" s="145">
        <v>1200000.0</v>
      </c>
      <c r="O765" s="146">
        <v>0.0</v>
      </c>
      <c r="P765" s="48">
        <f t="array" ref="P765">IFNA(XLOOKUP(J765,'⚙️ Pengaturan'!$E$2:$E3237,'⚙️ Pengaturan'!$F$2:$F3237),"")</f>
        <v>1200000</v>
      </c>
      <c r="Q765" s="147">
        <f t="shared" si="11"/>
        <v>0</v>
      </c>
      <c r="R765" s="41" t="s">
        <v>37</v>
      </c>
      <c r="S765" s="69" t="s">
        <v>848</v>
      </c>
      <c r="T765" s="51" t="b">
        <v>1</v>
      </c>
      <c r="U765" s="94"/>
    </row>
    <row r="766" ht="30.0" customHeight="1">
      <c r="A766" s="39"/>
      <c r="B766" s="40">
        <v>2799.0</v>
      </c>
      <c r="C766" s="41" t="s">
        <v>79</v>
      </c>
      <c r="D766" s="86">
        <v>46073.0</v>
      </c>
      <c r="E766" s="43" t="str">
        <f t="shared" si="1"/>
        <v>2026</v>
      </c>
      <c r="F766" s="43" t="str">
        <f t="shared" si="2"/>
        <v>02 Feb</v>
      </c>
      <c r="G766" s="126" t="s">
        <v>190</v>
      </c>
      <c r="H766" s="45" t="s">
        <v>149</v>
      </c>
      <c r="I766" s="45" t="s">
        <v>849</v>
      </c>
      <c r="J766" s="143" t="s">
        <v>28</v>
      </c>
      <c r="K766" s="43" t="str">
        <f t="array" ref="K766">IF(J766="","", XLOOKUP(J766,'⚙️ Pengaturan'!$E$2:$E3237,'⚙️ Pengaturan'!$G$2:$G3237))</f>
        <v>KLINIK FT TA</v>
      </c>
      <c r="L766" s="43" t="str">
        <f t="shared" si="3"/>
        <v>BARU</v>
      </c>
      <c r="M766" s="144" t="s">
        <v>31</v>
      </c>
      <c r="N766" s="145">
        <v>250000.0</v>
      </c>
      <c r="O766" s="146">
        <v>0.0</v>
      </c>
      <c r="P766" s="48">
        <f t="array" ref="P766">IFNA(XLOOKUP(J766,'⚙️ Pengaturan'!$E$2:$E3237,'⚙️ Pengaturan'!$F$2:$F3237),"")</f>
        <v>250000</v>
      </c>
      <c r="Q766" s="147">
        <f t="shared" si="11"/>
        <v>0</v>
      </c>
      <c r="R766" s="41" t="s">
        <v>37</v>
      </c>
      <c r="S766" s="69" t="s">
        <v>849</v>
      </c>
      <c r="T766" s="51" t="b">
        <v>1</v>
      </c>
      <c r="U766" s="94"/>
    </row>
    <row r="767" ht="30.0" customHeight="1">
      <c r="A767" s="39"/>
      <c r="B767" s="40">
        <v>2800.0</v>
      </c>
      <c r="C767" s="41" t="s">
        <v>79</v>
      </c>
      <c r="D767" s="86">
        <v>46073.0</v>
      </c>
      <c r="E767" s="43" t="str">
        <f t="shared" si="1"/>
        <v>2026</v>
      </c>
      <c r="F767" s="43" t="str">
        <f t="shared" si="2"/>
        <v>02 Feb</v>
      </c>
      <c r="G767" s="126" t="s">
        <v>40</v>
      </c>
      <c r="H767" s="45" t="s">
        <v>96</v>
      </c>
      <c r="I767" s="45" t="s">
        <v>850</v>
      </c>
      <c r="J767" s="143" t="s">
        <v>28</v>
      </c>
      <c r="K767" s="43" t="str">
        <f t="array" ref="K767">IF(J767="","", XLOOKUP(J767,'⚙️ Pengaturan'!$E$2:$E3237,'⚙️ Pengaturan'!$G$2:$G3237))</f>
        <v>KLINIK FT TA</v>
      </c>
      <c r="L767" s="43" t="str">
        <f t="shared" si="3"/>
        <v>BARU</v>
      </c>
      <c r="M767" s="144" t="s">
        <v>31</v>
      </c>
      <c r="N767" s="145">
        <v>250000.0</v>
      </c>
      <c r="O767" s="146">
        <v>0.0</v>
      </c>
      <c r="P767" s="48">
        <f t="array" ref="P767">IFNA(XLOOKUP(J767,'⚙️ Pengaturan'!$E$2:$E3237,'⚙️ Pengaturan'!$F$2:$F3237),"")</f>
        <v>250000</v>
      </c>
      <c r="Q767" s="147">
        <f t="shared" si="11"/>
        <v>0</v>
      </c>
      <c r="R767" s="41" t="s">
        <v>32</v>
      </c>
      <c r="S767" s="69" t="s">
        <v>33</v>
      </c>
      <c r="T767" s="51" t="b">
        <v>1</v>
      </c>
      <c r="U767" s="94"/>
    </row>
    <row r="768" ht="30.0" customHeight="1">
      <c r="A768" s="39"/>
      <c r="B768" s="40">
        <v>2801.0</v>
      </c>
      <c r="C768" s="41" t="s">
        <v>79</v>
      </c>
      <c r="D768" s="86">
        <v>46074.0</v>
      </c>
      <c r="E768" s="43" t="str">
        <f t="shared" si="1"/>
        <v>2026</v>
      </c>
      <c r="F768" s="43" t="str">
        <f t="shared" si="2"/>
        <v>02 Feb</v>
      </c>
      <c r="G768" s="126" t="s">
        <v>195</v>
      </c>
      <c r="H768" s="45" t="s">
        <v>26</v>
      </c>
      <c r="I768" s="45" t="s">
        <v>841</v>
      </c>
      <c r="J768" s="143" t="s">
        <v>120</v>
      </c>
      <c r="K768" s="43" t="str">
        <f t="array" ref="K768">IF(J768="","", XLOOKUP(J768,'⚙️ Pengaturan'!$E$2:$E3237,'⚙️ Pengaturan'!$G$2:$G3237))</f>
        <v>KLINIK FT SESI</v>
      </c>
      <c r="L768" s="43" t="str">
        <f t="shared" si="3"/>
        <v>BARU</v>
      </c>
      <c r="M768" s="144" t="s">
        <v>31</v>
      </c>
      <c r="N768" s="145">
        <v>180000.0</v>
      </c>
      <c r="O768" s="146">
        <v>0.0</v>
      </c>
      <c r="P768" s="48">
        <f t="array" ref="P768">IFNA(XLOOKUP(J768,'⚙️ Pengaturan'!$E$2:$E3237,'⚙️ Pengaturan'!$F$2:$F3237),"")</f>
        <v>180000</v>
      </c>
      <c r="Q768" s="147">
        <f t="shared" si="11"/>
        <v>0</v>
      </c>
      <c r="R768" s="41" t="s">
        <v>37</v>
      </c>
      <c r="S768" s="69" t="s">
        <v>841</v>
      </c>
      <c r="T768" s="51" t="b">
        <v>1</v>
      </c>
      <c r="U768" s="94"/>
    </row>
    <row r="769" ht="30.0" customHeight="1">
      <c r="A769" s="39"/>
      <c r="B769" s="40">
        <v>2802.0</v>
      </c>
      <c r="C769" s="41" t="s">
        <v>79</v>
      </c>
      <c r="D769" s="86">
        <v>46074.0</v>
      </c>
      <c r="E769" s="43" t="str">
        <f t="shared" si="1"/>
        <v>2026</v>
      </c>
      <c r="F769" s="43" t="str">
        <f t="shared" si="2"/>
        <v>02 Feb</v>
      </c>
      <c r="G769" s="126" t="s">
        <v>25</v>
      </c>
      <c r="H769" s="45" t="s">
        <v>166</v>
      </c>
      <c r="I769" s="45" t="s">
        <v>851</v>
      </c>
      <c r="J769" s="143" t="s">
        <v>28</v>
      </c>
      <c r="K769" s="43" t="str">
        <f t="array" ref="K769">IF(J769="","", XLOOKUP(J769,'⚙️ Pengaturan'!$E$2:$E3237,'⚙️ Pengaturan'!$G$2:$G3237))</f>
        <v>KLINIK FT TA</v>
      </c>
      <c r="L769" s="43" t="str">
        <f t="shared" si="3"/>
        <v>BARU</v>
      </c>
      <c r="M769" s="144" t="s">
        <v>31</v>
      </c>
      <c r="N769" s="145">
        <v>250000.0</v>
      </c>
      <c r="O769" s="146">
        <v>0.0</v>
      </c>
      <c r="P769" s="48">
        <f t="array" ref="P769">IFNA(XLOOKUP(J769,'⚙️ Pengaturan'!$E$2:$E3237,'⚙️ Pengaturan'!$F$2:$F3237),"")</f>
        <v>250000</v>
      </c>
      <c r="Q769" s="147">
        <f t="shared" si="11"/>
        <v>0</v>
      </c>
      <c r="R769" s="41" t="s">
        <v>37</v>
      </c>
      <c r="S769" s="69" t="s">
        <v>852</v>
      </c>
      <c r="T769" s="51" t="b">
        <v>1</v>
      </c>
      <c r="U769" s="94"/>
    </row>
    <row r="770" ht="30.0" customHeight="1">
      <c r="A770" s="39"/>
      <c r="B770" s="40">
        <v>2803.0</v>
      </c>
      <c r="C770" s="41" t="s">
        <v>79</v>
      </c>
      <c r="D770" s="86">
        <v>46074.0</v>
      </c>
      <c r="E770" s="43" t="str">
        <f t="shared" si="1"/>
        <v>2026</v>
      </c>
      <c r="F770" s="43" t="str">
        <f t="shared" si="2"/>
        <v>02 Feb</v>
      </c>
      <c r="G770" s="126" t="s">
        <v>206</v>
      </c>
      <c r="H770" s="45" t="s">
        <v>26</v>
      </c>
      <c r="I770" s="45" t="s">
        <v>842</v>
      </c>
      <c r="J770" s="143" t="s">
        <v>119</v>
      </c>
      <c r="K770" s="43" t="str">
        <f t="array" ref="K770">IF(J770="","", XLOOKUP(J770,'⚙️ Pengaturan'!$E$2:$E3237,'⚙️ Pengaturan'!$G$2:$G3237))</f>
        <v>KLINIK FT PAKET</v>
      </c>
      <c r="L770" s="43" t="str">
        <f t="shared" si="3"/>
        <v>BARU</v>
      </c>
      <c r="M770" s="144" t="s">
        <v>60</v>
      </c>
      <c r="N770" s="145">
        <v>300000.0</v>
      </c>
      <c r="O770" s="146">
        <v>0.0</v>
      </c>
      <c r="P770" s="48">
        <f t="array" ref="P770">IFNA(XLOOKUP(J770,'⚙️ Pengaturan'!$E$2:$E3237,'⚙️ Pengaturan'!$F$2:$F3237),"")</f>
        <v>750000</v>
      </c>
      <c r="Q770" s="147">
        <f t="shared" si="11"/>
        <v>-450000</v>
      </c>
      <c r="R770" s="41" t="s">
        <v>32</v>
      </c>
      <c r="S770" s="69" t="s">
        <v>33</v>
      </c>
      <c r="T770" s="51" t="b">
        <v>1</v>
      </c>
      <c r="U770" s="94"/>
    </row>
    <row r="771" ht="30.0" customHeight="1">
      <c r="A771" s="39"/>
      <c r="B771" s="40">
        <v>2804.0</v>
      </c>
      <c r="C771" s="41" t="s">
        <v>79</v>
      </c>
      <c r="D771" s="86">
        <v>46074.0</v>
      </c>
      <c r="E771" s="43" t="str">
        <f t="shared" si="1"/>
        <v>2026</v>
      </c>
      <c r="F771" s="43" t="str">
        <f t="shared" si="2"/>
        <v>02 Feb</v>
      </c>
      <c r="G771" s="126" t="s">
        <v>206</v>
      </c>
      <c r="H771" s="45" t="s">
        <v>162</v>
      </c>
      <c r="I771" s="45" t="s">
        <v>840</v>
      </c>
      <c r="J771" s="143" t="s">
        <v>120</v>
      </c>
      <c r="K771" s="43" t="str">
        <f t="array" ref="K771">IF(J771="","", XLOOKUP(J771,'⚙️ Pengaturan'!$E$2:$E3237,'⚙️ Pengaturan'!$G$2:$G3237))</f>
        <v>KLINIK FT SESI</v>
      </c>
      <c r="L771" s="43" t="str">
        <f t="shared" si="3"/>
        <v>BARU</v>
      </c>
      <c r="M771" s="144" t="s">
        <v>31</v>
      </c>
      <c r="N771" s="145">
        <v>180000.0</v>
      </c>
      <c r="O771" s="146">
        <v>0.0</v>
      </c>
      <c r="P771" s="48">
        <f t="array" ref="P771">IFNA(XLOOKUP(J771,'⚙️ Pengaturan'!$E$2:$E3237,'⚙️ Pengaturan'!$F$2:$F3237),"")</f>
        <v>180000</v>
      </c>
      <c r="Q771" s="147">
        <f t="shared" si="11"/>
        <v>0</v>
      </c>
      <c r="R771" s="41" t="s">
        <v>32</v>
      </c>
      <c r="S771" s="69" t="s">
        <v>33</v>
      </c>
      <c r="T771" s="51" t="b">
        <v>1</v>
      </c>
      <c r="U771" s="94"/>
    </row>
    <row r="772" ht="30.0" customHeight="1">
      <c r="A772" s="39"/>
      <c r="B772" s="40">
        <v>2805.0</v>
      </c>
      <c r="C772" s="41" t="s">
        <v>79</v>
      </c>
      <c r="D772" s="86">
        <v>46074.0</v>
      </c>
      <c r="E772" s="43" t="str">
        <f t="shared" si="1"/>
        <v>2026</v>
      </c>
      <c r="F772" s="43" t="str">
        <f t="shared" si="2"/>
        <v>02 Feb</v>
      </c>
      <c r="G772" s="126" t="s">
        <v>206</v>
      </c>
      <c r="H772" s="45" t="s">
        <v>166</v>
      </c>
      <c r="I772" s="45" t="s">
        <v>779</v>
      </c>
      <c r="J772" s="143" t="s">
        <v>120</v>
      </c>
      <c r="K772" s="43" t="str">
        <f t="array" ref="K772">IF(J772="","", XLOOKUP(J772,'⚙️ Pengaturan'!$E$2:$E3237,'⚙️ Pengaturan'!$G$2:$G3237))</f>
        <v>KLINIK FT SESI</v>
      </c>
      <c r="L772" s="43" t="str">
        <f t="shared" si="3"/>
        <v>LANJUTAN</v>
      </c>
      <c r="M772" s="144" t="s">
        <v>31</v>
      </c>
      <c r="N772" s="145">
        <v>180000.0</v>
      </c>
      <c r="O772" s="146">
        <v>0.0</v>
      </c>
      <c r="P772" s="48">
        <f t="array" ref="P772">IFNA(XLOOKUP(J772,'⚙️ Pengaturan'!$E$2:$E3237,'⚙️ Pengaturan'!$F$2:$F3237),"")</f>
        <v>180000</v>
      </c>
      <c r="Q772" s="147">
        <f t="shared" si="11"/>
        <v>0</v>
      </c>
      <c r="R772" s="41" t="s">
        <v>37</v>
      </c>
      <c r="S772" s="69" t="s">
        <v>779</v>
      </c>
      <c r="T772" s="51" t="b">
        <v>1</v>
      </c>
      <c r="U772" s="94"/>
    </row>
    <row r="773" ht="30.0" customHeight="1">
      <c r="A773" s="39"/>
      <c r="B773" s="40">
        <v>2806.0</v>
      </c>
      <c r="C773" s="41" t="s">
        <v>79</v>
      </c>
      <c r="D773" s="86">
        <v>46074.0</v>
      </c>
      <c r="E773" s="43" t="str">
        <f t="shared" si="1"/>
        <v>2026</v>
      </c>
      <c r="F773" s="43" t="str">
        <f t="shared" si="2"/>
        <v>02 Feb</v>
      </c>
      <c r="G773" s="126" t="s">
        <v>206</v>
      </c>
      <c r="H773" s="45" t="s">
        <v>166</v>
      </c>
      <c r="I773" s="45" t="s">
        <v>779</v>
      </c>
      <c r="J773" s="143" t="s">
        <v>120</v>
      </c>
      <c r="K773" s="43" t="str">
        <f t="array" ref="K773">IF(J773="","", XLOOKUP(J773,'⚙️ Pengaturan'!$E$2:$E3237,'⚙️ Pengaturan'!$G$2:$G3237))</f>
        <v>KLINIK FT SESI</v>
      </c>
      <c r="L773" s="43" t="str">
        <f t="shared" si="3"/>
        <v>LANJUTAN</v>
      </c>
      <c r="M773" s="144" t="s">
        <v>31</v>
      </c>
      <c r="N773" s="145">
        <v>180000.0</v>
      </c>
      <c r="O773" s="146">
        <v>0.0</v>
      </c>
      <c r="P773" s="48">
        <f t="array" ref="P773">IFNA(XLOOKUP(J773,'⚙️ Pengaturan'!$E$2:$E3237,'⚙️ Pengaturan'!$F$2:$F3237),"")</f>
        <v>180000</v>
      </c>
      <c r="Q773" s="147">
        <f t="shared" si="11"/>
        <v>0</v>
      </c>
      <c r="R773" s="41" t="s">
        <v>37</v>
      </c>
      <c r="S773" s="69" t="s">
        <v>779</v>
      </c>
      <c r="T773" s="51" t="b">
        <v>1</v>
      </c>
      <c r="U773" s="94"/>
    </row>
    <row r="774" ht="30.0" customHeight="1">
      <c r="A774" s="39"/>
      <c r="B774" s="40">
        <v>2807.0</v>
      </c>
      <c r="C774" s="41" t="s">
        <v>79</v>
      </c>
      <c r="D774" s="86">
        <v>46074.0</v>
      </c>
      <c r="E774" s="43" t="str">
        <f t="shared" si="1"/>
        <v>2026</v>
      </c>
      <c r="F774" s="43" t="str">
        <f t="shared" si="2"/>
        <v>02 Feb</v>
      </c>
      <c r="G774" s="126" t="s">
        <v>161</v>
      </c>
      <c r="H774" s="45" t="s">
        <v>150</v>
      </c>
      <c r="I774" s="45" t="s">
        <v>269</v>
      </c>
      <c r="J774" s="143" t="s">
        <v>120</v>
      </c>
      <c r="K774" s="43" t="str">
        <f t="array" ref="K774">IF(J774="","", XLOOKUP(J774,'⚙️ Pengaturan'!$E$2:$E3237,'⚙️ Pengaturan'!$G$2:$G3237))</f>
        <v>KLINIK FT SESI</v>
      </c>
      <c r="L774" s="43" t="str">
        <f t="shared" si="3"/>
        <v>BARU</v>
      </c>
      <c r="M774" s="144" t="s">
        <v>31</v>
      </c>
      <c r="N774" s="145">
        <v>180000.0</v>
      </c>
      <c r="O774" s="146">
        <v>0.0</v>
      </c>
      <c r="P774" s="48">
        <f t="array" ref="P774">IFNA(XLOOKUP(J774,'⚙️ Pengaturan'!$E$2:$E3237,'⚙️ Pengaturan'!$F$2:$F3237),"")</f>
        <v>180000</v>
      </c>
      <c r="Q774" s="147">
        <f t="shared" si="11"/>
        <v>0</v>
      </c>
      <c r="R774" s="41" t="s">
        <v>32</v>
      </c>
      <c r="S774" s="69" t="s">
        <v>33</v>
      </c>
      <c r="T774" s="51" t="b">
        <v>1</v>
      </c>
      <c r="U774" s="94"/>
    </row>
    <row r="775" ht="30.0" customHeight="1">
      <c r="A775" s="39"/>
      <c r="B775" s="40">
        <v>2808.0</v>
      </c>
      <c r="C775" s="41" t="s">
        <v>79</v>
      </c>
      <c r="D775" s="86">
        <v>46074.0</v>
      </c>
      <c r="E775" s="43" t="str">
        <f t="shared" si="1"/>
        <v>2026</v>
      </c>
      <c r="F775" s="43" t="str">
        <f t="shared" si="2"/>
        <v>02 Feb</v>
      </c>
      <c r="G775" s="126" t="s">
        <v>161</v>
      </c>
      <c r="H775" s="45" t="s">
        <v>166</v>
      </c>
      <c r="I775" s="45" t="s">
        <v>577</v>
      </c>
      <c r="J775" s="143" t="s">
        <v>56</v>
      </c>
      <c r="K775" s="43" t="str">
        <f t="array" ref="K775">IF(J775="","", XLOOKUP(J775,'⚙️ Pengaturan'!$E$2:$E3237,'⚙️ Pengaturan'!$G$2:$G3237))</f>
        <v>KLINIK FT PAKET</v>
      </c>
      <c r="L775" s="43" t="str">
        <f t="shared" si="3"/>
        <v>LANJUTAN</v>
      </c>
      <c r="M775" s="144" t="s">
        <v>164</v>
      </c>
      <c r="N775" s="145">
        <v>350000.0</v>
      </c>
      <c r="O775" s="146">
        <v>300000.0</v>
      </c>
      <c r="P775" s="48">
        <f t="array" ref="P775">IFNA(XLOOKUP(J775,'⚙️ Pengaturan'!$E$2:$E3237,'⚙️ Pengaturan'!$F$2:$F3237),"")</f>
        <v>650000</v>
      </c>
      <c r="Q775" s="147">
        <f t="shared" si="11"/>
        <v>0</v>
      </c>
      <c r="R775" s="41" t="s">
        <v>32</v>
      </c>
      <c r="S775" s="69" t="s">
        <v>33</v>
      </c>
      <c r="T775" s="51" t="b">
        <v>1</v>
      </c>
      <c r="U775" s="94"/>
    </row>
    <row r="776" ht="30.0" customHeight="1">
      <c r="A776" s="39"/>
      <c r="B776" s="40">
        <v>2809.0</v>
      </c>
      <c r="C776" s="41" t="s">
        <v>79</v>
      </c>
      <c r="D776" s="86">
        <v>46074.0</v>
      </c>
      <c r="E776" s="43" t="str">
        <f t="shared" si="1"/>
        <v>2026</v>
      </c>
      <c r="F776" s="43" t="str">
        <f t="shared" si="2"/>
        <v>02 Feb</v>
      </c>
      <c r="G776" s="126" t="s">
        <v>161</v>
      </c>
      <c r="H776" s="45" t="s">
        <v>162</v>
      </c>
      <c r="I776" s="45" t="s">
        <v>853</v>
      </c>
      <c r="J776" s="143" t="s">
        <v>28</v>
      </c>
      <c r="K776" s="43" t="str">
        <f t="array" ref="K776">IF(J776="","", XLOOKUP(J776,'⚙️ Pengaturan'!$E$2:$E3237,'⚙️ Pengaturan'!$G$2:$G3237))</f>
        <v>KLINIK FT TA</v>
      </c>
      <c r="L776" s="43" t="str">
        <f t="shared" si="3"/>
        <v>BARU</v>
      </c>
      <c r="M776" s="144" t="s">
        <v>31</v>
      </c>
      <c r="N776" s="145">
        <v>250000.0</v>
      </c>
      <c r="O776" s="146">
        <v>0.0</v>
      </c>
      <c r="P776" s="48">
        <f t="array" ref="P776">IFNA(XLOOKUP(J776,'⚙️ Pengaturan'!$E$2:$E3237,'⚙️ Pengaturan'!$F$2:$F3237),"")</f>
        <v>250000</v>
      </c>
      <c r="Q776" s="147">
        <f t="shared" si="11"/>
        <v>0</v>
      </c>
      <c r="R776" s="41" t="s">
        <v>32</v>
      </c>
      <c r="S776" s="69" t="s">
        <v>33</v>
      </c>
      <c r="T776" s="51" t="b">
        <v>1</v>
      </c>
      <c r="U776" s="94"/>
    </row>
    <row r="777" ht="30.0" customHeight="1">
      <c r="A777" s="39"/>
      <c r="B777" s="40">
        <v>2810.0</v>
      </c>
      <c r="C777" s="41" t="s">
        <v>79</v>
      </c>
      <c r="D777" s="86">
        <v>46074.0</v>
      </c>
      <c r="E777" s="43" t="str">
        <f t="shared" si="1"/>
        <v>2026</v>
      </c>
      <c r="F777" s="43" t="str">
        <f t="shared" si="2"/>
        <v>02 Feb</v>
      </c>
      <c r="G777" s="126" t="s">
        <v>35</v>
      </c>
      <c r="H777" s="45" t="s">
        <v>150</v>
      </c>
      <c r="I777" s="45" t="s">
        <v>712</v>
      </c>
      <c r="J777" s="143" t="s">
        <v>180</v>
      </c>
      <c r="K777" s="43" t="str">
        <f t="array" ref="K777">IF(J777="","", XLOOKUP(J777,'⚙️ Pengaturan'!$E$2:$E3237,'⚙️ Pengaturan'!$G$2:$G3237))</f>
        <v>KLINIK FT SESI</v>
      </c>
      <c r="L777" s="43" t="str">
        <f t="shared" si="3"/>
        <v>BARU</v>
      </c>
      <c r="M777" s="144" t="s">
        <v>31</v>
      </c>
      <c r="N777" s="145">
        <v>150000.0</v>
      </c>
      <c r="O777" s="146">
        <v>0.0</v>
      </c>
      <c r="P777" s="48">
        <f t="array" ref="P777">IFNA(XLOOKUP(J777,'⚙️ Pengaturan'!$E$2:$E3237,'⚙️ Pengaturan'!$F$2:$F3237),"")</f>
        <v>150000</v>
      </c>
      <c r="Q777" s="147">
        <f t="shared" si="11"/>
        <v>0</v>
      </c>
      <c r="R777" s="41" t="s">
        <v>37</v>
      </c>
      <c r="S777" s="69" t="s">
        <v>854</v>
      </c>
      <c r="T777" s="51" t="b">
        <v>1</v>
      </c>
      <c r="U777" s="94"/>
    </row>
    <row r="778" ht="30.0" customHeight="1">
      <c r="A778" s="39"/>
      <c r="B778" s="40">
        <v>2811.0</v>
      </c>
      <c r="C778" s="41" t="s">
        <v>79</v>
      </c>
      <c r="D778" s="86">
        <v>46074.0</v>
      </c>
      <c r="E778" s="43" t="str">
        <f t="shared" si="1"/>
        <v>2026</v>
      </c>
      <c r="F778" s="43" t="str">
        <f t="shared" si="2"/>
        <v>02 Feb</v>
      </c>
      <c r="G778" s="126" t="s">
        <v>35</v>
      </c>
      <c r="H778" s="45" t="s">
        <v>76</v>
      </c>
      <c r="I778" s="45" t="s">
        <v>709</v>
      </c>
      <c r="J778" s="143" t="s">
        <v>56</v>
      </c>
      <c r="K778" s="43" t="str">
        <f t="array" ref="K778">IF(J778="","", XLOOKUP(J778,'⚙️ Pengaturan'!$E$2:$E3237,'⚙️ Pengaturan'!$G$2:$G3237))</f>
        <v>KLINIK FT PAKET</v>
      </c>
      <c r="L778" s="43" t="str">
        <f t="shared" si="3"/>
        <v>BARU</v>
      </c>
      <c r="M778" s="144" t="s">
        <v>31</v>
      </c>
      <c r="N778" s="145">
        <v>650000.0</v>
      </c>
      <c r="O778" s="146">
        <v>0.0</v>
      </c>
      <c r="P778" s="48">
        <f t="array" ref="P778">IFNA(XLOOKUP(J778,'⚙️ Pengaturan'!$E$2:$E3237,'⚙️ Pengaturan'!$F$2:$F3237),"")</f>
        <v>650000</v>
      </c>
      <c r="Q778" s="147">
        <f t="shared" si="11"/>
        <v>0</v>
      </c>
      <c r="R778" s="41" t="s">
        <v>37</v>
      </c>
      <c r="S778" s="69" t="s">
        <v>709</v>
      </c>
      <c r="T778" s="51" t="b">
        <v>1</v>
      </c>
      <c r="U778" s="94"/>
    </row>
    <row r="779" ht="30.0" customHeight="1">
      <c r="A779" s="39"/>
      <c r="B779" s="40">
        <v>2812.0</v>
      </c>
      <c r="C779" s="41" t="s">
        <v>79</v>
      </c>
      <c r="D779" s="86">
        <v>46074.0</v>
      </c>
      <c r="E779" s="43" t="str">
        <f t="shared" si="1"/>
        <v>2026</v>
      </c>
      <c r="F779" s="43" t="str">
        <f t="shared" si="2"/>
        <v>02 Feb</v>
      </c>
      <c r="G779" s="126" t="s">
        <v>35</v>
      </c>
      <c r="H779" s="45" t="s">
        <v>162</v>
      </c>
      <c r="I779" s="45" t="s">
        <v>179</v>
      </c>
      <c r="J779" s="143" t="s">
        <v>180</v>
      </c>
      <c r="K779" s="43" t="str">
        <f t="array" ref="K779">IF(J779="","", XLOOKUP(J779,'⚙️ Pengaturan'!$E$2:$E3237,'⚙️ Pengaturan'!$G$2:$G3237))</f>
        <v>KLINIK FT SESI</v>
      </c>
      <c r="L779" s="43" t="str">
        <f t="shared" si="3"/>
        <v>LANJUTAN</v>
      </c>
      <c r="M779" s="144" t="s">
        <v>31</v>
      </c>
      <c r="N779" s="145">
        <v>150000.0</v>
      </c>
      <c r="O779" s="146">
        <v>0.0</v>
      </c>
      <c r="P779" s="48">
        <f t="array" ref="P779">IFNA(XLOOKUP(J779,'⚙️ Pengaturan'!$E$2:$E3237,'⚙️ Pengaturan'!$F$2:$F3237),"")</f>
        <v>150000</v>
      </c>
      <c r="Q779" s="147">
        <f t="shared" si="11"/>
        <v>0</v>
      </c>
      <c r="R779" s="41" t="s">
        <v>32</v>
      </c>
      <c r="S779" s="69" t="s">
        <v>33</v>
      </c>
      <c r="T779" s="51" t="b">
        <v>1</v>
      </c>
      <c r="U779" s="94"/>
    </row>
    <row r="780" ht="30.0" customHeight="1">
      <c r="A780" s="39"/>
      <c r="B780" s="40">
        <v>2813.0</v>
      </c>
      <c r="C780" s="41" t="s">
        <v>79</v>
      </c>
      <c r="D780" s="86">
        <v>46074.0</v>
      </c>
      <c r="E780" s="43" t="str">
        <f t="shared" si="1"/>
        <v>2026</v>
      </c>
      <c r="F780" s="43" t="str">
        <f t="shared" si="2"/>
        <v>02 Feb</v>
      </c>
      <c r="G780" s="126" t="s">
        <v>35</v>
      </c>
      <c r="H780" s="45" t="s">
        <v>26</v>
      </c>
      <c r="I780" s="45" t="s">
        <v>804</v>
      </c>
      <c r="J780" s="143" t="s">
        <v>347</v>
      </c>
      <c r="K780" s="43" t="str">
        <f t="array" ref="K780">IF(J780="","", XLOOKUP(J780,'⚙️ Pengaturan'!$E$2:$E3237,'⚙️ Pengaturan'!$G$2:$G3237))</f>
        <v>KLINIK FT PAKET</v>
      </c>
      <c r="L780" s="43" t="str">
        <f t="shared" si="3"/>
        <v>BARU</v>
      </c>
      <c r="M780" s="144" t="s">
        <v>31</v>
      </c>
      <c r="N780" s="145">
        <v>1040000.0</v>
      </c>
      <c r="O780" s="146">
        <v>260000.0</v>
      </c>
      <c r="P780" s="48">
        <f t="array" ref="P780">IFNA(XLOOKUP(J780,'⚙️ Pengaturan'!$E$2:$E3237,'⚙️ Pengaturan'!$F$2:$F3237),"")</f>
        <v>1300000</v>
      </c>
      <c r="Q780" s="147">
        <f t="shared" si="11"/>
        <v>0</v>
      </c>
      <c r="R780" s="41" t="s">
        <v>37</v>
      </c>
      <c r="S780" s="69" t="s">
        <v>804</v>
      </c>
      <c r="T780" s="51" t="b">
        <v>1</v>
      </c>
      <c r="U780" s="94"/>
    </row>
    <row r="781" ht="30.0" customHeight="1">
      <c r="A781" s="39"/>
      <c r="B781" s="40">
        <v>2814.0</v>
      </c>
      <c r="C781" s="41" t="s">
        <v>50</v>
      </c>
      <c r="D781" s="86">
        <v>46074.0</v>
      </c>
      <c r="E781" s="43" t="str">
        <f t="shared" si="1"/>
        <v>2026</v>
      </c>
      <c r="F781" s="43" t="str">
        <f t="shared" si="2"/>
        <v>02 Feb</v>
      </c>
      <c r="G781" s="126" t="s">
        <v>40</v>
      </c>
      <c r="H781" s="45" t="s">
        <v>47</v>
      </c>
      <c r="I781" s="45" t="s">
        <v>830</v>
      </c>
      <c r="J781" s="143" t="s">
        <v>347</v>
      </c>
      <c r="K781" s="43" t="str">
        <f t="array" ref="K781">IF(J781="","", XLOOKUP(J781,'⚙️ Pengaturan'!$E$2:$E3237,'⚙️ Pengaturan'!$G$2:$G3237))</f>
        <v>KLINIK FT PAKET</v>
      </c>
      <c r="L781" s="43" t="str">
        <f t="shared" si="3"/>
        <v>BARU</v>
      </c>
      <c r="M781" s="144" t="s">
        <v>31</v>
      </c>
      <c r="N781" s="145">
        <v>1300000.0</v>
      </c>
      <c r="O781" s="146">
        <v>0.0</v>
      </c>
      <c r="P781" s="48">
        <f t="array" ref="P781">IFNA(XLOOKUP(J781,'⚙️ Pengaturan'!$E$2:$E3237,'⚙️ Pengaturan'!$F$2:$F3237),"")</f>
        <v>1300000</v>
      </c>
      <c r="Q781" s="147">
        <f t="shared" si="11"/>
        <v>0</v>
      </c>
      <c r="R781" s="41" t="s">
        <v>37</v>
      </c>
      <c r="S781" s="69" t="s">
        <v>830</v>
      </c>
      <c r="T781" s="51" t="b">
        <v>1</v>
      </c>
      <c r="U781" s="94"/>
    </row>
    <row r="782" ht="30.0" customHeight="1">
      <c r="A782" s="39"/>
      <c r="B782" s="40">
        <v>2815.0</v>
      </c>
      <c r="C782" s="41" t="s">
        <v>50</v>
      </c>
      <c r="D782" s="86">
        <v>46074.0</v>
      </c>
      <c r="E782" s="43" t="str">
        <f t="shared" si="1"/>
        <v>2026</v>
      </c>
      <c r="F782" s="43" t="str">
        <f t="shared" si="2"/>
        <v>02 Feb</v>
      </c>
      <c r="G782" s="126" t="s">
        <v>69</v>
      </c>
      <c r="H782" s="45" t="s">
        <v>150</v>
      </c>
      <c r="I782" s="45" t="s">
        <v>855</v>
      </c>
      <c r="J782" s="143" t="s">
        <v>121</v>
      </c>
      <c r="K782" s="43" t="str">
        <f t="array" ref="K782">IF(J782="","", XLOOKUP(J782,'⚙️ Pengaturan'!$E$2:$E3237,'⚙️ Pengaturan'!$G$2:$G3237))</f>
        <v>VISIT FT TA</v>
      </c>
      <c r="L782" s="43" t="str">
        <f t="shared" si="3"/>
        <v>BARU</v>
      </c>
      <c r="M782" s="144" t="s">
        <v>31</v>
      </c>
      <c r="N782" s="145">
        <v>300000.0</v>
      </c>
      <c r="O782" s="146">
        <v>0.0</v>
      </c>
      <c r="P782" s="48">
        <f t="array" ref="P782">IFNA(XLOOKUP(J782,'⚙️ Pengaturan'!$E$2:$E3237,'⚙️ Pengaturan'!$F$2:$F3237),"")</f>
        <v>300000</v>
      </c>
      <c r="Q782" s="147">
        <f t="shared" si="11"/>
        <v>0</v>
      </c>
      <c r="R782" s="41" t="s">
        <v>37</v>
      </c>
      <c r="S782" s="69" t="s">
        <v>855</v>
      </c>
      <c r="T782" s="51" t="b">
        <v>1</v>
      </c>
      <c r="U782" s="94"/>
    </row>
    <row r="783" ht="30.0" customHeight="1">
      <c r="A783" s="39"/>
      <c r="B783" s="40">
        <v>2816.0</v>
      </c>
      <c r="C783" s="41" t="s">
        <v>50</v>
      </c>
      <c r="D783" s="86">
        <v>46074.0</v>
      </c>
      <c r="E783" s="43" t="str">
        <f t="shared" si="1"/>
        <v>2026</v>
      </c>
      <c r="F783" s="43" t="str">
        <f t="shared" si="2"/>
        <v>02 Feb</v>
      </c>
      <c r="G783" s="126" t="s">
        <v>40</v>
      </c>
      <c r="H783" s="45" t="s">
        <v>47</v>
      </c>
      <c r="I783" s="45" t="s">
        <v>769</v>
      </c>
      <c r="J783" s="143" t="s">
        <v>120</v>
      </c>
      <c r="K783" s="43" t="str">
        <f t="array" ref="K783">IF(J783="","", XLOOKUP(J783,'⚙️ Pengaturan'!$E$2:$E3237,'⚙️ Pengaturan'!$G$2:$G3237))</f>
        <v>KLINIK FT SESI</v>
      </c>
      <c r="L783" s="43" t="str">
        <f t="shared" si="3"/>
        <v>LANJUTAN</v>
      </c>
      <c r="M783" s="144" t="s">
        <v>31</v>
      </c>
      <c r="N783" s="145">
        <v>180000.0</v>
      </c>
      <c r="O783" s="146">
        <v>0.0</v>
      </c>
      <c r="P783" s="48">
        <f t="array" ref="P783">IFNA(XLOOKUP(J783,'⚙️ Pengaturan'!$E$2:$E3237,'⚙️ Pengaturan'!$F$2:$F3237),"")</f>
        <v>180000</v>
      </c>
      <c r="Q783" s="147">
        <f t="shared" si="11"/>
        <v>0</v>
      </c>
      <c r="R783" s="41" t="s">
        <v>37</v>
      </c>
      <c r="S783" s="69" t="s">
        <v>769</v>
      </c>
      <c r="T783" s="51" t="b">
        <v>1</v>
      </c>
      <c r="U783" s="94"/>
    </row>
    <row r="784" ht="30.0" customHeight="1">
      <c r="A784" s="39"/>
      <c r="B784" s="40">
        <v>2817.0</v>
      </c>
      <c r="C784" s="41" t="s">
        <v>50</v>
      </c>
      <c r="D784" s="86">
        <v>46074.0</v>
      </c>
      <c r="E784" s="43" t="str">
        <f t="shared" si="1"/>
        <v>2026</v>
      </c>
      <c r="F784" s="43" t="str">
        <f t="shared" si="2"/>
        <v>02 Feb</v>
      </c>
      <c r="G784" s="126" t="s">
        <v>40</v>
      </c>
      <c r="H784" s="45" t="s">
        <v>41</v>
      </c>
      <c r="I784" s="45" t="s">
        <v>819</v>
      </c>
      <c r="J784" s="143" t="s">
        <v>120</v>
      </c>
      <c r="K784" s="43" t="str">
        <f t="array" ref="K784">IF(J784="","", XLOOKUP(J784,'⚙️ Pengaturan'!$E$2:$E3237,'⚙️ Pengaturan'!$G$2:$G3237))</f>
        <v>KLINIK FT SESI</v>
      </c>
      <c r="L784" s="43" t="str">
        <f t="shared" si="3"/>
        <v>LANJUTAN</v>
      </c>
      <c r="M784" s="144" t="s">
        <v>31</v>
      </c>
      <c r="N784" s="145">
        <v>144000.0</v>
      </c>
      <c r="O784" s="146">
        <v>36000.0</v>
      </c>
      <c r="P784" s="48">
        <f t="array" ref="P784">IFNA(XLOOKUP(J784,'⚙️ Pengaturan'!$E$2:$E3237,'⚙️ Pengaturan'!$F$2:$F3237),"")</f>
        <v>180000</v>
      </c>
      <c r="Q784" s="147">
        <f t="shared" si="11"/>
        <v>0</v>
      </c>
      <c r="R784" s="41" t="s">
        <v>32</v>
      </c>
      <c r="S784" s="69" t="s">
        <v>33</v>
      </c>
      <c r="T784" s="51" t="b">
        <v>1</v>
      </c>
      <c r="U784" s="94"/>
    </row>
    <row r="785" ht="30.0" customHeight="1">
      <c r="A785" s="39"/>
      <c r="B785" s="40">
        <v>2818.0</v>
      </c>
      <c r="C785" s="41" t="s">
        <v>50</v>
      </c>
      <c r="D785" s="86">
        <v>46074.0</v>
      </c>
      <c r="E785" s="43" t="str">
        <f t="shared" si="1"/>
        <v>2026</v>
      </c>
      <c r="F785" s="43" t="str">
        <f t="shared" si="2"/>
        <v>02 Feb</v>
      </c>
      <c r="G785" s="126" t="s">
        <v>190</v>
      </c>
      <c r="H785" s="45" t="s">
        <v>162</v>
      </c>
      <c r="I785" s="45" t="s">
        <v>849</v>
      </c>
      <c r="J785" s="143" t="s">
        <v>119</v>
      </c>
      <c r="K785" s="43" t="str">
        <f t="array" ref="K785">IF(J785="","", XLOOKUP(J785,'⚙️ Pengaturan'!$E$2:$E3237,'⚙️ Pengaturan'!$G$2:$G3237))</f>
        <v>KLINIK FT PAKET</v>
      </c>
      <c r="L785" s="43" t="str">
        <f t="shared" si="3"/>
        <v>BARU</v>
      </c>
      <c r="M785" s="144" t="s">
        <v>31</v>
      </c>
      <c r="N785" s="145">
        <v>750000.0</v>
      </c>
      <c r="O785" s="146">
        <v>0.0</v>
      </c>
      <c r="P785" s="48">
        <f t="array" ref="P785">IFNA(XLOOKUP(J785,'⚙️ Pengaturan'!$E$2:$E3237,'⚙️ Pengaturan'!$F$2:$F3237),"")</f>
        <v>750000</v>
      </c>
      <c r="Q785" s="147">
        <f t="shared" si="11"/>
        <v>0</v>
      </c>
      <c r="R785" s="41" t="s">
        <v>37</v>
      </c>
      <c r="S785" s="69" t="s">
        <v>849</v>
      </c>
      <c r="T785" s="51" t="b">
        <v>1</v>
      </c>
      <c r="U785" s="94"/>
    </row>
    <row r="786" ht="30.0" customHeight="1">
      <c r="A786" s="39"/>
      <c r="B786" s="40">
        <v>2819.0</v>
      </c>
      <c r="C786" s="41" t="s">
        <v>79</v>
      </c>
      <c r="D786" s="86">
        <v>46075.0</v>
      </c>
      <c r="E786" s="43" t="str">
        <f t="shared" si="1"/>
        <v>2026</v>
      </c>
      <c r="F786" s="43" t="str">
        <f t="shared" si="2"/>
        <v>02 Feb</v>
      </c>
      <c r="G786" s="126" t="s">
        <v>195</v>
      </c>
      <c r="H786" s="45" t="s">
        <v>47</v>
      </c>
      <c r="I786" s="45" t="s">
        <v>817</v>
      </c>
      <c r="J786" s="143" t="s">
        <v>56</v>
      </c>
      <c r="K786" s="43" t="str">
        <f t="array" ref="K786">IF(J786="","", XLOOKUP(J786,'⚙️ Pengaturan'!$E$2:$E3237,'⚙️ Pengaturan'!$G$2:$G3237))</f>
        <v>KLINIK FT PAKET</v>
      </c>
      <c r="L786" s="43" t="str">
        <f t="shared" si="3"/>
        <v>LANJUTAN</v>
      </c>
      <c r="M786" s="144" t="s">
        <v>60</v>
      </c>
      <c r="N786" s="145">
        <v>200000.0</v>
      </c>
      <c r="O786" s="146">
        <v>0.0</v>
      </c>
      <c r="P786" s="48">
        <f t="array" ref="P786">IFNA(XLOOKUP(J786,'⚙️ Pengaturan'!$E$2:$E3237,'⚙️ Pengaturan'!$F$2:$F3237),"")</f>
        <v>650000</v>
      </c>
      <c r="Q786" s="147">
        <f t="shared" si="11"/>
        <v>-450000</v>
      </c>
      <c r="R786" s="41" t="s">
        <v>118</v>
      </c>
      <c r="S786" s="69" t="s">
        <v>619</v>
      </c>
      <c r="T786" s="51" t="b">
        <v>1</v>
      </c>
      <c r="U786" s="94"/>
    </row>
    <row r="787" ht="30.0" customHeight="1">
      <c r="A787" s="39"/>
      <c r="B787" s="40">
        <v>2820.0</v>
      </c>
      <c r="C787" s="41" t="s">
        <v>79</v>
      </c>
      <c r="D787" s="86">
        <v>46075.0</v>
      </c>
      <c r="E787" s="43" t="str">
        <f t="shared" si="1"/>
        <v>2026</v>
      </c>
      <c r="F787" s="43" t="str">
        <f t="shared" si="2"/>
        <v>02 Feb</v>
      </c>
      <c r="G787" s="126" t="s">
        <v>195</v>
      </c>
      <c r="H787" s="45" t="s">
        <v>41</v>
      </c>
      <c r="I787" s="45" t="s">
        <v>856</v>
      </c>
      <c r="J787" s="143" t="s">
        <v>28</v>
      </c>
      <c r="K787" s="43" t="str">
        <f t="array" ref="K787">IF(J787="","", XLOOKUP(J787,'⚙️ Pengaturan'!$E$2:$E3237,'⚙️ Pengaturan'!$G$2:$G3237))</f>
        <v>KLINIK FT TA</v>
      </c>
      <c r="L787" s="43" t="str">
        <f t="shared" si="3"/>
        <v>BARU</v>
      </c>
      <c r="M787" s="144" t="s">
        <v>31</v>
      </c>
      <c r="N787" s="145">
        <v>250000.0</v>
      </c>
      <c r="O787" s="146">
        <v>0.0</v>
      </c>
      <c r="P787" s="48">
        <f t="array" ref="P787">IFNA(XLOOKUP(J787,'⚙️ Pengaturan'!$E$2:$E3237,'⚙️ Pengaturan'!$F$2:$F3237),"")</f>
        <v>250000</v>
      </c>
      <c r="Q787" s="147">
        <f t="shared" si="11"/>
        <v>0</v>
      </c>
      <c r="R787" s="41" t="s">
        <v>32</v>
      </c>
      <c r="S787" s="69" t="s">
        <v>33</v>
      </c>
      <c r="T787" s="51" t="b">
        <v>1</v>
      </c>
      <c r="U787" s="94"/>
    </row>
    <row r="788" ht="30.0" customHeight="1">
      <c r="A788" s="39"/>
      <c r="B788" s="40">
        <v>2821.0</v>
      </c>
      <c r="C788" s="41" t="s">
        <v>79</v>
      </c>
      <c r="D788" s="86">
        <v>46075.0</v>
      </c>
      <c r="E788" s="43" t="str">
        <f t="shared" si="1"/>
        <v>2026</v>
      </c>
      <c r="F788" s="43" t="str">
        <f t="shared" si="2"/>
        <v>02 Feb</v>
      </c>
      <c r="G788" s="126" t="s">
        <v>206</v>
      </c>
      <c r="H788" s="45" t="s">
        <v>149</v>
      </c>
      <c r="I788" s="45" t="s">
        <v>191</v>
      </c>
      <c r="J788" s="143" t="s">
        <v>92</v>
      </c>
      <c r="K788" s="43" t="str">
        <f t="array" ref="K788">IF(J788="","", XLOOKUP(J788,'⚙️ Pengaturan'!$E$2:$E3237,'⚙️ Pengaturan'!$G$2:$G3237))</f>
        <v>KLINIK FT PAKET</v>
      </c>
      <c r="L788" s="43" t="str">
        <f t="shared" si="3"/>
        <v>LANJUTAN</v>
      </c>
      <c r="M788" s="144" t="s">
        <v>31</v>
      </c>
      <c r="N788" s="145">
        <v>1200000.0</v>
      </c>
      <c r="O788" s="146">
        <v>0.0</v>
      </c>
      <c r="P788" s="48">
        <f t="array" ref="P788">IFNA(XLOOKUP(J788,'⚙️ Pengaturan'!$E$2:$E3237,'⚙️ Pengaturan'!$F$2:$F3237),"")</f>
        <v>1200000</v>
      </c>
      <c r="Q788" s="147">
        <f t="shared" si="11"/>
        <v>0</v>
      </c>
      <c r="R788" s="41" t="s">
        <v>37</v>
      </c>
      <c r="S788" s="69" t="s">
        <v>191</v>
      </c>
      <c r="T788" s="51" t="b">
        <v>1</v>
      </c>
      <c r="U788" s="94"/>
    </row>
    <row r="789" ht="30.0" customHeight="1">
      <c r="A789" s="39"/>
      <c r="B789" s="40">
        <v>2822.0</v>
      </c>
      <c r="C789" s="41" t="s">
        <v>79</v>
      </c>
      <c r="D789" s="86">
        <v>46075.0</v>
      </c>
      <c r="E789" s="43" t="str">
        <f t="shared" si="1"/>
        <v>2026</v>
      </c>
      <c r="F789" s="43" t="str">
        <f t="shared" si="2"/>
        <v>02 Feb</v>
      </c>
      <c r="G789" s="126" t="s">
        <v>241</v>
      </c>
      <c r="H789" s="45" t="s">
        <v>47</v>
      </c>
      <c r="I789" s="45" t="s">
        <v>857</v>
      </c>
      <c r="J789" s="143" t="s">
        <v>28</v>
      </c>
      <c r="K789" s="43" t="str">
        <f t="array" ref="K789">IF(J789="","", XLOOKUP(J789,'⚙️ Pengaturan'!$E$2:$E3237,'⚙️ Pengaturan'!$G$2:$G3237))</f>
        <v>KLINIK FT TA</v>
      </c>
      <c r="L789" s="43" t="str">
        <f t="shared" si="3"/>
        <v>BARU</v>
      </c>
      <c r="M789" s="144" t="s">
        <v>31</v>
      </c>
      <c r="N789" s="145">
        <v>250000.0</v>
      </c>
      <c r="O789" s="146">
        <v>0.0</v>
      </c>
      <c r="P789" s="48">
        <f t="array" ref="P789">IFNA(XLOOKUP(J789,'⚙️ Pengaturan'!$E$2:$E3237,'⚙️ Pengaturan'!$F$2:$F3237),"")</f>
        <v>250000</v>
      </c>
      <c r="Q789" s="147">
        <f t="shared" si="11"/>
        <v>0</v>
      </c>
      <c r="R789" s="41" t="s">
        <v>37</v>
      </c>
      <c r="S789" s="69" t="s">
        <v>857</v>
      </c>
      <c r="T789" s="51" t="b">
        <v>1</v>
      </c>
      <c r="U789" s="94"/>
    </row>
    <row r="790" ht="30.0" customHeight="1">
      <c r="A790" s="39"/>
      <c r="B790" s="40">
        <v>2823.0</v>
      </c>
      <c r="C790" s="41" t="s">
        <v>79</v>
      </c>
      <c r="D790" s="86">
        <v>46075.0</v>
      </c>
      <c r="E790" s="43" t="str">
        <f t="shared" si="1"/>
        <v>2026</v>
      </c>
      <c r="F790" s="43" t="str">
        <f t="shared" si="2"/>
        <v>02 Feb</v>
      </c>
      <c r="G790" s="126" t="s">
        <v>161</v>
      </c>
      <c r="H790" s="45" t="s">
        <v>26</v>
      </c>
      <c r="I790" s="45" t="s">
        <v>701</v>
      </c>
      <c r="J790" s="143" t="s">
        <v>92</v>
      </c>
      <c r="K790" s="43" t="str">
        <f t="array" ref="K790">IF(J790="","", XLOOKUP(J790,'⚙️ Pengaturan'!$E$2:$E3237,'⚙️ Pengaturan'!$G$2:$G3237))</f>
        <v>KLINIK FT PAKET</v>
      </c>
      <c r="L790" s="43" t="str">
        <f t="shared" si="3"/>
        <v>LANJUTAN</v>
      </c>
      <c r="M790" s="144" t="s">
        <v>81</v>
      </c>
      <c r="N790" s="145">
        <v>200000.0</v>
      </c>
      <c r="O790" s="146">
        <v>500000.0</v>
      </c>
      <c r="P790" s="48">
        <f t="array" ref="P790">IFNA(XLOOKUP(J790,'⚙️ Pengaturan'!$E$2:$E3237,'⚙️ Pengaturan'!$F$2:$F3237),"")</f>
        <v>1200000</v>
      </c>
      <c r="Q790" s="147">
        <f t="shared" si="11"/>
        <v>-500000</v>
      </c>
      <c r="R790" s="41" t="s">
        <v>32</v>
      </c>
      <c r="S790" s="69" t="s">
        <v>33</v>
      </c>
      <c r="T790" s="51" t="b">
        <v>1</v>
      </c>
      <c r="U790" s="94"/>
    </row>
    <row r="791" ht="30.0" customHeight="1">
      <c r="A791" s="39"/>
      <c r="B791" s="40">
        <v>2824.0</v>
      </c>
      <c r="C791" s="41" t="s">
        <v>79</v>
      </c>
      <c r="D791" s="86">
        <v>46075.0</v>
      </c>
      <c r="E791" s="43" t="str">
        <f t="shared" si="1"/>
        <v>2026</v>
      </c>
      <c r="F791" s="43" t="str">
        <f t="shared" si="2"/>
        <v>02 Feb</v>
      </c>
      <c r="G791" s="126" t="s">
        <v>161</v>
      </c>
      <c r="H791" s="45" t="s">
        <v>162</v>
      </c>
      <c r="I791" s="45" t="s">
        <v>858</v>
      </c>
      <c r="J791" s="143" t="s">
        <v>291</v>
      </c>
      <c r="K791" s="43" t="str">
        <f t="array" ref="K791">IF(J791="","", XLOOKUP(J791,'⚙️ Pengaturan'!$E$2:$E3237,'⚙️ Pengaturan'!$G$2:$G3237))</f>
        <v>VISIT FT TA</v>
      </c>
      <c r="L791" s="43" t="str">
        <f t="shared" si="3"/>
        <v>BARU</v>
      </c>
      <c r="M791" s="144" t="s">
        <v>31</v>
      </c>
      <c r="N791" s="145">
        <v>350000.0</v>
      </c>
      <c r="O791" s="146">
        <v>0.0</v>
      </c>
      <c r="P791" s="48">
        <f t="array" ref="P791">IFNA(XLOOKUP(J791,'⚙️ Pengaturan'!$E$2:$E3237,'⚙️ Pengaturan'!$F$2:$F3237),"")</f>
        <v>350000</v>
      </c>
      <c r="Q791" s="147">
        <f t="shared" si="11"/>
        <v>0</v>
      </c>
      <c r="R791" s="41" t="s">
        <v>32</v>
      </c>
      <c r="S791" s="69" t="s">
        <v>33</v>
      </c>
      <c r="T791" s="51" t="b">
        <v>1</v>
      </c>
      <c r="U791" s="94"/>
    </row>
    <row r="792" ht="30.0" customHeight="1">
      <c r="A792" s="39"/>
      <c r="B792" s="40">
        <v>2825.0</v>
      </c>
      <c r="C792" s="41" t="s">
        <v>79</v>
      </c>
      <c r="D792" s="86">
        <v>46075.0</v>
      </c>
      <c r="E792" s="43" t="str">
        <f t="shared" si="1"/>
        <v>2026</v>
      </c>
      <c r="F792" s="43" t="str">
        <f t="shared" si="2"/>
        <v>02 Feb</v>
      </c>
      <c r="G792" s="126" t="s">
        <v>161</v>
      </c>
      <c r="H792" s="45" t="s">
        <v>26</v>
      </c>
      <c r="I792" s="45" t="s">
        <v>859</v>
      </c>
      <c r="J792" s="143" t="s">
        <v>291</v>
      </c>
      <c r="K792" s="43" t="str">
        <f t="array" ref="K792">IF(J792="","", XLOOKUP(J792,'⚙️ Pengaturan'!$E$2:$E3237,'⚙️ Pengaturan'!$G$2:$G3237))</f>
        <v>VISIT FT TA</v>
      </c>
      <c r="L792" s="43" t="str">
        <f t="shared" si="3"/>
        <v>BARU</v>
      </c>
      <c r="M792" s="144" t="s">
        <v>31</v>
      </c>
      <c r="N792" s="145">
        <v>350000.0</v>
      </c>
      <c r="O792" s="146">
        <v>0.0</v>
      </c>
      <c r="P792" s="48">
        <f t="array" ref="P792">IFNA(XLOOKUP(J792,'⚙️ Pengaturan'!$E$2:$E3237,'⚙️ Pengaturan'!$F$2:$F3237),"")</f>
        <v>350000</v>
      </c>
      <c r="Q792" s="147">
        <f t="shared" si="11"/>
        <v>0</v>
      </c>
      <c r="R792" s="41" t="s">
        <v>32</v>
      </c>
      <c r="S792" s="69" t="s">
        <v>33</v>
      </c>
      <c r="T792" s="51" t="b">
        <v>1</v>
      </c>
      <c r="U792" s="94"/>
    </row>
    <row r="793" ht="30.0" customHeight="1">
      <c r="A793" s="39"/>
      <c r="B793" s="40">
        <v>2826.0</v>
      </c>
      <c r="C793" s="41" t="s">
        <v>79</v>
      </c>
      <c r="D793" s="86">
        <v>46075.0</v>
      </c>
      <c r="E793" s="43" t="str">
        <f t="shared" si="1"/>
        <v>2026</v>
      </c>
      <c r="F793" s="43" t="str">
        <f t="shared" si="2"/>
        <v>02 Feb</v>
      </c>
      <c r="G793" s="126" t="s">
        <v>161</v>
      </c>
      <c r="H793" s="45" t="s">
        <v>41</v>
      </c>
      <c r="I793" s="45" t="s">
        <v>860</v>
      </c>
      <c r="J793" s="143" t="s">
        <v>28</v>
      </c>
      <c r="K793" s="43" t="str">
        <f t="array" ref="K793">IF(J793="","", XLOOKUP(J793,'⚙️ Pengaturan'!$E$2:$E3237,'⚙️ Pengaturan'!$G$2:$G3237))</f>
        <v>KLINIK FT TA</v>
      </c>
      <c r="L793" s="43" t="str">
        <f t="shared" si="3"/>
        <v>BARU</v>
      </c>
      <c r="M793" s="144" t="s">
        <v>31</v>
      </c>
      <c r="N793" s="145">
        <v>250000.0</v>
      </c>
      <c r="O793" s="146">
        <v>0.0</v>
      </c>
      <c r="P793" s="48">
        <f t="array" ref="P793">IFNA(XLOOKUP(J793,'⚙️ Pengaturan'!$E$2:$E3237,'⚙️ Pengaturan'!$F$2:$F3237),"")</f>
        <v>250000</v>
      </c>
      <c r="Q793" s="147">
        <f t="shared" si="11"/>
        <v>0</v>
      </c>
      <c r="R793" s="41" t="s">
        <v>37</v>
      </c>
      <c r="S793" s="69" t="s">
        <v>861</v>
      </c>
      <c r="T793" s="51" t="b">
        <v>1</v>
      </c>
      <c r="U793" s="94"/>
    </row>
    <row r="794" ht="30.0" customHeight="1">
      <c r="A794" s="39"/>
      <c r="B794" s="40">
        <v>2829.0</v>
      </c>
      <c r="C794" s="41" t="s">
        <v>50</v>
      </c>
      <c r="D794" s="86">
        <v>46075.0</v>
      </c>
      <c r="E794" s="43" t="str">
        <f t="shared" si="1"/>
        <v>2026</v>
      </c>
      <c r="F794" s="43" t="str">
        <f t="shared" si="2"/>
        <v>02 Feb</v>
      </c>
      <c r="G794" s="126" t="s">
        <v>43</v>
      </c>
      <c r="H794" s="45" t="s">
        <v>150</v>
      </c>
      <c r="I794" s="45" t="s">
        <v>862</v>
      </c>
      <c r="J794" s="143" t="s">
        <v>28</v>
      </c>
      <c r="K794" s="43" t="str">
        <f t="array" ref="K794">IF(J794="","", XLOOKUP(J794,'⚙️ Pengaturan'!$E$2:$E3237,'⚙️ Pengaturan'!$G$2:$G3237))</f>
        <v>KLINIK FT TA</v>
      </c>
      <c r="L794" s="43" t="str">
        <f t="shared" si="3"/>
        <v>BARU</v>
      </c>
      <c r="M794" s="144" t="s">
        <v>31</v>
      </c>
      <c r="N794" s="145">
        <v>250000.0</v>
      </c>
      <c r="O794" s="146">
        <v>0.0</v>
      </c>
      <c r="P794" s="48">
        <f t="array" ref="P794">IFNA(XLOOKUP(J794,'⚙️ Pengaturan'!$E$2:$E3237,'⚙️ Pengaturan'!$F$2:$F3237),"")</f>
        <v>250000</v>
      </c>
      <c r="Q794" s="147">
        <f t="shared" si="11"/>
        <v>0</v>
      </c>
      <c r="R794" s="41" t="s">
        <v>32</v>
      </c>
      <c r="S794" s="69" t="s">
        <v>33</v>
      </c>
      <c r="T794" s="51" t="b">
        <v>1</v>
      </c>
      <c r="U794" s="94"/>
    </row>
    <row r="795" ht="30.0" customHeight="1">
      <c r="A795" s="39"/>
      <c r="B795" s="40">
        <v>2830.0</v>
      </c>
      <c r="C795" s="41" t="s">
        <v>50</v>
      </c>
      <c r="D795" s="86">
        <v>46075.0</v>
      </c>
      <c r="E795" s="43" t="str">
        <f t="shared" si="1"/>
        <v>2026</v>
      </c>
      <c r="F795" s="43" t="str">
        <f t="shared" si="2"/>
        <v>02 Feb</v>
      </c>
      <c r="G795" s="126" t="s">
        <v>43</v>
      </c>
      <c r="H795" s="45" t="s">
        <v>26</v>
      </c>
      <c r="I795" s="45" t="s">
        <v>863</v>
      </c>
      <c r="J795" s="143" t="s">
        <v>28</v>
      </c>
      <c r="K795" s="43" t="str">
        <f t="array" ref="K795">IF(J795="","", XLOOKUP(J795,'⚙️ Pengaturan'!$E$2:$E3237,'⚙️ Pengaturan'!$G$2:$G3237))</f>
        <v>KLINIK FT TA</v>
      </c>
      <c r="L795" s="43" t="str">
        <f t="shared" si="3"/>
        <v>BARU</v>
      </c>
      <c r="M795" s="144" t="s">
        <v>31</v>
      </c>
      <c r="N795" s="145">
        <v>250000.0</v>
      </c>
      <c r="O795" s="146">
        <v>0.0</v>
      </c>
      <c r="P795" s="48">
        <f t="array" ref="P795">IFNA(XLOOKUP(J795,'⚙️ Pengaturan'!$E$2:$E3237,'⚙️ Pengaturan'!$F$2:$F3237),"")</f>
        <v>250000</v>
      </c>
      <c r="Q795" s="147">
        <f t="shared" si="11"/>
        <v>0</v>
      </c>
      <c r="R795" s="41" t="s">
        <v>32</v>
      </c>
      <c r="S795" s="69" t="s">
        <v>33</v>
      </c>
      <c r="T795" s="51" t="b">
        <v>1</v>
      </c>
      <c r="U795" s="94"/>
    </row>
    <row r="796" ht="30.0" customHeight="1">
      <c r="A796" s="39"/>
      <c r="B796" s="40">
        <v>2831.0</v>
      </c>
      <c r="C796" s="41" t="s">
        <v>50</v>
      </c>
      <c r="D796" s="86">
        <v>46075.0</v>
      </c>
      <c r="E796" s="43" t="str">
        <f t="shared" si="1"/>
        <v>2026</v>
      </c>
      <c r="F796" s="43" t="str">
        <f t="shared" si="2"/>
        <v>02 Feb</v>
      </c>
      <c r="G796" s="126" t="s">
        <v>43</v>
      </c>
      <c r="H796" s="45" t="s">
        <v>41</v>
      </c>
      <c r="I796" s="45" t="s">
        <v>860</v>
      </c>
      <c r="J796" s="143" t="s">
        <v>347</v>
      </c>
      <c r="K796" s="43" t="str">
        <f t="array" ref="K796">IF(J796="","", XLOOKUP(J796,'⚙️ Pengaturan'!$E$2:$E3237,'⚙️ Pengaturan'!$G$2:$G3237))</f>
        <v>KLINIK FT PAKET</v>
      </c>
      <c r="L796" s="43" t="str">
        <f t="shared" si="3"/>
        <v>BARU</v>
      </c>
      <c r="M796" s="144" t="s">
        <v>31</v>
      </c>
      <c r="N796" s="145">
        <v>1300000.0</v>
      </c>
      <c r="O796" s="146">
        <v>0.0</v>
      </c>
      <c r="P796" s="48">
        <f t="array" ref="P796">IFNA(XLOOKUP(J796,'⚙️ Pengaturan'!$E$2:$E3237,'⚙️ Pengaturan'!$F$2:$F3237),"")</f>
        <v>1300000</v>
      </c>
      <c r="Q796" s="147">
        <f t="shared" si="11"/>
        <v>0</v>
      </c>
      <c r="R796" s="41" t="s">
        <v>37</v>
      </c>
      <c r="S796" s="69" t="s">
        <v>860</v>
      </c>
      <c r="T796" s="51" t="b">
        <v>1</v>
      </c>
      <c r="U796" s="94"/>
    </row>
    <row r="797" ht="30.0" customHeight="1">
      <c r="A797" s="39"/>
      <c r="B797" s="40">
        <v>2832.0</v>
      </c>
      <c r="C797" s="41" t="s">
        <v>50</v>
      </c>
      <c r="D797" s="86">
        <v>46075.0</v>
      </c>
      <c r="E797" s="43" t="str">
        <f t="shared" si="1"/>
        <v>2026</v>
      </c>
      <c r="F797" s="43" t="str">
        <f t="shared" si="2"/>
        <v>02 Feb</v>
      </c>
      <c r="G797" s="126" t="s">
        <v>43</v>
      </c>
      <c r="H797" s="45" t="s">
        <v>162</v>
      </c>
      <c r="I797" s="45" t="s">
        <v>864</v>
      </c>
      <c r="J797" s="143" t="s">
        <v>28</v>
      </c>
      <c r="K797" s="43" t="str">
        <f t="array" ref="K797">IF(J797="","", XLOOKUP(J797,'⚙️ Pengaturan'!$E$2:$E3237,'⚙️ Pengaturan'!$G$2:$G3237))</f>
        <v>KLINIK FT TA</v>
      </c>
      <c r="L797" s="43" t="str">
        <f t="shared" si="3"/>
        <v>BARU</v>
      </c>
      <c r="M797" s="144" t="s">
        <v>31</v>
      </c>
      <c r="N797" s="145">
        <v>250000.0</v>
      </c>
      <c r="O797" s="146">
        <v>0.0</v>
      </c>
      <c r="P797" s="48">
        <f t="array" ref="P797">IFNA(XLOOKUP(J797,'⚙️ Pengaturan'!$E$2:$E3237,'⚙️ Pengaturan'!$F$2:$F3237),"")</f>
        <v>250000</v>
      </c>
      <c r="Q797" s="147">
        <f t="shared" si="11"/>
        <v>0</v>
      </c>
      <c r="R797" s="41" t="s">
        <v>32</v>
      </c>
      <c r="S797" s="69" t="s">
        <v>33</v>
      </c>
      <c r="T797" s="51" t="b">
        <v>1</v>
      </c>
      <c r="U797" s="94"/>
    </row>
    <row r="798" ht="30.0" customHeight="1">
      <c r="A798" s="39"/>
      <c r="B798" s="40">
        <v>2833.0</v>
      </c>
      <c r="C798" s="41" t="s">
        <v>50</v>
      </c>
      <c r="D798" s="86">
        <v>46075.0</v>
      </c>
      <c r="E798" s="43" t="str">
        <f t="shared" si="1"/>
        <v>2026</v>
      </c>
      <c r="F798" s="43" t="str">
        <f t="shared" si="2"/>
        <v>02 Feb</v>
      </c>
      <c r="G798" s="126" t="s">
        <v>173</v>
      </c>
      <c r="H798" s="45" t="s">
        <v>26</v>
      </c>
      <c r="I798" s="45" t="s">
        <v>865</v>
      </c>
      <c r="J798" s="143" t="s">
        <v>28</v>
      </c>
      <c r="K798" s="43" t="str">
        <f t="array" ref="K798">IF(J798="","", XLOOKUP(J798,'⚙️ Pengaturan'!$E$2:$E3237,'⚙️ Pengaturan'!$G$2:$G3237))</f>
        <v>KLINIK FT TA</v>
      </c>
      <c r="L798" s="43" t="str">
        <f t="shared" si="3"/>
        <v>BARU</v>
      </c>
      <c r="M798" s="144" t="s">
        <v>31</v>
      </c>
      <c r="N798" s="145">
        <v>250000.0</v>
      </c>
      <c r="O798" s="146">
        <v>0.0</v>
      </c>
      <c r="P798" s="48">
        <f t="array" ref="P798">IFNA(XLOOKUP(J798,'⚙️ Pengaturan'!$E$2:$E3237,'⚙️ Pengaturan'!$F$2:$F3237),"")</f>
        <v>250000</v>
      </c>
      <c r="Q798" s="147">
        <f t="shared" si="11"/>
        <v>0</v>
      </c>
      <c r="R798" s="41" t="s">
        <v>37</v>
      </c>
      <c r="S798" s="69" t="s">
        <v>865</v>
      </c>
      <c r="T798" s="51" t="b">
        <v>1</v>
      </c>
      <c r="U798" s="94"/>
    </row>
    <row r="799" ht="30.0" customHeight="1">
      <c r="A799" s="39"/>
      <c r="B799" s="40">
        <v>2834.0</v>
      </c>
      <c r="C799" s="41" t="s">
        <v>50</v>
      </c>
      <c r="D799" s="86">
        <v>46075.0</v>
      </c>
      <c r="E799" s="43" t="str">
        <f t="shared" si="1"/>
        <v>2026</v>
      </c>
      <c r="F799" s="43" t="str">
        <f t="shared" si="2"/>
        <v>02 Feb</v>
      </c>
      <c r="G799" s="126" t="s">
        <v>173</v>
      </c>
      <c r="H799" s="45" t="s">
        <v>150</v>
      </c>
      <c r="I799" s="45" t="s">
        <v>866</v>
      </c>
      <c r="J799" s="143" t="s">
        <v>28</v>
      </c>
      <c r="K799" s="43" t="str">
        <f t="array" ref="K799">IF(J799="","", XLOOKUP(J799,'⚙️ Pengaturan'!$E$2:$E3237,'⚙️ Pengaturan'!$G$2:$G3237))</f>
        <v>KLINIK FT TA</v>
      </c>
      <c r="L799" s="43" t="str">
        <f t="shared" si="3"/>
        <v>BARU</v>
      </c>
      <c r="M799" s="144" t="s">
        <v>31</v>
      </c>
      <c r="N799" s="145">
        <v>250000.0</v>
      </c>
      <c r="O799" s="146">
        <v>0.0</v>
      </c>
      <c r="P799" s="48">
        <f t="array" ref="P799">IFNA(XLOOKUP(J799,'⚙️ Pengaturan'!$E$2:$E3237,'⚙️ Pengaturan'!$F$2:$F3237),"")</f>
        <v>250000</v>
      </c>
      <c r="Q799" s="147">
        <f t="shared" si="11"/>
        <v>0</v>
      </c>
      <c r="R799" s="41" t="s">
        <v>37</v>
      </c>
      <c r="S799" s="69" t="s">
        <v>866</v>
      </c>
      <c r="T799" s="51" t="b">
        <v>1</v>
      </c>
      <c r="U799" s="94"/>
    </row>
    <row r="800" ht="30.0" customHeight="1">
      <c r="A800" s="39"/>
      <c r="B800" s="40">
        <v>2835.0</v>
      </c>
      <c r="C800" s="41" t="s">
        <v>50</v>
      </c>
      <c r="D800" s="86">
        <v>46075.0</v>
      </c>
      <c r="E800" s="43" t="str">
        <f t="shared" si="1"/>
        <v>2026</v>
      </c>
      <c r="F800" s="43" t="str">
        <f t="shared" si="2"/>
        <v>02 Feb</v>
      </c>
      <c r="G800" s="126" t="s">
        <v>190</v>
      </c>
      <c r="H800" s="45" t="s">
        <v>150</v>
      </c>
      <c r="I800" s="45" t="s">
        <v>867</v>
      </c>
      <c r="J800" s="143" t="s">
        <v>28</v>
      </c>
      <c r="K800" s="43" t="str">
        <f t="array" ref="K800">IF(J800="","", XLOOKUP(J800,'⚙️ Pengaturan'!$E$2:$E3237,'⚙️ Pengaturan'!$G$2:$G3237))</f>
        <v>KLINIK FT TA</v>
      </c>
      <c r="L800" s="43" t="str">
        <f t="shared" si="3"/>
        <v>BARU</v>
      </c>
      <c r="M800" s="144" t="s">
        <v>31</v>
      </c>
      <c r="N800" s="145">
        <v>250000.0</v>
      </c>
      <c r="O800" s="146">
        <v>0.0</v>
      </c>
      <c r="P800" s="48">
        <f t="array" ref="P800">IFNA(XLOOKUP(J800,'⚙️ Pengaturan'!$E$2:$E3237,'⚙️ Pengaturan'!$F$2:$F3237),"")</f>
        <v>250000</v>
      </c>
      <c r="Q800" s="147">
        <f t="shared" si="11"/>
        <v>0</v>
      </c>
      <c r="R800" s="41" t="s">
        <v>37</v>
      </c>
      <c r="S800" s="69" t="s">
        <v>867</v>
      </c>
      <c r="T800" s="51" t="b">
        <v>1</v>
      </c>
      <c r="U800" s="94"/>
    </row>
    <row r="801" ht="30.0" customHeight="1">
      <c r="A801" s="39"/>
      <c r="B801" s="40">
        <v>2836.0</v>
      </c>
      <c r="C801" s="41" t="s">
        <v>39</v>
      </c>
      <c r="D801" s="86">
        <v>46076.0</v>
      </c>
      <c r="E801" s="43" t="str">
        <f t="shared" si="1"/>
        <v>2026</v>
      </c>
      <c r="F801" s="43" t="str">
        <f t="shared" si="2"/>
        <v>02 Feb</v>
      </c>
      <c r="G801" s="126" t="s">
        <v>195</v>
      </c>
      <c r="H801" s="45" t="s">
        <v>26</v>
      </c>
      <c r="I801" s="45" t="s">
        <v>868</v>
      </c>
      <c r="J801" s="143" t="s">
        <v>28</v>
      </c>
      <c r="K801" s="43" t="str">
        <f t="array" ref="K801">IF(J801="","", XLOOKUP(J801,'⚙️ Pengaturan'!$E$2:$E3237,'⚙️ Pengaturan'!$G$2:$G3237))</f>
        <v>KLINIK FT TA</v>
      </c>
      <c r="L801" s="43" t="str">
        <f t="shared" si="3"/>
        <v>BARU</v>
      </c>
      <c r="M801" s="144" t="s">
        <v>31</v>
      </c>
      <c r="N801" s="145">
        <v>250000.0</v>
      </c>
      <c r="O801" s="146">
        <v>0.0</v>
      </c>
      <c r="P801" s="48">
        <f t="array" ref="P801">IFNA(XLOOKUP(J801,'⚙️ Pengaturan'!$E$2:$E3237,'⚙️ Pengaturan'!$F$2:$F3237),"")</f>
        <v>250000</v>
      </c>
      <c r="Q801" s="147">
        <f t="shared" si="11"/>
        <v>0</v>
      </c>
      <c r="R801" s="41" t="s">
        <v>32</v>
      </c>
      <c r="S801" s="69" t="s">
        <v>33</v>
      </c>
      <c r="T801" s="51" t="b">
        <v>1</v>
      </c>
      <c r="U801" s="94"/>
    </row>
    <row r="802" ht="30.0" customHeight="1">
      <c r="A802" s="39"/>
      <c r="B802" s="40">
        <v>2837.0</v>
      </c>
      <c r="C802" s="41" t="s">
        <v>39</v>
      </c>
      <c r="D802" s="86">
        <v>46076.0</v>
      </c>
      <c r="E802" s="43" t="str">
        <f t="shared" si="1"/>
        <v>2026</v>
      </c>
      <c r="F802" s="43" t="str">
        <f t="shared" si="2"/>
        <v>02 Feb</v>
      </c>
      <c r="G802" s="126" t="s">
        <v>195</v>
      </c>
      <c r="H802" s="45" t="s">
        <v>150</v>
      </c>
      <c r="I802" s="45" t="s">
        <v>869</v>
      </c>
      <c r="J802" s="143" t="s">
        <v>28</v>
      </c>
      <c r="K802" s="43" t="str">
        <f t="array" ref="K802">IF(J802="","", XLOOKUP(J802,'⚙️ Pengaturan'!$E$2:$E3237,'⚙️ Pengaturan'!$G$2:$G3237))</f>
        <v>KLINIK FT TA</v>
      </c>
      <c r="L802" s="43" t="str">
        <f t="shared" si="3"/>
        <v>BARU</v>
      </c>
      <c r="M802" s="144" t="s">
        <v>31</v>
      </c>
      <c r="N802" s="145">
        <v>250000.0</v>
      </c>
      <c r="O802" s="146">
        <v>0.0</v>
      </c>
      <c r="P802" s="48">
        <f t="array" ref="P802">IFNA(XLOOKUP(J802,'⚙️ Pengaturan'!$E$2:$E3237,'⚙️ Pengaturan'!$F$2:$F3237),"")</f>
        <v>250000</v>
      </c>
      <c r="Q802" s="147">
        <f t="shared" si="11"/>
        <v>0</v>
      </c>
      <c r="R802" s="41" t="s">
        <v>32</v>
      </c>
      <c r="S802" s="69" t="s">
        <v>33</v>
      </c>
      <c r="T802" s="51" t="b">
        <v>1</v>
      </c>
      <c r="U802" s="94"/>
    </row>
    <row r="803" ht="30.0" customHeight="1">
      <c r="A803" s="39"/>
      <c r="B803" s="40">
        <v>2838.0</v>
      </c>
      <c r="C803" s="41" t="s">
        <v>39</v>
      </c>
      <c r="D803" s="86">
        <v>46076.0</v>
      </c>
      <c r="E803" s="43" t="str">
        <f t="shared" si="1"/>
        <v>2026</v>
      </c>
      <c r="F803" s="43" t="str">
        <f t="shared" si="2"/>
        <v>02 Feb</v>
      </c>
      <c r="G803" s="126" t="s">
        <v>161</v>
      </c>
      <c r="H803" s="45" t="s">
        <v>166</v>
      </c>
      <c r="I803" s="45" t="s">
        <v>700</v>
      </c>
      <c r="J803" s="143" t="s">
        <v>120</v>
      </c>
      <c r="K803" s="43" t="str">
        <f t="array" ref="K803">IF(J803="","", XLOOKUP(J803,'⚙️ Pengaturan'!$E$2:$E3237,'⚙️ Pengaturan'!$G$2:$G3237))</f>
        <v>KLINIK FT SESI</v>
      </c>
      <c r="L803" s="43" t="str">
        <f t="shared" si="3"/>
        <v>BARU</v>
      </c>
      <c r="M803" s="144" t="s">
        <v>31</v>
      </c>
      <c r="N803" s="145">
        <v>180000.0</v>
      </c>
      <c r="O803" s="146">
        <v>0.0</v>
      </c>
      <c r="P803" s="48">
        <f t="array" ref="P803">IFNA(XLOOKUP(J803,'⚙️ Pengaturan'!$E$2:$E3237,'⚙️ Pengaturan'!$F$2:$F3237),"")</f>
        <v>180000</v>
      </c>
      <c r="Q803" s="147">
        <f t="shared" si="11"/>
        <v>0</v>
      </c>
      <c r="R803" s="41" t="s">
        <v>32</v>
      </c>
      <c r="S803" s="69" t="s">
        <v>33</v>
      </c>
      <c r="T803" s="51" t="b">
        <v>1</v>
      </c>
      <c r="U803" s="94"/>
    </row>
    <row r="804" ht="30.0" customHeight="1">
      <c r="A804" s="39"/>
      <c r="B804" s="40">
        <v>2839.0</v>
      </c>
      <c r="C804" s="41" t="s">
        <v>39</v>
      </c>
      <c r="D804" s="86">
        <v>46076.0</v>
      </c>
      <c r="E804" s="43" t="str">
        <f t="shared" si="1"/>
        <v>2026</v>
      </c>
      <c r="F804" s="43" t="str">
        <f t="shared" si="2"/>
        <v>02 Feb</v>
      </c>
      <c r="G804" s="126" t="s">
        <v>161</v>
      </c>
      <c r="H804" s="45" t="s">
        <v>162</v>
      </c>
      <c r="I804" s="45" t="s">
        <v>870</v>
      </c>
      <c r="J804" s="143" t="s">
        <v>28</v>
      </c>
      <c r="K804" s="43" t="str">
        <f t="array" ref="K804">IF(J804="","", XLOOKUP(J804,'⚙️ Pengaturan'!$E$2:$E3237,'⚙️ Pengaturan'!$G$2:$G3237))</f>
        <v>KLINIK FT TA</v>
      </c>
      <c r="L804" s="43" t="str">
        <f t="shared" si="3"/>
        <v>BARU</v>
      </c>
      <c r="M804" s="144" t="s">
        <v>31</v>
      </c>
      <c r="N804" s="145">
        <v>250000.0</v>
      </c>
      <c r="O804" s="146">
        <v>0.0</v>
      </c>
      <c r="P804" s="48">
        <f t="array" ref="P804">IFNA(XLOOKUP(J804,'⚙️ Pengaturan'!$E$2:$E3237,'⚙️ Pengaturan'!$F$2:$F3237),"")</f>
        <v>250000</v>
      </c>
      <c r="Q804" s="147">
        <f t="shared" si="11"/>
        <v>0</v>
      </c>
      <c r="R804" s="41" t="s">
        <v>118</v>
      </c>
      <c r="S804" s="69" t="s">
        <v>870</v>
      </c>
      <c r="T804" s="51" t="b">
        <v>1</v>
      </c>
      <c r="U804" s="94"/>
    </row>
    <row r="805" ht="30.0" customHeight="1">
      <c r="A805" s="39"/>
      <c r="B805" s="40">
        <v>2840.0</v>
      </c>
      <c r="C805" s="41" t="s">
        <v>39</v>
      </c>
      <c r="D805" s="86">
        <v>46076.0</v>
      </c>
      <c r="E805" s="43" t="str">
        <f t="shared" si="1"/>
        <v>2026</v>
      </c>
      <c r="F805" s="43" t="str">
        <f t="shared" si="2"/>
        <v>02 Feb</v>
      </c>
      <c r="G805" s="126" t="s">
        <v>161</v>
      </c>
      <c r="H805" s="45" t="s">
        <v>26</v>
      </c>
      <c r="I805" s="45" t="s">
        <v>871</v>
      </c>
      <c r="J805" s="143" t="s">
        <v>28</v>
      </c>
      <c r="K805" s="43" t="str">
        <f t="array" ref="K805">IF(J805="","", XLOOKUP(J805,'⚙️ Pengaturan'!$E$2:$E3237,'⚙️ Pengaturan'!$G$2:$G3237))</f>
        <v>KLINIK FT TA</v>
      </c>
      <c r="L805" s="43" t="str">
        <f t="shared" si="3"/>
        <v>BARU</v>
      </c>
      <c r="M805" s="144" t="s">
        <v>31</v>
      </c>
      <c r="N805" s="145">
        <v>250000.0</v>
      </c>
      <c r="O805" s="146">
        <v>0.0</v>
      </c>
      <c r="P805" s="48">
        <f t="array" ref="P805">IFNA(XLOOKUP(J805,'⚙️ Pengaturan'!$E$2:$E3237,'⚙️ Pengaturan'!$F$2:$F3237),"")</f>
        <v>250000</v>
      </c>
      <c r="Q805" s="147">
        <f t="shared" si="11"/>
        <v>0</v>
      </c>
      <c r="R805" s="41" t="s">
        <v>32</v>
      </c>
      <c r="S805" s="69" t="s">
        <v>33</v>
      </c>
      <c r="T805" s="51" t="b">
        <v>1</v>
      </c>
      <c r="U805" s="94"/>
    </row>
    <row r="806" ht="30.0" customHeight="1">
      <c r="A806" s="39"/>
      <c r="B806" s="40">
        <v>2841.0</v>
      </c>
      <c r="C806" s="41" t="s">
        <v>50</v>
      </c>
      <c r="D806" s="86">
        <v>46076.0</v>
      </c>
      <c r="E806" s="43" t="str">
        <f t="shared" si="1"/>
        <v>2026</v>
      </c>
      <c r="F806" s="43" t="str">
        <f t="shared" si="2"/>
        <v>02 Feb</v>
      </c>
      <c r="G806" s="126" t="s">
        <v>40</v>
      </c>
      <c r="H806" s="45" t="s">
        <v>96</v>
      </c>
      <c r="I806" s="45" t="s">
        <v>650</v>
      </c>
      <c r="J806" s="143" t="s">
        <v>180</v>
      </c>
      <c r="K806" s="43" t="str">
        <f t="array" ref="K806">IF(J806="","", XLOOKUP(J806,'⚙️ Pengaturan'!$E$2:$E3237,'⚙️ Pengaturan'!$G$2:$G3237))</f>
        <v>KLINIK FT SESI</v>
      </c>
      <c r="L806" s="43" t="str">
        <f t="shared" si="3"/>
        <v>LANJUTAN</v>
      </c>
      <c r="M806" s="144" t="s">
        <v>31</v>
      </c>
      <c r="N806" s="145">
        <v>150000.0</v>
      </c>
      <c r="O806" s="146">
        <v>0.0</v>
      </c>
      <c r="P806" s="48">
        <f t="array" ref="P806">IFNA(XLOOKUP(J806,'⚙️ Pengaturan'!$E$2:$E3237,'⚙️ Pengaturan'!$F$2:$F3237),"")</f>
        <v>150000</v>
      </c>
      <c r="Q806" s="147">
        <f t="shared" si="11"/>
        <v>0</v>
      </c>
      <c r="R806" s="41" t="s">
        <v>32</v>
      </c>
      <c r="S806" s="69" t="s">
        <v>33</v>
      </c>
      <c r="T806" s="51" t="b">
        <v>1</v>
      </c>
      <c r="U806" s="94"/>
    </row>
    <row r="807" ht="30.0" customHeight="1">
      <c r="A807" s="39"/>
      <c r="B807" s="40">
        <v>2842.0</v>
      </c>
      <c r="C807" s="41" t="s">
        <v>50</v>
      </c>
      <c r="D807" s="86">
        <v>46076.0</v>
      </c>
      <c r="E807" s="43" t="str">
        <f t="shared" si="1"/>
        <v>2026</v>
      </c>
      <c r="F807" s="43" t="str">
        <f t="shared" si="2"/>
        <v>02 Feb</v>
      </c>
      <c r="G807" s="126" t="s">
        <v>43</v>
      </c>
      <c r="H807" s="45" t="s">
        <v>41</v>
      </c>
      <c r="I807" s="45" t="s">
        <v>872</v>
      </c>
      <c r="J807" s="143" t="s">
        <v>28</v>
      </c>
      <c r="K807" s="43" t="str">
        <f t="array" ref="K807">IF(J807="","", XLOOKUP(J807,'⚙️ Pengaturan'!$E$2:$E3237,'⚙️ Pengaturan'!$G$2:$G3237))</f>
        <v>KLINIK FT TA</v>
      </c>
      <c r="L807" s="43" t="str">
        <f t="shared" si="3"/>
        <v>BARU</v>
      </c>
      <c r="M807" s="144" t="s">
        <v>31</v>
      </c>
      <c r="N807" s="145">
        <v>250000.0</v>
      </c>
      <c r="O807" s="146">
        <v>0.0</v>
      </c>
      <c r="P807" s="48">
        <f t="array" ref="P807">IFNA(XLOOKUP(J807,'⚙️ Pengaturan'!$E$2:$E3237,'⚙️ Pengaturan'!$F$2:$F3237),"")</f>
        <v>250000</v>
      </c>
      <c r="Q807" s="147">
        <f t="shared" si="11"/>
        <v>0</v>
      </c>
      <c r="R807" s="41" t="s">
        <v>32</v>
      </c>
      <c r="S807" s="69" t="s">
        <v>33</v>
      </c>
      <c r="T807" s="51" t="b">
        <v>1</v>
      </c>
      <c r="U807" s="94"/>
    </row>
    <row r="808" ht="30.0" customHeight="1">
      <c r="A808" s="39"/>
      <c r="B808" s="40">
        <v>2843.0</v>
      </c>
      <c r="C808" s="41" t="s">
        <v>50</v>
      </c>
      <c r="D808" s="86">
        <v>46076.0</v>
      </c>
      <c r="E808" s="43" t="str">
        <f t="shared" si="1"/>
        <v>2026</v>
      </c>
      <c r="F808" s="43" t="str">
        <f t="shared" si="2"/>
        <v>02 Feb</v>
      </c>
      <c r="G808" s="126" t="s">
        <v>173</v>
      </c>
      <c r="H808" s="45" t="s">
        <v>41</v>
      </c>
      <c r="I808" s="45" t="s">
        <v>873</v>
      </c>
      <c r="J808" s="143" t="s">
        <v>28</v>
      </c>
      <c r="K808" s="43" t="str">
        <f t="array" ref="K808">IF(J808="","", XLOOKUP(J808,'⚙️ Pengaturan'!$E$2:$E3237,'⚙️ Pengaturan'!$G$2:$G3237))</f>
        <v>KLINIK FT TA</v>
      </c>
      <c r="L808" s="43" t="str">
        <f t="shared" si="3"/>
        <v>BARU</v>
      </c>
      <c r="M808" s="144" t="s">
        <v>31</v>
      </c>
      <c r="N808" s="145">
        <v>250000.0</v>
      </c>
      <c r="O808" s="146">
        <v>0.0</v>
      </c>
      <c r="P808" s="48">
        <f t="array" ref="P808">IFNA(XLOOKUP(J808,'⚙️ Pengaturan'!$E$2:$E3237,'⚙️ Pengaturan'!$F$2:$F3237),"")</f>
        <v>250000</v>
      </c>
      <c r="Q808" s="147">
        <f t="shared" si="11"/>
        <v>0</v>
      </c>
      <c r="R808" s="41" t="s">
        <v>37</v>
      </c>
      <c r="S808" s="69" t="s">
        <v>873</v>
      </c>
      <c r="T808" s="51" t="b">
        <v>1</v>
      </c>
      <c r="U808" s="94"/>
    </row>
    <row r="809" ht="30.0" customHeight="1">
      <c r="A809" s="39"/>
      <c r="B809" s="40">
        <v>2844.0</v>
      </c>
      <c r="C809" s="41" t="s">
        <v>50</v>
      </c>
      <c r="D809" s="86">
        <v>46076.0</v>
      </c>
      <c r="E809" s="43" t="str">
        <f t="shared" si="1"/>
        <v>2026</v>
      </c>
      <c r="F809" s="43" t="str">
        <f t="shared" si="2"/>
        <v>02 Feb</v>
      </c>
      <c r="G809" s="126" t="s">
        <v>190</v>
      </c>
      <c r="H809" s="45" t="s">
        <v>76</v>
      </c>
      <c r="I809" s="45" t="s">
        <v>843</v>
      </c>
      <c r="J809" s="143" t="s">
        <v>120</v>
      </c>
      <c r="K809" s="43" t="str">
        <f t="array" ref="K809">IF(J809="","", XLOOKUP(J809,'⚙️ Pengaturan'!$E$2:$E3237,'⚙️ Pengaturan'!$G$2:$G3237))</f>
        <v>KLINIK FT SESI</v>
      </c>
      <c r="L809" s="43" t="str">
        <f t="shared" si="3"/>
        <v>BARU</v>
      </c>
      <c r="M809" s="144" t="s">
        <v>31</v>
      </c>
      <c r="N809" s="145">
        <v>180000.0</v>
      </c>
      <c r="O809" s="146">
        <v>0.0</v>
      </c>
      <c r="P809" s="48">
        <f t="array" ref="P809">IFNA(XLOOKUP(J809,'⚙️ Pengaturan'!$E$2:$E3237,'⚙️ Pengaturan'!$F$2:$F3237),"")</f>
        <v>180000</v>
      </c>
      <c r="Q809" s="147">
        <f t="shared" si="11"/>
        <v>0</v>
      </c>
      <c r="R809" s="41" t="s">
        <v>37</v>
      </c>
      <c r="S809" s="69" t="s">
        <v>843</v>
      </c>
      <c r="T809" s="51" t="b">
        <v>1</v>
      </c>
      <c r="U809" s="94"/>
    </row>
    <row r="810" ht="30.0" customHeight="1">
      <c r="A810" s="39"/>
      <c r="B810" s="40">
        <v>2845.0</v>
      </c>
      <c r="C810" s="41" t="s">
        <v>50</v>
      </c>
      <c r="D810" s="86">
        <v>46076.0</v>
      </c>
      <c r="E810" s="43" t="str">
        <f t="shared" si="1"/>
        <v>2026</v>
      </c>
      <c r="F810" s="43" t="str">
        <f t="shared" si="2"/>
        <v>02 Feb</v>
      </c>
      <c r="G810" s="126" t="s">
        <v>190</v>
      </c>
      <c r="H810" s="45" t="s">
        <v>96</v>
      </c>
      <c r="I810" s="45" t="s">
        <v>810</v>
      </c>
      <c r="J810" s="143" t="s">
        <v>120</v>
      </c>
      <c r="K810" s="43" t="str">
        <f t="array" ref="K810">IF(J810="","", XLOOKUP(J810,'⚙️ Pengaturan'!$E$2:$E3237,'⚙️ Pengaturan'!$G$2:$G3237))</f>
        <v>KLINIK FT SESI</v>
      </c>
      <c r="L810" s="43" t="str">
        <f t="shared" si="3"/>
        <v>LANJUTAN</v>
      </c>
      <c r="M810" s="144" t="s">
        <v>31</v>
      </c>
      <c r="N810" s="145">
        <v>180000.0</v>
      </c>
      <c r="O810" s="146">
        <v>0.0</v>
      </c>
      <c r="P810" s="48">
        <f t="array" ref="P810">IFNA(XLOOKUP(J810,'⚙️ Pengaturan'!$E$2:$E3237,'⚙️ Pengaturan'!$F$2:$F3237),"")</f>
        <v>180000</v>
      </c>
      <c r="Q810" s="147">
        <f t="shared" si="11"/>
        <v>0</v>
      </c>
      <c r="R810" s="41" t="s">
        <v>32</v>
      </c>
      <c r="S810" s="69" t="s">
        <v>33</v>
      </c>
      <c r="T810" s="51" t="b">
        <v>1</v>
      </c>
      <c r="U810" s="94"/>
    </row>
    <row r="811" ht="30.0" customHeight="1">
      <c r="A811" s="39"/>
      <c r="B811" s="40">
        <v>2846.0</v>
      </c>
      <c r="C811" s="41" t="s">
        <v>39</v>
      </c>
      <c r="D811" s="86">
        <v>46077.0</v>
      </c>
      <c r="E811" s="43" t="str">
        <f t="shared" si="1"/>
        <v>2026</v>
      </c>
      <c r="F811" s="43" t="str">
        <f t="shared" si="2"/>
        <v>02 Feb</v>
      </c>
      <c r="G811" s="126" t="s">
        <v>195</v>
      </c>
      <c r="H811" s="45" t="s">
        <v>41</v>
      </c>
      <c r="I811" s="45" t="s">
        <v>856</v>
      </c>
      <c r="J811" s="143" t="s">
        <v>120</v>
      </c>
      <c r="K811" s="43" t="str">
        <f t="array" ref="K811">IF(J811="","", XLOOKUP(J811,'⚙️ Pengaturan'!$E$2:$E3237,'⚙️ Pengaturan'!$G$2:$G3237))</f>
        <v>KLINIK FT SESI</v>
      </c>
      <c r="L811" s="43" t="str">
        <f t="shared" si="3"/>
        <v>BARU</v>
      </c>
      <c r="M811" s="144" t="s">
        <v>31</v>
      </c>
      <c r="N811" s="145">
        <v>180000.0</v>
      </c>
      <c r="O811" s="146">
        <v>0.0</v>
      </c>
      <c r="P811" s="48">
        <f t="array" ref="P811">IFNA(XLOOKUP(J811,'⚙️ Pengaturan'!$E$2:$E3237,'⚙️ Pengaturan'!$F$2:$F3237),"")</f>
        <v>180000</v>
      </c>
      <c r="Q811" s="147">
        <f t="shared" si="11"/>
        <v>0</v>
      </c>
      <c r="R811" s="41" t="s">
        <v>32</v>
      </c>
      <c r="S811" s="69" t="s">
        <v>33</v>
      </c>
      <c r="T811" s="51" t="b">
        <v>1</v>
      </c>
      <c r="U811" s="94"/>
    </row>
    <row r="812" ht="30.0" customHeight="1">
      <c r="A812" s="39"/>
      <c r="B812" s="40">
        <v>2847.0</v>
      </c>
      <c r="C812" s="41" t="s">
        <v>39</v>
      </c>
      <c r="D812" s="86">
        <v>46077.0</v>
      </c>
      <c r="E812" s="43" t="str">
        <f t="shared" si="1"/>
        <v>2026</v>
      </c>
      <c r="F812" s="43" t="str">
        <f t="shared" si="2"/>
        <v>02 Feb</v>
      </c>
      <c r="G812" s="126" t="s">
        <v>195</v>
      </c>
      <c r="H812" s="45" t="s">
        <v>76</v>
      </c>
      <c r="I812" s="45" t="s">
        <v>785</v>
      </c>
      <c r="J812" s="143" t="s">
        <v>119</v>
      </c>
      <c r="K812" s="43" t="str">
        <f t="array" ref="K812">IF(J812="","", XLOOKUP(J812,'⚙️ Pengaturan'!$E$2:$E3237,'⚙️ Pengaturan'!$G$2:$G3237))</f>
        <v>KLINIK FT PAKET</v>
      </c>
      <c r="L812" s="43" t="str">
        <f t="shared" si="3"/>
        <v>LANJUTAN</v>
      </c>
      <c r="M812" s="144" t="s">
        <v>60</v>
      </c>
      <c r="N812" s="145">
        <v>500000.0</v>
      </c>
      <c r="O812" s="146">
        <v>0.0</v>
      </c>
      <c r="P812" s="48">
        <f t="array" ref="P812">IFNA(XLOOKUP(J812,'⚙️ Pengaturan'!$E$2:$E3237,'⚙️ Pengaturan'!$F$2:$F3237),"")</f>
        <v>750000</v>
      </c>
      <c r="Q812" s="147">
        <f t="shared" si="11"/>
        <v>-250000</v>
      </c>
      <c r="R812" s="41" t="s">
        <v>32</v>
      </c>
      <c r="S812" s="69" t="s">
        <v>33</v>
      </c>
      <c r="T812" s="51" t="b">
        <v>1</v>
      </c>
      <c r="U812" s="94"/>
    </row>
    <row r="813" ht="30.0" customHeight="1">
      <c r="A813" s="39"/>
      <c r="B813" s="40">
        <v>2848.0</v>
      </c>
      <c r="C813" s="41" t="s">
        <v>39</v>
      </c>
      <c r="D813" s="86">
        <v>46077.0</v>
      </c>
      <c r="E813" s="43" t="str">
        <f t="shared" si="1"/>
        <v>2026</v>
      </c>
      <c r="F813" s="43" t="str">
        <f t="shared" si="2"/>
        <v>02 Feb</v>
      </c>
      <c r="G813" s="126" t="s">
        <v>25</v>
      </c>
      <c r="H813" s="45" t="s">
        <v>76</v>
      </c>
      <c r="I813" s="45" t="s">
        <v>874</v>
      </c>
      <c r="J813" s="143" t="s">
        <v>28</v>
      </c>
      <c r="K813" s="43" t="str">
        <f t="array" ref="K813">IF(J813="","", XLOOKUP(J813,'⚙️ Pengaturan'!$E$2:$E3237,'⚙️ Pengaturan'!$G$2:$G3237))</f>
        <v>KLINIK FT TA</v>
      </c>
      <c r="L813" s="43" t="str">
        <f t="shared" si="3"/>
        <v>BARU</v>
      </c>
      <c r="M813" s="144" t="s">
        <v>31</v>
      </c>
      <c r="N813" s="145">
        <v>250000.0</v>
      </c>
      <c r="O813" s="146">
        <v>0.0</v>
      </c>
      <c r="P813" s="48">
        <f t="array" ref="P813">IFNA(XLOOKUP(J813,'⚙️ Pengaturan'!$E$2:$E3237,'⚙️ Pengaturan'!$F$2:$F3237),"")</f>
        <v>250000</v>
      </c>
      <c r="Q813" s="147">
        <f t="shared" si="11"/>
        <v>0</v>
      </c>
      <c r="R813" s="41" t="s">
        <v>32</v>
      </c>
      <c r="S813" s="69" t="s">
        <v>33</v>
      </c>
      <c r="T813" s="51" t="b">
        <v>1</v>
      </c>
      <c r="U813" s="94"/>
    </row>
    <row r="814" ht="30.0" customHeight="1">
      <c r="A814" s="39"/>
      <c r="B814" s="40">
        <v>2849.0</v>
      </c>
      <c r="C814" s="41" t="s">
        <v>39</v>
      </c>
      <c r="D814" s="86">
        <v>46077.0</v>
      </c>
      <c r="E814" s="43" t="str">
        <f t="shared" si="1"/>
        <v>2026</v>
      </c>
      <c r="F814" s="43" t="str">
        <f t="shared" si="2"/>
        <v>02 Feb</v>
      </c>
      <c r="G814" s="126" t="s">
        <v>206</v>
      </c>
      <c r="H814" s="45" t="s">
        <v>76</v>
      </c>
      <c r="I814" s="45" t="s">
        <v>875</v>
      </c>
      <c r="J814" s="143" t="s">
        <v>28</v>
      </c>
      <c r="K814" s="43" t="str">
        <f t="array" ref="K814">IF(J814="","", XLOOKUP(J814,'⚙️ Pengaturan'!$E$2:$E3237,'⚙️ Pengaturan'!$G$2:$G3237))</f>
        <v>KLINIK FT TA</v>
      </c>
      <c r="L814" s="43" t="str">
        <f t="shared" si="3"/>
        <v>BARU</v>
      </c>
      <c r="M814" s="144" t="s">
        <v>31</v>
      </c>
      <c r="N814" s="145">
        <v>250000.0</v>
      </c>
      <c r="O814" s="146">
        <v>0.0</v>
      </c>
      <c r="P814" s="48">
        <f t="array" ref="P814">IFNA(XLOOKUP(J814,'⚙️ Pengaturan'!$E$2:$E3237,'⚙️ Pengaturan'!$F$2:$F3237),"")</f>
        <v>250000</v>
      </c>
      <c r="Q814" s="147">
        <f t="shared" si="11"/>
        <v>0</v>
      </c>
      <c r="R814" s="41" t="s">
        <v>37</v>
      </c>
      <c r="S814" s="69" t="s">
        <v>876</v>
      </c>
      <c r="T814" s="51" t="b">
        <v>1</v>
      </c>
      <c r="U814" s="94"/>
    </row>
    <row r="815" ht="30.0" customHeight="1">
      <c r="A815" s="39"/>
      <c r="B815" s="40">
        <v>2850.0</v>
      </c>
      <c r="C815" s="41" t="s">
        <v>39</v>
      </c>
      <c r="D815" s="86">
        <v>46077.0</v>
      </c>
      <c r="E815" s="43" t="str">
        <f t="shared" si="1"/>
        <v>2026</v>
      </c>
      <c r="F815" s="43" t="str">
        <f t="shared" si="2"/>
        <v>02 Feb</v>
      </c>
      <c r="G815" s="126" t="s">
        <v>161</v>
      </c>
      <c r="H815" s="45" t="s">
        <v>76</v>
      </c>
      <c r="I815" s="45" t="s">
        <v>877</v>
      </c>
      <c r="J815" s="143" t="s">
        <v>28</v>
      </c>
      <c r="K815" s="43" t="str">
        <f t="array" ref="K815">IF(J815="","", XLOOKUP(J815,'⚙️ Pengaturan'!$E$2:$E3237,'⚙️ Pengaturan'!$G$2:$G3237))</f>
        <v>KLINIK FT TA</v>
      </c>
      <c r="L815" s="43" t="str">
        <f t="shared" si="3"/>
        <v>BARU</v>
      </c>
      <c r="M815" s="144" t="s">
        <v>31</v>
      </c>
      <c r="N815" s="145">
        <v>250000.0</v>
      </c>
      <c r="O815" s="146">
        <v>0.0</v>
      </c>
      <c r="P815" s="48">
        <f t="array" ref="P815">IFNA(XLOOKUP(J815,'⚙️ Pengaturan'!$E$2:$E3237,'⚙️ Pengaturan'!$F$2:$F3237),"")</f>
        <v>250000</v>
      </c>
      <c r="Q815" s="147">
        <f t="shared" si="11"/>
        <v>0</v>
      </c>
      <c r="R815" s="41" t="s">
        <v>32</v>
      </c>
      <c r="S815" s="69" t="s">
        <v>33</v>
      </c>
      <c r="T815" s="51" t="b">
        <v>1</v>
      </c>
      <c r="U815" s="94"/>
    </row>
    <row r="816" ht="30.0" customHeight="1">
      <c r="A816" s="39"/>
      <c r="B816" s="40">
        <v>2851.0</v>
      </c>
      <c r="C816" s="41" t="s">
        <v>39</v>
      </c>
      <c r="D816" s="86">
        <v>46077.0</v>
      </c>
      <c r="E816" s="43" t="str">
        <f t="shared" si="1"/>
        <v>2026</v>
      </c>
      <c r="F816" s="43" t="str">
        <f t="shared" si="2"/>
        <v>02 Feb</v>
      </c>
      <c r="G816" s="126" t="s">
        <v>161</v>
      </c>
      <c r="H816" s="45" t="s">
        <v>41</v>
      </c>
      <c r="I816" s="45" t="s">
        <v>878</v>
      </c>
      <c r="J816" s="143" t="s">
        <v>28</v>
      </c>
      <c r="K816" s="43" t="str">
        <f t="array" ref="K816">IF(J816="","", XLOOKUP(J816,'⚙️ Pengaturan'!$E$2:$E3237,'⚙️ Pengaturan'!$G$2:$G3237))</f>
        <v>KLINIK FT TA</v>
      </c>
      <c r="L816" s="43" t="str">
        <f t="shared" si="3"/>
        <v>BARU</v>
      </c>
      <c r="M816" s="144" t="s">
        <v>31</v>
      </c>
      <c r="N816" s="145">
        <v>250000.0</v>
      </c>
      <c r="O816" s="146">
        <v>0.0</v>
      </c>
      <c r="P816" s="48">
        <f t="array" ref="P816">IFNA(XLOOKUP(J816,'⚙️ Pengaturan'!$E$2:$E3237,'⚙️ Pengaturan'!$F$2:$F3237),"")</f>
        <v>250000</v>
      </c>
      <c r="Q816" s="147">
        <f t="shared" si="11"/>
        <v>0</v>
      </c>
      <c r="R816" s="41" t="s">
        <v>37</v>
      </c>
      <c r="S816" s="69" t="s">
        <v>879</v>
      </c>
      <c r="T816" s="51" t="b">
        <v>1</v>
      </c>
      <c r="U816" s="94"/>
    </row>
    <row r="817" ht="30.0" customHeight="1">
      <c r="A817" s="39"/>
      <c r="B817" s="40">
        <v>2852.0</v>
      </c>
      <c r="C817" s="41" t="s">
        <v>39</v>
      </c>
      <c r="D817" s="86">
        <v>46077.0</v>
      </c>
      <c r="E817" s="43" t="str">
        <f t="shared" si="1"/>
        <v>2026</v>
      </c>
      <c r="F817" s="43" t="str">
        <f t="shared" si="2"/>
        <v>02 Feb</v>
      </c>
      <c r="G817" s="126" t="s">
        <v>161</v>
      </c>
      <c r="H817" s="45" t="s">
        <v>41</v>
      </c>
      <c r="I817" s="45" t="s">
        <v>878</v>
      </c>
      <c r="J817" s="143" t="s">
        <v>119</v>
      </c>
      <c r="K817" s="43" t="str">
        <f t="array" ref="K817">IF(J817="","", XLOOKUP(J817,'⚙️ Pengaturan'!$E$2:$E3237,'⚙️ Pengaturan'!$G$2:$G3237))</f>
        <v>KLINIK FT PAKET</v>
      </c>
      <c r="L817" s="43" t="str">
        <f t="shared" si="3"/>
        <v>BARU</v>
      </c>
      <c r="M817" s="144" t="s">
        <v>31</v>
      </c>
      <c r="N817" s="145">
        <v>750000.0</v>
      </c>
      <c r="O817" s="146">
        <v>0.0</v>
      </c>
      <c r="P817" s="48">
        <f t="array" ref="P817">IFNA(XLOOKUP(J817,'⚙️ Pengaturan'!$E$2:$E3237,'⚙️ Pengaturan'!$F$2:$F3237),"")</f>
        <v>750000</v>
      </c>
      <c r="Q817" s="147">
        <f t="shared" si="11"/>
        <v>0</v>
      </c>
      <c r="R817" s="41" t="s">
        <v>37</v>
      </c>
      <c r="S817" s="69" t="s">
        <v>879</v>
      </c>
      <c r="T817" s="51" t="b">
        <v>1</v>
      </c>
      <c r="U817" s="94"/>
    </row>
    <row r="818" ht="30.0" customHeight="1">
      <c r="A818" s="39"/>
      <c r="B818" s="40">
        <v>2853.0</v>
      </c>
      <c r="C818" s="41" t="s">
        <v>50</v>
      </c>
      <c r="D818" s="86">
        <v>46077.0</v>
      </c>
      <c r="E818" s="43" t="str">
        <f t="shared" si="1"/>
        <v>2026</v>
      </c>
      <c r="F818" s="43" t="str">
        <f t="shared" si="2"/>
        <v>02 Feb</v>
      </c>
      <c r="G818" s="126" t="s">
        <v>40</v>
      </c>
      <c r="H818" s="45" t="s">
        <v>150</v>
      </c>
      <c r="I818" s="45" t="s">
        <v>269</v>
      </c>
      <c r="J818" s="143" t="s">
        <v>119</v>
      </c>
      <c r="K818" s="43" t="str">
        <f t="array" ref="K818">IF(J818="","", XLOOKUP(J818,'⚙️ Pengaturan'!$E$2:$E3237,'⚙️ Pengaturan'!$G$2:$G3237))</f>
        <v>KLINIK FT PAKET</v>
      </c>
      <c r="L818" s="43" t="str">
        <f t="shared" si="3"/>
        <v>BARU</v>
      </c>
      <c r="M818" s="144" t="s">
        <v>60</v>
      </c>
      <c r="N818" s="145">
        <v>200000.0</v>
      </c>
      <c r="O818" s="146">
        <v>0.0</v>
      </c>
      <c r="P818" s="48">
        <f t="array" ref="P818">IFNA(XLOOKUP(J818,'⚙️ Pengaturan'!$E$2:$E3237,'⚙️ Pengaturan'!$F$2:$F3237),"")</f>
        <v>750000</v>
      </c>
      <c r="Q818" s="147">
        <f t="shared" si="11"/>
        <v>-550000</v>
      </c>
      <c r="R818" s="41" t="s">
        <v>32</v>
      </c>
      <c r="S818" s="69" t="s">
        <v>33</v>
      </c>
      <c r="T818" s="51" t="b">
        <v>1</v>
      </c>
      <c r="U818" s="94"/>
    </row>
    <row r="819" ht="30.0" customHeight="1">
      <c r="A819" s="39"/>
      <c r="B819" s="40">
        <v>2854.0</v>
      </c>
      <c r="C819" s="41" t="s">
        <v>50</v>
      </c>
      <c r="D819" s="86">
        <v>46077.0</v>
      </c>
      <c r="E819" s="43" t="str">
        <f t="shared" si="1"/>
        <v>2026</v>
      </c>
      <c r="F819" s="43" t="str">
        <f t="shared" si="2"/>
        <v>02 Feb</v>
      </c>
      <c r="G819" s="126" t="s">
        <v>40</v>
      </c>
      <c r="H819" s="45" t="s">
        <v>166</v>
      </c>
      <c r="I819" s="45" t="s">
        <v>880</v>
      </c>
      <c r="J819" s="143" t="s">
        <v>28</v>
      </c>
      <c r="K819" s="43" t="str">
        <f t="array" ref="K819">IF(J819="","", XLOOKUP(J819,'⚙️ Pengaturan'!$E$2:$E3237,'⚙️ Pengaturan'!$G$2:$G3237))</f>
        <v>KLINIK FT TA</v>
      </c>
      <c r="L819" s="43" t="str">
        <f t="shared" si="3"/>
        <v>BARU</v>
      </c>
      <c r="M819" s="144" t="s">
        <v>31</v>
      </c>
      <c r="N819" s="145">
        <v>250000.0</v>
      </c>
      <c r="O819" s="146">
        <v>0.0</v>
      </c>
      <c r="P819" s="48">
        <f t="array" ref="P819">IFNA(XLOOKUP(J819,'⚙️ Pengaturan'!$E$2:$E3237,'⚙️ Pengaturan'!$F$2:$F3237),"")</f>
        <v>250000</v>
      </c>
      <c r="Q819" s="147">
        <f t="shared" si="11"/>
        <v>0</v>
      </c>
      <c r="R819" s="41" t="s">
        <v>32</v>
      </c>
      <c r="S819" s="69" t="s">
        <v>33</v>
      </c>
      <c r="T819" s="51" t="b">
        <v>1</v>
      </c>
      <c r="U819" s="94"/>
    </row>
    <row r="820" ht="30.0" customHeight="1">
      <c r="A820" s="39"/>
      <c r="B820" s="40">
        <v>2855.0</v>
      </c>
      <c r="C820" s="41" t="s">
        <v>50</v>
      </c>
      <c r="D820" s="86">
        <v>46077.0</v>
      </c>
      <c r="E820" s="43" t="str">
        <f t="shared" si="1"/>
        <v>2026</v>
      </c>
      <c r="F820" s="43" t="str">
        <f t="shared" si="2"/>
        <v>02 Feb</v>
      </c>
      <c r="G820" s="126" t="s">
        <v>43</v>
      </c>
      <c r="H820" s="45" t="s">
        <v>150</v>
      </c>
      <c r="I820" s="45" t="s">
        <v>862</v>
      </c>
      <c r="J820" s="143" t="s">
        <v>119</v>
      </c>
      <c r="K820" s="43" t="str">
        <f t="array" ref="K820">IF(J820="","", XLOOKUP(J820,'⚙️ Pengaturan'!$E$2:$E3237,'⚙️ Pengaturan'!$G$2:$G3237))</f>
        <v>KLINIK FT PAKET</v>
      </c>
      <c r="L820" s="43" t="str">
        <f t="shared" si="3"/>
        <v>BARU</v>
      </c>
      <c r="M820" s="144" t="s">
        <v>60</v>
      </c>
      <c r="N820" s="145">
        <v>200000.0</v>
      </c>
      <c r="O820" s="146">
        <v>0.0</v>
      </c>
      <c r="P820" s="48">
        <f t="array" ref="P820">IFNA(XLOOKUP(J820,'⚙️ Pengaturan'!$E$2:$E3237,'⚙️ Pengaturan'!$F$2:$F3237),"")</f>
        <v>750000</v>
      </c>
      <c r="Q820" s="147">
        <f t="shared" si="11"/>
        <v>-550000</v>
      </c>
      <c r="R820" s="41" t="s">
        <v>32</v>
      </c>
      <c r="S820" s="69" t="s">
        <v>33</v>
      </c>
      <c r="T820" s="51" t="b">
        <v>1</v>
      </c>
      <c r="U820" s="94"/>
    </row>
    <row r="821" ht="30.0" customHeight="1">
      <c r="A821" s="39"/>
      <c r="B821" s="40">
        <v>2856.0</v>
      </c>
      <c r="C821" s="41" t="s">
        <v>50</v>
      </c>
      <c r="D821" s="86">
        <v>46077.0</v>
      </c>
      <c r="E821" s="43" t="str">
        <f t="shared" si="1"/>
        <v>2026</v>
      </c>
      <c r="F821" s="43" t="str">
        <f t="shared" si="2"/>
        <v>02 Feb</v>
      </c>
      <c r="G821" s="126" t="s">
        <v>173</v>
      </c>
      <c r="H821" s="45" t="s">
        <v>166</v>
      </c>
      <c r="I821" s="45" t="s">
        <v>881</v>
      </c>
      <c r="J821" s="143" t="s">
        <v>28</v>
      </c>
      <c r="K821" s="43" t="str">
        <f t="array" ref="K821">IF(J821="","", XLOOKUP(J821,'⚙️ Pengaturan'!$E$2:$E3237,'⚙️ Pengaturan'!$G$2:$G3237))</f>
        <v>KLINIK FT TA</v>
      </c>
      <c r="L821" s="43" t="str">
        <f t="shared" si="3"/>
        <v>BARU</v>
      </c>
      <c r="M821" s="144" t="s">
        <v>31</v>
      </c>
      <c r="N821" s="145">
        <v>250000.0</v>
      </c>
      <c r="O821" s="146">
        <v>0.0</v>
      </c>
      <c r="P821" s="48">
        <f t="array" ref="P821">IFNA(XLOOKUP(J821,'⚙️ Pengaturan'!$E$2:$E3237,'⚙️ Pengaturan'!$F$2:$F3237),"")</f>
        <v>250000</v>
      </c>
      <c r="Q821" s="147">
        <f t="shared" si="11"/>
        <v>0</v>
      </c>
      <c r="R821" s="41" t="s">
        <v>37</v>
      </c>
      <c r="S821" s="69" t="s">
        <v>881</v>
      </c>
      <c r="T821" s="51" t="b">
        <v>1</v>
      </c>
      <c r="U821" s="94"/>
    </row>
    <row r="822" ht="30.0" customHeight="1">
      <c r="A822" s="39"/>
      <c r="B822" s="40">
        <v>2857.0</v>
      </c>
      <c r="C822" s="41" t="s">
        <v>50</v>
      </c>
      <c r="D822" s="86">
        <v>46077.0</v>
      </c>
      <c r="E822" s="43" t="str">
        <f t="shared" si="1"/>
        <v>2026</v>
      </c>
      <c r="F822" s="43" t="str">
        <f t="shared" si="2"/>
        <v>02 Feb</v>
      </c>
      <c r="G822" s="126" t="s">
        <v>173</v>
      </c>
      <c r="H822" s="45" t="s">
        <v>26</v>
      </c>
      <c r="I822" s="45" t="s">
        <v>865</v>
      </c>
      <c r="J822" s="143" t="s">
        <v>120</v>
      </c>
      <c r="K822" s="43" t="str">
        <f t="array" ref="K822">IF(J822="","", XLOOKUP(J822,'⚙️ Pengaturan'!$E$2:$E3237,'⚙️ Pengaturan'!$G$2:$G3237))</f>
        <v>KLINIK FT SESI</v>
      </c>
      <c r="L822" s="43" t="str">
        <f t="shared" si="3"/>
        <v>BARU</v>
      </c>
      <c r="M822" s="144" t="s">
        <v>31</v>
      </c>
      <c r="N822" s="145">
        <v>180000.0</v>
      </c>
      <c r="O822" s="146">
        <v>0.0</v>
      </c>
      <c r="P822" s="48">
        <f t="array" ref="P822">IFNA(XLOOKUP(J822,'⚙️ Pengaturan'!$E$2:$E3237,'⚙️ Pengaturan'!$F$2:$F3237),"")</f>
        <v>180000</v>
      </c>
      <c r="Q822" s="147">
        <f t="shared" si="11"/>
        <v>0</v>
      </c>
      <c r="R822" s="41" t="s">
        <v>37</v>
      </c>
      <c r="S822" s="69" t="s">
        <v>865</v>
      </c>
      <c r="T822" s="51" t="b">
        <v>1</v>
      </c>
      <c r="U822" s="94"/>
    </row>
    <row r="823" ht="30.0" customHeight="1">
      <c r="A823" s="39"/>
      <c r="B823" s="40">
        <v>2858.0</v>
      </c>
      <c r="C823" s="41" t="s">
        <v>50</v>
      </c>
      <c r="D823" s="86">
        <v>46077.0</v>
      </c>
      <c r="E823" s="43" t="str">
        <f t="shared" si="1"/>
        <v>2026</v>
      </c>
      <c r="F823" s="43" t="str">
        <f t="shared" si="2"/>
        <v>02 Feb</v>
      </c>
      <c r="G823" s="126" t="s">
        <v>69</v>
      </c>
      <c r="H823" s="45" t="s">
        <v>96</v>
      </c>
      <c r="I823" s="45" t="s">
        <v>882</v>
      </c>
      <c r="J823" s="143" t="s">
        <v>121</v>
      </c>
      <c r="K823" s="43" t="str">
        <f t="array" ref="K823">IF(J823="","", XLOOKUP(J823,'⚙️ Pengaturan'!$E$2:$E3237,'⚙️ Pengaturan'!$G$2:$G3237))</f>
        <v>VISIT FT TA</v>
      </c>
      <c r="L823" s="43" t="str">
        <f t="shared" si="3"/>
        <v>BARU</v>
      </c>
      <c r="M823" s="144" t="s">
        <v>31</v>
      </c>
      <c r="N823" s="145">
        <v>300000.0</v>
      </c>
      <c r="O823" s="146">
        <v>0.0</v>
      </c>
      <c r="P823" s="48">
        <f t="array" ref="P823">IFNA(XLOOKUP(J823,'⚙️ Pengaturan'!$E$2:$E3237,'⚙️ Pengaturan'!$F$2:$F3237),"")</f>
        <v>300000</v>
      </c>
      <c r="Q823" s="147">
        <f t="shared" si="11"/>
        <v>0</v>
      </c>
      <c r="R823" s="41" t="s">
        <v>37</v>
      </c>
      <c r="S823" s="69" t="s">
        <v>883</v>
      </c>
      <c r="T823" s="51" t="b">
        <v>1</v>
      </c>
      <c r="U823" s="94"/>
    </row>
    <row r="824" ht="30.0" customHeight="1">
      <c r="A824" s="39"/>
      <c r="B824" s="40">
        <v>2859.0</v>
      </c>
      <c r="C824" s="41" t="s">
        <v>50</v>
      </c>
      <c r="D824" s="86">
        <v>46077.0</v>
      </c>
      <c r="E824" s="43" t="str">
        <f t="shared" si="1"/>
        <v>2026</v>
      </c>
      <c r="F824" s="43" t="str">
        <f t="shared" si="2"/>
        <v>02 Feb</v>
      </c>
      <c r="G824" s="126" t="s">
        <v>190</v>
      </c>
      <c r="H824" s="45" t="s">
        <v>162</v>
      </c>
      <c r="I824" s="45" t="s">
        <v>884</v>
      </c>
      <c r="J824" s="143" t="s">
        <v>28</v>
      </c>
      <c r="K824" s="43" t="str">
        <f t="array" ref="K824">IF(J824="","", XLOOKUP(J824,'⚙️ Pengaturan'!$E$2:$E3237,'⚙️ Pengaturan'!$G$2:$G3237))</f>
        <v>KLINIK FT TA</v>
      </c>
      <c r="L824" s="43" t="str">
        <f t="shared" si="3"/>
        <v>BARU</v>
      </c>
      <c r="M824" s="144" t="s">
        <v>31</v>
      </c>
      <c r="N824" s="145">
        <v>250000.0</v>
      </c>
      <c r="O824" s="146">
        <v>0.0</v>
      </c>
      <c r="P824" s="48">
        <f t="array" ref="P824">IFNA(XLOOKUP(J824,'⚙️ Pengaturan'!$E$2:$E3237,'⚙️ Pengaturan'!$F$2:$F3237),"")</f>
        <v>250000</v>
      </c>
      <c r="Q824" s="147">
        <f t="shared" si="11"/>
        <v>0</v>
      </c>
      <c r="R824" s="41" t="s">
        <v>32</v>
      </c>
      <c r="S824" s="69" t="s">
        <v>33</v>
      </c>
      <c r="T824" s="51" t="b">
        <v>1</v>
      </c>
      <c r="U824" s="94"/>
    </row>
    <row r="825" ht="30.0" customHeight="1">
      <c r="A825" s="39"/>
      <c r="B825" s="40">
        <v>2860.0</v>
      </c>
      <c r="C825" s="41" t="s">
        <v>50</v>
      </c>
      <c r="D825" s="86">
        <v>46077.0</v>
      </c>
      <c r="E825" s="43" t="str">
        <f t="shared" si="1"/>
        <v>2026</v>
      </c>
      <c r="F825" s="43" t="str">
        <f t="shared" si="2"/>
        <v>02 Feb</v>
      </c>
      <c r="G825" s="126" t="s">
        <v>190</v>
      </c>
      <c r="H825" s="45" t="s">
        <v>166</v>
      </c>
      <c r="I825" s="45" t="s">
        <v>885</v>
      </c>
      <c r="J825" s="143" t="s">
        <v>28</v>
      </c>
      <c r="K825" s="43" t="str">
        <f t="array" ref="K825">IF(J825="","", XLOOKUP(J825,'⚙️ Pengaturan'!$E$2:$E3237,'⚙️ Pengaturan'!$G$2:$G3237))</f>
        <v>KLINIK FT TA</v>
      </c>
      <c r="L825" s="43" t="str">
        <f t="shared" si="3"/>
        <v>BARU</v>
      </c>
      <c r="M825" s="144" t="s">
        <v>31</v>
      </c>
      <c r="N825" s="145">
        <v>250000.0</v>
      </c>
      <c r="O825" s="146">
        <v>0.0</v>
      </c>
      <c r="P825" s="48">
        <f t="array" ref="P825">IFNA(XLOOKUP(J825,'⚙️ Pengaturan'!$E$2:$E3237,'⚙️ Pengaturan'!$F$2:$F3237),"")</f>
        <v>250000</v>
      </c>
      <c r="Q825" s="147">
        <f t="shared" si="11"/>
        <v>0</v>
      </c>
      <c r="R825" s="41" t="s">
        <v>37</v>
      </c>
      <c r="S825" s="69" t="s">
        <v>779</v>
      </c>
      <c r="T825" s="51" t="b">
        <v>1</v>
      </c>
      <c r="U825" s="94"/>
    </row>
    <row r="826" ht="30.0" customHeight="1">
      <c r="A826" s="39"/>
      <c r="B826" s="40">
        <v>2861.0</v>
      </c>
      <c r="C826" s="41" t="s">
        <v>50</v>
      </c>
      <c r="D826" s="86">
        <v>46078.0</v>
      </c>
      <c r="E826" s="43" t="str">
        <f t="shared" si="1"/>
        <v>2026</v>
      </c>
      <c r="F826" s="43" t="str">
        <f t="shared" si="2"/>
        <v>02 Feb</v>
      </c>
      <c r="G826" s="126" t="s">
        <v>69</v>
      </c>
      <c r="H826" s="45" t="s">
        <v>96</v>
      </c>
      <c r="I826" s="45" t="s">
        <v>886</v>
      </c>
      <c r="J826" s="143" t="s">
        <v>291</v>
      </c>
      <c r="K826" s="43" t="str">
        <f t="array" ref="K826">IF(J826="","", XLOOKUP(J826,'⚙️ Pengaturan'!$E$2:$E3237,'⚙️ Pengaturan'!$G$2:$G3237))</f>
        <v>VISIT FT TA</v>
      </c>
      <c r="L826" s="43" t="str">
        <f t="shared" si="3"/>
        <v>BARU</v>
      </c>
      <c r="M826" s="144" t="s">
        <v>31</v>
      </c>
      <c r="N826" s="145">
        <v>350000.0</v>
      </c>
      <c r="O826" s="146">
        <v>0.0</v>
      </c>
      <c r="P826" s="48">
        <f t="array" ref="P826">IFNA(XLOOKUP(J826,'⚙️ Pengaturan'!$E$2:$E3237,'⚙️ Pengaturan'!$F$2:$F3237),"")</f>
        <v>350000</v>
      </c>
      <c r="Q826" s="147">
        <f t="shared" si="11"/>
        <v>0</v>
      </c>
      <c r="R826" s="41" t="s">
        <v>32</v>
      </c>
      <c r="S826" s="69" t="s">
        <v>33</v>
      </c>
      <c r="T826" s="51" t="b">
        <v>1</v>
      </c>
      <c r="U826" s="94"/>
    </row>
    <row r="827" ht="30.0" customHeight="1">
      <c r="A827" s="39"/>
      <c r="B827" s="40">
        <v>2862.0</v>
      </c>
      <c r="C827" s="41" t="s">
        <v>50</v>
      </c>
      <c r="D827" s="86">
        <v>46077.0</v>
      </c>
      <c r="E827" s="43" t="str">
        <f t="shared" si="1"/>
        <v>2026</v>
      </c>
      <c r="F827" s="43" t="str">
        <f t="shared" si="2"/>
        <v>02 Feb</v>
      </c>
      <c r="G827" s="126" t="s">
        <v>190</v>
      </c>
      <c r="H827" s="45" t="s">
        <v>166</v>
      </c>
      <c r="I827" s="45" t="s">
        <v>885</v>
      </c>
      <c r="J827" s="143" t="s">
        <v>347</v>
      </c>
      <c r="K827" s="43" t="str">
        <f t="array" ref="K827">IF(J827="","", XLOOKUP(J827,'⚙️ Pengaturan'!$E$2:$E3237,'⚙️ Pengaturan'!$G$2:$G3237))</f>
        <v>KLINIK FT PAKET</v>
      </c>
      <c r="L827" s="43" t="str">
        <f t="shared" si="3"/>
        <v>BARU</v>
      </c>
      <c r="M827" s="144" t="s">
        <v>31</v>
      </c>
      <c r="N827" s="145">
        <v>1300000.0</v>
      </c>
      <c r="O827" s="146">
        <v>0.0</v>
      </c>
      <c r="P827" s="48">
        <f t="array" ref="P827">IFNA(XLOOKUP(J827,'⚙️ Pengaturan'!$E$2:$E3237,'⚙️ Pengaturan'!$F$2:$F3237),"")</f>
        <v>1300000</v>
      </c>
      <c r="Q827" s="147">
        <f t="shared" si="11"/>
        <v>0</v>
      </c>
      <c r="R827" s="41" t="s">
        <v>37</v>
      </c>
      <c r="S827" s="69" t="s">
        <v>779</v>
      </c>
      <c r="T827" s="51" t="b">
        <v>1</v>
      </c>
      <c r="U827" s="94"/>
    </row>
    <row r="828" ht="30.0" customHeight="1">
      <c r="A828" s="39"/>
      <c r="B828" s="40">
        <v>2863.0</v>
      </c>
      <c r="C828" s="41" t="s">
        <v>50</v>
      </c>
      <c r="D828" s="86">
        <v>46076.0</v>
      </c>
      <c r="E828" s="43" t="str">
        <f t="shared" si="1"/>
        <v>2026</v>
      </c>
      <c r="F828" s="43" t="str">
        <f t="shared" si="2"/>
        <v>02 Feb</v>
      </c>
      <c r="G828" s="126" t="s">
        <v>69</v>
      </c>
      <c r="H828" s="45" t="s">
        <v>26</v>
      </c>
      <c r="I828" s="45" t="s">
        <v>887</v>
      </c>
      <c r="J828" s="143" t="s">
        <v>121</v>
      </c>
      <c r="K828" s="43" t="str">
        <f t="array" ref="K828">IF(J828="","", XLOOKUP(J828,'⚙️ Pengaturan'!$E$2:$E3237,'⚙️ Pengaturan'!$G$2:$G3237))</f>
        <v>VISIT FT TA</v>
      </c>
      <c r="L828" s="43" t="str">
        <f t="shared" si="3"/>
        <v>BARU</v>
      </c>
      <c r="M828" s="144" t="s">
        <v>31</v>
      </c>
      <c r="N828" s="145">
        <v>300000.0</v>
      </c>
      <c r="O828" s="146">
        <v>0.0</v>
      </c>
      <c r="P828" s="48">
        <f t="array" ref="P828">IFNA(XLOOKUP(J828,'⚙️ Pengaturan'!$E$2:$E3237,'⚙️ Pengaturan'!$F$2:$F3237),"")</f>
        <v>300000</v>
      </c>
      <c r="Q828" s="147">
        <f t="shared" si="11"/>
        <v>0</v>
      </c>
      <c r="R828" s="41" t="s">
        <v>37</v>
      </c>
      <c r="S828" s="69" t="s">
        <v>887</v>
      </c>
      <c r="T828" s="51" t="b">
        <v>1</v>
      </c>
      <c r="U828" s="94"/>
    </row>
    <row r="829" ht="30.0" customHeight="1">
      <c r="A829" s="39"/>
      <c r="B829" s="40">
        <v>2864.0</v>
      </c>
      <c r="C829" s="41" t="s">
        <v>50</v>
      </c>
      <c r="D829" s="86">
        <v>46078.0</v>
      </c>
      <c r="E829" s="43" t="str">
        <f t="shared" si="1"/>
        <v>2026</v>
      </c>
      <c r="F829" s="43" t="str">
        <f t="shared" si="2"/>
        <v>02 Feb</v>
      </c>
      <c r="G829" s="126" t="s">
        <v>195</v>
      </c>
      <c r="H829" s="45" t="s">
        <v>76</v>
      </c>
      <c r="I829" s="45" t="s">
        <v>888</v>
      </c>
      <c r="J829" s="143" t="s">
        <v>28</v>
      </c>
      <c r="K829" s="43" t="str">
        <f t="array" ref="K829">IF(J829="","", XLOOKUP(J829,'⚙️ Pengaturan'!$E$2:$E3237,'⚙️ Pengaturan'!$G$2:$G3237))</f>
        <v>KLINIK FT TA</v>
      </c>
      <c r="L829" s="43" t="str">
        <f t="shared" si="3"/>
        <v>BARU</v>
      </c>
      <c r="M829" s="144" t="s">
        <v>31</v>
      </c>
      <c r="N829" s="145">
        <v>250000.0</v>
      </c>
      <c r="O829" s="146">
        <v>0.0</v>
      </c>
      <c r="P829" s="48">
        <f t="array" ref="P829">IFNA(XLOOKUP(J829,'⚙️ Pengaturan'!$E$2:$E3237,'⚙️ Pengaturan'!$F$2:$F3237),"")</f>
        <v>250000</v>
      </c>
      <c r="Q829" s="147">
        <f t="shared" si="11"/>
        <v>0</v>
      </c>
      <c r="R829" s="41" t="s">
        <v>37</v>
      </c>
      <c r="S829" s="69" t="s">
        <v>888</v>
      </c>
      <c r="T829" s="51" t="b">
        <v>1</v>
      </c>
      <c r="U829" s="94"/>
    </row>
    <row r="830" ht="30.0" customHeight="1">
      <c r="A830" s="39"/>
      <c r="B830" s="40">
        <v>2865.0</v>
      </c>
      <c r="C830" s="41" t="s">
        <v>50</v>
      </c>
      <c r="D830" s="86">
        <v>46063.0</v>
      </c>
      <c r="E830" s="43" t="str">
        <f t="shared" si="1"/>
        <v>2026</v>
      </c>
      <c r="F830" s="43" t="str">
        <f t="shared" si="2"/>
        <v>02 Feb</v>
      </c>
      <c r="G830" s="126" t="s">
        <v>69</v>
      </c>
      <c r="H830" s="45" t="s">
        <v>149</v>
      </c>
      <c r="I830" s="45" t="s">
        <v>889</v>
      </c>
      <c r="J830" s="143" t="s">
        <v>138</v>
      </c>
      <c r="K830" s="43" t="str">
        <f t="array" ref="K830">IF(J830="","", XLOOKUP(J830,'⚙️ Pengaturan'!$E$2:$E3237,'⚙️ Pengaturan'!$G$2:$G3237))</f>
        <v>VISIT FT PAKET</v>
      </c>
      <c r="L830" s="43" t="str">
        <f t="shared" si="3"/>
        <v>BARU</v>
      </c>
      <c r="M830" s="144" t="s">
        <v>31</v>
      </c>
      <c r="N830" s="145">
        <v>1800000.0</v>
      </c>
      <c r="O830" s="146">
        <v>0.0</v>
      </c>
      <c r="P830" s="48">
        <f t="array" ref="P830">IFNA(XLOOKUP(J830,'⚙️ Pengaturan'!$E$2:$E3237,'⚙️ Pengaturan'!$F$2:$F3237),"")</f>
        <v>1800000</v>
      </c>
      <c r="Q830" s="147">
        <f t="shared" si="11"/>
        <v>0</v>
      </c>
      <c r="R830" s="41" t="s">
        <v>37</v>
      </c>
      <c r="S830" s="69" t="s">
        <v>889</v>
      </c>
      <c r="T830" s="51" t="b">
        <v>1</v>
      </c>
      <c r="U830" s="94"/>
    </row>
    <row r="831" ht="30.0" customHeight="1">
      <c r="A831" s="39"/>
      <c r="B831" s="40">
        <v>2866.0</v>
      </c>
      <c r="C831" s="41" t="s">
        <v>50</v>
      </c>
      <c r="D831" s="86">
        <v>46078.0</v>
      </c>
      <c r="E831" s="43" t="str">
        <f t="shared" si="1"/>
        <v>2026</v>
      </c>
      <c r="F831" s="43" t="str">
        <f t="shared" si="2"/>
        <v>02 Feb</v>
      </c>
      <c r="G831" s="126" t="s">
        <v>25</v>
      </c>
      <c r="H831" s="45" t="s">
        <v>76</v>
      </c>
      <c r="I831" s="45" t="s">
        <v>890</v>
      </c>
      <c r="J831" s="143" t="s">
        <v>28</v>
      </c>
      <c r="K831" s="43" t="str">
        <f t="array" ref="K831">IF(J831="","", XLOOKUP(J831,'⚙️ Pengaturan'!$E$2:$E3237,'⚙️ Pengaturan'!$G$2:$G3237))</f>
        <v>KLINIK FT TA</v>
      </c>
      <c r="L831" s="43" t="str">
        <f t="shared" si="3"/>
        <v>BARU</v>
      </c>
      <c r="M831" s="144" t="s">
        <v>31</v>
      </c>
      <c r="N831" s="145">
        <v>250000.0</v>
      </c>
      <c r="O831" s="146">
        <v>0.0</v>
      </c>
      <c r="P831" s="48">
        <f t="array" ref="P831">IFNA(XLOOKUP(J831,'⚙️ Pengaturan'!$E$2:$E3237,'⚙️ Pengaturan'!$F$2:$F3237),"")</f>
        <v>250000</v>
      </c>
      <c r="Q831" s="147">
        <f t="shared" si="11"/>
        <v>0</v>
      </c>
      <c r="R831" s="41" t="s">
        <v>32</v>
      </c>
      <c r="S831" s="69" t="s">
        <v>33</v>
      </c>
      <c r="T831" s="51" t="b">
        <v>1</v>
      </c>
      <c r="U831" s="94"/>
    </row>
    <row r="832" ht="30.0" customHeight="1">
      <c r="A832" s="39"/>
      <c r="B832" s="40">
        <v>2867.0</v>
      </c>
      <c r="C832" s="41" t="s">
        <v>50</v>
      </c>
      <c r="D832" s="86">
        <v>46064.0</v>
      </c>
      <c r="E832" s="43" t="str">
        <f t="shared" si="1"/>
        <v>2026</v>
      </c>
      <c r="F832" s="43" t="str">
        <f t="shared" si="2"/>
        <v>02 Feb</v>
      </c>
      <c r="G832" s="126" t="s">
        <v>69</v>
      </c>
      <c r="H832" s="45" t="s">
        <v>41</v>
      </c>
      <c r="I832" s="45" t="s">
        <v>805</v>
      </c>
      <c r="J832" s="143" t="s">
        <v>291</v>
      </c>
      <c r="K832" s="43" t="str">
        <f t="array" ref="K832">IF(J832="","", XLOOKUP(J832,'⚙️ Pengaturan'!$E$2:$E3237,'⚙️ Pengaturan'!$G$2:$G3237))</f>
        <v>VISIT FT TA</v>
      </c>
      <c r="L832" s="43" t="str">
        <f t="shared" si="3"/>
        <v>BARU</v>
      </c>
      <c r="M832" s="144" t="s">
        <v>31</v>
      </c>
      <c r="N832" s="145">
        <v>350000.0</v>
      </c>
      <c r="O832" s="146">
        <v>0.0</v>
      </c>
      <c r="P832" s="48">
        <f t="array" ref="P832">IFNA(XLOOKUP(J832,'⚙️ Pengaturan'!$E$2:$E3237,'⚙️ Pengaturan'!$F$2:$F3237),"")</f>
        <v>350000</v>
      </c>
      <c r="Q832" s="147">
        <f t="shared" si="11"/>
        <v>0</v>
      </c>
      <c r="R832" s="41" t="s">
        <v>37</v>
      </c>
      <c r="S832" s="69" t="s">
        <v>806</v>
      </c>
      <c r="T832" s="51" t="b">
        <v>1</v>
      </c>
      <c r="U832" s="94"/>
    </row>
    <row r="833" ht="30.0" customHeight="1">
      <c r="A833" s="39"/>
      <c r="B833" s="40">
        <v>2868.0</v>
      </c>
      <c r="C833" s="41" t="s">
        <v>50</v>
      </c>
      <c r="D833" s="86">
        <v>46078.0</v>
      </c>
      <c r="E833" s="43" t="str">
        <f t="shared" si="1"/>
        <v>2026</v>
      </c>
      <c r="F833" s="43" t="str">
        <f t="shared" si="2"/>
        <v>02 Feb</v>
      </c>
      <c r="G833" s="126" t="s">
        <v>69</v>
      </c>
      <c r="H833" s="45" t="s">
        <v>41</v>
      </c>
      <c r="I833" s="45" t="s">
        <v>891</v>
      </c>
      <c r="J833" s="143" t="s">
        <v>121</v>
      </c>
      <c r="K833" s="43" t="str">
        <f t="array" ref="K833">IF(J833="","", XLOOKUP(J833,'⚙️ Pengaturan'!$E$2:$E3237,'⚙️ Pengaturan'!$G$2:$G3237))</f>
        <v>VISIT FT TA</v>
      </c>
      <c r="L833" s="43" t="str">
        <f t="shared" si="3"/>
        <v>BARU</v>
      </c>
      <c r="M833" s="144" t="s">
        <v>31</v>
      </c>
      <c r="N833" s="145">
        <v>300000.0</v>
      </c>
      <c r="O833" s="146">
        <v>0.0</v>
      </c>
      <c r="P833" s="48">
        <f t="array" ref="P833">IFNA(XLOOKUP(J833,'⚙️ Pengaturan'!$E$2:$E3237,'⚙️ Pengaturan'!$F$2:$F3237),"")</f>
        <v>300000</v>
      </c>
      <c r="Q833" s="147">
        <f t="shared" si="11"/>
        <v>0</v>
      </c>
      <c r="R833" s="41" t="s">
        <v>118</v>
      </c>
      <c r="S833" s="69" t="s">
        <v>892</v>
      </c>
      <c r="T833" s="51" t="b">
        <v>1</v>
      </c>
      <c r="U833" s="94"/>
    </row>
    <row r="834" ht="30.0" customHeight="1">
      <c r="A834" s="39"/>
      <c r="B834" s="40">
        <v>2869.0</v>
      </c>
      <c r="C834" s="41" t="s">
        <v>50</v>
      </c>
      <c r="D834" s="86">
        <v>46078.0</v>
      </c>
      <c r="E834" s="43" t="str">
        <f t="shared" si="1"/>
        <v>2026</v>
      </c>
      <c r="F834" s="43" t="str">
        <f t="shared" si="2"/>
        <v>02 Feb</v>
      </c>
      <c r="G834" s="126" t="s">
        <v>69</v>
      </c>
      <c r="H834" s="45" t="s">
        <v>41</v>
      </c>
      <c r="I834" s="45" t="s">
        <v>891</v>
      </c>
      <c r="J834" s="143" t="s">
        <v>138</v>
      </c>
      <c r="K834" s="43" t="str">
        <f t="array" ref="K834">IF(J834="","", XLOOKUP(J834,'⚙️ Pengaturan'!$E$2:$E3237,'⚙️ Pengaturan'!$G$2:$G3237))</f>
        <v>VISIT FT PAKET</v>
      </c>
      <c r="L834" s="43" t="str">
        <f t="shared" si="3"/>
        <v>BARU</v>
      </c>
      <c r="M834" s="144" t="s">
        <v>31</v>
      </c>
      <c r="N834" s="145">
        <v>1800000.0</v>
      </c>
      <c r="O834" s="146">
        <v>0.0</v>
      </c>
      <c r="P834" s="48">
        <f t="array" ref="P834">IFNA(XLOOKUP(J834,'⚙️ Pengaturan'!$E$2:$E3237,'⚙️ Pengaturan'!$F$2:$F3237),"")</f>
        <v>1800000</v>
      </c>
      <c r="Q834" s="147">
        <f t="shared" si="11"/>
        <v>0</v>
      </c>
      <c r="R834" s="41" t="s">
        <v>118</v>
      </c>
      <c r="S834" s="69" t="s">
        <v>892</v>
      </c>
      <c r="T834" s="51" t="b">
        <v>1</v>
      </c>
      <c r="U834" s="94"/>
    </row>
    <row r="835" ht="30.0" customHeight="1">
      <c r="A835" s="39"/>
      <c r="B835" s="40">
        <v>2870.0</v>
      </c>
      <c r="C835" s="41" t="s">
        <v>50</v>
      </c>
      <c r="D835" s="86">
        <v>46078.0</v>
      </c>
      <c r="E835" s="43" t="str">
        <f t="shared" si="1"/>
        <v>2026</v>
      </c>
      <c r="F835" s="43" t="str">
        <f t="shared" si="2"/>
        <v>02 Feb</v>
      </c>
      <c r="G835" s="126" t="s">
        <v>206</v>
      </c>
      <c r="H835" s="45" t="s">
        <v>76</v>
      </c>
      <c r="I835" s="45" t="s">
        <v>699</v>
      </c>
      <c r="J835" s="143" t="s">
        <v>120</v>
      </c>
      <c r="K835" s="43" t="str">
        <f t="array" ref="K835">IF(J835="","", XLOOKUP(J835,'⚙️ Pengaturan'!$E$2:$E3237,'⚙️ Pengaturan'!$G$2:$G3237))</f>
        <v>KLINIK FT SESI</v>
      </c>
      <c r="L835" s="43" t="str">
        <f t="shared" si="3"/>
        <v>BARU</v>
      </c>
      <c r="M835" s="144" t="s">
        <v>31</v>
      </c>
      <c r="N835" s="145">
        <v>180000.0</v>
      </c>
      <c r="O835" s="146">
        <v>0.0</v>
      </c>
      <c r="P835" s="48">
        <f t="array" ref="P835">IFNA(XLOOKUP(J835,'⚙️ Pengaturan'!$E$2:$E3237,'⚙️ Pengaturan'!$F$2:$F3237),"")</f>
        <v>180000</v>
      </c>
      <c r="Q835" s="147">
        <f t="shared" si="11"/>
        <v>0</v>
      </c>
      <c r="R835" s="41" t="s">
        <v>37</v>
      </c>
      <c r="S835" s="69" t="s">
        <v>699</v>
      </c>
      <c r="T835" s="51" t="b">
        <v>1</v>
      </c>
      <c r="U835" s="94"/>
    </row>
    <row r="836" ht="30.0" customHeight="1">
      <c r="A836" s="39"/>
      <c r="B836" s="40">
        <v>2871.0</v>
      </c>
      <c r="C836" s="41" t="s">
        <v>50</v>
      </c>
      <c r="D836" s="86">
        <v>46078.0</v>
      </c>
      <c r="E836" s="43" t="str">
        <f t="shared" si="1"/>
        <v>2026</v>
      </c>
      <c r="F836" s="43" t="str">
        <f t="shared" si="2"/>
        <v>02 Feb</v>
      </c>
      <c r="G836" s="126" t="s">
        <v>206</v>
      </c>
      <c r="H836" s="45" t="s">
        <v>96</v>
      </c>
      <c r="I836" s="45" t="s">
        <v>893</v>
      </c>
      <c r="J836" s="143" t="s">
        <v>28</v>
      </c>
      <c r="K836" s="43" t="str">
        <f t="array" ref="K836">IF(J836="","", XLOOKUP(J836,'⚙️ Pengaturan'!$E$2:$E3237,'⚙️ Pengaturan'!$G$2:$G3237))</f>
        <v>KLINIK FT TA</v>
      </c>
      <c r="L836" s="43" t="str">
        <f t="shared" si="3"/>
        <v>BARU</v>
      </c>
      <c r="M836" s="144" t="s">
        <v>31</v>
      </c>
      <c r="N836" s="145">
        <v>250000.0</v>
      </c>
      <c r="O836" s="146">
        <v>0.0</v>
      </c>
      <c r="P836" s="48">
        <f t="array" ref="P836">IFNA(XLOOKUP(J836,'⚙️ Pengaturan'!$E$2:$E3237,'⚙️ Pengaturan'!$F$2:$F3237),"")</f>
        <v>250000</v>
      </c>
      <c r="Q836" s="147">
        <f t="shared" si="11"/>
        <v>0</v>
      </c>
      <c r="R836" s="41" t="s">
        <v>37</v>
      </c>
      <c r="S836" s="69" t="s">
        <v>699</v>
      </c>
      <c r="T836" s="51" t="b">
        <v>1</v>
      </c>
      <c r="U836" s="94"/>
    </row>
    <row r="837" ht="30.0" customHeight="1">
      <c r="A837" s="39"/>
      <c r="B837" s="40">
        <v>2872.0</v>
      </c>
      <c r="C837" s="41" t="s">
        <v>50</v>
      </c>
      <c r="D837" s="86">
        <v>46053.0</v>
      </c>
      <c r="E837" s="43" t="str">
        <f t="shared" si="1"/>
        <v>2026</v>
      </c>
      <c r="F837" s="43" t="str">
        <f t="shared" si="2"/>
        <v>01 Jan</v>
      </c>
      <c r="G837" s="126" t="s">
        <v>69</v>
      </c>
      <c r="H837" s="45" t="s">
        <v>166</v>
      </c>
      <c r="I837" s="45" t="s">
        <v>648</v>
      </c>
      <c r="J837" s="143" t="s">
        <v>364</v>
      </c>
      <c r="K837" s="43" t="str">
        <f t="array" ref="K837">IF(J837="","", XLOOKUP(J837,'⚙️ Pengaturan'!$E$2:$E3237,'⚙️ Pengaturan'!$G$2:$G3237))</f>
        <v>VISIT FT PAKET</v>
      </c>
      <c r="L837" s="43" t="str">
        <f t="shared" si="3"/>
        <v>BARU</v>
      </c>
      <c r="M837" s="144" t="s">
        <v>31</v>
      </c>
      <c r="N837" s="145">
        <v>2300000.0</v>
      </c>
      <c r="O837" s="146">
        <v>0.0</v>
      </c>
      <c r="P837" s="48">
        <f t="array" ref="P837">IFNA(XLOOKUP(J837,'⚙️ Pengaturan'!$E$2:$E3237,'⚙️ Pengaturan'!$F$2:$F3237),"")</f>
        <v>2300000</v>
      </c>
      <c r="Q837" s="147">
        <f t="shared" si="11"/>
        <v>0</v>
      </c>
      <c r="R837" s="41" t="s">
        <v>37</v>
      </c>
      <c r="S837" s="69" t="s">
        <v>649</v>
      </c>
      <c r="T837" s="51" t="b">
        <v>1</v>
      </c>
      <c r="U837" s="94"/>
    </row>
    <row r="838" ht="30.0" customHeight="1">
      <c r="A838" s="39"/>
      <c r="B838" s="40">
        <v>2873.0</v>
      </c>
      <c r="C838" s="41" t="s">
        <v>50</v>
      </c>
      <c r="D838" s="86">
        <v>46078.0</v>
      </c>
      <c r="E838" s="43" t="str">
        <f t="shared" si="1"/>
        <v>2026</v>
      </c>
      <c r="F838" s="43" t="str">
        <f t="shared" si="2"/>
        <v>02 Feb</v>
      </c>
      <c r="G838" s="126" t="s">
        <v>69</v>
      </c>
      <c r="H838" s="45" t="s">
        <v>166</v>
      </c>
      <c r="I838" s="45" t="s">
        <v>648</v>
      </c>
      <c r="J838" s="143" t="s">
        <v>364</v>
      </c>
      <c r="K838" s="43" t="str">
        <f t="array" ref="K838">IF(J838="","", XLOOKUP(J838,'⚙️ Pengaturan'!$E$2:$E3237,'⚙️ Pengaturan'!$G$2:$G3237))</f>
        <v>VISIT FT PAKET</v>
      </c>
      <c r="L838" s="43" t="str">
        <f t="shared" si="3"/>
        <v>LANJUTAN</v>
      </c>
      <c r="M838" s="144" t="s">
        <v>31</v>
      </c>
      <c r="N838" s="145">
        <v>2300000.0</v>
      </c>
      <c r="O838" s="146">
        <v>0.0</v>
      </c>
      <c r="P838" s="48">
        <f t="array" ref="P838">IFNA(XLOOKUP(J838,'⚙️ Pengaturan'!$E$2:$E3237,'⚙️ Pengaturan'!$F$2:$F3237),"")</f>
        <v>2300000</v>
      </c>
      <c r="Q838" s="147">
        <f t="shared" si="11"/>
        <v>0</v>
      </c>
      <c r="R838" s="41" t="s">
        <v>37</v>
      </c>
      <c r="S838" s="69" t="s">
        <v>649</v>
      </c>
      <c r="T838" s="51" t="b">
        <v>1</v>
      </c>
      <c r="U838" s="94"/>
    </row>
    <row r="839" ht="30.0" customHeight="1">
      <c r="A839" s="39"/>
      <c r="B839" s="40">
        <v>2874.0</v>
      </c>
      <c r="C839" s="41" t="s">
        <v>50</v>
      </c>
      <c r="D839" s="86">
        <v>46078.0</v>
      </c>
      <c r="E839" s="43" t="str">
        <f t="shared" si="1"/>
        <v>2026</v>
      </c>
      <c r="F839" s="43" t="str">
        <f t="shared" si="2"/>
        <v>02 Feb</v>
      </c>
      <c r="G839" s="126" t="s">
        <v>69</v>
      </c>
      <c r="H839" s="45" t="s">
        <v>96</v>
      </c>
      <c r="I839" s="45" t="s">
        <v>882</v>
      </c>
      <c r="J839" s="143" t="s">
        <v>138</v>
      </c>
      <c r="K839" s="43" t="str">
        <f t="array" ref="K839">IF(J839="","", XLOOKUP(J839,'⚙️ Pengaturan'!$E$2:$E3237,'⚙️ Pengaturan'!$G$2:$G3237))</f>
        <v>VISIT FT PAKET</v>
      </c>
      <c r="L839" s="43" t="str">
        <f t="shared" si="3"/>
        <v>BARU</v>
      </c>
      <c r="M839" s="144" t="s">
        <v>31</v>
      </c>
      <c r="N839" s="145">
        <v>1800000.0</v>
      </c>
      <c r="O839" s="146">
        <v>0.0</v>
      </c>
      <c r="P839" s="48">
        <f t="array" ref="P839">IFNA(XLOOKUP(J839,'⚙️ Pengaturan'!$E$2:$E3237,'⚙️ Pengaturan'!$F$2:$F3237),"")</f>
        <v>1800000</v>
      </c>
      <c r="Q839" s="147">
        <f t="shared" si="11"/>
        <v>0</v>
      </c>
      <c r="R839" s="41" t="s">
        <v>37</v>
      </c>
      <c r="S839" s="69" t="s">
        <v>882</v>
      </c>
      <c r="T839" s="51" t="b">
        <v>1</v>
      </c>
      <c r="U839" s="94"/>
    </row>
    <row r="840" ht="30.0" customHeight="1">
      <c r="A840" s="39"/>
      <c r="B840" s="40">
        <v>2875.0</v>
      </c>
      <c r="C840" s="41" t="s">
        <v>39</v>
      </c>
      <c r="D840" s="86">
        <v>46078.0</v>
      </c>
      <c r="E840" s="43" t="str">
        <f t="shared" si="1"/>
        <v>2026</v>
      </c>
      <c r="F840" s="43" t="str">
        <f t="shared" si="2"/>
        <v>02 Feb</v>
      </c>
      <c r="G840" s="126" t="s">
        <v>69</v>
      </c>
      <c r="H840" s="45" t="s">
        <v>150</v>
      </c>
      <c r="I840" s="45" t="s">
        <v>712</v>
      </c>
      <c r="J840" s="143" t="s">
        <v>120</v>
      </c>
      <c r="K840" s="43" t="str">
        <f t="array" ref="K840">IF(J840="","", XLOOKUP(J840,'⚙️ Pengaturan'!$E$2:$E3237,'⚙️ Pengaturan'!$G$2:$G3237))</f>
        <v>KLINIK FT SESI</v>
      </c>
      <c r="L840" s="43" t="str">
        <f t="shared" si="3"/>
        <v>BARU</v>
      </c>
      <c r="M840" s="144" t="s">
        <v>31</v>
      </c>
      <c r="N840" s="145">
        <v>180000.0</v>
      </c>
      <c r="O840" s="146">
        <v>0.0</v>
      </c>
      <c r="P840" s="48">
        <f t="array" ref="P840">IFNA(XLOOKUP(J840,'⚙️ Pengaturan'!$E$2:$E3237,'⚙️ Pengaturan'!$F$2:$F3237),"")</f>
        <v>180000</v>
      </c>
      <c r="Q840" s="147">
        <f t="shared" si="11"/>
        <v>0</v>
      </c>
      <c r="R840" s="41" t="s">
        <v>32</v>
      </c>
      <c r="S840" s="69" t="s">
        <v>33</v>
      </c>
      <c r="T840" s="51" t="b">
        <v>1</v>
      </c>
      <c r="U840" s="94"/>
    </row>
    <row r="841" ht="30.0" customHeight="1">
      <c r="A841" s="39"/>
      <c r="B841" s="40">
        <v>2876.0</v>
      </c>
      <c r="C841" s="41" t="s">
        <v>39</v>
      </c>
      <c r="D841" s="86">
        <v>46078.0</v>
      </c>
      <c r="E841" s="43" t="str">
        <f t="shared" si="1"/>
        <v>2026</v>
      </c>
      <c r="F841" s="43" t="str">
        <f t="shared" si="2"/>
        <v>02 Feb</v>
      </c>
      <c r="G841" s="126" t="s">
        <v>69</v>
      </c>
      <c r="H841" s="45" t="s">
        <v>150</v>
      </c>
      <c r="I841" s="45" t="s">
        <v>814</v>
      </c>
      <c r="J841" s="143" t="s">
        <v>119</v>
      </c>
      <c r="K841" s="43" t="str">
        <f t="array" ref="K841">IF(J841="","", XLOOKUP(J841,'⚙️ Pengaturan'!$E$2:$E3237,'⚙️ Pengaturan'!$G$2:$G3237))</f>
        <v>KLINIK FT PAKET</v>
      </c>
      <c r="L841" s="43" t="str">
        <f t="shared" si="3"/>
        <v>BARU</v>
      </c>
      <c r="M841" s="144" t="s">
        <v>31</v>
      </c>
      <c r="N841" s="145">
        <v>750000.0</v>
      </c>
      <c r="O841" s="146">
        <v>0.0</v>
      </c>
      <c r="P841" s="48">
        <f t="array" ref="P841">IFNA(XLOOKUP(J841,'⚙️ Pengaturan'!$E$2:$E3237,'⚙️ Pengaturan'!$F$2:$F3237),"")</f>
        <v>750000</v>
      </c>
      <c r="Q841" s="147">
        <f t="shared" si="11"/>
        <v>0</v>
      </c>
      <c r="R841" s="41" t="s">
        <v>118</v>
      </c>
      <c r="S841" s="69" t="s">
        <v>814</v>
      </c>
      <c r="T841" s="51" t="b">
        <v>1</v>
      </c>
      <c r="U841" s="94"/>
    </row>
    <row r="842" ht="30.0" customHeight="1">
      <c r="A842" s="39"/>
      <c r="B842" s="40">
        <v>2877.0</v>
      </c>
      <c r="C842" s="41" t="s">
        <v>79</v>
      </c>
      <c r="D842" s="86">
        <v>46078.0</v>
      </c>
      <c r="E842" s="43" t="str">
        <f t="shared" si="1"/>
        <v>2026</v>
      </c>
      <c r="F842" s="43" t="str">
        <f t="shared" si="2"/>
        <v>02 Feb</v>
      </c>
      <c r="G842" s="126" t="s">
        <v>69</v>
      </c>
      <c r="H842" s="45" t="s">
        <v>96</v>
      </c>
      <c r="I842" s="45" t="s">
        <v>586</v>
      </c>
      <c r="J842" s="143" t="s">
        <v>138</v>
      </c>
      <c r="K842" s="43" t="str">
        <f t="array" ref="K842">IF(J842="","", XLOOKUP(J842,'⚙️ Pengaturan'!$E$2:$E3237,'⚙️ Pengaturan'!$G$2:$G3237))</f>
        <v>VISIT FT PAKET</v>
      </c>
      <c r="L842" s="43" t="str">
        <f t="shared" si="3"/>
        <v>LANJUTAN</v>
      </c>
      <c r="M842" s="144" t="s">
        <v>31</v>
      </c>
      <c r="N842" s="145">
        <v>1800000.0</v>
      </c>
      <c r="O842" s="146">
        <v>0.0</v>
      </c>
      <c r="P842" s="48">
        <f t="array" ref="P842">IFNA(XLOOKUP(J842,'⚙️ Pengaturan'!$E$2:$E3237,'⚙️ Pengaturan'!$F$2:$F3237),"")</f>
        <v>1800000</v>
      </c>
      <c r="Q842" s="147">
        <f t="shared" si="11"/>
        <v>0</v>
      </c>
      <c r="R842" s="41" t="s">
        <v>37</v>
      </c>
      <c r="S842" s="69" t="s">
        <v>894</v>
      </c>
      <c r="T842" s="51" t="b">
        <v>1</v>
      </c>
      <c r="U842" s="94"/>
    </row>
    <row r="843" ht="30.0" customHeight="1">
      <c r="A843" s="39"/>
      <c r="B843" s="40">
        <v>2878.0</v>
      </c>
      <c r="C843" s="41" t="s">
        <v>39</v>
      </c>
      <c r="D843" s="86">
        <v>46078.0</v>
      </c>
      <c r="E843" s="43" t="str">
        <f t="shared" si="1"/>
        <v>2026</v>
      </c>
      <c r="F843" s="43" t="str">
        <f t="shared" si="2"/>
        <v>02 Feb</v>
      </c>
      <c r="G843" s="126" t="s">
        <v>69</v>
      </c>
      <c r="H843" s="45" t="s">
        <v>76</v>
      </c>
      <c r="I843" s="45" t="s">
        <v>170</v>
      </c>
      <c r="J843" s="143" t="s">
        <v>56</v>
      </c>
      <c r="K843" s="43" t="str">
        <f t="array" ref="K843">IF(J843="","", XLOOKUP(J843,'⚙️ Pengaturan'!$E$2:$E3237,'⚙️ Pengaturan'!$G$2:$G3237))</f>
        <v>KLINIK FT PAKET</v>
      </c>
      <c r="L843" s="43" t="str">
        <f t="shared" si="3"/>
        <v>LANJUTAN</v>
      </c>
      <c r="M843" s="144" t="s">
        <v>31</v>
      </c>
      <c r="N843" s="145">
        <v>650000.0</v>
      </c>
      <c r="O843" s="146">
        <v>0.0</v>
      </c>
      <c r="P843" s="48">
        <f t="array" ref="P843">IFNA(XLOOKUP(J843,'⚙️ Pengaturan'!$E$2:$E3237,'⚙️ Pengaturan'!$F$2:$F3237),"")</f>
        <v>650000</v>
      </c>
      <c r="Q843" s="147">
        <f t="shared" si="11"/>
        <v>0</v>
      </c>
      <c r="R843" s="41" t="s">
        <v>118</v>
      </c>
      <c r="S843" s="69" t="s">
        <v>502</v>
      </c>
      <c r="T843" s="51" t="b">
        <v>1</v>
      </c>
      <c r="U843" s="94"/>
    </row>
    <row r="844" ht="30.0" customHeight="1">
      <c r="A844" s="39"/>
      <c r="B844" s="40">
        <v>2879.0</v>
      </c>
      <c r="C844" s="41" t="s">
        <v>39</v>
      </c>
      <c r="D844" s="86">
        <v>46078.0</v>
      </c>
      <c r="E844" s="43" t="str">
        <f t="shared" si="1"/>
        <v>2026</v>
      </c>
      <c r="F844" s="43" t="str">
        <f t="shared" si="2"/>
        <v>02 Feb</v>
      </c>
      <c r="G844" s="126" t="s">
        <v>69</v>
      </c>
      <c r="H844" s="45" t="s">
        <v>26</v>
      </c>
      <c r="I844" s="45" t="s">
        <v>895</v>
      </c>
      <c r="J844" s="143" t="s">
        <v>28</v>
      </c>
      <c r="K844" s="43" t="str">
        <f t="array" ref="K844">IF(J844="","", XLOOKUP(J844,'⚙️ Pengaturan'!$E$2:$E3237,'⚙️ Pengaturan'!$G$2:$G3237))</f>
        <v>KLINIK FT TA</v>
      </c>
      <c r="L844" s="43" t="str">
        <f t="shared" si="3"/>
        <v>BARU</v>
      </c>
      <c r="M844" s="144" t="s">
        <v>31</v>
      </c>
      <c r="N844" s="145">
        <v>250000.0</v>
      </c>
      <c r="O844" s="146">
        <v>0.0</v>
      </c>
      <c r="P844" s="48">
        <f t="array" ref="P844">IFNA(XLOOKUP(J844,'⚙️ Pengaturan'!$E$2:$E3237,'⚙️ Pengaturan'!$F$2:$F3237),"")</f>
        <v>250000</v>
      </c>
      <c r="Q844" s="147">
        <f t="shared" si="11"/>
        <v>0</v>
      </c>
      <c r="R844" s="41" t="s">
        <v>32</v>
      </c>
      <c r="S844" s="69" t="s">
        <v>33</v>
      </c>
      <c r="T844" s="51" t="b">
        <v>1</v>
      </c>
      <c r="U844" s="94"/>
    </row>
    <row r="845" ht="30.0" customHeight="1">
      <c r="A845" s="39"/>
      <c r="B845" s="40">
        <v>2880.0</v>
      </c>
      <c r="C845" s="41" t="s">
        <v>39</v>
      </c>
      <c r="D845" s="86">
        <v>46079.0</v>
      </c>
      <c r="E845" s="43" t="str">
        <f t="shared" si="1"/>
        <v>2026</v>
      </c>
      <c r="F845" s="43" t="str">
        <f t="shared" si="2"/>
        <v>02 Feb</v>
      </c>
      <c r="G845" s="126" t="s">
        <v>195</v>
      </c>
      <c r="H845" s="45" t="s">
        <v>162</v>
      </c>
      <c r="I845" s="45" t="s">
        <v>815</v>
      </c>
      <c r="J845" s="143" t="s">
        <v>120</v>
      </c>
      <c r="K845" s="43" t="str">
        <f t="array" ref="K845">IF(J845="","", XLOOKUP(J845,'⚙️ Pengaturan'!$E$2:$E3237,'⚙️ Pengaturan'!$G$2:$G3237))</f>
        <v>KLINIK FT SESI</v>
      </c>
      <c r="L845" s="43" t="str">
        <f t="shared" si="3"/>
        <v>LANJUTAN</v>
      </c>
      <c r="M845" s="144" t="s">
        <v>31</v>
      </c>
      <c r="N845" s="145">
        <v>180000.0</v>
      </c>
      <c r="O845" s="146">
        <v>0.0</v>
      </c>
      <c r="P845" s="48">
        <f t="array" ref="P845">IFNA(XLOOKUP(J845,'⚙️ Pengaturan'!$E$2:$E3237,'⚙️ Pengaturan'!$F$2:$F3237),"")</f>
        <v>180000</v>
      </c>
      <c r="Q845" s="147">
        <f t="shared" si="11"/>
        <v>0</v>
      </c>
      <c r="R845" s="41" t="s">
        <v>37</v>
      </c>
      <c r="S845" s="69" t="s">
        <v>815</v>
      </c>
      <c r="T845" s="51" t="b">
        <v>1</v>
      </c>
      <c r="U845" s="94"/>
    </row>
    <row r="846" ht="30.0" customHeight="1">
      <c r="A846" s="39"/>
      <c r="B846" s="40">
        <v>2881.0</v>
      </c>
      <c r="C846" s="41" t="s">
        <v>39</v>
      </c>
      <c r="D846" s="86">
        <v>46079.0</v>
      </c>
      <c r="E846" s="43" t="str">
        <f t="shared" si="1"/>
        <v>2026</v>
      </c>
      <c r="F846" s="43" t="str">
        <f t="shared" si="2"/>
        <v>02 Feb</v>
      </c>
      <c r="G846" s="126" t="s">
        <v>69</v>
      </c>
      <c r="H846" s="45" t="s">
        <v>162</v>
      </c>
      <c r="I846" s="45" t="s">
        <v>896</v>
      </c>
      <c r="J846" s="143" t="s">
        <v>28</v>
      </c>
      <c r="K846" s="43" t="str">
        <f t="array" ref="K846">IF(J846="","", XLOOKUP(J846,'⚙️ Pengaturan'!$E$2:$E3237,'⚙️ Pengaturan'!$G$2:$G3237))</f>
        <v>KLINIK FT TA</v>
      </c>
      <c r="L846" s="43" t="str">
        <f t="shared" si="3"/>
        <v>BARU</v>
      </c>
      <c r="M846" s="144" t="s">
        <v>31</v>
      </c>
      <c r="N846" s="145">
        <v>250000.0</v>
      </c>
      <c r="O846" s="146">
        <v>0.0</v>
      </c>
      <c r="P846" s="48">
        <f t="array" ref="P846">IFNA(XLOOKUP(J846,'⚙️ Pengaturan'!$E$2:$E3237,'⚙️ Pengaturan'!$F$2:$F3237),"")</f>
        <v>250000</v>
      </c>
      <c r="Q846" s="147">
        <f t="shared" si="11"/>
        <v>0</v>
      </c>
      <c r="R846" s="41" t="s">
        <v>32</v>
      </c>
      <c r="S846" s="69" t="s">
        <v>33</v>
      </c>
      <c r="T846" s="51" t="b">
        <v>1</v>
      </c>
      <c r="U846" s="94"/>
    </row>
    <row r="847" ht="30.0" customHeight="1">
      <c r="A847" s="39"/>
      <c r="B847" s="40">
        <v>2882.0</v>
      </c>
      <c r="C847" s="41" t="s">
        <v>39</v>
      </c>
      <c r="D847" s="86">
        <v>46079.0</v>
      </c>
      <c r="E847" s="43" t="str">
        <f t="shared" si="1"/>
        <v>2026</v>
      </c>
      <c r="F847" s="43" t="str">
        <f t="shared" si="2"/>
        <v>02 Feb</v>
      </c>
      <c r="G847" s="126" t="s">
        <v>69</v>
      </c>
      <c r="H847" s="45" t="s">
        <v>26</v>
      </c>
      <c r="I847" s="45" t="s">
        <v>897</v>
      </c>
      <c r="J847" s="143" t="s">
        <v>28</v>
      </c>
      <c r="K847" s="43" t="str">
        <f t="array" ref="K847">IF(J847="","", XLOOKUP(J847,'⚙️ Pengaturan'!$E$2:$E3237,'⚙️ Pengaturan'!$G$2:$G3237))</f>
        <v>KLINIK FT TA</v>
      </c>
      <c r="L847" s="43" t="str">
        <f t="shared" si="3"/>
        <v>BARU</v>
      </c>
      <c r="M847" s="144" t="s">
        <v>31</v>
      </c>
      <c r="N847" s="145">
        <v>250000.0</v>
      </c>
      <c r="O847" s="146">
        <v>0.0</v>
      </c>
      <c r="P847" s="48">
        <f t="array" ref="P847">IFNA(XLOOKUP(J847,'⚙️ Pengaturan'!$E$2:$E3237,'⚙️ Pengaturan'!$F$2:$F3237),"")</f>
        <v>250000</v>
      </c>
      <c r="Q847" s="147">
        <f t="shared" si="11"/>
        <v>0</v>
      </c>
      <c r="R847" s="41" t="s">
        <v>32</v>
      </c>
      <c r="S847" s="69" t="s">
        <v>33</v>
      </c>
      <c r="T847" s="51" t="b">
        <v>1</v>
      </c>
      <c r="U847" s="94"/>
    </row>
    <row r="848" ht="30.0" customHeight="1">
      <c r="A848" s="39"/>
      <c r="B848" s="40">
        <v>2883.0</v>
      </c>
      <c r="C848" s="41" t="s">
        <v>50</v>
      </c>
      <c r="D848" s="86">
        <v>46079.0</v>
      </c>
      <c r="E848" s="43" t="str">
        <f t="shared" si="1"/>
        <v>2026</v>
      </c>
      <c r="F848" s="43" t="str">
        <f t="shared" si="2"/>
        <v>02 Feb</v>
      </c>
      <c r="G848" s="126" t="s">
        <v>69</v>
      </c>
      <c r="H848" s="45" t="s">
        <v>26</v>
      </c>
      <c r="I848" s="45" t="s">
        <v>898</v>
      </c>
      <c r="J848" s="143" t="s">
        <v>121</v>
      </c>
      <c r="K848" s="43" t="str">
        <f t="array" ref="K848">IF(J848="","", XLOOKUP(J848,'⚙️ Pengaturan'!$E$2:$E3237,'⚙️ Pengaturan'!$G$2:$G3237))</f>
        <v>VISIT FT TA</v>
      </c>
      <c r="L848" s="43" t="str">
        <f t="shared" si="3"/>
        <v>BARU</v>
      </c>
      <c r="M848" s="144" t="s">
        <v>31</v>
      </c>
      <c r="N848" s="145">
        <v>300000.0</v>
      </c>
      <c r="O848" s="146">
        <v>0.0</v>
      </c>
      <c r="P848" s="48">
        <f t="array" ref="P848">IFNA(XLOOKUP(J848,'⚙️ Pengaturan'!$E$2:$E3237,'⚙️ Pengaturan'!$F$2:$F3237),"")</f>
        <v>300000</v>
      </c>
      <c r="Q848" s="147">
        <f t="shared" si="11"/>
        <v>0</v>
      </c>
      <c r="R848" s="41" t="s">
        <v>37</v>
      </c>
      <c r="S848" s="69" t="s">
        <v>781</v>
      </c>
      <c r="T848" s="51" t="b">
        <v>1</v>
      </c>
      <c r="U848" s="94"/>
    </row>
    <row r="849" ht="30.0" customHeight="1">
      <c r="A849" s="39"/>
      <c r="B849" s="40">
        <v>2884.0</v>
      </c>
      <c r="C849" s="41" t="s">
        <v>50</v>
      </c>
      <c r="D849" s="86">
        <v>46079.0</v>
      </c>
      <c r="E849" s="43" t="str">
        <f t="shared" si="1"/>
        <v>2026</v>
      </c>
      <c r="F849" s="43" t="str">
        <f t="shared" si="2"/>
        <v>02 Feb</v>
      </c>
      <c r="G849" s="126" t="s">
        <v>40</v>
      </c>
      <c r="H849" s="45" t="s">
        <v>96</v>
      </c>
      <c r="I849" s="45" t="s">
        <v>899</v>
      </c>
      <c r="J849" s="143" t="s">
        <v>28</v>
      </c>
      <c r="K849" s="43" t="str">
        <f t="array" ref="K849">IF(J849="","", XLOOKUP(J849,'⚙️ Pengaturan'!$E$2:$E3237,'⚙️ Pengaturan'!$G$2:$G3237))</f>
        <v>KLINIK FT TA</v>
      </c>
      <c r="L849" s="43" t="str">
        <f t="shared" si="3"/>
        <v>BARU</v>
      </c>
      <c r="M849" s="144" t="s">
        <v>31</v>
      </c>
      <c r="N849" s="145">
        <v>250000.0</v>
      </c>
      <c r="O849" s="146">
        <v>0.0</v>
      </c>
      <c r="P849" s="48">
        <f t="array" ref="P849">IFNA(XLOOKUP(J849,'⚙️ Pengaturan'!$E$2:$E3237,'⚙️ Pengaturan'!$F$2:$F3237),"")</f>
        <v>250000</v>
      </c>
      <c r="Q849" s="147">
        <f t="shared" si="11"/>
        <v>0</v>
      </c>
      <c r="R849" s="41" t="s">
        <v>32</v>
      </c>
      <c r="S849" s="69" t="s">
        <v>33</v>
      </c>
      <c r="T849" s="51" t="b">
        <v>1</v>
      </c>
      <c r="U849" s="94"/>
    </row>
    <row r="850" ht="30.0" customHeight="1">
      <c r="A850" s="39"/>
      <c r="B850" s="40">
        <v>2885.0</v>
      </c>
      <c r="C850" s="41" t="s">
        <v>50</v>
      </c>
      <c r="D850" s="86">
        <v>46079.0</v>
      </c>
      <c r="E850" s="43" t="str">
        <f t="shared" si="1"/>
        <v>2026</v>
      </c>
      <c r="F850" s="43" t="str">
        <f t="shared" si="2"/>
        <v>02 Feb</v>
      </c>
      <c r="G850" s="126" t="s">
        <v>43</v>
      </c>
      <c r="H850" s="45" t="s">
        <v>76</v>
      </c>
      <c r="I850" s="45" t="s">
        <v>472</v>
      </c>
      <c r="J850" s="143" t="s">
        <v>92</v>
      </c>
      <c r="K850" s="43" t="str">
        <f t="array" ref="K850">IF(J850="","", XLOOKUP(J850,'⚙️ Pengaturan'!$E$2:$E3237,'⚙️ Pengaturan'!$G$2:$G3237))</f>
        <v>KLINIK FT PAKET</v>
      </c>
      <c r="L850" s="43" t="str">
        <f t="shared" si="3"/>
        <v>LANJUTAN</v>
      </c>
      <c r="M850" s="144" t="s">
        <v>164</v>
      </c>
      <c r="N850" s="145">
        <v>700000.0</v>
      </c>
      <c r="O850" s="146">
        <v>500000.0</v>
      </c>
      <c r="P850" s="48">
        <f t="array" ref="P850">IFNA(XLOOKUP(J850,'⚙️ Pengaturan'!$E$2:$E3237,'⚙️ Pengaturan'!$F$2:$F3237),"")</f>
        <v>1200000</v>
      </c>
      <c r="Q850" s="147">
        <f t="shared" si="11"/>
        <v>0</v>
      </c>
      <c r="R850" s="41" t="s">
        <v>118</v>
      </c>
      <c r="S850" s="69" t="s">
        <v>472</v>
      </c>
      <c r="T850" s="51" t="b">
        <v>1</v>
      </c>
      <c r="U850" s="94"/>
    </row>
    <row r="851" ht="30.0" customHeight="1">
      <c r="A851" s="39"/>
      <c r="B851" s="40">
        <v>2886.0</v>
      </c>
      <c r="C851" s="41" t="s">
        <v>50</v>
      </c>
      <c r="D851" s="86">
        <v>46079.0</v>
      </c>
      <c r="E851" s="43" t="str">
        <f t="shared" si="1"/>
        <v>2026</v>
      </c>
      <c r="F851" s="43" t="str">
        <f t="shared" si="2"/>
        <v>02 Feb</v>
      </c>
      <c r="G851" s="126" t="s">
        <v>173</v>
      </c>
      <c r="H851" s="45" t="s">
        <v>41</v>
      </c>
      <c r="I851" s="45" t="s">
        <v>900</v>
      </c>
      <c r="J851" s="143" t="s">
        <v>28</v>
      </c>
      <c r="K851" s="43" t="str">
        <f t="array" ref="K851">IF(J851="","", XLOOKUP(J851,'⚙️ Pengaturan'!$E$2:$E3237,'⚙️ Pengaturan'!$G$2:$G3237))</f>
        <v>KLINIK FT TA</v>
      </c>
      <c r="L851" s="43" t="str">
        <f t="shared" si="3"/>
        <v>BARU</v>
      </c>
      <c r="M851" s="144" t="s">
        <v>31</v>
      </c>
      <c r="N851" s="145">
        <v>200000.0</v>
      </c>
      <c r="O851" s="146">
        <v>50000.0</v>
      </c>
      <c r="P851" s="48">
        <f t="array" ref="P851">IFNA(XLOOKUP(J851,'⚙️ Pengaturan'!$E$2:$E3237,'⚙️ Pengaturan'!$F$2:$F3237),"")</f>
        <v>250000</v>
      </c>
      <c r="Q851" s="147">
        <f t="shared" si="11"/>
        <v>0</v>
      </c>
      <c r="R851" s="41" t="s">
        <v>37</v>
      </c>
      <c r="S851" s="69" t="s">
        <v>900</v>
      </c>
      <c r="T851" s="51" t="b">
        <v>1</v>
      </c>
      <c r="U851" s="94"/>
    </row>
    <row r="852" ht="30.0" customHeight="1">
      <c r="A852" s="39"/>
      <c r="B852" s="40">
        <v>2887.0</v>
      </c>
      <c r="C852" s="41" t="s">
        <v>50</v>
      </c>
      <c r="D852" s="86">
        <v>46079.0</v>
      </c>
      <c r="E852" s="43" t="str">
        <f t="shared" si="1"/>
        <v>2026</v>
      </c>
      <c r="F852" s="43" t="str">
        <f t="shared" si="2"/>
        <v>02 Feb</v>
      </c>
      <c r="G852" s="126" t="s">
        <v>190</v>
      </c>
      <c r="H852" s="45" t="s">
        <v>47</v>
      </c>
      <c r="I852" s="45" t="s">
        <v>863</v>
      </c>
      <c r="J852" s="143" t="s">
        <v>119</v>
      </c>
      <c r="K852" s="43" t="str">
        <f t="array" ref="K852">IF(J852="","", XLOOKUP(J852,'⚙️ Pengaturan'!$E$2:$E3237,'⚙️ Pengaturan'!$G$2:$G3237))</f>
        <v>KLINIK FT PAKET</v>
      </c>
      <c r="L852" s="43" t="str">
        <f t="shared" si="3"/>
        <v>BARU</v>
      </c>
      <c r="M852" s="144" t="s">
        <v>60</v>
      </c>
      <c r="N852" s="145">
        <v>300000.0</v>
      </c>
      <c r="O852" s="146">
        <v>0.0</v>
      </c>
      <c r="P852" s="48">
        <f t="array" ref="P852">IFNA(XLOOKUP(J852,'⚙️ Pengaturan'!$E$2:$E3237,'⚙️ Pengaturan'!$F$2:$F3237),"")</f>
        <v>750000</v>
      </c>
      <c r="Q852" s="147">
        <f t="shared" si="11"/>
        <v>-450000</v>
      </c>
      <c r="R852" s="41" t="s">
        <v>32</v>
      </c>
      <c r="S852" s="69" t="s">
        <v>33</v>
      </c>
      <c r="T852" s="51" t="b">
        <v>1</v>
      </c>
      <c r="U852" s="94"/>
    </row>
    <row r="853" ht="30.0" customHeight="1">
      <c r="A853" s="39"/>
      <c r="B853" s="40">
        <v>2888.0</v>
      </c>
      <c r="C853" s="41" t="s">
        <v>50</v>
      </c>
      <c r="D853" s="86">
        <v>46079.0</v>
      </c>
      <c r="E853" s="43" t="str">
        <f t="shared" si="1"/>
        <v>2026</v>
      </c>
      <c r="F853" s="43" t="str">
        <f t="shared" si="2"/>
        <v>02 Feb</v>
      </c>
      <c r="G853" s="126" t="s">
        <v>190</v>
      </c>
      <c r="H853" s="45" t="s">
        <v>149</v>
      </c>
      <c r="I853" s="45" t="s">
        <v>653</v>
      </c>
      <c r="J853" s="143" t="s">
        <v>56</v>
      </c>
      <c r="K853" s="43" t="str">
        <f t="array" ref="K853">IF(J853="","", XLOOKUP(J853,'⚙️ Pengaturan'!$E$2:$E3237,'⚙️ Pengaturan'!$G$2:$G3237))</f>
        <v>KLINIK FT PAKET</v>
      </c>
      <c r="L853" s="43" t="str">
        <f t="shared" si="3"/>
        <v>LANJUTAN</v>
      </c>
      <c r="M853" s="144" t="s">
        <v>164</v>
      </c>
      <c r="N853" s="145">
        <v>450000.0</v>
      </c>
      <c r="O853" s="146">
        <v>0.0</v>
      </c>
      <c r="P853" s="48">
        <f t="array" ref="P853">IFNA(XLOOKUP(J853,'⚙️ Pengaturan'!$E$2:$E3237,'⚙️ Pengaturan'!$F$2:$F3237),"")</f>
        <v>650000</v>
      </c>
      <c r="Q853" s="147">
        <f t="shared" si="11"/>
        <v>-200000</v>
      </c>
      <c r="R853" s="41" t="s">
        <v>37</v>
      </c>
      <c r="S853" s="69" t="s">
        <v>654</v>
      </c>
      <c r="T853" s="51" t="b">
        <v>1</v>
      </c>
      <c r="U853" s="94"/>
    </row>
    <row r="854" ht="30.0" customHeight="1">
      <c r="A854" s="39"/>
      <c r="B854" s="40">
        <v>2889.0</v>
      </c>
      <c r="C854" s="41" t="s">
        <v>39</v>
      </c>
      <c r="D854" s="86">
        <v>46080.0</v>
      </c>
      <c r="E854" s="43" t="str">
        <f t="shared" si="1"/>
        <v>2026</v>
      </c>
      <c r="F854" s="43" t="str">
        <f t="shared" si="2"/>
        <v>02 Feb</v>
      </c>
      <c r="G854" s="126" t="s">
        <v>69</v>
      </c>
      <c r="H854" s="45" t="s">
        <v>156</v>
      </c>
      <c r="I854" s="45" t="s">
        <v>888</v>
      </c>
      <c r="J854" s="143" t="s">
        <v>349</v>
      </c>
      <c r="K854" s="43" t="str">
        <f t="array" ref="K854">IF(J854="","", XLOOKUP(J854,'⚙️ Pengaturan'!$E$2:$E3237,'⚙️ Pengaturan'!$G$2:$G3237))</f>
        <v>KLINIK FT PAKET</v>
      </c>
      <c r="L854" s="43" t="str">
        <f t="shared" si="3"/>
        <v>BARU</v>
      </c>
      <c r="M854" s="144" t="s">
        <v>60</v>
      </c>
      <c r="N854" s="145">
        <v>1300000.0</v>
      </c>
      <c r="O854" s="146">
        <v>0.0</v>
      </c>
      <c r="P854" s="48">
        <f t="array" ref="P854">IFNA(XLOOKUP(J854,'⚙️ Pengaturan'!$E$2:$E3237,'⚙️ Pengaturan'!$F$2:$F3237),"")</f>
        <v>2400000</v>
      </c>
      <c r="Q854" s="147">
        <f t="shared" si="11"/>
        <v>-1100000</v>
      </c>
      <c r="R854" s="41" t="s">
        <v>37</v>
      </c>
      <c r="S854" s="69" t="s">
        <v>888</v>
      </c>
      <c r="T854" s="51" t="b">
        <v>1</v>
      </c>
      <c r="U854" s="94"/>
    </row>
    <row r="855" ht="30.0" customHeight="1">
      <c r="A855" s="39"/>
      <c r="B855" s="40">
        <v>2890.0</v>
      </c>
      <c r="C855" s="41" t="s">
        <v>39</v>
      </c>
      <c r="D855" s="86">
        <v>46080.0</v>
      </c>
      <c r="E855" s="43" t="str">
        <f t="shared" si="1"/>
        <v>2026</v>
      </c>
      <c r="F855" s="43" t="str">
        <f t="shared" si="2"/>
        <v>02 Feb</v>
      </c>
      <c r="G855" s="126" t="s">
        <v>69</v>
      </c>
      <c r="H855" s="45" t="s">
        <v>166</v>
      </c>
      <c r="I855" s="45" t="s">
        <v>704</v>
      </c>
      <c r="J855" s="143" t="s">
        <v>180</v>
      </c>
      <c r="K855" s="43" t="str">
        <f t="array" ref="K855">IF(J855="","", XLOOKUP(J855,'⚙️ Pengaturan'!$E$2:$E3237,'⚙️ Pengaturan'!$G$2:$G3237))</f>
        <v>KLINIK FT SESI</v>
      </c>
      <c r="L855" s="43" t="str">
        <f t="shared" si="3"/>
        <v>BARU</v>
      </c>
      <c r="M855" s="144" t="s">
        <v>31</v>
      </c>
      <c r="N855" s="145">
        <v>150000.0</v>
      </c>
      <c r="O855" s="146">
        <v>0.0</v>
      </c>
      <c r="P855" s="48">
        <f t="array" ref="P855">IFNA(XLOOKUP(J855,'⚙️ Pengaturan'!$E$2:$E3237,'⚙️ Pengaturan'!$F$2:$F3237),"")</f>
        <v>150000</v>
      </c>
      <c r="Q855" s="147">
        <f t="shared" si="11"/>
        <v>0</v>
      </c>
      <c r="R855" s="41" t="s">
        <v>118</v>
      </c>
      <c r="S855" s="69" t="s">
        <v>704</v>
      </c>
      <c r="T855" s="51" t="b">
        <v>1</v>
      </c>
      <c r="U855" s="94"/>
    </row>
    <row r="856" ht="30.0" customHeight="1">
      <c r="A856" s="39"/>
      <c r="B856" s="40">
        <v>2891.0</v>
      </c>
      <c r="C856" s="41" t="s">
        <v>50</v>
      </c>
      <c r="D856" s="86">
        <v>46080.0</v>
      </c>
      <c r="E856" s="43" t="str">
        <f t="shared" si="1"/>
        <v>2026</v>
      </c>
      <c r="F856" s="43" t="str">
        <f t="shared" si="2"/>
        <v>02 Feb</v>
      </c>
      <c r="G856" s="126" t="s">
        <v>40</v>
      </c>
      <c r="H856" s="45" t="s">
        <v>149</v>
      </c>
      <c r="I856" s="45" t="s">
        <v>901</v>
      </c>
      <c r="J856" s="143" t="s">
        <v>28</v>
      </c>
      <c r="K856" s="43" t="str">
        <f t="array" ref="K856">IF(J856="","", XLOOKUP(J856,'⚙️ Pengaturan'!$E$2:$E3237,'⚙️ Pengaturan'!$G$2:$G3237))</f>
        <v>KLINIK FT TA</v>
      </c>
      <c r="L856" s="43" t="str">
        <f t="shared" si="3"/>
        <v>BARU</v>
      </c>
      <c r="M856" s="144" t="s">
        <v>31</v>
      </c>
      <c r="N856" s="145">
        <v>250000.0</v>
      </c>
      <c r="O856" s="146">
        <v>0.0</v>
      </c>
      <c r="P856" s="48">
        <f t="array" ref="P856">IFNA(XLOOKUP(J856,'⚙️ Pengaturan'!$E$2:$E3237,'⚙️ Pengaturan'!$F$2:$F3237),"")</f>
        <v>250000</v>
      </c>
      <c r="Q856" s="147">
        <f t="shared" si="11"/>
        <v>0</v>
      </c>
      <c r="R856" s="41" t="s">
        <v>32</v>
      </c>
      <c r="S856" s="69" t="s">
        <v>33</v>
      </c>
      <c r="T856" s="51" t="b">
        <v>1</v>
      </c>
      <c r="U856" s="94"/>
    </row>
    <row r="857" ht="30.0" customHeight="1">
      <c r="A857" s="39"/>
      <c r="B857" s="40">
        <v>2892.0</v>
      </c>
      <c r="C857" s="41" t="s">
        <v>50</v>
      </c>
      <c r="D857" s="86">
        <v>46080.0</v>
      </c>
      <c r="E857" s="43" t="str">
        <f t="shared" si="1"/>
        <v>2026</v>
      </c>
      <c r="F857" s="43" t="str">
        <f t="shared" si="2"/>
        <v>02 Feb</v>
      </c>
      <c r="G857" s="126" t="s">
        <v>43</v>
      </c>
      <c r="H857" s="45" t="s">
        <v>149</v>
      </c>
      <c r="I857" s="45" t="s">
        <v>606</v>
      </c>
      <c r="J857" s="143" t="s">
        <v>56</v>
      </c>
      <c r="K857" s="43" t="str">
        <f t="array" ref="K857">IF(J857="","", XLOOKUP(J857,'⚙️ Pengaturan'!$E$2:$E3237,'⚙️ Pengaturan'!$G$2:$G3237))</f>
        <v>KLINIK FT PAKET</v>
      </c>
      <c r="L857" s="43" t="str">
        <f t="shared" si="3"/>
        <v>LANJUTAN</v>
      </c>
      <c r="M857" s="144" t="s">
        <v>31</v>
      </c>
      <c r="N857" s="145">
        <v>650000.0</v>
      </c>
      <c r="O857" s="146">
        <v>0.0</v>
      </c>
      <c r="P857" s="48">
        <f t="array" ref="P857">IFNA(XLOOKUP(J857,'⚙️ Pengaturan'!$E$2:$E3237,'⚙️ Pengaturan'!$F$2:$F3237),"")</f>
        <v>650000</v>
      </c>
      <c r="Q857" s="147">
        <f t="shared" si="11"/>
        <v>0</v>
      </c>
      <c r="R857" s="41" t="s">
        <v>37</v>
      </c>
      <c r="S857" s="69" t="s">
        <v>606</v>
      </c>
      <c r="T857" s="51" t="b">
        <v>1</v>
      </c>
      <c r="U857" s="94"/>
    </row>
    <row r="858" ht="30.0" customHeight="1">
      <c r="A858" s="39"/>
      <c r="B858" s="40">
        <v>2893.0</v>
      </c>
      <c r="C858" s="41" t="s">
        <v>79</v>
      </c>
      <c r="D858" s="86">
        <v>46081.0</v>
      </c>
      <c r="E858" s="43" t="str">
        <f t="shared" si="1"/>
        <v>2026</v>
      </c>
      <c r="F858" s="43" t="str">
        <f t="shared" si="2"/>
        <v>02 Feb</v>
      </c>
      <c r="G858" s="126" t="s">
        <v>25</v>
      </c>
      <c r="H858" s="45" t="s">
        <v>47</v>
      </c>
      <c r="I858" s="45" t="s">
        <v>902</v>
      </c>
      <c r="J858" s="143" t="s">
        <v>28</v>
      </c>
      <c r="K858" s="43" t="str">
        <f t="array" ref="K858">IF(J858="","", XLOOKUP(J858,'⚙️ Pengaturan'!$E$2:$E3237,'⚙️ Pengaturan'!$G$2:$G3237))</f>
        <v>KLINIK FT TA</v>
      </c>
      <c r="L858" s="43" t="str">
        <f t="shared" si="3"/>
        <v>BARU</v>
      </c>
      <c r="M858" s="144" t="s">
        <v>31</v>
      </c>
      <c r="N858" s="145">
        <v>250000.0</v>
      </c>
      <c r="O858" s="146">
        <v>0.0</v>
      </c>
      <c r="P858" s="48">
        <v>250000.0</v>
      </c>
      <c r="Q858" s="147">
        <v>0.0</v>
      </c>
      <c r="R858" s="41" t="s">
        <v>32</v>
      </c>
      <c r="S858" s="69" t="s">
        <v>33</v>
      </c>
      <c r="T858" s="51" t="b">
        <v>1</v>
      </c>
      <c r="U858" s="94"/>
    </row>
    <row r="859" ht="30.0" customHeight="1">
      <c r="A859" s="39"/>
      <c r="B859" s="40">
        <v>2894.0</v>
      </c>
      <c r="C859" s="41" t="s">
        <v>79</v>
      </c>
      <c r="D859" s="86">
        <v>46081.0</v>
      </c>
      <c r="E859" s="43" t="str">
        <f t="shared" si="1"/>
        <v>2026</v>
      </c>
      <c r="F859" s="43" t="str">
        <f t="shared" si="2"/>
        <v>02 Feb</v>
      </c>
      <c r="G859" s="126" t="s">
        <v>25</v>
      </c>
      <c r="H859" s="45" t="s">
        <v>96</v>
      </c>
      <c r="I859" s="45" t="s">
        <v>288</v>
      </c>
      <c r="J859" s="143" t="s">
        <v>56</v>
      </c>
      <c r="K859" s="43" t="str">
        <f t="array" ref="K859">IF(J859="","", XLOOKUP(J859,'⚙️ Pengaturan'!$E$2:$E3237,'⚙️ Pengaturan'!$G$2:$G3237))</f>
        <v>KLINIK FT PAKET</v>
      </c>
      <c r="L859" s="43" t="str">
        <f t="shared" si="3"/>
        <v>LANJUTAN</v>
      </c>
      <c r="M859" s="144" t="s">
        <v>31</v>
      </c>
      <c r="N859" s="145">
        <v>650000.0</v>
      </c>
      <c r="O859" s="146">
        <v>0.0</v>
      </c>
      <c r="P859" s="48">
        <v>650000.0</v>
      </c>
      <c r="Q859" s="147">
        <v>0.0</v>
      </c>
      <c r="R859" s="41" t="s">
        <v>37</v>
      </c>
      <c r="S859" s="69" t="s">
        <v>639</v>
      </c>
      <c r="T859" s="51" t="b">
        <v>1</v>
      </c>
      <c r="U859" s="94"/>
    </row>
    <row r="860" ht="30.0" customHeight="1">
      <c r="A860" s="39"/>
      <c r="B860" s="40">
        <v>2895.0</v>
      </c>
      <c r="C860" s="41" t="s">
        <v>79</v>
      </c>
      <c r="D860" s="86">
        <v>46081.0</v>
      </c>
      <c r="E860" s="43" t="str">
        <f t="shared" si="1"/>
        <v>2026</v>
      </c>
      <c r="F860" s="43" t="str">
        <f t="shared" si="2"/>
        <v>02 Feb</v>
      </c>
      <c r="G860" s="126" t="s">
        <v>241</v>
      </c>
      <c r="H860" s="45" t="s">
        <v>96</v>
      </c>
      <c r="I860" s="45" t="s">
        <v>893</v>
      </c>
      <c r="J860" s="143" t="s">
        <v>120</v>
      </c>
      <c r="K860" s="43" t="str">
        <f t="array" ref="K860">IF(J860="","", XLOOKUP(J860,'⚙️ Pengaturan'!$E$2:$E3237,'⚙️ Pengaturan'!$G$2:$G3237))</f>
        <v>KLINIK FT SESI</v>
      </c>
      <c r="L860" s="43" t="str">
        <f t="shared" si="3"/>
        <v>BARU</v>
      </c>
      <c r="M860" s="144" t="s">
        <v>31</v>
      </c>
      <c r="N860" s="145">
        <v>180000.0</v>
      </c>
      <c r="O860" s="146">
        <v>0.0</v>
      </c>
      <c r="P860" s="48">
        <f t="array" ref="P860">IFNA(XLOOKUP(J860,'⚙️ Pengaturan'!$E$2:$E3237,'⚙️ Pengaturan'!$F$2:$F3237),"")</f>
        <v>180000</v>
      </c>
      <c r="Q860" s="147">
        <f t="shared" ref="Q860:Q861" si="12">IF(I860="","",(N860+O860)-P860)</f>
        <v>0</v>
      </c>
      <c r="R860" s="41" t="s">
        <v>32</v>
      </c>
      <c r="S860" s="69" t="s">
        <v>33</v>
      </c>
      <c r="T860" s="51" t="b">
        <v>1</v>
      </c>
      <c r="U860" s="94"/>
    </row>
    <row r="861" ht="30.0" customHeight="1">
      <c r="A861" s="39"/>
      <c r="B861" s="40">
        <v>2896.0</v>
      </c>
      <c r="C861" s="41" t="s">
        <v>79</v>
      </c>
      <c r="D861" s="86">
        <v>46081.0</v>
      </c>
      <c r="E861" s="43" t="str">
        <f t="shared" si="1"/>
        <v>2026</v>
      </c>
      <c r="F861" s="43" t="str">
        <f t="shared" si="2"/>
        <v>02 Feb</v>
      </c>
      <c r="G861" s="126" t="s">
        <v>241</v>
      </c>
      <c r="H861" s="45" t="s">
        <v>41</v>
      </c>
      <c r="I861" s="45" t="s">
        <v>900</v>
      </c>
      <c r="J861" s="143" t="s">
        <v>120</v>
      </c>
      <c r="K861" s="43" t="str">
        <f t="array" ref="K861">IF(J861="","", XLOOKUP(J861,'⚙️ Pengaturan'!$E$2:$E3237,'⚙️ Pengaturan'!$G$2:$G3237))</f>
        <v>KLINIK FT SESI</v>
      </c>
      <c r="L861" s="43" t="str">
        <f t="shared" si="3"/>
        <v>BARU</v>
      </c>
      <c r="M861" s="144" t="s">
        <v>31</v>
      </c>
      <c r="N861" s="145">
        <v>144000.0</v>
      </c>
      <c r="O861" s="146">
        <v>36000.0</v>
      </c>
      <c r="P861" s="48">
        <v>180000.0</v>
      </c>
      <c r="Q861" s="147">
        <f t="shared" si="12"/>
        <v>0</v>
      </c>
      <c r="R861" s="41" t="s">
        <v>37</v>
      </c>
      <c r="S861" s="69" t="s">
        <v>900</v>
      </c>
      <c r="T861" s="51" t="b">
        <v>1</v>
      </c>
      <c r="U861" s="94"/>
    </row>
    <row r="862" ht="30.0" customHeight="1">
      <c r="A862" s="39"/>
      <c r="B862" s="40">
        <v>2897.0</v>
      </c>
      <c r="C862" s="41" t="s">
        <v>79</v>
      </c>
      <c r="D862" s="86">
        <v>46081.0</v>
      </c>
      <c r="E862" s="43" t="str">
        <f t="shared" si="1"/>
        <v>2026</v>
      </c>
      <c r="F862" s="43" t="str">
        <f t="shared" si="2"/>
        <v>02 Feb</v>
      </c>
      <c r="G862" s="126" t="s">
        <v>241</v>
      </c>
      <c r="H862" s="45" t="s">
        <v>156</v>
      </c>
      <c r="I862" s="45" t="s">
        <v>903</v>
      </c>
      <c r="J862" s="143" t="s">
        <v>28</v>
      </c>
      <c r="K862" s="43" t="str">
        <f t="array" ref="K862">IF(J862="","", XLOOKUP(J862,'⚙️ Pengaturan'!$E$2:$E3237,'⚙️ Pengaturan'!$G$2:$G3237))</f>
        <v>KLINIK FT TA</v>
      </c>
      <c r="L862" s="43" t="str">
        <f t="shared" si="3"/>
        <v>BARU</v>
      </c>
      <c r="M862" s="144" t="s">
        <v>31</v>
      </c>
      <c r="N862" s="145">
        <v>250000.0</v>
      </c>
      <c r="O862" s="146">
        <v>0.0</v>
      </c>
      <c r="P862" s="48">
        <v>250000.0</v>
      </c>
      <c r="Q862" s="147">
        <v>0.0</v>
      </c>
      <c r="R862" s="41" t="s">
        <v>32</v>
      </c>
      <c r="S862" s="69" t="s">
        <v>33</v>
      </c>
      <c r="T862" s="51" t="b">
        <v>1</v>
      </c>
      <c r="U862" s="94"/>
    </row>
    <row r="863" ht="30.0" customHeight="1">
      <c r="A863" s="39"/>
      <c r="B863" s="40">
        <v>2898.0</v>
      </c>
      <c r="C863" s="41" t="s">
        <v>79</v>
      </c>
      <c r="D863" s="86">
        <v>46081.0</v>
      </c>
      <c r="E863" s="43" t="str">
        <f t="shared" si="1"/>
        <v>2026</v>
      </c>
      <c r="F863" s="43" t="str">
        <f t="shared" si="2"/>
        <v>02 Feb</v>
      </c>
      <c r="G863" s="126" t="s">
        <v>161</v>
      </c>
      <c r="H863" s="45" t="s">
        <v>96</v>
      </c>
      <c r="I863" s="45" t="s">
        <v>904</v>
      </c>
      <c r="J863" s="143" t="s">
        <v>28</v>
      </c>
      <c r="K863" s="43" t="str">
        <f t="array" ref="K863">IF(J863="","", XLOOKUP(J863,'⚙️ Pengaturan'!$E$2:$E3237,'⚙️ Pengaturan'!$G$2:$G3237))</f>
        <v>KLINIK FT TA</v>
      </c>
      <c r="L863" s="43" t="str">
        <f t="shared" si="3"/>
        <v>BARU</v>
      </c>
      <c r="M863" s="144" t="s">
        <v>31</v>
      </c>
      <c r="N863" s="145">
        <v>250000.0</v>
      </c>
      <c r="O863" s="146">
        <v>0.0</v>
      </c>
      <c r="P863" s="48">
        <f t="array" ref="P863">IFNA(XLOOKUP(J863,'⚙️ Pengaturan'!$E$2:$E3237,'⚙️ Pengaturan'!$F$2:$F3237),"")</f>
        <v>250000</v>
      </c>
      <c r="Q863" s="147">
        <f t="shared" ref="Q863:Q872" si="13">IF(I863="","",(N863+O863)-P863)</f>
        <v>0</v>
      </c>
      <c r="R863" s="41" t="s">
        <v>32</v>
      </c>
      <c r="S863" s="69" t="s">
        <v>33</v>
      </c>
      <c r="T863" s="51" t="b">
        <v>1</v>
      </c>
      <c r="U863" s="94"/>
    </row>
    <row r="864" ht="30.0" customHeight="1">
      <c r="A864" s="39"/>
      <c r="B864" s="40">
        <v>2899.0</v>
      </c>
      <c r="C864" s="41" t="s">
        <v>79</v>
      </c>
      <c r="D864" s="86">
        <v>46081.0</v>
      </c>
      <c r="E864" s="43" t="str">
        <f t="shared" si="1"/>
        <v>2026</v>
      </c>
      <c r="F864" s="43" t="str">
        <f t="shared" si="2"/>
        <v>02 Feb</v>
      </c>
      <c r="G864" s="126" t="s">
        <v>161</v>
      </c>
      <c r="H864" s="45" t="s">
        <v>41</v>
      </c>
      <c r="I864" s="45" t="s">
        <v>748</v>
      </c>
      <c r="J864" s="143" t="s">
        <v>120</v>
      </c>
      <c r="K864" s="43" t="str">
        <f t="array" ref="K864">IF(J864="","", XLOOKUP(J864,'⚙️ Pengaturan'!$E$2:$E3237,'⚙️ Pengaturan'!$G$2:$G3237))</f>
        <v>KLINIK FT SESI</v>
      </c>
      <c r="L864" s="43" t="str">
        <f t="shared" si="3"/>
        <v>BARU</v>
      </c>
      <c r="M864" s="144" t="s">
        <v>31</v>
      </c>
      <c r="N864" s="145">
        <v>180000.0</v>
      </c>
      <c r="O864" s="146">
        <v>0.0</v>
      </c>
      <c r="P864" s="48">
        <f t="array" ref="P864">IFNA(XLOOKUP(J864,'⚙️ Pengaturan'!$E$2:$E3237,'⚙️ Pengaturan'!$F$2:$F3237),"")</f>
        <v>180000</v>
      </c>
      <c r="Q864" s="147">
        <f t="shared" si="13"/>
        <v>0</v>
      </c>
      <c r="R864" s="41" t="s">
        <v>37</v>
      </c>
      <c r="S864" s="69" t="s">
        <v>905</v>
      </c>
      <c r="T864" s="51" t="b">
        <v>1</v>
      </c>
      <c r="U864" s="94"/>
    </row>
    <row r="865" ht="30.0" customHeight="1">
      <c r="A865" s="39"/>
      <c r="B865" s="40">
        <v>2900.0</v>
      </c>
      <c r="C865" s="41" t="s">
        <v>39</v>
      </c>
      <c r="D865" s="86">
        <v>46081.0</v>
      </c>
      <c r="E865" s="43" t="str">
        <f t="shared" si="1"/>
        <v>2026</v>
      </c>
      <c r="F865" s="43" t="str">
        <f t="shared" si="2"/>
        <v>02 Feb</v>
      </c>
      <c r="G865" s="126" t="s">
        <v>35</v>
      </c>
      <c r="H865" s="45" t="s">
        <v>150</v>
      </c>
      <c r="I865" s="45" t="s">
        <v>862</v>
      </c>
      <c r="J865" s="143" t="s">
        <v>119</v>
      </c>
      <c r="K865" s="43" t="str">
        <f t="array" ref="K865">IF(J865="","", XLOOKUP(J865,'⚙️ Pengaturan'!$E$2:$E3237,'⚙️ Pengaturan'!$G$2:$G3237))</f>
        <v>KLINIK FT PAKET</v>
      </c>
      <c r="L865" s="43" t="str">
        <f t="shared" si="3"/>
        <v>LANJUTAN</v>
      </c>
      <c r="M865" s="144" t="s">
        <v>164</v>
      </c>
      <c r="N865" s="145">
        <v>500000.0</v>
      </c>
      <c r="O865" s="146">
        <v>200000.0</v>
      </c>
      <c r="P865" s="48">
        <f t="array" ref="P865">IFNA(XLOOKUP(J865,'⚙️ Pengaturan'!$E$2:$E3237,'⚙️ Pengaturan'!$F$2:$F3237),"")</f>
        <v>750000</v>
      </c>
      <c r="Q865" s="147">
        <f t="shared" si="13"/>
        <v>-50000</v>
      </c>
      <c r="R865" s="41" t="s">
        <v>32</v>
      </c>
      <c r="S865" s="69" t="s">
        <v>33</v>
      </c>
      <c r="T865" s="51" t="b">
        <v>1</v>
      </c>
      <c r="U865" s="94"/>
    </row>
    <row r="866" ht="30.0" customHeight="1">
      <c r="A866" s="39"/>
      <c r="B866" s="40">
        <v>2901.0</v>
      </c>
      <c r="C866" s="41" t="s">
        <v>39</v>
      </c>
      <c r="D866" s="86">
        <v>46081.0</v>
      </c>
      <c r="E866" s="43" t="str">
        <f t="shared" si="1"/>
        <v>2026</v>
      </c>
      <c r="F866" s="43" t="str">
        <f t="shared" si="2"/>
        <v>02 Feb</v>
      </c>
      <c r="G866" s="126" t="s">
        <v>35</v>
      </c>
      <c r="H866" s="45" t="s">
        <v>166</v>
      </c>
      <c r="I866" s="45" t="s">
        <v>906</v>
      </c>
      <c r="J866" s="143" t="s">
        <v>121</v>
      </c>
      <c r="K866" s="43" t="str">
        <f t="array" ref="K866">IF(J866="","", XLOOKUP(J866,'⚙️ Pengaturan'!$E$2:$E3237,'⚙️ Pengaturan'!$G$2:$G3237))</f>
        <v>VISIT FT TA</v>
      </c>
      <c r="L866" s="43" t="str">
        <f t="shared" si="3"/>
        <v>BARU</v>
      </c>
      <c r="M866" s="144" t="s">
        <v>31</v>
      </c>
      <c r="N866" s="145">
        <v>300000.0</v>
      </c>
      <c r="O866" s="146">
        <v>0.0</v>
      </c>
      <c r="P866" s="48">
        <f t="array" ref="P866">IFNA(XLOOKUP(J866,'⚙️ Pengaturan'!$E$2:$E3237,'⚙️ Pengaturan'!$F$2:$F3237),"")</f>
        <v>300000</v>
      </c>
      <c r="Q866" s="147">
        <f t="shared" si="13"/>
        <v>0</v>
      </c>
      <c r="R866" s="41" t="s">
        <v>32</v>
      </c>
      <c r="S866" s="69" t="s">
        <v>33</v>
      </c>
      <c r="T866" s="51" t="b">
        <v>1</v>
      </c>
      <c r="U866" s="94"/>
    </row>
    <row r="867" ht="30.0" customHeight="1">
      <c r="A867" s="39"/>
      <c r="B867" s="40">
        <v>2902.0</v>
      </c>
      <c r="C867" s="41" t="s">
        <v>39</v>
      </c>
      <c r="D867" s="86">
        <v>46081.0</v>
      </c>
      <c r="E867" s="43" t="str">
        <f t="shared" si="1"/>
        <v>2026</v>
      </c>
      <c r="F867" s="43" t="str">
        <f t="shared" si="2"/>
        <v>02 Feb</v>
      </c>
      <c r="G867" s="126" t="s">
        <v>35</v>
      </c>
      <c r="H867" s="45" t="s">
        <v>166</v>
      </c>
      <c r="I867" s="45" t="s">
        <v>600</v>
      </c>
      <c r="J867" s="143" t="s">
        <v>92</v>
      </c>
      <c r="K867" s="43" t="str">
        <f t="array" ref="K867">IF(J867="","", XLOOKUP(J867,'⚙️ Pengaturan'!$E$2:$E3237,'⚙️ Pengaturan'!$G$2:$G3237))</f>
        <v>KLINIK FT PAKET</v>
      </c>
      <c r="L867" s="43" t="str">
        <f t="shared" si="3"/>
        <v>LANJUTAN</v>
      </c>
      <c r="M867" s="144" t="s">
        <v>164</v>
      </c>
      <c r="N867" s="145">
        <v>1000000.0</v>
      </c>
      <c r="O867" s="146">
        <v>200000.0</v>
      </c>
      <c r="P867" s="48">
        <f t="array" ref="P867">IFNA(XLOOKUP(J867,'⚙️ Pengaturan'!$E$2:$E3237,'⚙️ Pengaturan'!$F$2:$F3237),"")</f>
        <v>1200000</v>
      </c>
      <c r="Q867" s="147">
        <f t="shared" si="13"/>
        <v>0</v>
      </c>
      <c r="R867" s="41" t="s">
        <v>32</v>
      </c>
      <c r="S867" s="69" t="s">
        <v>33</v>
      </c>
      <c r="T867" s="51" t="b">
        <v>1</v>
      </c>
      <c r="U867" s="94"/>
    </row>
    <row r="868" ht="30.0" customHeight="1">
      <c r="A868" s="39"/>
      <c r="B868" s="40">
        <v>2903.0</v>
      </c>
      <c r="C868" s="41" t="s">
        <v>39</v>
      </c>
      <c r="D868" s="86">
        <v>46081.0</v>
      </c>
      <c r="E868" s="43" t="str">
        <f t="shared" si="1"/>
        <v>2026</v>
      </c>
      <c r="F868" s="43" t="str">
        <f t="shared" si="2"/>
        <v>02 Feb</v>
      </c>
      <c r="G868" s="126" t="s">
        <v>43</v>
      </c>
      <c r="H868" s="45" t="s">
        <v>150</v>
      </c>
      <c r="I868" s="45" t="s">
        <v>907</v>
      </c>
      <c r="J868" s="143" t="s">
        <v>28</v>
      </c>
      <c r="K868" s="43" t="str">
        <f t="array" ref="K868">IF(J868="","", XLOOKUP(J868,'⚙️ Pengaturan'!$E$2:$E3237,'⚙️ Pengaturan'!$G$2:$G3237))</f>
        <v>KLINIK FT TA</v>
      </c>
      <c r="L868" s="43" t="str">
        <f t="shared" si="3"/>
        <v>BARU</v>
      </c>
      <c r="M868" s="144" t="s">
        <v>31</v>
      </c>
      <c r="N868" s="145">
        <v>250000.0</v>
      </c>
      <c r="O868" s="146">
        <v>0.0</v>
      </c>
      <c r="P868" s="48">
        <f t="array" ref="P868">IFNA(XLOOKUP(J868,'⚙️ Pengaturan'!$E$2:$E3237,'⚙️ Pengaturan'!$F$2:$F3237),"")</f>
        <v>250000</v>
      </c>
      <c r="Q868" s="147">
        <f t="shared" si="13"/>
        <v>0</v>
      </c>
      <c r="R868" s="41" t="s">
        <v>32</v>
      </c>
      <c r="S868" s="69" t="s">
        <v>33</v>
      </c>
      <c r="T868" s="51" t="b">
        <v>1</v>
      </c>
      <c r="U868" s="94"/>
    </row>
    <row r="869" ht="30.0" customHeight="1">
      <c r="A869" s="39"/>
      <c r="B869" s="40">
        <v>2904.0</v>
      </c>
      <c r="C869" s="41" t="s">
        <v>39</v>
      </c>
      <c r="D869" s="86">
        <v>46081.0</v>
      </c>
      <c r="E869" s="43" t="str">
        <f t="shared" si="1"/>
        <v>2026</v>
      </c>
      <c r="F869" s="43" t="str">
        <f t="shared" si="2"/>
        <v>02 Feb</v>
      </c>
      <c r="G869" s="126" t="s">
        <v>69</v>
      </c>
      <c r="H869" s="45" t="s">
        <v>150</v>
      </c>
      <c r="I869" s="45" t="s">
        <v>866</v>
      </c>
      <c r="J869" s="143" t="s">
        <v>120</v>
      </c>
      <c r="K869" s="43" t="str">
        <f t="array" ref="K869">IF(J869="","", XLOOKUP(J869,'⚙️ Pengaturan'!$E$2:$E3237,'⚙️ Pengaturan'!$G$2:$G3237))</f>
        <v>KLINIK FT SESI</v>
      </c>
      <c r="L869" s="43" t="str">
        <f t="shared" si="3"/>
        <v>BARU</v>
      </c>
      <c r="M869" s="144" t="s">
        <v>31</v>
      </c>
      <c r="N869" s="145">
        <v>180000.0</v>
      </c>
      <c r="O869" s="146">
        <v>0.0</v>
      </c>
      <c r="P869" s="48">
        <f t="array" ref="P869">IFNA(XLOOKUP(J869,'⚙️ Pengaturan'!$E$2:$E3237,'⚙️ Pengaturan'!$F$2:$F3237),"")</f>
        <v>180000</v>
      </c>
      <c r="Q869" s="147">
        <f t="shared" si="13"/>
        <v>0</v>
      </c>
      <c r="R869" s="41" t="s">
        <v>37</v>
      </c>
      <c r="S869" s="69" t="s">
        <v>866</v>
      </c>
      <c r="T869" s="51" t="b">
        <v>1</v>
      </c>
      <c r="U869" s="94"/>
    </row>
    <row r="870" ht="30.0" customHeight="1">
      <c r="A870" s="39"/>
      <c r="B870" s="40">
        <v>2905.0</v>
      </c>
      <c r="C870" s="41" t="s">
        <v>39</v>
      </c>
      <c r="D870" s="86">
        <v>46081.0</v>
      </c>
      <c r="E870" s="43" t="str">
        <f t="shared" si="1"/>
        <v>2026</v>
      </c>
      <c r="F870" s="43" t="str">
        <f t="shared" si="2"/>
        <v>02 Feb</v>
      </c>
      <c r="G870" s="126" t="s">
        <v>69</v>
      </c>
      <c r="H870" s="45" t="s">
        <v>150</v>
      </c>
      <c r="I870" s="45" t="s">
        <v>908</v>
      </c>
      <c r="J870" s="143" t="s">
        <v>28</v>
      </c>
      <c r="K870" s="43" t="str">
        <f t="array" ref="K870">IF(J870="","", XLOOKUP(J870,'⚙️ Pengaturan'!$E$2:$E3237,'⚙️ Pengaturan'!$G$2:$G3237))</f>
        <v>KLINIK FT TA</v>
      </c>
      <c r="L870" s="43" t="str">
        <f t="shared" si="3"/>
        <v>BARU</v>
      </c>
      <c r="M870" s="144" t="s">
        <v>31</v>
      </c>
      <c r="N870" s="145">
        <v>250000.0</v>
      </c>
      <c r="O870" s="146">
        <v>0.0</v>
      </c>
      <c r="P870" s="48">
        <f t="array" ref="P870">IFNA(XLOOKUP(J870,'⚙️ Pengaturan'!$E$2:$E3237,'⚙️ Pengaturan'!$F$2:$F3237),"")</f>
        <v>250000</v>
      </c>
      <c r="Q870" s="147">
        <f t="shared" si="13"/>
        <v>0</v>
      </c>
      <c r="R870" s="41" t="s">
        <v>37</v>
      </c>
      <c r="S870" s="69" t="s">
        <v>866</v>
      </c>
      <c r="T870" s="51" t="b">
        <v>1</v>
      </c>
      <c r="U870" s="94"/>
    </row>
    <row r="871" ht="30.0" customHeight="1">
      <c r="A871" s="39"/>
      <c r="B871" s="40">
        <v>2906.0</v>
      </c>
      <c r="C871" s="41" t="s">
        <v>39</v>
      </c>
      <c r="D871" s="86">
        <v>46081.0</v>
      </c>
      <c r="E871" s="43" t="str">
        <f t="shared" si="1"/>
        <v>2026</v>
      </c>
      <c r="F871" s="43" t="str">
        <f t="shared" si="2"/>
        <v>02 Feb</v>
      </c>
      <c r="G871" s="126" t="s">
        <v>190</v>
      </c>
      <c r="H871" s="45" t="s">
        <v>166</v>
      </c>
      <c r="I871" s="45" t="s">
        <v>881</v>
      </c>
      <c r="J871" s="143" t="s">
        <v>120</v>
      </c>
      <c r="K871" s="43" t="str">
        <f t="array" ref="K871">IF(J871="","", XLOOKUP(J871,'⚙️ Pengaturan'!$E$2:$E3237,'⚙️ Pengaturan'!$G$2:$G3237))</f>
        <v>KLINIK FT SESI</v>
      </c>
      <c r="L871" s="43" t="str">
        <f t="shared" si="3"/>
        <v>BARU</v>
      </c>
      <c r="M871" s="144" t="s">
        <v>31</v>
      </c>
      <c r="N871" s="145">
        <v>180000.0</v>
      </c>
      <c r="O871" s="146">
        <v>0.0</v>
      </c>
      <c r="P871" s="48">
        <f t="array" ref="P871">IFNA(XLOOKUP(J871,'⚙️ Pengaturan'!$E$2:$E3237,'⚙️ Pengaturan'!$F$2:$F3237),"")</f>
        <v>180000</v>
      </c>
      <c r="Q871" s="147">
        <f t="shared" si="13"/>
        <v>0</v>
      </c>
      <c r="R871" s="41" t="s">
        <v>118</v>
      </c>
      <c r="S871" s="69" t="s">
        <v>881</v>
      </c>
      <c r="T871" s="51" t="b">
        <v>1</v>
      </c>
      <c r="U871" s="94"/>
    </row>
    <row r="872" ht="30.0" customHeight="1">
      <c r="A872" s="39"/>
      <c r="B872" s="40">
        <v>2907.0</v>
      </c>
      <c r="C872" s="41" t="s">
        <v>39</v>
      </c>
      <c r="D872" s="86">
        <v>46081.0</v>
      </c>
      <c r="E872" s="43" t="str">
        <f t="shared" si="1"/>
        <v>2026</v>
      </c>
      <c r="F872" s="43" t="str">
        <f t="shared" si="2"/>
        <v>02 Feb</v>
      </c>
      <c r="G872" s="126" t="s">
        <v>69</v>
      </c>
      <c r="H872" s="45" t="s">
        <v>150</v>
      </c>
      <c r="I872" s="45" t="s">
        <v>909</v>
      </c>
      <c r="J872" s="143" t="s">
        <v>28</v>
      </c>
      <c r="K872" s="43" t="str">
        <f t="array" ref="K872">IF(J872="","", XLOOKUP(J872,'⚙️ Pengaturan'!$E$2:$E3237,'⚙️ Pengaturan'!$G$2:$G3237))</f>
        <v>KLINIK FT TA</v>
      </c>
      <c r="L872" s="43" t="str">
        <f t="shared" si="3"/>
        <v>BARU</v>
      </c>
      <c r="M872" s="144" t="s">
        <v>31</v>
      </c>
      <c r="N872" s="145">
        <v>250000.0</v>
      </c>
      <c r="O872" s="146">
        <v>0.0</v>
      </c>
      <c r="P872" s="48">
        <f t="array" ref="P872">IFNA(XLOOKUP(J872,'⚙️ Pengaturan'!$E$2:$E3237,'⚙️ Pengaturan'!$F$2:$F3237),"")</f>
        <v>250000</v>
      </c>
      <c r="Q872" s="147">
        <f t="shared" si="13"/>
        <v>0</v>
      </c>
      <c r="R872" s="41" t="s">
        <v>37</v>
      </c>
      <c r="S872" s="69" t="s">
        <v>909</v>
      </c>
      <c r="T872" s="51" t="b">
        <v>1</v>
      </c>
      <c r="U872" s="94"/>
    </row>
    <row r="873" ht="30.0" customHeight="1">
      <c r="A873" s="39"/>
      <c r="B873" s="40">
        <v>2908.0</v>
      </c>
      <c r="C873" s="41" t="s">
        <v>79</v>
      </c>
      <c r="D873" s="86">
        <v>46082.0</v>
      </c>
      <c r="E873" s="43" t="str">
        <f t="shared" si="1"/>
        <v>2026</v>
      </c>
      <c r="F873" s="43" t="str">
        <f t="shared" si="2"/>
        <v>03 Mar</v>
      </c>
      <c r="G873" s="126" t="s">
        <v>195</v>
      </c>
      <c r="H873" s="45" t="s">
        <v>76</v>
      </c>
      <c r="I873" s="45" t="s">
        <v>910</v>
      </c>
      <c r="J873" s="143" t="s">
        <v>28</v>
      </c>
      <c r="K873" s="43" t="str">
        <f t="array" ref="K873">IF(J873="","", XLOOKUP(J873,'⚙️ Pengaturan'!$E$2:$E3237,'⚙️ Pengaturan'!$G$2:$G3237))</f>
        <v>KLINIK FT TA</v>
      </c>
      <c r="L873" s="43" t="str">
        <f t="shared" si="3"/>
        <v>BARU</v>
      </c>
      <c r="M873" s="144" t="s">
        <v>31</v>
      </c>
      <c r="N873" s="145">
        <v>250000.0</v>
      </c>
      <c r="O873" s="146">
        <v>0.0</v>
      </c>
      <c r="P873" s="48">
        <v>250000.0</v>
      </c>
      <c r="Q873" s="147">
        <v>0.0</v>
      </c>
      <c r="R873" s="41" t="s">
        <v>32</v>
      </c>
      <c r="S873" s="69" t="s">
        <v>33</v>
      </c>
      <c r="T873" s="51" t="b">
        <v>1</v>
      </c>
      <c r="U873" s="94"/>
    </row>
    <row r="874" ht="30.0" customHeight="1">
      <c r="A874" s="39"/>
      <c r="B874" s="40">
        <v>2909.0</v>
      </c>
      <c r="C874" s="41" t="s">
        <v>79</v>
      </c>
      <c r="D874" s="86">
        <v>46082.0</v>
      </c>
      <c r="E874" s="43" t="str">
        <f t="shared" si="1"/>
        <v>2026</v>
      </c>
      <c r="F874" s="43" t="str">
        <f t="shared" si="2"/>
        <v>03 Mar</v>
      </c>
      <c r="G874" s="126" t="s">
        <v>195</v>
      </c>
      <c r="H874" s="45" t="s">
        <v>96</v>
      </c>
      <c r="I874" s="45" t="s">
        <v>901</v>
      </c>
      <c r="J874" s="143" t="s">
        <v>120</v>
      </c>
      <c r="K874" s="43" t="str">
        <f t="array" ref="K874">IF(J874="","", XLOOKUP(J874,'⚙️ Pengaturan'!$E$2:$E3237,'⚙️ Pengaturan'!$G$2:$G3237))</f>
        <v>KLINIK FT SESI</v>
      </c>
      <c r="L874" s="43" t="str">
        <f t="shared" si="3"/>
        <v>BARU</v>
      </c>
      <c r="M874" s="144" t="s">
        <v>31</v>
      </c>
      <c r="N874" s="145">
        <v>180000.0</v>
      </c>
      <c r="O874" s="146">
        <v>0.0</v>
      </c>
      <c r="P874" s="48">
        <v>180000.0</v>
      </c>
      <c r="Q874" s="147">
        <v>0.0</v>
      </c>
      <c r="R874" s="41" t="s">
        <v>32</v>
      </c>
      <c r="S874" s="69" t="s">
        <v>33</v>
      </c>
      <c r="T874" s="51" t="b">
        <v>1</v>
      </c>
      <c r="U874" s="94"/>
    </row>
    <row r="875" ht="30.0" customHeight="1">
      <c r="A875" s="39"/>
      <c r="B875" s="40">
        <v>2910.0</v>
      </c>
      <c r="C875" s="41" t="s">
        <v>79</v>
      </c>
      <c r="D875" s="86">
        <v>46082.0</v>
      </c>
      <c r="E875" s="43" t="str">
        <f t="shared" si="1"/>
        <v>2026</v>
      </c>
      <c r="F875" s="43" t="str">
        <f t="shared" si="2"/>
        <v>03 Mar</v>
      </c>
      <c r="G875" s="126" t="s">
        <v>25</v>
      </c>
      <c r="H875" s="45" t="s">
        <v>41</v>
      </c>
      <c r="I875" s="45" t="s">
        <v>911</v>
      </c>
      <c r="J875" s="143" t="s">
        <v>28</v>
      </c>
      <c r="K875" s="43" t="str">
        <f t="array" ref="K875">IF(J875="","", XLOOKUP(J875,'⚙️ Pengaturan'!$E$2:$E3237,'⚙️ Pengaturan'!$G$2:$G3237))</f>
        <v>KLINIK FT TA</v>
      </c>
      <c r="L875" s="43" t="str">
        <f t="shared" si="3"/>
        <v>BARU</v>
      </c>
      <c r="M875" s="144" t="s">
        <v>31</v>
      </c>
      <c r="N875" s="145">
        <v>250000.0</v>
      </c>
      <c r="O875" s="146">
        <v>0.0</v>
      </c>
      <c r="P875" s="48">
        <v>250000.0</v>
      </c>
      <c r="Q875" s="147">
        <f t="shared" ref="Q875:Q935" si="14">IF(I875="","",(N875+O875)-P875)</f>
        <v>0</v>
      </c>
      <c r="R875" s="41" t="s">
        <v>32</v>
      </c>
      <c r="S875" s="69" t="s">
        <v>33</v>
      </c>
      <c r="T875" s="51" t="b">
        <v>1</v>
      </c>
      <c r="U875" s="94"/>
    </row>
    <row r="876" ht="30.0" customHeight="1">
      <c r="A876" s="39"/>
      <c r="B876" s="40">
        <v>2911.0</v>
      </c>
      <c r="C876" s="41" t="s">
        <v>79</v>
      </c>
      <c r="D876" s="86">
        <v>46082.0</v>
      </c>
      <c r="E876" s="43" t="str">
        <f t="shared" si="1"/>
        <v>2026</v>
      </c>
      <c r="F876" s="43" t="str">
        <f t="shared" si="2"/>
        <v>03 Mar</v>
      </c>
      <c r="G876" s="126" t="s">
        <v>25</v>
      </c>
      <c r="H876" s="45" t="s">
        <v>76</v>
      </c>
      <c r="I876" s="45" t="s">
        <v>890</v>
      </c>
      <c r="J876" s="143" t="s">
        <v>347</v>
      </c>
      <c r="K876" s="43" t="str">
        <f t="array" ref="K876">IF(J876="","", XLOOKUP(J876,'⚙️ Pengaturan'!$E$2:$E3237,'⚙️ Pengaturan'!$G$2:$G3237))</f>
        <v>KLINIK FT PAKET</v>
      </c>
      <c r="L876" s="43" t="str">
        <f t="shared" si="3"/>
        <v>BARU</v>
      </c>
      <c r="M876" s="144" t="s">
        <v>31</v>
      </c>
      <c r="N876" s="145">
        <v>1300000.0</v>
      </c>
      <c r="O876" s="146">
        <v>0.0</v>
      </c>
      <c r="P876" s="48">
        <f t="array" ref="P876">IFNA(XLOOKUP(J876,'⚙️ Pengaturan'!$E$2:$E3237,'⚙️ Pengaturan'!$F$2:$F3237),"")</f>
        <v>1300000</v>
      </c>
      <c r="Q876" s="147">
        <f t="shared" si="14"/>
        <v>0</v>
      </c>
      <c r="R876" s="41" t="s">
        <v>37</v>
      </c>
      <c r="S876" s="69" t="s">
        <v>890</v>
      </c>
      <c r="T876" s="51" t="b">
        <v>1</v>
      </c>
      <c r="U876" s="94"/>
    </row>
    <row r="877" ht="30.0" customHeight="1">
      <c r="A877" s="39"/>
      <c r="B877" s="40">
        <v>2912.0</v>
      </c>
      <c r="C877" s="41" t="s">
        <v>79</v>
      </c>
      <c r="D877" s="86">
        <v>46082.0</v>
      </c>
      <c r="E877" s="43" t="str">
        <f t="shared" si="1"/>
        <v>2026</v>
      </c>
      <c r="F877" s="43" t="str">
        <f t="shared" si="2"/>
        <v>03 Mar</v>
      </c>
      <c r="G877" s="126" t="s">
        <v>25</v>
      </c>
      <c r="H877" s="45" t="s">
        <v>76</v>
      </c>
      <c r="I877" s="45" t="s">
        <v>630</v>
      </c>
      <c r="J877" s="143" t="s">
        <v>92</v>
      </c>
      <c r="K877" s="43" t="str">
        <f t="array" ref="K877">IF(J877="","", XLOOKUP(J877,'⚙️ Pengaturan'!$E$2:$E3237,'⚙️ Pengaturan'!$G$2:$G3237))</f>
        <v>KLINIK FT PAKET</v>
      </c>
      <c r="L877" s="43" t="str">
        <f t="shared" si="3"/>
        <v>LANJUTAN</v>
      </c>
      <c r="M877" s="144" t="s">
        <v>31</v>
      </c>
      <c r="N877" s="145">
        <v>1200000.0</v>
      </c>
      <c r="O877" s="146">
        <v>0.0</v>
      </c>
      <c r="P877" s="119">
        <v>1200000.0</v>
      </c>
      <c r="Q877" s="147">
        <f t="shared" si="14"/>
        <v>0</v>
      </c>
      <c r="R877" s="41" t="s">
        <v>32</v>
      </c>
      <c r="S877" s="69" t="s">
        <v>33</v>
      </c>
      <c r="T877" s="51" t="b">
        <v>1</v>
      </c>
      <c r="U877" s="94"/>
    </row>
    <row r="878" ht="30.0" customHeight="1">
      <c r="A878" s="39"/>
      <c r="B878" s="40">
        <v>2913.0</v>
      </c>
      <c r="C878" s="41" t="s">
        <v>79</v>
      </c>
      <c r="D878" s="86">
        <v>46082.0</v>
      </c>
      <c r="E878" s="43" t="str">
        <f t="shared" si="1"/>
        <v>2026</v>
      </c>
      <c r="F878" s="43" t="str">
        <f t="shared" si="2"/>
        <v>03 Mar</v>
      </c>
      <c r="G878" s="126" t="s">
        <v>161</v>
      </c>
      <c r="H878" s="45" t="s">
        <v>47</v>
      </c>
      <c r="I878" s="45" t="s">
        <v>912</v>
      </c>
      <c r="J878" s="143" t="s">
        <v>28</v>
      </c>
      <c r="K878" s="43" t="str">
        <f t="array" ref="K878">IF(J878="","", XLOOKUP(J878,'⚙️ Pengaturan'!$E$2:$E3237,'⚙️ Pengaturan'!$G$2:$G3237))</f>
        <v>KLINIK FT TA</v>
      </c>
      <c r="L878" s="43" t="str">
        <f t="shared" si="3"/>
        <v>BARU</v>
      </c>
      <c r="M878" s="144" t="s">
        <v>31</v>
      </c>
      <c r="N878" s="145">
        <v>250000.0</v>
      </c>
      <c r="O878" s="146">
        <v>0.0</v>
      </c>
      <c r="P878" s="48">
        <f t="array" ref="P878">IFNA(XLOOKUP(J878,'⚙️ Pengaturan'!$E$2:$E3237,'⚙️ Pengaturan'!$F$2:$F3237),"")</f>
        <v>250000</v>
      </c>
      <c r="Q878" s="147">
        <f t="shared" si="14"/>
        <v>0</v>
      </c>
      <c r="R878" s="41" t="s">
        <v>37</v>
      </c>
      <c r="S878" s="69" t="s">
        <v>912</v>
      </c>
      <c r="T878" s="51" t="b">
        <v>1</v>
      </c>
      <c r="U878" s="94"/>
    </row>
    <row r="879" ht="30.0" customHeight="1">
      <c r="A879" s="39"/>
      <c r="B879" s="40">
        <v>2914.0</v>
      </c>
      <c r="C879" s="41" t="s">
        <v>50</v>
      </c>
      <c r="D879" s="86">
        <v>46082.0</v>
      </c>
      <c r="E879" s="43" t="str">
        <f t="shared" si="1"/>
        <v>2026</v>
      </c>
      <c r="F879" s="43" t="str">
        <f t="shared" si="2"/>
        <v>03 Mar</v>
      </c>
      <c r="G879" s="126" t="s">
        <v>35</v>
      </c>
      <c r="H879" s="45" t="s">
        <v>26</v>
      </c>
      <c r="I879" s="45" t="s">
        <v>701</v>
      </c>
      <c r="J879" s="143" t="s">
        <v>92</v>
      </c>
      <c r="K879" s="43" t="str">
        <f t="array" ref="K879">IF(J879="","", XLOOKUP(J879,'⚙️ Pengaturan'!$E$2:$E3237,'⚙️ Pengaturan'!$G$2:$G3237))</f>
        <v>KLINIK FT PAKET</v>
      </c>
      <c r="L879" s="43" t="str">
        <f t="shared" si="3"/>
        <v>LANJUTAN</v>
      </c>
      <c r="M879" s="144" t="s">
        <v>81</v>
      </c>
      <c r="N879" s="145">
        <v>150000.0</v>
      </c>
      <c r="O879" s="146">
        <v>700000.0</v>
      </c>
      <c r="P879" s="48">
        <f t="array" ref="P879">IFNA(XLOOKUP(J879,'⚙️ Pengaturan'!$E$2:$E3237,'⚙️ Pengaturan'!$F$2:$F3237),"")</f>
        <v>1200000</v>
      </c>
      <c r="Q879" s="147">
        <f t="shared" si="14"/>
        <v>-350000</v>
      </c>
      <c r="R879" s="41" t="s">
        <v>32</v>
      </c>
      <c r="S879" s="69" t="s">
        <v>33</v>
      </c>
      <c r="T879" s="51" t="b">
        <v>1</v>
      </c>
      <c r="U879" s="94"/>
    </row>
    <row r="880" ht="30.0" customHeight="1">
      <c r="A880" s="39"/>
      <c r="B880" s="40">
        <v>2915.0</v>
      </c>
      <c r="C880" s="41" t="s">
        <v>50</v>
      </c>
      <c r="D880" s="86">
        <v>46082.0</v>
      </c>
      <c r="E880" s="43" t="str">
        <f t="shared" si="1"/>
        <v>2026</v>
      </c>
      <c r="F880" s="43" t="str">
        <f t="shared" si="2"/>
        <v>03 Mar</v>
      </c>
      <c r="G880" s="126" t="s">
        <v>40</v>
      </c>
      <c r="H880" s="45" t="s">
        <v>162</v>
      </c>
      <c r="I880" s="45" t="s">
        <v>864</v>
      </c>
      <c r="J880" s="143" t="s">
        <v>120</v>
      </c>
      <c r="K880" s="43" t="str">
        <f t="array" ref="K880">IF(J880="","", XLOOKUP(J880,'⚙️ Pengaturan'!$E$2:$E3237,'⚙️ Pengaturan'!$G$2:$G3237))</f>
        <v>KLINIK FT SESI</v>
      </c>
      <c r="L880" s="43" t="str">
        <f t="shared" si="3"/>
        <v>BARU</v>
      </c>
      <c r="M880" s="144" t="s">
        <v>31</v>
      </c>
      <c r="N880" s="145">
        <v>180000.0</v>
      </c>
      <c r="O880" s="146">
        <v>0.0</v>
      </c>
      <c r="P880" s="48">
        <f t="array" ref="P880">IFNA(XLOOKUP(J880,'⚙️ Pengaturan'!$E$2:$E3237,'⚙️ Pengaturan'!$F$2:$F3237),"")</f>
        <v>180000</v>
      </c>
      <c r="Q880" s="147">
        <f t="shared" si="14"/>
        <v>0</v>
      </c>
      <c r="R880" s="41" t="s">
        <v>32</v>
      </c>
      <c r="S880" s="69" t="s">
        <v>33</v>
      </c>
      <c r="T880" s="51" t="b">
        <v>1</v>
      </c>
      <c r="U880" s="94"/>
    </row>
    <row r="881" ht="30.0" customHeight="1">
      <c r="A881" s="39"/>
      <c r="B881" s="40">
        <v>2916.0</v>
      </c>
      <c r="C881" s="41" t="s">
        <v>50</v>
      </c>
      <c r="D881" s="86">
        <v>46082.0</v>
      </c>
      <c r="E881" s="43" t="str">
        <f t="shared" si="1"/>
        <v>2026</v>
      </c>
      <c r="F881" s="43" t="str">
        <f t="shared" si="2"/>
        <v>03 Mar</v>
      </c>
      <c r="G881" s="126" t="s">
        <v>43</v>
      </c>
      <c r="H881" s="45" t="s">
        <v>162</v>
      </c>
      <c r="I881" s="45" t="s">
        <v>472</v>
      </c>
      <c r="J881" s="143" t="s">
        <v>92</v>
      </c>
      <c r="K881" s="43" t="str">
        <f t="array" ref="K881">IF(J881="","", XLOOKUP(J881,'⚙️ Pengaturan'!$E$2:$E3237,'⚙️ Pengaturan'!$G$2:$G3237))</f>
        <v>KLINIK FT PAKET</v>
      </c>
      <c r="L881" s="43" t="str">
        <f t="shared" si="3"/>
        <v>LANJUTAN</v>
      </c>
      <c r="M881" s="144" t="s">
        <v>60</v>
      </c>
      <c r="N881" s="145">
        <v>500000.0</v>
      </c>
      <c r="O881" s="146">
        <v>0.0</v>
      </c>
      <c r="P881" s="48">
        <f t="array" ref="P881">IFNA(XLOOKUP(J881,'⚙️ Pengaturan'!$E$2:$E3237,'⚙️ Pengaturan'!$F$2:$F3237),"")</f>
        <v>1200000</v>
      </c>
      <c r="Q881" s="147">
        <f t="shared" si="14"/>
        <v>-700000</v>
      </c>
      <c r="R881" s="41" t="s">
        <v>118</v>
      </c>
      <c r="S881" s="69" t="s">
        <v>472</v>
      </c>
      <c r="T881" s="51" t="b">
        <v>1</v>
      </c>
      <c r="U881" s="94"/>
    </row>
    <row r="882" ht="30.0" customHeight="1">
      <c r="A882" s="39"/>
      <c r="B882" s="40">
        <v>2917.0</v>
      </c>
      <c r="C882" s="41" t="s">
        <v>50</v>
      </c>
      <c r="D882" s="86">
        <v>46082.0</v>
      </c>
      <c r="E882" s="43" t="str">
        <f t="shared" si="1"/>
        <v>2026</v>
      </c>
      <c r="F882" s="43" t="str">
        <f t="shared" si="2"/>
        <v>03 Mar</v>
      </c>
      <c r="G882" s="126" t="s">
        <v>190</v>
      </c>
      <c r="H882" s="45" t="s">
        <v>26</v>
      </c>
      <c r="I882" s="45" t="s">
        <v>913</v>
      </c>
      <c r="J882" s="143" t="s">
        <v>28</v>
      </c>
      <c r="K882" s="43" t="str">
        <f t="array" ref="K882">IF(J882="","", XLOOKUP(J882,'⚙️ Pengaturan'!$E$2:$E3237,'⚙️ Pengaturan'!$G$2:$G3237))</f>
        <v>KLINIK FT TA</v>
      </c>
      <c r="L882" s="43" t="str">
        <f t="shared" si="3"/>
        <v>BARU</v>
      </c>
      <c r="M882" s="144" t="s">
        <v>31</v>
      </c>
      <c r="N882" s="145">
        <v>250000.0</v>
      </c>
      <c r="O882" s="146">
        <v>0.0</v>
      </c>
      <c r="P882" s="48">
        <f t="array" ref="P882">IFNA(XLOOKUP(J882,'⚙️ Pengaturan'!$E$2:$E3237,'⚙️ Pengaturan'!$F$2:$F3237),"")</f>
        <v>250000</v>
      </c>
      <c r="Q882" s="147">
        <f t="shared" si="14"/>
        <v>0</v>
      </c>
      <c r="R882" s="41" t="s">
        <v>32</v>
      </c>
      <c r="S882" s="69" t="s">
        <v>33</v>
      </c>
      <c r="T882" s="51" t="b">
        <v>1</v>
      </c>
      <c r="U882" s="94"/>
    </row>
    <row r="883" ht="30.0" customHeight="1">
      <c r="A883" s="39"/>
      <c r="B883" s="40">
        <v>2918.0</v>
      </c>
      <c r="C883" s="41" t="s">
        <v>39</v>
      </c>
      <c r="D883" s="86">
        <v>46083.0</v>
      </c>
      <c r="E883" s="43" t="str">
        <f t="shared" si="1"/>
        <v>2026</v>
      </c>
      <c r="F883" s="43" t="str">
        <f t="shared" si="2"/>
        <v>03 Mar</v>
      </c>
      <c r="G883" s="126" t="s">
        <v>195</v>
      </c>
      <c r="H883" s="45" t="s">
        <v>166</v>
      </c>
      <c r="I883" s="45" t="s">
        <v>908</v>
      </c>
      <c r="J883" s="143" t="s">
        <v>119</v>
      </c>
      <c r="K883" s="43" t="str">
        <f t="array" ref="K883">IF(J883="","", XLOOKUP(J883,'⚙️ Pengaturan'!$E$2:$E3237,'⚙️ Pengaturan'!$G$2:$G3237))</f>
        <v>KLINIK FT PAKET</v>
      </c>
      <c r="L883" s="43" t="str">
        <f t="shared" si="3"/>
        <v>BARU</v>
      </c>
      <c r="M883" s="144" t="s">
        <v>31</v>
      </c>
      <c r="N883" s="145">
        <v>750000.0</v>
      </c>
      <c r="O883" s="146">
        <v>0.0</v>
      </c>
      <c r="P883" s="48">
        <f t="array" ref="P883">IFNA(XLOOKUP(J883,'⚙️ Pengaturan'!$E$2:$E3237,'⚙️ Pengaturan'!$F$2:$F3237),"")</f>
        <v>750000</v>
      </c>
      <c r="Q883" s="147">
        <f t="shared" si="14"/>
        <v>0</v>
      </c>
      <c r="R883" s="41" t="s">
        <v>37</v>
      </c>
      <c r="S883" s="69" t="s">
        <v>908</v>
      </c>
      <c r="T883" s="51" t="b">
        <v>1</v>
      </c>
      <c r="U883" s="94"/>
    </row>
    <row r="884" ht="30.0" customHeight="1">
      <c r="A884" s="39"/>
      <c r="B884" s="40">
        <v>2919.0</v>
      </c>
      <c r="C884" s="41" t="s">
        <v>39</v>
      </c>
      <c r="D884" s="86">
        <v>46083.0</v>
      </c>
      <c r="E884" s="43" t="str">
        <f t="shared" si="1"/>
        <v>2026</v>
      </c>
      <c r="F884" s="43" t="str">
        <f t="shared" si="2"/>
        <v>03 Mar</v>
      </c>
      <c r="G884" s="126" t="s">
        <v>25</v>
      </c>
      <c r="H884" s="45" t="s">
        <v>162</v>
      </c>
      <c r="I884" s="45" t="s">
        <v>896</v>
      </c>
      <c r="J884" s="143" t="s">
        <v>120</v>
      </c>
      <c r="K884" s="43" t="str">
        <f t="array" ref="K884">IF(J884="","", XLOOKUP(J884,'⚙️ Pengaturan'!$E$2:$E3237,'⚙️ Pengaturan'!$G$2:$G3237))</f>
        <v>KLINIK FT SESI</v>
      </c>
      <c r="L884" s="43" t="str">
        <f t="shared" si="3"/>
        <v>BARU</v>
      </c>
      <c r="M884" s="144" t="s">
        <v>31</v>
      </c>
      <c r="N884" s="145">
        <v>180000.0</v>
      </c>
      <c r="O884" s="146">
        <v>0.0</v>
      </c>
      <c r="P884" s="48">
        <f t="array" ref="P884">IFNA(XLOOKUP(J884,'⚙️ Pengaturan'!$E$2:$E3237,'⚙️ Pengaturan'!$F$2:$F3237),"")</f>
        <v>180000</v>
      </c>
      <c r="Q884" s="147">
        <f t="shared" si="14"/>
        <v>0</v>
      </c>
      <c r="R884" s="41" t="s">
        <v>32</v>
      </c>
      <c r="S884" s="69" t="s">
        <v>33</v>
      </c>
      <c r="T884" s="51" t="b">
        <v>1</v>
      </c>
      <c r="U884" s="94"/>
    </row>
    <row r="885" ht="30.0" customHeight="1">
      <c r="A885" s="39"/>
      <c r="B885" s="40">
        <v>2920.0</v>
      </c>
      <c r="C885" s="41" t="s">
        <v>39</v>
      </c>
      <c r="D885" s="86">
        <v>46083.0</v>
      </c>
      <c r="E885" s="43" t="str">
        <f t="shared" si="1"/>
        <v>2026</v>
      </c>
      <c r="F885" s="43" t="str">
        <f t="shared" si="2"/>
        <v>03 Mar</v>
      </c>
      <c r="G885" s="126" t="s">
        <v>206</v>
      </c>
      <c r="H885" s="45" t="s">
        <v>162</v>
      </c>
      <c r="I885" s="45" t="s">
        <v>877</v>
      </c>
      <c r="J885" s="143" t="s">
        <v>120</v>
      </c>
      <c r="K885" s="43" t="str">
        <f t="array" ref="K885">IF(J885="","", XLOOKUP(J885,'⚙️ Pengaturan'!$E$2:$E3237,'⚙️ Pengaturan'!$G$2:$G3237))</f>
        <v>KLINIK FT SESI</v>
      </c>
      <c r="L885" s="43" t="str">
        <f t="shared" si="3"/>
        <v>BARU</v>
      </c>
      <c r="M885" s="144" t="s">
        <v>31</v>
      </c>
      <c r="N885" s="145">
        <v>180000.0</v>
      </c>
      <c r="O885" s="146">
        <v>0.0</v>
      </c>
      <c r="P885" s="48">
        <f t="array" ref="P885">IFNA(XLOOKUP(J885,'⚙️ Pengaturan'!$E$2:$E3237,'⚙️ Pengaturan'!$F$2:$F3237),"")</f>
        <v>180000</v>
      </c>
      <c r="Q885" s="147">
        <f t="shared" si="14"/>
        <v>0</v>
      </c>
      <c r="R885" s="41" t="s">
        <v>32</v>
      </c>
      <c r="S885" s="69" t="s">
        <v>33</v>
      </c>
      <c r="T885" s="51" t="b">
        <v>1</v>
      </c>
      <c r="U885" s="94"/>
    </row>
    <row r="886" ht="30.0" customHeight="1">
      <c r="A886" s="39"/>
      <c r="B886" s="40">
        <v>2921.0</v>
      </c>
      <c r="C886" s="41" t="s">
        <v>39</v>
      </c>
      <c r="D886" s="86">
        <v>46083.0</v>
      </c>
      <c r="E886" s="43" t="str">
        <f t="shared" si="1"/>
        <v>2026</v>
      </c>
      <c r="F886" s="43" t="str">
        <f t="shared" si="2"/>
        <v>03 Mar</v>
      </c>
      <c r="G886" s="126" t="s">
        <v>241</v>
      </c>
      <c r="H886" s="45" t="s">
        <v>26</v>
      </c>
      <c r="I886" s="45" t="s">
        <v>895</v>
      </c>
      <c r="J886" s="143" t="s">
        <v>120</v>
      </c>
      <c r="K886" s="43" t="str">
        <f t="array" ref="K886">IF(J886="","", XLOOKUP(J886,'⚙️ Pengaturan'!$E$2:$E3237,'⚙️ Pengaturan'!$G$2:$G3237))</f>
        <v>KLINIK FT SESI</v>
      </c>
      <c r="L886" s="43" t="str">
        <f t="shared" si="3"/>
        <v>BARU</v>
      </c>
      <c r="M886" s="144" t="s">
        <v>31</v>
      </c>
      <c r="N886" s="145">
        <v>180000.0</v>
      </c>
      <c r="O886" s="146">
        <v>0.0</v>
      </c>
      <c r="P886" s="48">
        <f t="array" ref="P886">IFNA(XLOOKUP(J886,'⚙️ Pengaturan'!$E$2:$E3237,'⚙️ Pengaturan'!$F$2:$F3237),"")</f>
        <v>180000</v>
      </c>
      <c r="Q886" s="147">
        <f t="shared" si="14"/>
        <v>0</v>
      </c>
      <c r="R886" s="41" t="s">
        <v>118</v>
      </c>
      <c r="S886" s="69" t="s">
        <v>895</v>
      </c>
      <c r="T886" s="51" t="b">
        <v>1</v>
      </c>
      <c r="U886" s="94"/>
    </row>
    <row r="887" ht="30.0" customHeight="1">
      <c r="A887" s="39"/>
      <c r="B887" s="40">
        <v>2922.0</v>
      </c>
      <c r="C887" s="41" t="s">
        <v>39</v>
      </c>
      <c r="D887" s="86">
        <v>46083.0</v>
      </c>
      <c r="E887" s="43" t="str">
        <f t="shared" si="1"/>
        <v>2026</v>
      </c>
      <c r="F887" s="43" t="str">
        <f t="shared" si="2"/>
        <v>03 Mar</v>
      </c>
      <c r="G887" s="126" t="s">
        <v>69</v>
      </c>
      <c r="H887" s="45" t="s">
        <v>150</v>
      </c>
      <c r="I887" s="45" t="s">
        <v>505</v>
      </c>
      <c r="J887" s="143" t="s">
        <v>92</v>
      </c>
      <c r="K887" s="43" t="str">
        <f t="array" ref="K887">IF(J887="","", XLOOKUP(J887,'⚙️ Pengaturan'!$E$2:$E3237,'⚙️ Pengaturan'!$G$2:$G3237))</f>
        <v>KLINIK FT PAKET</v>
      </c>
      <c r="L887" s="43" t="str">
        <f t="shared" si="3"/>
        <v>LANJUTAN</v>
      </c>
      <c r="M887" s="144" t="s">
        <v>164</v>
      </c>
      <c r="N887" s="145">
        <v>700000.0</v>
      </c>
      <c r="O887" s="146">
        <v>500000.0</v>
      </c>
      <c r="P887" s="48">
        <f t="array" ref="P887">IFNA(XLOOKUP(J887,'⚙️ Pengaturan'!$E$2:$E3237,'⚙️ Pengaturan'!$F$2:$F3237),"")</f>
        <v>1200000</v>
      </c>
      <c r="Q887" s="147">
        <f t="shared" si="14"/>
        <v>0</v>
      </c>
      <c r="R887" s="41" t="s">
        <v>32</v>
      </c>
      <c r="S887" s="69" t="s">
        <v>33</v>
      </c>
      <c r="T887" s="51" t="b">
        <v>1</v>
      </c>
      <c r="U887" s="94"/>
    </row>
    <row r="888" ht="30.0" customHeight="1">
      <c r="A888" s="39"/>
      <c r="B888" s="40">
        <v>2923.0</v>
      </c>
      <c r="C888" s="41" t="s">
        <v>39</v>
      </c>
      <c r="D888" s="86">
        <v>46083.0</v>
      </c>
      <c r="E888" s="43" t="str">
        <f t="shared" si="1"/>
        <v>2026</v>
      </c>
      <c r="F888" s="43" t="str">
        <f t="shared" si="2"/>
        <v>03 Mar</v>
      </c>
      <c r="G888" s="126" t="s">
        <v>161</v>
      </c>
      <c r="H888" s="45" t="s">
        <v>166</v>
      </c>
      <c r="I888" s="45" t="s">
        <v>914</v>
      </c>
      <c r="J888" s="143" t="s">
        <v>28</v>
      </c>
      <c r="K888" s="43" t="str">
        <f t="array" ref="K888">IF(J888="","", XLOOKUP(J888,'⚙️ Pengaturan'!$E$2:$E3237,'⚙️ Pengaturan'!$G$2:$G3237))</f>
        <v>KLINIK FT TA</v>
      </c>
      <c r="L888" s="43" t="str">
        <f t="shared" si="3"/>
        <v>BARU</v>
      </c>
      <c r="M888" s="144" t="s">
        <v>31</v>
      </c>
      <c r="N888" s="145">
        <v>250000.0</v>
      </c>
      <c r="O888" s="146">
        <v>0.0</v>
      </c>
      <c r="P888" s="48">
        <f t="array" ref="P888">IFNA(XLOOKUP(J888,'⚙️ Pengaturan'!$E$2:$E3237,'⚙️ Pengaturan'!$F$2:$F3237),"")</f>
        <v>250000</v>
      </c>
      <c r="Q888" s="147">
        <f t="shared" si="14"/>
        <v>0</v>
      </c>
      <c r="R888" s="41" t="s">
        <v>37</v>
      </c>
      <c r="S888" s="69" t="s">
        <v>914</v>
      </c>
      <c r="T888" s="51" t="b">
        <v>1</v>
      </c>
      <c r="U888" s="94"/>
    </row>
    <row r="889" ht="30.0" customHeight="1">
      <c r="A889" s="39"/>
      <c r="B889" s="40">
        <v>2924.0</v>
      </c>
      <c r="C889" s="41" t="s">
        <v>39</v>
      </c>
      <c r="D889" s="86">
        <v>46083.0</v>
      </c>
      <c r="E889" s="43" t="str">
        <f t="shared" si="1"/>
        <v>2026</v>
      </c>
      <c r="F889" s="43" t="str">
        <f t="shared" si="2"/>
        <v>03 Mar</v>
      </c>
      <c r="G889" s="126" t="s">
        <v>161</v>
      </c>
      <c r="H889" s="45" t="s">
        <v>26</v>
      </c>
      <c r="I889" s="45" t="s">
        <v>897</v>
      </c>
      <c r="J889" s="143" t="s">
        <v>119</v>
      </c>
      <c r="K889" s="43" t="str">
        <f t="array" ref="K889">IF(J889="","", XLOOKUP(J889,'⚙️ Pengaturan'!$E$2:$E3237,'⚙️ Pengaturan'!$G$2:$G3237))</f>
        <v>KLINIK FT PAKET</v>
      </c>
      <c r="L889" s="43" t="str">
        <f t="shared" si="3"/>
        <v>BARU</v>
      </c>
      <c r="M889" s="144" t="s">
        <v>31</v>
      </c>
      <c r="N889" s="145">
        <v>750000.0</v>
      </c>
      <c r="O889" s="146">
        <v>0.0</v>
      </c>
      <c r="P889" s="48">
        <f t="array" ref="P889">IFNA(XLOOKUP(J889,'⚙️ Pengaturan'!$E$2:$E3237,'⚙️ Pengaturan'!$F$2:$F3237),"")</f>
        <v>750000</v>
      </c>
      <c r="Q889" s="147">
        <f t="shared" si="14"/>
        <v>0</v>
      </c>
      <c r="R889" s="41" t="s">
        <v>93</v>
      </c>
      <c r="S889" s="69" t="s">
        <v>897</v>
      </c>
      <c r="T889" s="51" t="b">
        <v>1</v>
      </c>
      <c r="U889" s="94"/>
    </row>
    <row r="890" ht="30.0" customHeight="1">
      <c r="A890" s="39"/>
      <c r="B890" s="40">
        <v>2925.0</v>
      </c>
      <c r="C890" s="41" t="s">
        <v>50</v>
      </c>
      <c r="D890" s="86">
        <v>46083.0</v>
      </c>
      <c r="E890" s="43" t="str">
        <f t="shared" si="1"/>
        <v>2026</v>
      </c>
      <c r="F890" s="43" t="str">
        <f t="shared" si="2"/>
        <v>03 Mar</v>
      </c>
      <c r="G890" s="126" t="s">
        <v>173</v>
      </c>
      <c r="H890" s="45" t="s">
        <v>96</v>
      </c>
      <c r="I890" s="45" t="s">
        <v>915</v>
      </c>
      <c r="J890" s="143" t="s">
        <v>120</v>
      </c>
      <c r="K890" s="43" t="str">
        <f t="array" ref="K890">IF(J890="","", XLOOKUP(J890,'⚙️ Pengaturan'!$E$2:$E3237,'⚙️ Pengaturan'!$G$2:$G3237))</f>
        <v>KLINIK FT SESI</v>
      </c>
      <c r="L890" s="43" t="str">
        <f t="shared" si="3"/>
        <v>BARU</v>
      </c>
      <c r="M890" s="144" t="s">
        <v>31</v>
      </c>
      <c r="N890" s="145">
        <v>180000.0</v>
      </c>
      <c r="O890" s="146">
        <v>0.0</v>
      </c>
      <c r="P890" s="48">
        <f t="array" ref="P890">IFNA(XLOOKUP(J890,'⚙️ Pengaturan'!$E$2:$E3237,'⚙️ Pengaturan'!$F$2:$F3237),"")</f>
        <v>180000</v>
      </c>
      <c r="Q890" s="147">
        <f t="shared" si="14"/>
        <v>0</v>
      </c>
      <c r="R890" s="41" t="s">
        <v>32</v>
      </c>
      <c r="S890" s="69" t="s">
        <v>33</v>
      </c>
      <c r="T890" s="51" t="b">
        <v>1</v>
      </c>
      <c r="U890" s="94"/>
    </row>
    <row r="891" ht="30.0" customHeight="1">
      <c r="A891" s="39"/>
      <c r="B891" s="40">
        <v>2926.0</v>
      </c>
      <c r="C891" s="41" t="s">
        <v>50</v>
      </c>
      <c r="D891" s="86">
        <v>46083.0</v>
      </c>
      <c r="E891" s="43" t="str">
        <f t="shared" si="1"/>
        <v>2026</v>
      </c>
      <c r="F891" s="43" t="str">
        <f t="shared" si="2"/>
        <v>03 Mar</v>
      </c>
      <c r="G891" s="126" t="s">
        <v>173</v>
      </c>
      <c r="H891" s="45" t="s">
        <v>41</v>
      </c>
      <c r="I891" s="45" t="s">
        <v>916</v>
      </c>
      <c r="J891" s="143" t="s">
        <v>28</v>
      </c>
      <c r="K891" s="43" t="str">
        <f t="array" ref="K891">IF(J891="","", XLOOKUP(J891,'⚙️ Pengaturan'!$E$2:$E3237,'⚙️ Pengaturan'!$G$2:$G3237))</f>
        <v>KLINIK FT TA</v>
      </c>
      <c r="L891" s="43" t="str">
        <f t="shared" si="3"/>
        <v>BARU</v>
      </c>
      <c r="M891" s="144" t="s">
        <v>31</v>
      </c>
      <c r="N891" s="145">
        <v>250000.0</v>
      </c>
      <c r="O891" s="146">
        <v>0.0</v>
      </c>
      <c r="P891" s="48">
        <f t="array" ref="P891">IFNA(XLOOKUP(J891,'⚙️ Pengaturan'!$E$2:$E3237,'⚙️ Pengaturan'!$F$2:$F3237),"")</f>
        <v>250000</v>
      </c>
      <c r="Q891" s="147">
        <f t="shared" si="14"/>
        <v>0</v>
      </c>
      <c r="R891" s="41" t="s">
        <v>32</v>
      </c>
      <c r="S891" s="69" t="s">
        <v>33</v>
      </c>
      <c r="T891" s="51" t="b">
        <v>1</v>
      </c>
      <c r="U891" s="94"/>
    </row>
    <row r="892" ht="30.0" customHeight="1">
      <c r="A892" s="39"/>
      <c r="B892" s="40">
        <v>2927.0</v>
      </c>
      <c r="C892" s="41" t="s">
        <v>50</v>
      </c>
      <c r="D892" s="86">
        <v>46083.0</v>
      </c>
      <c r="E892" s="43" t="str">
        <f t="shared" si="1"/>
        <v>2026</v>
      </c>
      <c r="F892" s="43" t="str">
        <f t="shared" si="2"/>
        <v>03 Mar</v>
      </c>
      <c r="G892" s="126" t="s">
        <v>190</v>
      </c>
      <c r="H892" s="45" t="s">
        <v>47</v>
      </c>
      <c r="I892" s="45" t="s">
        <v>917</v>
      </c>
      <c r="J892" s="143" t="s">
        <v>120</v>
      </c>
      <c r="K892" s="43" t="str">
        <f t="array" ref="K892">IF(J892="","", XLOOKUP(J892,'⚙️ Pengaturan'!$E$2:$E3237,'⚙️ Pengaturan'!$G$2:$G3237))</f>
        <v>KLINIK FT SESI</v>
      </c>
      <c r="L892" s="43" t="str">
        <f t="shared" si="3"/>
        <v>BARU</v>
      </c>
      <c r="M892" s="144" t="s">
        <v>31</v>
      </c>
      <c r="N892" s="145">
        <v>180000.0</v>
      </c>
      <c r="O892" s="146">
        <v>0.0</v>
      </c>
      <c r="P892" s="48">
        <f t="array" ref="P892">IFNA(XLOOKUP(J892,'⚙️ Pengaturan'!$E$2:$E3237,'⚙️ Pengaturan'!$F$2:$F3237),"")</f>
        <v>180000</v>
      </c>
      <c r="Q892" s="147">
        <f t="shared" si="14"/>
        <v>0</v>
      </c>
      <c r="R892" s="41" t="s">
        <v>32</v>
      </c>
      <c r="S892" s="69" t="s">
        <v>33</v>
      </c>
      <c r="T892" s="51" t="b">
        <v>1</v>
      </c>
      <c r="U892" s="94"/>
    </row>
    <row r="893" ht="30.0" customHeight="1">
      <c r="A893" s="39"/>
      <c r="B893" s="40">
        <v>2928.0</v>
      </c>
      <c r="C893" s="41" t="s">
        <v>50</v>
      </c>
      <c r="D893" s="86">
        <v>46083.0</v>
      </c>
      <c r="E893" s="43" t="str">
        <f t="shared" si="1"/>
        <v>2026</v>
      </c>
      <c r="F893" s="43" t="str">
        <f t="shared" si="2"/>
        <v>03 Mar</v>
      </c>
      <c r="G893" s="126" t="s">
        <v>190</v>
      </c>
      <c r="H893" s="45" t="s">
        <v>149</v>
      </c>
      <c r="I893" s="45" t="s">
        <v>918</v>
      </c>
      <c r="J893" s="143" t="s">
        <v>28</v>
      </c>
      <c r="K893" s="43" t="str">
        <f t="array" ref="K893">IF(J893="","", XLOOKUP(J893,'⚙️ Pengaturan'!$E$2:$E3237,'⚙️ Pengaturan'!$G$2:$G3237))</f>
        <v>KLINIK FT TA</v>
      </c>
      <c r="L893" s="43" t="str">
        <f t="shared" si="3"/>
        <v>BARU</v>
      </c>
      <c r="M893" s="144" t="s">
        <v>31</v>
      </c>
      <c r="N893" s="145">
        <v>250000.0</v>
      </c>
      <c r="O893" s="146">
        <v>0.0</v>
      </c>
      <c r="P893" s="48">
        <f t="array" ref="P893">IFNA(XLOOKUP(J893,'⚙️ Pengaturan'!$E$2:$E3237,'⚙️ Pengaturan'!$F$2:$F3237),"")</f>
        <v>250000</v>
      </c>
      <c r="Q893" s="147">
        <f t="shared" si="14"/>
        <v>0</v>
      </c>
      <c r="R893" s="41" t="s">
        <v>118</v>
      </c>
      <c r="S893" s="69" t="s">
        <v>918</v>
      </c>
      <c r="T893" s="51" t="b">
        <v>1</v>
      </c>
      <c r="U893" s="94"/>
    </row>
    <row r="894" ht="30.0" customHeight="1">
      <c r="A894" s="39"/>
      <c r="B894" s="40">
        <v>2929.0</v>
      </c>
      <c r="C894" s="41" t="s">
        <v>50</v>
      </c>
      <c r="D894" s="86">
        <v>46084.0</v>
      </c>
      <c r="E894" s="43" t="str">
        <f t="shared" si="1"/>
        <v>2026</v>
      </c>
      <c r="F894" s="43" t="str">
        <f t="shared" si="2"/>
        <v>03 Mar</v>
      </c>
      <c r="G894" s="126" t="s">
        <v>195</v>
      </c>
      <c r="H894" s="45" t="s">
        <v>150</v>
      </c>
      <c r="I894" s="45" t="s">
        <v>502</v>
      </c>
      <c r="J894" s="143" t="s">
        <v>56</v>
      </c>
      <c r="K894" s="43" t="str">
        <f t="array" ref="K894">IF(J894="","", XLOOKUP(J894,'⚙️ Pengaturan'!$E$2:$E3237,'⚙️ Pengaturan'!$G$2:$G3237))</f>
        <v>KLINIK FT PAKET</v>
      </c>
      <c r="L894" s="43" t="str">
        <f t="shared" si="3"/>
        <v>LANJUTAN</v>
      </c>
      <c r="M894" s="144" t="s">
        <v>31</v>
      </c>
      <c r="N894" s="145">
        <v>650000.0</v>
      </c>
      <c r="O894" s="146">
        <v>0.0</v>
      </c>
      <c r="P894" s="48">
        <f t="array" ref="P894">IFNA(XLOOKUP(J894,'⚙️ Pengaturan'!$E$2:$E3237,'⚙️ Pengaturan'!$F$2:$F3237),"")</f>
        <v>650000</v>
      </c>
      <c r="Q894" s="147">
        <f t="shared" si="14"/>
        <v>0</v>
      </c>
      <c r="R894" s="41" t="s">
        <v>118</v>
      </c>
      <c r="S894" s="69" t="s">
        <v>502</v>
      </c>
      <c r="T894" s="51" t="b">
        <v>1</v>
      </c>
      <c r="U894" s="94"/>
    </row>
    <row r="895" ht="30.0" customHeight="1">
      <c r="A895" s="39"/>
      <c r="B895" s="40">
        <v>2930.0</v>
      </c>
      <c r="C895" s="41" t="s">
        <v>50</v>
      </c>
      <c r="D895" s="86">
        <v>46084.0</v>
      </c>
      <c r="E895" s="43" t="str">
        <f t="shared" si="1"/>
        <v>2026</v>
      </c>
      <c r="F895" s="43" t="str">
        <f t="shared" si="2"/>
        <v>03 Mar</v>
      </c>
      <c r="G895" s="126" t="s">
        <v>195</v>
      </c>
      <c r="H895" s="45" t="s">
        <v>41</v>
      </c>
      <c r="I895" s="45" t="s">
        <v>919</v>
      </c>
      <c r="J895" s="143" t="s">
        <v>28</v>
      </c>
      <c r="K895" s="43" t="str">
        <f t="array" ref="K895">IF(J895="","", XLOOKUP(J895,'⚙️ Pengaturan'!$E$2:$E3237,'⚙️ Pengaturan'!$G$2:$G3237))</f>
        <v>KLINIK FT TA</v>
      </c>
      <c r="L895" s="43" t="str">
        <f t="shared" si="3"/>
        <v>BARU</v>
      </c>
      <c r="M895" s="144" t="s">
        <v>31</v>
      </c>
      <c r="N895" s="145">
        <v>250000.0</v>
      </c>
      <c r="O895" s="146">
        <v>0.0</v>
      </c>
      <c r="P895" s="48">
        <f t="array" ref="P895">IFNA(XLOOKUP(J895,'⚙️ Pengaturan'!$E$2:$E3237,'⚙️ Pengaturan'!$F$2:$F3237),"")</f>
        <v>250000</v>
      </c>
      <c r="Q895" s="147">
        <f t="shared" si="14"/>
        <v>0</v>
      </c>
      <c r="R895" s="41" t="s">
        <v>37</v>
      </c>
      <c r="S895" s="69" t="s">
        <v>919</v>
      </c>
      <c r="T895" s="51" t="b">
        <v>1</v>
      </c>
      <c r="U895" s="94"/>
    </row>
    <row r="896" ht="30.0" customHeight="1">
      <c r="A896" s="39"/>
      <c r="B896" s="40">
        <v>2931.0</v>
      </c>
      <c r="C896" s="41" t="s">
        <v>50</v>
      </c>
      <c r="D896" s="86">
        <v>46084.0</v>
      </c>
      <c r="E896" s="43" t="str">
        <f t="shared" si="1"/>
        <v>2026</v>
      </c>
      <c r="F896" s="43" t="str">
        <f t="shared" si="2"/>
        <v>03 Mar</v>
      </c>
      <c r="G896" s="126" t="s">
        <v>206</v>
      </c>
      <c r="H896" s="45" t="s">
        <v>96</v>
      </c>
      <c r="I896" s="45" t="s">
        <v>893</v>
      </c>
      <c r="J896" s="143" t="s">
        <v>119</v>
      </c>
      <c r="K896" s="43" t="str">
        <f t="array" ref="K896">IF(J896="","", XLOOKUP(J896,'⚙️ Pengaturan'!$E$2:$E3237,'⚙️ Pengaturan'!$G$2:$G3237))</f>
        <v>KLINIK FT PAKET</v>
      </c>
      <c r="L896" s="43" t="str">
        <f t="shared" si="3"/>
        <v>BARU</v>
      </c>
      <c r="M896" s="144" t="s">
        <v>31</v>
      </c>
      <c r="N896" s="145">
        <v>750000.0</v>
      </c>
      <c r="O896" s="146">
        <v>0.0</v>
      </c>
      <c r="P896" s="48">
        <f t="array" ref="P896">IFNA(XLOOKUP(J896,'⚙️ Pengaturan'!$E$2:$E3237,'⚙️ Pengaturan'!$F$2:$F3237),"")</f>
        <v>750000</v>
      </c>
      <c r="Q896" s="147">
        <f t="shared" si="14"/>
        <v>0</v>
      </c>
      <c r="R896" s="41" t="s">
        <v>37</v>
      </c>
      <c r="S896" s="69" t="s">
        <v>893</v>
      </c>
      <c r="T896" s="51" t="b">
        <v>1</v>
      </c>
      <c r="U896" s="94"/>
    </row>
    <row r="897" ht="30.0" customHeight="1">
      <c r="A897" s="39"/>
      <c r="B897" s="40">
        <v>2932.0</v>
      </c>
      <c r="C897" s="41" t="s">
        <v>50</v>
      </c>
      <c r="D897" s="86">
        <v>46084.0</v>
      </c>
      <c r="E897" s="43" t="str">
        <f t="shared" si="1"/>
        <v>2026</v>
      </c>
      <c r="F897" s="43" t="str">
        <f t="shared" si="2"/>
        <v>03 Mar</v>
      </c>
      <c r="G897" s="126" t="s">
        <v>206</v>
      </c>
      <c r="H897" s="45" t="s">
        <v>41</v>
      </c>
      <c r="I897" s="45" t="s">
        <v>911</v>
      </c>
      <c r="J897" s="143" t="s">
        <v>119</v>
      </c>
      <c r="K897" s="43" t="str">
        <f t="array" ref="K897">IF(J897="","", XLOOKUP(J897,'⚙️ Pengaturan'!$E$2:$E3237,'⚙️ Pengaturan'!$G$2:$G3237))</f>
        <v>KLINIK FT PAKET</v>
      </c>
      <c r="L897" s="43" t="str">
        <f t="shared" si="3"/>
        <v>BARU</v>
      </c>
      <c r="M897" s="144" t="s">
        <v>31</v>
      </c>
      <c r="N897" s="145">
        <v>750000.0</v>
      </c>
      <c r="O897" s="146">
        <v>0.0</v>
      </c>
      <c r="P897" s="48">
        <f t="array" ref="P897">IFNA(XLOOKUP(J897,'⚙️ Pengaturan'!$E$2:$E3237,'⚙️ Pengaturan'!$F$2:$F3237),"")</f>
        <v>750000</v>
      </c>
      <c r="Q897" s="147">
        <f t="shared" si="14"/>
        <v>0</v>
      </c>
      <c r="R897" s="41" t="s">
        <v>32</v>
      </c>
      <c r="S897" s="69" t="s">
        <v>33</v>
      </c>
      <c r="T897" s="51" t="b">
        <v>1</v>
      </c>
      <c r="U897" s="94"/>
    </row>
    <row r="898" ht="30.0" customHeight="1">
      <c r="A898" s="39"/>
      <c r="B898" s="40">
        <v>2933.0</v>
      </c>
      <c r="C898" s="41" t="s">
        <v>50</v>
      </c>
      <c r="D898" s="86">
        <v>46084.0</v>
      </c>
      <c r="E898" s="43" t="str">
        <f t="shared" si="1"/>
        <v>2026</v>
      </c>
      <c r="F898" s="43" t="str">
        <f t="shared" si="2"/>
        <v>03 Mar</v>
      </c>
      <c r="G898" s="126" t="s">
        <v>161</v>
      </c>
      <c r="H898" s="45" t="s">
        <v>76</v>
      </c>
      <c r="I898" s="45" t="s">
        <v>910</v>
      </c>
      <c r="J898" s="143" t="s">
        <v>119</v>
      </c>
      <c r="K898" s="43" t="str">
        <f t="array" ref="K898">IF(J898="","", XLOOKUP(J898,'⚙️ Pengaturan'!$E$2:$E3237,'⚙️ Pengaturan'!$G$2:$G3237))</f>
        <v>KLINIK FT PAKET</v>
      </c>
      <c r="L898" s="43" t="str">
        <f t="shared" si="3"/>
        <v>BARU</v>
      </c>
      <c r="M898" s="144" t="s">
        <v>31</v>
      </c>
      <c r="N898" s="145">
        <v>200000.0</v>
      </c>
      <c r="O898" s="146">
        <v>0.0</v>
      </c>
      <c r="P898" s="48">
        <f t="array" ref="P898">IFNA(XLOOKUP(J898,'⚙️ Pengaturan'!$E$2:$E3237,'⚙️ Pengaturan'!$F$2:$F3237),"")</f>
        <v>750000</v>
      </c>
      <c r="Q898" s="147">
        <f t="shared" si="14"/>
        <v>-550000</v>
      </c>
      <c r="R898" s="41" t="s">
        <v>32</v>
      </c>
      <c r="S898" s="69" t="s">
        <v>33</v>
      </c>
      <c r="T898" s="51" t="b">
        <v>1</v>
      </c>
      <c r="U898" s="94"/>
    </row>
    <row r="899" ht="30.0" customHeight="1">
      <c r="A899" s="39"/>
      <c r="B899" s="40">
        <v>2934.0</v>
      </c>
      <c r="C899" s="41" t="s">
        <v>50</v>
      </c>
      <c r="D899" s="86">
        <v>46084.0</v>
      </c>
      <c r="E899" s="43" t="str">
        <f t="shared" si="1"/>
        <v>2026</v>
      </c>
      <c r="F899" s="43" t="str">
        <f t="shared" si="2"/>
        <v>03 Mar</v>
      </c>
      <c r="G899" s="126" t="s">
        <v>69</v>
      </c>
      <c r="H899" s="45" t="s">
        <v>150</v>
      </c>
      <c r="I899" s="45" t="s">
        <v>920</v>
      </c>
      <c r="J899" s="143" t="s">
        <v>291</v>
      </c>
      <c r="K899" s="43" t="str">
        <f t="array" ref="K899">IF(J899="","", XLOOKUP(J899,'⚙️ Pengaturan'!$E$2:$E3237,'⚙️ Pengaturan'!$G$2:$G3237))</f>
        <v>VISIT FT TA</v>
      </c>
      <c r="L899" s="43" t="str">
        <f t="shared" si="3"/>
        <v>BARU</v>
      </c>
      <c r="M899" s="144" t="s">
        <v>31</v>
      </c>
      <c r="N899" s="145">
        <v>350000.0</v>
      </c>
      <c r="O899" s="146">
        <v>0.0</v>
      </c>
      <c r="P899" s="48">
        <f t="array" ref="P899">IFNA(XLOOKUP(J899,'⚙️ Pengaturan'!$E$2:$E3237,'⚙️ Pengaturan'!$F$2:$F3237),"")</f>
        <v>350000</v>
      </c>
      <c r="Q899" s="147">
        <f t="shared" si="14"/>
        <v>0</v>
      </c>
      <c r="R899" s="41" t="s">
        <v>32</v>
      </c>
      <c r="S899" s="69" t="s">
        <v>33</v>
      </c>
      <c r="T899" s="51" t="b">
        <v>1</v>
      </c>
      <c r="U899" s="94"/>
    </row>
    <row r="900" ht="30.0" customHeight="1">
      <c r="A900" s="39"/>
      <c r="B900" s="40">
        <v>2935.0</v>
      </c>
      <c r="C900" s="41" t="s">
        <v>50</v>
      </c>
      <c r="D900" s="86">
        <v>46084.0</v>
      </c>
      <c r="E900" s="43" t="str">
        <f t="shared" si="1"/>
        <v>2026</v>
      </c>
      <c r="F900" s="43" t="str">
        <f t="shared" si="2"/>
        <v>03 Mar</v>
      </c>
      <c r="G900" s="126" t="s">
        <v>69</v>
      </c>
      <c r="H900" s="45" t="s">
        <v>26</v>
      </c>
      <c r="I900" s="45" t="s">
        <v>921</v>
      </c>
      <c r="J900" s="143" t="s">
        <v>323</v>
      </c>
      <c r="K900" s="43" t="str">
        <f t="array" ref="K900">IF(J900="","", XLOOKUP(J900,'⚙️ Pengaturan'!$E$2:$E3237,'⚙️ Pengaturan'!$G$2:$G3237))</f>
        <v>VISIT FT SESI</v>
      </c>
      <c r="L900" s="43" t="str">
        <f t="shared" si="3"/>
        <v>BARU</v>
      </c>
      <c r="M900" s="144" t="s">
        <v>31</v>
      </c>
      <c r="N900" s="145">
        <v>200000.0</v>
      </c>
      <c r="O900" s="146">
        <v>0.0</v>
      </c>
      <c r="P900" s="48">
        <f t="array" ref="P900">IFNA(XLOOKUP(J900,'⚙️ Pengaturan'!$E$2:$E3237,'⚙️ Pengaturan'!$F$2:$F3237),"")</f>
        <v>200000</v>
      </c>
      <c r="Q900" s="147">
        <f t="shared" si="14"/>
        <v>0</v>
      </c>
      <c r="R900" s="41" t="s">
        <v>32</v>
      </c>
      <c r="S900" s="69" t="s">
        <v>33</v>
      </c>
      <c r="T900" s="51" t="b">
        <v>1</v>
      </c>
      <c r="U900" s="94"/>
    </row>
    <row r="901" ht="30.0" customHeight="1">
      <c r="A901" s="39"/>
      <c r="B901" s="40">
        <v>2936.0</v>
      </c>
      <c r="C901" s="41" t="s">
        <v>39</v>
      </c>
      <c r="D901" s="86">
        <v>46084.0</v>
      </c>
      <c r="E901" s="43" t="str">
        <f t="shared" si="1"/>
        <v>2026</v>
      </c>
      <c r="F901" s="43" t="str">
        <f t="shared" si="2"/>
        <v>03 Mar</v>
      </c>
      <c r="G901" s="126" t="s">
        <v>69</v>
      </c>
      <c r="H901" s="45" t="s">
        <v>150</v>
      </c>
      <c r="I901" s="45" t="s">
        <v>862</v>
      </c>
      <c r="J901" s="143" t="s">
        <v>119</v>
      </c>
      <c r="K901" s="43" t="str">
        <f t="array" ref="K901">IF(J901="","", XLOOKUP(J901,'⚙️ Pengaturan'!$E$2:$E3237,'⚙️ Pengaturan'!$G$2:$G3237))</f>
        <v>KLINIK FT PAKET</v>
      </c>
      <c r="L901" s="43" t="str">
        <f t="shared" si="3"/>
        <v>LANJUTAN</v>
      </c>
      <c r="M901" s="144" t="s">
        <v>164</v>
      </c>
      <c r="N901" s="145">
        <v>50000.0</v>
      </c>
      <c r="O901" s="146">
        <v>700000.0</v>
      </c>
      <c r="P901" s="48">
        <f t="array" ref="P901">IFNA(XLOOKUP(J901,'⚙️ Pengaturan'!$E$2:$E3237,'⚙️ Pengaturan'!$F$2:$F3237),"")</f>
        <v>750000</v>
      </c>
      <c r="Q901" s="147">
        <f t="shared" si="14"/>
        <v>0</v>
      </c>
      <c r="R901" s="41" t="s">
        <v>37</v>
      </c>
      <c r="S901" s="69" t="s">
        <v>604</v>
      </c>
      <c r="T901" s="51" t="b">
        <v>1</v>
      </c>
      <c r="U901" s="94"/>
    </row>
    <row r="902" ht="30.0" customHeight="1">
      <c r="A902" s="39"/>
      <c r="B902" s="40">
        <v>2937.0</v>
      </c>
      <c r="C902" s="41" t="s">
        <v>39</v>
      </c>
      <c r="D902" s="86">
        <v>46084.0</v>
      </c>
      <c r="E902" s="43" t="str">
        <f t="shared" si="1"/>
        <v>2026</v>
      </c>
      <c r="F902" s="43" t="str">
        <f t="shared" si="2"/>
        <v>03 Mar</v>
      </c>
      <c r="G902" s="126" t="s">
        <v>69</v>
      </c>
      <c r="H902" s="45" t="s">
        <v>166</v>
      </c>
      <c r="I902" s="45" t="s">
        <v>779</v>
      </c>
      <c r="J902" s="143" t="s">
        <v>349</v>
      </c>
      <c r="K902" s="43" t="str">
        <f t="array" ref="K902">IF(J902="","", XLOOKUP(J902,'⚙️ Pengaturan'!$E$2:$E3237,'⚙️ Pengaturan'!$G$2:$G3237))</f>
        <v>KLINIK FT PAKET</v>
      </c>
      <c r="L902" s="43" t="str">
        <f t="shared" si="3"/>
        <v>BARU</v>
      </c>
      <c r="M902" s="144" t="s">
        <v>31</v>
      </c>
      <c r="N902" s="145">
        <v>2400000.0</v>
      </c>
      <c r="O902" s="146">
        <v>0.0</v>
      </c>
      <c r="P902" s="48">
        <f t="array" ref="P902">IFNA(XLOOKUP(J902,'⚙️ Pengaturan'!$E$2:$E3237,'⚙️ Pengaturan'!$F$2:$F3237),"")</f>
        <v>2400000</v>
      </c>
      <c r="Q902" s="147">
        <f t="shared" si="14"/>
        <v>0</v>
      </c>
      <c r="R902" s="41" t="s">
        <v>37</v>
      </c>
      <c r="S902" s="69" t="s">
        <v>779</v>
      </c>
      <c r="T902" s="51" t="b">
        <v>1</v>
      </c>
      <c r="U902" s="94"/>
    </row>
    <row r="903" ht="30.0" customHeight="1">
      <c r="A903" s="39"/>
      <c r="B903" s="40">
        <v>2938.0</v>
      </c>
      <c r="C903" s="41" t="s">
        <v>39</v>
      </c>
      <c r="D903" s="86">
        <v>46084.0</v>
      </c>
      <c r="E903" s="43" t="str">
        <f t="shared" si="1"/>
        <v>2026</v>
      </c>
      <c r="F903" s="43" t="str">
        <f t="shared" si="2"/>
        <v>03 Mar</v>
      </c>
      <c r="G903" s="126" t="s">
        <v>190</v>
      </c>
      <c r="H903" s="45" t="s">
        <v>150</v>
      </c>
      <c r="I903" s="45" t="s">
        <v>922</v>
      </c>
      <c r="J903" s="143" t="s">
        <v>28</v>
      </c>
      <c r="K903" s="43" t="str">
        <f t="array" ref="K903">IF(J903="","", XLOOKUP(J903,'⚙️ Pengaturan'!$E$2:$E3237,'⚙️ Pengaturan'!$G$2:$G3237))</f>
        <v>KLINIK FT TA</v>
      </c>
      <c r="L903" s="43" t="str">
        <f t="shared" si="3"/>
        <v>BARU</v>
      </c>
      <c r="M903" s="144" t="s">
        <v>31</v>
      </c>
      <c r="N903" s="145">
        <v>250000.0</v>
      </c>
      <c r="O903" s="146">
        <v>0.0</v>
      </c>
      <c r="P903" s="48">
        <f t="array" ref="P903">IFNA(XLOOKUP(J903,'⚙️ Pengaturan'!$E$2:$E3237,'⚙️ Pengaturan'!$F$2:$F3237),"")</f>
        <v>250000</v>
      </c>
      <c r="Q903" s="147">
        <f t="shared" si="14"/>
        <v>0</v>
      </c>
      <c r="R903" s="41" t="s">
        <v>37</v>
      </c>
      <c r="S903" s="69" t="s">
        <v>922</v>
      </c>
      <c r="T903" s="51" t="b">
        <v>1</v>
      </c>
      <c r="U903" s="94"/>
    </row>
    <row r="904" ht="30.0" customHeight="1">
      <c r="A904" s="39"/>
      <c r="B904" s="40">
        <v>2939.0</v>
      </c>
      <c r="C904" s="41" t="s">
        <v>39</v>
      </c>
      <c r="D904" s="86">
        <v>46084.0</v>
      </c>
      <c r="E904" s="43" t="str">
        <f t="shared" si="1"/>
        <v>2026</v>
      </c>
      <c r="F904" s="43" t="str">
        <f t="shared" si="2"/>
        <v>03 Mar</v>
      </c>
      <c r="G904" s="126" t="s">
        <v>190</v>
      </c>
      <c r="H904" s="45" t="s">
        <v>162</v>
      </c>
      <c r="I904" s="45" t="s">
        <v>577</v>
      </c>
      <c r="J904" s="143" t="s">
        <v>56</v>
      </c>
      <c r="K904" s="43" t="str">
        <f t="array" ref="K904">IF(J904="","", XLOOKUP(J904,'⚙️ Pengaturan'!$E$2:$E3237,'⚙️ Pengaturan'!$G$2:$G3237))</f>
        <v>KLINIK FT PAKET</v>
      </c>
      <c r="L904" s="43" t="str">
        <f t="shared" si="3"/>
        <v>LANJUTAN</v>
      </c>
      <c r="M904" s="144" t="s">
        <v>60</v>
      </c>
      <c r="N904" s="145">
        <v>200000.0</v>
      </c>
      <c r="O904" s="146">
        <v>0.0</v>
      </c>
      <c r="P904" s="48">
        <f t="array" ref="P904">IFNA(XLOOKUP(J904,'⚙️ Pengaturan'!$E$2:$E3237,'⚙️ Pengaturan'!$F$2:$F3237),"")</f>
        <v>650000</v>
      </c>
      <c r="Q904" s="147">
        <f t="shared" si="14"/>
        <v>-450000</v>
      </c>
      <c r="R904" s="41" t="s">
        <v>32</v>
      </c>
      <c r="S904" s="69" t="s">
        <v>33</v>
      </c>
      <c r="T904" s="51" t="b">
        <v>1</v>
      </c>
      <c r="U904" s="94"/>
    </row>
    <row r="905" ht="30.0" customHeight="1">
      <c r="A905" s="39"/>
      <c r="B905" s="40">
        <v>2940.0</v>
      </c>
      <c r="C905" s="41" t="s">
        <v>39</v>
      </c>
      <c r="D905" s="86">
        <v>46085.0</v>
      </c>
      <c r="E905" s="43" t="str">
        <f t="shared" si="1"/>
        <v>2026</v>
      </c>
      <c r="F905" s="43" t="str">
        <f t="shared" si="2"/>
        <v>03 Mar</v>
      </c>
      <c r="G905" s="126" t="s">
        <v>69</v>
      </c>
      <c r="H905" s="45" t="s">
        <v>166</v>
      </c>
      <c r="I905" s="45" t="s">
        <v>494</v>
      </c>
      <c r="J905" s="143" t="s">
        <v>92</v>
      </c>
      <c r="K905" s="43" t="str">
        <f t="array" ref="K905">IF(J905="","", XLOOKUP(J905,'⚙️ Pengaturan'!$E$2:$E3237,'⚙️ Pengaturan'!$G$2:$G3237))</f>
        <v>KLINIK FT PAKET</v>
      </c>
      <c r="L905" s="43" t="str">
        <f t="shared" si="3"/>
        <v>LANJUTAN</v>
      </c>
      <c r="M905" s="144" t="s">
        <v>164</v>
      </c>
      <c r="N905" s="145">
        <v>700000.0</v>
      </c>
      <c r="O905" s="146">
        <v>500000.0</v>
      </c>
      <c r="P905" s="48">
        <f t="array" ref="P905">IFNA(XLOOKUP(J905,'⚙️ Pengaturan'!$E$2:$E3237,'⚙️ Pengaturan'!$F$2:$F3237),"")</f>
        <v>1200000</v>
      </c>
      <c r="Q905" s="147">
        <f t="shared" si="14"/>
        <v>0</v>
      </c>
      <c r="R905" s="41" t="s">
        <v>37</v>
      </c>
      <c r="S905" s="69" t="s">
        <v>494</v>
      </c>
      <c r="T905" s="51" t="b">
        <v>1</v>
      </c>
      <c r="U905" s="94"/>
    </row>
    <row r="906" ht="30.0" customHeight="1">
      <c r="A906" s="39"/>
      <c r="B906" s="40">
        <v>2941.0</v>
      </c>
      <c r="C906" s="41" t="s">
        <v>39</v>
      </c>
      <c r="D906" s="86">
        <v>46085.0</v>
      </c>
      <c r="E906" s="43" t="str">
        <f t="shared" si="1"/>
        <v>2026</v>
      </c>
      <c r="F906" s="43" t="str">
        <f t="shared" si="2"/>
        <v>03 Mar</v>
      </c>
      <c r="G906" s="126" t="s">
        <v>25</v>
      </c>
      <c r="H906" s="45" t="s">
        <v>47</v>
      </c>
      <c r="I906" s="45" t="s">
        <v>604</v>
      </c>
      <c r="J906" s="143" t="s">
        <v>56</v>
      </c>
      <c r="K906" s="43" t="str">
        <f t="array" ref="K906">IF(J906="","", XLOOKUP(J906,'⚙️ Pengaturan'!$E$2:$E3237,'⚙️ Pengaturan'!$G$2:$G3237))</f>
        <v>KLINIK FT PAKET</v>
      </c>
      <c r="L906" s="43" t="str">
        <f t="shared" si="3"/>
        <v>LANJUTAN</v>
      </c>
      <c r="M906" s="144" t="s">
        <v>60</v>
      </c>
      <c r="N906" s="145">
        <v>200000.0</v>
      </c>
      <c r="O906" s="146">
        <v>0.0</v>
      </c>
      <c r="P906" s="48">
        <f t="array" ref="P906">IFNA(XLOOKUP(J906,'⚙️ Pengaturan'!$E$2:$E3237,'⚙️ Pengaturan'!$F$2:$F3237),"")</f>
        <v>650000</v>
      </c>
      <c r="Q906" s="147">
        <f t="shared" si="14"/>
        <v>-450000</v>
      </c>
      <c r="R906" s="41" t="s">
        <v>37</v>
      </c>
      <c r="S906" s="69" t="s">
        <v>604</v>
      </c>
      <c r="T906" s="51" t="b">
        <v>1</v>
      </c>
      <c r="U906" s="94"/>
    </row>
    <row r="907" ht="30.0" customHeight="1">
      <c r="A907" s="39"/>
      <c r="B907" s="40">
        <v>2942.0</v>
      </c>
      <c r="C907" s="41" t="s">
        <v>39</v>
      </c>
      <c r="D907" s="86">
        <v>46085.0</v>
      </c>
      <c r="E907" s="43" t="str">
        <f t="shared" si="1"/>
        <v>2026</v>
      </c>
      <c r="F907" s="43" t="str">
        <f t="shared" si="2"/>
        <v>03 Mar</v>
      </c>
      <c r="G907" s="126" t="s">
        <v>206</v>
      </c>
      <c r="H907" s="45" t="s">
        <v>41</v>
      </c>
      <c r="I907" s="45" t="s">
        <v>834</v>
      </c>
      <c r="J907" s="143" t="s">
        <v>120</v>
      </c>
      <c r="K907" s="43" t="str">
        <f t="array" ref="K907">IF(J907="","", XLOOKUP(J907,'⚙️ Pengaturan'!$E$2:$E3237,'⚙️ Pengaturan'!$G$2:$G3237))</f>
        <v>KLINIK FT SESI</v>
      </c>
      <c r="L907" s="43" t="str">
        <f t="shared" si="3"/>
        <v>BARU</v>
      </c>
      <c r="M907" s="144" t="s">
        <v>31</v>
      </c>
      <c r="N907" s="145">
        <v>180000.0</v>
      </c>
      <c r="O907" s="146">
        <v>0.0</v>
      </c>
      <c r="P907" s="48">
        <f t="array" ref="P907">IFNA(XLOOKUP(J907,'⚙️ Pengaturan'!$E$2:$E3237,'⚙️ Pengaturan'!$F$2:$F3237),"")</f>
        <v>180000</v>
      </c>
      <c r="Q907" s="147">
        <f t="shared" si="14"/>
        <v>0</v>
      </c>
      <c r="R907" s="41" t="s">
        <v>37</v>
      </c>
      <c r="S907" s="69" t="s">
        <v>834</v>
      </c>
      <c r="T907" s="51" t="b">
        <v>1</v>
      </c>
      <c r="U907" s="94"/>
    </row>
    <row r="908" ht="30.0" customHeight="1">
      <c r="A908" s="39"/>
      <c r="B908" s="40">
        <v>2943.0</v>
      </c>
      <c r="C908" s="41" t="s">
        <v>39</v>
      </c>
      <c r="D908" s="86">
        <v>46085.0</v>
      </c>
      <c r="E908" s="43" t="str">
        <f t="shared" si="1"/>
        <v>2026</v>
      </c>
      <c r="F908" s="43" t="str">
        <f t="shared" si="2"/>
        <v>03 Mar</v>
      </c>
      <c r="G908" s="126" t="s">
        <v>206</v>
      </c>
      <c r="H908" s="45" t="s">
        <v>149</v>
      </c>
      <c r="I908" s="45" t="s">
        <v>918</v>
      </c>
      <c r="J908" s="143" t="s">
        <v>120</v>
      </c>
      <c r="K908" s="43" t="str">
        <f t="array" ref="K908">IF(J908="","", XLOOKUP(J908,'⚙️ Pengaturan'!$E$2:$E3237,'⚙️ Pengaturan'!$G$2:$G3237))</f>
        <v>KLINIK FT SESI</v>
      </c>
      <c r="L908" s="43" t="str">
        <f t="shared" si="3"/>
        <v>BARU</v>
      </c>
      <c r="M908" s="144" t="s">
        <v>31</v>
      </c>
      <c r="N908" s="145">
        <v>180000.0</v>
      </c>
      <c r="O908" s="146">
        <v>0.0</v>
      </c>
      <c r="P908" s="48">
        <f t="array" ref="P908">IFNA(XLOOKUP(J908,'⚙️ Pengaturan'!$E$2:$E3237,'⚙️ Pengaturan'!$F$2:$F3237),"")</f>
        <v>180000</v>
      </c>
      <c r="Q908" s="147">
        <f t="shared" si="14"/>
        <v>0</v>
      </c>
      <c r="R908" s="41" t="s">
        <v>118</v>
      </c>
      <c r="S908" s="69" t="s">
        <v>918</v>
      </c>
      <c r="T908" s="51" t="b">
        <v>1</v>
      </c>
      <c r="U908" s="94"/>
    </row>
    <row r="909" ht="30.0" customHeight="1">
      <c r="A909" s="39"/>
      <c r="B909" s="40">
        <v>2944.0</v>
      </c>
      <c r="C909" s="41" t="s">
        <v>39</v>
      </c>
      <c r="D909" s="86">
        <v>46085.0</v>
      </c>
      <c r="E909" s="43" t="str">
        <f t="shared" si="1"/>
        <v>2026</v>
      </c>
      <c r="F909" s="43" t="str">
        <f t="shared" si="2"/>
        <v>03 Mar</v>
      </c>
      <c r="G909" s="126" t="s">
        <v>206</v>
      </c>
      <c r="H909" s="45" t="s">
        <v>96</v>
      </c>
      <c r="I909" s="45" t="s">
        <v>923</v>
      </c>
      <c r="J909" s="143" t="s">
        <v>28</v>
      </c>
      <c r="K909" s="43" t="str">
        <f t="array" ref="K909">IF(J909="","", XLOOKUP(J909,'⚙️ Pengaturan'!$E$2:$E3237,'⚙️ Pengaturan'!$G$2:$G3237))</f>
        <v>KLINIK FT TA</v>
      </c>
      <c r="L909" s="43" t="str">
        <f t="shared" si="3"/>
        <v>BARU</v>
      </c>
      <c r="M909" s="144" t="s">
        <v>31</v>
      </c>
      <c r="N909" s="145">
        <v>250000.0</v>
      </c>
      <c r="O909" s="146">
        <v>0.0</v>
      </c>
      <c r="P909" s="48">
        <f t="array" ref="P909">IFNA(XLOOKUP(J909,'⚙️ Pengaturan'!$E$2:$E3237,'⚙️ Pengaturan'!$F$2:$F3237),"")</f>
        <v>250000</v>
      </c>
      <c r="Q909" s="147">
        <f t="shared" si="14"/>
        <v>0</v>
      </c>
      <c r="R909" s="41" t="s">
        <v>37</v>
      </c>
      <c r="S909" s="69" t="s">
        <v>923</v>
      </c>
      <c r="T909" s="51" t="b">
        <v>1</v>
      </c>
      <c r="U909" s="94"/>
    </row>
    <row r="910" ht="30.0" customHeight="1">
      <c r="A910" s="39"/>
      <c r="B910" s="40">
        <v>2945.0</v>
      </c>
      <c r="C910" s="41" t="s">
        <v>39</v>
      </c>
      <c r="D910" s="86">
        <v>46085.0</v>
      </c>
      <c r="E910" s="43" t="str">
        <f t="shared" si="1"/>
        <v>2026</v>
      </c>
      <c r="F910" s="43" t="str">
        <f t="shared" si="2"/>
        <v>03 Mar</v>
      </c>
      <c r="G910" s="126" t="s">
        <v>161</v>
      </c>
      <c r="H910" s="45" t="s">
        <v>156</v>
      </c>
      <c r="I910" s="45" t="s">
        <v>903</v>
      </c>
      <c r="J910" s="143" t="s">
        <v>180</v>
      </c>
      <c r="K910" s="43" t="str">
        <f t="array" ref="K910">IF(J910="","", XLOOKUP(J910,'⚙️ Pengaturan'!$E$2:$E3237,'⚙️ Pengaturan'!$G$2:$G3237))</f>
        <v>KLINIK FT SESI</v>
      </c>
      <c r="L910" s="43" t="str">
        <f t="shared" si="3"/>
        <v>BARU</v>
      </c>
      <c r="M910" s="144" t="s">
        <v>31</v>
      </c>
      <c r="N910" s="145">
        <v>150000.0</v>
      </c>
      <c r="O910" s="146">
        <v>0.0</v>
      </c>
      <c r="P910" s="48">
        <f t="array" ref="P910">IFNA(XLOOKUP(J910,'⚙️ Pengaturan'!$E$2:$E3237,'⚙️ Pengaturan'!$F$2:$F3237),"")</f>
        <v>150000</v>
      </c>
      <c r="Q910" s="147">
        <f t="shared" si="14"/>
        <v>0</v>
      </c>
      <c r="R910" s="41" t="s">
        <v>32</v>
      </c>
      <c r="S910" s="69" t="s">
        <v>33</v>
      </c>
      <c r="T910" s="51" t="b">
        <v>1</v>
      </c>
      <c r="U910" s="94"/>
    </row>
    <row r="911" ht="30.0" customHeight="1">
      <c r="A911" s="39"/>
      <c r="B911" s="40">
        <v>2946.0</v>
      </c>
      <c r="C911" s="41" t="s">
        <v>39</v>
      </c>
      <c r="D911" s="86">
        <v>46085.0</v>
      </c>
      <c r="E911" s="43" t="str">
        <f t="shared" si="1"/>
        <v>2026</v>
      </c>
      <c r="F911" s="43" t="str">
        <f t="shared" si="2"/>
        <v>03 Mar</v>
      </c>
      <c r="G911" s="126" t="s">
        <v>35</v>
      </c>
      <c r="H911" s="45" t="s">
        <v>96</v>
      </c>
      <c r="I911" s="45" t="s">
        <v>904</v>
      </c>
      <c r="J911" s="143" t="s">
        <v>120</v>
      </c>
      <c r="K911" s="43" t="str">
        <f t="array" ref="K911">IF(J911="","", XLOOKUP(J911,'⚙️ Pengaturan'!$E$2:$E3237,'⚙️ Pengaturan'!$G$2:$G3237))</f>
        <v>KLINIK FT SESI</v>
      </c>
      <c r="L911" s="43" t="str">
        <f t="shared" si="3"/>
        <v>BARU</v>
      </c>
      <c r="M911" s="144" t="s">
        <v>31</v>
      </c>
      <c r="N911" s="145">
        <v>180000.0</v>
      </c>
      <c r="O911" s="146">
        <v>0.0</v>
      </c>
      <c r="P911" s="48">
        <f t="array" ref="P911">IFNA(XLOOKUP(J911,'⚙️ Pengaturan'!$E$2:$E3237,'⚙️ Pengaturan'!$F$2:$F3237),"")</f>
        <v>180000</v>
      </c>
      <c r="Q911" s="147">
        <f t="shared" si="14"/>
        <v>0</v>
      </c>
      <c r="R911" s="41" t="s">
        <v>32</v>
      </c>
      <c r="S911" s="69" t="s">
        <v>33</v>
      </c>
      <c r="T911" s="51" t="b">
        <v>1</v>
      </c>
      <c r="U911" s="94"/>
    </row>
    <row r="912" ht="30.0" customHeight="1">
      <c r="A912" s="39"/>
      <c r="B912" s="40">
        <v>2947.0</v>
      </c>
      <c r="C912" s="41" t="s">
        <v>39</v>
      </c>
      <c r="D912" s="86">
        <v>46085.0</v>
      </c>
      <c r="E912" s="43" t="str">
        <f t="shared" si="1"/>
        <v>2026</v>
      </c>
      <c r="F912" s="43" t="str">
        <f t="shared" si="2"/>
        <v>03 Mar</v>
      </c>
      <c r="G912" s="126" t="s">
        <v>35</v>
      </c>
      <c r="H912" s="45" t="s">
        <v>41</v>
      </c>
      <c r="I912" s="45" t="s">
        <v>924</v>
      </c>
      <c r="J912" s="143" t="s">
        <v>28</v>
      </c>
      <c r="K912" s="43" t="str">
        <f t="array" ref="K912">IF(J912="","", XLOOKUP(J912,'⚙️ Pengaturan'!$E$2:$E3237,'⚙️ Pengaturan'!$G$2:$G3237))</f>
        <v>KLINIK FT TA</v>
      </c>
      <c r="L912" s="43" t="str">
        <f t="shared" si="3"/>
        <v>BARU</v>
      </c>
      <c r="M912" s="144" t="s">
        <v>31</v>
      </c>
      <c r="N912" s="145">
        <v>250000.0</v>
      </c>
      <c r="O912" s="146">
        <v>0.0</v>
      </c>
      <c r="P912" s="48">
        <f t="array" ref="P912">IFNA(XLOOKUP(J912,'⚙️ Pengaturan'!$E$2:$E3237,'⚙️ Pengaturan'!$F$2:$F3237),"")</f>
        <v>250000</v>
      </c>
      <c r="Q912" s="147">
        <f t="shared" si="14"/>
        <v>0</v>
      </c>
      <c r="R912" s="41" t="s">
        <v>37</v>
      </c>
      <c r="S912" s="69" t="s">
        <v>925</v>
      </c>
      <c r="T912" s="51" t="b">
        <v>1</v>
      </c>
      <c r="U912" s="94"/>
    </row>
    <row r="913" ht="30.0" customHeight="1">
      <c r="A913" s="39"/>
      <c r="B913" s="40">
        <v>2948.0</v>
      </c>
      <c r="C913" s="41" t="s">
        <v>39</v>
      </c>
      <c r="D913" s="86">
        <v>46085.0</v>
      </c>
      <c r="E913" s="43" t="str">
        <f t="shared" si="1"/>
        <v>2026</v>
      </c>
      <c r="F913" s="43" t="str">
        <f t="shared" si="2"/>
        <v>03 Mar</v>
      </c>
      <c r="G913" s="126" t="s">
        <v>69</v>
      </c>
      <c r="H913" s="45" t="s">
        <v>76</v>
      </c>
      <c r="I913" s="45" t="s">
        <v>888</v>
      </c>
      <c r="J913" s="143" t="s">
        <v>349</v>
      </c>
      <c r="K913" s="43" t="str">
        <f t="array" ref="K913">IF(J913="","", XLOOKUP(J913,'⚙️ Pengaturan'!$E$2:$E3237,'⚙️ Pengaturan'!$G$2:$G3237))</f>
        <v>KLINIK FT PAKET</v>
      </c>
      <c r="L913" s="43" t="str">
        <f t="shared" si="3"/>
        <v>LANJUTAN</v>
      </c>
      <c r="M913" s="144" t="s">
        <v>164</v>
      </c>
      <c r="N913" s="145">
        <v>1100000.0</v>
      </c>
      <c r="O913" s="146">
        <v>1300000.0</v>
      </c>
      <c r="P913" s="48">
        <f t="array" ref="P913">IFNA(XLOOKUP(J913,'⚙️ Pengaturan'!$E$2:$E3237,'⚙️ Pengaturan'!$F$2:$F3237),"")</f>
        <v>2400000</v>
      </c>
      <c r="Q913" s="147">
        <f t="shared" si="14"/>
        <v>0</v>
      </c>
      <c r="R913" s="41" t="s">
        <v>37</v>
      </c>
      <c r="S913" s="69" t="s">
        <v>888</v>
      </c>
      <c r="T913" s="51" t="b">
        <v>1</v>
      </c>
      <c r="U913" s="94"/>
    </row>
    <row r="914" ht="30.0" customHeight="1">
      <c r="A914" s="39"/>
      <c r="B914" s="40">
        <v>2949.0</v>
      </c>
      <c r="C914" s="41" t="s">
        <v>50</v>
      </c>
      <c r="D914" s="86">
        <v>46085.0</v>
      </c>
      <c r="E914" s="43" t="str">
        <f t="shared" si="1"/>
        <v>2026</v>
      </c>
      <c r="F914" s="43" t="str">
        <f t="shared" si="2"/>
        <v>03 Mar</v>
      </c>
      <c r="G914" s="126" t="s">
        <v>40</v>
      </c>
      <c r="H914" s="45" t="s">
        <v>26</v>
      </c>
      <c r="I914" s="45" t="s">
        <v>701</v>
      </c>
      <c r="J914" s="143" t="s">
        <v>92</v>
      </c>
      <c r="K914" s="43" t="str">
        <f t="array" ref="K914">IF(J914="","", XLOOKUP(J914,'⚙️ Pengaturan'!$E$2:$E3237,'⚙️ Pengaturan'!$G$2:$G3237))</f>
        <v>KLINIK FT PAKET</v>
      </c>
      <c r="L914" s="43" t="str">
        <f t="shared" si="3"/>
        <v>LANJUTAN</v>
      </c>
      <c r="M914" s="144" t="s">
        <v>81</v>
      </c>
      <c r="N914" s="145">
        <v>200000.0</v>
      </c>
      <c r="O914" s="146">
        <v>850000.0</v>
      </c>
      <c r="P914" s="48">
        <f t="array" ref="P914">IFNA(XLOOKUP(J914,'⚙️ Pengaturan'!$E$2:$E3237,'⚙️ Pengaturan'!$F$2:$F3237),"")</f>
        <v>1200000</v>
      </c>
      <c r="Q914" s="147">
        <f t="shared" si="14"/>
        <v>-150000</v>
      </c>
      <c r="R914" s="41" t="s">
        <v>32</v>
      </c>
      <c r="S914" s="69" t="s">
        <v>33</v>
      </c>
      <c r="T914" s="51" t="b">
        <v>1</v>
      </c>
      <c r="U914" s="94"/>
    </row>
    <row r="915" ht="30.0" customHeight="1">
      <c r="A915" s="39"/>
      <c r="B915" s="40">
        <v>2950.0</v>
      </c>
      <c r="C915" s="41" t="s">
        <v>50</v>
      </c>
      <c r="D915" s="86">
        <v>46085.0</v>
      </c>
      <c r="E915" s="43" t="str">
        <f t="shared" si="1"/>
        <v>2026</v>
      </c>
      <c r="F915" s="43" t="str">
        <f t="shared" si="2"/>
        <v>03 Mar</v>
      </c>
      <c r="G915" s="126" t="s">
        <v>173</v>
      </c>
      <c r="H915" s="45" t="s">
        <v>162</v>
      </c>
      <c r="I915" s="45" t="s">
        <v>926</v>
      </c>
      <c r="J915" s="143" t="s">
        <v>28</v>
      </c>
      <c r="K915" s="43" t="str">
        <f t="array" ref="K915">IF(J915="","", XLOOKUP(J915,'⚙️ Pengaturan'!$E$2:$E3237,'⚙️ Pengaturan'!$G$2:$G3237))</f>
        <v>KLINIK FT TA</v>
      </c>
      <c r="L915" s="43" t="str">
        <f t="shared" si="3"/>
        <v>BARU</v>
      </c>
      <c r="M915" s="144" t="s">
        <v>31</v>
      </c>
      <c r="N915" s="145">
        <v>250000.0</v>
      </c>
      <c r="O915" s="146">
        <v>0.0</v>
      </c>
      <c r="P915" s="48">
        <f t="array" ref="P915">IFNA(XLOOKUP(J915,'⚙️ Pengaturan'!$E$2:$E3237,'⚙️ Pengaturan'!$F$2:$F3237),"")</f>
        <v>250000</v>
      </c>
      <c r="Q915" s="147">
        <f t="shared" si="14"/>
        <v>0</v>
      </c>
      <c r="R915" s="41" t="s">
        <v>32</v>
      </c>
      <c r="S915" s="69" t="s">
        <v>33</v>
      </c>
      <c r="T915" s="51" t="b">
        <v>1</v>
      </c>
      <c r="U915" s="94"/>
    </row>
    <row r="916" ht="30.0" customHeight="1">
      <c r="A916" s="39"/>
      <c r="B916" s="40">
        <v>2951.0</v>
      </c>
      <c r="C916" s="41" t="s">
        <v>50</v>
      </c>
      <c r="D916" s="86">
        <v>46085.0</v>
      </c>
      <c r="E916" s="43" t="str">
        <f t="shared" si="1"/>
        <v>2026</v>
      </c>
      <c r="F916" s="43" t="str">
        <f t="shared" si="2"/>
        <v>03 Mar</v>
      </c>
      <c r="G916" s="126" t="s">
        <v>190</v>
      </c>
      <c r="H916" s="45" t="s">
        <v>166</v>
      </c>
      <c r="I916" s="45" t="s">
        <v>913</v>
      </c>
      <c r="J916" s="143" t="s">
        <v>119</v>
      </c>
      <c r="K916" s="43" t="str">
        <f t="array" ref="K916">IF(J916="","", XLOOKUP(J916,'⚙️ Pengaturan'!$E$2:$E3237,'⚙️ Pengaturan'!$G$2:$G3237))</f>
        <v>KLINIK FT PAKET</v>
      </c>
      <c r="L916" s="43" t="str">
        <f t="shared" si="3"/>
        <v>BARU</v>
      </c>
      <c r="M916" s="144" t="s">
        <v>31</v>
      </c>
      <c r="N916" s="145">
        <v>750000.0</v>
      </c>
      <c r="O916" s="146">
        <v>0.0</v>
      </c>
      <c r="P916" s="48">
        <f t="array" ref="P916">IFNA(XLOOKUP(J916,'⚙️ Pengaturan'!$E$2:$E3237,'⚙️ Pengaturan'!$F$2:$F3237),"")</f>
        <v>750000</v>
      </c>
      <c r="Q916" s="147">
        <f t="shared" si="14"/>
        <v>0</v>
      </c>
      <c r="R916" s="41" t="s">
        <v>37</v>
      </c>
      <c r="S916" s="69" t="s">
        <v>913</v>
      </c>
      <c r="T916" s="51" t="b">
        <v>1</v>
      </c>
      <c r="U916" s="94"/>
    </row>
    <row r="917" ht="30.0" customHeight="1">
      <c r="A917" s="39"/>
      <c r="B917" s="40">
        <v>2952.0</v>
      </c>
      <c r="C917" s="41" t="s">
        <v>39</v>
      </c>
      <c r="D917" s="86">
        <v>46086.0</v>
      </c>
      <c r="E917" s="43" t="str">
        <f t="shared" si="1"/>
        <v>2026</v>
      </c>
      <c r="F917" s="43" t="str">
        <f t="shared" si="2"/>
        <v>03 Mar</v>
      </c>
      <c r="G917" s="126" t="s">
        <v>195</v>
      </c>
      <c r="H917" s="45" t="s">
        <v>166</v>
      </c>
      <c r="I917" s="45" t="s">
        <v>914</v>
      </c>
      <c r="J917" s="143" t="s">
        <v>120</v>
      </c>
      <c r="K917" s="43" t="str">
        <f t="array" ref="K917">IF(J917="","", XLOOKUP(J917,'⚙️ Pengaturan'!$E$2:$E3237,'⚙️ Pengaturan'!$G$2:$G3237))</f>
        <v>KLINIK FT SESI</v>
      </c>
      <c r="L917" s="43" t="str">
        <f t="shared" si="3"/>
        <v>BARU</v>
      </c>
      <c r="M917" s="144" t="s">
        <v>31</v>
      </c>
      <c r="N917" s="145">
        <v>180000.0</v>
      </c>
      <c r="O917" s="146">
        <v>0.0</v>
      </c>
      <c r="P917" s="48">
        <f t="array" ref="P917">IFNA(XLOOKUP(J917,'⚙️ Pengaturan'!$E$2:$E3237,'⚙️ Pengaturan'!$F$2:$F3237),"")</f>
        <v>180000</v>
      </c>
      <c r="Q917" s="147">
        <f t="shared" si="14"/>
        <v>0</v>
      </c>
      <c r="R917" s="41" t="s">
        <v>37</v>
      </c>
      <c r="S917" s="69" t="s">
        <v>914</v>
      </c>
      <c r="T917" s="51" t="b">
        <v>1</v>
      </c>
      <c r="U917" s="94"/>
    </row>
    <row r="918" ht="30.0" customHeight="1">
      <c r="A918" s="39"/>
      <c r="B918" s="40">
        <v>2953.0</v>
      </c>
      <c r="C918" s="41" t="s">
        <v>39</v>
      </c>
      <c r="D918" s="86">
        <v>46086.0</v>
      </c>
      <c r="E918" s="43" t="str">
        <f t="shared" si="1"/>
        <v>2026</v>
      </c>
      <c r="F918" s="43" t="str">
        <f t="shared" si="2"/>
        <v>03 Mar</v>
      </c>
      <c r="G918" s="126" t="s">
        <v>206</v>
      </c>
      <c r="H918" s="45" t="s">
        <v>26</v>
      </c>
      <c r="I918" s="45" t="s">
        <v>842</v>
      </c>
      <c r="J918" s="143" t="s">
        <v>119</v>
      </c>
      <c r="K918" s="43" t="str">
        <f t="array" ref="K918">IF(J918="","", XLOOKUP(J918,'⚙️ Pengaturan'!$E$2:$E3237,'⚙️ Pengaturan'!$G$2:$G3237))</f>
        <v>KLINIK FT PAKET</v>
      </c>
      <c r="L918" s="43" t="str">
        <f t="shared" si="3"/>
        <v>LANJUTAN</v>
      </c>
      <c r="M918" s="144" t="s">
        <v>164</v>
      </c>
      <c r="N918" s="145">
        <v>450000.0</v>
      </c>
      <c r="O918" s="146">
        <v>300000.0</v>
      </c>
      <c r="P918" s="48">
        <f t="array" ref="P918">IFNA(XLOOKUP(J918,'⚙️ Pengaturan'!$E$2:$E3237,'⚙️ Pengaturan'!$F$2:$F3237),"")</f>
        <v>750000</v>
      </c>
      <c r="Q918" s="147">
        <f t="shared" si="14"/>
        <v>0</v>
      </c>
      <c r="R918" s="41" t="s">
        <v>32</v>
      </c>
      <c r="S918" s="69" t="s">
        <v>33</v>
      </c>
      <c r="T918" s="51" t="b">
        <v>1</v>
      </c>
      <c r="U918" s="94"/>
    </row>
    <row r="919" ht="30.0" customHeight="1">
      <c r="A919" s="39"/>
      <c r="B919" s="40">
        <v>2954.0</v>
      </c>
      <c r="C919" s="41" t="s">
        <v>39</v>
      </c>
      <c r="D919" s="86">
        <v>46086.0</v>
      </c>
      <c r="E919" s="43" t="str">
        <f t="shared" si="1"/>
        <v>2026</v>
      </c>
      <c r="F919" s="43" t="str">
        <f t="shared" si="2"/>
        <v>03 Mar</v>
      </c>
      <c r="G919" s="126" t="s">
        <v>206</v>
      </c>
      <c r="H919" s="45" t="s">
        <v>166</v>
      </c>
      <c r="I919" s="45" t="s">
        <v>927</v>
      </c>
      <c r="J919" s="143" t="s">
        <v>28</v>
      </c>
      <c r="K919" s="43" t="str">
        <f t="array" ref="K919">IF(J919="","", XLOOKUP(J919,'⚙️ Pengaturan'!$E$2:$E3237,'⚙️ Pengaturan'!$G$2:$G3237))</f>
        <v>KLINIK FT TA</v>
      </c>
      <c r="L919" s="43" t="str">
        <f t="shared" si="3"/>
        <v>BARU</v>
      </c>
      <c r="M919" s="144" t="s">
        <v>31</v>
      </c>
      <c r="N919" s="145">
        <v>250000.0</v>
      </c>
      <c r="O919" s="146">
        <v>0.0</v>
      </c>
      <c r="P919" s="48">
        <f t="array" ref="P919">IFNA(XLOOKUP(J919,'⚙️ Pengaturan'!$E$2:$E3237,'⚙️ Pengaturan'!$F$2:$F3237),"")</f>
        <v>250000</v>
      </c>
      <c r="Q919" s="147">
        <f t="shared" si="14"/>
        <v>0</v>
      </c>
      <c r="R919" s="41" t="s">
        <v>32</v>
      </c>
      <c r="S919" s="69" t="s">
        <v>33</v>
      </c>
      <c r="T919" s="51" t="b">
        <v>1</v>
      </c>
      <c r="U919" s="94"/>
    </row>
    <row r="920" ht="30.0" customHeight="1">
      <c r="A920" s="39"/>
      <c r="B920" s="40">
        <v>2955.0</v>
      </c>
      <c r="C920" s="41" t="s">
        <v>39</v>
      </c>
      <c r="D920" s="86">
        <v>46086.0</v>
      </c>
      <c r="E920" s="43" t="str">
        <f t="shared" si="1"/>
        <v>2026</v>
      </c>
      <c r="F920" s="43" t="str">
        <f t="shared" si="2"/>
        <v>03 Mar</v>
      </c>
      <c r="G920" s="126" t="s">
        <v>206</v>
      </c>
      <c r="H920" s="45" t="s">
        <v>166</v>
      </c>
      <c r="I920" s="45" t="s">
        <v>927</v>
      </c>
      <c r="J920" s="143" t="s">
        <v>347</v>
      </c>
      <c r="K920" s="43" t="str">
        <f t="array" ref="K920">IF(J920="","", XLOOKUP(J920,'⚙️ Pengaturan'!$E$2:$E3237,'⚙️ Pengaturan'!$G$2:$G3237))</f>
        <v>KLINIK FT PAKET</v>
      </c>
      <c r="L920" s="43" t="str">
        <f t="shared" si="3"/>
        <v>BARU</v>
      </c>
      <c r="M920" s="144" t="s">
        <v>60</v>
      </c>
      <c r="N920" s="145">
        <v>600000.0</v>
      </c>
      <c r="O920" s="146">
        <v>0.0</v>
      </c>
      <c r="P920" s="48">
        <f t="array" ref="P920">IFNA(XLOOKUP(J920,'⚙️ Pengaturan'!$E$2:$E3237,'⚙️ Pengaturan'!$F$2:$F3237),"")</f>
        <v>1300000</v>
      </c>
      <c r="Q920" s="147">
        <f t="shared" si="14"/>
        <v>-700000</v>
      </c>
      <c r="R920" s="41" t="s">
        <v>37</v>
      </c>
      <c r="S920" s="69" t="s">
        <v>928</v>
      </c>
      <c r="T920" s="51" t="b">
        <v>1</v>
      </c>
      <c r="U920" s="94"/>
    </row>
    <row r="921" ht="30.0" customHeight="1">
      <c r="A921" s="39"/>
      <c r="B921" s="40">
        <v>2956.0</v>
      </c>
      <c r="C921" s="41" t="s">
        <v>39</v>
      </c>
      <c r="D921" s="86">
        <v>46086.0</v>
      </c>
      <c r="E921" s="43" t="str">
        <f t="shared" si="1"/>
        <v>2026</v>
      </c>
      <c r="F921" s="43" t="str">
        <f t="shared" si="2"/>
        <v>03 Mar</v>
      </c>
      <c r="G921" s="126" t="s">
        <v>161</v>
      </c>
      <c r="H921" s="45" t="s">
        <v>156</v>
      </c>
      <c r="I921" s="45" t="s">
        <v>929</v>
      </c>
      <c r="J921" s="143" t="s">
        <v>28</v>
      </c>
      <c r="K921" s="43" t="str">
        <f t="array" ref="K921">IF(J921="","", XLOOKUP(J921,'⚙️ Pengaturan'!$E$2:$E3237,'⚙️ Pengaturan'!$G$2:$G3237))</f>
        <v>KLINIK FT TA</v>
      </c>
      <c r="L921" s="43" t="str">
        <f t="shared" si="3"/>
        <v>BARU</v>
      </c>
      <c r="M921" s="144" t="s">
        <v>31</v>
      </c>
      <c r="N921" s="145">
        <v>250000.0</v>
      </c>
      <c r="O921" s="146">
        <v>0.0</v>
      </c>
      <c r="P921" s="48">
        <f t="array" ref="P921">IFNA(XLOOKUP(J921,'⚙️ Pengaturan'!$E$2:$E3237,'⚙️ Pengaturan'!$F$2:$F3237),"")</f>
        <v>250000</v>
      </c>
      <c r="Q921" s="147">
        <f t="shared" si="14"/>
        <v>0</v>
      </c>
      <c r="R921" s="41" t="s">
        <v>32</v>
      </c>
      <c r="S921" s="69" t="s">
        <v>33</v>
      </c>
      <c r="T921" s="51" t="b">
        <v>1</v>
      </c>
      <c r="U921" s="94"/>
    </row>
    <row r="922" ht="30.0" customHeight="1">
      <c r="A922" s="39"/>
      <c r="B922" s="40">
        <v>2957.0</v>
      </c>
      <c r="C922" s="41" t="s">
        <v>50</v>
      </c>
      <c r="D922" s="86">
        <v>46086.0</v>
      </c>
      <c r="E922" s="43" t="str">
        <f t="shared" si="1"/>
        <v>2026</v>
      </c>
      <c r="F922" s="43" t="str">
        <f t="shared" si="2"/>
        <v>03 Mar</v>
      </c>
      <c r="G922" s="126" t="s">
        <v>43</v>
      </c>
      <c r="H922" s="45" t="s">
        <v>41</v>
      </c>
      <c r="I922" s="45" t="s">
        <v>900</v>
      </c>
      <c r="J922" s="143" t="s">
        <v>120</v>
      </c>
      <c r="K922" s="43" t="str">
        <f t="array" ref="K922">IF(J922="","", XLOOKUP(J922,'⚙️ Pengaturan'!$E$2:$E3237,'⚙️ Pengaturan'!$G$2:$G3237))</f>
        <v>KLINIK FT SESI</v>
      </c>
      <c r="L922" s="43" t="str">
        <f t="shared" si="3"/>
        <v>LANJUTAN</v>
      </c>
      <c r="M922" s="144" t="s">
        <v>31</v>
      </c>
      <c r="N922" s="145">
        <v>144000.0</v>
      </c>
      <c r="O922" s="146">
        <v>36000.0</v>
      </c>
      <c r="P922" s="48">
        <f t="array" ref="P922">IFNA(XLOOKUP(J922,'⚙️ Pengaturan'!$E$2:$E3237,'⚙️ Pengaturan'!$F$2:$F3237),"")</f>
        <v>180000</v>
      </c>
      <c r="Q922" s="147">
        <f t="shared" si="14"/>
        <v>0</v>
      </c>
      <c r="R922" s="41" t="s">
        <v>37</v>
      </c>
      <c r="S922" s="69" t="s">
        <v>900</v>
      </c>
      <c r="T922" s="51" t="b">
        <v>1</v>
      </c>
      <c r="U922" s="94"/>
    </row>
    <row r="923" ht="30.0" customHeight="1">
      <c r="A923" s="39"/>
      <c r="B923" s="40">
        <v>2958.0</v>
      </c>
      <c r="C923" s="41" t="s">
        <v>50</v>
      </c>
      <c r="D923" s="86">
        <v>46086.0</v>
      </c>
      <c r="E923" s="43" t="str">
        <f t="shared" si="1"/>
        <v>2026</v>
      </c>
      <c r="F923" s="43" t="str">
        <f t="shared" si="2"/>
        <v>03 Mar</v>
      </c>
      <c r="G923" s="126" t="s">
        <v>190</v>
      </c>
      <c r="H923" s="45" t="s">
        <v>41</v>
      </c>
      <c r="I923" s="45" t="s">
        <v>930</v>
      </c>
      <c r="J923" s="143" t="s">
        <v>28</v>
      </c>
      <c r="K923" s="43" t="str">
        <f t="array" ref="K923">IF(J923="","", XLOOKUP(J923,'⚙️ Pengaturan'!$E$2:$E3237,'⚙️ Pengaturan'!$G$2:$G3237))</f>
        <v>KLINIK FT TA</v>
      </c>
      <c r="L923" s="43" t="str">
        <f t="shared" si="3"/>
        <v>BARU</v>
      </c>
      <c r="M923" s="144" t="s">
        <v>31</v>
      </c>
      <c r="N923" s="145">
        <v>250000.0</v>
      </c>
      <c r="O923" s="146">
        <v>0.0</v>
      </c>
      <c r="P923" s="48">
        <f t="array" ref="P923">IFNA(XLOOKUP(J923,'⚙️ Pengaturan'!$E$2:$E3237,'⚙️ Pengaturan'!$F$2:$F3237),"")</f>
        <v>250000</v>
      </c>
      <c r="Q923" s="147">
        <f t="shared" si="14"/>
        <v>0</v>
      </c>
      <c r="R923" s="41" t="s">
        <v>37</v>
      </c>
      <c r="S923" s="69" t="s">
        <v>930</v>
      </c>
      <c r="T923" s="51" t="b">
        <v>1</v>
      </c>
      <c r="U923" s="94"/>
    </row>
    <row r="924" ht="30.0" customHeight="1">
      <c r="A924" s="39"/>
      <c r="B924" s="40">
        <v>2959.0</v>
      </c>
      <c r="C924" s="41" t="s">
        <v>50</v>
      </c>
      <c r="D924" s="86">
        <v>46086.0</v>
      </c>
      <c r="E924" s="43" t="str">
        <f t="shared" si="1"/>
        <v>2026</v>
      </c>
      <c r="F924" s="43" t="str">
        <f t="shared" si="2"/>
        <v>03 Mar</v>
      </c>
      <c r="G924" s="126" t="s">
        <v>190</v>
      </c>
      <c r="H924" s="45" t="s">
        <v>76</v>
      </c>
      <c r="I924" s="45" t="s">
        <v>815</v>
      </c>
      <c r="J924" s="143" t="s">
        <v>120</v>
      </c>
      <c r="K924" s="43" t="str">
        <f t="array" ref="K924">IF(J924="","", XLOOKUP(J924,'⚙️ Pengaturan'!$E$2:$E3237,'⚙️ Pengaturan'!$G$2:$G3237))</f>
        <v>KLINIK FT SESI</v>
      </c>
      <c r="L924" s="43" t="str">
        <f t="shared" si="3"/>
        <v>LANJUTAN</v>
      </c>
      <c r="M924" s="144" t="s">
        <v>31</v>
      </c>
      <c r="N924" s="145">
        <v>180000.0</v>
      </c>
      <c r="O924" s="146">
        <v>0.0</v>
      </c>
      <c r="P924" s="48">
        <f t="array" ref="P924">IFNA(XLOOKUP(J924,'⚙️ Pengaturan'!$E$2:$E3237,'⚙️ Pengaturan'!$F$2:$F3237),"")</f>
        <v>180000</v>
      </c>
      <c r="Q924" s="147">
        <f t="shared" si="14"/>
        <v>0</v>
      </c>
      <c r="R924" s="41" t="s">
        <v>37</v>
      </c>
      <c r="S924" s="69" t="s">
        <v>815</v>
      </c>
      <c r="T924" s="51" t="b">
        <v>1</v>
      </c>
      <c r="U924" s="94"/>
    </row>
    <row r="925" ht="30.0" customHeight="1">
      <c r="A925" s="39"/>
      <c r="B925" s="40">
        <v>2960.0</v>
      </c>
      <c r="C925" s="41" t="s">
        <v>39</v>
      </c>
      <c r="D925" s="86">
        <v>46087.0</v>
      </c>
      <c r="E925" s="43" t="str">
        <f t="shared" si="1"/>
        <v>2026</v>
      </c>
      <c r="F925" s="43" t="str">
        <f t="shared" si="2"/>
        <v>03 Mar</v>
      </c>
      <c r="G925" s="126" t="s">
        <v>25</v>
      </c>
      <c r="H925" s="45" t="s">
        <v>41</v>
      </c>
      <c r="I925" s="45" t="s">
        <v>917</v>
      </c>
      <c r="J925" s="143" t="s">
        <v>119</v>
      </c>
      <c r="K925" s="43" t="str">
        <f t="array" ref="K925">IF(J925="","", XLOOKUP(J925,'⚙️ Pengaturan'!$E$2:$E3237,'⚙️ Pengaturan'!$G$2:$G3237))</f>
        <v>KLINIK FT PAKET</v>
      </c>
      <c r="L925" s="43" t="str">
        <f t="shared" si="3"/>
        <v>BARU</v>
      </c>
      <c r="M925" s="144" t="s">
        <v>31</v>
      </c>
      <c r="N925" s="145">
        <v>750000.0</v>
      </c>
      <c r="O925" s="146">
        <v>0.0</v>
      </c>
      <c r="P925" s="48">
        <f t="array" ref="P925">IFNA(XLOOKUP(J925,'⚙️ Pengaturan'!$E$2:$E3237,'⚙️ Pengaturan'!$F$2:$F3237),"")</f>
        <v>750000</v>
      </c>
      <c r="Q925" s="147">
        <f t="shared" si="14"/>
        <v>0</v>
      </c>
      <c r="R925" s="41" t="s">
        <v>37</v>
      </c>
      <c r="S925" s="69" t="s">
        <v>931</v>
      </c>
      <c r="T925" s="51" t="b">
        <v>1</v>
      </c>
      <c r="U925" s="94"/>
    </row>
    <row r="926" ht="30.0" customHeight="1">
      <c r="A926" s="39"/>
      <c r="B926" s="40">
        <v>2961.0</v>
      </c>
      <c r="C926" s="41" t="s">
        <v>39</v>
      </c>
      <c r="D926" s="86">
        <v>46087.0</v>
      </c>
      <c r="E926" s="43" t="str">
        <f t="shared" si="1"/>
        <v>2026</v>
      </c>
      <c r="F926" s="43" t="str">
        <f t="shared" si="2"/>
        <v>03 Mar</v>
      </c>
      <c r="G926" s="126" t="s">
        <v>206</v>
      </c>
      <c r="H926" s="45" t="s">
        <v>41</v>
      </c>
      <c r="I926" s="45" t="s">
        <v>932</v>
      </c>
      <c r="J926" s="143" t="s">
        <v>28</v>
      </c>
      <c r="K926" s="43" t="str">
        <f t="array" ref="K926">IF(J926="","", XLOOKUP(J926,'⚙️ Pengaturan'!$E$2:$E3237,'⚙️ Pengaturan'!$G$2:$G3237))</f>
        <v>KLINIK FT TA</v>
      </c>
      <c r="L926" s="43" t="str">
        <f t="shared" si="3"/>
        <v>BARU</v>
      </c>
      <c r="M926" s="144" t="s">
        <v>31</v>
      </c>
      <c r="N926" s="145">
        <v>250000.0</v>
      </c>
      <c r="O926" s="146">
        <v>0.0</v>
      </c>
      <c r="P926" s="48">
        <f t="array" ref="P926">IFNA(XLOOKUP(J926,'⚙️ Pengaturan'!$E$2:$E3237,'⚙️ Pengaturan'!$F$2:$F3237),"")</f>
        <v>250000</v>
      </c>
      <c r="Q926" s="147">
        <f t="shared" si="14"/>
        <v>0</v>
      </c>
      <c r="R926" s="41" t="s">
        <v>118</v>
      </c>
      <c r="S926" s="69" t="s">
        <v>41</v>
      </c>
      <c r="T926" s="51" t="b">
        <v>1</v>
      </c>
      <c r="U926" s="94"/>
    </row>
    <row r="927" ht="30.0" customHeight="1">
      <c r="A927" s="39"/>
      <c r="B927" s="40">
        <v>2962.0</v>
      </c>
      <c r="C927" s="41" t="s">
        <v>39</v>
      </c>
      <c r="D927" s="86">
        <v>46087.0</v>
      </c>
      <c r="E927" s="43" t="str">
        <f t="shared" si="1"/>
        <v>2026</v>
      </c>
      <c r="F927" s="43" t="str">
        <f t="shared" si="2"/>
        <v>03 Mar</v>
      </c>
      <c r="G927" s="126" t="s">
        <v>35</v>
      </c>
      <c r="H927" s="45" t="s">
        <v>41</v>
      </c>
      <c r="I927" s="45" t="s">
        <v>924</v>
      </c>
      <c r="J927" s="143" t="s">
        <v>119</v>
      </c>
      <c r="K927" s="43" t="str">
        <f t="array" ref="K927">IF(J927="","", XLOOKUP(J927,'⚙️ Pengaturan'!$E$2:$E3237,'⚙️ Pengaturan'!$G$2:$G3237))</f>
        <v>KLINIK FT PAKET</v>
      </c>
      <c r="L927" s="43" t="str">
        <f t="shared" si="3"/>
        <v>BARU</v>
      </c>
      <c r="M927" s="144" t="s">
        <v>31</v>
      </c>
      <c r="N927" s="145">
        <v>750000.0</v>
      </c>
      <c r="O927" s="146">
        <v>0.0</v>
      </c>
      <c r="P927" s="48">
        <f t="array" ref="P927">IFNA(XLOOKUP(J927,'⚙️ Pengaturan'!$E$2:$E3237,'⚙️ Pengaturan'!$F$2:$F3237),"")</f>
        <v>750000</v>
      </c>
      <c r="Q927" s="147">
        <f t="shared" si="14"/>
        <v>0</v>
      </c>
      <c r="R927" s="41" t="s">
        <v>37</v>
      </c>
      <c r="S927" s="69" t="s">
        <v>925</v>
      </c>
      <c r="T927" s="51" t="b">
        <v>1</v>
      </c>
      <c r="U927" s="94"/>
    </row>
    <row r="928" ht="30.0" customHeight="1">
      <c r="A928" s="39"/>
      <c r="B928" s="40">
        <v>2963.0</v>
      </c>
      <c r="C928" s="41" t="s">
        <v>50</v>
      </c>
      <c r="D928" s="86">
        <v>46087.0</v>
      </c>
      <c r="E928" s="43" t="str">
        <f t="shared" si="1"/>
        <v>2026</v>
      </c>
      <c r="F928" s="43" t="str">
        <f t="shared" si="2"/>
        <v>03 Mar</v>
      </c>
      <c r="G928" s="126" t="s">
        <v>43</v>
      </c>
      <c r="H928" s="45" t="s">
        <v>149</v>
      </c>
      <c r="I928" s="45" t="s">
        <v>923</v>
      </c>
      <c r="J928" s="143" t="s">
        <v>347</v>
      </c>
      <c r="K928" s="43" t="str">
        <f t="array" ref="K928">IF(J928="","", XLOOKUP(J928,'⚙️ Pengaturan'!$E$2:$E3237,'⚙️ Pengaturan'!$G$2:$G3237))</f>
        <v>KLINIK FT PAKET</v>
      </c>
      <c r="L928" s="43" t="str">
        <f t="shared" si="3"/>
        <v>BARU</v>
      </c>
      <c r="M928" s="144" t="s">
        <v>31</v>
      </c>
      <c r="N928" s="145">
        <v>1300000.0</v>
      </c>
      <c r="O928" s="146">
        <v>0.0</v>
      </c>
      <c r="P928" s="48">
        <f t="array" ref="P928">IFNA(XLOOKUP(J928,'⚙️ Pengaturan'!$E$2:$E3237,'⚙️ Pengaturan'!$F$2:$F3237),"")</f>
        <v>1300000</v>
      </c>
      <c r="Q928" s="147">
        <f t="shared" si="14"/>
        <v>0</v>
      </c>
      <c r="R928" s="41" t="s">
        <v>37</v>
      </c>
      <c r="S928" s="69" t="s">
        <v>923</v>
      </c>
      <c r="T928" s="51" t="b">
        <v>1</v>
      </c>
      <c r="U928" s="94"/>
    </row>
    <row r="929" ht="30.0" customHeight="1">
      <c r="A929" s="39"/>
      <c r="B929" s="40">
        <v>2964.0</v>
      </c>
      <c r="C929" s="41" t="s">
        <v>50</v>
      </c>
      <c r="D929" s="86">
        <v>46087.0</v>
      </c>
      <c r="E929" s="43" t="str">
        <f t="shared" si="1"/>
        <v>2026</v>
      </c>
      <c r="F929" s="43" t="str">
        <f t="shared" si="2"/>
        <v>03 Mar</v>
      </c>
      <c r="G929" s="126" t="s">
        <v>190</v>
      </c>
      <c r="H929" s="45" t="s">
        <v>150</v>
      </c>
      <c r="I929" s="45" t="s">
        <v>933</v>
      </c>
      <c r="J929" s="143" t="s">
        <v>28</v>
      </c>
      <c r="K929" s="43" t="str">
        <f t="array" ref="K929">IF(J929="","", XLOOKUP(J929,'⚙️ Pengaturan'!$E$2:$E3237,'⚙️ Pengaturan'!$G$2:$G3237))</f>
        <v>KLINIK FT TA</v>
      </c>
      <c r="L929" s="43" t="str">
        <f t="shared" si="3"/>
        <v>BARU</v>
      </c>
      <c r="M929" s="144" t="s">
        <v>31</v>
      </c>
      <c r="N929" s="145">
        <v>250000.0</v>
      </c>
      <c r="O929" s="146">
        <v>0.0</v>
      </c>
      <c r="P929" s="48">
        <f t="array" ref="P929">IFNA(XLOOKUP(J929,'⚙️ Pengaturan'!$E$2:$E3237,'⚙️ Pengaturan'!$F$2:$F3237),"")</f>
        <v>250000</v>
      </c>
      <c r="Q929" s="147">
        <f t="shared" si="14"/>
        <v>0</v>
      </c>
      <c r="R929" s="41" t="s">
        <v>37</v>
      </c>
      <c r="S929" s="69" t="s">
        <v>933</v>
      </c>
      <c r="T929" s="51" t="b">
        <v>1</v>
      </c>
      <c r="U929" s="94"/>
    </row>
    <row r="930" ht="30.0" customHeight="1">
      <c r="A930" s="39"/>
      <c r="B930" s="40">
        <v>2965.0</v>
      </c>
      <c r="C930" s="41" t="s">
        <v>50</v>
      </c>
      <c r="D930" s="86">
        <v>46087.0</v>
      </c>
      <c r="E930" s="43" t="str">
        <f t="shared" si="1"/>
        <v>2026</v>
      </c>
      <c r="F930" s="43" t="str">
        <f t="shared" si="2"/>
        <v>03 Mar</v>
      </c>
      <c r="G930" s="126" t="s">
        <v>190</v>
      </c>
      <c r="H930" s="45" t="s">
        <v>149</v>
      </c>
      <c r="I930" s="45" t="s">
        <v>912</v>
      </c>
      <c r="J930" s="143" t="s">
        <v>120</v>
      </c>
      <c r="K930" s="43" t="str">
        <f t="array" ref="K930">IF(J930="","", XLOOKUP(J930,'⚙️ Pengaturan'!$E$2:$E3237,'⚙️ Pengaturan'!$G$2:$G3237))</f>
        <v>KLINIK FT SESI</v>
      </c>
      <c r="L930" s="43" t="str">
        <f t="shared" si="3"/>
        <v>BARU</v>
      </c>
      <c r="M930" s="144" t="s">
        <v>31</v>
      </c>
      <c r="N930" s="145">
        <v>180000.0</v>
      </c>
      <c r="O930" s="146">
        <v>0.0</v>
      </c>
      <c r="P930" s="48">
        <f t="array" ref="P930">IFNA(XLOOKUP(J930,'⚙️ Pengaturan'!$E$2:$E3237,'⚙️ Pengaturan'!$F$2:$F3237),"")</f>
        <v>180000</v>
      </c>
      <c r="Q930" s="147">
        <f t="shared" si="14"/>
        <v>0</v>
      </c>
      <c r="R930" s="41" t="s">
        <v>32</v>
      </c>
      <c r="S930" s="69" t="s">
        <v>33</v>
      </c>
      <c r="T930" s="51" t="b">
        <v>1</v>
      </c>
      <c r="U930" s="94"/>
    </row>
    <row r="931" ht="30.0" customHeight="1">
      <c r="A931" s="39"/>
      <c r="B931" s="40">
        <v>2966.0</v>
      </c>
      <c r="C931" s="41" t="s">
        <v>79</v>
      </c>
      <c r="D931" s="86">
        <v>46088.0</v>
      </c>
      <c r="E931" s="43" t="str">
        <f t="shared" si="1"/>
        <v>2026</v>
      </c>
      <c r="F931" s="43" t="str">
        <f t="shared" si="2"/>
        <v>03 Mar</v>
      </c>
      <c r="G931" s="126" t="s">
        <v>195</v>
      </c>
      <c r="H931" s="45" t="s">
        <v>76</v>
      </c>
      <c r="I931" s="45" t="s">
        <v>910</v>
      </c>
      <c r="J931" s="143" t="s">
        <v>119</v>
      </c>
      <c r="K931" s="43" t="str">
        <f t="array" ref="K931">IF(J931="","", XLOOKUP(J931,'⚙️ Pengaturan'!$E$2:$E3237,'⚙️ Pengaturan'!$G$2:$G3237))</f>
        <v>KLINIK FT PAKET</v>
      </c>
      <c r="L931" s="43" t="str">
        <f t="shared" si="3"/>
        <v>LANJUTAN</v>
      </c>
      <c r="M931" s="144" t="s">
        <v>164</v>
      </c>
      <c r="N931" s="145">
        <v>550000.0</v>
      </c>
      <c r="O931" s="146">
        <v>200000.0</v>
      </c>
      <c r="P931" s="48">
        <f t="array" ref="P931">IFNA(XLOOKUP(J931,'⚙️ Pengaturan'!$E$2:$E3237,'⚙️ Pengaturan'!$F$2:$F3237),"")</f>
        <v>750000</v>
      </c>
      <c r="Q931" s="147">
        <f t="shared" si="14"/>
        <v>0</v>
      </c>
      <c r="R931" s="41" t="s">
        <v>32</v>
      </c>
      <c r="S931" s="69" t="s">
        <v>33</v>
      </c>
      <c r="T931" s="51" t="b">
        <v>1</v>
      </c>
      <c r="U931" s="94"/>
    </row>
    <row r="932" ht="30.0" customHeight="1">
      <c r="A932" s="39"/>
      <c r="B932" s="40">
        <v>2967.0</v>
      </c>
      <c r="C932" s="41" t="s">
        <v>79</v>
      </c>
      <c r="D932" s="86">
        <v>46088.0</v>
      </c>
      <c r="E932" s="43" t="str">
        <f t="shared" si="1"/>
        <v>2026</v>
      </c>
      <c r="F932" s="43" t="str">
        <f t="shared" si="2"/>
        <v>03 Mar</v>
      </c>
      <c r="G932" s="45" t="s">
        <v>195</v>
      </c>
      <c r="H932" s="45" t="s">
        <v>41</v>
      </c>
      <c r="I932" s="45" t="s">
        <v>934</v>
      </c>
      <c r="J932" s="143" t="s">
        <v>28</v>
      </c>
      <c r="K932" s="43" t="str">
        <f t="array" ref="K932">IF(J932="","", XLOOKUP(J932,'⚙️ Pengaturan'!$E$2:$E3237,'⚙️ Pengaturan'!$G$2:$G3237))</f>
        <v>KLINIK FT TA</v>
      </c>
      <c r="L932" s="43" t="str">
        <f t="shared" si="3"/>
        <v>BARU</v>
      </c>
      <c r="M932" s="144" t="s">
        <v>31</v>
      </c>
      <c r="N932" s="145">
        <v>250000.0</v>
      </c>
      <c r="O932" s="146">
        <v>0.0</v>
      </c>
      <c r="P932" s="48">
        <f t="array" ref="P932">IFNA(XLOOKUP(J932,'⚙️ Pengaturan'!$E$2:$E3237,'⚙️ Pengaturan'!$F$2:$F3237),"")</f>
        <v>250000</v>
      </c>
      <c r="Q932" s="147">
        <f t="shared" si="14"/>
        <v>0</v>
      </c>
      <c r="R932" s="41" t="s">
        <v>32</v>
      </c>
      <c r="S932" s="69" t="s">
        <v>33</v>
      </c>
      <c r="T932" s="51" t="b">
        <v>1</v>
      </c>
      <c r="U932" s="94"/>
    </row>
    <row r="933" ht="30.0" customHeight="1">
      <c r="A933" s="39"/>
      <c r="B933" s="40">
        <v>2968.0</v>
      </c>
      <c r="C933" s="41" t="s">
        <v>79</v>
      </c>
      <c r="D933" s="86">
        <v>46088.0</v>
      </c>
      <c r="E933" s="43" t="str">
        <f t="shared" si="1"/>
        <v>2026</v>
      </c>
      <c r="F933" s="43" t="str">
        <f t="shared" si="2"/>
        <v>03 Mar</v>
      </c>
      <c r="G933" s="45" t="s">
        <v>195</v>
      </c>
      <c r="H933" s="45" t="s">
        <v>47</v>
      </c>
      <c r="I933" s="45" t="s">
        <v>935</v>
      </c>
      <c r="J933" s="143" t="s">
        <v>120</v>
      </c>
      <c r="K933" s="43" t="str">
        <f t="array" ref="K933">IF(J933="","", XLOOKUP(J933,'⚙️ Pengaturan'!$E$2:$E3237,'⚙️ Pengaturan'!$G$2:$G3237))</f>
        <v>KLINIK FT SESI</v>
      </c>
      <c r="L933" s="43" t="str">
        <f t="shared" si="3"/>
        <v>BARU</v>
      </c>
      <c r="M933" s="144" t="s">
        <v>31</v>
      </c>
      <c r="N933" s="145">
        <v>180000.0</v>
      </c>
      <c r="O933" s="146">
        <v>0.0</v>
      </c>
      <c r="P933" s="48">
        <v>180000.0</v>
      </c>
      <c r="Q933" s="147">
        <f t="shared" si="14"/>
        <v>0</v>
      </c>
      <c r="R933" s="41" t="s">
        <v>32</v>
      </c>
      <c r="S933" s="69" t="s">
        <v>33</v>
      </c>
      <c r="T933" s="51" t="b">
        <v>1</v>
      </c>
      <c r="U933" s="94"/>
    </row>
    <row r="934" ht="30.0" customHeight="1">
      <c r="A934" s="39"/>
      <c r="B934" s="40">
        <v>2969.0</v>
      </c>
      <c r="C934" s="41" t="s">
        <v>79</v>
      </c>
      <c r="D934" s="86">
        <v>46088.0</v>
      </c>
      <c r="E934" s="43" t="str">
        <f t="shared" si="1"/>
        <v>2026</v>
      </c>
      <c r="F934" s="43" t="str">
        <f t="shared" si="2"/>
        <v>03 Mar</v>
      </c>
      <c r="G934" s="45" t="s">
        <v>195</v>
      </c>
      <c r="H934" s="45" t="s">
        <v>156</v>
      </c>
      <c r="I934" s="45" t="s">
        <v>747</v>
      </c>
      <c r="J934" s="143" t="s">
        <v>56</v>
      </c>
      <c r="K934" s="43" t="str">
        <f t="array" ref="K934">IF(J934="","", XLOOKUP(J934,'⚙️ Pengaturan'!$E$2:$E3237,'⚙️ Pengaturan'!$G$2:$G3237))</f>
        <v>KLINIK FT PAKET</v>
      </c>
      <c r="L934" s="43" t="str">
        <f t="shared" si="3"/>
        <v>BARU</v>
      </c>
      <c r="M934" s="144" t="s">
        <v>31</v>
      </c>
      <c r="N934" s="145">
        <v>650000.0</v>
      </c>
      <c r="O934" s="146">
        <v>0.0</v>
      </c>
      <c r="P934" s="48">
        <f t="array" ref="P934">IFNA(XLOOKUP(J934,'⚙️ Pengaturan'!$E$2:$E3237,'⚙️ Pengaturan'!$F$2:$F3237),"")</f>
        <v>650000</v>
      </c>
      <c r="Q934" s="147">
        <f t="shared" si="14"/>
        <v>0</v>
      </c>
      <c r="R934" s="41" t="s">
        <v>37</v>
      </c>
      <c r="S934" s="69" t="s">
        <v>33</v>
      </c>
      <c r="T934" s="51" t="b">
        <v>1</v>
      </c>
      <c r="U934" s="94"/>
    </row>
    <row r="935" ht="30.0" customHeight="1">
      <c r="A935" s="39"/>
      <c r="B935" s="40">
        <v>2970.0</v>
      </c>
      <c r="C935" s="41" t="s">
        <v>79</v>
      </c>
      <c r="D935" s="86">
        <v>46088.0</v>
      </c>
      <c r="E935" s="43" t="str">
        <f t="shared" si="1"/>
        <v>2026</v>
      </c>
      <c r="F935" s="43" t="str">
        <f t="shared" si="2"/>
        <v>03 Mar</v>
      </c>
      <c r="G935" s="45" t="s">
        <v>25</v>
      </c>
      <c r="H935" s="45" t="s">
        <v>47</v>
      </c>
      <c r="I935" s="45" t="s">
        <v>585</v>
      </c>
      <c r="J935" s="143" t="s">
        <v>120</v>
      </c>
      <c r="K935" s="43" t="str">
        <f t="array" ref="K935">IF(J935="","", XLOOKUP(J935,'⚙️ Pengaturan'!$E$2:$E3237,'⚙️ Pengaturan'!$G$2:$G3237))</f>
        <v>KLINIK FT SESI</v>
      </c>
      <c r="L935" s="43" t="str">
        <f t="shared" si="3"/>
        <v>BARU</v>
      </c>
      <c r="M935" s="144" t="s">
        <v>31</v>
      </c>
      <c r="N935" s="145">
        <v>180000.0</v>
      </c>
      <c r="O935" s="146">
        <v>0.0</v>
      </c>
      <c r="P935" s="48">
        <v>180000.0</v>
      </c>
      <c r="Q935" s="147">
        <f t="shared" si="14"/>
        <v>0</v>
      </c>
      <c r="R935" s="41" t="s">
        <v>118</v>
      </c>
      <c r="S935" s="69" t="s">
        <v>585</v>
      </c>
      <c r="T935" s="51" t="b">
        <v>1</v>
      </c>
      <c r="U935" s="94"/>
    </row>
    <row r="936" ht="30.0" customHeight="1">
      <c r="A936" s="39"/>
      <c r="B936" s="40">
        <v>2971.0</v>
      </c>
      <c r="C936" s="41" t="s">
        <v>79</v>
      </c>
      <c r="D936" s="86">
        <v>46088.0</v>
      </c>
      <c r="E936" s="43" t="str">
        <f t="shared" si="1"/>
        <v>2026</v>
      </c>
      <c r="F936" s="43" t="str">
        <f t="shared" si="2"/>
        <v>03 Mar</v>
      </c>
      <c r="G936" s="45" t="s">
        <v>25</v>
      </c>
      <c r="H936" s="45" t="s">
        <v>41</v>
      </c>
      <c r="I936" s="45" t="s">
        <v>936</v>
      </c>
      <c r="J936" s="143" t="s">
        <v>28</v>
      </c>
      <c r="K936" s="43" t="str">
        <f t="array" ref="K936">IF(J936="","", XLOOKUP(J936,'⚙️ Pengaturan'!$E$2:$E3237,'⚙️ Pengaturan'!$G$2:$G3237))</f>
        <v>KLINIK FT TA</v>
      </c>
      <c r="L936" s="43" t="str">
        <f t="shared" si="3"/>
        <v>BARU</v>
      </c>
      <c r="M936" s="144" t="s">
        <v>31</v>
      </c>
      <c r="N936" s="145">
        <v>250000.0</v>
      </c>
      <c r="O936" s="146">
        <v>0.0</v>
      </c>
      <c r="P936" s="48">
        <v>250000.0</v>
      </c>
      <c r="Q936" s="147">
        <v>0.0</v>
      </c>
      <c r="R936" s="41" t="s">
        <v>93</v>
      </c>
      <c r="S936" s="69" t="s">
        <v>936</v>
      </c>
      <c r="T936" s="51" t="b">
        <v>1</v>
      </c>
      <c r="U936" s="94"/>
    </row>
    <row r="937" ht="30.0" customHeight="1">
      <c r="A937" s="39"/>
      <c r="B937" s="40">
        <v>2972.0</v>
      </c>
      <c r="C937" s="41" t="s">
        <v>79</v>
      </c>
      <c r="D937" s="86">
        <v>46088.0</v>
      </c>
      <c r="E937" s="43" t="str">
        <f t="shared" si="1"/>
        <v>2026</v>
      </c>
      <c r="F937" s="43" t="str">
        <f t="shared" si="2"/>
        <v>03 Mar</v>
      </c>
      <c r="G937" s="45" t="s">
        <v>69</v>
      </c>
      <c r="H937" s="45" t="s">
        <v>76</v>
      </c>
      <c r="I937" s="45" t="s">
        <v>937</v>
      </c>
      <c r="J937" s="143" t="s">
        <v>121</v>
      </c>
      <c r="K937" s="43" t="str">
        <f t="array" ref="K937">IF(J937="","", XLOOKUP(J937,'⚙️ Pengaturan'!$E$2:$E3237,'⚙️ Pengaturan'!$G$2:$G3237))</f>
        <v>VISIT FT TA</v>
      </c>
      <c r="L937" s="43" t="str">
        <f t="shared" si="3"/>
        <v>BARU</v>
      </c>
      <c r="M937" s="144" t="s">
        <v>31</v>
      </c>
      <c r="N937" s="145">
        <v>300000.0</v>
      </c>
      <c r="O937" s="146">
        <v>0.0</v>
      </c>
      <c r="P937" s="48">
        <f t="array" ref="P937">IFNA(XLOOKUP(J937,'⚙️ Pengaturan'!$E$2:$E3237,'⚙️ Pengaturan'!$F$2:$F3237),"")</f>
        <v>300000</v>
      </c>
      <c r="Q937" s="147">
        <f t="shared" ref="Q937:Q940" si="15">IF(I937="","",(N937+O937)-P937)</f>
        <v>0</v>
      </c>
      <c r="R937" s="41" t="s">
        <v>37</v>
      </c>
      <c r="S937" s="69" t="s">
        <v>938</v>
      </c>
      <c r="T937" s="51" t="b">
        <v>1</v>
      </c>
      <c r="U937" s="94"/>
    </row>
    <row r="938" ht="30.0" customHeight="1">
      <c r="A938" s="39"/>
      <c r="B938" s="40">
        <v>2973.0</v>
      </c>
      <c r="C938" s="41" t="s">
        <v>79</v>
      </c>
      <c r="D938" s="86">
        <v>46088.0</v>
      </c>
      <c r="E938" s="43" t="str">
        <f t="shared" si="1"/>
        <v>2026</v>
      </c>
      <c r="F938" s="43" t="str">
        <f t="shared" si="2"/>
        <v>03 Mar</v>
      </c>
      <c r="G938" s="45" t="s">
        <v>241</v>
      </c>
      <c r="H938" s="45" t="s">
        <v>41</v>
      </c>
      <c r="I938" s="45" t="s">
        <v>939</v>
      </c>
      <c r="J938" s="143" t="s">
        <v>28</v>
      </c>
      <c r="K938" s="43" t="str">
        <f t="array" ref="K938">IF(J938="","", XLOOKUP(J938,'⚙️ Pengaturan'!$E$2:$E3237,'⚙️ Pengaturan'!$G$2:$G3237))</f>
        <v>KLINIK FT TA</v>
      </c>
      <c r="L938" s="43" t="str">
        <f t="shared" si="3"/>
        <v>BARU</v>
      </c>
      <c r="M938" s="144" t="s">
        <v>31</v>
      </c>
      <c r="N938" s="145">
        <v>250000.0</v>
      </c>
      <c r="O938" s="146">
        <v>0.0</v>
      </c>
      <c r="P938" s="48">
        <v>250000.0</v>
      </c>
      <c r="Q938" s="147">
        <f t="shared" si="15"/>
        <v>0</v>
      </c>
      <c r="R938" s="41" t="s">
        <v>32</v>
      </c>
      <c r="S938" s="69" t="s">
        <v>33</v>
      </c>
      <c r="T938" s="51" t="b">
        <v>1</v>
      </c>
      <c r="U938" s="94"/>
    </row>
    <row r="939" ht="30.0" customHeight="1">
      <c r="A939" s="39"/>
      <c r="B939" s="40">
        <v>2974.0</v>
      </c>
      <c r="C939" s="41" t="s">
        <v>79</v>
      </c>
      <c r="D939" s="86">
        <v>46088.0</v>
      </c>
      <c r="E939" s="43" t="str">
        <f t="shared" si="1"/>
        <v>2026</v>
      </c>
      <c r="F939" s="43" t="str">
        <f t="shared" si="2"/>
        <v>03 Mar</v>
      </c>
      <c r="G939" s="45" t="s">
        <v>69</v>
      </c>
      <c r="H939" s="45" t="s">
        <v>69</v>
      </c>
      <c r="I939" s="45" t="s">
        <v>898</v>
      </c>
      <c r="J939" s="143" t="s">
        <v>323</v>
      </c>
      <c r="K939" s="43" t="str">
        <f t="array" ref="K939">IF(J939="","", XLOOKUP(J939,'⚙️ Pengaturan'!$E$2:$E3237,'⚙️ Pengaturan'!$G$2:$G3237))</f>
        <v>VISIT FT SESI</v>
      </c>
      <c r="L939" s="43" t="str">
        <f t="shared" si="3"/>
        <v>BARU</v>
      </c>
      <c r="M939" s="144" t="s">
        <v>31</v>
      </c>
      <c r="N939" s="145">
        <v>200000.0</v>
      </c>
      <c r="O939" s="146">
        <v>0.0</v>
      </c>
      <c r="P939" s="48">
        <f t="array" ref="P939">IFNA(XLOOKUP(J939,'⚙️ Pengaturan'!$E$2:$E3237,'⚙️ Pengaturan'!$F$2:$F3237),"")</f>
        <v>200000</v>
      </c>
      <c r="Q939" s="147">
        <f t="shared" si="15"/>
        <v>0</v>
      </c>
      <c r="R939" s="41" t="s">
        <v>32</v>
      </c>
      <c r="S939" s="69" t="s">
        <v>33</v>
      </c>
      <c r="T939" s="51" t="b">
        <v>1</v>
      </c>
      <c r="U939" s="94"/>
    </row>
    <row r="940" ht="30.0" customHeight="1">
      <c r="A940" s="39"/>
      <c r="B940" s="40">
        <v>2975.0</v>
      </c>
      <c r="C940" s="41" t="s">
        <v>79</v>
      </c>
      <c r="D940" s="86">
        <v>46088.0</v>
      </c>
      <c r="E940" s="43" t="str">
        <f t="shared" si="1"/>
        <v>2026</v>
      </c>
      <c r="F940" s="43" t="str">
        <f t="shared" si="2"/>
        <v>03 Mar</v>
      </c>
      <c r="G940" s="45" t="s">
        <v>69</v>
      </c>
      <c r="H940" s="45" t="s">
        <v>76</v>
      </c>
      <c r="I940" s="45" t="s">
        <v>870</v>
      </c>
      <c r="J940" s="143" t="s">
        <v>119</v>
      </c>
      <c r="K940" s="43" t="str">
        <f t="array" ref="K940">IF(J940="","", XLOOKUP(J940,'⚙️ Pengaturan'!$E$2:$E3237,'⚙️ Pengaturan'!$G$2:$G3237))</f>
        <v>KLINIK FT PAKET</v>
      </c>
      <c r="L940" s="43" t="str">
        <f t="shared" si="3"/>
        <v>BARU</v>
      </c>
      <c r="M940" s="144" t="s">
        <v>31</v>
      </c>
      <c r="N940" s="145">
        <v>750000.0</v>
      </c>
      <c r="O940" s="146">
        <v>0.0</v>
      </c>
      <c r="P940" s="48">
        <f t="array" ref="P940">IFNA(XLOOKUP(J940,'⚙️ Pengaturan'!$E$2:$E3237,'⚙️ Pengaturan'!$F$2:$F3237),"")</f>
        <v>750000</v>
      </c>
      <c r="Q940" s="147">
        <f t="shared" si="15"/>
        <v>0</v>
      </c>
      <c r="R940" s="41" t="s">
        <v>32</v>
      </c>
      <c r="S940" s="69" t="s">
        <v>33</v>
      </c>
      <c r="T940" s="51" t="b">
        <v>1</v>
      </c>
      <c r="U940" s="94"/>
    </row>
    <row r="941" ht="30.0" customHeight="1">
      <c r="A941" s="39"/>
      <c r="B941" s="40">
        <v>2976.0</v>
      </c>
      <c r="C941" s="41" t="s">
        <v>79</v>
      </c>
      <c r="D941" s="86">
        <v>46088.0</v>
      </c>
      <c r="E941" s="43" t="str">
        <f t="shared" si="1"/>
        <v>2026</v>
      </c>
      <c r="F941" s="43" t="str">
        <f t="shared" si="2"/>
        <v>03 Mar</v>
      </c>
      <c r="G941" s="45" t="s">
        <v>25</v>
      </c>
      <c r="H941" s="45" t="s">
        <v>96</v>
      </c>
      <c r="I941" s="45" t="s">
        <v>940</v>
      </c>
      <c r="J941" s="143" t="s">
        <v>28</v>
      </c>
      <c r="K941" s="43" t="str">
        <f t="array" ref="K941">IF(J941="","", XLOOKUP(J941,'⚙️ Pengaturan'!$E$2:$E3237,'⚙️ Pengaturan'!$G$2:$G3237))</f>
        <v>KLINIK FT TA</v>
      </c>
      <c r="L941" s="43" t="str">
        <f t="shared" si="3"/>
        <v>BARU</v>
      </c>
      <c r="M941" s="144" t="s">
        <v>31</v>
      </c>
      <c r="N941" s="145">
        <v>250000.0</v>
      </c>
      <c r="O941" s="146">
        <v>0.0</v>
      </c>
      <c r="P941" s="48">
        <v>250000.0</v>
      </c>
      <c r="Q941" s="147">
        <v>0.0</v>
      </c>
      <c r="R941" s="41" t="s">
        <v>32</v>
      </c>
      <c r="S941" s="69" t="s">
        <v>33</v>
      </c>
      <c r="T941" s="51" t="b">
        <v>1</v>
      </c>
      <c r="U941" s="94"/>
    </row>
    <row r="942" ht="30.0" customHeight="1">
      <c r="A942" s="39"/>
      <c r="B942" s="40">
        <v>2977.0</v>
      </c>
      <c r="C942" s="41" t="s">
        <v>39</v>
      </c>
      <c r="D942" s="86">
        <v>46088.0</v>
      </c>
      <c r="E942" s="43" t="str">
        <f t="shared" si="1"/>
        <v>2026</v>
      </c>
      <c r="F942" s="43" t="str">
        <f t="shared" si="2"/>
        <v>03 Mar</v>
      </c>
      <c r="G942" s="45" t="s">
        <v>69</v>
      </c>
      <c r="H942" s="45" t="s">
        <v>162</v>
      </c>
      <c r="I942" s="45" t="s">
        <v>849</v>
      </c>
      <c r="J942" s="143" t="s">
        <v>119</v>
      </c>
      <c r="K942" s="43" t="str">
        <f t="array" ref="K942">IF(J942="","", XLOOKUP(J942,'⚙️ Pengaturan'!$E$2:$E3237,'⚙️ Pengaturan'!$G$2:$G3237))</f>
        <v>KLINIK FT PAKET</v>
      </c>
      <c r="L942" s="43" t="str">
        <f t="shared" si="3"/>
        <v>LANJUTAN</v>
      </c>
      <c r="M942" s="144" t="s">
        <v>31</v>
      </c>
      <c r="N942" s="145">
        <v>750000.0</v>
      </c>
      <c r="O942" s="146">
        <v>0.0</v>
      </c>
      <c r="P942" s="48">
        <f t="array" ref="P942">IFNA(XLOOKUP(J942,'⚙️ Pengaturan'!$E$2:$E3237,'⚙️ Pengaturan'!$F$2:$F3237),"")</f>
        <v>750000</v>
      </c>
      <c r="Q942" s="147">
        <f t="shared" ref="Q942:Q977" si="16">IF(I942="","",(N942+O942)-P942)</f>
        <v>0</v>
      </c>
      <c r="R942" s="41" t="s">
        <v>37</v>
      </c>
      <c r="S942" s="69" t="s">
        <v>849</v>
      </c>
      <c r="T942" s="51" t="b">
        <v>1</v>
      </c>
      <c r="U942" s="94"/>
    </row>
    <row r="943" ht="30.0" customHeight="1">
      <c r="A943" s="39"/>
      <c r="B943" s="40">
        <v>2978.0</v>
      </c>
      <c r="C943" s="41" t="s">
        <v>39</v>
      </c>
      <c r="D943" s="86">
        <v>46088.0</v>
      </c>
      <c r="E943" s="43" t="str">
        <f t="shared" si="1"/>
        <v>2026</v>
      </c>
      <c r="F943" s="43" t="str">
        <f t="shared" si="2"/>
        <v>03 Mar</v>
      </c>
      <c r="G943" s="45" t="s">
        <v>43</v>
      </c>
      <c r="H943" s="45" t="s">
        <v>162</v>
      </c>
      <c r="I943" s="45" t="s">
        <v>179</v>
      </c>
      <c r="J943" s="143" t="s">
        <v>180</v>
      </c>
      <c r="K943" s="43" t="str">
        <f t="array" ref="K943">IF(J943="","", XLOOKUP(J943,'⚙️ Pengaturan'!$E$2:$E3237,'⚙️ Pengaturan'!$G$2:$G3237))</f>
        <v>KLINIK FT SESI</v>
      </c>
      <c r="L943" s="43" t="str">
        <f t="shared" si="3"/>
        <v>LANJUTAN</v>
      </c>
      <c r="M943" s="144" t="s">
        <v>31</v>
      </c>
      <c r="N943" s="145">
        <v>150000.0</v>
      </c>
      <c r="O943" s="146">
        <v>0.0</v>
      </c>
      <c r="P943" s="48">
        <f t="array" ref="P943">IFNA(XLOOKUP(J943,'⚙️ Pengaturan'!$E$2:$E3237,'⚙️ Pengaturan'!$F$2:$F3237),"")</f>
        <v>150000</v>
      </c>
      <c r="Q943" s="147">
        <f t="shared" si="16"/>
        <v>0</v>
      </c>
      <c r="R943" s="41" t="s">
        <v>32</v>
      </c>
      <c r="S943" s="69" t="s">
        <v>33</v>
      </c>
      <c r="T943" s="51" t="b">
        <v>1</v>
      </c>
      <c r="U943" s="94"/>
    </row>
    <row r="944" ht="30.0" customHeight="1">
      <c r="A944" s="39"/>
      <c r="B944" s="40">
        <v>2979.0</v>
      </c>
      <c r="C944" s="41" t="s">
        <v>39</v>
      </c>
      <c r="D944" s="86">
        <v>46088.0</v>
      </c>
      <c r="E944" s="43" t="str">
        <f t="shared" si="1"/>
        <v>2026</v>
      </c>
      <c r="F944" s="43" t="str">
        <f t="shared" si="2"/>
        <v>03 Mar</v>
      </c>
      <c r="G944" s="45" t="s">
        <v>69</v>
      </c>
      <c r="H944" s="45" t="s">
        <v>26</v>
      </c>
      <c r="I944" s="45" t="s">
        <v>941</v>
      </c>
      <c r="J944" s="143" t="s">
        <v>28</v>
      </c>
      <c r="K944" s="43" t="str">
        <f t="array" ref="K944">IF(J944="","", XLOOKUP(J944,'⚙️ Pengaturan'!$E$2:$E3237,'⚙️ Pengaturan'!$G$2:$G3237))</f>
        <v>KLINIK FT TA</v>
      </c>
      <c r="L944" s="43" t="str">
        <f t="shared" si="3"/>
        <v>BARU</v>
      </c>
      <c r="M944" s="144" t="s">
        <v>31</v>
      </c>
      <c r="N944" s="145">
        <v>250000.0</v>
      </c>
      <c r="O944" s="146">
        <v>0.0</v>
      </c>
      <c r="P944" s="48">
        <f t="array" ref="P944">IFNA(XLOOKUP(J944,'⚙️ Pengaturan'!$E$2:$E3237,'⚙️ Pengaturan'!$F$2:$F3237),"")</f>
        <v>250000</v>
      </c>
      <c r="Q944" s="147">
        <f t="shared" si="16"/>
        <v>0</v>
      </c>
      <c r="R944" s="41" t="s">
        <v>37</v>
      </c>
      <c r="S944" s="69" t="s">
        <v>942</v>
      </c>
      <c r="T944" s="51" t="b">
        <v>1</v>
      </c>
      <c r="U944" s="94"/>
    </row>
    <row r="945" ht="30.0" customHeight="1">
      <c r="A945" s="39"/>
      <c r="B945" s="40">
        <v>2980.0</v>
      </c>
      <c r="C945" s="41" t="s">
        <v>39</v>
      </c>
      <c r="D945" s="86">
        <v>46088.0</v>
      </c>
      <c r="E945" s="43" t="str">
        <f t="shared" si="1"/>
        <v>2026</v>
      </c>
      <c r="F945" s="43" t="str">
        <f t="shared" si="2"/>
        <v>03 Mar</v>
      </c>
      <c r="G945" s="45" t="s">
        <v>190</v>
      </c>
      <c r="H945" s="45" t="s">
        <v>26</v>
      </c>
      <c r="I945" s="45" t="s">
        <v>943</v>
      </c>
      <c r="J945" s="143" t="s">
        <v>28</v>
      </c>
      <c r="K945" s="43" t="str">
        <f t="array" ref="K945">IF(J945="","", XLOOKUP(J945,'⚙️ Pengaturan'!$E$2:$E3237,'⚙️ Pengaturan'!$G$2:$G3237))</f>
        <v>KLINIK FT TA</v>
      </c>
      <c r="L945" s="43" t="str">
        <f t="shared" si="3"/>
        <v>BARU</v>
      </c>
      <c r="M945" s="144" t="s">
        <v>31</v>
      </c>
      <c r="N945" s="145">
        <v>250000.0</v>
      </c>
      <c r="O945" s="146">
        <v>0.0</v>
      </c>
      <c r="P945" s="48">
        <f t="array" ref="P945">IFNA(XLOOKUP(J945,'⚙️ Pengaturan'!$E$2:$E3237,'⚙️ Pengaturan'!$F$2:$F3237),"")</f>
        <v>250000</v>
      </c>
      <c r="Q945" s="147">
        <f t="shared" si="16"/>
        <v>0</v>
      </c>
      <c r="R945" s="41" t="s">
        <v>32</v>
      </c>
      <c r="S945" s="69" t="s">
        <v>33</v>
      </c>
      <c r="T945" s="51" t="b">
        <v>1</v>
      </c>
      <c r="U945" s="94"/>
    </row>
    <row r="946" ht="30.0" customHeight="1">
      <c r="A946" s="39"/>
      <c r="B946" s="40">
        <v>2981.0</v>
      </c>
      <c r="C946" s="41" t="s">
        <v>39</v>
      </c>
      <c r="D946" s="86">
        <v>46088.0</v>
      </c>
      <c r="E946" s="43" t="str">
        <f t="shared" si="1"/>
        <v>2026</v>
      </c>
      <c r="F946" s="43" t="str">
        <f t="shared" si="2"/>
        <v>03 Mar</v>
      </c>
      <c r="G946" s="45" t="s">
        <v>69</v>
      </c>
      <c r="H946" s="45" t="s">
        <v>47</v>
      </c>
      <c r="I946" s="45" t="s">
        <v>604</v>
      </c>
      <c r="J946" s="143" t="s">
        <v>56</v>
      </c>
      <c r="K946" s="43" t="str">
        <f t="array" ref="K946">IF(J946="","", XLOOKUP(J946,'⚙️ Pengaturan'!$E$2:$E3237,'⚙️ Pengaturan'!$G$2:$G3237))</f>
        <v>KLINIK FT PAKET</v>
      </c>
      <c r="L946" s="43" t="str">
        <f t="shared" si="3"/>
        <v>LANJUTAN</v>
      </c>
      <c r="M946" s="144" t="s">
        <v>164</v>
      </c>
      <c r="N946" s="145">
        <v>450000.0</v>
      </c>
      <c r="O946" s="146">
        <v>200000.0</v>
      </c>
      <c r="P946" s="48">
        <f t="array" ref="P946">IFNA(XLOOKUP(J946,'⚙️ Pengaturan'!$E$2:$E3237,'⚙️ Pengaturan'!$F$2:$F3237),"")</f>
        <v>650000</v>
      </c>
      <c r="Q946" s="147">
        <f t="shared" si="16"/>
        <v>0</v>
      </c>
      <c r="R946" s="41" t="s">
        <v>37</v>
      </c>
      <c r="S946" s="69" t="s">
        <v>604</v>
      </c>
      <c r="T946" s="51" t="b">
        <v>1</v>
      </c>
      <c r="U946" s="94"/>
    </row>
    <row r="947" ht="30.0" customHeight="1">
      <c r="A947" s="39"/>
      <c r="B947" s="40">
        <v>2982.0</v>
      </c>
      <c r="C947" s="41" t="s">
        <v>79</v>
      </c>
      <c r="D947" s="86">
        <v>46089.0</v>
      </c>
      <c r="E947" s="43" t="str">
        <f t="shared" si="1"/>
        <v>2026</v>
      </c>
      <c r="F947" s="43" t="str">
        <f t="shared" si="2"/>
        <v>03 Mar</v>
      </c>
      <c r="G947" s="45" t="s">
        <v>195</v>
      </c>
      <c r="H947" s="45" t="s">
        <v>162</v>
      </c>
      <c r="I947" s="45" t="s">
        <v>926</v>
      </c>
      <c r="J947" s="143" t="s">
        <v>120</v>
      </c>
      <c r="K947" s="43" t="str">
        <f t="array" ref="K947">IF(J947="","", XLOOKUP(J947,'⚙️ Pengaturan'!$E$2:$E3237,'⚙️ Pengaturan'!$G$2:$G3237))</f>
        <v>KLINIK FT SESI</v>
      </c>
      <c r="L947" s="43" t="str">
        <f t="shared" si="3"/>
        <v>BARU</v>
      </c>
      <c r="M947" s="144" t="s">
        <v>31</v>
      </c>
      <c r="N947" s="145">
        <v>180000.0</v>
      </c>
      <c r="O947" s="146">
        <v>0.0</v>
      </c>
      <c r="P947" s="48">
        <v>180000.0</v>
      </c>
      <c r="Q947" s="147">
        <f t="shared" si="16"/>
        <v>0</v>
      </c>
      <c r="R947" s="41" t="s">
        <v>32</v>
      </c>
      <c r="S947" s="69" t="s">
        <v>33</v>
      </c>
      <c r="T947" s="51" t="b">
        <v>1</v>
      </c>
      <c r="U947" s="94"/>
    </row>
    <row r="948" ht="30.0" customHeight="1">
      <c r="A948" s="39"/>
      <c r="B948" s="40">
        <v>2983.0</v>
      </c>
      <c r="C948" s="41" t="s">
        <v>79</v>
      </c>
      <c r="D948" s="86">
        <v>46089.0</v>
      </c>
      <c r="E948" s="43" t="str">
        <f t="shared" si="1"/>
        <v>2026</v>
      </c>
      <c r="F948" s="43" t="str">
        <f t="shared" si="2"/>
        <v>03 Mar</v>
      </c>
      <c r="G948" s="45" t="s">
        <v>195</v>
      </c>
      <c r="H948" s="45" t="s">
        <v>150</v>
      </c>
      <c r="I948" s="45" t="s">
        <v>712</v>
      </c>
      <c r="J948" s="143" t="s">
        <v>119</v>
      </c>
      <c r="K948" s="43" t="str">
        <f t="array" ref="K948">IF(J948="","", XLOOKUP(J948,'⚙️ Pengaturan'!$E$2:$E3237,'⚙️ Pengaturan'!$G$2:$G3237))</f>
        <v>KLINIK FT PAKET</v>
      </c>
      <c r="L948" s="43" t="str">
        <f t="shared" si="3"/>
        <v>BARU</v>
      </c>
      <c r="M948" s="144" t="s">
        <v>31</v>
      </c>
      <c r="N948" s="145">
        <v>750000.0</v>
      </c>
      <c r="O948" s="146">
        <v>0.0</v>
      </c>
      <c r="P948" s="48">
        <f t="array" ref="P948">IFNA(XLOOKUP(J948,'⚙️ Pengaturan'!$E$2:$E3237,'⚙️ Pengaturan'!$F$2:$F3237),"")</f>
        <v>750000</v>
      </c>
      <c r="Q948" s="147">
        <f t="shared" si="16"/>
        <v>0</v>
      </c>
      <c r="R948" s="41" t="s">
        <v>37</v>
      </c>
      <c r="S948" s="69" t="s">
        <v>854</v>
      </c>
      <c r="T948" s="51" t="b">
        <v>1</v>
      </c>
      <c r="U948" s="94"/>
    </row>
    <row r="949" ht="30.0" customHeight="1">
      <c r="A949" s="39"/>
      <c r="B949" s="40">
        <v>2984.0</v>
      </c>
      <c r="C949" s="41" t="s">
        <v>79</v>
      </c>
      <c r="D949" s="86">
        <v>46089.0</v>
      </c>
      <c r="E949" s="43" t="str">
        <f t="shared" si="1"/>
        <v>2026</v>
      </c>
      <c r="F949" s="43" t="str">
        <f t="shared" si="2"/>
        <v>03 Mar</v>
      </c>
      <c r="G949" s="45" t="s">
        <v>25</v>
      </c>
      <c r="H949" s="45" t="s">
        <v>162</v>
      </c>
      <c r="I949" s="45" t="s">
        <v>944</v>
      </c>
      <c r="J949" s="143" t="s">
        <v>28</v>
      </c>
      <c r="K949" s="43" t="str">
        <f t="array" ref="K949">IF(J949="","", XLOOKUP(J949,'⚙️ Pengaturan'!$E$2:$E3237,'⚙️ Pengaturan'!$G$2:$G3237))</f>
        <v>KLINIK FT TA</v>
      </c>
      <c r="L949" s="43" t="str">
        <f t="shared" si="3"/>
        <v>BARU</v>
      </c>
      <c r="M949" s="144" t="s">
        <v>31</v>
      </c>
      <c r="N949" s="145">
        <v>250000.0</v>
      </c>
      <c r="O949" s="146">
        <v>0.0</v>
      </c>
      <c r="P949" s="48">
        <v>250000.0</v>
      </c>
      <c r="Q949" s="147">
        <f t="shared" si="16"/>
        <v>0</v>
      </c>
      <c r="R949" s="41" t="s">
        <v>37</v>
      </c>
      <c r="S949" s="69" t="s">
        <v>944</v>
      </c>
      <c r="T949" s="51" t="b">
        <v>1</v>
      </c>
      <c r="U949" s="94"/>
    </row>
    <row r="950" ht="30.0" customHeight="1">
      <c r="A950" s="39"/>
      <c r="B950" s="40">
        <v>2985.0</v>
      </c>
      <c r="C950" s="41" t="s">
        <v>50</v>
      </c>
      <c r="D950" s="86">
        <v>46089.0</v>
      </c>
      <c r="E950" s="43" t="str">
        <f t="shared" si="1"/>
        <v>2026</v>
      </c>
      <c r="F950" s="43" t="str">
        <f t="shared" si="2"/>
        <v>03 Mar</v>
      </c>
      <c r="G950" s="45" t="s">
        <v>35</v>
      </c>
      <c r="H950" s="45" t="s">
        <v>150</v>
      </c>
      <c r="I950" s="45" t="s">
        <v>495</v>
      </c>
      <c r="J950" s="143" t="s">
        <v>180</v>
      </c>
      <c r="K950" s="43" t="str">
        <f t="array" ref="K950">IF(J950="","", XLOOKUP(J950,'⚙️ Pengaturan'!$E$2:$E3237,'⚙️ Pengaturan'!$G$2:$G3237))</f>
        <v>KLINIK FT SESI</v>
      </c>
      <c r="L950" s="43" t="str">
        <f t="shared" si="3"/>
        <v>LANJUTAN</v>
      </c>
      <c r="M950" s="144" t="s">
        <v>31</v>
      </c>
      <c r="N950" s="145">
        <v>150000.0</v>
      </c>
      <c r="O950" s="146">
        <v>0.0</v>
      </c>
      <c r="P950" s="48">
        <f t="array" ref="P950">IFNA(XLOOKUP(J950,'⚙️ Pengaturan'!$E$2:$E3237,'⚙️ Pengaturan'!$F$2:$F3237),"")</f>
        <v>150000</v>
      </c>
      <c r="Q950" s="147">
        <f t="shared" si="16"/>
        <v>0</v>
      </c>
      <c r="R950" s="41" t="s">
        <v>32</v>
      </c>
      <c r="S950" s="69" t="s">
        <v>33</v>
      </c>
      <c r="T950" s="51" t="b">
        <v>1</v>
      </c>
      <c r="U950" s="94"/>
    </row>
    <row r="951" ht="30.0" customHeight="1">
      <c r="A951" s="39"/>
      <c r="B951" s="40">
        <v>2986.0</v>
      </c>
      <c r="C951" s="41" t="s">
        <v>50</v>
      </c>
      <c r="D951" s="86">
        <v>46089.0</v>
      </c>
      <c r="E951" s="43" t="str">
        <f t="shared" si="1"/>
        <v>2026</v>
      </c>
      <c r="F951" s="43" t="str">
        <f t="shared" si="2"/>
        <v>03 Mar</v>
      </c>
      <c r="G951" s="45" t="s">
        <v>40</v>
      </c>
      <c r="H951" s="45" t="s">
        <v>47</v>
      </c>
      <c r="I951" s="45" t="s">
        <v>245</v>
      </c>
      <c r="J951" s="143" t="s">
        <v>180</v>
      </c>
      <c r="K951" s="43" t="str">
        <f t="array" ref="K951">IF(J951="","", XLOOKUP(J951,'⚙️ Pengaturan'!$E$2:$E3237,'⚙️ Pengaturan'!$G$2:$G3237))</f>
        <v>KLINIK FT SESI</v>
      </c>
      <c r="L951" s="43" t="str">
        <f t="shared" si="3"/>
        <v>LANJUTAN</v>
      </c>
      <c r="M951" s="144" t="s">
        <v>31</v>
      </c>
      <c r="N951" s="145">
        <v>150000.0</v>
      </c>
      <c r="O951" s="146">
        <v>0.0</v>
      </c>
      <c r="P951" s="48">
        <f t="array" ref="P951">IFNA(XLOOKUP(J951,'⚙️ Pengaturan'!$E$2:$E3237,'⚙️ Pengaturan'!$F$2:$F3237),"")</f>
        <v>150000</v>
      </c>
      <c r="Q951" s="147">
        <f t="shared" si="16"/>
        <v>0</v>
      </c>
      <c r="R951" s="41" t="s">
        <v>37</v>
      </c>
      <c r="S951" s="69" t="s">
        <v>245</v>
      </c>
      <c r="T951" s="51" t="b">
        <v>1</v>
      </c>
      <c r="U951" s="94"/>
    </row>
    <row r="952" ht="30.0" customHeight="1">
      <c r="A952" s="39"/>
      <c r="B952" s="40">
        <v>2987.0</v>
      </c>
      <c r="C952" s="41" t="s">
        <v>50</v>
      </c>
      <c r="D952" s="86">
        <v>46089.0</v>
      </c>
      <c r="E952" s="43" t="str">
        <f t="shared" si="1"/>
        <v>2026</v>
      </c>
      <c r="F952" s="43" t="str">
        <f t="shared" si="2"/>
        <v>03 Mar</v>
      </c>
      <c r="G952" s="45" t="s">
        <v>40</v>
      </c>
      <c r="H952" s="45" t="s">
        <v>96</v>
      </c>
      <c r="I952" s="45" t="s">
        <v>945</v>
      </c>
      <c r="J952" s="143" t="s">
        <v>28</v>
      </c>
      <c r="K952" s="43" t="str">
        <f t="array" ref="K952">IF(J952="","", XLOOKUP(J952,'⚙️ Pengaturan'!$E$2:$E3237,'⚙️ Pengaturan'!$G$2:$G3237))</f>
        <v>KLINIK FT TA</v>
      </c>
      <c r="L952" s="43" t="str">
        <f t="shared" si="3"/>
        <v>BARU</v>
      </c>
      <c r="M952" s="144" t="s">
        <v>31</v>
      </c>
      <c r="N952" s="145">
        <v>250000.0</v>
      </c>
      <c r="O952" s="146">
        <v>0.0</v>
      </c>
      <c r="P952" s="48">
        <f t="array" ref="P952">IFNA(XLOOKUP(J952,'⚙️ Pengaturan'!$E$2:$E3237,'⚙️ Pengaturan'!$F$2:$F3237),"")</f>
        <v>250000</v>
      </c>
      <c r="Q952" s="147">
        <f t="shared" si="16"/>
        <v>0</v>
      </c>
      <c r="R952" s="41" t="s">
        <v>32</v>
      </c>
      <c r="S952" s="69" t="s">
        <v>33</v>
      </c>
      <c r="T952" s="51" t="b">
        <v>1</v>
      </c>
      <c r="U952" s="94"/>
    </row>
    <row r="953" ht="30.0" customHeight="1">
      <c r="A953" s="39"/>
      <c r="B953" s="40">
        <v>2988.0</v>
      </c>
      <c r="C953" s="41" t="s">
        <v>50</v>
      </c>
      <c r="D953" s="86">
        <v>46089.0</v>
      </c>
      <c r="E953" s="43" t="str">
        <f t="shared" si="1"/>
        <v>2026</v>
      </c>
      <c r="F953" s="43" t="str">
        <f t="shared" si="2"/>
        <v>03 Mar</v>
      </c>
      <c r="G953" s="45" t="s">
        <v>190</v>
      </c>
      <c r="H953" s="45" t="s">
        <v>47</v>
      </c>
      <c r="I953" s="45" t="s">
        <v>946</v>
      </c>
      <c r="J953" s="143" t="s">
        <v>28</v>
      </c>
      <c r="K953" s="43" t="str">
        <f t="array" ref="K953">IF(J953="","", XLOOKUP(J953,'⚙️ Pengaturan'!$E$2:$E3237,'⚙️ Pengaturan'!$G$2:$G3237))</f>
        <v>KLINIK FT TA</v>
      </c>
      <c r="L953" s="43" t="str">
        <f t="shared" si="3"/>
        <v>BARU</v>
      </c>
      <c r="M953" s="144" t="s">
        <v>31</v>
      </c>
      <c r="N953" s="145">
        <v>250000.0</v>
      </c>
      <c r="O953" s="146">
        <v>0.0</v>
      </c>
      <c r="P953" s="48">
        <f t="array" ref="P953">IFNA(XLOOKUP(J953,'⚙️ Pengaturan'!$E$2:$E3237,'⚙️ Pengaturan'!$F$2:$F3237),"")</f>
        <v>250000</v>
      </c>
      <c r="Q953" s="147">
        <f t="shared" si="16"/>
        <v>0</v>
      </c>
      <c r="R953" s="41" t="s">
        <v>37</v>
      </c>
      <c r="S953" s="69" t="s">
        <v>946</v>
      </c>
      <c r="T953" s="51" t="b">
        <v>1</v>
      </c>
      <c r="U953" s="94"/>
    </row>
    <row r="954" ht="30.0" customHeight="1">
      <c r="A954" s="39"/>
      <c r="B954" s="40">
        <v>2989.0</v>
      </c>
      <c r="C954" s="41" t="s">
        <v>39</v>
      </c>
      <c r="D954" s="86">
        <v>46090.0</v>
      </c>
      <c r="E954" s="43" t="str">
        <f t="shared" si="1"/>
        <v>2026</v>
      </c>
      <c r="F954" s="43" t="str">
        <f t="shared" si="2"/>
        <v>03 Mar</v>
      </c>
      <c r="G954" s="45" t="s">
        <v>206</v>
      </c>
      <c r="H954" s="45" t="s">
        <v>166</v>
      </c>
      <c r="I954" s="45" t="s">
        <v>779</v>
      </c>
      <c r="J954" s="143" t="s">
        <v>28</v>
      </c>
      <c r="K954" s="43" t="str">
        <f t="array" ref="K954">IF(J954="","", XLOOKUP(J954,'⚙️ Pengaturan'!$E$2:$E3237,'⚙️ Pengaturan'!$G$2:$G3237))</f>
        <v>KLINIK FT TA</v>
      </c>
      <c r="L954" s="43" t="str">
        <f t="shared" si="3"/>
        <v>LANJUTAN</v>
      </c>
      <c r="M954" s="144" t="s">
        <v>31</v>
      </c>
      <c r="N954" s="145">
        <v>200000.0</v>
      </c>
      <c r="O954" s="146">
        <v>50000.0</v>
      </c>
      <c r="P954" s="48">
        <f t="array" ref="P954">IFNA(XLOOKUP(J954,'⚙️ Pengaturan'!$E$2:$E3237,'⚙️ Pengaturan'!$F$2:$F3237),"")</f>
        <v>250000</v>
      </c>
      <c r="Q954" s="147">
        <f t="shared" si="16"/>
        <v>0</v>
      </c>
      <c r="R954" s="41" t="s">
        <v>37</v>
      </c>
      <c r="S954" s="69" t="s">
        <v>779</v>
      </c>
      <c r="T954" s="51" t="b">
        <v>1</v>
      </c>
      <c r="U954" s="94"/>
    </row>
    <row r="955" ht="30.0" customHeight="1">
      <c r="A955" s="39"/>
      <c r="B955" s="40">
        <v>2990.0</v>
      </c>
      <c r="C955" s="41" t="s">
        <v>39</v>
      </c>
      <c r="D955" s="86">
        <v>46090.0</v>
      </c>
      <c r="E955" s="43" t="str">
        <f t="shared" si="1"/>
        <v>2026</v>
      </c>
      <c r="F955" s="43" t="str">
        <f t="shared" si="2"/>
        <v>03 Mar</v>
      </c>
      <c r="G955" s="45" t="s">
        <v>161</v>
      </c>
      <c r="H955" s="45" t="s">
        <v>26</v>
      </c>
      <c r="I955" s="45" t="s">
        <v>941</v>
      </c>
      <c r="J955" s="143" t="s">
        <v>119</v>
      </c>
      <c r="K955" s="43" t="str">
        <f t="array" ref="K955">IF(J955="","", XLOOKUP(J955,'⚙️ Pengaturan'!$E$2:$E3237,'⚙️ Pengaturan'!$G$2:$G3237))</f>
        <v>KLINIK FT PAKET</v>
      </c>
      <c r="L955" s="43" t="str">
        <f t="shared" si="3"/>
        <v>BARU</v>
      </c>
      <c r="M955" s="144" t="s">
        <v>31</v>
      </c>
      <c r="N955" s="145">
        <v>750000.0</v>
      </c>
      <c r="O955" s="146">
        <v>0.0</v>
      </c>
      <c r="P955" s="48">
        <f t="array" ref="P955">IFNA(XLOOKUP(J955,'⚙️ Pengaturan'!$E$2:$E3237,'⚙️ Pengaturan'!$F$2:$F3237),"")</f>
        <v>750000</v>
      </c>
      <c r="Q955" s="147">
        <f t="shared" si="16"/>
        <v>0</v>
      </c>
      <c r="R955" s="41" t="s">
        <v>37</v>
      </c>
      <c r="S955" s="69" t="s">
        <v>942</v>
      </c>
      <c r="T955" s="51" t="b">
        <v>1</v>
      </c>
      <c r="U955" s="94"/>
    </row>
    <row r="956" ht="30.0" customHeight="1">
      <c r="A956" s="39"/>
      <c r="B956" s="40">
        <v>2991.0</v>
      </c>
      <c r="C956" s="41" t="s">
        <v>39</v>
      </c>
      <c r="D956" s="86">
        <v>46090.0</v>
      </c>
      <c r="E956" s="43" t="str">
        <f t="shared" si="1"/>
        <v>2026</v>
      </c>
      <c r="F956" s="43" t="str">
        <f t="shared" si="2"/>
        <v>03 Mar</v>
      </c>
      <c r="G956" s="45" t="s">
        <v>35</v>
      </c>
      <c r="H956" s="45" t="s">
        <v>166</v>
      </c>
      <c r="I956" s="45" t="s">
        <v>947</v>
      </c>
      <c r="J956" s="143" t="s">
        <v>28</v>
      </c>
      <c r="K956" s="43" t="str">
        <f t="array" ref="K956">IF(J956="","", XLOOKUP(J956,'⚙️ Pengaturan'!$E$2:$E3237,'⚙️ Pengaturan'!$G$2:$G3237))</f>
        <v>KLINIK FT TA</v>
      </c>
      <c r="L956" s="43" t="str">
        <f t="shared" si="3"/>
        <v>BARU</v>
      </c>
      <c r="M956" s="144" t="s">
        <v>31</v>
      </c>
      <c r="N956" s="145">
        <v>200000.0</v>
      </c>
      <c r="O956" s="146">
        <v>50000.0</v>
      </c>
      <c r="P956" s="48">
        <f t="array" ref="P956">IFNA(XLOOKUP(J956,'⚙️ Pengaturan'!$E$2:$E3237,'⚙️ Pengaturan'!$F$2:$F3237),"")</f>
        <v>250000</v>
      </c>
      <c r="Q956" s="147">
        <f t="shared" si="16"/>
        <v>0</v>
      </c>
      <c r="R956" s="41" t="s">
        <v>37</v>
      </c>
      <c r="S956" s="69" t="s">
        <v>948</v>
      </c>
      <c r="T956" s="51" t="b">
        <v>1</v>
      </c>
      <c r="U956" s="94"/>
    </row>
    <row r="957" ht="30.0" customHeight="1">
      <c r="A957" s="39"/>
      <c r="B957" s="40">
        <v>2992.0</v>
      </c>
      <c r="C957" s="41" t="s">
        <v>50</v>
      </c>
      <c r="D957" s="86">
        <v>46090.0</v>
      </c>
      <c r="E957" s="43" t="str">
        <f t="shared" si="1"/>
        <v>2026</v>
      </c>
      <c r="F957" s="43" t="str">
        <f t="shared" si="2"/>
        <v>03 Mar</v>
      </c>
      <c r="G957" s="45" t="s">
        <v>173</v>
      </c>
      <c r="H957" s="45" t="s">
        <v>41</v>
      </c>
      <c r="I957" s="45" t="s">
        <v>949</v>
      </c>
      <c r="J957" s="143" t="s">
        <v>28</v>
      </c>
      <c r="K957" s="43" t="str">
        <f t="array" ref="K957">IF(J957="","", XLOOKUP(J957,'⚙️ Pengaturan'!$E$2:$E3237,'⚙️ Pengaturan'!$G$2:$G3237))</f>
        <v>KLINIK FT TA</v>
      </c>
      <c r="L957" s="43" t="str">
        <f t="shared" si="3"/>
        <v>BARU</v>
      </c>
      <c r="M957" s="144" t="s">
        <v>31</v>
      </c>
      <c r="N957" s="145">
        <v>200000.0</v>
      </c>
      <c r="O957" s="146">
        <v>50000.0</v>
      </c>
      <c r="P957" s="48">
        <f t="array" ref="P957">IFNA(XLOOKUP(J957,'⚙️ Pengaturan'!$E$2:$E3237,'⚙️ Pengaturan'!$F$2:$F3237),"")</f>
        <v>250000</v>
      </c>
      <c r="Q957" s="147">
        <f t="shared" si="16"/>
        <v>0</v>
      </c>
      <c r="R957" s="41" t="s">
        <v>37</v>
      </c>
      <c r="S957" s="69" t="s">
        <v>950</v>
      </c>
      <c r="T957" s="51" t="b">
        <v>1</v>
      </c>
      <c r="U957" s="94"/>
    </row>
    <row r="958" ht="30.0" customHeight="1">
      <c r="A958" s="39"/>
      <c r="B958" s="40">
        <v>2993.0</v>
      </c>
      <c r="C958" s="41" t="s">
        <v>50</v>
      </c>
      <c r="D958" s="86">
        <v>46090.0</v>
      </c>
      <c r="E958" s="43" t="str">
        <f t="shared" si="1"/>
        <v>2026</v>
      </c>
      <c r="F958" s="43" t="str">
        <f t="shared" si="2"/>
        <v>03 Mar</v>
      </c>
      <c r="G958" s="45" t="s">
        <v>173</v>
      </c>
      <c r="H958" s="45" t="s">
        <v>76</v>
      </c>
      <c r="I958" s="45" t="s">
        <v>951</v>
      </c>
      <c r="J958" s="143" t="s">
        <v>28</v>
      </c>
      <c r="K958" s="43" t="str">
        <f t="array" ref="K958">IF(J958="","", XLOOKUP(J958,'⚙️ Pengaturan'!$E$2:$E3237,'⚙️ Pengaturan'!$G$2:$G3237))</f>
        <v>KLINIK FT TA</v>
      </c>
      <c r="L958" s="43" t="str">
        <f t="shared" si="3"/>
        <v>BARU</v>
      </c>
      <c r="M958" s="144" t="s">
        <v>31</v>
      </c>
      <c r="N958" s="145">
        <v>50000.0</v>
      </c>
      <c r="O958" s="146">
        <v>200000.0</v>
      </c>
      <c r="P958" s="48">
        <f t="array" ref="P958">IFNA(XLOOKUP(J958,'⚙️ Pengaturan'!$E$2:$E3237,'⚙️ Pengaturan'!$F$2:$F3237),"")</f>
        <v>250000</v>
      </c>
      <c r="Q958" s="147">
        <f t="shared" si="16"/>
        <v>0</v>
      </c>
      <c r="R958" s="41" t="s">
        <v>32</v>
      </c>
      <c r="S958" s="69" t="s">
        <v>33</v>
      </c>
      <c r="T958" s="51" t="b">
        <v>1</v>
      </c>
      <c r="U958" s="94"/>
    </row>
    <row r="959" ht="30.0" customHeight="1">
      <c r="A959" s="39"/>
      <c r="B959" s="40">
        <v>2994.0</v>
      </c>
      <c r="C959" s="41" t="s">
        <v>50</v>
      </c>
      <c r="D959" s="86">
        <v>46090.0</v>
      </c>
      <c r="E959" s="43" t="str">
        <f t="shared" si="1"/>
        <v>2026</v>
      </c>
      <c r="F959" s="43" t="str">
        <f t="shared" si="2"/>
        <v>03 Mar</v>
      </c>
      <c r="G959" s="45" t="s">
        <v>190</v>
      </c>
      <c r="H959" s="45" t="s">
        <v>149</v>
      </c>
      <c r="I959" s="45" t="s">
        <v>918</v>
      </c>
      <c r="J959" s="143" t="s">
        <v>119</v>
      </c>
      <c r="K959" s="43" t="str">
        <f t="array" ref="K959">IF(J959="","", XLOOKUP(J959,'⚙️ Pengaturan'!$E$2:$E3237,'⚙️ Pengaturan'!$G$2:$G3237))</f>
        <v>KLINIK FT PAKET</v>
      </c>
      <c r="L959" s="43" t="str">
        <f t="shared" si="3"/>
        <v>BARU</v>
      </c>
      <c r="M959" s="144" t="s">
        <v>31</v>
      </c>
      <c r="N959" s="145">
        <v>750000.0</v>
      </c>
      <c r="O959" s="146">
        <v>0.0</v>
      </c>
      <c r="P959" s="48">
        <f t="array" ref="P959">IFNA(XLOOKUP(J959,'⚙️ Pengaturan'!$E$2:$E3237,'⚙️ Pengaturan'!$F$2:$F3237),"")</f>
        <v>750000</v>
      </c>
      <c r="Q959" s="147">
        <f t="shared" si="16"/>
        <v>0</v>
      </c>
      <c r="R959" s="41" t="s">
        <v>37</v>
      </c>
      <c r="S959" s="69" t="s">
        <v>918</v>
      </c>
      <c r="T959" s="51" t="b">
        <v>1</v>
      </c>
      <c r="U959" s="94"/>
    </row>
    <row r="960" ht="30.0" customHeight="1">
      <c r="A960" s="39"/>
      <c r="B960" s="40">
        <v>2995.0</v>
      </c>
      <c r="C960" s="41" t="s">
        <v>50</v>
      </c>
      <c r="D960" s="86">
        <v>46090.0</v>
      </c>
      <c r="E960" s="43" t="str">
        <f t="shared" si="1"/>
        <v>2026</v>
      </c>
      <c r="F960" s="43" t="str">
        <f t="shared" si="2"/>
        <v>03 Mar</v>
      </c>
      <c r="G960" s="45" t="s">
        <v>190</v>
      </c>
      <c r="H960" s="45" t="s">
        <v>41</v>
      </c>
      <c r="I960" s="45" t="s">
        <v>932</v>
      </c>
      <c r="J960" s="143" t="s">
        <v>119</v>
      </c>
      <c r="K960" s="43" t="str">
        <f t="array" ref="K960">IF(J960="","", XLOOKUP(J960,'⚙️ Pengaturan'!$E$2:$E3237,'⚙️ Pengaturan'!$G$2:$G3237))</f>
        <v>KLINIK FT PAKET</v>
      </c>
      <c r="L960" s="43" t="str">
        <f t="shared" si="3"/>
        <v>BARU</v>
      </c>
      <c r="M960" s="144" t="s">
        <v>31</v>
      </c>
      <c r="N960" s="145">
        <v>750000.0</v>
      </c>
      <c r="O960" s="146">
        <v>0.0</v>
      </c>
      <c r="P960" s="48">
        <f t="array" ref="P960">IFNA(XLOOKUP(J960,'⚙️ Pengaturan'!$E$2:$E3237,'⚙️ Pengaturan'!$F$2:$F3237),"")</f>
        <v>750000</v>
      </c>
      <c r="Q960" s="147">
        <f t="shared" si="16"/>
        <v>0</v>
      </c>
      <c r="R960" s="41" t="s">
        <v>118</v>
      </c>
      <c r="S960" s="69" t="s">
        <v>932</v>
      </c>
      <c r="T960" s="51" t="b">
        <v>1</v>
      </c>
      <c r="U960" s="94"/>
    </row>
    <row r="961" ht="30.0" customHeight="1">
      <c r="A961" s="39"/>
      <c r="B961" s="40">
        <v>2996.0</v>
      </c>
      <c r="C961" s="41" t="s">
        <v>50</v>
      </c>
      <c r="D961" s="86">
        <v>46090.0</v>
      </c>
      <c r="E961" s="43" t="str">
        <f t="shared" si="1"/>
        <v>2026</v>
      </c>
      <c r="F961" s="43" t="str">
        <f t="shared" si="2"/>
        <v>03 Mar</v>
      </c>
      <c r="G961" s="45" t="s">
        <v>190</v>
      </c>
      <c r="H961" s="45" t="s">
        <v>41</v>
      </c>
      <c r="I961" s="45" t="s">
        <v>952</v>
      </c>
      <c r="J961" s="143" t="s">
        <v>28</v>
      </c>
      <c r="K961" s="43" t="str">
        <f t="array" ref="K961">IF(J961="","", XLOOKUP(J961,'⚙️ Pengaturan'!$E$2:$E3237,'⚙️ Pengaturan'!$G$2:$G3237))</f>
        <v>KLINIK FT TA</v>
      </c>
      <c r="L961" s="43" t="str">
        <f t="shared" si="3"/>
        <v>BARU</v>
      </c>
      <c r="M961" s="144" t="s">
        <v>31</v>
      </c>
      <c r="N961" s="145">
        <v>200000.0</v>
      </c>
      <c r="O961" s="146">
        <v>50000.0</v>
      </c>
      <c r="P961" s="48">
        <f t="array" ref="P961">IFNA(XLOOKUP(J961,'⚙️ Pengaturan'!$E$2:$E3237,'⚙️ Pengaturan'!$F$2:$F3237),"")</f>
        <v>250000</v>
      </c>
      <c r="Q961" s="147">
        <f t="shared" si="16"/>
        <v>0</v>
      </c>
      <c r="R961" s="41" t="s">
        <v>32</v>
      </c>
      <c r="S961" s="69" t="s">
        <v>33</v>
      </c>
      <c r="T961" s="51" t="b">
        <v>1</v>
      </c>
      <c r="U961" s="94"/>
    </row>
    <row r="962" ht="30.0" customHeight="1">
      <c r="A962" s="39"/>
      <c r="B962" s="40">
        <v>2997.0</v>
      </c>
      <c r="C962" s="41" t="s">
        <v>50</v>
      </c>
      <c r="D962" s="86">
        <v>46090.0</v>
      </c>
      <c r="E962" s="43" t="str">
        <f t="shared" si="1"/>
        <v>2026</v>
      </c>
      <c r="F962" s="43" t="str">
        <f t="shared" si="2"/>
        <v>03 Mar</v>
      </c>
      <c r="G962" s="45" t="s">
        <v>190</v>
      </c>
      <c r="H962" s="45" t="s">
        <v>96</v>
      </c>
      <c r="I962" s="45" t="s">
        <v>953</v>
      </c>
      <c r="J962" s="143" t="s">
        <v>28</v>
      </c>
      <c r="K962" s="43" t="str">
        <f t="array" ref="K962">IF(J962="","", XLOOKUP(J962,'⚙️ Pengaturan'!$E$2:$E3237,'⚙️ Pengaturan'!$G$2:$G3237))</f>
        <v>KLINIK FT TA</v>
      </c>
      <c r="L962" s="43" t="str">
        <f t="shared" si="3"/>
        <v>BARU</v>
      </c>
      <c r="M962" s="144" t="s">
        <v>31</v>
      </c>
      <c r="N962" s="145">
        <v>200000.0</v>
      </c>
      <c r="O962" s="146">
        <v>50000.0</v>
      </c>
      <c r="P962" s="48">
        <f t="array" ref="P962">IFNA(XLOOKUP(J962,'⚙️ Pengaturan'!$E$2:$E3237,'⚙️ Pengaturan'!$F$2:$F3237),"")</f>
        <v>250000</v>
      </c>
      <c r="Q962" s="147">
        <f t="shared" si="16"/>
        <v>0</v>
      </c>
      <c r="R962" s="41" t="s">
        <v>37</v>
      </c>
      <c r="S962" s="69" t="s">
        <v>953</v>
      </c>
      <c r="T962" s="51" t="b">
        <v>1</v>
      </c>
      <c r="U962" s="94"/>
    </row>
    <row r="963" ht="30.0" customHeight="1">
      <c r="A963" s="39"/>
      <c r="B963" s="40">
        <v>2998.0</v>
      </c>
      <c r="C963" s="41" t="s">
        <v>50</v>
      </c>
      <c r="D963" s="86">
        <v>46090.0</v>
      </c>
      <c r="E963" s="43" t="str">
        <f t="shared" si="1"/>
        <v>2026</v>
      </c>
      <c r="F963" s="43" t="str">
        <f t="shared" si="2"/>
        <v>03 Mar</v>
      </c>
      <c r="G963" s="45" t="s">
        <v>190</v>
      </c>
      <c r="H963" s="45" t="s">
        <v>76</v>
      </c>
      <c r="I963" s="45" t="s">
        <v>943</v>
      </c>
      <c r="J963" s="143" t="s">
        <v>120</v>
      </c>
      <c r="K963" s="43" t="str">
        <f t="array" ref="K963">IF(J963="","", XLOOKUP(J963,'⚙️ Pengaturan'!$E$2:$E3237,'⚙️ Pengaturan'!$G$2:$G3237))</f>
        <v>KLINIK FT SESI</v>
      </c>
      <c r="L963" s="43" t="str">
        <f t="shared" si="3"/>
        <v>BARU</v>
      </c>
      <c r="M963" s="144" t="s">
        <v>31</v>
      </c>
      <c r="N963" s="145">
        <v>180000.0</v>
      </c>
      <c r="O963" s="146">
        <v>0.0</v>
      </c>
      <c r="P963" s="48">
        <f t="array" ref="P963">IFNA(XLOOKUP(J963,'⚙️ Pengaturan'!$E$2:$E3237,'⚙️ Pengaturan'!$F$2:$F3237),"")</f>
        <v>180000</v>
      </c>
      <c r="Q963" s="147">
        <f t="shared" si="16"/>
        <v>0</v>
      </c>
      <c r="R963" s="41" t="s">
        <v>37</v>
      </c>
      <c r="S963" s="69" t="s">
        <v>953</v>
      </c>
      <c r="T963" s="51" t="b">
        <v>1</v>
      </c>
      <c r="U963" s="94"/>
    </row>
    <row r="964" ht="30.0" customHeight="1">
      <c r="A964" s="39"/>
      <c r="B964" s="40">
        <v>2999.0</v>
      </c>
      <c r="C964" s="41" t="s">
        <v>50</v>
      </c>
      <c r="D964" s="86">
        <v>46091.0</v>
      </c>
      <c r="E964" s="43" t="str">
        <f t="shared" si="1"/>
        <v>2026</v>
      </c>
      <c r="F964" s="43" t="str">
        <f t="shared" si="2"/>
        <v>03 Mar</v>
      </c>
      <c r="G964" s="45" t="s">
        <v>69</v>
      </c>
      <c r="H964" s="45" t="s">
        <v>76</v>
      </c>
      <c r="I964" s="45" t="s">
        <v>937</v>
      </c>
      <c r="J964" s="143" t="s">
        <v>138</v>
      </c>
      <c r="K964" s="43" t="str">
        <f t="array" ref="K964">IF(J964="","", XLOOKUP(J964,'⚙️ Pengaturan'!$E$2:$E3237,'⚙️ Pengaturan'!$G$2:$G3237))</f>
        <v>VISIT FT PAKET</v>
      </c>
      <c r="L964" s="43" t="str">
        <f t="shared" si="3"/>
        <v>BARU</v>
      </c>
      <c r="M964" s="144" t="s">
        <v>31</v>
      </c>
      <c r="N964" s="145">
        <v>1800000.0</v>
      </c>
      <c r="O964" s="146">
        <v>0.0</v>
      </c>
      <c r="P964" s="48">
        <f t="array" ref="P964">IFNA(XLOOKUP(J964,'⚙️ Pengaturan'!$E$2:$E3237,'⚙️ Pengaturan'!$F$2:$F3237),"")</f>
        <v>1800000</v>
      </c>
      <c r="Q964" s="147">
        <f t="shared" si="16"/>
        <v>0</v>
      </c>
      <c r="R964" s="41" t="s">
        <v>37</v>
      </c>
      <c r="S964" s="69" t="s">
        <v>938</v>
      </c>
      <c r="T964" s="51" t="b">
        <v>1</v>
      </c>
      <c r="U964" s="94"/>
    </row>
    <row r="965" ht="30.0" customHeight="1">
      <c r="A965" s="39"/>
      <c r="B965" s="40">
        <v>3000.0</v>
      </c>
      <c r="C965" s="41" t="s">
        <v>50</v>
      </c>
      <c r="D965" s="86">
        <v>46091.0</v>
      </c>
      <c r="E965" s="43" t="str">
        <f t="shared" si="1"/>
        <v>2026</v>
      </c>
      <c r="F965" s="43" t="str">
        <f t="shared" si="2"/>
        <v>03 Mar</v>
      </c>
      <c r="G965" s="45" t="s">
        <v>195</v>
      </c>
      <c r="H965" s="45" t="s">
        <v>41</v>
      </c>
      <c r="I965" s="45" t="s">
        <v>934</v>
      </c>
      <c r="J965" s="143" t="s">
        <v>119</v>
      </c>
      <c r="K965" s="43" t="str">
        <f t="array" ref="K965">IF(J965="","", XLOOKUP(J965,'⚙️ Pengaturan'!$E$2:$E3237,'⚙️ Pengaturan'!$G$2:$G3237))</f>
        <v>KLINIK FT PAKET</v>
      </c>
      <c r="L965" s="43" t="str">
        <f t="shared" si="3"/>
        <v>BARU</v>
      </c>
      <c r="M965" s="144" t="s">
        <v>31</v>
      </c>
      <c r="N965" s="145">
        <v>750000.0</v>
      </c>
      <c r="O965" s="146">
        <v>0.0</v>
      </c>
      <c r="P965" s="48">
        <f t="array" ref="P965">IFNA(XLOOKUP(J965,'⚙️ Pengaturan'!$E$2:$E3237,'⚙️ Pengaturan'!$F$2:$F3237),"")</f>
        <v>750000</v>
      </c>
      <c r="Q965" s="147">
        <f t="shared" si="16"/>
        <v>0</v>
      </c>
      <c r="R965" s="41" t="s">
        <v>37</v>
      </c>
      <c r="S965" s="69" t="s">
        <v>934</v>
      </c>
      <c r="T965" s="51" t="b">
        <v>1</v>
      </c>
      <c r="U965" s="94"/>
    </row>
    <row r="966" ht="30.0" customHeight="1">
      <c r="A966" s="39"/>
      <c r="B966" s="40">
        <v>3001.0</v>
      </c>
      <c r="C966" s="41" t="s">
        <v>50</v>
      </c>
      <c r="D966" s="86">
        <v>46091.0</v>
      </c>
      <c r="E966" s="43" t="str">
        <f t="shared" si="1"/>
        <v>2026</v>
      </c>
      <c r="F966" s="43" t="str">
        <f t="shared" si="2"/>
        <v>03 Mar</v>
      </c>
      <c r="G966" s="45" t="s">
        <v>25</v>
      </c>
      <c r="H966" s="45" t="s">
        <v>103</v>
      </c>
      <c r="I966" s="45" t="s">
        <v>954</v>
      </c>
      <c r="J966" s="143" t="s">
        <v>349</v>
      </c>
      <c r="K966" s="43" t="str">
        <f t="array" ref="K966">IF(J966="","", XLOOKUP(J966,'⚙️ Pengaturan'!$E$2:$E3237,'⚙️ Pengaturan'!$G$2:$G3237))</f>
        <v>KLINIK FT PAKET</v>
      </c>
      <c r="L966" s="43" t="str">
        <f t="shared" si="3"/>
        <v>BARU</v>
      </c>
      <c r="M966" s="144" t="s">
        <v>31</v>
      </c>
      <c r="N966" s="145">
        <v>1920000.0</v>
      </c>
      <c r="O966" s="146">
        <v>480000.0</v>
      </c>
      <c r="P966" s="48">
        <f t="array" ref="P966">IFNA(XLOOKUP(J966,'⚙️ Pengaturan'!$E$2:$E3237,'⚙️ Pengaturan'!$F$2:$F3237),"")</f>
        <v>2400000</v>
      </c>
      <c r="Q966" s="147">
        <f t="shared" si="16"/>
        <v>0</v>
      </c>
      <c r="R966" s="41" t="s">
        <v>93</v>
      </c>
      <c r="S966" s="69" t="s">
        <v>955</v>
      </c>
      <c r="T966" s="51" t="b">
        <v>1</v>
      </c>
      <c r="U966" s="94"/>
    </row>
    <row r="967" ht="30.0" customHeight="1">
      <c r="A967" s="39"/>
      <c r="B967" s="40">
        <v>3002.0</v>
      </c>
      <c r="C967" s="41" t="s">
        <v>50</v>
      </c>
      <c r="D967" s="86">
        <v>46091.0</v>
      </c>
      <c r="E967" s="43" t="str">
        <f t="shared" si="1"/>
        <v>2026</v>
      </c>
      <c r="F967" s="43" t="str">
        <f t="shared" si="2"/>
        <v>03 Mar</v>
      </c>
      <c r="G967" s="45" t="s">
        <v>206</v>
      </c>
      <c r="H967" s="45" t="s">
        <v>149</v>
      </c>
      <c r="I967" s="45" t="s">
        <v>956</v>
      </c>
      <c r="J967" s="143" t="s">
        <v>28</v>
      </c>
      <c r="K967" s="43" t="str">
        <f t="array" ref="K967">IF(J967="","", XLOOKUP(J967,'⚙️ Pengaturan'!$E$2:$E3237,'⚙️ Pengaturan'!$G$2:$G3237))</f>
        <v>KLINIK FT TA</v>
      </c>
      <c r="L967" s="43" t="str">
        <f t="shared" si="3"/>
        <v>BARU</v>
      </c>
      <c r="M967" s="144" t="s">
        <v>31</v>
      </c>
      <c r="N967" s="145">
        <v>200000.0</v>
      </c>
      <c r="O967" s="146">
        <v>50000.0</v>
      </c>
      <c r="P967" s="48">
        <f t="array" ref="P967">IFNA(XLOOKUP(J967,'⚙️ Pengaturan'!$E$2:$E3237,'⚙️ Pengaturan'!$F$2:$F3237),"")</f>
        <v>250000</v>
      </c>
      <c r="Q967" s="147">
        <f t="shared" si="16"/>
        <v>0</v>
      </c>
      <c r="R967" s="41" t="s">
        <v>32</v>
      </c>
      <c r="S967" s="69" t="s">
        <v>33</v>
      </c>
      <c r="T967" s="51" t="b">
        <v>1</v>
      </c>
      <c r="U967" s="94"/>
    </row>
    <row r="968" ht="30.0" customHeight="1">
      <c r="A968" s="39"/>
      <c r="B968" s="40">
        <v>3003.0</v>
      </c>
      <c r="C968" s="41" t="s">
        <v>50</v>
      </c>
      <c r="D968" s="86">
        <v>46091.0</v>
      </c>
      <c r="E968" s="43" t="str">
        <f t="shared" si="1"/>
        <v>2026</v>
      </c>
      <c r="F968" s="43" t="str">
        <f t="shared" si="2"/>
        <v>03 Mar</v>
      </c>
      <c r="G968" s="45" t="s">
        <v>241</v>
      </c>
      <c r="H968" s="45" t="s">
        <v>156</v>
      </c>
      <c r="I968" s="45" t="s">
        <v>957</v>
      </c>
      <c r="J968" s="143" t="s">
        <v>28</v>
      </c>
      <c r="K968" s="43" t="str">
        <f t="array" ref="K968">IF(J968="","", XLOOKUP(J968,'⚙️ Pengaturan'!$E$2:$E3237,'⚙️ Pengaturan'!$G$2:$G3237))</f>
        <v>KLINIK FT TA</v>
      </c>
      <c r="L968" s="43" t="str">
        <f t="shared" si="3"/>
        <v>BARU</v>
      </c>
      <c r="M968" s="144" t="s">
        <v>31</v>
      </c>
      <c r="N968" s="145">
        <v>200000.0</v>
      </c>
      <c r="O968" s="146">
        <v>50000.0</v>
      </c>
      <c r="P968" s="48">
        <f t="array" ref="P968">IFNA(XLOOKUP(J968,'⚙️ Pengaturan'!$E$2:$E3237,'⚙️ Pengaturan'!$F$2:$F3237),"")</f>
        <v>250000</v>
      </c>
      <c r="Q968" s="147">
        <f t="shared" si="16"/>
        <v>0</v>
      </c>
      <c r="R968" s="41" t="s">
        <v>32</v>
      </c>
      <c r="S968" s="69" t="s">
        <v>33</v>
      </c>
      <c r="T968" s="51" t="b">
        <v>1</v>
      </c>
      <c r="U968" s="94"/>
    </row>
    <row r="969" ht="30.0" customHeight="1">
      <c r="A969" s="39"/>
      <c r="B969" s="40">
        <v>3004.0</v>
      </c>
      <c r="C969" s="41" t="s">
        <v>50</v>
      </c>
      <c r="D969" s="86">
        <v>46091.0</v>
      </c>
      <c r="E969" s="43" t="str">
        <f t="shared" si="1"/>
        <v>2026</v>
      </c>
      <c r="F969" s="43" t="str">
        <f t="shared" si="2"/>
        <v>03 Mar</v>
      </c>
      <c r="G969" s="45" t="s">
        <v>241</v>
      </c>
      <c r="H969" s="45" t="s">
        <v>149</v>
      </c>
      <c r="I969" s="45" t="s">
        <v>957</v>
      </c>
      <c r="J969" s="143" t="s">
        <v>119</v>
      </c>
      <c r="K969" s="43" t="str">
        <f t="array" ref="K969">IF(J969="","", XLOOKUP(J969,'⚙️ Pengaturan'!$E$2:$E3237,'⚙️ Pengaturan'!$G$2:$G3237))</f>
        <v>KLINIK FT PAKET</v>
      </c>
      <c r="L969" s="43" t="str">
        <f t="shared" si="3"/>
        <v>BARU</v>
      </c>
      <c r="M969" s="144" t="s">
        <v>31</v>
      </c>
      <c r="N969" s="145">
        <v>750000.0</v>
      </c>
      <c r="O969" s="146">
        <v>0.0</v>
      </c>
      <c r="P969" s="48">
        <f t="array" ref="P969">IFNA(XLOOKUP(J969,'⚙️ Pengaturan'!$E$2:$E3237,'⚙️ Pengaturan'!$F$2:$F3237),"")</f>
        <v>750000</v>
      </c>
      <c r="Q969" s="147">
        <f t="shared" si="16"/>
        <v>0</v>
      </c>
      <c r="R969" s="41" t="s">
        <v>32</v>
      </c>
      <c r="S969" s="69" t="s">
        <v>33</v>
      </c>
      <c r="T969" s="51" t="b">
        <v>1</v>
      </c>
      <c r="U969" s="94"/>
    </row>
    <row r="970" ht="30.0" customHeight="1">
      <c r="A970" s="39"/>
      <c r="B970" s="40">
        <v>3005.0</v>
      </c>
      <c r="C970" s="41" t="s">
        <v>50</v>
      </c>
      <c r="D970" s="86">
        <v>46091.0</v>
      </c>
      <c r="E970" s="43" t="str">
        <f t="shared" si="1"/>
        <v>2026</v>
      </c>
      <c r="F970" s="43" t="str">
        <f t="shared" si="2"/>
        <v>03 Mar</v>
      </c>
      <c r="G970" s="45" t="s">
        <v>241</v>
      </c>
      <c r="H970" s="45" t="s">
        <v>156</v>
      </c>
      <c r="I970" s="45" t="s">
        <v>958</v>
      </c>
      <c r="J970" s="143" t="s">
        <v>28</v>
      </c>
      <c r="K970" s="43" t="str">
        <f t="array" ref="K970">IF(J970="","", XLOOKUP(J970,'⚙️ Pengaturan'!$E$2:$E3237,'⚙️ Pengaturan'!$G$2:$G3237))</f>
        <v>KLINIK FT TA</v>
      </c>
      <c r="L970" s="43" t="str">
        <f t="shared" si="3"/>
        <v>BARU</v>
      </c>
      <c r="M970" s="144" t="s">
        <v>31</v>
      </c>
      <c r="N970" s="145">
        <v>200000.0</v>
      </c>
      <c r="O970" s="146">
        <v>50000.0</v>
      </c>
      <c r="P970" s="48">
        <f t="array" ref="P970">IFNA(XLOOKUP(J970,'⚙️ Pengaturan'!$E$2:$E3237,'⚙️ Pengaturan'!$F$2:$F3237),"")</f>
        <v>250000</v>
      </c>
      <c r="Q970" s="147">
        <f t="shared" si="16"/>
        <v>0</v>
      </c>
      <c r="R970" s="41" t="s">
        <v>32</v>
      </c>
      <c r="S970" s="69" t="s">
        <v>33</v>
      </c>
      <c r="T970" s="51" t="b">
        <v>1</v>
      </c>
      <c r="U970" s="94"/>
    </row>
    <row r="971" ht="30.0" customHeight="1">
      <c r="A971" s="39"/>
      <c r="B971" s="40">
        <v>3006.0</v>
      </c>
      <c r="C971" s="41" t="s">
        <v>39</v>
      </c>
      <c r="D971" s="86">
        <v>46091.0</v>
      </c>
      <c r="E971" s="43" t="str">
        <f t="shared" si="1"/>
        <v>2026</v>
      </c>
      <c r="F971" s="43" t="str">
        <f t="shared" si="2"/>
        <v>03 Mar</v>
      </c>
      <c r="G971" s="45" t="s">
        <v>40</v>
      </c>
      <c r="H971" s="45" t="s">
        <v>26</v>
      </c>
      <c r="I971" s="45" t="s">
        <v>842</v>
      </c>
      <c r="J971" s="143" t="s">
        <v>119</v>
      </c>
      <c r="K971" s="43" t="str">
        <f t="array" ref="K971">IF(J971="","", XLOOKUP(J971,'⚙️ Pengaturan'!$E$2:$E3237,'⚙️ Pengaturan'!$G$2:$G3237))</f>
        <v>KLINIK FT PAKET</v>
      </c>
      <c r="L971" s="43" t="str">
        <f t="shared" si="3"/>
        <v>LANJUTAN</v>
      </c>
      <c r="M971" s="144" t="s">
        <v>60</v>
      </c>
      <c r="N971" s="145">
        <v>300000.0</v>
      </c>
      <c r="O971" s="146">
        <v>0.0</v>
      </c>
      <c r="P971" s="48">
        <f t="array" ref="P971">IFNA(XLOOKUP(J971,'⚙️ Pengaturan'!$E$2:$E3237,'⚙️ Pengaturan'!$F$2:$F3237),"")</f>
        <v>750000</v>
      </c>
      <c r="Q971" s="147">
        <f t="shared" si="16"/>
        <v>-450000</v>
      </c>
      <c r="R971" s="41" t="s">
        <v>32</v>
      </c>
      <c r="S971" s="69" t="s">
        <v>33</v>
      </c>
      <c r="T971" s="51" t="b">
        <v>1</v>
      </c>
      <c r="U971" s="94"/>
    </row>
    <row r="972" ht="30.0" customHeight="1">
      <c r="A972" s="39"/>
      <c r="B972" s="40">
        <v>3007.0</v>
      </c>
      <c r="C972" s="41" t="s">
        <v>39</v>
      </c>
      <c r="D972" s="86">
        <v>46091.0</v>
      </c>
      <c r="E972" s="43" t="str">
        <f t="shared" si="1"/>
        <v>2026</v>
      </c>
      <c r="F972" s="43" t="str">
        <f t="shared" si="2"/>
        <v>03 Mar</v>
      </c>
      <c r="G972" s="45" t="s">
        <v>35</v>
      </c>
      <c r="H972" s="45" t="s">
        <v>166</v>
      </c>
      <c r="I972" s="45" t="s">
        <v>959</v>
      </c>
      <c r="J972" s="143" t="s">
        <v>28</v>
      </c>
      <c r="K972" s="43" t="str">
        <f t="array" ref="K972">IF(J972="","", XLOOKUP(J972,'⚙️ Pengaturan'!$E$2:$E3237,'⚙️ Pengaturan'!$G$2:$G3237))</f>
        <v>KLINIK FT TA</v>
      </c>
      <c r="L972" s="43" t="str">
        <f t="shared" si="3"/>
        <v>BARU</v>
      </c>
      <c r="M972" s="144" t="s">
        <v>31</v>
      </c>
      <c r="N972" s="145">
        <v>200000.0</v>
      </c>
      <c r="O972" s="146">
        <v>50000.0</v>
      </c>
      <c r="P972" s="48">
        <f t="array" ref="P972">IFNA(XLOOKUP(J972,'⚙️ Pengaturan'!$E$2:$E3237,'⚙️ Pengaturan'!$F$2:$F3237),"")</f>
        <v>250000</v>
      </c>
      <c r="Q972" s="147">
        <f t="shared" si="16"/>
        <v>0</v>
      </c>
      <c r="R972" s="41" t="s">
        <v>37</v>
      </c>
      <c r="S972" s="69" t="s">
        <v>959</v>
      </c>
      <c r="T972" s="51" t="b">
        <v>1</v>
      </c>
      <c r="U972" s="94"/>
    </row>
    <row r="973" ht="30.0" customHeight="1">
      <c r="A973" s="39"/>
      <c r="B973" s="40">
        <v>3008.0</v>
      </c>
      <c r="C973" s="41" t="s">
        <v>39</v>
      </c>
      <c r="D973" s="86">
        <v>46091.0</v>
      </c>
      <c r="E973" s="43" t="str">
        <f t="shared" si="1"/>
        <v>2026</v>
      </c>
      <c r="F973" s="43" t="str">
        <f t="shared" si="2"/>
        <v>03 Mar</v>
      </c>
      <c r="G973" s="45" t="s">
        <v>40</v>
      </c>
      <c r="H973" s="45" t="s">
        <v>166</v>
      </c>
      <c r="I973" s="45" t="s">
        <v>960</v>
      </c>
      <c r="J973" s="143" t="s">
        <v>28</v>
      </c>
      <c r="K973" s="43" t="str">
        <f t="array" ref="K973">IF(J973="","", XLOOKUP(J973,'⚙️ Pengaturan'!$E$2:$E3237,'⚙️ Pengaturan'!$G$2:$G3237))</f>
        <v>KLINIK FT TA</v>
      </c>
      <c r="L973" s="43" t="str">
        <f t="shared" si="3"/>
        <v>BARU</v>
      </c>
      <c r="M973" s="144" t="s">
        <v>31</v>
      </c>
      <c r="N973" s="145">
        <v>200000.0</v>
      </c>
      <c r="O973" s="146">
        <v>50000.0</v>
      </c>
      <c r="P973" s="48">
        <f t="array" ref="P973">IFNA(XLOOKUP(J973,'⚙️ Pengaturan'!$E$2:$E3237,'⚙️ Pengaturan'!$F$2:$F3237),"")</f>
        <v>250000</v>
      </c>
      <c r="Q973" s="147">
        <f t="shared" si="16"/>
        <v>0</v>
      </c>
      <c r="R973" s="41" t="s">
        <v>32</v>
      </c>
      <c r="S973" s="69" t="s">
        <v>33</v>
      </c>
      <c r="T973" s="51" t="b">
        <v>1</v>
      </c>
      <c r="U973" s="94"/>
    </row>
    <row r="974" ht="30.0" customHeight="1">
      <c r="A974" s="39"/>
      <c r="B974" s="40">
        <v>3009.0</v>
      </c>
      <c r="C974" s="41" t="s">
        <v>39</v>
      </c>
      <c r="D974" s="86">
        <v>46091.0</v>
      </c>
      <c r="E974" s="43" t="str">
        <f t="shared" si="1"/>
        <v>2026</v>
      </c>
      <c r="F974" s="43" t="str">
        <f t="shared" si="2"/>
        <v>03 Mar</v>
      </c>
      <c r="G974" s="45" t="s">
        <v>43</v>
      </c>
      <c r="H974" s="45" t="s">
        <v>150</v>
      </c>
      <c r="I974" s="45" t="s">
        <v>909</v>
      </c>
      <c r="J974" s="143" t="s">
        <v>119</v>
      </c>
      <c r="K974" s="43" t="str">
        <f t="array" ref="K974">IF(J974="","", XLOOKUP(J974,'⚙️ Pengaturan'!$E$2:$E3237,'⚙️ Pengaturan'!$G$2:$G3237))</f>
        <v>KLINIK FT PAKET</v>
      </c>
      <c r="L974" s="43" t="str">
        <f t="shared" si="3"/>
        <v>BARU</v>
      </c>
      <c r="M974" s="144" t="s">
        <v>31</v>
      </c>
      <c r="N974" s="145">
        <v>750000.0</v>
      </c>
      <c r="O974" s="146">
        <v>0.0</v>
      </c>
      <c r="P974" s="48">
        <f t="array" ref="P974">IFNA(XLOOKUP(J974,'⚙️ Pengaturan'!$E$2:$E3237,'⚙️ Pengaturan'!$F$2:$F3237),"")</f>
        <v>750000</v>
      </c>
      <c r="Q974" s="147">
        <f t="shared" si="16"/>
        <v>0</v>
      </c>
      <c r="R974" s="41" t="s">
        <v>37</v>
      </c>
      <c r="S974" s="69" t="s">
        <v>909</v>
      </c>
      <c r="T974" s="51" t="b">
        <v>1</v>
      </c>
      <c r="U974" s="94"/>
    </row>
    <row r="975" ht="30.0" customHeight="1">
      <c r="A975" s="39"/>
      <c r="B975" s="40">
        <v>3010.0</v>
      </c>
      <c r="C975" s="41" t="s">
        <v>39</v>
      </c>
      <c r="D975" s="86">
        <v>46091.0</v>
      </c>
      <c r="E975" s="43" t="str">
        <f t="shared" si="1"/>
        <v>2026</v>
      </c>
      <c r="F975" s="43" t="str">
        <f t="shared" si="2"/>
        <v>03 Mar</v>
      </c>
      <c r="G975" s="45" t="s">
        <v>190</v>
      </c>
      <c r="H975" s="45" t="s">
        <v>162</v>
      </c>
      <c r="I975" s="45" t="s">
        <v>961</v>
      </c>
      <c r="J975" s="143" t="s">
        <v>28</v>
      </c>
      <c r="K975" s="43" t="str">
        <f t="array" ref="K975">IF(J975="","", XLOOKUP(J975,'⚙️ Pengaturan'!$E$2:$E3237,'⚙️ Pengaturan'!$G$2:$G3237))</f>
        <v>KLINIK FT TA</v>
      </c>
      <c r="L975" s="43" t="str">
        <f t="shared" si="3"/>
        <v>BARU</v>
      </c>
      <c r="M975" s="144" t="s">
        <v>31</v>
      </c>
      <c r="N975" s="145">
        <v>200000.0</v>
      </c>
      <c r="O975" s="146">
        <v>50000.0</v>
      </c>
      <c r="P975" s="48">
        <f t="array" ref="P975">IFNA(XLOOKUP(J975,'⚙️ Pengaturan'!$E$2:$E3237,'⚙️ Pengaturan'!$F$2:$F3237),"")</f>
        <v>250000</v>
      </c>
      <c r="Q975" s="147">
        <f t="shared" si="16"/>
        <v>0</v>
      </c>
      <c r="R975" s="41" t="s">
        <v>37</v>
      </c>
      <c r="S975" s="69" t="s">
        <v>961</v>
      </c>
      <c r="T975" s="51" t="b">
        <v>1</v>
      </c>
      <c r="U975" s="94"/>
    </row>
    <row r="976" ht="30.0" customHeight="1">
      <c r="A976" s="39"/>
      <c r="B976" s="40">
        <v>3011.0</v>
      </c>
      <c r="C976" s="41" t="s">
        <v>39</v>
      </c>
      <c r="D976" s="86">
        <v>46091.0</v>
      </c>
      <c r="E976" s="43" t="str">
        <f t="shared" si="1"/>
        <v>2026</v>
      </c>
      <c r="F976" s="43" t="str">
        <f t="shared" si="2"/>
        <v>03 Mar</v>
      </c>
      <c r="G976" s="45" t="s">
        <v>190</v>
      </c>
      <c r="H976" s="45" t="s">
        <v>26</v>
      </c>
      <c r="I976" s="45" t="s">
        <v>577</v>
      </c>
      <c r="J976" s="143" t="s">
        <v>56</v>
      </c>
      <c r="K976" s="43" t="str">
        <f t="array" ref="K976">IF(J976="","", XLOOKUP(J976,'⚙️ Pengaturan'!$E$2:$E3237,'⚙️ Pengaturan'!$G$2:$G3237))</f>
        <v>KLINIK FT PAKET</v>
      </c>
      <c r="L976" s="43" t="str">
        <f t="shared" si="3"/>
        <v>LANJUTAN</v>
      </c>
      <c r="M976" s="144" t="s">
        <v>164</v>
      </c>
      <c r="N976" s="145">
        <v>300000.0</v>
      </c>
      <c r="O976" s="146">
        <v>200000.0</v>
      </c>
      <c r="P976" s="48">
        <f t="array" ref="P976">IFNA(XLOOKUP(J976,'⚙️ Pengaturan'!$E$2:$E3237,'⚙️ Pengaturan'!$F$2:$F3237),"")</f>
        <v>650000</v>
      </c>
      <c r="Q976" s="147">
        <f t="shared" si="16"/>
        <v>-150000</v>
      </c>
      <c r="R976" s="41" t="s">
        <v>32</v>
      </c>
      <c r="S976" s="69" t="s">
        <v>33</v>
      </c>
      <c r="T976" s="51" t="b">
        <v>1</v>
      </c>
      <c r="U976" s="94"/>
    </row>
    <row r="977" ht="30.0" customHeight="1">
      <c r="A977" s="39"/>
      <c r="B977" s="40">
        <v>3012.0</v>
      </c>
      <c r="C977" s="41" t="s">
        <v>39</v>
      </c>
      <c r="D977" s="86">
        <v>46092.0</v>
      </c>
      <c r="E977" s="43" t="str">
        <f t="shared" si="1"/>
        <v>2026</v>
      </c>
      <c r="F977" s="43" t="str">
        <f t="shared" si="2"/>
        <v>03 Mar</v>
      </c>
      <c r="G977" s="45" t="s">
        <v>195</v>
      </c>
      <c r="H977" s="45" t="s">
        <v>149</v>
      </c>
      <c r="I977" s="45" t="s">
        <v>817</v>
      </c>
      <c r="J977" s="143" t="s">
        <v>56</v>
      </c>
      <c r="K977" s="43" t="str">
        <f t="array" ref="K977">IF(J977="","", XLOOKUP(J977,'⚙️ Pengaturan'!$E$2:$E3237,'⚙️ Pengaturan'!$G$2:$G3237))</f>
        <v>KLINIK FT PAKET</v>
      </c>
      <c r="L977" s="43" t="str">
        <f t="shared" si="3"/>
        <v>LANJUTAN</v>
      </c>
      <c r="M977" s="144" t="s">
        <v>164</v>
      </c>
      <c r="N977" s="145">
        <v>450000.0</v>
      </c>
      <c r="O977" s="146">
        <v>200000.0</v>
      </c>
      <c r="P977" s="48">
        <f t="array" ref="P977">IFNA(XLOOKUP(J977,'⚙️ Pengaturan'!$E$2:$E3237,'⚙️ Pengaturan'!$F$2:$F3237),"")</f>
        <v>650000</v>
      </c>
      <c r="Q977" s="147">
        <f t="shared" si="16"/>
        <v>0</v>
      </c>
      <c r="R977" s="41" t="s">
        <v>37</v>
      </c>
      <c r="S977" s="69" t="s">
        <v>619</v>
      </c>
      <c r="T977" s="51" t="b">
        <v>1</v>
      </c>
      <c r="U977" s="94"/>
    </row>
    <row r="978" ht="30.0" customHeight="1">
      <c r="A978" s="39"/>
      <c r="B978" s="40">
        <v>3013.0</v>
      </c>
      <c r="C978" s="41" t="s">
        <v>39</v>
      </c>
      <c r="D978" s="86">
        <v>46092.0</v>
      </c>
      <c r="E978" s="43" t="str">
        <f t="shared" si="1"/>
        <v>2026</v>
      </c>
      <c r="F978" s="43" t="str">
        <f t="shared" si="2"/>
        <v>03 Mar</v>
      </c>
      <c r="G978" s="45" t="s">
        <v>206</v>
      </c>
      <c r="H978" s="45" t="s">
        <v>41</v>
      </c>
      <c r="I978" s="45" t="s">
        <v>787</v>
      </c>
      <c r="J978" s="143" t="s">
        <v>120</v>
      </c>
      <c r="K978" s="43" t="str">
        <f t="array" ref="K978">IF(J978="","", XLOOKUP(J978,'⚙️ Pengaturan'!$E$2:$E3237,'⚙️ Pengaturan'!$G$2:$G3237))</f>
        <v>KLINIK FT SESI</v>
      </c>
      <c r="L978" s="43" t="str">
        <f t="shared" si="3"/>
        <v>LANJUTAN</v>
      </c>
      <c r="M978" s="144" t="s">
        <v>31</v>
      </c>
      <c r="N978" s="145">
        <v>180000.0</v>
      </c>
      <c r="O978" s="146">
        <v>0.0</v>
      </c>
      <c r="P978" s="48">
        <v>180000.0</v>
      </c>
      <c r="Q978" s="147">
        <v>0.0</v>
      </c>
      <c r="R978" s="41" t="s">
        <v>32</v>
      </c>
      <c r="S978" s="69" t="s">
        <v>33</v>
      </c>
      <c r="T978" s="51" t="b">
        <v>1</v>
      </c>
      <c r="U978" s="94"/>
    </row>
    <row r="979" ht="30.0" customHeight="1">
      <c r="A979" s="39"/>
      <c r="B979" s="40">
        <v>3014.0</v>
      </c>
      <c r="C979" s="41" t="s">
        <v>39</v>
      </c>
      <c r="D979" s="86">
        <v>46092.0</v>
      </c>
      <c r="E979" s="43" t="str">
        <f t="shared" si="1"/>
        <v>2026</v>
      </c>
      <c r="F979" s="43" t="str">
        <f t="shared" si="2"/>
        <v>03 Mar</v>
      </c>
      <c r="G979" s="45" t="s">
        <v>35</v>
      </c>
      <c r="H979" s="45" t="s">
        <v>96</v>
      </c>
      <c r="I979" s="45" t="s">
        <v>517</v>
      </c>
      <c r="J979" s="143" t="s">
        <v>28</v>
      </c>
      <c r="K979" s="43" t="str">
        <f t="array" ref="K979">IF(J979="","", XLOOKUP(J979,'⚙️ Pengaturan'!$E$2:$E3237,'⚙️ Pengaturan'!$G$2:$G3237))</f>
        <v>KLINIK FT TA</v>
      </c>
      <c r="L979" s="43" t="str">
        <f t="shared" si="3"/>
        <v>BARU</v>
      </c>
      <c r="M979" s="144" t="s">
        <v>31</v>
      </c>
      <c r="N979" s="145">
        <v>200000.0</v>
      </c>
      <c r="O979" s="146">
        <v>50000.0</v>
      </c>
      <c r="P979" s="48">
        <f t="array" ref="P979">IFNA(XLOOKUP(J979,'⚙️ Pengaturan'!$E$2:$E3237,'⚙️ Pengaturan'!$F$2:$F3237),"")</f>
        <v>250000</v>
      </c>
      <c r="Q979" s="147">
        <f t="shared" ref="Q979:Q988" si="17">IF(I979="","",(N979+O979)-P979)</f>
        <v>0</v>
      </c>
      <c r="R979" s="41" t="s">
        <v>37</v>
      </c>
      <c r="S979" s="69" t="s">
        <v>517</v>
      </c>
      <c r="T979" s="51" t="b">
        <v>1</v>
      </c>
      <c r="U979" s="94"/>
    </row>
    <row r="980" ht="30.0" customHeight="1">
      <c r="A980" s="39"/>
      <c r="B980" s="40">
        <v>3015.0</v>
      </c>
      <c r="C980" s="41" t="s">
        <v>39</v>
      </c>
      <c r="D980" s="86">
        <v>46092.0</v>
      </c>
      <c r="E980" s="43" t="str">
        <f t="shared" si="1"/>
        <v>2026</v>
      </c>
      <c r="F980" s="43" t="str">
        <f t="shared" si="2"/>
        <v>03 Mar</v>
      </c>
      <c r="G980" s="45" t="s">
        <v>35</v>
      </c>
      <c r="H980" s="45" t="s">
        <v>47</v>
      </c>
      <c r="I980" s="45" t="s">
        <v>962</v>
      </c>
      <c r="J980" s="143" t="s">
        <v>28</v>
      </c>
      <c r="K980" s="43" t="str">
        <f t="array" ref="K980">IF(J980="","", XLOOKUP(J980,'⚙️ Pengaturan'!$E$2:$E3237,'⚙️ Pengaturan'!$G$2:$G3237))</f>
        <v>KLINIK FT TA</v>
      </c>
      <c r="L980" s="43" t="str">
        <f t="shared" si="3"/>
        <v>BARU</v>
      </c>
      <c r="M980" s="144" t="s">
        <v>31</v>
      </c>
      <c r="N980" s="145">
        <v>200000.0</v>
      </c>
      <c r="O980" s="146">
        <v>50000.0</v>
      </c>
      <c r="P980" s="48">
        <f t="array" ref="P980">IFNA(XLOOKUP(J980,'⚙️ Pengaturan'!$E$2:$E3237,'⚙️ Pengaturan'!$F$2:$F3237),"")</f>
        <v>250000</v>
      </c>
      <c r="Q980" s="147">
        <f t="shared" si="17"/>
        <v>0</v>
      </c>
      <c r="R980" s="41" t="s">
        <v>32</v>
      </c>
      <c r="S980" s="69" t="s">
        <v>33</v>
      </c>
      <c r="T980" s="51" t="b">
        <v>1</v>
      </c>
      <c r="U980" s="94"/>
    </row>
    <row r="981" ht="30.0" customHeight="1">
      <c r="A981" s="39"/>
      <c r="B981" s="40">
        <v>3016.0</v>
      </c>
      <c r="C981" s="41" t="s">
        <v>39</v>
      </c>
      <c r="D981" s="86">
        <v>46092.0</v>
      </c>
      <c r="E981" s="43" t="str">
        <f t="shared" si="1"/>
        <v>2026</v>
      </c>
      <c r="F981" s="43" t="str">
        <f t="shared" si="2"/>
        <v>03 Mar</v>
      </c>
      <c r="G981" s="45" t="s">
        <v>35</v>
      </c>
      <c r="H981" s="45" t="s">
        <v>150</v>
      </c>
      <c r="I981" s="45" t="s">
        <v>963</v>
      </c>
      <c r="J981" s="143" t="s">
        <v>28</v>
      </c>
      <c r="K981" s="43" t="str">
        <f t="array" ref="K981">IF(J981="","", XLOOKUP(J981,'⚙️ Pengaturan'!$E$2:$E3237,'⚙️ Pengaturan'!$G$2:$G3237))</f>
        <v>KLINIK FT TA</v>
      </c>
      <c r="L981" s="43" t="str">
        <f t="shared" si="3"/>
        <v>BARU</v>
      </c>
      <c r="M981" s="144" t="s">
        <v>31</v>
      </c>
      <c r="N981" s="145">
        <v>200000.0</v>
      </c>
      <c r="O981" s="146">
        <v>50000.0</v>
      </c>
      <c r="P981" s="48">
        <f t="array" ref="P981">IFNA(XLOOKUP(J981,'⚙️ Pengaturan'!$E$2:$E3237,'⚙️ Pengaturan'!$F$2:$F3237),"")</f>
        <v>250000</v>
      </c>
      <c r="Q981" s="147">
        <f t="shared" si="17"/>
        <v>0</v>
      </c>
      <c r="R981" s="41" t="s">
        <v>32</v>
      </c>
      <c r="S981" s="69" t="s">
        <v>33</v>
      </c>
      <c r="T981" s="51" t="b">
        <v>1</v>
      </c>
      <c r="U981" s="94"/>
    </row>
    <row r="982" ht="30.0" customHeight="1">
      <c r="A982" s="39"/>
      <c r="B982" s="40">
        <v>3017.0</v>
      </c>
      <c r="C982" s="41" t="s">
        <v>39</v>
      </c>
      <c r="D982" s="86">
        <v>46092.0</v>
      </c>
      <c r="E982" s="43" t="str">
        <f t="shared" si="1"/>
        <v>2026</v>
      </c>
      <c r="F982" s="43" t="str">
        <f t="shared" si="2"/>
        <v>03 Mar</v>
      </c>
      <c r="G982" s="45" t="s">
        <v>40</v>
      </c>
      <c r="H982" s="45" t="s">
        <v>162</v>
      </c>
      <c r="I982" s="45" t="s">
        <v>964</v>
      </c>
      <c r="J982" s="143" t="s">
        <v>28</v>
      </c>
      <c r="K982" s="43" t="str">
        <f t="array" ref="K982">IF(J982="","", XLOOKUP(J982,'⚙️ Pengaturan'!$E$2:$E3237,'⚙️ Pengaturan'!$G$2:$G3237))</f>
        <v>KLINIK FT TA</v>
      </c>
      <c r="L982" s="43" t="str">
        <f t="shared" si="3"/>
        <v>BARU</v>
      </c>
      <c r="M982" s="144" t="s">
        <v>31</v>
      </c>
      <c r="N982" s="145">
        <v>200000.0</v>
      </c>
      <c r="O982" s="146">
        <v>50000.0</v>
      </c>
      <c r="P982" s="48">
        <f t="array" ref="P982">IFNA(XLOOKUP(J982,'⚙️ Pengaturan'!$E$2:$E3237,'⚙️ Pengaturan'!$F$2:$F3237),"")</f>
        <v>250000</v>
      </c>
      <c r="Q982" s="147">
        <f t="shared" si="17"/>
        <v>0</v>
      </c>
      <c r="R982" s="41" t="s">
        <v>32</v>
      </c>
      <c r="S982" s="69" t="s">
        <v>33</v>
      </c>
      <c r="T982" s="51" t="b">
        <v>1</v>
      </c>
      <c r="U982" s="94"/>
    </row>
    <row r="983" ht="30.0" customHeight="1">
      <c r="A983" s="39"/>
      <c r="B983" s="40">
        <v>3018.0</v>
      </c>
      <c r="C983" s="41" t="s">
        <v>39</v>
      </c>
      <c r="D983" s="86">
        <v>46092.0</v>
      </c>
      <c r="E983" s="43" t="str">
        <f t="shared" si="1"/>
        <v>2026</v>
      </c>
      <c r="F983" s="43" t="str">
        <f t="shared" si="2"/>
        <v>03 Mar</v>
      </c>
      <c r="G983" s="45" t="s">
        <v>40</v>
      </c>
      <c r="H983" s="45" t="s">
        <v>162</v>
      </c>
      <c r="I983" s="45" t="s">
        <v>964</v>
      </c>
      <c r="J983" s="143" t="s">
        <v>119</v>
      </c>
      <c r="K983" s="43" t="str">
        <f t="array" ref="K983">IF(J983="","", XLOOKUP(J983,'⚙️ Pengaturan'!$E$2:$E3237,'⚙️ Pengaturan'!$G$2:$G3237))</f>
        <v>KLINIK FT PAKET</v>
      </c>
      <c r="L983" s="43" t="str">
        <f t="shared" si="3"/>
        <v>BARU</v>
      </c>
      <c r="M983" s="144" t="s">
        <v>60</v>
      </c>
      <c r="N983" s="145">
        <v>300000.0</v>
      </c>
      <c r="O983" s="146">
        <v>0.0</v>
      </c>
      <c r="P983" s="48">
        <f t="array" ref="P983">IFNA(XLOOKUP(J983,'⚙️ Pengaturan'!$E$2:$E3237,'⚙️ Pengaturan'!$F$2:$F3237),"")</f>
        <v>750000</v>
      </c>
      <c r="Q983" s="147">
        <f t="shared" si="17"/>
        <v>-450000</v>
      </c>
      <c r="R983" s="41" t="s">
        <v>32</v>
      </c>
      <c r="S983" s="69" t="s">
        <v>33</v>
      </c>
      <c r="T983" s="51" t="b">
        <v>1</v>
      </c>
      <c r="U983" s="94"/>
    </row>
    <row r="984" ht="30.0" customHeight="1">
      <c r="A984" s="39"/>
      <c r="B984" s="40">
        <v>3019.0</v>
      </c>
      <c r="C984" s="41" t="s">
        <v>39</v>
      </c>
      <c r="D984" s="86">
        <v>46092.0</v>
      </c>
      <c r="E984" s="43" t="str">
        <f t="shared" si="1"/>
        <v>2026</v>
      </c>
      <c r="F984" s="43" t="str">
        <f t="shared" si="2"/>
        <v>03 Mar</v>
      </c>
      <c r="G984" s="45" t="s">
        <v>40</v>
      </c>
      <c r="H984" s="45" t="s">
        <v>26</v>
      </c>
      <c r="I984" s="45" t="s">
        <v>701</v>
      </c>
      <c r="J984" s="143" t="s">
        <v>92</v>
      </c>
      <c r="K984" s="43" t="str">
        <f t="array" ref="K984">IF(J984="","", XLOOKUP(J984,'⚙️ Pengaturan'!$E$2:$E3237,'⚙️ Pengaturan'!$G$2:$G3237))</f>
        <v>KLINIK FT PAKET</v>
      </c>
      <c r="L984" s="43" t="str">
        <f t="shared" si="3"/>
        <v>LANJUTAN</v>
      </c>
      <c r="M984" s="144" t="s">
        <v>164</v>
      </c>
      <c r="N984" s="145">
        <v>150000.0</v>
      </c>
      <c r="O984" s="146">
        <v>1050000.0</v>
      </c>
      <c r="P984" s="48">
        <f t="array" ref="P984">IFNA(XLOOKUP(J984,'⚙️ Pengaturan'!$E$2:$E3237,'⚙️ Pengaturan'!$F$2:$F3237),"")</f>
        <v>1200000</v>
      </c>
      <c r="Q984" s="147">
        <f t="shared" si="17"/>
        <v>0</v>
      </c>
      <c r="R984" s="41" t="s">
        <v>32</v>
      </c>
      <c r="S984" s="69" t="s">
        <v>33</v>
      </c>
      <c r="T984" s="51" t="b">
        <v>1</v>
      </c>
      <c r="U984" s="94"/>
    </row>
    <row r="985" ht="30.0" customHeight="1">
      <c r="A985" s="39"/>
      <c r="B985" s="40">
        <v>3020.0</v>
      </c>
      <c r="C985" s="41" t="s">
        <v>39</v>
      </c>
      <c r="D985" s="86">
        <v>46092.0</v>
      </c>
      <c r="E985" s="43" t="str">
        <f t="shared" si="1"/>
        <v>2026</v>
      </c>
      <c r="F985" s="43" t="str">
        <f t="shared" si="2"/>
        <v>03 Mar</v>
      </c>
      <c r="G985" s="45" t="s">
        <v>69</v>
      </c>
      <c r="H985" s="45" t="s">
        <v>76</v>
      </c>
      <c r="I985" s="45" t="s">
        <v>951</v>
      </c>
      <c r="J985" s="143" t="s">
        <v>347</v>
      </c>
      <c r="K985" s="43" t="str">
        <f t="array" ref="K985">IF(J985="","", XLOOKUP(J985,'⚙️ Pengaturan'!$E$2:$E3237,'⚙️ Pengaturan'!$G$2:$G3237))</f>
        <v>KLINIK FT PAKET</v>
      </c>
      <c r="L985" s="43" t="str">
        <f t="shared" si="3"/>
        <v>BARU</v>
      </c>
      <c r="M985" s="144" t="s">
        <v>81</v>
      </c>
      <c r="N985" s="145">
        <v>50000.0</v>
      </c>
      <c r="O985" s="146">
        <v>0.0</v>
      </c>
      <c r="P985" s="119">
        <v>500000.0</v>
      </c>
      <c r="Q985" s="147">
        <f t="shared" si="17"/>
        <v>-450000</v>
      </c>
      <c r="R985" s="41" t="s">
        <v>32</v>
      </c>
      <c r="S985" s="69" t="s">
        <v>965</v>
      </c>
      <c r="T985" s="51" t="b">
        <v>1</v>
      </c>
      <c r="U985" s="94"/>
    </row>
    <row r="986" ht="30.0" customHeight="1">
      <c r="A986" s="39"/>
      <c r="B986" s="40">
        <v>3021.0</v>
      </c>
      <c r="C986" s="41" t="s">
        <v>39</v>
      </c>
      <c r="D986" s="86">
        <v>46092.0</v>
      </c>
      <c r="E986" s="43" t="str">
        <f t="shared" si="1"/>
        <v>2026</v>
      </c>
      <c r="F986" s="43" t="str">
        <f t="shared" si="2"/>
        <v>03 Mar</v>
      </c>
      <c r="G986" s="45" t="s">
        <v>155</v>
      </c>
      <c r="H986" s="45" t="s">
        <v>162</v>
      </c>
      <c r="I986" s="45" t="s">
        <v>966</v>
      </c>
      <c r="J986" s="143" t="s">
        <v>28</v>
      </c>
      <c r="K986" s="43" t="str">
        <f t="array" ref="K986">IF(J986="","", XLOOKUP(J986,'⚙️ Pengaturan'!$E$2:$E3237,'⚙️ Pengaturan'!$G$2:$G3237))</f>
        <v>KLINIK FT TA</v>
      </c>
      <c r="L986" s="43" t="str">
        <f t="shared" si="3"/>
        <v>BARU</v>
      </c>
      <c r="M986" s="144" t="s">
        <v>31</v>
      </c>
      <c r="N986" s="145">
        <v>200000.0</v>
      </c>
      <c r="O986" s="146">
        <v>50000.0</v>
      </c>
      <c r="P986" s="48">
        <f t="array" ref="P986">IFNA(XLOOKUP(J986,'⚙️ Pengaturan'!$E$2:$E3237,'⚙️ Pengaturan'!$F$2:$F3237),"")</f>
        <v>250000</v>
      </c>
      <c r="Q986" s="147">
        <f t="shared" si="17"/>
        <v>0</v>
      </c>
      <c r="R986" s="41" t="s">
        <v>32</v>
      </c>
      <c r="S986" s="69" t="s">
        <v>33</v>
      </c>
      <c r="T986" s="51" t="b">
        <v>1</v>
      </c>
      <c r="U986" s="94"/>
    </row>
    <row r="987" ht="30.0" customHeight="1">
      <c r="A987" s="39"/>
      <c r="B987" s="40">
        <v>3022.0</v>
      </c>
      <c r="C987" s="41" t="s">
        <v>39</v>
      </c>
      <c r="D987" s="86">
        <v>46092.0</v>
      </c>
      <c r="E987" s="43" t="str">
        <f t="shared" si="1"/>
        <v>2026</v>
      </c>
      <c r="F987" s="43" t="str">
        <f t="shared" si="2"/>
        <v>03 Mar</v>
      </c>
      <c r="G987" s="45" t="s">
        <v>190</v>
      </c>
      <c r="H987" s="45" t="s">
        <v>150</v>
      </c>
      <c r="I987" s="45" t="s">
        <v>945</v>
      </c>
      <c r="J987" s="143" t="s">
        <v>120</v>
      </c>
      <c r="K987" s="43" t="str">
        <f t="array" ref="K987">IF(J987="","", XLOOKUP(J987,'⚙️ Pengaturan'!$E$2:$E3237,'⚙️ Pengaturan'!$G$2:$G3237))</f>
        <v>KLINIK FT SESI</v>
      </c>
      <c r="L987" s="43" t="str">
        <f t="shared" si="3"/>
        <v>BARU</v>
      </c>
      <c r="M987" s="144" t="s">
        <v>31</v>
      </c>
      <c r="N987" s="145">
        <v>180000.0</v>
      </c>
      <c r="O987" s="146">
        <v>0.0</v>
      </c>
      <c r="P987" s="48">
        <f t="array" ref="P987">IFNA(XLOOKUP(J987,'⚙️ Pengaturan'!$E$2:$E3237,'⚙️ Pengaturan'!$F$2:$F3237),"")</f>
        <v>180000</v>
      </c>
      <c r="Q987" s="147">
        <f t="shared" si="17"/>
        <v>0</v>
      </c>
      <c r="R987" s="41" t="s">
        <v>32</v>
      </c>
      <c r="S987" s="69" t="s">
        <v>33</v>
      </c>
      <c r="T987" s="51" t="b">
        <v>1</v>
      </c>
      <c r="U987" s="94"/>
    </row>
    <row r="988" ht="30.0" customHeight="1">
      <c r="A988" s="39"/>
      <c r="B988" s="40">
        <v>3023.0</v>
      </c>
      <c r="C988" s="41" t="s">
        <v>39</v>
      </c>
      <c r="D988" s="86">
        <v>46092.0</v>
      </c>
      <c r="E988" s="43" t="str">
        <f t="shared" si="1"/>
        <v>2026</v>
      </c>
      <c r="F988" s="43" t="str">
        <f t="shared" si="2"/>
        <v>03 Mar</v>
      </c>
      <c r="G988" s="45" t="s">
        <v>190</v>
      </c>
      <c r="H988" s="45" t="s">
        <v>166</v>
      </c>
      <c r="I988" s="45" t="s">
        <v>967</v>
      </c>
      <c r="J988" s="143" t="s">
        <v>28</v>
      </c>
      <c r="K988" s="43" t="str">
        <f t="array" ref="K988">IF(J988="","", XLOOKUP(J988,'⚙️ Pengaturan'!$E$2:$E3237,'⚙️ Pengaturan'!$G$2:$G3237))</f>
        <v>KLINIK FT TA</v>
      </c>
      <c r="L988" s="43" t="str">
        <f t="shared" si="3"/>
        <v>BARU</v>
      </c>
      <c r="M988" s="144" t="s">
        <v>31</v>
      </c>
      <c r="N988" s="145">
        <v>50000.0</v>
      </c>
      <c r="O988" s="146">
        <v>200000.0</v>
      </c>
      <c r="P988" s="48">
        <f t="array" ref="P988">IFNA(XLOOKUP(J988,'⚙️ Pengaturan'!$E$2:$E3237,'⚙️ Pengaturan'!$F$2:$F3237),"")</f>
        <v>250000</v>
      </c>
      <c r="Q988" s="147">
        <f t="shared" si="17"/>
        <v>0</v>
      </c>
      <c r="R988" s="41" t="s">
        <v>32</v>
      </c>
      <c r="S988" s="69" t="s">
        <v>33</v>
      </c>
      <c r="T988" s="51" t="b">
        <v>1</v>
      </c>
      <c r="U988" s="94"/>
    </row>
    <row r="989" ht="30.0" customHeight="1">
      <c r="A989" s="39"/>
      <c r="B989" s="40">
        <v>3024.0</v>
      </c>
      <c r="C989" s="41" t="s">
        <v>79</v>
      </c>
      <c r="D989" s="86">
        <v>46093.0</v>
      </c>
      <c r="E989" s="43" t="str">
        <f t="shared" si="1"/>
        <v>2026</v>
      </c>
      <c r="F989" s="43" t="str">
        <f t="shared" si="2"/>
        <v>03 Mar</v>
      </c>
      <c r="G989" s="45" t="s">
        <v>195</v>
      </c>
      <c r="H989" s="45" t="s">
        <v>26</v>
      </c>
      <c r="I989" s="45" t="s">
        <v>968</v>
      </c>
      <c r="J989" s="143" t="s">
        <v>28</v>
      </c>
      <c r="K989" s="43" t="str">
        <f t="array" ref="K989">IF(J989="","", XLOOKUP(J989,'⚙️ Pengaturan'!$E$2:$E3237,'⚙️ Pengaturan'!$G$2:$G3237))</f>
        <v>KLINIK FT TA</v>
      </c>
      <c r="L989" s="43" t="str">
        <f t="shared" si="3"/>
        <v>BARU</v>
      </c>
      <c r="M989" s="144" t="s">
        <v>31</v>
      </c>
      <c r="N989" s="145">
        <v>200000.0</v>
      </c>
      <c r="O989" s="146">
        <v>50000.0</v>
      </c>
      <c r="P989" s="48">
        <v>250000.0</v>
      </c>
      <c r="Q989" s="147">
        <v>0.0</v>
      </c>
      <c r="R989" s="41" t="s">
        <v>32</v>
      </c>
      <c r="S989" s="69" t="s">
        <v>33</v>
      </c>
      <c r="T989" s="51" t="b">
        <v>1</v>
      </c>
      <c r="U989" s="94"/>
    </row>
    <row r="990" ht="30.0" customHeight="1">
      <c r="A990" s="39"/>
      <c r="B990" s="40">
        <v>3025.0</v>
      </c>
      <c r="C990" s="41" t="s">
        <v>79</v>
      </c>
      <c r="D990" s="86">
        <v>46093.0</v>
      </c>
      <c r="E990" s="43" t="str">
        <f t="shared" si="1"/>
        <v>2026</v>
      </c>
      <c r="F990" s="43" t="str">
        <f t="shared" si="2"/>
        <v>03 Mar</v>
      </c>
      <c r="G990" s="45" t="s">
        <v>195</v>
      </c>
      <c r="H990" s="45" t="s">
        <v>166</v>
      </c>
      <c r="I990" s="45" t="s">
        <v>908</v>
      </c>
      <c r="J990" s="143" t="s">
        <v>119</v>
      </c>
      <c r="K990" s="43" t="str">
        <f t="array" ref="K990">IF(J990="","", XLOOKUP(J990,'⚙️ Pengaturan'!$E$2:$E3237,'⚙️ Pengaturan'!$G$2:$G3237))</f>
        <v>KLINIK FT PAKET</v>
      </c>
      <c r="L990" s="43" t="str">
        <f t="shared" si="3"/>
        <v>LANJUTAN</v>
      </c>
      <c r="M990" s="144" t="s">
        <v>60</v>
      </c>
      <c r="N990" s="145">
        <v>400000.0</v>
      </c>
      <c r="O990" s="146">
        <v>0.0</v>
      </c>
      <c r="P990" s="48">
        <f t="array" ref="P990">IFNA(XLOOKUP(J990,'⚙️ Pengaturan'!$E$2:$E3237,'⚙️ Pengaturan'!$F$2:$F3237),"")</f>
        <v>750000</v>
      </c>
      <c r="Q990" s="147">
        <f>IF(I990="","",(N990+O990)-P990)</f>
        <v>-350000</v>
      </c>
      <c r="R990" s="41" t="s">
        <v>37</v>
      </c>
      <c r="S990" s="69" t="s">
        <v>908</v>
      </c>
      <c r="T990" s="51" t="b">
        <v>1</v>
      </c>
      <c r="U990" s="94"/>
    </row>
    <row r="991" ht="30.0" customHeight="1">
      <c r="A991" s="39"/>
      <c r="B991" s="40">
        <v>3026.0</v>
      </c>
      <c r="C991" s="41" t="s">
        <v>79</v>
      </c>
      <c r="D991" s="86">
        <v>46093.0</v>
      </c>
      <c r="E991" s="43" t="str">
        <f t="shared" si="1"/>
        <v>2026</v>
      </c>
      <c r="F991" s="43" t="str">
        <f t="shared" si="2"/>
        <v>03 Mar</v>
      </c>
      <c r="G991" s="45" t="s">
        <v>206</v>
      </c>
      <c r="H991" s="45" t="s">
        <v>156</v>
      </c>
      <c r="I991" s="45" t="s">
        <v>969</v>
      </c>
      <c r="J991" s="143" t="s">
        <v>28</v>
      </c>
      <c r="K991" s="43" t="str">
        <f t="array" ref="K991">IF(J991="","", XLOOKUP(J991,'⚙️ Pengaturan'!$E$2:$E3237,'⚙️ Pengaturan'!$G$2:$G3237))</f>
        <v>KLINIK FT TA</v>
      </c>
      <c r="L991" s="43" t="str">
        <f t="shared" si="3"/>
        <v>BARU</v>
      </c>
      <c r="M991" s="144" t="s">
        <v>31</v>
      </c>
      <c r="N991" s="145">
        <v>200000.0</v>
      </c>
      <c r="O991" s="146">
        <v>50000.0</v>
      </c>
      <c r="P991" s="48">
        <v>250000.0</v>
      </c>
      <c r="Q991" s="147">
        <v>0.0</v>
      </c>
      <c r="R991" s="41" t="s">
        <v>37</v>
      </c>
      <c r="S991" s="69" t="s">
        <v>969</v>
      </c>
      <c r="T991" s="51" t="b">
        <v>1</v>
      </c>
      <c r="U991" s="94"/>
    </row>
    <row r="992" ht="30.0" customHeight="1">
      <c r="A992" s="39"/>
      <c r="B992" s="40">
        <v>3027.0</v>
      </c>
      <c r="C992" s="41" t="s">
        <v>79</v>
      </c>
      <c r="D992" s="86">
        <v>46093.0</v>
      </c>
      <c r="E992" s="43" t="str">
        <f t="shared" si="1"/>
        <v>2026</v>
      </c>
      <c r="F992" s="43" t="str">
        <f t="shared" si="2"/>
        <v>03 Mar</v>
      </c>
      <c r="G992" s="45" t="s">
        <v>161</v>
      </c>
      <c r="H992" s="45" t="s">
        <v>166</v>
      </c>
      <c r="I992" s="45" t="s">
        <v>970</v>
      </c>
      <c r="J992" s="143" t="s">
        <v>28</v>
      </c>
      <c r="K992" s="43" t="str">
        <f t="array" ref="K992">IF(J992="","", XLOOKUP(J992,'⚙️ Pengaturan'!$E$2:$E3237,'⚙️ Pengaturan'!$G$2:$G3237))</f>
        <v>KLINIK FT TA</v>
      </c>
      <c r="L992" s="43" t="str">
        <f t="shared" si="3"/>
        <v>BARU</v>
      </c>
      <c r="M992" s="144" t="s">
        <v>31</v>
      </c>
      <c r="N992" s="145">
        <v>200000.0</v>
      </c>
      <c r="O992" s="146">
        <v>50000.0</v>
      </c>
      <c r="P992" s="48">
        <v>250000.0</v>
      </c>
      <c r="Q992" s="147">
        <f t="shared" ref="Q992:Q1024" si="18">IF(I992="","",(N992+O992)-P992)</f>
        <v>0</v>
      </c>
      <c r="R992" s="41" t="s">
        <v>37</v>
      </c>
      <c r="S992" s="69" t="s">
        <v>970</v>
      </c>
      <c r="T992" s="51" t="b">
        <v>1</v>
      </c>
      <c r="U992" s="94"/>
    </row>
    <row r="993" ht="30.0" customHeight="1">
      <c r="A993" s="39"/>
      <c r="B993" s="40">
        <v>3028.0</v>
      </c>
      <c r="C993" s="41" t="s">
        <v>79</v>
      </c>
      <c r="D993" s="86">
        <v>46093.0</v>
      </c>
      <c r="E993" s="43" t="str">
        <f t="shared" si="1"/>
        <v>2026</v>
      </c>
      <c r="F993" s="43" t="str">
        <f t="shared" si="2"/>
        <v>03 Mar</v>
      </c>
      <c r="G993" s="45" t="s">
        <v>161</v>
      </c>
      <c r="H993" s="45" t="s">
        <v>162</v>
      </c>
      <c r="I993" s="45" t="s">
        <v>971</v>
      </c>
      <c r="J993" s="143" t="s">
        <v>28</v>
      </c>
      <c r="K993" s="43" t="str">
        <f t="array" ref="K993">IF(J993="","", XLOOKUP(J993,'⚙️ Pengaturan'!$E$2:$E3237,'⚙️ Pengaturan'!$G$2:$G3237))</f>
        <v>KLINIK FT TA</v>
      </c>
      <c r="L993" s="43" t="str">
        <f t="shared" si="3"/>
        <v>BARU</v>
      </c>
      <c r="M993" s="144" t="s">
        <v>31</v>
      </c>
      <c r="N993" s="145">
        <v>200000.0</v>
      </c>
      <c r="O993" s="146">
        <v>50000.0</v>
      </c>
      <c r="P993" s="48">
        <v>250000.0</v>
      </c>
      <c r="Q993" s="147">
        <f t="shared" si="18"/>
        <v>0</v>
      </c>
      <c r="R993" s="41" t="s">
        <v>32</v>
      </c>
      <c r="S993" s="69" t="s">
        <v>33</v>
      </c>
      <c r="T993" s="51" t="b">
        <v>1</v>
      </c>
      <c r="U993" s="94"/>
    </row>
    <row r="994" ht="30.0" customHeight="1">
      <c r="A994" s="39"/>
      <c r="B994" s="40">
        <v>3029.0</v>
      </c>
      <c r="C994" s="41" t="s">
        <v>79</v>
      </c>
      <c r="D994" s="86">
        <v>46093.0</v>
      </c>
      <c r="E994" s="43" t="str">
        <f t="shared" si="1"/>
        <v>2026</v>
      </c>
      <c r="F994" s="43" t="str">
        <f t="shared" si="2"/>
        <v>03 Mar</v>
      </c>
      <c r="G994" s="45" t="s">
        <v>161</v>
      </c>
      <c r="H994" s="45" t="s">
        <v>150</v>
      </c>
      <c r="I994" s="45" t="s">
        <v>972</v>
      </c>
      <c r="J994" s="143" t="s">
        <v>28</v>
      </c>
      <c r="K994" s="43" t="str">
        <f t="array" ref="K994">IF(J994="","", XLOOKUP(J994,'⚙️ Pengaturan'!$E$2:$E3237,'⚙️ Pengaturan'!$G$2:$G3237))</f>
        <v>KLINIK FT TA</v>
      </c>
      <c r="L994" s="43" t="str">
        <f t="shared" si="3"/>
        <v>BARU</v>
      </c>
      <c r="M994" s="144" t="s">
        <v>31</v>
      </c>
      <c r="N994" s="145">
        <v>200000.0</v>
      </c>
      <c r="O994" s="146">
        <v>50000.0</v>
      </c>
      <c r="P994" s="48">
        <v>250000.0</v>
      </c>
      <c r="Q994" s="147">
        <f t="shared" si="18"/>
        <v>0</v>
      </c>
      <c r="R994" s="41" t="s">
        <v>32</v>
      </c>
      <c r="S994" s="152" t="s">
        <v>33</v>
      </c>
      <c r="T994" s="51" t="b">
        <v>1</v>
      </c>
      <c r="U994" s="94"/>
    </row>
    <row r="995" ht="30.0" customHeight="1">
      <c r="A995" s="39"/>
      <c r="B995" s="40">
        <v>3030.0</v>
      </c>
      <c r="C995" s="41" t="s">
        <v>39</v>
      </c>
      <c r="D995" s="86">
        <v>46093.0</v>
      </c>
      <c r="E995" s="43" t="str">
        <f t="shared" si="1"/>
        <v>2026</v>
      </c>
      <c r="F995" s="43" t="str">
        <f t="shared" si="2"/>
        <v>03 Mar</v>
      </c>
      <c r="G995" s="45" t="s">
        <v>43</v>
      </c>
      <c r="H995" s="45" t="s">
        <v>41</v>
      </c>
      <c r="I995" s="45" t="s">
        <v>949</v>
      </c>
      <c r="J995" s="143" t="s">
        <v>120</v>
      </c>
      <c r="K995" s="43" t="str">
        <f t="array" ref="K995">IF(J995="","", XLOOKUP(J995,'⚙️ Pengaturan'!$E$2:$E3237,'⚙️ Pengaturan'!$G$2:$G3237))</f>
        <v>KLINIK FT SESI</v>
      </c>
      <c r="L995" s="43" t="str">
        <f t="shared" si="3"/>
        <v>BARU</v>
      </c>
      <c r="M995" s="144" t="s">
        <v>31</v>
      </c>
      <c r="N995" s="145">
        <v>180000.0</v>
      </c>
      <c r="O995" s="146">
        <v>180000.0</v>
      </c>
      <c r="P995" s="48">
        <f t="array" ref="P995">IFNA(XLOOKUP(J995,'⚙️ Pengaturan'!$E$2:$E3237,'⚙️ Pengaturan'!$F$2:$F3237),"")</f>
        <v>180000</v>
      </c>
      <c r="Q995" s="147">
        <f t="shared" si="18"/>
        <v>180000</v>
      </c>
      <c r="R995" s="41" t="s">
        <v>37</v>
      </c>
      <c r="S995" s="69" t="s">
        <v>949</v>
      </c>
      <c r="T995" s="51" t="b">
        <v>1</v>
      </c>
      <c r="U995" s="94"/>
    </row>
    <row r="996" ht="30.0" customHeight="1">
      <c r="A996" s="39"/>
      <c r="B996" s="40">
        <v>3031.0</v>
      </c>
      <c r="C996" s="41" t="s">
        <v>39</v>
      </c>
      <c r="D996" s="86">
        <v>46093.0</v>
      </c>
      <c r="E996" s="43" t="str">
        <f t="shared" si="1"/>
        <v>2026</v>
      </c>
      <c r="F996" s="43" t="str">
        <f t="shared" si="2"/>
        <v>03 Mar</v>
      </c>
      <c r="G996" s="45" t="s">
        <v>43</v>
      </c>
      <c r="H996" s="45" t="s">
        <v>96</v>
      </c>
      <c r="I996" s="45" t="s">
        <v>940</v>
      </c>
      <c r="J996" s="143" t="s">
        <v>119</v>
      </c>
      <c r="K996" s="43" t="str">
        <f t="array" ref="K996">IF(J996="","", XLOOKUP(J996,'⚙️ Pengaturan'!$E$2:$E3237,'⚙️ Pengaturan'!$G$2:$G3237))</f>
        <v>KLINIK FT PAKET</v>
      </c>
      <c r="L996" s="43" t="str">
        <f t="shared" si="3"/>
        <v>BARU</v>
      </c>
      <c r="M996" s="144" t="s">
        <v>31</v>
      </c>
      <c r="N996" s="145">
        <v>750000.0</v>
      </c>
      <c r="O996" s="146">
        <v>0.0</v>
      </c>
      <c r="P996" s="48">
        <f t="array" ref="P996">IFNA(XLOOKUP(J996,'⚙️ Pengaturan'!$E$2:$E3237,'⚙️ Pengaturan'!$F$2:$F3237),"")</f>
        <v>750000</v>
      </c>
      <c r="Q996" s="147">
        <f t="shared" si="18"/>
        <v>0</v>
      </c>
      <c r="R996" s="41" t="s">
        <v>32</v>
      </c>
      <c r="S996" s="69" t="s">
        <v>33</v>
      </c>
      <c r="T996" s="51" t="b">
        <v>1</v>
      </c>
      <c r="U996" s="94"/>
    </row>
    <row r="997" ht="30.0" customHeight="1">
      <c r="A997" s="39"/>
      <c r="B997" s="40">
        <v>3032.0</v>
      </c>
      <c r="C997" s="41" t="s">
        <v>39</v>
      </c>
      <c r="D997" s="86">
        <v>46093.0</v>
      </c>
      <c r="E997" s="43" t="str">
        <f t="shared" si="1"/>
        <v>2026</v>
      </c>
      <c r="F997" s="43" t="str">
        <f t="shared" si="2"/>
        <v>03 Mar</v>
      </c>
      <c r="G997" s="45" t="s">
        <v>173</v>
      </c>
      <c r="H997" s="45" t="s">
        <v>41</v>
      </c>
      <c r="I997" s="45" t="s">
        <v>936</v>
      </c>
      <c r="J997" s="143" t="s">
        <v>119</v>
      </c>
      <c r="K997" s="43" t="str">
        <f t="array" ref="K997">IF(J997="","", XLOOKUP(J997,'⚙️ Pengaturan'!$E$2:$E3237,'⚙️ Pengaturan'!$G$2:$G3237))</f>
        <v>KLINIK FT PAKET</v>
      </c>
      <c r="L997" s="43" t="str">
        <f t="shared" si="3"/>
        <v>BARU</v>
      </c>
      <c r="M997" s="144" t="s">
        <v>31</v>
      </c>
      <c r="N997" s="145">
        <v>750000.0</v>
      </c>
      <c r="O997" s="146">
        <v>0.0</v>
      </c>
      <c r="P997" s="48">
        <f t="array" ref="P997">IFNA(XLOOKUP(J997,'⚙️ Pengaturan'!$E$2:$E3237,'⚙️ Pengaturan'!$F$2:$F3237),"")</f>
        <v>750000</v>
      </c>
      <c r="Q997" s="147">
        <f t="shared" si="18"/>
        <v>0</v>
      </c>
      <c r="R997" s="41" t="s">
        <v>37</v>
      </c>
      <c r="S997" s="69" t="s">
        <v>936</v>
      </c>
      <c r="T997" s="51" t="b">
        <v>1</v>
      </c>
      <c r="U997" s="94"/>
    </row>
    <row r="998" ht="30.0" customHeight="1">
      <c r="A998" s="39"/>
      <c r="B998" s="40">
        <v>3033.0</v>
      </c>
      <c r="C998" s="41" t="s">
        <v>39</v>
      </c>
      <c r="D998" s="86">
        <v>46093.0</v>
      </c>
      <c r="E998" s="43" t="str">
        <f t="shared" si="1"/>
        <v>2026</v>
      </c>
      <c r="F998" s="43" t="str">
        <f t="shared" si="2"/>
        <v>03 Mar</v>
      </c>
      <c r="G998" s="45" t="s">
        <v>173</v>
      </c>
      <c r="H998" s="45" t="s">
        <v>96</v>
      </c>
      <c r="I998" s="45" t="s">
        <v>973</v>
      </c>
      <c r="J998" s="143" t="s">
        <v>28</v>
      </c>
      <c r="K998" s="43" t="str">
        <f t="array" ref="K998">IF(J998="","", XLOOKUP(J998,'⚙️ Pengaturan'!$E$2:$E3237,'⚙️ Pengaturan'!$G$2:$G3237))</f>
        <v>KLINIK FT TA</v>
      </c>
      <c r="L998" s="43" t="str">
        <f t="shared" si="3"/>
        <v>BARU</v>
      </c>
      <c r="M998" s="144" t="s">
        <v>31</v>
      </c>
      <c r="N998" s="145">
        <v>200000.0</v>
      </c>
      <c r="O998" s="146">
        <v>50000.0</v>
      </c>
      <c r="P998" s="48">
        <f t="array" ref="P998">IFNA(XLOOKUP(J998,'⚙️ Pengaturan'!$E$2:$E3237,'⚙️ Pengaturan'!$F$2:$F3237),"")</f>
        <v>250000</v>
      </c>
      <c r="Q998" s="147">
        <f t="shared" si="18"/>
        <v>0</v>
      </c>
      <c r="R998" s="41" t="s">
        <v>32</v>
      </c>
      <c r="S998" s="69" t="s">
        <v>33</v>
      </c>
      <c r="T998" s="51" t="b">
        <v>1</v>
      </c>
      <c r="U998" s="94"/>
    </row>
    <row r="999" ht="30.0" customHeight="1">
      <c r="A999" s="39"/>
      <c r="B999" s="40">
        <v>3034.0</v>
      </c>
      <c r="C999" s="41" t="s">
        <v>39</v>
      </c>
      <c r="D999" s="86">
        <v>46093.0</v>
      </c>
      <c r="E999" s="43" t="str">
        <f t="shared" si="1"/>
        <v>2026</v>
      </c>
      <c r="F999" s="43" t="str">
        <f t="shared" si="2"/>
        <v>03 Mar</v>
      </c>
      <c r="G999" s="45" t="s">
        <v>190</v>
      </c>
      <c r="H999" s="45" t="s">
        <v>76</v>
      </c>
      <c r="I999" s="45" t="s">
        <v>951</v>
      </c>
      <c r="J999" s="143" t="s">
        <v>347</v>
      </c>
      <c r="K999" s="43" t="str">
        <f t="array" ref="K999">IF(J999="","", XLOOKUP(J999,'⚙️ Pengaturan'!$E$2:$E3237,'⚙️ Pengaturan'!$G$2:$G3237))</f>
        <v>KLINIK FT PAKET</v>
      </c>
      <c r="L999" s="43" t="str">
        <f t="shared" si="3"/>
        <v>LANJUTAN</v>
      </c>
      <c r="M999" s="144" t="s">
        <v>81</v>
      </c>
      <c r="N999" s="145">
        <v>50000.0</v>
      </c>
      <c r="O999" s="146">
        <v>50000.0</v>
      </c>
      <c r="P999" s="119">
        <v>500000.0</v>
      </c>
      <c r="Q999" s="147">
        <f t="shared" si="18"/>
        <v>-400000</v>
      </c>
      <c r="R999" s="41" t="s">
        <v>32</v>
      </c>
      <c r="S999" s="69" t="s">
        <v>33</v>
      </c>
      <c r="T999" s="51" t="b">
        <v>1</v>
      </c>
      <c r="U999" s="94"/>
    </row>
    <row r="1000" ht="30.0" customHeight="1">
      <c r="A1000" s="39"/>
      <c r="B1000" s="40">
        <v>3035.0</v>
      </c>
      <c r="C1000" s="41" t="s">
        <v>39</v>
      </c>
      <c r="D1000" s="86">
        <v>46093.0</v>
      </c>
      <c r="E1000" s="43" t="str">
        <f t="shared" si="1"/>
        <v>2026</v>
      </c>
      <c r="F1000" s="43" t="str">
        <f t="shared" si="2"/>
        <v>03 Mar</v>
      </c>
      <c r="G1000" s="45" t="s">
        <v>190</v>
      </c>
      <c r="H1000" s="45" t="s">
        <v>47</v>
      </c>
      <c r="I1000" s="45" t="s">
        <v>974</v>
      </c>
      <c r="J1000" s="143" t="s">
        <v>28</v>
      </c>
      <c r="K1000" s="43" t="str">
        <f t="array" ref="K1000">IF(J1000="","", XLOOKUP(J1000,'⚙️ Pengaturan'!$E$2:$E3237,'⚙️ Pengaturan'!$G$2:$G3237))</f>
        <v>KLINIK FT TA</v>
      </c>
      <c r="L1000" s="43" t="str">
        <f t="shared" si="3"/>
        <v>BARU</v>
      </c>
      <c r="M1000" s="144" t="s">
        <v>31</v>
      </c>
      <c r="N1000" s="145">
        <v>200000.0</v>
      </c>
      <c r="O1000" s="146">
        <v>50000.0</v>
      </c>
      <c r="P1000" s="48">
        <f t="array" ref="P1000">IFNA(XLOOKUP(J1000,'⚙️ Pengaturan'!$E$2:$E3237,'⚙️ Pengaturan'!$F$2:$F3237),"")</f>
        <v>250000</v>
      </c>
      <c r="Q1000" s="147">
        <f t="shared" si="18"/>
        <v>0</v>
      </c>
      <c r="R1000" s="41" t="s">
        <v>32</v>
      </c>
      <c r="S1000" s="69" t="s">
        <v>33</v>
      </c>
      <c r="T1000" s="51" t="b">
        <v>1</v>
      </c>
      <c r="U1000" s="94"/>
    </row>
    <row r="1001" ht="30.0" customHeight="1">
      <c r="A1001" s="39"/>
      <c r="B1001" s="40">
        <v>3036.0</v>
      </c>
      <c r="C1001" s="41" t="s">
        <v>39</v>
      </c>
      <c r="D1001" s="86">
        <v>46093.0</v>
      </c>
      <c r="E1001" s="43" t="str">
        <f t="shared" si="1"/>
        <v>2026</v>
      </c>
      <c r="F1001" s="43" t="str">
        <f t="shared" si="2"/>
        <v>03 Mar</v>
      </c>
      <c r="G1001" s="45" t="s">
        <v>69</v>
      </c>
      <c r="H1001" s="45" t="s">
        <v>41</v>
      </c>
      <c r="I1001" s="45" t="s">
        <v>952</v>
      </c>
      <c r="J1001" s="143" t="s">
        <v>120</v>
      </c>
      <c r="K1001" s="43" t="str">
        <f t="array" ref="K1001">IF(J1001="","", XLOOKUP(J1001,'⚙️ Pengaturan'!$E$2:$E3237,'⚙️ Pengaturan'!$G$2:$G3237))</f>
        <v>KLINIK FT SESI</v>
      </c>
      <c r="L1001" s="43" t="str">
        <f t="shared" si="3"/>
        <v>BARU</v>
      </c>
      <c r="M1001" s="144" t="s">
        <v>31</v>
      </c>
      <c r="N1001" s="145">
        <v>180000.0</v>
      </c>
      <c r="O1001" s="146">
        <v>0.0</v>
      </c>
      <c r="P1001" s="48">
        <f t="array" ref="P1001">IFNA(XLOOKUP(J1001,'⚙️ Pengaturan'!$E$2:$E3237,'⚙️ Pengaturan'!$F$2:$F3237),"")</f>
        <v>180000</v>
      </c>
      <c r="Q1001" s="147">
        <f t="shared" si="18"/>
        <v>0</v>
      </c>
      <c r="R1001" s="41" t="s">
        <v>32</v>
      </c>
      <c r="S1001" s="69" t="s">
        <v>33</v>
      </c>
      <c r="T1001" s="51" t="b">
        <v>1</v>
      </c>
      <c r="U1001" s="94"/>
    </row>
    <row r="1002" ht="30.0" customHeight="1">
      <c r="A1002" s="39"/>
      <c r="B1002" s="40">
        <v>3037.0</v>
      </c>
      <c r="C1002" s="41" t="s">
        <v>39</v>
      </c>
      <c r="D1002" s="86">
        <v>46093.0</v>
      </c>
      <c r="E1002" s="43" t="str">
        <f t="shared" si="1"/>
        <v>2026</v>
      </c>
      <c r="F1002" s="43" t="str">
        <f t="shared" si="2"/>
        <v>03 Mar</v>
      </c>
      <c r="G1002" s="45" t="s">
        <v>69</v>
      </c>
      <c r="H1002" s="45" t="s">
        <v>76</v>
      </c>
      <c r="I1002" s="45" t="s">
        <v>975</v>
      </c>
      <c r="J1002" s="143" t="s">
        <v>28</v>
      </c>
      <c r="K1002" s="43" t="str">
        <f t="array" ref="K1002">IF(J1002="","", XLOOKUP(J1002,'⚙️ Pengaturan'!$E$2:$E3237,'⚙️ Pengaturan'!$G$2:$G3237))</f>
        <v>KLINIK FT TA</v>
      </c>
      <c r="L1002" s="43" t="str">
        <f t="shared" si="3"/>
        <v>BARU</v>
      </c>
      <c r="M1002" s="144" t="s">
        <v>31</v>
      </c>
      <c r="N1002" s="145">
        <v>200000.0</v>
      </c>
      <c r="O1002" s="146">
        <v>50000.0</v>
      </c>
      <c r="P1002" s="48">
        <f t="array" ref="P1002">IFNA(XLOOKUP(J1002,'⚙️ Pengaturan'!$E$2:$E3237,'⚙️ Pengaturan'!$F$2:$F3237),"")</f>
        <v>250000</v>
      </c>
      <c r="Q1002" s="147">
        <f t="shared" si="18"/>
        <v>0</v>
      </c>
      <c r="R1002" s="41" t="s">
        <v>32</v>
      </c>
      <c r="S1002" s="69" t="s">
        <v>33</v>
      </c>
      <c r="T1002" s="51" t="b">
        <v>1</v>
      </c>
      <c r="U1002" s="94"/>
    </row>
    <row r="1003" ht="30.0" customHeight="1">
      <c r="A1003" s="39"/>
      <c r="B1003" s="40">
        <v>3038.0</v>
      </c>
      <c r="C1003" s="41" t="s">
        <v>39</v>
      </c>
      <c r="D1003" s="86">
        <v>46094.0</v>
      </c>
      <c r="E1003" s="43" t="str">
        <f t="shared" si="1"/>
        <v>2026</v>
      </c>
      <c r="F1003" s="43" t="str">
        <f t="shared" si="2"/>
        <v>03 Mar</v>
      </c>
      <c r="G1003" s="45" t="s">
        <v>25</v>
      </c>
      <c r="H1003" s="45" t="s">
        <v>47</v>
      </c>
      <c r="I1003" s="45" t="s">
        <v>933</v>
      </c>
      <c r="J1003" s="143" t="s">
        <v>120</v>
      </c>
      <c r="K1003" s="43" t="str">
        <f t="array" ref="K1003">IF(J1003="","", XLOOKUP(J1003,'⚙️ Pengaturan'!$E$2:$E3237,'⚙️ Pengaturan'!$G$2:$G3237))</f>
        <v>KLINIK FT SESI</v>
      </c>
      <c r="L1003" s="43" t="str">
        <f t="shared" si="3"/>
        <v>BARU</v>
      </c>
      <c r="M1003" s="144" t="s">
        <v>31</v>
      </c>
      <c r="N1003" s="145">
        <v>180000.0</v>
      </c>
      <c r="O1003" s="146">
        <v>0.0</v>
      </c>
      <c r="P1003" s="48">
        <f t="array" ref="P1003">IFNA(XLOOKUP(J1003,'⚙️ Pengaturan'!$E$2:$E3237,'⚙️ Pengaturan'!$F$2:$F3237),"")</f>
        <v>180000</v>
      </c>
      <c r="Q1003" s="147">
        <f t="shared" si="18"/>
        <v>0</v>
      </c>
      <c r="R1003" s="41" t="s">
        <v>93</v>
      </c>
      <c r="S1003" s="69" t="s">
        <v>933</v>
      </c>
      <c r="T1003" s="51" t="b">
        <v>1</v>
      </c>
      <c r="U1003" s="94"/>
    </row>
    <row r="1004" ht="30.0" customHeight="1">
      <c r="A1004" s="39"/>
      <c r="B1004" s="40">
        <v>3039.0</v>
      </c>
      <c r="C1004" s="41" t="s">
        <v>39</v>
      </c>
      <c r="D1004" s="86">
        <v>46094.0</v>
      </c>
      <c r="E1004" s="43" t="str">
        <f t="shared" si="1"/>
        <v>2026</v>
      </c>
      <c r="F1004" s="43" t="str">
        <f t="shared" si="2"/>
        <v>03 Mar</v>
      </c>
      <c r="G1004" s="45" t="s">
        <v>206</v>
      </c>
      <c r="H1004" s="45" t="s">
        <v>47</v>
      </c>
      <c r="I1004" s="45" t="s">
        <v>976</v>
      </c>
      <c r="J1004" s="143" t="s">
        <v>28</v>
      </c>
      <c r="K1004" s="43" t="str">
        <f t="array" ref="K1004">IF(J1004="","", XLOOKUP(J1004,'⚙️ Pengaturan'!$E$2:$E3237,'⚙️ Pengaturan'!$G$2:$G3237))</f>
        <v>KLINIK FT TA</v>
      </c>
      <c r="L1004" s="43" t="str">
        <f t="shared" si="3"/>
        <v>BARU</v>
      </c>
      <c r="M1004" s="144" t="s">
        <v>31</v>
      </c>
      <c r="N1004" s="145">
        <v>200000.0</v>
      </c>
      <c r="O1004" s="146">
        <v>50000.0</v>
      </c>
      <c r="P1004" s="48">
        <f t="array" ref="P1004">IFNA(XLOOKUP(J1004,'⚙️ Pengaturan'!$E$2:$E3237,'⚙️ Pengaturan'!$F$2:$F3237),"")</f>
        <v>250000</v>
      </c>
      <c r="Q1004" s="147">
        <f t="shared" si="18"/>
        <v>0</v>
      </c>
      <c r="R1004" s="41" t="s">
        <v>32</v>
      </c>
      <c r="S1004" s="69" t="s">
        <v>33</v>
      </c>
      <c r="T1004" s="51" t="b">
        <v>1</v>
      </c>
      <c r="U1004" s="94"/>
    </row>
    <row r="1005" ht="30.0" customHeight="1">
      <c r="A1005" s="39"/>
      <c r="B1005" s="40">
        <v>3040.0</v>
      </c>
      <c r="C1005" s="41" t="s">
        <v>39</v>
      </c>
      <c r="D1005" s="86">
        <v>46094.0</v>
      </c>
      <c r="E1005" s="43" t="str">
        <f t="shared" si="1"/>
        <v>2026</v>
      </c>
      <c r="F1005" s="43" t="str">
        <f t="shared" si="2"/>
        <v>03 Mar</v>
      </c>
      <c r="G1005" s="45" t="s">
        <v>241</v>
      </c>
      <c r="H1005" s="45" t="s">
        <v>47</v>
      </c>
      <c r="I1005" s="45" t="s">
        <v>977</v>
      </c>
      <c r="J1005" s="143" t="s">
        <v>28</v>
      </c>
      <c r="K1005" s="43" t="str">
        <f t="array" ref="K1005">IF(J1005="","", XLOOKUP(J1005,'⚙️ Pengaturan'!$E$2:$E3237,'⚙️ Pengaturan'!$G$2:$G3237))</f>
        <v>KLINIK FT TA</v>
      </c>
      <c r="L1005" s="43" t="str">
        <f t="shared" si="3"/>
        <v>BARU</v>
      </c>
      <c r="M1005" s="144" t="s">
        <v>31</v>
      </c>
      <c r="N1005" s="145">
        <v>200000.0</v>
      </c>
      <c r="O1005" s="146">
        <v>50000.0</v>
      </c>
      <c r="P1005" s="48">
        <f t="array" ref="P1005">IFNA(XLOOKUP(J1005,'⚙️ Pengaturan'!$E$2:$E3237,'⚙️ Pengaturan'!$F$2:$F3237),"")</f>
        <v>250000</v>
      </c>
      <c r="Q1005" s="147">
        <f t="shared" si="18"/>
        <v>0</v>
      </c>
      <c r="R1005" s="41" t="s">
        <v>32</v>
      </c>
      <c r="S1005" s="69" t="s">
        <v>33</v>
      </c>
      <c r="T1005" s="51" t="b">
        <v>1</v>
      </c>
      <c r="U1005" s="94"/>
    </row>
    <row r="1006" ht="30.0" customHeight="1">
      <c r="A1006" s="39"/>
      <c r="B1006" s="40">
        <v>3041.0</v>
      </c>
      <c r="C1006" s="41" t="s">
        <v>39</v>
      </c>
      <c r="D1006" s="86">
        <v>46094.0</v>
      </c>
      <c r="E1006" s="43" t="str">
        <f t="shared" si="1"/>
        <v>2026</v>
      </c>
      <c r="F1006" s="43" t="str">
        <f t="shared" si="2"/>
        <v>03 Mar</v>
      </c>
      <c r="G1006" s="45" t="s">
        <v>161</v>
      </c>
      <c r="H1006" s="45" t="s">
        <v>47</v>
      </c>
      <c r="I1006" s="45" t="s">
        <v>962</v>
      </c>
      <c r="J1006" s="143" t="s">
        <v>120</v>
      </c>
      <c r="K1006" s="43" t="str">
        <f t="array" ref="K1006">IF(J1006="","", XLOOKUP(J1006,'⚙️ Pengaturan'!$E$2:$E3237,'⚙️ Pengaturan'!$G$2:$G3237))</f>
        <v>KLINIK FT SESI</v>
      </c>
      <c r="L1006" s="43" t="str">
        <f t="shared" si="3"/>
        <v>BARU</v>
      </c>
      <c r="M1006" s="144" t="s">
        <v>31</v>
      </c>
      <c r="N1006" s="145">
        <v>180000.0</v>
      </c>
      <c r="O1006" s="146">
        <v>0.0</v>
      </c>
      <c r="P1006" s="48">
        <f t="array" ref="P1006">IFNA(XLOOKUP(J1006,'⚙️ Pengaturan'!$E$2:$E3237,'⚙️ Pengaturan'!$F$2:$F3237),"")</f>
        <v>180000</v>
      </c>
      <c r="Q1006" s="147">
        <f t="shared" si="18"/>
        <v>0</v>
      </c>
      <c r="R1006" s="41" t="s">
        <v>32</v>
      </c>
      <c r="S1006" s="69" t="s">
        <v>33</v>
      </c>
      <c r="T1006" s="51" t="b">
        <v>1</v>
      </c>
      <c r="U1006" s="94"/>
    </row>
    <row r="1007" ht="30.0" customHeight="1">
      <c r="A1007" s="39"/>
      <c r="B1007" s="40">
        <v>3042.0</v>
      </c>
      <c r="C1007" s="41" t="s">
        <v>39</v>
      </c>
      <c r="D1007" s="86">
        <v>46094.0</v>
      </c>
      <c r="E1007" s="43" t="str">
        <f t="shared" si="1"/>
        <v>2026</v>
      </c>
      <c r="F1007" s="43" t="str">
        <f t="shared" si="2"/>
        <v>03 Mar</v>
      </c>
      <c r="G1007" s="45" t="s">
        <v>35</v>
      </c>
      <c r="H1007" s="45" t="s">
        <v>47</v>
      </c>
      <c r="I1007" s="45" t="s">
        <v>977</v>
      </c>
      <c r="J1007" s="143" t="s">
        <v>353</v>
      </c>
      <c r="K1007" s="43" t="str">
        <f t="array" ref="K1007">IF(J1007="","", XLOOKUP(J1007,'⚙️ Pengaturan'!$E$2:$E3237,'⚙️ Pengaturan'!$G$2:$G3237))</f>
        <v>STORE  </v>
      </c>
      <c r="L1007" s="43" t="str">
        <f t="shared" si="3"/>
        <v>BARU</v>
      </c>
      <c r="M1007" s="144" t="s">
        <v>31</v>
      </c>
      <c r="N1007" s="145">
        <v>25000.0</v>
      </c>
      <c r="O1007" s="146">
        <v>0.0</v>
      </c>
      <c r="P1007" s="48">
        <f t="array" ref="P1007">IFNA(XLOOKUP(J1007,'⚙️ Pengaturan'!$E$2:$E3237,'⚙️ Pengaturan'!$F$2:$F3237),"")</f>
        <v>25000</v>
      </c>
      <c r="Q1007" s="147">
        <f t="shared" si="18"/>
        <v>0</v>
      </c>
      <c r="R1007" s="41" t="s">
        <v>32</v>
      </c>
      <c r="S1007" s="69" t="s">
        <v>33</v>
      </c>
      <c r="T1007" s="51" t="b">
        <v>1</v>
      </c>
      <c r="U1007" s="94"/>
    </row>
    <row r="1008" ht="30.0" customHeight="1">
      <c r="A1008" s="39"/>
      <c r="B1008" s="40">
        <v>3043.0</v>
      </c>
      <c r="C1008" s="41" t="s">
        <v>39</v>
      </c>
      <c r="D1008" s="86">
        <v>46094.0</v>
      </c>
      <c r="E1008" s="43" t="str">
        <f t="shared" si="1"/>
        <v>2026</v>
      </c>
      <c r="F1008" s="43" t="str">
        <f t="shared" si="2"/>
        <v>03 Mar</v>
      </c>
      <c r="G1008" s="45" t="s">
        <v>35</v>
      </c>
      <c r="H1008" s="45" t="s">
        <v>166</v>
      </c>
      <c r="I1008" s="45" t="s">
        <v>968</v>
      </c>
      <c r="J1008" s="143" t="s">
        <v>120</v>
      </c>
      <c r="K1008" s="43" t="str">
        <f t="array" ref="K1008">IF(J1008="","", XLOOKUP(J1008,'⚙️ Pengaturan'!$E$2:$E3237,'⚙️ Pengaturan'!$G$2:$G3237))</f>
        <v>KLINIK FT SESI</v>
      </c>
      <c r="L1008" s="43" t="str">
        <f t="shared" si="3"/>
        <v>BARU</v>
      </c>
      <c r="M1008" s="144" t="s">
        <v>31</v>
      </c>
      <c r="N1008" s="145">
        <v>180000.0</v>
      </c>
      <c r="O1008" s="146">
        <v>0.0</v>
      </c>
      <c r="P1008" s="48">
        <f t="array" ref="P1008">IFNA(XLOOKUP(J1008,'⚙️ Pengaturan'!$E$2:$E3237,'⚙️ Pengaturan'!$F$2:$F3237),"")</f>
        <v>180000</v>
      </c>
      <c r="Q1008" s="147">
        <f t="shared" si="18"/>
        <v>0</v>
      </c>
      <c r="R1008" s="41" t="s">
        <v>32</v>
      </c>
      <c r="S1008" s="69" t="s">
        <v>33</v>
      </c>
      <c r="T1008" s="51" t="b">
        <v>1</v>
      </c>
      <c r="U1008" s="94"/>
    </row>
    <row r="1009" ht="30.0" customHeight="1">
      <c r="A1009" s="39"/>
      <c r="B1009" s="40">
        <v>3044.0</v>
      </c>
      <c r="C1009" s="41" t="s">
        <v>50</v>
      </c>
      <c r="D1009" s="86">
        <v>46094.0</v>
      </c>
      <c r="E1009" s="43" t="str">
        <f t="shared" si="1"/>
        <v>2026</v>
      </c>
      <c r="F1009" s="43" t="str">
        <f t="shared" si="2"/>
        <v>03 Mar</v>
      </c>
      <c r="G1009" s="45" t="s">
        <v>173</v>
      </c>
      <c r="H1009" s="45" t="s">
        <v>149</v>
      </c>
      <c r="I1009" s="45" t="s">
        <v>978</v>
      </c>
      <c r="J1009" s="143" t="s">
        <v>28</v>
      </c>
      <c r="K1009" s="43" t="str">
        <f t="array" ref="K1009">IF(J1009="","", XLOOKUP(J1009,'⚙️ Pengaturan'!$E$2:$E3237,'⚙️ Pengaturan'!$G$2:$G3237))</f>
        <v>KLINIK FT TA</v>
      </c>
      <c r="L1009" s="43" t="str">
        <f t="shared" si="3"/>
        <v>BARU</v>
      </c>
      <c r="M1009" s="144" t="s">
        <v>31</v>
      </c>
      <c r="N1009" s="145">
        <v>200000.0</v>
      </c>
      <c r="O1009" s="146">
        <v>50000.0</v>
      </c>
      <c r="P1009" s="48">
        <f t="array" ref="P1009">IFNA(XLOOKUP(J1009,'⚙️ Pengaturan'!$E$2:$E3237,'⚙️ Pengaturan'!$F$2:$F3237),"")</f>
        <v>250000</v>
      </c>
      <c r="Q1009" s="147">
        <f t="shared" si="18"/>
        <v>0</v>
      </c>
      <c r="R1009" s="41" t="s">
        <v>32</v>
      </c>
      <c r="S1009" s="69" t="s">
        <v>33</v>
      </c>
      <c r="T1009" s="51" t="b">
        <v>1</v>
      </c>
      <c r="U1009" s="94"/>
    </row>
    <row r="1010" ht="30.0" customHeight="1">
      <c r="A1010" s="39"/>
      <c r="B1010" s="40">
        <v>3045.0</v>
      </c>
      <c r="C1010" s="41" t="s">
        <v>50</v>
      </c>
      <c r="D1010" s="86">
        <v>46094.0</v>
      </c>
      <c r="E1010" s="43" t="str">
        <f t="shared" si="1"/>
        <v>2026</v>
      </c>
      <c r="F1010" s="43" t="str">
        <f t="shared" si="2"/>
        <v>03 Mar</v>
      </c>
      <c r="G1010" s="45" t="s">
        <v>173</v>
      </c>
      <c r="H1010" s="45" t="s">
        <v>149</v>
      </c>
      <c r="I1010" s="45" t="s">
        <v>979</v>
      </c>
      <c r="J1010" s="143" t="s">
        <v>28</v>
      </c>
      <c r="K1010" s="43" t="str">
        <f t="array" ref="K1010">IF(J1010="","", XLOOKUP(J1010,'⚙️ Pengaturan'!$E$2:$E3237,'⚙️ Pengaturan'!$G$2:$G3237))</f>
        <v>KLINIK FT TA</v>
      </c>
      <c r="L1010" s="43" t="str">
        <f t="shared" si="3"/>
        <v>BARU</v>
      </c>
      <c r="M1010" s="144" t="s">
        <v>31</v>
      </c>
      <c r="N1010" s="145">
        <v>200000.0</v>
      </c>
      <c r="O1010" s="146">
        <v>50000.0</v>
      </c>
      <c r="P1010" s="48">
        <f t="array" ref="P1010">IFNA(XLOOKUP(J1010,'⚙️ Pengaturan'!$E$2:$E3237,'⚙️ Pengaturan'!$F$2:$F3237),"")</f>
        <v>250000</v>
      </c>
      <c r="Q1010" s="147">
        <f t="shared" si="18"/>
        <v>0</v>
      </c>
      <c r="R1010" s="41" t="s">
        <v>37</v>
      </c>
      <c r="S1010" s="69" t="s">
        <v>979</v>
      </c>
      <c r="T1010" s="51" t="b">
        <v>1</v>
      </c>
      <c r="U1010" s="94"/>
    </row>
    <row r="1011" ht="30.0" customHeight="1">
      <c r="A1011" s="39"/>
      <c r="B1011" s="40">
        <v>3046.0</v>
      </c>
      <c r="C1011" s="41" t="s">
        <v>79</v>
      </c>
      <c r="D1011" s="86">
        <v>46095.0</v>
      </c>
      <c r="E1011" s="43" t="str">
        <f t="shared" si="1"/>
        <v>2026</v>
      </c>
      <c r="F1011" s="43" t="str">
        <f t="shared" si="2"/>
        <v>03 Mar</v>
      </c>
      <c r="G1011" s="45" t="s">
        <v>69</v>
      </c>
      <c r="H1011" s="45" t="s">
        <v>166</v>
      </c>
      <c r="I1011" s="45" t="s">
        <v>980</v>
      </c>
      <c r="J1011" s="143" t="s">
        <v>291</v>
      </c>
      <c r="K1011" s="43" t="str">
        <f t="array" ref="K1011">IF(J1011="","", XLOOKUP(J1011,'⚙️ Pengaturan'!$E$2:$E3237,'⚙️ Pengaturan'!$G$2:$G3237))</f>
        <v>VISIT FT TA</v>
      </c>
      <c r="L1011" s="43" t="str">
        <f t="shared" si="3"/>
        <v>BARU</v>
      </c>
      <c r="M1011" s="144" t="s">
        <v>31</v>
      </c>
      <c r="N1011" s="145">
        <v>350000.0</v>
      </c>
      <c r="O1011" s="146">
        <v>0.0</v>
      </c>
      <c r="P1011" s="48">
        <f t="array" ref="P1011">IFNA(XLOOKUP(J1011,'⚙️ Pengaturan'!$E$2:$E3237,'⚙️ Pengaturan'!$F$2:$F3237),"")</f>
        <v>350000</v>
      </c>
      <c r="Q1011" s="147">
        <f t="shared" si="18"/>
        <v>0</v>
      </c>
      <c r="R1011" s="41" t="s">
        <v>32</v>
      </c>
      <c r="S1011" s="69" t="s">
        <v>33</v>
      </c>
      <c r="T1011" s="51" t="b">
        <v>1</v>
      </c>
      <c r="U1011" s="94"/>
    </row>
    <row r="1012" ht="30.0" customHeight="1">
      <c r="A1012" s="39"/>
      <c r="B1012" s="40">
        <v>3047.0</v>
      </c>
      <c r="C1012" s="41" t="s">
        <v>79</v>
      </c>
      <c r="D1012" s="86">
        <v>46095.0</v>
      </c>
      <c r="E1012" s="43" t="str">
        <f t="shared" si="1"/>
        <v>2026</v>
      </c>
      <c r="F1012" s="43" t="str">
        <f t="shared" si="2"/>
        <v>03 Mar</v>
      </c>
      <c r="G1012" s="45" t="s">
        <v>195</v>
      </c>
      <c r="H1012" s="45" t="s">
        <v>96</v>
      </c>
      <c r="I1012" s="45" t="s">
        <v>798</v>
      </c>
      <c r="J1012" s="143" t="s">
        <v>92</v>
      </c>
      <c r="K1012" s="43" t="str">
        <f t="array" ref="K1012">IF(J1012="","", XLOOKUP(J1012,'⚙️ Pengaturan'!$E$2:$E3237,'⚙️ Pengaturan'!$G$2:$G3237))</f>
        <v>KLINIK FT PAKET</v>
      </c>
      <c r="L1012" s="43" t="str">
        <f t="shared" si="3"/>
        <v>LANJUTAN</v>
      </c>
      <c r="M1012" s="144" t="s">
        <v>31</v>
      </c>
      <c r="N1012" s="145">
        <v>1200000.0</v>
      </c>
      <c r="O1012" s="146">
        <v>0.0</v>
      </c>
      <c r="P1012" s="48">
        <f t="array" ref="P1012">IFNA(XLOOKUP(J1012,'⚙️ Pengaturan'!$E$2:$E3237,'⚙️ Pengaturan'!$F$2:$F3237),"")</f>
        <v>1200000</v>
      </c>
      <c r="Q1012" s="147">
        <f t="shared" si="18"/>
        <v>0</v>
      </c>
      <c r="R1012" s="41" t="s">
        <v>37</v>
      </c>
      <c r="S1012" s="69" t="s">
        <v>798</v>
      </c>
      <c r="T1012" s="51" t="b">
        <v>1</v>
      </c>
      <c r="U1012" s="94"/>
    </row>
    <row r="1013" ht="30.0" customHeight="1">
      <c r="A1013" s="39"/>
      <c r="B1013" s="40">
        <v>3048.0</v>
      </c>
      <c r="C1013" s="41" t="s">
        <v>79</v>
      </c>
      <c r="D1013" s="86">
        <v>46095.0</v>
      </c>
      <c r="E1013" s="43" t="str">
        <f t="shared" si="1"/>
        <v>2026</v>
      </c>
      <c r="F1013" s="43" t="str">
        <f t="shared" si="2"/>
        <v>03 Mar</v>
      </c>
      <c r="G1013" s="45" t="s">
        <v>25</v>
      </c>
      <c r="H1013" s="45" t="s">
        <v>166</v>
      </c>
      <c r="I1013" s="45" t="s">
        <v>981</v>
      </c>
      <c r="J1013" s="143" t="s">
        <v>28</v>
      </c>
      <c r="K1013" s="43" t="str">
        <f t="array" ref="K1013">IF(J1013="","", XLOOKUP(J1013,'⚙️ Pengaturan'!$E$2:$E3237,'⚙️ Pengaturan'!$G$2:$G3237))</f>
        <v>KLINIK FT TA</v>
      </c>
      <c r="L1013" s="43" t="str">
        <f t="shared" si="3"/>
        <v>BARU</v>
      </c>
      <c r="M1013" s="144" t="s">
        <v>31</v>
      </c>
      <c r="N1013" s="145">
        <v>200000.0</v>
      </c>
      <c r="O1013" s="146">
        <v>50000.0</v>
      </c>
      <c r="P1013" s="48">
        <v>250000.0</v>
      </c>
      <c r="Q1013" s="147">
        <f t="shared" si="18"/>
        <v>0</v>
      </c>
      <c r="R1013" s="41" t="s">
        <v>37</v>
      </c>
      <c r="S1013" s="69" t="s">
        <v>981</v>
      </c>
      <c r="T1013" s="51" t="b">
        <v>1</v>
      </c>
      <c r="U1013" s="94"/>
    </row>
    <row r="1014" ht="30.0" customHeight="1">
      <c r="A1014" s="39"/>
      <c r="B1014" s="40">
        <v>3049.0</v>
      </c>
      <c r="C1014" s="41" t="s">
        <v>79</v>
      </c>
      <c r="D1014" s="86">
        <v>46095.0</v>
      </c>
      <c r="E1014" s="43" t="str">
        <f t="shared" si="1"/>
        <v>2026</v>
      </c>
      <c r="F1014" s="43" t="str">
        <f t="shared" si="2"/>
        <v>03 Mar</v>
      </c>
      <c r="G1014" s="45" t="s">
        <v>25</v>
      </c>
      <c r="H1014" s="45" t="s">
        <v>150</v>
      </c>
      <c r="I1014" s="45" t="s">
        <v>951</v>
      </c>
      <c r="J1014" s="143" t="s">
        <v>347</v>
      </c>
      <c r="K1014" s="43" t="str">
        <f t="array" ref="K1014">IF(J1014="","", XLOOKUP(J1014,'⚙️ Pengaturan'!$E$2:$E3237,'⚙️ Pengaturan'!$G$2:$G3237))</f>
        <v>KLINIK FT PAKET</v>
      </c>
      <c r="L1014" s="43" t="str">
        <f t="shared" si="3"/>
        <v>LANJUTAN</v>
      </c>
      <c r="M1014" s="144" t="s">
        <v>81</v>
      </c>
      <c r="N1014" s="145">
        <v>50000.0</v>
      </c>
      <c r="O1014" s="146">
        <v>100000.0</v>
      </c>
      <c r="P1014" s="119">
        <v>500000.0</v>
      </c>
      <c r="Q1014" s="147">
        <f t="shared" si="18"/>
        <v>-350000</v>
      </c>
      <c r="R1014" s="41" t="s">
        <v>32</v>
      </c>
      <c r="S1014" s="69" t="s">
        <v>33</v>
      </c>
      <c r="T1014" s="51" t="b">
        <v>1</v>
      </c>
      <c r="U1014" s="94"/>
    </row>
    <row r="1015" ht="30.0" customHeight="1">
      <c r="A1015" s="39"/>
      <c r="B1015" s="40">
        <v>3050.0</v>
      </c>
      <c r="C1015" s="41" t="s">
        <v>79</v>
      </c>
      <c r="D1015" s="86">
        <v>46095.0</v>
      </c>
      <c r="E1015" s="43" t="str">
        <f t="shared" si="1"/>
        <v>2026</v>
      </c>
      <c r="F1015" s="43" t="str">
        <f t="shared" si="2"/>
        <v>03 Mar</v>
      </c>
      <c r="G1015" s="45" t="s">
        <v>195</v>
      </c>
      <c r="H1015" s="45" t="s">
        <v>150</v>
      </c>
      <c r="I1015" s="45" t="s">
        <v>963</v>
      </c>
      <c r="J1015" s="143" t="s">
        <v>120</v>
      </c>
      <c r="K1015" s="43" t="str">
        <f t="array" ref="K1015">IF(J1015="","", XLOOKUP(J1015,'⚙️ Pengaturan'!$E$2:$E3237,'⚙️ Pengaturan'!$G$2:$G3237))</f>
        <v>KLINIK FT SESI</v>
      </c>
      <c r="L1015" s="43" t="str">
        <f t="shared" si="3"/>
        <v>BARU</v>
      </c>
      <c r="M1015" s="144" t="s">
        <v>31</v>
      </c>
      <c r="N1015" s="145">
        <v>180000.0</v>
      </c>
      <c r="O1015" s="146">
        <v>0.0</v>
      </c>
      <c r="P1015" s="48">
        <f t="array" ref="P1015">IFNA(XLOOKUP(J1015,'⚙️ Pengaturan'!$E$2:$E3237,'⚙️ Pengaturan'!$F$2:$F3237),"")</f>
        <v>180000</v>
      </c>
      <c r="Q1015" s="147">
        <f t="shared" si="18"/>
        <v>0</v>
      </c>
      <c r="R1015" s="41" t="s">
        <v>32</v>
      </c>
      <c r="S1015" s="69" t="s">
        <v>33</v>
      </c>
      <c r="T1015" s="51" t="b">
        <v>1</v>
      </c>
      <c r="U1015" s="94"/>
    </row>
    <row r="1016" ht="30.0" customHeight="1">
      <c r="A1016" s="39"/>
      <c r="B1016" s="40">
        <v>3051.0</v>
      </c>
      <c r="C1016" s="41" t="s">
        <v>39</v>
      </c>
      <c r="D1016" s="86">
        <v>46095.0</v>
      </c>
      <c r="E1016" s="43" t="str">
        <f t="shared" si="1"/>
        <v>2026</v>
      </c>
      <c r="F1016" s="43" t="str">
        <f t="shared" si="2"/>
        <v>03 Mar</v>
      </c>
      <c r="G1016" s="45" t="s">
        <v>241</v>
      </c>
      <c r="H1016" s="45" t="s">
        <v>150</v>
      </c>
      <c r="I1016" s="45" t="s">
        <v>982</v>
      </c>
      <c r="J1016" s="143" t="s">
        <v>28</v>
      </c>
      <c r="K1016" s="43" t="str">
        <f t="array" ref="K1016">IF(J1016="","", XLOOKUP(J1016,'⚙️ Pengaturan'!$E$2:$E3237,'⚙️ Pengaturan'!$G$2:$G3237))</f>
        <v>KLINIK FT TA</v>
      </c>
      <c r="L1016" s="43" t="str">
        <f t="shared" si="3"/>
        <v>BARU</v>
      </c>
      <c r="M1016" s="144" t="s">
        <v>31</v>
      </c>
      <c r="N1016" s="145">
        <v>200000.0</v>
      </c>
      <c r="O1016" s="146">
        <v>50000.0</v>
      </c>
      <c r="P1016" s="48">
        <f t="array" ref="P1016">IFNA(XLOOKUP(J1016,'⚙️ Pengaturan'!$E$2:$E3237,'⚙️ Pengaturan'!$F$2:$F3237),"")</f>
        <v>250000</v>
      </c>
      <c r="Q1016" s="147">
        <f t="shared" si="18"/>
        <v>0</v>
      </c>
      <c r="R1016" s="41" t="s">
        <v>37</v>
      </c>
      <c r="S1016" s="69" t="s">
        <v>982</v>
      </c>
      <c r="T1016" s="51" t="b">
        <v>1</v>
      </c>
      <c r="U1016" s="94"/>
    </row>
    <row r="1017" ht="30.0" customHeight="1">
      <c r="A1017" s="39"/>
      <c r="B1017" s="40">
        <v>3052.0</v>
      </c>
      <c r="C1017" s="41" t="s">
        <v>39</v>
      </c>
      <c r="D1017" s="86">
        <v>46095.0</v>
      </c>
      <c r="E1017" s="43" t="str">
        <f t="shared" si="1"/>
        <v>2026</v>
      </c>
      <c r="F1017" s="43" t="str">
        <f t="shared" si="2"/>
        <v>03 Mar</v>
      </c>
      <c r="G1017" s="45" t="s">
        <v>40</v>
      </c>
      <c r="H1017" s="45" t="s">
        <v>96</v>
      </c>
      <c r="I1017" s="45" t="s">
        <v>517</v>
      </c>
      <c r="J1017" s="143" t="s">
        <v>119</v>
      </c>
      <c r="K1017" s="43" t="str">
        <f t="array" ref="K1017">IF(J1017="","", XLOOKUP(J1017,'⚙️ Pengaturan'!$E$2:$E3237,'⚙️ Pengaturan'!$G$2:$G3237))</f>
        <v>KLINIK FT PAKET</v>
      </c>
      <c r="L1017" s="43" t="str">
        <f t="shared" si="3"/>
        <v>BARU</v>
      </c>
      <c r="M1017" s="144" t="s">
        <v>31</v>
      </c>
      <c r="N1017" s="145">
        <v>750000.0</v>
      </c>
      <c r="O1017" s="146">
        <v>0.0</v>
      </c>
      <c r="P1017" s="48">
        <f t="array" ref="P1017">IFNA(XLOOKUP(J1017,'⚙️ Pengaturan'!$E$2:$E3237,'⚙️ Pengaturan'!$F$2:$F3237),"")</f>
        <v>750000</v>
      </c>
      <c r="Q1017" s="147">
        <f t="shared" si="18"/>
        <v>0</v>
      </c>
      <c r="R1017" s="41" t="s">
        <v>93</v>
      </c>
      <c r="S1017" s="69" t="s">
        <v>33</v>
      </c>
      <c r="T1017" s="51" t="b">
        <v>1</v>
      </c>
      <c r="U1017" s="94"/>
    </row>
    <row r="1018" ht="30.0" customHeight="1">
      <c r="A1018" s="39"/>
      <c r="B1018" s="40">
        <v>3053.0</v>
      </c>
      <c r="C1018" s="41" t="s">
        <v>39</v>
      </c>
      <c r="D1018" s="86">
        <v>46095.0</v>
      </c>
      <c r="E1018" s="43" t="str">
        <f t="shared" si="1"/>
        <v>2026</v>
      </c>
      <c r="F1018" s="43" t="str">
        <f t="shared" si="2"/>
        <v>03 Mar</v>
      </c>
      <c r="G1018" s="45" t="s">
        <v>190</v>
      </c>
      <c r="H1018" s="45" t="s">
        <v>41</v>
      </c>
      <c r="I1018" s="45" t="s">
        <v>930</v>
      </c>
      <c r="J1018" s="143" t="s">
        <v>120</v>
      </c>
      <c r="K1018" s="43" t="str">
        <f t="array" ref="K1018">IF(J1018="","", XLOOKUP(J1018,'⚙️ Pengaturan'!$E$2:$E3237,'⚙️ Pengaturan'!$G$2:$G3237))</f>
        <v>KLINIK FT SESI</v>
      </c>
      <c r="L1018" s="43" t="str">
        <f t="shared" si="3"/>
        <v>BARU</v>
      </c>
      <c r="M1018" s="144" t="s">
        <v>31</v>
      </c>
      <c r="N1018" s="145">
        <v>180000.0</v>
      </c>
      <c r="O1018" s="146">
        <v>0.0</v>
      </c>
      <c r="P1018" s="48">
        <f t="array" ref="P1018">IFNA(XLOOKUP(J1018,'⚙️ Pengaturan'!$E$2:$E3237,'⚙️ Pengaturan'!$F$2:$F3237),"")</f>
        <v>180000</v>
      </c>
      <c r="Q1018" s="147">
        <f t="shared" si="18"/>
        <v>0</v>
      </c>
      <c r="R1018" s="41" t="s">
        <v>37</v>
      </c>
      <c r="S1018" s="69" t="s">
        <v>930</v>
      </c>
      <c r="T1018" s="51" t="b">
        <v>1</v>
      </c>
      <c r="U1018" s="94"/>
    </row>
    <row r="1019" ht="30.0" customHeight="1">
      <c r="A1019" s="39"/>
      <c r="B1019" s="40">
        <v>3054.0</v>
      </c>
      <c r="C1019" s="41" t="s">
        <v>39</v>
      </c>
      <c r="D1019" s="86">
        <v>46095.0</v>
      </c>
      <c r="E1019" s="43" t="str">
        <f t="shared" si="1"/>
        <v>2026</v>
      </c>
      <c r="F1019" s="43" t="str">
        <f t="shared" si="2"/>
        <v>03 Mar</v>
      </c>
      <c r="G1019" s="45" t="s">
        <v>190</v>
      </c>
      <c r="H1019" s="45" t="s">
        <v>47</v>
      </c>
      <c r="I1019" s="45" t="s">
        <v>245</v>
      </c>
      <c r="J1019" s="143" t="s">
        <v>180</v>
      </c>
      <c r="K1019" s="43" t="str">
        <f t="array" ref="K1019">IF(J1019="","", XLOOKUP(J1019,'⚙️ Pengaturan'!$E$2:$E3237,'⚙️ Pengaturan'!$G$2:$G3237))</f>
        <v>KLINIK FT SESI</v>
      </c>
      <c r="L1019" s="43" t="str">
        <f t="shared" si="3"/>
        <v>LANJUTAN</v>
      </c>
      <c r="M1019" s="144" t="s">
        <v>31</v>
      </c>
      <c r="N1019" s="145">
        <v>150000.0</v>
      </c>
      <c r="O1019" s="146">
        <v>0.0</v>
      </c>
      <c r="P1019" s="48">
        <f t="array" ref="P1019">IFNA(XLOOKUP(J1019,'⚙️ Pengaturan'!$E$2:$E3237,'⚙️ Pengaturan'!$F$2:$F3237),"")</f>
        <v>150000</v>
      </c>
      <c r="Q1019" s="147">
        <f t="shared" si="18"/>
        <v>0</v>
      </c>
      <c r="R1019" s="41" t="s">
        <v>37</v>
      </c>
      <c r="S1019" s="69" t="s">
        <v>245</v>
      </c>
      <c r="T1019" s="51" t="b">
        <v>1</v>
      </c>
      <c r="U1019" s="94"/>
    </row>
    <row r="1020" ht="30.0" customHeight="1">
      <c r="A1020" s="39"/>
      <c r="B1020" s="40">
        <v>3055.0</v>
      </c>
      <c r="C1020" s="41" t="s">
        <v>39</v>
      </c>
      <c r="D1020" s="86">
        <v>46095.0</v>
      </c>
      <c r="E1020" s="43" t="str">
        <f t="shared" si="1"/>
        <v>2026</v>
      </c>
      <c r="F1020" s="43" t="str">
        <f t="shared" si="2"/>
        <v>03 Mar</v>
      </c>
      <c r="G1020" s="45" t="s">
        <v>190</v>
      </c>
      <c r="H1020" s="45" t="s">
        <v>96</v>
      </c>
      <c r="I1020" s="45" t="s">
        <v>945</v>
      </c>
      <c r="J1020" s="143" t="s">
        <v>120</v>
      </c>
      <c r="K1020" s="43" t="str">
        <f t="array" ref="K1020">IF(J1020="","", XLOOKUP(J1020,'⚙️ Pengaturan'!$E$2:$E3237,'⚙️ Pengaturan'!$G$2:$G3237))</f>
        <v>KLINIK FT SESI</v>
      </c>
      <c r="L1020" s="43" t="str">
        <f t="shared" si="3"/>
        <v>LANJUTAN</v>
      </c>
      <c r="M1020" s="144" t="s">
        <v>31</v>
      </c>
      <c r="N1020" s="145">
        <v>180000.0</v>
      </c>
      <c r="O1020" s="146">
        <v>0.0</v>
      </c>
      <c r="P1020" s="48">
        <f t="array" ref="P1020">IFNA(XLOOKUP(J1020,'⚙️ Pengaturan'!$E$2:$E3237,'⚙️ Pengaturan'!$F$2:$F3237),"")</f>
        <v>180000</v>
      </c>
      <c r="Q1020" s="147">
        <f t="shared" si="18"/>
        <v>0</v>
      </c>
      <c r="R1020" s="41" t="s">
        <v>32</v>
      </c>
      <c r="S1020" s="69" t="s">
        <v>33</v>
      </c>
      <c r="T1020" s="51" t="b">
        <v>1</v>
      </c>
      <c r="U1020" s="94"/>
    </row>
    <row r="1021" ht="30.0" customHeight="1">
      <c r="A1021" s="39"/>
      <c r="B1021" s="40">
        <v>3056.0</v>
      </c>
      <c r="C1021" s="41" t="s">
        <v>39</v>
      </c>
      <c r="D1021" s="86">
        <v>46095.0</v>
      </c>
      <c r="E1021" s="43" t="str">
        <f t="shared" si="1"/>
        <v>2026</v>
      </c>
      <c r="F1021" s="43" t="str">
        <f t="shared" si="2"/>
        <v>03 Mar</v>
      </c>
      <c r="G1021" s="45" t="s">
        <v>69</v>
      </c>
      <c r="H1021" s="45" t="s">
        <v>96</v>
      </c>
      <c r="I1021" s="45" t="s">
        <v>973</v>
      </c>
      <c r="J1021" s="143" t="s">
        <v>120</v>
      </c>
      <c r="K1021" s="43" t="str">
        <f t="array" ref="K1021">IF(J1021="","", XLOOKUP(J1021,'⚙️ Pengaturan'!$E$2:$E3237,'⚙️ Pengaturan'!$G$2:$G3237))</f>
        <v>KLINIK FT SESI</v>
      </c>
      <c r="L1021" s="43" t="str">
        <f t="shared" si="3"/>
        <v>BARU</v>
      </c>
      <c r="M1021" s="144" t="s">
        <v>31</v>
      </c>
      <c r="N1021" s="145">
        <v>180000.0</v>
      </c>
      <c r="O1021" s="146">
        <v>0.0</v>
      </c>
      <c r="P1021" s="48">
        <f t="array" ref="P1021">IFNA(XLOOKUP(J1021,'⚙️ Pengaturan'!$E$2:$E3237,'⚙️ Pengaturan'!$F$2:$F3237),"")</f>
        <v>180000</v>
      </c>
      <c r="Q1021" s="147">
        <f t="shared" si="18"/>
        <v>0</v>
      </c>
      <c r="R1021" s="41" t="s">
        <v>32</v>
      </c>
      <c r="S1021" s="69" t="s">
        <v>33</v>
      </c>
      <c r="T1021" s="51" t="b">
        <v>1</v>
      </c>
      <c r="U1021" s="94"/>
    </row>
    <row r="1022" ht="30.0" customHeight="1">
      <c r="A1022" s="39"/>
      <c r="B1022" s="40">
        <v>3057.0</v>
      </c>
      <c r="C1022" s="41" t="s">
        <v>39</v>
      </c>
      <c r="D1022" s="86">
        <v>46095.0</v>
      </c>
      <c r="E1022" s="43" t="str">
        <f t="shared" si="1"/>
        <v>2026</v>
      </c>
      <c r="F1022" s="43" t="str">
        <f t="shared" si="2"/>
        <v>03 Mar</v>
      </c>
      <c r="G1022" s="45" t="s">
        <v>69</v>
      </c>
      <c r="H1022" s="45" t="s">
        <v>41</v>
      </c>
      <c r="I1022" s="45" t="s">
        <v>967</v>
      </c>
      <c r="J1022" s="143" t="s">
        <v>120</v>
      </c>
      <c r="K1022" s="43" t="str">
        <f t="array" ref="K1022">IF(J1022="","", XLOOKUP(J1022,'⚙️ Pengaturan'!$E$2:$E3237,'⚙️ Pengaturan'!$G$2:$G3237))</f>
        <v>KLINIK FT SESI</v>
      </c>
      <c r="L1022" s="43" t="str">
        <f t="shared" si="3"/>
        <v>BARU</v>
      </c>
      <c r="M1022" s="144" t="s">
        <v>31</v>
      </c>
      <c r="N1022" s="145">
        <v>50000.0</v>
      </c>
      <c r="O1022" s="146">
        <v>130000.0</v>
      </c>
      <c r="P1022" s="48">
        <f t="array" ref="P1022">IFNA(XLOOKUP(J1022,'⚙️ Pengaturan'!$E$2:$E3237,'⚙️ Pengaturan'!$F$2:$F3237),"")</f>
        <v>180000</v>
      </c>
      <c r="Q1022" s="147">
        <f t="shared" si="18"/>
        <v>0</v>
      </c>
      <c r="R1022" s="41" t="s">
        <v>32</v>
      </c>
      <c r="S1022" s="69" t="s">
        <v>33</v>
      </c>
      <c r="T1022" s="51" t="b">
        <v>1</v>
      </c>
      <c r="U1022" s="94"/>
    </row>
    <row r="1023" ht="30.0" customHeight="1">
      <c r="A1023" s="39"/>
      <c r="B1023" s="40">
        <v>3058.0</v>
      </c>
      <c r="C1023" s="41" t="s">
        <v>39</v>
      </c>
      <c r="D1023" s="86">
        <v>46095.0</v>
      </c>
      <c r="E1023" s="43" t="str">
        <f t="shared" si="1"/>
        <v>2026</v>
      </c>
      <c r="F1023" s="43" t="str">
        <f t="shared" si="2"/>
        <v>03 Mar</v>
      </c>
      <c r="G1023" s="45" t="s">
        <v>69</v>
      </c>
      <c r="H1023" s="45" t="s">
        <v>47</v>
      </c>
      <c r="I1023" s="45" t="s">
        <v>322</v>
      </c>
      <c r="J1023" s="143" t="s">
        <v>347</v>
      </c>
      <c r="K1023" s="43" t="str">
        <f t="array" ref="K1023">IF(J1023="","", XLOOKUP(J1023,'⚙️ Pengaturan'!$E$2:$E3237,'⚙️ Pengaturan'!$G$2:$G3237))</f>
        <v>KLINIK FT PAKET</v>
      </c>
      <c r="L1023" s="43" t="str">
        <f t="shared" si="3"/>
        <v>LANJUTAN</v>
      </c>
      <c r="M1023" s="144" t="s">
        <v>60</v>
      </c>
      <c r="N1023" s="145">
        <v>200000.0</v>
      </c>
      <c r="O1023" s="146">
        <v>0.0</v>
      </c>
      <c r="P1023" s="48">
        <f t="array" ref="P1023">IFNA(XLOOKUP(J1023,'⚙️ Pengaturan'!$E$2:$E3237,'⚙️ Pengaturan'!$F$2:$F3237),"")</f>
        <v>1300000</v>
      </c>
      <c r="Q1023" s="147">
        <f t="shared" si="18"/>
        <v>-1100000</v>
      </c>
      <c r="R1023" s="41" t="s">
        <v>32</v>
      </c>
      <c r="S1023" s="69" t="s">
        <v>33</v>
      </c>
      <c r="T1023" s="51" t="b">
        <v>1</v>
      </c>
      <c r="U1023" s="94"/>
    </row>
    <row r="1024" ht="30.0" customHeight="1">
      <c r="A1024" s="39"/>
      <c r="B1024" s="40">
        <v>3059.0</v>
      </c>
      <c r="C1024" s="41" t="s">
        <v>79</v>
      </c>
      <c r="D1024" s="86">
        <v>46096.0</v>
      </c>
      <c r="E1024" s="43" t="str">
        <f t="shared" si="1"/>
        <v>2026</v>
      </c>
      <c r="F1024" s="43" t="str">
        <f t="shared" si="2"/>
        <v>03 Mar</v>
      </c>
      <c r="G1024" s="45" t="s">
        <v>195</v>
      </c>
      <c r="H1024" s="45" t="s">
        <v>96</v>
      </c>
      <c r="I1024" s="45" t="s">
        <v>983</v>
      </c>
      <c r="J1024" s="143" t="s">
        <v>28</v>
      </c>
      <c r="K1024" s="43" t="str">
        <f t="array" ref="K1024">IF(J1024="","", XLOOKUP(J1024,'⚙️ Pengaturan'!$E$2:$E3237,'⚙️ Pengaturan'!$G$2:$G3237))</f>
        <v>KLINIK FT TA</v>
      </c>
      <c r="L1024" s="43" t="str">
        <f t="shared" si="3"/>
        <v>BARU</v>
      </c>
      <c r="M1024" s="144" t="s">
        <v>31</v>
      </c>
      <c r="N1024" s="145">
        <v>200000.0</v>
      </c>
      <c r="O1024" s="146">
        <v>50000.0</v>
      </c>
      <c r="P1024" s="48">
        <v>250000.0</v>
      </c>
      <c r="Q1024" s="147">
        <f t="shared" si="18"/>
        <v>0</v>
      </c>
      <c r="R1024" s="41" t="s">
        <v>32</v>
      </c>
      <c r="S1024" s="69" t="s">
        <v>33</v>
      </c>
      <c r="T1024" s="51" t="b">
        <v>1</v>
      </c>
      <c r="U1024" s="94"/>
    </row>
    <row r="1025" ht="30.0" customHeight="1">
      <c r="A1025" s="39"/>
      <c r="B1025" s="40">
        <v>3060.0</v>
      </c>
      <c r="C1025" s="41" t="s">
        <v>79</v>
      </c>
      <c r="D1025" s="86">
        <v>46096.0</v>
      </c>
      <c r="E1025" s="43" t="str">
        <f t="shared" si="1"/>
        <v>2026</v>
      </c>
      <c r="F1025" s="43" t="str">
        <f t="shared" si="2"/>
        <v>03 Mar</v>
      </c>
      <c r="G1025" s="45" t="s">
        <v>195</v>
      </c>
      <c r="H1025" s="45" t="s">
        <v>41</v>
      </c>
      <c r="I1025" s="45" t="s">
        <v>984</v>
      </c>
      <c r="J1025" s="143" t="s">
        <v>28</v>
      </c>
      <c r="K1025" s="43" t="str">
        <f t="array" ref="K1025">IF(J1025="","", XLOOKUP(J1025,'⚙️ Pengaturan'!$E$2:$E3237,'⚙️ Pengaturan'!$G$2:$G3237))</f>
        <v>KLINIK FT TA</v>
      </c>
      <c r="L1025" s="43" t="str">
        <f t="shared" si="3"/>
        <v>BARU</v>
      </c>
      <c r="M1025" s="144" t="s">
        <v>31</v>
      </c>
      <c r="N1025" s="145">
        <v>200000.0</v>
      </c>
      <c r="O1025" s="146">
        <v>50000.0</v>
      </c>
      <c r="P1025" s="48">
        <v>250000.0</v>
      </c>
      <c r="Q1025" s="147">
        <v>0.0</v>
      </c>
      <c r="R1025" s="41" t="s">
        <v>37</v>
      </c>
      <c r="S1025" s="69" t="s">
        <v>984</v>
      </c>
      <c r="T1025" s="51" t="b">
        <v>1</v>
      </c>
      <c r="U1025" s="94"/>
    </row>
    <row r="1026" ht="30.0" customHeight="1">
      <c r="A1026" s="39"/>
      <c r="B1026" s="40">
        <v>3061.0</v>
      </c>
      <c r="C1026" s="41" t="s">
        <v>79</v>
      </c>
      <c r="D1026" s="86">
        <v>46096.0</v>
      </c>
      <c r="E1026" s="43" t="str">
        <f t="shared" si="1"/>
        <v>2026</v>
      </c>
      <c r="F1026" s="43" t="str">
        <f t="shared" si="2"/>
        <v>03 Mar</v>
      </c>
      <c r="G1026" s="45" t="s">
        <v>195</v>
      </c>
      <c r="H1026" s="45" t="s">
        <v>41</v>
      </c>
      <c r="I1026" s="45" t="s">
        <v>985</v>
      </c>
      <c r="J1026" s="143" t="s">
        <v>28</v>
      </c>
      <c r="K1026" s="43" t="str">
        <f t="array" ref="K1026">IF(J1026="","", XLOOKUP(J1026,'⚙️ Pengaturan'!$E$2:$E3237,'⚙️ Pengaturan'!$G$2:$G3237))</f>
        <v>KLINIK FT TA</v>
      </c>
      <c r="L1026" s="43" t="str">
        <f t="shared" si="3"/>
        <v>BARU</v>
      </c>
      <c r="M1026" s="144" t="s">
        <v>31</v>
      </c>
      <c r="N1026" s="145">
        <v>200000.0</v>
      </c>
      <c r="O1026" s="146">
        <v>50000.0</v>
      </c>
      <c r="P1026" s="48">
        <v>250000.0</v>
      </c>
      <c r="Q1026" s="147">
        <v>0.0</v>
      </c>
      <c r="R1026" s="41" t="s">
        <v>37</v>
      </c>
      <c r="S1026" s="69" t="s">
        <v>985</v>
      </c>
      <c r="T1026" s="51" t="b">
        <v>1</v>
      </c>
      <c r="U1026" s="94"/>
    </row>
    <row r="1027" ht="30.0" customHeight="1">
      <c r="A1027" s="39"/>
      <c r="B1027" s="40">
        <v>3062.0</v>
      </c>
      <c r="C1027" s="41" t="s">
        <v>79</v>
      </c>
      <c r="D1027" s="86">
        <v>46096.0</v>
      </c>
      <c r="E1027" s="43" t="str">
        <f t="shared" si="1"/>
        <v>2026</v>
      </c>
      <c r="F1027" s="43" t="str">
        <f t="shared" si="2"/>
        <v>03 Mar</v>
      </c>
      <c r="G1027" s="45" t="s">
        <v>195</v>
      </c>
      <c r="H1027" s="45" t="s">
        <v>149</v>
      </c>
      <c r="I1027" s="45" t="s">
        <v>978</v>
      </c>
      <c r="J1027" s="143" t="s">
        <v>119</v>
      </c>
      <c r="K1027" s="43" t="str">
        <f t="array" ref="K1027">IF(J1027="","", XLOOKUP(J1027,'⚙️ Pengaturan'!$E$2:$E3237,'⚙️ Pengaturan'!$G$2:$G3237))</f>
        <v>KLINIK FT PAKET</v>
      </c>
      <c r="L1027" s="43" t="str">
        <f t="shared" si="3"/>
        <v>BARU</v>
      </c>
      <c r="M1027" s="144" t="s">
        <v>60</v>
      </c>
      <c r="N1027" s="145">
        <v>200000.0</v>
      </c>
      <c r="O1027" s="146">
        <v>0.0</v>
      </c>
      <c r="P1027" s="48">
        <f t="array" ref="P1027">IFNA(XLOOKUP(J1027,'⚙️ Pengaturan'!$E$2:$E3237,'⚙️ Pengaturan'!$F$2:$F3237),"")</f>
        <v>750000</v>
      </c>
      <c r="Q1027" s="147">
        <f t="shared" ref="Q1027:Q1171" si="19">IF(I1027="","",(N1027+O1027)-P1027)</f>
        <v>-550000</v>
      </c>
      <c r="R1027" s="41" t="s">
        <v>32</v>
      </c>
      <c r="S1027" s="69" t="s">
        <v>33</v>
      </c>
      <c r="T1027" s="51" t="b">
        <v>1</v>
      </c>
      <c r="U1027" s="94"/>
    </row>
    <row r="1028" ht="30.0" customHeight="1">
      <c r="A1028" s="39"/>
      <c r="B1028" s="40">
        <v>3063.0</v>
      </c>
      <c r="C1028" s="41" t="s">
        <v>79</v>
      </c>
      <c r="D1028" s="86">
        <v>46096.0</v>
      </c>
      <c r="E1028" s="43" t="str">
        <f t="shared" si="1"/>
        <v>2026</v>
      </c>
      <c r="F1028" s="43" t="str">
        <f t="shared" si="2"/>
        <v>03 Mar</v>
      </c>
      <c r="G1028" s="45" t="s">
        <v>25</v>
      </c>
      <c r="H1028" s="45" t="s">
        <v>41</v>
      </c>
      <c r="I1028" s="45" t="s">
        <v>901</v>
      </c>
      <c r="J1028" s="143" t="s">
        <v>120</v>
      </c>
      <c r="K1028" s="43" t="str">
        <f t="array" ref="K1028">IF(J1028="","", XLOOKUP(J1028,'⚙️ Pengaturan'!$E$2:$E3237,'⚙️ Pengaturan'!$G$2:$G3237))</f>
        <v>KLINIK FT SESI</v>
      </c>
      <c r="L1028" s="43" t="str">
        <f t="shared" si="3"/>
        <v>LANJUTAN</v>
      </c>
      <c r="M1028" s="144" t="s">
        <v>31</v>
      </c>
      <c r="N1028" s="145">
        <v>180000.0</v>
      </c>
      <c r="O1028" s="146">
        <v>0.0</v>
      </c>
      <c r="P1028" s="48">
        <v>180000.0</v>
      </c>
      <c r="Q1028" s="147">
        <f t="shared" si="19"/>
        <v>0</v>
      </c>
      <c r="R1028" s="41" t="s">
        <v>32</v>
      </c>
      <c r="S1028" s="69" t="s">
        <v>33</v>
      </c>
      <c r="T1028" s="51" t="b">
        <v>1</v>
      </c>
      <c r="U1028" s="94"/>
    </row>
    <row r="1029" ht="30.0" customHeight="1">
      <c r="A1029" s="39"/>
      <c r="B1029" s="40">
        <v>3064.0</v>
      </c>
      <c r="C1029" s="41" t="s">
        <v>50</v>
      </c>
      <c r="D1029" s="86">
        <v>46096.0</v>
      </c>
      <c r="E1029" s="43" t="str">
        <f t="shared" si="1"/>
        <v>2026</v>
      </c>
      <c r="F1029" s="43" t="str">
        <f t="shared" si="2"/>
        <v>03 Mar</v>
      </c>
      <c r="G1029" s="45" t="s">
        <v>40</v>
      </c>
      <c r="H1029" s="45" t="s">
        <v>166</v>
      </c>
      <c r="I1029" s="45" t="s">
        <v>970</v>
      </c>
      <c r="J1029" s="143" t="s">
        <v>120</v>
      </c>
      <c r="K1029" s="43" t="str">
        <f t="array" ref="K1029">IF(J1029="","", XLOOKUP(J1029,'⚙️ Pengaturan'!$E$2:$E3237,'⚙️ Pengaturan'!$G$2:$G3237))</f>
        <v>KLINIK FT SESI</v>
      </c>
      <c r="L1029" s="43" t="str">
        <f t="shared" si="3"/>
        <v>BARU</v>
      </c>
      <c r="M1029" s="144" t="s">
        <v>31</v>
      </c>
      <c r="N1029" s="145">
        <v>180000.0</v>
      </c>
      <c r="O1029" s="146">
        <v>0.0</v>
      </c>
      <c r="P1029" s="48">
        <f t="array" ref="P1029">IFNA(XLOOKUP(J1029,'⚙️ Pengaturan'!$E$2:$E3237,'⚙️ Pengaturan'!$F$2:$F3237),"")</f>
        <v>180000</v>
      </c>
      <c r="Q1029" s="147">
        <f t="shared" si="19"/>
        <v>0</v>
      </c>
      <c r="R1029" s="41" t="s">
        <v>37</v>
      </c>
      <c r="S1029" s="69" t="s">
        <v>970</v>
      </c>
      <c r="T1029" s="51" t="b">
        <v>1</v>
      </c>
      <c r="U1029" s="94"/>
    </row>
    <row r="1030" ht="30.0" customHeight="1">
      <c r="A1030" s="39"/>
      <c r="B1030" s="40">
        <v>3065.0</v>
      </c>
      <c r="C1030" s="41" t="s">
        <v>50</v>
      </c>
      <c r="D1030" s="86">
        <v>46096.0</v>
      </c>
      <c r="E1030" s="43" t="str">
        <f t="shared" si="1"/>
        <v>2026</v>
      </c>
      <c r="F1030" s="43" t="str">
        <f t="shared" si="2"/>
        <v>03 Mar</v>
      </c>
      <c r="G1030" s="45" t="s">
        <v>40</v>
      </c>
      <c r="H1030" s="45" t="s">
        <v>162</v>
      </c>
      <c r="I1030" s="45" t="s">
        <v>986</v>
      </c>
      <c r="J1030" s="143" t="s">
        <v>28</v>
      </c>
      <c r="K1030" s="43" t="str">
        <f t="array" ref="K1030">IF(J1030="","", XLOOKUP(J1030,'⚙️ Pengaturan'!$E$2:$E3237,'⚙️ Pengaturan'!$G$2:$G3237))</f>
        <v>KLINIK FT TA</v>
      </c>
      <c r="L1030" s="43" t="str">
        <f t="shared" si="3"/>
        <v>BARU</v>
      </c>
      <c r="M1030" s="144" t="s">
        <v>31</v>
      </c>
      <c r="N1030" s="145">
        <v>200000.0</v>
      </c>
      <c r="O1030" s="146">
        <v>50000.0</v>
      </c>
      <c r="P1030" s="48">
        <f t="array" ref="P1030">IFNA(XLOOKUP(J1030,'⚙️ Pengaturan'!$E$2:$E3237,'⚙️ Pengaturan'!$F$2:$F3237),"")</f>
        <v>250000</v>
      </c>
      <c r="Q1030" s="147">
        <f t="shared" si="19"/>
        <v>0</v>
      </c>
      <c r="R1030" s="41" t="s">
        <v>32</v>
      </c>
      <c r="S1030" s="69" t="s">
        <v>33</v>
      </c>
      <c r="T1030" s="51" t="b">
        <v>1</v>
      </c>
      <c r="U1030" s="94"/>
    </row>
    <row r="1031" ht="30.0" customHeight="1">
      <c r="A1031" s="39"/>
      <c r="B1031" s="40">
        <v>3066.0</v>
      </c>
      <c r="C1031" s="41" t="s">
        <v>50</v>
      </c>
      <c r="D1031" s="86">
        <v>46096.0</v>
      </c>
      <c r="E1031" s="43" t="str">
        <f t="shared" si="1"/>
        <v>2026</v>
      </c>
      <c r="F1031" s="43" t="str">
        <f t="shared" si="2"/>
        <v>03 Mar</v>
      </c>
      <c r="G1031" s="45" t="s">
        <v>43</v>
      </c>
      <c r="H1031" s="45" t="s">
        <v>162</v>
      </c>
      <c r="I1031" s="45" t="s">
        <v>179</v>
      </c>
      <c r="J1031" s="143" t="s">
        <v>180</v>
      </c>
      <c r="K1031" s="43" t="str">
        <f t="array" ref="K1031">IF(J1031="","", XLOOKUP(J1031,'⚙️ Pengaturan'!$E$2:$E3237,'⚙️ Pengaturan'!$G$2:$G3237))</f>
        <v>KLINIK FT SESI</v>
      </c>
      <c r="L1031" s="43" t="str">
        <f t="shared" si="3"/>
        <v>LANJUTAN</v>
      </c>
      <c r="M1031" s="144" t="s">
        <v>31</v>
      </c>
      <c r="N1031" s="145">
        <v>150000.0</v>
      </c>
      <c r="O1031" s="146">
        <v>0.0</v>
      </c>
      <c r="P1031" s="48">
        <f t="array" ref="P1031">IFNA(XLOOKUP(J1031,'⚙️ Pengaturan'!$E$2:$E3237,'⚙️ Pengaturan'!$F$2:$F3237),"")</f>
        <v>150000</v>
      </c>
      <c r="Q1031" s="147">
        <f t="shared" si="19"/>
        <v>0</v>
      </c>
      <c r="R1031" s="41" t="s">
        <v>32</v>
      </c>
      <c r="S1031" s="69" t="s">
        <v>33</v>
      </c>
      <c r="T1031" s="51" t="b">
        <v>1</v>
      </c>
      <c r="U1031" s="94"/>
    </row>
    <row r="1032" ht="30.0" customHeight="1">
      <c r="A1032" s="39"/>
      <c r="B1032" s="40">
        <v>3067.0</v>
      </c>
      <c r="C1032" s="41" t="s">
        <v>50</v>
      </c>
      <c r="D1032" s="86">
        <v>46096.0</v>
      </c>
      <c r="E1032" s="43" t="str">
        <f t="shared" si="1"/>
        <v>2026</v>
      </c>
      <c r="F1032" s="43" t="str">
        <f t="shared" si="2"/>
        <v>03 Mar</v>
      </c>
      <c r="G1032" s="45" t="s">
        <v>173</v>
      </c>
      <c r="H1032" s="45" t="s">
        <v>166</v>
      </c>
      <c r="I1032" s="45" t="s">
        <v>987</v>
      </c>
      <c r="J1032" s="143" t="s">
        <v>28</v>
      </c>
      <c r="K1032" s="43" t="str">
        <f t="array" ref="K1032">IF(J1032="","", XLOOKUP(J1032,'⚙️ Pengaturan'!$E$2:$E3237,'⚙️ Pengaturan'!$G$2:$G3237))</f>
        <v>KLINIK FT TA</v>
      </c>
      <c r="L1032" s="43" t="str">
        <f t="shared" si="3"/>
        <v>BARU</v>
      </c>
      <c r="M1032" s="144" t="s">
        <v>31</v>
      </c>
      <c r="N1032" s="145">
        <v>200000.0</v>
      </c>
      <c r="O1032" s="146">
        <v>0.0</v>
      </c>
      <c r="P1032" s="48">
        <f t="array" ref="P1032">IFNA(XLOOKUP(J1032,'⚙️ Pengaturan'!$E$2:$E3237,'⚙️ Pengaturan'!$F$2:$F3237),"")</f>
        <v>250000</v>
      </c>
      <c r="Q1032" s="147">
        <f t="shared" si="19"/>
        <v>-50000</v>
      </c>
      <c r="R1032" s="41" t="s">
        <v>32</v>
      </c>
      <c r="S1032" s="69" t="s">
        <v>33</v>
      </c>
      <c r="T1032" s="51" t="b">
        <v>1</v>
      </c>
      <c r="U1032" s="94"/>
    </row>
    <row r="1033" ht="30.0" customHeight="1">
      <c r="A1033" s="39"/>
      <c r="B1033" s="40">
        <v>3068.0</v>
      </c>
      <c r="C1033" s="41" t="s">
        <v>50</v>
      </c>
      <c r="D1033" s="86">
        <v>46096.0</v>
      </c>
      <c r="E1033" s="43" t="str">
        <f t="shared" si="1"/>
        <v>2026</v>
      </c>
      <c r="F1033" s="43" t="str">
        <f t="shared" si="2"/>
        <v>03 Mar</v>
      </c>
      <c r="G1033" s="45" t="s">
        <v>173</v>
      </c>
      <c r="H1033" s="45" t="s">
        <v>150</v>
      </c>
      <c r="I1033" s="45" t="s">
        <v>963</v>
      </c>
      <c r="J1033" s="143" t="s">
        <v>119</v>
      </c>
      <c r="K1033" s="43" t="str">
        <f t="array" ref="K1033">IF(J1033="","", XLOOKUP(J1033,'⚙️ Pengaturan'!$E$2:$E3237,'⚙️ Pengaturan'!$G$2:$G3237))</f>
        <v>KLINIK FT PAKET</v>
      </c>
      <c r="L1033" s="43" t="str">
        <f t="shared" si="3"/>
        <v>BARU</v>
      </c>
      <c r="M1033" s="144" t="s">
        <v>60</v>
      </c>
      <c r="N1033" s="145">
        <v>200000.0</v>
      </c>
      <c r="O1033" s="146">
        <v>0.0</v>
      </c>
      <c r="P1033" s="48">
        <f t="array" ref="P1033">IFNA(XLOOKUP(J1033,'⚙️ Pengaturan'!$E$2:$E3237,'⚙️ Pengaturan'!$F$2:$F3237),"")</f>
        <v>750000</v>
      </c>
      <c r="Q1033" s="147">
        <f t="shared" si="19"/>
        <v>-550000</v>
      </c>
      <c r="R1033" s="41" t="s">
        <v>32</v>
      </c>
      <c r="S1033" s="69" t="s">
        <v>33</v>
      </c>
      <c r="T1033" s="51" t="b">
        <v>1</v>
      </c>
      <c r="U1033" s="94"/>
    </row>
    <row r="1034" ht="30.0" customHeight="1">
      <c r="A1034" s="39"/>
      <c r="B1034" s="40">
        <v>3069.0</v>
      </c>
      <c r="C1034" s="41" t="s">
        <v>50</v>
      </c>
      <c r="D1034" s="86">
        <v>46096.0</v>
      </c>
      <c r="E1034" s="43" t="str">
        <f t="shared" si="1"/>
        <v>2026</v>
      </c>
      <c r="F1034" s="43" t="str">
        <f t="shared" si="2"/>
        <v>03 Mar</v>
      </c>
      <c r="G1034" s="45" t="s">
        <v>173</v>
      </c>
      <c r="H1034" s="45" t="s">
        <v>26</v>
      </c>
      <c r="I1034" s="45" t="s">
        <v>988</v>
      </c>
      <c r="J1034" s="143" t="s">
        <v>28</v>
      </c>
      <c r="K1034" s="43" t="str">
        <f t="array" ref="K1034">IF(J1034="","", XLOOKUP(J1034,'⚙️ Pengaturan'!$E$2:$E3237,'⚙️ Pengaturan'!$G$2:$G3237))</f>
        <v>KLINIK FT TA</v>
      </c>
      <c r="L1034" s="43" t="str">
        <f t="shared" si="3"/>
        <v>BARU</v>
      </c>
      <c r="M1034" s="144" t="s">
        <v>31</v>
      </c>
      <c r="N1034" s="145">
        <v>200000.0</v>
      </c>
      <c r="O1034" s="146">
        <v>0.0</v>
      </c>
      <c r="P1034" s="48">
        <f t="array" ref="P1034">IFNA(XLOOKUP(J1034,'⚙️ Pengaturan'!$E$2:$E3237,'⚙️ Pengaturan'!$F$2:$F3237),"")</f>
        <v>250000</v>
      </c>
      <c r="Q1034" s="147">
        <f t="shared" si="19"/>
        <v>-50000</v>
      </c>
      <c r="R1034" s="41" t="s">
        <v>32</v>
      </c>
      <c r="S1034" s="69" t="s">
        <v>33</v>
      </c>
      <c r="T1034" s="51" t="b">
        <v>1</v>
      </c>
      <c r="U1034" s="94"/>
    </row>
    <row r="1035" ht="30.0" customHeight="1">
      <c r="A1035" s="39"/>
      <c r="B1035" s="40">
        <v>3070.0</v>
      </c>
      <c r="C1035" s="41" t="s">
        <v>50</v>
      </c>
      <c r="D1035" s="86">
        <v>46096.0</v>
      </c>
      <c r="E1035" s="43" t="str">
        <f t="shared" si="1"/>
        <v>2026</v>
      </c>
      <c r="F1035" s="43" t="str">
        <f t="shared" si="2"/>
        <v>03 Mar</v>
      </c>
      <c r="G1035" s="45" t="s">
        <v>69</v>
      </c>
      <c r="H1035" s="45" t="s">
        <v>41</v>
      </c>
      <c r="I1035" s="45" t="s">
        <v>989</v>
      </c>
      <c r="J1035" s="143" t="s">
        <v>28</v>
      </c>
      <c r="K1035" s="43" t="str">
        <f t="array" ref="K1035">IF(J1035="","", XLOOKUP(J1035,'⚙️ Pengaturan'!$E$2:$E3237,'⚙️ Pengaturan'!$G$2:$G3237))</f>
        <v>KLINIK FT TA</v>
      </c>
      <c r="L1035" s="43" t="str">
        <f t="shared" si="3"/>
        <v>BARU</v>
      </c>
      <c r="M1035" s="144" t="s">
        <v>31</v>
      </c>
      <c r="N1035" s="145">
        <v>200000.0</v>
      </c>
      <c r="O1035" s="146">
        <v>0.0</v>
      </c>
      <c r="P1035" s="48">
        <f t="array" ref="P1035">IFNA(XLOOKUP(J1035,'⚙️ Pengaturan'!$E$2:$E3237,'⚙️ Pengaturan'!$F$2:$F3237),"")</f>
        <v>250000</v>
      </c>
      <c r="Q1035" s="147">
        <f t="shared" si="19"/>
        <v>-50000</v>
      </c>
      <c r="R1035" s="41" t="s">
        <v>118</v>
      </c>
      <c r="S1035" s="69" t="s">
        <v>989</v>
      </c>
      <c r="T1035" s="51" t="b">
        <v>1</v>
      </c>
      <c r="U1035" s="94"/>
    </row>
    <row r="1036" ht="30.0" customHeight="1">
      <c r="A1036" s="39"/>
      <c r="B1036" s="40">
        <v>3071.0</v>
      </c>
      <c r="C1036" s="41" t="s">
        <v>50</v>
      </c>
      <c r="D1036" s="86">
        <v>46096.0</v>
      </c>
      <c r="E1036" s="43" t="str">
        <f t="shared" si="1"/>
        <v>2026</v>
      </c>
      <c r="F1036" s="43" t="str">
        <f t="shared" si="2"/>
        <v>03 Mar</v>
      </c>
      <c r="G1036" s="45" t="s">
        <v>190</v>
      </c>
      <c r="H1036" s="45" t="s">
        <v>162</v>
      </c>
      <c r="I1036" s="45" t="s">
        <v>975</v>
      </c>
      <c r="J1036" s="143" t="s">
        <v>120</v>
      </c>
      <c r="K1036" s="43" t="str">
        <f t="array" ref="K1036">IF(J1036="","", XLOOKUP(J1036,'⚙️ Pengaturan'!$E$2:$E3237,'⚙️ Pengaturan'!$G$2:$G3237))</f>
        <v>KLINIK FT SESI</v>
      </c>
      <c r="L1036" s="43" t="str">
        <f t="shared" si="3"/>
        <v>BARU</v>
      </c>
      <c r="M1036" s="144" t="s">
        <v>31</v>
      </c>
      <c r="N1036" s="145">
        <v>180000.0</v>
      </c>
      <c r="O1036" s="146">
        <v>0.0</v>
      </c>
      <c r="P1036" s="48">
        <f t="array" ref="P1036">IFNA(XLOOKUP(J1036,'⚙️ Pengaturan'!$E$2:$E3237,'⚙️ Pengaturan'!$F$2:$F3237),"")</f>
        <v>180000</v>
      </c>
      <c r="Q1036" s="147">
        <f t="shared" si="19"/>
        <v>0</v>
      </c>
      <c r="R1036" s="41" t="s">
        <v>32</v>
      </c>
      <c r="S1036" s="69" t="s">
        <v>33</v>
      </c>
      <c r="T1036" s="51" t="b">
        <v>1</v>
      </c>
      <c r="U1036" s="94"/>
    </row>
    <row r="1037" ht="30.0" customHeight="1">
      <c r="A1037" s="39"/>
      <c r="B1037" s="40">
        <v>3072.0</v>
      </c>
      <c r="C1037" s="41" t="s">
        <v>50</v>
      </c>
      <c r="D1037" s="86">
        <v>46096.0</v>
      </c>
      <c r="E1037" s="43" t="str">
        <f t="shared" si="1"/>
        <v>2026</v>
      </c>
      <c r="F1037" s="43" t="str">
        <f t="shared" si="2"/>
        <v>03 Mar</v>
      </c>
      <c r="G1037" s="45" t="s">
        <v>190</v>
      </c>
      <c r="H1037" s="45" t="s">
        <v>162</v>
      </c>
      <c r="I1037" s="45" t="s">
        <v>975</v>
      </c>
      <c r="J1037" s="143" t="s">
        <v>361</v>
      </c>
      <c r="K1037" s="43" t="str">
        <f t="array" ref="K1037">IF(J1037="","", XLOOKUP(J1037,'⚙️ Pengaturan'!$E$2:$E3237,'⚙️ Pengaturan'!$G$2:$G3237))</f>
        <v>STORE  </v>
      </c>
      <c r="L1037" s="43" t="str">
        <f t="shared" si="3"/>
        <v>BARU</v>
      </c>
      <c r="M1037" s="144" t="s">
        <v>31</v>
      </c>
      <c r="N1037" s="145">
        <v>35000.0</v>
      </c>
      <c r="O1037" s="146">
        <v>0.0</v>
      </c>
      <c r="P1037" s="119">
        <v>35000.0</v>
      </c>
      <c r="Q1037" s="147">
        <f t="shared" si="19"/>
        <v>0</v>
      </c>
      <c r="R1037" s="41" t="s">
        <v>32</v>
      </c>
      <c r="S1037" s="69" t="s">
        <v>33</v>
      </c>
      <c r="T1037" s="51" t="b">
        <v>1</v>
      </c>
      <c r="U1037" s="94"/>
    </row>
    <row r="1038" ht="30.0" customHeight="1">
      <c r="A1038" s="39"/>
      <c r="B1038" s="40">
        <v>3073.0</v>
      </c>
      <c r="C1038" s="41" t="s">
        <v>50</v>
      </c>
      <c r="D1038" s="86">
        <v>46096.0</v>
      </c>
      <c r="E1038" s="43" t="str">
        <f t="shared" si="1"/>
        <v>2026</v>
      </c>
      <c r="F1038" s="43" t="str">
        <f t="shared" si="2"/>
        <v>03 Mar</v>
      </c>
      <c r="G1038" s="45" t="s">
        <v>190</v>
      </c>
      <c r="H1038" s="45" t="s">
        <v>162</v>
      </c>
      <c r="I1038" s="45" t="s">
        <v>951</v>
      </c>
      <c r="J1038" s="143" t="s">
        <v>347</v>
      </c>
      <c r="K1038" s="43" t="str">
        <f t="array" ref="K1038">IF(J1038="","", XLOOKUP(J1038,'⚙️ Pengaturan'!$E$2:$E3237,'⚙️ Pengaturan'!$G$2:$G3237))</f>
        <v>KLINIK FT PAKET</v>
      </c>
      <c r="L1038" s="43" t="str">
        <f t="shared" si="3"/>
        <v>LANJUTAN</v>
      </c>
      <c r="M1038" s="144" t="s">
        <v>81</v>
      </c>
      <c r="N1038" s="145">
        <v>50000.0</v>
      </c>
      <c r="O1038" s="146">
        <v>150000.0</v>
      </c>
      <c r="P1038" s="119">
        <v>500000.0</v>
      </c>
      <c r="Q1038" s="147">
        <f t="shared" si="19"/>
        <v>-300000</v>
      </c>
      <c r="R1038" s="41" t="s">
        <v>32</v>
      </c>
      <c r="S1038" s="69" t="s">
        <v>33</v>
      </c>
      <c r="T1038" s="51" t="b">
        <v>1</v>
      </c>
      <c r="U1038" s="94"/>
    </row>
    <row r="1039" ht="30.0" customHeight="1">
      <c r="A1039" s="39"/>
      <c r="B1039" s="40">
        <v>3074.0</v>
      </c>
      <c r="C1039" s="41" t="s">
        <v>39</v>
      </c>
      <c r="D1039" s="86">
        <v>46097.0</v>
      </c>
      <c r="E1039" s="43" t="str">
        <f t="shared" si="1"/>
        <v>2026</v>
      </c>
      <c r="F1039" s="43" t="str">
        <f t="shared" si="2"/>
        <v>03 Mar</v>
      </c>
      <c r="G1039" s="45" t="s">
        <v>69</v>
      </c>
      <c r="H1039" s="45" t="s">
        <v>26</v>
      </c>
      <c r="I1039" s="45" t="s">
        <v>990</v>
      </c>
      <c r="J1039" s="143" t="s">
        <v>28</v>
      </c>
      <c r="K1039" s="43" t="str">
        <f t="array" ref="K1039">IF(J1039="","", XLOOKUP(J1039,'⚙️ Pengaturan'!$E$2:$E3237,'⚙️ Pengaturan'!$G$2:$G3237))</f>
        <v>KLINIK FT TA</v>
      </c>
      <c r="L1039" s="43" t="str">
        <f t="shared" si="3"/>
        <v>BARU</v>
      </c>
      <c r="M1039" s="144" t="s">
        <v>31</v>
      </c>
      <c r="N1039" s="145">
        <v>200000.0</v>
      </c>
      <c r="O1039" s="146">
        <v>50000.0</v>
      </c>
      <c r="P1039" s="48">
        <f t="array" ref="P1039">IFNA(XLOOKUP(J1039,'⚙️ Pengaturan'!$E$2:$E3237,'⚙️ Pengaturan'!$F$2:$F3237),"")</f>
        <v>250000</v>
      </c>
      <c r="Q1039" s="147">
        <f t="shared" si="19"/>
        <v>0</v>
      </c>
      <c r="R1039" s="41" t="s">
        <v>32</v>
      </c>
      <c r="S1039" s="69" t="s">
        <v>33</v>
      </c>
      <c r="T1039" s="51" t="b">
        <v>1</v>
      </c>
      <c r="U1039" s="94"/>
    </row>
    <row r="1040" ht="30.0" customHeight="1">
      <c r="A1040" s="39"/>
      <c r="B1040" s="40">
        <v>3075.0</v>
      </c>
      <c r="C1040" s="41" t="s">
        <v>39</v>
      </c>
      <c r="D1040" s="86">
        <v>46097.0</v>
      </c>
      <c r="E1040" s="43" t="str">
        <f t="shared" si="1"/>
        <v>2026</v>
      </c>
      <c r="F1040" s="43" t="str">
        <f t="shared" si="2"/>
        <v>03 Mar</v>
      </c>
      <c r="G1040" s="45" t="s">
        <v>69</v>
      </c>
      <c r="H1040" s="45" t="s">
        <v>166</v>
      </c>
      <c r="I1040" s="45" t="s">
        <v>991</v>
      </c>
      <c r="J1040" s="143" t="s">
        <v>28</v>
      </c>
      <c r="K1040" s="43" t="str">
        <f t="array" ref="K1040">IF(J1040="","", XLOOKUP(J1040,'⚙️ Pengaturan'!$E$2:$E3237,'⚙️ Pengaturan'!$G$2:$G3237))</f>
        <v>KLINIK FT TA</v>
      </c>
      <c r="L1040" s="43" t="str">
        <f t="shared" si="3"/>
        <v>BARU</v>
      </c>
      <c r="M1040" s="144" t="s">
        <v>31</v>
      </c>
      <c r="N1040" s="145">
        <v>200000.0</v>
      </c>
      <c r="O1040" s="146">
        <v>50000.0</v>
      </c>
      <c r="P1040" s="48">
        <f t="array" ref="P1040">IFNA(XLOOKUP(J1040,'⚙️ Pengaturan'!$E$2:$E3237,'⚙️ Pengaturan'!$F$2:$F3237),"")</f>
        <v>250000</v>
      </c>
      <c r="Q1040" s="147">
        <f t="shared" si="19"/>
        <v>0</v>
      </c>
      <c r="R1040" s="41" t="s">
        <v>32</v>
      </c>
      <c r="S1040" s="69" t="s">
        <v>33</v>
      </c>
      <c r="T1040" s="51" t="b">
        <v>1</v>
      </c>
      <c r="U1040" s="94"/>
    </row>
    <row r="1041" ht="30.0" customHeight="1">
      <c r="A1041" s="39"/>
      <c r="B1041" s="40">
        <v>3076.0</v>
      </c>
      <c r="C1041" s="41" t="s">
        <v>39</v>
      </c>
      <c r="D1041" s="86">
        <v>46097.0</v>
      </c>
      <c r="E1041" s="43" t="str">
        <f t="shared" si="1"/>
        <v>2026</v>
      </c>
      <c r="F1041" s="43" t="str">
        <f t="shared" si="2"/>
        <v>03 Mar</v>
      </c>
      <c r="G1041" s="45" t="s">
        <v>25</v>
      </c>
      <c r="H1041" s="45" t="s">
        <v>26</v>
      </c>
      <c r="I1041" s="45" t="s">
        <v>979</v>
      </c>
      <c r="J1041" s="143" t="s">
        <v>119</v>
      </c>
      <c r="K1041" s="43" t="str">
        <f t="array" ref="K1041">IF(J1041="","", XLOOKUP(J1041,'⚙️ Pengaturan'!$E$2:$E3237,'⚙️ Pengaturan'!$G$2:$G3237))</f>
        <v>KLINIK FT PAKET</v>
      </c>
      <c r="L1041" s="43" t="str">
        <f t="shared" si="3"/>
        <v>BARU</v>
      </c>
      <c r="M1041" s="144" t="s">
        <v>31</v>
      </c>
      <c r="N1041" s="145">
        <v>750000.0</v>
      </c>
      <c r="O1041" s="146">
        <v>0.0</v>
      </c>
      <c r="P1041" s="48">
        <f t="array" ref="P1041">IFNA(XLOOKUP(J1041,'⚙️ Pengaturan'!$E$2:$E3237,'⚙️ Pengaturan'!$F$2:$F3237),"")</f>
        <v>750000</v>
      </c>
      <c r="Q1041" s="147">
        <f t="shared" si="19"/>
        <v>0</v>
      </c>
      <c r="R1041" s="41" t="s">
        <v>37</v>
      </c>
      <c r="S1041" s="69" t="s">
        <v>931</v>
      </c>
      <c r="T1041" s="51" t="b">
        <v>1</v>
      </c>
      <c r="U1041" s="94"/>
    </row>
    <row r="1042" ht="30.0" customHeight="1">
      <c r="A1042" s="39"/>
      <c r="B1042" s="40">
        <v>3077.0</v>
      </c>
      <c r="C1042" s="41" t="s">
        <v>39</v>
      </c>
      <c r="D1042" s="86">
        <v>46097.0</v>
      </c>
      <c r="E1042" s="43" t="str">
        <f t="shared" si="1"/>
        <v>2026</v>
      </c>
      <c r="F1042" s="43" t="str">
        <f t="shared" si="2"/>
        <v>03 Mar</v>
      </c>
      <c r="G1042" s="45" t="s">
        <v>206</v>
      </c>
      <c r="H1042" s="45" t="s">
        <v>150</v>
      </c>
      <c r="I1042" s="45" t="s">
        <v>933</v>
      </c>
      <c r="J1042" s="143" t="s">
        <v>120</v>
      </c>
      <c r="K1042" s="43" t="str">
        <f t="array" ref="K1042">IF(J1042="","", XLOOKUP(J1042,'⚙️ Pengaturan'!$E$2:$E3237,'⚙️ Pengaturan'!$G$2:$G3237))</f>
        <v>KLINIK FT SESI</v>
      </c>
      <c r="L1042" s="43" t="str">
        <f t="shared" si="3"/>
        <v>LANJUTAN</v>
      </c>
      <c r="M1042" s="144" t="s">
        <v>31</v>
      </c>
      <c r="N1042" s="145">
        <v>180000.0</v>
      </c>
      <c r="O1042" s="146">
        <v>0.0</v>
      </c>
      <c r="P1042" s="48">
        <f t="array" ref="P1042">IFNA(XLOOKUP(J1042,'⚙️ Pengaturan'!$E$2:$E3237,'⚙️ Pengaturan'!$F$2:$F3237),"")</f>
        <v>180000</v>
      </c>
      <c r="Q1042" s="147">
        <f t="shared" si="19"/>
        <v>0</v>
      </c>
      <c r="R1042" s="41" t="s">
        <v>32</v>
      </c>
      <c r="S1042" s="69" t="s">
        <v>33</v>
      </c>
      <c r="T1042" s="51" t="b">
        <v>1</v>
      </c>
      <c r="U1042" s="94"/>
    </row>
    <row r="1043" ht="30.0" customHeight="1">
      <c r="A1043" s="39"/>
      <c r="B1043" s="40">
        <v>3078.0</v>
      </c>
      <c r="C1043" s="41" t="s">
        <v>39</v>
      </c>
      <c r="D1043" s="86">
        <v>46097.0</v>
      </c>
      <c r="E1043" s="43" t="str">
        <f t="shared" si="1"/>
        <v>2026</v>
      </c>
      <c r="F1043" s="43" t="str">
        <f t="shared" si="2"/>
        <v>03 Mar</v>
      </c>
      <c r="G1043" s="45" t="s">
        <v>206</v>
      </c>
      <c r="H1043" s="45" t="s">
        <v>162</v>
      </c>
      <c r="I1043" s="45" t="s">
        <v>951</v>
      </c>
      <c r="J1043" s="143" t="s">
        <v>347</v>
      </c>
      <c r="K1043" s="43" t="str">
        <f t="array" ref="K1043">IF(J1043="","", XLOOKUP(J1043,'⚙️ Pengaturan'!$E$2:$E3237,'⚙️ Pengaturan'!$G$2:$G3237))</f>
        <v>KLINIK FT PAKET</v>
      </c>
      <c r="L1043" s="43" t="str">
        <f t="shared" si="3"/>
        <v>LANJUTAN</v>
      </c>
      <c r="M1043" s="144" t="s">
        <v>81</v>
      </c>
      <c r="N1043" s="145">
        <v>50000.0</v>
      </c>
      <c r="O1043" s="146">
        <v>200000.0</v>
      </c>
      <c r="P1043" s="119">
        <v>500000.0</v>
      </c>
      <c r="Q1043" s="147">
        <f t="shared" si="19"/>
        <v>-250000</v>
      </c>
      <c r="R1043" s="41" t="s">
        <v>32</v>
      </c>
      <c r="S1043" s="69" t="s">
        <v>33</v>
      </c>
      <c r="T1043" s="51" t="b">
        <v>1</v>
      </c>
      <c r="U1043" s="94"/>
    </row>
    <row r="1044" ht="30.0" customHeight="1">
      <c r="A1044" s="39"/>
      <c r="B1044" s="40">
        <v>3079.0</v>
      </c>
      <c r="C1044" s="41" t="s">
        <v>39</v>
      </c>
      <c r="D1044" s="86">
        <v>46097.0</v>
      </c>
      <c r="E1044" s="43" t="str">
        <f t="shared" si="1"/>
        <v>2026</v>
      </c>
      <c r="F1044" s="43" t="str">
        <f t="shared" si="2"/>
        <v>03 Mar</v>
      </c>
      <c r="G1044" s="45" t="s">
        <v>206</v>
      </c>
      <c r="H1044" s="45" t="s">
        <v>156</v>
      </c>
      <c r="I1044" s="45" t="s">
        <v>969</v>
      </c>
      <c r="J1044" s="143" t="s">
        <v>347</v>
      </c>
      <c r="K1044" s="43" t="str">
        <f t="array" ref="K1044">IF(J1044="","", XLOOKUP(J1044,'⚙️ Pengaturan'!$E$2:$E3237,'⚙️ Pengaturan'!$G$2:$G3237))</f>
        <v>KLINIK FT PAKET</v>
      </c>
      <c r="L1044" s="43" t="str">
        <f t="shared" si="3"/>
        <v>BARU</v>
      </c>
      <c r="M1044" s="144" t="s">
        <v>31</v>
      </c>
      <c r="N1044" s="145">
        <v>1300000.0</v>
      </c>
      <c r="O1044" s="146">
        <v>0.0</v>
      </c>
      <c r="P1044" s="48">
        <f t="array" ref="P1044">IFNA(XLOOKUP(J1044,'⚙️ Pengaturan'!$E$2:$E3237,'⚙️ Pengaturan'!$F$2:$F3237),"")</f>
        <v>1300000</v>
      </c>
      <c r="Q1044" s="147">
        <f t="shared" si="19"/>
        <v>0</v>
      </c>
      <c r="R1044" s="41" t="s">
        <v>37</v>
      </c>
      <c r="S1044" s="69" t="s">
        <v>33</v>
      </c>
      <c r="T1044" s="51" t="b">
        <v>1</v>
      </c>
      <c r="U1044" s="94"/>
    </row>
    <row r="1045" ht="30.0" customHeight="1">
      <c r="A1045" s="39"/>
      <c r="B1045" s="40">
        <v>3080.0</v>
      </c>
      <c r="C1045" s="41" t="s">
        <v>39</v>
      </c>
      <c r="D1045" s="86">
        <v>46097.0</v>
      </c>
      <c r="E1045" s="43" t="str">
        <f t="shared" si="1"/>
        <v>2026</v>
      </c>
      <c r="F1045" s="43" t="str">
        <f t="shared" si="2"/>
        <v>03 Mar</v>
      </c>
      <c r="G1045" s="45" t="s">
        <v>161</v>
      </c>
      <c r="H1045" s="45" t="s">
        <v>166</v>
      </c>
      <c r="I1045" s="45" t="s">
        <v>600</v>
      </c>
      <c r="J1045" s="143" t="s">
        <v>92</v>
      </c>
      <c r="K1045" s="43" t="str">
        <f t="array" ref="K1045">IF(J1045="","", XLOOKUP(J1045,'⚙️ Pengaturan'!$E$2:$E3237,'⚙️ Pengaturan'!$G$2:$G3237))</f>
        <v>KLINIK FT PAKET</v>
      </c>
      <c r="L1045" s="43" t="str">
        <f t="shared" si="3"/>
        <v>LANJUTAN</v>
      </c>
      <c r="M1045" s="144" t="s">
        <v>60</v>
      </c>
      <c r="N1045" s="145">
        <v>200000.0</v>
      </c>
      <c r="O1045" s="146">
        <v>0.0</v>
      </c>
      <c r="P1045" s="48">
        <f t="array" ref="P1045">IFNA(XLOOKUP(J1045,'⚙️ Pengaturan'!$E$2:$E3237,'⚙️ Pengaturan'!$F$2:$F3237),"")</f>
        <v>1200000</v>
      </c>
      <c r="Q1045" s="147">
        <f t="shared" si="19"/>
        <v>-1000000</v>
      </c>
      <c r="R1045" s="41" t="s">
        <v>32</v>
      </c>
      <c r="S1045" s="69" t="s">
        <v>33</v>
      </c>
      <c r="T1045" s="51" t="b">
        <v>1</v>
      </c>
      <c r="U1045" s="94"/>
    </row>
    <row r="1046" ht="30.0" customHeight="1">
      <c r="A1046" s="39"/>
      <c r="B1046" s="40">
        <v>3081.0</v>
      </c>
      <c r="C1046" s="41" t="s">
        <v>39</v>
      </c>
      <c r="D1046" s="154">
        <v>46097.0</v>
      </c>
      <c r="E1046" s="43" t="str">
        <f t="shared" si="1"/>
        <v>2026</v>
      </c>
      <c r="F1046" s="43" t="str">
        <f t="shared" si="2"/>
        <v>03 Mar</v>
      </c>
      <c r="G1046" s="45" t="s">
        <v>161</v>
      </c>
      <c r="H1046" s="45" t="s">
        <v>162</v>
      </c>
      <c r="I1046" s="45" t="s">
        <v>870</v>
      </c>
      <c r="J1046" s="143" t="s">
        <v>120</v>
      </c>
      <c r="K1046" s="43" t="str">
        <f t="array" ref="K1046">IF(J1046="","", XLOOKUP(J1046,'⚙️ Pengaturan'!$E$2:$E3237,'⚙️ Pengaturan'!$G$2:$G3237))</f>
        <v>KLINIK FT SESI</v>
      </c>
      <c r="L1046" s="43" t="str">
        <f t="shared" si="3"/>
        <v>BARU</v>
      </c>
      <c r="M1046" s="144" t="s">
        <v>31</v>
      </c>
      <c r="N1046" s="145">
        <v>180000.0</v>
      </c>
      <c r="O1046" s="146">
        <v>0.0</v>
      </c>
      <c r="P1046" s="48">
        <f t="array" ref="P1046">IFNA(XLOOKUP(J1046,'⚙️ Pengaturan'!$E$2:$E3237,'⚙️ Pengaturan'!$F$2:$F3237),"")</f>
        <v>180000</v>
      </c>
      <c r="Q1046" s="147">
        <f t="shared" si="19"/>
        <v>0</v>
      </c>
      <c r="R1046" s="41" t="s">
        <v>37</v>
      </c>
      <c r="S1046" s="69" t="s">
        <v>870</v>
      </c>
      <c r="T1046" s="51" t="b">
        <v>1</v>
      </c>
      <c r="U1046" s="94"/>
    </row>
    <row r="1047" ht="30.0" customHeight="1">
      <c r="A1047" s="39"/>
      <c r="B1047" s="40">
        <v>3082.0</v>
      </c>
      <c r="C1047" s="41" t="s">
        <v>39</v>
      </c>
      <c r="D1047" s="154">
        <v>46097.0</v>
      </c>
      <c r="E1047" s="43" t="str">
        <f t="shared" si="1"/>
        <v>2026</v>
      </c>
      <c r="F1047" s="43" t="str">
        <f t="shared" si="2"/>
        <v>03 Mar</v>
      </c>
      <c r="G1047" s="45" t="s">
        <v>161</v>
      </c>
      <c r="H1047" s="45" t="s">
        <v>150</v>
      </c>
      <c r="I1047" s="45" t="s">
        <v>992</v>
      </c>
      <c r="J1047" s="143" t="s">
        <v>28</v>
      </c>
      <c r="K1047" s="43" t="str">
        <f t="array" ref="K1047">IF(J1047="","", XLOOKUP(J1047,'⚙️ Pengaturan'!$E$2:$E3237,'⚙️ Pengaturan'!$G$2:$G3237))</f>
        <v>KLINIK FT TA</v>
      </c>
      <c r="L1047" s="43" t="str">
        <f t="shared" si="3"/>
        <v>BARU</v>
      </c>
      <c r="M1047" s="144" t="s">
        <v>31</v>
      </c>
      <c r="N1047" s="145">
        <v>200000.0</v>
      </c>
      <c r="O1047" s="146">
        <v>0.0</v>
      </c>
      <c r="P1047" s="48">
        <f t="array" ref="P1047">IFNA(XLOOKUP(J1047,'⚙️ Pengaturan'!$E$2:$E3237,'⚙️ Pengaturan'!$F$2:$F3237),"")</f>
        <v>250000</v>
      </c>
      <c r="Q1047" s="147">
        <f t="shared" si="19"/>
        <v>-50000</v>
      </c>
      <c r="R1047" s="41" t="s">
        <v>37</v>
      </c>
      <c r="S1047" s="69" t="s">
        <v>870</v>
      </c>
      <c r="T1047" s="51" t="b">
        <v>1</v>
      </c>
      <c r="U1047" s="94"/>
    </row>
    <row r="1048" ht="30.0" customHeight="1">
      <c r="A1048" s="39"/>
      <c r="B1048" s="40">
        <v>3083.0</v>
      </c>
      <c r="C1048" s="41" t="s">
        <v>39</v>
      </c>
      <c r="D1048" s="86">
        <v>46097.0</v>
      </c>
      <c r="E1048" s="43" t="str">
        <f t="shared" si="1"/>
        <v>2026</v>
      </c>
      <c r="F1048" s="43" t="str">
        <f t="shared" si="2"/>
        <v>03 Mar</v>
      </c>
      <c r="G1048" s="45" t="s">
        <v>69</v>
      </c>
      <c r="H1048" s="45" t="s">
        <v>166</v>
      </c>
      <c r="I1048" s="45" t="s">
        <v>964</v>
      </c>
      <c r="J1048" s="143" t="s">
        <v>119</v>
      </c>
      <c r="K1048" s="43" t="str">
        <f t="array" ref="K1048">IF(J1048="","", XLOOKUP(J1048,'⚙️ Pengaturan'!$E$2:$E3237,'⚙️ Pengaturan'!$G$2:$G3237))</f>
        <v>KLINIK FT PAKET</v>
      </c>
      <c r="L1048" s="43" t="str">
        <f t="shared" si="3"/>
        <v>LANJUTAN</v>
      </c>
      <c r="M1048" s="144" t="s">
        <v>81</v>
      </c>
      <c r="N1048" s="145">
        <v>350000.0</v>
      </c>
      <c r="O1048" s="146">
        <v>300000.0</v>
      </c>
      <c r="P1048" s="48">
        <f t="array" ref="P1048">IFNA(XLOOKUP(J1048,'⚙️ Pengaturan'!$E$2:$E3237,'⚙️ Pengaturan'!$F$2:$F3237),"")</f>
        <v>750000</v>
      </c>
      <c r="Q1048" s="147">
        <f t="shared" si="19"/>
        <v>-100000</v>
      </c>
      <c r="R1048" s="41" t="s">
        <v>32</v>
      </c>
      <c r="S1048" s="69" t="s">
        <v>33</v>
      </c>
      <c r="T1048" s="51" t="b">
        <v>1</v>
      </c>
      <c r="U1048" s="94"/>
    </row>
    <row r="1049" ht="30.0" customHeight="1">
      <c r="A1049" s="39"/>
      <c r="B1049" s="40">
        <v>3084.0</v>
      </c>
      <c r="C1049" s="41" t="s">
        <v>50</v>
      </c>
      <c r="D1049" s="86">
        <v>46097.0</v>
      </c>
      <c r="E1049" s="43" t="str">
        <f t="shared" si="1"/>
        <v>2026</v>
      </c>
      <c r="F1049" s="43" t="str">
        <f t="shared" si="2"/>
        <v>03 Mar</v>
      </c>
      <c r="G1049" s="45" t="s">
        <v>35</v>
      </c>
      <c r="H1049" s="45" t="s">
        <v>150</v>
      </c>
      <c r="I1049" s="45" t="s">
        <v>993</v>
      </c>
      <c r="J1049" s="143" t="s">
        <v>28</v>
      </c>
      <c r="K1049" s="43" t="str">
        <f t="array" ref="K1049">IF(J1049="","", XLOOKUP(J1049,'⚙️ Pengaturan'!$E$2:$E3237,'⚙️ Pengaturan'!$G$2:$G3237))</f>
        <v>KLINIK FT TA</v>
      </c>
      <c r="L1049" s="43" t="str">
        <f t="shared" si="3"/>
        <v>BARU</v>
      </c>
      <c r="M1049" s="144" t="s">
        <v>31</v>
      </c>
      <c r="N1049" s="145">
        <v>200000.0</v>
      </c>
      <c r="O1049" s="146">
        <v>50000.0</v>
      </c>
      <c r="P1049" s="48">
        <f t="array" ref="P1049">IFNA(XLOOKUP(J1049,'⚙️ Pengaturan'!$E$2:$E3237,'⚙️ Pengaturan'!$F$2:$F3237),"")</f>
        <v>250000</v>
      </c>
      <c r="Q1049" s="147">
        <f t="shared" si="19"/>
        <v>0</v>
      </c>
      <c r="R1049" s="41" t="s">
        <v>32</v>
      </c>
      <c r="S1049" s="69" t="s">
        <v>33</v>
      </c>
      <c r="T1049" s="51" t="b">
        <v>1</v>
      </c>
      <c r="U1049" s="94"/>
    </row>
    <row r="1050" ht="30.0" customHeight="1">
      <c r="A1050" s="39"/>
      <c r="B1050" s="40">
        <v>3085.0</v>
      </c>
      <c r="C1050" s="41" t="s">
        <v>39</v>
      </c>
      <c r="D1050" s="86">
        <v>46097.0</v>
      </c>
      <c r="E1050" s="43" t="str">
        <f t="shared" si="1"/>
        <v>2026</v>
      </c>
      <c r="F1050" s="43" t="str">
        <f t="shared" si="2"/>
        <v>03 Mar</v>
      </c>
      <c r="G1050" s="45" t="s">
        <v>35</v>
      </c>
      <c r="H1050" s="45" t="s">
        <v>26</v>
      </c>
      <c r="I1050" s="45" t="s">
        <v>994</v>
      </c>
      <c r="J1050" s="143" t="s">
        <v>28</v>
      </c>
      <c r="K1050" s="43" t="str">
        <f t="array" ref="K1050">IF(J1050="","", XLOOKUP(J1050,'⚙️ Pengaturan'!$E$2:$E3237,'⚙️ Pengaturan'!$G$2:$G3237))</f>
        <v>KLINIK FT TA</v>
      </c>
      <c r="L1050" s="43" t="str">
        <f t="shared" si="3"/>
        <v>BARU</v>
      </c>
      <c r="M1050" s="144" t="s">
        <v>31</v>
      </c>
      <c r="N1050" s="145">
        <v>200000.0</v>
      </c>
      <c r="O1050" s="146">
        <v>50000.0</v>
      </c>
      <c r="P1050" s="48">
        <f t="array" ref="P1050">IFNA(XLOOKUP(J1050,'⚙️ Pengaturan'!$E$2:$E3237,'⚙️ Pengaturan'!$F$2:$F3237),"")</f>
        <v>250000</v>
      </c>
      <c r="Q1050" s="147">
        <f t="shared" si="19"/>
        <v>0</v>
      </c>
      <c r="R1050" s="41" t="s">
        <v>37</v>
      </c>
      <c r="S1050" s="69" t="s">
        <v>995</v>
      </c>
      <c r="T1050" s="51" t="b">
        <v>1</v>
      </c>
      <c r="U1050" s="94"/>
    </row>
    <row r="1051" ht="30.0" customHeight="1">
      <c r="A1051" s="39"/>
      <c r="B1051" s="40">
        <v>3086.0</v>
      </c>
      <c r="C1051" s="41" t="s">
        <v>50</v>
      </c>
      <c r="D1051" s="86">
        <v>46097.0</v>
      </c>
      <c r="E1051" s="43" t="str">
        <f t="shared" si="1"/>
        <v>2026</v>
      </c>
      <c r="F1051" s="43" t="str">
        <f t="shared" si="2"/>
        <v>03 Mar</v>
      </c>
      <c r="G1051" s="45" t="s">
        <v>40</v>
      </c>
      <c r="H1051" s="45" t="s">
        <v>47</v>
      </c>
      <c r="I1051" s="45" t="s">
        <v>977</v>
      </c>
      <c r="J1051" s="143" t="s">
        <v>119</v>
      </c>
      <c r="K1051" s="43" t="str">
        <f t="array" ref="K1051">IF(J1051="","", XLOOKUP(J1051,'⚙️ Pengaturan'!$E$2:$E3237,'⚙️ Pengaturan'!$G$2:$G3237))</f>
        <v>KLINIK FT PAKET</v>
      </c>
      <c r="L1051" s="43" t="str">
        <f t="shared" si="3"/>
        <v>BARU</v>
      </c>
      <c r="M1051" s="144" t="s">
        <v>60</v>
      </c>
      <c r="N1051" s="145">
        <v>200000.0</v>
      </c>
      <c r="O1051" s="146">
        <v>0.0</v>
      </c>
      <c r="P1051" s="48">
        <f t="array" ref="P1051">IFNA(XLOOKUP(J1051,'⚙️ Pengaturan'!$E$2:$E3237,'⚙️ Pengaturan'!$F$2:$F3237),"")</f>
        <v>750000</v>
      </c>
      <c r="Q1051" s="147">
        <f t="shared" si="19"/>
        <v>-550000</v>
      </c>
      <c r="R1051" s="41" t="s">
        <v>37</v>
      </c>
      <c r="S1051" s="69" t="s">
        <v>977</v>
      </c>
      <c r="T1051" s="51" t="b">
        <v>1</v>
      </c>
      <c r="U1051" s="94"/>
    </row>
    <row r="1052" ht="30.0" customHeight="1">
      <c r="A1052" s="39"/>
      <c r="B1052" s="40">
        <v>3087.0</v>
      </c>
      <c r="C1052" s="41" t="s">
        <v>50</v>
      </c>
      <c r="D1052" s="86">
        <v>46097.0</v>
      </c>
      <c r="E1052" s="43" t="str">
        <f t="shared" si="1"/>
        <v>2026</v>
      </c>
      <c r="F1052" s="43" t="str">
        <f t="shared" si="2"/>
        <v>03 Mar</v>
      </c>
      <c r="G1052" s="45" t="s">
        <v>40</v>
      </c>
      <c r="H1052" s="45" t="s">
        <v>41</v>
      </c>
      <c r="I1052" s="45" t="s">
        <v>967</v>
      </c>
      <c r="J1052" s="143" t="s">
        <v>120</v>
      </c>
      <c r="K1052" s="43" t="str">
        <f t="array" ref="K1052">IF(J1052="","", XLOOKUP(J1052,'⚙️ Pengaturan'!$E$2:$E3237,'⚙️ Pengaturan'!$G$2:$G3237))</f>
        <v>KLINIK FT SESI</v>
      </c>
      <c r="L1052" s="43" t="str">
        <f t="shared" si="3"/>
        <v>LANJUTAN</v>
      </c>
      <c r="M1052" s="144" t="s">
        <v>31</v>
      </c>
      <c r="N1052" s="145">
        <v>50000.0</v>
      </c>
      <c r="O1052" s="146">
        <v>130000.0</v>
      </c>
      <c r="P1052" s="48">
        <f t="array" ref="P1052">IFNA(XLOOKUP(J1052,'⚙️ Pengaturan'!$E$2:$E3237,'⚙️ Pengaturan'!$F$2:$F3237),"")</f>
        <v>180000</v>
      </c>
      <c r="Q1052" s="147">
        <f t="shared" si="19"/>
        <v>0</v>
      </c>
      <c r="R1052" s="41" t="s">
        <v>32</v>
      </c>
      <c r="S1052" s="69" t="s">
        <v>33</v>
      </c>
      <c r="T1052" s="51" t="b">
        <v>1</v>
      </c>
      <c r="U1052" s="94"/>
    </row>
    <row r="1053" ht="30.0" customHeight="1">
      <c r="A1053" s="39"/>
      <c r="B1053" s="40">
        <v>3088.0</v>
      </c>
      <c r="C1053" s="41" t="s">
        <v>50</v>
      </c>
      <c r="D1053" s="154">
        <v>46097.0</v>
      </c>
      <c r="E1053" s="43" t="str">
        <f t="shared" si="1"/>
        <v>2026</v>
      </c>
      <c r="F1053" s="43" t="str">
        <f t="shared" si="2"/>
        <v>03 Mar</v>
      </c>
      <c r="G1053" s="45" t="s">
        <v>43</v>
      </c>
      <c r="H1053" s="45" t="s">
        <v>149</v>
      </c>
      <c r="I1053" s="45" t="s">
        <v>454</v>
      </c>
      <c r="J1053" s="143" t="s">
        <v>180</v>
      </c>
      <c r="K1053" s="43" t="str">
        <f t="array" ref="K1053">IF(J1053="","", XLOOKUP(J1053,'⚙️ Pengaturan'!$E$2:$E3237,'⚙️ Pengaturan'!$G$2:$G3237))</f>
        <v>KLINIK FT SESI</v>
      </c>
      <c r="L1053" s="43" t="str">
        <f t="shared" si="3"/>
        <v>BARU</v>
      </c>
      <c r="M1053" s="144" t="s">
        <v>31</v>
      </c>
      <c r="N1053" s="145">
        <v>150000.0</v>
      </c>
      <c r="O1053" s="146">
        <v>0.0</v>
      </c>
      <c r="P1053" s="48">
        <f t="array" ref="P1053">IFNA(XLOOKUP(J1053,'⚙️ Pengaturan'!$E$2:$E3237,'⚙️ Pengaturan'!$F$2:$F3237),"")</f>
        <v>150000</v>
      </c>
      <c r="Q1053" s="147">
        <f t="shared" si="19"/>
        <v>0</v>
      </c>
      <c r="R1053" s="41" t="s">
        <v>32</v>
      </c>
      <c r="S1053" s="69" t="s">
        <v>33</v>
      </c>
      <c r="T1053" s="51" t="b">
        <v>1</v>
      </c>
      <c r="U1053" s="94"/>
    </row>
    <row r="1054" ht="30.0" customHeight="1">
      <c r="A1054" s="39"/>
      <c r="B1054" s="40">
        <v>3089.0</v>
      </c>
      <c r="C1054" s="41" t="s">
        <v>50</v>
      </c>
      <c r="D1054" s="154">
        <v>46097.0</v>
      </c>
      <c r="E1054" s="43" t="str">
        <f t="shared" si="1"/>
        <v>2026</v>
      </c>
      <c r="F1054" s="43" t="str">
        <f t="shared" si="2"/>
        <v>03 Mar</v>
      </c>
      <c r="G1054" s="45" t="s">
        <v>173</v>
      </c>
      <c r="H1054" s="45" t="s">
        <v>76</v>
      </c>
      <c r="I1054" s="45" t="s">
        <v>996</v>
      </c>
      <c r="J1054" s="143" t="s">
        <v>28</v>
      </c>
      <c r="K1054" s="43" t="str">
        <f t="array" ref="K1054">IF(J1054="","", XLOOKUP(J1054,'⚙️ Pengaturan'!$E$2:$E3237,'⚙️ Pengaturan'!$G$2:$G3237))</f>
        <v>KLINIK FT TA</v>
      </c>
      <c r="L1054" s="43" t="str">
        <f t="shared" si="3"/>
        <v>BARU</v>
      </c>
      <c r="M1054" s="144" t="s">
        <v>31</v>
      </c>
      <c r="N1054" s="145">
        <v>200000.0</v>
      </c>
      <c r="O1054" s="146">
        <v>0.0</v>
      </c>
      <c r="P1054" s="48">
        <f t="array" ref="P1054">IFNA(XLOOKUP(J1054,'⚙️ Pengaturan'!$E$2:$E3237,'⚙️ Pengaturan'!$F$2:$F3237),"")</f>
        <v>250000</v>
      </c>
      <c r="Q1054" s="147">
        <f t="shared" si="19"/>
        <v>-50000</v>
      </c>
      <c r="R1054" s="41" t="s">
        <v>37</v>
      </c>
      <c r="S1054" s="69" t="s">
        <v>996</v>
      </c>
      <c r="T1054" s="51" t="b">
        <v>1</v>
      </c>
      <c r="U1054" s="94"/>
    </row>
    <row r="1055" ht="30.0" customHeight="1">
      <c r="A1055" s="39"/>
      <c r="B1055" s="40">
        <v>3090.0</v>
      </c>
      <c r="C1055" s="41" t="s">
        <v>50</v>
      </c>
      <c r="D1055" s="86">
        <v>46086.0</v>
      </c>
      <c r="E1055" s="43" t="str">
        <f t="shared" si="1"/>
        <v>2026</v>
      </c>
      <c r="F1055" s="43" t="str">
        <f t="shared" si="2"/>
        <v>03 Mar</v>
      </c>
      <c r="G1055" s="45" t="s">
        <v>69</v>
      </c>
      <c r="H1055" s="45" t="s">
        <v>150</v>
      </c>
      <c r="I1055" s="45" t="s">
        <v>997</v>
      </c>
      <c r="J1055" s="143" t="s">
        <v>121</v>
      </c>
      <c r="K1055" s="43" t="str">
        <f t="array" ref="K1055">IF(J1055="","", XLOOKUP(J1055,'⚙️ Pengaturan'!$E$2:$E3237,'⚙️ Pengaturan'!$G$2:$G3237))</f>
        <v>VISIT FT TA</v>
      </c>
      <c r="L1055" s="43" t="str">
        <f t="shared" si="3"/>
        <v>BARU</v>
      </c>
      <c r="M1055" s="144" t="s">
        <v>31</v>
      </c>
      <c r="N1055" s="145">
        <v>300000.0</v>
      </c>
      <c r="O1055" s="146">
        <v>0.0</v>
      </c>
      <c r="P1055" s="48">
        <f t="array" ref="P1055">IFNA(XLOOKUP(J1055,'⚙️ Pengaturan'!$E$2:$E3237,'⚙️ Pengaturan'!$F$2:$F3237),"")</f>
        <v>300000</v>
      </c>
      <c r="Q1055" s="147">
        <f t="shared" si="19"/>
        <v>0</v>
      </c>
      <c r="R1055" s="41" t="s">
        <v>37</v>
      </c>
      <c r="S1055" s="69" t="s">
        <v>997</v>
      </c>
      <c r="T1055" s="51" t="b">
        <v>1</v>
      </c>
      <c r="U1055" s="94"/>
    </row>
    <row r="1056" ht="30.0" customHeight="1">
      <c r="A1056" s="39"/>
      <c r="B1056" s="40">
        <v>3091.0</v>
      </c>
      <c r="C1056" s="41" t="s">
        <v>50</v>
      </c>
      <c r="D1056" s="86">
        <v>46098.0</v>
      </c>
      <c r="E1056" s="43" t="str">
        <f t="shared" si="1"/>
        <v>2026</v>
      </c>
      <c r="F1056" s="43" t="str">
        <f t="shared" si="2"/>
        <v>03 Mar</v>
      </c>
      <c r="G1056" s="45" t="s">
        <v>69</v>
      </c>
      <c r="H1056" s="45" t="s">
        <v>166</v>
      </c>
      <c r="I1056" s="45" t="s">
        <v>980</v>
      </c>
      <c r="J1056" s="143" t="s">
        <v>364</v>
      </c>
      <c r="K1056" s="43" t="str">
        <f t="array" ref="K1056">IF(J1056="","", XLOOKUP(J1056,'⚙️ Pengaturan'!$E$2:$E3237,'⚙️ Pengaturan'!$G$2:$G3237))</f>
        <v>VISIT FT PAKET</v>
      </c>
      <c r="L1056" s="43" t="str">
        <f t="shared" si="3"/>
        <v>BARU</v>
      </c>
      <c r="M1056" s="144" t="s">
        <v>60</v>
      </c>
      <c r="N1056" s="145">
        <v>1250000.0</v>
      </c>
      <c r="O1056" s="146">
        <v>0.0</v>
      </c>
      <c r="P1056" s="48">
        <f t="array" ref="P1056">IFNA(XLOOKUP(J1056,'⚙️ Pengaturan'!$E$2:$E3237,'⚙️ Pengaturan'!$F$2:$F3237),"")</f>
        <v>2300000</v>
      </c>
      <c r="Q1056" s="147">
        <f t="shared" si="19"/>
        <v>-1050000</v>
      </c>
      <c r="R1056" s="41" t="s">
        <v>37</v>
      </c>
      <c r="S1056" s="69" t="s">
        <v>998</v>
      </c>
      <c r="T1056" s="51" t="b">
        <v>1</v>
      </c>
      <c r="U1056" s="94"/>
    </row>
    <row r="1057" ht="30.0" customHeight="1">
      <c r="A1057" s="39"/>
      <c r="B1057" s="40">
        <v>3092.0</v>
      </c>
      <c r="C1057" s="41" t="s">
        <v>50</v>
      </c>
      <c r="D1057" s="86">
        <v>46098.0</v>
      </c>
      <c r="E1057" s="43" t="str">
        <f t="shared" si="1"/>
        <v>2026</v>
      </c>
      <c r="F1057" s="43" t="str">
        <f t="shared" si="2"/>
        <v>03 Mar</v>
      </c>
      <c r="G1057" s="45" t="s">
        <v>195</v>
      </c>
      <c r="H1057" s="45" t="s">
        <v>96</v>
      </c>
      <c r="I1057" s="45" t="s">
        <v>983</v>
      </c>
      <c r="J1057" s="143" t="s">
        <v>119</v>
      </c>
      <c r="K1057" s="43" t="str">
        <f t="array" ref="K1057">IF(J1057="","", XLOOKUP(J1057,'⚙️ Pengaturan'!$E$2:$E3237,'⚙️ Pengaturan'!$G$2:$G3237))</f>
        <v>KLINIK FT PAKET</v>
      </c>
      <c r="L1057" s="43" t="str">
        <f t="shared" si="3"/>
        <v>BARU</v>
      </c>
      <c r="M1057" s="144" t="s">
        <v>31</v>
      </c>
      <c r="N1057" s="145">
        <v>750000.0</v>
      </c>
      <c r="O1057" s="146">
        <v>0.0</v>
      </c>
      <c r="P1057" s="48">
        <f t="array" ref="P1057">IFNA(XLOOKUP(J1057,'⚙️ Pengaturan'!$E$2:$E3237,'⚙️ Pengaturan'!$F$2:$F3237),"")</f>
        <v>750000</v>
      </c>
      <c r="Q1057" s="147">
        <f t="shared" si="19"/>
        <v>0</v>
      </c>
      <c r="R1057" s="41" t="s">
        <v>118</v>
      </c>
      <c r="S1057" s="69" t="s">
        <v>983</v>
      </c>
      <c r="T1057" s="51" t="b">
        <v>1</v>
      </c>
      <c r="U1057" s="94"/>
    </row>
    <row r="1058" ht="30.0" customHeight="1">
      <c r="A1058" s="39"/>
      <c r="B1058" s="40">
        <v>3093.0</v>
      </c>
      <c r="C1058" s="41" t="s">
        <v>50</v>
      </c>
      <c r="D1058" s="86">
        <v>46098.0</v>
      </c>
      <c r="E1058" s="43" t="str">
        <f t="shared" si="1"/>
        <v>2026</v>
      </c>
      <c r="F1058" s="43" t="str">
        <f t="shared" si="2"/>
        <v>03 Mar</v>
      </c>
      <c r="G1058" s="45" t="s">
        <v>161</v>
      </c>
      <c r="H1058" s="45" t="s">
        <v>47</v>
      </c>
      <c r="I1058" s="45" t="s">
        <v>815</v>
      </c>
      <c r="J1058" s="143" t="s">
        <v>120</v>
      </c>
      <c r="K1058" s="43" t="str">
        <f t="array" ref="K1058">IF(J1058="","", XLOOKUP(J1058,'⚙️ Pengaturan'!$E$2:$E3237,'⚙️ Pengaturan'!$G$2:$G3237))</f>
        <v>KLINIK FT SESI</v>
      </c>
      <c r="L1058" s="43" t="str">
        <f t="shared" si="3"/>
        <v>LANJUTAN</v>
      </c>
      <c r="M1058" s="144" t="s">
        <v>31</v>
      </c>
      <c r="N1058" s="145">
        <v>180000.0</v>
      </c>
      <c r="O1058" s="146">
        <v>0.0</v>
      </c>
      <c r="P1058" s="48">
        <f t="array" ref="P1058">IFNA(XLOOKUP(J1058,'⚙️ Pengaturan'!$E$2:$E3237,'⚙️ Pengaturan'!$F$2:$F3237),"")</f>
        <v>180000</v>
      </c>
      <c r="Q1058" s="147">
        <f t="shared" si="19"/>
        <v>0</v>
      </c>
      <c r="R1058" s="41" t="s">
        <v>37</v>
      </c>
      <c r="S1058" s="69" t="s">
        <v>815</v>
      </c>
      <c r="T1058" s="51" t="b">
        <v>1</v>
      </c>
      <c r="U1058" s="94"/>
    </row>
    <row r="1059" ht="30.0" customHeight="1">
      <c r="A1059" s="39"/>
      <c r="B1059" s="40">
        <v>3094.0</v>
      </c>
      <c r="C1059" s="41" t="s">
        <v>39</v>
      </c>
      <c r="D1059" s="86">
        <v>46098.0</v>
      </c>
      <c r="E1059" s="43" t="str">
        <f t="shared" si="1"/>
        <v>2026</v>
      </c>
      <c r="F1059" s="43" t="str">
        <f t="shared" si="2"/>
        <v>03 Mar</v>
      </c>
      <c r="G1059" s="45" t="s">
        <v>43</v>
      </c>
      <c r="H1059" s="45" t="s">
        <v>26</v>
      </c>
      <c r="I1059" s="45" t="s">
        <v>990</v>
      </c>
      <c r="J1059" s="143" t="s">
        <v>120</v>
      </c>
      <c r="K1059" s="43" t="str">
        <f t="array" ref="K1059">IF(J1059="","", XLOOKUP(J1059,'⚙️ Pengaturan'!$E$2:$E3237,'⚙️ Pengaturan'!$G$2:$G3237))</f>
        <v>KLINIK FT SESI</v>
      </c>
      <c r="L1059" s="43" t="str">
        <f t="shared" si="3"/>
        <v>BARU</v>
      </c>
      <c r="M1059" s="144" t="s">
        <v>31</v>
      </c>
      <c r="N1059" s="145">
        <v>180000.0</v>
      </c>
      <c r="O1059" s="146">
        <v>0.0</v>
      </c>
      <c r="P1059" s="48">
        <f t="array" ref="P1059">IFNA(XLOOKUP(J1059,'⚙️ Pengaturan'!$E$2:$E3237,'⚙️ Pengaturan'!$F$2:$F3237),"")</f>
        <v>180000</v>
      </c>
      <c r="Q1059" s="147">
        <f t="shared" si="19"/>
        <v>0</v>
      </c>
      <c r="R1059" s="41" t="s">
        <v>32</v>
      </c>
      <c r="S1059" s="69" t="s">
        <v>33</v>
      </c>
      <c r="T1059" s="51" t="b">
        <v>1</v>
      </c>
      <c r="U1059" s="94"/>
    </row>
    <row r="1060" ht="30.0" customHeight="1">
      <c r="A1060" s="39"/>
      <c r="B1060" s="40">
        <v>3095.0</v>
      </c>
      <c r="C1060" s="41" t="s">
        <v>39</v>
      </c>
      <c r="D1060" s="86">
        <v>46098.0</v>
      </c>
      <c r="E1060" s="43" t="str">
        <f t="shared" si="1"/>
        <v>2026</v>
      </c>
      <c r="F1060" s="43" t="str">
        <f t="shared" si="2"/>
        <v>03 Mar</v>
      </c>
      <c r="G1060" s="45" t="s">
        <v>69</v>
      </c>
      <c r="H1060" s="45" t="s">
        <v>150</v>
      </c>
      <c r="I1060" s="45" t="s">
        <v>963</v>
      </c>
      <c r="J1060" s="143" t="s">
        <v>119</v>
      </c>
      <c r="K1060" s="43" t="str">
        <f t="array" ref="K1060">IF(J1060="","", XLOOKUP(J1060,'⚙️ Pengaturan'!$E$2:$E3237,'⚙️ Pengaturan'!$G$2:$G3237))</f>
        <v>KLINIK FT PAKET</v>
      </c>
      <c r="L1060" s="43" t="str">
        <f t="shared" si="3"/>
        <v>LANJUTAN</v>
      </c>
      <c r="M1060" s="144" t="s">
        <v>164</v>
      </c>
      <c r="N1060" s="145">
        <v>550000.0</v>
      </c>
      <c r="O1060" s="146">
        <v>0.0</v>
      </c>
      <c r="P1060" s="48">
        <f t="array" ref="P1060">IFNA(XLOOKUP(J1060,'⚙️ Pengaturan'!$E$2:$E3237,'⚙️ Pengaturan'!$F$2:$F3237),"")</f>
        <v>750000</v>
      </c>
      <c r="Q1060" s="147">
        <f t="shared" si="19"/>
        <v>-200000</v>
      </c>
      <c r="R1060" s="41" t="s">
        <v>32</v>
      </c>
      <c r="S1060" s="69" t="s">
        <v>33</v>
      </c>
      <c r="T1060" s="51" t="b">
        <v>1</v>
      </c>
      <c r="U1060" s="94"/>
    </row>
    <row r="1061" ht="30.0" customHeight="1">
      <c r="A1061" s="39"/>
      <c r="B1061" s="40">
        <v>3096.0</v>
      </c>
      <c r="C1061" s="41" t="s">
        <v>39</v>
      </c>
      <c r="D1061" s="86">
        <v>46098.0</v>
      </c>
      <c r="E1061" s="43" t="str">
        <f t="shared" si="1"/>
        <v>2026</v>
      </c>
      <c r="F1061" s="43" t="str">
        <f t="shared" si="2"/>
        <v>03 Mar</v>
      </c>
      <c r="G1061" s="45" t="s">
        <v>69</v>
      </c>
      <c r="H1061" s="45" t="s">
        <v>162</v>
      </c>
      <c r="I1061" s="45" t="s">
        <v>951</v>
      </c>
      <c r="J1061" s="143" t="s">
        <v>347</v>
      </c>
      <c r="K1061" s="43" t="str">
        <f t="array" ref="K1061">IF(J1061="","", XLOOKUP(J1061,'⚙️ Pengaturan'!$E$2:$E3237,'⚙️ Pengaturan'!$G$2:$G3237))</f>
        <v>KLINIK FT PAKET</v>
      </c>
      <c r="L1061" s="43" t="str">
        <f t="shared" si="3"/>
        <v>LANJUTAN</v>
      </c>
      <c r="M1061" s="144" t="s">
        <v>81</v>
      </c>
      <c r="N1061" s="145">
        <v>50000.0</v>
      </c>
      <c r="O1061" s="146">
        <v>250000.0</v>
      </c>
      <c r="P1061" s="119">
        <v>500000.0</v>
      </c>
      <c r="Q1061" s="147">
        <f t="shared" si="19"/>
        <v>-200000</v>
      </c>
      <c r="R1061" s="41" t="s">
        <v>32</v>
      </c>
      <c r="S1061" s="69" t="s">
        <v>33</v>
      </c>
      <c r="T1061" s="51" t="b">
        <v>1</v>
      </c>
      <c r="U1061" s="94"/>
    </row>
    <row r="1062" ht="30.0" customHeight="1">
      <c r="A1062" s="39"/>
      <c r="B1062" s="40">
        <v>3097.0</v>
      </c>
      <c r="C1062" s="41" t="s">
        <v>39</v>
      </c>
      <c r="D1062" s="86">
        <v>46098.0</v>
      </c>
      <c r="E1062" s="43" t="str">
        <f t="shared" si="1"/>
        <v>2026</v>
      </c>
      <c r="F1062" s="43" t="str">
        <f t="shared" si="2"/>
        <v>03 Mar</v>
      </c>
      <c r="G1062" s="45" t="s">
        <v>69</v>
      </c>
      <c r="H1062" s="45" t="s">
        <v>166</v>
      </c>
      <c r="I1062" s="45" t="s">
        <v>999</v>
      </c>
      <c r="J1062" s="143" t="s">
        <v>28</v>
      </c>
      <c r="K1062" s="43" t="str">
        <f t="array" ref="K1062">IF(J1062="","", XLOOKUP(J1062,'⚙️ Pengaturan'!$E$2:$E3237,'⚙️ Pengaturan'!$G$2:$G3237))</f>
        <v>KLINIK FT TA</v>
      </c>
      <c r="L1062" s="43" t="str">
        <f t="shared" si="3"/>
        <v>BARU</v>
      </c>
      <c r="M1062" s="144" t="s">
        <v>31</v>
      </c>
      <c r="N1062" s="145">
        <v>200000.0</v>
      </c>
      <c r="O1062" s="146">
        <v>50000.0</v>
      </c>
      <c r="P1062" s="48">
        <f t="array" ref="P1062">IFNA(XLOOKUP(J1062,'⚙️ Pengaturan'!$E$2:$E3237,'⚙️ Pengaturan'!$F$2:$F3237),"")</f>
        <v>250000</v>
      </c>
      <c r="Q1062" s="147">
        <f t="shared" si="19"/>
        <v>0</v>
      </c>
      <c r="R1062" s="41" t="s">
        <v>32</v>
      </c>
      <c r="S1062" s="69" t="s">
        <v>33</v>
      </c>
      <c r="T1062" s="51" t="b">
        <v>1</v>
      </c>
      <c r="U1062" s="94"/>
    </row>
    <row r="1063" ht="30.0" customHeight="1">
      <c r="A1063" s="39"/>
      <c r="B1063" s="40">
        <v>3098.0</v>
      </c>
      <c r="C1063" s="41" t="s">
        <v>39</v>
      </c>
      <c r="D1063" s="86">
        <v>46098.0</v>
      </c>
      <c r="E1063" s="43" t="str">
        <f t="shared" si="1"/>
        <v>2026</v>
      </c>
      <c r="F1063" s="43" t="str">
        <f t="shared" si="2"/>
        <v>03 Mar</v>
      </c>
      <c r="G1063" s="45" t="s">
        <v>155</v>
      </c>
      <c r="H1063" s="45" t="s">
        <v>162</v>
      </c>
      <c r="I1063" s="45" t="s">
        <v>617</v>
      </c>
      <c r="J1063" s="143" t="s">
        <v>92</v>
      </c>
      <c r="K1063" s="43" t="str">
        <f t="array" ref="K1063">IF(J1063="","", XLOOKUP(J1063,'⚙️ Pengaturan'!$E$2:$E3237,'⚙️ Pengaturan'!$G$2:$G3237))</f>
        <v>KLINIK FT PAKET</v>
      </c>
      <c r="L1063" s="43" t="str">
        <f t="shared" si="3"/>
        <v>LANJUTAN</v>
      </c>
      <c r="M1063" s="144" t="s">
        <v>31</v>
      </c>
      <c r="N1063" s="145">
        <v>1200000.0</v>
      </c>
      <c r="O1063" s="146">
        <v>0.0</v>
      </c>
      <c r="P1063" s="48">
        <f t="array" ref="P1063">IFNA(XLOOKUP(J1063,'⚙️ Pengaturan'!$E$2:$E3237,'⚙️ Pengaturan'!$F$2:$F3237),"")</f>
        <v>1200000</v>
      </c>
      <c r="Q1063" s="147">
        <f t="shared" si="19"/>
        <v>0</v>
      </c>
      <c r="R1063" s="41" t="s">
        <v>37</v>
      </c>
      <c r="S1063" s="69" t="s">
        <v>617</v>
      </c>
      <c r="T1063" s="51" t="b">
        <v>1</v>
      </c>
      <c r="U1063" s="94"/>
    </row>
    <row r="1064" ht="30.0" customHeight="1">
      <c r="A1064" s="39"/>
      <c r="B1064" s="40">
        <v>3099.0</v>
      </c>
      <c r="C1064" s="41" t="s">
        <v>39</v>
      </c>
      <c r="D1064" s="86">
        <v>46098.0</v>
      </c>
      <c r="E1064" s="43" t="str">
        <f t="shared" si="1"/>
        <v>2026</v>
      </c>
      <c r="F1064" s="43" t="str">
        <f t="shared" si="2"/>
        <v>03 Mar</v>
      </c>
      <c r="G1064" s="45" t="s">
        <v>190</v>
      </c>
      <c r="H1064" s="45" t="s">
        <v>26</v>
      </c>
      <c r="I1064" s="45" t="s">
        <v>985</v>
      </c>
      <c r="J1064" s="143" t="s">
        <v>120</v>
      </c>
      <c r="K1064" s="43" t="str">
        <f t="array" ref="K1064">IF(J1064="","", XLOOKUP(J1064,'⚙️ Pengaturan'!$E$2:$E3237,'⚙️ Pengaturan'!$G$2:$G3237))</f>
        <v>KLINIK FT SESI</v>
      </c>
      <c r="L1064" s="43" t="str">
        <f t="shared" si="3"/>
        <v>BARU</v>
      </c>
      <c r="M1064" s="144" t="s">
        <v>31</v>
      </c>
      <c r="N1064" s="145">
        <v>180000.0</v>
      </c>
      <c r="O1064" s="146">
        <v>0.0</v>
      </c>
      <c r="P1064" s="48">
        <f t="array" ref="P1064">IFNA(XLOOKUP(J1064,'⚙️ Pengaturan'!$E$2:$E3237,'⚙️ Pengaturan'!$F$2:$F3237),"")</f>
        <v>180000</v>
      </c>
      <c r="Q1064" s="147">
        <f t="shared" si="19"/>
        <v>0</v>
      </c>
      <c r="R1064" s="41" t="s">
        <v>37</v>
      </c>
      <c r="S1064" s="69" t="s">
        <v>985</v>
      </c>
      <c r="T1064" s="51" t="b">
        <v>1</v>
      </c>
      <c r="U1064" s="94"/>
    </row>
    <row r="1065" ht="30.0" customHeight="1">
      <c r="A1065" s="39"/>
      <c r="B1065" s="40">
        <v>3100.0</v>
      </c>
      <c r="C1065" s="41" t="s">
        <v>39</v>
      </c>
      <c r="D1065" s="86">
        <v>46098.0</v>
      </c>
      <c r="E1065" s="43" t="str">
        <f t="shared" si="1"/>
        <v>2026</v>
      </c>
      <c r="F1065" s="43" t="str">
        <f t="shared" si="2"/>
        <v>03 Mar</v>
      </c>
      <c r="G1065" s="45" t="s">
        <v>190</v>
      </c>
      <c r="H1065" s="45" t="s">
        <v>150</v>
      </c>
      <c r="I1065" s="45" t="s">
        <v>1000</v>
      </c>
      <c r="J1065" s="143" t="s">
        <v>28</v>
      </c>
      <c r="K1065" s="43" t="str">
        <f t="array" ref="K1065">IF(J1065="","", XLOOKUP(J1065,'⚙️ Pengaturan'!$E$2:$E3237,'⚙️ Pengaturan'!$G$2:$G3237))</f>
        <v>KLINIK FT TA</v>
      </c>
      <c r="L1065" s="43" t="str">
        <f t="shared" si="3"/>
        <v>BARU</v>
      </c>
      <c r="M1065" s="144" t="s">
        <v>31</v>
      </c>
      <c r="N1065" s="145">
        <v>200000.0</v>
      </c>
      <c r="O1065" s="146">
        <v>50000.0</v>
      </c>
      <c r="P1065" s="48">
        <f t="array" ref="P1065">IFNA(XLOOKUP(J1065,'⚙️ Pengaturan'!$E$2:$E3237,'⚙️ Pengaturan'!$F$2:$F3237),"")</f>
        <v>250000</v>
      </c>
      <c r="Q1065" s="147">
        <f t="shared" si="19"/>
        <v>0</v>
      </c>
      <c r="R1065" s="41" t="s">
        <v>37</v>
      </c>
      <c r="S1065" s="69" t="s">
        <v>985</v>
      </c>
      <c r="T1065" s="51" t="b">
        <v>1</v>
      </c>
      <c r="U1065" s="94"/>
    </row>
    <row r="1066" ht="30.0" customHeight="1">
      <c r="A1066" s="39"/>
      <c r="B1066" s="40">
        <v>3101.0</v>
      </c>
      <c r="C1066" s="41" t="s">
        <v>39</v>
      </c>
      <c r="D1066" s="86">
        <v>46098.0</v>
      </c>
      <c r="E1066" s="43" t="str">
        <f t="shared" si="1"/>
        <v>2026</v>
      </c>
      <c r="F1066" s="43" t="str">
        <f t="shared" si="2"/>
        <v>03 Mar</v>
      </c>
      <c r="G1066" s="45" t="s">
        <v>190</v>
      </c>
      <c r="H1066" s="45" t="s">
        <v>150</v>
      </c>
      <c r="I1066" s="45" t="s">
        <v>1000</v>
      </c>
      <c r="J1066" s="143" t="s">
        <v>119</v>
      </c>
      <c r="K1066" s="43" t="str">
        <f t="array" ref="K1066">IF(J1066="","", XLOOKUP(J1066,'⚙️ Pengaturan'!$E$2:$E3237,'⚙️ Pengaturan'!$G$2:$G3237))</f>
        <v>KLINIK FT PAKET</v>
      </c>
      <c r="L1066" s="43" t="str">
        <f t="shared" si="3"/>
        <v>BARU</v>
      </c>
      <c r="M1066" s="144" t="s">
        <v>31</v>
      </c>
      <c r="N1066" s="145">
        <v>750000.0</v>
      </c>
      <c r="O1066" s="146">
        <v>0.0</v>
      </c>
      <c r="P1066" s="48">
        <f t="array" ref="P1066">IFNA(XLOOKUP(J1066,'⚙️ Pengaturan'!$E$2:$E3237,'⚙️ Pengaturan'!$F$2:$F3237),"")</f>
        <v>750000</v>
      </c>
      <c r="Q1066" s="147">
        <f t="shared" si="19"/>
        <v>0</v>
      </c>
      <c r="R1066" s="41" t="s">
        <v>37</v>
      </c>
      <c r="S1066" s="69" t="s">
        <v>985</v>
      </c>
      <c r="T1066" s="51" t="b">
        <v>1</v>
      </c>
      <c r="U1066" s="94"/>
    </row>
    <row r="1067" ht="30.0" customHeight="1">
      <c r="A1067" s="39"/>
      <c r="B1067" s="40">
        <v>3102.0</v>
      </c>
      <c r="C1067" s="41" t="s">
        <v>39</v>
      </c>
      <c r="D1067" s="86">
        <v>46098.0</v>
      </c>
      <c r="E1067" s="43" t="str">
        <f t="shared" si="1"/>
        <v>2026</v>
      </c>
      <c r="F1067" s="43" t="str">
        <f t="shared" si="2"/>
        <v>03 Mar</v>
      </c>
      <c r="G1067" s="45" t="s">
        <v>69</v>
      </c>
      <c r="H1067" s="45" t="s">
        <v>41</v>
      </c>
      <c r="I1067" s="45" t="s">
        <v>1001</v>
      </c>
      <c r="J1067" s="143" t="s">
        <v>291</v>
      </c>
      <c r="K1067" s="43" t="str">
        <f t="array" ref="K1067">IF(J1067="","", XLOOKUP(J1067,'⚙️ Pengaturan'!$E$2:$E3237,'⚙️ Pengaturan'!$G$2:$G3237))</f>
        <v>VISIT FT TA</v>
      </c>
      <c r="L1067" s="43" t="str">
        <f t="shared" si="3"/>
        <v>BARU</v>
      </c>
      <c r="M1067" s="144" t="s">
        <v>31</v>
      </c>
      <c r="N1067" s="145">
        <v>350000.0</v>
      </c>
      <c r="O1067" s="146">
        <v>0.0</v>
      </c>
      <c r="P1067" s="48">
        <f t="array" ref="P1067">IFNA(XLOOKUP(J1067,'⚙️ Pengaturan'!$E$2:$E3237,'⚙️ Pengaturan'!$F$2:$F3237),"")</f>
        <v>350000</v>
      </c>
      <c r="Q1067" s="147">
        <f t="shared" si="19"/>
        <v>0</v>
      </c>
      <c r="R1067" s="41" t="s">
        <v>32</v>
      </c>
      <c r="S1067" s="69" t="s">
        <v>33</v>
      </c>
      <c r="T1067" s="51" t="b">
        <v>1</v>
      </c>
      <c r="U1067" s="94" t="s">
        <v>1002</v>
      </c>
    </row>
    <row r="1068" ht="30.0" customHeight="1">
      <c r="A1068" s="39"/>
      <c r="B1068" s="40">
        <v>3103.0</v>
      </c>
      <c r="C1068" s="41" t="s">
        <v>39</v>
      </c>
      <c r="D1068" s="86">
        <v>46098.0</v>
      </c>
      <c r="E1068" s="43" t="str">
        <f t="shared" si="1"/>
        <v>2026</v>
      </c>
      <c r="F1068" s="43" t="str">
        <f t="shared" si="2"/>
        <v>03 Mar</v>
      </c>
      <c r="G1068" s="45" t="s">
        <v>69</v>
      </c>
      <c r="H1068" s="45" t="s">
        <v>26</v>
      </c>
      <c r="I1068" s="45" t="s">
        <v>984</v>
      </c>
      <c r="J1068" s="143" t="s">
        <v>120</v>
      </c>
      <c r="K1068" s="43" t="str">
        <f t="array" ref="K1068">IF(J1068="","", XLOOKUP(J1068,'⚙️ Pengaturan'!$E$2:$E3237,'⚙️ Pengaturan'!$G$2:$G3237))</f>
        <v>KLINIK FT SESI</v>
      </c>
      <c r="L1068" s="43" t="str">
        <f t="shared" si="3"/>
        <v>BARU</v>
      </c>
      <c r="M1068" s="144" t="s">
        <v>31</v>
      </c>
      <c r="N1068" s="145">
        <v>180000.0</v>
      </c>
      <c r="O1068" s="146">
        <v>0.0</v>
      </c>
      <c r="P1068" s="48">
        <f t="array" ref="P1068">IFNA(XLOOKUP(J1068,'⚙️ Pengaturan'!$E$2:$E3237,'⚙️ Pengaturan'!$F$2:$F3237),"")</f>
        <v>180000</v>
      </c>
      <c r="Q1068" s="147">
        <f t="shared" si="19"/>
        <v>0</v>
      </c>
      <c r="R1068" s="41" t="s">
        <v>37</v>
      </c>
      <c r="S1068" s="69" t="s">
        <v>984</v>
      </c>
      <c r="T1068" s="51" t="b">
        <v>1</v>
      </c>
      <c r="U1068" s="94"/>
    </row>
    <row r="1069" ht="30.0" customHeight="1">
      <c r="A1069" s="39"/>
      <c r="B1069" s="40">
        <v>3104.0</v>
      </c>
      <c r="C1069" s="41" t="s">
        <v>50</v>
      </c>
      <c r="D1069" s="86">
        <v>46099.0</v>
      </c>
      <c r="E1069" s="43" t="str">
        <f t="shared" si="1"/>
        <v>2026</v>
      </c>
      <c r="F1069" s="43" t="str">
        <f t="shared" si="2"/>
        <v>03 Mar</v>
      </c>
      <c r="G1069" s="45" t="s">
        <v>195</v>
      </c>
      <c r="H1069" s="45" t="s">
        <v>96</v>
      </c>
      <c r="I1069" s="45" t="s">
        <v>1003</v>
      </c>
      <c r="J1069" s="143" t="s">
        <v>28</v>
      </c>
      <c r="K1069" s="43" t="str">
        <f t="array" ref="K1069">IF(J1069="","", XLOOKUP(J1069,'⚙️ Pengaturan'!$E$2:$E3237,'⚙️ Pengaturan'!$G$2:$G3237))</f>
        <v>KLINIK FT TA</v>
      </c>
      <c r="L1069" s="43" t="str">
        <f t="shared" si="3"/>
        <v>BARU</v>
      </c>
      <c r="M1069" s="144" t="s">
        <v>31</v>
      </c>
      <c r="N1069" s="145">
        <v>200000.0</v>
      </c>
      <c r="O1069" s="146">
        <v>50000.0</v>
      </c>
      <c r="P1069" s="48">
        <f t="array" ref="P1069">IFNA(XLOOKUP(J1069,'⚙️ Pengaturan'!$E$2:$E3237,'⚙️ Pengaturan'!$F$2:$F3237),"")</f>
        <v>250000</v>
      </c>
      <c r="Q1069" s="147">
        <f t="shared" si="19"/>
        <v>0</v>
      </c>
      <c r="R1069" s="41" t="s">
        <v>32</v>
      </c>
      <c r="S1069" s="69" t="s">
        <v>33</v>
      </c>
      <c r="T1069" s="51" t="b">
        <v>1</v>
      </c>
      <c r="U1069" s="94"/>
    </row>
    <row r="1070" ht="30.0" customHeight="1">
      <c r="A1070" s="39"/>
      <c r="B1070" s="40">
        <v>3105.0</v>
      </c>
      <c r="C1070" s="41" t="s">
        <v>50</v>
      </c>
      <c r="D1070" s="86">
        <v>46099.0</v>
      </c>
      <c r="E1070" s="43" t="str">
        <f t="shared" si="1"/>
        <v>2026</v>
      </c>
      <c r="F1070" s="43" t="str">
        <f t="shared" si="2"/>
        <v>03 Mar</v>
      </c>
      <c r="G1070" s="45" t="s">
        <v>195</v>
      </c>
      <c r="H1070" s="45" t="s">
        <v>41</v>
      </c>
      <c r="I1070" s="45" t="s">
        <v>1004</v>
      </c>
      <c r="J1070" s="143" t="s">
        <v>28</v>
      </c>
      <c r="K1070" s="43" t="str">
        <f t="array" ref="K1070">IF(J1070="","", XLOOKUP(J1070,'⚙️ Pengaturan'!$E$2:$E3237,'⚙️ Pengaturan'!$G$2:$G3237))</f>
        <v>KLINIK FT TA</v>
      </c>
      <c r="L1070" s="43" t="str">
        <f t="shared" si="3"/>
        <v>BARU</v>
      </c>
      <c r="M1070" s="144" t="s">
        <v>31</v>
      </c>
      <c r="N1070" s="145">
        <v>200000.0</v>
      </c>
      <c r="O1070" s="146">
        <v>50000.0</v>
      </c>
      <c r="P1070" s="48">
        <f t="array" ref="P1070">IFNA(XLOOKUP(J1070,'⚙️ Pengaturan'!$E$2:$E3237,'⚙️ Pengaturan'!$F$2:$F3237),"")</f>
        <v>250000</v>
      </c>
      <c r="Q1070" s="147">
        <f t="shared" si="19"/>
        <v>0</v>
      </c>
      <c r="R1070" s="41" t="s">
        <v>37</v>
      </c>
      <c r="S1070" s="69" t="s">
        <v>1004</v>
      </c>
      <c r="T1070" s="51" t="b">
        <v>1</v>
      </c>
      <c r="U1070" s="94"/>
    </row>
    <row r="1071" ht="30.0" customHeight="1">
      <c r="A1071" s="39"/>
      <c r="B1071" s="40">
        <v>3106.0</v>
      </c>
      <c r="C1071" s="41" t="s">
        <v>50</v>
      </c>
      <c r="D1071" s="86">
        <v>46099.0</v>
      </c>
      <c r="E1071" s="43" t="str">
        <f t="shared" si="1"/>
        <v>2026</v>
      </c>
      <c r="F1071" s="43" t="str">
        <f t="shared" si="2"/>
        <v>03 Mar</v>
      </c>
      <c r="G1071" s="45" t="s">
        <v>195</v>
      </c>
      <c r="H1071" s="45" t="s">
        <v>149</v>
      </c>
      <c r="I1071" s="45" t="s">
        <v>1005</v>
      </c>
      <c r="J1071" s="143" t="s">
        <v>28</v>
      </c>
      <c r="K1071" s="43" t="str">
        <f t="array" ref="K1071">IF(J1071="","", XLOOKUP(J1071,'⚙️ Pengaturan'!$E$2:$E3237,'⚙️ Pengaturan'!$G$2:$G3237))</f>
        <v>KLINIK FT TA</v>
      </c>
      <c r="L1071" s="43" t="str">
        <f t="shared" si="3"/>
        <v>BARU</v>
      </c>
      <c r="M1071" s="144" t="s">
        <v>31</v>
      </c>
      <c r="N1071" s="145">
        <v>160000.0</v>
      </c>
      <c r="O1071" s="146">
        <v>90000.0</v>
      </c>
      <c r="P1071" s="48">
        <f t="array" ref="P1071">IFNA(XLOOKUP(J1071,'⚙️ Pengaturan'!$E$2:$E3237,'⚙️ Pengaturan'!$F$2:$F3237),"")</f>
        <v>250000</v>
      </c>
      <c r="Q1071" s="147">
        <f t="shared" si="19"/>
        <v>0</v>
      </c>
      <c r="R1071" s="41" t="s">
        <v>32</v>
      </c>
      <c r="S1071" s="69" t="s">
        <v>33</v>
      </c>
      <c r="T1071" s="51" t="b">
        <v>1</v>
      </c>
      <c r="U1071" s="94"/>
    </row>
    <row r="1072" ht="30.0" customHeight="1">
      <c r="A1072" s="39"/>
      <c r="B1072" s="40">
        <v>3107.0</v>
      </c>
      <c r="C1072" s="41" t="s">
        <v>50</v>
      </c>
      <c r="D1072" s="86">
        <v>46099.0</v>
      </c>
      <c r="E1072" s="43" t="str">
        <f t="shared" si="1"/>
        <v>2026</v>
      </c>
      <c r="F1072" s="43" t="str">
        <f t="shared" si="2"/>
        <v>03 Mar</v>
      </c>
      <c r="G1072" s="45" t="s">
        <v>25</v>
      </c>
      <c r="H1072" s="45" t="s">
        <v>149</v>
      </c>
      <c r="I1072" s="45" t="s">
        <v>1006</v>
      </c>
      <c r="J1072" s="143" t="s">
        <v>28</v>
      </c>
      <c r="K1072" s="43" t="str">
        <f t="array" ref="K1072">IF(J1072="","", XLOOKUP(J1072,'⚙️ Pengaturan'!$E$2:$E3237,'⚙️ Pengaturan'!$G$2:$G3237))</f>
        <v>KLINIK FT TA</v>
      </c>
      <c r="L1072" s="43" t="str">
        <f t="shared" si="3"/>
        <v>BARU</v>
      </c>
      <c r="M1072" s="144" t="s">
        <v>31</v>
      </c>
      <c r="N1072" s="145">
        <v>160000.0</v>
      </c>
      <c r="O1072" s="146">
        <v>90000.0</v>
      </c>
      <c r="P1072" s="48">
        <f t="array" ref="P1072">IFNA(XLOOKUP(J1072,'⚙️ Pengaturan'!$E$2:$E3237,'⚙️ Pengaturan'!$F$2:$F3237),"")</f>
        <v>250000</v>
      </c>
      <c r="Q1072" s="147">
        <f t="shared" si="19"/>
        <v>0</v>
      </c>
      <c r="R1072" s="41" t="s">
        <v>32</v>
      </c>
      <c r="S1072" s="69" t="s">
        <v>33</v>
      </c>
      <c r="T1072" s="51" t="b">
        <v>1</v>
      </c>
      <c r="U1072" s="94"/>
    </row>
    <row r="1073" ht="30.0" customHeight="1">
      <c r="A1073" s="39"/>
      <c r="B1073" s="40">
        <v>3108.0</v>
      </c>
      <c r="C1073" s="41" t="s">
        <v>50</v>
      </c>
      <c r="D1073" s="86">
        <v>46099.0</v>
      </c>
      <c r="E1073" s="43" t="str">
        <f t="shared" si="1"/>
        <v>2026</v>
      </c>
      <c r="F1073" s="43" t="str">
        <f t="shared" si="2"/>
        <v>03 Mar</v>
      </c>
      <c r="G1073" s="45" t="s">
        <v>69</v>
      </c>
      <c r="H1073" s="45" t="s">
        <v>41</v>
      </c>
      <c r="I1073" s="45" t="s">
        <v>1001</v>
      </c>
      <c r="J1073" s="143" t="s">
        <v>291</v>
      </c>
      <c r="K1073" s="43" t="str">
        <f t="array" ref="K1073">IF(J1073="","", XLOOKUP(J1073,'⚙️ Pengaturan'!$E$2:$E3237,'⚙️ Pengaturan'!$G$2:$G3237))</f>
        <v>VISIT FT TA</v>
      </c>
      <c r="L1073" s="43" t="str">
        <f t="shared" si="3"/>
        <v>LANJUTAN</v>
      </c>
      <c r="M1073" s="144" t="s">
        <v>31</v>
      </c>
      <c r="N1073" s="145">
        <v>350000.0</v>
      </c>
      <c r="O1073" s="146">
        <v>0.0</v>
      </c>
      <c r="P1073" s="48">
        <f t="array" ref="P1073">IFNA(XLOOKUP(J1073,'⚙️ Pengaturan'!$E$2:$E3237,'⚙️ Pengaturan'!$F$2:$F3237),"")</f>
        <v>350000</v>
      </c>
      <c r="Q1073" s="147">
        <f t="shared" si="19"/>
        <v>0</v>
      </c>
      <c r="R1073" s="41" t="s">
        <v>32</v>
      </c>
      <c r="S1073" s="69" t="s">
        <v>33</v>
      </c>
      <c r="T1073" s="51" t="b">
        <v>1</v>
      </c>
      <c r="U1073" s="94"/>
    </row>
    <row r="1074" ht="30.0" customHeight="1">
      <c r="A1074" s="39"/>
      <c r="B1074" s="40">
        <v>3109.0</v>
      </c>
      <c r="C1074" s="41" t="s">
        <v>50</v>
      </c>
      <c r="D1074" s="86">
        <v>46099.0</v>
      </c>
      <c r="E1074" s="43" t="str">
        <f t="shared" si="1"/>
        <v>2026</v>
      </c>
      <c r="F1074" s="43" t="str">
        <f t="shared" si="2"/>
        <v>03 Mar</v>
      </c>
      <c r="G1074" s="45" t="s">
        <v>25</v>
      </c>
      <c r="H1074" s="45" t="s">
        <v>41</v>
      </c>
      <c r="I1074" s="45" t="s">
        <v>991</v>
      </c>
      <c r="J1074" s="143" t="s">
        <v>119</v>
      </c>
      <c r="K1074" s="43" t="str">
        <f t="array" ref="K1074">IF(J1074="","", XLOOKUP(J1074,'⚙️ Pengaturan'!$E$2:$E3237,'⚙️ Pengaturan'!$G$2:$G3237))</f>
        <v>KLINIK FT PAKET</v>
      </c>
      <c r="L1074" s="43" t="str">
        <f t="shared" si="3"/>
        <v>BARU</v>
      </c>
      <c r="M1074" s="144" t="s">
        <v>31</v>
      </c>
      <c r="N1074" s="145">
        <v>750000.0</v>
      </c>
      <c r="O1074" s="146">
        <v>0.0</v>
      </c>
      <c r="P1074" s="48">
        <f t="array" ref="P1074">IFNA(XLOOKUP(J1074,'⚙️ Pengaturan'!$E$2:$E3237,'⚙️ Pengaturan'!$F$2:$F3237),"")</f>
        <v>750000</v>
      </c>
      <c r="Q1074" s="147">
        <f t="shared" si="19"/>
        <v>0</v>
      </c>
      <c r="R1074" s="41" t="s">
        <v>32</v>
      </c>
      <c r="S1074" s="69" t="s">
        <v>33</v>
      </c>
      <c r="T1074" s="51" t="b">
        <v>1</v>
      </c>
      <c r="U1074" s="94"/>
    </row>
    <row r="1075" ht="30.0" customHeight="1">
      <c r="A1075" s="39"/>
      <c r="B1075" s="40">
        <v>3110.0</v>
      </c>
      <c r="C1075" s="41" t="s">
        <v>50</v>
      </c>
      <c r="D1075" s="86">
        <v>46099.0</v>
      </c>
      <c r="E1075" s="43" t="str">
        <f t="shared" si="1"/>
        <v>2026</v>
      </c>
      <c r="F1075" s="43" t="str">
        <f t="shared" si="2"/>
        <v>03 Mar</v>
      </c>
      <c r="G1075" s="45" t="s">
        <v>25</v>
      </c>
      <c r="H1075" s="45" t="s">
        <v>41</v>
      </c>
      <c r="I1075" s="45" t="s">
        <v>1004</v>
      </c>
      <c r="J1075" s="143" t="s">
        <v>347</v>
      </c>
      <c r="K1075" s="43" t="str">
        <f t="array" ref="K1075">IF(J1075="","", XLOOKUP(J1075,'⚙️ Pengaturan'!$E$2:$E3237,'⚙️ Pengaturan'!$G$2:$G3237))</f>
        <v>KLINIK FT PAKET</v>
      </c>
      <c r="L1075" s="43" t="str">
        <f t="shared" si="3"/>
        <v>BARU</v>
      </c>
      <c r="M1075" s="144" t="s">
        <v>60</v>
      </c>
      <c r="N1075" s="145">
        <v>600000.0</v>
      </c>
      <c r="O1075" s="146">
        <v>0.0</v>
      </c>
      <c r="P1075" s="48">
        <f t="array" ref="P1075">IFNA(XLOOKUP(J1075,'⚙️ Pengaturan'!$E$2:$E3237,'⚙️ Pengaturan'!$F$2:$F3237),"")</f>
        <v>1300000</v>
      </c>
      <c r="Q1075" s="147">
        <f t="shared" si="19"/>
        <v>-700000</v>
      </c>
      <c r="R1075" s="41" t="s">
        <v>37</v>
      </c>
      <c r="S1075" s="69" t="s">
        <v>1004</v>
      </c>
      <c r="T1075" s="51" t="b">
        <v>1</v>
      </c>
      <c r="U1075" s="94"/>
    </row>
    <row r="1076" ht="30.0" customHeight="1">
      <c r="A1076" s="39"/>
      <c r="B1076" s="40">
        <v>3111.0</v>
      </c>
      <c r="C1076" s="41" t="s">
        <v>50</v>
      </c>
      <c r="D1076" s="86">
        <v>46099.0</v>
      </c>
      <c r="E1076" s="43" t="str">
        <f t="shared" si="1"/>
        <v>2026</v>
      </c>
      <c r="F1076" s="43" t="str">
        <f t="shared" si="2"/>
        <v>03 Mar</v>
      </c>
      <c r="G1076" s="45" t="s">
        <v>25</v>
      </c>
      <c r="H1076" s="45" t="s">
        <v>41</v>
      </c>
      <c r="I1076" s="45" t="s">
        <v>844</v>
      </c>
      <c r="J1076" s="143" t="s">
        <v>119</v>
      </c>
      <c r="K1076" s="43" t="str">
        <f t="array" ref="K1076">IF(J1076="","", XLOOKUP(J1076,'⚙️ Pengaturan'!$E$2:$E3237,'⚙️ Pengaturan'!$G$2:$G3237))</f>
        <v>KLINIK FT PAKET</v>
      </c>
      <c r="L1076" s="43" t="str">
        <f t="shared" si="3"/>
        <v>LANJUTAN</v>
      </c>
      <c r="M1076" s="144" t="s">
        <v>164</v>
      </c>
      <c r="N1076" s="145">
        <v>450000.0</v>
      </c>
      <c r="O1076" s="146">
        <v>300000.0</v>
      </c>
      <c r="P1076" s="48">
        <f t="array" ref="P1076">IFNA(XLOOKUP(J1076,'⚙️ Pengaturan'!$E$2:$E3237,'⚙️ Pengaturan'!$F$2:$F3237),"")</f>
        <v>750000</v>
      </c>
      <c r="Q1076" s="147">
        <f t="shared" si="19"/>
        <v>0</v>
      </c>
      <c r="R1076" s="41" t="s">
        <v>37</v>
      </c>
      <c r="S1076" s="69" t="s">
        <v>844</v>
      </c>
      <c r="T1076" s="51" t="b">
        <v>1</v>
      </c>
      <c r="U1076" s="94"/>
    </row>
    <row r="1077" ht="30.0" customHeight="1">
      <c r="A1077" s="39"/>
      <c r="B1077" s="40">
        <v>3112.0</v>
      </c>
      <c r="C1077" s="41" t="s">
        <v>50</v>
      </c>
      <c r="D1077" s="86">
        <v>46099.0</v>
      </c>
      <c r="E1077" s="43" t="str">
        <f t="shared" si="1"/>
        <v>2026</v>
      </c>
      <c r="F1077" s="43" t="str">
        <f t="shared" si="2"/>
        <v>03 Mar</v>
      </c>
      <c r="G1077" s="45" t="s">
        <v>25</v>
      </c>
      <c r="H1077" s="45" t="s">
        <v>96</v>
      </c>
      <c r="I1077" s="45" t="s">
        <v>893</v>
      </c>
      <c r="J1077" s="143" t="s">
        <v>120</v>
      </c>
      <c r="K1077" s="43" t="str">
        <f t="array" ref="K1077">IF(J1077="","", XLOOKUP(J1077,'⚙️ Pengaturan'!$E$2:$E3237,'⚙️ Pengaturan'!$G$2:$G3237))</f>
        <v>KLINIK FT SESI</v>
      </c>
      <c r="L1077" s="43" t="str">
        <f t="shared" si="3"/>
        <v>LANJUTAN</v>
      </c>
      <c r="M1077" s="144" t="s">
        <v>31</v>
      </c>
      <c r="N1077" s="145">
        <v>180000.0</v>
      </c>
      <c r="O1077" s="146">
        <v>0.0</v>
      </c>
      <c r="P1077" s="48">
        <f t="array" ref="P1077">IFNA(XLOOKUP(J1077,'⚙️ Pengaturan'!$E$2:$E3237,'⚙️ Pengaturan'!$F$2:$F3237),"")</f>
        <v>180000</v>
      </c>
      <c r="Q1077" s="147">
        <f t="shared" si="19"/>
        <v>0</v>
      </c>
      <c r="R1077" s="41" t="s">
        <v>32</v>
      </c>
      <c r="S1077" s="69" t="s">
        <v>33</v>
      </c>
      <c r="T1077" s="51" t="b">
        <v>1</v>
      </c>
      <c r="U1077" s="94"/>
    </row>
    <row r="1078" ht="30.0" customHeight="1">
      <c r="A1078" s="39"/>
      <c r="B1078" s="40">
        <v>3113.0</v>
      </c>
      <c r="C1078" s="41" t="s">
        <v>50</v>
      </c>
      <c r="D1078" s="86">
        <v>46099.0</v>
      </c>
      <c r="E1078" s="43" t="str">
        <f t="shared" si="1"/>
        <v>2026</v>
      </c>
      <c r="F1078" s="43" t="str">
        <f t="shared" si="2"/>
        <v>03 Mar</v>
      </c>
      <c r="G1078" s="45" t="s">
        <v>25</v>
      </c>
      <c r="H1078" s="45" t="s">
        <v>41</v>
      </c>
      <c r="I1078" s="45" t="s">
        <v>967</v>
      </c>
      <c r="J1078" s="143" t="s">
        <v>120</v>
      </c>
      <c r="K1078" s="43" t="str">
        <f t="array" ref="K1078">IF(J1078="","", XLOOKUP(J1078,'⚙️ Pengaturan'!$E$2:$E3237,'⚙️ Pengaturan'!$G$2:$G3237))</f>
        <v>KLINIK FT SESI</v>
      </c>
      <c r="L1078" s="43" t="str">
        <f t="shared" si="3"/>
        <v>LANJUTAN</v>
      </c>
      <c r="M1078" s="144" t="s">
        <v>31</v>
      </c>
      <c r="N1078" s="145">
        <v>50000.0</v>
      </c>
      <c r="O1078" s="146">
        <v>130000.0</v>
      </c>
      <c r="P1078" s="48">
        <f t="array" ref="P1078">IFNA(XLOOKUP(J1078,'⚙️ Pengaturan'!$E$2:$E3237,'⚙️ Pengaturan'!$F$2:$F3237),"")</f>
        <v>180000</v>
      </c>
      <c r="Q1078" s="147">
        <f t="shared" si="19"/>
        <v>0</v>
      </c>
      <c r="R1078" s="41" t="s">
        <v>32</v>
      </c>
      <c r="S1078" s="69" t="s">
        <v>33</v>
      </c>
      <c r="T1078" s="51" t="b">
        <v>1</v>
      </c>
      <c r="U1078" s="94"/>
    </row>
    <row r="1079" ht="30.0" customHeight="1">
      <c r="A1079" s="39"/>
      <c r="B1079" s="40">
        <v>3114.0</v>
      </c>
      <c r="C1079" s="41" t="s">
        <v>50</v>
      </c>
      <c r="D1079" s="86">
        <v>46099.0</v>
      </c>
      <c r="E1079" s="43" t="str">
        <f t="shared" si="1"/>
        <v>2026</v>
      </c>
      <c r="F1079" s="43" t="str">
        <f t="shared" si="2"/>
        <v>03 Mar</v>
      </c>
      <c r="G1079" s="45" t="s">
        <v>241</v>
      </c>
      <c r="H1079" s="45" t="s">
        <v>41</v>
      </c>
      <c r="I1079" s="45" t="s">
        <v>1007</v>
      </c>
      <c r="J1079" s="143" t="s">
        <v>28</v>
      </c>
      <c r="K1079" s="43" t="str">
        <f t="array" ref="K1079">IF(J1079="","", XLOOKUP(J1079,'⚙️ Pengaturan'!$E$2:$E3237,'⚙️ Pengaturan'!$G$2:$G3237))</f>
        <v>KLINIK FT TA</v>
      </c>
      <c r="L1079" s="43" t="str">
        <f t="shared" si="3"/>
        <v>BARU</v>
      </c>
      <c r="M1079" s="144" t="s">
        <v>31</v>
      </c>
      <c r="N1079" s="145">
        <v>200000.0</v>
      </c>
      <c r="O1079" s="146">
        <v>50000.0</v>
      </c>
      <c r="P1079" s="48">
        <f t="array" ref="P1079">IFNA(XLOOKUP(J1079,'⚙️ Pengaturan'!$E$2:$E3237,'⚙️ Pengaturan'!$F$2:$F3237),"")</f>
        <v>250000</v>
      </c>
      <c r="Q1079" s="147">
        <f t="shared" si="19"/>
        <v>0</v>
      </c>
      <c r="R1079" s="41" t="s">
        <v>37</v>
      </c>
      <c r="S1079" s="69" t="s">
        <v>1007</v>
      </c>
      <c r="T1079" s="51" t="b">
        <v>1</v>
      </c>
      <c r="U1079" s="94"/>
    </row>
    <row r="1080" ht="30.0" customHeight="1">
      <c r="A1080" s="39"/>
      <c r="B1080" s="40">
        <v>3115.0</v>
      </c>
      <c r="C1080" s="41" t="s">
        <v>50</v>
      </c>
      <c r="D1080" s="86">
        <v>46099.0</v>
      </c>
      <c r="E1080" s="43" t="str">
        <f t="shared" si="1"/>
        <v>2026</v>
      </c>
      <c r="F1080" s="43" t="str">
        <f t="shared" si="2"/>
        <v>03 Mar</v>
      </c>
      <c r="G1080" s="45" t="s">
        <v>241</v>
      </c>
      <c r="H1080" s="45" t="s">
        <v>41</v>
      </c>
      <c r="I1080" s="45" t="s">
        <v>1007</v>
      </c>
      <c r="J1080" s="143" t="s">
        <v>120</v>
      </c>
      <c r="K1080" s="43" t="str">
        <f t="array" ref="K1080">IF(J1080="","", XLOOKUP(J1080,'⚙️ Pengaturan'!$E$2:$E3237,'⚙️ Pengaturan'!$G$2:$G3237))</f>
        <v>KLINIK FT SESI</v>
      </c>
      <c r="L1080" s="43" t="str">
        <f t="shared" si="3"/>
        <v>BARU</v>
      </c>
      <c r="M1080" s="144" t="s">
        <v>31</v>
      </c>
      <c r="N1080" s="145">
        <v>180000.0</v>
      </c>
      <c r="O1080" s="146">
        <v>0.0</v>
      </c>
      <c r="P1080" s="48">
        <f t="array" ref="P1080">IFNA(XLOOKUP(J1080,'⚙️ Pengaturan'!$E$2:$E3237,'⚙️ Pengaturan'!$F$2:$F3237),"")</f>
        <v>180000</v>
      </c>
      <c r="Q1080" s="147">
        <f t="shared" si="19"/>
        <v>0</v>
      </c>
      <c r="R1080" s="41" t="s">
        <v>37</v>
      </c>
      <c r="S1080" s="69" t="s">
        <v>1007</v>
      </c>
      <c r="T1080" s="51" t="b">
        <v>1</v>
      </c>
      <c r="U1080" s="94" t="s">
        <v>1008</v>
      </c>
    </row>
    <row r="1081" ht="30.0" customHeight="1">
      <c r="A1081" s="39"/>
      <c r="B1081" s="40">
        <v>3116.0</v>
      </c>
      <c r="C1081" s="41" t="s">
        <v>50</v>
      </c>
      <c r="D1081" s="86">
        <v>46099.0</v>
      </c>
      <c r="E1081" s="43" t="str">
        <f t="shared" si="1"/>
        <v>2026</v>
      </c>
      <c r="F1081" s="43" t="str">
        <f t="shared" si="2"/>
        <v>03 Mar</v>
      </c>
      <c r="G1081" s="45" t="s">
        <v>161</v>
      </c>
      <c r="H1081" s="45" t="s">
        <v>41</v>
      </c>
      <c r="I1081" s="45" t="s">
        <v>989</v>
      </c>
      <c r="J1081" s="143" t="s">
        <v>120</v>
      </c>
      <c r="K1081" s="43" t="str">
        <f t="array" ref="K1081">IF(J1081="","", XLOOKUP(J1081,'⚙️ Pengaturan'!$E$2:$E3237,'⚙️ Pengaturan'!$G$2:$G3237))</f>
        <v>KLINIK FT SESI</v>
      </c>
      <c r="L1081" s="43" t="str">
        <f t="shared" si="3"/>
        <v>BARU</v>
      </c>
      <c r="M1081" s="144" t="s">
        <v>31</v>
      </c>
      <c r="N1081" s="145">
        <v>180000.0</v>
      </c>
      <c r="O1081" s="146">
        <v>0.0</v>
      </c>
      <c r="P1081" s="48">
        <f t="array" ref="P1081">IFNA(XLOOKUP(J1081,'⚙️ Pengaturan'!$E$2:$E3237,'⚙️ Pengaturan'!$F$2:$F3237),"")</f>
        <v>180000</v>
      </c>
      <c r="Q1081" s="147">
        <f t="shared" si="19"/>
        <v>0</v>
      </c>
      <c r="R1081" s="41" t="s">
        <v>118</v>
      </c>
      <c r="S1081" s="69" t="s">
        <v>989</v>
      </c>
      <c r="T1081" s="51" t="b">
        <v>1</v>
      </c>
      <c r="U1081" s="94"/>
    </row>
    <row r="1082" ht="30.0" customHeight="1">
      <c r="A1082" s="39"/>
      <c r="B1082" s="40">
        <v>3117.0</v>
      </c>
      <c r="C1082" s="41" t="s">
        <v>50</v>
      </c>
      <c r="D1082" s="86">
        <v>46099.0</v>
      </c>
      <c r="E1082" s="43" t="str">
        <f t="shared" si="1"/>
        <v>2026</v>
      </c>
      <c r="F1082" s="43" t="str">
        <f t="shared" si="2"/>
        <v>03 Mar</v>
      </c>
      <c r="G1082" s="45" t="s">
        <v>161</v>
      </c>
      <c r="H1082" s="45" t="s">
        <v>47</v>
      </c>
      <c r="I1082" s="45" t="s">
        <v>974</v>
      </c>
      <c r="J1082" s="143" t="s">
        <v>120</v>
      </c>
      <c r="K1082" s="43" t="str">
        <f t="array" ref="K1082">IF(J1082="","", XLOOKUP(J1082,'⚙️ Pengaturan'!$E$2:$E3237,'⚙️ Pengaturan'!$G$2:$G3237))</f>
        <v>KLINIK FT SESI</v>
      </c>
      <c r="L1082" s="43" t="str">
        <f t="shared" si="3"/>
        <v>BARU</v>
      </c>
      <c r="M1082" s="144" t="s">
        <v>31</v>
      </c>
      <c r="N1082" s="145">
        <v>180000.0</v>
      </c>
      <c r="O1082" s="146">
        <v>0.0</v>
      </c>
      <c r="P1082" s="48">
        <f t="array" ref="P1082">IFNA(XLOOKUP(J1082,'⚙️ Pengaturan'!$E$2:$E3237,'⚙️ Pengaturan'!$F$2:$F3237),"")</f>
        <v>180000</v>
      </c>
      <c r="Q1082" s="147">
        <f t="shared" si="19"/>
        <v>0</v>
      </c>
      <c r="R1082" s="41" t="s">
        <v>37</v>
      </c>
      <c r="S1082" s="69" t="s">
        <v>974</v>
      </c>
      <c r="T1082" s="51" t="b">
        <v>1</v>
      </c>
      <c r="U1082" s="94"/>
    </row>
    <row r="1083" ht="30.0" customHeight="1">
      <c r="A1083" s="39"/>
      <c r="B1083" s="40">
        <v>3118.0</v>
      </c>
      <c r="C1083" s="41" t="s">
        <v>39</v>
      </c>
      <c r="D1083" s="86">
        <v>46099.0</v>
      </c>
      <c r="E1083" s="43" t="str">
        <f t="shared" si="1"/>
        <v>2026</v>
      </c>
      <c r="F1083" s="43" t="str">
        <f t="shared" si="2"/>
        <v>03 Mar</v>
      </c>
      <c r="G1083" s="45" t="s">
        <v>35</v>
      </c>
      <c r="H1083" s="45" t="s">
        <v>26</v>
      </c>
      <c r="I1083" s="45" t="s">
        <v>426</v>
      </c>
      <c r="J1083" s="143" t="s">
        <v>56</v>
      </c>
      <c r="K1083" s="43" t="str">
        <f t="array" ref="K1083">IF(J1083="","", XLOOKUP(J1083,'⚙️ Pengaturan'!$E$2:$E3237,'⚙️ Pengaturan'!$G$2:$G3237))</f>
        <v>KLINIK FT PAKET</v>
      </c>
      <c r="L1083" s="43" t="str">
        <f t="shared" si="3"/>
        <v>LANJUTAN</v>
      </c>
      <c r="M1083" s="144" t="s">
        <v>31</v>
      </c>
      <c r="N1083" s="145">
        <v>650000.0</v>
      </c>
      <c r="O1083" s="146">
        <v>0.0</v>
      </c>
      <c r="P1083" s="48">
        <f t="array" ref="P1083">IFNA(XLOOKUP(J1083,'⚙️ Pengaturan'!$E$2:$E3237,'⚙️ Pengaturan'!$F$2:$F3237),"")</f>
        <v>650000</v>
      </c>
      <c r="Q1083" s="147">
        <f t="shared" si="19"/>
        <v>0</v>
      </c>
      <c r="R1083" s="41" t="s">
        <v>37</v>
      </c>
      <c r="S1083" s="69" t="s">
        <v>426</v>
      </c>
      <c r="T1083" s="51" t="b">
        <v>1</v>
      </c>
      <c r="U1083" s="94"/>
    </row>
    <row r="1084" ht="30.0" customHeight="1">
      <c r="A1084" s="39"/>
      <c r="B1084" s="40">
        <v>3119.0</v>
      </c>
      <c r="C1084" s="41" t="s">
        <v>39</v>
      </c>
      <c r="D1084" s="86">
        <v>46099.0</v>
      </c>
      <c r="E1084" s="43" t="str">
        <f t="shared" si="1"/>
        <v>2026</v>
      </c>
      <c r="F1084" s="43" t="str">
        <f t="shared" si="2"/>
        <v>03 Mar</v>
      </c>
      <c r="G1084" s="45" t="s">
        <v>35</v>
      </c>
      <c r="H1084" s="45" t="s">
        <v>26</v>
      </c>
      <c r="I1084" s="45" t="s">
        <v>435</v>
      </c>
      <c r="J1084" s="143" t="s">
        <v>56</v>
      </c>
      <c r="K1084" s="43" t="str">
        <f t="array" ref="K1084">IF(J1084="","", XLOOKUP(J1084,'⚙️ Pengaturan'!$E$2:$E3237,'⚙️ Pengaturan'!$G$2:$G3237))</f>
        <v>KLINIK FT PAKET</v>
      </c>
      <c r="L1084" s="43" t="str">
        <f t="shared" si="3"/>
        <v>LANJUTAN</v>
      </c>
      <c r="M1084" s="144" t="s">
        <v>31</v>
      </c>
      <c r="N1084" s="145">
        <v>650000.0</v>
      </c>
      <c r="O1084" s="146">
        <v>0.0</v>
      </c>
      <c r="P1084" s="48">
        <f t="array" ref="P1084">IFNA(XLOOKUP(J1084,'⚙️ Pengaturan'!$E$2:$E3237,'⚙️ Pengaturan'!$F$2:$F3237),"")</f>
        <v>650000</v>
      </c>
      <c r="Q1084" s="147">
        <f t="shared" si="19"/>
        <v>0</v>
      </c>
      <c r="R1084" s="41" t="s">
        <v>37</v>
      </c>
      <c r="S1084" s="69" t="s">
        <v>426</v>
      </c>
      <c r="T1084" s="51" t="b">
        <v>1</v>
      </c>
      <c r="U1084" s="94"/>
    </row>
    <row r="1085" ht="30.0" customHeight="1">
      <c r="A1085" s="39"/>
      <c r="B1085" s="40">
        <v>3120.0</v>
      </c>
      <c r="C1085" s="41" t="s">
        <v>39</v>
      </c>
      <c r="D1085" s="86">
        <v>46099.0</v>
      </c>
      <c r="E1085" s="43" t="str">
        <f t="shared" si="1"/>
        <v>2026</v>
      </c>
      <c r="F1085" s="43" t="str">
        <f t="shared" si="2"/>
        <v>03 Mar</v>
      </c>
      <c r="G1085" s="45" t="s">
        <v>35</v>
      </c>
      <c r="H1085" s="45" t="s">
        <v>162</v>
      </c>
      <c r="I1085" s="45" t="s">
        <v>1009</v>
      </c>
      <c r="J1085" s="143" t="s">
        <v>28</v>
      </c>
      <c r="K1085" s="43" t="str">
        <f t="array" ref="K1085">IF(J1085="","", XLOOKUP(J1085,'⚙️ Pengaturan'!$E$2:$E3237,'⚙️ Pengaturan'!$G$2:$G3237))</f>
        <v>KLINIK FT TA</v>
      </c>
      <c r="L1085" s="43" t="str">
        <f t="shared" si="3"/>
        <v>BARU</v>
      </c>
      <c r="M1085" s="144" t="s">
        <v>31</v>
      </c>
      <c r="N1085" s="145">
        <v>200000.0</v>
      </c>
      <c r="O1085" s="146">
        <v>50000.0</v>
      </c>
      <c r="P1085" s="48">
        <f t="array" ref="P1085">IFNA(XLOOKUP(J1085,'⚙️ Pengaturan'!$E$2:$E3237,'⚙️ Pengaturan'!$F$2:$F3237),"")</f>
        <v>250000</v>
      </c>
      <c r="Q1085" s="147">
        <f t="shared" si="19"/>
        <v>0</v>
      </c>
      <c r="R1085" s="41" t="s">
        <v>37</v>
      </c>
      <c r="S1085" s="69" t="s">
        <v>1009</v>
      </c>
      <c r="T1085" s="51" t="b">
        <v>1</v>
      </c>
      <c r="U1085" s="94"/>
    </row>
    <row r="1086" ht="30.0" customHeight="1">
      <c r="A1086" s="39"/>
      <c r="B1086" s="40">
        <v>3121.0</v>
      </c>
      <c r="C1086" s="41" t="s">
        <v>39</v>
      </c>
      <c r="D1086" s="86">
        <v>46099.0</v>
      </c>
      <c r="E1086" s="43" t="str">
        <f t="shared" si="1"/>
        <v>2026</v>
      </c>
      <c r="F1086" s="43" t="str">
        <f t="shared" si="2"/>
        <v>03 Mar</v>
      </c>
      <c r="G1086" s="45" t="s">
        <v>173</v>
      </c>
      <c r="H1086" s="45" t="s">
        <v>162</v>
      </c>
      <c r="I1086" s="45" t="s">
        <v>1010</v>
      </c>
      <c r="J1086" s="143" t="s">
        <v>28</v>
      </c>
      <c r="K1086" s="43" t="str">
        <f t="array" ref="K1086">IF(J1086="","", XLOOKUP(J1086,'⚙️ Pengaturan'!$E$2:$E3237,'⚙️ Pengaturan'!$G$2:$G3237))</f>
        <v>KLINIK FT TA</v>
      </c>
      <c r="L1086" s="43" t="str">
        <f t="shared" si="3"/>
        <v>BARU</v>
      </c>
      <c r="M1086" s="144" t="s">
        <v>31</v>
      </c>
      <c r="N1086" s="145">
        <v>200000.0</v>
      </c>
      <c r="O1086" s="146">
        <v>50000.0</v>
      </c>
      <c r="P1086" s="48">
        <f t="array" ref="P1086">IFNA(XLOOKUP(J1086,'⚙️ Pengaturan'!$E$2:$E3237,'⚙️ Pengaturan'!$F$2:$F3237),"")</f>
        <v>250000</v>
      </c>
      <c r="Q1086" s="147">
        <f t="shared" si="19"/>
        <v>0</v>
      </c>
      <c r="R1086" s="41" t="s">
        <v>32</v>
      </c>
      <c r="S1086" s="69" t="s">
        <v>33</v>
      </c>
      <c r="T1086" s="51" t="b">
        <v>1</v>
      </c>
      <c r="U1086" s="94"/>
    </row>
    <row r="1087" ht="30.0" customHeight="1">
      <c r="A1087" s="39"/>
      <c r="B1087" s="40">
        <v>3122.0</v>
      </c>
      <c r="C1087" s="41" t="s">
        <v>39</v>
      </c>
      <c r="D1087" s="86">
        <v>46099.0</v>
      </c>
      <c r="E1087" s="43" t="str">
        <f t="shared" si="1"/>
        <v>2026</v>
      </c>
      <c r="F1087" s="43" t="str">
        <f t="shared" si="2"/>
        <v>03 Mar</v>
      </c>
      <c r="G1087" s="45" t="s">
        <v>190</v>
      </c>
      <c r="H1087" s="45" t="s">
        <v>166</v>
      </c>
      <c r="I1087" s="45" t="s">
        <v>1011</v>
      </c>
      <c r="J1087" s="143" t="s">
        <v>28</v>
      </c>
      <c r="K1087" s="43" t="str">
        <f t="array" ref="K1087">IF(J1087="","", XLOOKUP(J1087,'⚙️ Pengaturan'!$E$2:$E3237,'⚙️ Pengaturan'!$G$2:$G3237))</f>
        <v>KLINIK FT TA</v>
      </c>
      <c r="L1087" s="43" t="str">
        <f t="shared" si="3"/>
        <v>BARU</v>
      </c>
      <c r="M1087" s="144" t="s">
        <v>31</v>
      </c>
      <c r="N1087" s="145">
        <v>200000.0</v>
      </c>
      <c r="O1087" s="146">
        <v>50000.0</v>
      </c>
      <c r="P1087" s="48">
        <f t="array" ref="P1087">IFNA(XLOOKUP(J1087,'⚙️ Pengaturan'!$E$2:$E3237,'⚙️ Pengaturan'!$F$2:$F3237),"")</f>
        <v>250000</v>
      </c>
      <c r="Q1087" s="147">
        <f t="shared" si="19"/>
        <v>0</v>
      </c>
      <c r="R1087" s="41" t="s">
        <v>37</v>
      </c>
      <c r="S1087" s="69" t="s">
        <v>1011</v>
      </c>
      <c r="T1087" s="51" t="b">
        <v>1</v>
      </c>
      <c r="U1087" s="94"/>
    </row>
    <row r="1088" ht="30.0" customHeight="1">
      <c r="A1088" s="39"/>
      <c r="B1088" s="40">
        <v>3123.0</v>
      </c>
      <c r="C1088" s="41" t="s">
        <v>39</v>
      </c>
      <c r="D1088" s="86">
        <v>46099.0</v>
      </c>
      <c r="E1088" s="43" t="str">
        <f t="shared" si="1"/>
        <v>2026</v>
      </c>
      <c r="F1088" s="43" t="str">
        <f t="shared" si="2"/>
        <v>03 Mar</v>
      </c>
      <c r="G1088" s="45" t="s">
        <v>69</v>
      </c>
      <c r="H1088" s="45" t="s">
        <v>162</v>
      </c>
      <c r="I1088" s="45" t="s">
        <v>951</v>
      </c>
      <c r="J1088" s="143" t="s">
        <v>347</v>
      </c>
      <c r="K1088" s="43" t="str">
        <f t="array" ref="K1088">IF(J1088="","", XLOOKUP(J1088,'⚙️ Pengaturan'!$E$2:$E3237,'⚙️ Pengaturan'!$G$2:$G3237))</f>
        <v>KLINIK FT PAKET</v>
      </c>
      <c r="L1088" s="43" t="str">
        <f t="shared" si="3"/>
        <v>LANJUTAN</v>
      </c>
      <c r="M1088" s="144" t="s">
        <v>81</v>
      </c>
      <c r="N1088" s="145">
        <v>50000.0</v>
      </c>
      <c r="O1088" s="146">
        <v>300000.0</v>
      </c>
      <c r="P1088" s="119">
        <v>500000.0</v>
      </c>
      <c r="Q1088" s="147">
        <f t="shared" si="19"/>
        <v>-150000</v>
      </c>
      <c r="R1088" s="41" t="s">
        <v>32</v>
      </c>
      <c r="S1088" s="69" t="s">
        <v>33</v>
      </c>
      <c r="T1088" s="51" t="b">
        <v>1</v>
      </c>
      <c r="U1088" s="94"/>
    </row>
    <row r="1089" ht="30.0" customHeight="1">
      <c r="A1089" s="39"/>
      <c r="B1089" s="40">
        <v>3124.0</v>
      </c>
      <c r="C1089" s="41" t="s">
        <v>39</v>
      </c>
      <c r="D1089" s="86">
        <v>46100.0</v>
      </c>
      <c r="E1089" s="43" t="str">
        <f t="shared" si="1"/>
        <v>2026</v>
      </c>
      <c r="F1089" s="43" t="str">
        <f t="shared" si="2"/>
        <v>03 Mar</v>
      </c>
      <c r="G1089" s="45" t="s">
        <v>195</v>
      </c>
      <c r="H1089" s="45" t="s">
        <v>150</v>
      </c>
      <c r="I1089" s="45" t="s">
        <v>1012</v>
      </c>
      <c r="J1089" s="143" t="s">
        <v>28</v>
      </c>
      <c r="K1089" s="43" t="str">
        <f t="array" ref="K1089">IF(J1089="","", XLOOKUP(J1089,'⚙️ Pengaturan'!$E$2:$E3237,'⚙️ Pengaturan'!$G$2:$G3237))</f>
        <v>KLINIK FT TA</v>
      </c>
      <c r="L1089" s="43" t="str">
        <f t="shared" si="3"/>
        <v>BARU</v>
      </c>
      <c r="M1089" s="144" t="s">
        <v>31</v>
      </c>
      <c r="N1089" s="145">
        <v>250000.0</v>
      </c>
      <c r="O1089" s="146">
        <v>50000.0</v>
      </c>
      <c r="P1089" s="48">
        <f t="array" ref="P1089">IFNA(XLOOKUP(J1089,'⚙️ Pengaturan'!$E$2:$E3237,'⚙️ Pengaturan'!$F$2:$F3237),"")</f>
        <v>250000</v>
      </c>
      <c r="Q1089" s="147">
        <f t="shared" si="19"/>
        <v>50000</v>
      </c>
      <c r="R1089" s="41" t="s">
        <v>37</v>
      </c>
      <c r="S1089" s="69" t="s">
        <v>1012</v>
      </c>
      <c r="T1089" s="51" t="b">
        <v>1</v>
      </c>
      <c r="U1089" s="94"/>
    </row>
    <row r="1090" ht="30.0" customHeight="1">
      <c r="A1090" s="39"/>
      <c r="B1090" s="40">
        <v>3125.0</v>
      </c>
      <c r="C1090" s="41" t="s">
        <v>39</v>
      </c>
      <c r="D1090" s="86">
        <v>46100.0</v>
      </c>
      <c r="E1090" s="43" t="str">
        <f t="shared" si="1"/>
        <v>2026</v>
      </c>
      <c r="F1090" s="43" t="str">
        <f t="shared" si="2"/>
        <v>03 Mar</v>
      </c>
      <c r="G1090" s="45" t="s">
        <v>195</v>
      </c>
      <c r="H1090" s="45" t="s">
        <v>162</v>
      </c>
      <c r="I1090" s="45" t="s">
        <v>986</v>
      </c>
      <c r="J1090" s="143" t="s">
        <v>120</v>
      </c>
      <c r="K1090" s="43" t="str">
        <f t="array" ref="K1090">IF(J1090="","", XLOOKUP(J1090,'⚙️ Pengaturan'!$E$2:$E3237,'⚙️ Pengaturan'!$G$2:$G3237))</f>
        <v>KLINIK FT SESI</v>
      </c>
      <c r="L1090" s="43" t="str">
        <f t="shared" si="3"/>
        <v>BARU</v>
      </c>
      <c r="M1090" s="144" t="s">
        <v>31</v>
      </c>
      <c r="N1090" s="145">
        <v>180000.0</v>
      </c>
      <c r="O1090" s="146">
        <v>0.0</v>
      </c>
      <c r="P1090" s="48">
        <f t="array" ref="P1090">IFNA(XLOOKUP(J1090,'⚙️ Pengaturan'!$E$2:$E3237,'⚙️ Pengaturan'!$F$2:$F3237),"")</f>
        <v>180000</v>
      </c>
      <c r="Q1090" s="147">
        <f t="shared" si="19"/>
        <v>0</v>
      </c>
      <c r="R1090" s="41" t="s">
        <v>32</v>
      </c>
      <c r="S1090" s="69" t="s">
        <v>33</v>
      </c>
      <c r="T1090" s="51" t="b">
        <v>1</v>
      </c>
      <c r="U1090" s="94"/>
    </row>
    <row r="1091" ht="30.0" customHeight="1">
      <c r="A1091" s="39"/>
      <c r="B1091" s="40">
        <v>3126.0</v>
      </c>
      <c r="C1091" s="41" t="s">
        <v>39</v>
      </c>
      <c r="D1091" s="86">
        <v>46100.0</v>
      </c>
      <c r="E1091" s="43" t="str">
        <f t="shared" si="1"/>
        <v>2026</v>
      </c>
      <c r="F1091" s="43" t="str">
        <f t="shared" si="2"/>
        <v>03 Mar</v>
      </c>
      <c r="G1091" s="45" t="s">
        <v>25</v>
      </c>
      <c r="H1091" s="45" t="s">
        <v>150</v>
      </c>
      <c r="I1091" s="45" t="s">
        <v>1013</v>
      </c>
      <c r="J1091" s="143" t="s">
        <v>28</v>
      </c>
      <c r="K1091" s="43" t="str">
        <f t="array" ref="K1091">IF(J1091="","", XLOOKUP(J1091,'⚙️ Pengaturan'!$E$2:$E3237,'⚙️ Pengaturan'!$G$2:$G3237))</f>
        <v>KLINIK FT TA</v>
      </c>
      <c r="L1091" s="43" t="str">
        <f t="shared" si="3"/>
        <v>BARU</v>
      </c>
      <c r="M1091" s="144" t="s">
        <v>31</v>
      </c>
      <c r="N1091" s="145">
        <v>200000.0</v>
      </c>
      <c r="O1091" s="146">
        <v>50000.0</v>
      </c>
      <c r="P1091" s="48">
        <f t="array" ref="P1091">IFNA(XLOOKUP(J1091,'⚙️ Pengaturan'!$E$2:$E3237,'⚙️ Pengaturan'!$F$2:$F3237),"")</f>
        <v>250000</v>
      </c>
      <c r="Q1091" s="147">
        <f t="shared" si="19"/>
        <v>0</v>
      </c>
      <c r="R1091" s="41" t="s">
        <v>32</v>
      </c>
      <c r="S1091" s="69" t="s">
        <v>33</v>
      </c>
      <c r="T1091" s="51" t="b">
        <v>1</v>
      </c>
      <c r="U1091" s="94"/>
    </row>
    <row r="1092" ht="30.0" customHeight="1">
      <c r="A1092" s="39"/>
      <c r="B1092" s="40">
        <v>3127.0</v>
      </c>
      <c r="C1092" s="41" t="s">
        <v>39</v>
      </c>
      <c r="D1092" s="86">
        <v>46100.0</v>
      </c>
      <c r="E1092" s="43" t="str">
        <f t="shared" si="1"/>
        <v>2026</v>
      </c>
      <c r="F1092" s="43" t="str">
        <f t="shared" si="2"/>
        <v>03 Mar</v>
      </c>
      <c r="G1092" s="45" t="s">
        <v>161</v>
      </c>
      <c r="H1092" s="45" t="s">
        <v>26</v>
      </c>
      <c r="I1092" s="45" t="s">
        <v>842</v>
      </c>
      <c r="J1092" s="143" t="s">
        <v>119</v>
      </c>
      <c r="K1092" s="43" t="str">
        <f t="array" ref="K1092">IF(J1092="","", XLOOKUP(J1092,'⚙️ Pengaturan'!$E$2:$E3237,'⚙️ Pengaturan'!$G$2:$G3237))</f>
        <v>KLINIK FT PAKET</v>
      </c>
      <c r="L1092" s="43" t="str">
        <f t="shared" si="3"/>
        <v>LANJUTAN</v>
      </c>
      <c r="M1092" s="144" t="s">
        <v>164</v>
      </c>
      <c r="N1092" s="145">
        <v>450000.0</v>
      </c>
      <c r="O1092" s="146">
        <v>300000.0</v>
      </c>
      <c r="P1092" s="48">
        <f t="array" ref="P1092">IFNA(XLOOKUP(J1092,'⚙️ Pengaturan'!$E$2:$E3237,'⚙️ Pengaturan'!$F$2:$F3237),"")</f>
        <v>750000</v>
      </c>
      <c r="Q1092" s="147">
        <f t="shared" si="19"/>
        <v>0</v>
      </c>
      <c r="R1092" s="41" t="s">
        <v>32</v>
      </c>
      <c r="S1092" s="69" t="s">
        <v>33</v>
      </c>
      <c r="T1092" s="51" t="b">
        <v>1</v>
      </c>
      <c r="U1092" s="94"/>
    </row>
    <row r="1093" ht="30.0" customHeight="1">
      <c r="A1093" s="39"/>
      <c r="B1093" s="40">
        <v>3128.0</v>
      </c>
      <c r="C1093" s="41" t="s">
        <v>39</v>
      </c>
      <c r="D1093" s="86">
        <v>46100.0</v>
      </c>
      <c r="E1093" s="43" t="str">
        <f t="shared" si="1"/>
        <v>2026</v>
      </c>
      <c r="F1093" s="43" t="str">
        <f t="shared" si="2"/>
        <v>03 Mar</v>
      </c>
      <c r="G1093" s="45" t="s">
        <v>161</v>
      </c>
      <c r="H1093" s="45" t="s">
        <v>162</v>
      </c>
      <c r="I1093" s="45" t="s">
        <v>996</v>
      </c>
      <c r="J1093" s="143" t="s">
        <v>119</v>
      </c>
      <c r="K1093" s="43" t="str">
        <f t="array" ref="K1093">IF(J1093="","", XLOOKUP(J1093,'⚙️ Pengaturan'!$E$2:$E3237,'⚙️ Pengaturan'!$G$2:$G3237))</f>
        <v>KLINIK FT PAKET</v>
      </c>
      <c r="L1093" s="43" t="str">
        <f t="shared" si="3"/>
        <v>BARU</v>
      </c>
      <c r="M1093" s="144" t="s">
        <v>31</v>
      </c>
      <c r="N1093" s="145">
        <v>600000.0</v>
      </c>
      <c r="O1093" s="146">
        <v>150000.0</v>
      </c>
      <c r="P1093" s="48">
        <f t="array" ref="P1093">IFNA(XLOOKUP(J1093,'⚙️ Pengaturan'!$E$2:$E3237,'⚙️ Pengaturan'!$F$2:$F3237),"")</f>
        <v>750000</v>
      </c>
      <c r="Q1093" s="147">
        <f t="shared" si="19"/>
        <v>0</v>
      </c>
      <c r="R1093" s="41" t="s">
        <v>37</v>
      </c>
      <c r="S1093" s="69" t="s">
        <v>996</v>
      </c>
      <c r="T1093" s="51" t="b">
        <v>1</v>
      </c>
      <c r="U1093" s="94"/>
    </row>
    <row r="1094" ht="30.0" customHeight="1">
      <c r="A1094" s="39"/>
      <c r="B1094" s="40">
        <v>3129.0</v>
      </c>
      <c r="C1094" s="41" t="s">
        <v>39</v>
      </c>
      <c r="D1094" s="86">
        <v>46100.0</v>
      </c>
      <c r="E1094" s="43" t="str">
        <f t="shared" si="1"/>
        <v>2026</v>
      </c>
      <c r="F1094" s="43" t="str">
        <f t="shared" si="2"/>
        <v>03 Mar</v>
      </c>
      <c r="G1094" s="45" t="s">
        <v>35</v>
      </c>
      <c r="H1094" s="45" t="s">
        <v>26</v>
      </c>
      <c r="I1094" s="45" t="s">
        <v>994</v>
      </c>
      <c r="J1094" s="143" t="s">
        <v>119</v>
      </c>
      <c r="K1094" s="43" t="str">
        <f t="array" ref="K1094">IF(J1094="","", XLOOKUP(J1094,'⚙️ Pengaturan'!$E$2:$E3237,'⚙️ Pengaturan'!$G$2:$G3237))</f>
        <v>KLINIK FT PAKET</v>
      </c>
      <c r="L1094" s="43" t="str">
        <f t="shared" si="3"/>
        <v>BARU</v>
      </c>
      <c r="M1094" s="144" t="s">
        <v>31</v>
      </c>
      <c r="N1094" s="145">
        <v>750000.0</v>
      </c>
      <c r="O1094" s="146">
        <v>0.0</v>
      </c>
      <c r="P1094" s="48">
        <f t="array" ref="P1094">IFNA(XLOOKUP(J1094,'⚙️ Pengaturan'!$E$2:$E3237,'⚙️ Pengaturan'!$F$2:$F3237),"")</f>
        <v>750000</v>
      </c>
      <c r="Q1094" s="147">
        <f t="shared" si="19"/>
        <v>0</v>
      </c>
      <c r="R1094" s="41" t="s">
        <v>37</v>
      </c>
      <c r="S1094" s="69" t="s">
        <v>994</v>
      </c>
      <c r="T1094" s="51" t="b">
        <v>1</v>
      </c>
      <c r="U1094" s="94"/>
    </row>
    <row r="1095" ht="30.0" customHeight="1">
      <c r="A1095" s="39"/>
      <c r="B1095" s="40">
        <v>3130.0</v>
      </c>
      <c r="C1095" s="41" t="s">
        <v>39</v>
      </c>
      <c r="D1095" s="86">
        <v>46100.0</v>
      </c>
      <c r="E1095" s="43" t="str">
        <f t="shared" si="1"/>
        <v>2026</v>
      </c>
      <c r="F1095" s="43" t="str">
        <f t="shared" si="2"/>
        <v>03 Mar</v>
      </c>
      <c r="G1095" s="45" t="s">
        <v>35</v>
      </c>
      <c r="H1095" s="45" t="s">
        <v>47</v>
      </c>
      <c r="I1095" s="45" t="s">
        <v>830</v>
      </c>
      <c r="J1095" s="143" t="s">
        <v>347</v>
      </c>
      <c r="K1095" s="43" t="str">
        <f t="array" ref="K1095">IF(J1095="","", XLOOKUP(J1095,'⚙️ Pengaturan'!$E$2:$E3237,'⚙️ Pengaturan'!$G$2:$G3237))</f>
        <v>KLINIK FT PAKET</v>
      </c>
      <c r="L1095" s="43" t="str">
        <f t="shared" si="3"/>
        <v>LANJUTAN</v>
      </c>
      <c r="M1095" s="144" t="s">
        <v>31</v>
      </c>
      <c r="N1095" s="145">
        <v>1300000.0</v>
      </c>
      <c r="O1095" s="146">
        <v>0.0</v>
      </c>
      <c r="P1095" s="48">
        <f t="array" ref="P1095">IFNA(XLOOKUP(J1095,'⚙️ Pengaturan'!$E$2:$E3237,'⚙️ Pengaturan'!$F$2:$F3237),"")</f>
        <v>1300000</v>
      </c>
      <c r="Q1095" s="147">
        <f t="shared" si="19"/>
        <v>0</v>
      </c>
      <c r="R1095" s="41" t="s">
        <v>37</v>
      </c>
      <c r="S1095" s="69" t="s">
        <v>830</v>
      </c>
      <c r="T1095" s="51" t="b">
        <v>1</v>
      </c>
      <c r="U1095" s="94"/>
    </row>
    <row r="1096" ht="30.0" customHeight="1">
      <c r="A1096" s="39"/>
      <c r="B1096" s="40">
        <v>3131.0</v>
      </c>
      <c r="C1096" s="41" t="s">
        <v>50</v>
      </c>
      <c r="D1096" s="86">
        <v>46100.0</v>
      </c>
      <c r="E1096" s="43" t="str">
        <f t="shared" si="1"/>
        <v>2026</v>
      </c>
      <c r="F1096" s="43" t="str">
        <f t="shared" si="2"/>
        <v>03 Mar</v>
      </c>
      <c r="G1096" s="45" t="s">
        <v>40</v>
      </c>
      <c r="H1096" s="45" t="s">
        <v>149</v>
      </c>
      <c r="I1096" s="45" t="s">
        <v>1014</v>
      </c>
      <c r="J1096" s="143" t="s">
        <v>28</v>
      </c>
      <c r="K1096" s="43" t="str">
        <f t="array" ref="K1096">IF(J1096="","", XLOOKUP(J1096,'⚙️ Pengaturan'!$E$2:$E3237,'⚙️ Pengaturan'!$G$2:$G3237))</f>
        <v>KLINIK FT TA</v>
      </c>
      <c r="L1096" s="43" t="str">
        <f t="shared" si="3"/>
        <v>BARU</v>
      </c>
      <c r="M1096" s="144" t="s">
        <v>31</v>
      </c>
      <c r="N1096" s="145">
        <v>200000.0</v>
      </c>
      <c r="O1096" s="146">
        <v>50000.0</v>
      </c>
      <c r="P1096" s="48">
        <f t="array" ref="P1096">IFNA(XLOOKUP(J1096,'⚙️ Pengaturan'!$E$2:$E3237,'⚙️ Pengaturan'!$F$2:$F3237),"")</f>
        <v>250000</v>
      </c>
      <c r="Q1096" s="147">
        <f t="shared" si="19"/>
        <v>0</v>
      </c>
      <c r="R1096" s="41" t="s">
        <v>37</v>
      </c>
      <c r="S1096" s="69" t="s">
        <v>1014</v>
      </c>
      <c r="T1096" s="51" t="b">
        <v>1</v>
      </c>
      <c r="U1096" s="94"/>
    </row>
    <row r="1097" ht="30.0" customHeight="1">
      <c r="A1097" s="39"/>
      <c r="B1097" s="40">
        <v>3132.0</v>
      </c>
      <c r="C1097" s="41" t="s">
        <v>50</v>
      </c>
      <c r="D1097" s="86">
        <v>46100.0</v>
      </c>
      <c r="E1097" s="43" t="str">
        <f t="shared" si="1"/>
        <v>2026</v>
      </c>
      <c r="F1097" s="43" t="str">
        <f t="shared" si="2"/>
        <v>03 Mar</v>
      </c>
      <c r="G1097" s="45" t="s">
        <v>43</v>
      </c>
      <c r="H1097" s="45" t="s">
        <v>149</v>
      </c>
      <c r="I1097" s="45" t="s">
        <v>1015</v>
      </c>
      <c r="J1097" s="143" t="s">
        <v>28</v>
      </c>
      <c r="K1097" s="43" t="str">
        <f t="array" ref="K1097">IF(J1097="","", XLOOKUP(J1097,'⚙️ Pengaturan'!$E$2:$E3237,'⚙️ Pengaturan'!$G$2:$G3237))</f>
        <v>KLINIK FT TA</v>
      </c>
      <c r="L1097" s="43" t="str">
        <f t="shared" si="3"/>
        <v>BARU</v>
      </c>
      <c r="M1097" s="144" t="s">
        <v>31</v>
      </c>
      <c r="N1097" s="145">
        <v>200000.0</v>
      </c>
      <c r="O1097" s="146">
        <v>50000.0</v>
      </c>
      <c r="P1097" s="48">
        <f t="array" ref="P1097">IFNA(XLOOKUP(J1097,'⚙️ Pengaturan'!$E$2:$E3237,'⚙️ Pengaturan'!$F$2:$F3237),"")</f>
        <v>250000</v>
      </c>
      <c r="Q1097" s="147">
        <f t="shared" si="19"/>
        <v>0</v>
      </c>
      <c r="R1097" s="41" t="s">
        <v>37</v>
      </c>
      <c r="S1097" s="69" t="s">
        <v>1015</v>
      </c>
      <c r="T1097" s="51" t="b">
        <v>1</v>
      </c>
      <c r="U1097" s="94"/>
    </row>
    <row r="1098" ht="30.0" customHeight="1">
      <c r="A1098" s="39"/>
      <c r="B1098" s="40">
        <v>3133.0</v>
      </c>
      <c r="C1098" s="41" t="s">
        <v>50</v>
      </c>
      <c r="D1098" s="86">
        <v>46100.0</v>
      </c>
      <c r="E1098" s="43" t="str">
        <f t="shared" si="1"/>
        <v>2026</v>
      </c>
      <c r="F1098" s="43" t="str">
        <f t="shared" si="2"/>
        <v>03 Mar</v>
      </c>
      <c r="G1098" s="45" t="s">
        <v>173</v>
      </c>
      <c r="H1098" s="45" t="s">
        <v>149</v>
      </c>
      <c r="I1098" s="45" t="s">
        <v>990</v>
      </c>
      <c r="J1098" s="143" t="s">
        <v>120</v>
      </c>
      <c r="K1098" s="43" t="str">
        <f t="array" ref="K1098">IF(J1098="","", XLOOKUP(J1098,'⚙️ Pengaturan'!$E$2:$E3237,'⚙️ Pengaturan'!$G$2:$G3237))</f>
        <v>KLINIK FT SESI</v>
      </c>
      <c r="L1098" s="43" t="str">
        <f t="shared" si="3"/>
        <v>LANJUTAN</v>
      </c>
      <c r="M1098" s="144" t="s">
        <v>31</v>
      </c>
      <c r="N1098" s="145">
        <v>180000.0</v>
      </c>
      <c r="O1098" s="146">
        <v>0.0</v>
      </c>
      <c r="P1098" s="48">
        <f t="array" ref="P1098">IFNA(XLOOKUP(J1098,'⚙️ Pengaturan'!$E$2:$E3237,'⚙️ Pengaturan'!$F$2:$F3237),"")</f>
        <v>180000</v>
      </c>
      <c r="Q1098" s="147">
        <f t="shared" si="19"/>
        <v>0</v>
      </c>
      <c r="R1098" s="41" t="s">
        <v>32</v>
      </c>
      <c r="S1098" s="69" t="s">
        <v>33</v>
      </c>
      <c r="T1098" s="51" t="b">
        <v>1</v>
      </c>
      <c r="U1098" s="94"/>
    </row>
    <row r="1099" ht="30.0" customHeight="1">
      <c r="A1099" s="39"/>
      <c r="B1099" s="40">
        <v>3134.0</v>
      </c>
      <c r="C1099" s="41" t="s">
        <v>50</v>
      </c>
      <c r="D1099" s="86">
        <v>46100.0</v>
      </c>
      <c r="E1099" s="43" t="str">
        <f t="shared" si="1"/>
        <v>2026</v>
      </c>
      <c r="F1099" s="43" t="str">
        <f t="shared" si="2"/>
        <v>03 Mar</v>
      </c>
      <c r="G1099" s="45" t="s">
        <v>155</v>
      </c>
      <c r="H1099" s="45" t="s">
        <v>149</v>
      </c>
      <c r="I1099" s="45" t="s">
        <v>1016</v>
      </c>
      <c r="J1099" s="143" t="s">
        <v>28</v>
      </c>
      <c r="K1099" s="43" t="str">
        <f t="array" ref="K1099">IF(J1099="","", XLOOKUP(J1099,'⚙️ Pengaturan'!$E$2:$E3237,'⚙️ Pengaturan'!$G$2:$G3237))</f>
        <v>KLINIK FT TA</v>
      </c>
      <c r="L1099" s="43" t="str">
        <f t="shared" si="3"/>
        <v>BARU</v>
      </c>
      <c r="M1099" s="144" t="s">
        <v>31</v>
      </c>
      <c r="N1099" s="145">
        <v>200000.0</v>
      </c>
      <c r="O1099" s="146">
        <v>50000.0</v>
      </c>
      <c r="P1099" s="48">
        <f t="array" ref="P1099">IFNA(XLOOKUP(J1099,'⚙️ Pengaturan'!$E$2:$E3237,'⚙️ Pengaturan'!$F$2:$F3237),"")</f>
        <v>250000</v>
      </c>
      <c r="Q1099" s="147">
        <f t="shared" si="19"/>
        <v>0</v>
      </c>
      <c r="R1099" s="41" t="s">
        <v>32</v>
      </c>
      <c r="S1099" s="69" t="s">
        <v>33</v>
      </c>
      <c r="T1099" s="51" t="b">
        <v>1</v>
      </c>
      <c r="U1099" s="94"/>
    </row>
    <row r="1100" ht="30.0" customHeight="1">
      <c r="A1100" s="39"/>
      <c r="B1100" s="40">
        <v>3135.0</v>
      </c>
      <c r="C1100" s="41" t="s">
        <v>50</v>
      </c>
      <c r="D1100" s="86">
        <v>46100.0</v>
      </c>
      <c r="E1100" s="43" t="str">
        <f t="shared" si="1"/>
        <v>2026</v>
      </c>
      <c r="F1100" s="43" t="str">
        <f t="shared" si="2"/>
        <v>03 Mar</v>
      </c>
      <c r="G1100" s="45" t="s">
        <v>155</v>
      </c>
      <c r="H1100" s="45" t="s">
        <v>96</v>
      </c>
      <c r="I1100" s="45" t="s">
        <v>1017</v>
      </c>
      <c r="J1100" s="143" t="s">
        <v>28</v>
      </c>
      <c r="K1100" s="43" t="str">
        <f t="array" ref="K1100">IF(J1100="","", XLOOKUP(J1100,'⚙️ Pengaturan'!$E$2:$E3237,'⚙️ Pengaturan'!$G$2:$G3237))</f>
        <v>KLINIK FT TA</v>
      </c>
      <c r="L1100" s="43" t="str">
        <f t="shared" si="3"/>
        <v>BARU</v>
      </c>
      <c r="M1100" s="144" t="s">
        <v>31</v>
      </c>
      <c r="N1100" s="145">
        <v>200000.0</v>
      </c>
      <c r="O1100" s="146">
        <v>50000.0</v>
      </c>
      <c r="P1100" s="48">
        <f t="array" ref="P1100">IFNA(XLOOKUP(J1100,'⚙️ Pengaturan'!$E$2:$E3237,'⚙️ Pengaturan'!$F$2:$F3237),"")</f>
        <v>250000</v>
      </c>
      <c r="Q1100" s="147">
        <f t="shared" si="19"/>
        <v>0</v>
      </c>
      <c r="R1100" s="41" t="s">
        <v>37</v>
      </c>
      <c r="S1100" s="69" t="s">
        <v>1017</v>
      </c>
      <c r="T1100" s="51" t="b">
        <v>1</v>
      </c>
      <c r="U1100" s="94"/>
    </row>
    <row r="1101" ht="30.0" customHeight="1">
      <c r="A1101" s="39"/>
      <c r="B1101" s="40">
        <v>3136.0</v>
      </c>
      <c r="C1101" s="41" t="s">
        <v>50</v>
      </c>
      <c r="D1101" s="86">
        <v>46100.0</v>
      </c>
      <c r="E1101" s="43" t="str">
        <f t="shared" si="1"/>
        <v>2026</v>
      </c>
      <c r="F1101" s="43" t="str">
        <f t="shared" si="2"/>
        <v>03 Mar</v>
      </c>
      <c r="G1101" s="45" t="s">
        <v>155</v>
      </c>
      <c r="H1101" s="45" t="s">
        <v>41</v>
      </c>
      <c r="I1101" s="45" t="s">
        <v>1018</v>
      </c>
      <c r="J1101" s="143" t="s">
        <v>28</v>
      </c>
      <c r="K1101" s="43" t="str">
        <f t="array" ref="K1101">IF(J1101="","", XLOOKUP(J1101,'⚙️ Pengaturan'!$E$2:$E3237,'⚙️ Pengaturan'!$G$2:$G3237))</f>
        <v>KLINIK FT TA</v>
      </c>
      <c r="L1101" s="43" t="str">
        <f t="shared" si="3"/>
        <v>BARU</v>
      </c>
      <c r="M1101" s="144" t="s">
        <v>31</v>
      </c>
      <c r="N1101" s="145">
        <v>200000.0</v>
      </c>
      <c r="O1101" s="146">
        <v>50000.0</v>
      </c>
      <c r="P1101" s="48">
        <f t="array" ref="P1101">IFNA(XLOOKUP(J1101,'⚙️ Pengaturan'!$E$2:$E3237,'⚙️ Pengaturan'!$F$2:$F3237),"")</f>
        <v>250000</v>
      </c>
      <c r="Q1101" s="147">
        <f t="shared" si="19"/>
        <v>0</v>
      </c>
      <c r="R1101" s="41" t="s">
        <v>37</v>
      </c>
      <c r="S1101" s="69" t="s">
        <v>1019</v>
      </c>
      <c r="T1101" s="51" t="b">
        <v>1</v>
      </c>
      <c r="U1101" s="94"/>
    </row>
    <row r="1102" ht="30.0" customHeight="1">
      <c r="A1102" s="39"/>
      <c r="B1102" s="40">
        <v>3137.0</v>
      </c>
      <c r="C1102" s="41" t="s">
        <v>50</v>
      </c>
      <c r="D1102" s="86">
        <v>46100.0</v>
      </c>
      <c r="E1102" s="43" t="str">
        <f t="shared" si="1"/>
        <v>2026</v>
      </c>
      <c r="F1102" s="43" t="str">
        <f t="shared" si="2"/>
        <v>03 Mar</v>
      </c>
      <c r="G1102" s="45" t="s">
        <v>190</v>
      </c>
      <c r="H1102" s="45" t="s">
        <v>96</v>
      </c>
      <c r="I1102" s="45" t="s">
        <v>1020</v>
      </c>
      <c r="J1102" s="143" t="s">
        <v>28</v>
      </c>
      <c r="K1102" s="43" t="str">
        <f t="array" ref="K1102">IF(J1102="","", XLOOKUP(J1102,'⚙️ Pengaturan'!$E$2:$E3237,'⚙️ Pengaturan'!$G$2:$G3237))</f>
        <v>KLINIK FT TA</v>
      </c>
      <c r="L1102" s="43" t="str">
        <f t="shared" si="3"/>
        <v>BARU</v>
      </c>
      <c r="M1102" s="144" t="s">
        <v>31</v>
      </c>
      <c r="N1102" s="145">
        <v>50000.0</v>
      </c>
      <c r="O1102" s="146">
        <v>200000.0</v>
      </c>
      <c r="P1102" s="48">
        <f t="array" ref="P1102">IFNA(XLOOKUP(J1102,'⚙️ Pengaturan'!$E$2:$E3237,'⚙️ Pengaturan'!$F$2:$F3237),"")</f>
        <v>250000</v>
      </c>
      <c r="Q1102" s="147">
        <f t="shared" si="19"/>
        <v>0</v>
      </c>
      <c r="R1102" s="41" t="s">
        <v>32</v>
      </c>
      <c r="S1102" s="69" t="s">
        <v>33</v>
      </c>
      <c r="T1102" s="51" t="b">
        <v>1</v>
      </c>
      <c r="U1102" s="94"/>
    </row>
    <row r="1103" ht="30.0" customHeight="1">
      <c r="A1103" s="39"/>
      <c r="B1103" s="40">
        <v>3138.0</v>
      </c>
      <c r="C1103" s="41" t="s">
        <v>50</v>
      </c>
      <c r="D1103" s="86">
        <v>46100.0</v>
      </c>
      <c r="E1103" s="43" t="str">
        <f t="shared" si="1"/>
        <v>2026</v>
      </c>
      <c r="F1103" s="43" t="str">
        <f t="shared" si="2"/>
        <v>03 Mar</v>
      </c>
      <c r="G1103" s="45" t="s">
        <v>190</v>
      </c>
      <c r="H1103" s="45" t="s">
        <v>149</v>
      </c>
      <c r="I1103" s="45" t="s">
        <v>1021</v>
      </c>
      <c r="J1103" s="143" t="s">
        <v>28</v>
      </c>
      <c r="K1103" s="43" t="str">
        <f t="array" ref="K1103">IF(J1103="","", XLOOKUP(J1103,'⚙️ Pengaturan'!$E$2:$E3237,'⚙️ Pengaturan'!$G$2:$G3237))</f>
        <v>KLINIK FT TA</v>
      </c>
      <c r="L1103" s="43" t="str">
        <f t="shared" si="3"/>
        <v>BARU</v>
      </c>
      <c r="M1103" s="144" t="s">
        <v>31</v>
      </c>
      <c r="N1103" s="145">
        <v>200000.0</v>
      </c>
      <c r="O1103" s="146">
        <v>50000.0</v>
      </c>
      <c r="P1103" s="48">
        <f t="array" ref="P1103">IFNA(XLOOKUP(J1103,'⚙️ Pengaturan'!$E$2:$E3237,'⚙️ Pengaturan'!$F$2:$F3237),"")</f>
        <v>250000</v>
      </c>
      <c r="Q1103" s="147">
        <f t="shared" si="19"/>
        <v>0</v>
      </c>
      <c r="R1103" s="41" t="s">
        <v>32</v>
      </c>
      <c r="S1103" s="69" t="s">
        <v>33</v>
      </c>
      <c r="T1103" s="51" t="b">
        <v>1</v>
      </c>
      <c r="U1103" s="94"/>
    </row>
    <row r="1104" ht="30.0" customHeight="1">
      <c r="A1104" s="39"/>
      <c r="B1104" s="40">
        <v>3139.0</v>
      </c>
      <c r="C1104" s="41" t="s">
        <v>39</v>
      </c>
      <c r="D1104" s="86">
        <v>46109.0</v>
      </c>
      <c r="E1104" s="43" t="str">
        <f t="shared" si="1"/>
        <v>2026</v>
      </c>
      <c r="F1104" s="43" t="str">
        <f t="shared" si="2"/>
        <v>03 Mar</v>
      </c>
      <c r="G1104" s="45" t="s">
        <v>195</v>
      </c>
      <c r="H1104" s="45" t="s">
        <v>150</v>
      </c>
      <c r="I1104" s="45" t="s">
        <v>1012</v>
      </c>
      <c r="J1104" s="143" t="s">
        <v>119</v>
      </c>
      <c r="K1104" s="43" t="str">
        <f t="array" ref="K1104">IF(J1104="","", XLOOKUP(J1104,'⚙️ Pengaturan'!$E$2:$E3237,'⚙️ Pengaturan'!$G$2:$G3237))</f>
        <v>KLINIK FT PAKET</v>
      </c>
      <c r="L1104" s="43" t="str">
        <f t="shared" si="3"/>
        <v>BARU</v>
      </c>
      <c r="M1104" s="144" t="s">
        <v>60</v>
      </c>
      <c r="N1104" s="145">
        <v>375000.0</v>
      </c>
      <c r="O1104" s="146">
        <v>0.0</v>
      </c>
      <c r="P1104" s="48">
        <f t="array" ref="P1104">IFNA(XLOOKUP(J1104,'⚙️ Pengaturan'!$E$2:$E3237,'⚙️ Pengaturan'!$F$2:$F3237),"")</f>
        <v>750000</v>
      </c>
      <c r="Q1104" s="147">
        <f t="shared" si="19"/>
        <v>-375000</v>
      </c>
      <c r="R1104" s="41" t="s">
        <v>37</v>
      </c>
      <c r="S1104" s="69" t="s">
        <v>1012</v>
      </c>
      <c r="T1104" s="51" t="b">
        <v>1</v>
      </c>
      <c r="U1104" s="94"/>
    </row>
    <row r="1105" ht="30.0" customHeight="1">
      <c r="A1105" s="39"/>
      <c r="B1105" s="40">
        <v>3140.0</v>
      </c>
      <c r="C1105" s="41" t="s">
        <v>39</v>
      </c>
      <c r="D1105" s="86">
        <v>46109.0</v>
      </c>
      <c r="E1105" s="43" t="str">
        <f t="shared" si="1"/>
        <v>2026</v>
      </c>
      <c r="F1105" s="43" t="str">
        <f t="shared" si="2"/>
        <v>03 Mar</v>
      </c>
      <c r="G1105" s="45" t="s">
        <v>25</v>
      </c>
      <c r="H1105" s="45" t="s">
        <v>26</v>
      </c>
      <c r="I1105" s="45" t="s">
        <v>1022</v>
      </c>
      <c r="J1105" s="143" t="s">
        <v>28</v>
      </c>
      <c r="K1105" s="43" t="str">
        <f t="array" ref="K1105">IF(J1105="","", XLOOKUP(J1105,'⚙️ Pengaturan'!$E$2:$E3237,'⚙️ Pengaturan'!$G$2:$G3237))</f>
        <v>KLINIK FT TA</v>
      </c>
      <c r="L1105" s="43" t="str">
        <f t="shared" si="3"/>
        <v>BARU</v>
      </c>
      <c r="M1105" s="144" t="s">
        <v>31</v>
      </c>
      <c r="N1105" s="145">
        <v>250000.0</v>
      </c>
      <c r="O1105" s="146">
        <v>0.0</v>
      </c>
      <c r="P1105" s="48">
        <f t="array" ref="P1105">IFNA(XLOOKUP(J1105,'⚙️ Pengaturan'!$E$2:$E3237,'⚙️ Pengaturan'!$F$2:$F3237),"")</f>
        <v>250000</v>
      </c>
      <c r="Q1105" s="147">
        <f t="shared" si="19"/>
        <v>0</v>
      </c>
      <c r="R1105" s="41" t="s">
        <v>32</v>
      </c>
      <c r="S1105" s="69" t="s">
        <v>33</v>
      </c>
      <c r="T1105" s="51" t="b">
        <v>1</v>
      </c>
      <c r="U1105" s="94"/>
    </row>
    <row r="1106" ht="30.0" customHeight="1">
      <c r="A1106" s="39"/>
      <c r="B1106" s="40">
        <v>3141.0</v>
      </c>
      <c r="C1106" s="41" t="s">
        <v>39</v>
      </c>
      <c r="D1106" s="86">
        <v>46109.0</v>
      </c>
      <c r="E1106" s="43" t="str">
        <f t="shared" si="1"/>
        <v>2026</v>
      </c>
      <c r="F1106" s="43" t="str">
        <f t="shared" si="2"/>
        <v>03 Mar</v>
      </c>
      <c r="G1106" s="45" t="s">
        <v>206</v>
      </c>
      <c r="H1106" s="45" t="s">
        <v>166</v>
      </c>
      <c r="I1106" s="45" t="s">
        <v>988</v>
      </c>
      <c r="J1106" s="143" t="s">
        <v>119</v>
      </c>
      <c r="K1106" s="43" t="str">
        <f t="array" ref="K1106">IF(J1106="","", XLOOKUP(J1106,'⚙️ Pengaturan'!$E$2:$E3237,'⚙️ Pengaturan'!$G$2:$G3237))</f>
        <v>KLINIK FT PAKET</v>
      </c>
      <c r="L1106" s="43" t="str">
        <f t="shared" si="3"/>
        <v>BARU</v>
      </c>
      <c r="M1106" s="144" t="s">
        <v>31</v>
      </c>
      <c r="N1106" s="145">
        <v>750000.0</v>
      </c>
      <c r="O1106" s="146">
        <v>0.0</v>
      </c>
      <c r="P1106" s="48">
        <f t="array" ref="P1106">IFNA(XLOOKUP(J1106,'⚙️ Pengaturan'!$E$2:$E3237,'⚙️ Pengaturan'!$F$2:$F3237),"")</f>
        <v>750000</v>
      </c>
      <c r="Q1106" s="147">
        <f t="shared" si="19"/>
        <v>0</v>
      </c>
      <c r="R1106" s="41" t="s">
        <v>37</v>
      </c>
      <c r="S1106" s="69" t="s">
        <v>988</v>
      </c>
      <c r="T1106" s="51" t="b">
        <v>1</v>
      </c>
      <c r="U1106" s="94"/>
    </row>
    <row r="1107" ht="30.0" customHeight="1">
      <c r="A1107" s="39"/>
      <c r="B1107" s="40">
        <v>3142.0</v>
      </c>
      <c r="C1107" s="41" t="s">
        <v>39</v>
      </c>
      <c r="D1107" s="86">
        <v>46109.0</v>
      </c>
      <c r="E1107" s="43" t="str">
        <f t="shared" si="1"/>
        <v>2026</v>
      </c>
      <c r="F1107" s="43" t="str">
        <f t="shared" si="2"/>
        <v>03 Mar</v>
      </c>
      <c r="G1107" s="45" t="s">
        <v>206</v>
      </c>
      <c r="H1107" s="45" t="s">
        <v>26</v>
      </c>
      <c r="I1107" s="45" t="s">
        <v>1023</v>
      </c>
      <c r="J1107" s="143" t="s">
        <v>28</v>
      </c>
      <c r="K1107" s="43" t="str">
        <f t="array" ref="K1107">IF(J1107="","", XLOOKUP(J1107,'⚙️ Pengaturan'!$E$2:$E3237,'⚙️ Pengaturan'!$G$2:$G3237))</f>
        <v>KLINIK FT TA</v>
      </c>
      <c r="L1107" s="43" t="str">
        <f t="shared" si="3"/>
        <v>BARU</v>
      </c>
      <c r="M1107" s="144" t="s">
        <v>31</v>
      </c>
      <c r="N1107" s="145">
        <v>250000.0</v>
      </c>
      <c r="O1107" s="146">
        <v>0.0</v>
      </c>
      <c r="P1107" s="48">
        <f t="array" ref="P1107">IFNA(XLOOKUP(J1107,'⚙️ Pengaturan'!$E$2:$E3237,'⚙️ Pengaturan'!$F$2:$F3237),"")</f>
        <v>250000</v>
      </c>
      <c r="Q1107" s="147">
        <f t="shared" si="19"/>
        <v>0</v>
      </c>
      <c r="R1107" s="41" t="s">
        <v>32</v>
      </c>
      <c r="S1107" s="69" t="s">
        <v>33</v>
      </c>
      <c r="T1107" s="51" t="b">
        <v>1</v>
      </c>
      <c r="U1107" s="94"/>
    </row>
    <row r="1108" ht="30.0" customHeight="1">
      <c r="A1108" s="39"/>
      <c r="B1108" s="40">
        <v>3143.0</v>
      </c>
      <c r="C1108" s="41" t="s">
        <v>39</v>
      </c>
      <c r="D1108" s="86">
        <v>46109.0</v>
      </c>
      <c r="E1108" s="43" t="str">
        <f t="shared" si="1"/>
        <v>2026</v>
      </c>
      <c r="F1108" s="43" t="str">
        <f t="shared" si="2"/>
        <v>03 Mar</v>
      </c>
      <c r="G1108" s="45" t="s">
        <v>206</v>
      </c>
      <c r="H1108" s="45" t="s">
        <v>156</v>
      </c>
      <c r="I1108" s="45" t="s">
        <v>1024</v>
      </c>
      <c r="J1108" s="143" t="s">
        <v>28</v>
      </c>
      <c r="K1108" s="43" t="str">
        <f t="array" ref="K1108">IF(J1108="","", XLOOKUP(J1108,'⚙️ Pengaturan'!$E$2:$E3237,'⚙️ Pengaturan'!$G$2:$G3237))</f>
        <v>KLINIK FT TA</v>
      </c>
      <c r="L1108" s="43" t="str">
        <f t="shared" si="3"/>
        <v>BARU</v>
      </c>
      <c r="M1108" s="144" t="s">
        <v>31</v>
      </c>
      <c r="N1108" s="145">
        <v>250000.0</v>
      </c>
      <c r="O1108" s="146">
        <v>0.0</v>
      </c>
      <c r="P1108" s="48">
        <f t="array" ref="P1108">IFNA(XLOOKUP(J1108,'⚙️ Pengaturan'!$E$2:$E3237,'⚙️ Pengaturan'!$F$2:$F3237),"")</f>
        <v>250000</v>
      </c>
      <c r="Q1108" s="147">
        <f t="shared" si="19"/>
        <v>0</v>
      </c>
      <c r="R1108" s="41" t="s">
        <v>37</v>
      </c>
      <c r="S1108" s="69" t="s">
        <v>1025</v>
      </c>
      <c r="T1108" s="51" t="b">
        <v>1</v>
      </c>
      <c r="U1108" s="94"/>
    </row>
    <row r="1109" ht="30.0" customHeight="1">
      <c r="A1109" s="39"/>
      <c r="B1109" s="40">
        <v>3144.0</v>
      </c>
      <c r="C1109" s="41" t="s">
        <v>39</v>
      </c>
      <c r="D1109" s="86">
        <v>46109.0</v>
      </c>
      <c r="E1109" s="43" t="str">
        <f t="shared" si="1"/>
        <v>2026</v>
      </c>
      <c r="F1109" s="43" t="str">
        <f t="shared" si="2"/>
        <v>03 Mar</v>
      </c>
      <c r="G1109" s="45" t="s">
        <v>241</v>
      </c>
      <c r="H1109" s="45" t="s">
        <v>156</v>
      </c>
      <c r="I1109" s="45" t="s">
        <v>1026</v>
      </c>
      <c r="J1109" s="143" t="s">
        <v>28</v>
      </c>
      <c r="K1109" s="43" t="str">
        <f t="array" ref="K1109">IF(J1109="","", XLOOKUP(J1109,'⚙️ Pengaturan'!$E$2:$E3237,'⚙️ Pengaturan'!$G$2:$G3237))</f>
        <v>KLINIK FT TA</v>
      </c>
      <c r="L1109" s="43" t="str">
        <f t="shared" si="3"/>
        <v>BARU</v>
      </c>
      <c r="M1109" s="144" t="s">
        <v>31</v>
      </c>
      <c r="N1109" s="145">
        <v>250000.0</v>
      </c>
      <c r="O1109" s="146">
        <v>0.0</v>
      </c>
      <c r="P1109" s="48">
        <f t="array" ref="P1109">IFNA(XLOOKUP(J1109,'⚙️ Pengaturan'!$E$2:$E3237,'⚙️ Pengaturan'!$F$2:$F3237),"")</f>
        <v>250000</v>
      </c>
      <c r="Q1109" s="147">
        <f t="shared" si="19"/>
        <v>0</v>
      </c>
      <c r="R1109" s="41" t="s">
        <v>32</v>
      </c>
      <c r="S1109" s="69" t="s">
        <v>33</v>
      </c>
      <c r="T1109" s="51" t="b">
        <v>1</v>
      </c>
      <c r="U1109" s="94"/>
    </row>
    <row r="1110" ht="30.0" customHeight="1">
      <c r="A1110" s="39"/>
      <c r="B1110" s="40">
        <v>3145.0</v>
      </c>
      <c r="C1110" s="41" t="s">
        <v>39</v>
      </c>
      <c r="D1110" s="86">
        <v>46109.0</v>
      </c>
      <c r="E1110" s="43" t="str">
        <f t="shared" si="1"/>
        <v>2026</v>
      </c>
      <c r="F1110" s="43" t="str">
        <f t="shared" si="2"/>
        <v>03 Mar</v>
      </c>
      <c r="G1110" s="45" t="s">
        <v>161</v>
      </c>
      <c r="H1110" s="45" t="s">
        <v>150</v>
      </c>
      <c r="I1110" s="45" t="s">
        <v>1027</v>
      </c>
      <c r="J1110" s="143" t="s">
        <v>28</v>
      </c>
      <c r="K1110" s="43" t="str">
        <f t="array" ref="K1110">IF(J1110="","", XLOOKUP(J1110,'⚙️ Pengaturan'!$E$2:$E3237,'⚙️ Pengaturan'!$G$2:$G3237))</f>
        <v>KLINIK FT TA</v>
      </c>
      <c r="L1110" s="43" t="str">
        <f t="shared" si="3"/>
        <v>BARU</v>
      </c>
      <c r="M1110" s="144" t="s">
        <v>31</v>
      </c>
      <c r="N1110" s="145">
        <v>250000.0</v>
      </c>
      <c r="O1110" s="146">
        <v>0.0</v>
      </c>
      <c r="P1110" s="48">
        <f t="array" ref="P1110">IFNA(XLOOKUP(J1110,'⚙️ Pengaturan'!$E$2:$E3237,'⚙️ Pengaturan'!$F$2:$F3237),"")</f>
        <v>250000</v>
      </c>
      <c r="Q1110" s="147">
        <f t="shared" si="19"/>
        <v>0</v>
      </c>
      <c r="R1110" s="41" t="s">
        <v>32</v>
      </c>
      <c r="S1110" s="69" t="s">
        <v>33</v>
      </c>
      <c r="T1110" s="51" t="b">
        <v>1</v>
      </c>
      <c r="U1110" s="94"/>
    </row>
    <row r="1111" ht="30.0" customHeight="1">
      <c r="A1111" s="39"/>
      <c r="B1111" s="40">
        <v>3146.0</v>
      </c>
      <c r="C1111" s="41" t="s">
        <v>50</v>
      </c>
      <c r="D1111" s="86">
        <v>46109.0</v>
      </c>
      <c r="E1111" s="43" t="str">
        <f t="shared" si="1"/>
        <v>2026</v>
      </c>
      <c r="F1111" s="43" t="str">
        <f t="shared" si="2"/>
        <v>03 Mar</v>
      </c>
      <c r="G1111" s="45" t="s">
        <v>40</v>
      </c>
      <c r="H1111" s="45" t="s">
        <v>47</v>
      </c>
      <c r="I1111" s="45" t="s">
        <v>977</v>
      </c>
      <c r="J1111" s="143" t="s">
        <v>119</v>
      </c>
      <c r="K1111" s="43" t="str">
        <f t="array" ref="K1111">IF(J1111="","", XLOOKUP(J1111,'⚙️ Pengaturan'!$E$2:$E3237,'⚙️ Pengaturan'!$G$2:$G3237))</f>
        <v>KLINIK FT PAKET</v>
      </c>
      <c r="L1111" s="43" t="str">
        <f t="shared" si="3"/>
        <v>LANJUTAN</v>
      </c>
      <c r="M1111" s="144" t="s">
        <v>164</v>
      </c>
      <c r="N1111" s="145">
        <v>550000.0</v>
      </c>
      <c r="O1111" s="146">
        <v>200000.0</v>
      </c>
      <c r="P1111" s="48">
        <f t="array" ref="P1111">IFNA(XLOOKUP(J1111,'⚙️ Pengaturan'!$E$2:$E3237,'⚙️ Pengaturan'!$F$2:$F3237),"")</f>
        <v>750000</v>
      </c>
      <c r="Q1111" s="147">
        <f t="shared" si="19"/>
        <v>0</v>
      </c>
      <c r="R1111" s="41" t="s">
        <v>32</v>
      </c>
      <c r="S1111" s="69" t="s">
        <v>33</v>
      </c>
      <c r="T1111" s="51" t="b">
        <v>1</v>
      </c>
      <c r="U1111" s="94"/>
    </row>
    <row r="1112" ht="30.0" customHeight="1">
      <c r="A1112" s="39"/>
      <c r="B1112" s="40">
        <v>3147.0</v>
      </c>
      <c r="C1112" s="41" t="s">
        <v>50</v>
      </c>
      <c r="D1112" s="86">
        <v>46109.0</v>
      </c>
      <c r="E1112" s="43" t="str">
        <f t="shared" si="1"/>
        <v>2026</v>
      </c>
      <c r="F1112" s="43" t="str">
        <f t="shared" si="2"/>
        <v>03 Mar</v>
      </c>
      <c r="G1112" s="45" t="s">
        <v>43</v>
      </c>
      <c r="H1112" s="45" t="s">
        <v>41</v>
      </c>
      <c r="I1112" s="45" t="s">
        <v>1028</v>
      </c>
      <c r="J1112" s="143" t="s">
        <v>28</v>
      </c>
      <c r="K1112" s="43" t="str">
        <f t="array" ref="K1112">IF(J1112="","", XLOOKUP(J1112,'⚙️ Pengaturan'!$E$2:$E3237,'⚙️ Pengaturan'!$G$2:$G3237))</f>
        <v>KLINIK FT TA</v>
      </c>
      <c r="L1112" s="43" t="str">
        <f t="shared" si="3"/>
        <v>BARU</v>
      </c>
      <c r="M1112" s="144" t="s">
        <v>31</v>
      </c>
      <c r="N1112" s="145">
        <v>250000.0</v>
      </c>
      <c r="O1112" s="146">
        <v>0.0</v>
      </c>
      <c r="P1112" s="48">
        <f t="array" ref="P1112">IFNA(XLOOKUP(J1112,'⚙️ Pengaturan'!$E$2:$E3237,'⚙️ Pengaturan'!$F$2:$F3237),"")</f>
        <v>250000</v>
      </c>
      <c r="Q1112" s="147">
        <f t="shared" si="19"/>
        <v>0</v>
      </c>
      <c r="R1112" s="41" t="s">
        <v>37</v>
      </c>
      <c r="S1112" s="69" t="s">
        <v>1028</v>
      </c>
      <c r="T1112" s="51" t="b">
        <v>1</v>
      </c>
      <c r="U1112" s="94"/>
    </row>
    <row r="1113" ht="30.0" customHeight="1">
      <c r="A1113" s="39"/>
      <c r="B1113" s="40">
        <v>3148.0</v>
      </c>
      <c r="C1113" s="41" t="s">
        <v>50</v>
      </c>
      <c r="D1113" s="86">
        <v>46109.0</v>
      </c>
      <c r="E1113" s="43" t="str">
        <f t="shared" si="1"/>
        <v>2026</v>
      </c>
      <c r="F1113" s="43" t="str">
        <f t="shared" si="2"/>
        <v>03 Mar</v>
      </c>
      <c r="G1113" s="45" t="s">
        <v>43</v>
      </c>
      <c r="H1113" s="45" t="s">
        <v>96</v>
      </c>
      <c r="I1113" s="45" t="s">
        <v>1029</v>
      </c>
      <c r="J1113" s="143" t="s">
        <v>28</v>
      </c>
      <c r="K1113" s="43" t="str">
        <f t="array" ref="K1113">IF(J1113="","", XLOOKUP(J1113,'⚙️ Pengaturan'!$E$2:$E3237,'⚙️ Pengaturan'!$G$2:$G3237))</f>
        <v>KLINIK FT TA</v>
      </c>
      <c r="L1113" s="43" t="str">
        <f t="shared" si="3"/>
        <v>BARU</v>
      </c>
      <c r="M1113" s="144" t="s">
        <v>31</v>
      </c>
      <c r="N1113" s="145">
        <v>250000.0</v>
      </c>
      <c r="O1113" s="146">
        <v>0.0</v>
      </c>
      <c r="P1113" s="48">
        <f t="array" ref="P1113">IFNA(XLOOKUP(J1113,'⚙️ Pengaturan'!$E$2:$E3237,'⚙️ Pengaturan'!$F$2:$F3237),"")</f>
        <v>250000</v>
      </c>
      <c r="Q1113" s="147">
        <f t="shared" si="19"/>
        <v>0</v>
      </c>
      <c r="R1113" s="41" t="s">
        <v>37</v>
      </c>
      <c r="S1113" s="69" t="s">
        <v>1029</v>
      </c>
      <c r="T1113" s="51" t="b">
        <v>1</v>
      </c>
      <c r="U1113" s="94"/>
    </row>
    <row r="1114" ht="30.0" customHeight="1">
      <c r="A1114" s="39"/>
      <c r="B1114" s="40">
        <v>3149.0</v>
      </c>
      <c r="C1114" s="41" t="s">
        <v>50</v>
      </c>
      <c r="D1114" s="86">
        <v>46109.0</v>
      </c>
      <c r="E1114" s="43" t="str">
        <f t="shared" si="1"/>
        <v>2026</v>
      </c>
      <c r="F1114" s="43" t="str">
        <f t="shared" si="2"/>
        <v>03 Mar</v>
      </c>
      <c r="G1114" s="45" t="s">
        <v>173</v>
      </c>
      <c r="H1114" s="45" t="s">
        <v>96</v>
      </c>
      <c r="I1114" s="45" t="s">
        <v>1030</v>
      </c>
      <c r="J1114" s="143" t="s">
        <v>28</v>
      </c>
      <c r="K1114" s="43" t="str">
        <f t="array" ref="K1114">IF(J1114="","", XLOOKUP(J1114,'⚙️ Pengaturan'!$E$2:$E3237,'⚙️ Pengaturan'!$G$2:$G3237))</f>
        <v>KLINIK FT TA</v>
      </c>
      <c r="L1114" s="43" t="str">
        <f t="shared" si="3"/>
        <v>BARU</v>
      </c>
      <c r="M1114" s="144" t="s">
        <v>31</v>
      </c>
      <c r="N1114" s="145">
        <v>250000.0</v>
      </c>
      <c r="O1114" s="146">
        <v>0.0</v>
      </c>
      <c r="P1114" s="48">
        <f t="array" ref="P1114">IFNA(XLOOKUP(J1114,'⚙️ Pengaturan'!$E$2:$E3237,'⚙️ Pengaturan'!$F$2:$F3237),"")</f>
        <v>250000</v>
      </c>
      <c r="Q1114" s="147">
        <f t="shared" si="19"/>
        <v>0</v>
      </c>
      <c r="R1114" s="41" t="s">
        <v>32</v>
      </c>
      <c r="S1114" s="69" t="s">
        <v>33</v>
      </c>
      <c r="T1114" s="51" t="b">
        <v>1</v>
      </c>
      <c r="U1114" s="94"/>
    </row>
    <row r="1115" ht="30.0" customHeight="1">
      <c r="A1115" s="39"/>
      <c r="B1115" s="40">
        <v>3150.0</v>
      </c>
      <c r="C1115" s="41" t="s">
        <v>50</v>
      </c>
      <c r="D1115" s="86">
        <v>46109.0</v>
      </c>
      <c r="E1115" s="43" t="str">
        <f t="shared" si="1"/>
        <v>2026</v>
      </c>
      <c r="F1115" s="43" t="str">
        <f t="shared" si="2"/>
        <v>03 Mar</v>
      </c>
      <c r="G1115" s="45" t="s">
        <v>173</v>
      </c>
      <c r="H1115" s="45" t="s">
        <v>41</v>
      </c>
      <c r="I1115" s="45" t="s">
        <v>704</v>
      </c>
      <c r="J1115" s="143" t="s">
        <v>180</v>
      </c>
      <c r="K1115" s="43" t="str">
        <f t="array" ref="K1115">IF(J1115="","", XLOOKUP(J1115,'⚙️ Pengaturan'!$E$2:$E3237,'⚙️ Pengaturan'!$G$2:$G3237))</f>
        <v>KLINIK FT SESI</v>
      </c>
      <c r="L1115" s="43" t="str">
        <f t="shared" si="3"/>
        <v>LANJUTAN</v>
      </c>
      <c r="M1115" s="144" t="s">
        <v>31</v>
      </c>
      <c r="N1115" s="145">
        <v>150000.0</v>
      </c>
      <c r="O1115" s="146">
        <v>0.0</v>
      </c>
      <c r="P1115" s="48">
        <f t="array" ref="P1115">IFNA(XLOOKUP(J1115,'⚙️ Pengaturan'!$E$2:$E3237,'⚙️ Pengaturan'!$F$2:$F3237),"")</f>
        <v>150000</v>
      </c>
      <c r="Q1115" s="147">
        <f t="shared" si="19"/>
        <v>0</v>
      </c>
      <c r="R1115" s="41" t="s">
        <v>32</v>
      </c>
      <c r="S1115" s="69" t="s">
        <v>33</v>
      </c>
      <c r="T1115" s="51" t="b">
        <v>1</v>
      </c>
      <c r="U1115" s="94"/>
    </row>
    <row r="1116" ht="30.0" customHeight="1">
      <c r="A1116" s="39"/>
      <c r="B1116" s="40">
        <v>3151.0</v>
      </c>
      <c r="C1116" s="41" t="s">
        <v>50</v>
      </c>
      <c r="D1116" s="86">
        <v>46109.0</v>
      </c>
      <c r="E1116" s="43" t="str">
        <f t="shared" si="1"/>
        <v>2026</v>
      </c>
      <c r="F1116" s="43" t="str">
        <f t="shared" si="2"/>
        <v>03 Mar</v>
      </c>
      <c r="G1116" s="45" t="s">
        <v>155</v>
      </c>
      <c r="H1116" s="45" t="s">
        <v>96</v>
      </c>
      <c r="I1116" s="45" t="s">
        <v>1031</v>
      </c>
      <c r="J1116" s="143" t="s">
        <v>28</v>
      </c>
      <c r="K1116" s="43" t="str">
        <f t="array" ref="K1116">IF(J1116="","", XLOOKUP(J1116,'⚙️ Pengaturan'!$E$2:$E3237,'⚙️ Pengaturan'!$G$2:$G3237))</f>
        <v>KLINIK FT TA</v>
      </c>
      <c r="L1116" s="43" t="str">
        <f t="shared" si="3"/>
        <v>BARU</v>
      </c>
      <c r="M1116" s="144" t="s">
        <v>31</v>
      </c>
      <c r="N1116" s="145">
        <v>250000.0</v>
      </c>
      <c r="O1116" s="146">
        <v>0.0</v>
      </c>
      <c r="P1116" s="48">
        <f t="array" ref="P1116">IFNA(XLOOKUP(J1116,'⚙️ Pengaturan'!$E$2:$E3237,'⚙️ Pengaturan'!$F$2:$F3237),"")</f>
        <v>250000</v>
      </c>
      <c r="Q1116" s="147">
        <f t="shared" si="19"/>
        <v>0</v>
      </c>
      <c r="R1116" s="41" t="s">
        <v>32</v>
      </c>
      <c r="S1116" s="69" t="s">
        <v>33</v>
      </c>
      <c r="T1116" s="51" t="b">
        <v>1</v>
      </c>
      <c r="U1116" s="94"/>
    </row>
    <row r="1117" ht="30.0" customHeight="1">
      <c r="A1117" s="39"/>
      <c r="B1117" s="40">
        <v>3152.0</v>
      </c>
      <c r="C1117" s="41" t="s">
        <v>50</v>
      </c>
      <c r="D1117" s="86">
        <v>46109.0</v>
      </c>
      <c r="E1117" s="43" t="str">
        <f t="shared" si="1"/>
        <v>2026</v>
      </c>
      <c r="F1117" s="43" t="str">
        <f t="shared" si="2"/>
        <v>03 Mar</v>
      </c>
      <c r="G1117" s="45" t="s">
        <v>155</v>
      </c>
      <c r="H1117" s="45" t="s">
        <v>41</v>
      </c>
      <c r="I1117" s="45" t="s">
        <v>1032</v>
      </c>
      <c r="J1117" s="143" t="s">
        <v>28</v>
      </c>
      <c r="K1117" s="43" t="str">
        <f t="array" ref="K1117">IF(J1117="","", XLOOKUP(J1117,'⚙️ Pengaturan'!$E$2:$E3237,'⚙️ Pengaturan'!$G$2:$G3237))</f>
        <v>KLINIK FT TA</v>
      </c>
      <c r="L1117" s="43" t="str">
        <f t="shared" si="3"/>
        <v>BARU</v>
      </c>
      <c r="M1117" s="144" t="s">
        <v>31</v>
      </c>
      <c r="N1117" s="145">
        <v>250000.0</v>
      </c>
      <c r="O1117" s="146">
        <v>0.0</v>
      </c>
      <c r="P1117" s="48">
        <f t="array" ref="P1117">IFNA(XLOOKUP(J1117,'⚙️ Pengaturan'!$E$2:$E3237,'⚙️ Pengaturan'!$F$2:$F3237),"")</f>
        <v>250000</v>
      </c>
      <c r="Q1117" s="147">
        <f t="shared" si="19"/>
        <v>0</v>
      </c>
      <c r="R1117" s="41" t="s">
        <v>32</v>
      </c>
      <c r="S1117" s="69" t="s">
        <v>33</v>
      </c>
      <c r="T1117" s="51" t="b">
        <v>1</v>
      </c>
      <c r="U1117" s="94"/>
    </row>
    <row r="1118" ht="30.0" customHeight="1">
      <c r="A1118" s="39"/>
      <c r="B1118" s="40">
        <v>3153.0</v>
      </c>
      <c r="C1118" s="41" t="s">
        <v>69</v>
      </c>
      <c r="D1118" s="86">
        <v>46110.0</v>
      </c>
      <c r="E1118" s="43" t="str">
        <f t="shared" si="1"/>
        <v>2026</v>
      </c>
      <c r="F1118" s="43" t="str">
        <f t="shared" si="2"/>
        <v>03 Mar</v>
      </c>
      <c r="G1118" s="45" t="s">
        <v>241</v>
      </c>
      <c r="H1118" s="45" t="s">
        <v>41</v>
      </c>
      <c r="I1118" s="45" t="s">
        <v>834</v>
      </c>
      <c r="J1118" s="143" t="s">
        <v>119</v>
      </c>
      <c r="K1118" s="43" t="str">
        <f t="array" ref="K1118">IF(J1118="","", XLOOKUP(J1118,'⚙️ Pengaturan'!$E$2:$E3237,'⚙️ Pengaturan'!$G$2:$G3237))</f>
        <v>KLINIK FT PAKET</v>
      </c>
      <c r="L1118" s="43" t="str">
        <f t="shared" si="3"/>
        <v>BARU</v>
      </c>
      <c r="M1118" s="144" t="s">
        <v>31</v>
      </c>
      <c r="N1118" s="145">
        <v>750000.0</v>
      </c>
      <c r="O1118" s="146">
        <v>0.0</v>
      </c>
      <c r="P1118" s="48">
        <f t="array" ref="P1118">IFNA(XLOOKUP(J1118,'⚙️ Pengaturan'!$E$2:$E3237,'⚙️ Pengaturan'!$F$2:$F3237),"")</f>
        <v>750000</v>
      </c>
      <c r="Q1118" s="147">
        <f t="shared" si="19"/>
        <v>0</v>
      </c>
      <c r="R1118" s="41" t="s">
        <v>37</v>
      </c>
      <c r="S1118" s="69" t="s">
        <v>834</v>
      </c>
      <c r="T1118" s="51" t="b">
        <v>1</v>
      </c>
      <c r="U1118" s="94"/>
    </row>
    <row r="1119" ht="30.0" customHeight="1">
      <c r="A1119" s="39"/>
      <c r="B1119" s="40">
        <v>3154.0</v>
      </c>
      <c r="C1119" s="41" t="s">
        <v>39</v>
      </c>
      <c r="D1119" s="86">
        <v>46110.0</v>
      </c>
      <c r="E1119" s="43" t="str">
        <f t="shared" si="1"/>
        <v>2026</v>
      </c>
      <c r="F1119" s="43" t="str">
        <f t="shared" si="2"/>
        <v>03 Mar</v>
      </c>
      <c r="G1119" s="45" t="s">
        <v>195</v>
      </c>
      <c r="H1119" s="45" t="s">
        <v>47</v>
      </c>
      <c r="I1119" s="45" t="s">
        <v>1033</v>
      </c>
      <c r="J1119" s="143" t="s">
        <v>28</v>
      </c>
      <c r="K1119" s="43" t="str">
        <f t="array" ref="K1119">IF(J1119="","", XLOOKUP(J1119,'⚙️ Pengaturan'!$E$2:$E3237,'⚙️ Pengaturan'!$G$2:$G3237))</f>
        <v>KLINIK FT TA</v>
      </c>
      <c r="L1119" s="43" t="str">
        <f t="shared" si="3"/>
        <v>BARU</v>
      </c>
      <c r="M1119" s="144" t="s">
        <v>31</v>
      </c>
      <c r="N1119" s="145">
        <v>250000.0</v>
      </c>
      <c r="O1119" s="146">
        <v>0.0</v>
      </c>
      <c r="P1119" s="48">
        <f t="array" ref="P1119">IFNA(XLOOKUP(J1119,'⚙️ Pengaturan'!$E$2:$E3237,'⚙️ Pengaturan'!$F$2:$F3237),"")</f>
        <v>250000</v>
      </c>
      <c r="Q1119" s="147">
        <f t="shared" si="19"/>
        <v>0</v>
      </c>
      <c r="R1119" s="41" t="s">
        <v>37</v>
      </c>
      <c r="S1119" s="69" t="s">
        <v>1033</v>
      </c>
      <c r="T1119" s="51" t="b">
        <v>1</v>
      </c>
      <c r="U1119" s="94"/>
    </row>
    <row r="1120" ht="30.0" customHeight="1">
      <c r="A1120" s="39"/>
      <c r="B1120" s="40">
        <v>3155.0</v>
      </c>
      <c r="C1120" s="41" t="s">
        <v>39</v>
      </c>
      <c r="D1120" s="86">
        <v>46110.0</v>
      </c>
      <c r="E1120" s="43" t="str">
        <f t="shared" si="1"/>
        <v>2026</v>
      </c>
      <c r="F1120" s="43" t="str">
        <f t="shared" si="2"/>
        <v>03 Mar</v>
      </c>
      <c r="G1120" s="45" t="s">
        <v>195</v>
      </c>
      <c r="H1120" s="45" t="s">
        <v>96</v>
      </c>
      <c r="I1120" s="45" t="s">
        <v>1029</v>
      </c>
      <c r="J1120" s="143" t="s">
        <v>120</v>
      </c>
      <c r="K1120" s="43" t="str">
        <f t="array" ref="K1120">IF(J1120="","", XLOOKUP(J1120,'⚙️ Pengaturan'!$E$2:$E3237,'⚙️ Pengaturan'!$G$2:$G3237))</f>
        <v>KLINIK FT SESI</v>
      </c>
      <c r="L1120" s="43" t="str">
        <f t="shared" si="3"/>
        <v>BARU</v>
      </c>
      <c r="M1120" s="144" t="s">
        <v>31</v>
      </c>
      <c r="N1120" s="145">
        <v>180000.0</v>
      </c>
      <c r="O1120" s="146">
        <v>0.0</v>
      </c>
      <c r="P1120" s="48">
        <f t="array" ref="P1120">IFNA(XLOOKUP(J1120,'⚙️ Pengaturan'!$E$2:$E3237,'⚙️ Pengaturan'!$F$2:$F3237),"")</f>
        <v>180000</v>
      </c>
      <c r="Q1120" s="147">
        <f t="shared" si="19"/>
        <v>0</v>
      </c>
      <c r="R1120" s="41" t="s">
        <v>32</v>
      </c>
      <c r="S1120" s="69" t="s">
        <v>33</v>
      </c>
      <c r="T1120" s="51" t="b">
        <v>1</v>
      </c>
      <c r="U1120" s="94"/>
    </row>
    <row r="1121" ht="30.0" customHeight="1">
      <c r="A1121" s="39"/>
      <c r="B1121" s="40">
        <v>3156.0</v>
      </c>
      <c r="C1121" s="41" t="s">
        <v>39</v>
      </c>
      <c r="D1121" s="86">
        <v>46110.0</v>
      </c>
      <c r="E1121" s="43" t="str">
        <f t="shared" si="1"/>
        <v>2026</v>
      </c>
      <c r="F1121" s="43" t="str">
        <f t="shared" si="2"/>
        <v>03 Mar</v>
      </c>
      <c r="G1121" s="45" t="s">
        <v>25</v>
      </c>
      <c r="H1121" s="45" t="s">
        <v>47</v>
      </c>
      <c r="I1121" s="45" t="s">
        <v>1034</v>
      </c>
      <c r="J1121" s="143" t="s">
        <v>28</v>
      </c>
      <c r="K1121" s="43" t="str">
        <f t="array" ref="K1121">IF(J1121="","", XLOOKUP(J1121,'⚙️ Pengaturan'!$E$2:$E3237,'⚙️ Pengaturan'!$G$2:$G3237))</f>
        <v>KLINIK FT TA</v>
      </c>
      <c r="L1121" s="43" t="str">
        <f t="shared" si="3"/>
        <v>BARU</v>
      </c>
      <c r="M1121" s="144" t="s">
        <v>31</v>
      </c>
      <c r="N1121" s="145">
        <v>250000.0</v>
      </c>
      <c r="O1121" s="146">
        <v>0.0</v>
      </c>
      <c r="P1121" s="48">
        <f t="array" ref="P1121">IFNA(XLOOKUP(J1121,'⚙️ Pengaturan'!$E$2:$E3237,'⚙️ Pengaturan'!$F$2:$F3237),"")</f>
        <v>250000</v>
      </c>
      <c r="Q1121" s="147">
        <f t="shared" si="19"/>
        <v>0</v>
      </c>
      <c r="R1121" s="41" t="s">
        <v>37</v>
      </c>
      <c r="S1121" s="69" t="s">
        <v>1034</v>
      </c>
      <c r="T1121" s="51" t="b">
        <v>1</v>
      </c>
      <c r="U1121" s="94"/>
    </row>
    <row r="1122" ht="30.0" customHeight="1">
      <c r="A1122" s="39"/>
      <c r="B1122" s="40">
        <v>3157.0</v>
      </c>
      <c r="C1122" s="41" t="s">
        <v>39</v>
      </c>
      <c r="D1122" s="86">
        <v>46110.0</v>
      </c>
      <c r="E1122" s="43" t="str">
        <f t="shared" si="1"/>
        <v>2026</v>
      </c>
      <c r="F1122" s="43" t="str">
        <f t="shared" si="2"/>
        <v>03 Mar</v>
      </c>
      <c r="G1122" s="45" t="s">
        <v>206</v>
      </c>
      <c r="H1122" s="45" t="s">
        <v>41</v>
      </c>
      <c r="I1122" s="45" t="s">
        <v>1035</v>
      </c>
      <c r="J1122" s="143" t="s">
        <v>28</v>
      </c>
      <c r="K1122" s="43" t="str">
        <f t="array" ref="K1122">IF(J1122="","", XLOOKUP(J1122,'⚙️ Pengaturan'!$E$2:$E3237,'⚙️ Pengaturan'!$G$2:$G3237))</f>
        <v>KLINIK FT TA</v>
      </c>
      <c r="L1122" s="43" t="str">
        <f t="shared" si="3"/>
        <v>BARU</v>
      </c>
      <c r="M1122" s="144" t="s">
        <v>31</v>
      </c>
      <c r="N1122" s="145">
        <v>250000.0</v>
      </c>
      <c r="O1122" s="146">
        <v>0.0</v>
      </c>
      <c r="P1122" s="48">
        <f t="array" ref="P1122">IFNA(XLOOKUP(J1122,'⚙️ Pengaturan'!$E$2:$E3237,'⚙️ Pengaturan'!$F$2:$F3237),"")</f>
        <v>250000</v>
      </c>
      <c r="Q1122" s="147">
        <f t="shared" si="19"/>
        <v>0</v>
      </c>
      <c r="R1122" s="41" t="s">
        <v>37</v>
      </c>
      <c r="S1122" s="69" t="s">
        <v>33</v>
      </c>
      <c r="T1122" s="51" t="b">
        <v>1</v>
      </c>
      <c r="U1122" s="94"/>
    </row>
    <row r="1123" ht="30.0" customHeight="1">
      <c r="A1123" s="39"/>
      <c r="B1123" s="40">
        <v>3158.0</v>
      </c>
      <c r="C1123" s="41" t="s">
        <v>39</v>
      </c>
      <c r="D1123" s="86">
        <v>46109.0</v>
      </c>
      <c r="E1123" s="43" t="str">
        <f t="shared" si="1"/>
        <v>2026</v>
      </c>
      <c r="F1123" s="43" t="str">
        <f t="shared" si="2"/>
        <v>03 Mar</v>
      </c>
      <c r="G1123" s="45" t="s">
        <v>69</v>
      </c>
      <c r="H1123" s="45" t="s">
        <v>166</v>
      </c>
      <c r="I1123" s="45" t="s">
        <v>980</v>
      </c>
      <c r="J1123" s="143" t="s">
        <v>364</v>
      </c>
      <c r="K1123" s="43" t="str">
        <f t="array" ref="K1123">IF(J1123="","", XLOOKUP(J1123,'⚙️ Pengaturan'!$E$2:$E3237,'⚙️ Pengaturan'!$G$2:$G3237))</f>
        <v>VISIT FT PAKET</v>
      </c>
      <c r="L1123" s="43" t="str">
        <f t="shared" si="3"/>
        <v>LANJUTAN</v>
      </c>
      <c r="M1123" s="144" t="s">
        <v>164</v>
      </c>
      <c r="N1123" s="145">
        <v>1250000.0</v>
      </c>
      <c r="O1123" s="146">
        <v>1250000.0</v>
      </c>
      <c r="P1123" s="48">
        <f t="array" ref="P1123">IFNA(XLOOKUP(J1123,'⚙️ Pengaturan'!$E$2:$E3237,'⚙️ Pengaturan'!$F$2:$F3237),"")</f>
        <v>2300000</v>
      </c>
      <c r="Q1123" s="147">
        <f t="shared" si="19"/>
        <v>200000</v>
      </c>
      <c r="R1123" s="41" t="s">
        <v>37</v>
      </c>
      <c r="S1123" s="69" t="s">
        <v>1036</v>
      </c>
      <c r="T1123" s="51" t="b">
        <v>1</v>
      </c>
      <c r="U1123" s="94"/>
    </row>
    <row r="1124" ht="30.0" customHeight="1">
      <c r="A1124" s="39"/>
      <c r="B1124" s="40">
        <v>3159.0</v>
      </c>
      <c r="C1124" s="41" t="s">
        <v>39</v>
      </c>
      <c r="D1124" s="86">
        <v>46110.0</v>
      </c>
      <c r="E1124" s="43" t="str">
        <f t="shared" si="1"/>
        <v>2026</v>
      </c>
      <c r="F1124" s="43" t="str">
        <f t="shared" si="2"/>
        <v>03 Mar</v>
      </c>
      <c r="G1124" s="45" t="s">
        <v>25</v>
      </c>
      <c r="H1124" s="45" t="s">
        <v>47</v>
      </c>
      <c r="I1124" s="45" t="s">
        <v>1034</v>
      </c>
      <c r="J1124" s="143" t="s">
        <v>119</v>
      </c>
      <c r="K1124" s="43" t="str">
        <f t="array" ref="K1124">IF(J1124="","", XLOOKUP(J1124,'⚙️ Pengaturan'!$E$2:$E3237,'⚙️ Pengaturan'!$G$2:$G3237))</f>
        <v>KLINIK FT PAKET</v>
      </c>
      <c r="L1124" s="43" t="str">
        <f t="shared" si="3"/>
        <v>BARU</v>
      </c>
      <c r="M1124" s="144" t="s">
        <v>31</v>
      </c>
      <c r="N1124" s="145">
        <v>750000.0</v>
      </c>
      <c r="O1124" s="146">
        <v>0.0</v>
      </c>
      <c r="P1124" s="48">
        <f t="array" ref="P1124">IFNA(XLOOKUP(J1124,'⚙️ Pengaturan'!$E$2:$E3237,'⚙️ Pengaturan'!$F$2:$F3237),"")</f>
        <v>750000</v>
      </c>
      <c r="Q1124" s="147">
        <f t="shared" si="19"/>
        <v>0</v>
      </c>
      <c r="R1124" s="41" t="s">
        <v>37</v>
      </c>
      <c r="S1124" s="69" t="s">
        <v>1034</v>
      </c>
      <c r="T1124" s="51" t="b">
        <v>1</v>
      </c>
      <c r="U1124" s="94"/>
    </row>
    <row r="1125" ht="30.0" customHeight="1">
      <c r="A1125" s="39"/>
      <c r="B1125" s="40">
        <v>3160.0</v>
      </c>
      <c r="C1125" s="41" t="s">
        <v>50</v>
      </c>
      <c r="D1125" s="86">
        <v>46110.0</v>
      </c>
      <c r="E1125" s="43" t="str">
        <f t="shared" si="1"/>
        <v>2026</v>
      </c>
      <c r="F1125" s="43" t="str">
        <f t="shared" si="2"/>
        <v>03 Mar</v>
      </c>
      <c r="G1125" s="45" t="s">
        <v>69</v>
      </c>
      <c r="H1125" s="45" t="s">
        <v>166</v>
      </c>
      <c r="I1125" s="45" t="s">
        <v>1037</v>
      </c>
      <c r="J1125" s="143" t="s">
        <v>121</v>
      </c>
      <c r="K1125" s="43" t="str">
        <f t="array" ref="K1125">IF(J1125="","", XLOOKUP(J1125,'⚙️ Pengaturan'!$E$2:$E3237,'⚙️ Pengaturan'!$G$2:$G3237))</f>
        <v>VISIT FT TA</v>
      </c>
      <c r="L1125" s="43" t="str">
        <f t="shared" si="3"/>
        <v>BARU</v>
      </c>
      <c r="M1125" s="144" t="s">
        <v>31</v>
      </c>
      <c r="N1125" s="145">
        <v>300000.0</v>
      </c>
      <c r="O1125" s="146">
        <v>0.0</v>
      </c>
      <c r="P1125" s="48">
        <f t="array" ref="P1125">IFNA(XLOOKUP(J1125,'⚙️ Pengaturan'!$E$2:$E3237,'⚙️ Pengaturan'!$F$2:$F3237),"")</f>
        <v>300000</v>
      </c>
      <c r="Q1125" s="147">
        <f t="shared" si="19"/>
        <v>0</v>
      </c>
      <c r="R1125" s="41" t="s">
        <v>32</v>
      </c>
      <c r="S1125" s="69" t="s">
        <v>33</v>
      </c>
      <c r="T1125" s="51" t="b">
        <v>1</v>
      </c>
      <c r="U1125" s="94"/>
    </row>
    <row r="1126" ht="30.0" customHeight="1">
      <c r="A1126" s="39"/>
      <c r="B1126" s="40">
        <v>3161.0</v>
      </c>
      <c r="C1126" s="41" t="s">
        <v>50</v>
      </c>
      <c r="D1126" s="86">
        <v>46110.0</v>
      </c>
      <c r="E1126" s="43" t="str">
        <f t="shared" si="1"/>
        <v>2026</v>
      </c>
      <c r="F1126" s="43" t="str">
        <f t="shared" si="2"/>
        <v>03 Mar</v>
      </c>
      <c r="G1126" s="45" t="s">
        <v>155</v>
      </c>
      <c r="H1126" s="45" t="s">
        <v>150</v>
      </c>
      <c r="I1126" s="45" t="s">
        <v>1038</v>
      </c>
      <c r="J1126" s="143" t="s">
        <v>28</v>
      </c>
      <c r="K1126" s="43" t="str">
        <f t="array" ref="K1126">IF(J1126="","", XLOOKUP(J1126,'⚙️ Pengaturan'!$E$2:$E3237,'⚙️ Pengaturan'!$G$2:$G3237))</f>
        <v>KLINIK FT TA</v>
      </c>
      <c r="L1126" s="43" t="str">
        <f t="shared" si="3"/>
        <v>BARU</v>
      </c>
      <c r="M1126" s="144" t="s">
        <v>31</v>
      </c>
      <c r="N1126" s="145">
        <v>250000.0</v>
      </c>
      <c r="O1126" s="146">
        <v>0.0</v>
      </c>
      <c r="P1126" s="48">
        <f t="array" ref="P1126">IFNA(XLOOKUP(J1126,'⚙️ Pengaturan'!$E$2:$E3237,'⚙️ Pengaturan'!$F$2:$F3237),"")</f>
        <v>250000</v>
      </c>
      <c r="Q1126" s="147">
        <f t="shared" si="19"/>
        <v>0</v>
      </c>
      <c r="R1126" s="41" t="s">
        <v>37</v>
      </c>
      <c r="S1126" s="69" t="s">
        <v>1038</v>
      </c>
      <c r="T1126" s="51" t="b">
        <v>1</v>
      </c>
      <c r="U1126" s="94"/>
    </row>
    <row r="1127" ht="30.0" customHeight="1">
      <c r="A1127" s="39"/>
      <c r="B1127" s="40">
        <v>3162.0</v>
      </c>
      <c r="C1127" s="41" t="s">
        <v>39</v>
      </c>
      <c r="D1127" s="86">
        <v>46111.0</v>
      </c>
      <c r="E1127" s="43" t="str">
        <f t="shared" si="1"/>
        <v>2026</v>
      </c>
      <c r="F1127" s="43" t="str">
        <f t="shared" si="2"/>
        <v>03 Mar</v>
      </c>
      <c r="G1127" s="45" t="s">
        <v>195</v>
      </c>
      <c r="H1127" s="45" t="s">
        <v>150</v>
      </c>
      <c r="I1127" s="45" t="s">
        <v>1039</v>
      </c>
      <c r="J1127" s="143" t="s">
        <v>28</v>
      </c>
      <c r="K1127" s="43" t="str">
        <f t="array" ref="K1127">IF(J1127="","", XLOOKUP(J1127,'⚙️ Pengaturan'!$E$2:$E3237,'⚙️ Pengaturan'!$G$2:$G3237))</f>
        <v>KLINIK FT TA</v>
      </c>
      <c r="L1127" s="43" t="str">
        <f t="shared" si="3"/>
        <v>BARU</v>
      </c>
      <c r="M1127" s="144" t="s">
        <v>31</v>
      </c>
      <c r="N1127" s="145">
        <v>250000.0</v>
      </c>
      <c r="O1127" s="146">
        <v>0.0</v>
      </c>
      <c r="P1127" s="48">
        <f t="array" ref="P1127">IFNA(XLOOKUP(J1127,'⚙️ Pengaturan'!$E$2:$E3237,'⚙️ Pengaturan'!$F$2:$F3237),"")</f>
        <v>250000</v>
      </c>
      <c r="Q1127" s="147">
        <f t="shared" si="19"/>
        <v>0</v>
      </c>
      <c r="R1127" s="41" t="s">
        <v>37</v>
      </c>
      <c r="S1127" s="69" t="s">
        <v>1039</v>
      </c>
      <c r="T1127" s="51" t="b">
        <v>1</v>
      </c>
      <c r="U1127" s="94"/>
    </row>
    <row r="1128" ht="30.0" customHeight="1">
      <c r="A1128" s="39"/>
      <c r="B1128" s="40">
        <v>3163.0</v>
      </c>
      <c r="C1128" s="41" t="s">
        <v>39</v>
      </c>
      <c r="D1128" s="86">
        <v>46111.0</v>
      </c>
      <c r="E1128" s="43" t="str">
        <f t="shared" si="1"/>
        <v>2026</v>
      </c>
      <c r="F1128" s="43" t="str">
        <f t="shared" si="2"/>
        <v>03 Mar</v>
      </c>
      <c r="G1128" s="45" t="s">
        <v>25</v>
      </c>
      <c r="H1128" s="45" t="s">
        <v>162</v>
      </c>
      <c r="I1128" s="45" t="s">
        <v>986</v>
      </c>
      <c r="J1128" s="143" t="s">
        <v>120</v>
      </c>
      <c r="K1128" s="43" t="str">
        <f t="array" ref="K1128">IF(J1128="","", XLOOKUP(J1128,'⚙️ Pengaturan'!$E$2:$E3237,'⚙️ Pengaturan'!$G$2:$G3237))</f>
        <v>KLINIK FT SESI</v>
      </c>
      <c r="L1128" s="43" t="str">
        <f t="shared" si="3"/>
        <v>LANJUTAN</v>
      </c>
      <c r="M1128" s="144" t="s">
        <v>31</v>
      </c>
      <c r="N1128" s="145">
        <v>180000.0</v>
      </c>
      <c r="O1128" s="146">
        <v>0.0</v>
      </c>
      <c r="P1128" s="48">
        <f t="array" ref="P1128">IFNA(XLOOKUP(J1128,'⚙️ Pengaturan'!$E$2:$E3237,'⚙️ Pengaturan'!$F$2:$F3237),"")</f>
        <v>180000</v>
      </c>
      <c r="Q1128" s="147">
        <f t="shared" si="19"/>
        <v>0</v>
      </c>
      <c r="R1128" s="41" t="s">
        <v>32</v>
      </c>
      <c r="S1128" s="69" t="s">
        <v>33</v>
      </c>
      <c r="T1128" s="51" t="b">
        <v>1</v>
      </c>
      <c r="U1128" s="94"/>
    </row>
    <row r="1129" ht="30.0" customHeight="1">
      <c r="A1129" s="39"/>
      <c r="B1129" s="40">
        <v>3164.0</v>
      </c>
      <c r="C1129" s="41" t="s">
        <v>39</v>
      </c>
      <c r="D1129" s="86">
        <v>46111.0</v>
      </c>
      <c r="E1129" s="43" t="str">
        <f t="shared" si="1"/>
        <v>2026</v>
      </c>
      <c r="F1129" s="43" t="str">
        <f t="shared" si="2"/>
        <v>03 Mar</v>
      </c>
      <c r="G1129" s="45" t="s">
        <v>25</v>
      </c>
      <c r="H1129" s="45" t="s">
        <v>26</v>
      </c>
      <c r="I1129" s="45" t="s">
        <v>1040</v>
      </c>
      <c r="J1129" s="143" t="s">
        <v>28</v>
      </c>
      <c r="K1129" s="43" t="str">
        <f t="array" ref="K1129">IF(J1129="","", XLOOKUP(J1129,'⚙️ Pengaturan'!$E$2:$E3237,'⚙️ Pengaturan'!$G$2:$G3237))</f>
        <v>KLINIK FT TA</v>
      </c>
      <c r="L1129" s="43" t="str">
        <f t="shared" si="3"/>
        <v>BARU</v>
      </c>
      <c r="M1129" s="144" t="s">
        <v>31</v>
      </c>
      <c r="N1129" s="145">
        <v>250000.0</v>
      </c>
      <c r="O1129" s="146">
        <v>0.0</v>
      </c>
      <c r="P1129" s="48">
        <f t="array" ref="P1129">IFNA(XLOOKUP(J1129,'⚙️ Pengaturan'!$E$2:$E3237,'⚙️ Pengaturan'!$F$2:$F3237),"")</f>
        <v>250000</v>
      </c>
      <c r="Q1129" s="147">
        <f t="shared" si="19"/>
        <v>0</v>
      </c>
      <c r="R1129" s="41" t="s">
        <v>37</v>
      </c>
      <c r="S1129" s="69" t="s">
        <v>1040</v>
      </c>
      <c r="T1129" s="51" t="b">
        <v>1</v>
      </c>
      <c r="U1129" s="94"/>
    </row>
    <row r="1130" ht="30.0" customHeight="1">
      <c r="A1130" s="39"/>
      <c r="B1130" s="40">
        <v>3165.0</v>
      </c>
      <c r="C1130" s="41" t="s">
        <v>39</v>
      </c>
      <c r="D1130" s="86">
        <v>46111.0</v>
      </c>
      <c r="E1130" s="43" t="str">
        <f t="shared" si="1"/>
        <v>2026</v>
      </c>
      <c r="F1130" s="43" t="str">
        <f t="shared" si="2"/>
        <v>03 Mar</v>
      </c>
      <c r="G1130" s="45" t="s">
        <v>69</v>
      </c>
      <c r="H1130" s="45" t="s">
        <v>166</v>
      </c>
      <c r="I1130" s="45" t="s">
        <v>494</v>
      </c>
      <c r="J1130" s="143" t="s">
        <v>92</v>
      </c>
      <c r="K1130" s="43" t="str">
        <f t="array" ref="K1130">IF(J1130="","", XLOOKUP(J1130,'⚙️ Pengaturan'!$E$2:$E3237,'⚙️ Pengaturan'!$G$2:$G3237))</f>
        <v>KLINIK FT PAKET</v>
      </c>
      <c r="L1130" s="43" t="str">
        <f t="shared" si="3"/>
        <v>LANJUTAN</v>
      </c>
      <c r="M1130" s="144" t="s">
        <v>60</v>
      </c>
      <c r="N1130" s="145">
        <v>500000.0</v>
      </c>
      <c r="O1130" s="146">
        <v>0.0</v>
      </c>
      <c r="P1130" s="48">
        <f t="array" ref="P1130">IFNA(XLOOKUP(J1130,'⚙️ Pengaturan'!$E$2:$E3237,'⚙️ Pengaturan'!$F$2:$F3237),"")</f>
        <v>1200000</v>
      </c>
      <c r="Q1130" s="147">
        <f t="shared" si="19"/>
        <v>-700000</v>
      </c>
      <c r="R1130" s="41" t="s">
        <v>118</v>
      </c>
      <c r="S1130" s="69" t="s">
        <v>494</v>
      </c>
      <c r="T1130" s="51" t="b">
        <v>1</v>
      </c>
      <c r="U1130" s="94"/>
    </row>
    <row r="1131" ht="30.0" customHeight="1">
      <c r="A1131" s="39"/>
      <c r="B1131" s="40">
        <v>3166.0</v>
      </c>
      <c r="C1131" s="41" t="s">
        <v>50</v>
      </c>
      <c r="D1131" s="86">
        <v>46111.0</v>
      </c>
      <c r="E1131" s="43" t="str">
        <f t="shared" si="1"/>
        <v>2026</v>
      </c>
      <c r="F1131" s="43" t="str">
        <f t="shared" si="2"/>
        <v>03 Mar</v>
      </c>
      <c r="G1131" s="45" t="s">
        <v>69</v>
      </c>
      <c r="H1131" s="45" t="s">
        <v>162</v>
      </c>
      <c r="I1131" s="45" t="s">
        <v>407</v>
      </c>
      <c r="J1131" s="143" t="s">
        <v>92</v>
      </c>
      <c r="K1131" s="43" t="str">
        <f t="array" ref="K1131">IF(J1131="","", XLOOKUP(J1131,'⚙️ Pengaturan'!$E$2:$E3237,'⚙️ Pengaturan'!$G$2:$G3237))</f>
        <v>KLINIK FT PAKET</v>
      </c>
      <c r="L1131" s="43" t="str">
        <f t="shared" si="3"/>
        <v>LANJUTAN</v>
      </c>
      <c r="M1131" s="144" t="s">
        <v>31</v>
      </c>
      <c r="N1131" s="145">
        <v>1200000.0</v>
      </c>
      <c r="O1131" s="146">
        <v>0.0</v>
      </c>
      <c r="P1131" s="48">
        <f t="array" ref="P1131">IFNA(XLOOKUP(J1131,'⚙️ Pengaturan'!$E$2:$E3237,'⚙️ Pengaturan'!$F$2:$F3237),"")</f>
        <v>1200000</v>
      </c>
      <c r="Q1131" s="147">
        <f t="shared" si="19"/>
        <v>0</v>
      </c>
      <c r="R1131" s="41" t="s">
        <v>37</v>
      </c>
      <c r="S1131" s="69" t="s">
        <v>408</v>
      </c>
      <c r="T1131" s="51" t="b">
        <v>1</v>
      </c>
      <c r="U1131" s="94"/>
    </row>
    <row r="1132" ht="30.0" customHeight="1">
      <c r="A1132" s="39"/>
      <c r="B1132" s="40">
        <v>3167.0</v>
      </c>
      <c r="C1132" s="41" t="s">
        <v>50</v>
      </c>
      <c r="D1132" s="86">
        <v>46111.0</v>
      </c>
      <c r="E1132" s="43" t="str">
        <f t="shared" si="1"/>
        <v>2026</v>
      </c>
      <c r="F1132" s="43" t="str">
        <f t="shared" si="2"/>
        <v>03 Mar</v>
      </c>
      <c r="G1132" s="45" t="s">
        <v>40</v>
      </c>
      <c r="H1132" s="45" t="s">
        <v>96</v>
      </c>
      <c r="I1132" s="45" t="s">
        <v>1029</v>
      </c>
      <c r="J1132" s="143" t="s">
        <v>120</v>
      </c>
      <c r="K1132" s="43" t="str">
        <f t="array" ref="K1132">IF(J1132="","", XLOOKUP(J1132,'⚙️ Pengaturan'!$E$2:$E3237,'⚙️ Pengaturan'!$G$2:$G3237))</f>
        <v>KLINIK FT SESI</v>
      </c>
      <c r="L1132" s="43" t="str">
        <f t="shared" si="3"/>
        <v>LANJUTAN</v>
      </c>
      <c r="M1132" s="144" t="s">
        <v>31</v>
      </c>
      <c r="N1132" s="145">
        <v>180000.0</v>
      </c>
      <c r="O1132" s="146">
        <v>0.0</v>
      </c>
      <c r="P1132" s="48">
        <f t="array" ref="P1132">IFNA(XLOOKUP(J1132,'⚙️ Pengaturan'!$E$2:$E3237,'⚙️ Pengaturan'!$F$2:$F3237),"")</f>
        <v>180000</v>
      </c>
      <c r="Q1132" s="147">
        <f t="shared" si="19"/>
        <v>0</v>
      </c>
      <c r="R1132" s="41" t="s">
        <v>32</v>
      </c>
      <c r="S1132" s="69" t="s">
        <v>33</v>
      </c>
      <c r="T1132" s="51" t="b">
        <v>1</v>
      </c>
      <c r="U1132" s="94"/>
    </row>
    <row r="1133" ht="30.0" customHeight="1">
      <c r="A1133" s="39"/>
      <c r="B1133" s="40">
        <v>3168.0</v>
      </c>
      <c r="C1133" s="41" t="s">
        <v>50</v>
      </c>
      <c r="D1133" s="86">
        <v>46111.0</v>
      </c>
      <c r="E1133" s="43" t="str">
        <f t="shared" si="1"/>
        <v>2026</v>
      </c>
      <c r="F1133" s="43" t="str">
        <f t="shared" si="2"/>
        <v>03 Mar</v>
      </c>
      <c r="G1133" s="45" t="s">
        <v>173</v>
      </c>
      <c r="H1133" s="45" t="s">
        <v>41</v>
      </c>
      <c r="I1133" s="45" t="s">
        <v>1041</v>
      </c>
      <c r="J1133" s="143" t="s">
        <v>28</v>
      </c>
      <c r="K1133" s="43" t="str">
        <f t="array" ref="K1133">IF(J1133="","", XLOOKUP(J1133,'⚙️ Pengaturan'!$E$2:$E3237,'⚙️ Pengaturan'!$G$2:$G3237))</f>
        <v>KLINIK FT TA</v>
      </c>
      <c r="L1133" s="43" t="str">
        <f t="shared" si="3"/>
        <v>BARU</v>
      </c>
      <c r="M1133" s="144" t="s">
        <v>31</v>
      </c>
      <c r="N1133" s="145">
        <v>250000.0</v>
      </c>
      <c r="O1133" s="146">
        <v>0.0</v>
      </c>
      <c r="P1133" s="48">
        <f t="array" ref="P1133">IFNA(XLOOKUP(J1133,'⚙️ Pengaturan'!$E$2:$E3237,'⚙️ Pengaturan'!$F$2:$F3237),"")</f>
        <v>250000</v>
      </c>
      <c r="Q1133" s="147">
        <f t="shared" si="19"/>
        <v>0</v>
      </c>
      <c r="R1133" s="41" t="s">
        <v>37</v>
      </c>
      <c r="S1133" s="69" t="s">
        <v>1042</v>
      </c>
      <c r="T1133" s="51" t="b">
        <v>1</v>
      </c>
      <c r="U1133" s="94"/>
    </row>
    <row r="1134" ht="30.0" customHeight="1">
      <c r="A1134" s="39"/>
      <c r="B1134" s="40">
        <v>3169.0</v>
      </c>
      <c r="C1134" s="41" t="s">
        <v>50</v>
      </c>
      <c r="D1134" s="86">
        <v>46111.0</v>
      </c>
      <c r="E1134" s="43" t="str">
        <f t="shared" si="1"/>
        <v>2026</v>
      </c>
      <c r="F1134" s="43" t="str">
        <f t="shared" si="2"/>
        <v>03 Mar</v>
      </c>
      <c r="G1134" s="45" t="s">
        <v>155</v>
      </c>
      <c r="H1134" s="45" t="s">
        <v>41</v>
      </c>
      <c r="I1134" s="45" t="s">
        <v>1028</v>
      </c>
      <c r="J1134" s="143" t="s">
        <v>120</v>
      </c>
      <c r="K1134" s="43" t="str">
        <f t="array" ref="K1134">IF(J1134="","", XLOOKUP(J1134,'⚙️ Pengaturan'!$E$2:$E3237,'⚙️ Pengaturan'!$G$2:$G3237))</f>
        <v>KLINIK FT SESI</v>
      </c>
      <c r="L1134" s="43" t="str">
        <f t="shared" si="3"/>
        <v>BARU</v>
      </c>
      <c r="M1134" s="144" t="s">
        <v>31</v>
      </c>
      <c r="N1134" s="145">
        <v>180000.0</v>
      </c>
      <c r="O1134" s="146">
        <v>0.0</v>
      </c>
      <c r="P1134" s="48">
        <f t="array" ref="P1134">IFNA(XLOOKUP(J1134,'⚙️ Pengaturan'!$E$2:$E3237,'⚙️ Pengaturan'!$F$2:$F3237),"")</f>
        <v>180000</v>
      </c>
      <c r="Q1134" s="147">
        <f t="shared" si="19"/>
        <v>0</v>
      </c>
      <c r="R1134" s="41" t="s">
        <v>37</v>
      </c>
      <c r="S1134" s="69" t="s">
        <v>1028</v>
      </c>
      <c r="T1134" s="51" t="b">
        <v>1</v>
      </c>
      <c r="U1134" s="94"/>
    </row>
    <row r="1135" ht="30.0" customHeight="1">
      <c r="A1135" s="39"/>
      <c r="B1135" s="40">
        <v>3170.0</v>
      </c>
      <c r="C1135" s="41" t="s">
        <v>50</v>
      </c>
      <c r="D1135" s="86">
        <v>46111.0</v>
      </c>
      <c r="E1135" s="43" t="str">
        <f t="shared" si="1"/>
        <v>2026</v>
      </c>
      <c r="F1135" s="43" t="str">
        <f t="shared" si="2"/>
        <v>03 Mar</v>
      </c>
      <c r="G1135" s="45" t="s">
        <v>155</v>
      </c>
      <c r="H1135" s="45" t="s">
        <v>41</v>
      </c>
      <c r="I1135" s="45" t="s">
        <v>1028</v>
      </c>
      <c r="J1135" s="143" t="s">
        <v>361</v>
      </c>
      <c r="K1135" s="43" t="str">
        <f t="array" ref="K1135">IF(J1135="","", XLOOKUP(J1135,'⚙️ Pengaturan'!$E$2:$E3237,'⚙️ Pengaturan'!$G$2:$G3237))</f>
        <v>STORE  </v>
      </c>
      <c r="L1135" s="43" t="str">
        <f t="shared" si="3"/>
        <v>BARU</v>
      </c>
      <c r="M1135" s="144" t="s">
        <v>31</v>
      </c>
      <c r="N1135" s="145">
        <v>35000.0</v>
      </c>
      <c r="O1135" s="146">
        <v>0.0</v>
      </c>
      <c r="P1135" s="48">
        <f t="array" ref="P1135">IFNA(XLOOKUP(J1135,'⚙️ Pengaturan'!$E$2:$E3237,'⚙️ Pengaturan'!$F$2:$F3237),"")</f>
        <v>35000</v>
      </c>
      <c r="Q1135" s="147">
        <f t="shared" si="19"/>
        <v>0</v>
      </c>
      <c r="R1135" s="41" t="s">
        <v>37</v>
      </c>
      <c r="S1135" s="69" t="s">
        <v>1028</v>
      </c>
      <c r="T1135" s="51" t="b">
        <v>1</v>
      </c>
      <c r="U1135" s="94"/>
    </row>
    <row r="1136" ht="30.0" customHeight="1">
      <c r="A1136" s="39"/>
      <c r="B1136" s="40">
        <v>3171.0</v>
      </c>
      <c r="C1136" s="41" t="s">
        <v>39</v>
      </c>
      <c r="D1136" s="86">
        <v>46112.0</v>
      </c>
      <c r="E1136" s="43" t="str">
        <f t="shared" si="1"/>
        <v>2026</v>
      </c>
      <c r="F1136" s="43" t="str">
        <f t="shared" si="2"/>
        <v>03 Mar</v>
      </c>
      <c r="G1136" s="45" t="s">
        <v>195</v>
      </c>
      <c r="H1136" s="45" t="s">
        <v>41</v>
      </c>
      <c r="I1136" s="45" t="s">
        <v>1035</v>
      </c>
      <c r="J1136" s="143" t="s">
        <v>119</v>
      </c>
      <c r="K1136" s="43" t="str">
        <f t="array" ref="K1136">IF(J1136="","", XLOOKUP(J1136,'⚙️ Pengaturan'!$E$2:$E3237,'⚙️ Pengaturan'!$G$2:$G3237))</f>
        <v>KLINIK FT PAKET</v>
      </c>
      <c r="L1136" s="43" t="str">
        <f t="shared" si="3"/>
        <v>BARU</v>
      </c>
      <c r="M1136" s="144" t="s">
        <v>31</v>
      </c>
      <c r="N1136" s="145">
        <v>750000.0</v>
      </c>
      <c r="O1136" s="146">
        <v>0.0</v>
      </c>
      <c r="P1136" s="48">
        <f t="array" ref="P1136">IFNA(XLOOKUP(J1136,'⚙️ Pengaturan'!$E$2:$E3237,'⚙️ Pengaturan'!$F$2:$F3237),"")</f>
        <v>750000</v>
      </c>
      <c r="Q1136" s="147">
        <f t="shared" si="19"/>
        <v>0</v>
      </c>
      <c r="R1136" s="41" t="s">
        <v>37</v>
      </c>
      <c r="S1136" s="69" t="s">
        <v>1035</v>
      </c>
      <c r="T1136" s="51" t="b">
        <v>1</v>
      </c>
      <c r="U1136" s="94"/>
    </row>
    <row r="1137" ht="30.0" customHeight="1">
      <c r="A1137" s="39"/>
      <c r="B1137" s="40">
        <v>3172.0</v>
      </c>
      <c r="C1137" s="41" t="s">
        <v>39</v>
      </c>
      <c r="D1137" s="86">
        <v>46112.0</v>
      </c>
      <c r="E1137" s="43" t="str">
        <f t="shared" si="1"/>
        <v>2026</v>
      </c>
      <c r="F1137" s="43" t="str">
        <f t="shared" si="2"/>
        <v>03 Mar</v>
      </c>
      <c r="G1137" s="45" t="s">
        <v>25</v>
      </c>
      <c r="H1137" s="45" t="s">
        <v>149</v>
      </c>
      <c r="I1137" s="45" t="s">
        <v>1043</v>
      </c>
      <c r="J1137" s="143" t="s">
        <v>28</v>
      </c>
      <c r="K1137" s="43" t="str">
        <f t="array" ref="K1137">IF(J1137="","", XLOOKUP(J1137,'⚙️ Pengaturan'!$E$2:$E3237,'⚙️ Pengaturan'!$G$2:$G3237))</f>
        <v>KLINIK FT TA</v>
      </c>
      <c r="L1137" s="43" t="str">
        <f t="shared" si="3"/>
        <v>BARU</v>
      </c>
      <c r="M1137" s="144" t="s">
        <v>31</v>
      </c>
      <c r="N1137" s="145">
        <v>250000.0</v>
      </c>
      <c r="O1137" s="146">
        <v>0.0</v>
      </c>
      <c r="P1137" s="48">
        <f t="array" ref="P1137">IFNA(XLOOKUP(J1137,'⚙️ Pengaturan'!$E$2:$E3237,'⚙️ Pengaturan'!$F$2:$F3237),"")</f>
        <v>250000</v>
      </c>
      <c r="Q1137" s="147">
        <f t="shared" si="19"/>
        <v>0</v>
      </c>
      <c r="R1137" s="41" t="s">
        <v>32</v>
      </c>
      <c r="S1137" s="69" t="s">
        <v>33</v>
      </c>
      <c r="T1137" s="51" t="b">
        <v>1</v>
      </c>
      <c r="U1137" s="94"/>
    </row>
    <row r="1138" ht="30.0" customHeight="1">
      <c r="A1138" s="39"/>
      <c r="B1138" s="40">
        <v>3173.0</v>
      </c>
      <c r="C1138" s="41" t="s">
        <v>39</v>
      </c>
      <c r="D1138" s="86">
        <v>46112.0</v>
      </c>
      <c r="E1138" s="43" t="str">
        <f t="shared" si="1"/>
        <v>2026</v>
      </c>
      <c r="F1138" s="43" t="str">
        <f t="shared" si="2"/>
        <v>03 Mar</v>
      </c>
      <c r="G1138" s="45" t="s">
        <v>69</v>
      </c>
      <c r="H1138" s="45" t="s">
        <v>96</v>
      </c>
      <c r="I1138" s="45" t="s">
        <v>927</v>
      </c>
      <c r="J1138" s="143" t="s">
        <v>347</v>
      </c>
      <c r="K1138" s="43" t="str">
        <f t="array" ref="K1138">IF(J1138="","", XLOOKUP(J1138,'⚙️ Pengaturan'!$E$2:$E3237,'⚙️ Pengaturan'!$G$2:$G3237))</f>
        <v>KLINIK FT PAKET</v>
      </c>
      <c r="L1138" s="43" t="str">
        <f t="shared" si="3"/>
        <v>LANJUTAN</v>
      </c>
      <c r="M1138" s="144" t="s">
        <v>164</v>
      </c>
      <c r="N1138" s="145">
        <v>700000.0</v>
      </c>
      <c r="O1138" s="146">
        <v>600000.0</v>
      </c>
      <c r="P1138" s="48">
        <f t="array" ref="P1138">IFNA(XLOOKUP(J1138,'⚙️ Pengaturan'!$E$2:$E3237,'⚙️ Pengaturan'!$F$2:$F3237),"")</f>
        <v>1300000</v>
      </c>
      <c r="Q1138" s="147">
        <f t="shared" si="19"/>
        <v>0</v>
      </c>
      <c r="R1138" s="41" t="s">
        <v>32</v>
      </c>
      <c r="S1138" s="69" t="s">
        <v>33</v>
      </c>
      <c r="T1138" s="51" t="b">
        <v>1</v>
      </c>
      <c r="U1138" s="94"/>
    </row>
    <row r="1139" ht="30.0" customHeight="1">
      <c r="A1139" s="39"/>
      <c r="B1139" s="40">
        <v>3174.0</v>
      </c>
      <c r="C1139" s="41" t="s">
        <v>39</v>
      </c>
      <c r="D1139" s="86">
        <v>46112.0</v>
      </c>
      <c r="E1139" s="43" t="str">
        <f t="shared" si="1"/>
        <v>2026</v>
      </c>
      <c r="F1139" s="43" t="str">
        <f t="shared" si="2"/>
        <v>03 Mar</v>
      </c>
      <c r="G1139" s="45" t="s">
        <v>69</v>
      </c>
      <c r="H1139" s="45" t="s">
        <v>47</v>
      </c>
      <c r="I1139" s="45" t="s">
        <v>1044</v>
      </c>
      <c r="J1139" s="143" t="s">
        <v>28</v>
      </c>
      <c r="K1139" s="43" t="str">
        <f t="array" ref="K1139">IF(J1139="","", XLOOKUP(J1139,'⚙️ Pengaturan'!$E$2:$E3237,'⚙️ Pengaturan'!$G$2:$G3237))</f>
        <v>KLINIK FT TA</v>
      </c>
      <c r="L1139" s="43" t="str">
        <f t="shared" si="3"/>
        <v>BARU</v>
      </c>
      <c r="M1139" s="144" t="s">
        <v>31</v>
      </c>
      <c r="N1139" s="145">
        <v>250000.0</v>
      </c>
      <c r="O1139" s="146">
        <v>0.0</v>
      </c>
      <c r="P1139" s="48">
        <f t="array" ref="P1139">IFNA(XLOOKUP(J1139,'⚙️ Pengaturan'!$E$2:$E3237,'⚙️ Pengaturan'!$F$2:$F3237),"")</f>
        <v>250000</v>
      </c>
      <c r="Q1139" s="147">
        <f t="shared" si="19"/>
        <v>0</v>
      </c>
      <c r="R1139" s="41" t="s">
        <v>32</v>
      </c>
      <c r="S1139" s="69" t="s">
        <v>33</v>
      </c>
      <c r="T1139" s="51" t="b">
        <v>1</v>
      </c>
      <c r="U1139" s="94"/>
    </row>
    <row r="1140" ht="30.0" customHeight="1">
      <c r="A1140" s="39"/>
      <c r="B1140" s="40">
        <v>3175.0</v>
      </c>
      <c r="C1140" s="41" t="s">
        <v>39</v>
      </c>
      <c r="D1140" s="86">
        <v>46112.0</v>
      </c>
      <c r="E1140" s="43" t="str">
        <f t="shared" si="1"/>
        <v>2026</v>
      </c>
      <c r="F1140" s="43" t="str">
        <f t="shared" si="2"/>
        <v>03 Mar</v>
      </c>
      <c r="G1140" s="45" t="s">
        <v>25</v>
      </c>
      <c r="H1140" s="45" t="s">
        <v>96</v>
      </c>
      <c r="I1140" s="45" t="s">
        <v>1031</v>
      </c>
      <c r="J1140" s="143" t="s">
        <v>119</v>
      </c>
      <c r="K1140" s="43" t="str">
        <f t="array" ref="K1140">IF(J1140="","", XLOOKUP(J1140,'⚙️ Pengaturan'!$E$2:$E3237,'⚙️ Pengaturan'!$G$2:$G3237))</f>
        <v>KLINIK FT PAKET</v>
      </c>
      <c r="L1140" s="43" t="str">
        <f t="shared" si="3"/>
        <v>BARU</v>
      </c>
      <c r="M1140" s="144" t="s">
        <v>60</v>
      </c>
      <c r="N1140" s="145">
        <v>300000.0</v>
      </c>
      <c r="O1140" s="146">
        <v>150000.0</v>
      </c>
      <c r="P1140" s="48">
        <f t="array" ref="P1140">IFNA(XLOOKUP(J1140,'⚙️ Pengaturan'!$E$2:$E3237,'⚙️ Pengaturan'!$F$2:$F3237),"")</f>
        <v>750000</v>
      </c>
      <c r="Q1140" s="147">
        <f t="shared" si="19"/>
        <v>-300000</v>
      </c>
      <c r="R1140" s="41" t="s">
        <v>32</v>
      </c>
      <c r="S1140" s="69" t="s">
        <v>33</v>
      </c>
      <c r="T1140" s="51" t="b">
        <v>1</v>
      </c>
      <c r="U1140" s="94"/>
    </row>
    <row r="1141" ht="30.0" customHeight="1">
      <c r="A1141" s="39"/>
      <c r="B1141" s="40">
        <v>3176.0</v>
      </c>
      <c r="C1141" s="41" t="s">
        <v>39</v>
      </c>
      <c r="D1141" s="86">
        <v>46112.0</v>
      </c>
      <c r="E1141" s="43" t="str">
        <f t="shared" si="1"/>
        <v>2026</v>
      </c>
      <c r="F1141" s="43" t="str">
        <f t="shared" si="2"/>
        <v>03 Mar</v>
      </c>
      <c r="G1141" s="45" t="s">
        <v>69</v>
      </c>
      <c r="H1141" s="45" t="s">
        <v>156</v>
      </c>
      <c r="I1141" s="45" t="s">
        <v>1026</v>
      </c>
      <c r="J1141" s="143" t="s">
        <v>119</v>
      </c>
      <c r="K1141" s="43" t="str">
        <f t="array" ref="K1141">IF(J1141="","", XLOOKUP(J1141,'⚙️ Pengaturan'!$E$2:$E3237,'⚙️ Pengaturan'!$G$2:$G3237))</f>
        <v>KLINIK FT PAKET</v>
      </c>
      <c r="L1141" s="43" t="str">
        <f t="shared" si="3"/>
        <v>BARU</v>
      </c>
      <c r="M1141" s="144" t="s">
        <v>31</v>
      </c>
      <c r="N1141" s="145">
        <v>750000.0</v>
      </c>
      <c r="O1141" s="146">
        <v>0.0</v>
      </c>
      <c r="P1141" s="48">
        <f t="array" ref="P1141">IFNA(XLOOKUP(J1141,'⚙️ Pengaturan'!$E$2:$E3237,'⚙️ Pengaturan'!$F$2:$F3237),"")</f>
        <v>750000</v>
      </c>
      <c r="Q1141" s="147">
        <f t="shared" si="19"/>
        <v>0</v>
      </c>
      <c r="R1141" s="41" t="s">
        <v>37</v>
      </c>
      <c r="S1141" s="69" t="s">
        <v>33</v>
      </c>
      <c r="T1141" s="51" t="b">
        <v>1</v>
      </c>
      <c r="U1141" s="94"/>
    </row>
    <row r="1142" ht="30.0" customHeight="1">
      <c r="A1142" s="39"/>
      <c r="B1142" s="40">
        <v>3177.0</v>
      </c>
      <c r="C1142" s="41" t="s">
        <v>39</v>
      </c>
      <c r="D1142" s="86">
        <v>46112.0</v>
      </c>
      <c r="E1142" s="43" t="str">
        <f t="shared" si="1"/>
        <v>2026</v>
      </c>
      <c r="F1142" s="43" t="str">
        <f t="shared" si="2"/>
        <v>03 Mar</v>
      </c>
      <c r="G1142" s="45" t="s">
        <v>69</v>
      </c>
      <c r="H1142" s="45" t="s">
        <v>26</v>
      </c>
      <c r="I1142" s="45" t="s">
        <v>1045</v>
      </c>
      <c r="J1142" s="143" t="s">
        <v>121</v>
      </c>
      <c r="K1142" s="43" t="str">
        <f t="array" ref="K1142">IF(J1142="","", XLOOKUP(J1142,'⚙️ Pengaturan'!$E$2:$E3237,'⚙️ Pengaturan'!$G$2:$G3237))</f>
        <v>VISIT FT TA</v>
      </c>
      <c r="L1142" s="43" t="str">
        <f t="shared" si="3"/>
        <v>BARU</v>
      </c>
      <c r="M1142" s="144" t="s">
        <v>31</v>
      </c>
      <c r="N1142" s="145">
        <v>300000.0</v>
      </c>
      <c r="O1142" s="146">
        <v>0.0</v>
      </c>
      <c r="P1142" s="48">
        <f t="array" ref="P1142">IFNA(XLOOKUP(J1142,'⚙️ Pengaturan'!$E$2:$E3237,'⚙️ Pengaturan'!$F$2:$F3237),"")</f>
        <v>300000</v>
      </c>
      <c r="Q1142" s="147">
        <f t="shared" si="19"/>
        <v>0</v>
      </c>
      <c r="R1142" s="41" t="s">
        <v>32</v>
      </c>
      <c r="S1142" s="69" t="s">
        <v>33</v>
      </c>
      <c r="T1142" s="51" t="b">
        <v>1</v>
      </c>
      <c r="U1142" s="94"/>
    </row>
    <row r="1143" ht="30.0" customHeight="1">
      <c r="A1143" s="39"/>
      <c r="B1143" s="40">
        <v>3178.0</v>
      </c>
      <c r="C1143" s="41" t="s">
        <v>50</v>
      </c>
      <c r="D1143" s="86">
        <v>46112.0</v>
      </c>
      <c r="E1143" s="43" t="str">
        <f t="shared" si="1"/>
        <v>2026</v>
      </c>
      <c r="F1143" s="43" t="str">
        <f t="shared" si="2"/>
        <v>03 Mar</v>
      </c>
      <c r="G1143" s="45" t="s">
        <v>40</v>
      </c>
      <c r="H1143" s="45" t="s">
        <v>26</v>
      </c>
      <c r="I1143" s="45" t="s">
        <v>1046</v>
      </c>
      <c r="J1143" s="143" t="s">
        <v>28</v>
      </c>
      <c r="K1143" s="43" t="str">
        <f t="array" ref="K1143">IF(J1143="","", XLOOKUP(J1143,'⚙️ Pengaturan'!$E$2:$E3237,'⚙️ Pengaturan'!$G$2:$G3237))</f>
        <v>KLINIK FT TA</v>
      </c>
      <c r="L1143" s="43" t="str">
        <f t="shared" si="3"/>
        <v>BARU</v>
      </c>
      <c r="M1143" s="144" t="s">
        <v>31</v>
      </c>
      <c r="N1143" s="145">
        <v>250000.0</v>
      </c>
      <c r="O1143" s="146">
        <v>0.0</v>
      </c>
      <c r="P1143" s="48">
        <f t="array" ref="P1143">IFNA(XLOOKUP(J1143,'⚙️ Pengaturan'!$E$2:$E3237,'⚙️ Pengaturan'!$F$2:$F3237),"")</f>
        <v>250000</v>
      </c>
      <c r="Q1143" s="147">
        <f t="shared" si="19"/>
        <v>0</v>
      </c>
      <c r="R1143" s="41" t="s">
        <v>37</v>
      </c>
      <c r="S1143" s="69" t="s">
        <v>1046</v>
      </c>
      <c r="T1143" s="51" t="b">
        <v>1</v>
      </c>
      <c r="U1143" s="94"/>
    </row>
    <row r="1144" ht="30.0" customHeight="1">
      <c r="A1144" s="39"/>
      <c r="B1144" s="40">
        <v>3179.0</v>
      </c>
      <c r="C1144" s="41" t="s">
        <v>50</v>
      </c>
      <c r="D1144" s="86">
        <v>46112.0</v>
      </c>
      <c r="E1144" s="43" t="str">
        <f t="shared" si="1"/>
        <v>2026</v>
      </c>
      <c r="F1144" s="43" t="str">
        <f t="shared" si="2"/>
        <v>03 Mar</v>
      </c>
      <c r="G1144" s="45" t="s">
        <v>40</v>
      </c>
      <c r="H1144" s="45" t="s">
        <v>162</v>
      </c>
      <c r="I1144" s="45" t="s">
        <v>1047</v>
      </c>
      <c r="J1144" s="143" t="s">
        <v>28</v>
      </c>
      <c r="K1144" s="43" t="str">
        <f t="array" ref="K1144">IF(J1144="","", XLOOKUP(J1144,'⚙️ Pengaturan'!$E$2:$E3237,'⚙️ Pengaturan'!$G$2:$G3237))</f>
        <v>KLINIK FT TA</v>
      </c>
      <c r="L1144" s="43" t="str">
        <f t="shared" si="3"/>
        <v>BARU</v>
      </c>
      <c r="M1144" s="144" t="s">
        <v>31</v>
      </c>
      <c r="N1144" s="145">
        <v>250000.0</v>
      </c>
      <c r="O1144" s="146">
        <v>0.0</v>
      </c>
      <c r="P1144" s="48">
        <f t="array" ref="P1144">IFNA(XLOOKUP(J1144,'⚙️ Pengaturan'!$E$2:$E3237,'⚙️ Pengaturan'!$F$2:$F3237),"")</f>
        <v>250000</v>
      </c>
      <c r="Q1144" s="147">
        <f t="shared" si="19"/>
        <v>0</v>
      </c>
      <c r="R1144" s="41" t="s">
        <v>37</v>
      </c>
      <c r="S1144" s="69" t="s">
        <v>1047</v>
      </c>
      <c r="T1144" s="51" t="b">
        <v>1</v>
      </c>
      <c r="U1144" s="94"/>
    </row>
    <row r="1145" ht="30.0" customHeight="1">
      <c r="A1145" s="39"/>
      <c r="B1145" s="40">
        <v>3180.0</v>
      </c>
      <c r="C1145" s="41" t="s">
        <v>50</v>
      </c>
      <c r="D1145" s="86">
        <v>46112.0</v>
      </c>
      <c r="E1145" s="43" t="str">
        <f t="shared" si="1"/>
        <v>2026</v>
      </c>
      <c r="F1145" s="43" t="str">
        <f t="shared" si="2"/>
        <v>03 Mar</v>
      </c>
      <c r="G1145" s="45" t="s">
        <v>43</v>
      </c>
      <c r="H1145" s="45" t="s">
        <v>162</v>
      </c>
      <c r="I1145" s="45" t="s">
        <v>1048</v>
      </c>
      <c r="J1145" s="143" t="s">
        <v>28</v>
      </c>
      <c r="K1145" s="43" t="str">
        <f t="array" ref="K1145">IF(J1145="","", XLOOKUP(J1145,'⚙️ Pengaturan'!$E$2:$E3237,'⚙️ Pengaturan'!$G$2:$G3237))</f>
        <v>KLINIK FT TA</v>
      </c>
      <c r="L1145" s="43" t="str">
        <f t="shared" si="3"/>
        <v>BARU</v>
      </c>
      <c r="M1145" s="144" t="s">
        <v>31</v>
      </c>
      <c r="N1145" s="145">
        <v>250000.0</v>
      </c>
      <c r="O1145" s="146">
        <v>0.0</v>
      </c>
      <c r="P1145" s="48">
        <f t="array" ref="P1145">IFNA(XLOOKUP(J1145,'⚙️ Pengaturan'!$E$2:$E3237,'⚙️ Pengaturan'!$F$2:$F3237),"")</f>
        <v>250000</v>
      </c>
      <c r="Q1145" s="147">
        <f t="shared" si="19"/>
        <v>0</v>
      </c>
      <c r="R1145" s="41" t="s">
        <v>32</v>
      </c>
      <c r="S1145" s="69" t="s">
        <v>33</v>
      </c>
      <c r="T1145" s="51" t="b">
        <v>1</v>
      </c>
      <c r="U1145" s="94"/>
    </row>
    <row r="1146" ht="30.0" customHeight="1">
      <c r="A1146" s="39"/>
      <c r="B1146" s="40">
        <v>3181.0</v>
      </c>
      <c r="C1146" s="41" t="s">
        <v>50</v>
      </c>
      <c r="D1146" s="86">
        <v>46112.0</v>
      </c>
      <c r="E1146" s="43" t="str">
        <f t="shared" si="1"/>
        <v>2026</v>
      </c>
      <c r="F1146" s="43" t="str">
        <f t="shared" si="2"/>
        <v>03 Mar</v>
      </c>
      <c r="G1146" s="45" t="s">
        <v>173</v>
      </c>
      <c r="H1146" s="45" t="s">
        <v>150</v>
      </c>
      <c r="I1146" s="45" t="s">
        <v>1027</v>
      </c>
      <c r="J1146" s="143" t="s">
        <v>120</v>
      </c>
      <c r="K1146" s="43" t="str">
        <f t="array" ref="K1146">IF(J1146="","", XLOOKUP(J1146,'⚙️ Pengaturan'!$E$2:$E3237,'⚙️ Pengaturan'!$G$2:$G3237))</f>
        <v>KLINIK FT SESI</v>
      </c>
      <c r="L1146" s="43" t="str">
        <f t="shared" si="3"/>
        <v>BARU</v>
      </c>
      <c r="M1146" s="144" t="s">
        <v>31</v>
      </c>
      <c r="N1146" s="145">
        <v>180000.0</v>
      </c>
      <c r="O1146" s="146">
        <v>0.0</v>
      </c>
      <c r="P1146" s="48">
        <f t="array" ref="P1146">IFNA(XLOOKUP(J1146,'⚙️ Pengaturan'!$E$2:$E3237,'⚙️ Pengaturan'!$F$2:$F3237),"")</f>
        <v>180000</v>
      </c>
      <c r="Q1146" s="147">
        <f t="shared" si="19"/>
        <v>0</v>
      </c>
      <c r="R1146" s="41" t="s">
        <v>32</v>
      </c>
      <c r="S1146" s="69" t="s">
        <v>33</v>
      </c>
      <c r="T1146" s="51" t="b">
        <v>1</v>
      </c>
      <c r="U1146" s="94"/>
    </row>
    <row r="1147" ht="30.0" customHeight="1">
      <c r="A1147" s="39"/>
      <c r="B1147" s="40">
        <v>3182.0</v>
      </c>
      <c r="C1147" s="41" t="s">
        <v>50</v>
      </c>
      <c r="D1147" s="86">
        <v>46112.0</v>
      </c>
      <c r="E1147" s="43" t="str">
        <f t="shared" si="1"/>
        <v>2026</v>
      </c>
      <c r="F1147" s="43" t="str">
        <f t="shared" si="2"/>
        <v>03 Mar</v>
      </c>
      <c r="G1147" s="45" t="s">
        <v>173</v>
      </c>
      <c r="H1147" s="45" t="s">
        <v>166</v>
      </c>
      <c r="I1147" s="45" t="s">
        <v>1038</v>
      </c>
      <c r="J1147" s="143" t="s">
        <v>119</v>
      </c>
      <c r="K1147" s="43" t="str">
        <f t="array" ref="K1147">IF(J1147="","", XLOOKUP(J1147,'⚙️ Pengaturan'!$E$2:$E3237,'⚙️ Pengaturan'!$G$2:$G3237))</f>
        <v>KLINIK FT PAKET</v>
      </c>
      <c r="L1147" s="43" t="str">
        <f t="shared" si="3"/>
        <v>BARU</v>
      </c>
      <c r="M1147" s="144" t="s">
        <v>31</v>
      </c>
      <c r="N1147" s="145">
        <v>750000.0</v>
      </c>
      <c r="O1147" s="146">
        <v>0.0</v>
      </c>
      <c r="P1147" s="48">
        <f t="array" ref="P1147">IFNA(XLOOKUP(J1147,'⚙️ Pengaturan'!$E$2:$E3237,'⚙️ Pengaturan'!$F$2:$F3237),"")</f>
        <v>750000</v>
      </c>
      <c r="Q1147" s="147">
        <f t="shared" si="19"/>
        <v>0</v>
      </c>
      <c r="R1147" s="41" t="s">
        <v>37</v>
      </c>
      <c r="S1147" s="69" t="s">
        <v>1038</v>
      </c>
      <c r="T1147" s="51" t="b">
        <v>1</v>
      </c>
      <c r="U1147" s="94"/>
    </row>
    <row r="1148" ht="30.0" customHeight="1">
      <c r="A1148" s="39"/>
      <c r="B1148" s="40">
        <v>3183.0</v>
      </c>
      <c r="C1148" s="41" t="s">
        <v>50</v>
      </c>
      <c r="D1148" s="86">
        <v>46112.0</v>
      </c>
      <c r="E1148" s="43" t="str">
        <f t="shared" si="1"/>
        <v>2026</v>
      </c>
      <c r="F1148" s="43" t="str">
        <f t="shared" si="2"/>
        <v>03 Mar</v>
      </c>
      <c r="G1148" s="45" t="s">
        <v>155</v>
      </c>
      <c r="H1148" s="45" t="s">
        <v>162</v>
      </c>
      <c r="I1148" s="45" t="s">
        <v>1049</v>
      </c>
      <c r="J1148" s="143" t="s">
        <v>28</v>
      </c>
      <c r="K1148" s="43" t="str">
        <f t="array" ref="K1148">IF(J1148="","", XLOOKUP(J1148,'⚙️ Pengaturan'!$E$2:$E3237,'⚙️ Pengaturan'!$G$2:$G3237))</f>
        <v>KLINIK FT TA</v>
      </c>
      <c r="L1148" s="43" t="str">
        <f t="shared" si="3"/>
        <v>BARU</v>
      </c>
      <c r="M1148" s="144" t="s">
        <v>31</v>
      </c>
      <c r="N1148" s="145">
        <v>250000.0</v>
      </c>
      <c r="O1148" s="146">
        <v>0.0</v>
      </c>
      <c r="P1148" s="48">
        <f t="array" ref="P1148">IFNA(XLOOKUP(J1148,'⚙️ Pengaturan'!$E$2:$E3237,'⚙️ Pengaturan'!$F$2:$F3237),"")</f>
        <v>250000</v>
      </c>
      <c r="Q1148" s="147">
        <f t="shared" si="19"/>
        <v>0</v>
      </c>
      <c r="R1148" s="41" t="s">
        <v>37</v>
      </c>
      <c r="S1148" s="69" t="s">
        <v>1049</v>
      </c>
      <c r="T1148" s="51" t="b">
        <v>1</v>
      </c>
      <c r="U1148" s="94"/>
    </row>
    <row r="1149" ht="30.0" customHeight="1">
      <c r="A1149" s="39"/>
      <c r="B1149" s="40">
        <v>3184.0</v>
      </c>
      <c r="C1149" s="41" t="s">
        <v>50</v>
      </c>
      <c r="D1149" s="86">
        <v>46112.0</v>
      </c>
      <c r="E1149" s="43" t="str">
        <f t="shared" si="1"/>
        <v>2026</v>
      </c>
      <c r="F1149" s="43" t="str">
        <f t="shared" si="2"/>
        <v>03 Mar</v>
      </c>
      <c r="G1149" s="45" t="s">
        <v>155</v>
      </c>
      <c r="H1149" s="45" t="s">
        <v>26</v>
      </c>
      <c r="I1149" s="45" t="s">
        <v>1050</v>
      </c>
      <c r="J1149" s="143" t="s">
        <v>28</v>
      </c>
      <c r="K1149" s="43" t="str">
        <f t="array" ref="K1149">IF(J1149="","", XLOOKUP(J1149,'⚙️ Pengaturan'!$E$2:$E3237,'⚙️ Pengaturan'!$G$2:$G3237))</f>
        <v>KLINIK FT TA</v>
      </c>
      <c r="L1149" s="43" t="str">
        <f t="shared" si="3"/>
        <v>BARU</v>
      </c>
      <c r="M1149" s="144" t="s">
        <v>31</v>
      </c>
      <c r="N1149" s="145">
        <v>250000.0</v>
      </c>
      <c r="O1149" s="146">
        <v>0.0</v>
      </c>
      <c r="P1149" s="48">
        <f t="array" ref="P1149">IFNA(XLOOKUP(J1149,'⚙️ Pengaturan'!$E$2:$E3237,'⚙️ Pengaturan'!$F$2:$F3237),"")</f>
        <v>250000</v>
      </c>
      <c r="Q1149" s="147">
        <f t="shared" si="19"/>
        <v>0</v>
      </c>
      <c r="R1149" s="41" t="s">
        <v>37</v>
      </c>
      <c r="S1149" s="69" t="s">
        <v>1050</v>
      </c>
      <c r="T1149" s="51" t="b">
        <v>1</v>
      </c>
      <c r="U1149" s="94"/>
    </row>
    <row r="1150" ht="30.0" customHeight="1">
      <c r="A1150" s="39"/>
      <c r="B1150" s="40">
        <v>3185.0</v>
      </c>
      <c r="C1150" s="41" t="s">
        <v>50</v>
      </c>
      <c r="D1150" s="86">
        <v>46112.0</v>
      </c>
      <c r="E1150" s="43" t="str">
        <f t="shared" si="1"/>
        <v>2026</v>
      </c>
      <c r="F1150" s="43" t="str">
        <f t="shared" si="2"/>
        <v>03 Mar</v>
      </c>
      <c r="G1150" s="45" t="s">
        <v>190</v>
      </c>
      <c r="H1150" s="45" t="s">
        <v>162</v>
      </c>
      <c r="I1150" s="45" t="s">
        <v>870</v>
      </c>
      <c r="J1150" s="143" t="s">
        <v>120</v>
      </c>
      <c r="K1150" s="43" t="str">
        <f t="array" ref="K1150">IF(J1150="","", XLOOKUP(J1150,'⚙️ Pengaturan'!$E$2:$E3237,'⚙️ Pengaturan'!$G$2:$G3237))</f>
        <v>KLINIK FT SESI</v>
      </c>
      <c r="L1150" s="43" t="str">
        <f t="shared" si="3"/>
        <v>LANJUTAN</v>
      </c>
      <c r="M1150" s="144" t="s">
        <v>31</v>
      </c>
      <c r="N1150" s="145">
        <v>180000.0</v>
      </c>
      <c r="O1150" s="146">
        <v>0.0</v>
      </c>
      <c r="P1150" s="48">
        <f t="array" ref="P1150">IFNA(XLOOKUP(J1150,'⚙️ Pengaturan'!$E$2:$E3237,'⚙️ Pengaturan'!$F$2:$F3237),"")</f>
        <v>180000</v>
      </c>
      <c r="Q1150" s="147">
        <f t="shared" si="19"/>
        <v>0</v>
      </c>
      <c r="R1150" s="41" t="s">
        <v>32</v>
      </c>
      <c r="S1150" s="69" t="s">
        <v>33</v>
      </c>
      <c r="T1150" s="51" t="b">
        <v>1</v>
      </c>
      <c r="U1150" s="94"/>
    </row>
    <row r="1151" ht="30.0" customHeight="1">
      <c r="A1151" s="39"/>
      <c r="B1151" s="40">
        <v>3186.0</v>
      </c>
      <c r="C1151" s="41" t="s">
        <v>39</v>
      </c>
      <c r="D1151" s="86">
        <v>46113.0</v>
      </c>
      <c r="E1151" s="43" t="str">
        <f t="shared" si="1"/>
        <v>2026</v>
      </c>
      <c r="F1151" s="43" t="str">
        <f t="shared" si="2"/>
        <v>04 Apr</v>
      </c>
      <c r="G1151" s="45" t="s">
        <v>195</v>
      </c>
      <c r="H1151" s="45" t="s">
        <v>47</v>
      </c>
      <c r="I1151" s="45" t="s">
        <v>1033</v>
      </c>
      <c r="J1151" s="143" t="s">
        <v>120</v>
      </c>
      <c r="K1151" s="43" t="str">
        <f t="array" ref="K1151">IF(J1151="","", XLOOKUP(J1151,'⚙️ Pengaturan'!$E$2:$E3237,'⚙️ Pengaturan'!$G$2:$G3237))</f>
        <v>KLINIK FT SESI</v>
      </c>
      <c r="L1151" s="43" t="str">
        <f t="shared" si="3"/>
        <v>BARU</v>
      </c>
      <c r="M1151" s="144" t="s">
        <v>31</v>
      </c>
      <c r="N1151" s="145">
        <v>180000.0</v>
      </c>
      <c r="O1151" s="146">
        <v>0.0</v>
      </c>
      <c r="P1151" s="48">
        <f t="array" ref="P1151">IFNA(XLOOKUP(J1151,'⚙️ Pengaturan'!$E$2:$E3237,'⚙️ Pengaturan'!$F$2:$F3237),"")</f>
        <v>180000</v>
      </c>
      <c r="Q1151" s="147">
        <f t="shared" si="19"/>
        <v>0</v>
      </c>
      <c r="R1151" s="41" t="s">
        <v>37</v>
      </c>
      <c r="S1151" s="69" t="s">
        <v>1033</v>
      </c>
      <c r="T1151" s="51" t="b">
        <v>1</v>
      </c>
      <c r="U1151" s="94"/>
    </row>
    <row r="1152" ht="30.0" customHeight="1">
      <c r="A1152" s="39"/>
      <c r="B1152" s="40">
        <v>3187.0</v>
      </c>
      <c r="C1152" s="41" t="s">
        <v>39</v>
      </c>
      <c r="D1152" s="86">
        <v>46113.0</v>
      </c>
      <c r="E1152" s="43" t="str">
        <f t="shared" si="1"/>
        <v>2026</v>
      </c>
      <c r="F1152" s="43" t="str">
        <f t="shared" si="2"/>
        <v>04 Apr</v>
      </c>
      <c r="G1152" s="45" t="s">
        <v>195</v>
      </c>
      <c r="H1152" s="45" t="s">
        <v>41</v>
      </c>
      <c r="I1152" s="45" t="s">
        <v>934</v>
      </c>
      <c r="J1152" s="143" t="s">
        <v>119</v>
      </c>
      <c r="K1152" s="43" t="str">
        <f t="array" ref="K1152">IF(J1152="","", XLOOKUP(J1152,'⚙️ Pengaturan'!$E$2:$E3237,'⚙️ Pengaturan'!$G$2:$G3237))</f>
        <v>KLINIK FT PAKET</v>
      </c>
      <c r="L1152" s="43" t="str">
        <f t="shared" si="3"/>
        <v>LANJUTAN</v>
      </c>
      <c r="M1152" s="144" t="s">
        <v>31</v>
      </c>
      <c r="N1152" s="145">
        <v>750000.0</v>
      </c>
      <c r="O1152" s="146">
        <v>0.0</v>
      </c>
      <c r="P1152" s="48">
        <f t="array" ref="P1152">IFNA(XLOOKUP(J1152,'⚙️ Pengaturan'!$E$2:$E3237,'⚙️ Pengaturan'!$F$2:$F3237),"")</f>
        <v>750000</v>
      </c>
      <c r="Q1152" s="147">
        <f t="shared" si="19"/>
        <v>0</v>
      </c>
      <c r="R1152" s="41" t="s">
        <v>37</v>
      </c>
      <c r="S1152" s="69" t="s">
        <v>1025</v>
      </c>
      <c r="T1152" s="51" t="b">
        <v>1</v>
      </c>
      <c r="U1152" s="94"/>
    </row>
    <row r="1153" ht="30.0" customHeight="1">
      <c r="A1153" s="39"/>
      <c r="B1153" s="40">
        <v>3188.0</v>
      </c>
      <c r="C1153" s="41" t="s">
        <v>39</v>
      </c>
      <c r="D1153" s="86">
        <v>46113.0</v>
      </c>
      <c r="E1153" s="43" t="str">
        <f t="shared" si="1"/>
        <v>2026</v>
      </c>
      <c r="F1153" s="43" t="str">
        <f t="shared" si="2"/>
        <v>04 Apr</v>
      </c>
      <c r="G1153" s="45" t="s">
        <v>69</v>
      </c>
      <c r="H1153" s="45" t="s">
        <v>41</v>
      </c>
      <c r="I1153" s="45" t="s">
        <v>1041</v>
      </c>
      <c r="J1153" s="143" t="s">
        <v>347</v>
      </c>
      <c r="K1153" s="43" t="str">
        <f t="array" ref="K1153">IF(J1153="","", XLOOKUP(J1153,'⚙️ Pengaturan'!$E$2:$E3237,'⚙️ Pengaturan'!$G$2:$G3237))</f>
        <v>KLINIK FT PAKET</v>
      </c>
      <c r="L1153" s="43" t="str">
        <f t="shared" si="3"/>
        <v>BARU</v>
      </c>
      <c r="M1153" s="144" t="s">
        <v>31</v>
      </c>
      <c r="N1153" s="145">
        <v>1300000.0</v>
      </c>
      <c r="O1153" s="146">
        <v>0.0</v>
      </c>
      <c r="P1153" s="48">
        <f t="array" ref="P1153">IFNA(XLOOKUP(J1153,'⚙️ Pengaturan'!$E$2:$E3237,'⚙️ Pengaturan'!$F$2:$F3237),"")</f>
        <v>1300000</v>
      </c>
      <c r="Q1153" s="147">
        <f t="shared" si="19"/>
        <v>0</v>
      </c>
      <c r="R1153" s="41" t="s">
        <v>32</v>
      </c>
      <c r="S1153" s="69" t="s">
        <v>33</v>
      </c>
      <c r="T1153" s="51" t="b">
        <v>1</v>
      </c>
      <c r="U1153" s="94"/>
    </row>
    <row r="1154" ht="30.0" customHeight="1">
      <c r="A1154" s="39"/>
      <c r="B1154" s="40">
        <v>3189.0</v>
      </c>
      <c r="C1154" s="41" t="s">
        <v>39</v>
      </c>
      <c r="D1154" s="86">
        <v>46113.0</v>
      </c>
      <c r="E1154" s="43" t="str">
        <f t="shared" si="1"/>
        <v>2026</v>
      </c>
      <c r="F1154" s="43" t="str">
        <f t="shared" si="2"/>
        <v>04 Apr</v>
      </c>
      <c r="G1154" s="45" t="s">
        <v>161</v>
      </c>
      <c r="H1154" s="45" t="s">
        <v>96</v>
      </c>
      <c r="I1154" s="45" t="s">
        <v>1051</v>
      </c>
      <c r="J1154" s="143" t="s">
        <v>28</v>
      </c>
      <c r="K1154" s="43" t="str">
        <f t="array" ref="K1154">IF(J1154="","", XLOOKUP(J1154,'⚙️ Pengaturan'!$E$2:$E3237,'⚙️ Pengaturan'!$G$2:$G3237))</f>
        <v>KLINIK FT TA</v>
      </c>
      <c r="L1154" s="43" t="str">
        <f t="shared" si="3"/>
        <v>BARU</v>
      </c>
      <c r="M1154" s="144" t="s">
        <v>31</v>
      </c>
      <c r="N1154" s="145">
        <v>250000.0</v>
      </c>
      <c r="O1154" s="146">
        <v>0.0</v>
      </c>
      <c r="P1154" s="48">
        <f t="array" ref="P1154">IFNA(XLOOKUP(J1154,'⚙️ Pengaturan'!$E$2:$E3237,'⚙️ Pengaturan'!$F$2:$F3237),"")</f>
        <v>250000</v>
      </c>
      <c r="Q1154" s="147">
        <f t="shared" si="19"/>
        <v>0</v>
      </c>
      <c r="R1154" s="41" t="s">
        <v>37</v>
      </c>
      <c r="S1154" s="69" t="s">
        <v>1051</v>
      </c>
      <c r="T1154" s="51" t="b">
        <v>1</v>
      </c>
      <c r="U1154" s="94"/>
    </row>
    <row r="1155" ht="30.0" customHeight="1">
      <c r="A1155" s="39"/>
      <c r="B1155" s="40">
        <v>3190.0</v>
      </c>
      <c r="C1155" s="41" t="s">
        <v>39</v>
      </c>
      <c r="D1155" s="86">
        <v>46113.0</v>
      </c>
      <c r="E1155" s="43" t="str">
        <f t="shared" si="1"/>
        <v>2026</v>
      </c>
      <c r="F1155" s="43" t="str">
        <f t="shared" si="2"/>
        <v>04 Apr</v>
      </c>
      <c r="G1155" s="45" t="s">
        <v>35</v>
      </c>
      <c r="H1155" s="45" t="s">
        <v>47</v>
      </c>
      <c r="I1155" s="45" t="s">
        <v>1052</v>
      </c>
      <c r="J1155" s="143" t="s">
        <v>28</v>
      </c>
      <c r="K1155" s="43" t="str">
        <f t="array" ref="K1155">IF(J1155="","", XLOOKUP(J1155,'⚙️ Pengaturan'!$E$2:$E3237,'⚙️ Pengaturan'!$G$2:$G3237))</f>
        <v>KLINIK FT TA</v>
      </c>
      <c r="L1155" s="43" t="str">
        <f t="shared" si="3"/>
        <v>BARU</v>
      </c>
      <c r="M1155" s="144" t="s">
        <v>31</v>
      </c>
      <c r="N1155" s="145">
        <v>250000.0</v>
      </c>
      <c r="O1155" s="146">
        <v>0.0</v>
      </c>
      <c r="P1155" s="48">
        <f t="array" ref="P1155">IFNA(XLOOKUP(J1155,'⚙️ Pengaturan'!$E$2:$E3237,'⚙️ Pengaturan'!$F$2:$F3237),"")</f>
        <v>250000</v>
      </c>
      <c r="Q1155" s="147">
        <f t="shared" si="19"/>
        <v>0</v>
      </c>
      <c r="R1155" s="41" t="s">
        <v>32</v>
      </c>
      <c r="S1155" s="69" t="s">
        <v>33</v>
      </c>
      <c r="T1155" s="51" t="b">
        <v>1</v>
      </c>
      <c r="U1155" s="94"/>
    </row>
    <row r="1156" ht="30.0" customHeight="1">
      <c r="A1156" s="39"/>
      <c r="B1156" s="40">
        <v>3191.0</v>
      </c>
      <c r="C1156" s="41" t="s">
        <v>50</v>
      </c>
      <c r="D1156" s="86">
        <v>46113.0</v>
      </c>
      <c r="E1156" s="43" t="str">
        <f t="shared" si="1"/>
        <v>2026</v>
      </c>
      <c r="F1156" s="43" t="str">
        <f t="shared" si="2"/>
        <v>04 Apr</v>
      </c>
      <c r="G1156" s="45" t="s">
        <v>69</v>
      </c>
      <c r="H1156" s="45" t="s">
        <v>47</v>
      </c>
      <c r="I1156" s="45" t="s">
        <v>1053</v>
      </c>
      <c r="J1156" s="143" t="s">
        <v>121</v>
      </c>
      <c r="K1156" s="43" t="str">
        <f t="array" ref="K1156">IF(J1156="","", XLOOKUP(J1156,'⚙️ Pengaturan'!$E$2:$E3237,'⚙️ Pengaturan'!$G$2:$G3237))</f>
        <v>VISIT FT TA</v>
      </c>
      <c r="L1156" s="43" t="str">
        <f t="shared" si="3"/>
        <v>BARU</v>
      </c>
      <c r="M1156" s="144" t="s">
        <v>31</v>
      </c>
      <c r="N1156" s="145">
        <v>300000.0</v>
      </c>
      <c r="O1156" s="146">
        <v>0.0</v>
      </c>
      <c r="P1156" s="48">
        <f t="array" ref="P1156">IFNA(XLOOKUP(J1156,'⚙️ Pengaturan'!$E$2:$E3237,'⚙️ Pengaturan'!$F$2:$F3237),"")</f>
        <v>300000</v>
      </c>
      <c r="Q1156" s="147">
        <f t="shared" si="19"/>
        <v>0</v>
      </c>
      <c r="R1156" s="41" t="s">
        <v>37</v>
      </c>
      <c r="S1156" s="69" t="s">
        <v>1054</v>
      </c>
      <c r="T1156" s="51" t="b">
        <v>1</v>
      </c>
      <c r="U1156" s="94"/>
    </row>
    <row r="1157" ht="30.0" customHeight="1">
      <c r="A1157" s="39"/>
      <c r="B1157" s="40">
        <v>3192.0</v>
      </c>
      <c r="C1157" s="41" t="s">
        <v>50</v>
      </c>
      <c r="D1157" s="86">
        <v>46113.0</v>
      </c>
      <c r="E1157" s="43" t="str">
        <f t="shared" si="1"/>
        <v>2026</v>
      </c>
      <c r="F1157" s="43" t="str">
        <f t="shared" si="2"/>
        <v>04 Apr</v>
      </c>
      <c r="G1157" s="45" t="s">
        <v>43</v>
      </c>
      <c r="H1157" s="45" t="s">
        <v>150</v>
      </c>
      <c r="I1157" s="45" t="s">
        <v>1012</v>
      </c>
      <c r="J1157" s="143" t="s">
        <v>119</v>
      </c>
      <c r="K1157" s="43" t="str">
        <f t="array" ref="K1157">IF(J1157="","", XLOOKUP(J1157,'⚙️ Pengaturan'!$E$2:$E3237,'⚙️ Pengaturan'!$G$2:$G3237))</f>
        <v>KLINIK FT PAKET</v>
      </c>
      <c r="L1157" s="43" t="str">
        <f t="shared" si="3"/>
        <v>LANJUTAN</v>
      </c>
      <c r="M1157" s="144" t="s">
        <v>164</v>
      </c>
      <c r="N1157" s="145">
        <v>375000.0</v>
      </c>
      <c r="O1157" s="146">
        <v>0.0</v>
      </c>
      <c r="P1157" s="48">
        <f t="array" ref="P1157">IFNA(XLOOKUP(J1157,'⚙️ Pengaturan'!$E$2:$E3237,'⚙️ Pengaturan'!$F$2:$F3237),"")</f>
        <v>750000</v>
      </c>
      <c r="Q1157" s="147">
        <f t="shared" si="19"/>
        <v>-375000</v>
      </c>
      <c r="R1157" s="41" t="s">
        <v>37</v>
      </c>
      <c r="S1157" s="69" t="s">
        <v>1012</v>
      </c>
      <c r="T1157" s="51" t="b">
        <v>1</v>
      </c>
      <c r="U1157" s="94"/>
    </row>
    <row r="1158" ht="30.0" customHeight="1">
      <c r="A1158" s="39"/>
      <c r="B1158" s="40">
        <v>3193.0</v>
      </c>
      <c r="C1158" s="41" t="s">
        <v>50</v>
      </c>
      <c r="D1158" s="86">
        <v>46113.0</v>
      </c>
      <c r="E1158" s="43" t="str">
        <f t="shared" si="1"/>
        <v>2026</v>
      </c>
      <c r="F1158" s="43" t="str">
        <f t="shared" si="2"/>
        <v>04 Apr</v>
      </c>
      <c r="G1158" s="45" t="s">
        <v>173</v>
      </c>
      <c r="H1158" s="45" t="s">
        <v>162</v>
      </c>
      <c r="I1158" s="45" t="s">
        <v>966</v>
      </c>
      <c r="J1158" s="143" t="s">
        <v>120</v>
      </c>
      <c r="K1158" s="43" t="str">
        <f t="array" ref="K1158">IF(J1158="","", XLOOKUP(J1158,'⚙️ Pengaturan'!$E$2:$E3237,'⚙️ Pengaturan'!$G$2:$G3237))</f>
        <v>KLINIK FT SESI</v>
      </c>
      <c r="L1158" s="43" t="str">
        <f t="shared" si="3"/>
        <v>BARU</v>
      </c>
      <c r="M1158" s="144" t="s">
        <v>31</v>
      </c>
      <c r="N1158" s="145">
        <v>180000.0</v>
      </c>
      <c r="O1158" s="146">
        <v>0.0</v>
      </c>
      <c r="P1158" s="48">
        <f t="array" ref="P1158">IFNA(XLOOKUP(J1158,'⚙️ Pengaturan'!$E$2:$E3237,'⚙️ Pengaturan'!$F$2:$F3237),"")</f>
        <v>180000</v>
      </c>
      <c r="Q1158" s="147">
        <f t="shared" si="19"/>
        <v>0</v>
      </c>
      <c r="R1158" s="41" t="s">
        <v>32</v>
      </c>
      <c r="S1158" s="69" t="s">
        <v>33</v>
      </c>
      <c r="T1158" s="51" t="b">
        <v>1</v>
      </c>
      <c r="U1158" s="94"/>
    </row>
    <row r="1159" ht="30.0" customHeight="1">
      <c r="A1159" s="39"/>
      <c r="B1159" s="40">
        <v>3194.0</v>
      </c>
      <c r="C1159" s="41" t="s">
        <v>50</v>
      </c>
      <c r="D1159" s="86">
        <v>46113.0</v>
      </c>
      <c r="E1159" s="43" t="str">
        <f t="shared" si="1"/>
        <v>2026</v>
      </c>
      <c r="F1159" s="43" t="str">
        <f t="shared" si="2"/>
        <v>04 Apr</v>
      </c>
      <c r="G1159" s="45" t="s">
        <v>155</v>
      </c>
      <c r="H1159" s="45" t="s">
        <v>162</v>
      </c>
      <c r="I1159" s="45" t="s">
        <v>966</v>
      </c>
      <c r="J1159" s="143" t="s">
        <v>347</v>
      </c>
      <c r="K1159" s="43" t="str">
        <f t="array" ref="K1159">IF(J1159="","", XLOOKUP(J1159,'⚙️ Pengaturan'!$E$2:$E3237,'⚙️ Pengaturan'!$G$2:$G3237))</f>
        <v>KLINIK FT PAKET</v>
      </c>
      <c r="L1159" s="43" t="str">
        <f t="shared" si="3"/>
        <v>BARU</v>
      </c>
      <c r="M1159" s="144" t="s">
        <v>31</v>
      </c>
      <c r="N1159" s="145">
        <v>1300000.0</v>
      </c>
      <c r="O1159" s="146">
        <v>0.0</v>
      </c>
      <c r="P1159" s="48">
        <f t="array" ref="P1159">IFNA(XLOOKUP(J1159,'⚙️ Pengaturan'!$E$2:$E3237,'⚙️ Pengaturan'!$F$2:$F3237),"")</f>
        <v>1300000</v>
      </c>
      <c r="Q1159" s="147">
        <f t="shared" si="19"/>
        <v>0</v>
      </c>
      <c r="R1159" s="41" t="s">
        <v>37</v>
      </c>
      <c r="S1159" s="69" t="s">
        <v>966</v>
      </c>
      <c r="T1159" s="51" t="b">
        <v>1</v>
      </c>
      <c r="U1159" s="94"/>
    </row>
    <row r="1160" ht="30.0" customHeight="1">
      <c r="A1160" s="39"/>
      <c r="B1160" s="40">
        <v>3195.0</v>
      </c>
      <c r="C1160" s="41" t="s">
        <v>50</v>
      </c>
      <c r="D1160" s="86">
        <v>46113.0</v>
      </c>
      <c r="E1160" s="43" t="str">
        <f t="shared" si="1"/>
        <v>2026</v>
      </c>
      <c r="F1160" s="43" t="str">
        <f t="shared" si="2"/>
        <v>04 Apr</v>
      </c>
      <c r="G1160" s="45" t="s">
        <v>155</v>
      </c>
      <c r="H1160" s="45" t="s">
        <v>162</v>
      </c>
      <c r="I1160" s="45" t="s">
        <v>1055</v>
      </c>
      <c r="J1160" s="143" t="s">
        <v>28</v>
      </c>
      <c r="K1160" s="43" t="str">
        <f t="array" ref="K1160">IF(J1160="","", XLOOKUP(J1160,'⚙️ Pengaturan'!$E$2:$E3237,'⚙️ Pengaturan'!$G$2:$G3237))</f>
        <v>KLINIK FT TA</v>
      </c>
      <c r="L1160" s="43" t="str">
        <f t="shared" si="3"/>
        <v>BARU</v>
      </c>
      <c r="M1160" s="144" t="s">
        <v>31</v>
      </c>
      <c r="N1160" s="145">
        <v>250000.0</v>
      </c>
      <c r="O1160" s="146">
        <v>0.0</v>
      </c>
      <c r="P1160" s="48">
        <f t="array" ref="P1160">IFNA(XLOOKUP(J1160,'⚙️ Pengaturan'!$E$2:$E3237,'⚙️ Pengaturan'!$F$2:$F3237),"")</f>
        <v>250000</v>
      </c>
      <c r="Q1160" s="147">
        <f t="shared" si="19"/>
        <v>0</v>
      </c>
      <c r="R1160" s="41" t="s">
        <v>37</v>
      </c>
      <c r="S1160" s="69" t="s">
        <v>1055</v>
      </c>
      <c r="T1160" s="51" t="b">
        <v>1</v>
      </c>
      <c r="U1160" s="94"/>
    </row>
    <row r="1161" ht="30.0" customHeight="1">
      <c r="A1161" s="39"/>
      <c r="B1161" s="40">
        <v>3196.0</v>
      </c>
      <c r="C1161" s="41" t="s">
        <v>39</v>
      </c>
      <c r="D1161" s="86">
        <v>46114.0</v>
      </c>
      <c r="E1161" s="43" t="str">
        <f t="shared" si="1"/>
        <v>2026</v>
      </c>
      <c r="F1161" s="43" t="str">
        <f t="shared" si="2"/>
        <v>04 Apr</v>
      </c>
      <c r="G1161" s="45" t="s">
        <v>195</v>
      </c>
      <c r="H1161" s="45" t="s">
        <v>26</v>
      </c>
      <c r="I1161" s="45" t="s">
        <v>1047</v>
      </c>
      <c r="J1161" s="143" t="s">
        <v>120</v>
      </c>
      <c r="K1161" s="43" t="str">
        <f t="array" ref="K1161">IF(J1161="","", XLOOKUP(J1161,'⚙️ Pengaturan'!$E$2:$E3237,'⚙️ Pengaturan'!$G$2:$G3237))</f>
        <v>KLINIK FT SESI</v>
      </c>
      <c r="L1161" s="43" t="str">
        <f t="shared" si="3"/>
        <v>BARU</v>
      </c>
      <c r="M1161" s="144" t="s">
        <v>31</v>
      </c>
      <c r="N1161" s="145">
        <v>180000.0</v>
      </c>
      <c r="O1161" s="146">
        <v>0.0</v>
      </c>
      <c r="P1161" s="48">
        <f t="array" ref="P1161">IFNA(XLOOKUP(J1161,'⚙️ Pengaturan'!$E$2:$E3237,'⚙️ Pengaturan'!$F$2:$F3237),"")</f>
        <v>180000</v>
      </c>
      <c r="Q1161" s="147">
        <f t="shared" si="19"/>
        <v>0</v>
      </c>
      <c r="R1161" s="41" t="s">
        <v>37</v>
      </c>
      <c r="S1161" s="69" t="s">
        <v>1047</v>
      </c>
      <c r="T1161" s="51" t="b">
        <v>1</v>
      </c>
      <c r="U1161" s="94"/>
    </row>
    <row r="1162" ht="30.0" customHeight="1">
      <c r="A1162" s="39"/>
      <c r="B1162" s="40">
        <v>3197.0</v>
      </c>
      <c r="C1162" s="41" t="s">
        <v>39</v>
      </c>
      <c r="D1162" s="86">
        <v>46114.0</v>
      </c>
      <c r="E1162" s="43" t="str">
        <f t="shared" si="1"/>
        <v>2026</v>
      </c>
      <c r="F1162" s="43" t="str">
        <f t="shared" si="2"/>
        <v>04 Apr</v>
      </c>
      <c r="G1162" s="45" t="s">
        <v>25</v>
      </c>
      <c r="H1162" s="45" t="s">
        <v>150</v>
      </c>
      <c r="I1162" s="45" t="s">
        <v>963</v>
      </c>
      <c r="J1162" s="143" t="s">
        <v>119</v>
      </c>
      <c r="K1162" s="43" t="str">
        <f t="array" ref="K1162">IF(J1162="","", XLOOKUP(J1162,'⚙️ Pengaturan'!$E$2:$E3237,'⚙️ Pengaturan'!$G$2:$G3237))</f>
        <v>KLINIK FT PAKET</v>
      </c>
      <c r="L1162" s="43" t="str">
        <f t="shared" si="3"/>
        <v>LANJUTAN</v>
      </c>
      <c r="M1162" s="144" t="s">
        <v>60</v>
      </c>
      <c r="N1162" s="145">
        <v>200000.0</v>
      </c>
      <c r="O1162" s="146">
        <v>0.0</v>
      </c>
      <c r="P1162" s="48">
        <f t="array" ref="P1162">IFNA(XLOOKUP(J1162,'⚙️ Pengaturan'!$E$2:$E3237,'⚙️ Pengaturan'!$F$2:$F3237),"")</f>
        <v>750000</v>
      </c>
      <c r="Q1162" s="147">
        <f t="shared" si="19"/>
        <v>-550000</v>
      </c>
      <c r="R1162" s="41" t="s">
        <v>32</v>
      </c>
      <c r="S1162" s="69" t="s">
        <v>33</v>
      </c>
      <c r="T1162" s="51" t="b">
        <v>1</v>
      </c>
      <c r="U1162" s="94"/>
    </row>
    <row r="1163" ht="30.0" customHeight="1">
      <c r="A1163" s="39"/>
      <c r="B1163" s="40">
        <v>3198.0</v>
      </c>
      <c r="C1163" s="41" t="s">
        <v>39</v>
      </c>
      <c r="D1163" s="86">
        <v>46114.0</v>
      </c>
      <c r="E1163" s="43" t="str">
        <f t="shared" si="1"/>
        <v>2026</v>
      </c>
      <c r="F1163" s="43" t="str">
        <f t="shared" si="2"/>
        <v>04 Apr</v>
      </c>
      <c r="G1163" s="45" t="s">
        <v>25</v>
      </c>
      <c r="H1163" s="45" t="s">
        <v>166</v>
      </c>
      <c r="I1163" s="45" t="s">
        <v>1043</v>
      </c>
      <c r="J1163" s="143" t="s">
        <v>347</v>
      </c>
      <c r="K1163" s="43" t="str">
        <f t="array" ref="K1163">IF(J1163="","", XLOOKUP(J1163,'⚙️ Pengaturan'!$E$2:$E3237,'⚙️ Pengaturan'!$G$2:$G3237))</f>
        <v>KLINIK FT PAKET</v>
      </c>
      <c r="L1163" s="43" t="str">
        <f t="shared" si="3"/>
        <v>BARU</v>
      </c>
      <c r="M1163" s="144" t="s">
        <v>31</v>
      </c>
      <c r="N1163" s="145">
        <v>1300000.0</v>
      </c>
      <c r="O1163" s="146">
        <v>0.0</v>
      </c>
      <c r="P1163" s="48">
        <f t="array" ref="P1163">IFNA(XLOOKUP(J1163,'⚙️ Pengaturan'!$E$2:$E3237,'⚙️ Pengaturan'!$F$2:$F3237),"")</f>
        <v>1300000</v>
      </c>
      <c r="Q1163" s="147">
        <f t="shared" si="19"/>
        <v>0</v>
      </c>
      <c r="R1163" s="41" t="s">
        <v>32</v>
      </c>
      <c r="S1163" s="69" t="s">
        <v>33</v>
      </c>
      <c r="T1163" s="51" t="b">
        <v>1</v>
      </c>
      <c r="U1163" s="94"/>
    </row>
    <row r="1164" ht="30.0" customHeight="1">
      <c r="A1164" s="39"/>
      <c r="B1164" s="40">
        <v>3199.0</v>
      </c>
      <c r="C1164" s="41" t="s">
        <v>39</v>
      </c>
      <c r="D1164" s="86">
        <v>46114.0</v>
      </c>
      <c r="E1164" s="43" t="str">
        <f t="shared" si="1"/>
        <v>2026</v>
      </c>
      <c r="F1164" s="43" t="str">
        <f t="shared" si="2"/>
        <v>04 Apr</v>
      </c>
      <c r="G1164" s="45" t="s">
        <v>206</v>
      </c>
      <c r="H1164" s="45" t="s">
        <v>150</v>
      </c>
      <c r="I1164" s="45" t="s">
        <v>1056</v>
      </c>
      <c r="J1164" s="143" t="s">
        <v>28</v>
      </c>
      <c r="K1164" s="43" t="str">
        <f t="array" ref="K1164">IF(J1164="","", XLOOKUP(J1164,'⚙️ Pengaturan'!$E$2:$E3237,'⚙️ Pengaturan'!$G$2:$G3237))</f>
        <v>KLINIK FT TA</v>
      </c>
      <c r="L1164" s="43" t="str">
        <f t="shared" si="3"/>
        <v>BARU</v>
      </c>
      <c r="M1164" s="144" t="s">
        <v>31</v>
      </c>
      <c r="N1164" s="145">
        <v>250000.0</v>
      </c>
      <c r="O1164" s="146">
        <v>0.0</v>
      </c>
      <c r="P1164" s="48">
        <f t="array" ref="P1164">IFNA(XLOOKUP(J1164,'⚙️ Pengaturan'!$E$2:$E3237,'⚙️ Pengaturan'!$F$2:$F3237),"")</f>
        <v>250000</v>
      </c>
      <c r="Q1164" s="147">
        <f t="shared" si="19"/>
        <v>0</v>
      </c>
      <c r="R1164" s="41" t="s">
        <v>37</v>
      </c>
      <c r="S1164" s="69" t="s">
        <v>1056</v>
      </c>
      <c r="T1164" s="51" t="b">
        <v>1</v>
      </c>
      <c r="U1164" s="94"/>
    </row>
    <row r="1165" ht="30.0" customHeight="1">
      <c r="A1165" s="39"/>
      <c r="B1165" s="40">
        <v>3200.0</v>
      </c>
      <c r="C1165" s="41" t="s">
        <v>39</v>
      </c>
      <c r="D1165" s="86">
        <v>46114.0</v>
      </c>
      <c r="E1165" s="43" t="str">
        <f t="shared" si="1"/>
        <v>2026</v>
      </c>
      <c r="F1165" s="43" t="str">
        <f t="shared" si="2"/>
        <v>04 Apr</v>
      </c>
      <c r="G1165" s="45" t="s">
        <v>206</v>
      </c>
      <c r="H1165" s="45" t="s">
        <v>162</v>
      </c>
      <c r="I1165" s="45" t="s">
        <v>1044</v>
      </c>
      <c r="J1165" s="143" t="s">
        <v>120</v>
      </c>
      <c r="K1165" s="43" t="str">
        <f t="array" ref="K1165">IF(J1165="","", XLOOKUP(J1165,'⚙️ Pengaturan'!$E$2:$E3237,'⚙️ Pengaturan'!$G$2:$G3237))</f>
        <v>KLINIK FT SESI</v>
      </c>
      <c r="L1165" s="43" t="str">
        <f t="shared" si="3"/>
        <v>BARU</v>
      </c>
      <c r="M1165" s="144" t="s">
        <v>31</v>
      </c>
      <c r="N1165" s="145">
        <v>180000.0</v>
      </c>
      <c r="O1165" s="146">
        <v>0.0</v>
      </c>
      <c r="P1165" s="48">
        <f t="array" ref="P1165">IFNA(XLOOKUP(J1165,'⚙️ Pengaturan'!$E$2:$E3237,'⚙️ Pengaturan'!$F$2:$F3237),"")</f>
        <v>180000</v>
      </c>
      <c r="Q1165" s="147">
        <f t="shared" si="19"/>
        <v>0</v>
      </c>
      <c r="R1165" s="41" t="s">
        <v>32</v>
      </c>
      <c r="S1165" s="69" t="s">
        <v>33</v>
      </c>
      <c r="T1165" s="51" t="b">
        <v>1</v>
      </c>
      <c r="U1165" s="94"/>
    </row>
    <row r="1166" ht="30.0" customHeight="1">
      <c r="A1166" s="39"/>
      <c r="B1166" s="40">
        <v>3201.0</v>
      </c>
      <c r="C1166" s="41" t="s">
        <v>39</v>
      </c>
      <c r="D1166" s="86">
        <v>46114.0</v>
      </c>
      <c r="E1166" s="43" t="str">
        <f t="shared" si="1"/>
        <v>2026</v>
      </c>
      <c r="F1166" s="43" t="str">
        <f t="shared" si="2"/>
        <v>04 Apr</v>
      </c>
      <c r="G1166" s="45" t="s">
        <v>161</v>
      </c>
      <c r="H1166" s="45" t="s">
        <v>156</v>
      </c>
      <c r="I1166" s="45" t="s">
        <v>1057</v>
      </c>
      <c r="J1166" s="143" t="s">
        <v>28</v>
      </c>
      <c r="K1166" s="43" t="str">
        <f t="array" ref="K1166">IF(J1166="","", XLOOKUP(J1166,'⚙️ Pengaturan'!$E$2:$E3237,'⚙️ Pengaturan'!$G$2:$G3237))</f>
        <v>KLINIK FT TA</v>
      </c>
      <c r="L1166" s="43" t="str">
        <f t="shared" si="3"/>
        <v>BARU</v>
      </c>
      <c r="M1166" s="144" t="s">
        <v>31</v>
      </c>
      <c r="N1166" s="145">
        <v>250000.0</v>
      </c>
      <c r="O1166" s="146">
        <v>0.0</v>
      </c>
      <c r="P1166" s="48">
        <f t="array" ref="P1166">IFNA(XLOOKUP(J1166,'⚙️ Pengaturan'!$E$2:$E3237,'⚙️ Pengaturan'!$F$2:$F3237),"")</f>
        <v>250000</v>
      </c>
      <c r="Q1166" s="147">
        <f t="shared" si="19"/>
        <v>0</v>
      </c>
      <c r="R1166" s="41" t="s">
        <v>37</v>
      </c>
      <c r="S1166" s="69" t="s">
        <v>1058</v>
      </c>
      <c r="T1166" s="51" t="b">
        <v>1</v>
      </c>
      <c r="U1166" s="94"/>
    </row>
    <row r="1167" ht="30.0" customHeight="1">
      <c r="A1167" s="39"/>
      <c r="B1167" s="40">
        <v>3203.0</v>
      </c>
      <c r="C1167" s="41" t="s">
        <v>50</v>
      </c>
      <c r="D1167" s="86">
        <v>46114.0</v>
      </c>
      <c r="E1167" s="43" t="str">
        <f t="shared" si="1"/>
        <v>2026</v>
      </c>
      <c r="F1167" s="43" t="str">
        <f t="shared" si="2"/>
        <v>04 Apr</v>
      </c>
      <c r="G1167" s="45" t="s">
        <v>40</v>
      </c>
      <c r="H1167" s="45" t="s">
        <v>47</v>
      </c>
      <c r="I1167" s="45" t="s">
        <v>1046</v>
      </c>
      <c r="J1167" s="143" t="s">
        <v>120</v>
      </c>
      <c r="K1167" s="43" t="str">
        <f t="array" ref="K1167">IF(J1167="","", XLOOKUP(J1167,'⚙️ Pengaturan'!$E$2:$E3237,'⚙️ Pengaturan'!$G$2:$G3237))</f>
        <v>KLINIK FT SESI</v>
      </c>
      <c r="L1167" s="43" t="str">
        <f t="shared" si="3"/>
        <v>BARU</v>
      </c>
      <c r="M1167" s="144" t="s">
        <v>31</v>
      </c>
      <c r="N1167" s="145">
        <v>180000.0</v>
      </c>
      <c r="O1167" s="146">
        <v>0.0</v>
      </c>
      <c r="P1167" s="48">
        <f t="array" ref="P1167">IFNA(XLOOKUP(J1167,'⚙️ Pengaturan'!$E$2:$E3237,'⚙️ Pengaturan'!$F$2:$F3237),"")</f>
        <v>180000</v>
      </c>
      <c r="Q1167" s="147">
        <f t="shared" si="19"/>
        <v>0</v>
      </c>
      <c r="R1167" s="41" t="s">
        <v>32</v>
      </c>
      <c r="S1167" s="69" t="s">
        <v>33</v>
      </c>
      <c r="T1167" s="51" t="b">
        <v>1</v>
      </c>
      <c r="U1167" s="94"/>
    </row>
    <row r="1168" ht="30.0" customHeight="1">
      <c r="A1168" s="39"/>
      <c r="B1168" s="40">
        <v>3204.0</v>
      </c>
      <c r="C1168" s="41" t="s">
        <v>50</v>
      </c>
      <c r="D1168" s="86">
        <v>46114.0</v>
      </c>
      <c r="E1168" s="43" t="str">
        <f t="shared" si="1"/>
        <v>2026</v>
      </c>
      <c r="F1168" s="43" t="str">
        <f t="shared" si="2"/>
        <v>04 Apr</v>
      </c>
      <c r="G1168" s="45" t="s">
        <v>43</v>
      </c>
      <c r="H1168" s="45" t="s">
        <v>41</v>
      </c>
      <c r="I1168" s="45" t="s">
        <v>1059</v>
      </c>
      <c r="J1168" s="143" t="s">
        <v>28</v>
      </c>
      <c r="K1168" s="43" t="str">
        <f t="array" ref="K1168">IF(J1168="","", XLOOKUP(J1168,'⚙️ Pengaturan'!$E$2:$E3237,'⚙️ Pengaturan'!$G$2:$G3237))</f>
        <v>KLINIK FT TA</v>
      </c>
      <c r="L1168" s="43" t="str">
        <f t="shared" si="3"/>
        <v>BARU</v>
      </c>
      <c r="M1168" s="144" t="s">
        <v>31</v>
      </c>
      <c r="N1168" s="145">
        <v>250000.0</v>
      </c>
      <c r="O1168" s="146">
        <v>0.0</v>
      </c>
      <c r="P1168" s="48">
        <f t="array" ref="P1168">IFNA(XLOOKUP(J1168,'⚙️ Pengaturan'!$E$2:$E3237,'⚙️ Pengaturan'!$F$2:$F3237),"")</f>
        <v>250000</v>
      </c>
      <c r="Q1168" s="147">
        <f t="shared" si="19"/>
        <v>0</v>
      </c>
      <c r="R1168" s="41" t="s">
        <v>37</v>
      </c>
      <c r="S1168" s="69" t="s">
        <v>1059</v>
      </c>
      <c r="T1168" s="51" t="b">
        <v>1</v>
      </c>
      <c r="U1168" s="94"/>
    </row>
    <row r="1169" ht="30.0" customHeight="1">
      <c r="A1169" s="39"/>
      <c r="B1169" s="40">
        <v>3205.0</v>
      </c>
      <c r="C1169" s="41" t="s">
        <v>50</v>
      </c>
      <c r="D1169" s="86">
        <v>46114.0</v>
      </c>
      <c r="E1169" s="43" t="str">
        <f t="shared" si="1"/>
        <v>2026</v>
      </c>
      <c r="F1169" s="43" t="str">
        <f t="shared" si="2"/>
        <v>04 Apr</v>
      </c>
      <c r="G1169" s="45" t="s">
        <v>161</v>
      </c>
      <c r="H1169" s="45" t="s">
        <v>166</v>
      </c>
      <c r="I1169" s="45" t="s">
        <v>1060</v>
      </c>
      <c r="J1169" s="143" t="s">
        <v>28</v>
      </c>
      <c r="K1169" s="43" t="str">
        <f t="array" ref="K1169">IF(J1169="","", XLOOKUP(J1169,'⚙️ Pengaturan'!$E$2:$E3237,'⚙️ Pengaturan'!$G$2:$G3237))</f>
        <v>KLINIK FT TA</v>
      </c>
      <c r="L1169" s="43" t="str">
        <f t="shared" si="3"/>
        <v>BARU</v>
      </c>
      <c r="M1169" s="144" t="s">
        <v>31</v>
      </c>
      <c r="N1169" s="145">
        <v>250000.0</v>
      </c>
      <c r="O1169" s="146">
        <v>0.0</v>
      </c>
      <c r="P1169" s="48">
        <f t="array" ref="P1169">IFNA(XLOOKUP(J1169,'⚙️ Pengaturan'!$E$2:$E3237,'⚙️ Pengaturan'!$F$2:$F3237),"")</f>
        <v>250000</v>
      </c>
      <c r="Q1169" s="147">
        <f t="shared" si="19"/>
        <v>0</v>
      </c>
      <c r="R1169" s="41" t="s">
        <v>93</v>
      </c>
      <c r="S1169" s="69" t="s">
        <v>1061</v>
      </c>
      <c r="T1169" s="51" t="b">
        <v>1</v>
      </c>
      <c r="U1169" s="94"/>
    </row>
    <row r="1170" ht="30.0" customHeight="1">
      <c r="A1170" s="39"/>
      <c r="B1170" s="40">
        <v>3206.0</v>
      </c>
      <c r="C1170" s="41" t="s">
        <v>50</v>
      </c>
      <c r="D1170" s="86">
        <v>46114.0</v>
      </c>
      <c r="E1170" s="43" t="str">
        <f t="shared" si="1"/>
        <v>2026</v>
      </c>
      <c r="F1170" s="43" t="str">
        <f t="shared" si="2"/>
        <v>04 Apr</v>
      </c>
      <c r="G1170" s="45" t="s">
        <v>161</v>
      </c>
      <c r="H1170" s="45" t="s">
        <v>166</v>
      </c>
      <c r="I1170" s="45" t="s">
        <v>1060</v>
      </c>
      <c r="J1170" s="143" t="s">
        <v>119</v>
      </c>
      <c r="K1170" s="43" t="str">
        <f t="array" ref="K1170">IF(J1170="","", XLOOKUP(J1170,'⚙️ Pengaturan'!$E$2:$E3237,'⚙️ Pengaturan'!$G$2:$G3237))</f>
        <v>KLINIK FT PAKET</v>
      </c>
      <c r="L1170" s="43" t="str">
        <f t="shared" si="3"/>
        <v>BARU</v>
      </c>
      <c r="M1170" s="144" t="s">
        <v>31</v>
      </c>
      <c r="N1170" s="145">
        <v>750000.0</v>
      </c>
      <c r="O1170" s="146">
        <v>0.0</v>
      </c>
      <c r="P1170" s="48">
        <f t="array" ref="P1170">IFNA(XLOOKUP(J1170,'⚙️ Pengaturan'!$E$2:$E3237,'⚙️ Pengaturan'!$F$2:$F3237),"")</f>
        <v>750000</v>
      </c>
      <c r="Q1170" s="147">
        <f t="shared" si="19"/>
        <v>0</v>
      </c>
      <c r="R1170" s="41" t="s">
        <v>93</v>
      </c>
      <c r="S1170" s="69" t="s">
        <v>1061</v>
      </c>
      <c r="T1170" s="51" t="b">
        <v>1</v>
      </c>
      <c r="U1170" s="94"/>
    </row>
    <row r="1171" ht="30.0" customHeight="1">
      <c r="A1171" s="39"/>
      <c r="B1171" s="40">
        <v>3207.0</v>
      </c>
      <c r="C1171" s="41" t="s">
        <v>50</v>
      </c>
      <c r="D1171" s="86">
        <v>46114.0</v>
      </c>
      <c r="E1171" s="43" t="str">
        <f t="shared" si="1"/>
        <v>2026</v>
      </c>
      <c r="F1171" s="43" t="str">
        <f t="shared" si="2"/>
        <v>04 Apr</v>
      </c>
      <c r="G1171" s="45" t="s">
        <v>173</v>
      </c>
      <c r="H1171" s="45" t="s">
        <v>41</v>
      </c>
      <c r="I1171" s="45" t="s">
        <v>1062</v>
      </c>
      <c r="J1171" s="143" t="s">
        <v>28</v>
      </c>
      <c r="K1171" s="43" t="str">
        <f t="array" ref="K1171">IF(J1171="","", XLOOKUP(J1171,'⚙️ Pengaturan'!$E$2:$E3237,'⚙️ Pengaturan'!$G$2:$G3237))</f>
        <v>KLINIK FT TA</v>
      </c>
      <c r="L1171" s="43" t="str">
        <f t="shared" si="3"/>
        <v>BARU</v>
      </c>
      <c r="M1171" s="144" t="s">
        <v>31</v>
      </c>
      <c r="N1171" s="145">
        <v>200000.0</v>
      </c>
      <c r="O1171" s="146">
        <v>50000.0</v>
      </c>
      <c r="P1171" s="48">
        <f t="array" ref="P1171">IFNA(XLOOKUP(J1171,'⚙️ Pengaturan'!$E$2:$E3237,'⚙️ Pengaturan'!$F$2:$F3237),"")</f>
        <v>250000</v>
      </c>
      <c r="Q1171" s="147">
        <f t="shared" si="19"/>
        <v>0</v>
      </c>
      <c r="R1171" s="41" t="s">
        <v>37</v>
      </c>
      <c r="S1171" s="69" t="s">
        <v>1062</v>
      </c>
      <c r="T1171" s="51" t="b">
        <v>1</v>
      </c>
      <c r="U1171" s="94" t="s">
        <v>1063</v>
      </c>
    </row>
    <row r="1172" ht="30.0" customHeight="1">
      <c r="A1172" s="39"/>
      <c r="B1172" s="40">
        <v>3208.0</v>
      </c>
      <c r="C1172" s="41" t="s">
        <v>50</v>
      </c>
      <c r="D1172" s="86">
        <v>46114.0</v>
      </c>
      <c r="E1172" s="43" t="str">
        <f t="shared" si="1"/>
        <v>2026</v>
      </c>
      <c r="F1172" s="43" t="str">
        <f t="shared" si="2"/>
        <v>04 Apr</v>
      </c>
      <c r="G1172" s="45" t="s">
        <v>155</v>
      </c>
      <c r="H1172" s="45" t="s">
        <v>96</v>
      </c>
      <c r="I1172" s="45" t="s">
        <v>1030</v>
      </c>
      <c r="J1172" s="143" t="s">
        <v>347</v>
      </c>
      <c r="K1172" s="43" t="str">
        <f t="array" ref="K1172">IF(J1172="","", XLOOKUP(J1172,'⚙️ Pengaturan'!$E$2:$E3237,'⚙️ Pengaturan'!$G$2:$G3237))</f>
        <v>KLINIK FT PAKET</v>
      </c>
      <c r="L1172" s="43" t="str">
        <f t="shared" si="3"/>
        <v>BARU</v>
      </c>
      <c r="M1172" s="144" t="s">
        <v>31</v>
      </c>
      <c r="N1172" s="145">
        <v>1300000.0</v>
      </c>
      <c r="O1172" s="146">
        <v>0.0</v>
      </c>
      <c r="P1172" s="119">
        <v>1300000.0</v>
      </c>
      <c r="Q1172" s="153">
        <v>0.0</v>
      </c>
      <c r="R1172" s="41" t="s">
        <v>93</v>
      </c>
      <c r="S1172" s="69" t="s">
        <v>1030</v>
      </c>
      <c r="T1172" s="51" t="b">
        <v>1</v>
      </c>
      <c r="U1172" s="94"/>
    </row>
    <row r="1173" ht="30.0" customHeight="1">
      <c r="A1173" s="39"/>
      <c r="B1173" s="40">
        <v>3209.0</v>
      </c>
      <c r="C1173" s="41" t="s">
        <v>50</v>
      </c>
      <c r="D1173" s="86">
        <v>46114.0</v>
      </c>
      <c r="E1173" s="43" t="str">
        <f t="shared" si="1"/>
        <v>2026</v>
      </c>
      <c r="F1173" s="43" t="str">
        <f t="shared" si="2"/>
        <v>04 Apr</v>
      </c>
      <c r="G1173" s="45" t="s">
        <v>190</v>
      </c>
      <c r="H1173" s="45" t="s">
        <v>47</v>
      </c>
      <c r="I1173" s="45" t="s">
        <v>1064</v>
      </c>
      <c r="J1173" s="143" t="s">
        <v>28</v>
      </c>
      <c r="K1173" s="43" t="str">
        <f t="array" ref="K1173">IF(J1173="","", XLOOKUP(J1173,'⚙️ Pengaturan'!$E$2:$E3237,'⚙️ Pengaturan'!$G$2:$G3237))</f>
        <v>KLINIK FT TA</v>
      </c>
      <c r="L1173" s="43" t="str">
        <f t="shared" si="3"/>
        <v>BARU</v>
      </c>
      <c r="M1173" s="144" t="s">
        <v>31</v>
      </c>
      <c r="N1173" s="145">
        <v>250000.0</v>
      </c>
      <c r="O1173" s="146">
        <v>0.0</v>
      </c>
      <c r="P1173" s="48">
        <f t="array" ref="P1173">IFNA(XLOOKUP(J1173,'⚙️ Pengaturan'!$E$2:$E3237,'⚙️ Pengaturan'!$F$2:$F3237),"")</f>
        <v>250000</v>
      </c>
      <c r="Q1173" s="147">
        <f t="shared" ref="Q1173:Q1233" si="20">IF(I1173="","",(N1173+O1173)-P1173)</f>
        <v>0</v>
      </c>
      <c r="R1173" s="41" t="s">
        <v>32</v>
      </c>
      <c r="S1173" s="69" t="s">
        <v>33</v>
      </c>
      <c r="T1173" s="51" t="b">
        <v>1</v>
      </c>
      <c r="U1173" s="94"/>
    </row>
    <row r="1174" ht="30.0" customHeight="1">
      <c r="A1174" s="39"/>
      <c r="B1174" s="40">
        <v>3210.0</v>
      </c>
      <c r="C1174" s="41" t="s">
        <v>50</v>
      </c>
      <c r="D1174" s="86">
        <v>46114.0</v>
      </c>
      <c r="E1174" s="43" t="str">
        <f t="shared" si="1"/>
        <v>2026</v>
      </c>
      <c r="F1174" s="43" t="str">
        <f t="shared" si="2"/>
        <v>04 Apr</v>
      </c>
      <c r="G1174" s="45" t="s">
        <v>69</v>
      </c>
      <c r="H1174" s="45" t="s">
        <v>47</v>
      </c>
      <c r="I1174" s="45" t="s">
        <v>977</v>
      </c>
      <c r="J1174" s="143" t="s">
        <v>354</v>
      </c>
      <c r="K1174" s="43" t="str">
        <f t="array" ref="K1174">IF(J1174="","", XLOOKUP(J1174,'⚙️ Pengaturan'!$E$2:$E3237,'⚙️ Pengaturan'!$G$2:$G3237))</f>
        <v>STORE  </v>
      </c>
      <c r="L1174" s="43" t="str">
        <f t="shared" si="3"/>
        <v>BARU</v>
      </c>
      <c r="M1174" s="144" t="s">
        <v>31</v>
      </c>
      <c r="N1174" s="145">
        <v>20000.0</v>
      </c>
      <c r="O1174" s="146">
        <v>0.0</v>
      </c>
      <c r="P1174" s="48">
        <f t="array" ref="P1174">IFNA(XLOOKUP(J1174,'⚙️ Pengaturan'!$E$2:$E3237,'⚙️ Pengaturan'!$F$2:$F3237),"")</f>
        <v>20000</v>
      </c>
      <c r="Q1174" s="147">
        <f t="shared" si="20"/>
        <v>0</v>
      </c>
      <c r="R1174" s="41" t="s">
        <v>32</v>
      </c>
      <c r="S1174" s="69" t="s">
        <v>33</v>
      </c>
      <c r="T1174" s="51" t="b">
        <v>1</v>
      </c>
      <c r="U1174" s="94"/>
    </row>
    <row r="1175" ht="30.0" customHeight="1">
      <c r="A1175" s="39"/>
      <c r="B1175" s="40">
        <v>3211.0</v>
      </c>
      <c r="C1175" s="41" t="s">
        <v>50</v>
      </c>
      <c r="D1175" s="86">
        <v>46114.0</v>
      </c>
      <c r="E1175" s="43" t="str">
        <f t="shared" si="1"/>
        <v>2026</v>
      </c>
      <c r="F1175" s="43" t="str">
        <f t="shared" si="2"/>
        <v>04 Apr</v>
      </c>
      <c r="G1175" s="45" t="s">
        <v>155</v>
      </c>
      <c r="H1175" s="45" t="s">
        <v>41</v>
      </c>
      <c r="I1175" s="45" t="s">
        <v>1028</v>
      </c>
      <c r="J1175" s="143" t="s">
        <v>120</v>
      </c>
      <c r="K1175" s="43" t="str">
        <f t="array" ref="K1175">IF(J1175="","", XLOOKUP(J1175,'⚙️ Pengaturan'!$E$2:$E3237,'⚙️ Pengaturan'!$G$2:$G3237))</f>
        <v>KLINIK FT SESI</v>
      </c>
      <c r="L1175" s="43" t="str">
        <f t="shared" si="3"/>
        <v>LANJUTAN</v>
      </c>
      <c r="M1175" s="144" t="s">
        <v>31</v>
      </c>
      <c r="N1175" s="145">
        <v>180000.0</v>
      </c>
      <c r="O1175" s="146">
        <v>0.0</v>
      </c>
      <c r="P1175" s="48">
        <f t="array" ref="P1175">IFNA(XLOOKUP(J1175,'⚙️ Pengaturan'!$E$2:$E3237,'⚙️ Pengaturan'!$F$2:$F3237),"")</f>
        <v>180000</v>
      </c>
      <c r="Q1175" s="147">
        <f t="shared" si="20"/>
        <v>0</v>
      </c>
      <c r="R1175" s="41" t="s">
        <v>37</v>
      </c>
      <c r="S1175" s="69" t="s">
        <v>1028</v>
      </c>
      <c r="T1175" s="51" t="b">
        <v>1</v>
      </c>
      <c r="U1175" s="94"/>
    </row>
    <row r="1176" ht="30.0" customHeight="1">
      <c r="A1176" s="39"/>
      <c r="B1176" s="40">
        <v>3212.0</v>
      </c>
      <c r="C1176" s="41" t="s">
        <v>50</v>
      </c>
      <c r="D1176" s="86">
        <v>46114.0</v>
      </c>
      <c r="E1176" s="43" t="str">
        <f t="shared" si="1"/>
        <v>2026</v>
      </c>
      <c r="F1176" s="43" t="str">
        <f t="shared" si="2"/>
        <v>04 Apr</v>
      </c>
      <c r="G1176" s="45" t="s">
        <v>155</v>
      </c>
      <c r="H1176" s="45" t="s">
        <v>149</v>
      </c>
      <c r="I1176" s="45" t="s">
        <v>454</v>
      </c>
      <c r="J1176" s="143" t="s">
        <v>347</v>
      </c>
      <c r="K1176" s="43" t="str">
        <f t="array" ref="K1176">IF(J1176="","", XLOOKUP(J1176,'⚙️ Pengaturan'!$E$2:$E3237,'⚙️ Pengaturan'!$G$2:$G3237))</f>
        <v>KLINIK FT PAKET</v>
      </c>
      <c r="L1176" s="43" t="str">
        <f t="shared" si="3"/>
        <v>BARU</v>
      </c>
      <c r="M1176" s="144" t="s">
        <v>31</v>
      </c>
      <c r="N1176" s="145">
        <v>1300000.0</v>
      </c>
      <c r="O1176" s="146">
        <v>0.0</v>
      </c>
      <c r="P1176" s="48">
        <f t="array" ref="P1176">IFNA(XLOOKUP(J1176,'⚙️ Pengaturan'!$E$2:$E3237,'⚙️ Pengaturan'!$F$2:$F3237),"")</f>
        <v>1300000</v>
      </c>
      <c r="Q1176" s="147">
        <f t="shared" si="20"/>
        <v>0</v>
      </c>
      <c r="R1176" s="41" t="s">
        <v>37</v>
      </c>
      <c r="S1176" s="69" t="s">
        <v>454</v>
      </c>
      <c r="T1176" s="51" t="b">
        <v>1</v>
      </c>
      <c r="U1176" s="94"/>
    </row>
    <row r="1177" ht="30.0" customHeight="1">
      <c r="A1177" s="39"/>
      <c r="B1177" s="40">
        <v>3213.0</v>
      </c>
      <c r="C1177" s="41" t="s">
        <v>50</v>
      </c>
      <c r="D1177" s="86">
        <v>46116.0</v>
      </c>
      <c r="E1177" s="43" t="str">
        <f t="shared" si="1"/>
        <v>2026</v>
      </c>
      <c r="F1177" s="43" t="str">
        <f t="shared" si="2"/>
        <v>04 Apr</v>
      </c>
      <c r="G1177" s="45" t="s">
        <v>195</v>
      </c>
      <c r="H1177" s="45" t="s">
        <v>26</v>
      </c>
      <c r="I1177" s="45" t="s">
        <v>1065</v>
      </c>
      <c r="J1177" s="143" t="s">
        <v>28</v>
      </c>
      <c r="K1177" s="43" t="str">
        <f t="array" ref="K1177">IF(J1177="","", XLOOKUP(J1177,'⚙️ Pengaturan'!$E$2:$E3237,'⚙️ Pengaturan'!$G$2:$G3237))</f>
        <v>KLINIK FT TA</v>
      </c>
      <c r="L1177" s="43" t="str">
        <f t="shared" si="3"/>
        <v>BARU</v>
      </c>
      <c r="M1177" s="144" t="s">
        <v>31</v>
      </c>
      <c r="N1177" s="145">
        <v>250000.0</v>
      </c>
      <c r="O1177" s="146">
        <v>0.0</v>
      </c>
      <c r="P1177" s="48">
        <f t="array" ref="P1177">IFNA(XLOOKUP(J1177,'⚙️ Pengaturan'!$E$2:$E3237,'⚙️ Pengaturan'!$F$2:$F3237),"")</f>
        <v>250000</v>
      </c>
      <c r="Q1177" s="147">
        <f t="shared" si="20"/>
        <v>0</v>
      </c>
      <c r="R1177" s="41" t="s">
        <v>32</v>
      </c>
      <c r="S1177" s="69" t="s">
        <v>33</v>
      </c>
      <c r="T1177" s="51" t="b">
        <v>1</v>
      </c>
      <c r="U1177" s="94"/>
    </row>
    <row r="1178" ht="30.0" customHeight="1">
      <c r="A1178" s="39"/>
      <c r="B1178" s="40">
        <v>3214.0</v>
      </c>
      <c r="C1178" s="41" t="s">
        <v>50</v>
      </c>
      <c r="D1178" s="86">
        <v>46116.0</v>
      </c>
      <c r="E1178" s="43" t="str">
        <f t="shared" si="1"/>
        <v>2026</v>
      </c>
      <c r="F1178" s="43" t="str">
        <f t="shared" si="2"/>
        <v>04 Apr</v>
      </c>
      <c r="G1178" s="45" t="s">
        <v>195</v>
      </c>
      <c r="H1178" s="45" t="s">
        <v>47</v>
      </c>
      <c r="I1178" s="45" t="s">
        <v>1033</v>
      </c>
      <c r="J1178" s="143" t="s">
        <v>120</v>
      </c>
      <c r="K1178" s="43" t="str">
        <f t="array" ref="K1178">IF(J1178="","", XLOOKUP(J1178,'⚙️ Pengaturan'!$E$2:$E3237,'⚙️ Pengaturan'!$G$2:$G3237))</f>
        <v>KLINIK FT SESI</v>
      </c>
      <c r="L1178" s="43" t="str">
        <f t="shared" si="3"/>
        <v>LANJUTAN</v>
      </c>
      <c r="M1178" s="144" t="s">
        <v>31</v>
      </c>
      <c r="N1178" s="145">
        <v>180000.0</v>
      </c>
      <c r="O1178" s="146">
        <v>0.0</v>
      </c>
      <c r="P1178" s="48">
        <f t="array" ref="P1178">IFNA(XLOOKUP(J1178,'⚙️ Pengaturan'!$E$2:$E3237,'⚙️ Pengaturan'!$F$2:$F3237),"")</f>
        <v>180000</v>
      </c>
      <c r="Q1178" s="147">
        <f t="shared" si="20"/>
        <v>0</v>
      </c>
      <c r="R1178" s="41" t="s">
        <v>32</v>
      </c>
      <c r="S1178" s="69" t="s">
        <v>33</v>
      </c>
      <c r="T1178" s="51" t="b">
        <v>1</v>
      </c>
      <c r="U1178" s="94"/>
    </row>
    <row r="1179" ht="30.0" customHeight="1">
      <c r="A1179" s="39"/>
      <c r="B1179" s="40">
        <v>3215.0</v>
      </c>
      <c r="C1179" s="41" t="s">
        <v>50</v>
      </c>
      <c r="D1179" s="86">
        <v>46116.0</v>
      </c>
      <c r="E1179" s="43" t="str">
        <f t="shared" si="1"/>
        <v>2026</v>
      </c>
      <c r="F1179" s="43" t="str">
        <f t="shared" si="2"/>
        <v>04 Apr</v>
      </c>
      <c r="G1179" s="45" t="s">
        <v>25</v>
      </c>
      <c r="H1179" s="45" t="s">
        <v>47</v>
      </c>
      <c r="I1179" s="45" t="s">
        <v>1052</v>
      </c>
      <c r="J1179" s="143" t="s">
        <v>120</v>
      </c>
      <c r="K1179" s="43" t="str">
        <f t="array" ref="K1179">IF(J1179="","", XLOOKUP(J1179,'⚙️ Pengaturan'!$E$2:$E3237,'⚙️ Pengaturan'!$G$2:$G3237))</f>
        <v>KLINIK FT SESI</v>
      </c>
      <c r="L1179" s="43" t="str">
        <f t="shared" si="3"/>
        <v>BARU</v>
      </c>
      <c r="M1179" s="144" t="s">
        <v>31</v>
      </c>
      <c r="N1179" s="145">
        <v>180000.0</v>
      </c>
      <c r="O1179" s="146">
        <v>0.0</v>
      </c>
      <c r="P1179" s="48">
        <f t="array" ref="P1179">IFNA(XLOOKUP(J1179,'⚙️ Pengaturan'!$E$2:$E3237,'⚙️ Pengaturan'!$F$2:$F3237),"")</f>
        <v>180000</v>
      </c>
      <c r="Q1179" s="147">
        <f t="shared" si="20"/>
        <v>0</v>
      </c>
      <c r="R1179" s="41" t="s">
        <v>37</v>
      </c>
      <c r="S1179" s="69" t="s">
        <v>1052</v>
      </c>
      <c r="T1179" s="51" t="b">
        <v>1</v>
      </c>
      <c r="U1179" s="94"/>
    </row>
    <row r="1180" ht="30.0" customHeight="1">
      <c r="A1180" s="39"/>
      <c r="B1180" s="40">
        <v>3216.0</v>
      </c>
      <c r="C1180" s="41" t="s">
        <v>50</v>
      </c>
      <c r="D1180" s="86">
        <v>46116.0</v>
      </c>
      <c r="E1180" s="43" t="str">
        <f t="shared" si="1"/>
        <v>2026</v>
      </c>
      <c r="F1180" s="43" t="str">
        <f t="shared" si="2"/>
        <v>04 Apr</v>
      </c>
      <c r="G1180" s="45" t="s">
        <v>206</v>
      </c>
      <c r="H1180" s="45" t="s">
        <v>149</v>
      </c>
      <c r="I1180" s="45" t="s">
        <v>1066</v>
      </c>
      <c r="J1180" s="143" t="s">
        <v>28</v>
      </c>
      <c r="K1180" s="43" t="str">
        <f t="array" ref="K1180">IF(J1180="","", XLOOKUP(J1180,'⚙️ Pengaturan'!$E$2:$E3237,'⚙️ Pengaturan'!$G$2:$G3237))</f>
        <v>KLINIK FT TA</v>
      </c>
      <c r="L1180" s="43" t="str">
        <f t="shared" si="3"/>
        <v>BARU</v>
      </c>
      <c r="M1180" s="144" t="s">
        <v>31</v>
      </c>
      <c r="N1180" s="145">
        <v>250000.0</v>
      </c>
      <c r="O1180" s="146">
        <v>0.0</v>
      </c>
      <c r="P1180" s="48">
        <f t="array" ref="P1180">IFNA(XLOOKUP(J1180,'⚙️ Pengaturan'!$E$2:$E3237,'⚙️ Pengaturan'!$F$2:$F3237),"")</f>
        <v>250000</v>
      </c>
      <c r="Q1180" s="147">
        <f t="shared" si="20"/>
        <v>0</v>
      </c>
      <c r="R1180" s="41" t="s">
        <v>37</v>
      </c>
      <c r="S1180" s="155" t="s">
        <v>1066</v>
      </c>
      <c r="T1180" s="51" t="b">
        <v>1</v>
      </c>
      <c r="U1180" s="94"/>
    </row>
    <row r="1181" ht="30.0" customHeight="1">
      <c r="A1181" s="39"/>
      <c r="B1181" s="40">
        <v>3217.0</v>
      </c>
      <c r="C1181" s="41" t="s">
        <v>50</v>
      </c>
      <c r="D1181" s="86">
        <v>46116.0</v>
      </c>
      <c r="E1181" s="43" t="str">
        <f t="shared" si="1"/>
        <v>2026</v>
      </c>
      <c r="F1181" s="43" t="str">
        <f t="shared" si="2"/>
        <v>04 Apr</v>
      </c>
      <c r="G1181" s="45" t="s">
        <v>206</v>
      </c>
      <c r="H1181" s="45" t="s">
        <v>76</v>
      </c>
      <c r="I1181" s="45" t="s">
        <v>260</v>
      </c>
      <c r="J1181" s="143" t="s">
        <v>119</v>
      </c>
      <c r="K1181" s="43" t="str">
        <f t="array" ref="K1181">IF(J1181="","", XLOOKUP(J1181,'⚙️ Pengaturan'!$E$2:$E3237,'⚙️ Pengaturan'!$G$2:$G3237))</f>
        <v>KLINIK FT PAKET</v>
      </c>
      <c r="L1181" s="43" t="str">
        <f t="shared" si="3"/>
        <v>BARU</v>
      </c>
      <c r="M1181" s="144" t="s">
        <v>31</v>
      </c>
      <c r="N1181" s="145">
        <v>750000.0</v>
      </c>
      <c r="O1181" s="146">
        <v>0.0</v>
      </c>
      <c r="P1181" s="48">
        <f t="array" ref="P1181">IFNA(XLOOKUP(J1181,'⚙️ Pengaturan'!$E$2:$E3237,'⚙️ Pengaturan'!$F$2:$F3237),"")</f>
        <v>750000</v>
      </c>
      <c r="Q1181" s="147">
        <f t="shared" si="20"/>
        <v>0</v>
      </c>
      <c r="R1181" s="41" t="s">
        <v>32</v>
      </c>
      <c r="S1181" s="69" t="s">
        <v>33</v>
      </c>
      <c r="T1181" s="51" t="b">
        <v>1</v>
      </c>
      <c r="U1181" s="94"/>
    </row>
    <row r="1182" ht="30.0" customHeight="1">
      <c r="A1182" s="39"/>
      <c r="B1182" s="40">
        <v>3218.0</v>
      </c>
      <c r="C1182" s="41" t="s">
        <v>50</v>
      </c>
      <c r="D1182" s="86">
        <v>46116.0</v>
      </c>
      <c r="E1182" s="43" t="str">
        <f t="shared" si="1"/>
        <v>2026</v>
      </c>
      <c r="F1182" s="43" t="str">
        <f t="shared" si="2"/>
        <v>04 Apr</v>
      </c>
      <c r="G1182" s="45" t="s">
        <v>206</v>
      </c>
      <c r="H1182" s="45" t="s">
        <v>47</v>
      </c>
      <c r="I1182" s="45" t="s">
        <v>1067</v>
      </c>
      <c r="J1182" s="143" t="s">
        <v>28</v>
      </c>
      <c r="K1182" s="43" t="str">
        <f t="array" ref="K1182">IF(J1182="","", XLOOKUP(J1182,'⚙️ Pengaturan'!$E$2:$E3237,'⚙️ Pengaturan'!$G$2:$G3237))</f>
        <v>KLINIK FT TA</v>
      </c>
      <c r="L1182" s="43" t="str">
        <f t="shared" si="3"/>
        <v>BARU</v>
      </c>
      <c r="M1182" s="144" t="s">
        <v>31</v>
      </c>
      <c r="N1182" s="145">
        <v>250000.0</v>
      </c>
      <c r="O1182" s="146">
        <v>0.0</v>
      </c>
      <c r="P1182" s="48">
        <f t="array" ref="P1182">IFNA(XLOOKUP(J1182,'⚙️ Pengaturan'!$E$2:$E3237,'⚙️ Pengaturan'!$F$2:$F3237),"")</f>
        <v>250000</v>
      </c>
      <c r="Q1182" s="147">
        <f t="shared" si="20"/>
        <v>0</v>
      </c>
      <c r="R1182" s="41" t="s">
        <v>37</v>
      </c>
      <c r="S1182" s="69" t="s">
        <v>1067</v>
      </c>
      <c r="T1182" s="51" t="b">
        <v>1</v>
      </c>
      <c r="U1182" s="94"/>
    </row>
    <row r="1183" ht="30.0" customHeight="1">
      <c r="A1183" s="39"/>
      <c r="B1183" s="40">
        <v>3219.0</v>
      </c>
      <c r="C1183" s="41" t="s">
        <v>50</v>
      </c>
      <c r="D1183" s="86">
        <v>46116.0</v>
      </c>
      <c r="E1183" s="43" t="str">
        <f t="shared" si="1"/>
        <v>2026</v>
      </c>
      <c r="F1183" s="43" t="str">
        <f t="shared" si="2"/>
        <v>04 Apr</v>
      </c>
      <c r="G1183" s="45" t="s">
        <v>206</v>
      </c>
      <c r="H1183" s="45" t="s">
        <v>26</v>
      </c>
      <c r="I1183" s="45" t="s">
        <v>1068</v>
      </c>
      <c r="J1183" s="143" t="s">
        <v>28</v>
      </c>
      <c r="K1183" s="43" t="str">
        <f t="array" ref="K1183">IF(J1183="","", XLOOKUP(J1183,'⚙️ Pengaturan'!$E$2:$E3237,'⚙️ Pengaturan'!$G$2:$G3237))</f>
        <v>KLINIK FT TA</v>
      </c>
      <c r="L1183" s="43" t="str">
        <f t="shared" si="3"/>
        <v>BARU</v>
      </c>
      <c r="M1183" s="144" t="s">
        <v>31</v>
      </c>
      <c r="N1183" s="145">
        <v>250000.0</v>
      </c>
      <c r="O1183" s="146">
        <v>0.0</v>
      </c>
      <c r="P1183" s="48">
        <f t="array" ref="P1183">IFNA(XLOOKUP(J1183,'⚙️ Pengaturan'!$E$2:$E3237,'⚙️ Pengaturan'!$F$2:$F3237),"")</f>
        <v>250000</v>
      </c>
      <c r="Q1183" s="147">
        <f t="shared" si="20"/>
        <v>0</v>
      </c>
      <c r="R1183" s="41" t="s">
        <v>37</v>
      </c>
      <c r="S1183" s="69" t="s">
        <v>1068</v>
      </c>
      <c r="T1183" s="51" t="b">
        <v>1</v>
      </c>
      <c r="U1183" s="94"/>
    </row>
    <row r="1184" ht="30.0" customHeight="1">
      <c r="A1184" s="39"/>
      <c r="B1184" s="40">
        <v>3220.0</v>
      </c>
      <c r="C1184" s="41" t="s">
        <v>50</v>
      </c>
      <c r="D1184" s="86">
        <v>46116.0</v>
      </c>
      <c r="E1184" s="43" t="str">
        <f t="shared" si="1"/>
        <v>2026</v>
      </c>
      <c r="F1184" s="43" t="str">
        <f t="shared" si="2"/>
        <v>04 Apr</v>
      </c>
      <c r="G1184" s="45" t="s">
        <v>35</v>
      </c>
      <c r="H1184" s="45" t="s">
        <v>149</v>
      </c>
      <c r="I1184" s="45" t="s">
        <v>606</v>
      </c>
      <c r="J1184" s="143" t="s">
        <v>119</v>
      </c>
      <c r="K1184" s="43" t="str">
        <f t="array" ref="K1184">IF(J1184="","", XLOOKUP(J1184,'⚙️ Pengaturan'!$E$2:$E3237,'⚙️ Pengaturan'!$G$2:$G3237))</f>
        <v>KLINIK FT PAKET</v>
      </c>
      <c r="L1184" s="43" t="str">
        <f t="shared" si="3"/>
        <v>BARU</v>
      </c>
      <c r="M1184" s="144" t="s">
        <v>31</v>
      </c>
      <c r="N1184" s="145">
        <v>750000.0</v>
      </c>
      <c r="O1184" s="146">
        <v>0.0</v>
      </c>
      <c r="P1184" s="48">
        <f t="array" ref="P1184">IFNA(XLOOKUP(J1184,'⚙️ Pengaturan'!$E$2:$E3237,'⚙️ Pengaturan'!$F$2:$F3237),"")</f>
        <v>750000</v>
      </c>
      <c r="Q1184" s="147">
        <f t="shared" si="20"/>
        <v>0</v>
      </c>
      <c r="R1184" s="41" t="s">
        <v>37</v>
      </c>
      <c r="S1184" s="69" t="s">
        <v>606</v>
      </c>
      <c r="T1184" s="51" t="b">
        <v>1</v>
      </c>
      <c r="U1184" s="94"/>
    </row>
    <row r="1185" ht="30.0" customHeight="1">
      <c r="A1185" s="39"/>
      <c r="B1185" s="40">
        <v>3221.0</v>
      </c>
      <c r="C1185" s="41" t="s">
        <v>50</v>
      </c>
      <c r="D1185" s="86">
        <v>46116.0</v>
      </c>
      <c r="E1185" s="43" t="str">
        <f t="shared" si="1"/>
        <v>2026</v>
      </c>
      <c r="F1185" s="43" t="str">
        <f t="shared" si="2"/>
        <v>04 Apr</v>
      </c>
      <c r="G1185" s="45" t="s">
        <v>69</v>
      </c>
      <c r="H1185" s="45" t="s">
        <v>76</v>
      </c>
      <c r="I1185" s="45" t="s">
        <v>1069</v>
      </c>
      <c r="J1185" s="143" t="s">
        <v>347</v>
      </c>
      <c r="K1185" s="43" t="str">
        <f t="array" ref="K1185">IF(J1185="","", XLOOKUP(J1185,'⚙️ Pengaturan'!$E$2:$E3237,'⚙️ Pengaturan'!$G$2:$G3237))</f>
        <v>KLINIK FT PAKET</v>
      </c>
      <c r="L1185" s="43" t="str">
        <f t="shared" si="3"/>
        <v>BARU</v>
      </c>
      <c r="M1185" s="144" t="s">
        <v>31</v>
      </c>
      <c r="N1185" s="145">
        <v>700000.0</v>
      </c>
      <c r="O1185" s="146">
        <v>0.0</v>
      </c>
      <c r="P1185" s="48">
        <f t="array" ref="P1185">IFNA(XLOOKUP(J1185,'⚙️ Pengaturan'!$E$2:$E3237,'⚙️ Pengaturan'!$F$2:$F3237),"")</f>
        <v>1300000</v>
      </c>
      <c r="Q1185" s="147">
        <f t="shared" si="20"/>
        <v>-600000</v>
      </c>
      <c r="R1185" s="41" t="s">
        <v>32</v>
      </c>
      <c r="S1185" s="69" t="s">
        <v>33</v>
      </c>
      <c r="T1185" s="51" t="b">
        <v>1</v>
      </c>
      <c r="U1185" s="94"/>
    </row>
    <row r="1186" ht="30.0" customHeight="1">
      <c r="A1186" s="39"/>
      <c r="B1186" s="40">
        <v>3222.0</v>
      </c>
      <c r="C1186" s="41" t="s">
        <v>39</v>
      </c>
      <c r="D1186" s="86">
        <v>46116.0</v>
      </c>
      <c r="E1186" s="43" t="str">
        <f t="shared" si="1"/>
        <v>2026</v>
      </c>
      <c r="F1186" s="43" t="str">
        <f t="shared" si="2"/>
        <v>04 Apr</v>
      </c>
      <c r="G1186" s="45" t="s">
        <v>40</v>
      </c>
      <c r="H1186" s="45" t="s">
        <v>162</v>
      </c>
      <c r="I1186" s="45" t="s">
        <v>1070</v>
      </c>
      <c r="J1186" s="143" t="s">
        <v>28</v>
      </c>
      <c r="K1186" s="43" t="str">
        <f t="array" ref="K1186">IF(J1186="","", XLOOKUP(J1186,'⚙️ Pengaturan'!$E$2:$E3237,'⚙️ Pengaturan'!$G$2:$G3237))</f>
        <v>KLINIK FT TA</v>
      </c>
      <c r="L1186" s="43" t="str">
        <f t="shared" si="3"/>
        <v>BARU</v>
      </c>
      <c r="M1186" s="144" t="s">
        <v>31</v>
      </c>
      <c r="N1186" s="145">
        <v>250000.0</v>
      </c>
      <c r="O1186" s="146">
        <v>0.0</v>
      </c>
      <c r="P1186" s="48">
        <f t="array" ref="P1186">IFNA(XLOOKUP(J1186,'⚙️ Pengaturan'!$E$2:$E3237,'⚙️ Pengaturan'!$F$2:$F3237),"")</f>
        <v>250000</v>
      </c>
      <c r="Q1186" s="147">
        <f t="shared" si="20"/>
        <v>0</v>
      </c>
      <c r="R1186" s="41" t="s">
        <v>32</v>
      </c>
      <c r="S1186" s="69" t="s">
        <v>33</v>
      </c>
      <c r="T1186" s="51" t="b">
        <v>1</v>
      </c>
      <c r="U1186" s="94"/>
    </row>
    <row r="1187" ht="30.0" customHeight="1">
      <c r="A1187" s="39"/>
      <c r="B1187" s="40">
        <v>3223.0</v>
      </c>
      <c r="C1187" s="41" t="s">
        <v>39</v>
      </c>
      <c r="D1187" s="86">
        <v>46116.0</v>
      </c>
      <c r="E1187" s="43" t="str">
        <f t="shared" si="1"/>
        <v>2026</v>
      </c>
      <c r="F1187" s="43" t="str">
        <f t="shared" si="2"/>
        <v>04 Apr</v>
      </c>
      <c r="G1187" s="45" t="s">
        <v>173</v>
      </c>
      <c r="H1187" s="45" t="s">
        <v>41</v>
      </c>
      <c r="I1187" s="45" t="s">
        <v>1059</v>
      </c>
      <c r="J1187" s="143" t="s">
        <v>119</v>
      </c>
      <c r="K1187" s="43" t="str">
        <f t="array" ref="K1187">IF(J1187="","", XLOOKUP(J1187,'⚙️ Pengaturan'!$E$2:$E3237,'⚙️ Pengaturan'!$G$2:$G3237))</f>
        <v>KLINIK FT PAKET</v>
      </c>
      <c r="L1187" s="43" t="str">
        <f t="shared" si="3"/>
        <v>BARU</v>
      </c>
      <c r="M1187" s="144" t="s">
        <v>31</v>
      </c>
      <c r="N1187" s="145">
        <v>750000.0</v>
      </c>
      <c r="O1187" s="146">
        <v>0.0</v>
      </c>
      <c r="P1187" s="48">
        <f t="array" ref="P1187">IFNA(XLOOKUP(J1187,'⚙️ Pengaturan'!$E$2:$E3237,'⚙️ Pengaturan'!$F$2:$F3237),"")</f>
        <v>750000</v>
      </c>
      <c r="Q1187" s="147">
        <f t="shared" si="20"/>
        <v>0</v>
      </c>
      <c r="R1187" s="41" t="s">
        <v>37</v>
      </c>
      <c r="S1187" s="69" t="s">
        <v>1059</v>
      </c>
      <c r="T1187" s="51" t="b">
        <v>1</v>
      </c>
      <c r="U1187" s="94"/>
    </row>
    <row r="1188" ht="30.0" customHeight="1">
      <c r="A1188" s="39"/>
      <c r="B1188" s="40">
        <v>3224.0</v>
      </c>
      <c r="C1188" s="41" t="s">
        <v>39</v>
      </c>
      <c r="D1188" s="86">
        <v>46116.0</v>
      </c>
      <c r="E1188" s="43" t="str">
        <f t="shared" si="1"/>
        <v>2026</v>
      </c>
      <c r="F1188" s="43" t="str">
        <f t="shared" si="2"/>
        <v>04 Apr</v>
      </c>
      <c r="G1188" s="45" t="s">
        <v>46</v>
      </c>
      <c r="H1188" s="45" t="s">
        <v>166</v>
      </c>
      <c r="I1188" s="45" t="s">
        <v>710</v>
      </c>
      <c r="J1188" s="143" t="s">
        <v>92</v>
      </c>
      <c r="K1188" s="43" t="str">
        <f t="array" ref="K1188">IF(J1188="","", XLOOKUP(J1188,'⚙️ Pengaturan'!$E$2:$E3237,'⚙️ Pengaturan'!$G$2:$G3237))</f>
        <v>KLINIK FT PAKET</v>
      </c>
      <c r="L1188" s="43" t="str">
        <f t="shared" si="3"/>
        <v>LANJUTAN</v>
      </c>
      <c r="M1188" s="144" t="s">
        <v>31</v>
      </c>
      <c r="N1188" s="145">
        <v>1200000.0</v>
      </c>
      <c r="O1188" s="146">
        <v>0.0</v>
      </c>
      <c r="P1188" s="48">
        <f t="array" ref="P1188">IFNA(XLOOKUP(J1188,'⚙️ Pengaturan'!$E$2:$E3237,'⚙️ Pengaturan'!$F$2:$F3237),"")</f>
        <v>1200000</v>
      </c>
      <c r="Q1188" s="147">
        <f t="shared" si="20"/>
        <v>0</v>
      </c>
      <c r="R1188" s="41" t="s">
        <v>37</v>
      </c>
      <c r="S1188" s="69" t="s">
        <v>710</v>
      </c>
      <c r="T1188" s="51" t="b">
        <v>1</v>
      </c>
      <c r="U1188" s="94"/>
    </row>
    <row r="1189" ht="30.0" customHeight="1">
      <c r="A1189" s="39"/>
      <c r="B1189" s="40">
        <v>3225.0</v>
      </c>
      <c r="C1189" s="41" t="s">
        <v>39</v>
      </c>
      <c r="D1189" s="86">
        <v>46116.0</v>
      </c>
      <c r="E1189" s="43" t="str">
        <f t="shared" si="1"/>
        <v>2026</v>
      </c>
      <c r="F1189" s="43" t="str">
        <f t="shared" si="2"/>
        <v>04 Apr</v>
      </c>
      <c r="G1189" s="45" t="s">
        <v>155</v>
      </c>
      <c r="H1189" s="45" t="s">
        <v>162</v>
      </c>
      <c r="I1189" s="45" t="s">
        <v>1071</v>
      </c>
      <c r="J1189" s="143" t="s">
        <v>28</v>
      </c>
      <c r="K1189" s="43" t="str">
        <f t="array" ref="K1189">IF(J1189="","", XLOOKUP(J1189,'⚙️ Pengaturan'!$E$2:$E3237,'⚙️ Pengaturan'!$G$2:$G3237))</f>
        <v>KLINIK FT TA</v>
      </c>
      <c r="L1189" s="43" t="str">
        <f t="shared" si="3"/>
        <v>BARU</v>
      </c>
      <c r="M1189" s="144" t="s">
        <v>31</v>
      </c>
      <c r="N1189" s="145">
        <v>250000.0</v>
      </c>
      <c r="O1189" s="146">
        <v>0.0</v>
      </c>
      <c r="P1189" s="48">
        <f t="array" ref="P1189">IFNA(XLOOKUP(J1189,'⚙️ Pengaturan'!$E$2:$E3237,'⚙️ Pengaturan'!$F$2:$F3237),"")</f>
        <v>250000</v>
      </c>
      <c r="Q1189" s="147">
        <f t="shared" si="20"/>
        <v>0</v>
      </c>
      <c r="R1189" s="41" t="s">
        <v>32</v>
      </c>
      <c r="S1189" s="69" t="s">
        <v>33</v>
      </c>
      <c r="T1189" s="51" t="b">
        <v>1</v>
      </c>
      <c r="U1189" s="94"/>
    </row>
    <row r="1190" ht="30.0" customHeight="1">
      <c r="A1190" s="39"/>
      <c r="B1190" s="40">
        <v>3226.0</v>
      </c>
      <c r="C1190" s="41" t="s">
        <v>50</v>
      </c>
      <c r="D1190" s="86">
        <v>46118.0</v>
      </c>
      <c r="E1190" s="43" t="str">
        <f t="shared" si="1"/>
        <v>2026</v>
      </c>
      <c r="F1190" s="43" t="str">
        <f t="shared" si="2"/>
        <v>04 Apr</v>
      </c>
      <c r="G1190" s="45" t="s">
        <v>195</v>
      </c>
      <c r="H1190" s="45" t="s">
        <v>162</v>
      </c>
      <c r="I1190" s="45" t="s">
        <v>1055</v>
      </c>
      <c r="J1190" s="143" t="s">
        <v>120</v>
      </c>
      <c r="K1190" s="43" t="str">
        <f t="array" ref="K1190">IF(J1190="","", XLOOKUP(J1190,'⚙️ Pengaturan'!$E$2:$E3237,'⚙️ Pengaturan'!$G$2:$G3237))</f>
        <v>KLINIK FT SESI</v>
      </c>
      <c r="L1190" s="43" t="str">
        <f t="shared" si="3"/>
        <v>BARU</v>
      </c>
      <c r="M1190" s="144" t="s">
        <v>31</v>
      </c>
      <c r="N1190" s="145">
        <v>180000.0</v>
      </c>
      <c r="O1190" s="146">
        <v>0.0</v>
      </c>
      <c r="P1190" s="48">
        <f t="array" ref="P1190">IFNA(XLOOKUP(J1190,'⚙️ Pengaturan'!$E$2:$E3237,'⚙️ Pengaturan'!$F$2:$F3237),"")</f>
        <v>180000</v>
      </c>
      <c r="Q1190" s="147">
        <f t="shared" si="20"/>
        <v>0</v>
      </c>
      <c r="R1190" s="41" t="s">
        <v>32</v>
      </c>
      <c r="S1190" s="69" t="s">
        <v>33</v>
      </c>
      <c r="T1190" s="51" t="b">
        <v>1</v>
      </c>
      <c r="U1190" s="94"/>
    </row>
    <row r="1191" ht="30.0" customHeight="1">
      <c r="A1191" s="39"/>
      <c r="B1191" s="40">
        <v>3227.0</v>
      </c>
      <c r="C1191" s="41" t="s">
        <v>50</v>
      </c>
      <c r="D1191" s="86">
        <v>46118.0</v>
      </c>
      <c r="E1191" s="43" t="str">
        <f t="shared" si="1"/>
        <v>2026</v>
      </c>
      <c r="F1191" s="43" t="str">
        <f t="shared" si="2"/>
        <v>04 Apr</v>
      </c>
      <c r="G1191" s="45" t="s">
        <v>195</v>
      </c>
      <c r="H1191" s="45" t="s">
        <v>150</v>
      </c>
      <c r="I1191" s="45" t="s">
        <v>1027</v>
      </c>
      <c r="J1191" s="143" t="s">
        <v>120</v>
      </c>
      <c r="K1191" s="43" t="str">
        <f t="array" ref="K1191">IF(J1191="","", XLOOKUP(J1191,'⚙️ Pengaturan'!$E$2:$E3237,'⚙️ Pengaturan'!$G$2:$G3237))</f>
        <v>KLINIK FT SESI</v>
      </c>
      <c r="L1191" s="43" t="str">
        <f t="shared" si="3"/>
        <v>LANJUTAN</v>
      </c>
      <c r="M1191" s="144" t="s">
        <v>31</v>
      </c>
      <c r="N1191" s="145">
        <v>180000.0</v>
      </c>
      <c r="O1191" s="146">
        <v>0.0</v>
      </c>
      <c r="P1191" s="48">
        <f t="array" ref="P1191">IFNA(XLOOKUP(J1191,'⚙️ Pengaturan'!$E$2:$E3237,'⚙️ Pengaturan'!$F$2:$F3237),"")</f>
        <v>180000</v>
      </c>
      <c r="Q1191" s="147">
        <f t="shared" si="20"/>
        <v>0</v>
      </c>
      <c r="R1191" s="41" t="s">
        <v>37</v>
      </c>
      <c r="S1191" s="69" t="s">
        <v>1027</v>
      </c>
      <c r="T1191" s="51" t="b">
        <v>1</v>
      </c>
      <c r="U1191" s="94"/>
    </row>
    <row r="1192" ht="30.0" customHeight="1">
      <c r="A1192" s="39"/>
      <c r="B1192" s="40">
        <v>3228.0</v>
      </c>
      <c r="C1192" s="41" t="s">
        <v>50</v>
      </c>
      <c r="D1192" s="86">
        <v>46118.0</v>
      </c>
      <c r="E1192" s="43" t="str">
        <f t="shared" si="1"/>
        <v>2026</v>
      </c>
      <c r="F1192" s="43" t="str">
        <f t="shared" si="2"/>
        <v>04 Apr</v>
      </c>
      <c r="G1192" s="45" t="s">
        <v>195</v>
      </c>
      <c r="H1192" s="45" t="s">
        <v>26</v>
      </c>
      <c r="I1192" s="45" t="s">
        <v>1072</v>
      </c>
      <c r="J1192" s="143" t="s">
        <v>28</v>
      </c>
      <c r="K1192" s="43" t="str">
        <f t="array" ref="K1192">IF(J1192="","", XLOOKUP(J1192,'⚙️ Pengaturan'!$E$2:$E3237,'⚙️ Pengaturan'!$G$2:$G3237))</f>
        <v>KLINIK FT TA</v>
      </c>
      <c r="L1192" s="43" t="str">
        <f t="shared" si="3"/>
        <v>BARU</v>
      </c>
      <c r="M1192" s="144" t="s">
        <v>31</v>
      </c>
      <c r="N1192" s="145">
        <v>250000.0</v>
      </c>
      <c r="O1192" s="146">
        <v>0.0</v>
      </c>
      <c r="P1192" s="48">
        <f t="array" ref="P1192">IFNA(XLOOKUP(J1192,'⚙️ Pengaturan'!$E$2:$E3237,'⚙️ Pengaturan'!$F$2:$F3237),"")</f>
        <v>250000</v>
      </c>
      <c r="Q1192" s="147">
        <f t="shared" si="20"/>
        <v>0</v>
      </c>
      <c r="R1192" s="41" t="s">
        <v>37</v>
      </c>
      <c r="S1192" s="69" t="s">
        <v>1072</v>
      </c>
      <c r="T1192" s="51" t="b">
        <v>1</v>
      </c>
      <c r="U1192" s="94"/>
    </row>
    <row r="1193" ht="30.0" customHeight="1">
      <c r="A1193" s="39"/>
      <c r="B1193" s="40">
        <v>3229.0</v>
      </c>
      <c r="C1193" s="41" t="s">
        <v>50</v>
      </c>
      <c r="D1193" s="86">
        <v>46118.0</v>
      </c>
      <c r="E1193" s="43" t="str">
        <f t="shared" si="1"/>
        <v>2026</v>
      </c>
      <c r="F1193" s="43" t="str">
        <f t="shared" si="2"/>
        <v>04 Apr</v>
      </c>
      <c r="G1193" s="45" t="s">
        <v>25</v>
      </c>
      <c r="H1193" s="45" t="s">
        <v>150</v>
      </c>
      <c r="I1193" s="45" t="s">
        <v>1073</v>
      </c>
      <c r="J1193" s="143" t="s">
        <v>28</v>
      </c>
      <c r="K1193" s="43" t="str">
        <f t="array" ref="K1193">IF(J1193="","", XLOOKUP(J1193,'⚙️ Pengaturan'!$E$2:$E3237,'⚙️ Pengaturan'!$G$2:$G3237))</f>
        <v>KLINIK FT TA</v>
      </c>
      <c r="L1193" s="43" t="str">
        <f t="shared" si="3"/>
        <v>BARU</v>
      </c>
      <c r="M1193" s="144" t="s">
        <v>31</v>
      </c>
      <c r="N1193" s="145">
        <v>250000.0</v>
      </c>
      <c r="O1193" s="146">
        <v>0.0</v>
      </c>
      <c r="P1193" s="48">
        <f t="array" ref="P1193">IFNA(XLOOKUP(J1193,'⚙️ Pengaturan'!$E$2:$E3237,'⚙️ Pengaturan'!$F$2:$F3237),"")</f>
        <v>250000</v>
      </c>
      <c r="Q1193" s="147">
        <f t="shared" si="20"/>
        <v>0</v>
      </c>
      <c r="R1193" s="41" t="s">
        <v>32</v>
      </c>
      <c r="S1193" s="69" t="s">
        <v>33</v>
      </c>
      <c r="T1193" s="51" t="b">
        <v>1</v>
      </c>
      <c r="U1193" s="94"/>
    </row>
    <row r="1194" ht="30.0" customHeight="1">
      <c r="A1194" s="39"/>
      <c r="B1194" s="40">
        <v>3230.0</v>
      </c>
      <c r="C1194" s="41" t="s">
        <v>50</v>
      </c>
      <c r="D1194" s="86">
        <v>46118.0</v>
      </c>
      <c r="E1194" s="43" t="str">
        <f t="shared" si="1"/>
        <v>2026</v>
      </c>
      <c r="F1194" s="43" t="str">
        <f t="shared" si="2"/>
        <v>04 Apr</v>
      </c>
      <c r="G1194" s="45" t="s">
        <v>35</v>
      </c>
      <c r="H1194" s="45" t="s">
        <v>162</v>
      </c>
      <c r="I1194" s="45" t="s">
        <v>1067</v>
      </c>
      <c r="J1194" s="143" t="s">
        <v>119</v>
      </c>
      <c r="K1194" s="43" t="str">
        <f t="array" ref="K1194">IF(J1194="","", XLOOKUP(J1194,'⚙️ Pengaturan'!$E$2:$E3237,'⚙️ Pengaturan'!$G$2:$G3237))</f>
        <v>KLINIK FT PAKET</v>
      </c>
      <c r="L1194" s="43" t="str">
        <f t="shared" si="3"/>
        <v>BARU</v>
      </c>
      <c r="M1194" s="144" t="s">
        <v>60</v>
      </c>
      <c r="N1194" s="145">
        <v>300000.0</v>
      </c>
      <c r="O1194" s="146">
        <v>0.0</v>
      </c>
      <c r="P1194" s="48">
        <f t="array" ref="P1194">IFNA(XLOOKUP(J1194,'⚙️ Pengaturan'!$E$2:$E3237,'⚙️ Pengaturan'!$F$2:$F3237),"")</f>
        <v>750000</v>
      </c>
      <c r="Q1194" s="147">
        <f t="shared" si="20"/>
        <v>-450000</v>
      </c>
      <c r="R1194" s="41" t="s">
        <v>32</v>
      </c>
      <c r="S1194" s="69" t="s">
        <v>33</v>
      </c>
      <c r="T1194" s="51" t="b">
        <v>1</v>
      </c>
      <c r="U1194" s="94"/>
    </row>
    <row r="1195" ht="30.0" customHeight="1">
      <c r="A1195" s="39"/>
      <c r="B1195" s="40">
        <v>3231.0</v>
      </c>
      <c r="C1195" s="41" t="s">
        <v>39</v>
      </c>
      <c r="D1195" s="86">
        <v>46118.0</v>
      </c>
      <c r="E1195" s="43" t="str">
        <f t="shared" si="1"/>
        <v>2026</v>
      </c>
      <c r="F1195" s="43" t="str">
        <f t="shared" si="2"/>
        <v>04 Apr</v>
      </c>
      <c r="G1195" s="45" t="s">
        <v>40</v>
      </c>
      <c r="H1195" s="45" t="s">
        <v>76</v>
      </c>
      <c r="I1195" s="45" t="s">
        <v>256</v>
      </c>
      <c r="J1195" s="143" t="s">
        <v>28</v>
      </c>
      <c r="K1195" s="43" t="str">
        <f t="array" ref="K1195">IF(J1195="","", XLOOKUP(J1195,'⚙️ Pengaturan'!$E$2:$E3237,'⚙️ Pengaturan'!$G$2:$G3237))</f>
        <v>KLINIK FT TA</v>
      </c>
      <c r="L1195" s="43" t="str">
        <f t="shared" si="3"/>
        <v>BARU</v>
      </c>
      <c r="M1195" s="144" t="s">
        <v>31</v>
      </c>
      <c r="N1195" s="145">
        <v>250000.0</v>
      </c>
      <c r="O1195" s="146">
        <v>0.0</v>
      </c>
      <c r="P1195" s="48">
        <f t="array" ref="P1195">IFNA(XLOOKUP(J1195,'⚙️ Pengaturan'!$E$2:$E3237,'⚙️ Pengaturan'!$F$2:$F3237),"")</f>
        <v>250000</v>
      </c>
      <c r="Q1195" s="147">
        <f t="shared" si="20"/>
        <v>0</v>
      </c>
      <c r="R1195" s="41" t="s">
        <v>32</v>
      </c>
      <c r="S1195" s="69" t="s">
        <v>33</v>
      </c>
      <c r="T1195" s="51" t="b">
        <v>1</v>
      </c>
      <c r="U1195" s="94"/>
    </row>
    <row r="1196" ht="30.0" customHeight="1">
      <c r="A1196" s="39"/>
      <c r="B1196" s="40">
        <v>3232.0</v>
      </c>
      <c r="C1196" s="41" t="s">
        <v>39</v>
      </c>
      <c r="D1196" s="86">
        <v>46118.0</v>
      </c>
      <c r="E1196" s="43" t="str">
        <f t="shared" si="1"/>
        <v>2026</v>
      </c>
      <c r="F1196" s="43" t="str">
        <f t="shared" si="2"/>
        <v>04 Apr</v>
      </c>
      <c r="G1196" s="45" t="s">
        <v>43</v>
      </c>
      <c r="H1196" s="45" t="s">
        <v>41</v>
      </c>
      <c r="I1196" s="45" t="s">
        <v>1074</v>
      </c>
      <c r="J1196" s="143" t="s">
        <v>28</v>
      </c>
      <c r="K1196" s="43" t="str">
        <f t="array" ref="K1196">IF(J1196="","", XLOOKUP(J1196,'⚙️ Pengaturan'!$E$2:$E3237,'⚙️ Pengaturan'!$G$2:$G3237))</f>
        <v>KLINIK FT TA</v>
      </c>
      <c r="L1196" s="43" t="str">
        <f t="shared" si="3"/>
        <v>BARU</v>
      </c>
      <c r="M1196" s="144" t="s">
        <v>31</v>
      </c>
      <c r="N1196" s="145">
        <v>250000.0</v>
      </c>
      <c r="O1196" s="146">
        <v>0.0</v>
      </c>
      <c r="P1196" s="48">
        <f t="array" ref="P1196">IFNA(XLOOKUP(J1196,'⚙️ Pengaturan'!$E$2:$E3237,'⚙️ Pengaturan'!$F$2:$F3237),"")</f>
        <v>250000</v>
      </c>
      <c r="Q1196" s="147">
        <f t="shared" si="20"/>
        <v>0</v>
      </c>
      <c r="R1196" s="41" t="s">
        <v>37</v>
      </c>
      <c r="S1196" s="69" t="s">
        <v>1075</v>
      </c>
      <c r="T1196" s="51" t="b">
        <v>1</v>
      </c>
      <c r="U1196" s="94"/>
    </row>
    <row r="1197" ht="30.0" customHeight="1">
      <c r="A1197" s="39"/>
      <c r="B1197" s="40">
        <v>3233.0</v>
      </c>
      <c r="C1197" s="41" t="s">
        <v>39</v>
      </c>
      <c r="D1197" s="86">
        <v>46118.0</v>
      </c>
      <c r="E1197" s="43" t="str">
        <f t="shared" si="1"/>
        <v>2026</v>
      </c>
      <c r="F1197" s="43" t="str">
        <f t="shared" si="2"/>
        <v>04 Apr</v>
      </c>
      <c r="G1197" s="45" t="s">
        <v>173</v>
      </c>
      <c r="H1197" s="45" t="s">
        <v>76</v>
      </c>
      <c r="I1197" s="45" t="s">
        <v>1076</v>
      </c>
      <c r="J1197" s="143" t="s">
        <v>28</v>
      </c>
      <c r="K1197" s="43" t="str">
        <f t="array" ref="K1197">IF(J1197="","", XLOOKUP(J1197,'⚙️ Pengaturan'!$E$2:$E3237,'⚙️ Pengaturan'!$G$2:$G3237))</f>
        <v>KLINIK FT TA</v>
      </c>
      <c r="L1197" s="43" t="str">
        <f t="shared" si="3"/>
        <v>BARU</v>
      </c>
      <c r="M1197" s="144" t="s">
        <v>31</v>
      </c>
      <c r="N1197" s="145">
        <v>250000.0</v>
      </c>
      <c r="O1197" s="146">
        <v>0.0</v>
      </c>
      <c r="P1197" s="48">
        <f t="array" ref="P1197">IFNA(XLOOKUP(J1197,'⚙️ Pengaturan'!$E$2:$E3237,'⚙️ Pengaturan'!$F$2:$F3237),"")</f>
        <v>250000</v>
      </c>
      <c r="Q1197" s="147">
        <f t="shared" si="20"/>
        <v>0</v>
      </c>
      <c r="R1197" s="41" t="s">
        <v>118</v>
      </c>
      <c r="S1197" s="69" t="s">
        <v>1076</v>
      </c>
      <c r="T1197" s="51" t="b">
        <v>1</v>
      </c>
      <c r="U1197" s="94"/>
    </row>
    <row r="1198" ht="30.0" customHeight="1">
      <c r="A1198" s="39"/>
      <c r="B1198" s="40">
        <v>3234.0</v>
      </c>
      <c r="C1198" s="41" t="s">
        <v>39</v>
      </c>
      <c r="D1198" s="86">
        <v>46118.0</v>
      </c>
      <c r="E1198" s="43" t="str">
        <f t="shared" si="1"/>
        <v>2026</v>
      </c>
      <c r="F1198" s="43" t="str">
        <f t="shared" si="2"/>
        <v>04 Apr</v>
      </c>
      <c r="G1198" s="45" t="s">
        <v>173</v>
      </c>
      <c r="H1198" s="45" t="s">
        <v>96</v>
      </c>
      <c r="I1198" s="45" t="s">
        <v>1071</v>
      </c>
      <c r="J1198" s="143" t="s">
        <v>120</v>
      </c>
      <c r="K1198" s="43" t="str">
        <f t="array" ref="K1198">IF(J1198="","", XLOOKUP(J1198,'⚙️ Pengaturan'!$E$2:$E3237,'⚙️ Pengaturan'!$G$2:$G3237))</f>
        <v>KLINIK FT SESI</v>
      </c>
      <c r="L1198" s="43" t="str">
        <f t="shared" si="3"/>
        <v>BARU</v>
      </c>
      <c r="M1198" s="144" t="s">
        <v>31</v>
      </c>
      <c r="N1198" s="145">
        <v>180000.0</v>
      </c>
      <c r="O1198" s="146">
        <v>0.0</v>
      </c>
      <c r="P1198" s="48">
        <f t="array" ref="P1198">IFNA(XLOOKUP(J1198,'⚙️ Pengaturan'!$E$2:$E3237,'⚙️ Pengaturan'!$F$2:$F3237),"")</f>
        <v>180000</v>
      </c>
      <c r="Q1198" s="147">
        <f t="shared" si="20"/>
        <v>0</v>
      </c>
      <c r="R1198" s="41" t="s">
        <v>37</v>
      </c>
      <c r="S1198" s="69" t="s">
        <v>1071</v>
      </c>
      <c r="T1198" s="51" t="b">
        <v>1</v>
      </c>
      <c r="U1198" s="94"/>
    </row>
    <row r="1199" ht="30.0" customHeight="1">
      <c r="A1199" s="39"/>
      <c r="B1199" s="40">
        <v>3235.0</v>
      </c>
      <c r="C1199" s="41" t="s">
        <v>39</v>
      </c>
      <c r="D1199" s="86">
        <v>46118.0</v>
      </c>
      <c r="E1199" s="43" t="str">
        <f t="shared" si="1"/>
        <v>2026</v>
      </c>
      <c r="F1199" s="43" t="str">
        <f t="shared" si="2"/>
        <v>04 Apr</v>
      </c>
      <c r="G1199" s="45" t="s">
        <v>155</v>
      </c>
      <c r="H1199" s="45" t="s">
        <v>76</v>
      </c>
      <c r="I1199" s="45" t="s">
        <v>1077</v>
      </c>
      <c r="J1199" s="143" t="s">
        <v>28</v>
      </c>
      <c r="K1199" s="43" t="str">
        <f t="array" ref="K1199">IF(J1199="","", XLOOKUP(J1199,'⚙️ Pengaturan'!$E$2:$E3237,'⚙️ Pengaturan'!$G$2:$G3237))</f>
        <v>KLINIK FT TA</v>
      </c>
      <c r="L1199" s="43" t="str">
        <f t="shared" si="3"/>
        <v>BARU</v>
      </c>
      <c r="M1199" s="144" t="s">
        <v>31</v>
      </c>
      <c r="N1199" s="145">
        <v>250000.0</v>
      </c>
      <c r="O1199" s="146">
        <v>0.0</v>
      </c>
      <c r="P1199" s="48">
        <f t="array" ref="P1199">IFNA(XLOOKUP(J1199,'⚙️ Pengaturan'!$E$2:$E3237,'⚙️ Pengaturan'!$F$2:$F3237),"")</f>
        <v>250000</v>
      </c>
      <c r="Q1199" s="147">
        <f t="shared" si="20"/>
        <v>0</v>
      </c>
      <c r="R1199" s="41" t="s">
        <v>32</v>
      </c>
      <c r="S1199" s="69" t="s">
        <v>33</v>
      </c>
      <c r="T1199" s="51" t="b">
        <v>1</v>
      </c>
      <c r="U1199" s="94"/>
    </row>
    <row r="1200" ht="30.0" customHeight="1">
      <c r="A1200" s="39"/>
      <c r="B1200" s="40">
        <v>3236.0</v>
      </c>
      <c r="C1200" s="41" t="s">
        <v>39</v>
      </c>
      <c r="D1200" s="86">
        <v>46118.0</v>
      </c>
      <c r="E1200" s="43" t="str">
        <f t="shared" si="1"/>
        <v>2026</v>
      </c>
      <c r="F1200" s="43" t="str">
        <f t="shared" si="2"/>
        <v>04 Apr</v>
      </c>
      <c r="G1200" s="45" t="s">
        <v>155</v>
      </c>
      <c r="H1200" s="45" t="s">
        <v>149</v>
      </c>
      <c r="I1200" s="45" t="s">
        <v>1078</v>
      </c>
      <c r="J1200" s="143" t="s">
        <v>28</v>
      </c>
      <c r="K1200" s="43" t="str">
        <f t="array" ref="K1200">IF(J1200="","", XLOOKUP(J1200,'⚙️ Pengaturan'!$E$2:$E3237,'⚙️ Pengaturan'!$G$2:$G3237))</f>
        <v>KLINIK FT TA</v>
      </c>
      <c r="L1200" s="43" t="str">
        <f t="shared" si="3"/>
        <v>BARU</v>
      </c>
      <c r="M1200" s="144" t="s">
        <v>31</v>
      </c>
      <c r="N1200" s="145">
        <v>250000.0</v>
      </c>
      <c r="O1200" s="146">
        <v>0.0</v>
      </c>
      <c r="P1200" s="48">
        <f t="array" ref="P1200">IFNA(XLOOKUP(J1200,'⚙️ Pengaturan'!$E$2:$E3237,'⚙️ Pengaturan'!$F$2:$F3237),"")</f>
        <v>250000</v>
      </c>
      <c r="Q1200" s="147">
        <f t="shared" si="20"/>
        <v>0</v>
      </c>
      <c r="R1200" s="41" t="s">
        <v>37</v>
      </c>
      <c r="S1200" s="69" t="s">
        <v>1079</v>
      </c>
      <c r="T1200" s="51" t="b">
        <v>1</v>
      </c>
      <c r="U1200" s="94"/>
    </row>
    <row r="1201" ht="30.0" customHeight="1">
      <c r="A1201" s="39"/>
      <c r="B1201" s="40">
        <v>3237.0</v>
      </c>
      <c r="C1201" s="41" t="s">
        <v>39</v>
      </c>
      <c r="D1201" s="86">
        <v>46118.0</v>
      </c>
      <c r="E1201" s="43" t="str">
        <f t="shared" si="1"/>
        <v>2026</v>
      </c>
      <c r="F1201" s="43" t="str">
        <f t="shared" si="2"/>
        <v>04 Apr</v>
      </c>
      <c r="G1201" s="45" t="s">
        <v>190</v>
      </c>
      <c r="H1201" s="45" t="s">
        <v>41</v>
      </c>
      <c r="I1201" s="45" t="s">
        <v>1080</v>
      </c>
      <c r="J1201" s="143" t="s">
        <v>28</v>
      </c>
      <c r="K1201" s="43" t="str">
        <f t="array" ref="K1201">IF(J1201="","", XLOOKUP(J1201,'⚙️ Pengaturan'!$E$2:$E3237,'⚙️ Pengaturan'!$G$2:$G3237))</f>
        <v>KLINIK FT TA</v>
      </c>
      <c r="L1201" s="43" t="str">
        <f t="shared" si="3"/>
        <v>BARU</v>
      </c>
      <c r="M1201" s="144" t="s">
        <v>31</v>
      </c>
      <c r="N1201" s="145">
        <v>250000.0</v>
      </c>
      <c r="O1201" s="146">
        <v>0.0</v>
      </c>
      <c r="P1201" s="48">
        <f t="array" ref="P1201">IFNA(XLOOKUP(J1201,'⚙️ Pengaturan'!$E$2:$E3237,'⚙️ Pengaturan'!$F$2:$F3237),"")</f>
        <v>250000</v>
      </c>
      <c r="Q1201" s="147">
        <f t="shared" si="20"/>
        <v>0</v>
      </c>
      <c r="R1201" s="41" t="s">
        <v>37</v>
      </c>
      <c r="S1201" s="69" t="s">
        <v>1080</v>
      </c>
      <c r="T1201" s="51" t="b">
        <v>1</v>
      </c>
      <c r="U1201" s="94"/>
    </row>
    <row r="1202" ht="30.0" customHeight="1">
      <c r="A1202" s="39"/>
      <c r="B1202" s="40">
        <v>3238.0</v>
      </c>
      <c r="C1202" s="41" t="s">
        <v>39</v>
      </c>
      <c r="D1202" s="86">
        <v>46118.0</v>
      </c>
      <c r="E1202" s="43" t="str">
        <f t="shared" si="1"/>
        <v>2026</v>
      </c>
      <c r="F1202" s="43" t="str">
        <f t="shared" si="2"/>
        <v>04 Apr</v>
      </c>
      <c r="G1202" s="45" t="s">
        <v>190</v>
      </c>
      <c r="H1202" s="45" t="s">
        <v>76</v>
      </c>
      <c r="I1202" s="45" t="s">
        <v>1081</v>
      </c>
      <c r="J1202" s="143" t="s">
        <v>28</v>
      </c>
      <c r="K1202" s="43" t="str">
        <f t="array" ref="K1202">IF(J1202="","", XLOOKUP(J1202,'⚙️ Pengaturan'!$E$2:$E3237,'⚙️ Pengaturan'!$G$2:$G3237))</f>
        <v>KLINIK FT TA</v>
      </c>
      <c r="L1202" s="43" t="str">
        <f t="shared" si="3"/>
        <v>BARU</v>
      </c>
      <c r="M1202" s="144" t="s">
        <v>31</v>
      </c>
      <c r="N1202" s="145">
        <v>250000.0</v>
      </c>
      <c r="O1202" s="146">
        <v>0.0</v>
      </c>
      <c r="P1202" s="48">
        <f t="array" ref="P1202">IFNA(XLOOKUP(J1202,'⚙️ Pengaturan'!$E$2:$E3237,'⚙️ Pengaturan'!$F$2:$F3237),"")</f>
        <v>250000</v>
      </c>
      <c r="Q1202" s="147">
        <f t="shared" si="20"/>
        <v>0</v>
      </c>
      <c r="R1202" s="41" t="s">
        <v>32</v>
      </c>
      <c r="S1202" s="69" t="s">
        <v>33</v>
      </c>
      <c r="T1202" s="51" t="b">
        <v>1</v>
      </c>
      <c r="U1202" s="94"/>
    </row>
    <row r="1203" ht="30.0" customHeight="1">
      <c r="A1203" s="39"/>
      <c r="B1203" s="40">
        <v>3239.0</v>
      </c>
      <c r="C1203" s="41" t="s">
        <v>39</v>
      </c>
      <c r="D1203" s="86">
        <v>46118.0</v>
      </c>
      <c r="E1203" s="43" t="str">
        <f t="shared" si="1"/>
        <v>2026</v>
      </c>
      <c r="F1203" s="43" t="str">
        <f t="shared" si="2"/>
        <v>04 Apr</v>
      </c>
      <c r="G1203" s="45" t="s">
        <v>69</v>
      </c>
      <c r="H1203" s="45" t="s">
        <v>26</v>
      </c>
      <c r="I1203" s="45" t="s">
        <v>1082</v>
      </c>
      <c r="J1203" s="143" t="s">
        <v>28</v>
      </c>
      <c r="K1203" s="43" t="str">
        <f t="array" ref="K1203">IF(J1203="","", XLOOKUP(J1203,'⚙️ Pengaturan'!$E$2:$E3237,'⚙️ Pengaturan'!$G$2:$G3237))</f>
        <v>KLINIK FT TA</v>
      </c>
      <c r="L1203" s="43" t="str">
        <f t="shared" si="3"/>
        <v>BARU</v>
      </c>
      <c r="M1203" s="144" t="s">
        <v>31</v>
      </c>
      <c r="N1203" s="145">
        <v>250000.0</v>
      </c>
      <c r="O1203" s="146">
        <v>0.0</v>
      </c>
      <c r="P1203" s="48">
        <f t="array" ref="P1203">IFNA(XLOOKUP(J1203,'⚙️ Pengaturan'!$E$2:$E3237,'⚙️ Pengaturan'!$F$2:$F3237),"")</f>
        <v>250000</v>
      </c>
      <c r="Q1203" s="147">
        <f t="shared" si="20"/>
        <v>0</v>
      </c>
      <c r="R1203" s="41" t="s">
        <v>37</v>
      </c>
      <c r="S1203" s="69" t="s">
        <v>1082</v>
      </c>
      <c r="T1203" s="51" t="b">
        <v>1</v>
      </c>
      <c r="U1203" s="94"/>
    </row>
    <row r="1204" ht="30.0" customHeight="1">
      <c r="A1204" s="39"/>
      <c r="B1204" s="40">
        <v>3240.0</v>
      </c>
      <c r="C1204" s="41" t="s">
        <v>50</v>
      </c>
      <c r="D1204" s="86">
        <v>46119.0</v>
      </c>
      <c r="E1204" s="43" t="str">
        <f t="shared" si="1"/>
        <v>2026</v>
      </c>
      <c r="F1204" s="43" t="str">
        <f t="shared" si="2"/>
        <v>04 Apr</v>
      </c>
      <c r="G1204" s="45" t="s">
        <v>195</v>
      </c>
      <c r="H1204" s="45" t="s">
        <v>156</v>
      </c>
      <c r="I1204" s="45" t="s">
        <v>620</v>
      </c>
      <c r="J1204" s="143" t="s">
        <v>120</v>
      </c>
      <c r="K1204" s="43" t="str">
        <f t="array" ref="K1204">IF(J1204="","", XLOOKUP(J1204,'⚙️ Pengaturan'!$E$2:$E3237,'⚙️ Pengaturan'!$G$2:$G3237))</f>
        <v>KLINIK FT SESI</v>
      </c>
      <c r="L1204" s="43" t="str">
        <f t="shared" si="3"/>
        <v>BARU</v>
      </c>
      <c r="M1204" s="144" t="s">
        <v>31</v>
      </c>
      <c r="N1204" s="145">
        <v>180000.0</v>
      </c>
      <c r="O1204" s="146">
        <v>0.0</v>
      </c>
      <c r="P1204" s="48">
        <f t="array" ref="P1204">IFNA(XLOOKUP(J1204,'⚙️ Pengaturan'!$E$2:$E3237,'⚙️ Pengaturan'!$F$2:$F3237),"")</f>
        <v>180000</v>
      </c>
      <c r="Q1204" s="147">
        <f t="shared" si="20"/>
        <v>0</v>
      </c>
      <c r="R1204" s="41" t="s">
        <v>37</v>
      </c>
      <c r="S1204" s="69" t="s">
        <v>620</v>
      </c>
      <c r="T1204" s="51" t="b">
        <v>1</v>
      </c>
      <c r="U1204" s="94"/>
    </row>
    <row r="1205" ht="30.0" customHeight="1">
      <c r="A1205" s="39"/>
      <c r="B1205" s="40">
        <v>3241.0</v>
      </c>
      <c r="C1205" s="41" t="s">
        <v>50</v>
      </c>
      <c r="D1205" s="86">
        <v>46119.0</v>
      </c>
      <c r="E1205" s="43" t="str">
        <f t="shared" si="1"/>
        <v>2026</v>
      </c>
      <c r="F1205" s="43" t="str">
        <f t="shared" si="2"/>
        <v>04 Apr</v>
      </c>
      <c r="G1205" s="45" t="s">
        <v>195</v>
      </c>
      <c r="H1205" s="45" t="s">
        <v>47</v>
      </c>
      <c r="I1205" s="45" t="s">
        <v>1033</v>
      </c>
      <c r="J1205" s="143" t="s">
        <v>120</v>
      </c>
      <c r="K1205" s="43" t="str">
        <f t="array" ref="K1205">IF(J1205="","", XLOOKUP(J1205,'⚙️ Pengaturan'!$E$2:$E3237,'⚙️ Pengaturan'!$G$2:$G3237))</f>
        <v>KLINIK FT SESI</v>
      </c>
      <c r="L1205" s="43" t="str">
        <f t="shared" si="3"/>
        <v>LANJUTAN</v>
      </c>
      <c r="M1205" s="144" t="s">
        <v>31</v>
      </c>
      <c r="N1205" s="145">
        <v>180000.0</v>
      </c>
      <c r="O1205" s="146">
        <v>0.0</v>
      </c>
      <c r="P1205" s="48">
        <f t="array" ref="P1205">IFNA(XLOOKUP(J1205,'⚙️ Pengaturan'!$E$2:$E3237,'⚙️ Pengaturan'!$F$2:$F3237),"")</f>
        <v>180000</v>
      </c>
      <c r="Q1205" s="147">
        <f t="shared" si="20"/>
        <v>0</v>
      </c>
      <c r="R1205" s="41" t="s">
        <v>32</v>
      </c>
      <c r="S1205" s="69" t="s">
        <v>33</v>
      </c>
      <c r="T1205" s="51" t="b">
        <v>1</v>
      </c>
      <c r="U1205" s="94"/>
    </row>
    <row r="1206" ht="30.0" customHeight="1">
      <c r="A1206" s="39"/>
      <c r="B1206" s="40">
        <v>3242.0</v>
      </c>
      <c r="C1206" s="41" t="s">
        <v>50</v>
      </c>
      <c r="D1206" s="86">
        <v>46119.0</v>
      </c>
      <c r="E1206" s="43" t="str">
        <f t="shared" si="1"/>
        <v>2026</v>
      </c>
      <c r="F1206" s="43" t="str">
        <f t="shared" si="2"/>
        <v>04 Apr</v>
      </c>
      <c r="G1206" s="45" t="s">
        <v>195</v>
      </c>
      <c r="H1206" s="45" t="s">
        <v>26</v>
      </c>
      <c r="I1206" s="45" t="s">
        <v>561</v>
      </c>
      <c r="J1206" s="143" t="s">
        <v>347</v>
      </c>
      <c r="K1206" s="43" t="str">
        <f t="array" ref="K1206">IF(J1206="","", XLOOKUP(J1206,'⚙️ Pengaturan'!$E$2:$E3237,'⚙️ Pengaturan'!$G$2:$G3237))</f>
        <v>KLINIK FT PAKET</v>
      </c>
      <c r="L1206" s="43" t="str">
        <f t="shared" si="3"/>
        <v>BARU</v>
      </c>
      <c r="M1206" s="144" t="s">
        <v>31</v>
      </c>
      <c r="N1206" s="145">
        <v>1300000.0</v>
      </c>
      <c r="O1206" s="146">
        <v>0.0</v>
      </c>
      <c r="P1206" s="48">
        <f t="array" ref="P1206">IFNA(XLOOKUP(J1206,'⚙️ Pengaturan'!$E$2:$E3237,'⚙️ Pengaturan'!$F$2:$F3237),"")</f>
        <v>1300000</v>
      </c>
      <c r="Q1206" s="147">
        <f t="shared" si="20"/>
        <v>0</v>
      </c>
      <c r="R1206" s="41" t="s">
        <v>37</v>
      </c>
      <c r="S1206" s="69" t="s">
        <v>561</v>
      </c>
      <c r="T1206" s="51" t="b">
        <v>1</v>
      </c>
      <c r="U1206" s="94"/>
    </row>
    <row r="1207" ht="30.0" customHeight="1">
      <c r="A1207" s="39"/>
      <c r="B1207" s="40">
        <v>3243.0</v>
      </c>
      <c r="C1207" s="41" t="s">
        <v>50</v>
      </c>
      <c r="D1207" s="86">
        <v>46119.0</v>
      </c>
      <c r="E1207" s="43" t="str">
        <f t="shared" si="1"/>
        <v>2026</v>
      </c>
      <c r="F1207" s="43" t="str">
        <f t="shared" si="2"/>
        <v>04 Apr</v>
      </c>
      <c r="G1207" s="45" t="s">
        <v>161</v>
      </c>
      <c r="H1207" s="45" t="s">
        <v>47</v>
      </c>
      <c r="I1207" s="45" t="s">
        <v>1083</v>
      </c>
      <c r="J1207" s="143" t="s">
        <v>28</v>
      </c>
      <c r="K1207" s="43" t="str">
        <f t="array" ref="K1207">IF(J1207="","", XLOOKUP(J1207,'⚙️ Pengaturan'!$E$2:$E3237,'⚙️ Pengaturan'!$G$2:$G3237))</f>
        <v>KLINIK FT TA</v>
      </c>
      <c r="L1207" s="43" t="str">
        <f t="shared" si="3"/>
        <v>BARU</v>
      </c>
      <c r="M1207" s="144" t="s">
        <v>31</v>
      </c>
      <c r="N1207" s="145">
        <v>250000.0</v>
      </c>
      <c r="O1207" s="146">
        <v>0.0</v>
      </c>
      <c r="P1207" s="48">
        <f t="array" ref="P1207">IFNA(XLOOKUP(J1207,'⚙️ Pengaturan'!$E$2:$E3237,'⚙️ Pengaturan'!$F$2:$F3237),"")</f>
        <v>250000</v>
      </c>
      <c r="Q1207" s="147">
        <f t="shared" si="20"/>
        <v>0</v>
      </c>
      <c r="R1207" s="41" t="s">
        <v>37</v>
      </c>
      <c r="S1207" s="69" t="s">
        <v>1083</v>
      </c>
      <c r="T1207" s="51" t="b">
        <v>1</v>
      </c>
      <c r="U1207" s="94"/>
    </row>
    <row r="1208" ht="30.0" customHeight="1">
      <c r="A1208" s="39"/>
      <c r="B1208" s="40">
        <v>3244.0</v>
      </c>
      <c r="C1208" s="41" t="s">
        <v>50</v>
      </c>
      <c r="D1208" s="86">
        <v>46119.0</v>
      </c>
      <c r="E1208" s="43" t="str">
        <f t="shared" si="1"/>
        <v>2026</v>
      </c>
      <c r="F1208" s="43" t="str">
        <f t="shared" si="2"/>
        <v>04 Apr</v>
      </c>
      <c r="G1208" s="45" t="s">
        <v>35</v>
      </c>
      <c r="H1208" s="45" t="s">
        <v>41</v>
      </c>
      <c r="I1208" s="45" t="s">
        <v>1084</v>
      </c>
      <c r="J1208" s="143" t="s">
        <v>28</v>
      </c>
      <c r="K1208" s="43" t="str">
        <f t="array" ref="K1208">IF(J1208="","", XLOOKUP(J1208,'⚙️ Pengaturan'!$E$2:$E3237,'⚙️ Pengaturan'!$G$2:$G3237))</f>
        <v>KLINIK FT TA</v>
      </c>
      <c r="L1208" s="43" t="str">
        <f t="shared" si="3"/>
        <v>BARU</v>
      </c>
      <c r="M1208" s="144" t="s">
        <v>31</v>
      </c>
      <c r="N1208" s="145">
        <v>250000.0</v>
      </c>
      <c r="O1208" s="146">
        <v>0.0</v>
      </c>
      <c r="P1208" s="48">
        <f t="array" ref="P1208">IFNA(XLOOKUP(J1208,'⚙️ Pengaturan'!$E$2:$E3237,'⚙️ Pengaturan'!$F$2:$F3237),"")</f>
        <v>250000</v>
      </c>
      <c r="Q1208" s="147">
        <f t="shared" si="20"/>
        <v>0</v>
      </c>
      <c r="R1208" s="41" t="s">
        <v>32</v>
      </c>
      <c r="S1208" s="69" t="s">
        <v>33</v>
      </c>
      <c r="T1208" s="51" t="b">
        <v>1</v>
      </c>
      <c r="U1208" s="94"/>
    </row>
    <row r="1209" ht="30.0" customHeight="1">
      <c r="A1209" s="39"/>
      <c r="B1209" s="40">
        <v>3245.0</v>
      </c>
      <c r="C1209" s="41" t="s">
        <v>39</v>
      </c>
      <c r="D1209" s="86">
        <v>46119.0</v>
      </c>
      <c r="E1209" s="43" t="str">
        <f t="shared" si="1"/>
        <v>2026</v>
      </c>
      <c r="F1209" s="43" t="str">
        <f t="shared" si="2"/>
        <v>04 Apr</v>
      </c>
      <c r="G1209" s="45" t="s">
        <v>40</v>
      </c>
      <c r="H1209" s="45" t="s">
        <v>162</v>
      </c>
      <c r="I1209" s="45" t="s">
        <v>1046</v>
      </c>
      <c r="J1209" s="143" t="s">
        <v>120</v>
      </c>
      <c r="K1209" s="43" t="str">
        <f t="array" ref="K1209">IF(J1209="","", XLOOKUP(J1209,'⚙️ Pengaturan'!$E$2:$E3237,'⚙️ Pengaturan'!$G$2:$G3237))</f>
        <v>KLINIK FT SESI</v>
      </c>
      <c r="L1209" s="43" t="str">
        <f t="shared" si="3"/>
        <v>LANJUTAN</v>
      </c>
      <c r="M1209" s="144" t="s">
        <v>31</v>
      </c>
      <c r="N1209" s="145">
        <v>180000.0</v>
      </c>
      <c r="O1209" s="146">
        <v>0.0</v>
      </c>
      <c r="P1209" s="48">
        <f t="array" ref="P1209">IFNA(XLOOKUP(J1209,'⚙️ Pengaturan'!$E$2:$E3237,'⚙️ Pengaturan'!$F$2:$F3237),"")</f>
        <v>180000</v>
      </c>
      <c r="Q1209" s="147">
        <f t="shared" si="20"/>
        <v>0</v>
      </c>
      <c r="R1209" s="41" t="s">
        <v>37</v>
      </c>
      <c r="S1209" s="69" t="s">
        <v>1046</v>
      </c>
      <c r="T1209" s="51" t="b">
        <v>1</v>
      </c>
      <c r="U1209" s="94"/>
    </row>
    <row r="1210" ht="30.0" customHeight="1">
      <c r="A1210" s="39"/>
      <c r="B1210" s="40">
        <v>3246.0</v>
      </c>
      <c r="C1210" s="41" t="s">
        <v>39</v>
      </c>
      <c r="D1210" s="86">
        <v>46119.0</v>
      </c>
      <c r="E1210" s="43" t="str">
        <f t="shared" si="1"/>
        <v>2026</v>
      </c>
      <c r="F1210" s="43" t="str">
        <f t="shared" si="2"/>
        <v>04 Apr</v>
      </c>
      <c r="G1210" s="45" t="s">
        <v>40</v>
      </c>
      <c r="H1210" s="45" t="s">
        <v>166</v>
      </c>
      <c r="I1210" s="45" t="s">
        <v>1051</v>
      </c>
      <c r="J1210" s="143" t="s">
        <v>120</v>
      </c>
      <c r="K1210" s="43" t="str">
        <f t="array" ref="K1210">IF(J1210="","", XLOOKUP(J1210,'⚙️ Pengaturan'!$E$2:$E3237,'⚙️ Pengaturan'!$G$2:$G3237))</f>
        <v>KLINIK FT SESI</v>
      </c>
      <c r="L1210" s="43" t="str">
        <f t="shared" si="3"/>
        <v>BARU</v>
      </c>
      <c r="M1210" s="144" t="s">
        <v>31</v>
      </c>
      <c r="N1210" s="145">
        <v>180000.0</v>
      </c>
      <c r="O1210" s="146">
        <v>0.0</v>
      </c>
      <c r="P1210" s="48">
        <f t="array" ref="P1210">IFNA(XLOOKUP(J1210,'⚙️ Pengaturan'!$E$2:$E3237,'⚙️ Pengaturan'!$F$2:$F3237),"")</f>
        <v>180000</v>
      </c>
      <c r="Q1210" s="147">
        <f t="shared" si="20"/>
        <v>0</v>
      </c>
      <c r="R1210" s="41" t="s">
        <v>37</v>
      </c>
      <c r="S1210" s="69" t="s">
        <v>1051</v>
      </c>
      <c r="T1210" s="51" t="b">
        <v>1</v>
      </c>
      <c r="U1210" s="94"/>
    </row>
    <row r="1211" ht="30.0" customHeight="1">
      <c r="A1211" s="39"/>
      <c r="B1211" s="40">
        <v>3247.0</v>
      </c>
      <c r="C1211" s="41" t="s">
        <v>39</v>
      </c>
      <c r="D1211" s="86">
        <v>46119.0</v>
      </c>
      <c r="E1211" s="43" t="str">
        <f t="shared" si="1"/>
        <v>2026</v>
      </c>
      <c r="F1211" s="43" t="str">
        <f t="shared" si="2"/>
        <v>04 Apr</v>
      </c>
      <c r="G1211" s="45" t="s">
        <v>40</v>
      </c>
      <c r="H1211" s="45" t="s">
        <v>26</v>
      </c>
      <c r="I1211" s="45" t="s">
        <v>1085</v>
      </c>
      <c r="J1211" s="143" t="s">
        <v>28</v>
      </c>
      <c r="K1211" s="43" t="str">
        <f t="array" ref="K1211">IF(J1211="","", XLOOKUP(J1211,'⚙️ Pengaturan'!$E$2:$E3237,'⚙️ Pengaturan'!$G$2:$G3237))</f>
        <v>KLINIK FT TA</v>
      </c>
      <c r="L1211" s="43" t="str">
        <f t="shared" si="3"/>
        <v>BARU</v>
      </c>
      <c r="M1211" s="144" t="s">
        <v>31</v>
      </c>
      <c r="N1211" s="145">
        <v>100000.0</v>
      </c>
      <c r="O1211" s="146">
        <v>150000.0</v>
      </c>
      <c r="P1211" s="48">
        <f t="array" ref="P1211">IFNA(XLOOKUP(J1211,'⚙️ Pengaturan'!$E$2:$E3237,'⚙️ Pengaturan'!$F$2:$F3237),"")</f>
        <v>250000</v>
      </c>
      <c r="Q1211" s="147">
        <f t="shared" si="20"/>
        <v>0</v>
      </c>
      <c r="R1211" s="41" t="s">
        <v>32</v>
      </c>
      <c r="S1211" s="69" t="s">
        <v>33</v>
      </c>
      <c r="T1211" s="51" t="b">
        <v>1</v>
      </c>
      <c r="U1211" s="94"/>
    </row>
    <row r="1212" ht="30.0" customHeight="1">
      <c r="A1212" s="39"/>
      <c r="B1212" s="40">
        <v>3248.0</v>
      </c>
      <c r="C1212" s="41" t="s">
        <v>39</v>
      </c>
      <c r="D1212" s="86">
        <v>46119.0</v>
      </c>
      <c r="E1212" s="43" t="str">
        <f t="shared" si="1"/>
        <v>2026</v>
      </c>
      <c r="F1212" s="43" t="str">
        <f t="shared" si="2"/>
        <v>04 Apr</v>
      </c>
      <c r="G1212" s="45" t="s">
        <v>43</v>
      </c>
      <c r="H1212" s="45" t="s">
        <v>162</v>
      </c>
      <c r="I1212" s="45" t="s">
        <v>1055</v>
      </c>
      <c r="J1212" s="143" t="s">
        <v>120</v>
      </c>
      <c r="K1212" s="43" t="str">
        <f t="array" ref="K1212">IF(J1212="","", XLOOKUP(J1212,'⚙️ Pengaturan'!$E$2:$E3237,'⚙️ Pengaturan'!$G$2:$G3237))</f>
        <v>KLINIK FT SESI</v>
      </c>
      <c r="L1212" s="43" t="str">
        <f t="shared" si="3"/>
        <v>LANJUTAN</v>
      </c>
      <c r="M1212" s="144" t="s">
        <v>31</v>
      </c>
      <c r="N1212" s="145">
        <v>180000.0</v>
      </c>
      <c r="O1212" s="146">
        <v>0.0</v>
      </c>
      <c r="P1212" s="48">
        <f t="array" ref="P1212">IFNA(XLOOKUP(J1212,'⚙️ Pengaturan'!$E$2:$E3237,'⚙️ Pengaturan'!$F$2:$F3237),"")</f>
        <v>180000</v>
      </c>
      <c r="Q1212" s="147">
        <f t="shared" si="20"/>
        <v>0</v>
      </c>
      <c r="R1212" s="41" t="s">
        <v>32</v>
      </c>
      <c r="S1212" s="69" t="s">
        <v>33</v>
      </c>
      <c r="T1212" s="51" t="b">
        <v>1</v>
      </c>
      <c r="U1212" s="94"/>
    </row>
    <row r="1213" ht="30.0" customHeight="1">
      <c r="A1213" s="39"/>
      <c r="B1213" s="40">
        <v>3249.0</v>
      </c>
      <c r="C1213" s="41" t="s">
        <v>39</v>
      </c>
      <c r="D1213" s="86">
        <v>46119.0</v>
      </c>
      <c r="E1213" s="43" t="str">
        <f t="shared" si="1"/>
        <v>2026</v>
      </c>
      <c r="F1213" s="43" t="str">
        <f t="shared" si="2"/>
        <v>04 Apr</v>
      </c>
      <c r="G1213" s="45" t="s">
        <v>43</v>
      </c>
      <c r="H1213" s="45" t="s">
        <v>150</v>
      </c>
      <c r="I1213" s="45" t="s">
        <v>963</v>
      </c>
      <c r="J1213" s="143" t="s">
        <v>119</v>
      </c>
      <c r="K1213" s="43" t="str">
        <f t="array" ref="K1213">IF(J1213="","", XLOOKUP(J1213,'⚙️ Pengaturan'!$E$2:$E3237,'⚙️ Pengaturan'!$G$2:$G3237))</f>
        <v>KLINIK FT PAKET</v>
      </c>
      <c r="L1213" s="43" t="str">
        <f t="shared" si="3"/>
        <v>LANJUTAN</v>
      </c>
      <c r="M1213" s="144" t="s">
        <v>164</v>
      </c>
      <c r="N1213" s="145">
        <v>550000.0</v>
      </c>
      <c r="O1213" s="146">
        <v>200000.0</v>
      </c>
      <c r="P1213" s="48">
        <f t="array" ref="P1213">IFNA(XLOOKUP(J1213,'⚙️ Pengaturan'!$E$2:$E3237,'⚙️ Pengaturan'!$F$2:$F3237),"")</f>
        <v>750000</v>
      </c>
      <c r="Q1213" s="147">
        <f t="shared" si="20"/>
        <v>0</v>
      </c>
      <c r="R1213" s="41" t="s">
        <v>32</v>
      </c>
      <c r="S1213" s="69" t="s">
        <v>33</v>
      </c>
      <c r="T1213" s="51" t="b">
        <v>1</v>
      </c>
      <c r="U1213" s="94"/>
    </row>
    <row r="1214" ht="30.0" customHeight="1">
      <c r="A1214" s="39"/>
      <c r="B1214" s="40">
        <v>3250.0</v>
      </c>
      <c r="C1214" s="41" t="s">
        <v>39</v>
      </c>
      <c r="D1214" s="86">
        <v>46119.0</v>
      </c>
      <c r="E1214" s="43" t="str">
        <f t="shared" si="1"/>
        <v>2026</v>
      </c>
      <c r="F1214" s="43" t="str">
        <f t="shared" si="2"/>
        <v>04 Apr</v>
      </c>
      <c r="G1214" s="45" t="s">
        <v>69</v>
      </c>
      <c r="H1214" s="45" t="s">
        <v>47</v>
      </c>
      <c r="I1214" s="45" t="s">
        <v>619</v>
      </c>
      <c r="J1214" s="143" t="s">
        <v>92</v>
      </c>
      <c r="K1214" s="43" t="str">
        <f t="array" ref="K1214">IF(J1214="","", XLOOKUP(J1214,'⚙️ Pengaturan'!$E$2:$E3237,'⚙️ Pengaturan'!$G$2:$G3237))</f>
        <v>KLINIK FT PAKET</v>
      </c>
      <c r="L1214" s="43" t="str">
        <f t="shared" si="3"/>
        <v>BARU</v>
      </c>
      <c r="M1214" s="144" t="s">
        <v>60</v>
      </c>
      <c r="N1214" s="145">
        <v>500000.0</v>
      </c>
      <c r="O1214" s="146">
        <v>0.0</v>
      </c>
      <c r="P1214" s="48">
        <f t="array" ref="P1214">IFNA(XLOOKUP(J1214,'⚙️ Pengaturan'!$E$2:$E3237,'⚙️ Pengaturan'!$F$2:$F3237),"")</f>
        <v>1200000</v>
      </c>
      <c r="Q1214" s="147">
        <f t="shared" si="20"/>
        <v>-700000</v>
      </c>
      <c r="R1214" s="41" t="s">
        <v>118</v>
      </c>
      <c r="S1214" s="69" t="s">
        <v>619</v>
      </c>
      <c r="T1214" s="51" t="b">
        <v>1</v>
      </c>
      <c r="U1214" s="94"/>
    </row>
    <row r="1215" ht="30.0" customHeight="1">
      <c r="A1215" s="39"/>
      <c r="B1215" s="40">
        <v>3251.0</v>
      </c>
      <c r="C1215" s="41" t="s">
        <v>39</v>
      </c>
      <c r="D1215" s="86">
        <v>46119.0</v>
      </c>
      <c r="E1215" s="43" t="str">
        <f t="shared" si="1"/>
        <v>2026</v>
      </c>
      <c r="F1215" s="43" t="str">
        <f t="shared" si="2"/>
        <v>04 Apr</v>
      </c>
      <c r="G1215" s="45" t="s">
        <v>190</v>
      </c>
      <c r="H1215" s="45" t="s">
        <v>162</v>
      </c>
      <c r="I1215" s="45" t="s">
        <v>1064</v>
      </c>
      <c r="J1215" s="143" t="s">
        <v>120</v>
      </c>
      <c r="K1215" s="43" t="str">
        <f t="array" ref="K1215">IF(J1215="","", XLOOKUP(J1215,'⚙️ Pengaturan'!$E$2:$E3237,'⚙️ Pengaturan'!$G$2:$G3237))</f>
        <v>KLINIK FT SESI</v>
      </c>
      <c r="L1215" s="43" t="str">
        <f t="shared" si="3"/>
        <v>BARU</v>
      </c>
      <c r="M1215" s="144" t="s">
        <v>31</v>
      </c>
      <c r="N1215" s="145">
        <v>180000.0</v>
      </c>
      <c r="O1215" s="146">
        <v>0.0</v>
      </c>
      <c r="P1215" s="48">
        <f t="array" ref="P1215">IFNA(XLOOKUP(J1215,'⚙️ Pengaturan'!$E$2:$E3237,'⚙️ Pengaturan'!$F$2:$F3237),"")</f>
        <v>180000</v>
      </c>
      <c r="Q1215" s="147">
        <f t="shared" si="20"/>
        <v>0</v>
      </c>
      <c r="R1215" s="41" t="s">
        <v>32</v>
      </c>
      <c r="S1215" s="69" t="s">
        <v>33</v>
      </c>
      <c r="T1215" s="51" t="b">
        <v>1</v>
      </c>
      <c r="U1215" s="94"/>
    </row>
    <row r="1216" ht="30.0" customHeight="1">
      <c r="A1216" s="39"/>
      <c r="B1216" s="40">
        <v>3252.0</v>
      </c>
      <c r="C1216" s="41" t="s">
        <v>39</v>
      </c>
      <c r="D1216" s="86">
        <v>46119.0</v>
      </c>
      <c r="E1216" s="43" t="str">
        <f t="shared" si="1"/>
        <v>2026</v>
      </c>
      <c r="F1216" s="43" t="str">
        <f t="shared" si="2"/>
        <v>04 Apr</v>
      </c>
      <c r="G1216" s="45" t="s">
        <v>190</v>
      </c>
      <c r="H1216" s="45" t="s">
        <v>166</v>
      </c>
      <c r="I1216" s="45" t="s">
        <v>1086</v>
      </c>
      <c r="J1216" s="143" t="s">
        <v>28</v>
      </c>
      <c r="K1216" s="43" t="str">
        <f t="array" ref="K1216">IF(J1216="","", XLOOKUP(J1216,'⚙️ Pengaturan'!$E$2:$E3237,'⚙️ Pengaturan'!$G$2:$G3237))</f>
        <v>KLINIK FT TA</v>
      </c>
      <c r="L1216" s="43" t="str">
        <f t="shared" si="3"/>
        <v>BARU</v>
      </c>
      <c r="M1216" s="144" t="s">
        <v>31</v>
      </c>
      <c r="N1216" s="145">
        <v>250000.0</v>
      </c>
      <c r="O1216" s="146">
        <v>0.0</v>
      </c>
      <c r="P1216" s="48">
        <f t="array" ref="P1216">IFNA(XLOOKUP(J1216,'⚙️ Pengaturan'!$E$2:$E3237,'⚙️ Pengaturan'!$F$2:$F3237),"")</f>
        <v>250000</v>
      </c>
      <c r="Q1216" s="147">
        <f t="shared" si="20"/>
        <v>0</v>
      </c>
      <c r="R1216" s="41" t="s">
        <v>32</v>
      </c>
      <c r="S1216" s="69" t="s">
        <v>33</v>
      </c>
      <c r="T1216" s="51" t="b">
        <v>1</v>
      </c>
      <c r="U1216" s="94"/>
    </row>
    <row r="1217" ht="30.0" customHeight="1">
      <c r="A1217" s="39"/>
      <c r="B1217" s="40">
        <v>3253.0</v>
      </c>
      <c r="C1217" s="41" t="s">
        <v>50</v>
      </c>
      <c r="D1217" s="86">
        <v>46120.0</v>
      </c>
      <c r="E1217" s="43" t="str">
        <f t="shared" si="1"/>
        <v>2026</v>
      </c>
      <c r="F1217" s="43" t="str">
        <f t="shared" si="2"/>
        <v>04 Apr</v>
      </c>
      <c r="G1217" s="45" t="s">
        <v>195</v>
      </c>
      <c r="H1217" s="45" t="s">
        <v>41</v>
      </c>
      <c r="I1217" s="45" t="s">
        <v>1087</v>
      </c>
      <c r="J1217" s="143" t="s">
        <v>28</v>
      </c>
      <c r="K1217" s="43" t="str">
        <f t="array" ref="K1217">IF(J1217="","", XLOOKUP(J1217,'⚙️ Pengaturan'!$E$2:$E3237,'⚙️ Pengaturan'!$G$2:$G3237))</f>
        <v>KLINIK FT TA</v>
      </c>
      <c r="L1217" s="43" t="str">
        <f t="shared" si="3"/>
        <v>BARU</v>
      </c>
      <c r="M1217" s="144" t="s">
        <v>31</v>
      </c>
      <c r="N1217" s="145">
        <v>250000.0</v>
      </c>
      <c r="O1217" s="146">
        <v>0.0</v>
      </c>
      <c r="P1217" s="48">
        <f t="array" ref="P1217">IFNA(XLOOKUP(J1217,'⚙️ Pengaturan'!$E$2:$E3237,'⚙️ Pengaturan'!$F$2:$F3237),"")</f>
        <v>250000</v>
      </c>
      <c r="Q1217" s="147">
        <f t="shared" si="20"/>
        <v>0</v>
      </c>
      <c r="R1217" s="41" t="s">
        <v>32</v>
      </c>
      <c r="S1217" s="69" t="s">
        <v>33</v>
      </c>
      <c r="T1217" s="51" t="b">
        <v>1</v>
      </c>
      <c r="U1217" s="94"/>
    </row>
    <row r="1218" ht="30.0" customHeight="1">
      <c r="A1218" s="39"/>
      <c r="B1218" s="40">
        <v>3254.0</v>
      </c>
      <c r="C1218" s="41" t="s">
        <v>50</v>
      </c>
      <c r="D1218" s="86">
        <v>46120.0</v>
      </c>
      <c r="E1218" s="43" t="str">
        <f t="shared" si="1"/>
        <v>2026</v>
      </c>
      <c r="F1218" s="43" t="str">
        <f t="shared" si="2"/>
        <v>04 Apr</v>
      </c>
      <c r="G1218" s="45" t="s">
        <v>206</v>
      </c>
      <c r="H1218" s="45" t="s">
        <v>150</v>
      </c>
      <c r="I1218" s="45" t="s">
        <v>1088</v>
      </c>
      <c r="J1218" s="143" t="s">
        <v>28</v>
      </c>
      <c r="K1218" s="43" t="str">
        <f t="array" ref="K1218">IF(J1218="","", XLOOKUP(J1218,'⚙️ Pengaturan'!$E$2:$E3237,'⚙️ Pengaturan'!$G$2:$G3237))</f>
        <v>KLINIK FT TA</v>
      </c>
      <c r="L1218" s="43" t="str">
        <f t="shared" si="3"/>
        <v>BARU</v>
      </c>
      <c r="M1218" s="144" t="s">
        <v>31</v>
      </c>
      <c r="N1218" s="145">
        <v>250000.0</v>
      </c>
      <c r="O1218" s="146">
        <v>0.0</v>
      </c>
      <c r="P1218" s="48">
        <f t="array" ref="P1218">IFNA(XLOOKUP(J1218,'⚙️ Pengaturan'!$E$2:$E3237,'⚙️ Pengaturan'!$F$2:$F3237),"")</f>
        <v>250000</v>
      </c>
      <c r="Q1218" s="147">
        <f t="shared" si="20"/>
        <v>0</v>
      </c>
      <c r="R1218" s="41" t="s">
        <v>37</v>
      </c>
      <c r="S1218" s="69" t="s">
        <v>1088</v>
      </c>
      <c r="T1218" s="51" t="b">
        <v>1</v>
      </c>
      <c r="U1218" s="94"/>
    </row>
    <row r="1219" ht="30.0" customHeight="1">
      <c r="A1219" s="39"/>
      <c r="B1219" s="40">
        <v>3255.0</v>
      </c>
      <c r="C1219" s="41" t="s">
        <v>50</v>
      </c>
      <c r="D1219" s="86">
        <v>46120.0</v>
      </c>
      <c r="E1219" s="43" t="str">
        <f t="shared" si="1"/>
        <v>2026</v>
      </c>
      <c r="F1219" s="43" t="str">
        <f t="shared" si="2"/>
        <v>04 Apr</v>
      </c>
      <c r="G1219" s="45" t="s">
        <v>161</v>
      </c>
      <c r="H1219" s="45" t="s">
        <v>150</v>
      </c>
      <c r="I1219" s="45" t="s">
        <v>1073</v>
      </c>
      <c r="J1219" s="143" t="s">
        <v>120</v>
      </c>
      <c r="K1219" s="43" t="str">
        <f t="array" ref="K1219">IF(J1219="","", XLOOKUP(J1219,'⚙️ Pengaturan'!$E$2:$E3237,'⚙️ Pengaturan'!$G$2:$G3237))</f>
        <v>KLINIK FT SESI</v>
      </c>
      <c r="L1219" s="43" t="str">
        <f t="shared" si="3"/>
        <v>BARU</v>
      </c>
      <c r="M1219" s="144" t="s">
        <v>31</v>
      </c>
      <c r="N1219" s="145">
        <v>180000.0</v>
      </c>
      <c r="O1219" s="146">
        <v>0.0</v>
      </c>
      <c r="P1219" s="48">
        <f t="array" ref="P1219">IFNA(XLOOKUP(J1219,'⚙️ Pengaturan'!$E$2:$E3237,'⚙️ Pengaturan'!$F$2:$F3237),"")</f>
        <v>180000</v>
      </c>
      <c r="Q1219" s="147">
        <f t="shared" si="20"/>
        <v>0</v>
      </c>
      <c r="R1219" s="41" t="s">
        <v>32</v>
      </c>
      <c r="S1219" s="69" t="s">
        <v>33</v>
      </c>
      <c r="T1219" s="51" t="b">
        <v>1</v>
      </c>
      <c r="U1219" s="94"/>
    </row>
    <row r="1220" ht="30.0" customHeight="1">
      <c r="A1220" s="39"/>
      <c r="B1220" s="40">
        <v>3256.0</v>
      </c>
      <c r="C1220" s="41" t="s">
        <v>39</v>
      </c>
      <c r="D1220" s="86">
        <v>46120.0</v>
      </c>
      <c r="E1220" s="43" t="str">
        <f t="shared" si="1"/>
        <v>2026</v>
      </c>
      <c r="F1220" s="43" t="str">
        <f t="shared" si="2"/>
        <v>04 Apr</v>
      </c>
      <c r="G1220" s="45" t="s">
        <v>40</v>
      </c>
      <c r="H1220" s="45" t="s">
        <v>166</v>
      </c>
      <c r="I1220" s="45" t="s">
        <v>1089</v>
      </c>
      <c r="J1220" s="143" t="s">
        <v>28</v>
      </c>
      <c r="K1220" s="43" t="str">
        <f t="array" ref="K1220">IF(J1220="","", XLOOKUP(J1220,'⚙️ Pengaturan'!$E$2:$E3237,'⚙️ Pengaturan'!$G$2:$G3237))</f>
        <v>KLINIK FT TA</v>
      </c>
      <c r="L1220" s="43" t="str">
        <f t="shared" si="3"/>
        <v>BARU</v>
      </c>
      <c r="M1220" s="144" t="s">
        <v>31</v>
      </c>
      <c r="N1220" s="145">
        <v>0.0</v>
      </c>
      <c r="O1220" s="146">
        <v>250000.0</v>
      </c>
      <c r="P1220" s="48">
        <f t="array" ref="P1220">IFNA(XLOOKUP(J1220,'⚙️ Pengaturan'!$E$2:$E3237,'⚙️ Pengaturan'!$F$2:$F3237),"")</f>
        <v>250000</v>
      </c>
      <c r="Q1220" s="147">
        <f t="shared" si="20"/>
        <v>0</v>
      </c>
      <c r="R1220" s="41" t="s">
        <v>37</v>
      </c>
      <c r="S1220" s="69" t="s">
        <v>1090</v>
      </c>
      <c r="T1220" s="51" t="b">
        <v>1</v>
      </c>
      <c r="U1220" s="94"/>
    </row>
    <row r="1221" ht="30.0" customHeight="1">
      <c r="A1221" s="39"/>
      <c r="B1221" s="40">
        <v>3257.0</v>
      </c>
      <c r="C1221" s="41" t="s">
        <v>39</v>
      </c>
      <c r="D1221" s="86">
        <v>46121.0</v>
      </c>
      <c r="E1221" s="43" t="str">
        <f t="shared" si="1"/>
        <v>2026</v>
      </c>
      <c r="F1221" s="43" t="str">
        <f t="shared" si="2"/>
        <v>04 Apr</v>
      </c>
      <c r="G1221" s="45" t="s">
        <v>25</v>
      </c>
      <c r="H1221" s="45" t="s">
        <v>26</v>
      </c>
      <c r="I1221" s="45" t="s">
        <v>1082</v>
      </c>
      <c r="J1221" s="143" t="s">
        <v>119</v>
      </c>
      <c r="K1221" s="43" t="str">
        <f t="array" ref="K1221">IF(J1221="","", XLOOKUP(J1221,'⚙️ Pengaturan'!$E$2:$E3237,'⚙️ Pengaturan'!$G$2:$G3237))</f>
        <v>KLINIK FT PAKET</v>
      </c>
      <c r="L1221" s="43" t="str">
        <f t="shared" si="3"/>
        <v>BARU</v>
      </c>
      <c r="M1221" s="144" t="s">
        <v>31</v>
      </c>
      <c r="N1221" s="145">
        <v>750000.0</v>
      </c>
      <c r="O1221" s="146">
        <v>0.0</v>
      </c>
      <c r="P1221" s="48">
        <f t="array" ref="P1221">IFNA(XLOOKUP(J1221,'⚙️ Pengaturan'!$E$2:$E3237,'⚙️ Pengaturan'!$F$2:$F3237),"")</f>
        <v>750000</v>
      </c>
      <c r="Q1221" s="147">
        <f t="shared" si="20"/>
        <v>0</v>
      </c>
      <c r="R1221" s="41" t="s">
        <v>37</v>
      </c>
      <c r="S1221" s="69" t="s">
        <v>1082</v>
      </c>
      <c r="T1221" s="51" t="b">
        <v>1</v>
      </c>
      <c r="U1221" s="94"/>
    </row>
    <row r="1222" ht="30.0" customHeight="1">
      <c r="A1222" s="39"/>
      <c r="B1222" s="40">
        <v>3258.0</v>
      </c>
      <c r="C1222" s="41" t="s">
        <v>39</v>
      </c>
      <c r="D1222" s="86">
        <v>46121.0</v>
      </c>
      <c r="E1222" s="43" t="str">
        <f t="shared" si="1"/>
        <v>2026</v>
      </c>
      <c r="F1222" s="43" t="str">
        <f t="shared" si="2"/>
        <v>04 Apr</v>
      </c>
      <c r="G1222" s="45" t="s">
        <v>25</v>
      </c>
      <c r="H1222" s="45" t="s">
        <v>166</v>
      </c>
      <c r="I1222" s="45" t="s">
        <v>1086</v>
      </c>
      <c r="J1222" s="143" t="s">
        <v>119</v>
      </c>
      <c r="K1222" s="43" t="str">
        <f t="array" ref="K1222">IF(J1222="","", XLOOKUP(J1222,'⚙️ Pengaturan'!$E$2:$E3237,'⚙️ Pengaturan'!$G$2:$G3237))</f>
        <v>KLINIK FT PAKET</v>
      </c>
      <c r="L1222" s="43" t="str">
        <f t="shared" si="3"/>
        <v>BARU</v>
      </c>
      <c r="M1222" s="144" t="s">
        <v>31</v>
      </c>
      <c r="N1222" s="145">
        <v>300000.0</v>
      </c>
      <c r="O1222" s="146">
        <v>0.0</v>
      </c>
      <c r="P1222" s="48">
        <f t="array" ref="P1222">IFNA(XLOOKUP(J1222,'⚙️ Pengaturan'!$E$2:$E3237,'⚙️ Pengaturan'!$F$2:$F3237),"")</f>
        <v>750000</v>
      </c>
      <c r="Q1222" s="147">
        <f t="shared" si="20"/>
        <v>-450000</v>
      </c>
      <c r="R1222" s="41" t="s">
        <v>32</v>
      </c>
      <c r="S1222" s="69" t="s">
        <v>33</v>
      </c>
      <c r="T1222" s="51" t="b">
        <v>1</v>
      </c>
      <c r="U1222" s="94"/>
    </row>
    <row r="1223" ht="30.0" customHeight="1">
      <c r="A1223" s="39"/>
      <c r="B1223" s="40">
        <v>3259.0</v>
      </c>
      <c r="C1223" s="41" t="s">
        <v>39</v>
      </c>
      <c r="D1223" s="86">
        <v>46121.0</v>
      </c>
      <c r="E1223" s="43" t="str">
        <f t="shared" si="1"/>
        <v>2026</v>
      </c>
      <c r="F1223" s="43" t="str">
        <f t="shared" si="2"/>
        <v>04 Apr</v>
      </c>
      <c r="G1223" s="45" t="s">
        <v>161</v>
      </c>
      <c r="H1223" s="45" t="s">
        <v>26</v>
      </c>
      <c r="I1223" s="45" t="s">
        <v>1091</v>
      </c>
      <c r="J1223" s="143" t="s">
        <v>28</v>
      </c>
      <c r="K1223" s="43" t="str">
        <f t="array" ref="K1223">IF(J1223="","", XLOOKUP(J1223,'⚙️ Pengaturan'!$E$2:$E3237,'⚙️ Pengaturan'!$G$2:$G3237))</f>
        <v>KLINIK FT TA</v>
      </c>
      <c r="L1223" s="43" t="str">
        <f t="shared" si="3"/>
        <v>BARU</v>
      </c>
      <c r="M1223" s="144" t="s">
        <v>31</v>
      </c>
      <c r="N1223" s="145">
        <v>250000.0</v>
      </c>
      <c r="O1223" s="146">
        <v>0.0</v>
      </c>
      <c r="P1223" s="48">
        <f t="array" ref="P1223">IFNA(XLOOKUP(J1223,'⚙️ Pengaturan'!$E$2:$E3237,'⚙️ Pengaturan'!$F$2:$F3237),"")</f>
        <v>250000</v>
      </c>
      <c r="Q1223" s="147">
        <f t="shared" si="20"/>
        <v>0</v>
      </c>
      <c r="R1223" s="41" t="s">
        <v>37</v>
      </c>
      <c r="S1223" s="69" t="s">
        <v>1091</v>
      </c>
      <c r="T1223" s="51" t="b">
        <v>1</v>
      </c>
      <c r="U1223" s="94"/>
    </row>
    <row r="1224" ht="30.0" customHeight="1">
      <c r="A1224" s="39"/>
      <c r="B1224" s="40">
        <v>3260.0</v>
      </c>
      <c r="C1224" s="41" t="s">
        <v>39</v>
      </c>
      <c r="D1224" s="86">
        <v>46121.0</v>
      </c>
      <c r="E1224" s="43" t="str">
        <f t="shared" si="1"/>
        <v>2026</v>
      </c>
      <c r="F1224" s="43" t="str">
        <f t="shared" si="2"/>
        <v>04 Apr</v>
      </c>
      <c r="G1224" s="45" t="s">
        <v>161</v>
      </c>
      <c r="H1224" s="45" t="s">
        <v>162</v>
      </c>
      <c r="I1224" s="45" t="s">
        <v>577</v>
      </c>
      <c r="J1224" s="143" t="s">
        <v>56</v>
      </c>
      <c r="K1224" s="43" t="str">
        <f t="array" ref="K1224">IF(J1224="","", XLOOKUP(J1224,'⚙️ Pengaturan'!$E$2:$E3237,'⚙️ Pengaturan'!$G$2:$G3237))</f>
        <v>KLINIK FT PAKET</v>
      </c>
      <c r="L1224" s="43" t="str">
        <f t="shared" si="3"/>
        <v>LANJUTAN</v>
      </c>
      <c r="M1224" s="144" t="s">
        <v>164</v>
      </c>
      <c r="N1224" s="145">
        <v>150000.0</v>
      </c>
      <c r="O1224" s="146">
        <v>500000.0</v>
      </c>
      <c r="P1224" s="48">
        <f t="array" ref="P1224">IFNA(XLOOKUP(J1224,'⚙️ Pengaturan'!$E$2:$E3237,'⚙️ Pengaturan'!$F$2:$F3237),"")</f>
        <v>650000</v>
      </c>
      <c r="Q1224" s="147">
        <f t="shared" si="20"/>
        <v>0</v>
      </c>
      <c r="R1224" s="41" t="s">
        <v>32</v>
      </c>
      <c r="S1224" s="69" t="s">
        <v>33</v>
      </c>
      <c r="T1224" s="51" t="b">
        <v>1</v>
      </c>
      <c r="U1224" s="94"/>
    </row>
    <row r="1225" ht="30.0" customHeight="1">
      <c r="A1225" s="39"/>
      <c r="B1225" s="40">
        <v>3261.0</v>
      </c>
      <c r="C1225" s="41" t="s">
        <v>50</v>
      </c>
      <c r="D1225" s="86">
        <v>46121.0</v>
      </c>
      <c r="E1225" s="43" t="str">
        <f t="shared" si="1"/>
        <v>2026</v>
      </c>
      <c r="F1225" s="43" t="str">
        <f t="shared" si="2"/>
        <v>04 Apr</v>
      </c>
      <c r="G1225" s="45" t="s">
        <v>43</v>
      </c>
      <c r="H1225" s="45" t="s">
        <v>41</v>
      </c>
      <c r="I1225" s="45" t="s">
        <v>1074</v>
      </c>
      <c r="J1225" s="143" t="s">
        <v>120</v>
      </c>
      <c r="K1225" s="43" t="str">
        <f t="array" ref="K1225">IF(J1225="","", XLOOKUP(J1225,'⚙️ Pengaturan'!$E$2:$E3237,'⚙️ Pengaturan'!$G$2:$G3237))</f>
        <v>KLINIK FT SESI</v>
      </c>
      <c r="L1225" s="43" t="str">
        <f t="shared" si="3"/>
        <v>BARU</v>
      </c>
      <c r="M1225" s="144" t="s">
        <v>31</v>
      </c>
      <c r="N1225" s="145">
        <v>180000.0</v>
      </c>
      <c r="O1225" s="146">
        <v>0.0</v>
      </c>
      <c r="P1225" s="48">
        <f t="array" ref="P1225">IFNA(XLOOKUP(J1225,'⚙️ Pengaturan'!$E$2:$E3237,'⚙️ Pengaturan'!$F$2:$F3237),"")</f>
        <v>180000</v>
      </c>
      <c r="Q1225" s="147">
        <f t="shared" si="20"/>
        <v>0</v>
      </c>
      <c r="R1225" s="41" t="s">
        <v>37</v>
      </c>
      <c r="S1225" s="69" t="s">
        <v>1075</v>
      </c>
      <c r="T1225" s="51" t="b">
        <v>1</v>
      </c>
      <c r="U1225" s="94"/>
    </row>
    <row r="1226" ht="30.0" customHeight="1">
      <c r="A1226" s="39"/>
      <c r="B1226" s="40">
        <v>3262.0</v>
      </c>
      <c r="C1226" s="41" t="s">
        <v>50</v>
      </c>
      <c r="D1226" s="86">
        <v>46121.0</v>
      </c>
      <c r="E1226" s="43" t="str">
        <f t="shared" si="1"/>
        <v>2026</v>
      </c>
      <c r="F1226" s="43" t="str">
        <f t="shared" si="2"/>
        <v>04 Apr</v>
      </c>
      <c r="G1226" s="45" t="s">
        <v>43</v>
      </c>
      <c r="H1226" s="45" t="s">
        <v>96</v>
      </c>
      <c r="I1226" s="45" t="s">
        <v>1081</v>
      </c>
      <c r="J1226" s="143" t="s">
        <v>347</v>
      </c>
      <c r="K1226" s="43" t="str">
        <f t="array" ref="K1226">IF(J1226="","", XLOOKUP(J1226,'⚙️ Pengaturan'!$E$2:$E3237,'⚙️ Pengaturan'!$G$2:$G3237))</f>
        <v>KLINIK FT PAKET</v>
      </c>
      <c r="L1226" s="43" t="str">
        <f t="shared" si="3"/>
        <v>BARU</v>
      </c>
      <c r="M1226" s="144" t="s">
        <v>60</v>
      </c>
      <c r="N1226" s="145">
        <v>600000.0</v>
      </c>
      <c r="O1226" s="146">
        <v>0.0</v>
      </c>
      <c r="P1226" s="48">
        <f t="array" ref="P1226">IFNA(XLOOKUP(J1226,'⚙️ Pengaturan'!$E$2:$E3237,'⚙️ Pengaturan'!$F$2:$F3237),"")</f>
        <v>1300000</v>
      </c>
      <c r="Q1226" s="147">
        <f t="shared" si="20"/>
        <v>-700000</v>
      </c>
      <c r="R1226" s="41" t="s">
        <v>32</v>
      </c>
      <c r="S1226" s="69" t="s">
        <v>33</v>
      </c>
      <c r="T1226" s="51" t="b">
        <v>1</v>
      </c>
      <c r="U1226" s="94"/>
    </row>
    <row r="1227" ht="30.0" customHeight="1">
      <c r="A1227" s="39"/>
      <c r="B1227" s="40">
        <v>3263.0</v>
      </c>
      <c r="C1227" s="41" t="s">
        <v>50</v>
      </c>
      <c r="D1227" s="86">
        <v>46121.0</v>
      </c>
      <c r="E1227" s="43" t="str">
        <f t="shared" si="1"/>
        <v>2026</v>
      </c>
      <c r="F1227" s="43" t="str">
        <f t="shared" si="2"/>
        <v>04 Apr</v>
      </c>
      <c r="G1227" s="45" t="s">
        <v>173</v>
      </c>
      <c r="H1227" s="45" t="s">
        <v>149</v>
      </c>
      <c r="I1227" s="45" t="s">
        <v>1092</v>
      </c>
      <c r="J1227" s="143" t="s">
        <v>28</v>
      </c>
      <c r="K1227" s="43" t="str">
        <f t="array" ref="K1227">IF(J1227="","", XLOOKUP(J1227,'⚙️ Pengaturan'!$E$2:$E3237,'⚙️ Pengaturan'!$G$2:$G3237))</f>
        <v>KLINIK FT TA</v>
      </c>
      <c r="L1227" s="43" t="str">
        <f t="shared" si="3"/>
        <v>BARU</v>
      </c>
      <c r="M1227" s="144" t="s">
        <v>31</v>
      </c>
      <c r="N1227" s="145">
        <v>250000.0</v>
      </c>
      <c r="O1227" s="146">
        <v>0.0</v>
      </c>
      <c r="P1227" s="48">
        <f t="array" ref="P1227">IFNA(XLOOKUP(J1227,'⚙️ Pengaturan'!$E$2:$E3237,'⚙️ Pengaturan'!$F$2:$F3237),"")</f>
        <v>250000</v>
      </c>
      <c r="Q1227" s="147">
        <f t="shared" si="20"/>
        <v>0</v>
      </c>
      <c r="R1227" s="41" t="s">
        <v>37</v>
      </c>
      <c r="S1227" s="69" t="s">
        <v>1092</v>
      </c>
      <c r="T1227" s="51" t="b">
        <v>1</v>
      </c>
      <c r="U1227" s="94"/>
    </row>
    <row r="1228" ht="30.0" customHeight="1">
      <c r="A1228" s="39"/>
      <c r="B1228" s="40">
        <v>3264.0</v>
      </c>
      <c r="C1228" s="41" t="s">
        <v>50</v>
      </c>
      <c r="D1228" s="86">
        <v>46121.0</v>
      </c>
      <c r="E1228" s="43" t="str">
        <f t="shared" si="1"/>
        <v>2026</v>
      </c>
      <c r="F1228" s="43" t="str">
        <f t="shared" si="2"/>
        <v>04 Apr</v>
      </c>
      <c r="G1228" s="45" t="s">
        <v>173</v>
      </c>
      <c r="H1228" s="45" t="s">
        <v>96</v>
      </c>
      <c r="I1228" s="45" t="s">
        <v>1093</v>
      </c>
      <c r="J1228" s="143" t="s">
        <v>28</v>
      </c>
      <c r="K1228" s="43" t="str">
        <f t="array" ref="K1228">IF(J1228="","", XLOOKUP(J1228,'⚙️ Pengaturan'!$E$2:$E3237,'⚙️ Pengaturan'!$G$2:$G3237))</f>
        <v>KLINIK FT TA</v>
      </c>
      <c r="L1228" s="43" t="str">
        <f t="shared" si="3"/>
        <v>BARU</v>
      </c>
      <c r="M1228" s="144" t="s">
        <v>31</v>
      </c>
      <c r="N1228" s="145">
        <v>250000.0</v>
      </c>
      <c r="O1228" s="146">
        <v>0.0</v>
      </c>
      <c r="P1228" s="48">
        <f t="array" ref="P1228">IFNA(XLOOKUP(J1228,'⚙️ Pengaturan'!$E$2:$E3237,'⚙️ Pengaturan'!$F$2:$F3237),"")</f>
        <v>250000</v>
      </c>
      <c r="Q1228" s="147">
        <f t="shared" si="20"/>
        <v>0</v>
      </c>
      <c r="R1228" s="41" t="s">
        <v>32</v>
      </c>
      <c r="S1228" s="69" t="s">
        <v>33</v>
      </c>
      <c r="T1228" s="51" t="b">
        <v>1</v>
      </c>
      <c r="U1228" s="94"/>
    </row>
    <row r="1229" ht="30.0" customHeight="1">
      <c r="A1229" s="39"/>
      <c r="B1229" s="40">
        <v>3265.0</v>
      </c>
      <c r="C1229" s="41" t="s">
        <v>50</v>
      </c>
      <c r="D1229" s="86">
        <v>46121.0</v>
      </c>
      <c r="E1229" s="43" t="str">
        <f t="shared" si="1"/>
        <v>2026</v>
      </c>
      <c r="F1229" s="43" t="str">
        <f t="shared" si="2"/>
        <v>04 Apr</v>
      </c>
      <c r="G1229" s="45" t="s">
        <v>173</v>
      </c>
      <c r="H1229" s="45" t="s">
        <v>149</v>
      </c>
      <c r="I1229" s="45" t="s">
        <v>1092</v>
      </c>
      <c r="J1229" s="143" t="s">
        <v>119</v>
      </c>
      <c r="K1229" s="43" t="str">
        <f t="array" ref="K1229">IF(J1229="","", XLOOKUP(J1229,'⚙️ Pengaturan'!$E$2:$E3237,'⚙️ Pengaturan'!$G$2:$G3237))</f>
        <v>KLINIK FT PAKET</v>
      </c>
      <c r="L1229" s="43" t="str">
        <f t="shared" si="3"/>
        <v>BARU</v>
      </c>
      <c r="M1229" s="144" t="s">
        <v>31</v>
      </c>
      <c r="N1229" s="145">
        <v>250000.0</v>
      </c>
      <c r="O1229" s="146">
        <v>0.0</v>
      </c>
      <c r="P1229" s="48">
        <f t="array" ref="P1229">IFNA(XLOOKUP(J1229,'⚙️ Pengaturan'!$E$2:$E3237,'⚙️ Pengaturan'!$F$2:$F3237),"")</f>
        <v>750000</v>
      </c>
      <c r="Q1229" s="147">
        <f t="shared" si="20"/>
        <v>-500000</v>
      </c>
      <c r="R1229" s="41" t="s">
        <v>37</v>
      </c>
      <c r="S1229" s="69" t="s">
        <v>1092</v>
      </c>
      <c r="T1229" s="51" t="b">
        <v>1</v>
      </c>
      <c r="U1229" s="94"/>
    </row>
    <row r="1230" ht="30.0" customHeight="1">
      <c r="A1230" s="39"/>
      <c r="B1230" s="40">
        <v>3266.0</v>
      </c>
      <c r="C1230" s="41" t="s">
        <v>50</v>
      </c>
      <c r="D1230" s="86">
        <v>46121.0</v>
      </c>
      <c r="E1230" s="43" t="str">
        <f t="shared" si="1"/>
        <v>2026</v>
      </c>
      <c r="F1230" s="43" t="str">
        <f t="shared" si="2"/>
        <v>04 Apr</v>
      </c>
      <c r="G1230" s="45" t="s">
        <v>173</v>
      </c>
      <c r="H1230" s="45" t="s">
        <v>41</v>
      </c>
      <c r="I1230" s="45" t="s">
        <v>936</v>
      </c>
      <c r="J1230" s="143" t="s">
        <v>119</v>
      </c>
      <c r="K1230" s="43" t="str">
        <f t="array" ref="K1230">IF(J1230="","", XLOOKUP(J1230,'⚙️ Pengaturan'!$E$2:$E3237,'⚙️ Pengaturan'!$G$2:$G3237))</f>
        <v>KLINIK FT PAKET</v>
      </c>
      <c r="L1230" s="43" t="str">
        <f t="shared" si="3"/>
        <v>LANJUTAN</v>
      </c>
      <c r="M1230" s="144" t="s">
        <v>31</v>
      </c>
      <c r="N1230" s="145">
        <v>750000.0</v>
      </c>
      <c r="O1230" s="146">
        <v>0.0</v>
      </c>
      <c r="P1230" s="48">
        <f t="array" ref="P1230">IFNA(XLOOKUP(J1230,'⚙️ Pengaturan'!$E$2:$E3237,'⚙️ Pengaturan'!$F$2:$F3237),"")</f>
        <v>750000</v>
      </c>
      <c r="Q1230" s="147">
        <f t="shared" si="20"/>
        <v>0</v>
      </c>
      <c r="R1230" s="41" t="s">
        <v>37</v>
      </c>
      <c r="S1230" s="69" t="s">
        <v>936</v>
      </c>
      <c r="T1230" s="51" t="b">
        <v>1</v>
      </c>
      <c r="U1230" s="94"/>
    </row>
    <row r="1231" ht="30.0" customHeight="1">
      <c r="A1231" s="39"/>
      <c r="B1231" s="40">
        <v>3267.0</v>
      </c>
      <c r="C1231" s="41" t="s">
        <v>50</v>
      </c>
      <c r="D1231" s="86">
        <v>46121.0</v>
      </c>
      <c r="E1231" s="43" t="str">
        <f t="shared" si="1"/>
        <v>2026</v>
      </c>
      <c r="F1231" s="43" t="str">
        <f t="shared" si="2"/>
        <v>04 Apr</v>
      </c>
      <c r="G1231" s="45" t="s">
        <v>155</v>
      </c>
      <c r="H1231" s="45" t="s">
        <v>41</v>
      </c>
      <c r="I1231" s="45" t="s">
        <v>1094</v>
      </c>
      <c r="J1231" s="143" t="s">
        <v>28</v>
      </c>
      <c r="K1231" s="43" t="str">
        <f t="array" ref="K1231">IF(J1231="","", XLOOKUP(J1231,'⚙️ Pengaturan'!$E$2:$E3237,'⚙️ Pengaturan'!$G$2:$G3237))</f>
        <v>KLINIK FT TA</v>
      </c>
      <c r="L1231" s="43" t="str">
        <f t="shared" si="3"/>
        <v>BARU</v>
      </c>
      <c r="M1231" s="144" t="s">
        <v>31</v>
      </c>
      <c r="N1231" s="145">
        <v>250000.0</v>
      </c>
      <c r="O1231" s="146">
        <v>0.0</v>
      </c>
      <c r="P1231" s="48">
        <f t="array" ref="P1231">IFNA(XLOOKUP(J1231,'⚙️ Pengaturan'!$E$2:$E3237,'⚙️ Pengaturan'!$F$2:$F3237),"")</f>
        <v>250000</v>
      </c>
      <c r="Q1231" s="147">
        <f t="shared" si="20"/>
        <v>0</v>
      </c>
      <c r="R1231" s="41" t="s">
        <v>32</v>
      </c>
      <c r="S1231" s="69" t="s">
        <v>33</v>
      </c>
      <c r="T1231" s="51" t="b">
        <v>1</v>
      </c>
      <c r="U1231" s="94"/>
    </row>
    <row r="1232" ht="30.0" customHeight="1">
      <c r="A1232" s="39"/>
      <c r="B1232" s="40">
        <v>3268.0</v>
      </c>
      <c r="C1232" s="41" t="s">
        <v>50</v>
      </c>
      <c r="D1232" s="86">
        <v>46121.0</v>
      </c>
      <c r="E1232" s="43" t="str">
        <f t="shared" si="1"/>
        <v>2026</v>
      </c>
      <c r="F1232" s="43" t="str">
        <f t="shared" si="2"/>
        <v>04 Apr</v>
      </c>
      <c r="G1232" s="45" t="s">
        <v>190</v>
      </c>
      <c r="H1232" s="45" t="s">
        <v>76</v>
      </c>
      <c r="I1232" s="45" t="s">
        <v>1064</v>
      </c>
      <c r="J1232" s="143" t="s">
        <v>120</v>
      </c>
      <c r="K1232" s="43" t="str">
        <f t="array" ref="K1232">IF(J1232="","", XLOOKUP(J1232,'⚙️ Pengaturan'!$E$2:$E3237,'⚙️ Pengaturan'!$G$2:$G3237))</f>
        <v>KLINIK FT SESI</v>
      </c>
      <c r="L1232" s="43" t="str">
        <f t="shared" si="3"/>
        <v>LANJUTAN</v>
      </c>
      <c r="M1232" s="144" t="s">
        <v>31</v>
      </c>
      <c r="N1232" s="145">
        <v>180000.0</v>
      </c>
      <c r="O1232" s="146">
        <v>0.0</v>
      </c>
      <c r="P1232" s="48">
        <f t="array" ref="P1232">IFNA(XLOOKUP(J1232,'⚙️ Pengaturan'!$E$2:$E3237,'⚙️ Pengaturan'!$F$2:$F3237),"")</f>
        <v>180000</v>
      </c>
      <c r="Q1232" s="147">
        <f t="shared" si="20"/>
        <v>0</v>
      </c>
      <c r="R1232" s="41" t="s">
        <v>32</v>
      </c>
      <c r="S1232" s="69" t="s">
        <v>33</v>
      </c>
      <c r="T1232" s="51" t="b">
        <v>1</v>
      </c>
      <c r="U1232" s="94"/>
    </row>
    <row r="1233" ht="30.0" customHeight="1">
      <c r="A1233" s="39"/>
      <c r="B1233" s="40">
        <v>3269.0</v>
      </c>
      <c r="C1233" s="41" t="s">
        <v>50</v>
      </c>
      <c r="D1233" s="86">
        <v>46121.0</v>
      </c>
      <c r="E1233" s="43" t="str">
        <f t="shared" si="1"/>
        <v>2026</v>
      </c>
      <c r="F1233" s="43" t="str">
        <f t="shared" si="2"/>
        <v>04 Apr</v>
      </c>
      <c r="G1233" s="45" t="s">
        <v>190</v>
      </c>
      <c r="H1233" s="45" t="s">
        <v>41</v>
      </c>
      <c r="I1233" s="45" t="s">
        <v>1080</v>
      </c>
      <c r="J1233" s="143" t="s">
        <v>120</v>
      </c>
      <c r="K1233" s="43" t="str">
        <f t="array" ref="K1233">IF(J1233="","", XLOOKUP(J1233,'⚙️ Pengaturan'!$E$2:$E3237,'⚙️ Pengaturan'!$G$2:$G3237))</f>
        <v>KLINIK FT SESI</v>
      </c>
      <c r="L1233" s="43" t="str">
        <f t="shared" si="3"/>
        <v>BARU</v>
      </c>
      <c r="M1233" s="144" t="s">
        <v>31</v>
      </c>
      <c r="N1233" s="145">
        <v>180000.0</v>
      </c>
      <c r="O1233" s="146">
        <v>0.0</v>
      </c>
      <c r="P1233" s="48">
        <f t="array" ref="P1233">IFNA(XLOOKUP(J1233,'⚙️ Pengaturan'!$E$2:$E3237,'⚙️ Pengaturan'!$F$2:$F3237),"")</f>
        <v>180000</v>
      </c>
      <c r="Q1233" s="147">
        <f t="shared" si="20"/>
        <v>0</v>
      </c>
      <c r="R1233" s="41" t="s">
        <v>37</v>
      </c>
      <c r="S1233" s="69" t="s">
        <v>1080</v>
      </c>
      <c r="T1233" s="51" t="b">
        <v>1</v>
      </c>
      <c r="U1233" s="94"/>
    </row>
    <row r="1234" ht="30.0" customHeight="1">
      <c r="A1234" s="39"/>
      <c r="B1234" s="40">
        <v>3270.0</v>
      </c>
      <c r="C1234" s="41" t="s">
        <v>50</v>
      </c>
      <c r="D1234" s="86">
        <v>46121.0</v>
      </c>
      <c r="E1234" s="43" t="str">
        <f t="shared" si="1"/>
        <v>2026</v>
      </c>
      <c r="F1234" s="43" t="str">
        <f t="shared" si="2"/>
        <v>04 Apr</v>
      </c>
      <c r="G1234" s="45" t="s">
        <v>190</v>
      </c>
      <c r="H1234" s="45" t="s">
        <v>149</v>
      </c>
      <c r="I1234" s="45" t="s">
        <v>653</v>
      </c>
      <c r="J1234" s="143" t="s">
        <v>56</v>
      </c>
      <c r="K1234" s="43" t="str">
        <f t="array" ref="K1234">IF(J1234="","", XLOOKUP(J1234,'⚙️ Pengaturan'!$E$2:$E3237,'⚙️ Pengaturan'!$G$2:$G3237))</f>
        <v>KLINIK FT PAKET</v>
      </c>
      <c r="L1234" s="43" t="str">
        <f t="shared" si="3"/>
        <v>LANJUTAN</v>
      </c>
      <c r="M1234" s="144" t="s">
        <v>60</v>
      </c>
      <c r="N1234" s="145">
        <v>200000.0</v>
      </c>
      <c r="O1234" s="146">
        <v>0.0</v>
      </c>
      <c r="P1234" s="119">
        <v>650000.0</v>
      </c>
      <c r="Q1234" s="153">
        <v>450000.0</v>
      </c>
      <c r="R1234" s="41" t="s">
        <v>32</v>
      </c>
      <c r="S1234" s="69" t="s">
        <v>33</v>
      </c>
      <c r="T1234" s="51" t="b">
        <v>1</v>
      </c>
      <c r="U1234" s="94"/>
    </row>
    <row r="1235" ht="30.0" customHeight="1">
      <c r="A1235" s="39"/>
      <c r="B1235" s="40">
        <v>3271.0</v>
      </c>
      <c r="C1235" s="41" t="s">
        <v>79</v>
      </c>
      <c r="D1235" s="86">
        <v>46122.0</v>
      </c>
      <c r="E1235" s="43" t="str">
        <f t="shared" si="1"/>
        <v>2026</v>
      </c>
      <c r="F1235" s="43" t="str">
        <f t="shared" si="2"/>
        <v>04 Apr</v>
      </c>
      <c r="G1235" s="45" t="s">
        <v>195</v>
      </c>
      <c r="H1235" s="45" t="s">
        <v>96</v>
      </c>
      <c r="I1235" s="45" t="s">
        <v>1038</v>
      </c>
      <c r="J1235" s="143" t="s">
        <v>119</v>
      </c>
      <c r="K1235" s="43" t="str">
        <f t="array" ref="K1235">IF(J1235="","", XLOOKUP(J1235,'⚙️ Pengaturan'!$E$2:$E3237,'⚙️ Pengaturan'!$G$2:$G3237))</f>
        <v>KLINIK FT PAKET</v>
      </c>
      <c r="L1235" s="43" t="str">
        <f t="shared" si="3"/>
        <v>LANJUTAN</v>
      </c>
      <c r="M1235" s="144" t="s">
        <v>31</v>
      </c>
      <c r="N1235" s="145">
        <v>750000.0</v>
      </c>
      <c r="O1235" s="146">
        <v>0.0</v>
      </c>
      <c r="P1235" s="48">
        <f t="array" ref="P1235">IFNA(XLOOKUP(J1235,'⚙️ Pengaturan'!$E$2:$E3237,'⚙️ Pengaturan'!$F$2:$F3237),"")</f>
        <v>750000</v>
      </c>
      <c r="Q1235" s="147">
        <f t="shared" ref="Q1235:Q1250" si="21">IF(I1235="","",(N1235+O1235)-P1235)</f>
        <v>0</v>
      </c>
      <c r="R1235" s="41" t="s">
        <v>93</v>
      </c>
      <c r="S1235" s="69" t="s">
        <v>1038</v>
      </c>
      <c r="T1235" s="51" t="b">
        <v>1</v>
      </c>
      <c r="U1235" s="94"/>
    </row>
    <row r="1236" ht="30.0" customHeight="1">
      <c r="A1236" s="39"/>
      <c r="B1236" s="40">
        <v>3272.0</v>
      </c>
      <c r="C1236" s="41" t="s">
        <v>79</v>
      </c>
      <c r="D1236" s="86">
        <v>46122.0</v>
      </c>
      <c r="E1236" s="43" t="str">
        <f t="shared" si="1"/>
        <v>2026</v>
      </c>
      <c r="F1236" s="43" t="str">
        <f t="shared" si="2"/>
        <v>04 Apr</v>
      </c>
      <c r="G1236" s="45" t="s">
        <v>241</v>
      </c>
      <c r="H1236" s="45" t="s">
        <v>156</v>
      </c>
      <c r="I1236" s="45" t="s">
        <v>957</v>
      </c>
      <c r="J1236" s="143" t="s">
        <v>56</v>
      </c>
      <c r="K1236" s="43" t="str">
        <f t="array" ref="K1236">IF(J1236="","", XLOOKUP(J1236,'⚙️ Pengaturan'!$E$2:$E3237,'⚙️ Pengaturan'!$G$2:$G3237))</f>
        <v>KLINIK FT PAKET</v>
      </c>
      <c r="L1236" s="43" t="str">
        <f t="shared" si="3"/>
        <v>BARU</v>
      </c>
      <c r="M1236" s="144" t="s">
        <v>31</v>
      </c>
      <c r="N1236" s="145">
        <v>650000.0</v>
      </c>
      <c r="O1236" s="146">
        <v>0.0</v>
      </c>
      <c r="P1236" s="48">
        <f t="array" ref="P1236">IFNA(XLOOKUP(J1236,'⚙️ Pengaturan'!$E$2:$E3237,'⚙️ Pengaturan'!$F$2:$F3237),"")</f>
        <v>650000</v>
      </c>
      <c r="Q1236" s="147">
        <f t="shared" si="21"/>
        <v>0</v>
      </c>
      <c r="R1236" s="41" t="s">
        <v>37</v>
      </c>
      <c r="S1236" s="69" t="s">
        <v>747</v>
      </c>
      <c r="T1236" s="51" t="b">
        <v>1</v>
      </c>
      <c r="U1236" s="94"/>
    </row>
    <row r="1237" ht="30.0" customHeight="1">
      <c r="A1237" s="39"/>
      <c r="B1237" s="40">
        <v>3273.0</v>
      </c>
      <c r="C1237" s="41" t="s">
        <v>50</v>
      </c>
      <c r="D1237" s="86">
        <v>46122.0</v>
      </c>
      <c r="E1237" s="43" t="str">
        <f t="shared" si="1"/>
        <v>2026</v>
      </c>
      <c r="F1237" s="43" t="str">
        <f t="shared" si="2"/>
        <v>04 Apr</v>
      </c>
      <c r="G1237" s="45" t="s">
        <v>40</v>
      </c>
      <c r="H1237" s="45" t="s">
        <v>156</v>
      </c>
      <c r="I1237" s="45" t="s">
        <v>1095</v>
      </c>
      <c r="J1237" s="143" t="s">
        <v>28</v>
      </c>
      <c r="K1237" s="43" t="str">
        <f t="array" ref="K1237">IF(J1237="","", XLOOKUP(J1237,'⚙️ Pengaturan'!$E$2:$E3237,'⚙️ Pengaturan'!$G$2:$G3237))</f>
        <v>KLINIK FT TA</v>
      </c>
      <c r="L1237" s="43" t="str">
        <f t="shared" si="3"/>
        <v>BARU</v>
      </c>
      <c r="M1237" s="144" t="s">
        <v>31</v>
      </c>
      <c r="N1237" s="145">
        <v>250000.0</v>
      </c>
      <c r="O1237" s="146">
        <v>0.0</v>
      </c>
      <c r="P1237" s="48">
        <f t="array" ref="P1237">IFNA(XLOOKUP(J1237,'⚙️ Pengaturan'!$E$2:$E3237,'⚙️ Pengaturan'!$F$2:$F3237),"")</f>
        <v>250000</v>
      </c>
      <c r="Q1237" s="147">
        <f t="shared" si="21"/>
        <v>0</v>
      </c>
      <c r="R1237" s="41" t="s">
        <v>37</v>
      </c>
      <c r="S1237" s="69" t="s">
        <v>258</v>
      </c>
      <c r="T1237" s="51" t="b">
        <v>1</v>
      </c>
      <c r="U1237" s="94"/>
    </row>
    <row r="1238" ht="30.0" customHeight="1">
      <c r="A1238" s="39"/>
      <c r="B1238" s="40">
        <v>3274.0</v>
      </c>
      <c r="C1238" s="41" t="s">
        <v>50</v>
      </c>
      <c r="D1238" s="86">
        <v>46122.0</v>
      </c>
      <c r="E1238" s="43" t="str">
        <f t="shared" si="1"/>
        <v>2026</v>
      </c>
      <c r="F1238" s="43" t="str">
        <f t="shared" si="2"/>
        <v>04 Apr</v>
      </c>
      <c r="G1238" s="45" t="s">
        <v>40</v>
      </c>
      <c r="H1238" s="45" t="s">
        <v>76</v>
      </c>
      <c r="I1238" s="45" t="s">
        <v>1096</v>
      </c>
      <c r="J1238" s="143" t="s">
        <v>28</v>
      </c>
      <c r="K1238" s="43" t="str">
        <f t="array" ref="K1238">IF(J1238="","", XLOOKUP(J1238,'⚙️ Pengaturan'!$E$2:$E3237,'⚙️ Pengaturan'!$G$2:$G3237))</f>
        <v>KLINIK FT TA</v>
      </c>
      <c r="L1238" s="43" t="str">
        <f t="shared" si="3"/>
        <v>BARU</v>
      </c>
      <c r="M1238" s="144" t="s">
        <v>31</v>
      </c>
      <c r="N1238" s="145">
        <v>250000.0</v>
      </c>
      <c r="O1238" s="146">
        <v>0.0</v>
      </c>
      <c r="P1238" s="48">
        <f t="array" ref="P1238">IFNA(XLOOKUP(J1238,'⚙️ Pengaturan'!$E$2:$E3237,'⚙️ Pengaturan'!$F$2:$F3237),"")</f>
        <v>250000</v>
      </c>
      <c r="Q1238" s="147">
        <f t="shared" si="21"/>
        <v>0</v>
      </c>
      <c r="R1238" s="41" t="s">
        <v>32</v>
      </c>
      <c r="S1238" s="69" t="s">
        <v>33</v>
      </c>
      <c r="T1238" s="51" t="b">
        <v>1</v>
      </c>
      <c r="U1238" s="94"/>
    </row>
    <row r="1239" ht="30.0" customHeight="1">
      <c r="A1239" s="39"/>
      <c r="B1239" s="40">
        <v>3275.0</v>
      </c>
      <c r="C1239" s="41" t="s">
        <v>50</v>
      </c>
      <c r="D1239" s="86">
        <v>46122.0</v>
      </c>
      <c r="E1239" s="43" t="str">
        <f t="shared" si="1"/>
        <v>2026</v>
      </c>
      <c r="F1239" s="43" t="str">
        <f t="shared" si="2"/>
        <v>04 Apr</v>
      </c>
      <c r="G1239" s="45" t="s">
        <v>43</v>
      </c>
      <c r="H1239" s="45" t="s">
        <v>149</v>
      </c>
      <c r="I1239" s="45" t="s">
        <v>1097</v>
      </c>
      <c r="J1239" s="143" t="s">
        <v>28</v>
      </c>
      <c r="K1239" s="43" t="str">
        <f t="array" ref="K1239">IF(J1239="","", XLOOKUP(J1239,'⚙️ Pengaturan'!$E$2:$E3237,'⚙️ Pengaturan'!$G$2:$G3237))</f>
        <v>KLINIK FT TA</v>
      </c>
      <c r="L1239" s="43" t="str">
        <f t="shared" si="3"/>
        <v>BARU</v>
      </c>
      <c r="M1239" s="144" t="s">
        <v>31</v>
      </c>
      <c r="N1239" s="145">
        <v>250000.0</v>
      </c>
      <c r="O1239" s="146">
        <v>0.0</v>
      </c>
      <c r="P1239" s="48">
        <f t="array" ref="P1239">IFNA(XLOOKUP(J1239,'⚙️ Pengaturan'!$E$2:$E3237,'⚙️ Pengaturan'!$F$2:$F3237),"")</f>
        <v>250000</v>
      </c>
      <c r="Q1239" s="147">
        <f t="shared" si="21"/>
        <v>0</v>
      </c>
      <c r="R1239" s="41" t="s">
        <v>32</v>
      </c>
      <c r="S1239" s="69" t="s">
        <v>33</v>
      </c>
      <c r="T1239" s="51" t="b">
        <v>1</v>
      </c>
      <c r="U1239" s="94"/>
    </row>
    <row r="1240" ht="30.0" customHeight="1">
      <c r="A1240" s="39"/>
      <c r="B1240" s="40">
        <v>3276.0</v>
      </c>
      <c r="C1240" s="41" t="s">
        <v>50</v>
      </c>
      <c r="D1240" s="86">
        <v>46122.0</v>
      </c>
      <c r="E1240" s="43" t="str">
        <f t="shared" si="1"/>
        <v>2026</v>
      </c>
      <c r="F1240" s="43" t="str">
        <f t="shared" si="2"/>
        <v>04 Apr</v>
      </c>
      <c r="G1240" s="45" t="s">
        <v>173</v>
      </c>
      <c r="H1240" s="45" t="s">
        <v>76</v>
      </c>
      <c r="I1240" s="45" t="s">
        <v>1098</v>
      </c>
      <c r="J1240" s="143" t="s">
        <v>28</v>
      </c>
      <c r="K1240" s="43" t="str">
        <f t="array" ref="K1240">IF(J1240="","", XLOOKUP(J1240,'⚙️ Pengaturan'!$E$2:$E3237,'⚙️ Pengaturan'!$G$2:$G3237))</f>
        <v>KLINIK FT TA</v>
      </c>
      <c r="L1240" s="43" t="str">
        <f t="shared" si="3"/>
        <v>BARU</v>
      </c>
      <c r="M1240" s="144" t="s">
        <v>31</v>
      </c>
      <c r="N1240" s="145">
        <v>250000.0</v>
      </c>
      <c r="O1240" s="146">
        <v>0.0</v>
      </c>
      <c r="P1240" s="48">
        <f t="array" ref="P1240">IFNA(XLOOKUP(J1240,'⚙️ Pengaturan'!$E$2:$E3237,'⚙️ Pengaturan'!$F$2:$F3237),"")</f>
        <v>250000</v>
      </c>
      <c r="Q1240" s="147">
        <f t="shared" si="21"/>
        <v>0</v>
      </c>
      <c r="R1240" s="41" t="s">
        <v>32</v>
      </c>
      <c r="S1240" s="69" t="s">
        <v>33</v>
      </c>
      <c r="T1240" s="51" t="b">
        <v>1</v>
      </c>
      <c r="U1240" s="94"/>
    </row>
    <row r="1241" ht="30.0" customHeight="1">
      <c r="A1241" s="39"/>
      <c r="B1241" s="40">
        <v>3277.0</v>
      </c>
      <c r="C1241" s="41" t="s">
        <v>50</v>
      </c>
      <c r="D1241" s="86">
        <v>46122.0</v>
      </c>
      <c r="E1241" s="43" t="str">
        <f t="shared" si="1"/>
        <v>2026</v>
      </c>
      <c r="F1241" s="43" t="str">
        <f t="shared" si="2"/>
        <v>04 Apr</v>
      </c>
      <c r="G1241" s="45" t="s">
        <v>173</v>
      </c>
      <c r="H1241" s="45" t="s">
        <v>76</v>
      </c>
      <c r="I1241" s="45" t="s">
        <v>1098</v>
      </c>
      <c r="J1241" s="143" t="s">
        <v>119</v>
      </c>
      <c r="K1241" s="43" t="str">
        <f t="array" ref="K1241">IF(J1241="","", XLOOKUP(J1241,'⚙️ Pengaturan'!$E$2:$E3237,'⚙️ Pengaturan'!$G$2:$G3237))</f>
        <v>KLINIK FT PAKET</v>
      </c>
      <c r="L1241" s="43" t="str">
        <f t="shared" si="3"/>
        <v>BARU</v>
      </c>
      <c r="M1241" s="144" t="s">
        <v>31</v>
      </c>
      <c r="N1241" s="145">
        <v>750000.0</v>
      </c>
      <c r="O1241" s="146">
        <v>0.0</v>
      </c>
      <c r="P1241" s="48">
        <f t="array" ref="P1241">IFNA(XLOOKUP(J1241,'⚙️ Pengaturan'!$E$2:$E3237,'⚙️ Pengaturan'!$F$2:$F3237),"")</f>
        <v>750000</v>
      </c>
      <c r="Q1241" s="147">
        <f t="shared" si="21"/>
        <v>0</v>
      </c>
      <c r="R1241" s="41" t="s">
        <v>32</v>
      </c>
      <c r="S1241" s="69" t="s">
        <v>33</v>
      </c>
      <c r="T1241" s="51" t="b">
        <v>1</v>
      </c>
      <c r="U1241" s="94"/>
    </row>
    <row r="1242" ht="30.0" customHeight="1">
      <c r="A1242" s="39"/>
      <c r="B1242" s="40">
        <v>3278.0</v>
      </c>
      <c r="C1242" s="41" t="s">
        <v>50</v>
      </c>
      <c r="D1242" s="86">
        <v>46122.0</v>
      </c>
      <c r="E1242" s="43" t="str">
        <f t="shared" si="1"/>
        <v>2026</v>
      </c>
      <c r="F1242" s="43" t="str">
        <f t="shared" si="2"/>
        <v>04 Apr</v>
      </c>
      <c r="G1242" s="45" t="s">
        <v>173</v>
      </c>
      <c r="H1242" s="45" t="s">
        <v>149</v>
      </c>
      <c r="I1242" s="45" t="s">
        <v>1071</v>
      </c>
      <c r="J1242" s="143" t="s">
        <v>120</v>
      </c>
      <c r="K1242" s="43" t="str">
        <f t="array" ref="K1242">IF(J1242="","", XLOOKUP(J1242,'⚙️ Pengaturan'!$E$2:$E3237,'⚙️ Pengaturan'!$G$2:$G3237))</f>
        <v>KLINIK FT SESI</v>
      </c>
      <c r="L1242" s="43" t="str">
        <f t="shared" si="3"/>
        <v>LANJUTAN</v>
      </c>
      <c r="M1242" s="144" t="s">
        <v>31</v>
      </c>
      <c r="N1242" s="145">
        <v>180000.0</v>
      </c>
      <c r="O1242" s="146">
        <v>0.0</v>
      </c>
      <c r="P1242" s="48">
        <f t="array" ref="P1242">IFNA(XLOOKUP(J1242,'⚙️ Pengaturan'!$E$2:$E3237,'⚙️ Pengaturan'!$F$2:$F3237),"")</f>
        <v>180000</v>
      </c>
      <c r="Q1242" s="147">
        <f t="shared" si="21"/>
        <v>0</v>
      </c>
      <c r="R1242" s="41" t="s">
        <v>37</v>
      </c>
      <c r="S1242" s="69" t="s">
        <v>1071</v>
      </c>
      <c r="T1242" s="51" t="b">
        <v>1</v>
      </c>
      <c r="U1242" s="94"/>
    </row>
    <row r="1243" ht="30.0" customHeight="1">
      <c r="A1243" s="39"/>
      <c r="B1243" s="40">
        <v>3279.0</v>
      </c>
      <c r="C1243" s="41" t="s">
        <v>50</v>
      </c>
      <c r="D1243" s="86">
        <v>46122.0</v>
      </c>
      <c r="E1243" s="43" t="str">
        <f t="shared" si="1"/>
        <v>2026</v>
      </c>
      <c r="F1243" s="43" t="str">
        <f t="shared" si="2"/>
        <v>04 Apr</v>
      </c>
      <c r="G1243" s="45" t="s">
        <v>69</v>
      </c>
      <c r="H1243" s="45" t="s">
        <v>96</v>
      </c>
      <c r="I1243" s="45" t="s">
        <v>1099</v>
      </c>
      <c r="J1243" s="143" t="s">
        <v>28</v>
      </c>
      <c r="K1243" s="43" t="str">
        <f t="array" ref="K1243">IF(J1243="","", XLOOKUP(J1243,'⚙️ Pengaturan'!$E$2:$E3237,'⚙️ Pengaturan'!$G$2:$G3237))</f>
        <v>KLINIK FT TA</v>
      </c>
      <c r="L1243" s="43" t="str">
        <f t="shared" si="3"/>
        <v>BARU</v>
      </c>
      <c r="M1243" s="144" t="s">
        <v>31</v>
      </c>
      <c r="N1243" s="145">
        <v>250000.0</v>
      </c>
      <c r="O1243" s="146">
        <v>0.0</v>
      </c>
      <c r="P1243" s="48">
        <f t="array" ref="P1243">IFNA(XLOOKUP(J1243,'⚙️ Pengaturan'!$E$2:$E3237,'⚙️ Pengaturan'!$F$2:$F3237),"")</f>
        <v>250000</v>
      </c>
      <c r="Q1243" s="147">
        <f t="shared" si="21"/>
        <v>0</v>
      </c>
      <c r="R1243" s="41" t="s">
        <v>37</v>
      </c>
      <c r="S1243" s="69" t="s">
        <v>1099</v>
      </c>
      <c r="T1243" s="51" t="b">
        <v>1</v>
      </c>
      <c r="U1243" s="94"/>
    </row>
    <row r="1244" ht="30.0" customHeight="1">
      <c r="A1244" s="39"/>
      <c r="B1244" s="40">
        <v>3280.0</v>
      </c>
      <c r="C1244" s="41" t="s">
        <v>50</v>
      </c>
      <c r="D1244" s="86">
        <v>46122.0</v>
      </c>
      <c r="E1244" s="43" t="str">
        <f t="shared" si="1"/>
        <v>2026</v>
      </c>
      <c r="F1244" s="43" t="str">
        <f t="shared" si="2"/>
        <v>04 Apr</v>
      </c>
      <c r="G1244" s="45" t="s">
        <v>190</v>
      </c>
      <c r="H1244" s="45" t="s">
        <v>149</v>
      </c>
      <c r="I1244" s="45" t="s">
        <v>1085</v>
      </c>
      <c r="J1244" s="143" t="s">
        <v>119</v>
      </c>
      <c r="K1244" s="43" t="str">
        <f t="array" ref="K1244">IF(J1244="","", XLOOKUP(J1244,'⚙️ Pengaturan'!$E$2:$E3237,'⚙️ Pengaturan'!$G$2:$G3237))</f>
        <v>KLINIK FT PAKET</v>
      </c>
      <c r="L1244" s="43" t="str">
        <f t="shared" si="3"/>
        <v>BARU</v>
      </c>
      <c r="M1244" s="144" t="s">
        <v>60</v>
      </c>
      <c r="N1244" s="145">
        <v>200000.0</v>
      </c>
      <c r="O1244" s="146">
        <v>150000.0</v>
      </c>
      <c r="P1244" s="48">
        <f t="array" ref="P1244">IFNA(XLOOKUP(J1244,'⚙️ Pengaturan'!$E$2:$E3237,'⚙️ Pengaturan'!$F$2:$F3237),"")</f>
        <v>750000</v>
      </c>
      <c r="Q1244" s="147">
        <f t="shared" si="21"/>
        <v>-400000</v>
      </c>
      <c r="R1244" s="41" t="s">
        <v>32</v>
      </c>
      <c r="S1244" s="69" t="s">
        <v>33</v>
      </c>
      <c r="T1244" s="51" t="b">
        <v>1</v>
      </c>
      <c r="U1244" s="94" t="s">
        <v>1063</v>
      </c>
    </row>
    <row r="1245" ht="30.0" customHeight="1">
      <c r="A1245" s="39"/>
      <c r="B1245" s="40">
        <v>3281.0</v>
      </c>
      <c r="C1245" s="41" t="s">
        <v>50</v>
      </c>
      <c r="D1245" s="86">
        <v>46122.0</v>
      </c>
      <c r="E1245" s="43" t="str">
        <f t="shared" si="1"/>
        <v>2026</v>
      </c>
      <c r="F1245" s="43" t="str">
        <f t="shared" si="2"/>
        <v>04 Apr</v>
      </c>
      <c r="G1245" s="45" t="s">
        <v>190</v>
      </c>
      <c r="H1245" s="45" t="s">
        <v>76</v>
      </c>
      <c r="I1245" s="45" t="s">
        <v>1100</v>
      </c>
      <c r="J1245" s="143" t="s">
        <v>28</v>
      </c>
      <c r="K1245" s="43" t="str">
        <f t="array" ref="K1245">IF(J1245="","", XLOOKUP(J1245,'⚙️ Pengaturan'!$E$2:$E3237,'⚙️ Pengaturan'!$G$2:$G3237))</f>
        <v>KLINIK FT TA</v>
      </c>
      <c r="L1245" s="43" t="str">
        <f t="shared" si="3"/>
        <v>BARU</v>
      </c>
      <c r="M1245" s="144" t="s">
        <v>31</v>
      </c>
      <c r="N1245" s="145">
        <v>250000.0</v>
      </c>
      <c r="O1245" s="146">
        <v>0.0</v>
      </c>
      <c r="P1245" s="48">
        <f t="array" ref="P1245">IFNA(XLOOKUP(J1245,'⚙️ Pengaturan'!$E$2:$E3237,'⚙️ Pengaturan'!$F$2:$F3237),"")</f>
        <v>250000</v>
      </c>
      <c r="Q1245" s="147">
        <f t="shared" si="21"/>
        <v>0</v>
      </c>
      <c r="R1245" s="41" t="s">
        <v>32</v>
      </c>
      <c r="S1245" s="69" t="s">
        <v>33</v>
      </c>
      <c r="T1245" s="51" t="b">
        <v>1</v>
      </c>
      <c r="U1245" s="94"/>
    </row>
    <row r="1246" ht="30.0" customHeight="1">
      <c r="A1246" s="39"/>
      <c r="B1246" s="40">
        <v>3282.0</v>
      </c>
      <c r="C1246" s="41" t="s">
        <v>50</v>
      </c>
      <c r="D1246" s="86">
        <v>46122.0</v>
      </c>
      <c r="E1246" s="43" t="str">
        <f t="shared" si="1"/>
        <v>2026</v>
      </c>
      <c r="F1246" s="43" t="str">
        <f t="shared" si="2"/>
        <v>04 Apr</v>
      </c>
      <c r="G1246" s="45" t="s">
        <v>190</v>
      </c>
      <c r="H1246" s="45" t="s">
        <v>26</v>
      </c>
      <c r="I1246" s="45" t="s">
        <v>279</v>
      </c>
      <c r="J1246" s="143" t="s">
        <v>92</v>
      </c>
      <c r="K1246" s="43" t="str">
        <f t="array" ref="K1246">IF(J1246="","", XLOOKUP(J1246,'⚙️ Pengaturan'!$E$2:$E3237,'⚙️ Pengaturan'!$G$2:$G3237))</f>
        <v>KLINIK FT PAKET</v>
      </c>
      <c r="L1246" s="43" t="str">
        <f t="shared" si="3"/>
        <v>LANJUTAN</v>
      </c>
      <c r="M1246" s="144" t="s">
        <v>60</v>
      </c>
      <c r="N1246" s="145">
        <v>500000.0</v>
      </c>
      <c r="O1246" s="146">
        <v>0.0</v>
      </c>
      <c r="P1246" s="48">
        <f t="array" ref="P1246">IFNA(XLOOKUP(J1246,'⚙️ Pengaturan'!$E$2:$E3237,'⚙️ Pengaturan'!$F$2:$F3237),"")</f>
        <v>1200000</v>
      </c>
      <c r="Q1246" s="147">
        <f t="shared" si="21"/>
        <v>-700000</v>
      </c>
      <c r="R1246" s="41" t="s">
        <v>37</v>
      </c>
      <c r="S1246" s="69" t="s">
        <v>279</v>
      </c>
      <c r="T1246" s="51" t="b">
        <v>1</v>
      </c>
      <c r="U1246" s="94"/>
    </row>
    <row r="1247" ht="30.0" customHeight="1">
      <c r="A1247" s="39"/>
      <c r="B1247" s="40">
        <v>3283.0</v>
      </c>
      <c r="C1247" s="41" t="s">
        <v>79</v>
      </c>
      <c r="D1247" s="86">
        <v>46123.0</v>
      </c>
      <c r="E1247" s="43" t="str">
        <f t="shared" si="1"/>
        <v>2026</v>
      </c>
      <c r="F1247" s="43" t="str">
        <f t="shared" si="2"/>
        <v>04 Apr</v>
      </c>
      <c r="G1247" s="45" t="s">
        <v>195</v>
      </c>
      <c r="H1247" s="45" t="s">
        <v>47</v>
      </c>
      <c r="I1247" s="45" t="s">
        <v>1083</v>
      </c>
      <c r="J1247" s="143" t="s">
        <v>347</v>
      </c>
      <c r="K1247" s="43" t="str">
        <f t="array" ref="K1247">IF(J1247="","", XLOOKUP(J1247,'⚙️ Pengaturan'!$E$2:$E3237,'⚙️ Pengaturan'!$G$2:$G3237))</f>
        <v>KLINIK FT PAKET</v>
      </c>
      <c r="L1247" s="43" t="str">
        <f t="shared" si="3"/>
        <v>BARU</v>
      </c>
      <c r="M1247" s="144" t="s">
        <v>31</v>
      </c>
      <c r="N1247" s="145">
        <v>1300000.0</v>
      </c>
      <c r="O1247" s="146">
        <v>0.0</v>
      </c>
      <c r="P1247" s="48">
        <f t="array" ref="P1247">IFNA(XLOOKUP(J1247,'⚙️ Pengaturan'!$E$2:$E3237,'⚙️ Pengaturan'!$F$2:$F3237),"")</f>
        <v>1300000</v>
      </c>
      <c r="Q1247" s="147">
        <f t="shared" si="21"/>
        <v>0</v>
      </c>
      <c r="R1247" s="41" t="s">
        <v>37</v>
      </c>
      <c r="S1247" s="69" t="s">
        <v>1083</v>
      </c>
      <c r="T1247" s="51" t="b">
        <v>1</v>
      </c>
      <c r="U1247" s="94"/>
    </row>
    <row r="1248" ht="30.0" customHeight="1">
      <c r="A1248" s="39"/>
      <c r="B1248" s="40">
        <v>3284.0</v>
      </c>
      <c r="C1248" s="41" t="s">
        <v>79</v>
      </c>
      <c r="D1248" s="86">
        <v>46123.0</v>
      </c>
      <c r="E1248" s="43" t="str">
        <f t="shared" si="1"/>
        <v>2026</v>
      </c>
      <c r="F1248" s="43" t="str">
        <f t="shared" si="2"/>
        <v>04 Apr</v>
      </c>
      <c r="G1248" s="45" t="s">
        <v>195</v>
      </c>
      <c r="H1248" s="45" t="s">
        <v>96</v>
      </c>
      <c r="I1248" s="45" t="s">
        <v>1031</v>
      </c>
      <c r="J1248" s="143" t="s">
        <v>119</v>
      </c>
      <c r="K1248" s="43" t="str">
        <f t="array" ref="K1248">IF(J1248="","", XLOOKUP(J1248,'⚙️ Pengaturan'!$E$2:$E3237,'⚙️ Pengaturan'!$G$2:$G3237))</f>
        <v>KLINIK FT PAKET</v>
      </c>
      <c r="L1248" s="43" t="str">
        <f t="shared" si="3"/>
        <v>LANJUTAN</v>
      </c>
      <c r="M1248" s="144" t="s">
        <v>164</v>
      </c>
      <c r="N1248" s="145">
        <v>300000.0</v>
      </c>
      <c r="O1248" s="146">
        <v>450000.0</v>
      </c>
      <c r="P1248" s="48">
        <f t="array" ref="P1248">IFNA(XLOOKUP(J1248,'⚙️ Pengaturan'!$E$2:$E3237,'⚙️ Pengaturan'!$F$2:$F3237),"")</f>
        <v>750000</v>
      </c>
      <c r="Q1248" s="147">
        <f t="shared" si="21"/>
        <v>0</v>
      </c>
      <c r="R1248" s="41" t="s">
        <v>32</v>
      </c>
      <c r="S1248" s="69" t="s">
        <v>33</v>
      </c>
      <c r="T1248" s="51" t="b">
        <v>1</v>
      </c>
      <c r="U1248" s="94"/>
    </row>
    <row r="1249" ht="30.0" customHeight="1">
      <c r="A1249" s="39"/>
      <c r="B1249" s="40">
        <v>3285.0</v>
      </c>
      <c r="C1249" s="41" t="s">
        <v>79</v>
      </c>
      <c r="D1249" s="86">
        <v>46123.0</v>
      </c>
      <c r="E1249" s="43" t="str">
        <f t="shared" si="1"/>
        <v>2026</v>
      </c>
      <c r="F1249" s="43" t="str">
        <f t="shared" si="2"/>
        <v>04 Apr</v>
      </c>
      <c r="G1249" s="45" t="s">
        <v>195</v>
      </c>
      <c r="H1249" s="45" t="s">
        <v>47</v>
      </c>
      <c r="I1249" s="45" t="s">
        <v>1078</v>
      </c>
      <c r="J1249" s="143" t="s">
        <v>120</v>
      </c>
      <c r="K1249" s="43" t="str">
        <f t="array" ref="K1249">IF(J1249="","", XLOOKUP(J1249,'⚙️ Pengaturan'!$E$2:$E3237,'⚙️ Pengaturan'!$G$2:$G3237))</f>
        <v>KLINIK FT SESI</v>
      </c>
      <c r="L1249" s="43" t="str">
        <f t="shared" si="3"/>
        <v>BARU</v>
      </c>
      <c r="M1249" s="144" t="s">
        <v>31</v>
      </c>
      <c r="N1249" s="145">
        <v>180000.0</v>
      </c>
      <c r="O1249" s="146">
        <v>0.0</v>
      </c>
      <c r="P1249" s="48">
        <f t="array" ref="P1249">IFNA(XLOOKUP(J1249,'⚙️ Pengaturan'!$E$2:$E3237,'⚙️ Pengaturan'!$F$2:$F3237),"")</f>
        <v>180000</v>
      </c>
      <c r="Q1249" s="147">
        <f t="shared" si="21"/>
        <v>0</v>
      </c>
      <c r="R1249" s="41" t="s">
        <v>37</v>
      </c>
      <c r="S1249" s="69" t="s">
        <v>1078</v>
      </c>
      <c r="T1249" s="51" t="b">
        <v>1</v>
      </c>
      <c r="U1249" s="94"/>
    </row>
    <row r="1250" ht="30.0" customHeight="1">
      <c r="A1250" s="39"/>
      <c r="B1250" s="40">
        <v>3286.0</v>
      </c>
      <c r="C1250" s="41" t="s">
        <v>79</v>
      </c>
      <c r="D1250" s="86">
        <v>46123.0</v>
      </c>
      <c r="E1250" s="43" t="str">
        <f t="shared" si="1"/>
        <v>2026</v>
      </c>
      <c r="F1250" s="43" t="str">
        <f t="shared" si="2"/>
        <v>04 Apr</v>
      </c>
      <c r="G1250" s="45" t="s">
        <v>195</v>
      </c>
      <c r="H1250" s="45" t="s">
        <v>41</v>
      </c>
      <c r="I1250" s="45" t="s">
        <v>1101</v>
      </c>
      <c r="J1250" s="143" t="s">
        <v>28</v>
      </c>
      <c r="K1250" s="43" t="str">
        <f t="array" ref="K1250">IF(J1250="","", XLOOKUP(J1250,'⚙️ Pengaturan'!$E$2:$E3237,'⚙️ Pengaturan'!$G$2:$G3237))</f>
        <v>KLINIK FT TA</v>
      </c>
      <c r="L1250" s="43" t="str">
        <f t="shared" si="3"/>
        <v>BARU</v>
      </c>
      <c r="M1250" s="144" t="s">
        <v>31</v>
      </c>
      <c r="N1250" s="145">
        <v>250000.0</v>
      </c>
      <c r="O1250" s="146">
        <v>0.0</v>
      </c>
      <c r="P1250" s="48">
        <f t="array" ref="P1250">IFNA(XLOOKUP(J1250,'⚙️ Pengaturan'!$E$2:$E3237,'⚙️ Pengaturan'!$F$2:$F3237),"")</f>
        <v>250000</v>
      </c>
      <c r="Q1250" s="147">
        <f t="shared" si="21"/>
        <v>0</v>
      </c>
      <c r="R1250" s="41" t="s">
        <v>93</v>
      </c>
      <c r="S1250" s="69" t="s">
        <v>1101</v>
      </c>
      <c r="T1250" s="51" t="b">
        <v>1</v>
      </c>
      <c r="U1250" s="94"/>
    </row>
    <row r="1251" ht="30.0" customHeight="1">
      <c r="A1251" s="39"/>
      <c r="B1251" s="40">
        <v>3287.0</v>
      </c>
      <c r="C1251" s="41" t="s">
        <v>79</v>
      </c>
      <c r="D1251" s="86">
        <v>46123.0</v>
      </c>
      <c r="E1251" s="43" t="str">
        <f t="shared" si="1"/>
        <v>2026</v>
      </c>
      <c r="F1251" s="43" t="str">
        <f t="shared" si="2"/>
        <v>04 Apr</v>
      </c>
      <c r="G1251" s="45" t="s">
        <v>195</v>
      </c>
      <c r="H1251" s="45" t="s">
        <v>96</v>
      </c>
      <c r="I1251" s="45" t="s">
        <v>1102</v>
      </c>
      <c r="J1251" s="143" t="s">
        <v>28</v>
      </c>
      <c r="K1251" s="43" t="str">
        <f t="array" ref="K1251">IF(J1251="","", XLOOKUP(J1251,'⚙️ Pengaturan'!$E$2:$E3237,'⚙️ Pengaturan'!$G$2:$G3237))</f>
        <v>KLINIK FT TA</v>
      </c>
      <c r="L1251" s="43" t="str">
        <f t="shared" si="3"/>
        <v>BARU</v>
      </c>
      <c r="M1251" s="144" t="s">
        <v>31</v>
      </c>
      <c r="N1251" s="145">
        <v>250000.0</v>
      </c>
      <c r="O1251" s="146">
        <v>0.0</v>
      </c>
      <c r="P1251" s="48">
        <v>250000.0</v>
      </c>
      <c r="Q1251" s="147">
        <v>0.0</v>
      </c>
      <c r="R1251" s="41" t="s">
        <v>93</v>
      </c>
      <c r="S1251" s="69" t="s">
        <v>1101</v>
      </c>
      <c r="T1251" s="51" t="b">
        <v>1</v>
      </c>
      <c r="U1251" s="94"/>
    </row>
    <row r="1252" ht="30.0" customHeight="1">
      <c r="A1252" s="39"/>
      <c r="B1252" s="40">
        <v>3288.0</v>
      </c>
      <c r="C1252" s="41" t="s">
        <v>79</v>
      </c>
      <c r="D1252" s="86">
        <v>46123.0</v>
      </c>
      <c r="E1252" s="43" t="str">
        <f t="shared" si="1"/>
        <v>2026</v>
      </c>
      <c r="F1252" s="43" t="str">
        <f t="shared" si="2"/>
        <v>04 Apr</v>
      </c>
      <c r="G1252" s="45" t="s">
        <v>161</v>
      </c>
      <c r="H1252" s="45" t="s">
        <v>96</v>
      </c>
      <c r="I1252" s="45" t="s">
        <v>1103</v>
      </c>
      <c r="J1252" s="143" t="s">
        <v>28</v>
      </c>
      <c r="K1252" s="43" t="str">
        <f t="array" ref="K1252">IF(J1252="","", XLOOKUP(J1252,'⚙️ Pengaturan'!$E$2:$E3237,'⚙️ Pengaturan'!$G$2:$G3237))</f>
        <v>KLINIK FT TA</v>
      </c>
      <c r="L1252" s="43" t="str">
        <f t="shared" si="3"/>
        <v>BARU</v>
      </c>
      <c r="M1252" s="144" t="s">
        <v>31</v>
      </c>
      <c r="N1252" s="145">
        <v>200000.0</v>
      </c>
      <c r="O1252" s="146">
        <v>50000.0</v>
      </c>
      <c r="P1252" s="48">
        <v>250000.0</v>
      </c>
      <c r="Q1252" s="147">
        <v>0.0</v>
      </c>
      <c r="R1252" s="41" t="s">
        <v>37</v>
      </c>
      <c r="S1252" s="69" t="s">
        <v>1103</v>
      </c>
      <c r="T1252" s="51" t="b">
        <v>1</v>
      </c>
      <c r="U1252" s="94"/>
    </row>
    <row r="1253" ht="30.0" customHeight="1">
      <c r="A1253" s="39"/>
      <c r="B1253" s="40">
        <v>3289.0</v>
      </c>
      <c r="C1253" s="41" t="s">
        <v>79</v>
      </c>
      <c r="D1253" s="86">
        <v>46123.0</v>
      </c>
      <c r="E1253" s="43" t="str">
        <f t="shared" si="1"/>
        <v>2026</v>
      </c>
      <c r="F1253" s="43" t="str">
        <f t="shared" si="2"/>
        <v>04 Apr</v>
      </c>
      <c r="G1253" s="45" t="s">
        <v>161</v>
      </c>
      <c r="H1253" s="45" t="s">
        <v>41</v>
      </c>
      <c r="I1253" s="45" t="s">
        <v>1104</v>
      </c>
      <c r="J1253" s="143" t="s">
        <v>28</v>
      </c>
      <c r="K1253" s="43" t="str">
        <f t="array" ref="K1253">IF(J1253="","", XLOOKUP(J1253,'⚙️ Pengaturan'!$E$2:$E3237,'⚙️ Pengaturan'!$G$2:$G3237))</f>
        <v>KLINIK FT TA</v>
      </c>
      <c r="L1253" s="43" t="str">
        <f t="shared" si="3"/>
        <v>BARU</v>
      </c>
      <c r="M1253" s="144" t="s">
        <v>31</v>
      </c>
      <c r="N1253" s="145">
        <v>250000.0</v>
      </c>
      <c r="O1253" s="146">
        <v>0.0</v>
      </c>
      <c r="P1253" s="48">
        <v>250000.0</v>
      </c>
      <c r="Q1253" s="147">
        <v>0.0</v>
      </c>
      <c r="R1253" s="41" t="s">
        <v>37</v>
      </c>
      <c r="S1253" s="69" t="s">
        <v>1104</v>
      </c>
      <c r="T1253" s="51" t="b">
        <v>1</v>
      </c>
      <c r="U1253" s="94"/>
    </row>
    <row r="1254" ht="30.0" customHeight="1">
      <c r="A1254" s="39"/>
      <c r="B1254" s="40">
        <v>3290.0</v>
      </c>
      <c r="C1254" s="41" t="s">
        <v>79</v>
      </c>
      <c r="D1254" s="86">
        <v>46123.0</v>
      </c>
      <c r="E1254" s="43" t="str">
        <f t="shared" si="1"/>
        <v>2026</v>
      </c>
      <c r="F1254" s="43" t="str">
        <f t="shared" si="2"/>
        <v>04 Apr</v>
      </c>
      <c r="G1254" s="45" t="s">
        <v>161</v>
      </c>
      <c r="H1254" s="45" t="s">
        <v>96</v>
      </c>
      <c r="I1254" s="45" t="s">
        <v>1102</v>
      </c>
      <c r="J1254" s="143" t="s">
        <v>364</v>
      </c>
      <c r="K1254" s="43" t="str">
        <f t="array" ref="K1254">IF(J1254="","", XLOOKUP(J1254,'⚙️ Pengaturan'!$E$2:$E3237,'⚙️ Pengaturan'!$G$2:$G3237))</f>
        <v>VISIT FT PAKET</v>
      </c>
      <c r="L1254" s="43" t="str">
        <f t="shared" si="3"/>
        <v>BARU</v>
      </c>
      <c r="M1254" s="144" t="s">
        <v>31</v>
      </c>
      <c r="N1254" s="145">
        <v>2300000.0</v>
      </c>
      <c r="O1254" s="146">
        <v>0.0</v>
      </c>
      <c r="P1254" s="48">
        <f t="array" ref="P1254">IFNA(XLOOKUP(J1254,'⚙️ Pengaturan'!$E$2:$E3237,'⚙️ Pengaturan'!$F$2:$F3237),"")</f>
        <v>2300000</v>
      </c>
      <c r="Q1254" s="147">
        <f t="shared" ref="Q1254:Q1255" si="22">IF(I1254="","",(N1254+O1254)-P1254)</f>
        <v>0</v>
      </c>
      <c r="R1254" s="41" t="s">
        <v>37</v>
      </c>
      <c r="S1254" s="69" t="s">
        <v>1102</v>
      </c>
      <c r="T1254" s="51" t="b">
        <v>1</v>
      </c>
      <c r="U1254" s="94"/>
    </row>
    <row r="1255" ht="30.0" customHeight="1">
      <c r="A1255" s="39"/>
      <c r="B1255" s="40">
        <v>3291.0</v>
      </c>
      <c r="C1255" s="41" t="s">
        <v>79</v>
      </c>
      <c r="D1255" s="86">
        <v>46123.0</v>
      </c>
      <c r="E1255" s="43" t="str">
        <f t="shared" si="1"/>
        <v>2026</v>
      </c>
      <c r="F1255" s="43" t="str">
        <f t="shared" si="2"/>
        <v>04 Apr</v>
      </c>
      <c r="G1255" s="45" t="s">
        <v>35</v>
      </c>
      <c r="H1255" s="45" t="s">
        <v>96</v>
      </c>
      <c r="I1255" s="45" t="s">
        <v>245</v>
      </c>
      <c r="J1255" s="143" t="s">
        <v>180</v>
      </c>
      <c r="K1255" s="43" t="str">
        <f t="array" ref="K1255">IF(J1255="","", XLOOKUP(J1255,'⚙️ Pengaturan'!$E$2:$E3237,'⚙️ Pengaturan'!$G$2:$G3237))</f>
        <v>KLINIK FT SESI</v>
      </c>
      <c r="L1255" s="43" t="str">
        <f t="shared" si="3"/>
        <v>LANJUTAN</v>
      </c>
      <c r="M1255" s="144" t="s">
        <v>31</v>
      </c>
      <c r="N1255" s="145">
        <v>150000.0</v>
      </c>
      <c r="O1255" s="146">
        <v>0.0</v>
      </c>
      <c r="P1255" s="48">
        <f t="array" ref="P1255">IFNA(XLOOKUP(J1255,'⚙️ Pengaturan'!$E$2:$E3237,'⚙️ Pengaturan'!$F$2:$F3237),"")</f>
        <v>150000</v>
      </c>
      <c r="Q1255" s="147">
        <f t="shared" si="22"/>
        <v>0</v>
      </c>
      <c r="R1255" s="41" t="s">
        <v>37</v>
      </c>
      <c r="S1255" s="69" t="s">
        <v>245</v>
      </c>
      <c r="T1255" s="51" t="b">
        <v>1</v>
      </c>
      <c r="U1255" s="94"/>
    </row>
    <row r="1256" ht="30.0" customHeight="1">
      <c r="A1256" s="39"/>
      <c r="B1256" s="40">
        <v>3292.0</v>
      </c>
      <c r="C1256" s="41" t="s">
        <v>79</v>
      </c>
      <c r="D1256" s="86">
        <v>46123.0</v>
      </c>
      <c r="E1256" s="43" t="str">
        <f t="shared" si="1"/>
        <v>2026</v>
      </c>
      <c r="F1256" s="43" t="str">
        <f t="shared" si="2"/>
        <v>04 Apr</v>
      </c>
      <c r="G1256" s="45" t="s">
        <v>161</v>
      </c>
      <c r="H1256" s="45" t="s">
        <v>96</v>
      </c>
      <c r="I1256" s="45" t="s">
        <v>1105</v>
      </c>
      <c r="J1256" s="143" t="s">
        <v>28</v>
      </c>
      <c r="K1256" s="43" t="str">
        <f t="array" ref="K1256">IF(J1256="","", XLOOKUP(J1256,'⚙️ Pengaturan'!$E$2:$E3237,'⚙️ Pengaturan'!$G$2:$G3237))</f>
        <v>KLINIK FT TA</v>
      </c>
      <c r="L1256" s="43" t="str">
        <f t="shared" si="3"/>
        <v>BARU</v>
      </c>
      <c r="M1256" s="144" t="s">
        <v>31</v>
      </c>
      <c r="N1256" s="145">
        <v>250000.0</v>
      </c>
      <c r="O1256" s="146">
        <v>0.0</v>
      </c>
      <c r="P1256" s="48">
        <v>250000.0</v>
      </c>
      <c r="Q1256" s="147">
        <v>0.0</v>
      </c>
      <c r="R1256" s="41" t="s">
        <v>37</v>
      </c>
      <c r="S1256" s="69" t="s">
        <v>1106</v>
      </c>
      <c r="T1256" s="51" t="b">
        <v>1</v>
      </c>
      <c r="U1256" s="94"/>
    </row>
    <row r="1257" ht="30.0" customHeight="1">
      <c r="A1257" s="39"/>
      <c r="B1257" s="40">
        <v>3293.0</v>
      </c>
      <c r="C1257" s="41" t="s">
        <v>39</v>
      </c>
      <c r="D1257" s="86">
        <v>46123.0</v>
      </c>
      <c r="E1257" s="43" t="str">
        <f t="shared" si="1"/>
        <v>2026</v>
      </c>
      <c r="F1257" s="43" t="str">
        <f t="shared" si="2"/>
        <v>04 Apr</v>
      </c>
      <c r="G1257" s="45" t="s">
        <v>43</v>
      </c>
      <c r="H1257" s="45" t="s">
        <v>26</v>
      </c>
      <c r="I1257" s="45" t="s">
        <v>1065</v>
      </c>
      <c r="J1257" s="143" t="s">
        <v>347</v>
      </c>
      <c r="K1257" s="43" t="str">
        <f t="array" ref="K1257">IF(J1257="","", XLOOKUP(J1257,'⚙️ Pengaturan'!$E$2:$E3237,'⚙️ Pengaturan'!$G$2:$G3237))</f>
        <v>KLINIK FT PAKET</v>
      </c>
      <c r="L1257" s="43" t="str">
        <f t="shared" si="3"/>
        <v>BARU</v>
      </c>
      <c r="M1257" s="144" t="s">
        <v>60</v>
      </c>
      <c r="N1257" s="145">
        <v>500000.0</v>
      </c>
      <c r="O1257" s="146">
        <v>0.0</v>
      </c>
      <c r="P1257" s="48">
        <f t="array" ref="P1257">IFNA(XLOOKUP(J1257,'⚙️ Pengaturan'!$E$2:$E3237,'⚙️ Pengaturan'!$F$2:$F3237),"")</f>
        <v>1300000</v>
      </c>
      <c r="Q1257" s="147">
        <f t="shared" ref="Q1257:Q1339" si="23">IF(I1257="","",(N1257+O1257)-P1257)</f>
        <v>-800000</v>
      </c>
      <c r="R1257" s="41" t="s">
        <v>32</v>
      </c>
      <c r="S1257" s="69" t="s">
        <v>33</v>
      </c>
      <c r="T1257" s="51" t="b">
        <v>1</v>
      </c>
      <c r="U1257" s="94"/>
    </row>
    <row r="1258" ht="30.0" customHeight="1">
      <c r="A1258" s="39"/>
      <c r="B1258" s="40">
        <v>3294.0</v>
      </c>
      <c r="C1258" s="41" t="s">
        <v>39</v>
      </c>
      <c r="D1258" s="86">
        <v>46123.0</v>
      </c>
      <c r="E1258" s="43" t="str">
        <f t="shared" si="1"/>
        <v>2026</v>
      </c>
      <c r="F1258" s="43" t="str">
        <f t="shared" si="2"/>
        <v>04 Apr</v>
      </c>
      <c r="G1258" s="45" t="s">
        <v>43</v>
      </c>
      <c r="H1258" s="45" t="s">
        <v>166</v>
      </c>
      <c r="I1258" s="45" t="s">
        <v>1107</v>
      </c>
      <c r="J1258" s="143" t="s">
        <v>28</v>
      </c>
      <c r="K1258" s="43" t="str">
        <f t="array" ref="K1258">IF(J1258="","", XLOOKUP(J1258,'⚙️ Pengaturan'!$E$2:$E3237,'⚙️ Pengaturan'!$G$2:$G3237))</f>
        <v>KLINIK FT TA</v>
      </c>
      <c r="L1258" s="43" t="str">
        <f t="shared" si="3"/>
        <v>BARU</v>
      </c>
      <c r="M1258" s="144" t="s">
        <v>31</v>
      </c>
      <c r="N1258" s="145">
        <v>250000.0</v>
      </c>
      <c r="O1258" s="146">
        <v>0.0</v>
      </c>
      <c r="P1258" s="48">
        <f t="array" ref="P1258">IFNA(XLOOKUP(J1258,'⚙️ Pengaturan'!$E$2:$E3237,'⚙️ Pengaturan'!$F$2:$F3237),"")</f>
        <v>250000</v>
      </c>
      <c r="Q1258" s="147">
        <f t="shared" si="23"/>
        <v>0</v>
      </c>
      <c r="R1258" s="41" t="s">
        <v>32</v>
      </c>
      <c r="S1258" s="69" t="s">
        <v>33</v>
      </c>
      <c r="T1258" s="51" t="b">
        <v>1</v>
      </c>
      <c r="U1258" s="94"/>
    </row>
    <row r="1259" ht="30.0" customHeight="1">
      <c r="A1259" s="39"/>
      <c r="B1259" s="40">
        <v>3295.0</v>
      </c>
      <c r="C1259" s="41" t="s">
        <v>39</v>
      </c>
      <c r="D1259" s="86">
        <v>46123.0</v>
      </c>
      <c r="E1259" s="43" t="str">
        <f t="shared" si="1"/>
        <v>2026</v>
      </c>
      <c r="F1259" s="43" t="str">
        <f t="shared" si="2"/>
        <v>04 Apr</v>
      </c>
      <c r="G1259" s="45" t="s">
        <v>35</v>
      </c>
      <c r="H1259" s="45" t="s">
        <v>96</v>
      </c>
      <c r="I1259" s="45" t="s">
        <v>1108</v>
      </c>
      <c r="J1259" s="143" t="s">
        <v>28</v>
      </c>
      <c r="K1259" s="43" t="str">
        <f t="array" ref="K1259">IF(J1259="","", XLOOKUP(J1259,'⚙️ Pengaturan'!$E$2:$E3237,'⚙️ Pengaturan'!$G$2:$G3237))</f>
        <v>KLINIK FT TA</v>
      </c>
      <c r="L1259" s="43" t="str">
        <f t="shared" si="3"/>
        <v>BARU</v>
      </c>
      <c r="M1259" s="144" t="s">
        <v>31</v>
      </c>
      <c r="N1259" s="145">
        <v>250000.0</v>
      </c>
      <c r="O1259" s="146">
        <v>0.0</v>
      </c>
      <c r="P1259" s="48">
        <f t="array" ref="P1259">IFNA(XLOOKUP(J1259,'⚙️ Pengaturan'!$E$2:$E3237,'⚙️ Pengaturan'!$F$2:$F3237),"")</f>
        <v>250000</v>
      </c>
      <c r="Q1259" s="147">
        <f t="shared" si="23"/>
        <v>0</v>
      </c>
      <c r="R1259" s="41" t="s">
        <v>37</v>
      </c>
      <c r="S1259" s="69" t="s">
        <v>1109</v>
      </c>
      <c r="T1259" s="51" t="b">
        <v>1</v>
      </c>
      <c r="U1259" s="94"/>
    </row>
    <row r="1260" ht="30.0" customHeight="1">
      <c r="A1260" s="39"/>
      <c r="B1260" s="40">
        <v>3296.0</v>
      </c>
      <c r="C1260" s="41" t="s">
        <v>39</v>
      </c>
      <c r="D1260" s="86">
        <v>46123.0</v>
      </c>
      <c r="E1260" s="43" t="str">
        <f t="shared" si="1"/>
        <v>2026</v>
      </c>
      <c r="F1260" s="43" t="str">
        <f t="shared" si="2"/>
        <v>04 Apr</v>
      </c>
      <c r="G1260" s="45" t="s">
        <v>155</v>
      </c>
      <c r="H1260" s="45" t="s">
        <v>26</v>
      </c>
      <c r="I1260" s="45" t="s">
        <v>1091</v>
      </c>
      <c r="J1260" s="143" t="s">
        <v>119</v>
      </c>
      <c r="K1260" s="43" t="str">
        <f t="array" ref="K1260">IF(J1260="","", XLOOKUP(J1260,'⚙️ Pengaturan'!$E$2:$E3237,'⚙️ Pengaturan'!$G$2:$G3237))</f>
        <v>KLINIK FT PAKET</v>
      </c>
      <c r="L1260" s="43" t="str">
        <f t="shared" si="3"/>
        <v>BARU</v>
      </c>
      <c r="M1260" s="144" t="s">
        <v>60</v>
      </c>
      <c r="N1260" s="145">
        <v>350000.0</v>
      </c>
      <c r="O1260" s="146">
        <v>0.0</v>
      </c>
      <c r="P1260" s="48">
        <f t="array" ref="P1260">IFNA(XLOOKUP(J1260,'⚙️ Pengaturan'!$E$2:$E3237,'⚙️ Pengaturan'!$F$2:$F3237),"")</f>
        <v>750000</v>
      </c>
      <c r="Q1260" s="147">
        <f t="shared" si="23"/>
        <v>-400000</v>
      </c>
      <c r="R1260" s="41" t="s">
        <v>32</v>
      </c>
      <c r="S1260" s="69" t="s">
        <v>33</v>
      </c>
      <c r="T1260" s="51" t="b">
        <v>1</v>
      </c>
      <c r="U1260" s="94"/>
    </row>
    <row r="1261" ht="30.0" customHeight="1">
      <c r="A1261" s="39"/>
      <c r="B1261" s="40">
        <v>3297.0</v>
      </c>
      <c r="C1261" s="41" t="s">
        <v>39</v>
      </c>
      <c r="D1261" s="86">
        <v>46123.0</v>
      </c>
      <c r="E1261" s="43" t="str">
        <f t="shared" si="1"/>
        <v>2026</v>
      </c>
      <c r="F1261" s="43" t="str">
        <f t="shared" si="2"/>
        <v>04 Apr</v>
      </c>
      <c r="G1261" s="45" t="s">
        <v>190</v>
      </c>
      <c r="H1261" s="45" t="s">
        <v>26</v>
      </c>
      <c r="I1261" s="45" t="s">
        <v>1110</v>
      </c>
      <c r="J1261" s="143" t="s">
        <v>28</v>
      </c>
      <c r="K1261" s="43" t="str">
        <f t="array" ref="K1261">IF(J1261="","", XLOOKUP(J1261,'⚙️ Pengaturan'!$E$2:$E3237,'⚙️ Pengaturan'!$G$2:$G3237))</f>
        <v>KLINIK FT TA</v>
      </c>
      <c r="L1261" s="43" t="str">
        <f t="shared" si="3"/>
        <v>BARU</v>
      </c>
      <c r="M1261" s="144" t="s">
        <v>31</v>
      </c>
      <c r="N1261" s="145">
        <v>250000.0</v>
      </c>
      <c r="O1261" s="146">
        <v>0.0</v>
      </c>
      <c r="P1261" s="48">
        <f t="array" ref="P1261">IFNA(XLOOKUP(J1261,'⚙️ Pengaturan'!$E$2:$E3237,'⚙️ Pengaturan'!$F$2:$F3237),"")</f>
        <v>250000</v>
      </c>
      <c r="Q1261" s="147">
        <f t="shared" si="23"/>
        <v>0</v>
      </c>
      <c r="R1261" s="41" t="s">
        <v>37</v>
      </c>
      <c r="S1261" s="69" t="s">
        <v>1110</v>
      </c>
      <c r="T1261" s="51" t="b">
        <v>1</v>
      </c>
      <c r="U1261" s="94"/>
    </row>
    <row r="1262" ht="30.0" customHeight="1">
      <c r="A1262" s="39"/>
      <c r="B1262" s="40">
        <v>3298.0</v>
      </c>
      <c r="C1262" s="41" t="s">
        <v>39</v>
      </c>
      <c r="D1262" s="86">
        <v>46124.0</v>
      </c>
      <c r="E1262" s="43" t="str">
        <f t="shared" si="1"/>
        <v>2026</v>
      </c>
      <c r="F1262" s="43" t="str">
        <f t="shared" si="2"/>
        <v>04 Apr</v>
      </c>
      <c r="G1262" s="45" t="s">
        <v>195</v>
      </c>
      <c r="H1262" s="45" t="s">
        <v>166</v>
      </c>
      <c r="I1262" s="45" t="s">
        <v>494</v>
      </c>
      <c r="J1262" s="143" t="s">
        <v>92</v>
      </c>
      <c r="K1262" s="43" t="str">
        <f t="array" ref="K1262">IF(J1262="","", XLOOKUP(J1262,'⚙️ Pengaturan'!$E$2:$E3237,'⚙️ Pengaturan'!$G$2:$G3237))</f>
        <v>KLINIK FT PAKET</v>
      </c>
      <c r="L1262" s="43" t="str">
        <f t="shared" si="3"/>
        <v>LANJUTAN</v>
      </c>
      <c r="M1262" s="144" t="s">
        <v>164</v>
      </c>
      <c r="N1262" s="145">
        <v>700000.0</v>
      </c>
      <c r="O1262" s="146">
        <v>500000.0</v>
      </c>
      <c r="P1262" s="48">
        <f t="array" ref="P1262">IFNA(XLOOKUP(J1262,'⚙️ Pengaturan'!$E$2:$E3237,'⚙️ Pengaturan'!$F$2:$F3237),"")</f>
        <v>1200000</v>
      </c>
      <c r="Q1262" s="147">
        <f t="shared" si="23"/>
        <v>0</v>
      </c>
      <c r="R1262" s="41" t="s">
        <v>32</v>
      </c>
      <c r="S1262" s="69" t="s">
        <v>33</v>
      </c>
      <c r="T1262" s="51" t="b">
        <v>1</v>
      </c>
      <c r="U1262" s="94"/>
    </row>
    <row r="1263" ht="30.0" customHeight="1">
      <c r="A1263" s="39"/>
      <c r="B1263" s="40">
        <v>3299.0</v>
      </c>
      <c r="C1263" s="41" t="s">
        <v>39</v>
      </c>
      <c r="D1263" s="86">
        <v>46124.0</v>
      </c>
      <c r="E1263" s="43" t="str">
        <f t="shared" si="1"/>
        <v>2026</v>
      </c>
      <c r="F1263" s="43" t="str">
        <f t="shared" si="2"/>
        <v>04 Apr</v>
      </c>
      <c r="G1263" s="45" t="s">
        <v>195</v>
      </c>
      <c r="H1263" s="45" t="s">
        <v>162</v>
      </c>
      <c r="I1263" s="45" t="s">
        <v>1111</v>
      </c>
      <c r="J1263" s="143" t="s">
        <v>28</v>
      </c>
      <c r="K1263" s="43" t="str">
        <f t="array" ref="K1263">IF(J1263="","", XLOOKUP(J1263,'⚙️ Pengaturan'!$E$2:$E3237,'⚙️ Pengaturan'!$G$2:$G3237))</f>
        <v>KLINIK FT TA</v>
      </c>
      <c r="L1263" s="43" t="str">
        <f t="shared" si="3"/>
        <v>BARU</v>
      </c>
      <c r="M1263" s="144" t="s">
        <v>31</v>
      </c>
      <c r="N1263" s="145">
        <v>250000.0</v>
      </c>
      <c r="O1263" s="146">
        <v>0.0</v>
      </c>
      <c r="P1263" s="48">
        <f t="array" ref="P1263">IFNA(XLOOKUP(J1263,'⚙️ Pengaturan'!$E$2:$E3237,'⚙️ Pengaturan'!$F$2:$F3237),"")</f>
        <v>250000</v>
      </c>
      <c r="Q1263" s="147">
        <f t="shared" si="23"/>
        <v>0</v>
      </c>
      <c r="R1263" s="41" t="s">
        <v>32</v>
      </c>
      <c r="S1263" s="69" t="s">
        <v>33</v>
      </c>
      <c r="T1263" s="51" t="b">
        <v>1</v>
      </c>
      <c r="U1263" s="94"/>
    </row>
    <row r="1264" ht="30.0" customHeight="1">
      <c r="A1264" s="39"/>
      <c r="B1264" s="40">
        <v>3300.0</v>
      </c>
      <c r="C1264" s="41" t="s">
        <v>39</v>
      </c>
      <c r="D1264" s="86">
        <v>46124.0</v>
      </c>
      <c r="E1264" s="43" t="str">
        <f t="shared" si="1"/>
        <v>2026</v>
      </c>
      <c r="F1264" s="43" t="str">
        <f t="shared" si="2"/>
        <v>04 Apr</v>
      </c>
      <c r="G1264" s="45" t="s">
        <v>161</v>
      </c>
      <c r="H1264" s="45" t="s">
        <v>26</v>
      </c>
      <c r="I1264" s="45" t="s">
        <v>1112</v>
      </c>
      <c r="J1264" s="143" t="s">
        <v>28</v>
      </c>
      <c r="K1264" s="43" t="str">
        <f t="array" ref="K1264">IF(J1264="","", XLOOKUP(J1264,'⚙️ Pengaturan'!$E$2:$E3237,'⚙️ Pengaturan'!$G$2:$G3237))</f>
        <v>KLINIK FT TA</v>
      </c>
      <c r="L1264" s="43" t="str">
        <f t="shared" si="3"/>
        <v>BARU</v>
      </c>
      <c r="M1264" s="144" t="s">
        <v>31</v>
      </c>
      <c r="N1264" s="145">
        <v>250000.0</v>
      </c>
      <c r="O1264" s="146">
        <v>0.0</v>
      </c>
      <c r="P1264" s="48">
        <f t="array" ref="P1264">IFNA(XLOOKUP(J1264,'⚙️ Pengaturan'!$E$2:$E3237,'⚙️ Pengaturan'!$F$2:$F3237),"")</f>
        <v>250000</v>
      </c>
      <c r="Q1264" s="147">
        <f t="shared" si="23"/>
        <v>0</v>
      </c>
      <c r="R1264" s="41" t="s">
        <v>118</v>
      </c>
      <c r="S1264" s="69" t="s">
        <v>1113</v>
      </c>
      <c r="T1264" s="51" t="b">
        <v>1</v>
      </c>
      <c r="U1264" s="94"/>
    </row>
    <row r="1265" ht="30.0" customHeight="1">
      <c r="A1265" s="39"/>
      <c r="B1265" s="40">
        <v>3301.0</v>
      </c>
      <c r="C1265" s="41" t="s">
        <v>39</v>
      </c>
      <c r="D1265" s="86">
        <v>46124.0</v>
      </c>
      <c r="E1265" s="43" t="str">
        <f t="shared" si="1"/>
        <v>2026</v>
      </c>
      <c r="F1265" s="43" t="str">
        <f t="shared" si="2"/>
        <v>04 Apr</v>
      </c>
      <c r="G1265" s="45" t="s">
        <v>161</v>
      </c>
      <c r="H1265" s="45" t="s">
        <v>162</v>
      </c>
      <c r="I1265" s="45" t="s">
        <v>1113</v>
      </c>
      <c r="J1265" s="143" t="s">
        <v>28</v>
      </c>
      <c r="K1265" s="43" t="str">
        <f t="array" ref="K1265">IF(J1265="","", XLOOKUP(J1265,'⚙️ Pengaturan'!$E$2:$E3237,'⚙️ Pengaturan'!$G$2:$G3237))</f>
        <v>KLINIK FT TA</v>
      </c>
      <c r="L1265" s="43" t="str">
        <f t="shared" si="3"/>
        <v>BARU</v>
      </c>
      <c r="M1265" s="144" t="s">
        <v>31</v>
      </c>
      <c r="N1265" s="145">
        <v>250000.0</v>
      </c>
      <c r="O1265" s="146">
        <v>0.0</v>
      </c>
      <c r="P1265" s="48">
        <f t="array" ref="P1265">IFNA(XLOOKUP(J1265,'⚙️ Pengaturan'!$E$2:$E3237,'⚙️ Pengaturan'!$F$2:$F3237),"")</f>
        <v>250000</v>
      </c>
      <c r="Q1265" s="147">
        <f t="shared" si="23"/>
        <v>0</v>
      </c>
      <c r="R1265" s="41" t="s">
        <v>118</v>
      </c>
      <c r="S1265" s="69" t="s">
        <v>1113</v>
      </c>
      <c r="T1265" s="51" t="b">
        <v>1</v>
      </c>
      <c r="U1265" s="94"/>
    </row>
    <row r="1266" ht="30.0" customHeight="1">
      <c r="A1266" s="39"/>
      <c r="B1266" s="40">
        <v>3302.0</v>
      </c>
      <c r="C1266" s="41" t="s">
        <v>39</v>
      </c>
      <c r="D1266" s="86">
        <v>46124.0</v>
      </c>
      <c r="E1266" s="43" t="str">
        <f t="shared" si="1"/>
        <v>2026</v>
      </c>
      <c r="F1266" s="43" t="str">
        <f t="shared" si="2"/>
        <v>04 Apr</v>
      </c>
      <c r="G1266" s="45" t="s">
        <v>35</v>
      </c>
      <c r="H1266" s="45" t="s">
        <v>162</v>
      </c>
      <c r="I1266" s="45" t="s">
        <v>179</v>
      </c>
      <c r="J1266" s="143" t="s">
        <v>180</v>
      </c>
      <c r="K1266" s="43" t="str">
        <f t="array" ref="K1266">IF(J1266="","", XLOOKUP(J1266,'⚙️ Pengaturan'!$E$2:$E3237,'⚙️ Pengaturan'!$G$2:$G3237))</f>
        <v>KLINIK FT SESI</v>
      </c>
      <c r="L1266" s="43" t="str">
        <f t="shared" si="3"/>
        <v>LANJUTAN</v>
      </c>
      <c r="M1266" s="144" t="s">
        <v>31</v>
      </c>
      <c r="N1266" s="145">
        <v>150000.0</v>
      </c>
      <c r="O1266" s="146">
        <v>0.0</v>
      </c>
      <c r="P1266" s="48">
        <f t="array" ref="P1266">IFNA(XLOOKUP(J1266,'⚙️ Pengaturan'!$E$2:$E3237,'⚙️ Pengaturan'!$F$2:$F3237),"")</f>
        <v>150000</v>
      </c>
      <c r="Q1266" s="147">
        <f t="shared" si="23"/>
        <v>0</v>
      </c>
      <c r="R1266" s="41" t="s">
        <v>32</v>
      </c>
      <c r="S1266" s="69" t="s">
        <v>33</v>
      </c>
      <c r="T1266" s="51" t="b">
        <v>1</v>
      </c>
      <c r="U1266" s="94"/>
    </row>
    <row r="1267" ht="30.0" customHeight="1">
      <c r="A1267" s="39"/>
      <c r="B1267" s="40">
        <v>3303.0</v>
      </c>
      <c r="C1267" s="41" t="s">
        <v>39</v>
      </c>
      <c r="D1267" s="86">
        <v>46124.0</v>
      </c>
      <c r="E1267" s="43" t="str">
        <f t="shared" si="1"/>
        <v>2026</v>
      </c>
      <c r="F1267" s="43" t="str">
        <f t="shared" si="2"/>
        <v>04 Apr</v>
      </c>
      <c r="G1267" s="45" t="s">
        <v>35</v>
      </c>
      <c r="H1267" s="45" t="s">
        <v>26</v>
      </c>
      <c r="I1267" s="45" t="s">
        <v>1110</v>
      </c>
      <c r="J1267" s="143" t="s">
        <v>347</v>
      </c>
      <c r="K1267" s="43" t="str">
        <f t="array" ref="K1267">IF(J1267="","", XLOOKUP(J1267,'⚙️ Pengaturan'!$E$2:$E3237,'⚙️ Pengaturan'!$G$2:$G3237))</f>
        <v>KLINIK FT PAKET</v>
      </c>
      <c r="L1267" s="43" t="str">
        <f t="shared" si="3"/>
        <v>BARU</v>
      </c>
      <c r="M1267" s="144" t="s">
        <v>31</v>
      </c>
      <c r="N1267" s="145">
        <v>1300000.0</v>
      </c>
      <c r="O1267" s="146">
        <v>0.0</v>
      </c>
      <c r="P1267" s="48">
        <f t="array" ref="P1267">IFNA(XLOOKUP(J1267,'⚙️ Pengaturan'!$E$2:$E3237,'⚙️ Pengaturan'!$F$2:$F3237),"")</f>
        <v>1300000</v>
      </c>
      <c r="Q1267" s="147">
        <f t="shared" si="23"/>
        <v>0</v>
      </c>
      <c r="R1267" s="41" t="s">
        <v>37</v>
      </c>
      <c r="S1267" s="69" t="s">
        <v>1110</v>
      </c>
      <c r="T1267" s="51" t="b">
        <v>1</v>
      </c>
      <c r="U1267" s="94"/>
    </row>
    <row r="1268" ht="30.0" customHeight="1">
      <c r="A1268" s="39"/>
      <c r="B1268" s="40">
        <v>3304.0</v>
      </c>
      <c r="C1268" s="41" t="s">
        <v>39</v>
      </c>
      <c r="D1268" s="86">
        <v>46124.0</v>
      </c>
      <c r="E1268" s="43" t="str">
        <f t="shared" si="1"/>
        <v>2026</v>
      </c>
      <c r="F1268" s="43" t="str">
        <f t="shared" si="2"/>
        <v>04 Apr</v>
      </c>
      <c r="G1268" s="45" t="s">
        <v>35</v>
      </c>
      <c r="H1268" s="45" t="s">
        <v>166</v>
      </c>
      <c r="I1268" s="45" t="s">
        <v>1114</v>
      </c>
      <c r="J1268" s="143" t="s">
        <v>28</v>
      </c>
      <c r="K1268" s="43" t="str">
        <f t="array" ref="K1268">IF(J1268="","", XLOOKUP(J1268,'⚙️ Pengaturan'!$E$2:$E3237,'⚙️ Pengaturan'!$G$2:$G3237))</f>
        <v>KLINIK FT TA</v>
      </c>
      <c r="L1268" s="43" t="str">
        <f t="shared" si="3"/>
        <v>BARU</v>
      </c>
      <c r="M1268" s="144" t="s">
        <v>31</v>
      </c>
      <c r="N1268" s="145">
        <v>250000.0</v>
      </c>
      <c r="O1268" s="146">
        <v>0.0</v>
      </c>
      <c r="P1268" s="48">
        <f t="array" ref="P1268">IFNA(XLOOKUP(J1268,'⚙️ Pengaturan'!$E$2:$E3237,'⚙️ Pengaturan'!$F$2:$F3237),"")</f>
        <v>250000</v>
      </c>
      <c r="Q1268" s="147">
        <f t="shared" si="23"/>
        <v>0</v>
      </c>
      <c r="R1268" s="41" t="s">
        <v>37</v>
      </c>
      <c r="S1268" s="69" t="s">
        <v>1110</v>
      </c>
      <c r="T1268" s="51" t="b">
        <v>1</v>
      </c>
      <c r="U1268" s="94"/>
    </row>
    <row r="1269" ht="30.0" customHeight="1">
      <c r="A1269" s="39"/>
      <c r="B1269" s="40">
        <v>3305.0</v>
      </c>
      <c r="C1269" s="41" t="s">
        <v>50</v>
      </c>
      <c r="D1269" s="86">
        <v>46124.0</v>
      </c>
      <c r="E1269" s="43" t="str">
        <f t="shared" si="1"/>
        <v>2026</v>
      </c>
      <c r="F1269" s="43" t="str">
        <f t="shared" si="2"/>
        <v>04 Apr</v>
      </c>
      <c r="G1269" s="45" t="s">
        <v>40</v>
      </c>
      <c r="H1269" s="45" t="s">
        <v>47</v>
      </c>
      <c r="I1269" s="45" t="s">
        <v>1115</v>
      </c>
      <c r="J1269" s="143" t="s">
        <v>28</v>
      </c>
      <c r="K1269" s="43" t="str">
        <f t="array" ref="K1269">IF(J1269="","", XLOOKUP(J1269,'⚙️ Pengaturan'!$E$2:$E3237,'⚙️ Pengaturan'!$G$2:$G3237))</f>
        <v>KLINIK FT TA</v>
      </c>
      <c r="L1269" s="43" t="str">
        <f t="shared" si="3"/>
        <v>BARU</v>
      </c>
      <c r="M1269" s="144" t="s">
        <v>31</v>
      </c>
      <c r="N1269" s="145">
        <v>250000.0</v>
      </c>
      <c r="O1269" s="146">
        <v>0.0</v>
      </c>
      <c r="P1269" s="48">
        <f t="array" ref="P1269">IFNA(XLOOKUP(J1269,'⚙️ Pengaturan'!$E$2:$E3237,'⚙️ Pengaturan'!$F$2:$F3237),"")</f>
        <v>250000</v>
      </c>
      <c r="Q1269" s="147">
        <f t="shared" si="23"/>
        <v>0</v>
      </c>
      <c r="R1269" s="41" t="s">
        <v>37</v>
      </c>
      <c r="S1269" s="69" t="s">
        <v>1115</v>
      </c>
      <c r="T1269" s="51" t="b">
        <v>1</v>
      </c>
      <c r="U1269" s="94"/>
    </row>
    <row r="1270" ht="30.0" customHeight="1">
      <c r="A1270" s="39"/>
      <c r="B1270" s="40">
        <v>3306.0</v>
      </c>
      <c r="C1270" s="41" t="s">
        <v>50</v>
      </c>
      <c r="D1270" s="86">
        <v>46124.0</v>
      </c>
      <c r="E1270" s="43" t="str">
        <f t="shared" si="1"/>
        <v>2026</v>
      </c>
      <c r="F1270" s="43" t="str">
        <f t="shared" si="2"/>
        <v>04 Apr</v>
      </c>
      <c r="G1270" s="45" t="s">
        <v>43</v>
      </c>
      <c r="H1270" s="45" t="s">
        <v>41</v>
      </c>
      <c r="I1270" s="45" t="s">
        <v>967</v>
      </c>
      <c r="J1270" s="143" t="s">
        <v>180</v>
      </c>
      <c r="K1270" s="43" t="str">
        <f t="array" ref="K1270">IF(J1270="","", XLOOKUP(J1270,'⚙️ Pengaturan'!$E$2:$E3237,'⚙️ Pengaturan'!$G$2:$G3237))</f>
        <v>KLINIK FT SESI</v>
      </c>
      <c r="L1270" s="43" t="str">
        <f t="shared" si="3"/>
        <v>BARU</v>
      </c>
      <c r="M1270" s="144" t="s">
        <v>31</v>
      </c>
      <c r="N1270" s="145">
        <v>50000.0</v>
      </c>
      <c r="O1270" s="146">
        <v>100000.0</v>
      </c>
      <c r="P1270" s="119">
        <v>150000.0</v>
      </c>
      <c r="Q1270" s="147">
        <f t="shared" si="23"/>
        <v>0</v>
      </c>
      <c r="R1270" s="41" t="s">
        <v>32</v>
      </c>
      <c r="S1270" s="69" t="s">
        <v>33</v>
      </c>
      <c r="T1270" s="51" t="b">
        <v>1</v>
      </c>
      <c r="U1270" s="94"/>
    </row>
    <row r="1271" ht="30.0" customHeight="1">
      <c r="A1271" s="39"/>
      <c r="B1271" s="40">
        <v>3307.0</v>
      </c>
      <c r="C1271" s="41" t="s">
        <v>50</v>
      </c>
      <c r="D1271" s="86">
        <v>46124.0</v>
      </c>
      <c r="E1271" s="43" t="str">
        <f t="shared" si="1"/>
        <v>2026</v>
      </c>
      <c r="F1271" s="43" t="str">
        <f t="shared" si="2"/>
        <v>04 Apr</v>
      </c>
      <c r="G1271" s="45" t="s">
        <v>173</v>
      </c>
      <c r="H1271" s="45" t="s">
        <v>41</v>
      </c>
      <c r="I1271" s="45" t="s">
        <v>1116</v>
      </c>
      <c r="J1271" s="143" t="s">
        <v>28</v>
      </c>
      <c r="K1271" s="43" t="str">
        <f t="array" ref="K1271">IF(J1271="","", XLOOKUP(J1271,'⚙️ Pengaturan'!$E$2:$E3237,'⚙️ Pengaturan'!$G$2:$G3237))</f>
        <v>KLINIK FT TA</v>
      </c>
      <c r="L1271" s="43" t="str">
        <f t="shared" si="3"/>
        <v>BARU</v>
      </c>
      <c r="M1271" s="144" t="s">
        <v>31</v>
      </c>
      <c r="N1271" s="145">
        <v>250000.0</v>
      </c>
      <c r="O1271" s="146">
        <v>0.0</v>
      </c>
      <c r="P1271" s="48">
        <f t="array" ref="P1271">IFNA(XLOOKUP(J1271,'⚙️ Pengaturan'!$E$2:$E3237,'⚙️ Pengaturan'!$F$2:$F3237),"")</f>
        <v>250000</v>
      </c>
      <c r="Q1271" s="147">
        <f t="shared" si="23"/>
        <v>0</v>
      </c>
      <c r="R1271" s="41" t="s">
        <v>37</v>
      </c>
      <c r="S1271" s="69" t="s">
        <v>1116</v>
      </c>
      <c r="T1271" s="51" t="b">
        <v>1</v>
      </c>
      <c r="U1271" s="94"/>
    </row>
    <row r="1272" ht="30.0" customHeight="1">
      <c r="A1272" s="39"/>
      <c r="B1272" s="40">
        <v>3308.0</v>
      </c>
      <c r="C1272" s="41" t="s">
        <v>50</v>
      </c>
      <c r="D1272" s="86">
        <v>46124.0</v>
      </c>
      <c r="E1272" s="43" t="str">
        <f t="shared" si="1"/>
        <v>2026</v>
      </c>
      <c r="F1272" s="43" t="str">
        <f t="shared" si="2"/>
        <v>04 Apr</v>
      </c>
      <c r="G1272" s="45" t="s">
        <v>173</v>
      </c>
      <c r="H1272" s="45" t="s">
        <v>76</v>
      </c>
      <c r="I1272" s="45" t="s">
        <v>1117</v>
      </c>
      <c r="J1272" s="143" t="s">
        <v>28</v>
      </c>
      <c r="K1272" s="43" t="str">
        <f t="array" ref="K1272">IF(J1272="","", XLOOKUP(J1272,'⚙️ Pengaturan'!$E$2:$E3237,'⚙️ Pengaturan'!$G$2:$G3237))</f>
        <v>KLINIK FT TA</v>
      </c>
      <c r="L1272" s="43" t="str">
        <f t="shared" si="3"/>
        <v>BARU</v>
      </c>
      <c r="M1272" s="144" t="s">
        <v>31</v>
      </c>
      <c r="N1272" s="145">
        <v>250000.0</v>
      </c>
      <c r="O1272" s="146">
        <v>0.0</v>
      </c>
      <c r="P1272" s="48">
        <f t="array" ref="P1272">IFNA(XLOOKUP(J1272,'⚙️ Pengaturan'!$E$2:$E3237,'⚙️ Pengaturan'!$F$2:$F3237),"")</f>
        <v>250000</v>
      </c>
      <c r="Q1272" s="147">
        <f t="shared" si="23"/>
        <v>0</v>
      </c>
      <c r="R1272" s="41" t="s">
        <v>32</v>
      </c>
      <c r="S1272" s="69" t="s">
        <v>33</v>
      </c>
      <c r="T1272" s="51" t="b">
        <v>1</v>
      </c>
      <c r="U1272" s="94"/>
    </row>
    <row r="1273" ht="30.0" customHeight="1">
      <c r="A1273" s="39"/>
      <c r="B1273" s="40">
        <v>3309.0</v>
      </c>
      <c r="C1273" s="41" t="s">
        <v>50</v>
      </c>
      <c r="D1273" s="86">
        <v>46124.0</v>
      </c>
      <c r="E1273" s="43" t="str">
        <f t="shared" si="1"/>
        <v>2026</v>
      </c>
      <c r="F1273" s="43" t="str">
        <f t="shared" si="2"/>
        <v>04 Apr</v>
      </c>
      <c r="G1273" s="45" t="s">
        <v>173</v>
      </c>
      <c r="H1273" s="45" t="s">
        <v>47</v>
      </c>
      <c r="I1273" s="45" t="s">
        <v>1118</v>
      </c>
      <c r="J1273" s="143" t="s">
        <v>28</v>
      </c>
      <c r="K1273" s="43" t="str">
        <f t="array" ref="K1273">IF(J1273="","", XLOOKUP(J1273,'⚙️ Pengaturan'!$E$2:$E3237,'⚙️ Pengaturan'!$G$2:$G3237))</f>
        <v>KLINIK FT TA</v>
      </c>
      <c r="L1273" s="43" t="str">
        <f t="shared" si="3"/>
        <v>BARU</v>
      </c>
      <c r="M1273" s="144" t="s">
        <v>31</v>
      </c>
      <c r="N1273" s="145">
        <v>250000.0</v>
      </c>
      <c r="O1273" s="146">
        <v>0.0</v>
      </c>
      <c r="P1273" s="48">
        <f t="array" ref="P1273">IFNA(XLOOKUP(J1273,'⚙️ Pengaturan'!$E$2:$E3237,'⚙️ Pengaturan'!$F$2:$F3237),"")</f>
        <v>250000</v>
      </c>
      <c r="Q1273" s="147">
        <f t="shared" si="23"/>
        <v>0</v>
      </c>
      <c r="R1273" s="41" t="s">
        <v>32</v>
      </c>
      <c r="S1273" s="69" t="s">
        <v>33</v>
      </c>
      <c r="T1273" s="51" t="b">
        <v>1</v>
      </c>
      <c r="U1273" s="94"/>
    </row>
    <row r="1274" ht="30.0" customHeight="1">
      <c r="A1274" s="39"/>
      <c r="B1274" s="40">
        <v>3310.0</v>
      </c>
      <c r="C1274" s="41" t="s">
        <v>50</v>
      </c>
      <c r="D1274" s="86">
        <v>46124.0</v>
      </c>
      <c r="E1274" s="43" t="str">
        <f t="shared" si="1"/>
        <v>2026</v>
      </c>
      <c r="F1274" s="43" t="str">
        <f t="shared" si="2"/>
        <v>04 Apr</v>
      </c>
      <c r="G1274" s="45" t="s">
        <v>173</v>
      </c>
      <c r="H1274" s="45" t="s">
        <v>149</v>
      </c>
      <c r="I1274" s="45" t="s">
        <v>1085</v>
      </c>
      <c r="J1274" s="143" t="s">
        <v>119</v>
      </c>
      <c r="K1274" s="43" t="str">
        <f t="array" ref="K1274">IF(J1274="","", XLOOKUP(J1274,'⚙️ Pengaturan'!$E$2:$E3237,'⚙️ Pengaturan'!$G$2:$G3237))</f>
        <v>KLINIK FT PAKET</v>
      </c>
      <c r="L1274" s="43" t="str">
        <f t="shared" si="3"/>
        <v>LANJUTAN</v>
      </c>
      <c r="M1274" s="144" t="s">
        <v>81</v>
      </c>
      <c r="N1274" s="145">
        <v>200000.0</v>
      </c>
      <c r="O1274" s="146">
        <v>350000.0</v>
      </c>
      <c r="P1274" s="48">
        <f t="array" ref="P1274">IFNA(XLOOKUP(J1274,'⚙️ Pengaturan'!$E$2:$E3237,'⚙️ Pengaturan'!$F$2:$F3237),"")</f>
        <v>750000</v>
      </c>
      <c r="Q1274" s="147">
        <f t="shared" si="23"/>
        <v>-200000</v>
      </c>
      <c r="R1274" s="41" t="s">
        <v>32</v>
      </c>
      <c r="S1274" s="69" t="s">
        <v>33</v>
      </c>
      <c r="T1274" s="51" t="b">
        <v>1</v>
      </c>
      <c r="U1274" s="94"/>
    </row>
    <row r="1275" ht="30.0" customHeight="1">
      <c r="A1275" s="39"/>
      <c r="B1275" s="40">
        <v>3311.0</v>
      </c>
      <c r="C1275" s="41" t="s">
        <v>50</v>
      </c>
      <c r="D1275" s="86">
        <v>46124.0</v>
      </c>
      <c r="E1275" s="43" t="str">
        <f t="shared" si="1"/>
        <v>2026</v>
      </c>
      <c r="F1275" s="43" t="str">
        <f t="shared" si="2"/>
        <v>04 Apr</v>
      </c>
      <c r="G1275" s="45" t="s">
        <v>190</v>
      </c>
      <c r="H1275" s="45" t="s">
        <v>149</v>
      </c>
      <c r="I1275" s="45" t="s">
        <v>1119</v>
      </c>
      <c r="J1275" s="143" t="s">
        <v>28</v>
      </c>
      <c r="K1275" s="43" t="str">
        <f t="array" ref="K1275">IF(J1275="","", XLOOKUP(J1275,'⚙️ Pengaturan'!$E$2:$E3237,'⚙️ Pengaturan'!$G$2:$G3237))</f>
        <v>KLINIK FT TA</v>
      </c>
      <c r="L1275" s="43" t="str">
        <f t="shared" si="3"/>
        <v>BARU</v>
      </c>
      <c r="M1275" s="144" t="s">
        <v>31</v>
      </c>
      <c r="N1275" s="145">
        <v>250000.0</v>
      </c>
      <c r="O1275" s="146">
        <v>0.0</v>
      </c>
      <c r="P1275" s="48">
        <f t="array" ref="P1275">IFNA(XLOOKUP(J1275,'⚙️ Pengaturan'!$E$2:$E3237,'⚙️ Pengaturan'!$F$2:$F3237),"")</f>
        <v>250000</v>
      </c>
      <c r="Q1275" s="147">
        <f t="shared" si="23"/>
        <v>0</v>
      </c>
      <c r="R1275" s="41" t="s">
        <v>32</v>
      </c>
      <c r="S1275" s="69" t="s">
        <v>33</v>
      </c>
      <c r="T1275" s="51" t="b">
        <v>1</v>
      </c>
      <c r="U1275" s="94"/>
    </row>
    <row r="1276" ht="30.0" customHeight="1">
      <c r="A1276" s="39"/>
      <c r="B1276" s="40">
        <v>3312.0</v>
      </c>
      <c r="C1276" s="41" t="s">
        <v>50</v>
      </c>
      <c r="D1276" s="86">
        <v>46124.0</v>
      </c>
      <c r="E1276" s="43" t="str">
        <f t="shared" si="1"/>
        <v>2026</v>
      </c>
      <c r="F1276" s="43" t="str">
        <f t="shared" si="2"/>
        <v>04 Apr</v>
      </c>
      <c r="G1276" s="45" t="s">
        <v>190</v>
      </c>
      <c r="H1276" s="45" t="s">
        <v>41</v>
      </c>
      <c r="I1276" s="45" t="s">
        <v>970</v>
      </c>
      <c r="J1276" s="143" t="s">
        <v>120</v>
      </c>
      <c r="K1276" s="43" t="str">
        <f t="array" ref="K1276">IF(J1276="","", XLOOKUP(J1276,'⚙️ Pengaturan'!$E$2:$E3237,'⚙️ Pengaturan'!$G$2:$G3237))</f>
        <v>KLINIK FT SESI</v>
      </c>
      <c r="L1276" s="43" t="str">
        <f t="shared" si="3"/>
        <v>LANJUTAN</v>
      </c>
      <c r="M1276" s="144" t="s">
        <v>31</v>
      </c>
      <c r="N1276" s="145">
        <v>180000.0</v>
      </c>
      <c r="O1276" s="146">
        <v>0.0</v>
      </c>
      <c r="P1276" s="48">
        <f t="array" ref="P1276">IFNA(XLOOKUP(J1276,'⚙️ Pengaturan'!$E$2:$E3237,'⚙️ Pengaturan'!$F$2:$F3237),"")</f>
        <v>180000</v>
      </c>
      <c r="Q1276" s="147">
        <f t="shared" si="23"/>
        <v>0</v>
      </c>
      <c r="R1276" s="41" t="s">
        <v>37</v>
      </c>
      <c r="S1276" s="69" t="s">
        <v>970</v>
      </c>
      <c r="T1276" s="51" t="b">
        <v>1</v>
      </c>
      <c r="U1276" s="94"/>
    </row>
    <row r="1277" ht="30.0" customHeight="1">
      <c r="A1277" s="39"/>
      <c r="B1277" s="40">
        <v>3313.0</v>
      </c>
      <c r="C1277" s="41" t="s">
        <v>39</v>
      </c>
      <c r="D1277" s="86">
        <v>46125.0</v>
      </c>
      <c r="E1277" s="43" t="str">
        <f t="shared" si="1"/>
        <v>2026</v>
      </c>
      <c r="F1277" s="43" t="str">
        <f t="shared" si="2"/>
        <v>04 Apr</v>
      </c>
      <c r="G1277" s="45" t="s">
        <v>25</v>
      </c>
      <c r="H1277" s="45" t="s">
        <v>166</v>
      </c>
      <c r="I1277" s="45" t="s">
        <v>1120</v>
      </c>
      <c r="J1277" s="143" t="s">
        <v>28</v>
      </c>
      <c r="K1277" s="43" t="str">
        <f t="array" ref="K1277">IF(J1277="","", XLOOKUP(J1277,'⚙️ Pengaturan'!$E$2:$E3237,'⚙️ Pengaturan'!$G$2:$G3237))</f>
        <v>KLINIK FT TA</v>
      </c>
      <c r="L1277" s="43" t="str">
        <f t="shared" si="3"/>
        <v>BARU</v>
      </c>
      <c r="M1277" s="144" t="s">
        <v>31</v>
      </c>
      <c r="N1277" s="145">
        <v>250000.0</v>
      </c>
      <c r="O1277" s="146">
        <v>0.0</v>
      </c>
      <c r="P1277" s="48">
        <f t="array" ref="P1277">IFNA(XLOOKUP(J1277,'⚙️ Pengaturan'!$E$2:$E3237,'⚙️ Pengaturan'!$F$2:$F3237),"")</f>
        <v>250000</v>
      </c>
      <c r="Q1277" s="147">
        <f t="shared" si="23"/>
        <v>0</v>
      </c>
      <c r="R1277" s="41" t="s">
        <v>118</v>
      </c>
      <c r="S1277" s="69" t="s">
        <v>1120</v>
      </c>
      <c r="T1277" s="51" t="b">
        <v>1</v>
      </c>
      <c r="U1277" s="94"/>
    </row>
    <row r="1278" ht="30.0" customHeight="1">
      <c r="A1278" s="39"/>
      <c r="B1278" s="40">
        <v>3314.0</v>
      </c>
      <c r="C1278" s="41" t="s">
        <v>39</v>
      </c>
      <c r="D1278" s="86">
        <v>46125.0</v>
      </c>
      <c r="E1278" s="43" t="str">
        <f t="shared" si="1"/>
        <v>2026</v>
      </c>
      <c r="F1278" s="43" t="str">
        <f t="shared" si="2"/>
        <v>04 Apr</v>
      </c>
      <c r="G1278" s="45" t="s">
        <v>25</v>
      </c>
      <c r="H1278" s="45" t="s">
        <v>166</v>
      </c>
      <c r="I1278" s="45" t="s">
        <v>1120</v>
      </c>
      <c r="J1278" s="143" t="s">
        <v>119</v>
      </c>
      <c r="K1278" s="43" t="str">
        <f t="array" ref="K1278">IF(J1278="","", XLOOKUP(J1278,'⚙️ Pengaturan'!$E$2:$E3237,'⚙️ Pengaturan'!$G$2:$G3237))</f>
        <v>KLINIK FT PAKET</v>
      </c>
      <c r="L1278" s="43" t="str">
        <f t="shared" si="3"/>
        <v>BARU</v>
      </c>
      <c r="M1278" s="144" t="s">
        <v>60</v>
      </c>
      <c r="N1278" s="145">
        <v>250000.0</v>
      </c>
      <c r="O1278" s="146">
        <v>0.0</v>
      </c>
      <c r="P1278" s="48">
        <f t="array" ref="P1278">IFNA(XLOOKUP(J1278,'⚙️ Pengaturan'!$E$2:$E3237,'⚙️ Pengaturan'!$F$2:$F3237),"")</f>
        <v>750000</v>
      </c>
      <c r="Q1278" s="147">
        <f t="shared" si="23"/>
        <v>-500000</v>
      </c>
      <c r="R1278" s="41" t="s">
        <v>118</v>
      </c>
      <c r="S1278" s="69" t="s">
        <v>1120</v>
      </c>
      <c r="T1278" s="51" t="b">
        <v>1</v>
      </c>
      <c r="U1278" s="94"/>
    </row>
    <row r="1279" ht="30.0" customHeight="1">
      <c r="A1279" s="39"/>
      <c r="B1279" s="40">
        <v>3315.0</v>
      </c>
      <c r="C1279" s="41" t="s">
        <v>39</v>
      </c>
      <c r="D1279" s="86">
        <v>46125.0</v>
      </c>
      <c r="E1279" s="43" t="str">
        <f t="shared" si="1"/>
        <v>2026</v>
      </c>
      <c r="F1279" s="43" t="str">
        <f t="shared" si="2"/>
        <v>04 Apr</v>
      </c>
      <c r="G1279" s="45" t="s">
        <v>195</v>
      </c>
      <c r="H1279" s="45" t="s">
        <v>162</v>
      </c>
      <c r="I1279" s="45" t="s">
        <v>1119</v>
      </c>
      <c r="J1279" s="143" t="s">
        <v>120</v>
      </c>
      <c r="K1279" s="43" t="str">
        <f t="array" ref="K1279">IF(J1279="","", XLOOKUP(J1279,'⚙️ Pengaturan'!$E$2:$E3237,'⚙️ Pengaturan'!$G$2:$G3237))</f>
        <v>KLINIK FT SESI</v>
      </c>
      <c r="L1279" s="43" t="str">
        <f t="shared" si="3"/>
        <v>BARU</v>
      </c>
      <c r="M1279" s="144" t="s">
        <v>31</v>
      </c>
      <c r="N1279" s="145">
        <v>180000.0</v>
      </c>
      <c r="O1279" s="146">
        <v>0.0</v>
      </c>
      <c r="P1279" s="48">
        <f t="array" ref="P1279">IFNA(XLOOKUP(J1279,'⚙️ Pengaturan'!$E$2:$E3237,'⚙️ Pengaturan'!$F$2:$F3237),"")</f>
        <v>180000</v>
      </c>
      <c r="Q1279" s="147">
        <f t="shared" si="23"/>
        <v>0</v>
      </c>
      <c r="R1279" s="41" t="s">
        <v>32</v>
      </c>
      <c r="S1279" s="69" t="s">
        <v>33</v>
      </c>
      <c r="T1279" s="51" t="b">
        <v>1</v>
      </c>
      <c r="U1279" s="94"/>
    </row>
    <row r="1280" ht="30.0" customHeight="1">
      <c r="A1280" s="39"/>
      <c r="B1280" s="40">
        <v>3316.0</v>
      </c>
      <c r="C1280" s="41" t="s">
        <v>39</v>
      </c>
      <c r="D1280" s="86">
        <v>46125.0</v>
      </c>
      <c r="E1280" s="43" t="str">
        <f t="shared" si="1"/>
        <v>2026</v>
      </c>
      <c r="F1280" s="43" t="str">
        <f t="shared" si="2"/>
        <v>04 Apr</v>
      </c>
      <c r="G1280" s="45" t="s">
        <v>25</v>
      </c>
      <c r="H1280" s="45" t="s">
        <v>162</v>
      </c>
      <c r="I1280" s="45" t="s">
        <v>1119</v>
      </c>
      <c r="J1280" s="143" t="s">
        <v>120</v>
      </c>
      <c r="K1280" s="43" t="str">
        <f t="array" ref="K1280">IF(J1280="","", XLOOKUP(J1280,'⚙️ Pengaturan'!$E$2:$E3237,'⚙️ Pengaturan'!$G$2:$G3237))</f>
        <v>KLINIK FT SESI</v>
      </c>
      <c r="L1280" s="43" t="str">
        <f t="shared" si="3"/>
        <v>LANJUTAN</v>
      </c>
      <c r="M1280" s="144" t="s">
        <v>31</v>
      </c>
      <c r="N1280" s="145">
        <v>180000.0</v>
      </c>
      <c r="O1280" s="146">
        <v>0.0</v>
      </c>
      <c r="P1280" s="48">
        <f t="array" ref="P1280">IFNA(XLOOKUP(J1280,'⚙️ Pengaturan'!$E$2:$E3237,'⚙️ Pengaturan'!$F$2:$F3237),"")</f>
        <v>180000</v>
      </c>
      <c r="Q1280" s="147">
        <f t="shared" si="23"/>
        <v>0</v>
      </c>
      <c r="R1280" s="41" t="s">
        <v>32</v>
      </c>
      <c r="S1280" s="69" t="s">
        <v>33</v>
      </c>
      <c r="T1280" s="51" t="b">
        <v>1</v>
      </c>
      <c r="U1280" s="94"/>
    </row>
    <row r="1281" ht="30.0" customHeight="1">
      <c r="A1281" s="39"/>
      <c r="B1281" s="40">
        <v>3317.0</v>
      </c>
      <c r="C1281" s="41" t="s">
        <v>39</v>
      </c>
      <c r="D1281" s="86">
        <v>46125.0</v>
      </c>
      <c r="E1281" s="43" t="str">
        <f t="shared" si="1"/>
        <v>2026</v>
      </c>
      <c r="F1281" s="43" t="str">
        <f t="shared" si="2"/>
        <v>04 Apr</v>
      </c>
      <c r="G1281" s="45" t="s">
        <v>206</v>
      </c>
      <c r="H1281" s="45" t="s">
        <v>26</v>
      </c>
      <c r="I1281" s="45" t="s">
        <v>1105</v>
      </c>
      <c r="J1281" s="143" t="s">
        <v>120</v>
      </c>
      <c r="K1281" s="43" t="str">
        <f t="array" ref="K1281">IF(J1281="","", XLOOKUP(J1281,'⚙️ Pengaturan'!$E$2:$E3237,'⚙️ Pengaturan'!$G$2:$G3237))</f>
        <v>KLINIK FT SESI</v>
      </c>
      <c r="L1281" s="43" t="str">
        <f t="shared" si="3"/>
        <v>BARU</v>
      </c>
      <c r="M1281" s="144" t="s">
        <v>31</v>
      </c>
      <c r="N1281" s="145">
        <v>180000.0</v>
      </c>
      <c r="O1281" s="146">
        <v>0.0</v>
      </c>
      <c r="P1281" s="48">
        <f t="array" ref="P1281">IFNA(XLOOKUP(J1281,'⚙️ Pengaturan'!$E$2:$E3237,'⚙️ Pengaturan'!$F$2:$F3237),"")</f>
        <v>180000</v>
      </c>
      <c r="Q1281" s="147">
        <f t="shared" si="23"/>
        <v>0</v>
      </c>
      <c r="R1281" s="41" t="s">
        <v>37</v>
      </c>
      <c r="S1281" s="69" t="s">
        <v>1106</v>
      </c>
      <c r="T1281" s="51" t="b">
        <v>1</v>
      </c>
      <c r="U1281" s="94"/>
    </row>
    <row r="1282" ht="30.0" customHeight="1">
      <c r="A1282" s="39"/>
      <c r="B1282" s="40">
        <v>3318.0</v>
      </c>
      <c r="C1282" s="41" t="s">
        <v>39</v>
      </c>
      <c r="D1282" s="86">
        <v>46125.0</v>
      </c>
      <c r="E1282" s="43" t="str">
        <f t="shared" si="1"/>
        <v>2026</v>
      </c>
      <c r="F1282" s="43" t="str">
        <f t="shared" si="2"/>
        <v>04 Apr</v>
      </c>
      <c r="G1282" s="45" t="s">
        <v>161</v>
      </c>
      <c r="H1282" s="45" t="s">
        <v>166</v>
      </c>
      <c r="I1282" s="45" t="s">
        <v>1114</v>
      </c>
      <c r="J1282" s="143" t="s">
        <v>119</v>
      </c>
      <c r="K1282" s="43" t="str">
        <f t="array" ref="K1282">IF(J1282="","", XLOOKUP(J1282,'⚙️ Pengaturan'!$E$2:$E3237,'⚙️ Pengaturan'!$G$2:$G3237))</f>
        <v>KLINIK FT PAKET</v>
      </c>
      <c r="L1282" s="43" t="str">
        <f t="shared" si="3"/>
        <v>BARU</v>
      </c>
      <c r="M1282" s="144" t="s">
        <v>31</v>
      </c>
      <c r="N1282" s="145">
        <v>750000.0</v>
      </c>
      <c r="O1282" s="146">
        <v>0.0</v>
      </c>
      <c r="P1282" s="48">
        <f t="array" ref="P1282">IFNA(XLOOKUP(J1282,'⚙️ Pengaturan'!$E$2:$E3237,'⚙️ Pengaturan'!$F$2:$F3237),"")</f>
        <v>750000</v>
      </c>
      <c r="Q1282" s="147">
        <f t="shared" si="23"/>
        <v>0</v>
      </c>
      <c r="R1282" s="41" t="s">
        <v>37</v>
      </c>
      <c r="S1282" s="69" t="s">
        <v>1110</v>
      </c>
      <c r="T1282" s="51" t="b">
        <v>1</v>
      </c>
      <c r="U1282" s="94"/>
    </row>
    <row r="1283" ht="30.0" customHeight="1">
      <c r="A1283" s="39"/>
      <c r="B1283" s="40">
        <v>3319.0</v>
      </c>
      <c r="C1283" s="41" t="s">
        <v>39</v>
      </c>
      <c r="D1283" s="86">
        <v>46125.0</v>
      </c>
      <c r="E1283" s="43" t="str">
        <f t="shared" si="1"/>
        <v>2026</v>
      </c>
      <c r="F1283" s="43" t="str">
        <f t="shared" si="2"/>
        <v>04 Apr</v>
      </c>
      <c r="G1283" s="45" t="s">
        <v>161</v>
      </c>
      <c r="H1283" s="45" t="s">
        <v>162</v>
      </c>
      <c r="I1283" s="45" t="s">
        <v>1121</v>
      </c>
      <c r="J1283" s="143" t="s">
        <v>28</v>
      </c>
      <c r="K1283" s="43" t="str">
        <f t="array" ref="K1283">IF(J1283="","", XLOOKUP(J1283,'⚙️ Pengaturan'!$E$2:$E3237,'⚙️ Pengaturan'!$G$2:$G3237))</f>
        <v>KLINIK FT TA</v>
      </c>
      <c r="L1283" s="43" t="str">
        <f t="shared" si="3"/>
        <v>BARU</v>
      </c>
      <c r="M1283" s="144" t="s">
        <v>31</v>
      </c>
      <c r="N1283" s="145">
        <v>250000.0</v>
      </c>
      <c r="O1283" s="146">
        <v>0.0</v>
      </c>
      <c r="P1283" s="48">
        <f t="array" ref="P1283">IFNA(XLOOKUP(J1283,'⚙️ Pengaturan'!$E$2:$E3237,'⚙️ Pengaturan'!$F$2:$F3237),"")</f>
        <v>250000</v>
      </c>
      <c r="Q1283" s="147">
        <f t="shared" si="23"/>
        <v>0</v>
      </c>
      <c r="R1283" s="41" t="s">
        <v>37</v>
      </c>
      <c r="S1283" s="69" t="s">
        <v>1121</v>
      </c>
      <c r="T1283" s="51" t="b">
        <v>1</v>
      </c>
      <c r="U1283" s="94"/>
    </row>
    <row r="1284" ht="30.0" customHeight="1">
      <c r="A1284" s="39"/>
      <c r="B1284" s="40">
        <v>3320.0</v>
      </c>
      <c r="C1284" s="41" t="s">
        <v>39</v>
      </c>
      <c r="D1284" s="86">
        <v>46125.0</v>
      </c>
      <c r="E1284" s="43" t="str">
        <f t="shared" si="1"/>
        <v>2026</v>
      </c>
      <c r="F1284" s="43" t="str">
        <f t="shared" si="2"/>
        <v>04 Apr</v>
      </c>
      <c r="G1284" s="45" t="s">
        <v>35</v>
      </c>
      <c r="H1284" s="45" t="s">
        <v>162</v>
      </c>
      <c r="I1284" s="45" t="s">
        <v>1055</v>
      </c>
      <c r="J1284" s="143" t="s">
        <v>120</v>
      </c>
      <c r="K1284" s="43" t="str">
        <f t="array" ref="K1284">IF(J1284="","", XLOOKUP(J1284,'⚙️ Pengaturan'!$E$2:$E3237,'⚙️ Pengaturan'!$G$2:$G3237))</f>
        <v>KLINIK FT SESI</v>
      </c>
      <c r="L1284" s="43" t="str">
        <f t="shared" si="3"/>
        <v>LANJUTAN</v>
      </c>
      <c r="M1284" s="144" t="s">
        <v>31</v>
      </c>
      <c r="N1284" s="145">
        <v>180000.0</v>
      </c>
      <c r="O1284" s="146">
        <v>0.0</v>
      </c>
      <c r="P1284" s="48">
        <f t="array" ref="P1284">IFNA(XLOOKUP(J1284,'⚙️ Pengaturan'!$E$2:$E3237,'⚙️ Pengaturan'!$F$2:$F3237),"")</f>
        <v>180000</v>
      </c>
      <c r="Q1284" s="147">
        <f t="shared" si="23"/>
        <v>0</v>
      </c>
      <c r="R1284" s="41" t="s">
        <v>32</v>
      </c>
      <c r="S1284" s="69" t="s">
        <v>33</v>
      </c>
      <c r="T1284" s="51" t="b">
        <v>1</v>
      </c>
      <c r="U1284" s="94"/>
    </row>
    <row r="1285" ht="30.0" customHeight="1">
      <c r="A1285" s="39"/>
      <c r="B1285" s="40">
        <v>3321.0</v>
      </c>
      <c r="C1285" s="41" t="s">
        <v>39</v>
      </c>
      <c r="D1285" s="86">
        <v>46125.0</v>
      </c>
      <c r="E1285" s="43" t="str">
        <f t="shared" si="1"/>
        <v>2026</v>
      </c>
      <c r="F1285" s="43" t="str">
        <f t="shared" si="2"/>
        <v>04 Apr</v>
      </c>
      <c r="G1285" s="45" t="s">
        <v>35</v>
      </c>
      <c r="H1285" s="45" t="s">
        <v>166</v>
      </c>
      <c r="I1285" s="45" t="s">
        <v>976</v>
      </c>
      <c r="J1285" s="143" t="s">
        <v>120</v>
      </c>
      <c r="K1285" s="43" t="str">
        <f t="array" ref="K1285">IF(J1285="","", XLOOKUP(J1285,'⚙️ Pengaturan'!$E$2:$E3237,'⚙️ Pengaturan'!$G$2:$G3237))</f>
        <v>KLINIK FT SESI</v>
      </c>
      <c r="L1285" s="43" t="str">
        <f t="shared" si="3"/>
        <v>BARU</v>
      </c>
      <c r="M1285" s="144" t="s">
        <v>31</v>
      </c>
      <c r="N1285" s="145">
        <v>144000.0</v>
      </c>
      <c r="O1285" s="146">
        <v>36000.0</v>
      </c>
      <c r="P1285" s="48">
        <f t="array" ref="P1285">IFNA(XLOOKUP(J1285,'⚙️ Pengaturan'!$E$2:$E3237,'⚙️ Pengaturan'!$F$2:$F3237),"")</f>
        <v>180000</v>
      </c>
      <c r="Q1285" s="147">
        <f t="shared" si="23"/>
        <v>0</v>
      </c>
      <c r="R1285" s="41" t="s">
        <v>32</v>
      </c>
      <c r="S1285" s="69" t="s">
        <v>33</v>
      </c>
      <c r="T1285" s="51" t="b">
        <v>1</v>
      </c>
      <c r="U1285" s="94"/>
    </row>
    <row r="1286" ht="30.0" customHeight="1">
      <c r="A1286" s="39"/>
      <c r="B1286" s="40">
        <v>3322.0</v>
      </c>
      <c r="C1286" s="41" t="s">
        <v>39</v>
      </c>
      <c r="D1286" s="86">
        <v>46125.0</v>
      </c>
      <c r="E1286" s="43" t="str">
        <f t="shared" si="1"/>
        <v>2026</v>
      </c>
      <c r="F1286" s="43" t="str">
        <f t="shared" si="2"/>
        <v>04 Apr</v>
      </c>
      <c r="G1286" s="45" t="s">
        <v>69</v>
      </c>
      <c r="H1286" s="45" t="s">
        <v>47</v>
      </c>
      <c r="I1286" s="45" t="s">
        <v>1053</v>
      </c>
      <c r="J1286" s="143" t="s">
        <v>323</v>
      </c>
      <c r="K1286" s="43" t="str">
        <f t="array" ref="K1286">IF(J1286="","", XLOOKUP(J1286,'⚙️ Pengaturan'!$E$2:$E3237,'⚙️ Pengaturan'!$G$2:$G3237))</f>
        <v>VISIT FT SESI</v>
      </c>
      <c r="L1286" s="43" t="str">
        <f t="shared" si="3"/>
        <v>BARU</v>
      </c>
      <c r="M1286" s="144" t="s">
        <v>31</v>
      </c>
      <c r="N1286" s="145">
        <v>200000.0</v>
      </c>
      <c r="O1286" s="146">
        <v>0.0</v>
      </c>
      <c r="P1286" s="48">
        <f t="array" ref="P1286">IFNA(XLOOKUP(J1286,'⚙️ Pengaturan'!$E$2:$E3237,'⚙️ Pengaturan'!$F$2:$F3237),"")</f>
        <v>200000</v>
      </c>
      <c r="Q1286" s="147">
        <f t="shared" si="23"/>
        <v>0</v>
      </c>
      <c r="R1286" s="41" t="s">
        <v>32</v>
      </c>
      <c r="S1286" s="69" t="s">
        <v>33</v>
      </c>
      <c r="T1286" s="51" t="b">
        <v>1</v>
      </c>
      <c r="U1286" s="94"/>
    </row>
    <row r="1287" ht="30.0" customHeight="1">
      <c r="A1287" s="39"/>
      <c r="B1287" s="40">
        <v>3323.0</v>
      </c>
      <c r="C1287" s="41" t="s">
        <v>50</v>
      </c>
      <c r="D1287" s="86">
        <v>46125.0</v>
      </c>
      <c r="E1287" s="43" t="str">
        <f t="shared" si="1"/>
        <v>2026</v>
      </c>
      <c r="F1287" s="43" t="str">
        <f t="shared" si="2"/>
        <v>04 Apr</v>
      </c>
      <c r="G1287" s="45" t="s">
        <v>43</v>
      </c>
      <c r="H1287" s="45" t="s">
        <v>47</v>
      </c>
      <c r="I1287" s="45" t="s">
        <v>1122</v>
      </c>
      <c r="J1287" s="143" t="s">
        <v>28</v>
      </c>
      <c r="K1287" s="43" t="str">
        <f t="array" ref="K1287">IF(J1287="","", XLOOKUP(J1287,'⚙️ Pengaturan'!$E$2:$E3237,'⚙️ Pengaturan'!$G$2:$G3237))</f>
        <v>KLINIK FT TA</v>
      </c>
      <c r="L1287" s="43" t="str">
        <f t="shared" si="3"/>
        <v>BARU</v>
      </c>
      <c r="M1287" s="144" t="s">
        <v>31</v>
      </c>
      <c r="N1287" s="145">
        <v>200000.0</v>
      </c>
      <c r="O1287" s="146">
        <v>50000.0</v>
      </c>
      <c r="P1287" s="48">
        <f t="array" ref="P1287">IFNA(XLOOKUP(J1287,'⚙️ Pengaturan'!$E$2:$E3237,'⚙️ Pengaturan'!$F$2:$F3237),"")</f>
        <v>250000</v>
      </c>
      <c r="Q1287" s="147">
        <f t="shared" si="23"/>
        <v>0</v>
      </c>
      <c r="R1287" s="41" t="s">
        <v>32</v>
      </c>
      <c r="S1287" s="69" t="s">
        <v>33</v>
      </c>
      <c r="T1287" s="51" t="b">
        <v>1</v>
      </c>
      <c r="U1287" s="94" t="s">
        <v>1063</v>
      </c>
    </row>
    <row r="1288" ht="30.0" customHeight="1">
      <c r="A1288" s="39"/>
      <c r="B1288" s="40">
        <v>3324.0</v>
      </c>
      <c r="C1288" s="41" t="s">
        <v>50</v>
      </c>
      <c r="D1288" s="86">
        <v>46125.0</v>
      </c>
      <c r="E1288" s="43" t="str">
        <f t="shared" si="1"/>
        <v>2026</v>
      </c>
      <c r="F1288" s="43" t="str">
        <f t="shared" si="2"/>
        <v>04 Apr</v>
      </c>
      <c r="G1288" s="45" t="s">
        <v>173</v>
      </c>
      <c r="H1288" s="45" t="s">
        <v>47</v>
      </c>
      <c r="I1288" s="45" t="s">
        <v>1101</v>
      </c>
      <c r="J1288" s="143" t="s">
        <v>120</v>
      </c>
      <c r="K1288" s="43" t="str">
        <f t="array" ref="K1288">IF(J1288="","", XLOOKUP(J1288,'⚙️ Pengaturan'!$E$2:$E3237,'⚙️ Pengaturan'!$G$2:$G3237))</f>
        <v>KLINIK FT SESI</v>
      </c>
      <c r="L1288" s="43" t="str">
        <f t="shared" si="3"/>
        <v>BARU</v>
      </c>
      <c r="M1288" s="144" t="s">
        <v>31</v>
      </c>
      <c r="N1288" s="145">
        <v>180000.0</v>
      </c>
      <c r="O1288" s="146">
        <v>0.0</v>
      </c>
      <c r="P1288" s="48">
        <f t="array" ref="P1288">IFNA(XLOOKUP(J1288,'⚙️ Pengaturan'!$E$2:$E3237,'⚙️ Pengaturan'!$F$2:$F3237),"")</f>
        <v>180000</v>
      </c>
      <c r="Q1288" s="147">
        <f t="shared" si="23"/>
        <v>0</v>
      </c>
      <c r="R1288" s="41" t="s">
        <v>93</v>
      </c>
      <c r="S1288" s="69" t="s">
        <v>1101</v>
      </c>
      <c r="T1288" s="51" t="b">
        <v>1</v>
      </c>
      <c r="U1288" s="94"/>
    </row>
    <row r="1289" ht="30.0" customHeight="1">
      <c r="A1289" s="39"/>
      <c r="B1289" s="40">
        <v>3325.0</v>
      </c>
      <c r="C1289" s="41" t="s">
        <v>50</v>
      </c>
      <c r="D1289" s="86">
        <v>46125.0</v>
      </c>
      <c r="E1289" s="43" t="str">
        <f t="shared" si="1"/>
        <v>2026</v>
      </c>
      <c r="F1289" s="43" t="str">
        <f t="shared" si="2"/>
        <v>04 Apr</v>
      </c>
      <c r="G1289" s="45" t="s">
        <v>173</v>
      </c>
      <c r="H1289" s="45" t="s">
        <v>96</v>
      </c>
      <c r="I1289" s="45" t="s">
        <v>1102</v>
      </c>
      <c r="J1289" s="143" t="s">
        <v>120</v>
      </c>
      <c r="K1289" s="43" t="str">
        <f t="array" ref="K1289">IF(J1289="","", XLOOKUP(J1289,'⚙️ Pengaturan'!$E$2:$E3237,'⚙️ Pengaturan'!$G$2:$G3237))</f>
        <v>KLINIK FT SESI</v>
      </c>
      <c r="L1289" s="43" t="str">
        <f t="shared" si="3"/>
        <v>BARU</v>
      </c>
      <c r="M1289" s="144" t="s">
        <v>31</v>
      </c>
      <c r="N1289" s="145">
        <v>180000.0</v>
      </c>
      <c r="O1289" s="146">
        <v>0.0</v>
      </c>
      <c r="P1289" s="48">
        <f t="array" ref="P1289">IFNA(XLOOKUP(J1289,'⚙️ Pengaturan'!$E$2:$E3237,'⚙️ Pengaturan'!$F$2:$F3237),"")</f>
        <v>180000</v>
      </c>
      <c r="Q1289" s="147">
        <f t="shared" si="23"/>
        <v>0</v>
      </c>
      <c r="R1289" s="41" t="s">
        <v>93</v>
      </c>
      <c r="S1289" s="69" t="s">
        <v>1101</v>
      </c>
      <c r="T1289" s="51" t="b">
        <v>1</v>
      </c>
      <c r="U1289" s="94"/>
    </row>
    <row r="1290" ht="30.0" customHeight="1">
      <c r="A1290" s="39"/>
      <c r="B1290" s="40">
        <v>3326.0</v>
      </c>
      <c r="C1290" s="41" t="s">
        <v>50</v>
      </c>
      <c r="D1290" s="86">
        <v>46125.0</v>
      </c>
      <c r="E1290" s="43" t="str">
        <f t="shared" si="1"/>
        <v>2026</v>
      </c>
      <c r="F1290" s="43" t="str">
        <f t="shared" si="2"/>
        <v>04 Apr</v>
      </c>
      <c r="G1290" s="45" t="s">
        <v>173</v>
      </c>
      <c r="H1290" s="45" t="s">
        <v>76</v>
      </c>
      <c r="I1290" s="45" t="s">
        <v>1123</v>
      </c>
      <c r="J1290" s="143" t="s">
        <v>28</v>
      </c>
      <c r="K1290" s="43" t="str">
        <f t="array" ref="K1290">IF(J1290="","", XLOOKUP(J1290,'⚙️ Pengaturan'!$E$2:$E3237,'⚙️ Pengaturan'!$G$2:$G3237))</f>
        <v>KLINIK FT TA</v>
      </c>
      <c r="L1290" s="43" t="str">
        <f t="shared" si="3"/>
        <v>BARU</v>
      </c>
      <c r="M1290" s="144" t="s">
        <v>31</v>
      </c>
      <c r="N1290" s="145">
        <v>250000.0</v>
      </c>
      <c r="O1290" s="146">
        <v>0.0</v>
      </c>
      <c r="P1290" s="48">
        <f t="array" ref="P1290">IFNA(XLOOKUP(J1290,'⚙️ Pengaturan'!$E$2:$E3237,'⚙️ Pengaturan'!$F$2:$F3237),"")</f>
        <v>250000</v>
      </c>
      <c r="Q1290" s="147">
        <f t="shared" si="23"/>
        <v>0</v>
      </c>
      <c r="R1290" s="41" t="s">
        <v>37</v>
      </c>
      <c r="S1290" s="69" t="s">
        <v>1124</v>
      </c>
      <c r="T1290" s="51" t="b">
        <v>1</v>
      </c>
      <c r="U1290" s="94"/>
    </row>
    <row r="1291" ht="30.0" customHeight="1">
      <c r="A1291" s="39"/>
      <c r="B1291" s="40">
        <v>3327.0</v>
      </c>
      <c r="C1291" s="41" t="s">
        <v>50</v>
      </c>
      <c r="D1291" s="86">
        <v>46125.0</v>
      </c>
      <c r="E1291" s="43" t="str">
        <f t="shared" si="1"/>
        <v>2026</v>
      </c>
      <c r="F1291" s="43" t="str">
        <f t="shared" si="2"/>
        <v>04 Apr</v>
      </c>
      <c r="G1291" s="45" t="s">
        <v>155</v>
      </c>
      <c r="H1291" s="45" t="s">
        <v>41</v>
      </c>
      <c r="I1291" s="45" t="s">
        <v>1125</v>
      </c>
      <c r="J1291" s="143" t="s">
        <v>28</v>
      </c>
      <c r="K1291" s="43" t="str">
        <f t="array" ref="K1291">IF(J1291="","", XLOOKUP(J1291,'⚙️ Pengaturan'!$E$2:$E3237,'⚙️ Pengaturan'!$G$2:$G3237))</f>
        <v>KLINIK FT TA</v>
      </c>
      <c r="L1291" s="43" t="str">
        <f t="shared" si="3"/>
        <v>BARU</v>
      </c>
      <c r="M1291" s="144" t="s">
        <v>31</v>
      </c>
      <c r="N1291" s="145">
        <v>200000.0</v>
      </c>
      <c r="O1291" s="146">
        <v>50000.0</v>
      </c>
      <c r="P1291" s="119">
        <v>250000.0</v>
      </c>
      <c r="Q1291" s="147">
        <f t="shared" si="23"/>
        <v>0</v>
      </c>
      <c r="R1291" s="41" t="s">
        <v>32</v>
      </c>
      <c r="S1291" s="69" t="s">
        <v>33</v>
      </c>
      <c r="T1291" s="51" t="b">
        <v>1</v>
      </c>
      <c r="U1291" s="94" t="s">
        <v>1063</v>
      </c>
    </row>
    <row r="1292" ht="30.0" customHeight="1">
      <c r="A1292" s="39"/>
      <c r="B1292" s="40">
        <v>3328.0</v>
      </c>
      <c r="C1292" s="41" t="s">
        <v>50</v>
      </c>
      <c r="D1292" s="86">
        <v>46125.0</v>
      </c>
      <c r="E1292" s="43" t="str">
        <f t="shared" si="1"/>
        <v>2026</v>
      </c>
      <c r="F1292" s="43" t="str">
        <f t="shared" si="2"/>
        <v>04 Apr</v>
      </c>
      <c r="G1292" s="45" t="s">
        <v>190</v>
      </c>
      <c r="H1292" s="45" t="s">
        <v>41</v>
      </c>
      <c r="I1292" s="45" t="s">
        <v>1126</v>
      </c>
      <c r="J1292" s="143" t="s">
        <v>28</v>
      </c>
      <c r="K1292" s="43" t="str">
        <f t="array" ref="K1292">IF(J1292="","", XLOOKUP(J1292,'⚙️ Pengaturan'!$E$2:$E3237,'⚙️ Pengaturan'!$G$2:$G3237))</f>
        <v>KLINIK FT TA</v>
      </c>
      <c r="L1292" s="43" t="str">
        <f t="shared" si="3"/>
        <v>BARU</v>
      </c>
      <c r="M1292" s="144" t="s">
        <v>31</v>
      </c>
      <c r="N1292" s="145">
        <v>250000.0</v>
      </c>
      <c r="O1292" s="146">
        <v>0.0</v>
      </c>
      <c r="P1292" s="119">
        <v>250000.0</v>
      </c>
      <c r="Q1292" s="147">
        <f t="shared" si="23"/>
        <v>0</v>
      </c>
      <c r="R1292" s="41" t="s">
        <v>37</v>
      </c>
      <c r="S1292" s="69" t="s">
        <v>1126</v>
      </c>
      <c r="T1292" s="51" t="b">
        <v>1</v>
      </c>
      <c r="U1292" s="94"/>
    </row>
    <row r="1293" ht="30.0" customHeight="1">
      <c r="A1293" s="39"/>
      <c r="B1293" s="40">
        <v>3329.0</v>
      </c>
      <c r="C1293" s="41" t="s">
        <v>50</v>
      </c>
      <c r="D1293" s="86">
        <v>46125.0</v>
      </c>
      <c r="E1293" s="43" t="str">
        <f t="shared" si="1"/>
        <v>2026</v>
      </c>
      <c r="F1293" s="43" t="str">
        <f t="shared" si="2"/>
        <v>04 Apr</v>
      </c>
      <c r="G1293" s="45" t="s">
        <v>190</v>
      </c>
      <c r="H1293" s="45" t="s">
        <v>41</v>
      </c>
      <c r="I1293" s="45" t="s">
        <v>1126</v>
      </c>
      <c r="J1293" s="143" t="s">
        <v>119</v>
      </c>
      <c r="K1293" s="43" t="str">
        <f t="array" ref="K1293">IF(J1293="","", XLOOKUP(J1293,'⚙️ Pengaturan'!$E$2:$E3237,'⚙️ Pengaturan'!$G$2:$G3237))</f>
        <v>KLINIK FT PAKET</v>
      </c>
      <c r="L1293" s="43" t="str">
        <f t="shared" si="3"/>
        <v>BARU</v>
      </c>
      <c r="M1293" s="144" t="s">
        <v>31</v>
      </c>
      <c r="N1293" s="145">
        <v>750000.0</v>
      </c>
      <c r="O1293" s="146">
        <v>0.0</v>
      </c>
      <c r="P1293" s="48">
        <f t="array" ref="P1293">IFNA(XLOOKUP(J1293,'⚙️ Pengaturan'!$E$2:$E3237,'⚙️ Pengaturan'!$F$2:$F3237),"")</f>
        <v>750000</v>
      </c>
      <c r="Q1293" s="147">
        <f t="shared" si="23"/>
        <v>0</v>
      </c>
      <c r="R1293" s="41" t="s">
        <v>37</v>
      </c>
      <c r="S1293" s="69" t="s">
        <v>1126</v>
      </c>
      <c r="T1293" s="51" t="b">
        <v>1</v>
      </c>
      <c r="U1293" s="94"/>
    </row>
    <row r="1294" ht="30.0" customHeight="1">
      <c r="A1294" s="39"/>
      <c r="B1294" s="40">
        <v>3330.0</v>
      </c>
      <c r="C1294" s="41" t="s">
        <v>39</v>
      </c>
      <c r="D1294" s="86">
        <v>46126.0</v>
      </c>
      <c r="E1294" s="43" t="str">
        <f t="shared" si="1"/>
        <v>2026</v>
      </c>
      <c r="F1294" s="43" t="str">
        <f t="shared" si="2"/>
        <v>04 Apr</v>
      </c>
      <c r="G1294" s="45" t="s">
        <v>195</v>
      </c>
      <c r="H1294" s="45" t="s">
        <v>76</v>
      </c>
      <c r="I1294" s="45" t="s">
        <v>1127</v>
      </c>
      <c r="J1294" s="143" t="s">
        <v>28</v>
      </c>
      <c r="K1294" s="43" t="str">
        <f t="array" ref="K1294">IF(J1294="","", XLOOKUP(J1294,'⚙️ Pengaturan'!$E$2:$E3237,'⚙️ Pengaturan'!$G$2:$G3237))</f>
        <v>KLINIK FT TA</v>
      </c>
      <c r="L1294" s="43" t="str">
        <f t="shared" si="3"/>
        <v>BARU</v>
      </c>
      <c r="M1294" s="144" t="s">
        <v>31</v>
      </c>
      <c r="N1294" s="145">
        <v>250000.0</v>
      </c>
      <c r="O1294" s="146">
        <v>0.0</v>
      </c>
      <c r="P1294" s="48">
        <f t="array" ref="P1294">IFNA(XLOOKUP(J1294,'⚙️ Pengaturan'!$E$2:$E3237,'⚙️ Pengaturan'!$F$2:$F3237),"")</f>
        <v>250000</v>
      </c>
      <c r="Q1294" s="147">
        <f t="shared" si="23"/>
        <v>0</v>
      </c>
      <c r="R1294" s="41" t="s">
        <v>32</v>
      </c>
      <c r="S1294" s="69" t="s">
        <v>33</v>
      </c>
      <c r="T1294" s="51" t="b">
        <v>1</v>
      </c>
      <c r="U1294" s="94"/>
    </row>
    <row r="1295" ht="30.0" customHeight="1">
      <c r="A1295" s="39"/>
      <c r="B1295" s="40">
        <v>3331.0</v>
      </c>
      <c r="C1295" s="41" t="s">
        <v>39</v>
      </c>
      <c r="D1295" s="86">
        <v>46126.0</v>
      </c>
      <c r="E1295" s="43" t="str">
        <f t="shared" si="1"/>
        <v>2026</v>
      </c>
      <c r="F1295" s="43" t="str">
        <f t="shared" si="2"/>
        <v>04 Apr</v>
      </c>
      <c r="G1295" s="45" t="s">
        <v>195</v>
      </c>
      <c r="H1295" s="45" t="s">
        <v>149</v>
      </c>
      <c r="I1295" s="45" t="s">
        <v>978</v>
      </c>
      <c r="J1295" s="143" t="s">
        <v>119</v>
      </c>
      <c r="K1295" s="43" t="str">
        <f t="array" ref="K1295">IF(J1295="","", XLOOKUP(J1295,'⚙️ Pengaturan'!$E$2:$E3237,'⚙️ Pengaturan'!$G$2:$G3237))</f>
        <v>KLINIK FT PAKET</v>
      </c>
      <c r="L1295" s="43" t="str">
        <f t="shared" si="3"/>
        <v>LANJUTAN</v>
      </c>
      <c r="M1295" s="144" t="s">
        <v>81</v>
      </c>
      <c r="N1295" s="145">
        <v>300000.0</v>
      </c>
      <c r="O1295" s="146">
        <v>200000.0</v>
      </c>
      <c r="P1295" s="48">
        <f t="array" ref="P1295">IFNA(XLOOKUP(J1295,'⚙️ Pengaturan'!$E$2:$E3237,'⚙️ Pengaturan'!$F$2:$F3237),"")</f>
        <v>750000</v>
      </c>
      <c r="Q1295" s="147">
        <f t="shared" si="23"/>
        <v>-250000</v>
      </c>
      <c r="R1295" s="41" t="s">
        <v>32</v>
      </c>
      <c r="S1295" s="69" t="s">
        <v>33</v>
      </c>
      <c r="T1295" s="51" t="b">
        <v>1</v>
      </c>
      <c r="U1295" s="94"/>
    </row>
    <row r="1296" ht="30.0" customHeight="1">
      <c r="A1296" s="39"/>
      <c r="B1296" s="40">
        <v>3332.0</v>
      </c>
      <c r="C1296" s="41" t="s">
        <v>39</v>
      </c>
      <c r="D1296" s="86">
        <v>46126.0</v>
      </c>
      <c r="E1296" s="43" t="str">
        <f t="shared" si="1"/>
        <v>2026</v>
      </c>
      <c r="F1296" s="43" t="str">
        <f t="shared" si="2"/>
        <v>04 Apr</v>
      </c>
      <c r="G1296" s="45" t="s">
        <v>195</v>
      </c>
      <c r="H1296" s="45" t="s">
        <v>76</v>
      </c>
      <c r="I1296" s="45" t="s">
        <v>1128</v>
      </c>
      <c r="J1296" s="143" t="s">
        <v>28</v>
      </c>
      <c r="K1296" s="43" t="str">
        <f t="array" ref="K1296">IF(J1296="","", XLOOKUP(J1296,'⚙️ Pengaturan'!$E$2:$E3237,'⚙️ Pengaturan'!$G$2:$G3237))</f>
        <v>KLINIK FT TA</v>
      </c>
      <c r="L1296" s="43" t="str">
        <f t="shared" si="3"/>
        <v>BARU</v>
      </c>
      <c r="M1296" s="144" t="s">
        <v>31</v>
      </c>
      <c r="N1296" s="145">
        <v>250000.0</v>
      </c>
      <c r="O1296" s="146">
        <v>0.0</v>
      </c>
      <c r="P1296" s="48">
        <f t="array" ref="P1296">IFNA(XLOOKUP(J1296,'⚙️ Pengaturan'!$E$2:$E3237,'⚙️ Pengaturan'!$F$2:$F3237),"")</f>
        <v>250000</v>
      </c>
      <c r="Q1296" s="147">
        <f t="shared" si="23"/>
        <v>0</v>
      </c>
      <c r="R1296" s="41" t="s">
        <v>37</v>
      </c>
      <c r="S1296" s="69" t="s">
        <v>1128</v>
      </c>
      <c r="T1296" s="51" t="b">
        <v>1</v>
      </c>
      <c r="U1296" s="94"/>
    </row>
    <row r="1297" ht="30.0" customHeight="1">
      <c r="A1297" s="39"/>
      <c r="B1297" s="40">
        <v>3333.0</v>
      </c>
      <c r="C1297" s="41" t="s">
        <v>39</v>
      </c>
      <c r="D1297" s="86">
        <v>46126.0</v>
      </c>
      <c r="E1297" s="43" t="str">
        <f t="shared" si="1"/>
        <v>2026</v>
      </c>
      <c r="F1297" s="43" t="str">
        <f t="shared" si="2"/>
        <v>04 Apr</v>
      </c>
      <c r="G1297" s="45" t="s">
        <v>25</v>
      </c>
      <c r="H1297" s="45" t="s">
        <v>156</v>
      </c>
      <c r="I1297" s="45" t="s">
        <v>1129</v>
      </c>
      <c r="J1297" s="143" t="s">
        <v>28</v>
      </c>
      <c r="K1297" s="43" t="str">
        <f t="array" ref="K1297">IF(J1297="","", XLOOKUP(J1297,'⚙️ Pengaturan'!$E$2:$E3237,'⚙️ Pengaturan'!$G$2:$G3237))</f>
        <v>KLINIK FT TA</v>
      </c>
      <c r="L1297" s="43" t="str">
        <f t="shared" si="3"/>
        <v>BARU</v>
      </c>
      <c r="M1297" s="144" t="s">
        <v>31</v>
      </c>
      <c r="N1297" s="145">
        <v>250000.0</v>
      </c>
      <c r="O1297" s="146">
        <v>0.0</v>
      </c>
      <c r="P1297" s="48">
        <f t="array" ref="P1297">IFNA(XLOOKUP(J1297,'⚙️ Pengaturan'!$E$2:$E3237,'⚙️ Pengaturan'!$F$2:$F3237),"")</f>
        <v>250000</v>
      </c>
      <c r="Q1297" s="147">
        <f t="shared" si="23"/>
        <v>0</v>
      </c>
      <c r="R1297" s="41" t="s">
        <v>37</v>
      </c>
      <c r="S1297" s="69" t="s">
        <v>1129</v>
      </c>
      <c r="T1297" s="51" t="b">
        <v>1</v>
      </c>
      <c r="U1297" s="94"/>
    </row>
    <row r="1298" ht="30.0" customHeight="1">
      <c r="A1298" s="39"/>
      <c r="B1298" s="40">
        <v>3334.0</v>
      </c>
      <c r="C1298" s="41" t="s">
        <v>39</v>
      </c>
      <c r="D1298" s="86">
        <v>46126.0</v>
      </c>
      <c r="E1298" s="43" t="str">
        <f t="shared" si="1"/>
        <v>2026</v>
      </c>
      <c r="F1298" s="43" t="str">
        <f t="shared" si="2"/>
        <v>04 Apr</v>
      </c>
      <c r="G1298" s="45" t="s">
        <v>25</v>
      </c>
      <c r="H1298" s="45" t="s">
        <v>156</v>
      </c>
      <c r="I1298" s="45" t="s">
        <v>1129</v>
      </c>
      <c r="J1298" s="143" t="s">
        <v>347</v>
      </c>
      <c r="K1298" s="43" t="str">
        <f t="array" ref="K1298">IF(J1298="","", XLOOKUP(J1298,'⚙️ Pengaturan'!$E$2:$E3237,'⚙️ Pengaturan'!$G$2:$G3237))</f>
        <v>KLINIK FT PAKET</v>
      </c>
      <c r="L1298" s="43" t="str">
        <f t="shared" si="3"/>
        <v>BARU</v>
      </c>
      <c r="M1298" s="144" t="s">
        <v>31</v>
      </c>
      <c r="N1298" s="145">
        <v>1300000.0</v>
      </c>
      <c r="O1298" s="146">
        <v>0.0</v>
      </c>
      <c r="P1298" s="48">
        <f t="array" ref="P1298">IFNA(XLOOKUP(J1298,'⚙️ Pengaturan'!$E$2:$E3237,'⚙️ Pengaturan'!$F$2:$F3237),"")</f>
        <v>1300000</v>
      </c>
      <c r="Q1298" s="147">
        <f t="shared" si="23"/>
        <v>0</v>
      </c>
      <c r="R1298" s="41" t="s">
        <v>37</v>
      </c>
      <c r="S1298" s="69" t="s">
        <v>1129</v>
      </c>
      <c r="T1298" s="51" t="b">
        <v>1</v>
      </c>
      <c r="U1298" s="94"/>
    </row>
    <row r="1299" ht="30.0" customHeight="1">
      <c r="A1299" s="39"/>
      <c r="B1299" s="40">
        <v>3335.0</v>
      </c>
      <c r="C1299" s="41" t="s">
        <v>39</v>
      </c>
      <c r="D1299" s="86">
        <v>46126.0</v>
      </c>
      <c r="E1299" s="43" t="str">
        <f t="shared" si="1"/>
        <v>2026</v>
      </c>
      <c r="F1299" s="43" t="str">
        <f t="shared" si="2"/>
        <v>04 Apr</v>
      </c>
      <c r="G1299" s="45" t="s">
        <v>206</v>
      </c>
      <c r="H1299" s="45" t="s">
        <v>47</v>
      </c>
      <c r="I1299" s="45" t="s">
        <v>1105</v>
      </c>
      <c r="J1299" s="143" t="s">
        <v>120</v>
      </c>
      <c r="K1299" s="43" t="str">
        <f t="array" ref="K1299">IF(J1299="","", XLOOKUP(J1299,'⚙️ Pengaturan'!$E$2:$E3237,'⚙️ Pengaturan'!$G$2:$G3237))</f>
        <v>KLINIK FT SESI</v>
      </c>
      <c r="L1299" s="43" t="str">
        <f t="shared" si="3"/>
        <v>LANJUTAN</v>
      </c>
      <c r="M1299" s="144" t="s">
        <v>31</v>
      </c>
      <c r="N1299" s="145">
        <v>180000.0</v>
      </c>
      <c r="O1299" s="146">
        <v>0.0</v>
      </c>
      <c r="P1299" s="48">
        <f t="array" ref="P1299">IFNA(XLOOKUP(J1299,'⚙️ Pengaturan'!$E$2:$E3237,'⚙️ Pengaturan'!$F$2:$F3237),"")</f>
        <v>180000</v>
      </c>
      <c r="Q1299" s="147">
        <f t="shared" si="23"/>
        <v>0</v>
      </c>
      <c r="R1299" s="41" t="s">
        <v>118</v>
      </c>
      <c r="S1299" s="69" t="s">
        <v>1106</v>
      </c>
      <c r="T1299" s="51" t="b">
        <v>1</v>
      </c>
      <c r="U1299" s="94"/>
    </row>
    <row r="1300" ht="30.0" customHeight="1">
      <c r="A1300" s="39"/>
      <c r="B1300" s="40">
        <v>3336.0</v>
      </c>
      <c r="C1300" s="41" t="s">
        <v>39</v>
      </c>
      <c r="D1300" s="86">
        <v>46126.0</v>
      </c>
      <c r="E1300" s="43" t="str">
        <f t="shared" si="1"/>
        <v>2026</v>
      </c>
      <c r="F1300" s="43" t="str">
        <f t="shared" si="2"/>
        <v>04 Apr</v>
      </c>
      <c r="G1300" s="45" t="s">
        <v>206</v>
      </c>
      <c r="H1300" s="45" t="s">
        <v>156</v>
      </c>
      <c r="I1300" s="45" t="s">
        <v>1130</v>
      </c>
      <c r="J1300" s="143" t="s">
        <v>28</v>
      </c>
      <c r="K1300" s="43" t="str">
        <f t="array" ref="K1300">IF(J1300="","", XLOOKUP(J1300,'⚙️ Pengaturan'!$E$2:$E3237,'⚙️ Pengaturan'!$G$2:$G3237))</f>
        <v>KLINIK FT TA</v>
      </c>
      <c r="L1300" s="43" t="str">
        <f t="shared" si="3"/>
        <v>BARU</v>
      </c>
      <c r="M1300" s="144" t="s">
        <v>31</v>
      </c>
      <c r="N1300" s="145">
        <v>250000.0</v>
      </c>
      <c r="O1300" s="146">
        <v>0.0</v>
      </c>
      <c r="P1300" s="48">
        <f t="array" ref="P1300">IFNA(XLOOKUP(J1300,'⚙️ Pengaturan'!$E$2:$E3237,'⚙️ Pengaturan'!$F$2:$F3237),"")</f>
        <v>250000</v>
      </c>
      <c r="Q1300" s="147">
        <f t="shared" si="23"/>
        <v>0</v>
      </c>
      <c r="R1300" s="41" t="s">
        <v>118</v>
      </c>
      <c r="S1300" s="69" t="s">
        <v>1106</v>
      </c>
      <c r="T1300" s="51" t="b">
        <v>1</v>
      </c>
      <c r="U1300" s="94"/>
    </row>
    <row r="1301" ht="30.0" customHeight="1">
      <c r="A1301" s="39"/>
      <c r="B1301" s="40">
        <v>3337.0</v>
      </c>
      <c r="C1301" s="41" t="s">
        <v>39</v>
      </c>
      <c r="D1301" s="86">
        <v>46126.0</v>
      </c>
      <c r="E1301" s="43" t="str">
        <f t="shared" si="1"/>
        <v>2026</v>
      </c>
      <c r="F1301" s="43" t="str">
        <f t="shared" si="2"/>
        <v>04 Apr</v>
      </c>
      <c r="G1301" s="45" t="s">
        <v>161</v>
      </c>
      <c r="H1301" s="45" t="s">
        <v>149</v>
      </c>
      <c r="I1301" s="45" t="s">
        <v>1131</v>
      </c>
      <c r="J1301" s="143" t="s">
        <v>28</v>
      </c>
      <c r="K1301" s="43" t="str">
        <f t="array" ref="K1301">IF(J1301="","", XLOOKUP(J1301,'⚙️ Pengaturan'!$E$2:$E3237,'⚙️ Pengaturan'!$G$2:$G3237))</f>
        <v>KLINIK FT TA</v>
      </c>
      <c r="L1301" s="43" t="str">
        <f t="shared" si="3"/>
        <v>BARU</v>
      </c>
      <c r="M1301" s="144" t="s">
        <v>31</v>
      </c>
      <c r="N1301" s="145">
        <v>250000.0</v>
      </c>
      <c r="O1301" s="146">
        <v>0.0</v>
      </c>
      <c r="P1301" s="48">
        <f t="array" ref="P1301">IFNA(XLOOKUP(J1301,'⚙️ Pengaturan'!$E$2:$E3237,'⚙️ Pengaturan'!$F$2:$F3237),"")</f>
        <v>250000</v>
      </c>
      <c r="Q1301" s="147">
        <f t="shared" si="23"/>
        <v>0</v>
      </c>
      <c r="R1301" s="41" t="s">
        <v>32</v>
      </c>
      <c r="S1301" s="69" t="s">
        <v>33</v>
      </c>
      <c r="T1301" s="51" t="b">
        <v>1</v>
      </c>
      <c r="U1301" s="94"/>
    </row>
    <row r="1302" ht="30.0" customHeight="1">
      <c r="A1302" s="39"/>
      <c r="B1302" s="40">
        <v>3338.0</v>
      </c>
      <c r="C1302" s="41" t="s">
        <v>39</v>
      </c>
      <c r="D1302" s="86">
        <v>46126.0</v>
      </c>
      <c r="E1302" s="43" t="str">
        <f t="shared" si="1"/>
        <v>2026</v>
      </c>
      <c r="F1302" s="43" t="str">
        <f t="shared" si="2"/>
        <v>04 Apr</v>
      </c>
      <c r="G1302" s="45" t="s">
        <v>161</v>
      </c>
      <c r="H1302" s="45" t="s">
        <v>96</v>
      </c>
      <c r="I1302" s="45" t="s">
        <v>1132</v>
      </c>
      <c r="J1302" s="143" t="s">
        <v>28</v>
      </c>
      <c r="K1302" s="43" t="str">
        <f t="array" ref="K1302">IF(J1302="","", XLOOKUP(J1302,'⚙️ Pengaturan'!$E$2:$E3237,'⚙️ Pengaturan'!$G$2:$G3237))</f>
        <v>KLINIK FT TA</v>
      </c>
      <c r="L1302" s="43" t="str">
        <f t="shared" si="3"/>
        <v>BARU</v>
      </c>
      <c r="M1302" s="144" t="s">
        <v>31</v>
      </c>
      <c r="N1302" s="145">
        <v>250000.0</v>
      </c>
      <c r="O1302" s="146">
        <v>0.0</v>
      </c>
      <c r="P1302" s="48">
        <f t="array" ref="P1302">IFNA(XLOOKUP(J1302,'⚙️ Pengaturan'!$E$2:$E3237,'⚙️ Pengaturan'!$F$2:$F3237),"")</f>
        <v>250000</v>
      </c>
      <c r="Q1302" s="147">
        <f t="shared" si="23"/>
        <v>0</v>
      </c>
      <c r="R1302" s="41" t="s">
        <v>32</v>
      </c>
      <c r="S1302" s="69" t="s">
        <v>33</v>
      </c>
      <c r="T1302" s="51" t="b">
        <v>1</v>
      </c>
      <c r="U1302" s="94"/>
    </row>
    <row r="1303" ht="30.0" customHeight="1">
      <c r="A1303" s="39"/>
      <c r="B1303" s="40">
        <v>3339.0</v>
      </c>
      <c r="C1303" s="41" t="s">
        <v>39</v>
      </c>
      <c r="D1303" s="86">
        <v>46126.0</v>
      </c>
      <c r="E1303" s="43" t="str">
        <f t="shared" si="1"/>
        <v>2026</v>
      </c>
      <c r="F1303" s="43" t="str">
        <f t="shared" si="2"/>
        <v>04 Apr</v>
      </c>
      <c r="G1303" s="45" t="s">
        <v>161</v>
      </c>
      <c r="H1303" s="45" t="s">
        <v>41</v>
      </c>
      <c r="I1303" s="45" t="s">
        <v>1104</v>
      </c>
      <c r="J1303" s="143" t="s">
        <v>119</v>
      </c>
      <c r="K1303" s="43" t="str">
        <f t="array" ref="K1303">IF(J1303="","", XLOOKUP(J1303,'⚙️ Pengaturan'!$E$2:$E3237,'⚙️ Pengaturan'!$G$2:$G3237))</f>
        <v>KLINIK FT PAKET</v>
      </c>
      <c r="L1303" s="43" t="str">
        <f t="shared" si="3"/>
        <v>BARU</v>
      </c>
      <c r="M1303" s="144" t="s">
        <v>31</v>
      </c>
      <c r="N1303" s="145">
        <v>750000.0</v>
      </c>
      <c r="O1303" s="146">
        <v>0.0</v>
      </c>
      <c r="P1303" s="48">
        <f t="array" ref="P1303">IFNA(XLOOKUP(J1303,'⚙️ Pengaturan'!$E$2:$E3237,'⚙️ Pengaturan'!$F$2:$F3237),"")</f>
        <v>750000</v>
      </c>
      <c r="Q1303" s="147">
        <f t="shared" si="23"/>
        <v>0</v>
      </c>
      <c r="R1303" s="41" t="s">
        <v>37</v>
      </c>
      <c r="S1303" s="69" t="s">
        <v>1104</v>
      </c>
      <c r="T1303" s="51" t="b">
        <v>1</v>
      </c>
      <c r="U1303" s="94"/>
    </row>
    <row r="1304" ht="30.0" customHeight="1">
      <c r="A1304" s="39"/>
      <c r="B1304" s="40">
        <v>3340.0</v>
      </c>
      <c r="C1304" s="41" t="s">
        <v>39</v>
      </c>
      <c r="D1304" s="86">
        <v>46126.0</v>
      </c>
      <c r="E1304" s="43" t="str">
        <f t="shared" si="1"/>
        <v>2026</v>
      </c>
      <c r="F1304" s="43" t="str">
        <f t="shared" si="2"/>
        <v>04 Apr</v>
      </c>
      <c r="G1304" s="45" t="s">
        <v>161</v>
      </c>
      <c r="H1304" s="45" t="s">
        <v>156</v>
      </c>
      <c r="I1304" s="45" t="s">
        <v>1133</v>
      </c>
      <c r="J1304" s="143" t="s">
        <v>28</v>
      </c>
      <c r="K1304" s="43" t="str">
        <f t="array" ref="K1304">IF(J1304="","", XLOOKUP(J1304,'⚙️ Pengaturan'!$E$2:$E3237,'⚙️ Pengaturan'!$G$2:$G3237))</f>
        <v>KLINIK FT TA</v>
      </c>
      <c r="L1304" s="43" t="str">
        <f t="shared" si="3"/>
        <v>BARU</v>
      </c>
      <c r="M1304" s="144" t="s">
        <v>31</v>
      </c>
      <c r="N1304" s="145">
        <v>250000.0</v>
      </c>
      <c r="O1304" s="146">
        <v>0.0</v>
      </c>
      <c r="P1304" s="48">
        <f t="array" ref="P1304">IFNA(XLOOKUP(J1304,'⚙️ Pengaturan'!$E$2:$E3237,'⚙️ Pengaturan'!$F$2:$F3237),"")</f>
        <v>250000</v>
      </c>
      <c r="Q1304" s="147">
        <f t="shared" si="23"/>
        <v>0</v>
      </c>
      <c r="R1304" s="41" t="s">
        <v>32</v>
      </c>
      <c r="S1304" s="69" t="s">
        <v>33</v>
      </c>
      <c r="T1304" s="51" t="b">
        <v>1</v>
      </c>
      <c r="U1304" s="94"/>
    </row>
    <row r="1305" ht="30.0" customHeight="1">
      <c r="A1305" s="39"/>
      <c r="B1305" s="40">
        <v>3341.0</v>
      </c>
      <c r="C1305" s="41" t="s">
        <v>50</v>
      </c>
      <c r="D1305" s="86">
        <v>46126.0</v>
      </c>
      <c r="E1305" s="43" t="str">
        <f t="shared" si="1"/>
        <v>2026</v>
      </c>
      <c r="F1305" s="43" t="str">
        <f t="shared" si="2"/>
        <v>04 Apr</v>
      </c>
      <c r="G1305" s="45" t="s">
        <v>40</v>
      </c>
      <c r="H1305" s="45" t="s">
        <v>162</v>
      </c>
      <c r="I1305" s="45" t="s">
        <v>1134</v>
      </c>
      <c r="J1305" s="143" t="s">
        <v>28</v>
      </c>
      <c r="K1305" s="43" t="str">
        <f t="array" ref="K1305">IF(J1305="","", XLOOKUP(J1305,'⚙️ Pengaturan'!$E$2:$E3237,'⚙️ Pengaturan'!$G$2:$G3237))</f>
        <v>KLINIK FT TA</v>
      </c>
      <c r="L1305" s="43" t="str">
        <f t="shared" si="3"/>
        <v>BARU</v>
      </c>
      <c r="M1305" s="144" t="s">
        <v>31</v>
      </c>
      <c r="N1305" s="145">
        <v>200000.0</v>
      </c>
      <c r="O1305" s="146">
        <v>50000.0</v>
      </c>
      <c r="P1305" s="48">
        <f t="array" ref="P1305">IFNA(XLOOKUP(J1305,'⚙️ Pengaturan'!$E$2:$E3237,'⚙️ Pengaturan'!$F$2:$F3237),"")</f>
        <v>250000</v>
      </c>
      <c r="Q1305" s="147">
        <f t="shared" si="23"/>
        <v>0</v>
      </c>
      <c r="R1305" s="41" t="s">
        <v>37</v>
      </c>
      <c r="S1305" s="69" t="s">
        <v>1134</v>
      </c>
      <c r="T1305" s="51" t="b">
        <v>1</v>
      </c>
      <c r="U1305" s="94" t="s">
        <v>1063</v>
      </c>
    </row>
    <row r="1306" ht="30.0" customHeight="1">
      <c r="A1306" s="39"/>
      <c r="B1306" s="40">
        <v>3342.0</v>
      </c>
      <c r="C1306" s="41" t="s">
        <v>50</v>
      </c>
      <c r="D1306" s="86">
        <v>46126.0</v>
      </c>
      <c r="E1306" s="43" t="str">
        <f t="shared" si="1"/>
        <v>2026</v>
      </c>
      <c r="F1306" s="43" t="str">
        <f t="shared" si="2"/>
        <v>04 Apr</v>
      </c>
      <c r="G1306" s="45" t="s">
        <v>40</v>
      </c>
      <c r="H1306" s="45" t="s">
        <v>150</v>
      </c>
      <c r="I1306" s="45" t="s">
        <v>1093</v>
      </c>
      <c r="J1306" s="143" t="s">
        <v>119</v>
      </c>
      <c r="K1306" s="43" t="str">
        <f t="array" ref="K1306">IF(J1306="","", XLOOKUP(J1306,'⚙️ Pengaturan'!$E$2:$E3237,'⚙️ Pengaturan'!$G$2:$G3237))</f>
        <v>KLINIK FT PAKET</v>
      </c>
      <c r="L1306" s="43" t="str">
        <f t="shared" si="3"/>
        <v>BARU</v>
      </c>
      <c r="M1306" s="144" t="s">
        <v>60</v>
      </c>
      <c r="N1306" s="145">
        <v>400000.0</v>
      </c>
      <c r="O1306" s="146">
        <v>0.0</v>
      </c>
      <c r="P1306" s="48">
        <f t="array" ref="P1306">IFNA(XLOOKUP(J1306,'⚙️ Pengaturan'!$E$2:$E3237,'⚙️ Pengaturan'!$F$2:$F3237),"")</f>
        <v>750000</v>
      </c>
      <c r="Q1306" s="147">
        <f t="shared" si="23"/>
        <v>-350000</v>
      </c>
      <c r="R1306" s="41" t="s">
        <v>37</v>
      </c>
      <c r="S1306" s="69" t="s">
        <v>1093</v>
      </c>
      <c r="T1306" s="51" t="b">
        <v>1</v>
      </c>
      <c r="U1306" s="94"/>
    </row>
    <row r="1307" ht="30.0" customHeight="1">
      <c r="A1307" s="39"/>
      <c r="B1307" s="40">
        <v>3343.0</v>
      </c>
      <c r="C1307" s="41" t="s">
        <v>50</v>
      </c>
      <c r="D1307" s="86">
        <v>46126.0</v>
      </c>
      <c r="E1307" s="43" t="str">
        <f t="shared" si="1"/>
        <v>2026</v>
      </c>
      <c r="F1307" s="43" t="str">
        <f t="shared" si="2"/>
        <v>04 Apr</v>
      </c>
      <c r="G1307" s="45" t="s">
        <v>43</v>
      </c>
      <c r="H1307" s="45" t="s">
        <v>166</v>
      </c>
      <c r="I1307" s="45" t="s">
        <v>1097</v>
      </c>
      <c r="J1307" s="143" t="s">
        <v>119</v>
      </c>
      <c r="K1307" s="43" t="str">
        <f t="array" ref="K1307">IF(J1307="","", XLOOKUP(J1307,'⚙️ Pengaturan'!$E$2:$E3237,'⚙️ Pengaturan'!$G$2:$G3237))</f>
        <v>KLINIK FT PAKET</v>
      </c>
      <c r="L1307" s="43" t="str">
        <f t="shared" si="3"/>
        <v>BARU</v>
      </c>
      <c r="M1307" s="144" t="s">
        <v>31</v>
      </c>
      <c r="N1307" s="145">
        <v>750000.0</v>
      </c>
      <c r="O1307" s="146">
        <v>0.0</v>
      </c>
      <c r="P1307" s="48">
        <f t="array" ref="P1307">IFNA(XLOOKUP(J1307,'⚙️ Pengaturan'!$E$2:$E3237,'⚙️ Pengaturan'!$F$2:$F3237),"")</f>
        <v>750000</v>
      </c>
      <c r="Q1307" s="147">
        <f t="shared" si="23"/>
        <v>0</v>
      </c>
      <c r="R1307" s="41" t="s">
        <v>32</v>
      </c>
      <c r="S1307" s="69" t="s">
        <v>33</v>
      </c>
      <c r="T1307" s="51" t="b">
        <v>1</v>
      </c>
      <c r="U1307" s="94"/>
    </row>
    <row r="1308" ht="30.0" customHeight="1">
      <c r="A1308" s="39"/>
      <c r="B1308" s="40">
        <v>3344.0</v>
      </c>
      <c r="C1308" s="41" t="s">
        <v>50</v>
      </c>
      <c r="D1308" s="86">
        <v>46126.0</v>
      </c>
      <c r="E1308" s="43" t="str">
        <f t="shared" si="1"/>
        <v>2026</v>
      </c>
      <c r="F1308" s="43" t="str">
        <f t="shared" si="2"/>
        <v>04 Apr</v>
      </c>
      <c r="G1308" s="45" t="s">
        <v>43</v>
      </c>
      <c r="H1308" s="45" t="s">
        <v>162</v>
      </c>
      <c r="I1308" s="45" t="s">
        <v>1135</v>
      </c>
      <c r="J1308" s="143" t="s">
        <v>28</v>
      </c>
      <c r="K1308" s="43" t="str">
        <f t="array" ref="K1308">IF(J1308="","", XLOOKUP(J1308,'⚙️ Pengaturan'!$E$2:$E3237,'⚙️ Pengaturan'!$G$2:$G3237))</f>
        <v>KLINIK FT TA</v>
      </c>
      <c r="L1308" s="43" t="str">
        <f t="shared" si="3"/>
        <v>BARU</v>
      </c>
      <c r="M1308" s="144" t="s">
        <v>31</v>
      </c>
      <c r="N1308" s="145">
        <v>250000.0</v>
      </c>
      <c r="O1308" s="146">
        <v>0.0</v>
      </c>
      <c r="P1308" s="48">
        <f t="array" ref="P1308">IFNA(XLOOKUP(J1308,'⚙️ Pengaturan'!$E$2:$E3237,'⚙️ Pengaturan'!$F$2:$F3237),"")</f>
        <v>250000</v>
      </c>
      <c r="Q1308" s="147">
        <f t="shared" si="23"/>
        <v>0</v>
      </c>
      <c r="R1308" s="41" t="s">
        <v>37</v>
      </c>
      <c r="S1308" s="69" t="s">
        <v>1135</v>
      </c>
      <c r="T1308" s="51" t="b">
        <v>1</v>
      </c>
      <c r="U1308" s="94"/>
    </row>
    <row r="1309" ht="30.0" customHeight="1">
      <c r="A1309" s="39"/>
      <c r="B1309" s="40">
        <v>3345.0</v>
      </c>
      <c r="C1309" s="41" t="s">
        <v>50</v>
      </c>
      <c r="D1309" s="86">
        <v>46126.0</v>
      </c>
      <c r="E1309" s="43" t="str">
        <f t="shared" si="1"/>
        <v>2026</v>
      </c>
      <c r="F1309" s="43" t="str">
        <f t="shared" si="2"/>
        <v>04 Apr</v>
      </c>
      <c r="G1309" s="45" t="s">
        <v>69</v>
      </c>
      <c r="H1309" s="45" t="s">
        <v>76</v>
      </c>
      <c r="I1309" s="45" t="s">
        <v>709</v>
      </c>
      <c r="J1309" s="143" t="s">
        <v>364</v>
      </c>
      <c r="K1309" s="43" t="str">
        <f t="array" ref="K1309">IF(J1309="","", XLOOKUP(J1309,'⚙️ Pengaturan'!$E$2:$E3237,'⚙️ Pengaturan'!$G$2:$G3237))</f>
        <v>VISIT FT PAKET</v>
      </c>
      <c r="L1309" s="43" t="str">
        <f t="shared" si="3"/>
        <v>LANJUTAN</v>
      </c>
      <c r="M1309" s="144" t="s">
        <v>31</v>
      </c>
      <c r="N1309" s="145">
        <v>2300000.0</v>
      </c>
      <c r="O1309" s="146">
        <v>0.0</v>
      </c>
      <c r="P1309" s="48">
        <f t="array" ref="P1309">IFNA(XLOOKUP(J1309,'⚙️ Pengaturan'!$E$2:$E3237,'⚙️ Pengaturan'!$F$2:$F3237),"")</f>
        <v>2300000</v>
      </c>
      <c r="Q1309" s="147">
        <f t="shared" si="23"/>
        <v>0</v>
      </c>
      <c r="R1309" s="41" t="s">
        <v>37</v>
      </c>
      <c r="S1309" s="69" t="s">
        <v>709</v>
      </c>
      <c r="T1309" s="51" t="b">
        <v>1</v>
      </c>
      <c r="U1309" s="94"/>
    </row>
    <row r="1310" ht="30.0" customHeight="1">
      <c r="A1310" s="39"/>
      <c r="B1310" s="40">
        <v>3346.0</v>
      </c>
      <c r="C1310" s="41" t="s">
        <v>50</v>
      </c>
      <c r="D1310" s="86">
        <v>46126.0</v>
      </c>
      <c r="E1310" s="43" t="str">
        <f t="shared" si="1"/>
        <v>2026</v>
      </c>
      <c r="F1310" s="43" t="str">
        <f t="shared" si="2"/>
        <v>04 Apr</v>
      </c>
      <c r="G1310" s="45" t="s">
        <v>69</v>
      </c>
      <c r="H1310" s="45" t="s">
        <v>149</v>
      </c>
      <c r="I1310" s="45" t="s">
        <v>1136</v>
      </c>
      <c r="J1310" s="143" t="s">
        <v>138</v>
      </c>
      <c r="K1310" s="43" t="str">
        <f t="array" ref="K1310">IF(J1310="","", XLOOKUP(J1310,'⚙️ Pengaturan'!$E$2:$E3237,'⚙️ Pengaturan'!$G$2:$G3237))</f>
        <v>VISIT FT PAKET</v>
      </c>
      <c r="L1310" s="43" t="str">
        <f t="shared" si="3"/>
        <v>BARU</v>
      </c>
      <c r="M1310" s="144" t="s">
        <v>31</v>
      </c>
      <c r="N1310" s="145">
        <v>1800000.0</v>
      </c>
      <c r="O1310" s="146">
        <v>0.0</v>
      </c>
      <c r="P1310" s="48">
        <f t="array" ref="P1310">IFNA(XLOOKUP(J1310,'⚙️ Pengaturan'!$E$2:$E3237,'⚙️ Pengaturan'!$F$2:$F3237),"")</f>
        <v>1800000</v>
      </c>
      <c r="Q1310" s="147">
        <f t="shared" si="23"/>
        <v>0</v>
      </c>
      <c r="R1310" s="41" t="s">
        <v>37</v>
      </c>
      <c r="S1310" s="69" t="s">
        <v>1136</v>
      </c>
      <c r="T1310" s="51" t="b">
        <v>1</v>
      </c>
      <c r="U1310" s="94"/>
    </row>
    <row r="1311" ht="30.0" customHeight="1">
      <c r="A1311" s="39"/>
      <c r="B1311" s="40">
        <v>3347.0</v>
      </c>
      <c r="C1311" s="41" t="s">
        <v>50</v>
      </c>
      <c r="D1311" s="86">
        <v>46126.0</v>
      </c>
      <c r="E1311" s="43" t="str">
        <f t="shared" si="1"/>
        <v>2026</v>
      </c>
      <c r="F1311" s="43" t="str">
        <f t="shared" si="2"/>
        <v>04 Apr</v>
      </c>
      <c r="G1311" s="45" t="s">
        <v>69</v>
      </c>
      <c r="H1311" s="45" t="s">
        <v>150</v>
      </c>
      <c r="I1311" s="45" t="s">
        <v>1137</v>
      </c>
      <c r="J1311" s="143" t="s">
        <v>291</v>
      </c>
      <c r="K1311" s="43" t="str">
        <f t="array" ref="K1311">IF(J1311="","", XLOOKUP(J1311,'⚙️ Pengaturan'!$E$2:$E3237,'⚙️ Pengaturan'!$G$2:$G3237))</f>
        <v>VISIT FT TA</v>
      </c>
      <c r="L1311" s="43" t="str">
        <f t="shared" si="3"/>
        <v>BARU</v>
      </c>
      <c r="M1311" s="144" t="s">
        <v>31</v>
      </c>
      <c r="N1311" s="145">
        <v>300000.0</v>
      </c>
      <c r="O1311" s="146">
        <v>50000.0</v>
      </c>
      <c r="P1311" s="48">
        <f t="array" ref="P1311">IFNA(XLOOKUP(J1311,'⚙️ Pengaturan'!$E$2:$E3237,'⚙️ Pengaturan'!$F$2:$F3237),"")</f>
        <v>350000</v>
      </c>
      <c r="Q1311" s="147">
        <f t="shared" si="23"/>
        <v>0</v>
      </c>
      <c r="R1311" s="41" t="s">
        <v>32</v>
      </c>
      <c r="S1311" s="69" t="s">
        <v>33</v>
      </c>
      <c r="T1311" s="51" t="b">
        <v>1</v>
      </c>
      <c r="U1311" s="94"/>
    </row>
    <row r="1312" ht="30.0" customHeight="1">
      <c r="A1312" s="39"/>
      <c r="B1312" s="40">
        <v>3348.0</v>
      </c>
      <c r="C1312" s="41" t="s">
        <v>50</v>
      </c>
      <c r="D1312" s="86">
        <v>46126.0</v>
      </c>
      <c r="E1312" s="43" t="str">
        <f t="shared" si="1"/>
        <v>2026</v>
      </c>
      <c r="F1312" s="43" t="str">
        <f t="shared" si="2"/>
        <v>04 Apr</v>
      </c>
      <c r="G1312" s="45" t="s">
        <v>173</v>
      </c>
      <c r="H1312" s="45" t="s">
        <v>150</v>
      </c>
      <c r="I1312" s="45" t="s">
        <v>866</v>
      </c>
      <c r="J1312" s="143" t="s">
        <v>119</v>
      </c>
      <c r="K1312" s="43" t="str">
        <f t="array" ref="K1312">IF(J1312="","", XLOOKUP(J1312,'⚙️ Pengaturan'!$E$2:$E3237,'⚙️ Pengaturan'!$G$2:$G3237))</f>
        <v>KLINIK FT PAKET</v>
      </c>
      <c r="L1312" s="43" t="str">
        <f t="shared" si="3"/>
        <v>BARU</v>
      </c>
      <c r="M1312" s="144" t="s">
        <v>31</v>
      </c>
      <c r="N1312" s="145">
        <v>750000.0</v>
      </c>
      <c r="O1312" s="146">
        <v>0.0</v>
      </c>
      <c r="P1312" s="48">
        <f t="array" ref="P1312">IFNA(XLOOKUP(J1312,'⚙️ Pengaturan'!$E$2:$E3237,'⚙️ Pengaturan'!$F$2:$F3237),"")</f>
        <v>750000</v>
      </c>
      <c r="Q1312" s="147">
        <f t="shared" si="23"/>
        <v>0</v>
      </c>
      <c r="R1312" s="41" t="s">
        <v>37</v>
      </c>
      <c r="S1312" s="69" t="s">
        <v>866</v>
      </c>
      <c r="T1312" s="51" t="b">
        <v>1</v>
      </c>
      <c r="U1312" s="94"/>
    </row>
    <row r="1313" ht="30.0" customHeight="1">
      <c r="A1313" s="39"/>
      <c r="B1313" s="40">
        <v>3349.0</v>
      </c>
      <c r="C1313" s="41" t="s">
        <v>50</v>
      </c>
      <c r="D1313" s="86">
        <v>46126.0</v>
      </c>
      <c r="E1313" s="43" t="str">
        <f t="shared" si="1"/>
        <v>2026</v>
      </c>
      <c r="F1313" s="43" t="str">
        <f t="shared" si="2"/>
        <v>04 Apr</v>
      </c>
      <c r="G1313" s="45" t="s">
        <v>155</v>
      </c>
      <c r="H1313" s="45" t="s">
        <v>150</v>
      </c>
      <c r="I1313" s="45" t="s">
        <v>1138</v>
      </c>
      <c r="J1313" s="143" t="s">
        <v>28</v>
      </c>
      <c r="K1313" s="43" t="str">
        <f t="array" ref="K1313">IF(J1313="","", XLOOKUP(J1313,'⚙️ Pengaturan'!$E$2:$E3237,'⚙️ Pengaturan'!$G$2:$G3237))</f>
        <v>KLINIK FT TA</v>
      </c>
      <c r="L1313" s="43" t="str">
        <f t="shared" si="3"/>
        <v>BARU</v>
      </c>
      <c r="M1313" s="144" t="s">
        <v>31</v>
      </c>
      <c r="N1313" s="145">
        <v>250000.0</v>
      </c>
      <c r="O1313" s="146">
        <v>0.0</v>
      </c>
      <c r="P1313" s="48">
        <f t="array" ref="P1313">IFNA(XLOOKUP(J1313,'⚙️ Pengaturan'!$E$2:$E3237,'⚙️ Pengaturan'!$F$2:$F3237),"")</f>
        <v>250000</v>
      </c>
      <c r="Q1313" s="147">
        <f t="shared" si="23"/>
        <v>0</v>
      </c>
      <c r="R1313" s="41" t="s">
        <v>32</v>
      </c>
      <c r="S1313" s="69" t="s">
        <v>33</v>
      </c>
      <c r="T1313" s="51" t="b">
        <v>1</v>
      </c>
      <c r="U1313" s="94"/>
    </row>
    <row r="1314" ht="30.0" customHeight="1">
      <c r="A1314" s="39"/>
      <c r="B1314" s="40">
        <v>3350.0</v>
      </c>
      <c r="C1314" s="41" t="s">
        <v>50</v>
      </c>
      <c r="D1314" s="86">
        <v>46126.0</v>
      </c>
      <c r="E1314" s="43" t="str">
        <f t="shared" si="1"/>
        <v>2026</v>
      </c>
      <c r="F1314" s="43" t="str">
        <f t="shared" si="2"/>
        <v>04 Apr</v>
      </c>
      <c r="G1314" s="45" t="s">
        <v>155</v>
      </c>
      <c r="H1314" s="45" t="s">
        <v>162</v>
      </c>
      <c r="I1314" s="45" t="s">
        <v>1139</v>
      </c>
      <c r="J1314" s="143" t="s">
        <v>28</v>
      </c>
      <c r="K1314" s="43" t="str">
        <f t="array" ref="K1314">IF(J1314="","", XLOOKUP(J1314,'⚙️ Pengaturan'!$E$2:$E3237,'⚙️ Pengaturan'!$G$2:$G3237))</f>
        <v>KLINIK FT TA</v>
      </c>
      <c r="L1314" s="43" t="str">
        <f t="shared" si="3"/>
        <v>BARU</v>
      </c>
      <c r="M1314" s="144" t="s">
        <v>31</v>
      </c>
      <c r="N1314" s="145">
        <v>250000.0</v>
      </c>
      <c r="O1314" s="146">
        <v>0.0</v>
      </c>
      <c r="P1314" s="48">
        <f t="array" ref="P1314">IFNA(XLOOKUP(J1314,'⚙️ Pengaturan'!$E$2:$E3237,'⚙️ Pengaturan'!$F$2:$F3237),"")</f>
        <v>250000</v>
      </c>
      <c r="Q1314" s="147">
        <f t="shared" si="23"/>
        <v>0</v>
      </c>
      <c r="R1314" s="41" t="s">
        <v>37</v>
      </c>
      <c r="S1314" s="69" t="s">
        <v>898</v>
      </c>
      <c r="T1314" s="51" t="b">
        <v>1</v>
      </c>
      <c r="U1314" s="94"/>
    </row>
    <row r="1315" ht="30.0" customHeight="1">
      <c r="A1315" s="39"/>
      <c r="B1315" s="40">
        <v>3351.0</v>
      </c>
      <c r="C1315" s="41" t="s">
        <v>50</v>
      </c>
      <c r="D1315" s="86">
        <v>46126.0</v>
      </c>
      <c r="E1315" s="43" t="str">
        <f t="shared" si="1"/>
        <v>2026</v>
      </c>
      <c r="F1315" s="43" t="str">
        <f t="shared" si="2"/>
        <v>04 Apr</v>
      </c>
      <c r="G1315" s="45" t="s">
        <v>155</v>
      </c>
      <c r="H1315" s="45" t="s">
        <v>26</v>
      </c>
      <c r="I1315" s="45" t="s">
        <v>1140</v>
      </c>
      <c r="J1315" s="143" t="s">
        <v>28</v>
      </c>
      <c r="K1315" s="43" t="str">
        <f t="array" ref="K1315">IF(J1315="","", XLOOKUP(J1315,'⚙️ Pengaturan'!$E$2:$E3237,'⚙️ Pengaturan'!$G$2:$G3237))</f>
        <v>KLINIK FT TA</v>
      </c>
      <c r="L1315" s="43" t="str">
        <f t="shared" si="3"/>
        <v>BARU</v>
      </c>
      <c r="M1315" s="144" t="s">
        <v>31</v>
      </c>
      <c r="N1315" s="145">
        <v>250000.0</v>
      </c>
      <c r="O1315" s="146">
        <v>0.0</v>
      </c>
      <c r="P1315" s="48">
        <f t="array" ref="P1315">IFNA(XLOOKUP(J1315,'⚙️ Pengaturan'!$E$2:$E3237,'⚙️ Pengaturan'!$F$2:$F3237),"")</f>
        <v>250000</v>
      </c>
      <c r="Q1315" s="147">
        <f t="shared" si="23"/>
        <v>0</v>
      </c>
      <c r="R1315" s="41" t="s">
        <v>37</v>
      </c>
      <c r="S1315" s="69" t="s">
        <v>1140</v>
      </c>
      <c r="T1315" s="51" t="b">
        <v>1</v>
      </c>
      <c r="U1315" s="94"/>
    </row>
    <row r="1316" ht="30.0" customHeight="1">
      <c r="A1316" s="39"/>
      <c r="B1316" s="40">
        <v>3352.0</v>
      </c>
      <c r="C1316" s="41" t="s">
        <v>50</v>
      </c>
      <c r="D1316" s="86">
        <v>46126.0</v>
      </c>
      <c r="E1316" s="43" t="str">
        <f t="shared" si="1"/>
        <v>2026</v>
      </c>
      <c r="F1316" s="43" t="str">
        <f t="shared" si="2"/>
        <v>04 Apr</v>
      </c>
      <c r="G1316" s="45" t="s">
        <v>69</v>
      </c>
      <c r="H1316" s="45" t="s">
        <v>47</v>
      </c>
      <c r="I1316" s="45" t="s">
        <v>1110</v>
      </c>
      <c r="J1316" s="143" t="s">
        <v>28</v>
      </c>
      <c r="K1316" s="43" t="str">
        <f t="array" ref="K1316">IF(J1316="","", XLOOKUP(J1316,'⚙️ Pengaturan'!$E$2:$E3237,'⚙️ Pengaturan'!$G$2:$G3237))</f>
        <v>KLINIK FT TA</v>
      </c>
      <c r="L1316" s="43" t="str">
        <f t="shared" si="3"/>
        <v>LANJUTAN</v>
      </c>
      <c r="M1316" s="144" t="s">
        <v>31</v>
      </c>
      <c r="N1316" s="145">
        <v>250000.0</v>
      </c>
      <c r="O1316" s="146">
        <v>0.0</v>
      </c>
      <c r="P1316" s="48">
        <f t="array" ref="P1316">IFNA(XLOOKUP(J1316,'⚙️ Pengaturan'!$E$2:$E3237,'⚙️ Pengaturan'!$F$2:$F3237),"")</f>
        <v>250000</v>
      </c>
      <c r="Q1316" s="147">
        <f t="shared" si="23"/>
        <v>0</v>
      </c>
      <c r="R1316" s="41" t="s">
        <v>37</v>
      </c>
      <c r="S1316" s="69" t="s">
        <v>1110</v>
      </c>
      <c r="T1316" s="51" t="b">
        <v>1</v>
      </c>
      <c r="U1316" s="94"/>
    </row>
    <row r="1317" ht="30.0" customHeight="1">
      <c r="A1317" s="39"/>
      <c r="B1317" s="40">
        <v>3353.0</v>
      </c>
      <c r="C1317" s="41" t="s">
        <v>50</v>
      </c>
      <c r="D1317" s="86">
        <v>46127.0</v>
      </c>
      <c r="E1317" s="43" t="str">
        <f t="shared" si="1"/>
        <v>2026</v>
      </c>
      <c r="F1317" s="43" t="str">
        <f t="shared" si="2"/>
        <v>04 Apr</v>
      </c>
      <c r="G1317" s="45" t="s">
        <v>195</v>
      </c>
      <c r="H1317" s="45" t="s">
        <v>41</v>
      </c>
      <c r="I1317" s="45" t="s">
        <v>970</v>
      </c>
      <c r="J1317" s="143" t="s">
        <v>120</v>
      </c>
      <c r="K1317" s="43" t="str">
        <f t="array" ref="K1317">IF(J1317="","", XLOOKUP(J1317,'⚙️ Pengaturan'!$E$2:$E3237,'⚙️ Pengaturan'!$G$2:$G3237))</f>
        <v>KLINIK FT SESI</v>
      </c>
      <c r="L1317" s="43" t="str">
        <f t="shared" si="3"/>
        <v>LANJUTAN</v>
      </c>
      <c r="M1317" s="144" t="s">
        <v>31</v>
      </c>
      <c r="N1317" s="145">
        <v>180000.0</v>
      </c>
      <c r="O1317" s="146">
        <v>0.0</v>
      </c>
      <c r="P1317" s="48">
        <f t="array" ref="P1317">IFNA(XLOOKUP(J1317,'⚙️ Pengaturan'!$E$2:$E3237,'⚙️ Pengaturan'!$F$2:$F3237),"")</f>
        <v>180000</v>
      </c>
      <c r="Q1317" s="147">
        <f t="shared" si="23"/>
        <v>0</v>
      </c>
      <c r="R1317" s="41" t="s">
        <v>37</v>
      </c>
      <c r="S1317" s="69" t="s">
        <v>970</v>
      </c>
      <c r="T1317" s="51" t="b">
        <v>1</v>
      </c>
      <c r="U1317" s="94"/>
    </row>
    <row r="1318" ht="30.0" customHeight="1">
      <c r="A1318" s="39"/>
      <c r="B1318" s="40">
        <v>3354.0</v>
      </c>
      <c r="C1318" s="41" t="s">
        <v>50</v>
      </c>
      <c r="D1318" s="86">
        <v>46127.0</v>
      </c>
      <c r="E1318" s="43" t="str">
        <f t="shared" si="1"/>
        <v>2026</v>
      </c>
      <c r="F1318" s="43" t="str">
        <f t="shared" si="2"/>
        <v>04 Apr</v>
      </c>
      <c r="G1318" s="45" t="s">
        <v>195</v>
      </c>
      <c r="H1318" s="45" t="s">
        <v>76</v>
      </c>
      <c r="I1318" s="45" t="s">
        <v>1141</v>
      </c>
      <c r="J1318" s="143" t="s">
        <v>28</v>
      </c>
      <c r="K1318" s="43" t="str">
        <f t="array" ref="K1318">IF(J1318="","", XLOOKUP(J1318,'⚙️ Pengaturan'!$E$2:$E3237,'⚙️ Pengaturan'!$G$2:$G3237))</f>
        <v>KLINIK FT TA</v>
      </c>
      <c r="L1318" s="43" t="str">
        <f t="shared" si="3"/>
        <v>BARU</v>
      </c>
      <c r="M1318" s="144" t="s">
        <v>31</v>
      </c>
      <c r="N1318" s="145">
        <v>250000.0</v>
      </c>
      <c r="O1318" s="146">
        <v>0.0</v>
      </c>
      <c r="P1318" s="48">
        <f t="array" ref="P1318">IFNA(XLOOKUP(J1318,'⚙️ Pengaturan'!$E$2:$E3237,'⚙️ Pengaturan'!$F$2:$F3237),"")</f>
        <v>250000</v>
      </c>
      <c r="Q1318" s="147">
        <f t="shared" si="23"/>
        <v>0</v>
      </c>
      <c r="R1318" s="41" t="s">
        <v>32</v>
      </c>
      <c r="S1318" s="69" t="s">
        <v>33</v>
      </c>
      <c r="T1318" s="51" t="b">
        <v>1</v>
      </c>
      <c r="U1318" s="94"/>
    </row>
    <row r="1319" ht="30.0" customHeight="1">
      <c r="A1319" s="39"/>
      <c r="B1319" s="40">
        <v>3355.0</v>
      </c>
      <c r="C1319" s="41" t="s">
        <v>50</v>
      </c>
      <c r="D1319" s="86">
        <v>46127.0</v>
      </c>
      <c r="E1319" s="43" t="str">
        <f t="shared" si="1"/>
        <v>2026</v>
      </c>
      <c r="F1319" s="43" t="str">
        <f t="shared" si="2"/>
        <v>04 Apr</v>
      </c>
      <c r="G1319" s="45" t="s">
        <v>25</v>
      </c>
      <c r="H1319" s="45" t="s">
        <v>76</v>
      </c>
      <c r="I1319" s="45" t="s">
        <v>1142</v>
      </c>
      <c r="J1319" s="143" t="s">
        <v>28</v>
      </c>
      <c r="K1319" s="43" t="str">
        <f t="array" ref="K1319">IF(J1319="","", XLOOKUP(J1319,'⚙️ Pengaturan'!$E$2:$E3237,'⚙️ Pengaturan'!$G$2:$G3237))</f>
        <v>KLINIK FT TA</v>
      </c>
      <c r="L1319" s="43" t="str">
        <f t="shared" si="3"/>
        <v>BARU</v>
      </c>
      <c r="M1319" s="144" t="s">
        <v>31</v>
      </c>
      <c r="N1319" s="145">
        <v>250000.0</v>
      </c>
      <c r="O1319" s="146">
        <v>0.0</v>
      </c>
      <c r="P1319" s="48">
        <f t="array" ref="P1319">IFNA(XLOOKUP(J1319,'⚙️ Pengaturan'!$E$2:$E3237,'⚙️ Pengaturan'!$F$2:$F3237),"")</f>
        <v>250000</v>
      </c>
      <c r="Q1319" s="147">
        <f t="shared" si="23"/>
        <v>0</v>
      </c>
      <c r="R1319" s="41" t="s">
        <v>37</v>
      </c>
      <c r="S1319" s="69" t="s">
        <v>1142</v>
      </c>
      <c r="T1319" s="51" t="b">
        <v>1</v>
      </c>
      <c r="U1319" s="94"/>
    </row>
    <row r="1320" ht="30.0" customHeight="1">
      <c r="A1320" s="39"/>
      <c r="B1320" s="40">
        <v>3356.0</v>
      </c>
      <c r="C1320" s="41" t="s">
        <v>50</v>
      </c>
      <c r="D1320" s="86">
        <v>46127.0</v>
      </c>
      <c r="E1320" s="43" t="str">
        <f t="shared" si="1"/>
        <v>2026</v>
      </c>
      <c r="F1320" s="43" t="str">
        <f t="shared" si="2"/>
        <v>04 Apr</v>
      </c>
      <c r="G1320" s="45" t="s">
        <v>25</v>
      </c>
      <c r="H1320" s="45" t="s">
        <v>96</v>
      </c>
      <c r="I1320" s="45" t="s">
        <v>1143</v>
      </c>
      <c r="J1320" s="143" t="s">
        <v>28</v>
      </c>
      <c r="K1320" s="43" t="str">
        <f t="array" ref="K1320">IF(J1320="","", XLOOKUP(J1320,'⚙️ Pengaturan'!$E$2:$E3237,'⚙️ Pengaturan'!$G$2:$G3237))</f>
        <v>KLINIK FT TA</v>
      </c>
      <c r="L1320" s="43" t="str">
        <f t="shared" si="3"/>
        <v>BARU</v>
      </c>
      <c r="M1320" s="144" t="s">
        <v>31</v>
      </c>
      <c r="N1320" s="145">
        <v>250000.0</v>
      </c>
      <c r="O1320" s="146">
        <v>0.0</v>
      </c>
      <c r="P1320" s="48">
        <f t="array" ref="P1320">IFNA(XLOOKUP(J1320,'⚙️ Pengaturan'!$E$2:$E3237,'⚙️ Pengaturan'!$F$2:$F3237),"")</f>
        <v>250000</v>
      </c>
      <c r="Q1320" s="147">
        <f t="shared" si="23"/>
        <v>0</v>
      </c>
      <c r="R1320" s="41" t="s">
        <v>32</v>
      </c>
      <c r="S1320" s="69" t="s">
        <v>33</v>
      </c>
      <c r="T1320" s="51" t="b">
        <v>1</v>
      </c>
      <c r="U1320" s="94"/>
    </row>
    <row r="1321" ht="30.0" customHeight="1">
      <c r="A1321" s="39"/>
      <c r="B1321" s="40">
        <v>3357.0</v>
      </c>
      <c r="C1321" s="41" t="s">
        <v>50</v>
      </c>
      <c r="D1321" s="86">
        <v>46127.0</v>
      </c>
      <c r="E1321" s="43" t="str">
        <f t="shared" si="1"/>
        <v>2026</v>
      </c>
      <c r="F1321" s="43" t="str">
        <f t="shared" si="2"/>
        <v>04 Apr</v>
      </c>
      <c r="G1321" s="45" t="s">
        <v>206</v>
      </c>
      <c r="H1321" s="45" t="s">
        <v>149</v>
      </c>
      <c r="I1321" s="45" t="s">
        <v>884</v>
      </c>
      <c r="J1321" s="143" t="s">
        <v>28</v>
      </c>
      <c r="K1321" s="43" t="str">
        <f t="array" ref="K1321">IF(J1321="","", XLOOKUP(J1321,'⚙️ Pengaturan'!$E$2:$E3237,'⚙️ Pengaturan'!$G$2:$G3237))</f>
        <v>KLINIK FT TA</v>
      </c>
      <c r="L1321" s="43" t="str">
        <f t="shared" si="3"/>
        <v>LANJUTAN</v>
      </c>
      <c r="M1321" s="144" t="s">
        <v>31</v>
      </c>
      <c r="N1321" s="145">
        <v>250000.0</v>
      </c>
      <c r="O1321" s="146">
        <v>0.0</v>
      </c>
      <c r="P1321" s="48">
        <f t="array" ref="P1321">IFNA(XLOOKUP(J1321,'⚙️ Pengaturan'!$E$2:$E3237,'⚙️ Pengaturan'!$F$2:$F3237),"")</f>
        <v>250000</v>
      </c>
      <c r="Q1321" s="147">
        <f t="shared" si="23"/>
        <v>0</v>
      </c>
      <c r="R1321" s="41" t="s">
        <v>37</v>
      </c>
      <c r="S1321" s="69" t="s">
        <v>884</v>
      </c>
      <c r="T1321" s="51" t="b">
        <v>1</v>
      </c>
      <c r="U1321" s="94"/>
    </row>
    <row r="1322" ht="30.0" customHeight="1">
      <c r="A1322" s="39"/>
      <c r="B1322" s="40">
        <v>3358.0</v>
      </c>
      <c r="C1322" s="41" t="s">
        <v>50</v>
      </c>
      <c r="D1322" s="86">
        <v>46127.0</v>
      </c>
      <c r="E1322" s="43" t="str">
        <f t="shared" si="1"/>
        <v>2026</v>
      </c>
      <c r="F1322" s="43" t="str">
        <f t="shared" si="2"/>
        <v>04 Apr</v>
      </c>
      <c r="G1322" s="45" t="s">
        <v>206</v>
      </c>
      <c r="H1322" s="45" t="s">
        <v>149</v>
      </c>
      <c r="I1322" s="45" t="s">
        <v>884</v>
      </c>
      <c r="J1322" s="143" t="s">
        <v>119</v>
      </c>
      <c r="K1322" s="43" t="str">
        <f t="array" ref="K1322">IF(J1322="","", XLOOKUP(J1322,'⚙️ Pengaturan'!$E$2:$E3237,'⚙️ Pengaturan'!$G$2:$G3237))</f>
        <v>KLINIK FT PAKET</v>
      </c>
      <c r="L1322" s="43" t="str">
        <f t="shared" si="3"/>
        <v>BARU</v>
      </c>
      <c r="M1322" s="144" t="s">
        <v>31</v>
      </c>
      <c r="N1322" s="145">
        <v>750000.0</v>
      </c>
      <c r="O1322" s="146">
        <v>0.0</v>
      </c>
      <c r="P1322" s="48">
        <f t="array" ref="P1322">IFNA(XLOOKUP(J1322,'⚙️ Pengaturan'!$E$2:$E3237,'⚙️ Pengaturan'!$F$2:$F3237),"")</f>
        <v>750000</v>
      </c>
      <c r="Q1322" s="147">
        <f t="shared" si="23"/>
        <v>0</v>
      </c>
      <c r="R1322" s="41" t="s">
        <v>37</v>
      </c>
      <c r="S1322" s="69" t="s">
        <v>884</v>
      </c>
      <c r="T1322" s="51" t="b">
        <v>1</v>
      </c>
      <c r="U1322" s="94"/>
    </row>
    <row r="1323" ht="30.0" customHeight="1">
      <c r="A1323" s="39"/>
      <c r="B1323" s="40">
        <v>3359.0</v>
      </c>
      <c r="C1323" s="41" t="s">
        <v>50</v>
      </c>
      <c r="D1323" s="86">
        <v>46127.0</v>
      </c>
      <c r="E1323" s="43" t="str">
        <f t="shared" si="1"/>
        <v>2026</v>
      </c>
      <c r="F1323" s="43" t="str">
        <f t="shared" si="2"/>
        <v>04 Apr</v>
      </c>
      <c r="G1323" s="45" t="s">
        <v>161</v>
      </c>
      <c r="H1323" s="45" t="s">
        <v>156</v>
      </c>
      <c r="I1323" s="45" t="s">
        <v>1144</v>
      </c>
      <c r="J1323" s="143" t="s">
        <v>28</v>
      </c>
      <c r="K1323" s="43" t="str">
        <f t="array" ref="K1323">IF(J1323="","", XLOOKUP(J1323,'⚙️ Pengaturan'!$E$2:$E3237,'⚙️ Pengaturan'!$G$2:$G3237))</f>
        <v>KLINIK FT TA</v>
      </c>
      <c r="L1323" s="43" t="str">
        <f t="shared" si="3"/>
        <v>BARU</v>
      </c>
      <c r="M1323" s="144" t="s">
        <v>31</v>
      </c>
      <c r="N1323" s="145">
        <v>250000.0</v>
      </c>
      <c r="O1323" s="146">
        <v>0.0</v>
      </c>
      <c r="P1323" s="48">
        <f t="array" ref="P1323">IFNA(XLOOKUP(J1323,'⚙️ Pengaturan'!$E$2:$E3237,'⚙️ Pengaturan'!$F$2:$F3237),"")</f>
        <v>250000</v>
      </c>
      <c r="Q1323" s="147">
        <f t="shared" si="23"/>
        <v>0</v>
      </c>
      <c r="R1323" s="41" t="s">
        <v>32</v>
      </c>
      <c r="S1323" s="69" t="s">
        <v>33</v>
      </c>
      <c r="T1323" s="51" t="b">
        <v>1</v>
      </c>
      <c r="U1323" s="94"/>
    </row>
    <row r="1324" ht="30.0" customHeight="1">
      <c r="A1324" s="39"/>
      <c r="B1324" s="40">
        <v>3360.0</v>
      </c>
      <c r="C1324" s="41" t="s">
        <v>39</v>
      </c>
      <c r="D1324" s="86">
        <v>46127.0</v>
      </c>
      <c r="E1324" s="43" t="str">
        <f t="shared" si="1"/>
        <v>2026</v>
      </c>
      <c r="F1324" s="43" t="str">
        <f t="shared" si="2"/>
        <v>04 Apr</v>
      </c>
      <c r="G1324" s="45" t="s">
        <v>173</v>
      </c>
      <c r="H1324" s="45" t="s">
        <v>162</v>
      </c>
      <c r="I1324" s="45" t="s">
        <v>1071</v>
      </c>
      <c r="J1324" s="143" t="s">
        <v>120</v>
      </c>
      <c r="K1324" s="43" t="str">
        <f t="array" ref="K1324">IF(J1324="","", XLOOKUP(J1324,'⚙️ Pengaturan'!$E$2:$E3237,'⚙️ Pengaturan'!$G$2:$G3237))</f>
        <v>KLINIK FT SESI</v>
      </c>
      <c r="L1324" s="43" t="str">
        <f t="shared" si="3"/>
        <v>LANJUTAN</v>
      </c>
      <c r="M1324" s="144" t="s">
        <v>31</v>
      </c>
      <c r="N1324" s="145">
        <v>144000.0</v>
      </c>
      <c r="O1324" s="146">
        <v>36000.0</v>
      </c>
      <c r="P1324" s="48">
        <f t="array" ref="P1324">IFNA(XLOOKUP(J1324,'⚙️ Pengaturan'!$E$2:$E3237,'⚙️ Pengaturan'!$F$2:$F3237),"")</f>
        <v>180000</v>
      </c>
      <c r="Q1324" s="147">
        <f t="shared" si="23"/>
        <v>0</v>
      </c>
      <c r="R1324" s="41" t="s">
        <v>37</v>
      </c>
      <c r="S1324" s="69" t="s">
        <v>1071</v>
      </c>
      <c r="T1324" s="51" t="b">
        <v>1</v>
      </c>
      <c r="U1324" s="94"/>
    </row>
    <row r="1325" ht="30.0" customHeight="1">
      <c r="A1325" s="39"/>
      <c r="B1325" s="40">
        <v>3361.0</v>
      </c>
      <c r="C1325" s="41" t="s">
        <v>39</v>
      </c>
      <c r="D1325" s="86">
        <v>46127.0</v>
      </c>
      <c r="E1325" s="43" t="str">
        <f t="shared" si="1"/>
        <v>2026</v>
      </c>
      <c r="F1325" s="43" t="str">
        <f t="shared" si="2"/>
        <v>04 Apr</v>
      </c>
      <c r="G1325" s="45" t="s">
        <v>43</v>
      </c>
      <c r="H1325" s="45" t="s">
        <v>150</v>
      </c>
      <c r="I1325" s="45" t="s">
        <v>1107</v>
      </c>
      <c r="J1325" s="143" t="s">
        <v>119</v>
      </c>
      <c r="K1325" s="43" t="str">
        <f t="array" ref="K1325">IF(J1325="","", XLOOKUP(J1325,'⚙️ Pengaturan'!$E$2:$E3237,'⚙️ Pengaturan'!$G$2:$G3237))</f>
        <v>KLINIK FT PAKET</v>
      </c>
      <c r="L1325" s="43" t="str">
        <f t="shared" si="3"/>
        <v>BARU</v>
      </c>
      <c r="M1325" s="144" t="s">
        <v>31</v>
      </c>
      <c r="N1325" s="145">
        <v>750000.0</v>
      </c>
      <c r="O1325" s="146">
        <v>0.0</v>
      </c>
      <c r="P1325" s="48">
        <f t="array" ref="P1325">IFNA(XLOOKUP(J1325,'⚙️ Pengaturan'!$E$2:$E3237,'⚙️ Pengaturan'!$F$2:$F3237),"")</f>
        <v>750000</v>
      </c>
      <c r="Q1325" s="147">
        <f t="shared" si="23"/>
        <v>0</v>
      </c>
      <c r="R1325" s="41" t="s">
        <v>32</v>
      </c>
      <c r="S1325" s="69" t="s">
        <v>33</v>
      </c>
      <c r="T1325" s="51" t="b">
        <v>1</v>
      </c>
      <c r="U1325" s="94"/>
    </row>
    <row r="1326" ht="30.0" customHeight="1">
      <c r="A1326" s="39"/>
      <c r="B1326" s="40">
        <v>3362.0</v>
      </c>
      <c r="C1326" s="41" t="s">
        <v>39</v>
      </c>
      <c r="D1326" s="86">
        <v>46127.0</v>
      </c>
      <c r="E1326" s="43" t="str">
        <f t="shared" si="1"/>
        <v>2026</v>
      </c>
      <c r="F1326" s="43" t="str">
        <f t="shared" si="2"/>
        <v>04 Apr</v>
      </c>
      <c r="G1326" s="45" t="s">
        <v>155</v>
      </c>
      <c r="H1326" s="45" t="s">
        <v>150</v>
      </c>
      <c r="I1326" s="45" t="s">
        <v>1100</v>
      </c>
      <c r="J1326" s="143" t="s">
        <v>119</v>
      </c>
      <c r="K1326" s="43" t="str">
        <f t="array" ref="K1326">IF(J1326="","", XLOOKUP(J1326,'⚙️ Pengaturan'!$E$2:$E3237,'⚙️ Pengaturan'!$G$2:$G3237))</f>
        <v>KLINIK FT PAKET</v>
      </c>
      <c r="L1326" s="43" t="str">
        <f t="shared" si="3"/>
        <v>BARU</v>
      </c>
      <c r="M1326" s="144" t="s">
        <v>31</v>
      </c>
      <c r="N1326" s="145">
        <v>750000.0</v>
      </c>
      <c r="O1326" s="146">
        <v>0.0</v>
      </c>
      <c r="P1326" s="48">
        <f t="array" ref="P1326">IFNA(XLOOKUP(J1326,'⚙️ Pengaturan'!$E$2:$E3237,'⚙️ Pengaturan'!$F$2:$F3237),"")</f>
        <v>750000</v>
      </c>
      <c r="Q1326" s="147">
        <f t="shared" si="23"/>
        <v>0</v>
      </c>
      <c r="R1326" s="41" t="s">
        <v>118</v>
      </c>
      <c r="S1326" s="69" t="s">
        <v>1100</v>
      </c>
      <c r="T1326" s="51" t="b">
        <v>1</v>
      </c>
      <c r="U1326" s="94"/>
    </row>
    <row r="1327" ht="30.0" customHeight="1">
      <c r="A1327" s="39"/>
      <c r="B1327" s="40">
        <v>3363.0</v>
      </c>
      <c r="C1327" s="41" t="s">
        <v>39</v>
      </c>
      <c r="D1327" s="86">
        <v>46128.0</v>
      </c>
      <c r="E1327" s="43" t="str">
        <f t="shared" si="1"/>
        <v>2026</v>
      </c>
      <c r="F1327" s="43" t="str">
        <f t="shared" si="2"/>
        <v>04 Apr</v>
      </c>
      <c r="G1327" s="45" t="s">
        <v>25</v>
      </c>
      <c r="H1327" s="45" t="s">
        <v>150</v>
      </c>
      <c r="I1327" s="45" t="s">
        <v>1138</v>
      </c>
      <c r="J1327" s="143" t="s">
        <v>120</v>
      </c>
      <c r="K1327" s="43" t="str">
        <f t="array" ref="K1327">IF(J1327="","", XLOOKUP(J1327,'⚙️ Pengaturan'!$E$2:$E3237,'⚙️ Pengaturan'!$G$2:$G3237))</f>
        <v>KLINIK FT SESI</v>
      </c>
      <c r="L1327" s="43" t="str">
        <f t="shared" si="3"/>
        <v>BARU</v>
      </c>
      <c r="M1327" s="144" t="s">
        <v>31</v>
      </c>
      <c r="N1327" s="145">
        <v>180000.0</v>
      </c>
      <c r="O1327" s="146">
        <v>0.0</v>
      </c>
      <c r="P1327" s="48">
        <f t="array" ref="P1327">IFNA(XLOOKUP(J1327,'⚙️ Pengaturan'!$E$2:$E3237,'⚙️ Pengaturan'!$F$2:$F3237),"")</f>
        <v>180000</v>
      </c>
      <c r="Q1327" s="147">
        <f t="shared" si="23"/>
        <v>0</v>
      </c>
      <c r="R1327" s="41" t="s">
        <v>32</v>
      </c>
      <c r="S1327" s="69" t="s">
        <v>33</v>
      </c>
      <c r="T1327" s="51" t="b">
        <v>1</v>
      </c>
      <c r="U1327" s="94"/>
    </row>
    <row r="1328" ht="30.0" customHeight="1">
      <c r="A1328" s="39"/>
      <c r="B1328" s="40">
        <v>3364.0</v>
      </c>
      <c r="C1328" s="41" t="s">
        <v>39</v>
      </c>
      <c r="D1328" s="86">
        <v>46128.0</v>
      </c>
      <c r="E1328" s="43" t="str">
        <f t="shared" si="1"/>
        <v>2026</v>
      </c>
      <c r="F1328" s="43" t="str">
        <f t="shared" si="2"/>
        <v>04 Apr</v>
      </c>
      <c r="G1328" s="45" t="s">
        <v>206</v>
      </c>
      <c r="H1328" s="45" t="s">
        <v>26</v>
      </c>
      <c r="I1328" s="45" t="s">
        <v>1140</v>
      </c>
      <c r="J1328" s="143" t="s">
        <v>120</v>
      </c>
      <c r="K1328" s="43" t="str">
        <f t="array" ref="K1328">IF(J1328="","", XLOOKUP(J1328,'⚙️ Pengaturan'!$E$2:$E3237,'⚙️ Pengaturan'!$G$2:$G3237))</f>
        <v>KLINIK FT SESI</v>
      </c>
      <c r="L1328" s="43" t="str">
        <f t="shared" si="3"/>
        <v>BARU</v>
      </c>
      <c r="M1328" s="144" t="s">
        <v>31</v>
      </c>
      <c r="N1328" s="145">
        <v>180000.0</v>
      </c>
      <c r="O1328" s="146">
        <v>0.0</v>
      </c>
      <c r="P1328" s="48">
        <f t="array" ref="P1328">IFNA(XLOOKUP(J1328,'⚙️ Pengaturan'!$E$2:$E3237,'⚙️ Pengaturan'!$F$2:$F3237),"")</f>
        <v>180000</v>
      </c>
      <c r="Q1328" s="147">
        <f t="shared" si="23"/>
        <v>0</v>
      </c>
      <c r="R1328" s="41" t="s">
        <v>37</v>
      </c>
      <c r="S1328" s="69" t="s">
        <v>33</v>
      </c>
      <c r="T1328" s="51" t="b">
        <v>1</v>
      </c>
      <c r="U1328" s="94"/>
    </row>
    <row r="1329" ht="30.0" customHeight="1">
      <c r="A1329" s="39"/>
      <c r="B1329" s="40">
        <v>3365.0</v>
      </c>
      <c r="C1329" s="41" t="s">
        <v>39</v>
      </c>
      <c r="D1329" s="86">
        <v>46128.0</v>
      </c>
      <c r="E1329" s="43" t="str">
        <f t="shared" si="1"/>
        <v>2026</v>
      </c>
      <c r="F1329" s="43" t="str">
        <f t="shared" si="2"/>
        <v>04 Apr</v>
      </c>
      <c r="G1329" s="45" t="s">
        <v>161</v>
      </c>
      <c r="H1329" s="45" t="s">
        <v>150</v>
      </c>
      <c r="I1329" s="45" t="s">
        <v>1145</v>
      </c>
      <c r="J1329" s="143" t="s">
        <v>28</v>
      </c>
      <c r="K1329" s="43" t="str">
        <f t="array" ref="K1329">IF(J1329="","", XLOOKUP(J1329,'⚙️ Pengaturan'!$E$2:$E3237,'⚙️ Pengaturan'!$G$2:$G3237))</f>
        <v>KLINIK FT TA</v>
      </c>
      <c r="L1329" s="43" t="str">
        <f t="shared" si="3"/>
        <v>BARU</v>
      </c>
      <c r="M1329" s="144" t="s">
        <v>31</v>
      </c>
      <c r="N1329" s="145">
        <v>200000.0</v>
      </c>
      <c r="O1329" s="146">
        <v>50000.0</v>
      </c>
      <c r="P1329" s="48">
        <f t="array" ref="P1329">IFNA(XLOOKUP(J1329,'⚙️ Pengaturan'!$E$2:$E3237,'⚙️ Pengaturan'!$F$2:$F3237),"")</f>
        <v>250000</v>
      </c>
      <c r="Q1329" s="147">
        <f t="shared" si="23"/>
        <v>0</v>
      </c>
      <c r="R1329" s="41" t="s">
        <v>37</v>
      </c>
      <c r="S1329" s="69" t="s">
        <v>1146</v>
      </c>
      <c r="T1329" s="51" t="b">
        <v>1</v>
      </c>
      <c r="U1329" s="94"/>
    </row>
    <row r="1330" ht="30.0" customHeight="1">
      <c r="A1330" s="39"/>
      <c r="B1330" s="40">
        <v>3366.0</v>
      </c>
      <c r="C1330" s="41" t="s">
        <v>39</v>
      </c>
      <c r="D1330" s="86">
        <v>46128.0</v>
      </c>
      <c r="E1330" s="43" t="str">
        <f t="shared" si="1"/>
        <v>2026</v>
      </c>
      <c r="F1330" s="43" t="str">
        <f t="shared" si="2"/>
        <v>04 Apr</v>
      </c>
      <c r="G1330" s="45" t="s">
        <v>161</v>
      </c>
      <c r="H1330" s="45" t="s">
        <v>150</v>
      </c>
      <c r="I1330" s="45" t="s">
        <v>1145</v>
      </c>
      <c r="J1330" s="143" t="s">
        <v>119</v>
      </c>
      <c r="K1330" s="43" t="str">
        <f t="array" ref="K1330">IF(J1330="","", XLOOKUP(J1330,'⚙️ Pengaturan'!$E$2:$E3237,'⚙️ Pengaturan'!$G$2:$G3237))</f>
        <v>KLINIK FT PAKET</v>
      </c>
      <c r="L1330" s="43" t="str">
        <f t="shared" si="3"/>
        <v>BARU</v>
      </c>
      <c r="M1330" s="144" t="s">
        <v>31</v>
      </c>
      <c r="N1330" s="145">
        <v>650000.0</v>
      </c>
      <c r="O1330" s="146">
        <v>150000.0</v>
      </c>
      <c r="P1330" s="48">
        <f t="array" ref="P1330">IFNA(XLOOKUP(J1330,'⚙️ Pengaturan'!$E$2:$E3237,'⚙️ Pengaturan'!$F$2:$F3237),"")</f>
        <v>750000</v>
      </c>
      <c r="Q1330" s="147">
        <f t="shared" si="23"/>
        <v>50000</v>
      </c>
      <c r="R1330" s="41" t="s">
        <v>37</v>
      </c>
      <c r="S1330" s="69" t="s">
        <v>1147</v>
      </c>
      <c r="T1330" s="51" t="b">
        <v>1</v>
      </c>
      <c r="U1330" s="94"/>
    </row>
    <row r="1331" ht="30.0" customHeight="1">
      <c r="A1331" s="39"/>
      <c r="B1331" s="40">
        <v>3367.0</v>
      </c>
      <c r="C1331" s="41" t="s">
        <v>39</v>
      </c>
      <c r="D1331" s="86">
        <v>46128.0</v>
      </c>
      <c r="E1331" s="43" t="str">
        <f t="shared" si="1"/>
        <v>2026</v>
      </c>
      <c r="F1331" s="43" t="str">
        <f t="shared" si="2"/>
        <v>04 Apr</v>
      </c>
      <c r="G1331" s="45" t="s">
        <v>35</v>
      </c>
      <c r="H1331" s="45" t="s">
        <v>26</v>
      </c>
      <c r="I1331" s="45" t="s">
        <v>968</v>
      </c>
      <c r="J1331" s="143" t="s">
        <v>120</v>
      </c>
      <c r="K1331" s="43" t="str">
        <f t="array" ref="K1331">IF(J1331="","", XLOOKUP(J1331,'⚙️ Pengaturan'!$E$2:$E3237,'⚙️ Pengaturan'!$G$2:$G3237))</f>
        <v>KLINIK FT SESI</v>
      </c>
      <c r="L1331" s="43" t="str">
        <f t="shared" si="3"/>
        <v>LANJUTAN</v>
      </c>
      <c r="M1331" s="144" t="s">
        <v>31</v>
      </c>
      <c r="N1331" s="145">
        <v>180000.0</v>
      </c>
      <c r="O1331" s="146">
        <v>0.0</v>
      </c>
      <c r="P1331" s="48">
        <f t="array" ref="P1331">IFNA(XLOOKUP(J1331,'⚙️ Pengaturan'!$E$2:$E3237,'⚙️ Pengaturan'!$F$2:$F3237),"")</f>
        <v>180000</v>
      </c>
      <c r="Q1331" s="147">
        <f t="shared" si="23"/>
        <v>0</v>
      </c>
      <c r="R1331" s="41" t="s">
        <v>32</v>
      </c>
      <c r="S1331" s="69" t="s">
        <v>1148</v>
      </c>
      <c r="T1331" s="51" t="b">
        <v>1</v>
      </c>
      <c r="U1331" s="94"/>
    </row>
    <row r="1332" ht="30.0" customHeight="1">
      <c r="A1332" s="39"/>
      <c r="B1332" s="40">
        <v>3368.0</v>
      </c>
      <c r="C1332" s="41" t="s">
        <v>39</v>
      </c>
      <c r="D1332" s="86">
        <v>46128.0</v>
      </c>
      <c r="E1332" s="43" t="str">
        <f t="shared" si="1"/>
        <v>2026</v>
      </c>
      <c r="F1332" s="43" t="str">
        <f t="shared" si="2"/>
        <v>04 Apr</v>
      </c>
      <c r="G1332" s="45" t="s">
        <v>35</v>
      </c>
      <c r="H1332" s="45" t="s">
        <v>150</v>
      </c>
      <c r="I1332" s="45" t="s">
        <v>1149</v>
      </c>
      <c r="J1332" s="143" t="s">
        <v>119</v>
      </c>
      <c r="K1332" s="43" t="str">
        <f t="array" ref="K1332">IF(J1332="","", XLOOKUP(J1332,'⚙️ Pengaturan'!$E$2:$E3237,'⚙️ Pengaturan'!$G$2:$G3237))</f>
        <v>KLINIK FT PAKET</v>
      </c>
      <c r="L1332" s="43" t="str">
        <f t="shared" si="3"/>
        <v>BARU</v>
      </c>
      <c r="M1332" s="144" t="s">
        <v>81</v>
      </c>
      <c r="N1332" s="145">
        <v>200000.0</v>
      </c>
      <c r="O1332" s="146">
        <v>400000.0</v>
      </c>
      <c r="P1332" s="48">
        <f t="array" ref="P1332">IFNA(XLOOKUP(J1332,'⚙️ Pengaturan'!$E$2:$E3237,'⚙️ Pengaturan'!$F$2:$F3237),"")</f>
        <v>750000</v>
      </c>
      <c r="Q1332" s="147">
        <f t="shared" si="23"/>
        <v>-150000</v>
      </c>
      <c r="R1332" s="41" t="s">
        <v>37</v>
      </c>
      <c r="S1332" s="69" t="s">
        <v>1149</v>
      </c>
      <c r="T1332" s="51" t="b">
        <v>1</v>
      </c>
      <c r="U1332" s="94"/>
    </row>
    <row r="1333" ht="30.0" customHeight="1">
      <c r="A1333" s="39"/>
      <c r="B1333" s="40">
        <v>3369.0</v>
      </c>
      <c r="C1333" s="41" t="s">
        <v>39</v>
      </c>
      <c r="D1333" s="86">
        <v>46128.0</v>
      </c>
      <c r="E1333" s="43" t="str">
        <f t="shared" si="1"/>
        <v>2026</v>
      </c>
      <c r="F1333" s="43" t="str">
        <f t="shared" si="2"/>
        <v>04 Apr</v>
      </c>
      <c r="G1333" s="45" t="s">
        <v>35</v>
      </c>
      <c r="H1333" s="45" t="s">
        <v>162</v>
      </c>
      <c r="I1333" s="45" t="s">
        <v>1134</v>
      </c>
      <c r="J1333" s="143" t="s">
        <v>120</v>
      </c>
      <c r="K1333" s="43" t="str">
        <f t="array" ref="K1333">IF(J1333="","", XLOOKUP(J1333,'⚙️ Pengaturan'!$E$2:$E3237,'⚙️ Pengaturan'!$G$2:$G3237))</f>
        <v>KLINIK FT SESI</v>
      </c>
      <c r="L1333" s="43" t="str">
        <f t="shared" si="3"/>
        <v>BARU</v>
      </c>
      <c r="M1333" s="144" t="s">
        <v>31</v>
      </c>
      <c r="N1333" s="145">
        <v>144000.0</v>
      </c>
      <c r="O1333" s="146">
        <v>36000.0</v>
      </c>
      <c r="P1333" s="48">
        <f t="array" ref="P1333">IFNA(XLOOKUP(J1333,'⚙️ Pengaturan'!$E$2:$E3237,'⚙️ Pengaturan'!$F$2:$F3237),"")</f>
        <v>180000</v>
      </c>
      <c r="Q1333" s="147">
        <f t="shared" si="23"/>
        <v>0</v>
      </c>
      <c r="R1333" s="41" t="s">
        <v>37</v>
      </c>
      <c r="S1333" s="69" t="s">
        <v>1134</v>
      </c>
      <c r="T1333" s="51" t="b">
        <v>1</v>
      </c>
      <c r="U1333" s="94"/>
    </row>
    <row r="1334" ht="30.0" customHeight="1">
      <c r="A1334" s="39"/>
      <c r="B1334" s="40">
        <v>3370.0</v>
      </c>
      <c r="C1334" s="41" t="s">
        <v>50</v>
      </c>
      <c r="D1334" s="86">
        <v>46128.0</v>
      </c>
      <c r="E1334" s="43" t="str">
        <f t="shared" si="1"/>
        <v>2026</v>
      </c>
      <c r="F1334" s="43" t="str">
        <f t="shared" si="2"/>
        <v>04 Apr</v>
      </c>
      <c r="G1334" s="45" t="s">
        <v>40</v>
      </c>
      <c r="H1334" s="45" t="s">
        <v>149</v>
      </c>
      <c r="I1334" s="45" t="s">
        <v>1150</v>
      </c>
      <c r="J1334" s="143" t="s">
        <v>28</v>
      </c>
      <c r="K1334" s="43" t="str">
        <f t="array" ref="K1334">IF(J1334="","", XLOOKUP(J1334,'⚙️ Pengaturan'!$E$2:$E3237,'⚙️ Pengaturan'!$G$2:$G3237))</f>
        <v>KLINIK FT TA</v>
      </c>
      <c r="L1334" s="43" t="str">
        <f t="shared" si="3"/>
        <v>BARU</v>
      </c>
      <c r="M1334" s="144" t="s">
        <v>31</v>
      </c>
      <c r="N1334" s="145">
        <v>250000.0</v>
      </c>
      <c r="O1334" s="146">
        <v>0.0</v>
      </c>
      <c r="P1334" s="48">
        <f t="array" ref="P1334">IFNA(XLOOKUP(J1334,'⚙️ Pengaturan'!$E$2:$E3237,'⚙️ Pengaturan'!$F$2:$F3237),"")</f>
        <v>250000</v>
      </c>
      <c r="Q1334" s="147">
        <f t="shared" si="23"/>
        <v>0</v>
      </c>
      <c r="R1334" s="41" t="s">
        <v>37</v>
      </c>
      <c r="S1334" s="69" t="s">
        <v>1150</v>
      </c>
      <c r="T1334" s="51" t="b">
        <v>1</v>
      </c>
      <c r="U1334" s="94"/>
    </row>
    <row r="1335" ht="30.0" customHeight="1">
      <c r="A1335" s="39"/>
      <c r="B1335" s="40">
        <v>3371.0</v>
      </c>
      <c r="C1335" s="41" t="s">
        <v>50</v>
      </c>
      <c r="D1335" s="86">
        <v>46128.0</v>
      </c>
      <c r="E1335" s="43" t="str">
        <f t="shared" si="1"/>
        <v>2026</v>
      </c>
      <c r="F1335" s="43" t="str">
        <f t="shared" si="2"/>
        <v>04 Apr</v>
      </c>
      <c r="G1335" s="45" t="s">
        <v>43</v>
      </c>
      <c r="H1335" s="45" t="s">
        <v>41</v>
      </c>
      <c r="I1335" s="45" t="s">
        <v>967</v>
      </c>
      <c r="J1335" s="143" t="s">
        <v>120</v>
      </c>
      <c r="K1335" s="43" t="str">
        <f t="array" ref="K1335">IF(J1335="","", XLOOKUP(J1335,'⚙️ Pengaturan'!$E$2:$E3237,'⚙️ Pengaturan'!$G$2:$G3237))</f>
        <v>KLINIK FT SESI</v>
      </c>
      <c r="L1335" s="43" t="str">
        <f t="shared" si="3"/>
        <v>LANJUTAN</v>
      </c>
      <c r="M1335" s="144" t="s">
        <v>31</v>
      </c>
      <c r="N1335" s="145">
        <v>50000.0</v>
      </c>
      <c r="O1335" s="146">
        <v>130000.0</v>
      </c>
      <c r="P1335" s="48">
        <f t="array" ref="P1335">IFNA(XLOOKUP(J1335,'⚙️ Pengaturan'!$E$2:$E3237,'⚙️ Pengaturan'!$F$2:$F3237),"")</f>
        <v>180000</v>
      </c>
      <c r="Q1335" s="147">
        <f t="shared" si="23"/>
        <v>0</v>
      </c>
      <c r="R1335" s="41" t="s">
        <v>32</v>
      </c>
      <c r="S1335" s="69" t="s">
        <v>33</v>
      </c>
      <c r="T1335" s="51" t="b">
        <v>1</v>
      </c>
      <c r="U1335" s="94"/>
    </row>
    <row r="1336" ht="30.0" customHeight="1">
      <c r="A1336" s="39"/>
      <c r="B1336" s="40">
        <v>3372.0</v>
      </c>
      <c r="C1336" s="41" t="s">
        <v>50</v>
      </c>
      <c r="D1336" s="86">
        <v>46128.0</v>
      </c>
      <c r="E1336" s="43" t="str">
        <f t="shared" si="1"/>
        <v>2026</v>
      </c>
      <c r="F1336" s="43" t="str">
        <f t="shared" si="2"/>
        <v>04 Apr</v>
      </c>
      <c r="G1336" s="45" t="s">
        <v>43</v>
      </c>
      <c r="H1336" s="45" t="s">
        <v>96</v>
      </c>
      <c r="I1336" s="45" t="s">
        <v>1128</v>
      </c>
      <c r="J1336" s="143" t="s">
        <v>120</v>
      </c>
      <c r="K1336" s="43" t="str">
        <f t="array" ref="K1336">IF(J1336="","", XLOOKUP(J1336,'⚙️ Pengaturan'!$E$2:$E3237,'⚙️ Pengaturan'!$G$2:$G3237))</f>
        <v>KLINIK FT SESI</v>
      </c>
      <c r="L1336" s="43" t="str">
        <f t="shared" si="3"/>
        <v>BARU</v>
      </c>
      <c r="M1336" s="144" t="s">
        <v>31</v>
      </c>
      <c r="N1336" s="145">
        <v>180000.0</v>
      </c>
      <c r="O1336" s="146">
        <v>0.0</v>
      </c>
      <c r="P1336" s="48">
        <f t="array" ref="P1336">IFNA(XLOOKUP(J1336,'⚙️ Pengaturan'!$E$2:$E3237,'⚙️ Pengaturan'!$F$2:$F3237),"")</f>
        <v>180000</v>
      </c>
      <c r="Q1336" s="147">
        <f t="shared" si="23"/>
        <v>0</v>
      </c>
      <c r="R1336" s="41" t="s">
        <v>37</v>
      </c>
      <c r="S1336" s="69" t="s">
        <v>1128</v>
      </c>
      <c r="T1336" s="51" t="b">
        <v>1</v>
      </c>
      <c r="U1336" s="94"/>
    </row>
    <row r="1337" ht="30.0" customHeight="1">
      <c r="A1337" s="39"/>
      <c r="B1337" s="40">
        <v>3373.0</v>
      </c>
      <c r="C1337" s="41" t="s">
        <v>50</v>
      </c>
      <c r="D1337" s="86">
        <v>46128.0</v>
      </c>
      <c r="E1337" s="43" t="str">
        <f t="shared" si="1"/>
        <v>2026</v>
      </c>
      <c r="F1337" s="43" t="str">
        <f t="shared" si="2"/>
        <v>04 Apr</v>
      </c>
      <c r="G1337" s="45" t="s">
        <v>69</v>
      </c>
      <c r="H1337" s="45" t="s">
        <v>76</v>
      </c>
      <c r="I1337" s="45" t="s">
        <v>937</v>
      </c>
      <c r="J1337" s="143" t="s">
        <v>138</v>
      </c>
      <c r="K1337" s="43" t="str">
        <f t="array" ref="K1337">IF(J1337="","", XLOOKUP(J1337,'⚙️ Pengaturan'!$E$2:$E3237,'⚙️ Pengaturan'!$G$2:$G3237))</f>
        <v>VISIT FT PAKET</v>
      </c>
      <c r="L1337" s="43" t="str">
        <f t="shared" si="3"/>
        <v>LANJUTAN</v>
      </c>
      <c r="M1337" s="144" t="s">
        <v>31</v>
      </c>
      <c r="N1337" s="145">
        <v>1800000.0</v>
      </c>
      <c r="O1337" s="146">
        <v>0.0</v>
      </c>
      <c r="P1337" s="48">
        <f t="array" ref="P1337">IFNA(XLOOKUP(J1337,'⚙️ Pengaturan'!$E$2:$E3237,'⚙️ Pengaturan'!$F$2:$F3237),"")</f>
        <v>1800000</v>
      </c>
      <c r="Q1337" s="147">
        <f t="shared" si="23"/>
        <v>0</v>
      </c>
      <c r="R1337" s="41" t="s">
        <v>37</v>
      </c>
      <c r="S1337" s="69" t="s">
        <v>938</v>
      </c>
      <c r="T1337" s="51" t="b">
        <v>1</v>
      </c>
      <c r="U1337" s="94"/>
    </row>
    <row r="1338" ht="30.0" customHeight="1">
      <c r="A1338" s="39"/>
      <c r="B1338" s="40">
        <v>3374.0</v>
      </c>
      <c r="C1338" s="41" t="s">
        <v>50</v>
      </c>
      <c r="D1338" s="86">
        <v>46128.0</v>
      </c>
      <c r="E1338" s="43" t="str">
        <f t="shared" si="1"/>
        <v>2026</v>
      </c>
      <c r="F1338" s="43" t="str">
        <f t="shared" si="2"/>
        <v>04 Apr</v>
      </c>
      <c r="G1338" s="45" t="s">
        <v>43</v>
      </c>
      <c r="H1338" s="45" t="s">
        <v>149</v>
      </c>
      <c r="I1338" s="45" t="s">
        <v>796</v>
      </c>
      <c r="J1338" s="143" t="s">
        <v>349</v>
      </c>
      <c r="K1338" s="43" t="str">
        <f t="array" ref="K1338">IF(J1338="","", XLOOKUP(J1338,'⚙️ Pengaturan'!$E$2:$E3237,'⚙️ Pengaturan'!$G$2:$G3237))</f>
        <v>KLINIK FT PAKET</v>
      </c>
      <c r="L1338" s="43" t="str">
        <f t="shared" si="3"/>
        <v>LANJUTAN</v>
      </c>
      <c r="M1338" s="144" t="s">
        <v>31</v>
      </c>
      <c r="N1338" s="145">
        <v>2400000.0</v>
      </c>
      <c r="O1338" s="146">
        <v>0.0</v>
      </c>
      <c r="P1338" s="48">
        <f t="array" ref="P1338">IFNA(XLOOKUP(J1338,'⚙️ Pengaturan'!$E$2:$E3237,'⚙️ Pengaturan'!$F$2:$F3237),"")</f>
        <v>2400000</v>
      </c>
      <c r="Q1338" s="147">
        <f t="shared" si="23"/>
        <v>0</v>
      </c>
      <c r="R1338" s="41" t="s">
        <v>37</v>
      </c>
      <c r="S1338" s="69" t="s">
        <v>796</v>
      </c>
      <c r="T1338" s="51" t="b">
        <v>1</v>
      </c>
      <c r="U1338" s="94"/>
    </row>
    <row r="1339" ht="30.0" customHeight="1">
      <c r="A1339" s="39"/>
      <c r="B1339" s="40">
        <v>3375.0</v>
      </c>
      <c r="C1339" s="41" t="s">
        <v>50</v>
      </c>
      <c r="D1339" s="86">
        <v>46128.0</v>
      </c>
      <c r="E1339" s="43" t="str">
        <f t="shared" si="1"/>
        <v>2026</v>
      </c>
      <c r="F1339" s="43" t="str">
        <f t="shared" si="2"/>
        <v>04 Apr</v>
      </c>
      <c r="G1339" s="45" t="s">
        <v>173</v>
      </c>
      <c r="H1339" s="45" t="s">
        <v>149</v>
      </c>
      <c r="I1339" s="45" t="s">
        <v>1123</v>
      </c>
      <c r="J1339" s="143" t="s">
        <v>120</v>
      </c>
      <c r="K1339" s="43" t="str">
        <f t="array" ref="K1339">IF(J1339="","", XLOOKUP(J1339,'⚙️ Pengaturan'!$E$2:$E3237,'⚙️ Pengaturan'!$G$2:$G3237))</f>
        <v>KLINIK FT SESI</v>
      </c>
      <c r="L1339" s="43" t="str">
        <f t="shared" si="3"/>
        <v>BARU</v>
      </c>
      <c r="M1339" s="144" t="s">
        <v>31</v>
      </c>
      <c r="N1339" s="145">
        <v>180000.0</v>
      </c>
      <c r="O1339" s="146">
        <v>0.0</v>
      </c>
      <c r="P1339" s="48">
        <f t="array" ref="P1339">IFNA(XLOOKUP(J1339,'⚙️ Pengaturan'!$E$2:$E3237,'⚙️ Pengaturan'!$F$2:$F3237),"")</f>
        <v>180000</v>
      </c>
      <c r="Q1339" s="147">
        <f t="shared" si="23"/>
        <v>0</v>
      </c>
      <c r="R1339" s="41" t="s">
        <v>37</v>
      </c>
      <c r="S1339" s="69" t="s">
        <v>1124</v>
      </c>
      <c r="T1339" s="51" t="b">
        <v>1</v>
      </c>
      <c r="U1339" s="94"/>
    </row>
    <row r="1340" ht="30.0" customHeight="1">
      <c r="A1340" s="39"/>
      <c r="B1340" s="40">
        <v>3376.0</v>
      </c>
      <c r="C1340" s="41" t="s">
        <v>50</v>
      </c>
      <c r="D1340" s="86">
        <v>46128.0</v>
      </c>
      <c r="E1340" s="43" t="str">
        <f t="shared" si="1"/>
        <v>2026</v>
      </c>
      <c r="F1340" s="43" t="str">
        <f t="shared" si="2"/>
        <v>04 Apr</v>
      </c>
      <c r="G1340" s="45" t="s">
        <v>173</v>
      </c>
      <c r="H1340" s="45" t="s">
        <v>41</v>
      </c>
      <c r="I1340" s="45" t="s">
        <v>1116</v>
      </c>
      <c r="J1340" s="143" t="s">
        <v>119</v>
      </c>
      <c r="K1340" s="43" t="str">
        <f t="array" ref="K1340">IF(J1340="","", XLOOKUP(J1340,'⚙️ Pengaturan'!$E$2:$E3237,'⚙️ Pengaturan'!$G$2:$G3237))</f>
        <v>KLINIK FT PAKET</v>
      </c>
      <c r="L1340" s="43" t="str">
        <f t="shared" si="3"/>
        <v>BARU</v>
      </c>
      <c r="M1340" s="144" t="s">
        <v>31</v>
      </c>
      <c r="N1340" s="145">
        <v>750000.0</v>
      </c>
      <c r="O1340" s="146">
        <v>0.0</v>
      </c>
      <c r="P1340" s="119">
        <v>750000.0</v>
      </c>
      <c r="Q1340" s="153">
        <v>0.0</v>
      </c>
      <c r="R1340" s="41" t="s">
        <v>37</v>
      </c>
      <c r="S1340" s="69" t="s">
        <v>1116</v>
      </c>
      <c r="T1340" s="51" t="b">
        <v>1</v>
      </c>
      <c r="U1340" s="94"/>
    </row>
    <row r="1341" ht="30.0" customHeight="1">
      <c r="A1341" s="39"/>
      <c r="B1341" s="40">
        <v>3377.0</v>
      </c>
      <c r="C1341" s="41" t="s">
        <v>50</v>
      </c>
      <c r="D1341" s="86">
        <v>46128.0</v>
      </c>
      <c r="E1341" s="43" t="str">
        <f t="shared" si="1"/>
        <v>2026</v>
      </c>
      <c r="F1341" s="43" t="str">
        <f t="shared" si="2"/>
        <v>04 Apr</v>
      </c>
      <c r="G1341" s="45" t="s">
        <v>173</v>
      </c>
      <c r="H1341" s="45" t="s">
        <v>162</v>
      </c>
      <c r="I1341" s="45" t="s">
        <v>1151</v>
      </c>
      <c r="J1341" s="143" t="s">
        <v>291</v>
      </c>
      <c r="K1341" s="43" t="str">
        <f t="array" ref="K1341">IF(J1341="","", XLOOKUP(J1341,'⚙️ Pengaturan'!$E$2:$E3237,'⚙️ Pengaturan'!$G$2:$G3237))</f>
        <v>VISIT FT TA</v>
      </c>
      <c r="L1341" s="43" t="str">
        <f t="shared" si="3"/>
        <v>BARU</v>
      </c>
      <c r="M1341" s="144" t="s">
        <v>31</v>
      </c>
      <c r="N1341" s="145">
        <v>350000.0</v>
      </c>
      <c r="O1341" s="146">
        <v>0.0</v>
      </c>
      <c r="P1341" s="48">
        <f t="array" ref="P1341">IFNA(XLOOKUP(J1341,'⚙️ Pengaturan'!$E$2:$E3237,'⚙️ Pengaturan'!$F$2:$F3237),"")</f>
        <v>350000</v>
      </c>
      <c r="Q1341" s="147">
        <f t="shared" ref="Q1341:Q1355" si="24">IF(I1341="","",(N1341+O1341)-P1341)</f>
        <v>0</v>
      </c>
      <c r="R1341" s="41" t="s">
        <v>37</v>
      </c>
      <c r="S1341" s="69" t="s">
        <v>1152</v>
      </c>
      <c r="T1341" s="51" t="b">
        <v>1</v>
      </c>
      <c r="U1341" s="94"/>
    </row>
    <row r="1342" ht="30.0" customHeight="1">
      <c r="A1342" s="39"/>
      <c r="B1342" s="40">
        <v>3378.0</v>
      </c>
      <c r="C1342" s="41" t="s">
        <v>50</v>
      </c>
      <c r="D1342" s="86">
        <v>46128.0</v>
      </c>
      <c r="E1342" s="43" t="str">
        <f t="shared" si="1"/>
        <v>2026</v>
      </c>
      <c r="F1342" s="43" t="str">
        <f t="shared" si="2"/>
        <v>04 Apr</v>
      </c>
      <c r="G1342" s="45" t="s">
        <v>155</v>
      </c>
      <c r="H1342" s="45" t="s">
        <v>41</v>
      </c>
      <c r="I1342" s="45" t="s">
        <v>1117</v>
      </c>
      <c r="J1342" s="143" t="s">
        <v>120</v>
      </c>
      <c r="K1342" s="43" t="str">
        <f t="array" ref="K1342">IF(J1342="","", XLOOKUP(J1342,'⚙️ Pengaturan'!$E$2:$E3237,'⚙️ Pengaturan'!$G$2:$G3237))</f>
        <v>KLINIK FT SESI</v>
      </c>
      <c r="L1342" s="43" t="str">
        <f t="shared" si="3"/>
        <v>BARU</v>
      </c>
      <c r="M1342" s="144" t="s">
        <v>31</v>
      </c>
      <c r="N1342" s="145">
        <v>144000.0</v>
      </c>
      <c r="O1342" s="146">
        <v>36000.0</v>
      </c>
      <c r="P1342" s="48">
        <f t="array" ref="P1342">IFNA(XLOOKUP(J1342,'⚙️ Pengaturan'!$E$2:$E3237,'⚙️ Pengaturan'!$F$2:$F3237),"")</f>
        <v>180000</v>
      </c>
      <c r="Q1342" s="147">
        <f t="shared" si="24"/>
        <v>0</v>
      </c>
      <c r="R1342" s="41" t="s">
        <v>32</v>
      </c>
      <c r="S1342" s="69" t="s">
        <v>33</v>
      </c>
      <c r="T1342" s="51" t="b">
        <v>1</v>
      </c>
      <c r="U1342" s="94" t="s">
        <v>1063</v>
      </c>
    </row>
    <row r="1343" ht="30.0" customHeight="1">
      <c r="A1343" s="39"/>
      <c r="B1343" s="40">
        <v>3379.0</v>
      </c>
      <c r="C1343" s="41" t="s">
        <v>50</v>
      </c>
      <c r="D1343" s="86">
        <v>46128.0</v>
      </c>
      <c r="E1343" s="43" t="str">
        <f t="shared" si="1"/>
        <v>2026</v>
      </c>
      <c r="F1343" s="43" t="str">
        <f t="shared" si="2"/>
        <v>04 Apr</v>
      </c>
      <c r="G1343" s="45" t="s">
        <v>155</v>
      </c>
      <c r="H1343" s="45" t="s">
        <v>76</v>
      </c>
      <c r="I1343" s="45" t="s">
        <v>988</v>
      </c>
      <c r="J1343" s="143" t="s">
        <v>119</v>
      </c>
      <c r="K1343" s="43" t="str">
        <f t="array" ref="K1343">IF(J1343="","", XLOOKUP(J1343,'⚙️ Pengaturan'!$E$2:$E3237,'⚙️ Pengaturan'!$G$2:$G3237))</f>
        <v>KLINIK FT PAKET</v>
      </c>
      <c r="L1343" s="43" t="str">
        <f t="shared" si="3"/>
        <v>LANJUTAN</v>
      </c>
      <c r="M1343" s="144" t="s">
        <v>31</v>
      </c>
      <c r="N1343" s="145">
        <v>750000.0</v>
      </c>
      <c r="O1343" s="146">
        <v>0.0</v>
      </c>
      <c r="P1343" s="48">
        <f t="array" ref="P1343">IFNA(XLOOKUP(J1343,'⚙️ Pengaturan'!$E$2:$E3237,'⚙️ Pengaturan'!$F$2:$F3237),"")</f>
        <v>750000</v>
      </c>
      <c r="Q1343" s="147">
        <f t="shared" si="24"/>
        <v>0</v>
      </c>
      <c r="R1343" s="41" t="s">
        <v>37</v>
      </c>
      <c r="S1343" s="69" t="s">
        <v>988</v>
      </c>
      <c r="T1343" s="51" t="b">
        <v>1</v>
      </c>
      <c r="U1343" s="94"/>
    </row>
    <row r="1344" ht="30.0" customHeight="1">
      <c r="A1344" s="39"/>
      <c r="B1344" s="40">
        <v>3380.0</v>
      </c>
      <c r="C1344" s="41" t="s">
        <v>50</v>
      </c>
      <c r="D1344" s="86">
        <v>46128.0</v>
      </c>
      <c r="E1344" s="43" t="str">
        <f t="shared" si="1"/>
        <v>2026</v>
      </c>
      <c r="F1344" s="43" t="str">
        <f t="shared" si="2"/>
        <v>04 Apr</v>
      </c>
      <c r="G1344" s="45" t="s">
        <v>69</v>
      </c>
      <c r="H1344" s="45" t="s">
        <v>150</v>
      </c>
      <c r="I1344" s="45" t="s">
        <v>1137</v>
      </c>
      <c r="J1344" s="143" t="s">
        <v>365</v>
      </c>
      <c r="K1344" s="43" t="str">
        <f t="array" ref="K1344">IF(J1344="","", XLOOKUP(J1344,'⚙️ Pengaturan'!$E$2:$E3237,'⚙️ Pengaturan'!$G$2:$G3237))</f>
        <v>VISIT FT SESI</v>
      </c>
      <c r="L1344" s="43" t="str">
        <f t="shared" si="3"/>
        <v>BARU</v>
      </c>
      <c r="M1344" s="144" t="s">
        <v>31</v>
      </c>
      <c r="N1344" s="145">
        <v>250000.0</v>
      </c>
      <c r="O1344" s="146">
        <v>0.0</v>
      </c>
      <c r="P1344" s="48">
        <f t="array" ref="P1344">IFNA(XLOOKUP(J1344,'⚙️ Pengaturan'!$E$2:$E3237,'⚙️ Pengaturan'!$F$2:$F3237),"")</f>
        <v>250000</v>
      </c>
      <c r="Q1344" s="147">
        <f t="shared" si="24"/>
        <v>0</v>
      </c>
      <c r="R1344" s="41" t="s">
        <v>32</v>
      </c>
      <c r="S1344" s="69" t="s">
        <v>33</v>
      </c>
      <c r="T1344" s="51" t="b">
        <v>1</v>
      </c>
      <c r="U1344" s="94"/>
    </row>
    <row r="1345" ht="30.0" customHeight="1">
      <c r="A1345" s="39"/>
      <c r="B1345" s="40">
        <v>3381.0</v>
      </c>
      <c r="C1345" s="41" t="s">
        <v>50</v>
      </c>
      <c r="D1345" s="86">
        <v>46128.0</v>
      </c>
      <c r="E1345" s="43" t="str">
        <f t="shared" si="1"/>
        <v>2026</v>
      </c>
      <c r="F1345" s="43" t="str">
        <f t="shared" si="2"/>
        <v>04 Apr</v>
      </c>
      <c r="G1345" s="45" t="s">
        <v>69</v>
      </c>
      <c r="H1345" s="45" t="s">
        <v>26</v>
      </c>
      <c r="I1345" s="45" t="s">
        <v>1153</v>
      </c>
      <c r="J1345" s="143" t="s">
        <v>28</v>
      </c>
      <c r="K1345" s="43" t="str">
        <f t="array" ref="K1345">IF(J1345="","", XLOOKUP(J1345,'⚙️ Pengaturan'!$E$2:$E3237,'⚙️ Pengaturan'!$G$2:$G3237))</f>
        <v>KLINIK FT TA</v>
      </c>
      <c r="L1345" s="43" t="str">
        <f t="shared" si="3"/>
        <v>BARU</v>
      </c>
      <c r="M1345" s="144" t="s">
        <v>31</v>
      </c>
      <c r="N1345" s="145">
        <v>250000.0</v>
      </c>
      <c r="O1345" s="146">
        <v>250000.0</v>
      </c>
      <c r="P1345" s="48">
        <f t="array" ref="P1345">IFNA(XLOOKUP(J1345,'⚙️ Pengaturan'!$E$2:$E3237,'⚙️ Pengaturan'!$F$2:$F3237),"")</f>
        <v>250000</v>
      </c>
      <c r="Q1345" s="147">
        <f t="shared" si="24"/>
        <v>250000</v>
      </c>
      <c r="R1345" s="41" t="s">
        <v>93</v>
      </c>
      <c r="S1345" s="69" t="s">
        <v>1154</v>
      </c>
      <c r="T1345" s="51" t="b">
        <v>1</v>
      </c>
      <c r="U1345" s="94"/>
    </row>
    <row r="1346" ht="30.0" customHeight="1">
      <c r="A1346" s="39"/>
      <c r="B1346" s="40">
        <v>3382.0</v>
      </c>
      <c r="C1346" s="41" t="s">
        <v>79</v>
      </c>
      <c r="D1346" s="86">
        <v>46129.0</v>
      </c>
      <c r="E1346" s="43" t="str">
        <f t="shared" si="1"/>
        <v>2026</v>
      </c>
      <c r="F1346" s="43" t="str">
        <f t="shared" si="2"/>
        <v>04 Apr</v>
      </c>
      <c r="G1346" s="45" t="s">
        <v>195</v>
      </c>
      <c r="H1346" s="45" t="s">
        <v>162</v>
      </c>
      <c r="I1346" s="45" t="s">
        <v>964</v>
      </c>
      <c r="J1346" s="143" t="s">
        <v>119</v>
      </c>
      <c r="K1346" s="43" t="str">
        <f t="array" ref="K1346">IF(J1346="","", XLOOKUP(J1346,'⚙️ Pengaturan'!$E$2:$E3237,'⚙️ Pengaturan'!$G$2:$G3237))</f>
        <v>KLINIK FT PAKET</v>
      </c>
      <c r="L1346" s="43" t="str">
        <f t="shared" si="3"/>
        <v>LANJUTAN</v>
      </c>
      <c r="M1346" s="144" t="s">
        <v>164</v>
      </c>
      <c r="N1346" s="145">
        <v>450000.0</v>
      </c>
      <c r="O1346" s="146">
        <v>300000.0</v>
      </c>
      <c r="P1346" s="48">
        <f t="array" ref="P1346">IFNA(XLOOKUP(J1346,'⚙️ Pengaturan'!$E$2:$E3237,'⚙️ Pengaturan'!$F$2:$F3237),"")</f>
        <v>750000</v>
      </c>
      <c r="Q1346" s="147">
        <f t="shared" si="24"/>
        <v>0</v>
      </c>
      <c r="R1346" s="41" t="s">
        <v>32</v>
      </c>
      <c r="S1346" s="69" t="s">
        <v>33</v>
      </c>
      <c r="T1346" s="51" t="b">
        <v>1</v>
      </c>
      <c r="U1346" s="94"/>
    </row>
    <row r="1347" ht="30.0" customHeight="1">
      <c r="A1347" s="39"/>
      <c r="B1347" s="40">
        <v>3383.0</v>
      </c>
      <c r="C1347" s="41" t="s">
        <v>79</v>
      </c>
      <c r="D1347" s="86">
        <v>46129.0</v>
      </c>
      <c r="E1347" s="43" t="str">
        <f t="shared" si="1"/>
        <v>2026</v>
      </c>
      <c r="F1347" s="43" t="str">
        <f t="shared" si="2"/>
        <v>04 Apr</v>
      </c>
      <c r="G1347" s="45" t="s">
        <v>69</v>
      </c>
      <c r="H1347" s="45" t="s">
        <v>166</v>
      </c>
      <c r="I1347" s="45" t="s">
        <v>817</v>
      </c>
      <c r="J1347" s="143" t="s">
        <v>365</v>
      </c>
      <c r="K1347" s="43" t="str">
        <f t="array" ref="K1347">IF(J1347="","", XLOOKUP(J1347,'⚙️ Pengaturan'!$E$2:$E3237,'⚙️ Pengaturan'!$G$2:$G3237))</f>
        <v>VISIT FT SESI</v>
      </c>
      <c r="L1347" s="43" t="str">
        <f t="shared" si="3"/>
        <v>BARU</v>
      </c>
      <c r="M1347" s="144" t="s">
        <v>31</v>
      </c>
      <c r="N1347" s="145">
        <v>250000.0</v>
      </c>
      <c r="O1347" s="146">
        <v>0.0</v>
      </c>
      <c r="P1347" s="48">
        <f t="array" ref="P1347">IFNA(XLOOKUP(J1347,'⚙️ Pengaturan'!$E$2:$E3237,'⚙️ Pengaturan'!$F$2:$F3237),"")</f>
        <v>250000</v>
      </c>
      <c r="Q1347" s="147">
        <f t="shared" si="24"/>
        <v>0</v>
      </c>
      <c r="R1347" s="41" t="s">
        <v>32</v>
      </c>
      <c r="S1347" s="69" t="s">
        <v>33</v>
      </c>
      <c r="T1347" s="51" t="b">
        <v>1</v>
      </c>
      <c r="U1347" s="94"/>
    </row>
    <row r="1348" ht="30.0" customHeight="1">
      <c r="A1348" s="39"/>
      <c r="B1348" s="40">
        <v>3384.0</v>
      </c>
      <c r="C1348" s="41" t="s">
        <v>79</v>
      </c>
      <c r="D1348" s="86">
        <v>46129.0</v>
      </c>
      <c r="E1348" s="43" t="str">
        <f t="shared" si="1"/>
        <v>2026</v>
      </c>
      <c r="F1348" s="43" t="str">
        <f t="shared" si="2"/>
        <v>04 Apr</v>
      </c>
      <c r="G1348" s="45" t="s">
        <v>35</v>
      </c>
      <c r="H1348" s="45" t="s">
        <v>162</v>
      </c>
      <c r="I1348" s="45" t="s">
        <v>1141</v>
      </c>
      <c r="J1348" s="143" t="s">
        <v>119</v>
      </c>
      <c r="K1348" s="43" t="str">
        <f t="array" ref="K1348">IF(J1348="","", XLOOKUP(J1348,'⚙️ Pengaturan'!$E$2:$E3237,'⚙️ Pengaturan'!$G$2:$G3237))</f>
        <v>KLINIK FT PAKET</v>
      </c>
      <c r="L1348" s="43" t="str">
        <f t="shared" si="3"/>
        <v>BARU</v>
      </c>
      <c r="M1348" s="144" t="s">
        <v>60</v>
      </c>
      <c r="N1348" s="145">
        <v>250000.0</v>
      </c>
      <c r="O1348" s="146">
        <v>0.0</v>
      </c>
      <c r="P1348" s="48">
        <f t="array" ref="P1348">IFNA(XLOOKUP(J1348,'⚙️ Pengaturan'!$E$2:$E3237,'⚙️ Pengaturan'!$F$2:$F3237),"")</f>
        <v>750000</v>
      </c>
      <c r="Q1348" s="147">
        <f t="shared" si="24"/>
        <v>-500000</v>
      </c>
      <c r="R1348" s="41" t="s">
        <v>32</v>
      </c>
      <c r="S1348" s="69" t="s">
        <v>33</v>
      </c>
      <c r="T1348" s="51" t="b">
        <v>1</v>
      </c>
      <c r="U1348" s="94"/>
    </row>
    <row r="1349" ht="30.0" customHeight="1">
      <c r="A1349" s="39"/>
      <c r="B1349" s="40">
        <v>3385.0</v>
      </c>
      <c r="C1349" s="41" t="s">
        <v>79</v>
      </c>
      <c r="D1349" s="86">
        <v>46129.0</v>
      </c>
      <c r="E1349" s="43" t="str">
        <f t="shared" si="1"/>
        <v>2026</v>
      </c>
      <c r="F1349" s="43" t="str">
        <f t="shared" si="2"/>
        <v>04 Apr</v>
      </c>
      <c r="G1349" s="45" t="s">
        <v>35</v>
      </c>
      <c r="H1349" s="45" t="s">
        <v>156</v>
      </c>
      <c r="I1349" s="45" t="s">
        <v>1133</v>
      </c>
      <c r="J1349" s="143" t="s">
        <v>120</v>
      </c>
      <c r="K1349" s="43" t="str">
        <f t="array" ref="K1349">IF(J1349="","", XLOOKUP(J1349,'⚙️ Pengaturan'!$E$2:$E3237,'⚙️ Pengaturan'!$G$2:$G3237))</f>
        <v>KLINIK FT SESI</v>
      </c>
      <c r="L1349" s="43" t="str">
        <f t="shared" si="3"/>
        <v>BARU</v>
      </c>
      <c r="M1349" s="144" t="s">
        <v>31</v>
      </c>
      <c r="N1349" s="145">
        <v>180000.0</v>
      </c>
      <c r="O1349" s="146">
        <v>0.0</v>
      </c>
      <c r="P1349" s="119">
        <v>180000.0</v>
      </c>
      <c r="Q1349" s="147">
        <f t="shared" si="24"/>
        <v>0</v>
      </c>
      <c r="R1349" s="41" t="s">
        <v>32</v>
      </c>
      <c r="S1349" s="69" t="s">
        <v>33</v>
      </c>
      <c r="T1349" s="51" t="b">
        <v>1</v>
      </c>
      <c r="U1349" s="94"/>
    </row>
    <row r="1350" ht="30.0" customHeight="1">
      <c r="A1350" s="39"/>
      <c r="B1350" s="40">
        <v>3386.0</v>
      </c>
      <c r="C1350" s="41" t="s">
        <v>39</v>
      </c>
      <c r="D1350" s="86">
        <v>46129.0</v>
      </c>
      <c r="E1350" s="43" t="str">
        <f t="shared" si="1"/>
        <v>2026</v>
      </c>
      <c r="F1350" s="43" t="str">
        <f t="shared" si="2"/>
        <v>04 Apr</v>
      </c>
      <c r="G1350" s="45" t="s">
        <v>40</v>
      </c>
      <c r="H1350" s="45" t="s">
        <v>149</v>
      </c>
      <c r="I1350" s="45" t="s">
        <v>1150</v>
      </c>
      <c r="J1350" s="143" t="s">
        <v>119</v>
      </c>
      <c r="K1350" s="43" t="str">
        <f t="array" ref="K1350">IF(J1350="","", XLOOKUP(J1350,'⚙️ Pengaturan'!$E$2:$E3237,'⚙️ Pengaturan'!$G$2:$G3237))</f>
        <v>KLINIK FT PAKET</v>
      </c>
      <c r="L1350" s="43" t="str">
        <f t="shared" si="3"/>
        <v>BARU</v>
      </c>
      <c r="M1350" s="144" t="s">
        <v>31</v>
      </c>
      <c r="N1350" s="145">
        <v>750000.0</v>
      </c>
      <c r="O1350" s="146">
        <v>0.0</v>
      </c>
      <c r="P1350" s="48">
        <f t="array" ref="P1350">IFNA(XLOOKUP(J1350,'⚙️ Pengaturan'!$E$2:$E3237,'⚙️ Pengaturan'!$F$2:$F3237),"")</f>
        <v>750000</v>
      </c>
      <c r="Q1350" s="147">
        <f t="shared" si="24"/>
        <v>0</v>
      </c>
      <c r="R1350" s="41" t="s">
        <v>32</v>
      </c>
      <c r="S1350" s="69" t="s">
        <v>33</v>
      </c>
      <c r="T1350" s="51" t="b">
        <v>1</v>
      </c>
      <c r="U1350" s="94"/>
    </row>
    <row r="1351" ht="30.0" customHeight="1">
      <c r="A1351" s="39"/>
      <c r="B1351" s="40">
        <v>3387.0</v>
      </c>
      <c r="C1351" s="41" t="s">
        <v>39</v>
      </c>
      <c r="D1351" s="86">
        <v>46129.0</v>
      </c>
      <c r="E1351" s="43" t="str">
        <f t="shared" si="1"/>
        <v>2026</v>
      </c>
      <c r="F1351" s="43" t="str">
        <f t="shared" si="2"/>
        <v>04 Apr</v>
      </c>
      <c r="G1351" s="45" t="s">
        <v>43</v>
      </c>
      <c r="H1351" s="45" t="s">
        <v>149</v>
      </c>
      <c r="I1351" s="45" t="s">
        <v>1155</v>
      </c>
      <c r="J1351" s="143" t="s">
        <v>28</v>
      </c>
      <c r="K1351" s="43" t="str">
        <f t="array" ref="K1351">IF(J1351="","", XLOOKUP(J1351,'⚙️ Pengaturan'!$E$2:$E3237,'⚙️ Pengaturan'!$G$2:$G3237))</f>
        <v>KLINIK FT TA</v>
      </c>
      <c r="L1351" s="43" t="str">
        <f t="shared" si="3"/>
        <v>BARU</v>
      </c>
      <c r="M1351" s="144" t="s">
        <v>31</v>
      </c>
      <c r="N1351" s="145">
        <v>250000.0</v>
      </c>
      <c r="O1351" s="146">
        <v>0.0</v>
      </c>
      <c r="P1351" s="48">
        <f t="array" ref="P1351">IFNA(XLOOKUP(J1351,'⚙️ Pengaturan'!$E$2:$E3237,'⚙️ Pengaturan'!$F$2:$F3237),"")</f>
        <v>250000</v>
      </c>
      <c r="Q1351" s="147">
        <f t="shared" si="24"/>
        <v>0</v>
      </c>
      <c r="R1351" s="41" t="s">
        <v>37</v>
      </c>
      <c r="S1351" s="69" t="s">
        <v>1155</v>
      </c>
      <c r="T1351" s="51" t="b">
        <v>1</v>
      </c>
      <c r="U1351" s="94"/>
    </row>
    <row r="1352" ht="30.0" customHeight="1">
      <c r="A1352" s="39"/>
      <c r="B1352" s="40">
        <v>3388.0</v>
      </c>
      <c r="C1352" s="41" t="s">
        <v>39</v>
      </c>
      <c r="D1352" s="86">
        <v>46129.0</v>
      </c>
      <c r="E1352" s="43" t="str">
        <f t="shared" si="1"/>
        <v>2026</v>
      </c>
      <c r="F1352" s="43" t="str">
        <f t="shared" si="2"/>
        <v>04 Apr</v>
      </c>
      <c r="G1352" s="45" t="s">
        <v>69</v>
      </c>
      <c r="H1352" s="45" t="s">
        <v>76</v>
      </c>
      <c r="I1352" s="45" t="s">
        <v>709</v>
      </c>
      <c r="J1352" s="143" t="s">
        <v>364</v>
      </c>
      <c r="K1352" s="43" t="str">
        <f t="array" ref="K1352">IF(J1352="","", XLOOKUP(J1352,'⚙️ Pengaturan'!$E$2:$E3237,'⚙️ Pengaturan'!$G$2:$G3237))</f>
        <v>VISIT FT PAKET</v>
      </c>
      <c r="L1352" s="43" t="str">
        <f t="shared" si="3"/>
        <v>LANJUTAN</v>
      </c>
      <c r="M1352" s="144" t="s">
        <v>31</v>
      </c>
      <c r="N1352" s="145">
        <v>2300000.0</v>
      </c>
      <c r="O1352" s="146">
        <v>0.0</v>
      </c>
      <c r="P1352" s="48">
        <f t="array" ref="P1352">IFNA(XLOOKUP(J1352,'⚙️ Pengaturan'!$E$2:$E3237,'⚙️ Pengaturan'!$F$2:$F3237),"")</f>
        <v>2300000</v>
      </c>
      <c r="Q1352" s="147">
        <f t="shared" si="24"/>
        <v>0</v>
      </c>
      <c r="R1352" s="41" t="s">
        <v>37</v>
      </c>
      <c r="S1352" s="69" t="s">
        <v>1156</v>
      </c>
      <c r="T1352" s="51" t="b">
        <v>1</v>
      </c>
      <c r="U1352" s="94"/>
    </row>
    <row r="1353" ht="30.0" customHeight="1">
      <c r="A1353" s="39"/>
      <c r="B1353" s="40">
        <v>3389.0</v>
      </c>
      <c r="C1353" s="41" t="s">
        <v>39</v>
      </c>
      <c r="D1353" s="86">
        <v>46129.0</v>
      </c>
      <c r="E1353" s="43" t="str">
        <f t="shared" si="1"/>
        <v>2026</v>
      </c>
      <c r="F1353" s="43" t="str">
        <f t="shared" si="2"/>
        <v>04 Apr</v>
      </c>
      <c r="G1353" s="45" t="s">
        <v>155</v>
      </c>
      <c r="H1353" s="45" t="s">
        <v>166</v>
      </c>
      <c r="I1353" s="45" t="s">
        <v>1157</v>
      </c>
      <c r="J1353" s="143" t="s">
        <v>28</v>
      </c>
      <c r="K1353" s="43" t="str">
        <f t="array" ref="K1353">IF(J1353="","", XLOOKUP(J1353,'⚙️ Pengaturan'!$E$2:$E3237,'⚙️ Pengaturan'!$G$2:$G3237))</f>
        <v>KLINIK FT TA</v>
      </c>
      <c r="L1353" s="43" t="str">
        <f t="shared" si="3"/>
        <v>BARU</v>
      </c>
      <c r="M1353" s="144" t="s">
        <v>31</v>
      </c>
      <c r="N1353" s="145">
        <v>250000.0</v>
      </c>
      <c r="O1353" s="146">
        <v>0.0</v>
      </c>
      <c r="P1353" s="48">
        <f t="array" ref="P1353">IFNA(XLOOKUP(J1353,'⚙️ Pengaturan'!$E$2:$E3237,'⚙️ Pengaturan'!$F$2:$F3237),"")</f>
        <v>250000</v>
      </c>
      <c r="Q1353" s="147">
        <f t="shared" si="24"/>
        <v>0</v>
      </c>
      <c r="R1353" s="41" t="s">
        <v>118</v>
      </c>
      <c r="S1353" s="69" t="s">
        <v>1158</v>
      </c>
      <c r="T1353" s="51" t="b">
        <v>1</v>
      </c>
      <c r="U1353" s="94"/>
    </row>
    <row r="1354" ht="30.0" customHeight="1">
      <c r="A1354" s="39"/>
      <c r="B1354" s="40">
        <v>3390.0</v>
      </c>
      <c r="C1354" s="41" t="s">
        <v>79</v>
      </c>
      <c r="D1354" s="86">
        <v>46130.0</v>
      </c>
      <c r="E1354" s="43" t="str">
        <f t="shared" si="1"/>
        <v>2026</v>
      </c>
      <c r="F1354" s="43" t="str">
        <f t="shared" si="2"/>
        <v>04 Apr</v>
      </c>
      <c r="G1354" s="45" t="s">
        <v>195</v>
      </c>
      <c r="H1354" s="45" t="s">
        <v>150</v>
      </c>
      <c r="I1354" s="45" t="s">
        <v>1108</v>
      </c>
      <c r="J1354" s="143" t="s">
        <v>120</v>
      </c>
      <c r="K1354" s="43" t="str">
        <f t="array" ref="K1354">IF(J1354="","", XLOOKUP(J1354,'⚙️ Pengaturan'!$E$2:$E3237,'⚙️ Pengaturan'!$G$2:$G3237))</f>
        <v>KLINIK FT SESI</v>
      </c>
      <c r="L1354" s="43" t="str">
        <f t="shared" si="3"/>
        <v>BARU</v>
      </c>
      <c r="M1354" s="144" t="s">
        <v>31</v>
      </c>
      <c r="N1354" s="145">
        <v>180000.0</v>
      </c>
      <c r="O1354" s="146">
        <v>0.0</v>
      </c>
      <c r="P1354" s="48">
        <f t="array" ref="P1354">IFNA(XLOOKUP(J1354,'⚙️ Pengaturan'!$E$2:$E3237,'⚙️ Pengaturan'!$F$2:$F3237),"")</f>
        <v>180000</v>
      </c>
      <c r="Q1354" s="147">
        <f t="shared" si="24"/>
        <v>0</v>
      </c>
      <c r="R1354" s="41" t="s">
        <v>32</v>
      </c>
      <c r="S1354" s="69" t="s">
        <v>33</v>
      </c>
      <c r="T1354" s="51" t="b">
        <v>1</v>
      </c>
      <c r="U1354" s="94"/>
    </row>
    <row r="1355" ht="30.0" customHeight="1">
      <c r="A1355" s="39"/>
      <c r="B1355" s="40">
        <v>3391.0</v>
      </c>
      <c r="C1355" s="41" t="s">
        <v>79</v>
      </c>
      <c r="D1355" s="86">
        <v>46130.0</v>
      </c>
      <c r="E1355" s="43" t="str">
        <f t="shared" si="1"/>
        <v>2026</v>
      </c>
      <c r="F1355" s="43" t="str">
        <f t="shared" si="2"/>
        <v>04 Apr</v>
      </c>
      <c r="G1355" s="45" t="s">
        <v>195</v>
      </c>
      <c r="H1355" s="45" t="s">
        <v>26</v>
      </c>
      <c r="I1355" s="121" t="s">
        <v>1159</v>
      </c>
      <c r="J1355" s="143" t="s">
        <v>28</v>
      </c>
      <c r="K1355" s="43" t="str">
        <f t="array" ref="K1355">IF(J1355="","", XLOOKUP(J1355,'⚙️ Pengaturan'!$E$2:$E3237,'⚙️ Pengaturan'!$G$2:$G3237))</f>
        <v>KLINIK FT TA</v>
      </c>
      <c r="L1355" s="43" t="str">
        <f t="shared" si="3"/>
        <v>BARU</v>
      </c>
      <c r="M1355" s="144" t="s">
        <v>31</v>
      </c>
      <c r="N1355" s="145">
        <v>250000.0</v>
      </c>
      <c r="O1355" s="146">
        <v>0.0</v>
      </c>
      <c r="P1355" s="48">
        <f t="array" ref="P1355">IFNA(XLOOKUP(J1355,'⚙️ Pengaturan'!$E$2:$E3237,'⚙️ Pengaturan'!$F$2:$F3237),"")</f>
        <v>250000</v>
      </c>
      <c r="Q1355" s="147">
        <f t="shared" si="24"/>
        <v>0</v>
      </c>
      <c r="R1355" s="41" t="s">
        <v>32</v>
      </c>
      <c r="S1355" s="69" t="s">
        <v>33</v>
      </c>
      <c r="T1355" s="51" t="b">
        <v>1</v>
      </c>
      <c r="U1355" s="94"/>
    </row>
    <row r="1356" ht="30.0" customHeight="1">
      <c r="A1356" s="39"/>
      <c r="B1356" s="40">
        <v>3392.0</v>
      </c>
      <c r="C1356" s="41" t="s">
        <v>79</v>
      </c>
      <c r="D1356" s="86">
        <v>46130.0</v>
      </c>
      <c r="E1356" s="43" t="str">
        <f t="shared" si="1"/>
        <v>2026</v>
      </c>
      <c r="F1356" s="43" t="str">
        <f t="shared" si="2"/>
        <v>04 Apr</v>
      </c>
      <c r="G1356" s="45" t="s">
        <v>25</v>
      </c>
      <c r="H1356" s="45" t="s">
        <v>150</v>
      </c>
      <c r="I1356" s="45" t="s">
        <v>704</v>
      </c>
      <c r="J1356" s="143" t="s">
        <v>120</v>
      </c>
      <c r="K1356" s="43" t="str">
        <f t="array" ref="K1356">IF(J1356="","", XLOOKUP(J1356,'⚙️ Pengaturan'!$E$2:$E3237,'⚙️ Pengaturan'!$G$2:$G3237))</f>
        <v>KLINIK FT SESI</v>
      </c>
      <c r="L1356" s="43" t="str">
        <f t="shared" si="3"/>
        <v>BARU</v>
      </c>
      <c r="M1356" s="144" t="s">
        <v>31</v>
      </c>
      <c r="N1356" s="145">
        <v>180000.0</v>
      </c>
      <c r="O1356" s="146">
        <v>0.0</v>
      </c>
      <c r="P1356" s="48">
        <v>180000.0</v>
      </c>
      <c r="Q1356" s="147">
        <v>0.0</v>
      </c>
      <c r="R1356" s="41" t="s">
        <v>32</v>
      </c>
      <c r="S1356" s="69" t="s">
        <v>33</v>
      </c>
      <c r="T1356" s="51" t="b">
        <v>1</v>
      </c>
      <c r="U1356" s="94"/>
    </row>
    <row r="1357" ht="30.0" customHeight="1">
      <c r="A1357" s="39"/>
      <c r="B1357" s="40">
        <v>3393.0</v>
      </c>
      <c r="C1357" s="41" t="s">
        <v>79</v>
      </c>
      <c r="D1357" s="86">
        <v>46130.0</v>
      </c>
      <c r="E1357" s="43" t="str">
        <f t="shared" si="1"/>
        <v>2026</v>
      </c>
      <c r="F1357" s="43" t="str">
        <f t="shared" si="2"/>
        <v>04 Apr</v>
      </c>
      <c r="G1357" s="45" t="s">
        <v>69</v>
      </c>
      <c r="H1357" s="45" t="s">
        <v>96</v>
      </c>
      <c r="I1357" s="45" t="s">
        <v>586</v>
      </c>
      <c r="J1357" s="143" t="s">
        <v>138</v>
      </c>
      <c r="K1357" s="43" t="str">
        <f t="array" ref="K1357">IF(J1357="","", XLOOKUP(J1357,'⚙️ Pengaturan'!$E$2:$E3237,'⚙️ Pengaturan'!$G$2:$G3237))</f>
        <v>VISIT FT PAKET</v>
      </c>
      <c r="L1357" s="43" t="str">
        <f t="shared" si="3"/>
        <v>LANJUTAN</v>
      </c>
      <c r="M1357" s="144" t="s">
        <v>31</v>
      </c>
      <c r="N1357" s="145">
        <v>1800000.0</v>
      </c>
      <c r="O1357" s="146">
        <v>0.0</v>
      </c>
      <c r="P1357" s="48">
        <f t="array" ref="P1357">IFNA(XLOOKUP(J1357,'⚙️ Pengaturan'!$E$2:$E3237,'⚙️ Pengaturan'!$F$2:$F3237),"")</f>
        <v>1800000</v>
      </c>
      <c r="Q1357" s="147">
        <f t="shared" ref="Q1357:Q1359" si="25">IF(I1357="","",(N1357+O1357)-P1357)</f>
        <v>0</v>
      </c>
      <c r="R1357" s="41" t="s">
        <v>32</v>
      </c>
      <c r="S1357" s="69" t="s">
        <v>33</v>
      </c>
      <c r="T1357" s="51" t="b">
        <v>1</v>
      </c>
      <c r="U1357" s="94"/>
    </row>
    <row r="1358" ht="30.0" customHeight="1">
      <c r="A1358" s="39"/>
      <c r="B1358" s="40">
        <v>3394.0</v>
      </c>
      <c r="C1358" s="41" t="s">
        <v>79</v>
      </c>
      <c r="D1358" s="86">
        <v>46130.0</v>
      </c>
      <c r="E1358" s="43" t="str">
        <f t="shared" si="1"/>
        <v>2026</v>
      </c>
      <c r="F1358" s="43" t="str">
        <f t="shared" si="2"/>
        <v>04 Apr</v>
      </c>
      <c r="G1358" s="45" t="s">
        <v>161</v>
      </c>
      <c r="H1358" s="45" t="s">
        <v>162</v>
      </c>
      <c r="I1358" s="45" t="s">
        <v>1160</v>
      </c>
      <c r="J1358" s="143" t="s">
        <v>28</v>
      </c>
      <c r="K1358" s="43" t="str">
        <f t="array" ref="K1358">IF(J1358="","", XLOOKUP(J1358,'⚙️ Pengaturan'!$E$2:$E3237,'⚙️ Pengaturan'!$G$2:$G3237))</f>
        <v>KLINIK FT TA</v>
      </c>
      <c r="L1358" s="43" t="str">
        <f t="shared" si="3"/>
        <v>BARU</v>
      </c>
      <c r="M1358" s="144" t="s">
        <v>31</v>
      </c>
      <c r="N1358" s="145">
        <v>250000.0</v>
      </c>
      <c r="O1358" s="146">
        <v>0.0</v>
      </c>
      <c r="P1358" s="48">
        <f t="array" ref="P1358">IFNA(XLOOKUP(J1358,'⚙️ Pengaturan'!$E$2:$E3237,'⚙️ Pengaturan'!$F$2:$F3237),"")</f>
        <v>250000</v>
      </c>
      <c r="Q1358" s="147">
        <f t="shared" si="25"/>
        <v>0</v>
      </c>
      <c r="R1358" s="41" t="s">
        <v>37</v>
      </c>
      <c r="S1358" s="69" t="s">
        <v>1026</v>
      </c>
      <c r="T1358" s="51" t="b">
        <v>1</v>
      </c>
      <c r="U1358" s="94"/>
    </row>
    <row r="1359" ht="30.0" customHeight="1">
      <c r="A1359" s="39"/>
      <c r="B1359" s="40">
        <v>3395.0</v>
      </c>
      <c r="C1359" s="41" t="s">
        <v>50</v>
      </c>
      <c r="D1359" s="86">
        <v>46130.0</v>
      </c>
      <c r="E1359" s="43" t="str">
        <f t="shared" si="1"/>
        <v>2026</v>
      </c>
      <c r="F1359" s="43" t="str">
        <f t="shared" si="2"/>
        <v>04 Apr</v>
      </c>
      <c r="G1359" s="45" t="s">
        <v>40</v>
      </c>
      <c r="H1359" s="45" t="s">
        <v>41</v>
      </c>
      <c r="I1359" s="45" t="s">
        <v>1161</v>
      </c>
      <c r="J1359" s="143" t="s">
        <v>28</v>
      </c>
      <c r="K1359" s="43" t="str">
        <f t="array" ref="K1359">IF(J1359="","", XLOOKUP(J1359,'⚙️ Pengaturan'!$E$2:$E3237,'⚙️ Pengaturan'!$G$2:$G3237))</f>
        <v>KLINIK FT TA</v>
      </c>
      <c r="L1359" s="43" t="str">
        <f t="shared" si="3"/>
        <v>BARU</v>
      </c>
      <c r="M1359" s="144" t="s">
        <v>31</v>
      </c>
      <c r="N1359" s="145">
        <v>250000.0</v>
      </c>
      <c r="O1359" s="146">
        <v>0.0</v>
      </c>
      <c r="P1359" s="48">
        <f t="array" ref="P1359">IFNA(XLOOKUP(J1359,'⚙️ Pengaturan'!$E$2:$E3237,'⚙️ Pengaturan'!$F$2:$F3237),"")</f>
        <v>250000</v>
      </c>
      <c r="Q1359" s="147">
        <f t="shared" si="25"/>
        <v>0</v>
      </c>
      <c r="R1359" s="41" t="s">
        <v>37</v>
      </c>
      <c r="S1359" s="69" t="s">
        <v>1161</v>
      </c>
      <c r="T1359" s="51" t="b">
        <v>1</v>
      </c>
      <c r="U1359" s="94"/>
    </row>
    <row r="1360" ht="30.0" customHeight="1">
      <c r="A1360" s="39"/>
      <c r="B1360" s="40">
        <v>3396.0</v>
      </c>
      <c r="C1360" s="41" t="s">
        <v>50</v>
      </c>
      <c r="D1360" s="86">
        <v>46130.0</v>
      </c>
      <c r="E1360" s="43" t="str">
        <f t="shared" si="1"/>
        <v>2026</v>
      </c>
      <c r="F1360" s="43" t="str">
        <f t="shared" si="2"/>
        <v>04 Apr</v>
      </c>
      <c r="G1360" s="45" t="s">
        <v>40</v>
      </c>
      <c r="H1360" s="45" t="s">
        <v>47</v>
      </c>
      <c r="I1360" s="45" t="s">
        <v>1162</v>
      </c>
      <c r="J1360" s="143" t="s">
        <v>28</v>
      </c>
      <c r="K1360" s="43" t="str">
        <f t="array" ref="K1360">IF(J1360="","", XLOOKUP(J1360,'⚙️ Pengaturan'!$E$2:$E3237,'⚙️ Pengaturan'!$G$2:$G3237))</f>
        <v>KLINIK FT TA</v>
      </c>
      <c r="L1360" s="43" t="str">
        <f t="shared" si="3"/>
        <v>BARU</v>
      </c>
      <c r="M1360" s="144" t="s">
        <v>31</v>
      </c>
      <c r="N1360" s="145">
        <v>250000.0</v>
      </c>
      <c r="O1360" s="146">
        <v>0.0</v>
      </c>
      <c r="P1360" s="48">
        <f t="array" ref="P1360">IFNA(XLOOKUP(J1360,'⚙️ Pengaturan'!$E$2:$E3237,'⚙️ Pengaturan'!$F$2:$F3237),"")</f>
        <v>250000</v>
      </c>
      <c r="Q1360" s="153">
        <v>0.0</v>
      </c>
      <c r="R1360" s="41" t="s">
        <v>37</v>
      </c>
      <c r="S1360" s="69" t="s">
        <v>1118</v>
      </c>
      <c r="T1360" s="51" t="b">
        <v>1</v>
      </c>
      <c r="U1360" s="94" t="s">
        <v>1163</v>
      </c>
    </row>
    <row r="1361" ht="30.0" customHeight="1">
      <c r="A1361" s="39"/>
      <c r="B1361" s="40">
        <v>3397.0</v>
      </c>
      <c r="C1361" s="41" t="s">
        <v>50</v>
      </c>
      <c r="D1361" s="86">
        <v>46130.0</v>
      </c>
      <c r="E1361" s="43" t="str">
        <f t="shared" si="1"/>
        <v>2026</v>
      </c>
      <c r="F1361" s="43" t="str">
        <f t="shared" si="2"/>
        <v>04 Apr</v>
      </c>
      <c r="G1361" s="45" t="s">
        <v>43</v>
      </c>
      <c r="H1361" s="45" t="s">
        <v>76</v>
      </c>
      <c r="I1361" s="45" t="s">
        <v>1127</v>
      </c>
      <c r="J1361" s="143" t="s">
        <v>120</v>
      </c>
      <c r="K1361" s="43" t="str">
        <f t="array" ref="K1361">IF(J1361="","", XLOOKUP(J1361,'⚙️ Pengaturan'!$E$2:$E3237,'⚙️ Pengaturan'!$G$2:$G3237))</f>
        <v>KLINIK FT SESI</v>
      </c>
      <c r="L1361" s="43" t="str">
        <f t="shared" si="3"/>
        <v>BARU</v>
      </c>
      <c r="M1361" s="144" t="s">
        <v>31</v>
      </c>
      <c r="N1361" s="145">
        <v>180000.0</v>
      </c>
      <c r="O1361" s="146">
        <v>0.0</v>
      </c>
      <c r="P1361" s="48">
        <f t="array" ref="P1361">IFNA(XLOOKUP(J1361,'⚙️ Pengaturan'!$E$2:$E3237,'⚙️ Pengaturan'!$F$2:$F3237),"")</f>
        <v>180000</v>
      </c>
      <c r="Q1361" s="147">
        <f t="shared" ref="Q1361:Q1448" si="26">IF(I1361="","",(N1361+O1361)-P1361)</f>
        <v>0</v>
      </c>
      <c r="R1361" s="41" t="s">
        <v>32</v>
      </c>
      <c r="S1361" s="69" t="s">
        <v>33</v>
      </c>
      <c r="T1361" s="51" t="b">
        <v>1</v>
      </c>
      <c r="U1361" s="94"/>
    </row>
    <row r="1362" ht="30.0" customHeight="1">
      <c r="A1362" s="39"/>
      <c r="B1362" s="40">
        <v>3398.0</v>
      </c>
      <c r="C1362" s="41" t="s">
        <v>50</v>
      </c>
      <c r="D1362" s="86">
        <v>46130.0</v>
      </c>
      <c r="E1362" s="43" t="str">
        <f t="shared" si="1"/>
        <v>2026</v>
      </c>
      <c r="F1362" s="43" t="str">
        <f t="shared" si="2"/>
        <v>04 Apr</v>
      </c>
      <c r="G1362" s="45" t="s">
        <v>43</v>
      </c>
      <c r="H1362" s="45" t="s">
        <v>96</v>
      </c>
      <c r="I1362" s="45" t="s">
        <v>1143</v>
      </c>
      <c r="J1362" s="143" t="s">
        <v>120</v>
      </c>
      <c r="K1362" s="43" t="str">
        <f t="array" ref="K1362">IF(J1362="","", XLOOKUP(J1362,'⚙️ Pengaturan'!$E$2:$E3237,'⚙️ Pengaturan'!$G$2:$G3237))</f>
        <v>KLINIK FT SESI</v>
      </c>
      <c r="L1362" s="43" t="str">
        <f t="shared" si="3"/>
        <v>BARU</v>
      </c>
      <c r="M1362" s="144" t="s">
        <v>31</v>
      </c>
      <c r="N1362" s="145">
        <v>180000.0</v>
      </c>
      <c r="O1362" s="146">
        <v>0.0</v>
      </c>
      <c r="P1362" s="48">
        <f t="array" ref="P1362">IFNA(XLOOKUP(J1362,'⚙️ Pengaturan'!$E$2:$E3237,'⚙️ Pengaturan'!$F$2:$F3237),"")</f>
        <v>180000</v>
      </c>
      <c r="Q1362" s="147">
        <f t="shared" si="26"/>
        <v>0</v>
      </c>
      <c r="R1362" s="41" t="s">
        <v>37</v>
      </c>
      <c r="S1362" s="69" t="s">
        <v>1143</v>
      </c>
      <c r="T1362" s="51" t="b">
        <v>1</v>
      </c>
      <c r="U1362" s="94"/>
    </row>
    <row r="1363" ht="30.0" customHeight="1">
      <c r="A1363" s="39"/>
      <c r="B1363" s="40">
        <v>3399.0</v>
      </c>
      <c r="C1363" s="41" t="s">
        <v>50</v>
      </c>
      <c r="D1363" s="86">
        <v>46130.0</v>
      </c>
      <c r="E1363" s="43" t="str">
        <f t="shared" si="1"/>
        <v>2026</v>
      </c>
      <c r="F1363" s="43" t="str">
        <f t="shared" si="2"/>
        <v>04 Apr</v>
      </c>
      <c r="G1363" s="45" t="s">
        <v>173</v>
      </c>
      <c r="H1363" s="45" t="s">
        <v>47</v>
      </c>
      <c r="I1363" s="45" t="s">
        <v>1128</v>
      </c>
      <c r="J1363" s="143" t="s">
        <v>120</v>
      </c>
      <c r="K1363" s="43" t="str">
        <f t="array" ref="K1363">IF(J1363="","", XLOOKUP(J1363,'⚙️ Pengaturan'!$E$2:$E3237,'⚙️ Pengaturan'!$G$2:$G3237))</f>
        <v>KLINIK FT SESI</v>
      </c>
      <c r="L1363" s="43" t="str">
        <f t="shared" si="3"/>
        <v>LANJUTAN</v>
      </c>
      <c r="M1363" s="144" t="s">
        <v>31</v>
      </c>
      <c r="N1363" s="145">
        <v>180000.0</v>
      </c>
      <c r="O1363" s="146">
        <v>0.0</v>
      </c>
      <c r="P1363" s="48">
        <f t="array" ref="P1363">IFNA(XLOOKUP(J1363,'⚙️ Pengaturan'!$E$2:$E3237,'⚙️ Pengaturan'!$F$2:$F3237),"")</f>
        <v>180000</v>
      </c>
      <c r="Q1363" s="147">
        <f t="shared" si="26"/>
        <v>0</v>
      </c>
      <c r="R1363" s="41" t="s">
        <v>37</v>
      </c>
      <c r="S1363" s="69" t="s">
        <v>1128</v>
      </c>
      <c r="T1363" s="51" t="b">
        <v>1</v>
      </c>
      <c r="U1363" s="94"/>
    </row>
    <row r="1364" ht="30.0" customHeight="1">
      <c r="A1364" s="39"/>
      <c r="B1364" s="40">
        <v>3400.0</v>
      </c>
      <c r="C1364" s="41" t="s">
        <v>50</v>
      </c>
      <c r="D1364" s="86">
        <v>46130.0</v>
      </c>
      <c r="E1364" s="43" t="str">
        <f t="shared" si="1"/>
        <v>2026</v>
      </c>
      <c r="F1364" s="43" t="str">
        <f t="shared" si="2"/>
        <v>04 Apr</v>
      </c>
      <c r="G1364" s="45" t="s">
        <v>155</v>
      </c>
      <c r="H1364" s="45" t="s">
        <v>47</v>
      </c>
      <c r="I1364" s="45" t="s">
        <v>1164</v>
      </c>
      <c r="J1364" s="143" t="s">
        <v>28</v>
      </c>
      <c r="K1364" s="43" t="str">
        <f t="array" ref="K1364">IF(J1364="","", XLOOKUP(J1364,'⚙️ Pengaturan'!$E$2:$E3237,'⚙️ Pengaturan'!$G$2:$G3237))</f>
        <v>KLINIK FT TA</v>
      </c>
      <c r="L1364" s="43" t="str">
        <f t="shared" si="3"/>
        <v>BARU</v>
      </c>
      <c r="M1364" s="144" t="s">
        <v>31</v>
      </c>
      <c r="N1364" s="145">
        <v>250000.0</v>
      </c>
      <c r="O1364" s="146">
        <v>0.0</v>
      </c>
      <c r="P1364" s="48">
        <f t="array" ref="P1364">IFNA(XLOOKUP(J1364,'⚙️ Pengaturan'!$E$2:$E3237,'⚙️ Pengaturan'!$F$2:$F3237),"")</f>
        <v>250000</v>
      </c>
      <c r="Q1364" s="147">
        <f t="shared" si="26"/>
        <v>0</v>
      </c>
      <c r="R1364" s="41" t="s">
        <v>37</v>
      </c>
      <c r="S1364" s="69" t="s">
        <v>1164</v>
      </c>
      <c r="T1364" s="51" t="b">
        <v>1</v>
      </c>
      <c r="U1364" s="94"/>
    </row>
    <row r="1365" ht="30.0" customHeight="1">
      <c r="A1365" s="39"/>
      <c r="B1365" s="40">
        <v>3401.0</v>
      </c>
      <c r="C1365" s="41" t="s">
        <v>50</v>
      </c>
      <c r="D1365" s="86">
        <v>46130.0</v>
      </c>
      <c r="E1365" s="43" t="str">
        <f t="shared" si="1"/>
        <v>2026</v>
      </c>
      <c r="F1365" s="43" t="str">
        <f t="shared" si="2"/>
        <v>04 Apr</v>
      </c>
      <c r="G1365" s="45" t="s">
        <v>190</v>
      </c>
      <c r="H1365" s="45" t="s">
        <v>76</v>
      </c>
      <c r="I1365" s="45" t="s">
        <v>1165</v>
      </c>
      <c r="J1365" s="143" t="s">
        <v>28</v>
      </c>
      <c r="K1365" s="43" t="str">
        <f t="array" ref="K1365">IF(J1365="","", XLOOKUP(J1365,'⚙️ Pengaturan'!$E$2:$E3237,'⚙️ Pengaturan'!$G$2:$G3237))</f>
        <v>KLINIK FT TA</v>
      </c>
      <c r="L1365" s="43" t="str">
        <f t="shared" si="3"/>
        <v>BARU</v>
      </c>
      <c r="M1365" s="144" t="s">
        <v>31</v>
      </c>
      <c r="N1365" s="145">
        <v>250000.0</v>
      </c>
      <c r="O1365" s="146">
        <v>0.0</v>
      </c>
      <c r="P1365" s="48">
        <f t="array" ref="P1365">IFNA(XLOOKUP(J1365,'⚙️ Pengaturan'!$E$2:$E3237,'⚙️ Pengaturan'!$F$2:$F3237),"")</f>
        <v>250000</v>
      </c>
      <c r="Q1365" s="147">
        <f t="shared" si="26"/>
        <v>0</v>
      </c>
      <c r="R1365" s="41" t="s">
        <v>32</v>
      </c>
      <c r="S1365" s="69" t="s">
        <v>33</v>
      </c>
      <c r="T1365" s="51" t="b">
        <v>1</v>
      </c>
      <c r="U1365" s="94"/>
    </row>
    <row r="1366" ht="30.0" customHeight="1">
      <c r="A1366" s="39"/>
      <c r="B1366" s="40">
        <v>3402.0</v>
      </c>
      <c r="C1366" s="41" t="s">
        <v>50</v>
      </c>
      <c r="D1366" s="86">
        <v>46130.0</v>
      </c>
      <c r="E1366" s="43" t="str">
        <f t="shared" si="1"/>
        <v>2026</v>
      </c>
      <c r="F1366" s="43" t="str">
        <f t="shared" si="2"/>
        <v>04 Apr</v>
      </c>
      <c r="G1366" s="45" t="s">
        <v>69</v>
      </c>
      <c r="H1366" s="45" t="s">
        <v>162</v>
      </c>
      <c r="I1366" s="45" t="s">
        <v>179</v>
      </c>
      <c r="J1366" s="143" t="s">
        <v>180</v>
      </c>
      <c r="K1366" s="43" t="str">
        <f t="array" ref="K1366">IF(J1366="","", XLOOKUP(J1366,'⚙️ Pengaturan'!$E$2:$E3237,'⚙️ Pengaturan'!$G$2:$G3237))</f>
        <v>KLINIK FT SESI</v>
      </c>
      <c r="L1366" s="43" t="str">
        <f t="shared" si="3"/>
        <v>LANJUTAN</v>
      </c>
      <c r="M1366" s="144" t="s">
        <v>31</v>
      </c>
      <c r="N1366" s="145">
        <v>150000.0</v>
      </c>
      <c r="O1366" s="146">
        <v>0.0</v>
      </c>
      <c r="P1366" s="48">
        <f t="array" ref="P1366">IFNA(XLOOKUP(J1366,'⚙️ Pengaturan'!$E$2:$E3237,'⚙️ Pengaturan'!$F$2:$F3237),"")</f>
        <v>150000</v>
      </c>
      <c r="Q1366" s="147">
        <f t="shared" si="26"/>
        <v>0</v>
      </c>
      <c r="R1366" s="41" t="s">
        <v>32</v>
      </c>
      <c r="S1366" s="69" t="s">
        <v>33</v>
      </c>
      <c r="T1366" s="51" t="b">
        <v>1</v>
      </c>
      <c r="U1366" s="94"/>
    </row>
    <row r="1367" ht="30.0" customHeight="1">
      <c r="A1367" s="39"/>
      <c r="B1367" s="40">
        <v>3403.0</v>
      </c>
      <c r="C1367" s="41" t="s">
        <v>39</v>
      </c>
      <c r="D1367" s="86">
        <v>46131.0</v>
      </c>
      <c r="E1367" s="43" t="str">
        <f t="shared" si="1"/>
        <v>2026</v>
      </c>
      <c r="F1367" s="43" t="str">
        <f t="shared" si="2"/>
        <v>04 Apr</v>
      </c>
      <c r="G1367" s="45" t="s">
        <v>69</v>
      </c>
      <c r="H1367" s="45" t="s">
        <v>150</v>
      </c>
      <c r="I1367" s="45" t="s">
        <v>1166</v>
      </c>
      <c r="J1367" s="143" t="s">
        <v>138</v>
      </c>
      <c r="K1367" s="43" t="str">
        <f t="array" ref="K1367">IF(J1367="","", XLOOKUP(J1367,'⚙️ Pengaturan'!$E$2:$E3237,'⚙️ Pengaturan'!$G$2:$G3237))</f>
        <v>VISIT FT PAKET</v>
      </c>
      <c r="L1367" s="43" t="str">
        <f t="shared" si="3"/>
        <v>BARU</v>
      </c>
      <c r="M1367" s="144" t="s">
        <v>31</v>
      </c>
      <c r="N1367" s="145">
        <v>1800000.0</v>
      </c>
      <c r="O1367" s="146">
        <v>0.0</v>
      </c>
      <c r="P1367" s="48">
        <f t="array" ref="P1367">IFNA(XLOOKUP(J1367,'⚙️ Pengaturan'!$E$2:$E3237,'⚙️ Pengaturan'!$F$2:$F3237),"")</f>
        <v>1800000</v>
      </c>
      <c r="Q1367" s="147">
        <f t="shared" si="26"/>
        <v>0</v>
      </c>
      <c r="R1367" s="41" t="s">
        <v>37</v>
      </c>
      <c r="S1367" s="69" t="s">
        <v>1167</v>
      </c>
      <c r="T1367" s="51" t="b">
        <v>1</v>
      </c>
      <c r="U1367" s="94"/>
    </row>
    <row r="1368" ht="30.0" customHeight="1">
      <c r="A1368" s="39"/>
      <c r="B1368" s="40">
        <v>3404.0</v>
      </c>
      <c r="C1368" s="41" t="s">
        <v>39</v>
      </c>
      <c r="D1368" s="86">
        <v>46131.0</v>
      </c>
      <c r="E1368" s="43" t="str">
        <f t="shared" si="1"/>
        <v>2026</v>
      </c>
      <c r="F1368" s="43" t="str">
        <f t="shared" si="2"/>
        <v>04 Apr</v>
      </c>
      <c r="G1368" s="45" t="s">
        <v>195</v>
      </c>
      <c r="H1368" s="45" t="s">
        <v>76</v>
      </c>
      <c r="I1368" s="45" t="s">
        <v>1142</v>
      </c>
      <c r="J1368" s="143" t="s">
        <v>119</v>
      </c>
      <c r="K1368" s="43" t="str">
        <f t="array" ref="K1368">IF(J1368="","", XLOOKUP(J1368,'⚙️ Pengaturan'!$E$2:$E3237,'⚙️ Pengaturan'!$G$2:$G3237))</f>
        <v>KLINIK FT PAKET</v>
      </c>
      <c r="L1368" s="43" t="str">
        <f t="shared" si="3"/>
        <v>BARU</v>
      </c>
      <c r="M1368" s="144" t="s">
        <v>31</v>
      </c>
      <c r="N1368" s="145">
        <v>750000.0</v>
      </c>
      <c r="O1368" s="146">
        <v>0.0</v>
      </c>
      <c r="P1368" s="48">
        <f t="array" ref="P1368">IFNA(XLOOKUP(J1368,'⚙️ Pengaturan'!$E$2:$E3237,'⚙️ Pengaturan'!$F$2:$F3237),"")</f>
        <v>750000</v>
      </c>
      <c r="Q1368" s="147">
        <f t="shared" si="26"/>
        <v>0</v>
      </c>
      <c r="R1368" s="41" t="s">
        <v>37</v>
      </c>
      <c r="S1368" s="69" t="s">
        <v>1142</v>
      </c>
      <c r="T1368" s="51" t="b">
        <v>1</v>
      </c>
      <c r="U1368" s="94"/>
    </row>
    <row r="1369" ht="30.0" customHeight="1">
      <c r="A1369" s="39"/>
      <c r="B1369" s="40">
        <v>3405.0</v>
      </c>
      <c r="C1369" s="41" t="s">
        <v>39</v>
      </c>
      <c r="D1369" s="86">
        <v>46131.0</v>
      </c>
      <c r="E1369" s="43" t="str">
        <f t="shared" si="1"/>
        <v>2026</v>
      </c>
      <c r="F1369" s="43" t="str">
        <f t="shared" si="2"/>
        <v>04 Apr</v>
      </c>
      <c r="G1369" s="45" t="s">
        <v>25</v>
      </c>
      <c r="H1369" s="45" t="s">
        <v>47</v>
      </c>
      <c r="I1369" s="45" t="s">
        <v>830</v>
      </c>
      <c r="J1369" s="143" t="s">
        <v>347</v>
      </c>
      <c r="K1369" s="43" t="str">
        <f t="array" ref="K1369">IF(J1369="","", XLOOKUP(J1369,'⚙️ Pengaturan'!$E$2:$E3237,'⚙️ Pengaturan'!$G$2:$G3237))</f>
        <v>KLINIK FT PAKET</v>
      </c>
      <c r="L1369" s="43" t="str">
        <f t="shared" si="3"/>
        <v>LANJUTAN</v>
      </c>
      <c r="M1369" s="144" t="s">
        <v>31</v>
      </c>
      <c r="N1369" s="145">
        <v>1040000.0</v>
      </c>
      <c r="O1369" s="146">
        <v>260000.0</v>
      </c>
      <c r="P1369" s="48">
        <f t="array" ref="P1369">IFNA(XLOOKUP(J1369,'⚙️ Pengaturan'!$E$2:$E3237,'⚙️ Pengaturan'!$F$2:$F3237),"")</f>
        <v>1300000</v>
      </c>
      <c r="Q1369" s="147">
        <f t="shared" si="26"/>
        <v>0</v>
      </c>
      <c r="R1369" s="41" t="s">
        <v>37</v>
      </c>
      <c r="S1369" s="69" t="s">
        <v>830</v>
      </c>
      <c r="T1369" s="51" t="b">
        <v>1</v>
      </c>
      <c r="U1369" s="94"/>
    </row>
    <row r="1370" ht="30.0" customHeight="1">
      <c r="A1370" s="39"/>
      <c r="B1370" s="40">
        <v>3406.0</v>
      </c>
      <c r="C1370" s="41" t="s">
        <v>39</v>
      </c>
      <c r="D1370" s="86">
        <v>46131.0</v>
      </c>
      <c r="E1370" s="43" t="str">
        <f t="shared" si="1"/>
        <v>2026</v>
      </c>
      <c r="F1370" s="43" t="str">
        <f t="shared" si="2"/>
        <v>04 Apr</v>
      </c>
      <c r="G1370" s="45" t="s">
        <v>206</v>
      </c>
      <c r="H1370" s="45" t="s">
        <v>47</v>
      </c>
      <c r="I1370" s="45" t="s">
        <v>1168</v>
      </c>
      <c r="J1370" s="143" t="s">
        <v>28</v>
      </c>
      <c r="K1370" s="43" t="str">
        <f t="array" ref="K1370">IF(J1370="","", XLOOKUP(J1370,'⚙️ Pengaturan'!$E$2:$E3237,'⚙️ Pengaturan'!$G$2:$G3237))</f>
        <v>KLINIK FT TA</v>
      </c>
      <c r="L1370" s="43" t="str">
        <f t="shared" si="3"/>
        <v>BARU</v>
      </c>
      <c r="M1370" s="144" t="s">
        <v>31</v>
      </c>
      <c r="N1370" s="145">
        <v>250000.0</v>
      </c>
      <c r="O1370" s="146">
        <v>0.0</v>
      </c>
      <c r="P1370" s="48">
        <f t="array" ref="P1370">IFNA(XLOOKUP(J1370,'⚙️ Pengaturan'!$E$2:$E3237,'⚙️ Pengaturan'!$F$2:$F3237),"")</f>
        <v>250000</v>
      </c>
      <c r="Q1370" s="147">
        <f t="shared" si="26"/>
        <v>0</v>
      </c>
      <c r="R1370" s="41" t="s">
        <v>37</v>
      </c>
      <c r="S1370" s="69" t="s">
        <v>1169</v>
      </c>
      <c r="T1370" s="51" t="b">
        <v>1</v>
      </c>
      <c r="U1370" s="94"/>
    </row>
    <row r="1371" ht="30.0" customHeight="1">
      <c r="A1371" s="39"/>
      <c r="B1371" s="40">
        <v>3407.0</v>
      </c>
      <c r="C1371" s="41" t="s">
        <v>39</v>
      </c>
      <c r="D1371" s="86">
        <v>46131.0</v>
      </c>
      <c r="E1371" s="43" t="str">
        <f t="shared" si="1"/>
        <v>2026</v>
      </c>
      <c r="F1371" s="43" t="str">
        <f t="shared" si="2"/>
        <v>04 Apr</v>
      </c>
      <c r="G1371" s="45" t="s">
        <v>206</v>
      </c>
      <c r="H1371" s="45" t="s">
        <v>41</v>
      </c>
      <c r="I1371" s="45" t="s">
        <v>1085</v>
      </c>
      <c r="J1371" s="143" t="s">
        <v>119</v>
      </c>
      <c r="K1371" s="43" t="str">
        <f t="array" ref="K1371">IF(J1371="","", XLOOKUP(J1371,'⚙️ Pengaturan'!$E$2:$E3237,'⚙️ Pengaturan'!$G$2:$G3237))</f>
        <v>KLINIK FT PAKET</v>
      </c>
      <c r="L1371" s="43" t="str">
        <f t="shared" si="3"/>
        <v>LANJUTAN</v>
      </c>
      <c r="M1371" s="144" t="s">
        <v>164</v>
      </c>
      <c r="N1371" s="145">
        <v>200000.0</v>
      </c>
      <c r="O1371" s="146">
        <v>550000.0</v>
      </c>
      <c r="P1371" s="48">
        <f t="array" ref="P1371">IFNA(XLOOKUP(J1371,'⚙️ Pengaturan'!$E$2:$E3237,'⚙️ Pengaturan'!$F$2:$F3237),"")</f>
        <v>750000</v>
      </c>
      <c r="Q1371" s="147">
        <f t="shared" si="26"/>
        <v>0</v>
      </c>
      <c r="R1371" s="41" t="s">
        <v>93</v>
      </c>
      <c r="S1371" s="69" t="s">
        <v>1085</v>
      </c>
      <c r="T1371" s="51" t="b">
        <v>1</v>
      </c>
      <c r="U1371" s="94"/>
    </row>
    <row r="1372" ht="30.0" customHeight="1">
      <c r="A1372" s="39"/>
      <c r="B1372" s="40">
        <v>3408.0</v>
      </c>
      <c r="C1372" s="41" t="s">
        <v>39</v>
      </c>
      <c r="D1372" s="86">
        <v>46131.0</v>
      </c>
      <c r="E1372" s="43" t="str">
        <f t="shared" si="1"/>
        <v>2026</v>
      </c>
      <c r="F1372" s="43" t="str">
        <f t="shared" si="2"/>
        <v>04 Apr</v>
      </c>
      <c r="G1372" s="45" t="s">
        <v>161</v>
      </c>
      <c r="H1372" s="45" t="s">
        <v>96</v>
      </c>
      <c r="I1372" s="45" t="s">
        <v>1170</v>
      </c>
      <c r="J1372" s="143" t="s">
        <v>28</v>
      </c>
      <c r="K1372" s="43" t="str">
        <f t="array" ref="K1372">IF(J1372="","", XLOOKUP(J1372,'⚙️ Pengaturan'!$E$2:$E3237,'⚙️ Pengaturan'!$G$2:$G3237))</f>
        <v>KLINIK FT TA</v>
      </c>
      <c r="L1372" s="43" t="str">
        <f t="shared" si="3"/>
        <v>BARU</v>
      </c>
      <c r="M1372" s="144" t="s">
        <v>31</v>
      </c>
      <c r="N1372" s="145">
        <v>250000.0</v>
      </c>
      <c r="O1372" s="146">
        <v>0.0</v>
      </c>
      <c r="P1372" s="48">
        <f t="array" ref="P1372">IFNA(XLOOKUP(J1372,'⚙️ Pengaturan'!$E$2:$E3237,'⚙️ Pengaturan'!$F$2:$F3237),"")</f>
        <v>250000</v>
      </c>
      <c r="Q1372" s="147">
        <f t="shared" si="26"/>
        <v>0</v>
      </c>
      <c r="R1372" s="41" t="s">
        <v>37</v>
      </c>
      <c r="S1372" s="69" t="s">
        <v>1170</v>
      </c>
      <c r="T1372" s="51" t="b">
        <v>1</v>
      </c>
      <c r="U1372" s="94"/>
    </row>
    <row r="1373" ht="30.0" customHeight="1">
      <c r="A1373" s="39"/>
      <c r="B1373" s="40">
        <v>3409.0</v>
      </c>
      <c r="C1373" s="41" t="s">
        <v>39</v>
      </c>
      <c r="D1373" s="86">
        <v>46131.0</v>
      </c>
      <c r="E1373" s="43" t="str">
        <f t="shared" si="1"/>
        <v>2026</v>
      </c>
      <c r="F1373" s="43" t="str">
        <f t="shared" si="2"/>
        <v>04 Apr</v>
      </c>
      <c r="G1373" s="45" t="s">
        <v>161</v>
      </c>
      <c r="H1373" s="45" t="s">
        <v>47</v>
      </c>
      <c r="I1373" s="45" t="s">
        <v>1171</v>
      </c>
      <c r="J1373" s="143" t="s">
        <v>28</v>
      </c>
      <c r="K1373" s="43" t="str">
        <f t="array" ref="K1373">IF(J1373="","", XLOOKUP(J1373,'⚙️ Pengaturan'!$E$2:$E3237,'⚙️ Pengaturan'!$G$2:$G3237))</f>
        <v>KLINIK FT TA</v>
      </c>
      <c r="L1373" s="43" t="str">
        <f t="shared" si="3"/>
        <v>BARU</v>
      </c>
      <c r="M1373" s="144" t="s">
        <v>31</v>
      </c>
      <c r="N1373" s="145">
        <v>250000.0</v>
      </c>
      <c r="O1373" s="146">
        <v>0.0</v>
      </c>
      <c r="P1373" s="48">
        <f t="array" ref="P1373">IFNA(XLOOKUP(J1373,'⚙️ Pengaturan'!$E$2:$E3237,'⚙️ Pengaturan'!$F$2:$F3237),"")</f>
        <v>250000</v>
      </c>
      <c r="Q1373" s="147">
        <f t="shared" si="26"/>
        <v>0</v>
      </c>
      <c r="R1373" s="41" t="s">
        <v>32</v>
      </c>
      <c r="S1373" s="69" t="s">
        <v>33</v>
      </c>
      <c r="T1373" s="51" t="b">
        <v>1</v>
      </c>
      <c r="U1373" s="94"/>
    </row>
    <row r="1374" ht="30.0" customHeight="1">
      <c r="A1374" s="39"/>
      <c r="B1374" s="40">
        <v>3410.0</v>
      </c>
      <c r="C1374" s="41" t="s">
        <v>39</v>
      </c>
      <c r="D1374" s="86">
        <v>46131.0</v>
      </c>
      <c r="E1374" s="43" t="str">
        <f t="shared" si="1"/>
        <v>2026</v>
      </c>
      <c r="F1374" s="43" t="str">
        <f t="shared" si="2"/>
        <v>04 Apr</v>
      </c>
      <c r="G1374" s="45" t="s">
        <v>69</v>
      </c>
      <c r="H1374" s="45" t="s">
        <v>166</v>
      </c>
      <c r="I1374" s="45" t="s">
        <v>790</v>
      </c>
      <c r="J1374" s="143" t="s">
        <v>365</v>
      </c>
      <c r="K1374" s="43" t="str">
        <f t="array" ref="K1374">IF(J1374="","", XLOOKUP(J1374,'⚙️ Pengaturan'!$E$2:$E3237,'⚙️ Pengaturan'!$G$2:$G3237))</f>
        <v>VISIT FT SESI</v>
      </c>
      <c r="L1374" s="43" t="str">
        <f t="shared" si="3"/>
        <v>BARU</v>
      </c>
      <c r="M1374" s="144" t="s">
        <v>31</v>
      </c>
      <c r="N1374" s="145">
        <v>250000.0</v>
      </c>
      <c r="O1374" s="146">
        <v>0.0</v>
      </c>
      <c r="P1374" s="48">
        <f t="array" ref="P1374">IFNA(XLOOKUP(J1374,'⚙️ Pengaturan'!$E$2:$E3237,'⚙️ Pengaturan'!$F$2:$F3237),"")</f>
        <v>250000</v>
      </c>
      <c r="Q1374" s="147">
        <f t="shared" si="26"/>
        <v>0</v>
      </c>
      <c r="R1374" s="41" t="s">
        <v>32</v>
      </c>
      <c r="S1374" s="69" t="s">
        <v>33</v>
      </c>
      <c r="T1374" s="51" t="b">
        <v>1</v>
      </c>
      <c r="U1374" s="94"/>
    </row>
    <row r="1375" ht="30.0" customHeight="1">
      <c r="A1375" s="39"/>
      <c r="B1375" s="40">
        <v>3411.0</v>
      </c>
      <c r="C1375" s="41" t="s">
        <v>50</v>
      </c>
      <c r="D1375" s="86">
        <v>46131.0</v>
      </c>
      <c r="E1375" s="43" t="str">
        <f t="shared" si="1"/>
        <v>2026</v>
      </c>
      <c r="F1375" s="43" t="str">
        <f t="shared" si="2"/>
        <v>04 Apr</v>
      </c>
      <c r="G1375" s="45" t="s">
        <v>69</v>
      </c>
      <c r="H1375" s="45" t="s">
        <v>150</v>
      </c>
      <c r="I1375" s="45" t="s">
        <v>1166</v>
      </c>
      <c r="J1375" s="143" t="s">
        <v>121</v>
      </c>
      <c r="K1375" s="43" t="str">
        <f t="array" ref="K1375">IF(J1375="","", XLOOKUP(J1375,'⚙️ Pengaturan'!$E$2:$E3237,'⚙️ Pengaturan'!$G$2:$G3237))</f>
        <v>VISIT FT TA</v>
      </c>
      <c r="L1375" s="43" t="str">
        <f t="shared" si="3"/>
        <v>BARU</v>
      </c>
      <c r="M1375" s="144" t="s">
        <v>31</v>
      </c>
      <c r="N1375" s="145">
        <v>300000.0</v>
      </c>
      <c r="O1375" s="146">
        <v>0.0</v>
      </c>
      <c r="P1375" s="48">
        <f t="array" ref="P1375">IFNA(XLOOKUP(J1375,'⚙️ Pengaturan'!$E$2:$E3237,'⚙️ Pengaturan'!$F$2:$F3237),"")</f>
        <v>300000</v>
      </c>
      <c r="Q1375" s="147">
        <f t="shared" si="26"/>
        <v>0</v>
      </c>
      <c r="R1375" s="41" t="s">
        <v>37</v>
      </c>
      <c r="S1375" s="69" t="s">
        <v>1166</v>
      </c>
      <c r="T1375" s="51" t="b">
        <v>1</v>
      </c>
      <c r="U1375" s="94"/>
    </row>
    <row r="1376" ht="30.0" customHeight="1">
      <c r="A1376" s="39"/>
      <c r="B1376" s="40">
        <v>3412.0</v>
      </c>
      <c r="C1376" s="41" t="s">
        <v>50</v>
      </c>
      <c r="D1376" s="86">
        <v>46131.0</v>
      </c>
      <c r="E1376" s="43" t="str">
        <f t="shared" si="1"/>
        <v>2026</v>
      </c>
      <c r="F1376" s="43" t="str">
        <f t="shared" si="2"/>
        <v>04 Apr</v>
      </c>
      <c r="G1376" s="45" t="s">
        <v>173</v>
      </c>
      <c r="H1376" s="45" t="s">
        <v>166</v>
      </c>
      <c r="I1376" s="45" t="s">
        <v>1086</v>
      </c>
      <c r="J1376" s="143" t="s">
        <v>119</v>
      </c>
      <c r="K1376" s="43" t="str">
        <f t="array" ref="K1376">IF(J1376="","", XLOOKUP(J1376,'⚙️ Pengaturan'!$E$2:$E3237,'⚙️ Pengaturan'!$G$2:$G3237))</f>
        <v>KLINIK FT PAKET</v>
      </c>
      <c r="L1376" s="43" t="str">
        <f t="shared" si="3"/>
        <v>LANJUTAN</v>
      </c>
      <c r="M1376" s="144" t="s">
        <v>164</v>
      </c>
      <c r="N1376" s="145">
        <v>300000.0</v>
      </c>
      <c r="O1376" s="146">
        <v>450000.0</v>
      </c>
      <c r="P1376" s="48">
        <f t="array" ref="P1376">IFNA(XLOOKUP(J1376,'⚙️ Pengaturan'!$E$2:$E3237,'⚙️ Pengaturan'!$F$2:$F3237),"")</f>
        <v>750000</v>
      </c>
      <c r="Q1376" s="147">
        <f t="shared" si="26"/>
        <v>0</v>
      </c>
      <c r="R1376" s="41" t="s">
        <v>32</v>
      </c>
      <c r="S1376" s="69" t="s">
        <v>33</v>
      </c>
      <c r="T1376" s="51" t="b">
        <v>1</v>
      </c>
      <c r="U1376" s="94"/>
    </row>
    <row r="1377" ht="30.0" customHeight="1">
      <c r="A1377" s="39"/>
      <c r="B1377" s="40">
        <v>3413.0</v>
      </c>
      <c r="C1377" s="41" t="s">
        <v>50</v>
      </c>
      <c r="D1377" s="86">
        <v>46131.0</v>
      </c>
      <c r="E1377" s="43" t="str">
        <f t="shared" si="1"/>
        <v>2026</v>
      </c>
      <c r="F1377" s="43" t="str">
        <f t="shared" si="2"/>
        <v>04 Apr</v>
      </c>
      <c r="G1377" s="45" t="s">
        <v>173</v>
      </c>
      <c r="H1377" s="45" t="s">
        <v>26</v>
      </c>
      <c r="I1377" s="45" t="s">
        <v>1082</v>
      </c>
      <c r="J1377" s="143" t="s">
        <v>119</v>
      </c>
      <c r="K1377" s="43" t="str">
        <f t="array" ref="K1377">IF(J1377="","", XLOOKUP(J1377,'⚙️ Pengaturan'!$E$2:$E3237,'⚙️ Pengaturan'!$G$2:$G3237))</f>
        <v>KLINIK FT PAKET</v>
      </c>
      <c r="L1377" s="43" t="str">
        <f t="shared" si="3"/>
        <v>LANJUTAN</v>
      </c>
      <c r="M1377" s="144" t="s">
        <v>31</v>
      </c>
      <c r="N1377" s="145">
        <v>750000.0</v>
      </c>
      <c r="O1377" s="146">
        <v>0.0</v>
      </c>
      <c r="P1377" s="48">
        <f t="array" ref="P1377">IFNA(XLOOKUP(J1377,'⚙️ Pengaturan'!$E$2:$E3237,'⚙️ Pengaturan'!$F$2:$F3237),"")</f>
        <v>750000</v>
      </c>
      <c r="Q1377" s="147">
        <f t="shared" si="26"/>
        <v>0</v>
      </c>
      <c r="R1377" s="41" t="s">
        <v>37</v>
      </c>
      <c r="S1377" s="69" t="s">
        <v>1172</v>
      </c>
      <c r="T1377" s="51" t="b">
        <v>1</v>
      </c>
      <c r="U1377" s="94"/>
    </row>
    <row r="1378" ht="30.0" customHeight="1">
      <c r="A1378" s="39"/>
      <c r="B1378" s="40">
        <v>3414.0</v>
      </c>
      <c r="C1378" s="41" t="s">
        <v>50</v>
      </c>
      <c r="D1378" s="86">
        <v>46131.0</v>
      </c>
      <c r="E1378" s="43" t="str">
        <f t="shared" si="1"/>
        <v>2026</v>
      </c>
      <c r="F1378" s="43" t="str">
        <f t="shared" si="2"/>
        <v>04 Apr</v>
      </c>
      <c r="G1378" s="45" t="s">
        <v>155</v>
      </c>
      <c r="H1378" s="45" t="s">
        <v>166</v>
      </c>
      <c r="I1378" s="45" t="s">
        <v>1173</v>
      </c>
      <c r="J1378" s="143" t="s">
        <v>28</v>
      </c>
      <c r="K1378" s="43" t="str">
        <f t="array" ref="K1378">IF(J1378="","", XLOOKUP(J1378,'⚙️ Pengaturan'!$E$2:$E3237,'⚙️ Pengaturan'!$G$2:$G3237))</f>
        <v>KLINIK FT TA</v>
      </c>
      <c r="L1378" s="43" t="str">
        <f t="shared" si="3"/>
        <v>BARU</v>
      </c>
      <c r="M1378" s="144" t="s">
        <v>31</v>
      </c>
      <c r="N1378" s="145">
        <v>250000.0</v>
      </c>
      <c r="O1378" s="146">
        <v>0.0</v>
      </c>
      <c r="P1378" s="48">
        <f t="array" ref="P1378">IFNA(XLOOKUP(J1378,'⚙️ Pengaturan'!$E$2:$E3237,'⚙️ Pengaturan'!$F$2:$F3237),"")</f>
        <v>250000</v>
      </c>
      <c r="Q1378" s="147">
        <f t="shared" si="26"/>
        <v>0</v>
      </c>
      <c r="R1378" s="41" t="s">
        <v>32</v>
      </c>
      <c r="S1378" s="69" t="s">
        <v>33</v>
      </c>
      <c r="T1378" s="51" t="b">
        <v>1</v>
      </c>
      <c r="U1378" s="94"/>
    </row>
    <row r="1379" ht="30.0" customHeight="1">
      <c r="A1379" s="39"/>
      <c r="B1379" s="40">
        <v>3415.0</v>
      </c>
      <c r="C1379" s="41" t="s">
        <v>50</v>
      </c>
      <c r="D1379" s="86">
        <v>46131.0</v>
      </c>
      <c r="E1379" s="43" t="str">
        <f t="shared" si="1"/>
        <v>2026</v>
      </c>
      <c r="F1379" s="43" t="str">
        <f t="shared" si="2"/>
        <v>04 Apr</v>
      </c>
      <c r="G1379" s="45" t="s">
        <v>155</v>
      </c>
      <c r="H1379" s="45" t="s">
        <v>26</v>
      </c>
      <c r="I1379" s="45" t="s">
        <v>1140</v>
      </c>
      <c r="J1379" s="143" t="s">
        <v>120</v>
      </c>
      <c r="K1379" s="43" t="str">
        <f t="array" ref="K1379">IF(J1379="","", XLOOKUP(J1379,'⚙️ Pengaturan'!$E$2:$E3237,'⚙️ Pengaturan'!$G$2:$G3237))</f>
        <v>KLINIK FT SESI</v>
      </c>
      <c r="L1379" s="43" t="str">
        <f t="shared" si="3"/>
        <v>LANJUTAN</v>
      </c>
      <c r="M1379" s="144" t="s">
        <v>31</v>
      </c>
      <c r="N1379" s="145">
        <v>180000.0</v>
      </c>
      <c r="O1379" s="146">
        <v>0.0</v>
      </c>
      <c r="P1379" s="48">
        <f t="array" ref="P1379">IFNA(XLOOKUP(J1379,'⚙️ Pengaturan'!$E$2:$E3237,'⚙️ Pengaturan'!$F$2:$F3237),"")</f>
        <v>180000</v>
      </c>
      <c r="Q1379" s="147">
        <f t="shared" si="26"/>
        <v>0</v>
      </c>
      <c r="R1379" s="41" t="s">
        <v>37</v>
      </c>
      <c r="S1379" s="69" t="s">
        <v>1140</v>
      </c>
      <c r="T1379" s="51" t="b">
        <v>1</v>
      </c>
      <c r="U1379" s="94"/>
    </row>
    <row r="1380" ht="30.0" customHeight="1">
      <c r="A1380" s="39"/>
      <c r="B1380" s="40">
        <v>3416.0</v>
      </c>
      <c r="C1380" s="41" t="s">
        <v>50</v>
      </c>
      <c r="D1380" s="86">
        <v>46131.0</v>
      </c>
      <c r="E1380" s="43" t="str">
        <f t="shared" si="1"/>
        <v>2026</v>
      </c>
      <c r="F1380" s="43" t="str">
        <f t="shared" si="2"/>
        <v>04 Apr</v>
      </c>
      <c r="G1380" s="45" t="s">
        <v>69</v>
      </c>
      <c r="H1380" s="45" t="s">
        <v>150</v>
      </c>
      <c r="I1380" s="45" t="s">
        <v>1174</v>
      </c>
      <c r="J1380" s="143" t="s">
        <v>28</v>
      </c>
      <c r="K1380" s="43" t="str">
        <f t="array" ref="K1380">IF(J1380="","", XLOOKUP(J1380,'⚙️ Pengaturan'!$E$2:$E3237,'⚙️ Pengaturan'!$G$2:$G3237))</f>
        <v>KLINIK FT TA</v>
      </c>
      <c r="L1380" s="43" t="str">
        <f t="shared" si="3"/>
        <v>BARU</v>
      </c>
      <c r="M1380" s="144" t="s">
        <v>31</v>
      </c>
      <c r="N1380" s="145">
        <v>250000.0</v>
      </c>
      <c r="O1380" s="146">
        <v>0.0</v>
      </c>
      <c r="P1380" s="48">
        <f t="array" ref="P1380">IFNA(XLOOKUP(J1380,'⚙️ Pengaturan'!$E$2:$E3237,'⚙️ Pengaturan'!$F$2:$F3237),"")</f>
        <v>250000</v>
      </c>
      <c r="Q1380" s="147">
        <f t="shared" si="26"/>
        <v>0</v>
      </c>
      <c r="R1380" s="41" t="s">
        <v>32</v>
      </c>
      <c r="S1380" s="69" t="s">
        <v>33</v>
      </c>
      <c r="T1380" s="51" t="b">
        <v>1</v>
      </c>
      <c r="U1380" s="94"/>
    </row>
    <row r="1381" ht="30.0" customHeight="1">
      <c r="A1381" s="39"/>
      <c r="B1381" s="40">
        <v>3417.0</v>
      </c>
      <c r="C1381" s="41" t="s">
        <v>50</v>
      </c>
      <c r="D1381" s="86">
        <v>46132.0</v>
      </c>
      <c r="E1381" s="43" t="str">
        <f t="shared" si="1"/>
        <v>2026</v>
      </c>
      <c r="F1381" s="43" t="str">
        <f t="shared" si="2"/>
        <v>04 Apr</v>
      </c>
      <c r="G1381" s="45" t="s">
        <v>195</v>
      </c>
      <c r="H1381" s="45" t="s">
        <v>162</v>
      </c>
      <c r="I1381" s="45" t="s">
        <v>1175</v>
      </c>
      <c r="J1381" s="143" t="s">
        <v>28</v>
      </c>
      <c r="K1381" s="43" t="str">
        <f t="array" ref="K1381">IF(J1381="","", XLOOKUP(J1381,'⚙️ Pengaturan'!$E$2:$E3237,'⚙️ Pengaturan'!$G$2:$G3237))</f>
        <v>KLINIK FT TA</v>
      </c>
      <c r="L1381" s="43" t="str">
        <f t="shared" si="3"/>
        <v>BARU</v>
      </c>
      <c r="M1381" s="144" t="s">
        <v>31</v>
      </c>
      <c r="N1381" s="145">
        <v>250000.0</v>
      </c>
      <c r="O1381" s="146">
        <v>0.0</v>
      </c>
      <c r="P1381" s="48">
        <f t="array" ref="P1381">IFNA(XLOOKUP(J1381,'⚙️ Pengaturan'!$E$2:$E3237,'⚙️ Pengaturan'!$F$2:$F3237),"")</f>
        <v>250000</v>
      </c>
      <c r="Q1381" s="147">
        <f t="shared" si="26"/>
        <v>0</v>
      </c>
      <c r="R1381" s="41" t="s">
        <v>32</v>
      </c>
      <c r="S1381" s="69" t="s">
        <v>33</v>
      </c>
      <c r="T1381" s="51" t="b">
        <v>1</v>
      </c>
      <c r="U1381" s="94"/>
    </row>
    <row r="1382" ht="30.0" customHeight="1">
      <c r="A1382" s="39"/>
      <c r="B1382" s="40">
        <v>3418.0</v>
      </c>
      <c r="C1382" s="41" t="s">
        <v>50</v>
      </c>
      <c r="D1382" s="86">
        <v>46132.0</v>
      </c>
      <c r="E1382" s="43" t="str">
        <f t="shared" si="1"/>
        <v>2026</v>
      </c>
      <c r="F1382" s="43" t="str">
        <f t="shared" si="2"/>
        <v>04 Apr</v>
      </c>
      <c r="G1382" s="45" t="s">
        <v>25</v>
      </c>
      <c r="H1382" s="45" t="s">
        <v>150</v>
      </c>
      <c r="I1382" s="45" t="s">
        <v>1138</v>
      </c>
      <c r="J1382" s="143" t="s">
        <v>120</v>
      </c>
      <c r="K1382" s="43" t="str">
        <f t="array" ref="K1382">IF(J1382="","", XLOOKUP(J1382,'⚙️ Pengaturan'!$E$2:$E3237,'⚙️ Pengaturan'!$G$2:$G3237))</f>
        <v>KLINIK FT SESI</v>
      </c>
      <c r="L1382" s="43" t="str">
        <f t="shared" si="3"/>
        <v>LANJUTAN</v>
      </c>
      <c r="M1382" s="144" t="s">
        <v>31</v>
      </c>
      <c r="N1382" s="145">
        <v>180000.0</v>
      </c>
      <c r="O1382" s="146">
        <v>0.0</v>
      </c>
      <c r="P1382" s="48">
        <f t="array" ref="P1382">IFNA(XLOOKUP(J1382,'⚙️ Pengaturan'!$E$2:$E3237,'⚙️ Pengaturan'!$F$2:$F3237),"")</f>
        <v>180000</v>
      </c>
      <c r="Q1382" s="147">
        <f t="shared" si="26"/>
        <v>0</v>
      </c>
      <c r="R1382" s="41" t="s">
        <v>32</v>
      </c>
      <c r="S1382" s="69" t="s">
        <v>33</v>
      </c>
      <c r="T1382" s="51" t="b">
        <v>1</v>
      </c>
      <c r="U1382" s="94"/>
    </row>
    <row r="1383" ht="30.0" customHeight="1">
      <c r="A1383" s="39"/>
      <c r="B1383" s="40">
        <v>3419.0</v>
      </c>
      <c r="C1383" s="41" t="s">
        <v>50</v>
      </c>
      <c r="D1383" s="86">
        <v>46132.0</v>
      </c>
      <c r="E1383" s="43" t="str">
        <f t="shared" si="1"/>
        <v>2026</v>
      </c>
      <c r="F1383" s="43" t="str">
        <f t="shared" si="2"/>
        <v>04 Apr</v>
      </c>
      <c r="G1383" s="45" t="s">
        <v>206</v>
      </c>
      <c r="H1383" s="45" t="s">
        <v>150</v>
      </c>
      <c r="I1383" s="45" t="s">
        <v>1176</v>
      </c>
      <c r="J1383" s="143" t="s">
        <v>28</v>
      </c>
      <c r="K1383" s="43" t="str">
        <f t="array" ref="K1383">IF(J1383="","", XLOOKUP(J1383,'⚙️ Pengaturan'!$E$2:$E3237,'⚙️ Pengaturan'!$G$2:$G3237))</f>
        <v>KLINIK FT TA</v>
      </c>
      <c r="L1383" s="43" t="str">
        <f t="shared" si="3"/>
        <v>BARU</v>
      </c>
      <c r="M1383" s="144" t="s">
        <v>31</v>
      </c>
      <c r="N1383" s="145">
        <v>250000.0</v>
      </c>
      <c r="O1383" s="146">
        <v>0.0</v>
      </c>
      <c r="P1383" s="48">
        <f t="array" ref="P1383">IFNA(XLOOKUP(J1383,'⚙️ Pengaturan'!$E$2:$E3237,'⚙️ Pengaturan'!$F$2:$F3237),"")</f>
        <v>250000</v>
      </c>
      <c r="Q1383" s="147">
        <f t="shared" si="26"/>
        <v>0</v>
      </c>
      <c r="R1383" s="41" t="s">
        <v>32</v>
      </c>
      <c r="S1383" s="69" t="s">
        <v>33</v>
      </c>
      <c r="T1383" s="51" t="b">
        <v>1</v>
      </c>
      <c r="U1383" s="94"/>
    </row>
    <row r="1384" ht="30.0" customHeight="1">
      <c r="A1384" s="39"/>
      <c r="B1384" s="40">
        <v>3420.0</v>
      </c>
      <c r="C1384" s="41" t="s">
        <v>50</v>
      </c>
      <c r="D1384" s="86">
        <v>46132.0</v>
      </c>
      <c r="E1384" s="43" t="str">
        <f t="shared" si="1"/>
        <v>2026</v>
      </c>
      <c r="F1384" s="43" t="str">
        <f t="shared" si="2"/>
        <v>04 Apr</v>
      </c>
      <c r="G1384" s="45" t="s">
        <v>206</v>
      </c>
      <c r="H1384" s="45" t="s">
        <v>162</v>
      </c>
      <c r="I1384" s="45" t="s">
        <v>1177</v>
      </c>
      <c r="J1384" s="143" t="s">
        <v>28</v>
      </c>
      <c r="K1384" s="43" t="str">
        <f t="array" ref="K1384">IF(J1384="","", XLOOKUP(J1384,'⚙️ Pengaturan'!$E$2:$E3237,'⚙️ Pengaturan'!$G$2:$G3237))</f>
        <v>KLINIK FT TA</v>
      </c>
      <c r="L1384" s="43" t="str">
        <f t="shared" si="3"/>
        <v>BARU</v>
      </c>
      <c r="M1384" s="144" t="s">
        <v>31</v>
      </c>
      <c r="N1384" s="145">
        <v>250000.0</v>
      </c>
      <c r="O1384" s="146">
        <v>0.0</v>
      </c>
      <c r="P1384" s="48">
        <f t="array" ref="P1384">IFNA(XLOOKUP(J1384,'⚙️ Pengaturan'!$E$2:$E3237,'⚙️ Pengaturan'!$F$2:$F3237),"")</f>
        <v>250000</v>
      </c>
      <c r="Q1384" s="147">
        <f t="shared" si="26"/>
        <v>0</v>
      </c>
      <c r="R1384" s="41" t="s">
        <v>37</v>
      </c>
      <c r="S1384" s="69" t="s">
        <v>1177</v>
      </c>
      <c r="T1384" s="51" t="b">
        <v>1</v>
      </c>
      <c r="U1384" s="94"/>
    </row>
    <row r="1385" ht="30.0" customHeight="1">
      <c r="A1385" s="39"/>
      <c r="B1385" s="40">
        <v>3421.0</v>
      </c>
      <c r="C1385" s="41" t="s">
        <v>50</v>
      </c>
      <c r="D1385" s="86">
        <v>46132.0</v>
      </c>
      <c r="E1385" s="43" t="str">
        <f t="shared" si="1"/>
        <v>2026</v>
      </c>
      <c r="F1385" s="43" t="str">
        <f t="shared" si="2"/>
        <v>04 Apr</v>
      </c>
      <c r="G1385" s="45" t="s">
        <v>206</v>
      </c>
      <c r="H1385" s="45" t="s">
        <v>156</v>
      </c>
      <c r="I1385" s="45" t="s">
        <v>1130</v>
      </c>
      <c r="J1385" s="143" t="s">
        <v>119</v>
      </c>
      <c r="K1385" s="43" t="str">
        <f t="array" ref="K1385">IF(J1385="","", XLOOKUP(J1385,'⚙️ Pengaturan'!$E$2:$E3237,'⚙️ Pengaturan'!$G$2:$G3237))</f>
        <v>KLINIK FT PAKET</v>
      </c>
      <c r="L1385" s="43" t="str">
        <f t="shared" si="3"/>
        <v>BARU</v>
      </c>
      <c r="M1385" s="144" t="s">
        <v>31</v>
      </c>
      <c r="N1385" s="145">
        <v>750000.0</v>
      </c>
      <c r="O1385" s="146">
        <v>0.0</v>
      </c>
      <c r="P1385" s="48">
        <f t="array" ref="P1385">IFNA(XLOOKUP(J1385,'⚙️ Pengaturan'!$E$2:$E3237,'⚙️ Pengaturan'!$F$2:$F3237),"")</f>
        <v>750000</v>
      </c>
      <c r="Q1385" s="147">
        <f t="shared" si="26"/>
        <v>0</v>
      </c>
      <c r="R1385" s="41" t="s">
        <v>37</v>
      </c>
      <c r="S1385" s="69" t="s">
        <v>1130</v>
      </c>
      <c r="T1385" s="51" t="b">
        <v>1</v>
      </c>
      <c r="U1385" s="94"/>
    </row>
    <row r="1386" ht="30.0" customHeight="1">
      <c r="A1386" s="39"/>
      <c r="B1386" s="40">
        <v>3422.0</v>
      </c>
      <c r="C1386" s="41" t="s">
        <v>50</v>
      </c>
      <c r="D1386" s="86">
        <v>46132.0</v>
      </c>
      <c r="E1386" s="43" t="str">
        <f t="shared" si="1"/>
        <v>2026</v>
      </c>
      <c r="F1386" s="43" t="str">
        <f t="shared" si="2"/>
        <v>04 Apr</v>
      </c>
      <c r="G1386" s="45" t="s">
        <v>69</v>
      </c>
      <c r="H1386" s="45" t="s">
        <v>47</v>
      </c>
      <c r="I1386" s="45" t="s">
        <v>1178</v>
      </c>
      <c r="J1386" s="143" t="s">
        <v>291</v>
      </c>
      <c r="K1386" s="43" t="str">
        <f t="array" ref="K1386">IF(J1386="","", XLOOKUP(J1386,'⚙️ Pengaturan'!$E$2:$E3237,'⚙️ Pengaturan'!$G$2:$G3237))</f>
        <v>VISIT FT TA</v>
      </c>
      <c r="L1386" s="43" t="str">
        <f t="shared" si="3"/>
        <v>BARU</v>
      </c>
      <c r="M1386" s="144" t="s">
        <v>31</v>
      </c>
      <c r="N1386" s="145">
        <v>350000.0</v>
      </c>
      <c r="O1386" s="146">
        <v>0.0</v>
      </c>
      <c r="P1386" s="48">
        <f t="array" ref="P1386">IFNA(XLOOKUP(J1386,'⚙️ Pengaturan'!$E$2:$E3237,'⚙️ Pengaturan'!$F$2:$F3237),"")</f>
        <v>350000</v>
      </c>
      <c r="Q1386" s="147">
        <f t="shared" si="26"/>
        <v>0</v>
      </c>
      <c r="R1386" s="41" t="s">
        <v>37</v>
      </c>
      <c r="S1386" s="69" t="s">
        <v>1178</v>
      </c>
      <c r="T1386" s="51" t="b">
        <v>1</v>
      </c>
      <c r="U1386" s="94"/>
    </row>
    <row r="1387" ht="30.0" customHeight="1">
      <c r="A1387" s="39"/>
      <c r="B1387" s="40">
        <v>3423.0</v>
      </c>
      <c r="C1387" s="41" t="s">
        <v>50</v>
      </c>
      <c r="D1387" s="86">
        <v>46132.0</v>
      </c>
      <c r="E1387" s="43" t="str">
        <f t="shared" si="1"/>
        <v>2026</v>
      </c>
      <c r="F1387" s="43" t="str">
        <f t="shared" si="2"/>
        <v>04 Apr</v>
      </c>
      <c r="G1387" s="45" t="s">
        <v>206</v>
      </c>
      <c r="H1387" s="45" t="s">
        <v>162</v>
      </c>
      <c r="I1387" s="45" t="s">
        <v>1177</v>
      </c>
      <c r="J1387" s="143" t="s">
        <v>119</v>
      </c>
      <c r="K1387" s="43" t="str">
        <f t="array" ref="K1387">IF(J1387="","", XLOOKUP(J1387,'⚙️ Pengaturan'!$E$2:$E3237,'⚙️ Pengaturan'!$G$2:$G3237))</f>
        <v>KLINIK FT PAKET</v>
      </c>
      <c r="L1387" s="43" t="str">
        <f t="shared" si="3"/>
        <v>BARU</v>
      </c>
      <c r="M1387" s="144" t="s">
        <v>31</v>
      </c>
      <c r="N1387" s="145">
        <v>750000.0</v>
      </c>
      <c r="O1387" s="146">
        <v>0.0</v>
      </c>
      <c r="P1387" s="48">
        <f t="array" ref="P1387">IFNA(XLOOKUP(J1387,'⚙️ Pengaturan'!$E$2:$E3237,'⚙️ Pengaturan'!$F$2:$F3237),"")</f>
        <v>750000</v>
      </c>
      <c r="Q1387" s="147">
        <f t="shared" si="26"/>
        <v>0</v>
      </c>
      <c r="R1387" s="41" t="s">
        <v>37</v>
      </c>
      <c r="S1387" s="69" t="s">
        <v>1177</v>
      </c>
      <c r="T1387" s="51" t="b">
        <v>1</v>
      </c>
      <c r="U1387" s="94"/>
    </row>
    <row r="1388" ht="30.0" customHeight="1">
      <c r="A1388" s="39"/>
      <c r="B1388" s="40">
        <v>3424.0</v>
      </c>
      <c r="C1388" s="41" t="s">
        <v>50</v>
      </c>
      <c r="D1388" s="86">
        <v>46132.0</v>
      </c>
      <c r="E1388" s="43" t="str">
        <f t="shared" si="1"/>
        <v>2026</v>
      </c>
      <c r="F1388" s="43" t="str">
        <f t="shared" si="2"/>
        <v>04 Apr</v>
      </c>
      <c r="G1388" s="45" t="s">
        <v>69</v>
      </c>
      <c r="H1388" s="45" t="s">
        <v>41</v>
      </c>
      <c r="I1388" s="45" t="s">
        <v>1179</v>
      </c>
      <c r="J1388" s="143" t="s">
        <v>121</v>
      </c>
      <c r="K1388" s="43" t="str">
        <f t="array" ref="K1388">IF(J1388="","", XLOOKUP(J1388,'⚙️ Pengaturan'!$E$2:$E3237,'⚙️ Pengaturan'!$G$2:$G3237))</f>
        <v>VISIT FT TA</v>
      </c>
      <c r="L1388" s="43" t="str">
        <f t="shared" si="3"/>
        <v>BARU</v>
      </c>
      <c r="M1388" s="144" t="s">
        <v>31</v>
      </c>
      <c r="N1388" s="145">
        <v>300000.0</v>
      </c>
      <c r="O1388" s="146">
        <v>0.0</v>
      </c>
      <c r="P1388" s="48">
        <f t="array" ref="P1388">IFNA(XLOOKUP(J1388,'⚙️ Pengaturan'!$E$2:$E3237,'⚙️ Pengaturan'!$F$2:$F3237),"")</f>
        <v>300000</v>
      </c>
      <c r="Q1388" s="147">
        <f t="shared" si="26"/>
        <v>0</v>
      </c>
      <c r="R1388" s="41" t="s">
        <v>32</v>
      </c>
      <c r="S1388" s="69" t="s">
        <v>33</v>
      </c>
      <c r="T1388" s="51" t="b">
        <v>1</v>
      </c>
      <c r="U1388" s="94"/>
    </row>
    <row r="1389" ht="30.0" customHeight="1">
      <c r="A1389" s="39"/>
      <c r="B1389" s="40">
        <v>3425.0</v>
      </c>
      <c r="C1389" s="41" t="s">
        <v>50</v>
      </c>
      <c r="D1389" s="86">
        <v>46132.0</v>
      </c>
      <c r="E1389" s="43" t="str">
        <f t="shared" si="1"/>
        <v>2026</v>
      </c>
      <c r="F1389" s="43" t="str">
        <f t="shared" si="2"/>
        <v>04 Apr</v>
      </c>
      <c r="G1389" s="45" t="s">
        <v>161</v>
      </c>
      <c r="H1389" s="45" t="s">
        <v>166</v>
      </c>
      <c r="I1389" s="45" t="s">
        <v>1180</v>
      </c>
      <c r="J1389" s="143" t="s">
        <v>28</v>
      </c>
      <c r="K1389" s="43" t="str">
        <f t="array" ref="K1389">IF(J1389="","", XLOOKUP(J1389,'⚙️ Pengaturan'!$E$2:$E3237,'⚙️ Pengaturan'!$G$2:$G3237))</f>
        <v>KLINIK FT TA</v>
      </c>
      <c r="L1389" s="43" t="str">
        <f t="shared" si="3"/>
        <v>BARU</v>
      </c>
      <c r="M1389" s="144" t="s">
        <v>31</v>
      </c>
      <c r="N1389" s="145">
        <v>250000.0</v>
      </c>
      <c r="O1389" s="146">
        <v>0.0</v>
      </c>
      <c r="P1389" s="48">
        <f t="array" ref="P1389">IFNA(XLOOKUP(J1389,'⚙️ Pengaturan'!$E$2:$E3237,'⚙️ Pengaturan'!$F$2:$F3237),"")</f>
        <v>250000</v>
      </c>
      <c r="Q1389" s="147">
        <f t="shared" si="26"/>
        <v>0</v>
      </c>
      <c r="R1389" s="41" t="s">
        <v>32</v>
      </c>
      <c r="S1389" s="69" t="s">
        <v>33</v>
      </c>
      <c r="T1389" s="51" t="b">
        <v>1</v>
      </c>
      <c r="U1389" s="94"/>
    </row>
    <row r="1390" ht="30.0" customHeight="1">
      <c r="A1390" s="39"/>
      <c r="B1390" s="40">
        <v>3426.0</v>
      </c>
      <c r="C1390" s="41" t="s">
        <v>50</v>
      </c>
      <c r="D1390" s="86">
        <v>46132.0</v>
      </c>
      <c r="E1390" s="43" t="str">
        <f t="shared" si="1"/>
        <v>2026</v>
      </c>
      <c r="F1390" s="43" t="str">
        <f t="shared" si="2"/>
        <v>04 Apr</v>
      </c>
      <c r="G1390" s="45" t="s">
        <v>161</v>
      </c>
      <c r="H1390" s="45" t="s">
        <v>26</v>
      </c>
      <c r="I1390" s="45" t="s">
        <v>1091</v>
      </c>
      <c r="J1390" s="143" t="s">
        <v>119</v>
      </c>
      <c r="K1390" s="43" t="str">
        <f t="array" ref="K1390">IF(J1390="","", XLOOKUP(J1390,'⚙️ Pengaturan'!$E$2:$E3237,'⚙️ Pengaturan'!$G$2:$G3237))</f>
        <v>KLINIK FT PAKET</v>
      </c>
      <c r="L1390" s="43" t="str">
        <f t="shared" si="3"/>
        <v>LANJUTAN</v>
      </c>
      <c r="M1390" s="144" t="s">
        <v>81</v>
      </c>
      <c r="N1390" s="145">
        <v>200000.0</v>
      </c>
      <c r="O1390" s="146">
        <v>350000.0</v>
      </c>
      <c r="P1390" s="48">
        <f t="array" ref="P1390">IFNA(XLOOKUP(J1390,'⚙️ Pengaturan'!$E$2:$E3237,'⚙️ Pengaturan'!$F$2:$F3237),"")</f>
        <v>750000</v>
      </c>
      <c r="Q1390" s="147">
        <f t="shared" si="26"/>
        <v>-200000</v>
      </c>
      <c r="R1390" s="41" t="s">
        <v>37</v>
      </c>
      <c r="S1390" s="69" t="s">
        <v>33</v>
      </c>
      <c r="T1390" s="51" t="b">
        <v>1</v>
      </c>
      <c r="U1390" s="94"/>
    </row>
    <row r="1391" ht="30.0" customHeight="1">
      <c r="A1391" s="39"/>
      <c r="B1391" s="40">
        <v>3427.0</v>
      </c>
      <c r="C1391" s="41" t="s">
        <v>50</v>
      </c>
      <c r="D1391" s="86">
        <v>46132.0</v>
      </c>
      <c r="E1391" s="43" t="str">
        <f t="shared" si="1"/>
        <v>2026</v>
      </c>
      <c r="F1391" s="43" t="str">
        <f t="shared" si="2"/>
        <v>04 Apr</v>
      </c>
      <c r="G1391" s="45" t="s">
        <v>161</v>
      </c>
      <c r="H1391" s="45" t="s">
        <v>162</v>
      </c>
      <c r="I1391" s="45" t="s">
        <v>1181</v>
      </c>
      <c r="J1391" s="143" t="s">
        <v>28</v>
      </c>
      <c r="K1391" s="43" t="str">
        <f t="array" ref="K1391">IF(J1391="","", XLOOKUP(J1391,'⚙️ Pengaturan'!$E$2:$E3237,'⚙️ Pengaturan'!$G$2:$G3237))</f>
        <v>KLINIK FT TA</v>
      </c>
      <c r="L1391" s="43" t="str">
        <f t="shared" si="3"/>
        <v>BARU</v>
      </c>
      <c r="M1391" s="144" t="s">
        <v>31</v>
      </c>
      <c r="N1391" s="145">
        <v>250000.0</v>
      </c>
      <c r="O1391" s="146">
        <v>0.0</v>
      </c>
      <c r="P1391" s="48">
        <f t="array" ref="P1391">IFNA(XLOOKUP(J1391,'⚙️ Pengaturan'!$E$2:$E3237,'⚙️ Pengaturan'!$F$2:$F3237),"")</f>
        <v>250000</v>
      </c>
      <c r="Q1391" s="147">
        <f t="shared" si="26"/>
        <v>0</v>
      </c>
      <c r="R1391" s="41" t="s">
        <v>32</v>
      </c>
      <c r="S1391" s="69" t="s">
        <v>33</v>
      </c>
      <c r="T1391" s="51" t="b">
        <v>1</v>
      </c>
      <c r="U1391" s="94"/>
    </row>
    <row r="1392" ht="30.0" customHeight="1">
      <c r="A1392" s="39"/>
      <c r="B1392" s="40">
        <v>3428.0</v>
      </c>
      <c r="C1392" s="41" t="s">
        <v>50</v>
      </c>
      <c r="D1392" s="86">
        <v>46132.0</v>
      </c>
      <c r="E1392" s="43" t="str">
        <f t="shared" si="1"/>
        <v>2026</v>
      </c>
      <c r="F1392" s="43" t="str">
        <f t="shared" si="2"/>
        <v>04 Apr</v>
      </c>
      <c r="G1392" s="45" t="s">
        <v>35</v>
      </c>
      <c r="H1392" s="45" t="s">
        <v>162</v>
      </c>
      <c r="I1392" s="45" t="s">
        <v>1182</v>
      </c>
      <c r="J1392" s="143" t="s">
        <v>28</v>
      </c>
      <c r="K1392" s="43" t="str">
        <f t="array" ref="K1392">IF(J1392="","", XLOOKUP(J1392,'⚙️ Pengaturan'!$E$2:$E3237,'⚙️ Pengaturan'!$G$2:$G3237))</f>
        <v>KLINIK FT TA</v>
      </c>
      <c r="L1392" s="43" t="str">
        <f t="shared" si="3"/>
        <v>BARU</v>
      </c>
      <c r="M1392" s="144" t="s">
        <v>31</v>
      </c>
      <c r="N1392" s="145">
        <v>250000.0</v>
      </c>
      <c r="O1392" s="146">
        <v>0.0</v>
      </c>
      <c r="P1392" s="48">
        <f t="array" ref="P1392">IFNA(XLOOKUP(J1392,'⚙️ Pengaturan'!$E$2:$E3237,'⚙️ Pengaturan'!$F$2:$F3237),"")</f>
        <v>250000</v>
      </c>
      <c r="Q1392" s="147">
        <f t="shared" si="26"/>
        <v>0</v>
      </c>
      <c r="R1392" s="41" t="s">
        <v>37</v>
      </c>
      <c r="S1392" s="69" t="s">
        <v>1182</v>
      </c>
      <c r="T1392" s="51" t="b">
        <v>1</v>
      </c>
      <c r="U1392" s="94"/>
    </row>
    <row r="1393" ht="30.0" customHeight="1">
      <c r="A1393" s="39"/>
      <c r="B1393" s="40">
        <v>3429.0</v>
      </c>
      <c r="C1393" s="41" t="s">
        <v>39</v>
      </c>
      <c r="D1393" s="86">
        <v>46132.0</v>
      </c>
      <c r="E1393" s="43" t="str">
        <f t="shared" si="1"/>
        <v>2026</v>
      </c>
      <c r="F1393" s="43" t="str">
        <f t="shared" si="2"/>
        <v>04 Apr</v>
      </c>
      <c r="G1393" s="45" t="s">
        <v>40</v>
      </c>
      <c r="H1393" s="45" t="s">
        <v>149</v>
      </c>
      <c r="I1393" s="45" t="s">
        <v>1183</v>
      </c>
      <c r="J1393" s="143" t="s">
        <v>28</v>
      </c>
      <c r="K1393" s="43" t="str">
        <f t="array" ref="K1393">IF(J1393="","", XLOOKUP(J1393,'⚙️ Pengaturan'!$E$2:$E3237,'⚙️ Pengaturan'!$G$2:$G3237))</f>
        <v>KLINIK FT TA</v>
      </c>
      <c r="L1393" s="43" t="str">
        <f t="shared" si="3"/>
        <v>BARU</v>
      </c>
      <c r="M1393" s="144" t="s">
        <v>31</v>
      </c>
      <c r="N1393" s="145">
        <v>250000.0</v>
      </c>
      <c r="O1393" s="146">
        <v>0.0</v>
      </c>
      <c r="P1393" s="48">
        <f t="array" ref="P1393">IFNA(XLOOKUP(J1393,'⚙️ Pengaturan'!$E$2:$E3237,'⚙️ Pengaturan'!$F$2:$F3237),"")</f>
        <v>250000</v>
      </c>
      <c r="Q1393" s="147">
        <f t="shared" si="26"/>
        <v>0</v>
      </c>
      <c r="R1393" s="41" t="s">
        <v>32</v>
      </c>
      <c r="S1393" s="69" t="s">
        <v>33</v>
      </c>
      <c r="T1393" s="51" t="b">
        <v>1</v>
      </c>
      <c r="U1393" s="94"/>
    </row>
    <row r="1394" ht="30.0" customHeight="1">
      <c r="A1394" s="39"/>
      <c r="B1394" s="40">
        <v>3430.0</v>
      </c>
      <c r="C1394" s="41" t="s">
        <v>39</v>
      </c>
      <c r="D1394" s="86">
        <v>46132.0</v>
      </c>
      <c r="E1394" s="43" t="str">
        <f t="shared" si="1"/>
        <v>2026</v>
      </c>
      <c r="F1394" s="43" t="str">
        <f t="shared" si="2"/>
        <v>04 Apr</v>
      </c>
      <c r="G1394" s="45" t="s">
        <v>40</v>
      </c>
      <c r="H1394" s="45" t="s">
        <v>96</v>
      </c>
      <c r="I1394" s="45" t="s">
        <v>971</v>
      </c>
      <c r="J1394" s="143" t="s">
        <v>28</v>
      </c>
      <c r="K1394" s="43" t="str">
        <f t="array" ref="K1394">IF(J1394="","", XLOOKUP(J1394,'⚙️ Pengaturan'!$E$2:$E3237,'⚙️ Pengaturan'!$G$2:$G3237))</f>
        <v>KLINIK FT TA</v>
      </c>
      <c r="L1394" s="43" t="str">
        <f t="shared" si="3"/>
        <v>LANJUTAN</v>
      </c>
      <c r="M1394" s="144" t="s">
        <v>31</v>
      </c>
      <c r="N1394" s="145">
        <v>250000.0</v>
      </c>
      <c r="O1394" s="146">
        <v>0.0</v>
      </c>
      <c r="P1394" s="48">
        <f t="array" ref="P1394">IFNA(XLOOKUP(J1394,'⚙️ Pengaturan'!$E$2:$E3237,'⚙️ Pengaturan'!$F$2:$F3237),"")</f>
        <v>250000</v>
      </c>
      <c r="Q1394" s="147">
        <f t="shared" si="26"/>
        <v>0</v>
      </c>
      <c r="R1394" s="41" t="s">
        <v>32</v>
      </c>
      <c r="S1394" s="69" t="s">
        <v>33</v>
      </c>
      <c r="T1394" s="51" t="b">
        <v>1</v>
      </c>
      <c r="U1394" s="94"/>
    </row>
    <row r="1395" ht="30.0" customHeight="1">
      <c r="A1395" s="39"/>
      <c r="B1395" s="40">
        <v>3431.0</v>
      </c>
      <c r="C1395" s="41" t="s">
        <v>39</v>
      </c>
      <c r="D1395" s="86">
        <v>46132.0</v>
      </c>
      <c r="E1395" s="43" t="str">
        <f t="shared" si="1"/>
        <v>2026</v>
      </c>
      <c r="F1395" s="43" t="str">
        <f t="shared" si="2"/>
        <v>04 Apr</v>
      </c>
      <c r="G1395" s="45" t="s">
        <v>43</v>
      </c>
      <c r="H1395" s="45" t="s">
        <v>96</v>
      </c>
      <c r="I1395" s="45" t="s">
        <v>1184</v>
      </c>
      <c r="J1395" s="143" t="s">
        <v>120</v>
      </c>
      <c r="K1395" s="43" t="str">
        <f t="array" ref="K1395">IF(J1395="","", XLOOKUP(J1395,'⚙️ Pengaturan'!$E$2:$E3237,'⚙️ Pengaturan'!$G$2:$G3237))</f>
        <v>KLINIK FT SESI</v>
      </c>
      <c r="L1395" s="43" t="str">
        <f t="shared" si="3"/>
        <v>BARU</v>
      </c>
      <c r="M1395" s="144" t="s">
        <v>31</v>
      </c>
      <c r="N1395" s="145">
        <v>180000.0</v>
      </c>
      <c r="O1395" s="146">
        <v>0.0</v>
      </c>
      <c r="P1395" s="48">
        <f t="array" ref="P1395">IFNA(XLOOKUP(J1395,'⚙️ Pengaturan'!$E$2:$E3237,'⚙️ Pengaturan'!$F$2:$F3237),"")</f>
        <v>180000</v>
      </c>
      <c r="Q1395" s="147">
        <f t="shared" si="26"/>
        <v>0</v>
      </c>
      <c r="R1395" s="41" t="s">
        <v>37</v>
      </c>
      <c r="S1395" s="69" t="s">
        <v>1184</v>
      </c>
      <c r="T1395" s="51" t="b">
        <v>1</v>
      </c>
      <c r="U1395" s="94"/>
    </row>
    <row r="1396" ht="30.0" customHeight="1">
      <c r="A1396" s="39"/>
      <c r="B1396" s="40">
        <v>3432.0</v>
      </c>
      <c r="C1396" s="41" t="s">
        <v>39</v>
      </c>
      <c r="D1396" s="86">
        <v>46132.0</v>
      </c>
      <c r="E1396" s="43" t="str">
        <f t="shared" si="1"/>
        <v>2026</v>
      </c>
      <c r="F1396" s="43" t="str">
        <f t="shared" si="2"/>
        <v>04 Apr</v>
      </c>
      <c r="G1396" s="45" t="s">
        <v>43</v>
      </c>
      <c r="H1396" s="45" t="s">
        <v>41</v>
      </c>
      <c r="I1396" s="45" t="s">
        <v>1185</v>
      </c>
      <c r="J1396" s="143" t="s">
        <v>28</v>
      </c>
      <c r="K1396" s="43" t="str">
        <f t="array" ref="K1396">IF(J1396="","", XLOOKUP(J1396,'⚙️ Pengaturan'!$E$2:$E3237,'⚙️ Pengaturan'!$G$2:$G3237))</f>
        <v>KLINIK FT TA</v>
      </c>
      <c r="L1396" s="43" t="str">
        <f t="shared" si="3"/>
        <v>BARU</v>
      </c>
      <c r="M1396" s="144" t="s">
        <v>31</v>
      </c>
      <c r="N1396" s="145">
        <v>250000.0</v>
      </c>
      <c r="O1396" s="146">
        <v>0.0</v>
      </c>
      <c r="P1396" s="48">
        <f t="array" ref="P1396">IFNA(XLOOKUP(J1396,'⚙️ Pengaturan'!$E$2:$E3237,'⚙️ Pengaturan'!$F$2:$F3237),"")</f>
        <v>250000</v>
      </c>
      <c r="Q1396" s="147">
        <f t="shared" si="26"/>
        <v>0</v>
      </c>
      <c r="R1396" s="41" t="s">
        <v>37</v>
      </c>
      <c r="S1396" s="69" t="s">
        <v>1185</v>
      </c>
      <c r="T1396" s="51" t="b">
        <v>1</v>
      </c>
      <c r="U1396" s="94"/>
    </row>
    <row r="1397" ht="30.0" customHeight="1">
      <c r="A1397" s="39"/>
      <c r="B1397" s="40">
        <v>3433.0</v>
      </c>
      <c r="C1397" s="41" t="s">
        <v>39</v>
      </c>
      <c r="D1397" s="86">
        <v>46132.0</v>
      </c>
      <c r="E1397" s="43" t="str">
        <f t="shared" si="1"/>
        <v>2026</v>
      </c>
      <c r="F1397" s="43" t="str">
        <f t="shared" si="2"/>
        <v>04 Apr</v>
      </c>
      <c r="G1397" s="45" t="s">
        <v>173</v>
      </c>
      <c r="H1397" s="45" t="s">
        <v>47</v>
      </c>
      <c r="I1397" s="45" t="s">
        <v>1164</v>
      </c>
      <c r="J1397" s="143" t="s">
        <v>120</v>
      </c>
      <c r="K1397" s="43" t="str">
        <f t="array" ref="K1397">IF(J1397="","", XLOOKUP(J1397,'⚙️ Pengaturan'!$E$2:$E3237,'⚙️ Pengaturan'!$G$2:$G3237))</f>
        <v>KLINIK FT SESI</v>
      </c>
      <c r="L1397" s="43" t="str">
        <f t="shared" si="3"/>
        <v>BARU</v>
      </c>
      <c r="M1397" s="144" t="s">
        <v>31</v>
      </c>
      <c r="N1397" s="145">
        <v>180000.0</v>
      </c>
      <c r="O1397" s="146">
        <v>0.0</v>
      </c>
      <c r="P1397" s="48">
        <f t="array" ref="P1397">IFNA(XLOOKUP(J1397,'⚙️ Pengaturan'!$E$2:$E3237,'⚙️ Pengaturan'!$F$2:$F3237),"")</f>
        <v>180000</v>
      </c>
      <c r="Q1397" s="147">
        <f t="shared" si="26"/>
        <v>0</v>
      </c>
      <c r="R1397" s="41" t="s">
        <v>37</v>
      </c>
      <c r="S1397" s="69" t="s">
        <v>1164</v>
      </c>
      <c r="T1397" s="51" t="b">
        <v>1</v>
      </c>
      <c r="U1397" s="94"/>
    </row>
    <row r="1398" ht="30.0" customHeight="1">
      <c r="A1398" s="39"/>
      <c r="B1398" s="40">
        <v>3434.0</v>
      </c>
      <c r="C1398" s="41" t="s">
        <v>39</v>
      </c>
      <c r="D1398" s="86">
        <v>46132.0</v>
      </c>
      <c r="E1398" s="43" t="str">
        <f t="shared" si="1"/>
        <v>2026</v>
      </c>
      <c r="F1398" s="43" t="str">
        <f t="shared" si="2"/>
        <v>04 Apr</v>
      </c>
      <c r="G1398" s="45" t="s">
        <v>173</v>
      </c>
      <c r="H1398" s="45" t="s">
        <v>149</v>
      </c>
      <c r="I1398" s="45" t="s">
        <v>1155</v>
      </c>
      <c r="J1398" s="143" t="s">
        <v>120</v>
      </c>
      <c r="K1398" s="43" t="str">
        <f t="array" ref="K1398">IF(J1398="","", XLOOKUP(J1398,'⚙️ Pengaturan'!$E$2:$E3237,'⚙️ Pengaturan'!$G$2:$G3237))</f>
        <v>KLINIK FT SESI</v>
      </c>
      <c r="L1398" s="43" t="str">
        <f t="shared" si="3"/>
        <v>BARU</v>
      </c>
      <c r="M1398" s="144" t="s">
        <v>31</v>
      </c>
      <c r="N1398" s="145">
        <v>180000.0</v>
      </c>
      <c r="O1398" s="146">
        <v>0.0</v>
      </c>
      <c r="P1398" s="48">
        <f t="array" ref="P1398">IFNA(XLOOKUP(J1398,'⚙️ Pengaturan'!$E$2:$E3237,'⚙️ Pengaturan'!$F$2:$F3237),"")</f>
        <v>180000</v>
      </c>
      <c r="Q1398" s="147">
        <f t="shared" si="26"/>
        <v>0</v>
      </c>
      <c r="R1398" s="41" t="s">
        <v>37</v>
      </c>
      <c r="S1398" s="69" t="s">
        <v>1155</v>
      </c>
      <c r="T1398" s="51" t="b">
        <v>1</v>
      </c>
      <c r="U1398" s="94"/>
    </row>
    <row r="1399" ht="30.0" customHeight="1">
      <c r="A1399" s="39"/>
      <c r="B1399" s="40">
        <v>3435.0</v>
      </c>
      <c r="C1399" s="41" t="s">
        <v>39</v>
      </c>
      <c r="D1399" s="86">
        <v>46132.0</v>
      </c>
      <c r="E1399" s="43" t="str">
        <f t="shared" si="1"/>
        <v>2026</v>
      </c>
      <c r="F1399" s="43" t="str">
        <f t="shared" si="2"/>
        <v>04 Apr</v>
      </c>
      <c r="G1399" s="45" t="s">
        <v>69</v>
      </c>
      <c r="H1399" s="45" t="s">
        <v>26</v>
      </c>
      <c r="I1399" s="45" t="s">
        <v>1153</v>
      </c>
      <c r="J1399" s="143" t="s">
        <v>138</v>
      </c>
      <c r="K1399" s="43" t="str">
        <f t="array" ref="K1399">IF(J1399="","", XLOOKUP(J1399,'⚙️ Pengaturan'!$E$2:$E3237,'⚙️ Pengaturan'!$G$2:$G3237))</f>
        <v>VISIT FT PAKET</v>
      </c>
      <c r="L1399" s="43" t="str">
        <f t="shared" si="3"/>
        <v>BARU</v>
      </c>
      <c r="M1399" s="144" t="s">
        <v>31</v>
      </c>
      <c r="N1399" s="145">
        <v>1800000.0</v>
      </c>
      <c r="O1399" s="146">
        <v>0.0</v>
      </c>
      <c r="P1399" s="48">
        <f t="array" ref="P1399">IFNA(XLOOKUP(J1399,'⚙️ Pengaturan'!$E$2:$E3237,'⚙️ Pengaturan'!$F$2:$F3237),"")</f>
        <v>1800000</v>
      </c>
      <c r="Q1399" s="147">
        <f t="shared" si="26"/>
        <v>0</v>
      </c>
      <c r="R1399" s="41" t="s">
        <v>93</v>
      </c>
      <c r="S1399" s="69" t="s">
        <v>1154</v>
      </c>
      <c r="T1399" s="51" t="b">
        <v>1</v>
      </c>
      <c r="U1399" s="94"/>
    </row>
    <row r="1400" ht="30.0" customHeight="1">
      <c r="A1400" s="39"/>
      <c r="B1400" s="40">
        <v>3436.0</v>
      </c>
      <c r="C1400" s="41" t="s">
        <v>39</v>
      </c>
      <c r="D1400" s="86">
        <v>46132.0</v>
      </c>
      <c r="E1400" s="43" t="str">
        <f t="shared" si="1"/>
        <v>2026</v>
      </c>
      <c r="F1400" s="43" t="str">
        <f t="shared" si="2"/>
        <v>04 Apr</v>
      </c>
      <c r="G1400" s="45" t="s">
        <v>155</v>
      </c>
      <c r="H1400" s="45" t="s">
        <v>47</v>
      </c>
      <c r="I1400" s="45" t="s">
        <v>1157</v>
      </c>
      <c r="J1400" s="143" t="s">
        <v>119</v>
      </c>
      <c r="K1400" s="43" t="str">
        <f t="array" ref="K1400">IF(J1400="","", XLOOKUP(J1400,'⚙️ Pengaturan'!$E$2:$E3237,'⚙️ Pengaturan'!$G$2:$G3237))</f>
        <v>KLINIK FT PAKET</v>
      </c>
      <c r="L1400" s="43" t="str">
        <f t="shared" si="3"/>
        <v>BARU</v>
      </c>
      <c r="M1400" s="144" t="s">
        <v>31</v>
      </c>
      <c r="N1400" s="145">
        <v>500000.0</v>
      </c>
      <c r="O1400" s="146">
        <v>0.0</v>
      </c>
      <c r="P1400" s="48">
        <f t="array" ref="P1400">IFNA(XLOOKUP(J1400,'⚙️ Pengaturan'!$E$2:$E3237,'⚙️ Pengaturan'!$F$2:$F3237),"")</f>
        <v>750000</v>
      </c>
      <c r="Q1400" s="147">
        <f t="shared" si="26"/>
        <v>-250000</v>
      </c>
      <c r="R1400" s="41" t="s">
        <v>118</v>
      </c>
      <c r="S1400" s="69" t="s">
        <v>299</v>
      </c>
      <c r="T1400" s="51" t="b">
        <v>1</v>
      </c>
      <c r="U1400" s="94"/>
    </row>
    <row r="1401" ht="30.0" customHeight="1">
      <c r="A1401" s="39"/>
      <c r="B1401" s="40">
        <v>3437.0</v>
      </c>
      <c r="C1401" s="41" t="s">
        <v>39</v>
      </c>
      <c r="D1401" s="86">
        <v>46132.0</v>
      </c>
      <c r="E1401" s="43" t="str">
        <f t="shared" si="1"/>
        <v>2026</v>
      </c>
      <c r="F1401" s="43" t="str">
        <f t="shared" si="2"/>
        <v>04 Apr</v>
      </c>
      <c r="G1401" s="45" t="s">
        <v>190</v>
      </c>
      <c r="H1401" s="45" t="s">
        <v>47</v>
      </c>
      <c r="I1401" s="45" t="s">
        <v>1171</v>
      </c>
      <c r="J1401" s="143" t="s">
        <v>119</v>
      </c>
      <c r="K1401" s="43" t="str">
        <f t="array" ref="K1401">IF(J1401="","", XLOOKUP(J1401,'⚙️ Pengaturan'!$E$2:$E3237,'⚙️ Pengaturan'!$G$2:$G3237))</f>
        <v>KLINIK FT PAKET</v>
      </c>
      <c r="L1401" s="43" t="str">
        <f t="shared" si="3"/>
        <v>BARU</v>
      </c>
      <c r="M1401" s="144" t="s">
        <v>31</v>
      </c>
      <c r="N1401" s="145">
        <v>750000.0</v>
      </c>
      <c r="O1401" s="146">
        <v>0.0</v>
      </c>
      <c r="P1401" s="48">
        <f t="array" ref="P1401">IFNA(XLOOKUP(J1401,'⚙️ Pengaturan'!$E$2:$E3237,'⚙️ Pengaturan'!$F$2:$F3237),"")</f>
        <v>750000</v>
      </c>
      <c r="Q1401" s="147">
        <f t="shared" si="26"/>
        <v>0</v>
      </c>
      <c r="R1401" s="41" t="s">
        <v>37</v>
      </c>
      <c r="S1401" s="69" t="s">
        <v>1186</v>
      </c>
      <c r="T1401" s="51" t="b">
        <v>1</v>
      </c>
      <c r="U1401" s="94"/>
    </row>
    <row r="1402" ht="30.0" customHeight="1">
      <c r="A1402" s="39"/>
      <c r="B1402" s="40">
        <v>3438.0</v>
      </c>
      <c r="C1402" s="41" t="s">
        <v>39</v>
      </c>
      <c r="D1402" s="86">
        <v>46132.0</v>
      </c>
      <c r="E1402" s="43" t="str">
        <f t="shared" si="1"/>
        <v>2026</v>
      </c>
      <c r="F1402" s="43" t="str">
        <f t="shared" si="2"/>
        <v>04 Apr</v>
      </c>
      <c r="G1402" s="45" t="s">
        <v>190</v>
      </c>
      <c r="H1402" s="45" t="s">
        <v>149</v>
      </c>
      <c r="I1402" s="45" t="s">
        <v>1187</v>
      </c>
      <c r="J1402" s="143" t="s">
        <v>28</v>
      </c>
      <c r="K1402" s="43" t="str">
        <f t="array" ref="K1402">IF(J1402="","", XLOOKUP(J1402,'⚙️ Pengaturan'!$E$2:$E3237,'⚙️ Pengaturan'!$G$2:$G3237))</f>
        <v>KLINIK FT TA</v>
      </c>
      <c r="L1402" s="43" t="str">
        <f t="shared" si="3"/>
        <v>BARU</v>
      </c>
      <c r="M1402" s="144" t="s">
        <v>31</v>
      </c>
      <c r="N1402" s="145">
        <v>250000.0</v>
      </c>
      <c r="O1402" s="146">
        <v>0.0</v>
      </c>
      <c r="P1402" s="48">
        <f t="array" ref="P1402">IFNA(XLOOKUP(J1402,'⚙️ Pengaturan'!$E$2:$E3237,'⚙️ Pengaturan'!$F$2:$F3237),"")</f>
        <v>250000</v>
      </c>
      <c r="Q1402" s="147">
        <f t="shared" si="26"/>
        <v>0</v>
      </c>
      <c r="R1402" s="41" t="s">
        <v>37</v>
      </c>
      <c r="S1402" s="69" t="s">
        <v>1186</v>
      </c>
      <c r="T1402" s="51" t="b">
        <v>1</v>
      </c>
      <c r="U1402" s="94"/>
    </row>
    <row r="1403" ht="30.0" customHeight="1">
      <c r="A1403" s="39"/>
      <c r="B1403" s="40">
        <v>3439.0</v>
      </c>
      <c r="C1403" s="41" t="s">
        <v>50</v>
      </c>
      <c r="D1403" s="86">
        <v>46133.0</v>
      </c>
      <c r="E1403" s="43" t="str">
        <f t="shared" si="1"/>
        <v>2026</v>
      </c>
      <c r="F1403" s="43" t="str">
        <f t="shared" si="2"/>
        <v>04 Apr</v>
      </c>
      <c r="G1403" s="45" t="s">
        <v>195</v>
      </c>
      <c r="H1403" s="45" t="s">
        <v>96</v>
      </c>
      <c r="I1403" s="45" t="s">
        <v>1170</v>
      </c>
      <c r="J1403" s="143" t="s">
        <v>120</v>
      </c>
      <c r="K1403" s="43" t="str">
        <f t="array" ref="K1403">IF(J1403="","", XLOOKUP(J1403,'⚙️ Pengaturan'!$E$2:$E3237,'⚙️ Pengaturan'!$G$2:$G3237))</f>
        <v>KLINIK FT SESI</v>
      </c>
      <c r="L1403" s="43" t="str">
        <f t="shared" si="3"/>
        <v>BARU</v>
      </c>
      <c r="M1403" s="144" t="s">
        <v>31</v>
      </c>
      <c r="N1403" s="145">
        <v>180000.0</v>
      </c>
      <c r="O1403" s="146">
        <v>0.0</v>
      </c>
      <c r="P1403" s="48">
        <f t="array" ref="P1403">IFNA(XLOOKUP(J1403,'⚙️ Pengaturan'!$E$2:$E3237,'⚙️ Pengaturan'!$F$2:$F3237),"")</f>
        <v>180000</v>
      </c>
      <c r="Q1403" s="147">
        <f t="shared" si="26"/>
        <v>0</v>
      </c>
      <c r="R1403" s="41" t="s">
        <v>37</v>
      </c>
      <c r="S1403" s="69" t="s">
        <v>1170</v>
      </c>
      <c r="T1403" s="51" t="b">
        <v>1</v>
      </c>
      <c r="U1403" s="94"/>
    </row>
    <row r="1404" ht="30.0" customHeight="1">
      <c r="A1404" s="39"/>
      <c r="B1404" s="40">
        <v>3440.0</v>
      </c>
      <c r="C1404" s="41" t="s">
        <v>50</v>
      </c>
      <c r="D1404" s="86">
        <v>46133.0</v>
      </c>
      <c r="E1404" s="43" t="str">
        <f t="shared" si="1"/>
        <v>2026</v>
      </c>
      <c r="F1404" s="43" t="str">
        <f t="shared" si="2"/>
        <v>04 Apr</v>
      </c>
      <c r="G1404" s="45" t="s">
        <v>25</v>
      </c>
      <c r="H1404" s="45" t="s">
        <v>96</v>
      </c>
      <c r="I1404" s="45" t="s">
        <v>927</v>
      </c>
      <c r="J1404" s="143" t="s">
        <v>119</v>
      </c>
      <c r="K1404" s="43" t="str">
        <f t="array" ref="K1404">IF(J1404="","", XLOOKUP(J1404,'⚙️ Pengaturan'!$E$2:$E3237,'⚙️ Pengaturan'!$G$2:$G3237))</f>
        <v>KLINIK FT PAKET</v>
      </c>
      <c r="L1404" s="43" t="str">
        <f t="shared" si="3"/>
        <v>BARU</v>
      </c>
      <c r="M1404" s="144" t="s">
        <v>31</v>
      </c>
      <c r="N1404" s="145">
        <v>600000.0</v>
      </c>
      <c r="O1404" s="146">
        <v>150000.0</v>
      </c>
      <c r="P1404" s="48">
        <f t="array" ref="P1404">IFNA(XLOOKUP(J1404,'⚙️ Pengaturan'!$E$2:$E3237,'⚙️ Pengaturan'!$F$2:$F3237),"")</f>
        <v>750000</v>
      </c>
      <c r="Q1404" s="147">
        <f t="shared" si="26"/>
        <v>0</v>
      </c>
      <c r="R1404" s="41" t="s">
        <v>32</v>
      </c>
      <c r="S1404" s="69" t="s">
        <v>33</v>
      </c>
      <c r="T1404" s="51" t="b">
        <v>1</v>
      </c>
      <c r="U1404" s="94" t="s">
        <v>1063</v>
      </c>
    </row>
    <row r="1405" ht="30.0" customHeight="1">
      <c r="A1405" s="39"/>
      <c r="B1405" s="40">
        <v>3441.0</v>
      </c>
      <c r="C1405" s="41" t="s">
        <v>50</v>
      </c>
      <c r="D1405" s="86">
        <v>46133.0</v>
      </c>
      <c r="E1405" s="43" t="str">
        <f t="shared" si="1"/>
        <v>2026</v>
      </c>
      <c r="F1405" s="43" t="str">
        <f t="shared" si="2"/>
        <v>04 Apr</v>
      </c>
      <c r="G1405" s="45" t="s">
        <v>25</v>
      </c>
      <c r="H1405" s="45" t="s">
        <v>47</v>
      </c>
      <c r="I1405" s="45" t="s">
        <v>968</v>
      </c>
      <c r="J1405" s="143" t="s">
        <v>120</v>
      </c>
      <c r="K1405" s="43" t="str">
        <f t="array" ref="K1405">IF(J1405="","", XLOOKUP(J1405,'⚙️ Pengaturan'!$E$2:$E3237,'⚙️ Pengaturan'!$G$2:$G3237))</f>
        <v>KLINIK FT SESI</v>
      </c>
      <c r="L1405" s="43" t="str">
        <f t="shared" si="3"/>
        <v>LANJUTAN</v>
      </c>
      <c r="M1405" s="144" t="s">
        <v>31</v>
      </c>
      <c r="N1405" s="145">
        <v>180000.0</v>
      </c>
      <c r="O1405" s="146">
        <v>0.0</v>
      </c>
      <c r="P1405" s="48">
        <f t="array" ref="P1405">IFNA(XLOOKUP(J1405,'⚙️ Pengaturan'!$E$2:$E3237,'⚙️ Pengaturan'!$F$2:$F3237),"")</f>
        <v>180000</v>
      </c>
      <c r="Q1405" s="147">
        <f t="shared" si="26"/>
        <v>0</v>
      </c>
      <c r="R1405" s="41" t="s">
        <v>32</v>
      </c>
      <c r="S1405" s="69" t="s">
        <v>33</v>
      </c>
      <c r="T1405" s="51" t="b">
        <v>1</v>
      </c>
      <c r="U1405" s="94"/>
    </row>
    <row r="1406" ht="30.0" customHeight="1">
      <c r="A1406" s="39"/>
      <c r="B1406" s="40">
        <v>3442.0</v>
      </c>
      <c r="C1406" s="41" t="s">
        <v>50</v>
      </c>
      <c r="D1406" s="86">
        <v>46133.0</v>
      </c>
      <c r="E1406" s="43" t="str">
        <f t="shared" si="1"/>
        <v>2026</v>
      </c>
      <c r="F1406" s="43" t="str">
        <f t="shared" si="2"/>
        <v>04 Apr</v>
      </c>
      <c r="G1406" s="45" t="s">
        <v>161</v>
      </c>
      <c r="H1406" s="45" t="s">
        <v>76</v>
      </c>
      <c r="I1406" s="45" t="s">
        <v>1069</v>
      </c>
      <c r="J1406" s="143" t="s">
        <v>347</v>
      </c>
      <c r="K1406" s="43" t="str">
        <f t="array" ref="K1406">IF(J1406="","", XLOOKUP(J1406,'⚙️ Pengaturan'!$E$2:$E3237,'⚙️ Pengaturan'!$G$2:$G3237))</f>
        <v>KLINIK FT PAKET</v>
      </c>
      <c r="L1406" s="43" t="str">
        <f t="shared" si="3"/>
        <v>LANJUTAN</v>
      </c>
      <c r="M1406" s="144" t="s">
        <v>164</v>
      </c>
      <c r="N1406" s="145">
        <v>600000.0</v>
      </c>
      <c r="O1406" s="146">
        <v>700000.0</v>
      </c>
      <c r="P1406" s="48">
        <f t="array" ref="P1406">IFNA(XLOOKUP(J1406,'⚙️ Pengaturan'!$E$2:$E3237,'⚙️ Pengaturan'!$F$2:$F3237),"")</f>
        <v>1300000</v>
      </c>
      <c r="Q1406" s="147">
        <f t="shared" si="26"/>
        <v>0</v>
      </c>
      <c r="R1406" s="41" t="s">
        <v>32</v>
      </c>
      <c r="S1406" s="69" t="s">
        <v>33</v>
      </c>
      <c r="T1406" s="51" t="b">
        <v>1</v>
      </c>
      <c r="U1406" s="94"/>
    </row>
    <row r="1407" ht="30.0" customHeight="1">
      <c r="A1407" s="39"/>
      <c r="B1407" s="40">
        <v>3443.0</v>
      </c>
      <c r="C1407" s="41" t="s">
        <v>50</v>
      </c>
      <c r="D1407" s="86">
        <v>46133.0</v>
      </c>
      <c r="E1407" s="43" t="str">
        <f t="shared" si="1"/>
        <v>2026</v>
      </c>
      <c r="F1407" s="43" t="str">
        <f t="shared" si="2"/>
        <v>04 Apr</v>
      </c>
      <c r="G1407" s="45" t="s">
        <v>161</v>
      </c>
      <c r="H1407" s="45" t="s">
        <v>96</v>
      </c>
      <c r="I1407" s="45" t="s">
        <v>798</v>
      </c>
      <c r="J1407" s="143" t="s">
        <v>92</v>
      </c>
      <c r="K1407" s="43" t="str">
        <f t="array" ref="K1407">IF(J1407="","", XLOOKUP(J1407,'⚙️ Pengaturan'!$E$2:$E3237,'⚙️ Pengaturan'!$G$2:$G3237))</f>
        <v>KLINIK FT PAKET</v>
      </c>
      <c r="L1407" s="43" t="str">
        <f t="shared" si="3"/>
        <v>LANJUTAN</v>
      </c>
      <c r="M1407" s="144" t="s">
        <v>31</v>
      </c>
      <c r="N1407" s="145">
        <v>960000.0</v>
      </c>
      <c r="O1407" s="146">
        <v>240000.0</v>
      </c>
      <c r="P1407" s="48">
        <f t="array" ref="P1407">IFNA(XLOOKUP(J1407,'⚙️ Pengaturan'!$E$2:$E3237,'⚙️ Pengaturan'!$F$2:$F3237),"")</f>
        <v>1200000</v>
      </c>
      <c r="Q1407" s="147">
        <f t="shared" si="26"/>
        <v>0</v>
      </c>
      <c r="R1407" s="41" t="s">
        <v>37</v>
      </c>
      <c r="S1407" s="69" t="s">
        <v>798</v>
      </c>
      <c r="T1407" s="51" t="b">
        <v>1</v>
      </c>
      <c r="U1407" s="94" t="s">
        <v>1063</v>
      </c>
    </row>
    <row r="1408" ht="30.0" customHeight="1">
      <c r="A1408" s="39"/>
      <c r="B1408" s="40">
        <v>3444.0</v>
      </c>
      <c r="C1408" s="41" t="s">
        <v>39</v>
      </c>
      <c r="D1408" s="86">
        <v>46133.0</v>
      </c>
      <c r="E1408" s="43" t="str">
        <f t="shared" si="1"/>
        <v>2026</v>
      </c>
      <c r="F1408" s="43" t="str">
        <f t="shared" si="2"/>
        <v>04 Apr</v>
      </c>
      <c r="G1408" s="45" t="s">
        <v>35</v>
      </c>
      <c r="H1408" s="45" t="s">
        <v>162</v>
      </c>
      <c r="I1408" s="45" t="s">
        <v>1133</v>
      </c>
      <c r="J1408" s="143" t="s">
        <v>120</v>
      </c>
      <c r="K1408" s="43" t="str">
        <f t="array" ref="K1408">IF(J1408="","", XLOOKUP(J1408,'⚙️ Pengaturan'!$E$2:$E3237,'⚙️ Pengaturan'!$G$2:$G3237))</f>
        <v>KLINIK FT SESI</v>
      </c>
      <c r="L1408" s="43" t="str">
        <f t="shared" si="3"/>
        <v>LANJUTAN</v>
      </c>
      <c r="M1408" s="144" t="s">
        <v>31</v>
      </c>
      <c r="N1408" s="145">
        <v>180000.0</v>
      </c>
      <c r="O1408" s="146">
        <v>0.0</v>
      </c>
      <c r="P1408" s="48">
        <f t="array" ref="P1408">IFNA(XLOOKUP(J1408,'⚙️ Pengaturan'!$E$2:$E3237,'⚙️ Pengaturan'!$F$2:$F3237),"")</f>
        <v>180000</v>
      </c>
      <c r="Q1408" s="147">
        <f t="shared" si="26"/>
        <v>0</v>
      </c>
      <c r="R1408" s="41" t="s">
        <v>32</v>
      </c>
      <c r="S1408" s="69" t="s">
        <v>33</v>
      </c>
      <c r="T1408" s="51" t="b">
        <v>1</v>
      </c>
      <c r="U1408" s="94"/>
    </row>
    <row r="1409" ht="30.0" customHeight="1">
      <c r="A1409" s="39"/>
      <c r="B1409" s="40">
        <v>3445.0</v>
      </c>
      <c r="C1409" s="41" t="s">
        <v>39</v>
      </c>
      <c r="D1409" s="86">
        <v>46133.0</v>
      </c>
      <c r="E1409" s="43" t="str">
        <f t="shared" si="1"/>
        <v>2026</v>
      </c>
      <c r="F1409" s="43" t="str">
        <f t="shared" si="2"/>
        <v>04 Apr</v>
      </c>
      <c r="G1409" s="45" t="s">
        <v>40</v>
      </c>
      <c r="H1409" s="45" t="s">
        <v>166</v>
      </c>
      <c r="I1409" s="45" t="s">
        <v>1188</v>
      </c>
      <c r="J1409" s="143" t="s">
        <v>28</v>
      </c>
      <c r="K1409" s="43" t="str">
        <f t="array" ref="K1409">IF(J1409="","", XLOOKUP(J1409,'⚙️ Pengaturan'!$E$2:$E3237,'⚙️ Pengaturan'!$G$2:$G3237))</f>
        <v>KLINIK FT TA</v>
      </c>
      <c r="L1409" s="43" t="str">
        <f t="shared" si="3"/>
        <v>BARU</v>
      </c>
      <c r="M1409" s="144" t="s">
        <v>31</v>
      </c>
      <c r="N1409" s="145">
        <v>250000.0</v>
      </c>
      <c r="O1409" s="146">
        <v>0.0</v>
      </c>
      <c r="P1409" s="48">
        <f t="array" ref="P1409">IFNA(XLOOKUP(J1409,'⚙️ Pengaturan'!$E$2:$E3237,'⚙️ Pengaturan'!$F$2:$F3237),"")</f>
        <v>250000</v>
      </c>
      <c r="Q1409" s="147">
        <f t="shared" si="26"/>
        <v>0</v>
      </c>
      <c r="R1409" s="41" t="s">
        <v>93</v>
      </c>
      <c r="S1409" s="69" t="s">
        <v>33</v>
      </c>
      <c r="T1409" s="51" t="b">
        <v>1</v>
      </c>
      <c r="U1409" s="94"/>
    </row>
    <row r="1410" ht="30.0" customHeight="1">
      <c r="A1410" s="39"/>
      <c r="B1410" s="40">
        <v>3446.0</v>
      </c>
      <c r="C1410" s="41" t="s">
        <v>39</v>
      </c>
      <c r="D1410" s="86">
        <v>46133.0</v>
      </c>
      <c r="E1410" s="43" t="str">
        <f t="shared" si="1"/>
        <v>2026</v>
      </c>
      <c r="F1410" s="43" t="str">
        <f t="shared" si="2"/>
        <v>04 Apr</v>
      </c>
      <c r="G1410" s="45" t="s">
        <v>173</v>
      </c>
      <c r="H1410" s="45" t="s">
        <v>26</v>
      </c>
      <c r="I1410" s="45" t="s">
        <v>1140</v>
      </c>
      <c r="J1410" s="143" t="s">
        <v>120</v>
      </c>
      <c r="K1410" s="43" t="str">
        <f t="array" ref="K1410">IF(J1410="","", XLOOKUP(J1410,'⚙️ Pengaturan'!$E$2:$E3237,'⚙️ Pengaturan'!$G$2:$G3237))</f>
        <v>KLINIK FT SESI</v>
      </c>
      <c r="L1410" s="43" t="str">
        <f t="shared" si="3"/>
        <v>LANJUTAN</v>
      </c>
      <c r="M1410" s="144" t="s">
        <v>31</v>
      </c>
      <c r="N1410" s="145">
        <v>180000.0</v>
      </c>
      <c r="O1410" s="146">
        <v>0.0</v>
      </c>
      <c r="P1410" s="48">
        <f t="array" ref="P1410">IFNA(XLOOKUP(J1410,'⚙️ Pengaturan'!$E$2:$E3237,'⚙️ Pengaturan'!$F$2:$F3237),"")</f>
        <v>180000</v>
      </c>
      <c r="Q1410" s="147">
        <f t="shared" si="26"/>
        <v>0</v>
      </c>
      <c r="R1410" s="41" t="s">
        <v>37</v>
      </c>
      <c r="S1410" s="69" t="s">
        <v>1140</v>
      </c>
      <c r="T1410" s="51" t="b">
        <v>1</v>
      </c>
      <c r="U1410" s="94"/>
    </row>
    <row r="1411" ht="30.0" customHeight="1">
      <c r="A1411" s="39"/>
      <c r="B1411" s="40">
        <v>3447.0</v>
      </c>
      <c r="C1411" s="41" t="s">
        <v>39</v>
      </c>
      <c r="D1411" s="86">
        <v>46133.0</v>
      </c>
      <c r="E1411" s="43" t="str">
        <f t="shared" si="1"/>
        <v>2026</v>
      </c>
      <c r="F1411" s="43" t="str">
        <f t="shared" si="2"/>
        <v>04 Apr</v>
      </c>
      <c r="G1411" s="45" t="s">
        <v>173</v>
      </c>
      <c r="H1411" s="45" t="s">
        <v>166</v>
      </c>
      <c r="I1411" s="45" t="s">
        <v>1189</v>
      </c>
      <c r="J1411" s="143" t="s">
        <v>28</v>
      </c>
      <c r="K1411" s="43" t="str">
        <f t="array" ref="K1411">IF(J1411="","", XLOOKUP(J1411,'⚙️ Pengaturan'!$E$2:$E3237,'⚙️ Pengaturan'!$G$2:$G3237))</f>
        <v>KLINIK FT TA</v>
      </c>
      <c r="L1411" s="43" t="str">
        <f t="shared" si="3"/>
        <v>BARU</v>
      </c>
      <c r="M1411" s="144" t="s">
        <v>31</v>
      </c>
      <c r="N1411" s="145">
        <v>250000.0</v>
      </c>
      <c r="O1411" s="146">
        <v>0.0</v>
      </c>
      <c r="P1411" s="48">
        <f t="array" ref="P1411">IFNA(XLOOKUP(J1411,'⚙️ Pengaturan'!$E$2:$E3237,'⚙️ Pengaturan'!$F$2:$F3237),"")</f>
        <v>250000</v>
      </c>
      <c r="Q1411" s="147">
        <f t="shared" si="26"/>
        <v>0</v>
      </c>
      <c r="R1411" s="41" t="s">
        <v>37</v>
      </c>
      <c r="S1411" s="69" t="s">
        <v>1189</v>
      </c>
      <c r="T1411" s="51" t="b">
        <v>1</v>
      </c>
      <c r="U1411" s="94"/>
    </row>
    <row r="1412" ht="30.0" customHeight="1">
      <c r="A1412" s="39"/>
      <c r="B1412" s="40">
        <v>3448.0</v>
      </c>
      <c r="C1412" s="41" t="s">
        <v>39</v>
      </c>
      <c r="D1412" s="86">
        <v>46133.0</v>
      </c>
      <c r="E1412" s="43" t="str">
        <f t="shared" si="1"/>
        <v>2026</v>
      </c>
      <c r="F1412" s="43" t="str">
        <f t="shared" si="2"/>
        <v>04 Apr</v>
      </c>
      <c r="G1412" s="45" t="s">
        <v>155</v>
      </c>
      <c r="H1412" s="45" t="s">
        <v>26</v>
      </c>
      <c r="I1412" s="121" t="s">
        <v>1190</v>
      </c>
      <c r="J1412" s="143" t="s">
        <v>119</v>
      </c>
      <c r="K1412" s="43" t="str">
        <f t="array" ref="K1412">IF(J1412="","", XLOOKUP(J1412,'⚙️ Pengaturan'!$E$2:$E3237,'⚙️ Pengaturan'!$G$2:$G3237))</f>
        <v>KLINIK FT PAKET</v>
      </c>
      <c r="L1412" s="43" t="str">
        <f t="shared" si="3"/>
        <v>BARU</v>
      </c>
      <c r="M1412" s="144" t="s">
        <v>60</v>
      </c>
      <c r="N1412" s="145">
        <v>300000.0</v>
      </c>
      <c r="O1412" s="146">
        <v>450000.0</v>
      </c>
      <c r="P1412" s="48">
        <f t="array" ref="P1412">IFNA(XLOOKUP(J1412,'⚙️ Pengaturan'!$E$2:$E3237,'⚙️ Pengaturan'!$F$2:$F3237),"")</f>
        <v>750000</v>
      </c>
      <c r="Q1412" s="147">
        <f t="shared" si="26"/>
        <v>0</v>
      </c>
      <c r="R1412" s="41" t="s">
        <v>32</v>
      </c>
      <c r="S1412" s="69" t="s">
        <v>33</v>
      </c>
      <c r="T1412" s="51" t="b">
        <v>1</v>
      </c>
      <c r="U1412" s="94"/>
    </row>
    <row r="1413" ht="30.0" customHeight="1">
      <c r="A1413" s="39"/>
      <c r="B1413" s="40">
        <v>3449.0</v>
      </c>
      <c r="C1413" s="41" t="s">
        <v>39</v>
      </c>
      <c r="D1413" s="86">
        <v>46133.0</v>
      </c>
      <c r="E1413" s="43" t="str">
        <f t="shared" si="1"/>
        <v>2026</v>
      </c>
      <c r="F1413" s="43" t="str">
        <f t="shared" si="2"/>
        <v>04 Apr</v>
      </c>
      <c r="G1413" s="45" t="s">
        <v>155</v>
      </c>
      <c r="H1413" s="45" t="s">
        <v>150</v>
      </c>
      <c r="I1413" s="45" t="s">
        <v>1191</v>
      </c>
      <c r="J1413" s="143" t="s">
        <v>28</v>
      </c>
      <c r="K1413" s="43" t="str">
        <f t="array" ref="K1413">IF(J1413="","", XLOOKUP(J1413,'⚙️ Pengaturan'!$E$2:$E3237,'⚙️ Pengaturan'!$G$2:$G3237))</f>
        <v>KLINIK FT TA</v>
      </c>
      <c r="L1413" s="43" t="str">
        <f t="shared" si="3"/>
        <v>BARU</v>
      </c>
      <c r="M1413" s="144" t="s">
        <v>31</v>
      </c>
      <c r="N1413" s="145">
        <v>250000.0</v>
      </c>
      <c r="O1413" s="146">
        <v>0.0</v>
      </c>
      <c r="P1413" s="48">
        <f t="array" ref="P1413">IFNA(XLOOKUP(J1413,'⚙️ Pengaturan'!$E$2:$E3237,'⚙️ Pengaturan'!$F$2:$F3237),"")</f>
        <v>250000</v>
      </c>
      <c r="Q1413" s="147">
        <f t="shared" si="26"/>
        <v>0</v>
      </c>
      <c r="R1413" s="41" t="s">
        <v>32</v>
      </c>
      <c r="S1413" s="69" t="s">
        <v>33</v>
      </c>
      <c r="T1413" s="51" t="b">
        <v>1</v>
      </c>
      <c r="U1413" s="94"/>
    </row>
    <row r="1414" ht="30.0" customHeight="1">
      <c r="A1414" s="39"/>
      <c r="B1414" s="40">
        <v>3450.0</v>
      </c>
      <c r="C1414" s="41" t="s">
        <v>50</v>
      </c>
      <c r="D1414" s="86">
        <v>46134.0</v>
      </c>
      <c r="E1414" s="43" t="str">
        <f t="shared" si="1"/>
        <v>2026</v>
      </c>
      <c r="F1414" s="43" t="str">
        <f t="shared" si="2"/>
        <v>04 Apr</v>
      </c>
      <c r="G1414" s="45" t="s">
        <v>195</v>
      </c>
      <c r="H1414" s="45" t="s">
        <v>41</v>
      </c>
      <c r="I1414" s="45" t="s">
        <v>1192</v>
      </c>
      <c r="J1414" s="143" t="s">
        <v>28</v>
      </c>
      <c r="K1414" s="43" t="str">
        <f t="array" ref="K1414">IF(J1414="","", XLOOKUP(J1414,'⚙️ Pengaturan'!$E$2:$E3237,'⚙️ Pengaturan'!$G$2:$G3237))</f>
        <v>KLINIK FT TA</v>
      </c>
      <c r="L1414" s="43" t="str">
        <f t="shared" si="3"/>
        <v>BARU</v>
      </c>
      <c r="M1414" s="144" t="s">
        <v>31</v>
      </c>
      <c r="N1414" s="145">
        <v>250000.0</v>
      </c>
      <c r="O1414" s="146">
        <v>0.0</v>
      </c>
      <c r="P1414" s="48">
        <f t="array" ref="P1414">IFNA(XLOOKUP(J1414,'⚙️ Pengaturan'!$E$2:$E3237,'⚙️ Pengaturan'!$F$2:$F3237),"")</f>
        <v>250000</v>
      </c>
      <c r="Q1414" s="147">
        <f t="shared" si="26"/>
        <v>0</v>
      </c>
      <c r="R1414" s="41" t="s">
        <v>32</v>
      </c>
      <c r="S1414" s="69" t="s">
        <v>33</v>
      </c>
      <c r="T1414" s="51" t="b">
        <v>1</v>
      </c>
      <c r="U1414" s="94"/>
    </row>
    <row r="1415" ht="30.0" customHeight="1">
      <c r="A1415" s="39"/>
      <c r="B1415" s="40">
        <v>3451.0</v>
      </c>
      <c r="C1415" s="41" t="s">
        <v>50</v>
      </c>
      <c r="D1415" s="86">
        <v>46134.0</v>
      </c>
      <c r="E1415" s="43" t="str">
        <f t="shared" si="1"/>
        <v>2026</v>
      </c>
      <c r="F1415" s="43" t="str">
        <f t="shared" si="2"/>
        <v>04 Apr</v>
      </c>
      <c r="G1415" s="45" t="s">
        <v>69</v>
      </c>
      <c r="H1415" s="45" t="s">
        <v>41</v>
      </c>
      <c r="I1415" s="45" t="s">
        <v>1179</v>
      </c>
      <c r="J1415" s="143" t="s">
        <v>323</v>
      </c>
      <c r="K1415" s="43" t="str">
        <f t="array" ref="K1415">IF(J1415="","", XLOOKUP(J1415,'⚙️ Pengaturan'!$E$2:$E3237,'⚙️ Pengaturan'!$G$2:$G3237))</f>
        <v>VISIT FT SESI</v>
      </c>
      <c r="L1415" s="43" t="str">
        <f t="shared" si="3"/>
        <v>BARU</v>
      </c>
      <c r="M1415" s="144" t="s">
        <v>31</v>
      </c>
      <c r="N1415" s="145">
        <v>200000.0</v>
      </c>
      <c r="O1415" s="146">
        <v>0.0</v>
      </c>
      <c r="P1415" s="48">
        <f t="array" ref="P1415">IFNA(XLOOKUP(J1415,'⚙️ Pengaturan'!$E$2:$E3237,'⚙️ Pengaturan'!$F$2:$F3237),"")</f>
        <v>200000</v>
      </c>
      <c r="Q1415" s="147">
        <f t="shared" si="26"/>
        <v>0</v>
      </c>
      <c r="R1415" s="41" t="s">
        <v>32</v>
      </c>
      <c r="S1415" s="69" t="s">
        <v>33</v>
      </c>
      <c r="T1415" s="51" t="b">
        <v>1</v>
      </c>
      <c r="U1415" s="94"/>
    </row>
    <row r="1416" ht="30.0" customHeight="1">
      <c r="A1416" s="39"/>
      <c r="B1416" s="40">
        <v>3452.0</v>
      </c>
      <c r="C1416" s="41" t="s">
        <v>50</v>
      </c>
      <c r="D1416" s="86">
        <v>46134.0</v>
      </c>
      <c r="E1416" s="43" t="str">
        <f t="shared" si="1"/>
        <v>2026</v>
      </c>
      <c r="F1416" s="43" t="str">
        <f t="shared" si="2"/>
        <v>04 Apr</v>
      </c>
      <c r="G1416" s="45" t="s">
        <v>161</v>
      </c>
      <c r="H1416" s="45" t="s">
        <v>149</v>
      </c>
      <c r="I1416" s="45" t="s">
        <v>1183</v>
      </c>
      <c r="J1416" s="143" t="s">
        <v>120</v>
      </c>
      <c r="K1416" s="43" t="str">
        <f t="array" ref="K1416">IF(J1416="","", XLOOKUP(J1416,'⚙️ Pengaturan'!$E$2:$E3237,'⚙️ Pengaturan'!$G$2:$G3237))</f>
        <v>KLINIK FT SESI</v>
      </c>
      <c r="L1416" s="43" t="str">
        <f t="shared" si="3"/>
        <v>BARU</v>
      </c>
      <c r="M1416" s="144" t="s">
        <v>31</v>
      </c>
      <c r="N1416" s="145">
        <v>180000.0</v>
      </c>
      <c r="O1416" s="146">
        <v>0.0</v>
      </c>
      <c r="P1416" s="48">
        <f t="array" ref="P1416">IFNA(XLOOKUP(J1416,'⚙️ Pengaturan'!$E$2:$E3237,'⚙️ Pengaturan'!$F$2:$F3237),"")</f>
        <v>180000</v>
      </c>
      <c r="Q1416" s="147">
        <f t="shared" si="26"/>
        <v>0</v>
      </c>
      <c r="R1416" s="41" t="s">
        <v>32</v>
      </c>
      <c r="S1416" s="69" t="s">
        <v>33</v>
      </c>
      <c r="T1416" s="51" t="b">
        <v>1</v>
      </c>
      <c r="U1416" s="94"/>
    </row>
    <row r="1417" ht="30.0" customHeight="1">
      <c r="A1417" s="39"/>
      <c r="B1417" s="40">
        <v>3453.0</v>
      </c>
      <c r="C1417" s="41" t="s">
        <v>50</v>
      </c>
      <c r="D1417" s="86">
        <v>46134.0</v>
      </c>
      <c r="E1417" s="43" t="str">
        <f t="shared" si="1"/>
        <v>2026</v>
      </c>
      <c r="F1417" s="43" t="str">
        <f t="shared" si="2"/>
        <v>04 Apr</v>
      </c>
      <c r="G1417" s="45" t="s">
        <v>161</v>
      </c>
      <c r="H1417" s="45" t="s">
        <v>96</v>
      </c>
      <c r="I1417" s="45" t="s">
        <v>1051</v>
      </c>
      <c r="J1417" s="143" t="s">
        <v>120</v>
      </c>
      <c r="K1417" s="43" t="str">
        <f t="array" ref="K1417">IF(J1417="","", XLOOKUP(J1417,'⚙️ Pengaturan'!$E$2:$E3237,'⚙️ Pengaturan'!$G$2:$G3237))</f>
        <v>KLINIK FT SESI</v>
      </c>
      <c r="L1417" s="43" t="str">
        <f t="shared" si="3"/>
        <v>LANJUTAN</v>
      </c>
      <c r="M1417" s="144" t="s">
        <v>31</v>
      </c>
      <c r="N1417" s="145">
        <v>180000.0</v>
      </c>
      <c r="O1417" s="146">
        <v>0.0</v>
      </c>
      <c r="P1417" s="48">
        <f t="array" ref="P1417">IFNA(XLOOKUP(J1417,'⚙️ Pengaturan'!$E$2:$E3237,'⚙️ Pengaturan'!$F$2:$F3237),"")</f>
        <v>180000</v>
      </c>
      <c r="Q1417" s="147">
        <f t="shared" si="26"/>
        <v>0</v>
      </c>
      <c r="R1417" s="41" t="s">
        <v>37</v>
      </c>
      <c r="S1417" s="69" t="s">
        <v>431</v>
      </c>
      <c r="T1417" s="51" t="b">
        <v>1</v>
      </c>
      <c r="U1417" s="69"/>
    </row>
    <row r="1418" ht="30.0" customHeight="1">
      <c r="A1418" s="39"/>
      <c r="B1418" s="40">
        <v>3454.0</v>
      </c>
      <c r="C1418" s="41" t="s">
        <v>50</v>
      </c>
      <c r="D1418" s="86">
        <v>46134.0</v>
      </c>
      <c r="E1418" s="43" t="str">
        <f t="shared" si="1"/>
        <v>2026</v>
      </c>
      <c r="F1418" s="43" t="str">
        <f t="shared" si="2"/>
        <v>04 Apr</v>
      </c>
      <c r="G1418" s="45" t="s">
        <v>161</v>
      </c>
      <c r="H1418" s="45" t="s">
        <v>76</v>
      </c>
      <c r="I1418" s="45" t="s">
        <v>975</v>
      </c>
      <c r="J1418" s="143" t="s">
        <v>120</v>
      </c>
      <c r="K1418" s="43" t="str">
        <f t="array" ref="K1418">IF(J1418="","", XLOOKUP(J1418,'⚙️ Pengaturan'!$E$2:$E3237,'⚙️ Pengaturan'!$G$2:$G3237))</f>
        <v>KLINIK FT SESI</v>
      </c>
      <c r="L1418" s="43" t="str">
        <f t="shared" si="3"/>
        <v>LANJUTAN</v>
      </c>
      <c r="M1418" s="144" t="s">
        <v>31</v>
      </c>
      <c r="N1418" s="145">
        <v>180000.0</v>
      </c>
      <c r="O1418" s="146">
        <v>0.0</v>
      </c>
      <c r="P1418" s="48">
        <f t="array" ref="P1418">IFNA(XLOOKUP(J1418,'⚙️ Pengaturan'!$E$2:$E3237,'⚙️ Pengaturan'!$F$2:$F3237),"")</f>
        <v>180000</v>
      </c>
      <c r="Q1418" s="147">
        <f t="shared" si="26"/>
        <v>0</v>
      </c>
      <c r="R1418" s="41" t="s">
        <v>32</v>
      </c>
      <c r="S1418" s="69" t="s">
        <v>33</v>
      </c>
      <c r="T1418" s="51" t="b">
        <v>1</v>
      </c>
      <c r="U1418" s="94"/>
    </row>
    <row r="1419" ht="30.0" customHeight="1">
      <c r="A1419" s="39"/>
      <c r="B1419" s="40">
        <v>3455.0</v>
      </c>
      <c r="C1419" s="41" t="s">
        <v>50</v>
      </c>
      <c r="D1419" s="86">
        <v>46134.0</v>
      </c>
      <c r="E1419" s="43" t="str">
        <f t="shared" si="1"/>
        <v>2026</v>
      </c>
      <c r="F1419" s="43" t="str">
        <f t="shared" si="2"/>
        <v>04 Apr</v>
      </c>
      <c r="G1419" s="45" t="s">
        <v>35</v>
      </c>
      <c r="H1419" s="45" t="s">
        <v>149</v>
      </c>
      <c r="I1419" s="45" t="s">
        <v>431</v>
      </c>
      <c r="J1419" s="143" t="s">
        <v>28</v>
      </c>
      <c r="K1419" s="43" t="str">
        <f t="array" ref="K1419">IF(J1419="","", XLOOKUP(J1419,'⚙️ Pengaturan'!$E$2:$E3237,'⚙️ Pengaturan'!$G$2:$G3237))</f>
        <v>KLINIK FT TA</v>
      </c>
      <c r="L1419" s="43" t="str">
        <f t="shared" si="3"/>
        <v>LANJUTAN</v>
      </c>
      <c r="M1419" s="144" t="s">
        <v>31</v>
      </c>
      <c r="N1419" s="156">
        <v>250000.0</v>
      </c>
      <c r="O1419" s="146">
        <v>0.0</v>
      </c>
      <c r="P1419" s="48">
        <f t="array" ref="P1419">IFNA(XLOOKUP(J1419,'⚙️ Pengaturan'!$E$2:$E3237,'⚙️ Pengaturan'!$F$2:$F3237),"")</f>
        <v>250000</v>
      </c>
      <c r="Q1419" s="147">
        <f t="shared" si="26"/>
        <v>0</v>
      </c>
      <c r="R1419" s="41" t="s">
        <v>37</v>
      </c>
      <c r="S1419" s="69" t="s">
        <v>431</v>
      </c>
      <c r="T1419" s="51" t="b">
        <v>1</v>
      </c>
      <c r="U1419" s="69"/>
    </row>
    <row r="1420" ht="30.0" customHeight="1">
      <c r="A1420" s="39"/>
      <c r="B1420" s="40">
        <v>3456.0</v>
      </c>
      <c r="C1420" s="41" t="s">
        <v>50</v>
      </c>
      <c r="D1420" s="86">
        <v>46134.0</v>
      </c>
      <c r="E1420" s="43" t="str">
        <f t="shared" si="1"/>
        <v>2026</v>
      </c>
      <c r="F1420" s="43" t="str">
        <f t="shared" si="2"/>
        <v>04 Apr</v>
      </c>
      <c r="G1420" s="45" t="s">
        <v>69</v>
      </c>
      <c r="H1420" s="45" t="s">
        <v>166</v>
      </c>
      <c r="I1420" s="45" t="s">
        <v>790</v>
      </c>
      <c r="J1420" s="143" t="s">
        <v>365</v>
      </c>
      <c r="K1420" s="43" t="str">
        <f t="array" ref="K1420">IF(J1420="","", XLOOKUP(J1420,'⚙️ Pengaturan'!$E$2:$E3237,'⚙️ Pengaturan'!$G$2:$G3237))</f>
        <v>VISIT FT SESI</v>
      </c>
      <c r="L1420" s="43" t="str">
        <f t="shared" si="3"/>
        <v>LANJUTAN</v>
      </c>
      <c r="M1420" s="144" t="s">
        <v>31</v>
      </c>
      <c r="N1420" s="156">
        <v>250000.0</v>
      </c>
      <c r="O1420" s="146">
        <v>0.0</v>
      </c>
      <c r="P1420" s="48">
        <f t="array" ref="P1420">IFNA(XLOOKUP(J1420,'⚙️ Pengaturan'!$E$2:$E3237,'⚙️ Pengaturan'!$F$2:$F3237),"")</f>
        <v>250000</v>
      </c>
      <c r="Q1420" s="147">
        <f t="shared" si="26"/>
        <v>0</v>
      </c>
      <c r="R1420" s="41" t="s">
        <v>32</v>
      </c>
      <c r="S1420" s="69" t="s">
        <v>33</v>
      </c>
      <c r="T1420" s="51" t="b">
        <v>1</v>
      </c>
      <c r="U1420" s="94"/>
    </row>
    <row r="1421" ht="30.0" customHeight="1">
      <c r="A1421" s="39"/>
      <c r="B1421" s="40">
        <v>3457.0</v>
      </c>
      <c r="C1421" s="41" t="s">
        <v>39</v>
      </c>
      <c r="D1421" s="86">
        <v>46134.0</v>
      </c>
      <c r="E1421" s="43" t="str">
        <f t="shared" si="1"/>
        <v>2026</v>
      </c>
      <c r="F1421" s="43" t="str">
        <f t="shared" si="2"/>
        <v>04 Apr</v>
      </c>
      <c r="G1421" s="45" t="s">
        <v>40</v>
      </c>
      <c r="H1421" s="45" t="s">
        <v>150</v>
      </c>
      <c r="I1421" s="45" t="s">
        <v>963</v>
      </c>
      <c r="J1421" s="143" t="s">
        <v>119</v>
      </c>
      <c r="K1421" s="43" t="str">
        <f t="array" ref="K1421">IF(J1421="","", XLOOKUP(J1421,'⚙️ Pengaturan'!$E$2:$E3237,'⚙️ Pengaturan'!$G$2:$G3237))</f>
        <v>KLINIK FT PAKET</v>
      </c>
      <c r="L1421" s="43" t="str">
        <f t="shared" si="3"/>
        <v>LANJUTAN</v>
      </c>
      <c r="M1421" s="144" t="s">
        <v>60</v>
      </c>
      <c r="N1421" s="145">
        <v>250000.0</v>
      </c>
      <c r="O1421" s="146">
        <v>0.0</v>
      </c>
      <c r="P1421" s="48">
        <f t="array" ref="P1421">IFNA(XLOOKUP(J1421,'⚙️ Pengaturan'!$E$2:$E3237,'⚙️ Pengaturan'!$F$2:$F3237),"")</f>
        <v>750000</v>
      </c>
      <c r="Q1421" s="147">
        <f t="shared" si="26"/>
        <v>-500000</v>
      </c>
      <c r="R1421" s="41" t="s">
        <v>32</v>
      </c>
      <c r="S1421" s="69" t="s">
        <v>33</v>
      </c>
      <c r="T1421" s="51" t="b">
        <v>1</v>
      </c>
      <c r="U1421" s="94"/>
    </row>
    <row r="1422" ht="30.0" customHeight="1">
      <c r="A1422" s="39"/>
      <c r="B1422" s="40">
        <v>3458.0</v>
      </c>
      <c r="C1422" s="41" t="s">
        <v>39</v>
      </c>
      <c r="D1422" s="86">
        <v>46134.0</v>
      </c>
      <c r="E1422" s="43" t="str">
        <f t="shared" si="1"/>
        <v>2026</v>
      </c>
      <c r="F1422" s="43" t="str">
        <f t="shared" si="2"/>
        <v>04 Apr</v>
      </c>
      <c r="G1422" s="45" t="s">
        <v>40</v>
      </c>
      <c r="H1422" s="45" t="s">
        <v>166</v>
      </c>
      <c r="I1422" s="45" t="s">
        <v>1120</v>
      </c>
      <c r="J1422" s="143" t="s">
        <v>119</v>
      </c>
      <c r="K1422" s="43" t="str">
        <f t="array" ref="K1422">IF(J1422="","", XLOOKUP(J1422,'⚙️ Pengaturan'!$E$2:$E3237,'⚙️ Pengaturan'!$G$2:$G3237))</f>
        <v>KLINIK FT PAKET</v>
      </c>
      <c r="L1422" s="43" t="str">
        <f t="shared" si="3"/>
        <v>LANJUTAN</v>
      </c>
      <c r="M1422" s="144" t="s">
        <v>164</v>
      </c>
      <c r="N1422" s="145">
        <v>500000.0</v>
      </c>
      <c r="O1422" s="146">
        <v>0.0</v>
      </c>
      <c r="P1422" s="48">
        <f t="array" ref="P1422">IFNA(XLOOKUP(J1422,'⚙️ Pengaturan'!$E$2:$E3237,'⚙️ Pengaturan'!$F$2:$F3237),"")</f>
        <v>750000</v>
      </c>
      <c r="Q1422" s="147">
        <f t="shared" si="26"/>
        <v>-250000</v>
      </c>
      <c r="R1422" s="41" t="s">
        <v>118</v>
      </c>
      <c r="S1422" s="69" t="s">
        <v>1120</v>
      </c>
      <c r="T1422" s="51" t="b">
        <v>1</v>
      </c>
      <c r="U1422" s="94"/>
    </row>
    <row r="1423" ht="30.0" customHeight="1">
      <c r="A1423" s="39"/>
      <c r="B1423" s="40">
        <v>3459.0</v>
      </c>
      <c r="C1423" s="41" t="s">
        <v>39</v>
      </c>
      <c r="D1423" s="86">
        <v>46134.0</v>
      </c>
      <c r="E1423" s="43" t="str">
        <f t="shared" si="1"/>
        <v>2026</v>
      </c>
      <c r="F1423" s="43" t="str">
        <f t="shared" si="2"/>
        <v>04 Apr</v>
      </c>
      <c r="G1423" s="45" t="s">
        <v>43</v>
      </c>
      <c r="H1423" s="45" t="s">
        <v>26</v>
      </c>
      <c r="I1423" s="45" t="s">
        <v>1092</v>
      </c>
      <c r="J1423" s="143" t="s">
        <v>119</v>
      </c>
      <c r="K1423" s="43" t="str">
        <f t="array" ref="K1423">IF(J1423="","", XLOOKUP(J1423,'⚙️ Pengaturan'!$E$2:$E3237,'⚙️ Pengaturan'!$G$2:$G3237))</f>
        <v>KLINIK FT PAKET</v>
      </c>
      <c r="L1423" s="43" t="str">
        <f t="shared" si="3"/>
        <v>LANJUTAN</v>
      </c>
      <c r="M1423" s="144" t="s">
        <v>31</v>
      </c>
      <c r="N1423" s="145">
        <v>750000.0</v>
      </c>
      <c r="O1423" s="146">
        <v>0.0</v>
      </c>
      <c r="P1423" s="48">
        <f t="array" ref="P1423">IFNA(XLOOKUP(J1423,'⚙️ Pengaturan'!$E$2:$E3237,'⚙️ Pengaturan'!$F$2:$F3237),"")</f>
        <v>750000</v>
      </c>
      <c r="Q1423" s="147">
        <f t="shared" si="26"/>
        <v>0</v>
      </c>
      <c r="R1423" s="41" t="s">
        <v>32</v>
      </c>
      <c r="S1423" s="69" t="s">
        <v>33</v>
      </c>
      <c r="T1423" s="51" t="b">
        <v>1</v>
      </c>
      <c r="U1423" s="94"/>
    </row>
    <row r="1424" ht="30.0" customHeight="1">
      <c r="A1424" s="39"/>
      <c r="B1424" s="40">
        <v>3460.0</v>
      </c>
      <c r="C1424" s="41" t="s">
        <v>39</v>
      </c>
      <c r="D1424" s="86">
        <v>46134.0</v>
      </c>
      <c r="E1424" s="43" t="str">
        <f t="shared" si="1"/>
        <v>2026</v>
      </c>
      <c r="F1424" s="43" t="str">
        <f t="shared" si="2"/>
        <v>04 Apr</v>
      </c>
      <c r="G1424" s="45" t="s">
        <v>69</v>
      </c>
      <c r="H1424" s="45" t="s">
        <v>41</v>
      </c>
      <c r="I1424" s="45" t="s">
        <v>1179</v>
      </c>
      <c r="J1424" s="143" t="s">
        <v>323</v>
      </c>
      <c r="K1424" s="43" t="str">
        <f t="array" ref="K1424">IF(J1424="","", XLOOKUP(J1424,'⚙️ Pengaturan'!$E$2:$E3237,'⚙️ Pengaturan'!$G$2:$G3237))</f>
        <v>VISIT FT SESI</v>
      </c>
      <c r="L1424" s="43" t="str">
        <f t="shared" si="3"/>
        <v>LANJUTAN</v>
      </c>
      <c r="M1424" s="144" t="s">
        <v>31</v>
      </c>
      <c r="N1424" s="145">
        <v>200000.0</v>
      </c>
      <c r="O1424" s="146">
        <v>0.0</v>
      </c>
      <c r="P1424" s="48">
        <f t="array" ref="P1424">IFNA(XLOOKUP(J1424,'⚙️ Pengaturan'!$E$2:$E3237,'⚙️ Pengaturan'!$F$2:$F3237),"")</f>
        <v>200000</v>
      </c>
      <c r="Q1424" s="147">
        <f t="shared" si="26"/>
        <v>0</v>
      </c>
      <c r="R1424" s="41" t="s">
        <v>37</v>
      </c>
      <c r="S1424" s="69" t="s">
        <v>1193</v>
      </c>
      <c r="T1424" s="51" t="b">
        <v>1</v>
      </c>
      <c r="U1424" s="94"/>
    </row>
    <row r="1425" ht="30.0" customHeight="1">
      <c r="A1425" s="39"/>
      <c r="B1425" s="40">
        <v>3461.0</v>
      </c>
      <c r="C1425" s="41" t="s">
        <v>50</v>
      </c>
      <c r="D1425" s="86">
        <v>46135.0</v>
      </c>
      <c r="E1425" s="43" t="str">
        <f t="shared" si="1"/>
        <v>2026</v>
      </c>
      <c r="F1425" s="43" t="str">
        <f t="shared" si="2"/>
        <v>04 Apr</v>
      </c>
      <c r="G1425" s="45" t="s">
        <v>195</v>
      </c>
      <c r="H1425" s="45" t="s">
        <v>166</v>
      </c>
      <c r="I1425" s="45" t="s">
        <v>1180</v>
      </c>
      <c r="J1425" s="143" t="s">
        <v>120</v>
      </c>
      <c r="K1425" s="43" t="str">
        <f t="array" ref="K1425">IF(J1425="","", XLOOKUP(J1425,'⚙️ Pengaturan'!$E$2:$E3237,'⚙️ Pengaturan'!$G$2:$G3237))</f>
        <v>KLINIK FT SESI</v>
      </c>
      <c r="L1425" s="43" t="str">
        <f t="shared" si="3"/>
        <v>BARU</v>
      </c>
      <c r="M1425" s="144" t="s">
        <v>31</v>
      </c>
      <c r="N1425" s="145">
        <v>180000.0</v>
      </c>
      <c r="O1425" s="146">
        <v>0.0</v>
      </c>
      <c r="P1425" s="48">
        <f t="array" ref="P1425">IFNA(XLOOKUP(J1425,'⚙️ Pengaturan'!$E$2:$E3237,'⚙️ Pengaturan'!$F$2:$F3237),"")</f>
        <v>180000</v>
      </c>
      <c r="Q1425" s="147">
        <f t="shared" si="26"/>
        <v>0</v>
      </c>
      <c r="R1425" s="41" t="s">
        <v>32</v>
      </c>
      <c r="S1425" s="69" t="s">
        <v>33</v>
      </c>
      <c r="T1425" s="51" t="b">
        <v>1</v>
      </c>
      <c r="U1425" s="94"/>
    </row>
    <row r="1426" ht="30.0" customHeight="1">
      <c r="A1426" s="39"/>
      <c r="B1426" s="40">
        <v>3462.0</v>
      </c>
      <c r="C1426" s="41" t="s">
        <v>50</v>
      </c>
      <c r="D1426" s="86">
        <v>46135.0</v>
      </c>
      <c r="E1426" s="43" t="str">
        <f t="shared" si="1"/>
        <v>2026</v>
      </c>
      <c r="F1426" s="43" t="str">
        <f t="shared" si="2"/>
        <v>04 Apr</v>
      </c>
      <c r="G1426" s="45" t="s">
        <v>195</v>
      </c>
      <c r="H1426" s="45" t="s">
        <v>150</v>
      </c>
      <c r="I1426" s="45" t="s">
        <v>1194</v>
      </c>
      <c r="J1426" s="143" t="s">
        <v>28</v>
      </c>
      <c r="K1426" s="43" t="str">
        <f t="array" ref="K1426">IF(J1426="","", XLOOKUP(J1426,'⚙️ Pengaturan'!$E$2:$E3237,'⚙️ Pengaturan'!$G$2:$G3237))</f>
        <v>KLINIK FT TA</v>
      </c>
      <c r="L1426" s="43" t="str">
        <f t="shared" si="3"/>
        <v>BARU</v>
      </c>
      <c r="M1426" s="144" t="s">
        <v>31</v>
      </c>
      <c r="N1426" s="145">
        <v>250000.0</v>
      </c>
      <c r="O1426" s="146">
        <v>0.0</v>
      </c>
      <c r="P1426" s="48">
        <f t="array" ref="P1426">IFNA(XLOOKUP(J1426,'⚙️ Pengaturan'!$E$2:$E3237,'⚙️ Pengaturan'!$F$2:$F3237),"")</f>
        <v>250000</v>
      </c>
      <c r="Q1426" s="147">
        <f t="shared" si="26"/>
        <v>0</v>
      </c>
      <c r="R1426" s="41" t="s">
        <v>118</v>
      </c>
      <c r="S1426" s="69" t="s">
        <v>1194</v>
      </c>
      <c r="T1426" s="51" t="b">
        <v>1</v>
      </c>
      <c r="U1426" s="94"/>
    </row>
    <row r="1427" ht="30.0" customHeight="1">
      <c r="A1427" s="39"/>
      <c r="B1427" s="40">
        <v>3463.0</v>
      </c>
      <c r="C1427" s="41" t="s">
        <v>50</v>
      </c>
      <c r="D1427" s="86">
        <v>46135.0</v>
      </c>
      <c r="E1427" s="43" t="str">
        <f t="shared" si="1"/>
        <v>2026</v>
      </c>
      <c r="F1427" s="43" t="str">
        <f t="shared" si="2"/>
        <v>04 Apr</v>
      </c>
      <c r="G1427" s="45" t="s">
        <v>25</v>
      </c>
      <c r="H1427" s="45" t="s">
        <v>150</v>
      </c>
      <c r="I1427" s="45" t="s">
        <v>1138</v>
      </c>
      <c r="J1427" s="143" t="s">
        <v>120</v>
      </c>
      <c r="K1427" s="43" t="str">
        <f t="array" ref="K1427">IF(J1427="","", XLOOKUP(J1427,'⚙️ Pengaturan'!$E$2:$E3237,'⚙️ Pengaturan'!$G$2:$G3237))</f>
        <v>KLINIK FT SESI</v>
      </c>
      <c r="L1427" s="43" t="str">
        <f t="shared" si="3"/>
        <v>LANJUTAN</v>
      </c>
      <c r="M1427" s="144" t="s">
        <v>31</v>
      </c>
      <c r="N1427" s="145">
        <v>180000.0</v>
      </c>
      <c r="O1427" s="146">
        <v>0.0</v>
      </c>
      <c r="P1427" s="48">
        <f t="array" ref="P1427">IFNA(XLOOKUP(J1427,'⚙️ Pengaturan'!$E$2:$E3237,'⚙️ Pengaturan'!$F$2:$F3237),"")</f>
        <v>180000</v>
      </c>
      <c r="Q1427" s="147">
        <f t="shared" si="26"/>
        <v>0</v>
      </c>
      <c r="R1427" s="41" t="s">
        <v>32</v>
      </c>
      <c r="S1427" s="69" t="s">
        <v>33</v>
      </c>
      <c r="T1427" s="51" t="b">
        <v>1</v>
      </c>
      <c r="U1427" s="94"/>
    </row>
    <row r="1428" ht="30.0" customHeight="1">
      <c r="A1428" s="39"/>
      <c r="B1428" s="40">
        <v>3464.0</v>
      </c>
      <c r="C1428" s="41" t="s">
        <v>50</v>
      </c>
      <c r="D1428" s="86">
        <v>46135.0</v>
      </c>
      <c r="E1428" s="43" t="str">
        <f t="shared" si="1"/>
        <v>2026</v>
      </c>
      <c r="F1428" s="43" t="str">
        <f t="shared" si="2"/>
        <v>04 Apr</v>
      </c>
      <c r="G1428" s="45" t="s">
        <v>25</v>
      </c>
      <c r="H1428" s="45" t="s">
        <v>162</v>
      </c>
      <c r="I1428" s="45" t="s">
        <v>1133</v>
      </c>
      <c r="J1428" s="143" t="s">
        <v>120</v>
      </c>
      <c r="K1428" s="43" t="str">
        <f t="array" ref="K1428">IF(J1428="","", XLOOKUP(J1428,'⚙️ Pengaturan'!$E$2:$E3237,'⚙️ Pengaturan'!$G$2:$G3237))</f>
        <v>KLINIK FT SESI</v>
      </c>
      <c r="L1428" s="43" t="str">
        <f t="shared" si="3"/>
        <v>LANJUTAN</v>
      </c>
      <c r="M1428" s="144" t="s">
        <v>31</v>
      </c>
      <c r="N1428" s="145">
        <v>180000.0</v>
      </c>
      <c r="O1428" s="146">
        <v>0.0</v>
      </c>
      <c r="P1428" s="48">
        <f t="array" ref="P1428">IFNA(XLOOKUP(J1428,'⚙️ Pengaturan'!$E$2:$E3237,'⚙️ Pengaturan'!$F$2:$F3237),"")</f>
        <v>180000</v>
      </c>
      <c r="Q1428" s="147">
        <f t="shared" si="26"/>
        <v>0</v>
      </c>
      <c r="R1428" s="41" t="s">
        <v>32</v>
      </c>
      <c r="S1428" s="69" t="s">
        <v>33</v>
      </c>
      <c r="T1428" s="51" t="b">
        <v>1</v>
      </c>
      <c r="U1428" s="94"/>
    </row>
    <row r="1429" ht="30.0" customHeight="1">
      <c r="A1429" s="39"/>
      <c r="B1429" s="40">
        <v>3465.0</v>
      </c>
      <c r="C1429" s="41" t="s">
        <v>50</v>
      </c>
      <c r="D1429" s="86">
        <v>46135.0</v>
      </c>
      <c r="E1429" s="43" t="str">
        <f t="shared" si="1"/>
        <v>2026</v>
      </c>
      <c r="F1429" s="43" t="str">
        <f t="shared" si="2"/>
        <v>04 Apr</v>
      </c>
      <c r="G1429" s="45" t="s">
        <v>206</v>
      </c>
      <c r="H1429" s="45" t="s">
        <v>150</v>
      </c>
      <c r="I1429" s="45" t="s">
        <v>1174</v>
      </c>
      <c r="J1429" s="143" t="s">
        <v>347</v>
      </c>
      <c r="K1429" s="43" t="str">
        <f t="array" ref="K1429">IF(J1429="","", XLOOKUP(J1429,'⚙️ Pengaturan'!$E$2:$E3237,'⚙️ Pengaturan'!$G$2:$G3237))</f>
        <v>KLINIK FT PAKET</v>
      </c>
      <c r="L1429" s="43" t="str">
        <f t="shared" si="3"/>
        <v>BARU</v>
      </c>
      <c r="M1429" s="144" t="s">
        <v>31</v>
      </c>
      <c r="N1429" s="145">
        <v>1300000.0</v>
      </c>
      <c r="O1429" s="146">
        <v>0.0</v>
      </c>
      <c r="P1429" s="48">
        <f t="array" ref="P1429">IFNA(XLOOKUP(J1429,'⚙️ Pengaturan'!$E$2:$E3237,'⚙️ Pengaturan'!$F$2:$F3237),"")</f>
        <v>1300000</v>
      </c>
      <c r="Q1429" s="147">
        <f t="shared" si="26"/>
        <v>0</v>
      </c>
      <c r="R1429" s="41" t="s">
        <v>32</v>
      </c>
      <c r="S1429" s="69" t="s">
        <v>33</v>
      </c>
      <c r="T1429" s="51" t="b">
        <v>1</v>
      </c>
      <c r="U1429" s="94"/>
    </row>
    <row r="1430" ht="30.0" customHeight="1">
      <c r="A1430" s="39"/>
      <c r="B1430" s="40">
        <v>3466.0</v>
      </c>
      <c r="C1430" s="41" t="s">
        <v>50</v>
      </c>
      <c r="D1430" s="86">
        <v>46135.0</v>
      </c>
      <c r="E1430" s="43" t="str">
        <f t="shared" si="1"/>
        <v>2026</v>
      </c>
      <c r="F1430" s="43" t="str">
        <f t="shared" si="2"/>
        <v>04 Apr</v>
      </c>
      <c r="G1430" s="45" t="s">
        <v>35</v>
      </c>
      <c r="H1430" s="45" t="s">
        <v>162</v>
      </c>
      <c r="I1430" s="45" t="s">
        <v>1182</v>
      </c>
      <c r="J1430" s="143" t="s">
        <v>120</v>
      </c>
      <c r="K1430" s="43" t="str">
        <f t="array" ref="K1430">IF(J1430="","", XLOOKUP(J1430,'⚙️ Pengaturan'!$E$2:$E3237,'⚙️ Pengaturan'!$G$2:$G3237))</f>
        <v>KLINIK FT SESI</v>
      </c>
      <c r="L1430" s="43" t="str">
        <f t="shared" si="3"/>
        <v>BARU</v>
      </c>
      <c r="M1430" s="144" t="s">
        <v>31</v>
      </c>
      <c r="N1430" s="145">
        <v>180000.0</v>
      </c>
      <c r="O1430" s="146">
        <v>0.0</v>
      </c>
      <c r="P1430" s="48">
        <f t="array" ref="P1430">IFNA(XLOOKUP(J1430,'⚙️ Pengaturan'!$E$2:$E3237,'⚙️ Pengaturan'!$F$2:$F3237),"")</f>
        <v>180000</v>
      </c>
      <c r="Q1430" s="147">
        <f t="shared" si="26"/>
        <v>0</v>
      </c>
      <c r="R1430" s="41" t="s">
        <v>37</v>
      </c>
      <c r="S1430" s="69" t="s">
        <v>1182</v>
      </c>
      <c r="T1430" s="51" t="b">
        <v>1</v>
      </c>
      <c r="U1430" s="94"/>
    </row>
    <row r="1431" ht="30.0" customHeight="1">
      <c r="A1431" s="39"/>
      <c r="B1431" s="40">
        <v>3467.0</v>
      </c>
      <c r="C1431" s="41" t="s">
        <v>50</v>
      </c>
      <c r="D1431" s="86">
        <v>46135.0</v>
      </c>
      <c r="E1431" s="43" t="str">
        <f t="shared" si="1"/>
        <v>2026</v>
      </c>
      <c r="F1431" s="43" t="str">
        <f t="shared" si="2"/>
        <v>04 Apr</v>
      </c>
      <c r="G1431" s="45" t="s">
        <v>35</v>
      </c>
      <c r="H1431" s="45" t="s">
        <v>166</v>
      </c>
      <c r="I1431" s="45" t="s">
        <v>1181</v>
      </c>
      <c r="J1431" s="143" t="s">
        <v>120</v>
      </c>
      <c r="K1431" s="43" t="str">
        <f t="array" ref="K1431">IF(J1431="","", XLOOKUP(J1431,'⚙️ Pengaturan'!$E$2:$E3237,'⚙️ Pengaturan'!$G$2:$G3237))</f>
        <v>KLINIK FT SESI</v>
      </c>
      <c r="L1431" s="43" t="str">
        <f t="shared" si="3"/>
        <v>BARU</v>
      </c>
      <c r="M1431" s="144" t="s">
        <v>31</v>
      </c>
      <c r="N1431" s="145">
        <v>180000.0</v>
      </c>
      <c r="O1431" s="146">
        <v>0.0</v>
      </c>
      <c r="P1431" s="48">
        <f t="array" ref="P1431">IFNA(XLOOKUP(J1431,'⚙️ Pengaturan'!$E$2:$E3237,'⚙️ Pengaturan'!$F$2:$F3237),"")</f>
        <v>180000</v>
      </c>
      <c r="Q1431" s="147">
        <f t="shared" si="26"/>
        <v>0</v>
      </c>
      <c r="R1431" s="41" t="s">
        <v>32</v>
      </c>
      <c r="S1431" s="69" t="s">
        <v>33</v>
      </c>
      <c r="T1431" s="51" t="b">
        <v>1</v>
      </c>
      <c r="U1431" s="94"/>
    </row>
    <row r="1432" ht="30.0" customHeight="1">
      <c r="A1432" s="39"/>
      <c r="B1432" s="40">
        <v>3468.0</v>
      </c>
      <c r="C1432" s="41" t="s">
        <v>39</v>
      </c>
      <c r="D1432" s="86">
        <v>46135.0</v>
      </c>
      <c r="E1432" s="43" t="str">
        <f t="shared" si="1"/>
        <v>2026</v>
      </c>
      <c r="F1432" s="43" t="str">
        <f t="shared" si="2"/>
        <v>04 Apr</v>
      </c>
      <c r="G1432" s="45" t="s">
        <v>40</v>
      </c>
      <c r="H1432" s="45" t="s">
        <v>47</v>
      </c>
      <c r="I1432" s="45" t="s">
        <v>1164</v>
      </c>
      <c r="J1432" s="143" t="s">
        <v>120</v>
      </c>
      <c r="K1432" s="43" t="str">
        <f t="array" ref="K1432">IF(J1432="","", XLOOKUP(J1432,'⚙️ Pengaturan'!$E$2:$E3237,'⚙️ Pengaturan'!$G$2:$G3237))</f>
        <v>KLINIK FT SESI</v>
      </c>
      <c r="L1432" s="43" t="str">
        <f t="shared" si="3"/>
        <v>LANJUTAN</v>
      </c>
      <c r="M1432" s="144" t="s">
        <v>31</v>
      </c>
      <c r="N1432" s="145">
        <v>180000.0</v>
      </c>
      <c r="O1432" s="146">
        <v>0.0</v>
      </c>
      <c r="P1432" s="48">
        <f t="array" ref="P1432">IFNA(XLOOKUP(J1432,'⚙️ Pengaturan'!$E$2:$E3237,'⚙️ Pengaturan'!$F$2:$F3237),"")</f>
        <v>180000</v>
      </c>
      <c r="Q1432" s="147">
        <f t="shared" si="26"/>
        <v>0</v>
      </c>
      <c r="R1432" s="41" t="s">
        <v>37</v>
      </c>
      <c r="S1432" s="69" t="s">
        <v>1164</v>
      </c>
      <c r="T1432" s="51" t="b">
        <v>1</v>
      </c>
      <c r="U1432" s="94"/>
    </row>
    <row r="1433" ht="30.0" customHeight="1">
      <c r="A1433" s="39"/>
      <c r="B1433" s="40">
        <v>3469.0</v>
      </c>
      <c r="C1433" s="41" t="s">
        <v>39</v>
      </c>
      <c r="D1433" s="86">
        <v>46135.0</v>
      </c>
      <c r="E1433" s="43" t="str">
        <f t="shared" si="1"/>
        <v>2026</v>
      </c>
      <c r="F1433" s="43" t="str">
        <f t="shared" si="2"/>
        <v>04 Apr</v>
      </c>
      <c r="G1433" s="45" t="s">
        <v>40</v>
      </c>
      <c r="H1433" s="45" t="s">
        <v>41</v>
      </c>
      <c r="I1433" s="45" t="s">
        <v>1185</v>
      </c>
      <c r="J1433" s="143" t="s">
        <v>120</v>
      </c>
      <c r="K1433" s="43" t="str">
        <f t="array" ref="K1433">IF(J1433="","", XLOOKUP(J1433,'⚙️ Pengaturan'!$E$2:$E3237,'⚙️ Pengaturan'!$G$2:$G3237))</f>
        <v>KLINIK FT SESI</v>
      </c>
      <c r="L1433" s="43" t="str">
        <f t="shared" si="3"/>
        <v>BARU</v>
      </c>
      <c r="M1433" s="144" t="s">
        <v>31</v>
      </c>
      <c r="N1433" s="145">
        <v>180000.0</v>
      </c>
      <c r="O1433" s="146">
        <v>0.0</v>
      </c>
      <c r="P1433" s="48">
        <f t="array" ref="P1433">IFNA(XLOOKUP(J1433,'⚙️ Pengaturan'!$E$2:$E3237,'⚙️ Pengaturan'!$F$2:$F3237),"")</f>
        <v>180000</v>
      </c>
      <c r="Q1433" s="147">
        <f t="shared" si="26"/>
        <v>0</v>
      </c>
      <c r="R1433" s="41" t="s">
        <v>37</v>
      </c>
      <c r="S1433" s="69" t="s">
        <v>1185</v>
      </c>
      <c r="T1433" s="51" t="b">
        <v>1</v>
      </c>
      <c r="U1433" s="94"/>
    </row>
    <row r="1434" ht="30.0" customHeight="1">
      <c r="A1434" s="39"/>
      <c r="B1434" s="40">
        <v>3470.0</v>
      </c>
      <c r="C1434" s="41" t="s">
        <v>39</v>
      </c>
      <c r="D1434" s="86">
        <v>46135.0</v>
      </c>
      <c r="E1434" s="43" t="str">
        <f t="shared" si="1"/>
        <v>2026</v>
      </c>
      <c r="F1434" s="43" t="str">
        <f t="shared" si="2"/>
        <v>04 Apr</v>
      </c>
      <c r="G1434" s="45" t="s">
        <v>69</v>
      </c>
      <c r="H1434" s="45" t="s">
        <v>156</v>
      </c>
      <c r="I1434" s="45" t="s">
        <v>888</v>
      </c>
      <c r="J1434" s="143" t="s">
        <v>349</v>
      </c>
      <c r="K1434" s="43" t="str">
        <f t="array" ref="K1434">IF(J1434="","", XLOOKUP(J1434,'⚙️ Pengaturan'!$E$2:$E3237,'⚙️ Pengaturan'!$G$2:$G3237))</f>
        <v>KLINIK FT PAKET</v>
      </c>
      <c r="L1434" s="43" t="str">
        <f t="shared" si="3"/>
        <v>LANJUTAN</v>
      </c>
      <c r="M1434" s="144" t="s">
        <v>31</v>
      </c>
      <c r="N1434" s="145">
        <v>2400000.0</v>
      </c>
      <c r="O1434" s="146">
        <v>0.0</v>
      </c>
      <c r="P1434" s="48">
        <f t="array" ref="P1434">IFNA(XLOOKUP(J1434,'⚙️ Pengaturan'!$E$2:$E3237,'⚙️ Pengaturan'!$F$2:$F3237),"")</f>
        <v>2400000</v>
      </c>
      <c r="Q1434" s="147">
        <f t="shared" si="26"/>
        <v>0</v>
      </c>
      <c r="R1434" s="41" t="s">
        <v>37</v>
      </c>
      <c r="S1434" s="69" t="s">
        <v>888</v>
      </c>
      <c r="T1434" s="51" t="b">
        <v>1</v>
      </c>
      <c r="U1434" s="94"/>
    </row>
    <row r="1435" ht="30.0" customHeight="1">
      <c r="A1435" s="39"/>
      <c r="B1435" s="40">
        <v>3471.0</v>
      </c>
      <c r="C1435" s="41" t="s">
        <v>39</v>
      </c>
      <c r="D1435" s="86">
        <v>46135.0</v>
      </c>
      <c r="E1435" s="43" t="str">
        <f t="shared" si="1"/>
        <v>2026</v>
      </c>
      <c r="F1435" s="43" t="str">
        <f t="shared" si="2"/>
        <v>04 Apr</v>
      </c>
      <c r="G1435" s="45" t="s">
        <v>43</v>
      </c>
      <c r="H1435" s="45" t="s">
        <v>41</v>
      </c>
      <c r="I1435" s="45" t="s">
        <v>967</v>
      </c>
      <c r="J1435" s="143" t="s">
        <v>120</v>
      </c>
      <c r="K1435" s="43" t="str">
        <f t="array" ref="K1435">IF(J1435="","", XLOOKUP(J1435,'⚙️ Pengaturan'!$E$2:$E3237,'⚙️ Pengaturan'!$G$2:$G3237))</f>
        <v>KLINIK FT SESI</v>
      </c>
      <c r="L1435" s="43" t="str">
        <f t="shared" si="3"/>
        <v>LANJUTAN</v>
      </c>
      <c r="M1435" s="144" t="s">
        <v>31</v>
      </c>
      <c r="N1435" s="145">
        <v>50000.0</v>
      </c>
      <c r="O1435" s="146">
        <v>130000.0</v>
      </c>
      <c r="P1435" s="48">
        <f t="array" ref="P1435">IFNA(XLOOKUP(J1435,'⚙️ Pengaturan'!$E$2:$E3237,'⚙️ Pengaturan'!$F$2:$F3237),"")</f>
        <v>180000</v>
      </c>
      <c r="Q1435" s="147">
        <f t="shared" si="26"/>
        <v>0</v>
      </c>
      <c r="R1435" s="41" t="s">
        <v>32</v>
      </c>
      <c r="S1435" s="69" t="s">
        <v>33</v>
      </c>
      <c r="T1435" s="51" t="b">
        <v>1</v>
      </c>
      <c r="U1435" s="94"/>
    </row>
    <row r="1436" ht="30.0" customHeight="1">
      <c r="A1436" s="39"/>
      <c r="B1436" s="40">
        <v>3472.0</v>
      </c>
      <c r="C1436" s="41" t="s">
        <v>39</v>
      </c>
      <c r="D1436" s="86">
        <v>46135.0</v>
      </c>
      <c r="E1436" s="43" t="str">
        <f t="shared" si="1"/>
        <v>2026</v>
      </c>
      <c r="F1436" s="43" t="str">
        <f t="shared" si="2"/>
        <v>04 Apr</v>
      </c>
      <c r="G1436" s="45" t="s">
        <v>173</v>
      </c>
      <c r="H1436" s="45" t="s">
        <v>96</v>
      </c>
      <c r="I1436" s="45" t="s">
        <v>1184</v>
      </c>
      <c r="J1436" s="143" t="s">
        <v>120</v>
      </c>
      <c r="K1436" s="43" t="str">
        <f t="array" ref="K1436">IF(J1436="","", XLOOKUP(J1436,'⚙️ Pengaturan'!$E$2:$E3237,'⚙️ Pengaturan'!$G$2:$G3237))</f>
        <v>KLINIK FT SESI</v>
      </c>
      <c r="L1436" s="43" t="str">
        <f t="shared" si="3"/>
        <v>LANJUTAN</v>
      </c>
      <c r="M1436" s="144" t="s">
        <v>31</v>
      </c>
      <c r="N1436" s="145">
        <v>180000.0</v>
      </c>
      <c r="O1436" s="146">
        <v>0.0</v>
      </c>
      <c r="P1436" s="48">
        <f t="array" ref="P1436">IFNA(XLOOKUP(J1436,'⚙️ Pengaturan'!$E$2:$E3237,'⚙️ Pengaturan'!$F$2:$F3237),"")</f>
        <v>180000</v>
      </c>
      <c r="Q1436" s="147">
        <f t="shared" si="26"/>
        <v>0</v>
      </c>
      <c r="R1436" s="41" t="s">
        <v>93</v>
      </c>
      <c r="S1436" s="69" t="s">
        <v>1184</v>
      </c>
      <c r="T1436" s="51" t="b">
        <v>1</v>
      </c>
      <c r="U1436" s="94"/>
    </row>
    <row r="1437" ht="30.0" customHeight="1">
      <c r="A1437" s="39"/>
      <c r="B1437" s="40">
        <v>3473.0</v>
      </c>
      <c r="C1437" s="41" t="s">
        <v>39</v>
      </c>
      <c r="D1437" s="86">
        <v>46135.0</v>
      </c>
      <c r="E1437" s="43" t="str">
        <f t="shared" si="1"/>
        <v>2026</v>
      </c>
      <c r="F1437" s="43" t="str">
        <f t="shared" si="2"/>
        <v>04 Apr</v>
      </c>
      <c r="G1437" s="45" t="s">
        <v>155</v>
      </c>
      <c r="H1437" s="45" t="s">
        <v>47</v>
      </c>
      <c r="I1437" s="45" t="s">
        <v>1195</v>
      </c>
      <c r="J1437" s="143" t="s">
        <v>28</v>
      </c>
      <c r="K1437" s="43" t="str">
        <f t="array" ref="K1437">IF(J1437="","", XLOOKUP(J1437,'⚙️ Pengaturan'!$E$2:$E3237,'⚙️ Pengaturan'!$G$2:$G3237))</f>
        <v>KLINIK FT TA</v>
      </c>
      <c r="L1437" s="43" t="str">
        <f t="shared" si="3"/>
        <v>BARU</v>
      </c>
      <c r="M1437" s="144" t="s">
        <v>31</v>
      </c>
      <c r="N1437" s="145">
        <v>250000.0</v>
      </c>
      <c r="O1437" s="146">
        <v>0.0</v>
      </c>
      <c r="P1437" s="48">
        <f t="array" ref="P1437">IFNA(XLOOKUP(J1437,'⚙️ Pengaturan'!$E$2:$E3237,'⚙️ Pengaturan'!$F$2:$F3237),"")</f>
        <v>250000</v>
      </c>
      <c r="Q1437" s="147">
        <f t="shared" si="26"/>
        <v>0</v>
      </c>
      <c r="R1437" s="41" t="s">
        <v>37</v>
      </c>
      <c r="S1437" s="69" t="s">
        <v>1196</v>
      </c>
      <c r="T1437" s="51" t="b">
        <v>1</v>
      </c>
      <c r="U1437" s="94"/>
    </row>
    <row r="1438" ht="30.0" customHeight="1">
      <c r="A1438" s="39"/>
      <c r="B1438" s="40">
        <v>3474.0</v>
      </c>
      <c r="C1438" s="41" t="s">
        <v>50</v>
      </c>
      <c r="D1438" s="86">
        <v>46136.0</v>
      </c>
      <c r="E1438" s="43" t="str">
        <f t="shared" si="1"/>
        <v>2026</v>
      </c>
      <c r="F1438" s="43" t="str">
        <f t="shared" si="2"/>
        <v>04 Apr</v>
      </c>
      <c r="G1438" s="45" t="s">
        <v>69</v>
      </c>
      <c r="H1438" s="45" t="s">
        <v>76</v>
      </c>
      <c r="I1438" s="45" t="s">
        <v>1178</v>
      </c>
      <c r="J1438" s="143" t="s">
        <v>365</v>
      </c>
      <c r="K1438" s="43" t="str">
        <f t="array" ref="K1438">IF(J1438="","", XLOOKUP(J1438,'⚙️ Pengaturan'!$E$2:$E3237,'⚙️ Pengaturan'!$G$2:$G3237))</f>
        <v>VISIT FT SESI</v>
      </c>
      <c r="L1438" s="43" t="str">
        <f t="shared" si="3"/>
        <v>BARU</v>
      </c>
      <c r="M1438" s="144" t="s">
        <v>31</v>
      </c>
      <c r="N1438" s="145">
        <v>250000.0</v>
      </c>
      <c r="O1438" s="146">
        <v>0.0</v>
      </c>
      <c r="P1438" s="48">
        <f t="array" ref="P1438">IFNA(XLOOKUP(J1438,'⚙️ Pengaturan'!$E$2:$E3237,'⚙️ Pengaturan'!$F$2:$F3237),"")</f>
        <v>250000</v>
      </c>
      <c r="Q1438" s="147">
        <f t="shared" si="26"/>
        <v>0</v>
      </c>
      <c r="R1438" s="41" t="s">
        <v>37</v>
      </c>
      <c r="S1438" s="69" t="s">
        <v>1197</v>
      </c>
      <c r="T1438" s="51" t="b">
        <v>1</v>
      </c>
      <c r="U1438" s="94"/>
    </row>
    <row r="1439" ht="30.0" customHeight="1">
      <c r="A1439" s="39"/>
      <c r="B1439" s="40">
        <v>3475.0</v>
      </c>
      <c r="C1439" s="41" t="s">
        <v>50</v>
      </c>
      <c r="D1439" s="86">
        <v>46136.0</v>
      </c>
      <c r="E1439" s="43" t="str">
        <f t="shared" si="1"/>
        <v>2026</v>
      </c>
      <c r="F1439" s="43" t="str">
        <f t="shared" si="2"/>
        <v>04 Apr</v>
      </c>
      <c r="G1439" s="45" t="s">
        <v>161</v>
      </c>
      <c r="H1439" s="45" t="s">
        <v>150</v>
      </c>
      <c r="I1439" s="45" t="s">
        <v>971</v>
      </c>
      <c r="J1439" s="143" t="s">
        <v>120</v>
      </c>
      <c r="K1439" s="43" t="str">
        <f t="array" ref="K1439">IF(J1439="","", XLOOKUP(J1439,'⚙️ Pengaturan'!$E$2:$E3237,'⚙️ Pengaturan'!$G$2:$G3237))</f>
        <v>KLINIK FT SESI</v>
      </c>
      <c r="L1439" s="43" t="str">
        <f t="shared" si="3"/>
        <v>BARU</v>
      </c>
      <c r="M1439" s="144" t="s">
        <v>31</v>
      </c>
      <c r="N1439" s="145">
        <v>180000.0</v>
      </c>
      <c r="O1439" s="146">
        <v>0.0</v>
      </c>
      <c r="P1439" s="48">
        <f t="array" ref="P1439">IFNA(XLOOKUP(J1439,'⚙️ Pengaturan'!$E$2:$E3237,'⚙️ Pengaturan'!$F$2:$F3237),"")</f>
        <v>180000</v>
      </c>
      <c r="Q1439" s="147">
        <f t="shared" si="26"/>
        <v>0</v>
      </c>
      <c r="R1439" s="41" t="s">
        <v>32</v>
      </c>
      <c r="S1439" s="69" t="s">
        <v>33</v>
      </c>
      <c r="T1439" s="51" t="b">
        <v>1</v>
      </c>
      <c r="U1439" s="94"/>
    </row>
    <row r="1440" ht="30.0" customHeight="1">
      <c r="A1440" s="39"/>
      <c r="B1440" s="40">
        <v>3476.0</v>
      </c>
      <c r="C1440" s="41" t="s">
        <v>50</v>
      </c>
      <c r="D1440" s="86">
        <v>46136.0</v>
      </c>
      <c r="E1440" s="43" t="str">
        <f t="shared" si="1"/>
        <v>2026</v>
      </c>
      <c r="F1440" s="43" t="str">
        <f t="shared" si="2"/>
        <v>04 Apr</v>
      </c>
      <c r="G1440" s="45" t="s">
        <v>35</v>
      </c>
      <c r="H1440" s="45" t="s">
        <v>150</v>
      </c>
      <c r="I1440" s="45" t="s">
        <v>1198</v>
      </c>
      <c r="J1440" s="143" t="s">
        <v>28</v>
      </c>
      <c r="K1440" s="43" t="str">
        <f t="array" ref="K1440">IF(J1440="","", XLOOKUP(J1440,'⚙️ Pengaturan'!$E$2:$E3237,'⚙️ Pengaturan'!$G$2:$G3237))</f>
        <v>KLINIK FT TA</v>
      </c>
      <c r="L1440" s="43" t="str">
        <f t="shared" si="3"/>
        <v>BARU</v>
      </c>
      <c r="M1440" s="144" t="s">
        <v>31</v>
      </c>
      <c r="N1440" s="145">
        <v>250000.0</v>
      </c>
      <c r="O1440" s="146">
        <v>0.0</v>
      </c>
      <c r="P1440" s="48">
        <f t="array" ref="P1440">IFNA(XLOOKUP(J1440,'⚙️ Pengaturan'!$E$2:$E3237,'⚙️ Pengaturan'!$F$2:$F3237),"")</f>
        <v>250000</v>
      </c>
      <c r="Q1440" s="147">
        <f t="shared" si="26"/>
        <v>0</v>
      </c>
      <c r="R1440" s="41" t="s">
        <v>32</v>
      </c>
      <c r="S1440" s="69" t="s">
        <v>33</v>
      </c>
      <c r="T1440" s="51" t="b">
        <v>1</v>
      </c>
      <c r="U1440" s="94"/>
    </row>
    <row r="1441" ht="30.0" customHeight="1">
      <c r="A1441" s="39"/>
      <c r="B1441" s="40">
        <v>3477.0</v>
      </c>
      <c r="C1441" s="41" t="s">
        <v>39</v>
      </c>
      <c r="D1441" s="86">
        <v>46136.0</v>
      </c>
      <c r="E1441" s="43" t="str">
        <f t="shared" si="1"/>
        <v>2026</v>
      </c>
      <c r="F1441" s="43" t="str">
        <f t="shared" si="2"/>
        <v>04 Apr</v>
      </c>
      <c r="G1441" s="45" t="s">
        <v>43</v>
      </c>
      <c r="H1441" s="45" t="s">
        <v>149</v>
      </c>
      <c r="I1441" s="45" t="s">
        <v>978</v>
      </c>
      <c r="J1441" s="143" t="s">
        <v>119</v>
      </c>
      <c r="K1441" s="43" t="str">
        <f t="array" ref="K1441">IF(J1441="","", XLOOKUP(J1441,'⚙️ Pengaturan'!$E$2:$E3237,'⚙️ Pengaturan'!$G$2:$G3237))</f>
        <v>KLINIK FT PAKET</v>
      </c>
      <c r="L1441" s="43" t="str">
        <f t="shared" si="3"/>
        <v>LANJUTAN</v>
      </c>
      <c r="M1441" s="144" t="s">
        <v>164</v>
      </c>
      <c r="N1441" s="145">
        <v>250000.0</v>
      </c>
      <c r="O1441" s="146">
        <v>500000.0</v>
      </c>
      <c r="P1441" s="48">
        <f t="array" ref="P1441">IFNA(XLOOKUP(J1441,'⚙️ Pengaturan'!$E$2:$E3237,'⚙️ Pengaturan'!$F$2:$F3237),"")</f>
        <v>750000</v>
      </c>
      <c r="Q1441" s="147">
        <f t="shared" si="26"/>
        <v>0</v>
      </c>
      <c r="R1441" s="41" t="s">
        <v>32</v>
      </c>
      <c r="S1441" s="69" t="s">
        <v>33</v>
      </c>
      <c r="T1441" s="51" t="b">
        <v>1</v>
      </c>
      <c r="U1441" s="94"/>
    </row>
    <row r="1442" ht="30.0" customHeight="1">
      <c r="A1442" s="39"/>
      <c r="B1442" s="40">
        <v>3478.0</v>
      </c>
      <c r="C1442" s="41" t="s">
        <v>39</v>
      </c>
      <c r="D1442" s="86">
        <v>46136.0</v>
      </c>
      <c r="E1442" s="43" t="str">
        <f t="shared" si="1"/>
        <v>2026</v>
      </c>
      <c r="F1442" s="43" t="str">
        <f t="shared" si="2"/>
        <v>04 Apr</v>
      </c>
      <c r="G1442" s="45" t="s">
        <v>69</v>
      </c>
      <c r="H1442" s="45" t="s">
        <v>41</v>
      </c>
      <c r="I1442" s="45" t="s">
        <v>1199</v>
      </c>
      <c r="J1442" s="143" t="s">
        <v>28</v>
      </c>
      <c r="K1442" s="43" t="str">
        <f t="array" ref="K1442">IF(J1442="","", XLOOKUP(J1442,'⚙️ Pengaturan'!$E$2:$E3237,'⚙️ Pengaturan'!$G$2:$G3237))</f>
        <v>KLINIK FT TA</v>
      </c>
      <c r="L1442" s="43" t="str">
        <f t="shared" si="3"/>
        <v>BARU</v>
      </c>
      <c r="M1442" s="144" t="s">
        <v>31</v>
      </c>
      <c r="N1442" s="145">
        <v>250000.0</v>
      </c>
      <c r="O1442" s="146">
        <v>0.0</v>
      </c>
      <c r="P1442" s="48">
        <f t="array" ref="P1442">IFNA(XLOOKUP(J1442,'⚙️ Pengaturan'!$E$2:$E3237,'⚙️ Pengaturan'!$F$2:$F3237),"")</f>
        <v>250000</v>
      </c>
      <c r="Q1442" s="147">
        <f t="shared" si="26"/>
        <v>0</v>
      </c>
      <c r="R1442" s="41" t="s">
        <v>32</v>
      </c>
      <c r="S1442" s="69" t="s">
        <v>33</v>
      </c>
      <c r="T1442" s="51" t="b">
        <v>1</v>
      </c>
      <c r="U1442" s="94"/>
    </row>
    <row r="1443" ht="30.0" customHeight="1">
      <c r="A1443" s="39"/>
      <c r="B1443" s="40">
        <v>3479.0</v>
      </c>
      <c r="C1443" s="41" t="s">
        <v>39</v>
      </c>
      <c r="D1443" s="86">
        <v>46136.0</v>
      </c>
      <c r="E1443" s="43" t="str">
        <f t="shared" si="1"/>
        <v>2026</v>
      </c>
      <c r="F1443" s="43" t="str">
        <f t="shared" si="2"/>
        <v>04 Apr</v>
      </c>
      <c r="G1443" s="45" t="s">
        <v>173</v>
      </c>
      <c r="H1443" s="45" t="s">
        <v>166</v>
      </c>
      <c r="I1443" s="45" t="s">
        <v>1181</v>
      </c>
      <c r="J1443" s="143" t="s">
        <v>120</v>
      </c>
      <c r="K1443" s="43" t="str">
        <f t="array" ref="K1443">IF(J1443="","", XLOOKUP(J1443,'⚙️ Pengaturan'!$E$2:$E3237,'⚙️ Pengaturan'!$G$2:$G3237))</f>
        <v>KLINIK FT SESI</v>
      </c>
      <c r="L1443" s="43" t="str">
        <f t="shared" si="3"/>
        <v>LANJUTAN</v>
      </c>
      <c r="M1443" s="144" t="s">
        <v>31</v>
      </c>
      <c r="N1443" s="145">
        <v>180000.0</v>
      </c>
      <c r="O1443" s="146">
        <v>0.0</v>
      </c>
      <c r="P1443" s="48">
        <f t="array" ref="P1443">IFNA(XLOOKUP(J1443,'⚙️ Pengaturan'!$E$2:$E3237,'⚙️ Pengaturan'!$F$2:$F3237),"")</f>
        <v>180000</v>
      </c>
      <c r="Q1443" s="147">
        <f t="shared" si="26"/>
        <v>0</v>
      </c>
      <c r="R1443" s="41" t="s">
        <v>32</v>
      </c>
      <c r="S1443" s="69" t="s">
        <v>33</v>
      </c>
      <c r="T1443" s="51" t="b">
        <v>1</v>
      </c>
      <c r="U1443" s="94"/>
    </row>
    <row r="1444" ht="30.0" customHeight="1">
      <c r="A1444" s="39"/>
      <c r="B1444" s="40">
        <v>3480.0</v>
      </c>
      <c r="C1444" s="41" t="s">
        <v>39</v>
      </c>
      <c r="D1444" s="86">
        <v>46136.0</v>
      </c>
      <c r="E1444" s="43" t="str">
        <f t="shared" si="1"/>
        <v>2026</v>
      </c>
      <c r="F1444" s="43" t="str">
        <f t="shared" si="2"/>
        <v>04 Apr</v>
      </c>
      <c r="G1444" s="45" t="s">
        <v>69</v>
      </c>
      <c r="H1444" s="45" t="s">
        <v>149</v>
      </c>
      <c r="I1444" s="121" t="s">
        <v>1200</v>
      </c>
      <c r="J1444" s="143" t="s">
        <v>119</v>
      </c>
      <c r="K1444" s="43" t="str">
        <f t="array" ref="K1444">IF(J1444="","", XLOOKUP(J1444,'⚙️ Pengaturan'!$E$2:$E3237,'⚙️ Pengaturan'!$G$2:$G3237))</f>
        <v>KLINIK FT PAKET</v>
      </c>
      <c r="L1444" s="43" t="str">
        <f t="shared" si="3"/>
        <v>LANJUTAN</v>
      </c>
      <c r="M1444" s="144" t="s">
        <v>164</v>
      </c>
      <c r="N1444" s="145">
        <v>450000.0</v>
      </c>
      <c r="O1444" s="146">
        <v>300000.0</v>
      </c>
      <c r="P1444" s="48">
        <f t="array" ref="P1444">IFNA(XLOOKUP(J1444,'⚙️ Pengaturan'!$E$2:$E3237,'⚙️ Pengaturan'!$F$2:$F3237),"")</f>
        <v>750000</v>
      </c>
      <c r="Q1444" s="147">
        <f t="shared" si="26"/>
        <v>0</v>
      </c>
      <c r="R1444" s="41" t="s">
        <v>32</v>
      </c>
      <c r="S1444" s="69" t="s">
        <v>33</v>
      </c>
      <c r="T1444" s="51" t="b">
        <v>1</v>
      </c>
      <c r="U1444" s="94"/>
    </row>
    <row r="1445" ht="30.0" customHeight="1">
      <c r="A1445" s="39"/>
      <c r="B1445" s="40">
        <v>3481.0</v>
      </c>
      <c r="C1445" s="41" t="s">
        <v>39</v>
      </c>
      <c r="D1445" s="86">
        <v>46136.0</v>
      </c>
      <c r="E1445" s="43" t="str">
        <f t="shared" si="1"/>
        <v>2026</v>
      </c>
      <c r="F1445" s="43" t="str">
        <f t="shared" si="2"/>
        <v>04 Apr</v>
      </c>
      <c r="G1445" s="45" t="s">
        <v>69</v>
      </c>
      <c r="H1445" s="45" t="s">
        <v>166</v>
      </c>
      <c r="I1445" s="45" t="s">
        <v>885</v>
      </c>
      <c r="J1445" s="143" t="s">
        <v>347</v>
      </c>
      <c r="K1445" s="43" t="str">
        <f t="array" ref="K1445">IF(J1445="","", XLOOKUP(J1445,'⚙️ Pengaturan'!$E$2:$E3237,'⚙️ Pengaturan'!$G$2:$G3237))</f>
        <v>KLINIK FT PAKET</v>
      </c>
      <c r="L1445" s="43" t="str">
        <f t="shared" si="3"/>
        <v>LANJUTAN</v>
      </c>
      <c r="M1445" s="144" t="s">
        <v>31</v>
      </c>
      <c r="N1445" s="145">
        <v>1300000.0</v>
      </c>
      <c r="O1445" s="146">
        <v>0.0</v>
      </c>
      <c r="P1445" s="48">
        <f t="array" ref="P1445">IFNA(XLOOKUP(J1445,'⚙️ Pengaturan'!$E$2:$E3237,'⚙️ Pengaturan'!$F$2:$F3237),"")</f>
        <v>1300000</v>
      </c>
      <c r="Q1445" s="147">
        <f t="shared" si="26"/>
        <v>0</v>
      </c>
      <c r="R1445" s="41" t="s">
        <v>37</v>
      </c>
      <c r="S1445" s="69" t="s">
        <v>779</v>
      </c>
      <c r="T1445" s="51" t="b">
        <v>1</v>
      </c>
      <c r="U1445" s="94" t="s">
        <v>1201</v>
      </c>
    </row>
    <row r="1446" ht="30.0" customHeight="1">
      <c r="A1446" s="39"/>
      <c r="B1446" s="40">
        <v>3482.0</v>
      </c>
      <c r="C1446" s="41" t="s">
        <v>39</v>
      </c>
      <c r="D1446" s="86">
        <v>46135.0</v>
      </c>
      <c r="E1446" s="43" t="str">
        <f t="shared" si="1"/>
        <v>2026</v>
      </c>
      <c r="F1446" s="43" t="str">
        <f t="shared" si="2"/>
        <v>04 Apr</v>
      </c>
      <c r="G1446" s="45" t="s">
        <v>69</v>
      </c>
      <c r="H1446" s="45" t="s">
        <v>76</v>
      </c>
      <c r="I1446" s="45" t="s">
        <v>966</v>
      </c>
      <c r="J1446" s="143" t="s">
        <v>347</v>
      </c>
      <c r="K1446" s="43" t="str">
        <f t="array" ref="K1446">IF(J1446="","", XLOOKUP(J1446,'⚙️ Pengaturan'!$E$2:$E3237,'⚙️ Pengaturan'!$G$2:$G3237))</f>
        <v>KLINIK FT PAKET</v>
      </c>
      <c r="L1446" s="43" t="str">
        <f t="shared" si="3"/>
        <v>LANJUTAN</v>
      </c>
      <c r="M1446" s="144" t="s">
        <v>31</v>
      </c>
      <c r="N1446" s="145">
        <v>1300000.0</v>
      </c>
      <c r="O1446" s="146">
        <v>0.0</v>
      </c>
      <c r="P1446" s="48">
        <f t="array" ref="P1446">IFNA(XLOOKUP(J1446,'⚙️ Pengaturan'!$E$2:$E3237,'⚙️ Pengaturan'!$F$2:$F3237),"")</f>
        <v>1300000</v>
      </c>
      <c r="Q1446" s="147">
        <f t="shared" si="26"/>
        <v>0</v>
      </c>
      <c r="R1446" s="41" t="s">
        <v>118</v>
      </c>
      <c r="S1446" s="69" t="s">
        <v>966</v>
      </c>
      <c r="T1446" s="51" t="b">
        <v>1</v>
      </c>
      <c r="U1446" s="94" t="s">
        <v>1201</v>
      </c>
    </row>
    <row r="1447" ht="30.0" customHeight="1">
      <c r="A1447" s="39"/>
      <c r="B1447" s="40">
        <v>3483.0</v>
      </c>
      <c r="C1447" s="41" t="s">
        <v>79</v>
      </c>
      <c r="D1447" s="86">
        <v>46137.0</v>
      </c>
      <c r="E1447" s="43" t="str">
        <f t="shared" si="1"/>
        <v>2026</v>
      </c>
      <c r="F1447" s="43" t="str">
        <f t="shared" si="2"/>
        <v>04 Apr</v>
      </c>
      <c r="G1447" s="45" t="s">
        <v>195</v>
      </c>
      <c r="H1447" s="45" t="s">
        <v>150</v>
      </c>
      <c r="I1447" s="45" t="s">
        <v>1108</v>
      </c>
      <c r="J1447" s="143" t="s">
        <v>120</v>
      </c>
      <c r="K1447" s="43" t="str">
        <f t="array" ref="K1447">IF(J1447="","", XLOOKUP(J1447,'⚙️ Pengaturan'!$E$2:$E3237,'⚙️ Pengaturan'!$G$2:$G3237))</f>
        <v>KLINIK FT SESI</v>
      </c>
      <c r="L1447" s="43" t="str">
        <f t="shared" si="3"/>
        <v>LANJUTAN</v>
      </c>
      <c r="M1447" s="144" t="s">
        <v>31</v>
      </c>
      <c r="N1447" s="145">
        <v>180000.0</v>
      </c>
      <c r="O1447" s="146">
        <v>0.0</v>
      </c>
      <c r="P1447" s="48">
        <f t="array" ref="P1447">IFNA(XLOOKUP(J1447,'⚙️ Pengaturan'!$E$2:$E3237,'⚙️ Pengaturan'!$F$2:$F3237),"")</f>
        <v>180000</v>
      </c>
      <c r="Q1447" s="147">
        <f t="shared" si="26"/>
        <v>0</v>
      </c>
      <c r="R1447" s="41" t="s">
        <v>37</v>
      </c>
      <c r="S1447" s="69" t="s">
        <v>1108</v>
      </c>
      <c r="T1447" s="51" t="b">
        <v>1</v>
      </c>
      <c r="U1447" s="94"/>
    </row>
    <row r="1448" ht="30.0" customHeight="1">
      <c r="A1448" s="39"/>
      <c r="B1448" s="40">
        <v>3484.0</v>
      </c>
      <c r="C1448" s="41" t="s">
        <v>79</v>
      </c>
      <c r="D1448" s="86">
        <v>46137.0</v>
      </c>
      <c r="E1448" s="43" t="str">
        <f t="shared" si="1"/>
        <v>2026</v>
      </c>
      <c r="F1448" s="43" t="str">
        <f t="shared" si="2"/>
        <v>04 Apr</v>
      </c>
      <c r="G1448" s="45" t="s">
        <v>206</v>
      </c>
      <c r="H1448" s="45" t="s">
        <v>162</v>
      </c>
      <c r="I1448" s="45" t="s">
        <v>1202</v>
      </c>
      <c r="J1448" s="143" t="s">
        <v>28</v>
      </c>
      <c r="K1448" s="43" t="str">
        <f t="array" ref="K1448">IF(J1448="","", XLOOKUP(J1448,'⚙️ Pengaturan'!$E$2:$E3237,'⚙️ Pengaturan'!$G$2:$G3237))</f>
        <v>KLINIK FT TA</v>
      </c>
      <c r="L1448" s="43" t="str">
        <f t="shared" si="3"/>
        <v>BARU</v>
      </c>
      <c r="M1448" s="144" t="s">
        <v>31</v>
      </c>
      <c r="N1448" s="145">
        <v>250000.0</v>
      </c>
      <c r="O1448" s="146">
        <v>0.0</v>
      </c>
      <c r="P1448" s="48">
        <f t="array" ref="P1448">IFNA(XLOOKUP(J1448,'⚙️ Pengaturan'!$E$2:$E3237,'⚙️ Pengaturan'!$F$2:$F3237),"")</f>
        <v>250000</v>
      </c>
      <c r="Q1448" s="147">
        <f t="shared" si="26"/>
        <v>0</v>
      </c>
      <c r="R1448" s="41" t="s">
        <v>118</v>
      </c>
      <c r="S1448" s="69" t="s">
        <v>1202</v>
      </c>
      <c r="T1448" s="51" t="b">
        <v>1</v>
      </c>
      <c r="U1448" s="94"/>
    </row>
    <row r="1449" ht="30.0" customHeight="1">
      <c r="A1449" s="39"/>
      <c r="B1449" s="40">
        <v>3485.0</v>
      </c>
      <c r="C1449" s="41" t="s">
        <v>79</v>
      </c>
      <c r="D1449" s="86">
        <v>46137.0</v>
      </c>
      <c r="E1449" s="43" t="str">
        <f t="shared" si="1"/>
        <v>2026</v>
      </c>
      <c r="F1449" s="43" t="str">
        <f t="shared" si="2"/>
        <v>04 Apr</v>
      </c>
      <c r="G1449" s="45" t="s">
        <v>195</v>
      </c>
      <c r="H1449" s="45" t="s">
        <v>150</v>
      </c>
      <c r="I1449" s="45" t="s">
        <v>1018</v>
      </c>
      <c r="J1449" s="143" t="s">
        <v>120</v>
      </c>
      <c r="K1449" s="43" t="str">
        <f t="array" ref="K1449">IF(J1449="","", XLOOKUP(J1449,'⚙️ Pengaturan'!$E$2:$E3237,'⚙️ Pengaturan'!$G$2:$G3237))</f>
        <v>KLINIK FT SESI</v>
      </c>
      <c r="L1449" s="43" t="str">
        <f t="shared" si="3"/>
        <v>BARU</v>
      </c>
      <c r="M1449" s="144" t="s">
        <v>31</v>
      </c>
      <c r="N1449" s="145">
        <v>180000.0</v>
      </c>
      <c r="O1449" s="146">
        <v>0.0</v>
      </c>
      <c r="P1449" s="48">
        <v>180000.0</v>
      </c>
      <c r="Q1449" s="147">
        <v>0.0</v>
      </c>
      <c r="R1449" s="41" t="s">
        <v>37</v>
      </c>
      <c r="S1449" s="69" t="s">
        <v>1018</v>
      </c>
      <c r="T1449" s="51" t="b">
        <v>1</v>
      </c>
      <c r="U1449" s="94"/>
    </row>
    <row r="1450" ht="30.0" customHeight="1">
      <c r="A1450" s="39"/>
      <c r="B1450" s="40">
        <v>3486.0</v>
      </c>
      <c r="C1450" s="41" t="s">
        <v>79</v>
      </c>
      <c r="D1450" s="86">
        <v>46137.0</v>
      </c>
      <c r="E1450" s="43" t="str">
        <f t="shared" si="1"/>
        <v>2026</v>
      </c>
      <c r="F1450" s="43" t="str">
        <f t="shared" si="2"/>
        <v>04 Apr</v>
      </c>
      <c r="G1450" s="45" t="s">
        <v>195</v>
      </c>
      <c r="H1450" s="45" t="s">
        <v>150</v>
      </c>
      <c r="I1450" s="45" t="s">
        <v>1071</v>
      </c>
      <c r="J1450" s="143" t="s">
        <v>120</v>
      </c>
      <c r="K1450" s="43" t="str">
        <f t="array" ref="K1450">IF(J1450="","", XLOOKUP(J1450,'⚙️ Pengaturan'!$E$2:$E3237,'⚙️ Pengaturan'!$G$2:$G3237))</f>
        <v>KLINIK FT SESI</v>
      </c>
      <c r="L1450" s="43" t="str">
        <f t="shared" si="3"/>
        <v>LANJUTAN</v>
      </c>
      <c r="M1450" s="144" t="s">
        <v>31</v>
      </c>
      <c r="N1450" s="145">
        <v>180000.0</v>
      </c>
      <c r="O1450" s="146">
        <v>0.0</v>
      </c>
      <c r="P1450" s="48">
        <v>180000.0</v>
      </c>
      <c r="Q1450" s="147">
        <v>0.0</v>
      </c>
      <c r="R1450" s="41" t="s">
        <v>32</v>
      </c>
      <c r="S1450" s="69" t="s">
        <v>33</v>
      </c>
      <c r="T1450" s="51" t="b">
        <v>1</v>
      </c>
      <c r="U1450" s="94"/>
    </row>
    <row r="1451" ht="30.0" customHeight="1">
      <c r="A1451" s="39"/>
      <c r="B1451" s="40">
        <v>3487.0</v>
      </c>
      <c r="C1451" s="41" t="s">
        <v>50</v>
      </c>
      <c r="D1451" s="86">
        <v>46137.0</v>
      </c>
      <c r="E1451" s="43" t="str">
        <f t="shared" si="1"/>
        <v>2026</v>
      </c>
      <c r="F1451" s="43" t="str">
        <f t="shared" si="2"/>
        <v>04 Apr</v>
      </c>
      <c r="G1451" s="45" t="s">
        <v>43</v>
      </c>
      <c r="H1451" s="45" t="s">
        <v>47</v>
      </c>
      <c r="I1451" s="45" t="s">
        <v>1162</v>
      </c>
      <c r="J1451" s="143" t="s">
        <v>119</v>
      </c>
      <c r="K1451" s="43" t="str">
        <f t="array" ref="K1451">IF(J1451="","", XLOOKUP(J1451,'⚙️ Pengaturan'!$E$2:$E3237,'⚙️ Pengaturan'!$G$2:$G3237))</f>
        <v>KLINIK FT PAKET</v>
      </c>
      <c r="L1451" s="43" t="str">
        <f t="shared" si="3"/>
        <v>BARU</v>
      </c>
      <c r="M1451" s="144" t="s">
        <v>60</v>
      </c>
      <c r="N1451" s="145">
        <v>400000.0</v>
      </c>
      <c r="O1451" s="146">
        <v>0.0</v>
      </c>
      <c r="P1451" s="48">
        <f t="array" ref="P1451">IFNA(XLOOKUP(J1451,'⚙️ Pengaturan'!$E$2:$E3237,'⚙️ Pengaturan'!$F$2:$F3237),"")</f>
        <v>750000</v>
      </c>
      <c r="Q1451" s="147">
        <f t="shared" ref="Q1451:Q1458" si="27">IF(I1451="","",(N1451+O1451)-P1451)</f>
        <v>-350000</v>
      </c>
      <c r="R1451" s="41" t="s">
        <v>37</v>
      </c>
      <c r="S1451" s="69" t="s">
        <v>1118</v>
      </c>
      <c r="T1451" s="51" t="b">
        <v>1</v>
      </c>
      <c r="U1451" s="94"/>
    </row>
    <row r="1452" ht="30.0" customHeight="1">
      <c r="A1452" s="39"/>
      <c r="B1452" s="40">
        <v>3488.0</v>
      </c>
      <c r="C1452" s="41" t="s">
        <v>50</v>
      </c>
      <c r="D1452" s="86">
        <v>46132.0</v>
      </c>
      <c r="E1452" s="43" t="str">
        <f t="shared" si="1"/>
        <v>2026</v>
      </c>
      <c r="F1452" s="43" t="str">
        <f t="shared" si="2"/>
        <v>04 Apr</v>
      </c>
      <c r="G1452" s="45" t="s">
        <v>69</v>
      </c>
      <c r="H1452" s="45" t="s">
        <v>162</v>
      </c>
      <c r="I1452" s="45" t="s">
        <v>1151</v>
      </c>
      <c r="J1452" s="143" t="s">
        <v>365</v>
      </c>
      <c r="K1452" s="43" t="str">
        <f t="array" ref="K1452">IF(J1452="","", XLOOKUP(J1452,'⚙️ Pengaturan'!$E$2:$E3237,'⚙️ Pengaturan'!$G$2:$G3237))</f>
        <v>VISIT FT SESI</v>
      </c>
      <c r="L1452" s="43" t="str">
        <f t="shared" si="3"/>
        <v>BARU</v>
      </c>
      <c r="M1452" s="144" t="s">
        <v>31</v>
      </c>
      <c r="N1452" s="145">
        <v>250000.0</v>
      </c>
      <c r="O1452" s="146">
        <v>0.0</v>
      </c>
      <c r="P1452" s="48">
        <f t="array" ref="P1452">IFNA(XLOOKUP(J1452,'⚙️ Pengaturan'!$E$2:$E3237,'⚙️ Pengaturan'!$F$2:$F3237),"")</f>
        <v>250000</v>
      </c>
      <c r="Q1452" s="147">
        <f t="shared" si="27"/>
        <v>0</v>
      </c>
      <c r="R1452" s="41" t="s">
        <v>32</v>
      </c>
      <c r="S1452" s="69" t="s">
        <v>33</v>
      </c>
      <c r="T1452" s="51" t="b">
        <v>1</v>
      </c>
      <c r="U1452" s="94"/>
    </row>
    <row r="1453" ht="30.0" customHeight="1">
      <c r="A1453" s="39"/>
      <c r="B1453" s="40">
        <v>3490.0</v>
      </c>
      <c r="C1453" s="41" t="s">
        <v>50</v>
      </c>
      <c r="D1453" s="86">
        <v>46137.0</v>
      </c>
      <c r="E1453" s="43" t="str">
        <f t="shared" si="1"/>
        <v>2026</v>
      </c>
      <c r="F1453" s="43" t="str">
        <f t="shared" si="2"/>
        <v>04 Apr</v>
      </c>
      <c r="G1453" s="45" t="s">
        <v>173</v>
      </c>
      <c r="H1453" s="45" t="s">
        <v>76</v>
      </c>
      <c r="I1453" s="45" t="s">
        <v>1203</v>
      </c>
      <c r="J1453" s="143" t="s">
        <v>28</v>
      </c>
      <c r="K1453" s="43" t="str">
        <f t="array" ref="K1453">IF(J1453="","", XLOOKUP(J1453,'⚙️ Pengaturan'!$E$2:$E3237,'⚙️ Pengaturan'!$G$2:$G3237))</f>
        <v>KLINIK FT TA</v>
      </c>
      <c r="L1453" s="43" t="str">
        <f t="shared" si="3"/>
        <v>BARU</v>
      </c>
      <c r="M1453" s="144" t="s">
        <v>31</v>
      </c>
      <c r="N1453" s="145">
        <v>250000.0</v>
      </c>
      <c r="O1453" s="146">
        <v>0.0</v>
      </c>
      <c r="P1453" s="48">
        <f t="array" ref="P1453">IFNA(XLOOKUP(J1453,'⚙️ Pengaturan'!$E$2:$E3237,'⚙️ Pengaturan'!$F$2:$F3237),"")</f>
        <v>250000</v>
      </c>
      <c r="Q1453" s="147">
        <f t="shared" si="27"/>
        <v>0</v>
      </c>
      <c r="R1453" s="41" t="s">
        <v>37</v>
      </c>
      <c r="S1453" s="69" t="s">
        <v>1203</v>
      </c>
      <c r="T1453" s="51" t="b">
        <v>1</v>
      </c>
      <c r="U1453" s="94"/>
    </row>
    <row r="1454" ht="30.0" customHeight="1">
      <c r="A1454" s="39"/>
      <c r="B1454" s="40">
        <v>3491.0</v>
      </c>
      <c r="C1454" s="41" t="s">
        <v>50</v>
      </c>
      <c r="D1454" s="86">
        <v>46128.0</v>
      </c>
      <c r="E1454" s="43" t="str">
        <f t="shared" si="1"/>
        <v>2026</v>
      </c>
      <c r="F1454" s="43" t="str">
        <f t="shared" si="2"/>
        <v>04 Apr</v>
      </c>
      <c r="G1454" s="45" t="s">
        <v>69</v>
      </c>
      <c r="H1454" s="45" t="s">
        <v>47</v>
      </c>
      <c r="I1454" s="45" t="s">
        <v>1053</v>
      </c>
      <c r="J1454" s="143" t="s">
        <v>323</v>
      </c>
      <c r="K1454" s="43" t="str">
        <f t="array" ref="K1454">IF(J1454="","", XLOOKUP(J1454,'⚙️ Pengaturan'!$E$2:$E3237,'⚙️ Pengaturan'!$G$2:$G3237))</f>
        <v>VISIT FT SESI</v>
      </c>
      <c r="L1454" s="43" t="str">
        <f t="shared" si="3"/>
        <v>LANJUTAN</v>
      </c>
      <c r="M1454" s="144" t="s">
        <v>31</v>
      </c>
      <c r="N1454" s="145">
        <v>200000.0</v>
      </c>
      <c r="O1454" s="146">
        <v>0.0</v>
      </c>
      <c r="P1454" s="48">
        <f t="array" ref="P1454">IFNA(XLOOKUP(J1454,'⚙️ Pengaturan'!$E$2:$E3237,'⚙️ Pengaturan'!$F$2:$F3237),"")</f>
        <v>200000</v>
      </c>
      <c r="Q1454" s="147">
        <f t="shared" si="27"/>
        <v>0</v>
      </c>
      <c r="R1454" s="41" t="s">
        <v>37</v>
      </c>
      <c r="S1454" s="69" t="s">
        <v>1053</v>
      </c>
      <c r="T1454" s="51" t="b">
        <v>1</v>
      </c>
      <c r="U1454" s="94"/>
    </row>
    <row r="1455" ht="30.0" customHeight="1">
      <c r="A1455" s="39"/>
      <c r="B1455" s="40">
        <v>3492.0</v>
      </c>
      <c r="C1455" s="41" t="s">
        <v>50</v>
      </c>
      <c r="D1455" s="86">
        <v>46132.0</v>
      </c>
      <c r="E1455" s="43" t="str">
        <f t="shared" si="1"/>
        <v>2026</v>
      </c>
      <c r="F1455" s="43" t="str">
        <f t="shared" si="2"/>
        <v>04 Apr</v>
      </c>
      <c r="G1455" s="45" t="s">
        <v>69</v>
      </c>
      <c r="H1455" s="45" t="s">
        <v>47</v>
      </c>
      <c r="I1455" s="45" t="s">
        <v>1053</v>
      </c>
      <c r="J1455" s="143" t="s">
        <v>323</v>
      </c>
      <c r="K1455" s="43" t="str">
        <f t="array" ref="K1455">IF(J1455="","", XLOOKUP(J1455,'⚙️ Pengaturan'!$E$2:$E3237,'⚙️ Pengaturan'!$G$2:$G3237))</f>
        <v>VISIT FT SESI</v>
      </c>
      <c r="L1455" s="43" t="str">
        <f t="shared" si="3"/>
        <v>LANJUTAN</v>
      </c>
      <c r="M1455" s="144" t="s">
        <v>31</v>
      </c>
      <c r="N1455" s="145">
        <v>200000.0</v>
      </c>
      <c r="O1455" s="146">
        <v>0.0</v>
      </c>
      <c r="P1455" s="48">
        <f t="array" ref="P1455">IFNA(XLOOKUP(J1455,'⚙️ Pengaturan'!$E$2:$E3237,'⚙️ Pengaturan'!$F$2:$F3237),"")</f>
        <v>200000</v>
      </c>
      <c r="Q1455" s="147">
        <f t="shared" si="27"/>
        <v>0</v>
      </c>
      <c r="R1455" s="41" t="s">
        <v>32</v>
      </c>
      <c r="S1455" s="69" t="s">
        <v>33</v>
      </c>
      <c r="T1455" s="51" t="b">
        <v>1</v>
      </c>
      <c r="U1455" s="94"/>
    </row>
    <row r="1456" ht="30.0" customHeight="1">
      <c r="A1456" s="39"/>
      <c r="B1456" s="40">
        <v>3493.0</v>
      </c>
      <c r="C1456" s="41" t="s">
        <v>50</v>
      </c>
      <c r="D1456" s="86">
        <v>46137.0</v>
      </c>
      <c r="E1456" s="43" t="str">
        <f t="shared" si="1"/>
        <v>2026</v>
      </c>
      <c r="F1456" s="43" t="str">
        <f t="shared" si="2"/>
        <v>04 Apr</v>
      </c>
      <c r="G1456" s="45" t="s">
        <v>69</v>
      </c>
      <c r="H1456" s="45" t="s">
        <v>166</v>
      </c>
      <c r="I1456" s="45" t="s">
        <v>1204</v>
      </c>
      <c r="J1456" s="143" t="s">
        <v>28</v>
      </c>
      <c r="K1456" s="43" t="str">
        <f t="array" ref="K1456">IF(J1456="","", XLOOKUP(J1456,'⚙️ Pengaturan'!$E$2:$E3237,'⚙️ Pengaturan'!$G$2:$G3237))</f>
        <v>KLINIK FT TA</v>
      </c>
      <c r="L1456" s="43" t="str">
        <f t="shared" si="3"/>
        <v>BARU</v>
      </c>
      <c r="M1456" s="144" t="s">
        <v>31</v>
      </c>
      <c r="N1456" s="145">
        <v>250000.0</v>
      </c>
      <c r="O1456" s="146">
        <v>0.0</v>
      </c>
      <c r="P1456" s="48">
        <f t="array" ref="P1456">IFNA(XLOOKUP(J1456,'⚙️ Pengaturan'!$E$2:$E3237,'⚙️ Pengaturan'!$F$2:$F3237),"")</f>
        <v>250000</v>
      </c>
      <c r="Q1456" s="147">
        <f t="shared" si="27"/>
        <v>0</v>
      </c>
      <c r="R1456" s="41" t="s">
        <v>37</v>
      </c>
      <c r="S1456" s="69" t="s">
        <v>1204</v>
      </c>
      <c r="T1456" s="51" t="b">
        <v>1</v>
      </c>
      <c r="U1456" s="94"/>
    </row>
    <row r="1457" ht="30.0" customHeight="1">
      <c r="A1457" s="39"/>
      <c r="B1457" s="40">
        <v>3494.0</v>
      </c>
      <c r="C1457" s="41" t="s">
        <v>50</v>
      </c>
      <c r="D1457" s="86">
        <v>46137.0</v>
      </c>
      <c r="E1457" s="43" t="str">
        <f t="shared" si="1"/>
        <v>2026</v>
      </c>
      <c r="F1457" s="43" t="str">
        <f t="shared" si="2"/>
        <v>04 Apr</v>
      </c>
      <c r="G1457" s="45" t="s">
        <v>69</v>
      </c>
      <c r="H1457" s="45" t="s">
        <v>96</v>
      </c>
      <c r="I1457" s="45" t="s">
        <v>1205</v>
      </c>
      <c r="J1457" s="143" t="s">
        <v>291</v>
      </c>
      <c r="K1457" s="43" t="str">
        <f t="array" ref="K1457">IF(J1457="","", XLOOKUP(J1457,'⚙️ Pengaturan'!$E$2:$E3237,'⚙️ Pengaturan'!$G$2:$G3237))</f>
        <v>VISIT FT TA</v>
      </c>
      <c r="L1457" s="43" t="str">
        <f t="shared" si="3"/>
        <v>BARU</v>
      </c>
      <c r="M1457" s="144" t="s">
        <v>31</v>
      </c>
      <c r="N1457" s="145">
        <v>350000.0</v>
      </c>
      <c r="O1457" s="146">
        <v>0.0</v>
      </c>
      <c r="P1457" s="48">
        <f t="array" ref="P1457">IFNA(XLOOKUP(J1457,'⚙️ Pengaturan'!$E$2:$E3237,'⚙️ Pengaturan'!$F$2:$F3237),"")</f>
        <v>350000</v>
      </c>
      <c r="Q1457" s="147">
        <f t="shared" si="27"/>
        <v>0</v>
      </c>
      <c r="R1457" s="41" t="s">
        <v>37</v>
      </c>
      <c r="S1457" s="157" t="s">
        <v>1206</v>
      </c>
      <c r="T1457" s="51" t="b">
        <v>1</v>
      </c>
      <c r="U1457" s="94"/>
    </row>
    <row r="1458" ht="30.0" customHeight="1">
      <c r="A1458" s="39"/>
      <c r="B1458" s="40">
        <v>3495.0</v>
      </c>
      <c r="C1458" s="41" t="s">
        <v>79</v>
      </c>
      <c r="D1458" s="86">
        <v>46138.0</v>
      </c>
      <c r="E1458" s="43" t="str">
        <f t="shared" si="1"/>
        <v>2026</v>
      </c>
      <c r="F1458" s="43" t="str">
        <f t="shared" si="2"/>
        <v>04 Apr</v>
      </c>
      <c r="G1458" s="45" t="s">
        <v>195</v>
      </c>
      <c r="H1458" s="45" t="s">
        <v>149</v>
      </c>
      <c r="I1458" s="45" t="s">
        <v>1141</v>
      </c>
      <c r="J1458" s="143" t="s">
        <v>119</v>
      </c>
      <c r="K1458" s="43" t="str">
        <f t="array" ref="K1458">IF(J1458="","", XLOOKUP(J1458,'⚙️ Pengaturan'!$E$2:$E3237,'⚙️ Pengaturan'!$G$2:$G3237))</f>
        <v>KLINIK FT PAKET</v>
      </c>
      <c r="L1458" s="43" t="str">
        <f t="shared" si="3"/>
        <v>LANJUTAN</v>
      </c>
      <c r="M1458" s="144" t="s">
        <v>164</v>
      </c>
      <c r="N1458" s="145">
        <v>500000.0</v>
      </c>
      <c r="O1458" s="146">
        <v>250000.0</v>
      </c>
      <c r="P1458" s="48">
        <f t="array" ref="P1458">IFNA(XLOOKUP(J1458,'⚙️ Pengaturan'!$E$2:$E3237,'⚙️ Pengaturan'!$F$2:$F3237),"")</f>
        <v>750000</v>
      </c>
      <c r="Q1458" s="147">
        <f t="shared" si="27"/>
        <v>0</v>
      </c>
      <c r="R1458" s="41" t="s">
        <v>32</v>
      </c>
      <c r="S1458" s="69" t="s">
        <v>33</v>
      </c>
      <c r="T1458" s="51" t="b">
        <v>1</v>
      </c>
      <c r="U1458" s="94"/>
    </row>
    <row r="1459" ht="30.0" customHeight="1">
      <c r="A1459" s="39"/>
      <c r="B1459" s="40">
        <v>3496.0</v>
      </c>
      <c r="C1459" s="41" t="s">
        <v>79</v>
      </c>
      <c r="D1459" s="86">
        <v>46138.0</v>
      </c>
      <c r="E1459" s="43" t="str">
        <f t="shared" si="1"/>
        <v>2026</v>
      </c>
      <c r="F1459" s="43" t="str">
        <f t="shared" si="2"/>
        <v>04 Apr</v>
      </c>
      <c r="G1459" s="45" t="s">
        <v>206</v>
      </c>
      <c r="H1459" s="45" t="s">
        <v>96</v>
      </c>
      <c r="I1459" s="45" t="s">
        <v>1202</v>
      </c>
      <c r="J1459" s="143" t="s">
        <v>120</v>
      </c>
      <c r="K1459" s="43" t="str">
        <f t="array" ref="K1459">IF(J1459="","", XLOOKUP(J1459,'⚙️ Pengaturan'!$E$2:$E3237,'⚙️ Pengaturan'!$G$2:$G3237))</f>
        <v>KLINIK FT SESI</v>
      </c>
      <c r="L1459" s="43" t="str">
        <f t="shared" si="3"/>
        <v>BARU</v>
      </c>
      <c r="M1459" s="144" t="s">
        <v>31</v>
      </c>
      <c r="N1459" s="145">
        <v>180000.0</v>
      </c>
      <c r="O1459" s="146">
        <v>0.0</v>
      </c>
      <c r="P1459" s="48">
        <v>180000.0</v>
      </c>
      <c r="Q1459" s="147">
        <v>0.0</v>
      </c>
      <c r="R1459" s="41" t="s">
        <v>118</v>
      </c>
      <c r="S1459" s="69" t="s">
        <v>1202</v>
      </c>
      <c r="T1459" s="51" t="b">
        <v>1</v>
      </c>
      <c r="U1459" s="94"/>
    </row>
    <row r="1460" ht="30.0" customHeight="1">
      <c r="A1460" s="39"/>
      <c r="B1460" s="40">
        <v>3497.0</v>
      </c>
      <c r="C1460" s="41" t="s">
        <v>79</v>
      </c>
      <c r="D1460" s="86">
        <v>46138.0</v>
      </c>
      <c r="E1460" s="43" t="str">
        <f t="shared" si="1"/>
        <v>2026</v>
      </c>
      <c r="F1460" s="43" t="str">
        <f t="shared" si="2"/>
        <v>04 Apr</v>
      </c>
      <c r="G1460" s="45" t="s">
        <v>206</v>
      </c>
      <c r="H1460" s="45" t="s">
        <v>96</v>
      </c>
      <c r="I1460" s="45" t="s">
        <v>1202</v>
      </c>
      <c r="J1460" s="143" t="s">
        <v>120</v>
      </c>
      <c r="K1460" s="43" t="str">
        <f t="array" ref="K1460">IF(J1460="","", XLOOKUP(J1460,'⚙️ Pengaturan'!$E$2:$E3237,'⚙️ Pengaturan'!$G$2:$G3237))</f>
        <v>KLINIK FT SESI</v>
      </c>
      <c r="L1460" s="43" t="str">
        <f t="shared" si="3"/>
        <v>LANJUTAN</v>
      </c>
      <c r="M1460" s="144" t="s">
        <v>31</v>
      </c>
      <c r="N1460" s="145">
        <v>180000.0</v>
      </c>
      <c r="O1460" s="146">
        <v>0.0</v>
      </c>
      <c r="P1460" s="48">
        <v>180000.0</v>
      </c>
      <c r="Q1460" s="147">
        <v>0.0</v>
      </c>
      <c r="R1460" s="41" t="s">
        <v>118</v>
      </c>
      <c r="S1460" s="69" t="s">
        <v>1202</v>
      </c>
      <c r="T1460" s="51" t="b">
        <v>1</v>
      </c>
      <c r="U1460" s="94"/>
    </row>
    <row r="1461" ht="30.0" customHeight="1">
      <c r="A1461" s="39"/>
      <c r="B1461" s="40">
        <v>3498.0</v>
      </c>
      <c r="C1461" s="41" t="s">
        <v>79</v>
      </c>
      <c r="D1461" s="86">
        <v>46138.0</v>
      </c>
      <c r="E1461" s="43" t="str">
        <f t="shared" si="1"/>
        <v>2026</v>
      </c>
      <c r="F1461" s="43" t="str">
        <f t="shared" si="2"/>
        <v>04 Apr</v>
      </c>
      <c r="G1461" s="45" t="s">
        <v>206</v>
      </c>
      <c r="H1461" s="45" t="s">
        <v>47</v>
      </c>
      <c r="I1461" s="45" t="s">
        <v>1164</v>
      </c>
      <c r="J1461" s="143" t="s">
        <v>120</v>
      </c>
      <c r="K1461" s="43" t="str">
        <f t="array" ref="K1461">IF(J1461="","", XLOOKUP(J1461,'⚙️ Pengaturan'!$E$2:$E3237,'⚙️ Pengaturan'!$G$2:$G3237))</f>
        <v>KLINIK FT SESI</v>
      </c>
      <c r="L1461" s="43" t="str">
        <f t="shared" si="3"/>
        <v>LANJUTAN</v>
      </c>
      <c r="M1461" s="144" t="s">
        <v>31</v>
      </c>
      <c r="N1461" s="145">
        <v>180000.0</v>
      </c>
      <c r="O1461" s="146">
        <v>0.0</v>
      </c>
      <c r="P1461" s="48">
        <v>180000.0</v>
      </c>
      <c r="Q1461" s="147">
        <v>0.0</v>
      </c>
      <c r="R1461" s="41" t="s">
        <v>37</v>
      </c>
      <c r="S1461" s="69" t="s">
        <v>1207</v>
      </c>
      <c r="T1461" s="51" t="b">
        <v>1</v>
      </c>
      <c r="U1461" s="94"/>
    </row>
    <row r="1462" ht="30.0" customHeight="1">
      <c r="A1462" s="39"/>
      <c r="B1462" s="40">
        <v>3499.0</v>
      </c>
      <c r="C1462" s="41" t="s">
        <v>79</v>
      </c>
      <c r="D1462" s="86">
        <v>46138.0</v>
      </c>
      <c r="E1462" s="43" t="str">
        <f t="shared" si="1"/>
        <v>2026</v>
      </c>
      <c r="F1462" s="43" t="str">
        <f t="shared" si="2"/>
        <v>04 Apr</v>
      </c>
      <c r="G1462" s="45" t="s">
        <v>206</v>
      </c>
      <c r="H1462" s="45" t="s">
        <v>47</v>
      </c>
      <c r="I1462" s="45" t="s">
        <v>1091</v>
      </c>
      <c r="J1462" s="143" t="s">
        <v>119</v>
      </c>
      <c r="K1462" s="43" t="str">
        <f t="array" ref="K1462">IF(J1462="","", XLOOKUP(J1462,'⚙️ Pengaturan'!$E$2:$E3237,'⚙️ Pengaturan'!$G$2:$G3237))</f>
        <v>KLINIK FT PAKET</v>
      </c>
      <c r="L1462" s="43" t="str">
        <f t="shared" si="3"/>
        <v>LANJUTAN</v>
      </c>
      <c r="M1462" s="144" t="s">
        <v>164</v>
      </c>
      <c r="N1462" s="145">
        <v>200000.0</v>
      </c>
      <c r="O1462" s="146">
        <v>550000.0</v>
      </c>
      <c r="P1462" s="48">
        <f t="array" ref="P1462">IFNA(XLOOKUP(J1462,'⚙️ Pengaturan'!$E$2:$E3237,'⚙️ Pengaturan'!$F$2:$F3237),"")</f>
        <v>750000</v>
      </c>
      <c r="Q1462" s="147">
        <f>IF(I1462="","",(N1462+O1462)-P1462)</f>
        <v>0</v>
      </c>
      <c r="R1462" s="41" t="s">
        <v>37</v>
      </c>
      <c r="S1462" s="69" t="s">
        <v>1091</v>
      </c>
      <c r="T1462" s="51" t="b">
        <v>1</v>
      </c>
      <c r="U1462" s="94"/>
    </row>
    <row r="1463" ht="30.0" customHeight="1">
      <c r="A1463" s="39"/>
      <c r="B1463" s="40">
        <v>3500.0</v>
      </c>
      <c r="C1463" s="41" t="s">
        <v>79</v>
      </c>
      <c r="D1463" s="86">
        <v>46138.0</v>
      </c>
      <c r="E1463" s="43" t="str">
        <f t="shared" si="1"/>
        <v>2026</v>
      </c>
      <c r="F1463" s="43" t="str">
        <f t="shared" si="2"/>
        <v>04 Apr</v>
      </c>
      <c r="G1463" s="45" t="s">
        <v>206</v>
      </c>
      <c r="H1463" s="45" t="s">
        <v>41</v>
      </c>
      <c r="I1463" s="45" t="s">
        <v>1192</v>
      </c>
      <c r="J1463" s="143" t="s">
        <v>120</v>
      </c>
      <c r="K1463" s="43" t="str">
        <f t="array" ref="K1463">IF(J1463="","", XLOOKUP(J1463,'⚙️ Pengaturan'!$E$2:$E3237,'⚙️ Pengaturan'!$G$2:$G3237))</f>
        <v>KLINIK FT SESI</v>
      </c>
      <c r="L1463" s="43" t="str">
        <f t="shared" si="3"/>
        <v>BARU</v>
      </c>
      <c r="M1463" s="144" t="s">
        <v>31</v>
      </c>
      <c r="N1463" s="145">
        <v>180000.0</v>
      </c>
      <c r="O1463" s="146">
        <v>0.0</v>
      </c>
      <c r="P1463" s="48">
        <v>180000.0</v>
      </c>
      <c r="Q1463" s="147">
        <v>0.0</v>
      </c>
      <c r="R1463" s="41" t="s">
        <v>32</v>
      </c>
      <c r="S1463" s="69" t="s">
        <v>33</v>
      </c>
      <c r="T1463" s="51" t="b">
        <v>1</v>
      </c>
      <c r="U1463" s="94"/>
    </row>
    <row r="1464" ht="30.0" customHeight="1">
      <c r="A1464" s="39"/>
      <c r="B1464" s="40">
        <v>3501.0</v>
      </c>
      <c r="C1464" s="41" t="s">
        <v>79</v>
      </c>
      <c r="D1464" s="86">
        <v>46138.0</v>
      </c>
      <c r="E1464" s="43" t="str">
        <f t="shared" si="1"/>
        <v>2026</v>
      </c>
      <c r="F1464" s="43" t="str">
        <f t="shared" si="2"/>
        <v>04 Apr</v>
      </c>
      <c r="G1464" s="45" t="s">
        <v>206</v>
      </c>
      <c r="H1464" s="45" t="s">
        <v>41</v>
      </c>
      <c r="I1464" s="45" t="s">
        <v>1192</v>
      </c>
      <c r="J1464" s="143" t="s">
        <v>120</v>
      </c>
      <c r="K1464" s="43" t="str">
        <f t="array" ref="K1464">IF(J1464="","", XLOOKUP(J1464,'⚙️ Pengaturan'!$E$2:$E3237,'⚙️ Pengaturan'!$G$2:$G3237))</f>
        <v>KLINIK FT SESI</v>
      </c>
      <c r="L1464" s="43" t="str">
        <f t="shared" si="3"/>
        <v>LANJUTAN</v>
      </c>
      <c r="M1464" s="144" t="s">
        <v>31</v>
      </c>
      <c r="N1464" s="145">
        <v>180000.0</v>
      </c>
      <c r="O1464" s="146">
        <v>0.0</v>
      </c>
      <c r="P1464" s="48">
        <v>180000.0</v>
      </c>
      <c r="Q1464" s="147">
        <v>0.0</v>
      </c>
      <c r="R1464" s="41" t="s">
        <v>32</v>
      </c>
      <c r="S1464" s="69" t="s">
        <v>33</v>
      </c>
      <c r="T1464" s="51" t="b">
        <v>1</v>
      </c>
      <c r="U1464" s="94"/>
    </row>
    <row r="1465" ht="30.0" customHeight="1">
      <c r="A1465" s="39"/>
      <c r="B1465" s="40">
        <v>3502.0</v>
      </c>
      <c r="C1465" s="41" t="s">
        <v>79</v>
      </c>
      <c r="D1465" s="86">
        <v>46138.0</v>
      </c>
      <c r="E1465" s="43" t="str">
        <f t="shared" si="1"/>
        <v>2026</v>
      </c>
      <c r="F1465" s="43" t="str">
        <f t="shared" si="2"/>
        <v>04 Apr</v>
      </c>
      <c r="G1465" s="45" t="s">
        <v>206</v>
      </c>
      <c r="H1465" s="45" t="s">
        <v>76</v>
      </c>
      <c r="I1465" s="45" t="s">
        <v>600</v>
      </c>
      <c r="J1465" s="143" t="s">
        <v>92</v>
      </c>
      <c r="K1465" s="43" t="str">
        <f t="array" ref="K1465">IF(J1465="","", XLOOKUP(J1465,'⚙️ Pengaturan'!$E$2:$E3237,'⚙️ Pengaturan'!$G$2:$G3237))</f>
        <v>KLINIK FT PAKET</v>
      </c>
      <c r="L1465" s="43" t="str">
        <f t="shared" si="3"/>
        <v>LANJUTAN</v>
      </c>
      <c r="M1465" s="144" t="s">
        <v>164</v>
      </c>
      <c r="N1465" s="145">
        <v>1000000.0</v>
      </c>
      <c r="O1465" s="146">
        <v>200000.0</v>
      </c>
      <c r="P1465" s="48">
        <f t="array" ref="P1465">IFNA(XLOOKUP(J1465,'⚙️ Pengaturan'!$E$2:$E3237,'⚙️ Pengaturan'!$F$2:$F3237),"")</f>
        <v>1200000</v>
      </c>
      <c r="Q1465" s="147">
        <f>IF(I1465="","",(N1465+O1465)-P1465)</f>
        <v>0</v>
      </c>
      <c r="R1465" s="41" t="s">
        <v>37</v>
      </c>
      <c r="S1465" s="69" t="s">
        <v>600</v>
      </c>
      <c r="T1465" s="51" t="b">
        <v>1</v>
      </c>
      <c r="U1465" s="94"/>
    </row>
    <row r="1466" ht="30.0" customHeight="1">
      <c r="A1466" s="39"/>
      <c r="B1466" s="40">
        <v>3503.0</v>
      </c>
      <c r="C1466" s="41" t="s">
        <v>79</v>
      </c>
      <c r="D1466" s="86">
        <v>46138.0</v>
      </c>
      <c r="E1466" s="43" t="str">
        <f t="shared" si="1"/>
        <v>2026</v>
      </c>
      <c r="F1466" s="43" t="str">
        <f t="shared" si="2"/>
        <v>04 Apr</v>
      </c>
      <c r="G1466" s="45" t="s">
        <v>161</v>
      </c>
      <c r="H1466" s="45" t="s">
        <v>47</v>
      </c>
      <c r="I1466" s="45" t="s">
        <v>1208</v>
      </c>
      <c r="J1466" s="143" t="s">
        <v>28</v>
      </c>
      <c r="K1466" s="43" t="str">
        <f t="array" ref="K1466">IF(J1466="","", XLOOKUP(J1466,'⚙️ Pengaturan'!$E$2:$E3237,'⚙️ Pengaturan'!$G$2:$G3237))</f>
        <v>KLINIK FT TA</v>
      </c>
      <c r="L1466" s="43" t="str">
        <f t="shared" si="3"/>
        <v>BARU</v>
      </c>
      <c r="M1466" s="144" t="s">
        <v>31</v>
      </c>
      <c r="N1466" s="145">
        <v>250000.0</v>
      </c>
      <c r="O1466" s="146">
        <v>0.0</v>
      </c>
      <c r="P1466" s="48">
        <v>250000.0</v>
      </c>
      <c r="Q1466" s="147">
        <v>0.0</v>
      </c>
      <c r="R1466" s="41" t="s">
        <v>32</v>
      </c>
      <c r="S1466" s="69" t="s">
        <v>33</v>
      </c>
      <c r="T1466" s="51" t="b">
        <v>1</v>
      </c>
      <c r="U1466" s="94"/>
    </row>
    <row r="1467" ht="30.0" customHeight="1">
      <c r="A1467" s="39"/>
      <c r="B1467" s="40">
        <v>3504.0</v>
      </c>
      <c r="C1467" s="41" t="s">
        <v>79</v>
      </c>
      <c r="D1467" s="86">
        <v>46138.0</v>
      </c>
      <c r="E1467" s="43" t="str">
        <f t="shared" si="1"/>
        <v>2026</v>
      </c>
      <c r="F1467" s="43" t="str">
        <f t="shared" si="2"/>
        <v>04 Apr</v>
      </c>
      <c r="G1467" s="45" t="s">
        <v>161</v>
      </c>
      <c r="H1467" s="45" t="s">
        <v>166</v>
      </c>
      <c r="I1467" s="45" t="s">
        <v>817</v>
      </c>
      <c r="J1467" s="143" t="s">
        <v>365</v>
      </c>
      <c r="K1467" s="43" t="str">
        <f t="array" ref="K1467">IF(J1467="","", XLOOKUP(J1467,'⚙️ Pengaturan'!$E$2:$E3237,'⚙️ Pengaturan'!$G$2:$G3237))</f>
        <v>VISIT FT SESI</v>
      </c>
      <c r="L1467" s="43" t="str">
        <f t="shared" si="3"/>
        <v>LANJUTAN</v>
      </c>
      <c r="M1467" s="144" t="s">
        <v>31</v>
      </c>
      <c r="N1467" s="145">
        <v>250000.0</v>
      </c>
      <c r="O1467" s="146">
        <v>0.0</v>
      </c>
      <c r="P1467" s="48">
        <f t="array" ref="P1467">IFNA(XLOOKUP(J1467,'⚙️ Pengaturan'!$E$2:$E3237,'⚙️ Pengaturan'!$F$2:$F3237),"")</f>
        <v>250000</v>
      </c>
      <c r="Q1467" s="147">
        <f t="shared" ref="Q1467:Q1507" si="28">IF(I1467="","",(N1467+O1467)-P1467)</f>
        <v>0</v>
      </c>
      <c r="R1467" s="41" t="s">
        <v>32</v>
      </c>
      <c r="S1467" s="69" t="s">
        <v>33</v>
      </c>
      <c r="T1467" s="51" t="b">
        <v>1</v>
      </c>
      <c r="U1467" s="94"/>
    </row>
    <row r="1468" ht="30.0" customHeight="1">
      <c r="A1468" s="39"/>
      <c r="B1468" s="40">
        <v>3505.0</v>
      </c>
      <c r="C1468" s="41" t="s">
        <v>39</v>
      </c>
      <c r="D1468" s="86">
        <v>46137.0</v>
      </c>
      <c r="E1468" s="43" t="str">
        <f t="shared" si="1"/>
        <v>2026</v>
      </c>
      <c r="F1468" s="43" t="str">
        <f t="shared" si="2"/>
        <v>04 Apr</v>
      </c>
      <c r="G1468" s="45" t="s">
        <v>69</v>
      </c>
      <c r="H1468" s="45" t="s">
        <v>96</v>
      </c>
      <c r="I1468" s="45" t="s">
        <v>1205</v>
      </c>
      <c r="J1468" s="143" t="s">
        <v>364</v>
      </c>
      <c r="K1468" s="43" t="str">
        <f t="array" ref="K1468">IF(J1468="","", XLOOKUP(J1468,'⚙️ Pengaturan'!$E$2:$E3237,'⚙️ Pengaturan'!$G$2:$G3237))</f>
        <v>VISIT FT PAKET</v>
      </c>
      <c r="L1468" s="43" t="str">
        <f t="shared" si="3"/>
        <v>BARU</v>
      </c>
      <c r="M1468" s="144" t="s">
        <v>31</v>
      </c>
      <c r="N1468" s="145">
        <v>2300000.0</v>
      </c>
      <c r="O1468" s="146">
        <v>0.0</v>
      </c>
      <c r="P1468" s="48">
        <f t="array" ref="P1468">IFNA(XLOOKUP(J1468,'⚙️ Pengaturan'!$E$2:$E3237,'⚙️ Pengaturan'!$F$2:$F3237),"")</f>
        <v>2300000</v>
      </c>
      <c r="Q1468" s="147">
        <f t="shared" si="28"/>
        <v>0</v>
      </c>
      <c r="R1468" s="41" t="s">
        <v>37</v>
      </c>
      <c r="S1468" s="157" t="s">
        <v>1206</v>
      </c>
      <c r="T1468" s="51" t="b">
        <v>1</v>
      </c>
      <c r="U1468" s="94"/>
    </row>
    <row r="1469" ht="30.0" customHeight="1">
      <c r="A1469" s="39"/>
      <c r="B1469" s="40">
        <v>3506.0</v>
      </c>
      <c r="C1469" s="41" t="s">
        <v>39</v>
      </c>
      <c r="D1469" s="86">
        <v>46138.0</v>
      </c>
      <c r="E1469" s="43" t="str">
        <f t="shared" si="1"/>
        <v>2026</v>
      </c>
      <c r="F1469" s="43" t="str">
        <f t="shared" si="2"/>
        <v>04 Apr</v>
      </c>
      <c r="G1469" s="45" t="s">
        <v>69</v>
      </c>
      <c r="H1469" s="45" t="s">
        <v>166</v>
      </c>
      <c r="I1469" s="45" t="s">
        <v>648</v>
      </c>
      <c r="J1469" s="143" t="s">
        <v>364</v>
      </c>
      <c r="K1469" s="43" t="str">
        <f t="array" ref="K1469">IF(J1469="","", XLOOKUP(J1469,'⚙️ Pengaturan'!$E$2:$E3237,'⚙️ Pengaturan'!$G$2:$G3237))</f>
        <v>VISIT FT PAKET</v>
      </c>
      <c r="L1469" s="43" t="str">
        <f t="shared" si="3"/>
        <v>LANJUTAN</v>
      </c>
      <c r="M1469" s="144" t="s">
        <v>31</v>
      </c>
      <c r="N1469" s="145">
        <v>2300000.0</v>
      </c>
      <c r="O1469" s="146">
        <v>0.0</v>
      </c>
      <c r="P1469" s="48">
        <f t="array" ref="P1469">IFNA(XLOOKUP(J1469,'⚙️ Pengaturan'!$E$2:$E3237,'⚙️ Pengaturan'!$F$2:$F3237),"")</f>
        <v>2300000</v>
      </c>
      <c r="Q1469" s="147">
        <f t="shared" si="28"/>
        <v>0</v>
      </c>
      <c r="R1469" s="41" t="s">
        <v>37</v>
      </c>
      <c r="S1469" s="69" t="s">
        <v>648</v>
      </c>
      <c r="T1469" s="51" t="b">
        <v>1</v>
      </c>
      <c r="U1469" s="94"/>
    </row>
    <row r="1470" ht="30.0" customHeight="1">
      <c r="A1470" s="39"/>
      <c r="B1470" s="40">
        <v>3507.0</v>
      </c>
      <c r="C1470" s="41" t="s">
        <v>39</v>
      </c>
      <c r="D1470" s="86">
        <v>46138.0</v>
      </c>
      <c r="E1470" s="43" t="str">
        <f t="shared" si="1"/>
        <v>2026</v>
      </c>
      <c r="F1470" s="43" t="str">
        <f t="shared" si="2"/>
        <v>04 Apr</v>
      </c>
      <c r="G1470" s="45" t="s">
        <v>35</v>
      </c>
      <c r="H1470" s="45" t="s">
        <v>41</v>
      </c>
      <c r="I1470" s="45" t="s">
        <v>1185</v>
      </c>
      <c r="J1470" s="143" t="s">
        <v>120</v>
      </c>
      <c r="K1470" s="43" t="str">
        <f t="array" ref="K1470">IF(J1470="","", XLOOKUP(J1470,'⚙️ Pengaturan'!$E$2:$E3237,'⚙️ Pengaturan'!$G$2:$G3237))</f>
        <v>KLINIK FT SESI</v>
      </c>
      <c r="L1470" s="43" t="str">
        <f t="shared" si="3"/>
        <v>LANJUTAN</v>
      </c>
      <c r="M1470" s="144" t="s">
        <v>31</v>
      </c>
      <c r="N1470" s="145">
        <v>180000.0</v>
      </c>
      <c r="O1470" s="146">
        <v>0.0</v>
      </c>
      <c r="P1470" s="48">
        <f t="array" ref="P1470">IFNA(XLOOKUP(J1470,'⚙️ Pengaturan'!$E$2:$E3237,'⚙️ Pengaturan'!$F$2:$F3237),"")</f>
        <v>180000</v>
      </c>
      <c r="Q1470" s="147">
        <f t="shared" si="28"/>
        <v>0</v>
      </c>
      <c r="R1470" s="41" t="s">
        <v>37</v>
      </c>
      <c r="S1470" s="69" t="s">
        <v>1185</v>
      </c>
      <c r="T1470" s="51" t="b">
        <v>1</v>
      </c>
      <c r="U1470" s="94"/>
    </row>
    <row r="1471" ht="30.0" customHeight="1">
      <c r="A1471" s="39"/>
      <c r="B1471" s="40">
        <v>3508.0</v>
      </c>
      <c r="C1471" s="41" t="s">
        <v>39</v>
      </c>
      <c r="D1471" s="86">
        <v>46138.0</v>
      </c>
      <c r="E1471" s="43" t="str">
        <f t="shared" si="1"/>
        <v>2026</v>
      </c>
      <c r="F1471" s="43" t="str">
        <f t="shared" si="2"/>
        <v>04 Apr</v>
      </c>
      <c r="G1471" s="45" t="s">
        <v>40</v>
      </c>
      <c r="H1471" s="45" t="s">
        <v>162</v>
      </c>
      <c r="I1471" s="45" t="s">
        <v>1133</v>
      </c>
      <c r="J1471" s="143" t="s">
        <v>120</v>
      </c>
      <c r="K1471" s="43" t="str">
        <f t="array" ref="K1471">IF(J1471="","", XLOOKUP(J1471,'⚙️ Pengaturan'!$E$2:$E3237,'⚙️ Pengaturan'!$G$2:$G3237))</f>
        <v>KLINIK FT SESI</v>
      </c>
      <c r="L1471" s="43" t="str">
        <f t="shared" si="3"/>
        <v>LANJUTAN</v>
      </c>
      <c r="M1471" s="144" t="s">
        <v>31</v>
      </c>
      <c r="N1471" s="145">
        <v>180000.0</v>
      </c>
      <c r="O1471" s="146">
        <v>0.0</v>
      </c>
      <c r="P1471" s="48">
        <f t="array" ref="P1471">IFNA(XLOOKUP(J1471,'⚙️ Pengaturan'!$E$2:$E3237,'⚙️ Pengaturan'!$F$2:$F3237),"")</f>
        <v>180000</v>
      </c>
      <c r="Q1471" s="147">
        <f t="shared" si="28"/>
        <v>0</v>
      </c>
      <c r="R1471" s="41" t="s">
        <v>32</v>
      </c>
      <c r="S1471" s="69" t="s">
        <v>33</v>
      </c>
      <c r="T1471" s="51" t="b">
        <v>1</v>
      </c>
      <c r="U1471" s="94"/>
    </row>
    <row r="1472" ht="30.0" customHeight="1">
      <c r="A1472" s="39"/>
      <c r="B1472" s="40">
        <v>3509.0</v>
      </c>
      <c r="C1472" s="41" t="s">
        <v>39</v>
      </c>
      <c r="D1472" s="86">
        <v>46138.0</v>
      </c>
      <c r="E1472" s="43" t="str">
        <f t="shared" si="1"/>
        <v>2026</v>
      </c>
      <c r="F1472" s="43" t="str">
        <f t="shared" si="2"/>
        <v>04 Apr</v>
      </c>
      <c r="G1472" s="45" t="s">
        <v>43</v>
      </c>
      <c r="H1472" s="45" t="s">
        <v>26</v>
      </c>
      <c r="I1472" s="45" t="s">
        <v>1181</v>
      </c>
      <c r="J1472" s="143" t="s">
        <v>120</v>
      </c>
      <c r="K1472" s="43" t="str">
        <f t="array" ref="K1472">IF(J1472="","", XLOOKUP(J1472,'⚙️ Pengaturan'!$E$2:$E3237,'⚙️ Pengaturan'!$G$2:$G3237))</f>
        <v>KLINIK FT SESI</v>
      </c>
      <c r="L1472" s="43" t="str">
        <f t="shared" si="3"/>
        <v>LANJUTAN</v>
      </c>
      <c r="M1472" s="144" t="s">
        <v>31</v>
      </c>
      <c r="N1472" s="145">
        <v>180000.0</v>
      </c>
      <c r="O1472" s="146">
        <v>0.0</v>
      </c>
      <c r="P1472" s="48">
        <f t="array" ref="P1472">IFNA(XLOOKUP(J1472,'⚙️ Pengaturan'!$E$2:$E3237,'⚙️ Pengaturan'!$F$2:$F3237),"")</f>
        <v>180000</v>
      </c>
      <c r="Q1472" s="147">
        <f t="shared" si="28"/>
        <v>0</v>
      </c>
      <c r="R1472" s="41" t="s">
        <v>32</v>
      </c>
      <c r="S1472" s="69" t="s">
        <v>33</v>
      </c>
      <c r="T1472" s="51" t="b">
        <v>1</v>
      </c>
      <c r="U1472" s="94"/>
    </row>
    <row r="1473" ht="30.0" customHeight="1">
      <c r="A1473" s="39"/>
      <c r="B1473" s="40">
        <v>3510.0</v>
      </c>
      <c r="C1473" s="41" t="s">
        <v>39</v>
      </c>
      <c r="D1473" s="86">
        <v>46138.0</v>
      </c>
      <c r="E1473" s="43" t="str">
        <f t="shared" si="1"/>
        <v>2026</v>
      </c>
      <c r="F1473" s="43" t="str">
        <f t="shared" si="2"/>
        <v>04 Apr</v>
      </c>
      <c r="G1473" s="45" t="s">
        <v>40</v>
      </c>
      <c r="H1473" s="45" t="s">
        <v>26</v>
      </c>
      <c r="I1473" s="45" t="s">
        <v>1065</v>
      </c>
      <c r="J1473" s="143" t="s">
        <v>347</v>
      </c>
      <c r="K1473" s="43" t="str">
        <f t="array" ref="K1473">IF(J1473="","", XLOOKUP(J1473,'⚙️ Pengaturan'!$E$2:$E3237,'⚙️ Pengaturan'!$G$2:$G3237))</f>
        <v>KLINIK FT PAKET</v>
      </c>
      <c r="L1473" s="43" t="str">
        <f t="shared" si="3"/>
        <v>LANJUTAN</v>
      </c>
      <c r="M1473" s="144" t="s">
        <v>81</v>
      </c>
      <c r="N1473" s="145">
        <v>500000.0</v>
      </c>
      <c r="O1473" s="146">
        <v>500000.0</v>
      </c>
      <c r="P1473" s="48">
        <f t="array" ref="P1473">IFNA(XLOOKUP(J1473,'⚙️ Pengaturan'!$E$2:$E3237,'⚙️ Pengaturan'!$F$2:$F3237),"")</f>
        <v>1300000</v>
      </c>
      <c r="Q1473" s="147">
        <f t="shared" si="28"/>
        <v>-300000</v>
      </c>
      <c r="R1473" s="41" t="s">
        <v>32</v>
      </c>
      <c r="S1473" s="69" t="s">
        <v>33</v>
      </c>
      <c r="T1473" s="51" t="b">
        <v>1</v>
      </c>
      <c r="U1473" s="94"/>
    </row>
    <row r="1474" ht="30.0" customHeight="1">
      <c r="A1474" s="39"/>
      <c r="B1474" s="40">
        <v>3511.0</v>
      </c>
      <c r="C1474" s="41" t="s">
        <v>39</v>
      </c>
      <c r="D1474" s="86">
        <v>46138.0</v>
      </c>
      <c r="E1474" s="43" t="str">
        <f t="shared" si="1"/>
        <v>2026</v>
      </c>
      <c r="F1474" s="43" t="str">
        <f t="shared" si="2"/>
        <v>04 Apr</v>
      </c>
      <c r="G1474" s="45" t="s">
        <v>69</v>
      </c>
      <c r="H1474" s="45" t="s">
        <v>76</v>
      </c>
      <c r="I1474" s="45" t="s">
        <v>170</v>
      </c>
      <c r="J1474" s="143" t="s">
        <v>56</v>
      </c>
      <c r="K1474" s="43" t="str">
        <f t="array" ref="K1474">IF(J1474="","", XLOOKUP(J1474,'⚙️ Pengaturan'!$E$2:$E3237,'⚙️ Pengaturan'!$G$2:$G3237))</f>
        <v>KLINIK FT PAKET</v>
      </c>
      <c r="L1474" s="43" t="str">
        <f t="shared" si="3"/>
        <v>LANJUTAN</v>
      </c>
      <c r="M1474" s="144" t="s">
        <v>31</v>
      </c>
      <c r="N1474" s="145">
        <v>650000.0</v>
      </c>
      <c r="O1474" s="146">
        <v>0.0</v>
      </c>
      <c r="P1474" s="48">
        <f t="array" ref="P1474">IFNA(XLOOKUP(J1474,'⚙️ Pengaturan'!$E$2:$E3237,'⚙️ Pengaturan'!$F$2:$F3237),"")</f>
        <v>650000</v>
      </c>
      <c r="Q1474" s="147">
        <f t="shared" si="28"/>
        <v>0</v>
      </c>
      <c r="R1474" s="41" t="s">
        <v>37</v>
      </c>
      <c r="S1474" s="69" t="s">
        <v>172</v>
      </c>
      <c r="T1474" s="51" t="b">
        <v>1</v>
      </c>
      <c r="U1474" s="94"/>
    </row>
    <row r="1475" ht="30.0" customHeight="1">
      <c r="A1475" s="39"/>
      <c r="B1475" s="40">
        <v>3512.0</v>
      </c>
      <c r="C1475" s="41" t="s">
        <v>39</v>
      </c>
      <c r="D1475" s="86">
        <v>46139.0</v>
      </c>
      <c r="E1475" s="43" t="str">
        <f t="shared" si="1"/>
        <v>2026</v>
      </c>
      <c r="F1475" s="43" t="str">
        <f t="shared" si="2"/>
        <v>04 Apr</v>
      </c>
      <c r="G1475" s="45" t="s">
        <v>195</v>
      </c>
      <c r="H1475" s="45" t="s">
        <v>166</v>
      </c>
      <c r="I1475" s="45" t="s">
        <v>1128</v>
      </c>
      <c r="J1475" s="143" t="s">
        <v>28</v>
      </c>
      <c r="K1475" s="43" t="str">
        <f t="array" ref="K1475">IF(J1475="","", XLOOKUP(J1475,'⚙️ Pengaturan'!$E$2:$E3237,'⚙️ Pengaturan'!$G$2:$G3237))</f>
        <v>KLINIK FT TA</v>
      </c>
      <c r="L1475" s="43" t="str">
        <f t="shared" si="3"/>
        <v>LANJUTAN</v>
      </c>
      <c r="M1475" s="144" t="s">
        <v>31</v>
      </c>
      <c r="N1475" s="145">
        <v>250000.0</v>
      </c>
      <c r="O1475" s="146">
        <v>0.0</v>
      </c>
      <c r="P1475" s="48">
        <f t="array" ref="P1475">IFNA(XLOOKUP(J1475,'⚙️ Pengaturan'!$E$2:$E3237,'⚙️ Pengaturan'!$F$2:$F3237),"")</f>
        <v>250000</v>
      </c>
      <c r="Q1475" s="147">
        <f t="shared" si="28"/>
        <v>0</v>
      </c>
      <c r="R1475" s="41" t="s">
        <v>37</v>
      </c>
      <c r="S1475" s="69" t="s">
        <v>1128</v>
      </c>
      <c r="T1475" s="51" t="b">
        <v>1</v>
      </c>
      <c r="U1475" s="94"/>
    </row>
    <row r="1476" ht="30.0" customHeight="1">
      <c r="A1476" s="39"/>
      <c r="B1476" s="40">
        <v>3513.0</v>
      </c>
      <c r="C1476" s="41" t="s">
        <v>39</v>
      </c>
      <c r="D1476" s="86">
        <v>46139.0</v>
      </c>
      <c r="E1476" s="43" t="str">
        <f t="shared" si="1"/>
        <v>2026</v>
      </c>
      <c r="F1476" s="43" t="str">
        <f t="shared" si="2"/>
        <v>04 Apr</v>
      </c>
      <c r="G1476" s="45" t="s">
        <v>161</v>
      </c>
      <c r="H1476" s="45" t="s">
        <v>166</v>
      </c>
      <c r="I1476" s="45" t="s">
        <v>1209</v>
      </c>
      <c r="J1476" s="143" t="s">
        <v>28</v>
      </c>
      <c r="K1476" s="43" t="str">
        <f t="array" ref="K1476">IF(J1476="","", XLOOKUP(J1476,'⚙️ Pengaturan'!$E$2:$E3237,'⚙️ Pengaturan'!$G$2:$G3237))</f>
        <v>KLINIK FT TA</v>
      </c>
      <c r="L1476" s="43" t="str">
        <f t="shared" si="3"/>
        <v>BARU</v>
      </c>
      <c r="M1476" s="144" t="s">
        <v>31</v>
      </c>
      <c r="N1476" s="145">
        <v>250000.0</v>
      </c>
      <c r="O1476" s="146">
        <v>0.0</v>
      </c>
      <c r="P1476" s="48">
        <f t="array" ref="P1476">IFNA(XLOOKUP(J1476,'⚙️ Pengaturan'!$E$2:$E3237,'⚙️ Pengaturan'!$F$2:$F3237),"")</f>
        <v>250000</v>
      </c>
      <c r="Q1476" s="147">
        <f t="shared" si="28"/>
        <v>0</v>
      </c>
      <c r="R1476" s="41" t="s">
        <v>32</v>
      </c>
      <c r="S1476" s="69" t="s">
        <v>33</v>
      </c>
      <c r="T1476" s="51" t="b">
        <v>1</v>
      </c>
      <c r="U1476" s="94"/>
    </row>
    <row r="1477" ht="30.0" customHeight="1">
      <c r="A1477" s="39"/>
      <c r="B1477" s="40">
        <v>3514.0</v>
      </c>
      <c r="C1477" s="41" t="s">
        <v>39</v>
      </c>
      <c r="D1477" s="86">
        <v>46139.0</v>
      </c>
      <c r="E1477" s="43" t="str">
        <f t="shared" si="1"/>
        <v>2026</v>
      </c>
      <c r="F1477" s="43" t="str">
        <f t="shared" si="2"/>
        <v>04 Apr</v>
      </c>
      <c r="G1477" s="45" t="s">
        <v>35</v>
      </c>
      <c r="H1477" s="45" t="s">
        <v>103</v>
      </c>
      <c r="I1477" s="45" t="s">
        <v>470</v>
      </c>
      <c r="J1477" s="143" t="s">
        <v>56</v>
      </c>
      <c r="K1477" s="43" t="str">
        <f t="array" ref="K1477">IF(J1477="","", XLOOKUP(J1477,'⚙️ Pengaturan'!$E$2:$E3237,'⚙️ Pengaturan'!$G$2:$G3237))</f>
        <v>KLINIK FT PAKET</v>
      </c>
      <c r="L1477" s="43" t="str">
        <f t="shared" si="3"/>
        <v>BARU</v>
      </c>
      <c r="M1477" s="144" t="s">
        <v>31</v>
      </c>
      <c r="N1477" s="145">
        <v>520000.0</v>
      </c>
      <c r="O1477" s="146">
        <v>130000.0</v>
      </c>
      <c r="P1477" s="48">
        <f t="array" ref="P1477">IFNA(XLOOKUP(J1477,'⚙️ Pengaturan'!$E$2:$E3237,'⚙️ Pengaturan'!$F$2:$F3237),"")</f>
        <v>650000</v>
      </c>
      <c r="Q1477" s="147">
        <f t="shared" si="28"/>
        <v>0</v>
      </c>
      <c r="R1477" s="41" t="s">
        <v>93</v>
      </c>
      <c r="S1477" s="69" t="s">
        <v>33</v>
      </c>
      <c r="T1477" s="51" t="b">
        <v>1</v>
      </c>
      <c r="U1477" s="94"/>
    </row>
    <row r="1478" ht="30.0" customHeight="1">
      <c r="A1478" s="39"/>
      <c r="B1478" s="40">
        <v>3515.0</v>
      </c>
      <c r="C1478" s="41" t="s">
        <v>39</v>
      </c>
      <c r="D1478" s="86">
        <v>46139.0</v>
      </c>
      <c r="E1478" s="43" t="str">
        <f t="shared" si="1"/>
        <v>2026</v>
      </c>
      <c r="F1478" s="43" t="str">
        <f t="shared" si="2"/>
        <v>04 Apr</v>
      </c>
      <c r="G1478" s="45" t="s">
        <v>35</v>
      </c>
      <c r="H1478" s="45" t="s">
        <v>26</v>
      </c>
      <c r="I1478" s="45" t="s">
        <v>1210</v>
      </c>
      <c r="J1478" s="143" t="s">
        <v>28</v>
      </c>
      <c r="K1478" s="43" t="str">
        <f t="array" ref="K1478">IF(J1478="","", XLOOKUP(J1478,'⚙️ Pengaturan'!$E$2:$E3237,'⚙️ Pengaturan'!$G$2:$G3237))</f>
        <v>KLINIK FT TA</v>
      </c>
      <c r="L1478" s="43" t="str">
        <f t="shared" si="3"/>
        <v>BARU</v>
      </c>
      <c r="M1478" s="144" t="s">
        <v>31</v>
      </c>
      <c r="N1478" s="145">
        <v>250000.0</v>
      </c>
      <c r="O1478" s="146">
        <v>0.0</v>
      </c>
      <c r="P1478" s="48">
        <f t="array" ref="P1478">IFNA(XLOOKUP(J1478,'⚙️ Pengaturan'!$E$2:$E3237,'⚙️ Pengaturan'!$F$2:$F3237),"")</f>
        <v>250000</v>
      </c>
      <c r="Q1478" s="147">
        <f t="shared" si="28"/>
        <v>0</v>
      </c>
      <c r="R1478" s="41" t="s">
        <v>37</v>
      </c>
      <c r="S1478" s="69" t="s">
        <v>1210</v>
      </c>
      <c r="T1478" s="51" t="b">
        <v>1</v>
      </c>
      <c r="U1478" s="94"/>
    </row>
    <row r="1479" ht="30.0" customHeight="1">
      <c r="A1479" s="39"/>
      <c r="B1479" s="40">
        <v>3516.0</v>
      </c>
      <c r="C1479" s="41" t="s">
        <v>39</v>
      </c>
      <c r="D1479" s="86">
        <v>46139.0</v>
      </c>
      <c r="E1479" s="43" t="str">
        <f t="shared" si="1"/>
        <v>2026</v>
      </c>
      <c r="F1479" s="43" t="str">
        <f t="shared" si="2"/>
        <v>04 Apr</v>
      </c>
      <c r="G1479" s="45" t="s">
        <v>35</v>
      </c>
      <c r="H1479" s="45" t="s">
        <v>150</v>
      </c>
      <c r="I1479" s="45" t="s">
        <v>1198</v>
      </c>
      <c r="J1479" s="143" t="s">
        <v>119</v>
      </c>
      <c r="K1479" s="43" t="str">
        <f t="array" ref="K1479">IF(J1479="","", XLOOKUP(J1479,'⚙️ Pengaturan'!$E$2:$E3237,'⚙️ Pengaturan'!$G$2:$G3237))</f>
        <v>KLINIK FT PAKET</v>
      </c>
      <c r="L1479" s="43" t="str">
        <f t="shared" si="3"/>
        <v>BARU</v>
      </c>
      <c r="M1479" s="144" t="s">
        <v>31</v>
      </c>
      <c r="N1479" s="145">
        <v>750000.0</v>
      </c>
      <c r="O1479" s="146">
        <v>0.0</v>
      </c>
      <c r="P1479" s="48">
        <f t="array" ref="P1479">IFNA(XLOOKUP(J1479,'⚙️ Pengaturan'!$E$2:$E3237,'⚙️ Pengaturan'!$F$2:$F3237),"")</f>
        <v>750000</v>
      </c>
      <c r="Q1479" s="147">
        <f t="shared" si="28"/>
        <v>0</v>
      </c>
      <c r="R1479" s="41" t="s">
        <v>32</v>
      </c>
      <c r="S1479" s="69" t="s">
        <v>33</v>
      </c>
      <c r="T1479" s="51" t="b">
        <v>1</v>
      </c>
      <c r="U1479" s="94"/>
    </row>
    <row r="1480" ht="30.0" customHeight="1">
      <c r="A1480" s="39"/>
      <c r="B1480" s="40">
        <v>3517.0</v>
      </c>
      <c r="C1480" s="41" t="s">
        <v>39</v>
      </c>
      <c r="D1480" s="86">
        <v>46139.0</v>
      </c>
      <c r="E1480" s="43" t="str">
        <f t="shared" si="1"/>
        <v>2026</v>
      </c>
      <c r="F1480" s="43" t="str">
        <f t="shared" si="2"/>
        <v>04 Apr</v>
      </c>
      <c r="G1480" s="45" t="s">
        <v>35</v>
      </c>
      <c r="H1480" s="45" t="s">
        <v>162</v>
      </c>
      <c r="I1480" s="45" t="s">
        <v>1211</v>
      </c>
      <c r="J1480" s="143" t="s">
        <v>28</v>
      </c>
      <c r="K1480" s="43" t="str">
        <f t="array" ref="K1480">IF(J1480="","", XLOOKUP(J1480,'⚙️ Pengaturan'!$E$2:$E3237,'⚙️ Pengaturan'!$G$2:$G3237))</f>
        <v>KLINIK FT TA</v>
      </c>
      <c r="L1480" s="43" t="str">
        <f t="shared" si="3"/>
        <v>BARU</v>
      </c>
      <c r="M1480" s="144" t="s">
        <v>31</v>
      </c>
      <c r="N1480" s="145">
        <v>250000.0</v>
      </c>
      <c r="O1480" s="146">
        <v>0.0</v>
      </c>
      <c r="P1480" s="48">
        <f t="array" ref="P1480">IFNA(XLOOKUP(J1480,'⚙️ Pengaturan'!$E$2:$E3237,'⚙️ Pengaturan'!$F$2:$F3237),"")</f>
        <v>250000</v>
      </c>
      <c r="Q1480" s="147">
        <f t="shared" si="28"/>
        <v>0</v>
      </c>
      <c r="R1480" s="41" t="s">
        <v>118</v>
      </c>
      <c r="S1480" s="69" t="s">
        <v>1211</v>
      </c>
      <c r="T1480" s="51" t="b">
        <v>1</v>
      </c>
      <c r="U1480" s="94"/>
    </row>
    <row r="1481" ht="30.0" customHeight="1">
      <c r="A1481" s="39"/>
      <c r="B1481" s="40">
        <v>3518.0</v>
      </c>
      <c r="C1481" s="41" t="s">
        <v>39</v>
      </c>
      <c r="D1481" s="86">
        <v>46139.0</v>
      </c>
      <c r="E1481" s="43" t="str">
        <f t="shared" si="1"/>
        <v>2026</v>
      </c>
      <c r="F1481" s="43" t="str">
        <f t="shared" si="2"/>
        <v>04 Apr</v>
      </c>
      <c r="G1481" s="45" t="s">
        <v>35</v>
      </c>
      <c r="H1481" s="45" t="s">
        <v>166</v>
      </c>
      <c r="I1481" s="45" t="s">
        <v>1212</v>
      </c>
      <c r="J1481" s="143" t="s">
        <v>28</v>
      </c>
      <c r="K1481" s="43" t="str">
        <f t="array" ref="K1481">IF(J1481="","", XLOOKUP(J1481,'⚙️ Pengaturan'!$E$2:$E3237,'⚙️ Pengaturan'!$G$2:$G3237))</f>
        <v>KLINIK FT TA</v>
      </c>
      <c r="L1481" s="43" t="str">
        <f t="shared" si="3"/>
        <v>BARU</v>
      </c>
      <c r="M1481" s="144" t="s">
        <v>31</v>
      </c>
      <c r="N1481" s="145">
        <v>250000.0</v>
      </c>
      <c r="O1481" s="146">
        <v>50000.0</v>
      </c>
      <c r="P1481" s="48">
        <f t="array" ref="P1481">IFNA(XLOOKUP(J1481,'⚙️ Pengaturan'!$E$2:$E3237,'⚙️ Pengaturan'!$F$2:$F3237),"")</f>
        <v>250000</v>
      </c>
      <c r="Q1481" s="147">
        <f t="shared" si="28"/>
        <v>50000</v>
      </c>
      <c r="R1481" s="41" t="s">
        <v>37</v>
      </c>
      <c r="S1481" s="69" t="s">
        <v>1212</v>
      </c>
      <c r="T1481" s="51" t="b">
        <v>1</v>
      </c>
      <c r="U1481" s="94"/>
    </row>
    <row r="1482" ht="30.0" customHeight="1">
      <c r="A1482" s="39"/>
      <c r="B1482" s="40">
        <v>3519.0</v>
      </c>
      <c r="C1482" s="41" t="s">
        <v>50</v>
      </c>
      <c r="D1482" s="86">
        <v>46139.0</v>
      </c>
      <c r="E1482" s="43" t="str">
        <f t="shared" si="1"/>
        <v>2026</v>
      </c>
      <c r="F1482" s="43" t="str">
        <f t="shared" si="2"/>
        <v>04 Apr</v>
      </c>
      <c r="G1482" s="45" t="s">
        <v>40</v>
      </c>
      <c r="H1482" s="45" t="s">
        <v>41</v>
      </c>
      <c r="I1482" s="45" t="s">
        <v>1199</v>
      </c>
      <c r="J1482" s="143" t="s">
        <v>119</v>
      </c>
      <c r="K1482" s="43" t="str">
        <f t="array" ref="K1482">IF(J1482="","", XLOOKUP(J1482,'⚙️ Pengaturan'!$E$2:$E3237,'⚙️ Pengaturan'!$G$2:$G3237))</f>
        <v>KLINIK FT PAKET</v>
      </c>
      <c r="L1482" s="43" t="str">
        <f t="shared" si="3"/>
        <v>BARU</v>
      </c>
      <c r="M1482" s="144" t="s">
        <v>31</v>
      </c>
      <c r="N1482" s="145">
        <v>750000.0</v>
      </c>
      <c r="O1482" s="146">
        <v>0.0</v>
      </c>
      <c r="P1482" s="48">
        <f t="array" ref="P1482">IFNA(XLOOKUP(J1482,'⚙️ Pengaturan'!$E$2:$E3237,'⚙️ Pengaturan'!$F$2:$F3237),"")</f>
        <v>750000</v>
      </c>
      <c r="Q1482" s="147">
        <f t="shared" si="28"/>
        <v>0</v>
      </c>
      <c r="R1482" s="41" t="s">
        <v>32</v>
      </c>
      <c r="S1482" s="69" t="s">
        <v>33</v>
      </c>
      <c r="T1482" s="51" t="b">
        <v>1</v>
      </c>
      <c r="U1482" s="94"/>
    </row>
    <row r="1483" ht="30.0" customHeight="1">
      <c r="A1483" s="39"/>
      <c r="B1483" s="40">
        <v>3520.0</v>
      </c>
      <c r="C1483" s="41" t="s">
        <v>50</v>
      </c>
      <c r="D1483" s="86">
        <v>46139.0</v>
      </c>
      <c r="E1483" s="43" t="str">
        <f t="shared" si="1"/>
        <v>2026</v>
      </c>
      <c r="F1483" s="43" t="str">
        <f t="shared" si="2"/>
        <v>04 Apr</v>
      </c>
      <c r="G1483" s="45" t="s">
        <v>40</v>
      </c>
      <c r="H1483" s="45" t="s">
        <v>41</v>
      </c>
      <c r="I1483" s="45" t="s">
        <v>1181</v>
      </c>
      <c r="J1483" s="143" t="s">
        <v>120</v>
      </c>
      <c r="K1483" s="43" t="str">
        <f t="array" ref="K1483">IF(J1483="","", XLOOKUP(J1483,'⚙️ Pengaturan'!$E$2:$E3237,'⚙️ Pengaturan'!$G$2:$G3237))</f>
        <v>KLINIK FT SESI</v>
      </c>
      <c r="L1483" s="43" t="str">
        <f t="shared" si="3"/>
        <v>LANJUTAN</v>
      </c>
      <c r="M1483" s="144" t="s">
        <v>31</v>
      </c>
      <c r="N1483" s="145">
        <v>180000.0</v>
      </c>
      <c r="O1483" s="146">
        <v>0.0</v>
      </c>
      <c r="P1483" s="48">
        <f t="array" ref="P1483">IFNA(XLOOKUP(J1483,'⚙️ Pengaturan'!$E$2:$E3237,'⚙️ Pengaturan'!$F$2:$F3237),"")</f>
        <v>180000</v>
      </c>
      <c r="Q1483" s="147">
        <f t="shared" si="28"/>
        <v>0</v>
      </c>
      <c r="R1483" s="41" t="s">
        <v>32</v>
      </c>
      <c r="S1483" s="69" t="s">
        <v>33</v>
      </c>
      <c r="T1483" s="51" t="b">
        <v>1</v>
      </c>
      <c r="U1483" s="94"/>
    </row>
    <row r="1484" ht="30.0" customHeight="1">
      <c r="A1484" s="39"/>
      <c r="B1484" s="40">
        <v>3521.0</v>
      </c>
      <c r="C1484" s="41" t="s">
        <v>50</v>
      </c>
      <c r="D1484" s="86">
        <v>46139.0</v>
      </c>
      <c r="E1484" s="43" t="str">
        <f t="shared" si="1"/>
        <v>2026</v>
      </c>
      <c r="F1484" s="43" t="str">
        <f t="shared" si="2"/>
        <v>04 Apr</v>
      </c>
      <c r="G1484" s="45" t="s">
        <v>69</v>
      </c>
      <c r="H1484" s="45" t="s">
        <v>41</v>
      </c>
      <c r="I1484" s="45" t="s">
        <v>1213</v>
      </c>
      <c r="J1484" s="143" t="s">
        <v>370</v>
      </c>
      <c r="K1484" s="43" t="str">
        <f t="array" ref="K1484">IF(J1484="","", XLOOKUP(J1484,'⚙️ Pengaturan'!$E$2:$E3237,'⚙️ Pengaturan'!$G$2:$G3237))</f>
        <v>KELAS LANSIA PAKET</v>
      </c>
      <c r="L1484" s="43" t="str">
        <f t="shared" si="3"/>
        <v>BARU</v>
      </c>
      <c r="M1484" s="144" t="s">
        <v>31</v>
      </c>
      <c r="N1484" s="145">
        <v>320000.0</v>
      </c>
      <c r="O1484" s="146">
        <v>80000.0</v>
      </c>
      <c r="P1484" s="48">
        <f t="array" ref="P1484">IFNA(XLOOKUP(J1484,'⚙️ Pengaturan'!$E$2:$E3237,'⚙️ Pengaturan'!$F$2:$F3237),"")</f>
        <v>400000</v>
      </c>
      <c r="Q1484" s="147">
        <f t="shared" si="28"/>
        <v>0</v>
      </c>
      <c r="R1484" s="41" t="s">
        <v>37</v>
      </c>
      <c r="S1484" s="69" t="s">
        <v>1214</v>
      </c>
      <c r="T1484" s="51" t="b">
        <v>1</v>
      </c>
      <c r="U1484" s="94" t="s">
        <v>1215</v>
      </c>
    </row>
    <row r="1485" ht="30.0" customHeight="1">
      <c r="A1485" s="39"/>
      <c r="B1485" s="40">
        <v>3522.0</v>
      </c>
      <c r="C1485" s="41" t="s">
        <v>50</v>
      </c>
      <c r="D1485" s="86">
        <v>46139.0</v>
      </c>
      <c r="E1485" s="43" t="str">
        <f t="shared" si="1"/>
        <v>2026</v>
      </c>
      <c r="F1485" s="43" t="str">
        <f t="shared" si="2"/>
        <v>04 Apr</v>
      </c>
      <c r="G1485" s="45" t="s">
        <v>69</v>
      </c>
      <c r="H1485" s="45" t="s">
        <v>41</v>
      </c>
      <c r="I1485" s="45" t="s">
        <v>1216</v>
      </c>
      <c r="J1485" s="143" t="s">
        <v>370</v>
      </c>
      <c r="K1485" s="43" t="str">
        <f t="array" ref="K1485">IF(J1485="","", XLOOKUP(J1485,'⚙️ Pengaturan'!$E$2:$E3237,'⚙️ Pengaturan'!$G$2:$G3237))</f>
        <v>KELAS LANSIA PAKET</v>
      </c>
      <c r="L1485" s="43" t="str">
        <f t="shared" si="3"/>
        <v>BARU</v>
      </c>
      <c r="M1485" s="144" t="s">
        <v>31</v>
      </c>
      <c r="N1485" s="145">
        <v>400000.0</v>
      </c>
      <c r="O1485" s="146">
        <v>0.0</v>
      </c>
      <c r="P1485" s="48">
        <f t="array" ref="P1485">IFNA(XLOOKUP(J1485,'⚙️ Pengaturan'!$E$2:$E3237,'⚙️ Pengaturan'!$F$2:$F3237),"")</f>
        <v>400000</v>
      </c>
      <c r="Q1485" s="147">
        <f t="shared" si="28"/>
        <v>0</v>
      </c>
      <c r="R1485" s="41" t="s">
        <v>37</v>
      </c>
      <c r="S1485" s="69" t="s">
        <v>1217</v>
      </c>
      <c r="T1485" s="51" t="b">
        <v>1</v>
      </c>
      <c r="U1485" s="94" t="s">
        <v>1218</v>
      </c>
    </row>
    <row r="1486" ht="30.0" customHeight="1">
      <c r="A1486" s="39"/>
      <c r="B1486" s="40">
        <v>3523.0</v>
      </c>
      <c r="C1486" s="41" t="s">
        <v>50</v>
      </c>
      <c r="D1486" s="86">
        <v>46139.0</v>
      </c>
      <c r="E1486" s="43" t="str">
        <f t="shared" si="1"/>
        <v>2026</v>
      </c>
      <c r="F1486" s="43" t="str">
        <f t="shared" si="2"/>
        <v>04 Apr</v>
      </c>
      <c r="G1486" s="45" t="s">
        <v>173</v>
      </c>
      <c r="H1486" s="45" t="s">
        <v>47</v>
      </c>
      <c r="I1486" s="45" t="s">
        <v>1195</v>
      </c>
      <c r="J1486" s="143" t="s">
        <v>119</v>
      </c>
      <c r="K1486" s="43" t="str">
        <f t="array" ref="K1486">IF(J1486="","", XLOOKUP(J1486,'⚙️ Pengaturan'!$E$2:$E3237,'⚙️ Pengaturan'!$G$2:$G3237))</f>
        <v>KLINIK FT PAKET</v>
      </c>
      <c r="L1486" s="43" t="str">
        <f t="shared" si="3"/>
        <v>BARU</v>
      </c>
      <c r="M1486" s="144" t="s">
        <v>31</v>
      </c>
      <c r="N1486" s="145">
        <v>750000.0</v>
      </c>
      <c r="O1486" s="146">
        <v>0.0</v>
      </c>
      <c r="P1486" s="48">
        <f t="array" ref="P1486">IFNA(XLOOKUP(J1486,'⚙️ Pengaturan'!$E$2:$E3237,'⚙️ Pengaturan'!$F$2:$F3237),"")</f>
        <v>750000</v>
      </c>
      <c r="Q1486" s="147">
        <f t="shared" si="28"/>
        <v>0</v>
      </c>
      <c r="R1486" s="41" t="s">
        <v>37</v>
      </c>
      <c r="S1486" s="69" t="s">
        <v>1195</v>
      </c>
      <c r="T1486" s="51" t="b">
        <v>1</v>
      </c>
      <c r="U1486" s="94"/>
    </row>
    <row r="1487" ht="30.0" customHeight="1">
      <c r="A1487" s="39"/>
      <c r="B1487" s="40">
        <v>3524.0</v>
      </c>
      <c r="C1487" s="41" t="s">
        <v>50</v>
      </c>
      <c r="D1487" s="86">
        <v>46139.0</v>
      </c>
      <c r="E1487" s="43" t="str">
        <f t="shared" si="1"/>
        <v>2026</v>
      </c>
      <c r="F1487" s="43" t="str">
        <f t="shared" si="2"/>
        <v>04 Apr</v>
      </c>
      <c r="G1487" s="45" t="s">
        <v>173</v>
      </c>
      <c r="H1487" s="45" t="s">
        <v>96</v>
      </c>
      <c r="I1487" s="45" t="s">
        <v>1219</v>
      </c>
      <c r="J1487" s="143" t="s">
        <v>28</v>
      </c>
      <c r="K1487" s="43" t="str">
        <f t="array" ref="K1487">IF(J1487="","", XLOOKUP(J1487,'⚙️ Pengaturan'!$E$2:$E3237,'⚙️ Pengaturan'!$G$2:$G3237))</f>
        <v>KLINIK FT TA</v>
      </c>
      <c r="L1487" s="43" t="str">
        <f t="shared" si="3"/>
        <v>BARU</v>
      </c>
      <c r="M1487" s="144" t="s">
        <v>31</v>
      </c>
      <c r="N1487" s="145">
        <v>250000.0</v>
      </c>
      <c r="O1487" s="146">
        <v>0.0</v>
      </c>
      <c r="P1487" s="48">
        <f t="array" ref="P1487">IFNA(XLOOKUP(J1487,'⚙️ Pengaturan'!$E$2:$E3237,'⚙️ Pengaturan'!$F$2:$F3237),"")</f>
        <v>250000</v>
      </c>
      <c r="Q1487" s="147">
        <f t="shared" si="28"/>
        <v>0</v>
      </c>
      <c r="R1487" s="41" t="s">
        <v>37</v>
      </c>
      <c r="S1487" s="69" t="s">
        <v>1219</v>
      </c>
      <c r="T1487" s="51" t="b">
        <v>1</v>
      </c>
      <c r="U1487" s="94"/>
    </row>
    <row r="1488" ht="30.0" customHeight="1">
      <c r="A1488" s="39"/>
      <c r="B1488" s="40">
        <v>3525.0</v>
      </c>
      <c r="C1488" s="41" t="s">
        <v>50</v>
      </c>
      <c r="D1488" s="86">
        <v>46139.0</v>
      </c>
      <c r="E1488" s="43" t="str">
        <f t="shared" si="1"/>
        <v>2026</v>
      </c>
      <c r="F1488" s="43" t="str">
        <f t="shared" si="2"/>
        <v>04 Apr</v>
      </c>
      <c r="G1488" s="45" t="s">
        <v>69</v>
      </c>
      <c r="H1488" s="45" t="s">
        <v>96</v>
      </c>
      <c r="I1488" s="45" t="s">
        <v>338</v>
      </c>
      <c r="J1488" s="143" t="s">
        <v>28</v>
      </c>
      <c r="K1488" s="43" t="str">
        <f t="array" ref="K1488">IF(J1488="","", XLOOKUP(J1488,'⚙️ Pengaturan'!$E$2:$E3237,'⚙️ Pengaturan'!$G$2:$G3237))</f>
        <v>KLINIK FT TA</v>
      </c>
      <c r="L1488" s="43" t="str">
        <f t="shared" si="3"/>
        <v>LANJUTAN</v>
      </c>
      <c r="M1488" s="144" t="s">
        <v>31</v>
      </c>
      <c r="N1488" s="145">
        <v>200000.0</v>
      </c>
      <c r="O1488" s="146">
        <v>50000.0</v>
      </c>
      <c r="P1488" s="48">
        <f t="array" ref="P1488">IFNA(XLOOKUP(J1488,'⚙️ Pengaturan'!$E$2:$E3237,'⚙️ Pengaturan'!$F$2:$F3237),"")</f>
        <v>250000</v>
      </c>
      <c r="Q1488" s="147">
        <f t="shared" si="28"/>
        <v>0</v>
      </c>
      <c r="R1488" s="41" t="s">
        <v>32</v>
      </c>
      <c r="S1488" s="69" t="s">
        <v>33</v>
      </c>
      <c r="T1488" s="51" t="b">
        <v>1</v>
      </c>
      <c r="U1488" s="94"/>
    </row>
    <row r="1489" ht="30.0" customHeight="1">
      <c r="A1489" s="39"/>
      <c r="B1489" s="40">
        <v>3526.0</v>
      </c>
      <c r="C1489" s="41" t="s">
        <v>50</v>
      </c>
      <c r="D1489" s="86">
        <v>46139.0</v>
      </c>
      <c r="E1489" s="43" t="str">
        <f t="shared" si="1"/>
        <v>2026</v>
      </c>
      <c r="F1489" s="43" t="str">
        <f t="shared" si="2"/>
        <v>04 Apr</v>
      </c>
      <c r="G1489" s="45" t="s">
        <v>69</v>
      </c>
      <c r="H1489" s="45" t="s">
        <v>149</v>
      </c>
      <c r="I1489" s="45" t="s">
        <v>1220</v>
      </c>
      <c r="J1489" s="143" t="s">
        <v>28</v>
      </c>
      <c r="K1489" s="43" t="str">
        <f t="array" ref="K1489">IF(J1489="","", XLOOKUP(J1489,'⚙️ Pengaturan'!$E$2:$E3237,'⚙️ Pengaturan'!$G$2:$G3237))</f>
        <v>KLINIK FT TA</v>
      </c>
      <c r="L1489" s="43" t="str">
        <f t="shared" si="3"/>
        <v>BARU</v>
      </c>
      <c r="M1489" s="144" t="s">
        <v>31</v>
      </c>
      <c r="N1489" s="145">
        <v>250000.0</v>
      </c>
      <c r="O1489" s="146">
        <v>0.0</v>
      </c>
      <c r="P1489" s="48">
        <f t="array" ref="P1489">IFNA(XLOOKUP(J1489,'⚙️ Pengaturan'!$E$2:$E3237,'⚙️ Pengaturan'!$F$2:$F3237),"")</f>
        <v>250000</v>
      </c>
      <c r="Q1489" s="147">
        <f t="shared" si="28"/>
        <v>0</v>
      </c>
      <c r="R1489" s="41" t="s">
        <v>32</v>
      </c>
      <c r="S1489" s="69" t="s">
        <v>33</v>
      </c>
      <c r="T1489" s="51" t="b">
        <v>1</v>
      </c>
      <c r="U1489" s="94"/>
    </row>
    <row r="1490" ht="30.0" customHeight="1">
      <c r="A1490" s="39"/>
      <c r="B1490" s="40">
        <v>3527.0</v>
      </c>
      <c r="C1490" s="41" t="s">
        <v>50</v>
      </c>
      <c r="D1490" s="86">
        <v>46139.0</v>
      </c>
      <c r="E1490" s="43" t="str">
        <f t="shared" si="1"/>
        <v>2026</v>
      </c>
      <c r="F1490" s="43" t="str">
        <f t="shared" si="2"/>
        <v>04 Apr</v>
      </c>
      <c r="G1490" s="45" t="s">
        <v>190</v>
      </c>
      <c r="H1490" s="45" t="s">
        <v>76</v>
      </c>
      <c r="I1490" s="45" t="s">
        <v>1177</v>
      </c>
      <c r="J1490" s="143" t="s">
        <v>120</v>
      </c>
      <c r="K1490" s="43" t="str">
        <f t="array" ref="K1490">IF(J1490="","", XLOOKUP(J1490,'⚙️ Pengaturan'!$E$2:$E3237,'⚙️ Pengaturan'!$G$2:$G3237))</f>
        <v>KLINIK FT SESI</v>
      </c>
      <c r="L1490" s="43" t="str">
        <f t="shared" si="3"/>
        <v>BARU</v>
      </c>
      <c r="M1490" s="144" t="s">
        <v>31</v>
      </c>
      <c r="N1490" s="145">
        <v>180000.0</v>
      </c>
      <c r="O1490" s="146">
        <v>0.0</v>
      </c>
      <c r="P1490" s="48">
        <f t="array" ref="P1490">IFNA(XLOOKUP(J1490,'⚙️ Pengaturan'!$E$2:$E3237,'⚙️ Pengaturan'!$F$2:$F3237),"")</f>
        <v>180000</v>
      </c>
      <c r="Q1490" s="147">
        <f t="shared" si="28"/>
        <v>0</v>
      </c>
      <c r="R1490" s="41" t="s">
        <v>32</v>
      </c>
      <c r="S1490" s="69" t="s">
        <v>33</v>
      </c>
      <c r="T1490" s="51" t="b">
        <v>1</v>
      </c>
      <c r="U1490" s="94"/>
    </row>
    <row r="1491" ht="30.0" customHeight="1">
      <c r="A1491" s="39"/>
      <c r="B1491" s="40">
        <v>3528.0</v>
      </c>
      <c r="C1491" s="41" t="s">
        <v>39</v>
      </c>
      <c r="D1491" s="86">
        <v>46140.0</v>
      </c>
      <c r="E1491" s="43" t="str">
        <f t="shared" si="1"/>
        <v>2026</v>
      </c>
      <c r="F1491" s="43" t="str">
        <f t="shared" si="2"/>
        <v>04 Apr</v>
      </c>
      <c r="G1491" s="45" t="s">
        <v>69</v>
      </c>
      <c r="H1491" s="45" t="s">
        <v>162</v>
      </c>
      <c r="I1491" s="45" t="s">
        <v>1221</v>
      </c>
      <c r="J1491" s="143" t="s">
        <v>28</v>
      </c>
      <c r="K1491" s="43" t="str">
        <f t="array" ref="K1491">IF(J1491="","", XLOOKUP(J1491,'⚙️ Pengaturan'!$E$2:$E3237,'⚙️ Pengaturan'!$G$2:$G3237))</f>
        <v>KLINIK FT TA</v>
      </c>
      <c r="L1491" s="43" t="str">
        <f t="shared" si="3"/>
        <v>BARU</v>
      </c>
      <c r="M1491" s="144" t="s">
        <v>31</v>
      </c>
      <c r="N1491" s="145">
        <v>250000.0</v>
      </c>
      <c r="O1491" s="146">
        <v>0.0</v>
      </c>
      <c r="P1491" s="48">
        <f t="array" ref="P1491">IFNA(XLOOKUP(J1491,'⚙️ Pengaturan'!$E$2:$E3237,'⚙️ Pengaturan'!$F$2:$F3237),"")</f>
        <v>250000</v>
      </c>
      <c r="Q1491" s="147">
        <f t="shared" si="28"/>
        <v>0</v>
      </c>
      <c r="R1491" s="41" t="s">
        <v>118</v>
      </c>
      <c r="S1491" s="69" t="s">
        <v>1221</v>
      </c>
      <c r="T1491" s="51" t="b">
        <v>1</v>
      </c>
      <c r="U1491" s="94"/>
    </row>
    <row r="1492" ht="30.0" customHeight="1">
      <c r="A1492" s="39"/>
      <c r="B1492" s="40">
        <v>3529.0</v>
      </c>
      <c r="C1492" s="41" t="s">
        <v>39</v>
      </c>
      <c r="D1492" s="86">
        <v>46140.0</v>
      </c>
      <c r="E1492" s="43" t="str">
        <f t="shared" si="1"/>
        <v>2026</v>
      </c>
      <c r="F1492" s="43" t="str">
        <f t="shared" si="2"/>
        <v>04 Apr</v>
      </c>
      <c r="G1492" s="45" t="s">
        <v>25</v>
      </c>
      <c r="H1492" s="45" t="s">
        <v>156</v>
      </c>
      <c r="I1492" s="45" t="s">
        <v>1222</v>
      </c>
      <c r="J1492" s="143" t="s">
        <v>28</v>
      </c>
      <c r="K1492" s="43" t="str">
        <f t="array" ref="K1492">IF(J1492="","", XLOOKUP(J1492,'⚙️ Pengaturan'!$E$2:$E3237,'⚙️ Pengaturan'!$G$2:$G3237))</f>
        <v>KLINIK FT TA</v>
      </c>
      <c r="L1492" s="43" t="str">
        <f t="shared" si="3"/>
        <v>BARU</v>
      </c>
      <c r="M1492" s="144" t="s">
        <v>31</v>
      </c>
      <c r="N1492" s="145">
        <v>250000.0</v>
      </c>
      <c r="O1492" s="146">
        <v>0.0</v>
      </c>
      <c r="P1492" s="48">
        <f t="array" ref="P1492">IFNA(XLOOKUP(J1492,'⚙️ Pengaturan'!$E$2:$E3237,'⚙️ Pengaturan'!$F$2:$F3237),"")</f>
        <v>250000</v>
      </c>
      <c r="Q1492" s="147">
        <f t="shared" si="28"/>
        <v>0</v>
      </c>
      <c r="R1492" s="41" t="s">
        <v>37</v>
      </c>
      <c r="S1492" s="69" t="s">
        <v>747</v>
      </c>
      <c r="T1492" s="51" t="b">
        <v>1</v>
      </c>
      <c r="U1492" s="94"/>
    </row>
    <row r="1493" ht="30.0" customHeight="1">
      <c r="A1493" s="39"/>
      <c r="B1493" s="40">
        <v>3530.0</v>
      </c>
      <c r="C1493" s="41" t="s">
        <v>39</v>
      </c>
      <c r="D1493" s="86">
        <v>46140.0</v>
      </c>
      <c r="E1493" s="43" t="str">
        <f t="shared" si="1"/>
        <v>2026</v>
      </c>
      <c r="F1493" s="43" t="str">
        <f t="shared" si="2"/>
        <v>04 Apr</v>
      </c>
      <c r="G1493" s="45" t="s">
        <v>206</v>
      </c>
      <c r="H1493" s="45" t="s">
        <v>156</v>
      </c>
      <c r="I1493" s="45" t="s">
        <v>242</v>
      </c>
      <c r="J1493" s="143" t="s">
        <v>28</v>
      </c>
      <c r="K1493" s="43" t="str">
        <f t="array" ref="K1493">IF(J1493="","", XLOOKUP(J1493,'⚙️ Pengaturan'!$E$2:$E3237,'⚙️ Pengaturan'!$G$2:$G3237))</f>
        <v>KLINIK FT TA</v>
      </c>
      <c r="L1493" s="43" t="str">
        <f t="shared" si="3"/>
        <v>LANJUTAN</v>
      </c>
      <c r="M1493" s="144" t="s">
        <v>31</v>
      </c>
      <c r="N1493" s="145">
        <v>250000.0</v>
      </c>
      <c r="O1493" s="146">
        <v>0.0</v>
      </c>
      <c r="P1493" s="48">
        <f t="array" ref="P1493">IFNA(XLOOKUP(J1493,'⚙️ Pengaturan'!$E$2:$E3237,'⚙️ Pengaturan'!$F$2:$F3237),"")</f>
        <v>250000</v>
      </c>
      <c r="Q1493" s="147">
        <f t="shared" si="28"/>
        <v>0</v>
      </c>
      <c r="R1493" s="41" t="s">
        <v>37</v>
      </c>
      <c r="S1493" s="69" t="s">
        <v>242</v>
      </c>
      <c r="T1493" s="51" t="b">
        <v>1</v>
      </c>
      <c r="U1493" s="94"/>
    </row>
    <row r="1494" ht="30.0" customHeight="1">
      <c r="A1494" s="39"/>
      <c r="B1494" s="40">
        <v>3531.0</v>
      </c>
      <c r="C1494" s="41" t="s">
        <v>39</v>
      </c>
      <c r="D1494" s="86">
        <v>46140.0</v>
      </c>
      <c r="E1494" s="43" t="str">
        <f t="shared" si="1"/>
        <v>2026</v>
      </c>
      <c r="F1494" s="43" t="str">
        <f t="shared" si="2"/>
        <v>04 Apr</v>
      </c>
      <c r="G1494" s="45" t="s">
        <v>161</v>
      </c>
      <c r="H1494" s="45" t="s">
        <v>96</v>
      </c>
      <c r="I1494" s="45" t="s">
        <v>1223</v>
      </c>
      <c r="J1494" s="143" t="s">
        <v>28</v>
      </c>
      <c r="K1494" s="43" t="str">
        <f t="array" ref="K1494">IF(J1494="","", XLOOKUP(J1494,'⚙️ Pengaturan'!$E$2:$E3237,'⚙️ Pengaturan'!$G$2:$G3237))</f>
        <v>KLINIK FT TA</v>
      </c>
      <c r="L1494" s="43" t="str">
        <f t="shared" si="3"/>
        <v>BARU</v>
      </c>
      <c r="M1494" s="144" t="s">
        <v>31</v>
      </c>
      <c r="N1494" s="145">
        <v>250000.0</v>
      </c>
      <c r="O1494" s="146">
        <v>0.0</v>
      </c>
      <c r="P1494" s="48">
        <f t="array" ref="P1494">IFNA(XLOOKUP(J1494,'⚙️ Pengaturan'!$E$2:$E3237,'⚙️ Pengaturan'!$F$2:$F3237),"")</f>
        <v>250000</v>
      </c>
      <c r="Q1494" s="147">
        <f t="shared" si="28"/>
        <v>0</v>
      </c>
      <c r="R1494" s="41" t="s">
        <v>32</v>
      </c>
      <c r="S1494" s="69" t="s">
        <v>33</v>
      </c>
      <c r="T1494" s="51" t="b">
        <v>1</v>
      </c>
      <c r="U1494" s="94"/>
    </row>
    <row r="1495" ht="30.0" customHeight="1">
      <c r="A1495" s="39"/>
      <c r="B1495" s="40">
        <v>3532.0</v>
      </c>
      <c r="C1495" s="41" t="s">
        <v>39</v>
      </c>
      <c r="D1495" s="86">
        <v>46140.0</v>
      </c>
      <c r="E1495" s="43" t="str">
        <f t="shared" si="1"/>
        <v>2026</v>
      </c>
      <c r="F1495" s="43" t="str">
        <f t="shared" si="2"/>
        <v>04 Apr</v>
      </c>
      <c r="G1495" s="45" t="s">
        <v>161</v>
      </c>
      <c r="H1495" s="45" t="s">
        <v>149</v>
      </c>
      <c r="I1495" s="45" t="s">
        <v>1015</v>
      </c>
      <c r="J1495" s="143" t="s">
        <v>120</v>
      </c>
      <c r="K1495" s="43" t="str">
        <f t="array" ref="K1495">IF(J1495="","", XLOOKUP(J1495,'⚙️ Pengaturan'!$E$2:$E3237,'⚙️ Pengaturan'!$G$2:$G3237))</f>
        <v>KLINIK FT SESI</v>
      </c>
      <c r="L1495" s="43" t="str">
        <f t="shared" si="3"/>
        <v>BARU</v>
      </c>
      <c r="M1495" s="144" t="s">
        <v>31</v>
      </c>
      <c r="N1495" s="145">
        <v>180000.0</v>
      </c>
      <c r="O1495" s="146">
        <v>0.0</v>
      </c>
      <c r="P1495" s="48">
        <f t="array" ref="P1495">IFNA(XLOOKUP(J1495,'⚙️ Pengaturan'!$E$2:$E3237,'⚙️ Pengaturan'!$F$2:$F3237),"")</f>
        <v>180000</v>
      </c>
      <c r="Q1495" s="147">
        <f t="shared" si="28"/>
        <v>0</v>
      </c>
      <c r="R1495" s="41" t="s">
        <v>37</v>
      </c>
      <c r="S1495" s="69" t="s">
        <v>1015</v>
      </c>
      <c r="T1495" s="51" t="b">
        <v>1</v>
      </c>
      <c r="U1495" s="94"/>
    </row>
    <row r="1496" ht="30.0" customHeight="1">
      <c r="A1496" s="39"/>
      <c r="B1496" s="40">
        <v>3533.0</v>
      </c>
      <c r="C1496" s="41" t="s">
        <v>39</v>
      </c>
      <c r="D1496" s="86">
        <v>46140.0</v>
      </c>
      <c r="E1496" s="43" t="str">
        <f t="shared" si="1"/>
        <v>2026</v>
      </c>
      <c r="F1496" s="43" t="str">
        <f t="shared" si="2"/>
        <v>04 Apr</v>
      </c>
      <c r="G1496" s="45" t="s">
        <v>35</v>
      </c>
      <c r="H1496" s="45" t="s">
        <v>76</v>
      </c>
      <c r="I1496" s="45" t="s">
        <v>256</v>
      </c>
      <c r="J1496" s="143" t="s">
        <v>120</v>
      </c>
      <c r="K1496" s="43" t="str">
        <f t="array" ref="K1496">IF(J1496="","", XLOOKUP(J1496,'⚙️ Pengaturan'!$E$2:$E3237,'⚙️ Pengaturan'!$G$2:$G3237))</f>
        <v>KLINIK FT SESI</v>
      </c>
      <c r="L1496" s="43" t="str">
        <f t="shared" si="3"/>
        <v>BARU</v>
      </c>
      <c r="M1496" s="144" t="s">
        <v>31</v>
      </c>
      <c r="N1496" s="145">
        <v>180000.0</v>
      </c>
      <c r="O1496" s="146">
        <v>0.0</v>
      </c>
      <c r="P1496" s="48">
        <f t="array" ref="P1496">IFNA(XLOOKUP(J1496,'⚙️ Pengaturan'!$E$2:$E3237,'⚙️ Pengaturan'!$F$2:$F3237),"")</f>
        <v>180000</v>
      </c>
      <c r="Q1496" s="147">
        <f t="shared" si="28"/>
        <v>0</v>
      </c>
      <c r="R1496" s="41" t="s">
        <v>32</v>
      </c>
      <c r="S1496" s="69" t="s">
        <v>33</v>
      </c>
      <c r="T1496" s="51" t="b">
        <v>1</v>
      </c>
      <c r="U1496" s="94"/>
    </row>
    <row r="1497" ht="30.0" customHeight="1">
      <c r="A1497" s="39"/>
      <c r="B1497" s="40">
        <v>3534.0</v>
      </c>
      <c r="C1497" s="41" t="s">
        <v>39</v>
      </c>
      <c r="D1497" s="86">
        <v>46140.0</v>
      </c>
      <c r="E1497" s="43" t="str">
        <f t="shared" si="1"/>
        <v>2026</v>
      </c>
      <c r="F1497" s="43" t="str">
        <f t="shared" si="2"/>
        <v>04 Apr</v>
      </c>
      <c r="G1497" s="45" t="s">
        <v>35</v>
      </c>
      <c r="H1497" s="45" t="s">
        <v>47</v>
      </c>
      <c r="I1497" s="45" t="s">
        <v>1171</v>
      </c>
      <c r="J1497" s="143" t="s">
        <v>120</v>
      </c>
      <c r="K1497" s="43" t="str">
        <f t="array" ref="K1497">IF(J1497="","", XLOOKUP(J1497,'⚙️ Pengaturan'!$E$2:$E3237,'⚙️ Pengaturan'!$G$2:$G3237))</f>
        <v>KLINIK FT SESI</v>
      </c>
      <c r="L1497" s="43" t="str">
        <f t="shared" si="3"/>
        <v>BARU</v>
      </c>
      <c r="M1497" s="144" t="s">
        <v>31</v>
      </c>
      <c r="N1497" s="145">
        <v>180000.0</v>
      </c>
      <c r="O1497" s="146">
        <v>0.0</v>
      </c>
      <c r="P1497" s="48">
        <f t="array" ref="P1497">IFNA(XLOOKUP(J1497,'⚙️ Pengaturan'!$E$2:$E3237,'⚙️ Pengaturan'!$F$2:$F3237),"")</f>
        <v>180000</v>
      </c>
      <c r="Q1497" s="147">
        <f t="shared" si="28"/>
        <v>0</v>
      </c>
      <c r="R1497" s="41" t="s">
        <v>32</v>
      </c>
      <c r="S1497" s="69" t="s">
        <v>33</v>
      </c>
      <c r="T1497" s="51" t="b">
        <v>1</v>
      </c>
      <c r="U1497" s="94"/>
    </row>
    <row r="1498" ht="30.0" customHeight="1">
      <c r="A1498" s="39"/>
      <c r="B1498" s="40">
        <v>3535.0</v>
      </c>
      <c r="C1498" s="41" t="s">
        <v>39</v>
      </c>
      <c r="D1498" s="86">
        <v>46140.0</v>
      </c>
      <c r="E1498" s="43" t="str">
        <f t="shared" si="1"/>
        <v>2026</v>
      </c>
      <c r="F1498" s="43" t="str">
        <f t="shared" si="2"/>
        <v>04 Apr</v>
      </c>
      <c r="G1498" s="45" t="s">
        <v>35</v>
      </c>
      <c r="H1498" s="45" t="s">
        <v>47</v>
      </c>
      <c r="I1498" s="45" t="s">
        <v>1171</v>
      </c>
      <c r="J1498" s="143" t="s">
        <v>354</v>
      </c>
      <c r="K1498" s="43" t="str">
        <f t="array" ref="K1498">IF(J1498="","", XLOOKUP(J1498,'⚙️ Pengaturan'!$E$2:$E3237,'⚙️ Pengaturan'!$G$2:$G3237))</f>
        <v>STORE  </v>
      </c>
      <c r="L1498" s="43" t="str">
        <f t="shared" si="3"/>
        <v>BARU</v>
      </c>
      <c r="M1498" s="144" t="s">
        <v>31</v>
      </c>
      <c r="N1498" s="145">
        <v>20000.0</v>
      </c>
      <c r="O1498" s="146">
        <v>0.0</v>
      </c>
      <c r="P1498" s="48">
        <f t="array" ref="P1498">IFNA(XLOOKUP(J1498,'⚙️ Pengaturan'!$E$2:$E3237,'⚙️ Pengaturan'!$F$2:$F3237),"")</f>
        <v>20000</v>
      </c>
      <c r="Q1498" s="147">
        <f t="shared" si="28"/>
        <v>0</v>
      </c>
      <c r="R1498" s="41" t="s">
        <v>32</v>
      </c>
      <c r="S1498" s="69" t="s">
        <v>33</v>
      </c>
      <c r="T1498" s="51" t="b">
        <v>1</v>
      </c>
      <c r="U1498" s="94"/>
    </row>
    <row r="1499" ht="30.0" customHeight="1">
      <c r="A1499" s="39"/>
      <c r="B1499" s="40">
        <v>3536.0</v>
      </c>
      <c r="C1499" s="41" t="s">
        <v>39</v>
      </c>
      <c r="D1499" s="86">
        <v>46140.0</v>
      </c>
      <c r="E1499" s="43" t="str">
        <f t="shared" si="1"/>
        <v>2026</v>
      </c>
      <c r="F1499" s="43" t="str">
        <f t="shared" si="2"/>
        <v>04 Apr</v>
      </c>
      <c r="G1499" s="45" t="s">
        <v>35</v>
      </c>
      <c r="H1499" s="45" t="s">
        <v>47</v>
      </c>
      <c r="I1499" s="45" t="s">
        <v>1171</v>
      </c>
      <c r="J1499" s="143" t="s">
        <v>354</v>
      </c>
      <c r="K1499" s="43" t="str">
        <f t="array" ref="K1499">IF(J1499="","", XLOOKUP(J1499,'⚙️ Pengaturan'!$E$2:$E3237,'⚙️ Pengaturan'!$G$2:$G3237))</f>
        <v>STORE  </v>
      </c>
      <c r="L1499" s="43" t="str">
        <f t="shared" si="3"/>
        <v>LANJUTAN</v>
      </c>
      <c r="M1499" s="144" t="s">
        <v>31</v>
      </c>
      <c r="N1499" s="145">
        <v>20000.0</v>
      </c>
      <c r="O1499" s="146">
        <v>0.0</v>
      </c>
      <c r="P1499" s="119">
        <v>20000.0</v>
      </c>
      <c r="Q1499" s="147">
        <f t="shared" si="28"/>
        <v>0</v>
      </c>
      <c r="R1499" s="41" t="s">
        <v>32</v>
      </c>
      <c r="S1499" s="69" t="s">
        <v>33</v>
      </c>
      <c r="T1499" s="51" t="b">
        <v>1</v>
      </c>
      <c r="U1499" s="94"/>
    </row>
    <row r="1500" ht="30.0" customHeight="1">
      <c r="A1500" s="39"/>
      <c r="B1500" s="40">
        <v>3537.0</v>
      </c>
      <c r="C1500" s="41" t="s">
        <v>50</v>
      </c>
      <c r="D1500" s="86">
        <v>46140.0</v>
      </c>
      <c r="E1500" s="43" t="str">
        <f t="shared" si="1"/>
        <v>2026</v>
      </c>
      <c r="F1500" s="43" t="str">
        <f t="shared" si="2"/>
        <v>04 Apr</v>
      </c>
      <c r="G1500" s="45" t="s">
        <v>69</v>
      </c>
      <c r="H1500" s="45" t="s">
        <v>26</v>
      </c>
      <c r="I1500" s="45" t="s">
        <v>279</v>
      </c>
      <c r="J1500" s="143" t="s">
        <v>92</v>
      </c>
      <c r="K1500" s="43" t="str">
        <f t="array" ref="K1500">IF(J1500="","", XLOOKUP(J1500,'⚙️ Pengaturan'!$E$2:$E3237,'⚙️ Pengaturan'!$G$2:$G3237))</f>
        <v>KLINIK FT PAKET</v>
      </c>
      <c r="L1500" s="43" t="str">
        <f t="shared" si="3"/>
        <v>LANJUTAN</v>
      </c>
      <c r="M1500" s="144" t="s">
        <v>164</v>
      </c>
      <c r="N1500" s="145">
        <v>700000.0</v>
      </c>
      <c r="O1500" s="146">
        <v>500000.0</v>
      </c>
      <c r="P1500" s="48">
        <f t="array" ref="P1500">IFNA(XLOOKUP(J1500,'⚙️ Pengaturan'!$E$2:$E3237,'⚙️ Pengaturan'!$F$2:$F3237),"")</f>
        <v>1200000</v>
      </c>
      <c r="Q1500" s="147">
        <f t="shared" si="28"/>
        <v>0</v>
      </c>
      <c r="R1500" s="41" t="s">
        <v>37</v>
      </c>
      <c r="S1500" s="69" t="s">
        <v>279</v>
      </c>
      <c r="T1500" s="51" t="b">
        <v>1</v>
      </c>
      <c r="U1500" s="94"/>
    </row>
    <row r="1501" ht="30.0" customHeight="1">
      <c r="A1501" s="39"/>
      <c r="B1501" s="40">
        <v>3538.0</v>
      </c>
      <c r="C1501" s="41" t="s">
        <v>50</v>
      </c>
      <c r="D1501" s="86">
        <v>46140.0</v>
      </c>
      <c r="E1501" s="43" t="str">
        <f t="shared" si="1"/>
        <v>2026</v>
      </c>
      <c r="F1501" s="43" t="str">
        <f t="shared" si="2"/>
        <v>04 Apr</v>
      </c>
      <c r="G1501" s="45" t="s">
        <v>40</v>
      </c>
      <c r="H1501" s="45" t="s">
        <v>26</v>
      </c>
      <c r="I1501" s="45" t="s">
        <v>1224</v>
      </c>
      <c r="J1501" s="143" t="s">
        <v>28</v>
      </c>
      <c r="K1501" s="43" t="str">
        <f t="array" ref="K1501">IF(J1501="","", XLOOKUP(J1501,'⚙️ Pengaturan'!$E$2:$E3237,'⚙️ Pengaturan'!$G$2:$G3237))</f>
        <v>KLINIK FT TA</v>
      </c>
      <c r="L1501" s="43" t="str">
        <f t="shared" si="3"/>
        <v>BARU</v>
      </c>
      <c r="M1501" s="144" t="s">
        <v>31</v>
      </c>
      <c r="N1501" s="145">
        <v>250000.0</v>
      </c>
      <c r="O1501" s="146">
        <v>0.0</v>
      </c>
      <c r="P1501" s="48">
        <f t="array" ref="P1501">IFNA(XLOOKUP(J1501,'⚙️ Pengaturan'!$E$2:$E3237,'⚙️ Pengaturan'!$F$2:$F3237),"")</f>
        <v>250000</v>
      </c>
      <c r="Q1501" s="147">
        <f t="shared" si="28"/>
        <v>0</v>
      </c>
      <c r="R1501" s="41" t="s">
        <v>32</v>
      </c>
      <c r="S1501" s="69" t="s">
        <v>33</v>
      </c>
      <c r="T1501" s="51" t="b">
        <v>1</v>
      </c>
      <c r="U1501" s="94"/>
    </row>
    <row r="1502" ht="30.0" customHeight="1">
      <c r="A1502" s="39"/>
      <c r="B1502" s="40">
        <v>3539.0</v>
      </c>
      <c r="C1502" s="41" t="s">
        <v>50</v>
      </c>
      <c r="D1502" s="86">
        <v>46140.0</v>
      </c>
      <c r="E1502" s="43" t="str">
        <f t="shared" si="1"/>
        <v>2026</v>
      </c>
      <c r="F1502" s="43" t="str">
        <f t="shared" si="2"/>
        <v>04 Apr</v>
      </c>
      <c r="G1502" s="45" t="s">
        <v>40</v>
      </c>
      <c r="H1502" s="45" t="s">
        <v>166</v>
      </c>
      <c r="I1502" s="45" t="s">
        <v>1204</v>
      </c>
      <c r="J1502" s="143" t="s">
        <v>347</v>
      </c>
      <c r="K1502" s="43" t="str">
        <f t="array" ref="K1502">IF(J1502="","", XLOOKUP(J1502,'⚙️ Pengaturan'!$E$2:$E3237,'⚙️ Pengaturan'!$G$2:$G3237))</f>
        <v>KLINIK FT PAKET</v>
      </c>
      <c r="L1502" s="43" t="str">
        <f t="shared" si="3"/>
        <v>BARU</v>
      </c>
      <c r="M1502" s="144" t="s">
        <v>31</v>
      </c>
      <c r="N1502" s="145">
        <v>1300000.0</v>
      </c>
      <c r="O1502" s="146">
        <v>0.0</v>
      </c>
      <c r="P1502" s="48">
        <f t="array" ref="P1502">IFNA(XLOOKUP(J1502,'⚙️ Pengaturan'!$E$2:$E3237,'⚙️ Pengaturan'!$F$2:$F3237),"")</f>
        <v>1300000</v>
      </c>
      <c r="Q1502" s="147">
        <f t="shared" si="28"/>
        <v>0</v>
      </c>
      <c r="R1502" s="41" t="s">
        <v>37</v>
      </c>
      <c r="S1502" s="69" t="s">
        <v>1204</v>
      </c>
      <c r="T1502" s="51" t="b">
        <v>1</v>
      </c>
      <c r="U1502" s="94"/>
    </row>
    <row r="1503" ht="30.0" customHeight="1">
      <c r="A1503" s="39"/>
      <c r="B1503" s="40">
        <v>3540.0</v>
      </c>
      <c r="C1503" s="41" t="s">
        <v>50</v>
      </c>
      <c r="D1503" s="86">
        <v>46140.0</v>
      </c>
      <c r="E1503" s="43" t="str">
        <f t="shared" si="1"/>
        <v>2026</v>
      </c>
      <c r="F1503" s="43" t="str">
        <f t="shared" si="2"/>
        <v>04 Apr</v>
      </c>
      <c r="G1503" s="45" t="s">
        <v>173</v>
      </c>
      <c r="H1503" s="45" t="s">
        <v>162</v>
      </c>
      <c r="I1503" s="45" t="s">
        <v>1055</v>
      </c>
      <c r="J1503" s="143" t="s">
        <v>120</v>
      </c>
      <c r="K1503" s="43" t="str">
        <f t="array" ref="K1503">IF(J1503="","", XLOOKUP(J1503,'⚙️ Pengaturan'!$E$2:$E3237,'⚙️ Pengaturan'!$G$2:$G3237))</f>
        <v>KLINIK FT SESI</v>
      </c>
      <c r="L1503" s="43" t="str">
        <f t="shared" si="3"/>
        <v>LANJUTAN</v>
      </c>
      <c r="M1503" s="144" t="s">
        <v>31</v>
      </c>
      <c r="N1503" s="145">
        <v>180000.0</v>
      </c>
      <c r="O1503" s="146">
        <v>0.0</v>
      </c>
      <c r="P1503" s="48">
        <f t="array" ref="P1503">IFNA(XLOOKUP(J1503,'⚙️ Pengaturan'!$E$2:$E3237,'⚙️ Pengaturan'!$F$2:$F3237),"")</f>
        <v>180000</v>
      </c>
      <c r="Q1503" s="147">
        <f t="shared" si="28"/>
        <v>0</v>
      </c>
      <c r="R1503" s="41" t="s">
        <v>118</v>
      </c>
      <c r="S1503" s="69" t="s">
        <v>1055</v>
      </c>
      <c r="T1503" s="51" t="b">
        <v>1</v>
      </c>
      <c r="U1503" s="94"/>
    </row>
    <row r="1504" ht="30.0" customHeight="1">
      <c r="A1504" s="39"/>
      <c r="B1504" s="40">
        <v>3541.0</v>
      </c>
      <c r="C1504" s="41" t="s">
        <v>50</v>
      </c>
      <c r="D1504" s="86">
        <v>46140.0</v>
      </c>
      <c r="E1504" s="43" t="str">
        <f t="shared" si="1"/>
        <v>2026</v>
      </c>
      <c r="F1504" s="43" t="str">
        <f t="shared" si="2"/>
        <v>04 Apr</v>
      </c>
      <c r="G1504" s="45" t="s">
        <v>173</v>
      </c>
      <c r="H1504" s="45" t="s">
        <v>150</v>
      </c>
      <c r="I1504" s="45" t="s">
        <v>1225</v>
      </c>
      <c r="J1504" s="143" t="s">
        <v>28</v>
      </c>
      <c r="K1504" s="43" t="str">
        <f t="array" ref="K1504">IF(J1504="","", XLOOKUP(J1504,'⚙️ Pengaturan'!$E$2:$E3237,'⚙️ Pengaturan'!$G$2:$G3237))</f>
        <v>KLINIK FT TA</v>
      </c>
      <c r="L1504" s="43" t="str">
        <f t="shared" si="3"/>
        <v>BARU</v>
      </c>
      <c r="M1504" s="144" t="s">
        <v>31</v>
      </c>
      <c r="N1504" s="145">
        <v>250000.0</v>
      </c>
      <c r="O1504" s="146">
        <v>0.0</v>
      </c>
      <c r="P1504" s="48">
        <f t="array" ref="P1504">IFNA(XLOOKUP(J1504,'⚙️ Pengaturan'!$E$2:$E3237,'⚙️ Pengaturan'!$F$2:$F3237),"")</f>
        <v>250000</v>
      </c>
      <c r="Q1504" s="147">
        <f t="shared" si="28"/>
        <v>0</v>
      </c>
      <c r="R1504" s="41" t="s">
        <v>37</v>
      </c>
      <c r="S1504" s="69" t="s">
        <v>1225</v>
      </c>
      <c r="T1504" s="51" t="b">
        <v>1</v>
      </c>
      <c r="U1504" s="94"/>
    </row>
    <row r="1505" ht="30.0" customHeight="1">
      <c r="A1505" s="39"/>
      <c r="B1505" s="40">
        <v>3542.0</v>
      </c>
      <c r="C1505" s="41" t="s">
        <v>50</v>
      </c>
      <c r="D1505" s="86">
        <v>46140.0</v>
      </c>
      <c r="E1505" s="43" t="str">
        <f t="shared" si="1"/>
        <v>2026</v>
      </c>
      <c r="F1505" s="43" t="str">
        <f t="shared" si="2"/>
        <v>04 Apr</v>
      </c>
      <c r="G1505" s="45" t="s">
        <v>173</v>
      </c>
      <c r="H1505" s="45" t="s">
        <v>26</v>
      </c>
      <c r="I1505" s="45" t="s">
        <v>1226</v>
      </c>
      <c r="J1505" s="143" t="s">
        <v>28</v>
      </c>
      <c r="K1505" s="43" t="str">
        <f t="array" ref="K1505">IF(J1505="","", XLOOKUP(J1505,'⚙️ Pengaturan'!$E$2:$E3237,'⚙️ Pengaturan'!$G$2:$G3237))</f>
        <v>KLINIK FT TA</v>
      </c>
      <c r="L1505" s="43" t="str">
        <f t="shared" si="3"/>
        <v>BARU</v>
      </c>
      <c r="M1505" s="144" t="s">
        <v>31</v>
      </c>
      <c r="N1505" s="145">
        <v>250000.0</v>
      </c>
      <c r="O1505" s="146">
        <v>0.0</v>
      </c>
      <c r="P1505" s="48">
        <f t="array" ref="P1505">IFNA(XLOOKUP(J1505,'⚙️ Pengaturan'!$E$2:$E3237,'⚙️ Pengaturan'!$F$2:$F3237),"")</f>
        <v>250000</v>
      </c>
      <c r="Q1505" s="147">
        <f t="shared" si="28"/>
        <v>0</v>
      </c>
      <c r="R1505" s="41" t="s">
        <v>37</v>
      </c>
      <c r="S1505" s="69" t="s">
        <v>1226</v>
      </c>
      <c r="T1505" s="51" t="b">
        <v>1</v>
      </c>
      <c r="U1505" s="94"/>
    </row>
    <row r="1506" ht="30.0" customHeight="1">
      <c r="A1506" s="39"/>
      <c r="B1506" s="40">
        <v>3543.0</v>
      </c>
      <c r="C1506" s="41" t="s">
        <v>50</v>
      </c>
      <c r="D1506" s="86">
        <v>46140.0</v>
      </c>
      <c r="E1506" s="43" t="str">
        <f t="shared" si="1"/>
        <v>2026</v>
      </c>
      <c r="F1506" s="43" t="str">
        <f t="shared" si="2"/>
        <v>04 Apr</v>
      </c>
      <c r="G1506" s="45" t="s">
        <v>173</v>
      </c>
      <c r="H1506" s="45" t="s">
        <v>26</v>
      </c>
      <c r="I1506" s="45" t="s">
        <v>1226</v>
      </c>
      <c r="J1506" s="143" t="s">
        <v>119</v>
      </c>
      <c r="K1506" s="43" t="str">
        <f t="array" ref="K1506">IF(J1506="","", XLOOKUP(J1506,'⚙️ Pengaturan'!$E$2:$E3237,'⚙️ Pengaturan'!$G$2:$G3237))</f>
        <v>KLINIK FT PAKET</v>
      </c>
      <c r="L1506" s="43" t="str">
        <f t="shared" si="3"/>
        <v>BARU</v>
      </c>
      <c r="M1506" s="144" t="s">
        <v>31</v>
      </c>
      <c r="N1506" s="145">
        <v>750000.0</v>
      </c>
      <c r="O1506" s="146">
        <v>0.0</v>
      </c>
      <c r="P1506" s="48">
        <f t="array" ref="P1506">IFNA(XLOOKUP(J1506,'⚙️ Pengaturan'!$E$2:$E3237,'⚙️ Pengaturan'!$F$2:$F3237),"")</f>
        <v>750000</v>
      </c>
      <c r="Q1506" s="147">
        <f t="shared" si="28"/>
        <v>0</v>
      </c>
      <c r="R1506" s="41" t="s">
        <v>37</v>
      </c>
      <c r="S1506" s="69" t="s">
        <v>1226</v>
      </c>
      <c r="T1506" s="51" t="b">
        <v>1</v>
      </c>
      <c r="U1506" s="94"/>
    </row>
    <row r="1507" ht="30.0" customHeight="1">
      <c r="A1507" s="39"/>
      <c r="B1507" s="40">
        <v>3544.0</v>
      </c>
      <c r="C1507" s="41" t="s">
        <v>50</v>
      </c>
      <c r="D1507" s="86">
        <v>46140.0</v>
      </c>
      <c r="E1507" s="43" t="str">
        <f t="shared" si="1"/>
        <v>2026</v>
      </c>
      <c r="F1507" s="43" t="str">
        <f t="shared" si="2"/>
        <v>04 Apr</v>
      </c>
      <c r="G1507" s="45" t="s">
        <v>69</v>
      </c>
      <c r="H1507" s="45" t="s">
        <v>166</v>
      </c>
      <c r="I1507" s="45" t="s">
        <v>980</v>
      </c>
      <c r="J1507" s="143" t="s">
        <v>364</v>
      </c>
      <c r="K1507" s="43" t="str">
        <f t="array" ref="K1507">IF(J1507="","", XLOOKUP(J1507,'⚙️ Pengaturan'!$E$2:$E3237,'⚙️ Pengaturan'!$G$2:$G3237))</f>
        <v>VISIT FT PAKET</v>
      </c>
      <c r="L1507" s="43" t="str">
        <f t="shared" si="3"/>
        <v>LANJUTAN</v>
      </c>
      <c r="M1507" s="144" t="s">
        <v>31</v>
      </c>
      <c r="N1507" s="145">
        <v>2300000.0</v>
      </c>
      <c r="O1507" s="146">
        <v>0.0</v>
      </c>
      <c r="P1507" s="48">
        <f t="array" ref="P1507">IFNA(XLOOKUP(J1507,'⚙️ Pengaturan'!$E$2:$E3237,'⚙️ Pengaturan'!$F$2:$F3237),"")</f>
        <v>2300000</v>
      </c>
      <c r="Q1507" s="147">
        <f t="shared" si="28"/>
        <v>0</v>
      </c>
      <c r="R1507" s="41" t="s">
        <v>37</v>
      </c>
      <c r="S1507" s="69" t="s">
        <v>998</v>
      </c>
      <c r="T1507" s="51" t="b">
        <v>1</v>
      </c>
      <c r="U1507" s="94"/>
    </row>
    <row r="1508" ht="30.0" customHeight="1">
      <c r="A1508" s="39"/>
      <c r="B1508" s="40">
        <v>3545.0</v>
      </c>
      <c r="C1508" s="41" t="s">
        <v>39</v>
      </c>
      <c r="D1508" s="86">
        <v>46141.0</v>
      </c>
      <c r="E1508" s="43" t="str">
        <f t="shared" si="1"/>
        <v>2026</v>
      </c>
      <c r="F1508" s="43" t="str">
        <f t="shared" si="2"/>
        <v>04 Apr</v>
      </c>
      <c r="G1508" s="45" t="s">
        <v>195</v>
      </c>
      <c r="H1508" s="45" t="s">
        <v>96</v>
      </c>
      <c r="I1508" s="45" t="s">
        <v>1211</v>
      </c>
      <c r="J1508" s="143" t="s">
        <v>120</v>
      </c>
      <c r="K1508" s="43" t="str">
        <f t="array" ref="K1508">IF(J1508="","", XLOOKUP(J1508,'⚙️ Pengaturan'!$E$2:$E3237,'⚙️ Pengaturan'!$G$2:$G3237))</f>
        <v>KLINIK FT SESI</v>
      </c>
      <c r="L1508" s="43" t="str">
        <f t="shared" si="3"/>
        <v>BARU</v>
      </c>
      <c r="M1508" s="144" t="s">
        <v>31</v>
      </c>
      <c r="N1508" s="145">
        <v>180000.0</v>
      </c>
      <c r="O1508" s="146">
        <v>0.0</v>
      </c>
      <c r="P1508" s="119">
        <v>180000.0</v>
      </c>
      <c r="Q1508" s="153">
        <v>0.0</v>
      </c>
      <c r="R1508" s="41" t="s">
        <v>32</v>
      </c>
      <c r="S1508" s="69" t="s">
        <v>33</v>
      </c>
      <c r="T1508" s="51" t="b">
        <v>1</v>
      </c>
      <c r="U1508" s="94"/>
    </row>
    <row r="1509" ht="30.0" customHeight="1">
      <c r="A1509" s="39"/>
      <c r="B1509" s="40">
        <v>3546.0</v>
      </c>
      <c r="C1509" s="41" t="s">
        <v>39</v>
      </c>
      <c r="D1509" s="86">
        <v>46141.0</v>
      </c>
      <c r="E1509" s="43" t="str">
        <f t="shared" si="1"/>
        <v>2026</v>
      </c>
      <c r="F1509" s="43" t="str">
        <f t="shared" si="2"/>
        <v>04 Apr</v>
      </c>
      <c r="G1509" s="45" t="s">
        <v>195</v>
      </c>
      <c r="H1509" s="45" t="s">
        <v>47</v>
      </c>
      <c r="I1509" s="45" t="s">
        <v>1227</v>
      </c>
      <c r="J1509" s="143" t="s">
        <v>28</v>
      </c>
      <c r="K1509" s="43" t="str">
        <f t="array" ref="K1509">IF(J1509="","", XLOOKUP(J1509,'⚙️ Pengaturan'!$E$2:$E3237,'⚙️ Pengaturan'!$G$2:$G3237))</f>
        <v>KLINIK FT TA</v>
      </c>
      <c r="L1509" s="43" t="str">
        <f t="shared" si="3"/>
        <v>BARU</v>
      </c>
      <c r="M1509" s="144" t="s">
        <v>31</v>
      </c>
      <c r="N1509" s="145">
        <v>250000.0</v>
      </c>
      <c r="O1509" s="146">
        <v>0.0</v>
      </c>
      <c r="P1509" s="48">
        <f t="array" ref="P1509">IFNA(XLOOKUP(J1509,'⚙️ Pengaturan'!$E$2:$E3237,'⚙️ Pengaturan'!$F$2:$F3237),"")</f>
        <v>250000</v>
      </c>
      <c r="Q1509" s="147">
        <f t="shared" ref="Q1509:Q1514" si="29">IF(I1509="","",(N1509+O1509)-P1509)</f>
        <v>0</v>
      </c>
      <c r="R1509" s="41" t="s">
        <v>32</v>
      </c>
      <c r="S1509" s="69" t="s">
        <v>33</v>
      </c>
      <c r="T1509" s="51" t="b">
        <v>1</v>
      </c>
      <c r="U1509" s="94"/>
    </row>
    <row r="1510" ht="30.0" customHeight="1">
      <c r="A1510" s="39"/>
      <c r="B1510" s="40">
        <v>3547.0</v>
      </c>
      <c r="C1510" s="41" t="s">
        <v>39</v>
      </c>
      <c r="D1510" s="86">
        <v>46141.0</v>
      </c>
      <c r="E1510" s="43" t="str">
        <f t="shared" si="1"/>
        <v>2026</v>
      </c>
      <c r="F1510" s="43" t="str">
        <f t="shared" si="2"/>
        <v>04 Apr</v>
      </c>
      <c r="G1510" s="45" t="s">
        <v>195</v>
      </c>
      <c r="H1510" s="45" t="s">
        <v>96</v>
      </c>
      <c r="I1510" s="45" t="s">
        <v>338</v>
      </c>
      <c r="J1510" s="143" t="s">
        <v>119</v>
      </c>
      <c r="K1510" s="43" t="str">
        <f t="array" ref="K1510">IF(J1510="","", XLOOKUP(J1510,'⚙️ Pengaturan'!$E$2:$E3237,'⚙️ Pengaturan'!$G$2:$G3237))</f>
        <v>KLINIK FT PAKET</v>
      </c>
      <c r="L1510" s="43" t="str">
        <f t="shared" si="3"/>
        <v>BARU</v>
      </c>
      <c r="M1510" s="144" t="s">
        <v>31</v>
      </c>
      <c r="N1510" s="145">
        <v>600000.0</v>
      </c>
      <c r="O1510" s="146">
        <v>150000.0</v>
      </c>
      <c r="P1510" s="48">
        <f t="array" ref="P1510">IFNA(XLOOKUP(J1510,'⚙️ Pengaturan'!$E$2:$E3237,'⚙️ Pengaturan'!$F$2:$F3237),"")</f>
        <v>750000</v>
      </c>
      <c r="Q1510" s="147">
        <f t="shared" si="29"/>
        <v>0</v>
      </c>
      <c r="R1510" s="41" t="s">
        <v>32</v>
      </c>
      <c r="S1510" s="69" t="s">
        <v>33</v>
      </c>
      <c r="T1510" s="51" t="b">
        <v>1</v>
      </c>
      <c r="U1510" s="94"/>
    </row>
    <row r="1511" ht="30.0" customHeight="1">
      <c r="A1511" s="39"/>
      <c r="B1511" s="40">
        <v>3548.0</v>
      </c>
      <c r="C1511" s="41" t="s">
        <v>39</v>
      </c>
      <c r="D1511" s="86">
        <v>46141.0</v>
      </c>
      <c r="E1511" s="43" t="str">
        <f t="shared" si="1"/>
        <v>2026</v>
      </c>
      <c r="F1511" s="43" t="str">
        <f t="shared" si="2"/>
        <v>04 Apr</v>
      </c>
      <c r="G1511" s="45" t="s">
        <v>25</v>
      </c>
      <c r="H1511" s="45" t="s">
        <v>96</v>
      </c>
      <c r="I1511" s="45" t="s">
        <v>1128</v>
      </c>
      <c r="J1511" s="143" t="s">
        <v>347</v>
      </c>
      <c r="K1511" s="43" t="str">
        <f t="array" ref="K1511">IF(J1511="","", XLOOKUP(J1511,'⚙️ Pengaturan'!$E$2:$E3237,'⚙️ Pengaturan'!$G$2:$G3237))</f>
        <v>KLINIK FT PAKET</v>
      </c>
      <c r="L1511" s="43" t="str">
        <f t="shared" si="3"/>
        <v>BARU</v>
      </c>
      <c r="M1511" s="144" t="s">
        <v>31</v>
      </c>
      <c r="N1511" s="145">
        <v>1040000.0</v>
      </c>
      <c r="O1511" s="146">
        <v>260000.0</v>
      </c>
      <c r="P1511" s="48">
        <f t="array" ref="P1511">IFNA(XLOOKUP(J1511,'⚙️ Pengaturan'!$E$2:$E3237,'⚙️ Pengaturan'!$F$2:$F3237),"")</f>
        <v>1300000</v>
      </c>
      <c r="Q1511" s="147">
        <f t="shared" si="29"/>
        <v>0</v>
      </c>
      <c r="R1511" s="41" t="s">
        <v>37</v>
      </c>
      <c r="S1511" s="69" t="s">
        <v>1128</v>
      </c>
      <c r="T1511" s="51" t="b">
        <v>1</v>
      </c>
      <c r="U1511" s="94"/>
    </row>
    <row r="1512" ht="30.0" customHeight="1">
      <c r="A1512" s="39"/>
      <c r="B1512" s="40">
        <v>3549.0</v>
      </c>
      <c r="C1512" s="41" t="s">
        <v>39</v>
      </c>
      <c r="D1512" s="86">
        <v>46141.0</v>
      </c>
      <c r="E1512" s="43" t="str">
        <f t="shared" si="1"/>
        <v>2026</v>
      </c>
      <c r="F1512" s="43" t="str">
        <f t="shared" si="2"/>
        <v>04 Apr</v>
      </c>
      <c r="G1512" s="45" t="s">
        <v>195</v>
      </c>
      <c r="H1512" s="45" t="s">
        <v>41</v>
      </c>
      <c r="I1512" s="45" t="s">
        <v>967</v>
      </c>
      <c r="J1512" s="143" t="s">
        <v>120</v>
      </c>
      <c r="K1512" s="43" t="str">
        <f t="array" ref="K1512">IF(J1512="","", XLOOKUP(J1512,'⚙️ Pengaturan'!$E$2:$E3237,'⚙️ Pengaturan'!$G$2:$G3237))</f>
        <v>KLINIK FT SESI</v>
      </c>
      <c r="L1512" s="43" t="str">
        <f t="shared" si="3"/>
        <v>LANJUTAN</v>
      </c>
      <c r="M1512" s="144" t="s">
        <v>31</v>
      </c>
      <c r="N1512" s="145">
        <v>50000.0</v>
      </c>
      <c r="O1512" s="146">
        <v>130000.0</v>
      </c>
      <c r="P1512" s="48">
        <f t="array" ref="P1512">IFNA(XLOOKUP(J1512,'⚙️ Pengaturan'!$E$2:$E3237,'⚙️ Pengaturan'!$F$2:$F3237),"")</f>
        <v>180000</v>
      </c>
      <c r="Q1512" s="147">
        <f t="shared" si="29"/>
        <v>0</v>
      </c>
      <c r="R1512" s="41" t="s">
        <v>32</v>
      </c>
      <c r="S1512" s="69" t="s">
        <v>33</v>
      </c>
      <c r="T1512" s="51" t="b">
        <v>1</v>
      </c>
      <c r="U1512" s="94"/>
    </row>
    <row r="1513" ht="30.0" customHeight="1">
      <c r="A1513" s="39"/>
      <c r="B1513" s="40">
        <v>3550.0</v>
      </c>
      <c r="C1513" s="41" t="s">
        <v>39</v>
      </c>
      <c r="D1513" s="86">
        <v>46141.0</v>
      </c>
      <c r="E1513" s="43" t="str">
        <f t="shared" si="1"/>
        <v>2026</v>
      </c>
      <c r="F1513" s="43" t="str">
        <f t="shared" si="2"/>
        <v>04 Apr</v>
      </c>
      <c r="G1513" s="45" t="s">
        <v>69</v>
      </c>
      <c r="H1513" s="45" t="s">
        <v>166</v>
      </c>
      <c r="I1513" s="45" t="s">
        <v>790</v>
      </c>
      <c r="J1513" s="143" t="s">
        <v>365</v>
      </c>
      <c r="K1513" s="43" t="str">
        <f t="array" ref="K1513">IF(J1513="","", XLOOKUP(J1513,'⚙️ Pengaturan'!$E$2:$E3237,'⚙️ Pengaturan'!$G$2:$G3237))</f>
        <v>VISIT FT SESI</v>
      </c>
      <c r="L1513" s="43" t="str">
        <f t="shared" si="3"/>
        <v>LANJUTAN</v>
      </c>
      <c r="M1513" s="144" t="s">
        <v>31</v>
      </c>
      <c r="N1513" s="145">
        <v>250000.0</v>
      </c>
      <c r="O1513" s="146">
        <v>0.0</v>
      </c>
      <c r="P1513" s="48">
        <f t="array" ref="P1513">IFNA(XLOOKUP(J1513,'⚙️ Pengaturan'!$E$2:$E3237,'⚙️ Pengaturan'!$F$2:$F3237),"")</f>
        <v>250000</v>
      </c>
      <c r="Q1513" s="147">
        <f t="shared" si="29"/>
        <v>0</v>
      </c>
      <c r="R1513" s="41" t="s">
        <v>32</v>
      </c>
      <c r="S1513" s="69" t="s">
        <v>33</v>
      </c>
      <c r="T1513" s="51" t="b">
        <v>1</v>
      </c>
      <c r="U1513" s="94"/>
    </row>
    <row r="1514" ht="30.0" customHeight="1">
      <c r="A1514" s="39"/>
      <c r="B1514" s="40">
        <v>3551.0</v>
      </c>
      <c r="C1514" s="41" t="s">
        <v>39</v>
      </c>
      <c r="D1514" s="86">
        <v>46141.0</v>
      </c>
      <c r="E1514" s="43" t="str">
        <f t="shared" si="1"/>
        <v>2026</v>
      </c>
      <c r="F1514" s="43" t="str">
        <f t="shared" si="2"/>
        <v>04 Apr</v>
      </c>
      <c r="G1514" s="45" t="s">
        <v>35</v>
      </c>
      <c r="H1514" s="45" t="s">
        <v>47</v>
      </c>
      <c r="I1514" s="45" t="s">
        <v>1171</v>
      </c>
      <c r="J1514" s="143" t="s">
        <v>120</v>
      </c>
      <c r="K1514" s="43" t="str">
        <f t="array" ref="K1514">IF(J1514="","", XLOOKUP(J1514,'⚙️ Pengaturan'!$E$2:$E3237,'⚙️ Pengaturan'!$G$2:$G3237))</f>
        <v>KLINIK FT SESI</v>
      </c>
      <c r="L1514" s="43" t="str">
        <f t="shared" si="3"/>
        <v>LANJUTAN</v>
      </c>
      <c r="M1514" s="144" t="s">
        <v>31</v>
      </c>
      <c r="N1514" s="145">
        <v>180000.0</v>
      </c>
      <c r="O1514" s="146">
        <v>0.0</v>
      </c>
      <c r="P1514" s="48">
        <f t="array" ref="P1514">IFNA(XLOOKUP(J1514,'⚙️ Pengaturan'!$E$2:$E3237,'⚙️ Pengaturan'!$F$2:$F3237),"")</f>
        <v>180000</v>
      </c>
      <c r="Q1514" s="147">
        <f t="shared" si="29"/>
        <v>0</v>
      </c>
      <c r="R1514" s="41" t="s">
        <v>32</v>
      </c>
      <c r="S1514" s="69" t="s">
        <v>33</v>
      </c>
      <c r="T1514" s="51" t="b">
        <v>1</v>
      </c>
      <c r="U1514" s="94"/>
    </row>
    <row r="1515" ht="30.0" customHeight="1">
      <c r="A1515" s="39"/>
      <c r="B1515" s="40">
        <v>3552.0</v>
      </c>
      <c r="C1515" s="41" t="s">
        <v>39</v>
      </c>
      <c r="D1515" s="86">
        <v>46141.0</v>
      </c>
      <c r="E1515" s="43" t="str">
        <f t="shared" si="1"/>
        <v>2026</v>
      </c>
      <c r="F1515" s="43" t="str">
        <f t="shared" si="2"/>
        <v>04 Apr</v>
      </c>
      <c r="G1515" s="45" t="s">
        <v>35</v>
      </c>
      <c r="H1515" s="45" t="s">
        <v>166</v>
      </c>
      <c r="I1515" s="45" t="s">
        <v>1086</v>
      </c>
      <c r="J1515" s="143" t="s">
        <v>372</v>
      </c>
      <c r="K1515" s="43" t="str">
        <f t="array" ref="K1515">IF(J1515="","", XLOOKUP(J1515,'⚙️ Pengaturan'!$E$2:$E3237,'⚙️ Pengaturan'!$G$2:$G3237))</f>
        <v>KELAS LANSIA PAKET</v>
      </c>
      <c r="L1515" s="43" t="str">
        <f t="shared" si="3"/>
        <v>BARU</v>
      </c>
      <c r="M1515" s="144" t="s">
        <v>60</v>
      </c>
      <c r="N1515" s="145">
        <v>300000.0</v>
      </c>
      <c r="O1515" s="146">
        <v>150000.0</v>
      </c>
      <c r="P1515" s="48">
        <f t="array" ref="P1515">IFNA(XLOOKUP(J1515,'⚙️ Pengaturan'!$E$2:$E3237,'⚙️ Pengaturan'!$F$2:$F3237),"")</f>
        <v>720000</v>
      </c>
      <c r="Q1515" s="153">
        <v>300000.0</v>
      </c>
      <c r="R1515" s="41" t="s">
        <v>32</v>
      </c>
      <c r="S1515" s="69" t="s">
        <v>33</v>
      </c>
      <c r="T1515" s="51" t="b">
        <v>1</v>
      </c>
      <c r="U1515" s="94"/>
    </row>
    <row r="1516" ht="30.0" customHeight="1">
      <c r="A1516" s="39"/>
      <c r="B1516" s="40">
        <v>3553.0</v>
      </c>
      <c r="C1516" s="41" t="s">
        <v>50</v>
      </c>
      <c r="D1516" s="86">
        <v>46141.0</v>
      </c>
      <c r="E1516" s="43" t="str">
        <f t="shared" si="1"/>
        <v>2026</v>
      </c>
      <c r="F1516" s="43" t="str">
        <f t="shared" si="2"/>
        <v>04 Apr</v>
      </c>
      <c r="G1516" s="45" t="s">
        <v>40</v>
      </c>
      <c r="H1516" s="45" t="s">
        <v>26</v>
      </c>
      <c r="I1516" s="45" t="s">
        <v>701</v>
      </c>
      <c r="J1516" s="143" t="s">
        <v>119</v>
      </c>
      <c r="K1516" s="43" t="str">
        <f t="array" ref="K1516">IF(J1516="","", XLOOKUP(J1516,'⚙️ Pengaturan'!$E$2:$E3237,'⚙️ Pengaturan'!$G$2:$G3237))</f>
        <v>KLINIK FT PAKET</v>
      </c>
      <c r="L1516" s="43" t="str">
        <f t="shared" si="3"/>
        <v>BARU</v>
      </c>
      <c r="M1516" s="144" t="s">
        <v>60</v>
      </c>
      <c r="N1516" s="145">
        <v>200000.0</v>
      </c>
      <c r="O1516" s="146">
        <v>0.0</v>
      </c>
      <c r="P1516" s="48">
        <f t="array" ref="P1516">IFNA(XLOOKUP(J1516,'⚙️ Pengaturan'!$E$2:$E3237,'⚙️ Pengaturan'!$F$2:$F3237),"")</f>
        <v>750000</v>
      </c>
      <c r="Q1516" s="147">
        <f t="shared" ref="Q1516:Q1558" si="30">IF(I1516="","",(N1516+O1516)-P1516)</f>
        <v>-550000</v>
      </c>
      <c r="R1516" s="41" t="s">
        <v>32</v>
      </c>
      <c r="S1516" s="69" t="s">
        <v>33</v>
      </c>
      <c r="T1516" s="51" t="b">
        <v>1</v>
      </c>
      <c r="U1516" s="94"/>
    </row>
    <row r="1517" ht="30.0" customHeight="1">
      <c r="A1517" s="39"/>
      <c r="B1517" s="40">
        <v>3554.0</v>
      </c>
      <c r="C1517" s="41" t="s">
        <v>50</v>
      </c>
      <c r="D1517" s="86">
        <v>46141.0</v>
      </c>
      <c r="E1517" s="43" t="str">
        <f t="shared" si="1"/>
        <v>2026</v>
      </c>
      <c r="F1517" s="43" t="str">
        <f t="shared" si="2"/>
        <v>04 Apr</v>
      </c>
      <c r="G1517" s="45" t="s">
        <v>40</v>
      </c>
      <c r="H1517" s="45" t="s">
        <v>26</v>
      </c>
      <c r="I1517" s="45" t="s">
        <v>426</v>
      </c>
      <c r="J1517" s="143" t="s">
        <v>56</v>
      </c>
      <c r="K1517" s="43" t="str">
        <f t="array" ref="K1517">IF(J1517="","", XLOOKUP(J1517,'⚙️ Pengaturan'!$E$2:$E3237,'⚙️ Pengaturan'!$G$2:$G3237))</f>
        <v>KLINIK FT PAKET</v>
      </c>
      <c r="L1517" s="43" t="str">
        <f t="shared" si="3"/>
        <v>LANJUTAN</v>
      </c>
      <c r="M1517" s="144" t="s">
        <v>31</v>
      </c>
      <c r="N1517" s="145">
        <v>650000.0</v>
      </c>
      <c r="O1517" s="146">
        <v>0.0</v>
      </c>
      <c r="P1517" s="48">
        <f t="array" ref="P1517">IFNA(XLOOKUP(J1517,'⚙️ Pengaturan'!$E$2:$E3237,'⚙️ Pengaturan'!$F$2:$F3237),"")</f>
        <v>650000</v>
      </c>
      <c r="Q1517" s="147">
        <f t="shared" si="30"/>
        <v>0</v>
      </c>
      <c r="R1517" s="41" t="s">
        <v>37</v>
      </c>
      <c r="S1517" s="69" t="s">
        <v>426</v>
      </c>
      <c r="T1517" s="51" t="b">
        <v>1</v>
      </c>
      <c r="U1517" s="94"/>
    </row>
    <row r="1518" ht="30.0" customHeight="1">
      <c r="A1518" s="39"/>
      <c r="B1518" s="40">
        <v>3555.0</v>
      </c>
      <c r="C1518" s="41" t="s">
        <v>50</v>
      </c>
      <c r="D1518" s="86">
        <v>46141.0</v>
      </c>
      <c r="E1518" s="43" t="str">
        <f t="shared" si="1"/>
        <v>2026</v>
      </c>
      <c r="F1518" s="43" t="str">
        <f t="shared" si="2"/>
        <v>04 Apr</v>
      </c>
      <c r="G1518" s="45" t="s">
        <v>40</v>
      </c>
      <c r="H1518" s="45" t="s">
        <v>26</v>
      </c>
      <c r="I1518" s="45" t="s">
        <v>435</v>
      </c>
      <c r="J1518" s="143" t="s">
        <v>56</v>
      </c>
      <c r="K1518" s="43" t="str">
        <f t="array" ref="K1518">IF(J1518="","", XLOOKUP(J1518,'⚙️ Pengaturan'!$E$2:$E3237,'⚙️ Pengaturan'!$G$2:$G3237))</f>
        <v>KLINIK FT PAKET</v>
      </c>
      <c r="L1518" s="43" t="str">
        <f t="shared" si="3"/>
        <v>LANJUTAN</v>
      </c>
      <c r="M1518" s="144" t="s">
        <v>31</v>
      </c>
      <c r="N1518" s="145">
        <v>650000.0</v>
      </c>
      <c r="O1518" s="146">
        <v>0.0</v>
      </c>
      <c r="P1518" s="48">
        <f t="array" ref="P1518">IFNA(XLOOKUP(J1518,'⚙️ Pengaturan'!$E$2:$E3237,'⚙️ Pengaturan'!$F$2:$F3237),"")</f>
        <v>650000</v>
      </c>
      <c r="Q1518" s="147">
        <f t="shared" si="30"/>
        <v>0</v>
      </c>
      <c r="R1518" s="41" t="s">
        <v>37</v>
      </c>
      <c r="S1518" s="69" t="s">
        <v>426</v>
      </c>
      <c r="T1518" s="51" t="b">
        <v>1</v>
      </c>
      <c r="U1518" s="94"/>
    </row>
    <row r="1519" ht="30.0" customHeight="1">
      <c r="A1519" s="39"/>
      <c r="B1519" s="40">
        <v>3556.0</v>
      </c>
      <c r="C1519" s="41" t="s">
        <v>50</v>
      </c>
      <c r="D1519" s="86">
        <v>46141.0</v>
      </c>
      <c r="E1519" s="43" t="str">
        <f t="shared" si="1"/>
        <v>2026</v>
      </c>
      <c r="F1519" s="43" t="str">
        <f t="shared" si="2"/>
        <v>04 Apr</v>
      </c>
      <c r="G1519" s="45" t="s">
        <v>43</v>
      </c>
      <c r="H1519" s="45" t="s">
        <v>150</v>
      </c>
      <c r="I1519" s="45" t="s">
        <v>963</v>
      </c>
      <c r="J1519" s="143" t="s">
        <v>119</v>
      </c>
      <c r="K1519" s="43" t="str">
        <f t="array" ref="K1519">IF(J1519="","", XLOOKUP(J1519,'⚙️ Pengaturan'!$E$2:$E3237,'⚙️ Pengaturan'!$G$2:$G3237))</f>
        <v>KLINIK FT PAKET</v>
      </c>
      <c r="L1519" s="43" t="str">
        <f t="shared" si="3"/>
        <v>LANJUTAN</v>
      </c>
      <c r="M1519" s="144" t="s">
        <v>164</v>
      </c>
      <c r="N1519" s="145">
        <v>500000.0</v>
      </c>
      <c r="O1519" s="146">
        <v>250000.0</v>
      </c>
      <c r="P1519" s="48">
        <f t="array" ref="P1519">IFNA(XLOOKUP(J1519,'⚙️ Pengaturan'!$E$2:$E3237,'⚙️ Pengaturan'!$F$2:$F3237),"")</f>
        <v>750000</v>
      </c>
      <c r="Q1519" s="147">
        <f t="shared" si="30"/>
        <v>0</v>
      </c>
      <c r="R1519" s="41" t="s">
        <v>32</v>
      </c>
      <c r="S1519" s="69" t="s">
        <v>33</v>
      </c>
      <c r="T1519" s="51" t="b">
        <v>1</v>
      </c>
      <c r="U1519" s="94"/>
    </row>
    <row r="1520" ht="30.0" customHeight="1">
      <c r="A1520" s="39"/>
      <c r="B1520" s="40">
        <v>3557.0</v>
      </c>
      <c r="C1520" s="41" t="s">
        <v>50</v>
      </c>
      <c r="D1520" s="86">
        <v>46141.0</v>
      </c>
      <c r="E1520" s="43" t="str">
        <f t="shared" si="1"/>
        <v>2026</v>
      </c>
      <c r="F1520" s="43" t="str">
        <f t="shared" si="2"/>
        <v>04 Apr</v>
      </c>
      <c r="G1520" s="45" t="s">
        <v>43</v>
      </c>
      <c r="H1520" s="45" t="s">
        <v>166</v>
      </c>
      <c r="I1520" s="45" t="s">
        <v>1228</v>
      </c>
      <c r="J1520" s="143" t="s">
        <v>28</v>
      </c>
      <c r="K1520" s="43" t="str">
        <f t="array" ref="K1520">IF(J1520="","", XLOOKUP(J1520,'⚙️ Pengaturan'!$E$2:$E3237,'⚙️ Pengaturan'!$G$2:$G3237))</f>
        <v>KLINIK FT TA</v>
      </c>
      <c r="L1520" s="43" t="str">
        <f t="shared" si="3"/>
        <v>BARU</v>
      </c>
      <c r="M1520" s="144" t="s">
        <v>31</v>
      </c>
      <c r="N1520" s="145">
        <v>250000.0</v>
      </c>
      <c r="O1520" s="146">
        <v>0.0</v>
      </c>
      <c r="P1520" s="48">
        <f t="array" ref="P1520">IFNA(XLOOKUP(J1520,'⚙️ Pengaturan'!$E$2:$E3237,'⚙️ Pengaturan'!$F$2:$F3237),"")</f>
        <v>250000</v>
      </c>
      <c r="Q1520" s="147">
        <f t="shared" si="30"/>
        <v>0</v>
      </c>
      <c r="R1520" s="41" t="s">
        <v>37</v>
      </c>
      <c r="S1520" s="69" t="s">
        <v>1228</v>
      </c>
      <c r="T1520" s="51" t="b">
        <v>1</v>
      </c>
      <c r="U1520" s="94"/>
    </row>
    <row r="1521" ht="30.0" customHeight="1">
      <c r="A1521" s="39"/>
      <c r="B1521" s="40">
        <v>3558.0</v>
      </c>
      <c r="C1521" s="41" t="s">
        <v>50</v>
      </c>
      <c r="D1521" s="86">
        <v>46141.0</v>
      </c>
      <c r="E1521" s="43" t="str">
        <f t="shared" si="1"/>
        <v>2026</v>
      </c>
      <c r="F1521" s="43" t="str">
        <f t="shared" si="2"/>
        <v>04 Apr</v>
      </c>
      <c r="G1521" s="45" t="s">
        <v>173</v>
      </c>
      <c r="H1521" s="45" t="s">
        <v>162</v>
      </c>
      <c r="I1521" s="45" t="s">
        <v>1229</v>
      </c>
      <c r="J1521" s="143" t="s">
        <v>28</v>
      </c>
      <c r="K1521" s="43" t="str">
        <f t="array" ref="K1521">IF(J1521="","", XLOOKUP(J1521,'⚙️ Pengaturan'!$E$2:$E3237,'⚙️ Pengaturan'!$G$2:$G3237))</f>
        <v>KLINIK FT TA</v>
      </c>
      <c r="L1521" s="43" t="str">
        <f t="shared" si="3"/>
        <v>BARU</v>
      </c>
      <c r="M1521" s="144" t="s">
        <v>31</v>
      </c>
      <c r="N1521" s="145">
        <v>250000.0</v>
      </c>
      <c r="O1521" s="146">
        <v>0.0</v>
      </c>
      <c r="P1521" s="48">
        <f t="array" ref="P1521">IFNA(XLOOKUP(J1521,'⚙️ Pengaturan'!$E$2:$E3237,'⚙️ Pengaturan'!$F$2:$F3237),"")</f>
        <v>250000</v>
      </c>
      <c r="Q1521" s="147">
        <f t="shared" si="30"/>
        <v>0</v>
      </c>
      <c r="R1521" s="41" t="s">
        <v>32</v>
      </c>
      <c r="S1521" s="69" t="s">
        <v>33</v>
      </c>
      <c r="T1521" s="51" t="b">
        <v>1</v>
      </c>
      <c r="U1521" s="94"/>
    </row>
    <row r="1522" ht="30.0" customHeight="1">
      <c r="A1522" s="39"/>
      <c r="B1522" s="40">
        <v>3559.0</v>
      </c>
      <c r="C1522" s="41" t="s">
        <v>50</v>
      </c>
      <c r="D1522" s="86">
        <v>46144.0</v>
      </c>
      <c r="E1522" s="43" t="str">
        <f t="shared" si="1"/>
        <v>2026</v>
      </c>
      <c r="F1522" s="43" t="str">
        <f t="shared" si="2"/>
        <v>05 Mei</v>
      </c>
      <c r="G1522" s="45" t="s">
        <v>195</v>
      </c>
      <c r="H1522" s="45" t="s">
        <v>47</v>
      </c>
      <c r="I1522" s="45" t="s">
        <v>1227</v>
      </c>
      <c r="J1522" s="143" t="s">
        <v>119</v>
      </c>
      <c r="K1522" s="43" t="str">
        <f t="array" ref="K1522">IF(J1522="","", XLOOKUP(J1522,'⚙️ Pengaturan'!$E$2:$E3237,'⚙️ Pengaturan'!$G$2:$G3237))</f>
        <v>KLINIK FT PAKET</v>
      </c>
      <c r="L1522" s="43" t="str">
        <f t="shared" si="3"/>
        <v>BARU</v>
      </c>
      <c r="M1522" s="144" t="s">
        <v>31</v>
      </c>
      <c r="N1522" s="145">
        <v>750000.0</v>
      </c>
      <c r="O1522" s="146">
        <v>0.0</v>
      </c>
      <c r="P1522" s="48">
        <f t="array" ref="P1522">IFNA(XLOOKUP(J1522,'⚙️ Pengaturan'!$E$2:$E3237,'⚙️ Pengaturan'!$F$2:$F3237),"")</f>
        <v>750000</v>
      </c>
      <c r="Q1522" s="147">
        <f t="shared" si="30"/>
        <v>0</v>
      </c>
      <c r="R1522" s="41" t="s">
        <v>32</v>
      </c>
      <c r="S1522" s="69" t="s">
        <v>33</v>
      </c>
      <c r="T1522" s="51" t="b">
        <v>1</v>
      </c>
      <c r="U1522" s="94"/>
    </row>
    <row r="1523" ht="30.0" customHeight="1">
      <c r="A1523" s="39"/>
      <c r="B1523" s="40">
        <v>3560.0</v>
      </c>
      <c r="C1523" s="41" t="s">
        <v>50</v>
      </c>
      <c r="D1523" s="86">
        <v>46144.0</v>
      </c>
      <c r="E1523" s="43" t="str">
        <f t="shared" si="1"/>
        <v>2026</v>
      </c>
      <c r="F1523" s="43" t="str">
        <f t="shared" si="2"/>
        <v>05 Mei</v>
      </c>
      <c r="G1523" s="45" t="s">
        <v>195</v>
      </c>
      <c r="H1523" s="45" t="s">
        <v>76</v>
      </c>
      <c r="I1523" s="45" t="s">
        <v>1230</v>
      </c>
      <c r="J1523" s="143" t="s">
        <v>28</v>
      </c>
      <c r="K1523" s="43" t="str">
        <f t="array" ref="K1523">IF(J1523="","", XLOOKUP(J1523,'⚙️ Pengaturan'!$E$2:$E3237,'⚙️ Pengaturan'!$G$2:$G3237))</f>
        <v>KLINIK FT TA</v>
      </c>
      <c r="L1523" s="43" t="str">
        <f t="shared" si="3"/>
        <v>BARU</v>
      </c>
      <c r="M1523" s="144" t="s">
        <v>31</v>
      </c>
      <c r="N1523" s="145">
        <v>250000.0</v>
      </c>
      <c r="O1523" s="146">
        <v>0.0</v>
      </c>
      <c r="P1523" s="48">
        <f t="array" ref="P1523">IFNA(XLOOKUP(J1523,'⚙️ Pengaturan'!$E$2:$E3237,'⚙️ Pengaturan'!$F$2:$F3237),"")</f>
        <v>250000</v>
      </c>
      <c r="Q1523" s="147">
        <f t="shared" si="30"/>
        <v>0</v>
      </c>
      <c r="R1523" s="41" t="s">
        <v>32</v>
      </c>
      <c r="S1523" s="69" t="s">
        <v>33</v>
      </c>
      <c r="T1523" s="51" t="b">
        <v>1</v>
      </c>
      <c r="U1523" s="94"/>
    </row>
    <row r="1524" ht="30.0" customHeight="1">
      <c r="A1524" s="39"/>
      <c r="B1524" s="40">
        <v>3561.0</v>
      </c>
      <c r="C1524" s="41" t="s">
        <v>50</v>
      </c>
      <c r="D1524" s="86">
        <v>46144.0</v>
      </c>
      <c r="E1524" s="43" t="str">
        <f t="shared" si="1"/>
        <v>2026</v>
      </c>
      <c r="F1524" s="43" t="str">
        <f t="shared" si="2"/>
        <v>05 Mei</v>
      </c>
      <c r="G1524" s="45" t="s">
        <v>195</v>
      </c>
      <c r="H1524" s="45" t="s">
        <v>96</v>
      </c>
      <c r="I1524" s="45" t="s">
        <v>1202</v>
      </c>
      <c r="J1524" s="143" t="s">
        <v>347</v>
      </c>
      <c r="K1524" s="43" t="str">
        <f t="array" ref="K1524">IF(J1524="","", XLOOKUP(J1524,'⚙️ Pengaturan'!$E$2:$E3237,'⚙️ Pengaturan'!$G$2:$G3237))</f>
        <v>KLINIK FT PAKET</v>
      </c>
      <c r="L1524" s="43" t="str">
        <f t="shared" si="3"/>
        <v>BARU</v>
      </c>
      <c r="M1524" s="144" t="s">
        <v>31</v>
      </c>
      <c r="N1524" s="145">
        <v>1300000.0</v>
      </c>
      <c r="O1524" s="146">
        <v>0.0</v>
      </c>
      <c r="P1524" s="48">
        <f t="array" ref="P1524">IFNA(XLOOKUP(J1524,'⚙️ Pengaturan'!$E$2:$E3237,'⚙️ Pengaturan'!$F$2:$F3237),"")</f>
        <v>1300000</v>
      </c>
      <c r="Q1524" s="147">
        <f t="shared" si="30"/>
        <v>0</v>
      </c>
      <c r="R1524" s="41" t="s">
        <v>37</v>
      </c>
      <c r="S1524" s="69" t="s">
        <v>1202</v>
      </c>
      <c r="T1524" s="51" t="b">
        <v>1</v>
      </c>
      <c r="U1524" s="94"/>
    </row>
    <row r="1525" ht="30.0" customHeight="1">
      <c r="A1525" s="39"/>
      <c r="B1525" s="40">
        <v>3562.0</v>
      </c>
      <c r="C1525" s="41" t="s">
        <v>50</v>
      </c>
      <c r="D1525" s="86">
        <v>46144.0</v>
      </c>
      <c r="E1525" s="43" t="str">
        <f t="shared" si="1"/>
        <v>2026</v>
      </c>
      <c r="F1525" s="43" t="str">
        <f t="shared" si="2"/>
        <v>05 Mei</v>
      </c>
      <c r="G1525" s="45" t="s">
        <v>206</v>
      </c>
      <c r="H1525" s="45" t="s">
        <v>156</v>
      </c>
      <c r="I1525" s="45" t="s">
        <v>1222</v>
      </c>
      <c r="J1525" s="143" t="s">
        <v>119</v>
      </c>
      <c r="K1525" s="43" t="str">
        <f t="array" ref="K1525">IF(J1525="","", XLOOKUP(J1525,'⚙️ Pengaturan'!$E$2:$E3237,'⚙️ Pengaturan'!$G$2:$G3237))</f>
        <v>KLINIK FT PAKET</v>
      </c>
      <c r="L1525" s="43" t="str">
        <f t="shared" si="3"/>
        <v>BARU</v>
      </c>
      <c r="M1525" s="144" t="s">
        <v>31</v>
      </c>
      <c r="N1525" s="145">
        <v>750000.0</v>
      </c>
      <c r="O1525" s="146">
        <v>0.0</v>
      </c>
      <c r="P1525" s="48">
        <f t="array" ref="P1525">IFNA(XLOOKUP(J1525,'⚙️ Pengaturan'!$E$2:$E3237,'⚙️ Pengaturan'!$F$2:$F3237),"")</f>
        <v>750000</v>
      </c>
      <c r="Q1525" s="147">
        <f t="shared" si="30"/>
        <v>0</v>
      </c>
      <c r="R1525" s="41" t="s">
        <v>37</v>
      </c>
      <c r="S1525" s="69" t="s">
        <v>747</v>
      </c>
      <c r="T1525" s="51" t="b">
        <v>1</v>
      </c>
      <c r="U1525" s="94"/>
    </row>
    <row r="1526" ht="30.0" customHeight="1">
      <c r="A1526" s="39"/>
      <c r="B1526" s="40">
        <v>3563.0</v>
      </c>
      <c r="C1526" s="41" t="s">
        <v>50</v>
      </c>
      <c r="D1526" s="86">
        <v>46144.0</v>
      </c>
      <c r="E1526" s="43" t="str">
        <f t="shared" si="1"/>
        <v>2026</v>
      </c>
      <c r="F1526" s="43" t="str">
        <f t="shared" si="2"/>
        <v>05 Mei</v>
      </c>
      <c r="G1526" s="45" t="s">
        <v>161</v>
      </c>
      <c r="H1526" s="45" t="s">
        <v>96</v>
      </c>
      <c r="I1526" s="45" t="s">
        <v>1219</v>
      </c>
      <c r="J1526" s="143" t="s">
        <v>120</v>
      </c>
      <c r="K1526" s="43" t="str">
        <f t="array" ref="K1526">IF(J1526="","", XLOOKUP(J1526,'⚙️ Pengaturan'!$E$2:$E3237,'⚙️ Pengaturan'!$G$2:$G3237))</f>
        <v>KLINIK FT SESI</v>
      </c>
      <c r="L1526" s="43" t="str">
        <f t="shared" si="3"/>
        <v>BARU</v>
      </c>
      <c r="M1526" s="144" t="s">
        <v>31</v>
      </c>
      <c r="N1526" s="145">
        <v>180000.0</v>
      </c>
      <c r="O1526" s="146">
        <v>0.0</v>
      </c>
      <c r="P1526" s="48">
        <f t="array" ref="P1526">IFNA(XLOOKUP(J1526,'⚙️ Pengaturan'!$E$2:$E3237,'⚙️ Pengaturan'!$F$2:$F3237),"")</f>
        <v>180000</v>
      </c>
      <c r="Q1526" s="147">
        <f t="shared" si="30"/>
        <v>0</v>
      </c>
      <c r="R1526" s="41" t="s">
        <v>32</v>
      </c>
      <c r="S1526" s="69" t="s">
        <v>33</v>
      </c>
      <c r="T1526" s="51" t="b">
        <v>1</v>
      </c>
      <c r="U1526" s="94"/>
    </row>
    <row r="1527" ht="30.0" customHeight="1">
      <c r="A1527" s="39"/>
      <c r="B1527" s="40">
        <v>3564.0</v>
      </c>
      <c r="C1527" s="41" t="s">
        <v>50</v>
      </c>
      <c r="D1527" s="86">
        <v>46144.0</v>
      </c>
      <c r="E1527" s="43" t="str">
        <f t="shared" si="1"/>
        <v>2026</v>
      </c>
      <c r="F1527" s="43" t="str">
        <f t="shared" si="2"/>
        <v>05 Mei</v>
      </c>
      <c r="G1527" s="45" t="s">
        <v>161</v>
      </c>
      <c r="H1527" s="45" t="s">
        <v>149</v>
      </c>
      <c r="I1527" s="45" t="s">
        <v>1231</v>
      </c>
      <c r="J1527" s="143" t="s">
        <v>28</v>
      </c>
      <c r="K1527" s="43" t="str">
        <f t="array" ref="K1527">IF(J1527="","", XLOOKUP(J1527,'⚙️ Pengaturan'!$E$2:$E3237,'⚙️ Pengaturan'!$G$2:$G3237))</f>
        <v>KLINIK FT TA</v>
      </c>
      <c r="L1527" s="43" t="str">
        <f t="shared" si="3"/>
        <v>BARU</v>
      </c>
      <c r="M1527" s="144" t="s">
        <v>31</v>
      </c>
      <c r="N1527" s="145">
        <v>250000.0</v>
      </c>
      <c r="O1527" s="146">
        <v>0.0</v>
      </c>
      <c r="P1527" s="48">
        <f t="array" ref="P1527">IFNA(XLOOKUP(J1527,'⚙️ Pengaturan'!$E$2:$E3237,'⚙️ Pengaturan'!$F$2:$F3237),"")</f>
        <v>250000</v>
      </c>
      <c r="Q1527" s="147">
        <f t="shared" si="30"/>
        <v>0</v>
      </c>
      <c r="R1527" s="41" t="s">
        <v>37</v>
      </c>
      <c r="S1527" s="69" t="s">
        <v>1231</v>
      </c>
      <c r="T1527" s="51" t="b">
        <v>1</v>
      </c>
      <c r="U1527" s="94"/>
    </row>
    <row r="1528" ht="30.0" customHeight="1">
      <c r="A1528" s="39"/>
      <c r="B1528" s="40">
        <v>3565.0</v>
      </c>
      <c r="C1528" s="41" t="s">
        <v>50</v>
      </c>
      <c r="D1528" s="86">
        <v>46144.0</v>
      </c>
      <c r="E1528" s="43" t="str">
        <f t="shared" si="1"/>
        <v>2026</v>
      </c>
      <c r="F1528" s="43" t="str">
        <f t="shared" si="2"/>
        <v>05 Mei</v>
      </c>
      <c r="G1528" s="45" t="s">
        <v>35</v>
      </c>
      <c r="H1528" s="45" t="s">
        <v>41</v>
      </c>
      <c r="I1528" s="45" t="s">
        <v>1232</v>
      </c>
      <c r="J1528" s="143" t="s">
        <v>28</v>
      </c>
      <c r="K1528" s="43" t="str">
        <f t="array" ref="K1528">IF(J1528="","", XLOOKUP(J1528,'⚙️ Pengaturan'!$E$2:$E3237,'⚙️ Pengaturan'!$G$2:$G3237))</f>
        <v>KLINIK FT TA</v>
      </c>
      <c r="L1528" s="43" t="str">
        <f t="shared" si="3"/>
        <v>BARU</v>
      </c>
      <c r="M1528" s="144" t="s">
        <v>31</v>
      </c>
      <c r="N1528" s="145">
        <v>250000.0</v>
      </c>
      <c r="O1528" s="146">
        <v>0.0</v>
      </c>
      <c r="P1528" s="48">
        <f t="array" ref="P1528">IFNA(XLOOKUP(J1528,'⚙️ Pengaturan'!$E$2:$E3237,'⚙️ Pengaturan'!$F$2:$F3237),"")</f>
        <v>250000</v>
      </c>
      <c r="Q1528" s="147">
        <f t="shared" si="30"/>
        <v>0</v>
      </c>
      <c r="R1528" s="41" t="s">
        <v>37</v>
      </c>
      <c r="S1528" s="69" t="s">
        <v>1232</v>
      </c>
      <c r="T1528" s="51" t="b">
        <v>1</v>
      </c>
      <c r="U1528" s="94"/>
    </row>
    <row r="1529" ht="30.0" customHeight="1">
      <c r="A1529" s="39"/>
      <c r="B1529" s="40">
        <v>3566.0</v>
      </c>
      <c r="C1529" s="41" t="s">
        <v>50</v>
      </c>
      <c r="D1529" s="86">
        <v>46144.0</v>
      </c>
      <c r="E1529" s="43" t="str">
        <f t="shared" si="1"/>
        <v>2026</v>
      </c>
      <c r="F1529" s="43" t="str">
        <f t="shared" si="2"/>
        <v>05 Mei</v>
      </c>
      <c r="G1529" s="45" t="s">
        <v>35</v>
      </c>
      <c r="H1529" s="45" t="s">
        <v>76</v>
      </c>
      <c r="I1529" s="45" t="s">
        <v>1233</v>
      </c>
      <c r="J1529" s="143" t="s">
        <v>28</v>
      </c>
      <c r="K1529" s="43" t="str">
        <f t="array" ref="K1529">IF(J1529="","", XLOOKUP(J1529,'⚙️ Pengaturan'!$E$2:$E3237,'⚙️ Pengaturan'!$G$2:$G3237))</f>
        <v>KLINIK FT TA</v>
      </c>
      <c r="L1529" s="43" t="str">
        <f t="shared" si="3"/>
        <v>BARU</v>
      </c>
      <c r="M1529" s="144" t="s">
        <v>31</v>
      </c>
      <c r="N1529" s="145">
        <v>250000.0</v>
      </c>
      <c r="O1529" s="146">
        <v>0.0</v>
      </c>
      <c r="P1529" s="48">
        <f t="array" ref="P1529">IFNA(XLOOKUP(J1529,'⚙️ Pengaturan'!$E$2:$E3237,'⚙️ Pengaturan'!$F$2:$F3237),"")</f>
        <v>250000</v>
      </c>
      <c r="Q1529" s="147">
        <f t="shared" si="30"/>
        <v>0</v>
      </c>
      <c r="R1529" s="41" t="s">
        <v>37</v>
      </c>
      <c r="S1529" s="69" t="s">
        <v>1233</v>
      </c>
      <c r="T1529" s="51" t="b">
        <v>1</v>
      </c>
      <c r="U1529" s="94"/>
    </row>
    <row r="1530" ht="30.0" customHeight="1">
      <c r="A1530" s="39"/>
      <c r="B1530" s="40">
        <v>3567.0</v>
      </c>
      <c r="C1530" s="41" t="s">
        <v>39</v>
      </c>
      <c r="D1530" s="86">
        <v>46144.0</v>
      </c>
      <c r="E1530" s="43" t="str">
        <f t="shared" si="1"/>
        <v>2026</v>
      </c>
      <c r="F1530" s="43" t="str">
        <f t="shared" si="2"/>
        <v>05 Mei</v>
      </c>
      <c r="G1530" s="45" t="s">
        <v>40</v>
      </c>
      <c r="H1530" s="45" t="s">
        <v>26</v>
      </c>
      <c r="I1530" s="45" t="s">
        <v>1234</v>
      </c>
      <c r="J1530" s="143" t="s">
        <v>28</v>
      </c>
      <c r="K1530" s="43" t="str">
        <f t="array" ref="K1530">IF(J1530="","", XLOOKUP(J1530,'⚙️ Pengaturan'!$E$2:$E3237,'⚙️ Pengaturan'!$G$2:$G3237))</f>
        <v>KLINIK FT TA</v>
      </c>
      <c r="L1530" s="43" t="str">
        <f t="shared" si="3"/>
        <v>BARU</v>
      </c>
      <c r="M1530" s="144" t="s">
        <v>31</v>
      </c>
      <c r="N1530" s="145">
        <v>250000.0</v>
      </c>
      <c r="O1530" s="146">
        <v>0.0</v>
      </c>
      <c r="P1530" s="48">
        <f t="array" ref="P1530">IFNA(XLOOKUP(J1530,'⚙️ Pengaturan'!$E$2:$E3237,'⚙️ Pengaturan'!$F$2:$F3237),"")</f>
        <v>250000</v>
      </c>
      <c r="Q1530" s="147">
        <f t="shared" si="30"/>
        <v>0</v>
      </c>
      <c r="R1530" s="41" t="s">
        <v>32</v>
      </c>
      <c r="S1530" s="69" t="s">
        <v>33</v>
      </c>
      <c r="T1530" s="51" t="b">
        <v>1</v>
      </c>
      <c r="U1530" s="94"/>
    </row>
    <row r="1531" ht="30.0" customHeight="1">
      <c r="A1531" s="39"/>
      <c r="B1531" s="40">
        <v>3568.0</v>
      </c>
      <c r="C1531" s="41" t="s">
        <v>39</v>
      </c>
      <c r="D1531" s="86">
        <v>46144.0</v>
      </c>
      <c r="E1531" s="43" t="str">
        <f t="shared" si="1"/>
        <v>2026</v>
      </c>
      <c r="F1531" s="43" t="str">
        <f t="shared" si="2"/>
        <v>05 Mei</v>
      </c>
      <c r="G1531" s="45" t="s">
        <v>40</v>
      </c>
      <c r="H1531" s="45" t="s">
        <v>150</v>
      </c>
      <c r="I1531" s="45" t="s">
        <v>1235</v>
      </c>
      <c r="J1531" s="143" t="s">
        <v>28</v>
      </c>
      <c r="K1531" s="43" t="str">
        <f t="array" ref="K1531">IF(J1531="","", XLOOKUP(J1531,'⚙️ Pengaturan'!$E$2:$E3237,'⚙️ Pengaturan'!$G$2:$G3237))</f>
        <v>KLINIK FT TA</v>
      </c>
      <c r="L1531" s="43" t="str">
        <f t="shared" si="3"/>
        <v>BARU</v>
      </c>
      <c r="M1531" s="144" t="s">
        <v>31</v>
      </c>
      <c r="N1531" s="145">
        <v>250000.0</v>
      </c>
      <c r="O1531" s="146">
        <v>0.0</v>
      </c>
      <c r="P1531" s="48">
        <f t="array" ref="P1531">IFNA(XLOOKUP(J1531,'⚙️ Pengaturan'!$E$2:$E3237,'⚙️ Pengaturan'!$F$2:$F3237),"")</f>
        <v>250000</v>
      </c>
      <c r="Q1531" s="147">
        <f t="shared" si="30"/>
        <v>0</v>
      </c>
      <c r="R1531" s="41" t="s">
        <v>37</v>
      </c>
      <c r="S1531" s="69" t="s">
        <v>1235</v>
      </c>
      <c r="T1531" s="51" t="b">
        <v>1</v>
      </c>
      <c r="U1531" s="94"/>
    </row>
    <row r="1532" ht="30.0" customHeight="1">
      <c r="A1532" s="39"/>
      <c r="B1532" s="40">
        <v>3569.0</v>
      </c>
      <c r="C1532" s="41" t="s">
        <v>39</v>
      </c>
      <c r="D1532" s="86">
        <v>46144.0</v>
      </c>
      <c r="E1532" s="43" t="str">
        <f t="shared" si="1"/>
        <v>2026</v>
      </c>
      <c r="F1532" s="43" t="str">
        <f t="shared" si="2"/>
        <v>05 Mei</v>
      </c>
      <c r="G1532" s="45" t="s">
        <v>43</v>
      </c>
      <c r="H1532" s="45" t="s">
        <v>150</v>
      </c>
      <c r="I1532" s="45" t="s">
        <v>1138</v>
      </c>
      <c r="J1532" s="143" t="s">
        <v>120</v>
      </c>
      <c r="K1532" s="43" t="str">
        <f t="array" ref="K1532">IF(J1532="","", XLOOKUP(J1532,'⚙️ Pengaturan'!$E$2:$E3237,'⚙️ Pengaturan'!$G$2:$G3237))</f>
        <v>KLINIK FT SESI</v>
      </c>
      <c r="L1532" s="43" t="str">
        <f t="shared" si="3"/>
        <v>LANJUTAN</v>
      </c>
      <c r="M1532" s="144" t="s">
        <v>31</v>
      </c>
      <c r="N1532" s="145">
        <v>180000.0</v>
      </c>
      <c r="O1532" s="146">
        <v>0.0</v>
      </c>
      <c r="P1532" s="48">
        <f t="array" ref="P1532">IFNA(XLOOKUP(J1532,'⚙️ Pengaturan'!$E$2:$E3237,'⚙️ Pengaturan'!$F$2:$F3237),"")</f>
        <v>180000</v>
      </c>
      <c r="Q1532" s="147">
        <f t="shared" si="30"/>
        <v>0</v>
      </c>
      <c r="R1532" s="41" t="s">
        <v>32</v>
      </c>
      <c r="S1532" s="69" t="s">
        <v>33</v>
      </c>
      <c r="T1532" s="51" t="b">
        <v>1</v>
      </c>
      <c r="U1532" s="94"/>
    </row>
    <row r="1533" ht="30.0" customHeight="1">
      <c r="A1533" s="39"/>
      <c r="B1533" s="40">
        <v>3570.0</v>
      </c>
      <c r="C1533" s="41" t="s">
        <v>39</v>
      </c>
      <c r="D1533" s="86">
        <v>46144.0</v>
      </c>
      <c r="E1533" s="43" t="str">
        <f t="shared" si="1"/>
        <v>2026</v>
      </c>
      <c r="F1533" s="43" t="str">
        <f t="shared" si="2"/>
        <v>05 Mei</v>
      </c>
      <c r="G1533" s="45" t="s">
        <v>173</v>
      </c>
      <c r="H1533" s="45" t="s">
        <v>166</v>
      </c>
      <c r="I1533" s="45" t="s">
        <v>1236</v>
      </c>
      <c r="J1533" s="143" t="s">
        <v>28</v>
      </c>
      <c r="K1533" s="43" t="str">
        <f t="array" ref="K1533">IF(J1533="","", XLOOKUP(J1533,'⚙️ Pengaturan'!$E$2:$E3237,'⚙️ Pengaturan'!$G$2:$G3237))</f>
        <v>KLINIK FT TA</v>
      </c>
      <c r="L1533" s="43" t="str">
        <f t="shared" si="3"/>
        <v>BARU</v>
      </c>
      <c r="M1533" s="144" t="s">
        <v>31</v>
      </c>
      <c r="N1533" s="145">
        <v>250000.0</v>
      </c>
      <c r="O1533" s="146">
        <v>0.0</v>
      </c>
      <c r="P1533" s="48">
        <f t="array" ref="P1533">IFNA(XLOOKUP(J1533,'⚙️ Pengaturan'!$E$2:$E3237,'⚙️ Pengaturan'!$F$2:$F3237),"")</f>
        <v>250000</v>
      </c>
      <c r="Q1533" s="147">
        <f t="shared" si="30"/>
        <v>0</v>
      </c>
      <c r="R1533" s="41" t="s">
        <v>32</v>
      </c>
      <c r="S1533" s="69" t="s">
        <v>33</v>
      </c>
      <c r="T1533" s="51" t="b">
        <v>1</v>
      </c>
      <c r="U1533" s="94"/>
    </row>
    <row r="1534" ht="30.0" customHeight="1">
      <c r="A1534" s="39"/>
      <c r="B1534" s="40">
        <v>3571.0</v>
      </c>
      <c r="C1534" s="41" t="s">
        <v>39</v>
      </c>
      <c r="D1534" s="86">
        <v>46144.0</v>
      </c>
      <c r="E1534" s="43" t="str">
        <f t="shared" si="1"/>
        <v>2026</v>
      </c>
      <c r="F1534" s="43" t="str">
        <f t="shared" si="2"/>
        <v>05 Mei</v>
      </c>
      <c r="G1534" s="45" t="s">
        <v>46</v>
      </c>
      <c r="H1534" s="45" t="s">
        <v>162</v>
      </c>
      <c r="I1534" s="45" t="s">
        <v>1237</v>
      </c>
      <c r="J1534" s="143" t="s">
        <v>28</v>
      </c>
      <c r="K1534" s="43" t="str">
        <f t="array" ref="K1534">IF(J1534="","", XLOOKUP(J1534,'⚙️ Pengaturan'!$E$2:$E3237,'⚙️ Pengaturan'!$G$2:$G3237))</f>
        <v>KLINIK FT TA</v>
      </c>
      <c r="L1534" s="43" t="str">
        <f t="shared" si="3"/>
        <v>BARU</v>
      </c>
      <c r="M1534" s="144" t="s">
        <v>31</v>
      </c>
      <c r="N1534" s="145">
        <v>250000.0</v>
      </c>
      <c r="O1534" s="146">
        <v>0.0</v>
      </c>
      <c r="P1534" s="48">
        <f t="array" ref="P1534">IFNA(XLOOKUP(J1534,'⚙️ Pengaturan'!$E$2:$E3237,'⚙️ Pengaturan'!$F$2:$F3237),"")</f>
        <v>250000</v>
      </c>
      <c r="Q1534" s="147">
        <f t="shared" si="30"/>
        <v>0</v>
      </c>
      <c r="R1534" s="41" t="s">
        <v>32</v>
      </c>
      <c r="S1534" s="69" t="s">
        <v>33</v>
      </c>
      <c r="T1534" s="51" t="b">
        <v>1</v>
      </c>
      <c r="U1534" s="94"/>
    </row>
    <row r="1535" ht="30.0" customHeight="1">
      <c r="A1535" s="39"/>
      <c r="B1535" s="40">
        <v>3572.0</v>
      </c>
      <c r="C1535" s="41" t="s">
        <v>39</v>
      </c>
      <c r="D1535" s="86">
        <v>46144.0</v>
      </c>
      <c r="E1535" s="43" t="str">
        <f t="shared" si="1"/>
        <v>2026</v>
      </c>
      <c r="F1535" s="43" t="str">
        <f t="shared" si="2"/>
        <v>05 Mei</v>
      </c>
      <c r="G1535" s="45" t="s">
        <v>195</v>
      </c>
      <c r="H1535" s="45" t="s">
        <v>149</v>
      </c>
      <c r="I1535" s="45" t="s">
        <v>1108</v>
      </c>
      <c r="J1535" s="143" t="s">
        <v>120</v>
      </c>
      <c r="K1535" s="43" t="str">
        <f t="array" ref="K1535">IF(J1535="","", XLOOKUP(J1535,'⚙️ Pengaturan'!$E$2:$E3237,'⚙️ Pengaturan'!$G$2:$G3237))</f>
        <v>KLINIK FT SESI</v>
      </c>
      <c r="L1535" s="43" t="str">
        <f t="shared" si="3"/>
        <v>LANJUTAN</v>
      </c>
      <c r="M1535" s="144" t="s">
        <v>31</v>
      </c>
      <c r="N1535" s="145">
        <v>180000.0</v>
      </c>
      <c r="O1535" s="146">
        <v>0.0</v>
      </c>
      <c r="P1535" s="48">
        <f t="array" ref="P1535">IFNA(XLOOKUP(J1535,'⚙️ Pengaturan'!$E$2:$E3237,'⚙️ Pengaturan'!$F$2:$F3237),"")</f>
        <v>180000</v>
      </c>
      <c r="Q1535" s="147">
        <f t="shared" si="30"/>
        <v>0</v>
      </c>
      <c r="R1535" s="41" t="s">
        <v>32</v>
      </c>
      <c r="S1535" s="69" t="s">
        <v>33</v>
      </c>
      <c r="T1535" s="51" t="b">
        <v>1</v>
      </c>
      <c r="U1535" s="94"/>
    </row>
    <row r="1536" ht="30.0" customHeight="1">
      <c r="A1536" s="39"/>
      <c r="B1536" s="40">
        <v>3573.0</v>
      </c>
      <c r="C1536" s="41" t="s">
        <v>39</v>
      </c>
      <c r="D1536" s="86">
        <v>46144.0</v>
      </c>
      <c r="E1536" s="43" t="str">
        <f t="shared" si="1"/>
        <v>2026</v>
      </c>
      <c r="F1536" s="43" t="str">
        <f t="shared" si="2"/>
        <v>05 Mei</v>
      </c>
      <c r="G1536" s="45" t="s">
        <v>190</v>
      </c>
      <c r="H1536" s="45" t="s">
        <v>166</v>
      </c>
      <c r="I1536" s="45" t="s">
        <v>1209</v>
      </c>
      <c r="J1536" s="143" t="s">
        <v>120</v>
      </c>
      <c r="K1536" s="43" t="str">
        <f t="array" ref="K1536">IF(J1536="","", XLOOKUP(J1536,'⚙️ Pengaturan'!$E$2:$E3237,'⚙️ Pengaturan'!$G$2:$G3237))</f>
        <v>KLINIK FT SESI</v>
      </c>
      <c r="L1536" s="43" t="str">
        <f t="shared" si="3"/>
        <v>BARU</v>
      </c>
      <c r="M1536" s="144" t="s">
        <v>31</v>
      </c>
      <c r="N1536" s="145">
        <v>180000.0</v>
      </c>
      <c r="O1536" s="146">
        <v>0.0</v>
      </c>
      <c r="P1536" s="48">
        <f t="array" ref="P1536">IFNA(XLOOKUP(J1536,'⚙️ Pengaturan'!$E$2:$E3237,'⚙️ Pengaturan'!$F$2:$F3237),"")</f>
        <v>180000</v>
      </c>
      <c r="Q1536" s="147">
        <f t="shared" si="30"/>
        <v>0</v>
      </c>
      <c r="R1536" s="41" t="s">
        <v>32</v>
      </c>
      <c r="S1536" s="69" t="s">
        <v>33</v>
      </c>
      <c r="T1536" s="51" t="b">
        <v>1</v>
      </c>
      <c r="U1536" s="94"/>
    </row>
    <row r="1537" ht="30.0" customHeight="1">
      <c r="A1537" s="39"/>
      <c r="B1537" s="40">
        <v>3574.0</v>
      </c>
      <c r="C1537" s="41" t="s">
        <v>39</v>
      </c>
      <c r="D1537" s="86">
        <v>46145.0</v>
      </c>
      <c r="E1537" s="43" t="str">
        <f t="shared" si="1"/>
        <v>2026</v>
      </c>
      <c r="F1537" s="43" t="str">
        <f t="shared" si="2"/>
        <v>05 Mei</v>
      </c>
      <c r="G1537" s="45" t="s">
        <v>69</v>
      </c>
      <c r="H1537" s="45" t="s">
        <v>103</v>
      </c>
      <c r="I1537" s="45" t="s">
        <v>1238</v>
      </c>
      <c r="J1537" s="143" t="s">
        <v>28</v>
      </c>
      <c r="K1537" s="43" t="str">
        <f t="array" ref="K1537">IF(J1537="","", XLOOKUP(J1537,'⚙️ Pengaturan'!$E$2:$E3237,'⚙️ Pengaturan'!$G$2:$G3237))</f>
        <v>KLINIK FT TA</v>
      </c>
      <c r="L1537" s="43" t="str">
        <f t="shared" si="3"/>
        <v>BARU</v>
      </c>
      <c r="M1537" s="144" t="s">
        <v>31</v>
      </c>
      <c r="N1537" s="145">
        <v>250000.0</v>
      </c>
      <c r="O1537" s="146">
        <v>0.0</v>
      </c>
      <c r="P1537" s="48">
        <f t="array" ref="P1537">IFNA(XLOOKUP(J1537,'⚙️ Pengaturan'!$E$2:$E3237,'⚙️ Pengaturan'!$F$2:$F3237),"")</f>
        <v>250000</v>
      </c>
      <c r="Q1537" s="147">
        <f t="shared" si="30"/>
        <v>0</v>
      </c>
      <c r="R1537" s="41" t="s">
        <v>32</v>
      </c>
      <c r="S1537" s="69" t="s">
        <v>33</v>
      </c>
      <c r="T1537" s="51" t="b">
        <v>1</v>
      </c>
      <c r="U1537" s="94"/>
    </row>
    <row r="1538" ht="30.0" customHeight="1">
      <c r="A1538" s="39"/>
      <c r="B1538" s="40">
        <v>3575.0</v>
      </c>
      <c r="C1538" s="41" t="s">
        <v>39</v>
      </c>
      <c r="D1538" s="86">
        <v>46145.0</v>
      </c>
      <c r="E1538" s="43" t="str">
        <f t="shared" si="1"/>
        <v>2026</v>
      </c>
      <c r="F1538" s="43" t="str">
        <f t="shared" si="2"/>
        <v>05 Mei</v>
      </c>
      <c r="G1538" s="45" t="s">
        <v>69</v>
      </c>
      <c r="H1538" s="45" t="s">
        <v>103</v>
      </c>
      <c r="I1538" s="45" t="s">
        <v>1238</v>
      </c>
      <c r="J1538" s="143" t="s">
        <v>349</v>
      </c>
      <c r="K1538" s="43" t="str">
        <f t="array" ref="K1538">IF(J1538="","", XLOOKUP(J1538,'⚙️ Pengaturan'!$E$2:$E3237,'⚙️ Pengaturan'!$G$2:$G3237))</f>
        <v>KLINIK FT PAKET</v>
      </c>
      <c r="L1538" s="43" t="str">
        <f t="shared" si="3"/>
        <v>BARU</v>
      </c>
      <c r="M1538" s="144" t="s">
        <v>31</v>
      </c>
      <c r="N1538" s="145">
        <v>2400000.0</v>
      </c>
      <c r="O1538" s="146">
        <v>0.0</v>
      </c>
      <c r="P1538" s="48">
        <f t="array" ref="P1538">IFNA(XLOOKUP(J1538,'⚙️ Pengaturan'!$E$2:$E3237,'⚙️ Pengaturan'!$F$2:$F3237),"")</f>
        <v>2400000</v>
      </c>
      <c r="Q1538" s="147">
        <f t="shared" si="30"/>
        <v>0</v>
      </c>
      <c r="R1538" s="41" t="s">
        <v>37</v>
      </c>
      <c r="S1538" s="69" t="s">
        <v>1239</v>
      </c>
      <c r="T1538" s="51" t="b">
        <v>1</v>
      </c>
      <c r="U1538" s="94"/>
    </row>
    <row r="1539" ht="30.0" customHeight="1">
      <c r="A1539" s="39"/>
      <c r="B1539" s="40">
        <v>3576.0</v>
      </c>
      <c r="C1539" s="41" t="s">
        <v>39</v>
      </c>
      <c r="D1539" s="86">
        <v>46145.0</v>
      </c>
      <c r="E1539" s="43" t="str">
        <f t="shared" si="1"/>
        <v>2026</v>
      </c>
      <c r="F1539" s="43" t="str">
        <f t="shared" si="2"/>
        <v>05 Mei</v>
      </c>
      <c r="G1539" s="45" t="s">
        <v>161</v>
      </c>
      <c r="H1539" s="45" t="s">
        <v>150</v>
      </c>
      <c r="I1539" s="45" t="s">
        <v>1240</v>
      </c>
      <c r="J1539" s="143" t="s">
        <v>28</v>
      </c>
      <c r="K1539" s="43" t="str">
        <f t="array" ref="K1539">IF(J1539="","", XLOOKUP(J1539,'⚙️ Pengaturan'!$E$2:$E3237,'⚙️ Pengaturan'!$G$2:$G3237))</f>
        <v>KLINIK FT TA</v>
      </c>
      <c r="L1539" s="43" t="str">
        <f t="shared" si="3"/>
        <v>BARU</v>
      </c>
      <c r="M1539" s="144" t="s">
        <v>31</v>
      </c>
      <c r="N1539" s="145">
        <v>250000.0</v>
      </c>
      <c r="O1539" s="146">
        <v>0.0</v>
      </c>
      <c r="P1539" s="48">
        <f t="array" ref="P1539">IFNA(XLOOKUP(J1539,'⚙️ Pengaturan'!$E$2:$E3237,'⚙️ Pengaturan'!$F$2:$F3237),"")</f>
        <v>250000</v>
      </c>
      <c r="Q1539" s="147">
        <f t="shared" si="30"/>
        <v>0</v>
      </c>
      <c r="R1539" s="41" t="s">
        <v>32</v>
      </c>
      <c r="S1539" s="69" t="s">
        <v>33</v>
      </c>
      <c r="T1539" s="51" t="b">
        <v>1</v>
      </c>
      <c r="U1539" s="94"/>
    </row>
    <row r="1540" ht="30.0" customHeight="1">
      <c r="A1540" s="39"/>
      <c r="B1540" s="40">
        <v>3577.0</v>
      </c>
      <c r="C1540" s="41" t="s">
        <v>39</v>
      </c>
      <c r="D1540" s="86">
        <v>46145.0</v>
      </c>
      <c r="E1540" s="43" t="str">
        <f t="shared" si="1"/>
        <v>2026</v>
      </c>
      <c r="F1540" s="43" t="str">
        <f t="shared" si="2"/>
        <v>05 Mei</v>
      </c>
      <c r="G1540" s="45" t="s">
        <v>161</v>
      </c>
      <c r="H1540" s="45" t="s">
        <v>162</v>
      </c>
      <c r="I1540" s="45" t="s">
        <v>1241</v>
      </c>
      <c r="J1540" s="143" t="s">
        <v>28</v>
      </c>
      <c r="K1540" s="43" t="str">
        <f t="array" ref="K1540">IF(J1540="","", XLOOKUP(J1540,'⚙️ Pengaturan'!$E$2:$E3237,'⚙️ Pengaturan'!$G$2:$G3237))</f>
        <v>KLINIK FT TA</v>
      </c>
      <c r="L1540" s="43" t="str">
        <f t="shared" si="3"/>
        <v>BARU</v>
      </c>
      <c r="M1540" s="144" t="s">
        <v>31</v>
      </c>
      <c r="N1540" s="145">
        <v>250000.0</v>
      </c>
      <c r="O1540" s="146">
        <v>0.0</v>
      </c>
      <c r="P1540" s="48">
        <f t="array" ref="P1540">IFNA(XLOOKUP(J1540,'⚙️ Pengaturan'!$E$2:$E3237,'⚙️ Pengaturan'!$F$2:$F3237),"")</f>
        <v>250000</v>
      </c>
      <c r="Q1540" s="147">
        <f t="shared" si="30"/>
        <v>0</v>
      </c>
      <c r="R1540" s="41" t="s">
        <v>37</v>
      </c>
      <c r="S1540" s="69" t="s">
        <v>1241</v>
      </c>
      <c r="T1540" s="51" t="b">
        <v>1</v>
      </c>
      <c r="U1540" s="94"/>
    </row>
    <row r="1541" ht="30.0" customHeight="1">
      <c r="A1541" s="39"/>
      <c r="B1541" s="40">
        <v>3578.0</v>
      </c>
      <c r="C1541" s="41" t="s">
        <v>39</v>
      </c>
      <c r="D1541" s="86">
        <v>46145.0</v>
      </c>
      <c r="E1541" s="43" t="str">
        <f t="shared" si="1"/>
        <v>2026</v>
      </c>
      <c r="F1541" s="43" t="str">
        <f t="shared" si="2"/>
        <v>05 Mei</v>
      </c>
      <c r="G1541" s="45" t="s">
        <v>35</v>
      </c>
      <c r="H1541" s="45" t="s">
        <v>162</v>
      </c>
      <c r="I1541" s="45" t="s">
        <v>1242</v>
      </c>
      <c r="J1541" s="143" t="s">
        <v>28</v>
      </c>
      <c r="K1541" s="43" t="str">
        <f t="array" ref="K1541">IF(J1541="","", XLOOKUP(J1541,'⚙️ Pengaturan'!$E$2:$E3237,'⚙️ Pengaturan'!$G$2:$G3237))</f>
        <v>KLINIK FT TA</v>
      </c>
      <c r="L1541" s="43" t="str">
        <f t="shared" si="3"/>
        <v>BARU</v>
      </c>
      <c r="M1541" s="144" t="s">
        <v>31</v>
      </c>
      <c r="N1541" s="145">
        <v>250000.0</v>
      </c>
      <c r="O1541" s="146">
        <v>0.0</v>
      </c>
      <c r="P1541" s="48">
        <f t="array" ref="P1541">IFNA(XLOOKUP(J1541,'⚙️ Pengaturan'!$E$2:$E3237,'⚙️ Pengaturan'!$F$2:$F3237),"")</f>
        <v>250000</v>
      </c>
      <c r="Q1541" s="147">
        <f t="shared" si="30"/>
        <v>0</v>
      </c>
      <c r="R1541" s="41" t="s">
        <v>37</v>
      </c>
      <c r="S1541" s="69" t="s">
        <v>1242</v>
      </c>
      <c r="T1541" s="51" t="b">
        <v>1</v>
      </c>
      <c r="U1541" s="94"/>
    </row>
    <row r="1542" ht="30.0" customHeight="1">
      <c r="A1542" s="39"/>
      <c r="B1542" s="40">
        <v>3579.0</v>
      </c>
      <c r="C1542" s="41" t="s">
        <v>50</v>
      </c>
      <c r="D1542" s="86">
        <v>46145.0</v>
      </c>
      <c r="E1542" s="43" t="str">
        <f t="shared" si="1"/>
        <v>2026</v>
      </c>
      <c r="F1542" s="43" t="str">
        <f t="shared" si="2"/>
        <v>05 Mei</v>
      </c>
      <c r="G1542" s="45" t="s">
        <v>40</v>
      </c>
      <c r="H1542" s="45" t="s">
        <v>47</v>
      </c>
      <c r="I1542" s="45" t="s">
        <v>245</v>
      </c>
      <c r="J1542" s="143" t="s">
        <v>120</v>
      </c>
      <c r="K1542" s="43" t="str">
        <f t="array" ref="K1542">IF(J1542="","", XLOOKUP(J1542,'⚙️ Pengaturan'!$E$2:$E3237,'⚙️ Pengaturan'!$G$2:$G3237))</f>
        <v>KLINIK FT SESI</v>
      </c>
      <c r="L1542" s="43" t="str">
        <f t="shared" si="3"/>
        <v>BARU</v>
      </c>
      <c r="M1542" s="144" t="s">
        <v>31</v>
      </c>
      <c r="N1542" s="145">
        <v>180000.0</v>
      </c>
      <c r="O1542" s="146">
        <v>0.0</v>
      </c>
      <c r="P1542" s="48">
        <f t="array" ref="P1542">IFNA(XLOOKUP(J1542,'⚙️ Pengaturan'!$E$2:$E3237,'⚙️ Pengaturan'!$F$2:$F3237),"")</f>
        <v>180000</v>
      </c>
      <c r="Q1542" s="147">
        <f t="shared" si="30"/>
        <v>0</v>
      </c>
      <c r="R1542" s="41" t="s">
        <v>37</v>
      </c>
      <c r="S1542" s="69" t="s">
        <v>245</v>
      </c>
      <c r="T1542" s="51" t="b">
        <v>1</v>
      </c>
      <c r="U1542" s="94"/>
    </row>
    <row r="1543" ht="30.0" customHeight="1">
      <c r="A1543" s="39"/>
      <c r="B1543" s="40">
        <v>3580.0</v>
      </c>
      <c r="C1543" s="41" t="s">
        <v>50</v>
      </c>
      <c r="D1543" s="86">
        <v>46145.0</v>
      </c>
      <c r="E1543" s="43" t="str">
        <f t="shared" si="1"/>
        <v>2026</v>
      </c>
      <c r="F1543" s="43" t="str">
        <f t="shared" si="2"/>
        <v>05 Mei</v>
      </c>
      <c r="G1543" s="45" t="s">
        <v>40</v>
      </c>
      <c r="H1543" s="45" t="s">
        <v>149</v>
      </c>
      <c r="I1543" s="45" t="s">
        <v>1243</v>
      </c>
      <c r="J1543" s="143" t="s">
        <v>28</v>
      </c>
      <c r="K1543" s="43" t="str">
        <f t="array" ref="K1543">IF(J1543="","", XLOOKUP(J1543,'⚙️ Pengaturan'!$E$2:$E3237,'⚙️ Pengaturan'!$G$2:$G3237))</f>
        <v>KLINIK FT TA</v>
      </c>
      <c r="L1543" s="43" t="str">
        <f t="shared" si="3"/>
        <v>BARU</v>
      </c>
      <c r="M1543" s="144" t="s">
        <v>31</v>
      </c>
      <c r="N1543" s="145">
        <v>250000.0</v>
      </c>
      <c r="O1543" s="146">
        <v>0.0</v>
      </c>
      <c r="P1543" s="48">
        <f t="array" ref="P1543">IFNA(XLOOKUP(J1543,'⚙️ Pengaturan'!$E$2:$E3237,'⚙️ Pengaturan'!$F$2:$F3237),"")</f>
        <v>250000</v>
      </c>
      <c r="Q1543" s="147">
        <f t="shared" si="30"/>
        <v>0</v>
      </c>
      <c r="R1543" s="41" t="s">
        <v>37</v>
      </c>
      <c r="S1543" s="69" t="s">
        <v>1244</v>
      </c>
      <c r="T1543" s="51" t="b">
        <v>1</v>
      </c>
      <c r="U1543" s="94"/>
    </row>
    <row r="1544" ht="30.0" customHeight="1">
      <c r="A1544" s="39"/>
      <c r="B1544" s="40">
        <v>3581.0</v>
      </c>
      <c r="C1544" s="41" t="s">
        <v>50</v>
      </c>
      <c r="D1544" s="86">
        <v>46145.0</v>
      </c>
      <c r="E1544" s="43" t="str">
        <f t="shared" si="1"/>
        <v>2026</v>
      </c>
      <c r="F1544" s="43" t="str">
        <f t="shared" si="2"/>
        <v>05 Mei</v>
      </c>
      <c r="G1544" s="45" t="s">
        <v>43</v>
      </c>
      <c r="H1544" s="45" t="s">
        <v>47</v>
      </c>
      <c r="I1544" s="45" t="s">
        <v>1245</v>
      </c>
      <c r="J1544" s="143" t="s">
        <v>28</v>
      </c>
      <c r="K1544" s="43" t="str">
        <f t="array" ref="K1544">IF(J1544="","", XLOOKUP(J1544,'⚙️ Pengaturan'!$E$2:$E3237,'⚙️ Pengaturan'!$G$2:$G3237))</f>
        <v>KLINIK FT TA</v>
      </c>
      <c r="L1544" s="43" t="str">
        <f t="shared" si="3"/>
        <v>BARU</v>
      </c>
      <c r="M1544" s="144" t="s">
        <v>31</v>
      </c>
      <c r="N1544" s="145">
        <v>250000.0</v>
      </c>
      <c r="O1544" s="146">
        <v>0.0</v>
      </c>
      <c r="P1544" s="48">
        <f t="array" ref="P1544">IFNA(XLOOKUP(J1544,'⚙️ Pengaturan'!$E$2:$E3237,'⚙️ Pengaturan'!$F$2:$F3237),"")</f>
        <v>250000</v>
      </c>
      <c r="Q1544" s="147">
        <f t="shared" si="30"/>
        <v>0</v>
      </c>
      <c r="R1544" s="41" t="s">
        <v>37</v>
      </c>
      <c r="S1544" s="69" t="s">
        <v>1246</v>
      </c>
      <c r="T1544" s="51" t="b">
        <v>1</v>
      </c>
      <c r="U1544" s="94"/>
    </row>
    <row r="1545" ht="30.0" customHeight="1">
      <c r="A1545" s="39"/>
      <c r="B1545" s="40">
        <v>3582.0</v>
      </c>
      <c r="C1545" s="41" t="s">
        <v>50</v>
      </c>
      <c r="D1545" s="86">
        <v>46145.0</v>
      </c>
      <c r="E1545" s="43" t="str">
        <f t="shared" si="1"/>
        <v>2026</v>
      </c>
      <c r="F1545" s="43" t="str">
        <f t="shared" si="2"/>
        <v>05 Mei</v>
      </c>
      <c r="G1545" s="45" t="s">
        <v>43</v>
      </c>
      <c r="H1545" s="45" t="s">
        <v>41</v>
      </c>
      <c r="I1545" s="45" t="s">
        <v>1246</v>
      </c>
      <c r="J1545" s="143" t="s">
        <v>28</v>
      </c>
      <c r="K1545" s="43" t="str">
        <f t="array" ref="K1545">IF(J1545="","", XLOOKUP(J1545,'⚙️ Pengaturan'!$E$2:$E3237,'⚙️ Pengaturan'!$G$2:$G3237))</f>
        <v>KLINIK FT TA</v>
      </c>
      <c r="L1545" s="43" t="str">
        <f t="shared" si="3"/>
        <v>BARU</v>
      </c>
      <c r="M1545" s="144" t="s">
        <v>31</v>
      </c>
      <c r="N1545" s="145">
        <v>250000.0</v>
      </c>
      <c r="O1545" s="146">
        <v>0.0</v>
      </c>
      <c r="P1545" s="48">
        <f t="array" ref="P1545">IFNA(XLOOKUP(J1545,'⚙️ Pengaturan'!$E$2:$E3237,'⚙️ Pengaturan'!$F$2:$F3237),"")</f>
        <v>250000</v>
      </c>
      <c r="Q1545" s="147">
        <f t="shared" si="30"/>
        <v>0</v>
      </c>
      <c r="R1545" s="41" t="s">
        <v>37</v>
      </c>
      <c r="S1545" s="69" t="s">
        <v>1246</v>
      </c>
      <c r="T1545" s="51" t="b">
        <v>1</v>
      </c>
      <c r="U1545" s="94"/>
    </row>
    <row r="1546" ht="30.0" customHeight="1">
      <c r="A1546" s="39"/>
      <c r="B1546" s="40">
        <v>3583.0</v>
      </c>
      <c r="C1546" s="41" t="s">
        <v>50</v>
      </c>
      <c r="D1546" s="86">
        <v>46145.0</v>
      </c>
      <c r="E1546" s="43" t="str">
        <f t="shared" si="1"/>
        <v>2026</v>
      </c>
      <c r="F1546" s="43" t="str">
        <f t="shared" si="2"/>
        <v>05 Mei</v>
      </c>
      <c r="G1546" s="45" t="s">
        <v>43</v>
      </c>
      <c r="H1546" s="45" t="s">
        <v>96</v>
      </c>
      <c r="I1546" s="45" t="s">
        <v>1247</v>
      </c>
      <c r="J1546" s="143" t="s">
        <v>28</v>
      </c>
      <c r="K1546" s="43" t="str">
        <f t="array" ref="K1546">IF(J1546="","", XLOOKUP(J1546,'⚙️ Pengaturan'!$E$2:$E3237,'⚙️ Pengaturan'!$G$2:$G3237))</f>
        <v>KLINIK FT TA</v>
      </c>
      <c r="L1546" s="43" t="str">
        <f t="shared" si="3"/>
        <v>BARU</v>
      </c>
      <c r="M1546" s="144" t="s">
        <v>31</v>
      </c>
      <c r="N1546" s="145">
        <v>250000.0</v>
      </c>
      <c r="O1546" s="146">
        <v>0.0</v>
      </c>
      <c r="P1546" s="48">
        <f t="array" ref="P1546">IFNA(XLOOKUP(J1546,'⚙️ Pengaturan'!$E$2:$E3237,'⚙️ Pengaturan'!$F$2:$F3237),"")</f>
        <v>250000</v>
      </c>
      <c r="Q1546" s="147">
        <f t="shared" si="30"/>
        <v>0</v>
      </c>
      <c r="R1546" s="41" t="s">
        <v>37</v>
      </c>
      <c r="S1546" s="69" t="s">
        <v>1246</v>
      </c>
      <c r="T1546" s="51" t="b">
        <v>1</v>
      </c>
      <c r="U1546" s="94"/>
    </row>
    <row r="1547" ht="30.0" customHeight="1">
      <c r="A1547" s="39"/>
      <c r="B1547" s="40">
        <v>3584.0</v>
      </c>
      <c r="C1547" s="41" t="s">
        <v>50</v>
      </c>
      <c r="D1547" s="86">
        <v>46145.0</v>
      </c>
      <c r="E1547" s="43" t="str">
        <f t="shared" si="1"/>
        <v>2026</v>
      </c>
      <c r="F1547" s="43" t="str">
        <f t="shared" si="2"/>
        <v>05 Mei</v>
      </c>
      <c r="G1547" s="45" t="s">
        <v>173</v>
      </c>
      <c r="H1547" s="45" t="s">
        <v>76</v>
      </c>
      <c r="I1547" s="45" t="s">
        <v>600</v>
      </c>
      <c r="J1547" s="143" t="s">
        <v>92</v>
      </c>
      <c r="K1547" s="43" t="str">
        <f t="array" ref="K1547">IF(J1547="","", XLOOKUP(J1547,'⚙️ Pengaturan'!$E$2:$E3237,'⚙️ Pengaturan'!$G$2:$G3237))</f>
        <v>KLINIK FT PAKET</v>
      </c>
      <c r="L1547" s="43" t="str">
        <f t="shared" si="3"/>
        <v>LANJUTAN</v>
      </c>
      <c r="M1547" s="144" t="s">
        <v>60</v>
      </c>
      <c r="N1547" s="145">
        <v>200000.0</v>
      </c>
      <c r="O1547" s="146">
        <v>0.0</v>
      </c>
      <c r="P1547" s="48">
        <f t="array" ref="P1547">IFNA(XLOOKUP(J1547,'⚙️ Pengaturan'!$E$2:$E3237,'⚙️ Pengaturan'!$F$2:$F3237),"")</f>
        <v>1200000</v>
      </c>
      <c r="Q1547" s="147">
        <f t="shared" si="30"/>
        <v>-1000000</v>
      </c>
      <c r="R1547" s="41" t="s">
        <v>32</v>
      </c>
      <c r="S1547" s="69" t="s">
        <v>33</v>
      </c>
      <c r="T1547" s="51" t="b">
        <v>1</v>
      </c>
      <c r="U1547" s="94"/>
    </row>
    <row r="1548" ht="30.0" customHeight="1">
      <c r="A1548" s="39"/>
      <c r="B1548" s="40">
        <v>3585.0</v>
      </c>
      <c r="C1548" s="41" t="s">
        <v>50</v>
      </c>
      <c r="D1548" s="86">
        <v>46145.0</v>
      </c>
      <c r="E1548" s="43" t="str">
        <f t="shared" si="1"/>
        <v>2026</v>
      </c>
      <c r="F1548" s="43" t="str">
        <f t="shared" si="2"/>
        <v>05 Mei</v>
      </c>
      <c r="G1548" s="45" t="s">
        <v>173</v>
      </c>
      <c r="H1548" s="45" t="s">
        <v>41</v>
      </c>
      <c r="I1548" s="45" t="s">
        <v>1181</v>
      </c>
      <c r="J1548" s="143" t="s">
        <v>120</v>
      </c>
      <c r="K1548" s="43" t="str">
        <f t="array" ref="K1548">IF(J1548="","", XLOOKUP(J1548,'⚙️ Pengaturan'!$E$2:$E3237,'⚙️ Pengaturan'!$G$2:$G3237))</f>
        <v>KLINIK FT SESI</v>
      </c>
      <c r="L1548" s="43" t="str">
        <f t="shared" si="3"/>
        <v>LANJUTAN</v>
      </c>
      <c r="M1548" s="144" t="s">
        <v>31</v>
      </c>
      <c r="N1548" s="145">
        <v>180000.0</v>
      </c>
      <c r="O1548" s="146">
        <v>0.0</v>
      </c>
      <c r="P1548" s="48">
        <f t="array" ref="P1548">IFNA(XLOOKUP(J1548,'⚙️ Pengaturan'!$E$2:$E3237,'⚙️ Pengaturan'!$F$2:$F3237),"")</f>
        <v>180000</v>
      </c>
      <c r="Q1548" s="147">
        <f t="shared" si="30"/>
        <v>0</v>
      </c>
      <c r="R1548" s="41" t="s">
        <v>32</v>
      </c>
      <c r="S1548" s="69" t="s">
        <v>33</v>
      </c>
      <c r="T1548" s="51" t="b">
        <v>1</v>
      </c>
      <c r="U1548" s="94"/>
    </row>
    <row r="1549" ht="30.0" customHeight="1">
      <c r="A1549" s="39"/>
      <c r="B1549" s="40">
        <v>3586.0</v>
      </c>
      <c r="C1549" s="41" t="s">
        <v>50</v>
      </c>
      <c r="D1549" s="86">
        <v>46145.0</v>
      </c>
      <c r="E1549" s="43" t="str">
        <f t="shared" si="1"/>
        <v>2026</v>
      </c>
      <c r="F1549" s="43" t="str">
        <f t="shared" si="2"/>
        <v>05 Mei</v>
      </c>
      <c r="G1549" s="45" t="s">
        <v>173</v>
      </c>
      <c r="H1549" s="45" t="s">
        <v>47</v>
      </c>
      <c r="I1549" s="45" t="s">
        <v>1171</v>
      </c>
      <c r="J1549" s="143" t="s">
        <v>120</v>
      </c>
      <c r="K1549" s="43" t="str">
        <f t="array" ref="K1549">IF(J1549="","", XLOOKUP(J1549,'⚙️ Pengaturan'!$E$2:$E3237,'⚙️ Pengaturan'!$G$2:$G3237))</f>
        <v>KLINIK FT SESI</v>
      </c>
      <c r="L1549" s="43" t="str">
        <f t="shared" si="3"/>
        <v>LANJUTAN</v>
      </c>
      <c r="M1549" s="144" t="s">
        <v>31</v>
      </c>
      <c r="N1549" s="145">
        <v>180000.0</v>
      </c>
      <c r="O1549" s="146">
        <v>0.0</v>
      </c>
      <c r="P1549" s="48">
        <f t="array" ref="P1549">IFNA(XLOOKUP(J1549,'⚙️ Pengaturan'!$E$2:$E3237,'⚙️ Pengaturan'!$F$2:$F3237),"")</f>
        <v>180000</v>
      </c>
      <c r="Q1549" s="147">
        <f t="shared" si="30"/>
        <v>0</v>
      </c>
      <c r="R1549" s="41" t="s">
        <v>32</v>
      </c>
      <c r="S1549" s="69" t="s">
        <v>33</v>
      </c>
      <c r="T1549" s="51" t="b">
        <v>1</v>
      </c>
      <c r="U1549" s="94"/>
    </row>
    <row r="1550" ht="30.0" customHeight="1">
      <c r="A1550" s="39"/>
      <c r="B1550" s="40">
        <v>3587.0</v>
      </c>
      <c r="C1550" s="41" t="s">
        <v>50</v>
      </c>
      <c r="D1550" s="86">
        <v>46145.0</v>
      </c>
      <c r="E1550" s="43" t="str">
        <f t="shared" si="1"/>
        <v>2026</v>
      </c>
      <c r="F1550" s="43" t="str">
        <f t="shared" si="2"/>
        <v>05 Mei</v>
      </c>
      <c r="G1550" s="45" t="s">
        <v>155</v>
      </c>
      <c r="H1550" s="45" t="s">
        <v>76</v>
      </c>
      <c r="I1550" s="45" t="s">
        <v>1248</v>
      </c>
      <c r="J1550" s="143" t="s">
        <v>28</v>
      </c>
      <c r="K1550" s="43" t="str">
        <f t="array" ref="K1550">IF(J1550="","", XLOOKUP(J1550,'⚙️ Pengaturan'!$E$2:$E3237,'⚙️ Pengaturan'!$G$2:$G3237))</f>
        <v>KLINIK FT TA</v>
      </c>
      <c r="L1550" s="43" t="str">
        <f t="shared" si="3"/>
        <v>BARU</v>
      </c>
      <c r="M1550" s="144" t="s">
        <v>31</v>
      </c>
      <c r="N1550" s="145">
        <v>250000.0</v>
      </c>
      <c r="O1550" s="146">
        <v>0.0</v>
      </c>
      <c r="P1550" s="48">
        <f t="array" ref="P1550">IFNA(XLOOKUP(J1550,'⚙️ Pengaturan'!$E$2:$E3237,'⚙️ Pengaturan'!$F$2:$F3237),"")</f>
        <v>250000</v>
      </c>
      <c r="Q1550" s="147">
        <f t="shared" si="30"/>
        <v>0</v>
      </c>
      <c r="R1550" s="41" t="s">
        <v>37</v>
      </c>
      <c r="S1550" s="69" t="s">
        <v>1248</v>
      </c>
      <c r="T1550" s="51" t="b">
        <v>1</v>
      </c>
      <c r="U1550" s="94"/>
    </row>
    <row r="1551" ht="30.0" customHeight="1">
      <c r="A1551" s="39"/>
      <c r="B1551" s="40">
        <v>3588.0</v>
      </c>
      <c r="C1551" s="41" t="s">
        <v>50</v>
      </c>
      <c r="D1551" s="86">
        <v>46145.0</v>
      </c>
      <c r="E1551" s="43" t="str">
        <f t="shared" si="1"/>
        <v>2026</v>
      </c>
      <c r="F1551" s="43" t="str">
        <f t="shared" si="2"/>
        <v>05 Mei</v>
      </c>
      <c r="G1551" s="45" t="s">
        <v>155</v>
      </c>
      <c r="H1551" s="45" t="s">
        <v>41</v>
      </c>
      <c r="I1551" s="45" t="s">
        <v>1249</v>
      </c>
      <c r="J1551" s="143" t="s">
        <v>28</v>
      </c>
      <c r="K1551" s="43" t="str">
        <f t="array" ref="K1551">IF(J1551="","", XLOOKUP(J1551,'⚙️ Pengaturan'!$E$2:$E3237,'⚙️ Pengaturan'!$G$2:$G3237))</f>
        <v>KLINIK FT TA</v>
      </c>
      <c r="L1551" s="43" t="str">
        <f t="shared" si="3"/>
        <v>BARU</v>
      </c>
      <c r="M1551" s="144" t="s">
        <v>31</v>
      </c>
      <c r="N1551" s="145">
        <v>250000.0</v>
      </c>
      <c r="O1551" s="146">
        <v>0.0</v>
      </c>
      <c r="P1551" s="48">
        <f t="array" ref="P1551">IFNA(XLOOKUP(J1551,'⚙️ Pengaturan'!$E$2:$E3237,'⚙️ Pengaturan'!$F$2:$F3237),"")</f>
        <v>250000</v>
      </c>
      <c r="Q1551" s="147">
        <f t="shared" si="30"/>
        <v>0</v>
      </c>
      <c r="R1551" s="41" t="s">
        <v>37</v>
      </c>
      <c r="S1551" s="69" t="s">
        <v>1249</v>
      </c>
      <c r="T1551" s="51" t="b">
        <v>1</v>
      </c>
      <c r="U1551" s="94"/>
    </row>
    <row r="1552" ht="30.0" customHeight="1">
      <c r="A1552" s="39"/>
      <c r="B1552" s="40">
        <v>3589.0</v>
      </c>
      <c r="C1552" s="41" t="s">
        <v>50</v>
      </c>
      <c r="D1552" s="86">
        <v>46145.0</v>
      </c>
      <c r="E1552" s="43" t="str">
        <f t="shared" si="1"/>
        <v>2026</v>
      </c>
      <c r="F1552" s="43" t="str">
        <f t="shared" si="2"/>
        <v>05 Mei</v>
      </c>
      <c r="G1552" s="45" t="s">
        <v>155</v>
      </c>
      <c r="H1552" s="45" t="s">
        <v>149</v>
      </c>
      <c r="I1552" s="45" t="s">
        <v>1250</v>
      </c>
      <c r="J1552" s="143" t="s">
        <v>28</v>
      </c>
      <c r="K1552" s="43" t="str">
        <f t="array" ref="K1552">IF(J1552="","", XLOOKUP(J1552,'⚙️ Pengaturan'!$E$2:$E3237,'⚙️ Pengaturan'!$G$2:$G3237))</f>
        <v>KLINIK FT TA</v>
      </c>
      <c r="L1552" s="43" t="str">
        <f t="shared" si="3"/>
        <v>BARU</v>
      </c>
      <c r="M1552" s="144" t="s">
        <v>31</v>
      </c>
      <c r="N1552" s="145">
        <v>250000.0</v>
      </c>
      <c r="O1552" s="146">
        <v>0.0</v>
      </c>
      <c r="P1552" s="48">
        <f t="array" ref="P1552">IFNA(XLOOKUP(J1552,'⚙️ Pengaturan'!$E$2:$E3237,'⚙️ Pengaturan'!$F$2:$F3237),"")</f>
        <v>250000</v>
      </c>
      <c r="Q1552" s="147">
        <f t="shared" si="30"/>
        <v>0</v>
      </c>
      <c r="R1552" s="41" t="s">
        <v>37</v>
      </c>
      <c r="S1552" s="69" t="s">
        <v>1250</v>
      </c>
      <c r="T1552" s="51" t="b">
        <v>1</v>
      </c>
      <c r="U1552" s="94"/>
    </row>
    <row r="1553" ht="30.0" customHeight="1">
      <c r="A1553" s="39"/>
      <c r="B1553" s="40">
        <v>3590.0</v>
      </c>
      <c r="C1553" s="41" t="s">
        <v>50</v>
      </c>
      <c r="D1553" s="86">
        <v>46146.0</v>
      </c>
      <c r="E1553" s="43" t="str">
        <f t="shared" si="1"/>
        <v>2026</v>
      </c>
      <c r="F1553" s="43" t="str">
        <f t="shared" si="2"/>
        <v>05 Mei</v>
      </c>
      <c r="G1553" s="45" t="s">
        <v>195</v>
      </c>
      <c r="H1553" s="45" t="s">
        <v>150</v>
      </c>
      <c r="I1553" s="45" t="s">
        <v>1251</v>
      </c>
      <c r="J1553" s="143" t="s">
        <v>28</v>
      </c>
      <c r="K1553" s="43" t="str">
        <f t="array" ref="K1553">IF(J1553="","", XLOOKUP(J1553,'⚙️ Pengaturan'!$E$2:$E3237,'⚙️ Pengaturan'!$G$2:$G3237))</f>
        <v>KLINIK FT TA</v>
      </c>
      <c r="L1553" s="43" t="str">
        <f t="shared" si="3"/>
        <v>BARU</v>
      </c>
      <c r="M1553" s="144" t="s">
        <v>31</v>
      </c>
      <c r="N1553" s="145">
        <v>250000.0</v>
      </c>
      <c r="O1553" s="146">
        <v>0.0</v>
      </c>
      <c r="P1553" s="48">
        <f t="array" ref="P1553">IFNA(XLOOKUP(J1553,'⚙️ Pengaturan'!$E$2:$E3237,'⚙️ Pengaturan'!$F$2:$F3237),"")</f>
        <v>250000</v>
      </c>
      <c r="Q1553" s="147">
        <f t="shared" si="30"/>
        <v>0</v>
      </c>
      <c r="R1553" s="41" t="s">
        <v>32</v>
      </c>
      <c r="S1553" s="69" t="s">
        <v>33</v>
      </c>
      <c r="T1553" s="51" t="b">
        <v>1</v>
      </c>
      <c r="U1553" s="94"/>
    </row>
    <row r="1554" ht="30.0" customHeight="1">
      <c r="A1554" s="39"/>
      <c r="B1554" s="40">
        <v>3591.0</v>
      </c>
      <c r="C1554" s="41" t="s">
        <v>50</v>
      </c>
      <c r="D1554" s="86">
        <v>46146.0</v>
      </c>
      <c r="E1554" s="43" t="str">
        <f t="shared" si="1"/>
        <v>2026</v>
      </c>
      <c r="F1554" s="43" t="str">
        <f t="shared" si="2"/>
        <v>05 Mei</v>
      </c>
      <c r="G1554" s="45" t="s">
        <v>25</v>
      </c>
      <c r="H1554" s="45" t="s">
        <v>26</v>
      </c>
      <c r="I1554" s="45" t="s">
        <v>1234</v>
      </c>
      <c r="J1554" s="143" t="s">
        <v>119</v>
      </c>
      <c r="K1554" s="43" t="str">
        <f t="array" ref="K1554">IF(J1554="","", XLOOKUP(J1554,'⚙️ Pengaturan'!$E$2:$E3237,'⚙️ Pengaturan'!$G$2:$G3237))</f>
        <v>KLINIK FT PAKET</v>
      </c>
      <c r="L1554" s="43" t="str">
        <f t="shared" si="3"/>
        <v>BARU</v>
      </c>
      <c r="M1554" s="144" t="s">
        <v>31</v>
      </c>
      <c r="N1554" s="145">
        <v>300000.0</v>
      </c>
      <c r="O1554" s="146">
        <v>0.0</v>
      </c>
      <c r="P1554" s="48">
        <f t="array" ref="P1554">IFNA(XLOOKUP(J1554,'⚙️ Pengaturan'!$E$2:$E3237,'⚙️ Pengaturan'!$F$2:$F3237),"")</f>
        <v>750000</v>
      </c>
      <c r="Q1554" s="147">
        <f t="shared" si="30"/>
        <v>-450000</v>
      </c>
      <c r="R1554" s="41" t="s">
        <v>32</v>
      </c>
      <c r="S1554" s="69" t="s">
        <v>33</v>
      </c>
      <c r="T1554" s="51" t="b">
        <v>1</v>
      </c>
      <c r="U1554" s="94"/>
    </row>
    <row r="1555" ht="30.0" customHeight="1">
      <c r="A1555" s="39"/>
      <c r="B1555" s="40">
        <v>3592.0</v>
      </c>
      <c r="C1555" s="41" t="s">
        <v>50</v>
      </c>
      <c r="D1555" s="86">
        <v>46146.0</v>
      </c>
      <c r="E1555" s="43" t="str">
        <f t="shared" si="1"/>
        <v>2026</v>
      </c>
      <c r="F1555" s="43" t="str">
        <f t="shared" si="2"/>
        <v>05 Mei</v>
      </c>
      <c r="G1555" s="45" t="s">
        <v>69</v>
      </c>
      <c r="H1555" s="45" t="s">
        <v>41</v>
      </c>
      <c r="I1555" s="45" t="s">
        <v>1252</v>
      </c>
      <c r="J1555" s="143" t="s">
        <v>121</v>
      </c>
      <c r="K1555" s="43" t="str">
        <f t="array" ref="K1555">IF(J1555="","", XLOOKUP(J1555,'⚙️ Pengaturan'!$E$2:$E3237,'⚙️ Pengaturan'!$G$2:$G3237))</f>
        <v>VISIT FT TA</v>
      </c>
      <c r="L1555" s="43" t="str">
        <f t="shared" si="3"/>
        <v>BARU</v>
      </c>
      <c r="M1555" s="144" t="s">
        <v>31</v>
      </c>
      <c r="N1555" s="145">
        <v>300000.0</v>
      </c>
      <c r="O1555" s="146">
        <v>0.0</v>
      </c>
      <c r="P1555" s="48">
        <f t="array" ref="P1555">IFNA(XLOOKUP(J1555,'⚙️ Pengaturan'!$E$2:$E3237,'⚙️ Pengaturan'!$F$2:$F3237),"")</f>
        <v>300000</v>
      </c>
      <c r="Q1555" s="147">
        <f t="shared" si="30"/>
        <v>0</v>
      </c>
      <c r="R1555" s="41" t="s">
        <v>118</v>
      </c>
      <c r="S1555" s="69" t="s">
        <v>1253</v>
      </c>
      <c r="T1555" s="51" t="b">
        <v>1</v>
      </c>
      <c r="U1555" s="94"/>
    </row>
    <row r="1556" ht="30.0" customHeight="1">
      <c r="A1556" s="39"/>
      <c r="B1556" s="40">
        <v>3593.0</v>
      </c>
      <c r="C1556" s="41" t="s">
        <v>50</v>
      </c>
      <c r="D1556" s="86">
        <v>46146.0</v>
      </c>
      <c r="E1556" s="43" t="str">
        <f t="shared" si="1"/>
        <v>2026</v>
      </c>
      <c r="F1556" s="43" t="str">
        <f t="shared" si="2"/>
        <v>05 Mei</v>
      </c>
      <c r="G1556" s="45" t="s">
        <v>161</v>
      </c>
      <c r="H1556" s="45" t="s">
        <v>166</v>
      </c>
      <c r="I1556" s="45" t="s">
        <v>1254</v>
      </c>
      <c r="J1556" s="143" t="s">
        <v>28</v>
      </c>
      <c r="K1556" s="43" t="str">
        <f t="array" ref="K1556">IF(J1556="","", XLOOKUP(J1556,'⚙️ Pengaturan'!$E$2:$E3237,'⚙️ Pengaturan'!$G$2:$G3237))</f>
        <v>KLINIK FT TA</v>
      </c>
      <c r="L1556" s="43" t="str">
        <f t="shared" si="3"/>
        <v>BARU</v>
      </c>
      <c r="M1556" s="144" t="s">
        <v>31</v>
      </c>
      <c r="N1556" s="145">
        <v>250000.0</v>
      </c>
      <c r="O1556" s="146">
        <v>0.0</v>
      </c>
      <c r="P1556" s="48">
        <f t="array" ref="P1556">IFNA(XLOOKUP(J1556,'⚙️ Pengaturan'!$E$2:$E3237,'⚙️ Pengaturan'!$F$2:$F3237),"")</f>
        <v>250000</v>
      </c>
      <c r="Q1556" s="147">
        <f t="shared" si="30"/>
        <v>0</v>
      </c>
      <c r="R1556" s="41" t="s">
        <v>37</v>
      </c>
      <c r="S1556" s="69" t="s">
        <v>1255</v>
      </c>
      <c r="T1556" s="51" t="b">
        <v>1</v>
      </c>
      <c r="U1556" s="94"/>
    </row>
    <row r="1557" ht="30.0" customHeight="1">
      <c r="A1557" s="39"/>
      <c r="B1557" s="40">
        <v>3594.0</v>
      </c>
      <c r="C1557" s="41" t="s">
        <v>50</v>
      </c>
      <c r="D1557" s="86">
        <v>46146.0</v>
      </c>
      <c r="E1557" s="43" t="str">
        <f t="shared" si="1"/>
        <v>2026</v>
      </c>
      <c r="F1557" s="43" t="str">
        <f t="shared" si="2"/>
        <v>05 Mei</v>
      </c>
      <c r="G1557" s="45" t="s">
        <v>161</v>
      </c>
      <c r="H1557" s="45" t="s">
        <v>162</v>
      </c>
      <c r="I1557" s="45" t="s">
        <v>1256</v>
      </c>
      <c r="J1557" s="143" t="s">
        <v>28</v>
      </c>
      <c r="K1557" s="43" t="str">
        <f t="array" ref="K1557">IF(J1557="","", XLOOKUP(J1557,'⚙️ Pengaturan'!$E$2:$E3237,'⚙️ Pengaturan'!$G$2:$G3237))</f>
        <v>KLINIK FT TA</v>
      </c>
      <c r="L1557" s="43" t="str">
        <f t="shared" si="3"/>
        <v>BARU</v>
      </c>
      <c r="M1557" s="144" t="s">
        <v>31</v>
      </c>
      <c r="N1557" s="145">
        <v>250000.0</v>
      </c>
      <c r="O1557" s="146">
        <v>0.0</v>
      </c>
      <c r="P1557" s="48">
        <f t="array" ref="P1557">IFNA(XLOOKUP(J1557,'⚙️ Pengaturan'!$E$2:$E3237,'⚙️ Pengaturan'!$F$2:$F3237),"")</f>
        <v>250000</v>
      </c>
      <c r="Q1557" s="147">
        <f t="shared" si="30"/>
        <v>0</v>
      </c>
      <c r="R1557" s="41" t="s">
        <v>37</v>
      </c>
      <c r="S1557" s="69" t="s">
        <v>1256</v>
      </c>
      <c r="T1557" s="51" t="b">
        <v>1</v>
      </c>
      <c r="U1557" s="94"/>
    </row>
    <row r="1558" ht="30.0" customHeight="1">
      <c r="A1558" s="39"/>
      <c r="B1558" s="40">
        <v>3595.0</v>
      </c>
      <c r="C1558" s="41" t="s">
        <v>39</v>
      </c>
      <c r="D1558" s="86">
        <v>46146.0</v>
      </c>
      <c r="E1558" s="43" t="str">
        <f t="shared" si="1"/>
        <v>2026</v>
      </c>
      <c r="F1558" s="43" t="str">
        <f t="shared" si="2"/>
        <v>05 Mei</v>
      </c>
      <c r="G1558" s="45" t="s">
        <v>40</v>
      </c>
      <c r="H1558" s="45" t="s">
        <v>76</v>
      </c>
      <c r="I1558" s="45" t="s">
        <v>1230</v>
      </c>
      <c r="J1558" s="143" t="s">
        <v>347</v>
      </c>
      <c r="K1558" s="43" t="str">
        <f t="array" ref="K1558">IF(J1558="","", XLOOKUP(J1558,'⚙️ Pengaturan'!$E$2:$E3237,'⚙️ Pengaturan'!$G$2:$G3237))</f>
        <v>KLINIK FT PAKET</v>
      </c>
      <c r="L1558" s="43" t="str">
        <f t="shared" si="3"/>
        <v>BARU</v>
      </c>
      <c r="M1558" s="144" t="s">
        <v>31</v>
      </c>
      <c r="N1558" s="145">
        <v>1300000.0</v>
      </c>
      <c r="O1558" s="146">
        <v>0.0</v>
      </c>
      <c r="P1558" s="48">
        <f t="array" ref="P1558">IFNA(XLOOKUP(J1558,'⚙️ Pengaturan'!$E$2:$E3237,'⚙️ Pengaturan'!$F$2:$F3237),"")</f>
        <v>1300000</v>
      </c>
      <c r="Q1558" s="147">
        <f t="shared" si="30"/>
        <v>0</v>
      </c>
      <c r="R1558" s="41" t="s">
        <v>32</v>
      </c>
      <c r="S1558" s="69" t="s">
        <v>33</v>
      </c>
      <c r="T1558" s="51" t="b">
        <v>1</v>
      </c>
      <c r="U1558" s="94"/>
    </row>
    <row r="1559" ht="30.0" customHeight="1">
      <c r="A1559" s="39"/>
      <c r="B1559" s="40">
        <v>3596.0</v>
      </c>
      <c r="C1559" s="41" t="s">
        <v>39</v>
      </c>
      <c r="D1559" s="86">
        <v>46146.0</v>
      </c>
      <c r="E1559" s="43" t="str">
        <f t="shared" si="1"/>
        <v>2026</v>
      </c>
      <c r="F1559" s="43" t="str">
        <f t="shared" si="2"/>
        <v>05 Mei</v>
      </c>
      <c r="G1559" s="45" t="s">
        <v>43</v>
      </c>
      <c r="H1559" s="45" t="s">
        <v>149</v>
      </c>
      <c r="I1559" s="45" t="s">
        <v>1243</v>
      </c>
      <c r="J1559" s="143" t="s">
        <v>349</v>
      </c>
      <c r="K1559" s="43" t="str">
        <f t="array" ref="K1559">IF(J1559="","", XLOOKUP(J1559,'⚙️ Pengaturan'!$E$2:$E3237,'⚙️ Pengaturan'!$G$2:$G3237))</f>
        <v>KLINIK FT PAKET</v>
      </c>
      <c r="L1559" s="43" t="str">
        <f t="shared" si="3"/>
        <v>BARU</v>
      </c>
      <c r="M1559" s="144" t="s">
        <v>31</v>
      </c>
      <c r="N1559" s="145">
        <v>1920000.0</v>
      </c>
      <c r="O1559" s="146">
        <v>480000.0</v>
      </c>
      <c r="P1559" s="119">
        <v>2400000.0</v>
      </c>
      <c r="Q1559" s="153">
        <v>0.0</v>
      </c>
      <c r="R1559" s="41" t="s">
        <v>37</v>
      </c>
      <c r="S1559" s="69" t="s">
        <v>1244</v>
      </c>
      <c r="T1559" s="51" t="b">
        <v>1</v>
      </c>
      <c r="U1559" s="94"/>
    </row>
    <row r="1560" ht="30.0" customHeight="1">
      <c r="A1560" s="39"/>
      <c r="B1560" s="40">
        <v>3597.0</v>
      </c>
      <c r="C1560" s="41" t="s">
        <v>39</v>
      </c>
      <c r="D1560" s="86">
        <v>46144.0</v>
      </c>
      <c r="E1560" s="43" t="str">
        <f t="shared" si="1"/>
        <v>2026</v>
      </c>
      <c r="F1560" s="43" t="str">
        <f t="shared" si="2"/>
        <v>05 Mei</v>
      </c>
      <c r="G1560" s="45" t="s">
        <v>69</v>
      </c>
      <c r="H1560" s="45" t="s">
        <v>162</v>
      </c>
      <c r="I1560" s="45" t="s">
        <v>1257</v>
      </c>
      <c r="J1560" s="143" t="s">
        <v>121</v>
      </c>
      <c r="K1560" s="43" t="str">
        <f t="array" ref="K1560">IF(J1560="","", XLOOKUP(J1560,'⚙️ Pengaturan'!$E$2:$E3237,'⚙️ Pengaturan'!$G$2:$G3237))</f>
        <v>VISIT FT TA</v>
      </c>
      <c r="L1560" s="43" t="str">
        <f t="shared" si="3"/>
        <v>BARU</v>
      </c>
      <c r="M1560" s="144" t="s">
        <v>31</v>
      </c>
      <c r="N1560" s="145">
        <v>300000.0</v>
      </c>
      <c r="O1560" s="146">
        <v>0.0</v>
      </c>
      <c r="P1560" s="48">
        <f t="array" ref="P1560">IFNA(XLOOKUP(J1560,'⚙️ Pengaturan'!$E$2:$E3237,'⚙️ Pengaturan'!$F$2:$F3237),"")</f>
        <v>300000</v>
      </c>
      <c r="Q1560" s="147">
        <f t="shared" ref="Q1560:Q1585" si="31">IF(I1560="","",(N1560+O1560)-P1560)</f>
        <v>0</v>
      </c>
      <c r="R1560" s="41" t="s">
        <v>37</v>
      </c>
      <c r="S1560" s="69" t="s">
        <v>1258</v>
      </c>
      <c r="T1560" s="51" t="b">
        <v>1</v>
      </c>
      <c r="U1560" s="94"/>
    </row>
    <row r="1561" ht="30.0" customHeight="1">
      <c r="A1561" s="39"/>
      <c r="B1561" s="40">
        <v>3598.0</v>
      </c>
      <c r="C1561" s="41" t="s">
        <v>39</v>
      </c>
      <c r="D1561" s="86">
        <v>46146.0</v>
      </c>
      <c r="E1561" s="43" t="str">
        <f t="shared" si="1"/>
        <v>2026</v>
      </c>
      <c r="F1561" s="43" t="str">
        <f t="shared" si="2"/>
        <v>05 Mei</v>
      </c>
      <c r="G1561" s="45" t="s">
        <v>69</v>
      </c>
      <c r="H1561" s="45" t="s">
        <v>162</v>
      </c>
      <c r="I1561" s="45" t="s">
        <v>1257</v>
      </c>
      <c r="J1561" s="143" t="s">
        <v>138</v>
      </c>
      <c r="K1561" s="43" t="str">
        <f t="array" ref="K1561">IF(J1561="","", XLOOKUP(J1561,'⚙️ Pengaturan'!$E$2:$E3237,'⚙️ Pengaturan'!$G$2:$G3237))</f>
        <v>VISIT FT PAKET</v>
      </c>
      <c r="L1561" s="43" t="str">
        <f t="shared" si="3"/>
        <v>BARU</v>
      </c>
      <c r="M1561" s="144" t="s">
        <v>31</v>
      </c>
      <c r="N1561" s="145">
        <v>1800000.0</v>
      </c>
      <c r="O1561" s="146">
        <v>0.0</v>
      </c>
      <c r="P1561" s="48">
        <f t="array" ref="P1561">IFNA(XLOOKUP(J1561,'⚙️ Pengaturan'!$E$2:$E3237,'⚙️ Pengaturan'!$F$2:$F3237),"")</f>
        <v>1800000</v>
      </c>
      <c r="Q1561" s="147">
        <f t="shared" si="31"/>
        <v>0</v>
      </c>
      <c r="R1561" s="41" t="s">
        <v>37</v>
      </c>
      <c r="S1561" s="69" t="s">
        <v>1258</v>
      </c>
      <c r="T1561" s="51" t="b">
        <v>1</v>
      </c>
      <c r="U1561" s="94"/>
    </row>
    <row r="1562" ht="30.0" customHeight="1">
      <c r="A1562" s="39"/>
      <c r="B1562" s="40">
        <v>3599.0</v>
      </c>
      <c r="C1562" s="41" t="s">
        <v>39</v>
      </c>
      <c r="D1562" s="86">
        <v>46146.0</v>
      </c>
      <c r="E1562" s="43" t="str">
        <f t="shared" si="1"/>
        <v>2026</v>
      </c>
      <c r="F1562" s="43" t="str">
        <f t="shared" si="2"/>
        <v>05 Mei</v>
      </c>
      <c r="G1562" s="45" t="s">
        <v>173</v>
      </c>
      <c r="H1562" s="45" t="s">
        <v>96</v>
      </c>
      <c r="I1562" s="45" t="s">
        <v>1250</v>
      </c>
      <c r="J1562" s="143" t="s">
        <v>120</v>
      </c>
      <c r="K1562" s="43" t="str">
        <f t="array" ref="K1562">IF(J1562="","", XLOOKUP(J1562,'⚙️ Pengaturan'!$E$2:$E3237,'⚙️ Pengaturan'!$G$2:$G3237))</f>
        <v>KLINIK FT SESI</v>
      </c>
      <c r="L1562" s="43" t="str">
        <f t="shared" si="3"/>
        <v>BARU</v>
      </c>
      <c r="M1562" s="144" t="s">
        <v>31</v>
      </c>
      <c r="N1562" s="145">
        <v>180000.0</v>
      </c>
      <c r="O1562" s="146">
        <v>0.0</v>
      </c>
      <c r="P1562" s="48">
        <f t="array" ref="P1562">IFNA(XLOOKUP(J1562,'⚙️ Pengaturan'!$E$2:$E3237,'⚙️ Pengaturan'!$F$2:$F3237),"")</f>
        <v>180000</v>
      </c>
      <c r="Q1562" s="147">
        <f t="shared" si="31"/>
        <v>0</v>
      </c>
      <c r="R1562" s="41" t="s">
        <v>37</v>
      </c>
      <c r="S1562" s="69" t="s">
        <v>1250</v>
      </c>
      <c r="T1562" s="51" t="b">
        <v>1</v>
      </c>
      <c r="U1562" s="94"/>
    </row>
    <row r="1563" ht="30.0" customHeight="1">
      <c r="A1563" s="39"/>
      <c r="B1563" s="40">
        <v>3600.0</v>
      </c>
      <c r="C1563" s="41" t="s">
        <v>39</v>
      </c>
      <c r="D1563" s="86">
        <v>46146.0</v>
      </c>
      <c r="E1563" s="43" t="str">
        <f t="shared" si="1"/>
        <v>2026</v>
      </c>
      <c r="F1563" s="43" t="str">
        <f t="shared" si="2"/>
        <v>05 Mei</v>
      </c>
      <c r="G1563" s="45" t="s">
        <v>43</v>
      </c>
      <c r="H1563" s="45" t="s">
        <v>47</v>
      </c>
      <c r="I1563" s="45" t="s">
        <v>1194</v>
      </c>
      <c r="J1563" s="143" t="s">
        <v>120</v>
      </c>
      <c r="K1563" s="43" t="str">
        <f t="array" ref="K1563">IF(J1563="","", XLOOKUP(J1563,'⚙️ Pengaturan'!$E$2:$E3237,'⚙️ Pengaturan'!$G$2:$G3237))</f>
        <v>KLINIK FT SESI</v>
      </c>
      <c r="L1563" s="43" t="str">
        <f t="shared" si="3"/>
        <v>BARU</v>
      </c>
      <c r="M1563" s="144" t="s">
        <v>31</v>
      </c>
      <c r="N1563" s="145">
        <v>180000.0</v>
      </c>
      <c r="O1563" s="146">
        <v>0.0</v>
      </c>
      <c r="P1563" s="48">
        <f t="array" ref="P1563">IFNA(XLOOKUP(J1563,'⚙️ Pengaturan'!$E$2:$E3237,'⚙️ Pengaturan'!$F$2:$F3237),"")</f>
        <v>180000</v>
      </c>
      <c r="Q1563" s="147">
        <f t="shared" si="31"/>
        <v>0</v>
      </c>
      <c r="R1563" s="41" t="s">
        <v>32</v>
      </c>
      <c r="S1563" s="69" t="s">
        <v>33</v>
      </c>
      <c r="T1563" s="51" t="b">
        <v>1</v>
      </c>
      <c r="U1563" s="94"/>
    </row>
    <row r="1564" ht="30.0" customHeight="1">
      <c r="A1564" s="39"/>
      <c r="B1564" s="40">
        <v>3601.0</v>
      </c>
      <c r="C1564" s="41" t="s">
        <v>39</v>
      </c>
      <c r="D1564" s="86">
        <v>46146.0</v>
      </c>
      <c r="E1564" s="43" t="str">
        <f t="shared" si="1"/>
        <v>2026</v>
      </c>
      <c r="F1564" s="43" t="str">
        <f t="shared" si="2"/>
        <v>05 Mei</v>
      </c>
      <c r="G1564" s="45" t="s">
        <v>155</v>
      </c>
      <c r="H1564" s="45" t="s">
        <v>47</v>
      </c>
      <c r="I1564" s="45" t="s">
        <v>1259</v>
      </c>
      <c r="J1564" s="143" t="s">
        <v>28</v>
      </c>
      <c r="K1564" s="43" t="str">
        <f t="array" ref="K1564">IF(J1564="","", XLOOKUP(J1564,'⚙️ Pengaturan'!$E$2:$E3237,'⚙️ Pengaturan'!$G$2:$G3237))</f>
        <v>KLINIK FT TA</v>
      </c>
      <c r="L1564" s="43" t="str">
        <f t="shared" si="3"/>
        <v>BARU</v>
      </c>
      <c r="M1564" s="144" t="s">
        <v>31</v>
      </c>
      <c r="N1564" s="145">
        <v>250000.0</v>
      </c>
      <c r="O1564" s="146">
        <v>0.0</v>
      </c>
      <c r="P1564" s="48">
        <f t="array" ref="P1564">IFNA(XLOOKUP(J1564,'⚙️ Pengaturan'!$E$2:$E3237,'⚙️ Pengaturan'!$F$2:$F3237),"")</f>
        <v>250000</v>
      </c>
      <c r="Q1564" s="147">
        <f t="shared" si="31"/>
        <v>0</v>
      </c>
      <c r="R1564" s="41" t="s">
        <v>32</v>
      </c>
      <c r="S1564" s="69" t="s">
        <v>33</v>
      </c>
      <c r="T1564" s="51" t="b">
        <v>1</v>
      </c>
      <c r="U1564" s="94"/>
    </row>
    <row r="1565" ht="30.0" customHeight="1">
      <c r="A1565" s="39"/>
      <c r="B1565" s="40">
        <v>3602.0</v>
      </c>
      <c r="C1565" s="41" t="s">
        <v>39</v>
      </c>
      <c r="D1565" s="86">
        <v>46146.0</v>
      </c>
      <c r="E1565" s="43" t="str">
        <f t="shared" si="1"/>
        <v>2026</v>
      </c>
      <c r="F1565" s="43" t="str">
        <f t="shared" si="2"/>
        <v>05 Mei</v>
      </c>
      <c r="G1565" s="45" t="s">
        <v>190</v>
      </c>
      <c r="H1565" s="45" t="s">
        <v>96</v>
      </c>
      <c r="I1565" s="45" t="s">
        <v>1219</v>
      </c>
      <c r="J1565" s="143" t="s">
        <v>120</v>
      </c>
      <c r="K1565" s="43" t="str">
        <f t="array" ref="K1565">IF(J1565="","", XLOOKUP(J1565,'⚙️ Pengaturan'!$E$2:$E3237,'⚙️ Pengaturan'!$G$2:$G3237))</f>
        <v>KLINIK FT SESI</v>
      </c>
      <c r="L1565" s="43" t="str">
        <f t="shared" si="3"/>
        <v>LANJUTAN</v>
      </c>
      <c r="M1565" s="144" t="s">
        <v>31</v>
      </c>
      <c r="N1565" s="145">
        <v>180000.0</v>
      </c>
      <c r="O1565" s="146">
        <v>0.0</v>
      </c>
      <c r="P1565" s="48">
        <f t="array" ref="P1565">IFNA(XLOOKUP(J1565,'⚙️ Pengaturan'!$E$2:$E3237,'⚙️ Pengaturan'!$F$2:$F3237),"")</f>
        <v>180000</v>
      </c>
      <c r="Q1565" s="147">
        <f t="shared" si="31"/>
        <v>0</v>
      </c>
      <c r="R1565" s="41" t="s">
        <v>32</v>
      </c>
      <c r="S1565" s="69" t="s">
        <v>33</v>
      </c>
      <c r="T1565" s="51" t="b">
        <v>1</v>
      </c>
      <c r="U1565" s="94"/>
    </row>
    <row r="1566" ht="30.0" customHeight="1">
      <c r="A1566" s="39"/>
      <c r="B1566" s="40">
        <v>3603.0</v>
      </c>
      <c r="C1566" s="41" t="s">
        <v>50</v>
      </c>
      <c r="D1566" s="86">
        <v>46147.0</v>
      </c>
      <c r="E1566" s="43" t="str">
        <f t="shared" si="1"/>
        <v>2026</v>
      </c>
      <c r="F1566" s="43" t="str">
        <f t="shared" si="2"/>
        <v>05 Mei</v>
      </c>
      <c r="G1566" s="45" t="s">
        <v>195</v>
      </c>
      <c r="H1566" s="45" t="s">
        <v>47</v>
      </c>
      <c r="I1566" s="45" t="s">
        <v>1260</v>
      </c>
      <c r="J1566" s="143" t="s">
        <v>92</v>
      </c>
      <c r="K1566" s="43" t="str">
        <f t="array" ref="K1566">IF(J1566="","", XLOOKUP(J1566,'⚙️ Pengaturan'!$E$2:$E3237,'⚙️ Pengaturan'!$G$2:$G3237))</f>
        <v>KLINIK FT PAKET</v>
      </c>
      <c r="L1566" s="43" t="str">
        <f t="shared" si="3"/>
        <v>BARU</v>
      </c>
      <c r="M1566" s="144" t="s">
        <v>164</v>
      </c>
      <c r="N1566" s="145">
        <v>560000.0</v>
      </c>
      <c r="O1566" s="146">
        <v>640000.0</v>
      </c>
      <c r="P1566" s="48">
        <f t="array" ref="P1566">IFNA(XLOOKUP(J1566,'⚙️ Pengaturan'!$E$2:$E3237,'⚙️ Pengaturan'!$F$2:$F3237),"")</f>
        <v>1200000</v>
      </c>
      <c r="Q1566" s="147">
        <f t="shared" si="31"/>
        <v>0</v>
      </c>
      <c r="R1566" s="41" t="s">
        <v>32</v>
      </c>
      <c r="S1566" s="69" t="s">
        <v>33</v>
      </c>
      <c r="T1566" s="51" t="b">
        <v>1</v>
      </c>
      <c r="U1566" s="94" t="s">
        <v>1063</v>
      </c>
    </row>
    <row r="1567" ht="30.0" customHeight="1">
      <c r="A1567" s="39"/>
      <c r="B1567" s="40">
        <v>3604.0</v>
      </c>
      <c r="C1567" s="41" t="s">
        <v>50</v>
      </c>
      <c r="D1567" s="86">
        <v>46147.0</v>
      </c>
      <c r="E1567" s="43" t="str">
        <f t="shared" si="1"/>
        <v>2026</v>
      </c>
      <c r="F1567" s="43" t="str">
        <f t="shared" si="2"/>
        <v>05 Mei</v>
      </c>
      <c r="G1567" s="45" t="s">
        <v>69</v>
      </c>
      <c r="H1567" s="45" t="s">
        <v>41</v>
      </c>
      <c r="I1567" s="45" t="s">
        <v>1192</v>
      </c>
      <c r="J1567" s="143" t="s">
        <v>138</v>
      </c>
      <c r="K1567" s="43" t="str">
        <f t="array" ref="K1567">IF(J1567="","", XLOOKUP(J1567,'⚙️ Pengaturan'!$E$2:$E3237,'⚙️ Pengaturan'!$G$2:$G3237))</f>
        <v>VISIT FT PAKET</v>
      </c>
      <c r="L1567" s="43" t="str">
        <f t="shared" si="3"/>
        <v>BARU</v>
      </c>
      <c r="M1567" s="144" t="s">
        <v>31</v>
      </c>
      <c r="N1567" s="145">
        <v>1800000.0</v>
      </c>
      <c r="O1567" s="146">
        <v>0.0</v>
      </c>
      <c r="P1567" s="48">
        <f t="array" ref="P1567">IFNA(XLOOKUP(J1567,'⚙️ Pengaturan'!$E$2:$E3237,'⚙️ Pengaturan'!$F$2:$F3237),"")</f>
        <v>1800000</v>
      </c>
      <c r="Q1567" s="147">
        <f t="shared" si="31"/>
        <v>0</v>
      </c>
      <c r="R1567" s="41" t="s">
        <v>37</v>
      </c>
      <c r="S1567" s="69" t="s">
        <v>883</v>
      </c>
      <c r="T1567" s="51" t="b">
        <v>1</v>
      </c>
      <c r="U1567" s="94"/>
    </row>
    <row r="1568" ht="30.0" customHeight="1">
      <c r="A1568" s="39"/>
      <c r="B1568" s="40">
        <v>3605.0</v>
      </c>
      <c r="C1568" s="41" t="s">
        <v>50</v>
      </c>
      <c r="D1568" s="86">
        <v>46147.0</v>
      </c>
      <c r="E1568" s="43" t="str">
        <f t="shared" si="1"/>
        <v>2026</v>
      </c>
      <c r="F1568" s="43" t="str">
        <f t="shared" si="2"/>
        <v>05 Mei</v>
      </c>
      <c r="G1568" s="45" t="s">
        <v>25</v>
      </c>
      <c r="H1568" s="45" t="s">
        <v>96</v>
      </c>
      <c r="I1568" s="45" t="s">
        <v>1247</v>
      </c>
      <c r="J1568" s="143" t="s">
        <v>119</v>
      </c>
      <c r="K1568" s="43" t="str">
        <f t="array" ref="K1568">IF(J1568="","", XLOOKUP(J1568,'⚙️ Pengaturan'!$E$2:$E3237,'⚙️ Pengaturan'!$G$2:$G3237))</f>
        <v>KLINIK FT PAKET</v>
      </c>
      <c r="L1568" s="43" t="str">
        <f t="shared" si="3"/>
        <v>BARU</v>
      </c>
      <c r="M1568" s="144" t="s">
        <v>31</v>
      </c>
      <c r="N1568" s="145">
        <v>300000.0</v>
      </c>
      <c r="O1568" s="146">
        <v>0.0</v>
      </c>
      <c r="P1568" s="48">
        <f t="array" ref="P1568">IFNA(XLOOKUP(J1568,'⚙️ Pengaturan'!$E$2:$E3237,'⚙️ Pengaturan'!$F$2:$F3237),"")</f>
        <v>750000</v>
      </c>
      <c r="Q1568" s="147">
        <f t="shared" si="31"/>
        <v>-450000</v>
      </c>
      <c r="R1568" s="41" t="s">
        <v>37</v>
      </c>
      <c r="S1568" s="69" t="s">
        <v>1246</v>
      </c>
      <c r="T1568" s="51" t="b">
        <v>1</v>
      </c>
      <c r="U1568" s="94"/>
    </row>
    <row r="1569" ht="30.0" customHeight="1">
      <c r="A1569" s="39"/>
      <c r="B1569" s="40">
        <v>3606.0</v>
      </c>
      <c r="C1569" s="41" t="s">
        <v>50</v>
      </c>
      <c r="D1569" s="86">
        <v>46147.0</v>
      </c>
      <c r="E1569" s="43" t="str">
        <f t="shared" si="1"/>
        <v>2026</v>
      </c>
      <c r="F1569" s="43" t="str">
        <f t="shared" si="2"/>
        <v>05 Mei</v>
      </c>
      <c r="G1569" s="45" t="s">
        <v>25</v>
      </c>
      <c r="H1569" s="45" t="s">
        <v>41</v>
      </c>
      <c r="I1569" s="45" t="s">
        <v>1246</v>
      </c>
      <c r="J1569" s="143" t="s">
        <v>119</v>
      </c>
      <c r="K1569" s="43" t="str">
        <f t="array" ref="K1569">IF(J1569="","", XLOOKUP(J1569,'⚙️ Pengaturan'!$E$2:$E3237,'⚙️ Pengaturan'!$G$2:$G3237))</f>
        <v>KLINIK FT PAKET</v>
      </c>
      <c r="L1569" s="43" t="str">
        <f t="shared" si="3"/>
        <v>BARU</v>
      </c>
      <c r="M1569" s="144" t="s">
        <v>31</v>
      </c>
      <c r="N1569" s="145">
        <v>300000.0</v>
      </c>
      <c r="O1569" s="146">
        <v>0.0</v>
      </c>
      <c r="P1569" s="48">
        <f t="array" ref="P1569">IFNA(XLOOKUP(J1569,'⚙️ Pengaturan'!$E$2:$E3237,'⚙️ Pengaturan'!$F$2:$F3237),"")</f>
        <v>750000</v>
      </c>
      <c r="Q1569" s="147">
        <f t="shared" si="31"/>
        <v>-450000</v>
      </c>
      <c r="R1569" s="41" t="s">
        <v>37</v>
      </c>
      <c r="S1569" s="69" t="s">
        <v>1246</v>
      </c>
      <c r="T1569" s="51" t="b">
        <v>1</v>
      </c>
      <c r="U1569" s="94"/>
    </row>
    <row r="1570" ht="30.0" customHeight="1">
      <c r="A1570" s="39"/>
      <c r="B1570" s="40">
        <v>3607.0</v>
      </c>
      <c r="C1570" s="41" t="s">
        <v>50</v>
      </c>
      <c r="D1570" s="86">
        <v>46147.0</v>
      </c>
      <c r="E1570" s="43" t="str">
        <f t="shared" si="1"/>
        <v>2026</v>
      </c>
      <c r="F1570" s="43" t="str">
        <f t="shared" si="2"/>
        <v>05 Mei</v>
      </c>
      <c r="G1570" s="45" t="s">
        <v>25</v>
      </c>
      <c r="H1570" s="45" t="s">
        <v>149</v>
      </c>
      <c r="I1570" s="45" t="s">
        <v>1231</v>
      </c>
      <c r="J1570" s="143" t="s">
        <v>120</v>
      </c>
      <c r="K1570" s="43" t="str">
        <f t="array" ref="K1570">IF(J1570="","", XLOOKUP(J1570,'⚙️ Pengaturan'!$E$2:$E3237,'⚙️ Pengaturan'!$G$2:$G3237))</f>
        <v>KLINIK FT SESI</v>
      </c>
      <c r="L1570" s="43" t="str">
        <f t="shared" si="3"/>
        <v>BARU</v>
      </c>
      <c r="M1570" s="144" t="s">
        <v>31</v>
      </c>
      <c r="N1570" s="145">
        <v>180000.0</v>
      </c>
      <c r="O1570" s="146">
        <v>0.0</v>
      </c>
      <c r="P1570" s="48">
        <f t="array" ref="P1570">IFNA(XLOOKUP(J1570,'⚙️ Pengaturan'!$E$2:$E3237,'⚙️ Pengaturan'!$F$2:$F3237),"")</f>
        <v>180000</v>
      </c>
      <c r="Q1570" s="147">
        <f t="shared" si="31"/>
        <v>0</v>
      </c>
      <c r="R1570" s="41" t="s">
        <v>37</v>
      </c>
      <c r="S1570" s="69" t="s">
        <v>1231</v>
      </c>
      <c r="T1570" s="51" t="b">
        <v>1</v>
      </c>
      <c r="U1570" s="94"/>
    </row>
    <row r="1571" ht="30.0" customHeight="1">
      <c r="A1571" s="39"/>
      <c r="B1571" s="40">
        <v>3608.0</v>
      </c>
      <c r="C1571" s="41" t="s">
        <v>50</v>
      </c>
      <c r="D1571" s="86">
        <v>46147.0</v>
      </c>
      <c r="E1571" s="43" t="str">
        <f t="shared" si="1"/>
        <v>2026</v>
      </c>
      <c r="F1571" s="43" t="str">
        <f t="shared" si="2"/>
        <v>05 Mei</v>
      </c>
      <c r="G1571" s="45" t="s">
        <v>206</v>
      </c>
      <c r="H1571" s="45" t="s">
        <v>41</v>
      </c>
      <c r="I1571" s="45" t="s">
        <v>1261</v>
      </c>
      <c r="J1571" s="143" t="s">
        <v>28</v>
      </c>
      <c r="K1571" s="43" t="str">
        <f t="array" ref="K1571">IF(J1571="","", XLOOKUP(J1571,'⚙️ Pengaturan'!$E$2:$E3237,'⚙️ Pengaturan'!$G$2:$G3237))</f>
        <v>KLINIK FT TA</v>
      </c>
      <c r="L1571" s="43" t="str">
        <f t="shared" si="3"/>
        <v>BARU</v>
      </c>
      <c r="M1571" s="144" t="s">
        <v>31</v>
      </c>
      <c r="N1571" s="145">
        <v>250000.0</v>
      </c>
      <c r="O1571" s="146">
        <v>0.0</v>
      </c>
      <c r="P1571" s="48">
        <f t="array" ref="P1571">IFNA(XLOOKUP(J1571,'⚙️ Pengaturan'!$E$2:$E3237,'⚙️ Pengaturan'!$F$2:$F3237),"")</f>
        <v>250000</v>
      </c>
      <c r="Q1571" s="147">
        <f t="shared" si="31"/>
        <v>0</v>
      </c>
      <c r="R1571" s="41" t="s">
        <v>118</v>
      </c>
      <c r="S1571" s="69" t="s">
        <v>1261</v>
      </c>
      <c r="T1571" s="51" t="b">
        <v>1</v>
      </c>
      <c r="U1571" s="94"/>
    </row>
    <row r="1572" ht="30.0" customHeight="1">
      <c r="A1572" s="39"/>
      <c r="B1572" s="40">
        <v>3609.0</v>
      </c>
      <c r="C1572" s="41" t="s">
        <v>50</v>
      </c>
      <c r="D1572" s="86">
        <v>46147.0</v>
      </c>
      <c r="E1572" s="43" t="str">
        <f t="shared" si="1"/>
        <v>2026</v>
      </c>
      <c r="F1572" s="43" t="str">
        <f t="shared" si="2"/>
        <v>05 Mei</v>
      </c>
      <c r="G1572" s="45" t="s">
        <v>161</v>
      </c>
      <c r="H1572" s="45" t="s">
        <v>41</v>
      </c>
      <c r="I1572" s="45" t="s">
        <v>1262</v>
      </c>
      <c r="J1572" s="143" t="s">
        <v>28</v>
      </c>
      <c r="K1572" s="43" t="str">
        <f t="array" ref="K1572">IF(J1572="","", XLOOKUP(J1572,'⚙️ Pengaturan'!$E$2:$E3237,'⚙️ Pengaturan'!$G$2:$G3237))</f>
        <v>KLINIK FT TA</v>
      </c>
      <c r="L1572" s="43" t="str">
        <f t="shared" si="3"/>
        <v>BARU</v>
      </c>
      <c r="M1572" s="144" t="s">
        <v>31</v>
      </c>
      <c r="N1572" s="145">
        <v>200000.0</v>
      </c>
      <c r="O1572" s="146">
        <v>50000.0</v>
      </c>
      <c r="P1572" s="48">
        <f t="array" ref="P1572">IFNA(XLOOKUP(J1572,'⚙️ Pengaturan'!$E$2:$E3237,'⚙️ Pengaturan'!$F$2:$F3237),"")</f>
        <v>250000</v>
      </c>
      <c r="Q1572" s="147">
        <f t="shared" si="31"/>
        <v>0</v>
      </c>
      <c r="R1572" s="41" t="s">
        <v>32</v>
      </c>
      <c r="S1572" s="69" t="s">
        <v>33</v>
      </c>
      <c r="T1572" s="51" t="b">
        <v>1</v>
      </c>
      <c r="U1572" s="94" t="s">
        <v>1063</v>
      </c>
    </row>
    <row r="1573" ht="30.0" customHeight="1">
      <c r="A1573" s="39"/>
      <c r="B1573" s="40">
        <v>3610.0</v>
      </c>
      <c r="C1573" s="41" t="s">
        <v>50</v>
      </c>
      <c r="D1573" s="86">
        <v>46147.0</v>
      </c>
      <c r="E1573" s="43" t="str">
        <f t="shared" si="1"/>
        <v>2026</v>
      </c>
      <c r="F1573" s="43" t="str">
        <f t="shared" si="2"/>
        <v>05 Mei</v>
      </c>
      <c r="G1573" s="45" t="s">
        <v>161</v>
      </c>
      <c r="H1573" s="45" t="s">
        <v>76</v>
      </c>
      <c r="I1573" s="45" t="s">
        <v>1241</v>
      </c>
      <c r="J1573" s="143" t="s">
        <v>120</v>
      </c>
      <c r="K1573" s="43" t="str">
        <f t="array" ref="K1573">IF(J1573="","", XLOOKUP(J1573,'⚙️ Pengaturan'!$E$2:$E3237,'⚙️ Pengaturan'!$G$2:$G3237))</f>
        <v>KLINIK FT SESI</v>
      </c>
      <c r="L1573" s="43" t="str">
        <f t="shared" si="3"/>
        <v>BARU</v>
      </c>
      <c r="M1573" s="144" t="s">
        <v>31</v>
      </c>
      <c r="N1573" s="145">
        <v>180000.0</v>
      </c>
      <c r="O1573" s="146">
        <v>0.0</v>
      </c>
      <c r="P1573" s="48">
        <f t="array" ref="P1573">IFNA(XLOOKUP(J1573,'⚙️ Pengaturan'!$E$2:$E3237,'⚙️ Pengaturan'!$F$2:$F3237),"")</f>
        <v>180000</v>
      </c>
      <c r="Q1573" s="147">
        <f t="shared" si="31"/>
        <v>0</v>
      </c>
      <c r="R1573" s="41" t="s">
        <v>37</v>
      </c>
      <c r="S1573" s="69" t="s">
        <v>1263</v>
      </c>
      <c r="T1573" s="51" t="b">
        <v>1</v>
      </c>
      <c r="U1573" s="94"/>
    </row>
    <row r="1574" ht="30.0" customHeight="1">
      <c r="A1574" s="39"/>
      <c r="B1574" s="40">
        <v>3611.0</v>
      </c>
      <c r="C1574" s="41" t="s">
        <v>50</v>
      </c>
      <c r="D1574" s="86">
        <v>46147.0</v>
      </c>
      <c r="E1574" s="43" t="str">
        <f t="shared" si="1"/>
        <v>2026</v>
      </c>
      <c r="F1574" s="43" t="str">
        <f t="shared" si="2"/>
        <v>05 Mei</v>
      </c>
      <c r="G1574" s="45" t="s">
        <v>35</v>
      </c>
      <c r="H1574" s="45" t="s">
        <v>41</v>
      </c>
      <c r="I1574" s="45" t="s">
        <v>1228</v>
      </c>
      <c r="J1574" s="143" t="s">
        <v>120</v>
      </c>
      <c r="K1574" s="43" t="str">
        <f t="array" ref="K1574">IF(J1574="","", XLOOKUP(J1574,'⚙️ Pengaturan'!$E$2:$E3237,'⚙️ Pengaturan'!$G$2:$G3237))</f>
        <v>KLINIK FT SESI</v>
      </c>
      <c r="L1574" s="43" t="str">
        <f t="shared" si="3"/>
        <v>BARU</v>
      </c>
      <c r="M1574" s="144" t="s">
        <v>31</v>
      </c>
      <c r="N1574" s="145">
        <v>180000.0</v>
      </c>
      <c r="O1574" s="146">
        <v>0.0</v>
      </c>
      <c r="P1574" s="48">
        <f t="array" ref="P1574">IFNA(XLOOKUP(J1574,'⚙️ Pengaturan'!$E$2:$E3237,'⚙️ Pengaturan'!$F$2:$F3237),"")</f>
        <v>180000</v>
      </c>
      <c r="Q1574" s="147">
        <f t="shared" si="31"/>
        <v>0</v>
      </c>
      <c r="R1574" s="41" t="s">
        <v>32</v>
      </c>
      <c r="S1574" s="69" t="s">
        <v>33</v>
      </c>
      <c r="T1574" s="51" t="b">
        <v>1</v>
      </c>
      <c r="U1574" s="94"/>
    </row>
    <row r="1575" ht="30.0" customHeight="1">
      <c r="A1575" s="39"/>
      <c r="B1575" s="40">
        <v>3612.0</v>
      </c>
      <c r="C1575" s="41" t="s">
        <v>39</v>
      </c>
      <c r="D1575" s="86">
        <v>46147.0</v>
      </c>
      <c r="E1575" s="43" t="str">
        <f t="shared" si="1"/>
        <v>2026</v>
      </c>
      <c r="F1575" s="43" t="str">
        <f t="shared" si="2"/>
        <v>05 Mei</v>
      </c>
      <c r="G1575" s="45" t="s">
        <v>40</v>
      </c>
      <c r="H1575" s="45" t="s">
        <v>166</v>
      </c>
      <c r="I1575" s="45" t="s">
        <v>1264</v>
      </c>
      <c r="J1575" s="143" t="s">
        <v>28</v>
      </c>
      <c r="K1575" s="43" t="str">
        <f t="array" ref="K1575">IF(J1575="","", XLOOKUP(J1575,'⚙️ Pengaturan'!$E$2:$E3237,'⚙️ Pengaturan'!$G$2:$G3237))</f>
        <v>KLINIK FT TA</v>
      </c>
      <c r="L1575" s="43" t="str">
        <f t="shared" si="3"/>
        <v>BARU</v>
      </c>
      <c r="M1575" s="144" t="s">
        <v>31</v>
      </c>
      <c r="N1575" s="145">
        <v>250000.0</v>
      </c>
      <c r="O1575" s="146">
        <v>0.0</v>
      </c>
      <c r="P1575" s="48">
        <f t="array" ref="P1575">IFNA(XLOOKUP(J1575,'⚙️ Pengaturan'!$E$2:$E3237,'⚙️ Pengaturan'!$F$2:$F3237),"")</f>
        <v>250000</v>
      </c>
      <c r="Q1575" s="147">
        <f t="shared" si="31"/>
        <v>0</v>
      </c>
      <c r="R1575" s="41" t="s">
        <v>37</v>
      </c>
      <c r="S1575" s="69" t="s">
        <v>1264</v>
      </c>
      <c r="T1575" s="51" t="b">
        <v>1</v>
      </c>
      <c r="U1575" s="94"/>
    </row>
    <row r="1576" ht="30.0" customHeight="1">
      <c r="A1576" s="39"/>
      <c r="B1576" s="40">
        <v>3613.0</v>
      </c>
      <c r="C1576" s="41" t="s">
        <v>39</v>
      </c>
      <c r="D1576" s="86">
        <v>46147.0</v>
      </c>
      <c r="E1576" s="43" t="str">
        <f t="shared" si="1"/>
        <v>2026</v>
      </c>
      <c r="F1576" s="43" t="str">
        <f t="shared" si="2"/>
        <v>05 Mei</v>
      </c>
      <c r="G1576" s="45" t="s">
        <v>40</v>
      </c>
      <c r="H1576" s="45" t="s">
        <v>162</v>
      </c>
      <c r="I1576" s="45" t="s">
        <v>1242</v>
      </c>
      <c r="J1576" s="143" t="s">
        <v>347</v>
      </c>
      <c r="K1576" s="43" t="str">
        <f t="array" ref="K1576">IF(J1576="","", XLOOKUP(J1576,'⚙️ Pengaturan'!$E$2:$E3237,'⚙️ Pengaturan'!$G$2:$G3237))</f>
        <v>KLINIK FT PAKET</v>
      </c>
      <c r="L1576" s="43" t="str">
        <f t="shared" si="3"/>
        <v>BARU</v>
      </c>
      <c r="M1576" s="144" t="s">
        <v>31</v>
      </c>
      <c r="N1576" s="145">
        <v>1300000.0</v>
      </c>
      <c r="O1576" s="146">
        <v>0.0</v>
      </c>
      <c r="P1576" s="48">
        <f t="array" ref="P1576">IFNA(XLOOKUP(J1576,'⚙️ Pengaturan'!$E$2:$E3237,'⚙️ Pengaturan'!$F$2:$F3237),"")</f>
        <v>1300000</v>
      </c>
      <c r="Q1576" s="147">
        <f t="shared" si="31"/>
        <v>0</v>
      </c>
      <c r="R1576" s="41" t="s">
        <v>37</v>
      </c>
      <c r="S1576" s="69" t="s">
        <v>1242</v>
      </c>
      <c r="T1576" s="51" t="b">
        <v>1</v>
      </c>
      <c r="U1576" s="94"/>
    </row>
    <row r="1577" ht="30.0" customHeight="1">
      <c r="A1577" s="39"/>
      <c r="B1577" s="40">
        <v>3614.0</v>
      </c>
      <c r="C1577" s="41" t="s">
        <v>39</v>
      </c>
      <c r="D1577" s="86">
        <v>46147.0</v>
      </c>
      <c r="E1577" s="43" t="str">
        <f t="shared" si="1"/>
        <v>2026</v>
      </c>
      <c r="F1577" s="43" t="str">
        <f t="shared" si="2"/>
        <v>05 Mei</v>
      </c>
      <c r="G1577" s="45" t="s">
        <v>40</v>
      </c>
      <c r="H1577" s="45" t="s">
        <v>26</v>
      </c>
      <c r="I1577" s="45" t="s">
        <v>176</v>
      </c>
      <c r="J1577" s="143" t="s">
        <v>28</v>
      </c>
      <c r="K1577" s="43" t="str">
        <f t="array" ref="K1577">IF(J1577="","", XLOOKUP(J1577,'⚙️ Pengaturan'!$E$2:$E3237,'⚙️ Pengaturan'!$G$2:$G3237))</f>
        <v>KLINIK FT TA</v>
      </c>
      <c r="L1577" s="43" t="str">
        <f t="shared" si="3"/>
        <v>LANJUTAN</v>
      </c>
      <c r="M1577" s="144" t="s">
        <v>31</v>
      </c>
      <c r="N1577" s="145">
        <v>250000.0</v>
      </c>
      <c r="O1577" s="146">
        <v>0.0</v>
      </c>
      <c r="P1577" s="48">
        <f t="array" ref="P1577">IFNA(XLOOKUP(J1577,'⚙️ Pengaturan'!$E$2:$E3237,'⚙️ Pengaturan'!$F$2:$F3237),"")</f>
        <v>250000</v>
      </c>
      <c r="Q1577" s="147">
        <f t="shared" si="31"/>
        <v>0</v>
      </c>
      <c r="R1577" s="41" t="s">
        <v>37</v>
      </c>
      <c r="S1577" s="69" t="s">
        <v>1242</v>
      </c>
      <c r="T1577" s="51" t="b">
        <v>1</v>
      </c>
      <c r="U1577" s="94"/>
    </row>
    <row r="1578" ht="30.0" customHeight="1">
      <c r="A1578" s="39"/>
      <c r="B1578" s="40">
        <v>3615.0</v>
      </c>
      <c r="C1578" s="41" t="s">
        <v>39</v>
      </c>
      <c r="D1578" s="86">
        <v>46147.0</v>
      </c>
      <c r="E1578" s="43" t="str">
        <f t="shared" si="1"/>
        <v>2026</v>
      </c>
      <c r="F1578" s="43" t="str">
        <f t="shared" si="2"/>
        <v>05 Mei</v>
      </c>
      <c r="G1578" s="45" t="s">
        <v>40</v>
      </c>
      <c r="H1578" s="45" t="s">
        <v>150</v>
      </c>
      <c r="I1578" s="45" t="s">
        <v>1265</v>
      </c>
      <c r="J1578" s="143" t="s">
        <v>28</v>
      </c>
      <c r="K1578" s="43" t="str">
        <f t="array" ref="K1578">IF(J1578="","", XLOOKUP(J1578,'⚙️ Pengaturan'!$E$2:$E3237,'⚙️ Pengaturan'!$G$2:$G3237))</f>
        <v>KLINIK FT TA</v>
      </c>
      <c r="L1578" s="43" t="str">
        <f t="shared" si="3"/>
        <v>BARU</v>
      </c>
      <c r="M1578" s="144" t="s">
        <v>31</v>
      </c>
      <c r="N1578" s="145">
        <v>250000.0</v>
      </c>
      <c r="O1578" s="146">
        <v>0.0</v>
      </c>
      <c r="P1578" s="119">
        <v>250000.0</v>
      </c>
      <c r="Q1578" s="147">
        <f t="shared" si="31"/>
        <v>0</v>
      </c>
      <c r="R1578" s="41" t="s">
        <v>32</v>
      </c>
      <c r="S1578" s="69" t="s">
        <v>33</v>
      </c>
      <c r="T1578" s="51" t="b">
        <v>1</v>
      </c>
      <c r="U1578" s="94"/>
    </row>
    <row r="1579" ht="30.0" customHeight="1">
      <c r="A1579" s="39"/>
      <c r="B1579" s="40">
        <v>3616.0</v>
      </c>
      <c r="C1579" s="41" t="s">
        <v>39</v>
      </c>
      <c r="D1579" s="86">
        <v>46147.0</v>
      </c>
      <c r="E1579" s="43" t="str">
        <f t="shared" si="1"/>
        <v>2026</v>
      </c>
      <c r="F1579" s="43" t="str">
        <f t="shared" si="2"/>
        <v>05 Mei</v>
      </c>
      <c r="G1579" s="45" t="s">
        <v>173</v>
      </c>
      <c r="H1579" s="45" t="s">
        <v>150</v>
      </c>
      <c r="I1579" s="45" t="s">
        <v>1116</v>
      </c>
      <c r="J1579" s="143" t="s">
        <v>28</v>
      </c>
      <c r="K1579" s="43" t="str">
        <f t="array" ref="K1579">IF(J1579="","", XLOOKUP(J1579,'⚙️ Pengaturan'!$E$2:$E3237,'⚙️ Pengaturan'!$G$2:$G3237))</f>
        <v>KLINIK FT TA</v>
      </c>
      <c r="L1579" s="43" t="str">
        <f t="shared" si="3"/>
        <v>LANJUTAN</v>
      </c>
      <c r="M1579" s="144" t="s">
        <v>31</v>
      </c>
      <c r="N1579" s="145">
        <v>250000.0</v>
      </c>
      <c r="O1579" s="146">
        <v>0.0</v>
      </c>
      <c r="P1579" s="48">
        <f t="array" ref="P1579">IFNA(XLOOKUP(J1579,'⚙️ Pengaturan'!$E$2:$E3237,'⚙️ Pengaturan'!$F$2:$F3237),"")</f>
        <v>250000</v>
      </c>
      <c r="Q1579" s="147">
        <f t="shared" si="31"/>
        <v>0</v>
      </c>
      <c r="R1579" s="41" t="s">
        <v>37</v>
      </c>
      <c r="S1579" s="69" t="s">
        <v>1116</v>
      </c>
      <c r="T1579" s="51" t="b">
        <v>1</v>
      </c>
      <c r="U1579" s="94"/>
    </row>
    <row r="1580" ht="30.0" customHeight="1">
      <c r="A1580" s="39"/>
      <c r="B1580" s="40">
        <v>3617.0</v>
      </c>
      <c r="C1580" s="41" t="s">
        <v>39</v>
      </c>
      <c r="D1580" s="86">
        <v>46147.0</v>
      </c>
      <c r="E1580" s="43" t="str">
        <f t="shared" si="1"/>
        <v>2026</v>
      </c>
      <c r="F1580" s="43" t="str">
        <f t="shared" si="2"/>
        <v>05 Mei</v>
      </c>
      <c r="G1580" s="45" t="s">
        <v>155</v>
      </c>
      <c r="H1580" s="45" t="s">
        <v>166</v>
      </c>
      <c r="I1580" s="45" t="s">
        <v>1266</v>
      </c>
      <c r="J1580" s="143" t="s">
        <v>28</v>
      </c>
      <c r="K1580" s="43" t="str">
        <f t="array" ref="K1580">IF(J1580="","", XLOOKUP(J1580,'⚙️ Pengaturan'!$E$2:$E3237,'⚙️ Pengaturan'!$G$2:$G3237))</f>
        <v>KLINIK FT TA</v>
      </c>
      <c r="L1580" s="43" t="str">
        <f t="shared" si="3"/>
        <v>BARU</v>
      </c>
      <c r="M1580" s="144" t="s">
        <v>31</v>
      </c>
      <c r="N1580" s="145">
        <v>250000.0</v>
      </c>
      <c r="O1580" s="146">
        <v>50000.0</v>
      </c>
      <c r="P1580" s="48">
        <f t="array" ref="P1580">IFNA(XLOOKUP(J1580,'⚙️ Pengaturan'!$E$2:$E3237,'⚙️ Pengaturan'!$F$2:$F3237),"")</f>
        <v>250000</v>
      </c>
      <c r="Q1580" s="147">
        <f t="shared" si="31"/>
        <v>50000</v>
      </c>
      <c r="R1580" s="41" t="s">
        <v>118</v>
      </c>
      <c r="S1580" s="69" t="s">
        <v>1266</v>
      </c>
      <c r="T1580" s="51" t="b">
        <v>1</v>
      </c>
      <c r="U1580" s="94"/>
    </row>
    <row r="1581" ht="30.0" customHeight="1">
      <c r="A1581" s="39"/>
      <c r="B1581" s="40">
        <v>3618.0</v>
      </c>
      <c r="C1581" s="41" t="s">
        <v>39</v>
      </c>
      <c r="D1581" s="86">
        <v>46147.0</v>
      </c>
      <c r="E1581" s="43" t="str">
        <f t="shared" si="1"/>
        <v>2026</v>
      </c>
      <c r="F1581" s="43" t="str">
        <f t="shared" si="2"/>
        <v>05 Mei</v>
      </c>
      <c r="G1581" s="45" t="s">
        <v>155</v>
      </c>
      <c r="H1581" s="45" t="s">
        <v>162</v>
      </c>
      <c r="I1581" s="45" t="s">
        <v>1267</v>
      </c>
      <c r="J1581" s="143" t="s">
        <v>28</v>
      </c>
      <c r="K1581" s="43" t="str">
        <f t="array" ref="K1581">IF(J1581="","", XLOOKUP(J1581,'⚙️ Pengaturan'!$E$2:$E3237,'⚙️ Pengaturan'!$G$2:$G3237))</f>
        <v>KLINIK FT TA</v>
      </c>
      <c r="L1581" s="43" t="str">
        <f t="shared" si="3"/>
        <v>BARU</v>
      </c>
      <c r="M1581" s="144" t="s">
        <v>31</v>
      </c>
      <c r="N1581" s="145">
        <v>250000.0</v>
      </c>
      <c r="O1581" s="146">
        <v>0.0</v>
      </c>
      <c r="P1581" s="48">
        <f t="array" ref="P1581">IFNA(XLOOKUP(J1581,'⚙️ Pengaturan'!$E$2:$E3237,'⚙️ Pengaturan'!$F$2:$F3237),"")</f>
        <v>250000</v>
      </c>
      <c r="Q1581" s="147">
        <f t="shared" si="31"/>
        <v>0</v>
      </c>
      <c r="R1581" s="41" t="s">
        <v>37</v>
      </c>
      <c r="S1581" s="69" t="s">
        <v>1267</v>
      </c>
      <c r="T1581" s="51" t="b">
        <v>1</v>
      </c>
      <c r="U1581" s="94"/>
    </row>
    <row r="1582" ht="30.0" customHeight="1">
      <c r="A1582" s="39"/>
      <c r="B1582" s="40">
        <v>3619.0</v>
      </c>
      <c r="C1582" s="41" t="s">
        <v>50</v>
      </c>
      <c r="D1582" s="86">
        <v>46148.0</v>
      </c>
      <c r="E1582" s="43" t="str">
        <f t="shared" si="1"/>
        <v>2026</v>
      </c>
      <c r="F1582" s="43" t="str">
        <f t="shared" si="2"/>
        <v>05 Mei</v>
      </c>
      <c r="G1582" s="45" t="s">
        <v>195</v>
      </c>
      <c r="H1582" s="45" t="s">
        <v>41</v>
      </c>
      <c r="I1582" s="45" t="s">
        <v>1268</v>
      </c>
      <c r="J1582" s="143" t="s">
        <v>368</v>
      </c>
      <c r="K1582" s="43" t="str">
        <f t="array" ref="K1582">IF(J1582="","", XLOOKUP(J1582,'⚙️ Pengaturan'!$E$2:$E3237,'⚙️ Pengaturan'!$G$2:$G3237))</f>
        <v>KELAS LANSIA SESI</v>
      </c>
      <c r="L1582" s="43" t="str">
        <f t="shared" si="3"/>
        <v>BARU</v>
      </c>
      <c r="M1582" s="144" t="s">
        <v>31</v>
      </c>
      <c r="N1582" s="145">
        <v>110000.0</v>
      </c>
      <c r="O1582" s="146">
        <v>0.0</v>
      </c>
      <c r="P1582" s="119">
        <v>110000.0</v>
      </c>
      <c r="Q1582" s="147">
        <f t="shared" si="31"/>
        <v>0</v>
      </c>
      <c r="R1582" s="41" t="s">
        <v>118</v>
      </c>
      <c r="S1582" s="69" t="s">
        <v>1269</v>
      </c>
      <c r="T1582" s="51" t="b">
        <v>1</v>
      </c>
      <c r="U1582" s="94"/>
    </row>
    <row r="1583" ht="30.0" customHeight="1">
      <c r="A1583" s="39"/>
      <c r="B1583" s="40">
        <v>3620.0</v>
      </c>
      <c r="C1583" s="41" t="s">
        <v>50</v>
      </c>
      <c r="D1583" s="86">
        <v>46148.0</v>
      </c>
      <c r="E1583" s="43" t="str">
        <f t="shared" si="1"/>
        <v>2026</v>
      </c>
      <c r="F1583" s="43" t="str">
        <f t="shared" si="2"/>
        <v>05 Mei</v>
      </c>
      <c r="G1583" s="45" t="s">
        <v>195</v>
      </c>
      <c r="H1583" s="45" t="s">
        <v>76</v>
      </c>
      <c r="I1583" s="45" t="s">
        <v>1270</v>
      </c>
      <c r="J1583" s="143" t="s">
        <v>28</v>
      </c>
      <c r="K1583" s="43" t="str">
        <f t="array" ref="K1583">IF(J1583="","", XLOOKUP(J1583,'⚙️ Pengaturan'!$E$2:$E3237,'⚙️ Pengaturan'!$G$2:$G3237))</f>
        <v>KLINIK FT TA</v>
      </c>
      <c r="L1583" s="43" t="str">
        <f t="shared" si="3"/>
        <v>BARU</v>
      </c>
      <c r="M1583" s="144" t="s">
        <v>31</v>
      </c>
      <c r="N1583" s="145">
        <v>250000.0</v>
      </c>
      <c r="O1583" s="146">
        <v>0.0</v>
      </c>
      <c r="P1583" s="48">
        <f t="array" ref="P1583">IFNA(XLOOKUP(J1583,'⚙️ Pengaturan'!$E$2:$E3237,'⚙️ Pengaturan'!$F$2:$F3237),"")</f>
        <v>250000</v>
      </c>
      <c r="Q1583" s="147">
        <f t="shared" si="31"/>
        <v>0</v>
      </c>
      <c r="R1583" s="41" t="s">
        <v>32</v>
      </c>
      <c r="S1583" s="69" t="s">
        <v>33</v>
      </c>
      <c r="T1583" s="51" t="b">
        <v>1</v>
      </c>
      <c r="U1583" s="94"/>
    </row>
    <row r="1584" ht="30.0" customHeight="1">
      <c r="A1584" s="39"/>
      <c r="B1584" s="40">
        <v>3621.0</v>
      </c>
      <c r="C1584" s="41" t="s">
        <v>50</v>
      </c>
      <c r="D1584" s="86">
        <v>46148.0</v>
      </c>
      <c r="E1584" s="43" t="str">
        <f t="shared" si="1"/>
        <v>2026</v>
      </c>
      <c r="F1584" s="43" t="str">
        <f t="shared" si="2"/>
        <v>05 Mei</v>
      </c>
      <c r="G1584" s="45" t="s">
        <v>25</v>
      </c>
      <c r="H1584" s="45" t="s">
        <v>76</v>
      </c>
      <c r="I1584" s="45" t="s">
        <v>1271</v>
      </c>
      <c r="J1584" s="143" t="s">
        <v>28</v>
      </c>
      <c r="K1584" s="43" t="str">
        <f t="array" ref="K1584">IF(J1584="","", XLOOKUP(J1584,'⚙️ Pengaturan'!$E$2:$E3237,'⚙️ Pengaturan'!$G$2:$G3237))</f>
        <v>KLINIK FT TA</v>
      </c>
      <c r="L1584" s="43" t="str">
        <f t="shared" si="3"/>
        <v>BARU</v>
      </c>
      <c r="M1584" s="144" t="s">
        <v>31</v>
      </c>
      <c r="N1584" s="145">
        <v>200000.0</v>
      </c>
      <c r="O1584" s="146">
        <v>50000.0</v>
      </c>
      <c r="P1584" s="48">
        <f t="array" ref="P1584">IFNA(XLOOKUP(J1584,'⚙️ Pengaturan'!$E$2:$E3237,'⚙️ Pengaturan'!$F$2:$F3237),"")</f>
        <v>250000</v>
      </c>
      <c r="Q1584" s="147">
        <f t="shared" si="31"/>
        <v>0</v>
      </c>
      <c r="R1584" s="41" t="s">
        <v>32</v>
      </c>
      <c r="S1584" s="69" t="s">
        <v>33</v>
      </c>
      <c r="T1584" s="51" t="b">
        <v>1</v>
      </c>
      <c r="U1584" s="94" t="s">
        <v>1063</v>
      </c>
    </row>
    <row r="1585" ht="30.0" customHeight="1">
      <c r="A1585" s="39"/>
      <c r="B1585" s="40">
        <v>3622.0</v>
      </c>
      <c r="C1585" s="41" t="s">
        <v>50</v>
      </c>
      <c r="D1585" s="86">
        <v>46148.0</v>
      </c>
      <c r="E1585" s="43" t="str">
        <f t="shared" si="1"/>
        <v>2026</v>
      </c>
      <c r="F1585" s="43" t="str">
        <f t="shared" si="2"/>
        <v>05 Mei</v>
      </c>
      <c r="G1585" s="45" t="s">
        <v>206</v>
      </c>
      <c r="H1585" s="45" t="s">
        <v>76</v>
      </c>
      <c r="I1585" s="45" t="s">
        <v>1272</v>
      </c>
      <c r="J1585" s="143" t="s">
        <v>28</v>
      </c>
      <c r="K1585" s="43" t="str">
        <f t="array" ref="K1585">IF(J1585="","", XLOOKUP(J1585,'⚙️ Pengaturan'!$E$2:$E3237,'⚙️ Pengaturan'!$G$2:$G3237))</f>
        <v>KLINIK FT TA</v>
      </c>
      <c r="L1585" s="43" t="str">
        <f t="shared" si="3"/>
        <v>BARU</v>
      </c>
      <c r="M1585" s="144" t="s">
        <v>31</v>
      </c>
      <c r="N1585" s="145">
        <v>250000.0</v>
      </c>
      <c r="O1585" s="146">
        <v>0.0</v>
      </c>
      <c r="P1585" s="48">
        <f t="array" ref="P1585">IFNA(XLOOKUP(J1585,'⚙️ Pengaturan'!$E$2:$E3237,'⚙️ Pengaturan'!$F$2:$F3237),"")</f>
        <v>250000</v>
      </c>
      <c r="Q1585" s="147">
        <f t="shared" si="31"/>
        <v>0</v>
      </c>
      <c r="R1585" s="41" t="s">
        <v>37</v>
      </c>
      <c r="S1585" s="69" t="s">
        <v>1272</v>
      </c>
      <c r="T1585" s="51" t="b">
        <v>1</v>
      </c>
      <c r="U1585" s="94"/>
    </row>
    <row r="1586" ht="30.0" customHeight="1">
      <c r="A1586" s="39"/>
      <c r="B1586" s="40">
        <v>3623.0</v>
      </c>
      <c r="C1586" s="41" t="s">
        <v>50</v>
      </c>
      <c r="D1586" s="86">
        <v>46148.0</v>
      </c>
      <c r="E1586" s="43" t="str">
        <f t="shared" si="1"/>
        <v>2026</v>
      </c>
      <c r="F1586" s="43" t="str">
        <f t="shared" si="2"/>
        <v>05 Mei</v>
      </c>
      <c r="G1586" s="45" t="s">
        <v>35</v>
      </c>
      <c r="H1586" s="45" t="s">
        <v>41</v>
      </c>
      <c r="I1586" s="45" t="s">
        <v>1181</v>
      </c>
      <c r="J1586" s="143" t="s">
        <v>120</v>
      </c>
      <c r="K1586" s="43" t="str">
        <f t="array" ref="K1586">IF(J1586="","", XLOOKUP(J1586,'⚙️ Pengaturan'!$E$2:$E3237,'⚙️ Pengaturan'!$G$2:$G3237))</f>
        <v>KLINIK FT SESI</v>
      </c>
      <c r="L1586" s="43" t="str">
        <f t="shared" si="3"/>
        <v>LANJUTAN</v>
      </c>
      <c r="M1586" s="144" t="s">
        <v>31</v>
      </c>
      <c r="N1586" s="145">
        <v>180000.0</v>
      </c>
      <c r="O1586" s="146">
        <v>0.0</v>
      </c>
      <c r="P1586" s="119">
        <v>180000.0</v>
      </c>
      <c r="Q1586" s="153">
        <v>0.0</v>
      </c>
      <c r="R1586" s="41" t="s">
        <v>32</v>
      </c>
      <c r="S1586" s="69" t="s">
        <v>33</v>
      </c>
      <c r="T1586" s="51" t="b">
        <v>1</v>
      </c>
      <c r="U1586" s="94"/>
    </row>
    <row r="1587" ht="30.0" customHeight="1">
      <c r="A1587" s="39"/>
      <c r="B1587" s="40">
        <v>3624.0</v>
      </c>
      <c r="C1587" s="41" t="s">
        <v>39</v>
      </c>
      <c r="D1587" s="86">
        <v>46148.0</v>
      </c>
      <c r="E1587" s="43" t="str">
        <f t="shared" si="1"/>
        <v>2026</v>
      </c>
      <c r="F1587" s="43" t="str">
        <f t="shared" si="2"/>
        <v>05 Mei</v>
      </c>
      <c r="G1587" s="45" t="s">
        <v>40</v>
      </c>
      <c r="H1587" s="45" t="s">
        <v>162</v>
      </c>
      <c r="I1587" s="45" t="s">
        <v>1256</v>
      </c>
      <c r="J1587" s="143" t="s">
        <v>120</v>
      </c>
      <c r="K1587" s="43" t="str">
        <f t="array" ref="K1587">IF(J1587="","", XLOOKUP(J1587,'⚙️ Pengaturan'!$E$2:$E3237,'⚙️ Pengaturan'!$G$2:$G3237))</f>
        <v>KLINIK FT SESI</v>
      </c>
      <c r="L1587" s="43" t="str">
        <f t="shared" si="3"/>
        <v>BARU</v>
      </c>
      <c r="M1587" s="144" t="s">
        <v>31</v>
      </c>
      <c r="N1587" s="145">
        <v>180000.0</v>
      </c>
      <c r="O1587" s="146">
        <v>0.0</v>
      </c>
      <c r="P1587" s="48">
        <f t="array" ref="P1587">IFNA(XLOOKUP(J1587,'⚙️ Pengaturan'!$E$2:$E3237,'⚙️ Pengaturan'!$F$2:$F3237),"")</f>
        <v>180000</v>
      </c>
      <c r="Q1587" s="147">
        <f t="shared" ref="Q1587:Q1614" si="32">IF(I1587="","",(N1587+O1587)-P1587)</f>
        <v>0</v>
      </c>
      <c r="R1587" s="41" t="s">
        <v>37</v>
      </c>
      <c r="S1587" s="69" t="s">
        <v>1256</v>
      </c>
      <c r="T1587" s="51" t="b">
        <v>1</v>
      </c>
      <c r="U1587" s="94"/>
    </row>
    <row r="1588" ht="30.0" customHeight="1">
      <c r="A1588" s="39"/>
      <c r="B1588" s="40">
        <v>3625.0</v>
      </c>
      <c r="C1588" s="41" t="s">
        <v>39</v>
      </c>
      <c r="D1588" s="86">
        <v>46148.0</v>
      </c>
      <c r="E1588" s="43" t="str">
        <f t="shared" si="1"/>
        <v>2026</v>
      </c>
      <c r="F1588" s="43" t="str">
        <f t="shared" si="2"/>
        <v>05 Mei</v>
      </c>
      <c r="G1588" s="45" t="s">
        <v>40</v>
      </c>
      <c r="H1588" s="45" t="s">
        <v>26</v>
      </c>
      <c r="I1588" s="45" t="s">
        <v>701</v>
      </c>
      <c r="J1588" s="143" t="s">
        <v>119</v>
      </c>
      <c r="K1588" s="43" t="str">
        <f t="array" ref="K1588">IF(J1588="","", XLOOKUP(J1588,'⚙️ Pengaturan'!$E$2:$E3237,'⚙️ Pengaturan'!$G$2:$G3237))</f>
        <v>KLINIK FT PAKET</v>
      </c>
      <c r="L1588" s="43" t="str">
        <f t="shared" si="3"/>
        <v>LANJUTAN</v>
      </c>
      <c r="M1588" s="144" t="s">
        <v>81</v>
      </c>
      <c r="N1588" s="145">
        <v>300000.0</v>
      </c>
      <c r="O1588" s="146">
        <v>200000.0</v>
      </c>
      <c r="P1588" s="48">
        <f t="array" ref="P1588">IFNA(XLOOKUP(J1588,'⚙️ Pengaturan'!$E$2:$E3237,'⚙️ Pengaturan'!$F$2:$F3237),"")</f>
        <v>750000</v>
      </c>
      <c r="Q1588" s="147">
        <f t="shared" si="32"/>
        <v>-250000</v>
      </c>
      <c r="R1588" s="41" t="s">
        <v>32</v>
      </c>
      <c r="S1588" s="69" t="s">
        <v>33</v>
      </c>
      <c r="T1588" s="51" t="b">
        <v>1</v>
      </c>
      <c r="U1588" s="94"/>
    </row>
    <row r="1589" ht="30.0" customHeight="1">
      <c r="A1589" s="39"/>
      <c r="B1589" s="40">
        <v>3626.0</v>
      </c>
      <c r="C1589" s="41" t="s">
        <v>39</v>
      </c>
      <c r="D1589" s="86">
        <v>46148.0</v>
      </c>
      <c r="E1589" s="43" t="str">
        <f t="shared" si="1"/>
        <v>2026</v>
      </c>
      <c r="F1589" s="43" t="str">
        <f t="shared" si="2"/>
        <v>05 Mei</v>
      </c>
      <c r="G1589" s="45" t="s">
        <v>40</v>
      </c>
      <c r="H1589" s="45" t="s">
        <v>162</v>
      </c>
      <c r="I1589" s="45" t="s">
        <v>1273</v>
      </c>
      <c r="J1589" s="143" t="s">
        <v>28</v>
      </c>
      <c r="K1589" s="43" t="str">
        <f t="array" ref="K1589">IF(J1589="","", XLOOKUP(J1589,'⚙️ Pengaturan'!$E$2:$E3237,'⚙️ Pengaturan'!$G$2:$G3237))</f>
        <v>KLINIK FT TA</v>
      </c>
      <c r="L1589" s="43" t="str">
        <f t="shared" si="3"/>
        <v>BARU</v>
      </c>
      <c r="M1589" s="144" t="s">
        <v>31</v>
      </c>
      <c r="N1589" s="145">
        <v>250000.0</v>
      </c>
      <c r="O1589" s="146">
        <v>0.0</v>
      </c>
      <c r="P1589" s="48">
        <f t="array" ref="P1589">IFNA(XLOOKUP(J1589,'⚙️ Pengaturan'!$E$2:$E3237,'⚙️ Pengaturan'!$F$2:$F3237),"")</f>
        <v>250000</v>
      </c>
      <c r="Q1589" s="147">
        <f t="shared" si="32"/>
        <v>0</v>
      </c>
      <c r="R1589" s="41" t="s">
        <v>37</v>
      </c>
      <c r="S1589" s="69" t="s">
        <v>1273</v>
      </c>
      <c r="T1589" s="51" t="b">
        <v>1</v>
      </c>
      <c r="U1589" s="94"/>
    </row>
    <row r="1590" ht="30.0" customHeight="1">
      <c r="A1590" s="39"/>
      <c r="B1590" s="40">
        <v>3627.0</v>
      </c>
      <c r="C1590" s="41" t="s">
        <v>39</v>
      </c>
      <c r="D1590" s="86">
        <v>46148.0</v>
      </c>
      <c r="E1590" s="43" t="str">
        <f t="shared" si="1"/>
        <v>2026</v>
      </c>
      <c r="F1590" s="43" t="str">
        <f t="shared" si="2"/>
        <v>05 Mei</v>
      </c>
      <c r="G1590" s="45" t="s">
        <v>40</v>
      </c>
      <c r="H1590" s="45" t="s">
        <v>166</v>
      </c>
      <c r="I1590" s="45" t="s">
        <v>1274</v>
      </c>
      <c r="J1590" s="143" t="s">
        <v>28</v>
      </c>
      <c r="K1590" s="43" t="str">
        <f t="array" ref="K1590">IF(J1590="","", XLOOKUP(J1590,'⚙️ Pengaturan'!$E$2:$E3237,'⚙️ Pengaturan'!$G$2:$G3237))</f>
        <v>KLINIK FT TA</v>
      </c>
      <c r="L1590" s="43" t="str">
        <f t="shared" si="3"/>
        <v>BARU</v>
      </c>
      <c r="M1590" s="144" t="s">
        <v>31</v>
      </c>
      <c r="N1590" s="145">
        <v>250000.0</v>
      </c>
      <c r="O1590" s="146">
        <v>0.0</v>
      </c>
      <c r="P1590" s="48">
        <f t="array" ref="P1590">IFNA(XLOOKUP(J1590,'⚙️ Pengaturan'!$E$2:$E3237,'⚙️ Pengaturan'!$F$2:$F3237),"")</f>
        <v>250000</v>
      </c>
      <c r="Q1590" s="147">
        <f t="shared" si="32"/>
        <v>0</v>
      </c>
      <c r="R1590" s="41" t="s">
        <v>32</v>
      </c>
      <c r="S1590" s="69" t="s">
        <v>33</v>
      </c>
      <c r="T1590" s="51" t="b">
        <v>1</v>
      </c>
      <c r="U1590" s="94"/>
    </row>
    <row r="1591" ht="30.0" customHeight="1">
      <c r="A1591" s="39"/>
      <c r="B1591" s="40">
        <v>3628.0</v>
      </c>
      <c r="C1591" s="41" t="s">
        <v>39</v>
      </c>
      <c r="D1591" s="86">
        <v>46148.0</v>
      </c>
      <c r="E1591" s="43" t="str">
        <f t="shared" si="1"/>
        <v>2026</v>
      </c>
      <c r="F1591" s="43" t="str">
        <f t="shared" si="2"/>
        <v>05 Mei</v>
      </c>
      <c r="G1591" s="45" t="s">
        <v>43</v>
      </c>
      <c r="H1591" s="45" t="s">
        <v>162</v>
      </c>
      <c r="I1591" s="45" t="s">
        <v>472</v>
      </c>
      <c r="J1591" s="143" t="s">
        <v>92</v>
      </c>
      <c r="K1591" s="43" t="str">
        <f t="array" ref="K1591">IF(J1591="","", XLOOKUP(J1591,'⚙️ Pengaturan'!$E$2:$E3237,'⚙️ Pengaturan'!$G$2:$G3237))</f>
        <v>KLINIK FT PAKET</v>
      </c>
      <c r="L1591" s="43" t="str">
        <f t="shared" si="3"/>
        <v>LANJUTAN</v>
      </c>
      <c r="M1591" s="144" t="s">
        <v>164</v>
      </c>
      <c r="N1591" s="145">
        <v>700000.0</v>
      </c>
      <c r="O1591" s="146">
        <v>500000.0</v>
      </c>
      <c r="P1591" s="48">
        <f t="array" ref="P1591">IFNA(XLOOKUP(J1591,'⚙️ Pengaturan'!$E$2:$E3237,'⚙️ Pengaturan'!$F$2:$F3237),"")</f>
        <v>1200000</v>
      </c>
      <c r="Q1591" s="147">
        <f t="shared" si="32"/>
        <v>0</v>
      </c>
      <c r="R1591" s="41" t="s">
        <v>118</v>
      </c>
      <c r="S1591" s="69" t="s">
        <v>472</v>
      </c>
      <c r="T1591" s="51" t="b">
        <v>1</v>
      </c>
      <c r="U1591" s="94"/>
    </row>
    <row r="1592" ht="30.0" customHeight="1">
      <c r="A1592" s="39"/>
      <c r="B1592" s="40">
        <v>3629.0</v>
      </c>
      <c r="C1592" s="41" t="s">
        <v>39</v>
      </c>
      <c r="D1592" s="86">
        <v>46148.0</v>
      </c>
      <c r="E1592" s="43" t="str">
        <f t="shared" si="1"/>
        <v>2026</v>
      </c>
      <c r="F1592" s="43" t="str">
        <f t="shared" si="2"/>
        <v>05 Mei</v>
      </c>
      <c r="G1592" s="45" t="s">
        <v>190</v>
      </c>
      <c r="H1592" s="45" t="s">
        <v>26</v>
      </c>
      <c r="I1592" s="45" t="s">
        <v>1157</v>
      </c>
      <c r="J1592" s="143" t="s">
        <v>119</v>
      </c>
      <c r="K1592" s="43" t="str">
        <f t="array" ref="K1592">IF(J1592="","", XLOOKUP(J1592,'⚙️ Pengaturan'!$E$2:$E3237,'⚙️ Pengaturan'!$G$2:$G3237))</f>
        <v>KLINIK FT PAKET</v>
      </c>
      <c r="L1592" s="43" t="str">
        <f t="shared" si="3"/>
        <v>LANJUTAN</v>
      </c>
      <c r="M1592" s="144" t="s">
        <v>164</v>
      </c>
      <c r="N1592" s="145">
        <v>250000.0</v>
      </c>
      <c r="O1592" s="146">
        <v>500000.0</v>
      </c>
      <c r="P1592" s="48">
        <f t="array" ref="P1592">IFNA(XLOOKUP(J1592,'⚙️ Pengaturan'!$E$2:$E3237,'⚙️ Pengaturan'!$F$2:$F3237),"")</f>
        <v>750000</v>
      </c>
      <c r="Q1592" s="147">
        <f t="shared" si="32"/>
        <v>0</v>
      </c>
      <c r="R1592" s="41" t="s">
        <v>118</v>
      </c>
      <c r="S1592" s="69" t="s">
        <v>1221</v>
      </c>
      <c r="T1592" s="51" t="b">
        <v>1</v>
      </c>
      <c r="U1592" s="94"/>
    </row>
    <row r="1593" ht="30.0" customHeight="1">
      <c r="A1593" s="39"/>
      <c r="B1593" s="40">
        <v>3630.0</v>
      </c>
      <c r="C1593" s="41" t="s">
        <v>50</v>
      </c>
      <c r="D1593" s="86">
        <v>46149.0</v>
      </c>
      <c r="E1593" s="43" t="str">
        <f t="shared" si="1"/>
        <v>2026</v>
      </c>
      <c r="F1593" s="43" t="str">
        <f t="shared" si="2"/>
        <v>05 Mei</v>
      </c>
      <c r="G1593" s="45" t="s">
        <v>195</v>
      </c>
      <c r="H1593" s="45" t="s">
        <v>26</v>
      </c>
      <c r="I1593" s="45" t="s">
        <v>176</v>
      </c>
      <c r="J1593" s="143" t="s">
        <v>120</v>
      </c>
      <c r="K1593" s="43" t="str">
        <f t="array" ref="K1593">IF(J1593="","", XLOOKUP(J1593,'⚙️ Pengaturan'!$E$2:$E3237,'⚙️ Pengaturan'!$G$2:$G3237))</f>
        <v>KLINIK FT SESI</v>
      </c>
      <c r="L1593" s="43" t="str">
        <f t="shared" si="3"/>
        <v>BARU</v>
      </c>
      <c r="M1593" s="144" t="s">
        <v>31</v>
      </c>
      <c r="N1593" s="145">
        <v>180000.0</v>
      </c>
      <c r="O1593" s="146">
        <v>0.0</v>
      </c>
      <c r="P1593" s="48">
        <f t="array" ref="P1593">IFNA(XLOOKUP(J1593,'⚙️ Pengaturan'!$E$2:$E3237,'⚙️ Pengaturan'!$F$2:$F3237),"")</f>
        <v>180000</v>
      </c>
      <c r="Q1593" s="147">
        <f t="shared" si="32"/>
        <v>0</v>
      </c>
      <c r="R1593" s="41" t="s">
        <v>37</v>
      </c>
      <c r="S1593" s="69" t="s">
        <v>176</v>
      </c>
      <c r="T1593" s="51" t="b">
        <v>1</v>
      </c>
      <c r="U1593" s="94"/>
    </row>
    <row r="1594" ht="30.0" customHeight="1">
      <c r="A1594" s="39"/>
      <c r="B1594" s="40">
        <v>3631.0</v>
      </c>
      <c r="C1594" s="41" t="s">
        <v>50</v>
      </c>
      <c r="D1594" s="86">
        <v>46149.0</v>
      </c>
      <c r="E1594" s="43" t="str">
        <f t="shared" si="1"/>
        <v>2026</v>
      </c>
      <c r="F1594" s="43" t="str">
        <f t="shared" si="2"/>
        <v>05 Mei</v>
      </c>
      <c r="G1594" s="45" t="s">
        <v>25</v>
      </c>
      <c r="H1594" s="45" t="s">
        <v>162</v>
      </c>
      <c r="I1594" s="45" t="s">
        <v>1275</v>
      </c>
      <c r="J1594" s="143" t="s">
        <v>28</v>
      </c>
      <c r="K1594" s="43" t="str">
        <f t="array" ref="K1594">IF(J1594="","", XLOOKUP(J1594,'⚙️ Pengaturan'!$E$2:$E3237,'⚙️ Pengaturan'!$G$2:$G3237))</f>
        <v>KLINIK FT TA</v>
      </c>
      <c r="L1594" s="43" t="str">
        <f t="shared" si="3"/>
        <v>BARU</v>
      </c>
      <c r="M1594" s="144" t="s">
        <v>31</v>
      </c>
      <c r="N1594" s="145">
        <v>250000.0</v>
      </c>
      <c r="O1594" s="146">
        <v>0.0</v>
      </c>
      <c r="P1594" s="48">
        <f t="array" ref="P1594">IFNA(XLOOKUP(J1594,'⚙️ Pengaturan'!$E$2:$E3237,'⚙️ Pengaturan'!$F$2:$F3237),"")</f>
        <v>250000</v>
      </c>
      <c r="Q1594" s="147">
        <f t="shared" si="32"/>
        <v>0</v>
      </c>
      <c r="R1594" s="41" t="s">
        <v>37</v>
      </c>
      <c r="S1594" s="69" t="s">
        <v>1275</v>
      </c>
      <c r="T1594" s="51" t="b">
        <v>1</v>
      </c>
      <c r="U1594" s="94"/>
    </row>
    <row r="1595" ht="30.0" customHeight="1">
      <c r="A1595" s="39"/>
      <c r="B1595" s="40">
        <v>3632.0</v>
      </c>
      <c r="C1595" s="41" t="s">
        <v>50</v>
      </c>
      <c r="D1595" s="86">
        <v>46149.0</v>
      </c>
      <c r="E1595" s="43" t="str">
        <f t="shared" si="1"/>
        <v>2026</v>
      </c>
      <c r="F1595" s="43" t="str">
        <f t="shared" si="2"/>
        <v>05 Mei</v>
      </c>
      <c r="G1595" s="45" t="s">
        <v>206</v>
      </c>
      <c r="H1595" s="45" t="s">
        <v>166</v>
      </c>
      <c r="I1595" s="45" t="s">
        <v>635</v>
      </c>
      <c r="J1595" s="143" t="s">
        <v>28</v>
      </c>
      <c r="K1595" s="43" t="str">
        <f t="array" ref="K1595">IF(J1595="","", XLOOKUP(J1595,'⚙️ Pengaturan'!$E$2:$E3237,'⚙️ Pengaturan'!$G$2:$G3237))</f>
        <v>KLINIK FT TA</v>
      </c>
      <c r="L1595" s="43" t="str">
        <f t="shared" si="3"/>
        <v>LANJUTAN</v>
      </c>
      <c r="M1595" s="144" t="s">
        <v>31</v>
      </c>
      <c r="N1595" s="145">
        <v>200000.0</v>
      </c>
      <c r="O1595" s="146">
        <v>50000.0</v>
      </c>
      <c r="P1595" s="48">
        <f t="array" ref="P1595">IFNA(XLOOKUP(J1595,'⚙️ Pengaturan'!$E$2:$E3237,'⚙️ Pengaturan'!$F$2:$F3237),"")</f>
        <v>250000</v>
      </c>
      <c r="Q1595" s="147">
        <f t="shared" si="32"/>
        <v>0</v>
      </c>
      <c r="R1595" s="41" t="s">
        <v>32</v>
      </c>
      <c r="S1595" s="69" t="s">
        <v>33</v>
      </c>
      <c r="T1595" s="51" t="b">
        <v>1</v>
      </c>
      <c r="U1595" s="94" t="s">
        <v>1063</v>
      </c>
    </row>
    <row r="1596" ht="30.0" customHeight="1">
      <c r="A1596" s="39"/>
      <c r="B1596" s="40">
        <v>3633.0</v>
      </c>
      <c r="C1596" s="41" t="s">
        <v>50</v>
      </c>
      <c r="D1596" s="86">
        <v>46149.0</v>
      </c>
      <c r="E1596" s="43" t="str">
        <f t="shared" si="1"/>
        <v>2026</v>
      </c>
      <c r="F1596" s="43" t="str">
        <f t="shared" si="2"/>
        <v>05 Mei</v>
      </c>
      <c r="G1596" s="45" t="s">
        <v>206</v>
      </c>
      <c r="H1596" s="45" t="s">
        <v>162</v>
      </c>
      <c r="I1596" s="45" t="s">
        <v>1276</v>
      </c>
      <c r="J1596" s="143" t="s">
        <v>28</v>
      </c>
      <c r="K1596" s="43" t="str">
        <f t="array" ref="K1596">IF(J1596="","", XLOOKUP(J1596,'⚙️ Pengaturan'!$E$2:$E3237,'⚙️ Pengaturan'!$G$2:$G3237))</f>
        <v>KLINIK FT TA</v>
      </c>
      <c r="L1596" s="43" t="str">
        <f t="shared" si="3"/>
        <v>BARU</v>
      </c>
      <c r="M1596" s="144" t="s">
        <v>31</v>
      </c>
      <c r="N1596" s="145">
        <v>250000.0</v>
      </c>
      <c r="O1596" s="146">
        <v>0.0</v>
      </c>
      <c r="P1596" s="48">
        <f t="array" ref="P1596">IFNA(XLOOKUP(J1596,'⚙️ Pengaturan'!$E$2:$E3237,'⚙️ Pengaturan'!$F$2:$F3237),"")</f>
        <v>250000</v>
      </c>
      <c r="Q1596" s="147">
        <f t="shared" si="32"/>
        <v>0</v>
      </c>
      <c r="R1596" s="41" t="s">
        <v>37</v>
      </c>
      <c r="S1596" s="69" t="s">
        <v>1276</v>
      </c>
      <c r="T1596" s="51" t="b">
        <v>1</v>
      </c>
      <c r="U1596" s="94"/>
    </row>
    <row r="1597" ht="30.0" customHeight="1">
      <c r="A1597" s="39"/>
      <c r="B1597" s="40">
        <v>3634.0</v>
      </c>
      <c r="C1597" s="41" t="s">
        <v>50</v>
      </c>
      <c r="D1597" s="86">
        <v>46149.0</v>
      </c>
      <c r="E1597" s="43" t="str">
        <f t="shared" si="1"/>
        <v>2026</v>
      </c>
      <c r="F1597" s="43" t="str">
        <f t="shared" si="2"/>
        <v>05 Mei</v>
      </c>
      <c r="G1597" s="45" t="s">
        <v>206</v>
      </c>
      <c r="H1597" s="45" t="s">
        <v>26</v>
      </c>
      <c r="I1597" s="45" t="s">
        <v>1277</v>
      </c>
      <c r="J1597" s="143" t="s">
        <v>28</v>
      </c>
      <c r="K1597" s="43" t="str">
        <f t="array" ref="K1597">IF(J1597="","", XLOOKUP(J1597,'⚙️ Pengaturan'!$E$2:$E3237,'⚙️ Pengaturan'!$G$2:$G3237))</f>
        <v>KLINIK FT TA</v>
      </c>
      <c r="L1597" s="43" t="str">
        <f t="shared" si="3"/>
        <v>BARU</v>
      </c>
      <c r="M1597" s="144" t="s">
        <v>31</v>
      </c>
      <c r="N1597" s="145">
        <v>250000.0</v>
      </c>
      <c r="O1597" s="146">
        <v>0.0</v>
      </c>
      <c r="P1597" s="48">
        <f t="array" ref="P1597">IFNA(XLOOKUP(J1597,'⚙️ Pengaturan'!$E$2:$E3237,'⚙️ Pengaturan'!$F$2:$F3237),"")</f>
        <v>250000</v>
      </c>
      <c r="Q1597" s="147">
        <f t="shared" si="32"/>
        <v>0</v>
      </c>
      <c r="R1597" s="41" t="s">
        <v>37</v>
      </c>
      <c r="S1597" s="69" t="s">
        <v>1276</v>
      </c>
      <c r="T1597" s="51" t="b">
        <v>1</v>
      </c>
      <c r="U1597" s="94"/>
    </row>
    <row r="1598" ht="30.0" customHeight="1">
      <c r="A1598" s="39"/>
      <c r="B1598" s="40">
        <v>3635.0</v>
      </c>
      <c r="C1598" s="41" t="s">
        <v>50</v>
      </c>
      <c r="D1598" s="86">
        <v>46149.0</v>
      </c>
      <c r="E1598" s="43" t="str">
        <f t="shared" si="1"/>
        <v>2026</v>
      </c>
      <c r="F1598" s="43" t="str">
        <f t="shared" si="2"/>
        <v>05 Mei</v>
      </c>
      <c r="G1598" s="45" t="s">
        <v>35</v>
      </c>
      <c r="H1598" s="45" t="s">
        <v>150</v>
      </c>
      <c r="I1598" s="45" t="s">
        <v>1265</v>
      </c>
      <c r="J1598" s="143" t="s">
        <v>120</v>
      </c>
      <c r="K1598" s="43" t="str">
        <f t="array" ref="K1598">IF(J1598="","", XLOOKUP(J1598,'⚙️ Pengaturan'!$E$2:$E3237,'⚙️ Pengaturan'!$G$2:$G3237))</f>
        <v>KLINIK FT SESI</v>
      </c>
      <c r="L1598" s="43" t="str">
        <f t="shared" si="3"/>
        <v>BARU</v>
      </c>
      <c r="M1598" s="144" t="s">
        <v>31</v>
      </c>
      <c r="N1598" s="145">
        <v>180000.0</v>
      </c>
      <c r="O1598" s="146">
        <v>0.0</v>
      </c>
      <c r="P1598" s="48">
        <f t="array" ref="P1598">IFNA(XLOOKUP(J1598,'⚙️ Pengaturan'!$E$2:$E3237,'⚙️ Pengaturan'!$F$2:$F3237),"")</f>
        <v>180000</v>
      </c>
      <c r="Q1598" s="147">
        <f t="shared" si="32"/>
        <v>0</v>
      </c>
      <c r="R1598" s="41" t="s">
        <v>32</v>
      </c>
      <c r="S1598" s="69" t="s">
        <v>33</v>
      </c>
      <c r="T1598" s="51" t="b">
        <v>1</v>
      </c>
      <c r="U1598" s="94"/>
    </row>
    <row r="1599" ht="30.0" customHeight="1">
      <c r="A1599" s="39"/>
      <c r="B1599" s="40">
        <v>3636.0</v>
      </c>
      <c r="C1599" s="41" t="s">
        <v>50</v>
      </c>
      <c r="D1599" s="86">
        <v>46149.0</v>
      </c>
      <c r="E1599" s="43" t="str">
        <f t="shared" si="1"/>
        <v>2026</v>
      </c>
      <c r="F1599" s="43" t="str">
        <f t="shared" si="2"/>
        <v>05 Mei</v>
      </c>
      <c r="G1599" s="45" t="s">
        <v>35</v>
      </c>
      <c r="H1599" s="45" t="s">
        <v>103</v>
      </c>
      <c r="I1599" s="45" t="s">
        <v>1278</v>
      </c>
      <c r="J1599" s="143" t="s">
        <v>28</v>
      </c>
      <c r="K1599" s="43" t="str">
        <f t="array" ref="K1599">IF(J1599="","", XLOOKUP(J1599,'⚙️ Pengaturan'!$E$2:$E3237,'⚙️ Pengaturan'!$G$2:$G3237))</f>
        <v>KLINIK FT TA</v>
      </c>
      <c r="L1599" s="43" t="str">
        <f t="shared" si="3"/>
        <v>BARU</v>
      </c>
      <c r="M1599" s="144" t="s">
        <v>31</v>
      </c>
      <c r="N1599" s="145">
        <v>250000.0</v>
      </c>
      <c r="O1599" s="146">
        <v>0.0</v>
      </c>
      <c r="P1599" s="48">
        <f t="array" ref="P1599">IFNA(XLOOKUP(J1599,'⚙️ Pengaturan'!$E$2:$E3237,'⚙️ Pengaturan'!$F$2:$F3237),"")</f>
        <v>250000</v>
      </c>
      <c r="Q1599" s="147">
        <f t="shared" si="32"/>
        <v>0</v>
      </c>
      <c r="R1599" s="41" t="s">
        <v>37</v>
      </c>
      <c r="S1599" s="69" t="s">
        <v>1279</v>
      </c>
      <c r="T1599" s="51" t="b">
        <v>1</v>
      </c>
      <c r="U1599" s="94" t="s">
        <v>1280</v>
      </c>
    </row>
    <row r="1600" ht="30.0" customHeight="1">
      <c r="A1600" s="39"/>
      <c r="B1600" s="40">
        <v>3637.0</v>
      </c>
      <c r="C1600" s="41" t="s">
        <v>39</v>
      </c>
      <c r="D1600" s="86">
        <v>46149.0</v>
      </c>
      <c r="E1600" s="43" t="str">
        <f t="shared" si="1"/>
        <v>2026</v>
      </c>
      <c r="F1600" s="43" t="str">
        <f t="shared" si="2"/>
        <v>05 Mei</v>
      </c>
      <c r="G1600" s="45" t="s">
        <v>40</v>
      </c>
      <c r="H1600" s="45" t="s">
        <v>47</v>
      </c>
      <c r="I1600" s="45" t="s">
        <v>1259</v>
      </c>
      <c r="J1600" s="143" t="s">
        <v>119</v>
      </c>
      <c r="K1600" s="43" t="str">
        <f t="array" ref="K1600">IF(J1600="","", XLOOKUP(J1600,'⚙️ Pengaturan'!$E$2:$E3237,'⚙️ Pengaturan'!$G$2:$G3237))</f>
        <v>KLINIK FT PAKET</v>
      </c>
      <c r="L1600" s="43" t="str">
        <f t="shared" si="3"/>
        <v>BARU</v>
      </c>
      <c r="M1600" s="144" t="s">
        <v>31</v>
      </c>
      <c r="N1600" s="145">
        <v>200000.0</v>
      </c>
      <c r="O1600" s="146">
        <v>0.0</v>
      </c>
      <c r="P1600" s="48">
        <f t="array" ref="P1600">IFNA(XLOOKUP(J1600,'⚙️ Pengaturan'!$E$2:$E3237,'⚙️ Pengaturan'!$F$2:$F3237),"")</f>
        <v>750000</v>
      </c>
      <c r="Q1600" s="147">
        <f t="shared" si="32"/>
        <v>-550000</v>
      </c>
      <c r="R1600" s="41" t="s">
        <v>32</v>
      </c>
      <c r="S1600" s="69" t="s">
        <v>33</v>
      </c>
      <c r="T1600" s="51" t="b">
        <v>1</v>
      </c>
      <c r="U1600" s="94"/>
    </row>
    <row r="1601" ht="30.0" customHeight="1">
      <c r="A1601" s="39"/>
      <c r="B1601" s="40">
        <v>3638.0</v>
      </c>
      <c r="C1601" s="41" t="s">
        <v>39</v>
      </c>
      <c r="D1601" s="86">
        <v>46149.0</v>
      </c>
      <c r="E1601" s="43" t="str">
        <f t="shared" si="1"/>
        <v>2026</v>
      </c>
      <c r="F1601" s="43" t="str">
        <f t="shared" si="2"/>
        <v>05 Mei</v>
      </c>
      <c r="G1601" s="45" t="s">
        <v>43</v>
      </c>
      <c r="H1601" s="45" t="s">
        <v>47</v>
      </c>
      <c r="I1601" s="45" t="s">
        <v>1281</v>
      </c>
      <c r="J1601" s="143" t="s">
        <v>28</v>
      </c>
      <c r="K1601" s="43" t="str">
        <f t="array" ref="K1601">IF(J1601="","", XLOOKUP(J1601,'⚙️ Pengaturan'!$E$2:$E3237,'⚙️ Pengaturan'!$G$2:$G3237))</f>
        <v>KLINIK FT TA</v>
      </c>
      <c r="L1601" s="43" t="str">
        <f t="shared" si="3"/>
        <v>BARU</v>
      </c>
      <c r="M1601" s="144" t="s">
        <v>31</v>
      </c>
      <c r="N1601" s="145">
        <v>250000.0</v>
      </c>
      <c r="O1601" s="146">
        <v>0.0</v>
      </c>
      <c r="P1601" s="48">
        <f t="array" ref="P1601">IFNA(XLOOKUP(J1601,'⚙️ Pengaturan'!$E$2:$E3237,'⚙️ Pengaturan'!$F$2:$F3237),"")</f>
        <v>250000</v>
      </c>
      <c r="Q1601" s="147">
        <f t="shared" si="32"/>
        <v>0</v>
      </c>
      <c r="R1601" s="41" t="s">
        <v>32</v>
      </c>
      <c r="S1601" s="69" t="s">
        <v>33</v>
      </c>
      <c r="T1601" s="51" t="b">
        <v>1</v>
      </c>
      <c r="U1601" s="94"/>
    </row>
    <row r="1602" ht="30.0" customHeight="1">
      <c r="A1602" s="39"/>
      <c r="B1602" s="40">
        <v>3639.0</v>
      </c>
      <c r="C1602" s="41" t="s">
        <v>39</v>
      </c>
      <c r="D1602" s="86">
        <v>46149.0</v>
      </c>
      <c r="E1602" s="43" t="str">
        <f t="shared" si="1"/>
        <v>2026</v>
      </c>
      <c r="F1602" s="43" t="str">
        <f t="shared" si="2"/>
        <v>05 Mei</v>
      </c>
      <c r="G1602" s="45" t="s">
        <v>155</v>
      </c>
      <c r="H1602" s="45" t="s">
        <v>41</v>
      </c>
      <c r="I1602" s="45" t="s">
        <v>1249</v>
      </c>
      <c r="J1602" s="143" t="s">
        <v>119</v>
      </c>
      <c r="K1602" s="43" t="str">
        <f t="array" ref="K1602">IF(J1602="","", XLOOKUP(J1602,'⚙️ Pengaturan'!$E$2:$E3237,'⚙️ Pengaturan'!$G$2:$G3237))</f>
        <v>KLINIK FT PAKET</v>
      </c>
      <c r="L1602" s="43" t="str">
        <f t="shared" si="3"/>
        <v>BARU</v>
      </c>
      <c r="M1602" s="144" t="s">
        <v>31</v>
      </c>
      <c r="N1602" s="145">
        <v>750000.0</v>
      </c>
      <c r="O1602" s="146">
        <v>0.0</v>
      </c>
      <c r="P1602" s="48">
        <f t="array" ref="P1602">IFNA(XLOOKUP(J1602,'⚙️ Pengaturan'!$E$2:$E3237,'⚙️ Pengaturan'!$F$2:$F3237),"")</f>
        <v>750000</v>
      </c>
      <c r="Q1602" s="147">
        <f t="shared" si="32"/>
        <v>0</v>
      </c>
      <c r="R1602" s="41" t="s">
        <v>37</v>
      </c>
      <c r="S1602" s="69" t="s">
        <v>1249</v>
      </c>
      <c r="T1602" s="51" t="b">
        <v>1</v>
      </c>
      <c r="U1602" s="94"/>
    </row>
    <row r="1603" ht="30.0" customHeight="1">
      <c r="A1603" s="39"/>
      <c r="B1603" s="40">
        <v>3640.0</v>
      </c>
      <c r="C1603" s="41" t="s">
        <v>39</v>
      </c>
      <c r="D1603" s="86">
        <v>46149.0</v>
      </c>
      <c r="E1603" s="43" t="str">
        <f t="shared" si="1"/>
        <v>2026</v>
      </c>
      <c r="F1603" s="43" t="str">
        <f t="shared" si="2"/>
        <v>05 Mei</v>
      </c>
      <c r="G1603" s="45" t="s">
        <v>69</v>
      </c>
      <c r="H1603" s="45" t="s">
        <v>162</v>
      </c>
      <c r="I1603" s="45" t="s">
        <v>1282</v>
      </c>
      <c r="J1603" s="143" t="s">
        <v>121</v>
      </c>
      <c r="K1603" s="43" t="str">
        <f t="array" ref="K1603">IF(J1603="","", XLOOKUP(J1603,'⚙️ Pengaturan'!$E$2:$E3237,'⚙️ Pengaturan'!$G$2:$G3237))</f>
        <v>VISIT FT TA</v>
      </c>
      <c r="L1603" s="43" t="str">
        <f t="shared" si="3"/>
        <v>BARU</v>
      </c>
      <c r="M1603" s="144" t="s">
        <v>31</v>
      </c>
      <c r="N1603" s="145">
        <v>300000.0</v>
      </c>
      <c r="O1603" s="146">
        <v>0.0</v>
      </c>
      <c r="P1603" s="48">
        <f t="array" ref="P1603">IFNA(XLOOKUP(J1603,'⚙️ Pengaturan'!$E$2:$E3237,'⚙️ Pengaturan'!$F$2:$F3237),"")</f>
        <v>300000</v>
      </c>
      <c r="Q1603" s="147">
        <f t="shared" si="32"/>
        <v>0</v>
      </c>
      <c r="R1603" s="41" t="s">
        <v>32</v>
      </c>
      <c r="S1603" s="69" t="s">
        <v>33</v>
      </c>
      <c r="T1603" s="51" t="b">
        <v>1</v>
      </c>
      <c r="U1603" s="94"/>
    </row>
    <row r="1604" ht="30.0" customHeight="1">
      <c r="A1604" s="39"/>
      <c r="B1604" s="40">
        <v>3641.0</v>
      </c>
      <c r="C1604" s="41" t="s">
        <v>39</v>
      </c>
      <c r="D1604" s="86">
        <v>46149.0</v>
      </c>
      <c r="E1604" s="43" t="str">
        <f t="shared" si="1"/>
        <v>2026</v>
      </c>
      <c r="F1604" s="43" t="str">
        <f t="shared" si="2"/>
        <v>05 Mei</v>
      </c>
      <c r="G1604" s="45" t="s">
        <v>69</v>
      </c>
      <c r="H1604" s="45" t="s">
        <v>26</v>
      </c>
      <c r="I1604" s="45" t="s">
        <v>1283</v>
      </c>
      <c r="J1604" s="143" t="s">
        <v>120</v>
      </c>
      <c r="K1604" s="43" t="str">
        <f t="array" ref="K1604">IF(J1604="","", XLOOKUP(J1604,'⚙️ Pengaturan'!$E$2:$E3237,'⚙️ Pengaturan'!$G$2:$G3237))</f>
        <v>KLINIK FT SESI</v>
      </c>
      <c r="L1604" s="43" t="str">
        <f t="shared" si="3"/>
        <v>BARU</v>
      </c>
      <c r="M1604" s="144" t="s">
        <v>31</v>
      </c>
      <c r="N1604" s="145">
        <v>0.0</v>
      </c>
      <c r="O1604" s="146">
        <v>180000.0</v>
      </c>
      <c r="P1604" s="48">
        <f t="array" ref="P1604">IFNA(XLOOKUP(J1604,'⚙️ Pengaturan'!$E$2:$E3237,'⚙️ Pengaturan'!$F$2:$F3237),"")</f>
        <v>180000</v>
      </c>
      <c r="Q1604" s="147">
        <f t="shared" si="32"/>
        <v>0</v>
      </c>
      <c r="R1604" s="41" t="s">
        <v>37</v>
      </c>
      <c r="S1604" s="69" t="s">
        <v>33</v>
      </c>
      <c r="T1604" s="51" t="b">
        <v>1</v>
      </c>
      <c r="U1604" s="94"/>
    </row>
    <row r="1605" ht="30.0" customHeight="1">
      <c r="A1605" s="39"/>
      <c r="B1605" s="40">
        <v>3642.0</v>
      </c>
      <c r="C1605" s="41" t="s">
        <v>39</v>
      </c>
      <c r="D1605" s="86">
        <v>46150.0</v>
      </c>
      <c r="E1605" s="43" t="str">
        <f t="shared" si="1"/>
        <v>2026</v>
      </c>
      <c r="F1605" s="43" t="str">
        <f t="shared" si="2"/>
        <v>05 Mei</v>
      </c>
      <c r="G1605" s="45" t="s">
        <v>69</v>
      </c>
      <c r="H1605" s="45" t="s">
        <v>41</v>
      </c>
      <c r="I1605" s="45" t="s">
        <v>1252</v>
      </c>
      <c r="J1605" s="143" t="s">
        <v>138</v>
      </c>
      <c r="K1605" s="43" t="str">
        <f t="array" ref="K1605">IF(J1605="","", XLOOKUP(J1605,'⚙️ Pengaturan'!$E$2:$E3237,'⚙️ Pengaturan'!$G$2:$G3237))</f>
        <v>VISIT FT PAKET</v>
      </c>
      <c r="L1605" s="43" t="str">
        <f t="shared" si="3"/>
        <v>BARU</v>
      </c>
      <c r="M1605" s="144" t="s">
        <v>31</v>
      </c>
      <c r="N1605" s="145">
        <v>1800000.0</v>
      </c>
      <c r="O1605" s="146">
        <v>0.0</v>
      </c>
      <c r="P1605" s="48">
        <f t="array" ref="P1605">IFNA(XLOOKUP(J1605,'⚙️ Pengaturan'!$E$2:$E3237,'⚙️ Pengaturan'!$F$2:$F3237),"")</f>
        <v>1800000</v>
      </c>
      <c r="Q1605" s="147">
        <f t="shared" si="32"/>
        <v>0</v>
      </c>
      <c r="R1605" s="41" t="s">
        <v>37</v>
      </c>
      <c r="S1605" s="69" t="s">
        <v>1253</v>
      </c>
      <c r="T1605" s="51" t="b">
        <v>1</v>
      </c>
      <c r="U1605" s="94"/>
    </row>
    <row r="1606" ht="30.0" customHeight="1">
      <c r="A1606" s="39"/>
      <c r="B1606" s="40">
        <v>3643.0</v>
      </c>
      <c r="C1606" s="41" t="s">
        <v>39</v>
      </c>
      <c r="D1606" s="86">
        <v>46150.0</v>
      </c>
      <c r="E1606" s="43" t="str">
        <f t="shared" si="1"/>
        <v>2026</v>
      </c>
      <c r="F1606" s="43" t="str">
        <f t="shared" si="2"/>
        <v>05 Mei</v>
      </c>
      <c r="G1606" s="45" t="s">
        <v>161</v>
      </c>
      <c r="H1606" s="45" t="s">
        <v>156</v>
      </c>
      <c r="I1606" s="45" t="s">
        <v>620</v>
      </c>
      <c r="J1606" s="143" t="s">
        <v>120</v>
      </c>
      <c r="K1606" s="43" t="str">
        <f t="array" ref="K1606">IF(J1606="","", XLOOKUP(J1606,'⚙️ Pengaturan'!$E$2:$E3237,'⚙️ Pengaturan'!$G$2:$G3237))</f>
        <v>KLINIK FT SESI</v>
      </c>
      <c r="L1606" s="43" t="str">
        <f t="shared" si="3"/>
        <v>LANJUTAN</v>
      </c>
      <c r="M1606" s="144" t="s">
        <v>31</v>
      </c>
      <c r="N1606" s="145">
        <v>180000.0</v>
      </c>
      <c r="O1606" s="146">
        <v>0.0</v>
      </c>
      <c r="P1606" s="48">
        <f t="array" ref="P1606">IFNA(XLOOKUP(J1606,'⚙️ Pengaturan'!$E$2:$E3237,'⚙️ Pengaturan'!$F$2:$F3237),"")</f>
        <v>180000</v>
      </c>
      <c r="Q1606" s="147">
        <f t="shared" si="32"/>
        <v>0</v>
      </c>
      <c r="R1606" s="41" t="s">
        <v>118</v>
      </c>
      <c r="S1606" s="69" t="s">
        <v>620</v>
      </c>
      <c r="T1606" s="51" t="b">
        <v>1</v>
      </c>
      <c r="U1606" s="94"/>
    </row>
    <row r="1607" ht="30.0" customHeight="1">
      <c r="A1607" s="39"/>
      <c r="B1607" s="40">
        <v>3644.0</v>
      </c>
      <c r="C1607" s="41" t="s">
        <v>39</v>
      </c>
      <c r="D1607" s="86">
        <v>46150.0</v>
      </c>
      <c r="E1607" s="43" t="str">
        <f t="shared" si="1"/>
        <v>2026</v>
      </c>
      <c r="F1607" s="43" t="str">
        <f t="shared" si="2"/>
        <v>05 Mei</v>
      </c>
      <c r="G1607" s="45" t="s">
        <v>161</v>
      </c>
      <c r="H1607" s="45" t="s">
        <v>26</v>
      </c>
      <c r="I1607" s="45" t="s">
        <v>1194</v>
      </c>
      <c r="J1607" s="143" t="s">
        <v>120</v>
      </c>
      <c r="K1607" s="43" t="str">
        <f t="array" ref="K1607">IF(J1607="","", XLOOKUP(J1607,'⚙️ Pengaturan'!$E$2:$E3237,'⚙️ Pengaturan'!$G$2:$G3237))</f>
        <v>KLINIK FT SESI</v>
      </c>
      <c r="L1607" s="43" t="str">
        <f t="shared" si="3"/>
        <v>LANJUTAN</v>
      </c>
      <c r="M1607" s="144" t="s">
        <v>31</v>
      </c>
      <c r="N1607" s="145">
        <v>180000.0</v>
      </c>
      <c r="O1607" s="146">
        <v>0.0</v>
      </c>
      <c r="P1607" s="48">
        <f t="array" ref="P1607">IFNA(XLOOKUP(J1607,'⚙️ Pengaturan'!$E$2:$E3237,'⚙️ Pengaturan'!$F$2:$F3237),"")</f>
        <v>180000</v>
      </c>
      <c r="Q1607" s="147">
        <f t="shared" si="32"/>
        <v>0</v>
      </c>
      <c r="R1607" s="41" t="s">
        <v>118</v>
      </c>
      <c r="S1607" s="69" t="s">
        <v>620</v>
      </c>
      <c r="T1607" s="51" t="b">
        <v>1</v>
      </c>
      <c r="U1607" s="94"/>
    </row>
    <row r="1608" ht="30.0" customHeight="1">
      <c r="A1608" s="39"/>
      <c r="B1608" s="40">
        <v>3645.0</v>
      </c>
      <c r="C1608" s="41" t="s">
        <v>50</v>
      </c>
      <c r="D1608" s="86">
        <v>46150.0</v>
      </c>
      <c r="E1608" s="43" t="str">
        <f t="shared" si="1"/>
        <v>2026</v>
      </c>
      <c r="F1608" s="43" t="str">
        <f t="shared" si="2"/>
        <v>05 Mei</v>
      </c>
      <c r="G1608" s="45" t="s">
        <v>40</v>
      </c>
      <c r="H1608" s="45" t="s">
        <v>149</v>
      </c>
      <c r="I1608" s="45" t="s">
        <v>1284</v>
      </c>
      <c r="J1608" s="143" t="s">
        <v>28</v>
      </c>
      <c r="K1608" s="43" t="str">
        <f t="array" ref="K1608">IF(J1608="","", XLOOKUP(J1608,'⚙️ Pengaturan'!$E$2:$E3237,'⚙️ Pengaturan'!$G$2:$G3237))</f>
        <v>KLINIK FT TA</v>
      </c>
      <c r="L1608" s="43" t="str">
        <f t="shared" si="3"/>
        <v>BARU</v>
      </c>
      <c r="M1608" s="144" t="s">
        <v>31</v>
      </c>
      <c r="N1608" s="145">
        <v>250000.0</v>
      </c>
      <c r="O1608" s="146">
        <v>0.0</v>
      </c>
      <c r="P1608" s="48">
        <f t="array" ref="P1608">IFNA(XLOOKUP(J1608,'⚙️ Pengaturan'!$E$2:$E3237,'⚙️ Pengaturan'!$F$2:$F3237),"")</f>
        <v>250000</v>
      </c>
      <c r="Q1608" s="147">
        <f t="shared" si="32"/>
        <v>0</v>
      </c>
      <c r="R1608" s="41" t="s">
        <v>37</v>
      </c>
      <c r="S1608" s="69" t="s">
        <v>1284</v>
      </c>
      <c r="T1608" s="51" t="b">
        <v>1</v>
      </c>
      <c r="U1608" s="94"/>
    </row>
    <row r="1609" ht="30.0" customHeight="1">
      <c r="A1609" s="39"/>
      <c r="B1609" s="40">
        <v>3646.0</v>
      </c>
      <c r="C1609" s="41" t="s">
        <v>50</v>
      </c>
      <c r="D1609" s="86">
        <v>46150.0</v>
      </c>
      <c r="E1609" s="43" t="str">
        <f t="shared" si="1"/>
        <v>2026</v>
      </c>
      <c r="F1609" s="43" t="str">
        <f t="shared" si="2"/>
        <v>05 Mei</v>
      </c>
      <c r="G1609" s="45" t="s">
        <v>43</v>
      </c>
      <c r="H1609" s="45" t="s">
        <v>149</v>
      </c>
      <c r="I1609" s="45" t="s">
        <v>1285</v>
      </c>
      <c r="J1609" s="143" t="s">
        <v>28</v>
      </c>
      <c r="K1609" s="43" t="str">
        <f t="array" ref="K1609">IF(J1609="","", XLOOKUP(J1609,'⚙️ Pengaturan'!$E$2:$E3237,'⚙️ Pengaturan'!$G$2:$G3237))</f>
        <v>KLINIK FT TA</v>
      </c>
      <c r="L1609" s="43" t="str">
        <f t="shared" si="3"/>
        <v>BARU</v>
      </c>
      <c r="M1609" s="144" t="s">
        <v>31</v>
      </c>
      <c r="N1609" s="145">
        <v>200000.0</v>
      </c>
      <c r="O1609" s="146">
        <v>50000.0</v>
      </c>
      <c r="P1609" s="48">
        <f t="array" ref="P1609">IFNA(XLOOKUP(J1609,'⚙️ Pengaturan'!$E$2:$E3237,'⚙️ Pengaturan'!$F$2:$F3237),"")</f>
        <v>250000</v>
      </c>
      <c r="Q1609" s="147">
        <f t="shared" si="32"/>
        <v>0</v>
      </c>
      <c r="R1609" s="41" t="s">
        <v>37</v>
      </c>
      <c r="S1609" s="69" t="s">
        <v>1285</v>
      </c>
      <c r="T1609" s="51" t="b">
        <v>1</v>
      </c>
      <c r="U1609" s="94" t="s">
        <v>1063</v>
      </c>
    </row>
    <row r="1610" ht="30.0" customHeight="1">
      <c r="A1610" s="39"/>
      <c r="B1610" s="40">
        <v>3647.0</v>
      </c>
      <c r="C1610" s="41" t="s">
        <v>50</v>
      </c>
      <c r="D1610" s="86">
        <v>46150.0</v>
      </c>
      <c r="E1610" s="43" t="str">
        <f t="shared" si="1"/>
        <v>2026</v>
      </c>
      <c r="F1610" s="43" t="str">
        <f t="shared" si="2"/>
        <v>05 Mei</v>
      </c>
      <c r="G1610" s="45" t="s">
        <v>43</v>
      </c>
      <c r="H1610" s="45" t="s">
        <v>47</v>
      </c>
      <c r="I1610" s="45" t="s">
        <v>1286</v>
      </c>
      <c r="J1610" s="143" t="s">
        <v>28</v>
      </c>
      <c r="K1610" s="43" t="str">
        <f t="array" ref="K1610">IF(J1610="","", XLOOKUP(J1610,'⚙️ Pengaturan'!$E$2:$E3237,'⚙️ Pengaturan'!$G$2:$G3237))</f>
        <v>KLINIK FT TA</v>
      </c>
      <c r="L1610" s="43" t="str">
        <f t="shared" si="3"/>
        <v>BARU</v>
      </c>
      <c r="M1610" s="144" t="s">
        <v>31</v>
      </c>
      <c r="N1610" s="145">
        <v>200000.0</v>
      </c>
      <c r="O1610" s="146">
        <v>50000.0</v>
      </c>
      <c r="P1610" s="48">
        <f t="array" ref="P1610">IFNA(XLOOKUP(J1610,'⚙️ Pengaturan'!$E$2:$E3237,'⚙️ Pengaturan'!$F$2:$F3237),"")</f>
        <v>250000</v>
      </c>
      <c r="Q1610" s="147">
        <f t="shared" si="32"/>
        <v>0</v>
      </c>
      <c r="R1610" s="41" t="s">
        <v>37</v>
      </c>
      <c r="S1610" s="69" t="s">
        <v>1286</v>
      </c>
      <c r="T1610" s="51" t="b">
        <v>1</v>
      </c>
      <c r="U1610" s="94" t="s">
        <v>1063</v>
      </c>
    </row>
    <row r="1611" ht="30.0" customHeight="1">
      <c r="A1611" s="39"/>
      <c r="B1611" s="40">
        <v>3648.0</v>
      </c>
      <c r="C1611" s="41" t="s">
        <v>50</v>
      </c>
      <c r="D1611" s="86">
        <v>46150.0</v>
      </c>
      <c r="E1611" s="43" t="str">
        <f t="shared" si="1"/>
        <v>2026</v>
      </c>
      <c r="F1611" s="43" t="str">
        <f t="shared" si="2"/>
        <v>05 Mei</v>
      </c>
      <c r="G1611" s="45" t="s">
        <v>173</v>
      </c>
      <c r="H1611" s="45" t="s">
        <v>47</v>
      </c>
      <c r="I1611" s="45" t="s">
        <v>1287</v>
      </c>
      <c r="J1611" s="143" t="s">
        <v>28</v>
      </c>
      <c r="K1611" s="43" t="str">
        <f t="array" ref="K1611">IF(J1611="","", XLOOKUP(J1611,'⚙️ Pengaturan'!$E$2:$E3237,'⚙️ Pengaturan'!$G$2:$G3237))</f>
        <v>KLINIK FT TA</v>
      </c>
      <c r="L1611" s="43" t="str">
        <f t="shared" si="3"/>
        <v>BARU</v>
      </c>
      <c r="M1611" s="144" t="s">
        <v>31</v>
      </c>
      <c r="N1611" s="145">
        <v>250000.0</v>
      </c>
      <c r="O1611" s="146">
        <v>0.0</v>
      </c>
      <c r="P1611" s="48">
        <f t="array" ref="P1611">IFNA(XLOOKUP(J1611,'⚙️ Pengaturan'!$E$2:$E3237,'⚙️ Pengaturan'!$F$2:$F3237),"")</f>
        <v>250000</v>
      </c>
      <c r="Q1611" s="147">
        <f t="shared" si="32"/>
        <v>0</v>
      </c>
      <c r="R1611" s="41" t="s">
        <v>32</v>
      </c>
      <c r="S1611" s="69" t="s">
        <v>33</v>
      </c>
      <c r="T1611" s="51" t="b">
        <v>1</v>
      </c>
      <c r="U1611" s="94"/>
    </row>
    <row r="1612" ht="30.0" customHeight="1">
      <c r="A1612" s="39"/>
      <c r="B1612" s="40">
        <v>3649.0</v>
      </c>
      <c r="C1612" s="41" t="s">
        <v>79</v>
      </c>
      <c r="D1612" s="86">
        <v>46151.0</v>
      </c>
      <c r="E1612" s="43" t="str">
        <f t="shared" si="1"/>
        <v>2026</v>
      </c>
      <c r="F1612" s="43" t="str">
        <f t="shared" si="2"/>
        <v>05 Mei</v>
      </c>
      <c r="G1612" s="45" t="s">
        <v>195</v>
      </c>
      <c r="H1612" s="45" t="s">
        <v>76</v>
      </c>
      <c r="I1612" s="45" t="s">
        <v>1270</v>
      </c>
      <c r="J1612" s="143" t="s">
        <v>119</v>
      </c>
      <c r="K1612" s="43" t="str">
        <f t="array" ref="K1612">IF(J1612="","", XLOOKUP(J1612,'⚙️ Pengaturan'!$E$2:$E3237,'⚙️ Pengaturan'!$G$2:$G3237))</f>
        <v>KLINIK FT PAKET</v>
      </c>
      <c r="L1612" s="43" t="str">
        <f t="shared" si="3"/>
        <v>BARU</v>
      </c>
      <c r="M1612" s="144" t="s">
        <v>31</v>
      </c>
      <c r="N1612" s="145">
        <v>750000.0</v>
      </c>
      <c r="O1612" s="146">
        <v>0.0</v>
      </c>
      <c r="P1612" s="48">
        <f t="array" ref="P1612">IFNA(XLOOKUP(J1612,'⚙️ Pengaturan'!$E$2:$E3237,'⚙️ Pengaturan'!$F$2:$F3237),"")</f>
        <v>750000</v>
      </c>
      <c r="Q1612" s="147">
        <f t="shared" si="32"/>
        <v>0</v>
      </c>
      <c r="R1612" s="41" t="s">
        <v>32</v>
      </c>
      <c r="S1612" s="69" t="s">
        <v>33</v>
      </c>
      <c r="T1612" s="51" t="b">
        <v>1</v>
      </c>
      <c r="U1612" s="94"/>
    </row>
    <row r="1613" ht="30.0" customHeight="1">
      <c r="A1613" s="39"/>
      <c r="B1613" s="40">
        <v>3650.0</v>
      </c>
      <c r="C1613" s="41" t="s">
        <v>79</v>
      </c>
      <c r="D1613" s="86">
        <v>46151.0</v>
      </c>
      <c r="E1613" s="43" t="str">
        <f t="shared" si="1"/>
        <v>2026</v>
      </c>
      <c r="F1613" s="43" t="str">
        <f t="shared" si="2"/>
        <v>05 Mei</v>
      </c>
      <c r="G1613" s="45" t="s">
        <v>25</v>
      </c>
      <c r="H1613" s="45" t="s">
        <v>76</v>
      </c>
      <c r="I1613" s="45" t="s">
        <v>1271</v>
      </c>
      <c r="J1613" s="143" t="s">
        <v>119</v>
      </c>
      <c r="K1613" s="43" t="str">
        <f t="array" ref="K1613">IF(J1613="","", XLOOKUP(J1613,'⚙️ Pengaturan'!$E$2:$E3237,'⚙️ Pengaturan'!$G$2:$G3237))</f>
        <v>KLINIK FT PAKET</v>
      </c>
      <c r="L1613" s="43" t="str">
        <f t="shared" si="3"/>
        <v>BARU</v>
      </c>
      <c r="M1613" s="144" t="s">
        <v>31</v>
      </c>
      <c r="N1613" s="145">
        <v>600000.0</v>
      </c>
      <c r="O1613" s="146">
        <v>150000.0</v>
      </c>
      <c r="P1613" s="48">
        <f t="array" ref="P1613">IFNA(XLOOKUP(J1613,'⚙️ Pengaturan'!$E$2:$E3237,'⚙️ Pengaturan'!$F$2:$F3237),"")</f>
        <v>750000</v>
      </c>
      <c r="Q1613" s="147">
        <f t="shared" si="32"/>
        <v>0</v>
      </c>
      <c r="R1613" s="41" t="s">
        <v>32</v>
      </c>
      <c r="S1613" s="69" t="s">
        <v>33</v>
      </c>
      <c r="T1613" s="51" t="b">
        <v>1</v>
      </c>
      <c r="U1613" s="94" t="s">
        <v>1063</v>
      </c>
    </row>
    <row r="1614" ht="30.0" customHeight="1">
      <c r="A1614" s="39"/>
      <c r="B1614" s="40">
        <v>3651.0</v>
      </c>
      <c r="C1614" s="41" t="s">
        <v>79</v>
      </c>
      <c r="D1614" s="86">
        <v>46151.0</v>
      </c>
      <c r="E1614" s="43" t="str">
        <f t="shared" si="1"/>
        <v>2026</v>
      </c>
      <c r="F1614" s="43" t="str">
        <f t="shared" si="2"/>
        <v>05 Mei</v>
      </c>
      <c r="G1614" s="45" t="s">
        <v>206</v>
      </c>
      <c r="H1614" s="45" t="s">
        <v>41</v>
      </c>
      <c r="I1614" s="45" t="s">
        <v>1288</v>
      </c>
      <c r="J1614" s="143" t="s">
        <v>28</v>
      </c>
      <c r="K1614" s="43" t="str">
        <f t="array" ref="K1614">IF(J1614="","", XLOOKUP(J1614,'⚙️ Pengaturan'!$E$2:$E3237,'⚙️ Pengaturan'!$G$2:$G3237))</f>
        <v>KLINIK FT TA</v>
      </c>
      <c r="L1614" s="43" t="str">
        <f t="shared" si="3"/>
        <v>BARU</v>
      </c>
      <c r="M1614" s="144" t="s">
        <v>31</v>
      </c>
      <c r="N1614" s="145">
        <v>250000.0</v>
      </c>
      <c r="O1614" s="146">
        <v>0.0</v>
      </c>
      <c r="P1614" s="48">
        <v>250000.0</v>
      </c>
      <c r="Q1614" s="147">
        <f t="shared" si="32"/>
        <v>0</v>
      </c>
      <c r="R1614" s="41" t="s">
        <v>37</v>
      </c>
      <c r="S1614" s="69" t="s">
        <v>1288</v>
      </c>
      <c r="T1614" s="51" t="b">
        <v>1</v>
      </c>
      <c r="U1614" s="94"/>
    </row>
    <row r="1615" ht="30.0" customHeight="1">
      <c r="A1615" s="39"/>
      <c r="B1615" s="40">
        <v>3652.0</v>
      </c>
      <c r="C1615" s="41" t="s">
        <v>79</v>
      </c>
      <c r="D1615" s="86">
        <v>46151.0</v>
      </c>
      <c r="E1615" s="43" t="str">
        <f t="shared" si="1"/>
        <v>2026</v>
      </c>
      <c r="F1615" s="43" t="str">
        <f t="shared" si="2"/>
        <v>05 Mei</v>
      </c>
      <c r="G1615" s="45" t="s">
        <v>206</v>
      </c>
      <c r="H1615" s="45" t="s">
        <v>96</v>
      </c>
      <c r="I1615" s="45" t="s">
        <v>1289</v>
      </c>
      <c r="J1615" s="143" t="s">
        <v>28</v>
      </c>
      <c r="K1615" s="43" t="str">
        <f t="array" ref="K1615">IF(J1615="","", XLOOKUP(J1615,'⚙️ Pengaturan'!$E$2:$E3237,'⚙️ Pengaturan'!$G$2:$G3237))</f>
        <v>KLINIK FT TA</v>
      </c>
      <c r="L1615" s="43" t="str">
        <f t="shared" si="3"/>
        <v>BARU</v>
      </c>
      <c r="M1615" s="144" t="s">
        <v>31</v>
      </c>
      <c r="N1615" s="145">
        <v>250000.0</v>
      </c>
      <c r="O1615" s="146">
        <v>0.0</v>
      </c>
      <c r="P1615" s="48">
        <v>250000.0</v>
      </c>
      <c r="Q1615" s="147">
        <v>0.0</v>
      </c>
      <c r="R1615" s="41" t="s">
        <v>32</v>
      </c>
      <c r="S1615" s="69" t="s">
        <v>33</v>
      </c>
      <c r="T1615" s="51" t="b">
        <v>1</v>
      </c>
      <c r="U1615" s="94"/>
    </row>
    <row r="1616" ht="30.0" customHeight="1">
      <c r="A1616" s="39"/>
      <c r="B1616" s="40">
        <v>3653.0</v>
      </c>
      <c r="C1616" s="41" t="s">
        <v>79</v>
      </c>
      <c r="D1616" s="86">
        <v>46151.0</v>
      </c>
      <c r="E1616" s="43" t="str">
        <f t="shared" si="1"/>
        <v>2026</v>
      </c>
      <c r="F1616" s="43" t="str">
        <f t="shared" si="2"/>
        <v>05 Mei</v>
      </c>
      <c r="G1616" s="45" t="s">
        <v>161</v>
      </c>
      <c r="H1616" s="45" t="s">
        <v>76</v>
      </c>
      <c r="I1616" s="45" t="s">
        <v>1111</v>
      </c>
      <c r="J1616" s="143" t="s">
        <v>119</v>
      </c>
      <c r="K1616" s="43" t="str">
        <f t="array" ref="K1616">IF(J1616="","", XLOOKUP(J1616,'⚙️ Pengaturan'!$E$2:$E3237,'⚙️ Pengaturan'!$G$2:$G3237))</f>
        <v>KLINIK FT PAKET</v>
      </c>
      <c r="L1616" s="43" t="str">
        <f t="shared" si="3"/>
        <v>BARU</v>
      </c>
      <c r="M1616" s="144" t="s">
        <v>60</v>
      </c>
      <c r="N1616" s="145">
        <v>300000.0</v>
      </c>
      <c r="O1616" s="146">
        <v>0.0</v>
      </c>
      <c r="P1616" s="48">
        <f t="array" ref="P1616">IFNA(XLOOKUP(J1616,'⚙️ Pengaturan'!$E$2:$E3237,'⚙️ Pengaturan'!$F$2:$F3237),"")</f>
        <v>750000</v>
      </c>
      <c r="Q1616" s="147">
        <f t="shared" ref="Q1616:Q1617" si="33">IF(I1616="","",(N1616+O1616)-P1616)</f>
        <v>-450000</v>
      </c>
      <c r="R1616" s="41" t="s">
        <v>32</v>
      </c>
      <c r="S1616" s="69" t="s">
        <v>33</v>
      </c>
      <c r="T1616" s="51" t="b">
        <v>1</v>
      </c>
      <c r="U1616" s="94"/>
    </row>
    <row r="1617" ht="30.0" customHeight="1">
      <c r="A1617" s="39"/>
      <c r="B1617" s="40">
        <v>3654.0</v>
      </c>
      <c r="C1617" s="41" t="s">
        <v>39</v>
      </c>
      <c r="D1617" s="86">
        <v>46151.0</v>
      </c>
      <c r="E1617" s="43" t="str">
        <f t="shared" si="1"/>
        <v>2026</v>
      </c>
      <c r="F1617" s="43" t="str">
        <f t="shared" si="2"/>
        <v>05 Mei</v>
      </c>
      <c r="G1617" s="45" t="s">
        <v>40</v>
      </c>
      <c r="H1617" s="45" t="s">
        <v>26</v>
      </c>
      <c r="I1617" s="45" t="s">
        <v>1234</v>
      </c>
      <c r="J1617" s="143" t="s">
        <v>119</v>
      </c>
      <c r="K1617" s="43" t="str">
        <f t="array" ref="K1617">IF(J1617="","", XLOOKUP(J1617,'⚙️ Pengaturan'!$E$2:$E3237,'⚙️ Pengaturan'!$G$2:$G3237))</f>
        <v>KLINIK FT PAKET</v>
      </c>
      <c r="L1617" s="43" t="str">
        <f t="shared" si="3"/>
        <v>LANJUTAN</v>
      </c>
      <c r="M1617" s="144" t="s">
        <v>164</v>
      </c>
      <c r="N1617" s="145">
        <v>450000.0</v>
      </c>
      <c r="O1617" s="146">
        <v>300000.0</v>
      </c>
      <c r="P1617" s="48">
        <f t="array" ref="P1617">IFNA(XLOOKUP(J1617,'⚙️ Pengaturan'!$E$2:$E3237,'⚙️ Pengaturan'!$F$2:$F3237),"")</f>
        <v>750000</v>
      </c>
      <c r="Q1617" s="147">
        <f t="shared" si="33"/>
        <v>0</v>
      </c>
      <c r="R1617" s="41" t="s">
        <v>32</v>
      </c>
      <c r="S1617" s="69" t="s">
        <v>33</v>
      </c>
      <c r="T1617" s="51" t="b">
        <v>1</v>
      </c>
      <c r="U1617" s="94"/>
    </row>
    <row r="1618" ht="30.0" customHeight="1">
      <c r="A1618" s="39"/>
      <c r="B1618" s="40">
        <v>3655.0</v>
      </c>
      <c r="C1618" s="41" t="s">
        <v>79</v>
      </c>
      <c r="D1618" s="86">
        <v>46152.0</v>
      </c>
      <c r="E1618" s="43" t="str">
        <f t="shared" si="1"/>
        <v>2026</v>
      </c>
      <c r="F1618" s="43" t="str">
        <f t="shared" si="2"/>
        <v>05 Mei</v>
      </c>
      <c r="G1618" s="45" t="s">
        <v>195</v>
      </c>
      <c r="H1618" s="45" t="s">
        <v>150</v>
      </c>
      <c r="I1618" s="45" t="s">
        <v>1290</v>
      </c>
      <c r="J1618" s="143" t="s">
        <v>28</v>
      </c>
      <c r="K1618" s="43" t="str">
        <f t="array" ref="K1618">IF(J1618="","", XLOOKUP(J1618,'⚙️ Pengaturan'!$E$2:$E3237,'⚙️ Pengaturan'!$G$2:$G3237))</f>
        <v>KLINIK FT TA</v>
      </c>
      <c r="L1618" s="43" t="str">
        <f t="shared" si="3"/>
        <v>BARU</v>
      </c>
      <c r="M1618" s="144" t="s">
        <v>31</v>
      </c>
      <c r="N1618" s="145">
        <v>250000.0</v>
      </c>
      <c r="O1618" s="146">
        <v>0.0</v>
      </c>
      <c r="P1618" s="48">
        <v>250000.0</v>
      </c>
      <c r="Q1618" s="147">
        <v>0.0</v>
      </c>
      <c r="R1618" s="41" t="s">
        <v>37</v>
      </c>
      <c r="S1618" s="69" t="s">
        <v>1290</v>
      </c>
      <c r="T1618" s="51" t="b">
        <v>1</v>
      </c>
      <c r="U1618" s="94"/>
    </row>
    <row r="1619" ht="30.0" customHeight="1">
      <c r="A1619" s="39"/>
      <c r="B1619" s="40">
        <v>3656.0</v>
      </c>
      <c r="C1619" s="41" t="s">
        <v>79</v>
      </c>
      <c r="D1619" s="86">
        <v>46152.0</v>
      </c>
      <c r="E1619" s="43" t="str">
        <f t="shared" si="1"/>
        <v>2026</v>
      </c>
      <c r="F1619" s="43" t="str">
        <f t="shared" si="2"/>
        <v>05 Mei</v>
      </c>
      <c r="G1619" s="45" t="s">
        <v>195</v>
      </c>
      <c r="H1619" s="45" t="s">
        <v>41</v>
      </c>
      <c r="I1619" s="45" t="s">
        <v>1291</v>
      </c>
      <c r="J1619" s="158" t="s">
        <v>28</v>
      </c>
      <c r="K1619" s="43" t="str">
        <f t="array" ref="K1619">IF(J1619="","", XLOOKUP(J1619,'⚙️ Pengaturan'!$E$2:$E3237,'⚙️ Pengaturan'!$G$2:$G3237))</f>
        <v>KLINIK FT TA</v>
      </c>
      <c r="L1619" s="43" t="str">
        <f t="shared" si="3"/>
        <v>BARU</v>
      </c>
      <c r="M1619" s="159" t="s">
        <v>31</v>
      </c>
      <c r="N1619" s="149">
        <v>250000.0</v>
      </c>
      <c r="O1619" s="150">
        <v>0.0</v>
      </c>
      <c r="P1619" s="151">
        <v>250000.0</v>
      </c>
      <c r="Q1619" s="147">
        <v>0.0</v>
      </c>
      <c r="R1619" s="41" t="s">
        <v>37</v>
      </c>
      <c r="S1619" s="69" t="s">
        <v>1291</v>
      </c>
      <c r="T1619" s="51" t="b">
        <v>1</v>
      </c>
      <c r="U1619" s="94"/>
    </row>
    <row r="1620" ht="30.0" customHeight="1">
      <c r="A1620" s="39"/>
      <c r="B1620" s="40">
        <v>3657.0</v>
      </c>
      <c r="C1620" s="41" t="s">
        <v>79</v>
      </c>
      <c r="D1620" s="86">
        <v>46152.0</v>
      </c>
      <c r="E1620" s="43" t="str">
        <f t="shared" si="1"/>
        <v>2026</v>
      </c>
      <c r="F1620" s="43" t="str">
        <f t="shared" si="2"/>
        <v>05 Mei</v>
      </c>
      <c r="G1620" s="45" t="s">
        <v>195</v>
      </c>
      <c r="H1620" s="45" t="s">
        <v>41</v>
      </c>
      <c r="I1620" s="160" t="s">
        <v>1291</v>
      </c>
      <c r="J1620" s="143" t="s">
        <v>119</v>
      </c>
      <c r="K1620" s="43" t="str">
        <f t="array" ref="K1620">IF(J1620="","", XLOOKUP(J1620,'⚙️ Pengaturan'!$E$2:$E3237,'⚙️ Pengaturan'!$G$2:$G3237))</f>
        <v>KLINIK FT PAKET</v>
      </c>
      <c r="L1620" s="43" t="str">
        <f t="shared" si="3"/>
        <v>BARU</v>
      </c>
      <c r="M1620" s="144" t="s">
        <v>31</v>
      </c>
      <c r="N1620" s="145">
        <v>750000.0</v>
      </c>
      <c r="O1620" s="146">
        <v>0.0</v>
      </c>
      <c r="P1620" s="48">
        <v>750000.0</v>
      </c>
      <c r="Q1620" s="147">
        <f t="shared" ref="Q1620:Q1622" si="34">IF(I1621="","",(N1620+O1620)-P1620)</f>
        <v>0</v>
      </c>
      <c r="R1620" s="41" t="s">
        <v>37</v>
      </c>
      <c r="S1620" s="69" t="s">
        <v>1291</v>
      </c>
      <c r="T1620" s="51" t="b">
        <v>1</v>
      </c>
      <c r="U1620" s="94"/>
    </row>
    <row r="1621" ht="30.0" customHeight="1">
      <c r="A1621" s="39"/>
      <c r="B1621" s="40">
        <v>3658.0</v>
      </c>
      <c r="C1621" s="41" t="s">
        <v>79</v>
      </c>
      <c r="D1621" s="86">
        <v>46152.0</v>
      </c>
      <c r="E1621" s="43" t="str">
        <f t="shared" si="1"/>
        <v>2026</v>
      </c>
      <c r="F1621" s="43" t="str">
        <f t="shared" si="2"/>
        <v>05 Mei</v>
      </c>
      <c r="G1621" s="45" t="s">
        <v>25</v>
      </c>
      <c r="H1621" s="45" t="s">
        <v>166</v>
      </c>
      <c r="I1621" s="45" t="s">
        <v>1274</v>
      </c>
      <c r="J1621" s="143" t="s">
        <v>119</v>
      </c>
      <c r="K1621" s="43" t="str">
        <f t="array" ref="K1621">IF(J1621="","", XLOOKUP(J1621,'⚙️ Pengaturan'!$E$2:$E3237,'⚙️ Pengaturan'!$G$2:$G3237))</f>
        <v>KLINIK FT PAKET</v>
      </c>
      <c r="L1621" s="43" t="str">
        <f t="shared" si="3"/>
        <v>BARU</v>
      </c>
      <c r="M1621" s="144" t="s">
        <v>31</v>
      </c>
      <c r="N1621" s="145">
        <v>750000.0</v>
      </c>
      <c r="O1621" s="146">
        <v>0.0</v>
      </c>
      <c r="P1621" s="48">
        <v>750000.0</v>
      </c>
      <c r="Q1621" s="147">
        <f t="shared" si="34"/>
        <v>0</v>
      </c>
      <c r="R1621" s="41" t="s">
        <v>37</v>
      </c>
      <c r="S1621" s="69" t="s">
        <v>1274</v>
      </c>
      <c r="T1621" s="51" t="b">
        <v>1</v>
      </c>
      <c r="U1621" s="94"/>
    </row>
    <row r="1622" ht="30.0" customHeight="1">
      <c r="A1622" s="39"/>
      <c r="B1622" s="40">
        <v>3659.0</v>
      </c>
      <c r="C1622" s="41" t="s">
        <v>79</v>
      </c>
      <c r="D1622" s="86">
        <v>46152.0</v>
      </c>
      <c r="E1622" s="43" t="str">
        <f t="shared" si="1"/>
        <v>2026</v>
      </c>
      <c r="F1622" s="43" t="str">
        <f t="shared" si="2"/>
        <v>05 Mei</v>
      </c>
      <c r="G1622" s="45" t="s">
        <v>206</v>
      </c>
      <c r="H1622" s="45" t="s">
        <v>150</v>
      </c>
      <c r="I1622" s="45" t="s">
        <v>1292</v>
      </c>
      <c r="J1622" s="158" t="s">
        <v>28</v>
      </c>
      <c r="K1622" s="43" t="str">
        <f t="array" ref="K1622">IF(J1622="","", XLOOKUP(J1622,'⚙️ Pengaturan'!$E$2:$E3237,'⚙️ Pengaturan'!$G$2:$G3237))</f>
        <v>KLINIK FT TA</v>
      </c>
      <c r="L1622" s="43" t="str">
        <f t="shared" si="3"/>
        <v>BARU</v>
      </c>
      <c r="M1622" s="159" t="s">
        <v>31</v>
      </c>
      <c r="N1622" s="149">
        <v>250000.0</v>
      </c>
      <c r="O1622" s="150">
        <v>0.0</v>
      </c>
      <c r="P1622" s="48">
        <v>250000.0</v>
      </c>
      <c r="Q1622" s="147">
        <f t="shared" si="34"/>
        <v>0</v>
      </c>
      <c r="R1622" s="41" t="s">
        <v>32</v>
      </c>
      <c r="S1622" s="69" t="s">
        <v>33</v>
      </c>
      <c r="T1622" s="51" t="b">
        <v>1</v>
      </c>
      <c r="U1622" s="94"/>
    </row>
    <row r="1623" ht="30.0" customHeight="1">
      <c r="A1623" s="39"/>
      <c r="B1623" s="40">
        <v>3660.0</v>
      </c>
      <c r="C1623" s="41" t="s">
        <v>79</v>
      </c>
      <c r="D1623" s="86">
        <v>46152.0</v>
      </c>
      <c r="E1623" s="43" t="str">
        <f t="shared" si="1"/>
        <v>2026</v>
      </c>
      <c r="F1623" s="43" t="str">
        <f t="shared" si="2"/>
        <v>05 Mei</v>
      </c>
      <c r="G1623" s="45" t="s">
        <v>206</v>
      </c>
      <c r="H1623" s="45" t="s">
        <v>41</v>
      </c>
      <c r="I1623" s="45" t="s">
        <v>1293</v>
      </c>
      <c r="J1623" s="158" t="s">
        <v>28</v>
      </c>
      <c r="K1623" s="43" t="str">
        <f t="array" ref="K1623">IF(J1623="","", XLOOKUP(J1623,'⚙️ Pengaturan'!$E$2:$E3237,'⚙️ Pengaturan'!$G$2:$G3237))</f>
        <v>KLINIK FT TA</v>
      </c>
      <c r="L1623" s="43" t="str">
        <f t="shared" si="3"/>
        <v>BARU</v>
      </c>
      <c r="M1623" s="159" t="s">
        <v>31</v>
      </c>
      <c r="N1623" s="149">
        <v>250000.0</v>
      </c>
      <c r="O1623" s="150">
        <v>0.0</v>
      </c>
      <c r="P1623" s="48">
        <v>250000.0</v>
      </c>
      <c r="Q1623" s="153">
        <v>0.0</v>
      </c>
      <c r="R1623" s="41" t="s">
        <v>37</v>
      </c>
      <c r="S1623" s="69" t="s">
        <v>1293</v>
      </c>
      <c r="T1623" s="51" t="b">
        <v>1</v>
      </c>
      <c r="U1623" s="94"/>
    </row>
    <row r="1624" ht="30.0" customHeight="1">
      <c r="A1624" s="39"/>
      <c r="B1624" s="40">
        <v>3661.0</v>
      </c>
      <c r="C1624" s="41" t="s">
        <v>79</v>
      </c>
      <c r="D1624" s="86">
        <v>46152.0</v>
      </c>
      <c r="E1624" s="43" t="str">
        <f t="shared" si="1"/>
        <v>2026</v>
      </c>
      <c r="F1624" s="43" t="str">
        <f t="shared" si="2"/>
        <v>05 Mei</v>
      </c>
      <c r="G1624" s="45" t="s">
        <v>161</v>
      </c>
      <c r="H1624" s="45" t="s">
        <v>166</v>
      </c>
      <c r="I1624" s="160" t="s">
        <v>635</v>
      </c>
      <c r="J1624" s="143" t="s">
        <v>119</v>
      </c>
      <c r="K1624" s="43" t="str">
        <f t="array" ref="K1624">IF(J1624="","", XLOOKUP(J1624,'⚙️ Pengaturan'!$E$2:$E3237,'⚙️ Pengaturan'!$G$2:$G3237))</f>
        <v>KLINIK FT PAKET</v>
      </c>
      <c r="L1624" s="43" t="str">
        <f t="shared" si="3"/>
        <v>BARU</v>
      </c>
      <c r="M1624" s="144" t="s">
        <v>31</v>
      </c>
      <c r="N1624" s="145">
        <v>750000.0</v>
      </c>
      <c r="O1624" s="146">
        <v>0.0</v>
      </c>
      <c r="P1624" s="48">
        <f t="array" ref="P1624">IFNA(XLOOKUP(J1624,'⚙️ Pengaturan'!$E$2:$E3237,'⚙️ Pengaturan'!$F$2:$F3237),"")</f>
        <v>750000</v>
      </c>
      <c r="Q1624" s="153">
        <v>0.0</v>
      </c>
      <c r="R1624" s="41" t="s">
        <v>32</v>
      </c>
      <c r="S1624" s="69" t="s">
        <v>33</v>
      </c>
      <c r="T1624" s="51" t="b">
        <v>1</v>
      </c>
      <c r="U1624" s="94"/>
    </row>
    <row r="1625" ht="30.0" customHeight="1">
      <c r="A1625" s="39"/>
      <c r="B1625" s="40">
        <v>3662.0</v>
      </c>
      <c r="C1625" s="41" t="s">
        <v>79</v>
      </c>
      <c r="D1625" s="86">
        <v>46152.0</v>
      </c>
      <c r="E1625" s="43" t="str">
        <f t="shared" si="1"/>
        <v>2026</v>
      </c>
      <c r="F1625" s="43" t="str">
        <f t="shared" si="2"/>
        <v>05 Mei</v>
      </c>
      <c r="G1625" s="45" t="s">
        <v>40</v>
      </c>
      <c r="H1625" s="45" t="s">
        <v>41</v>
      </c>
      <c r="I1625" s="45" t="s">
        <v>1294</v>
      </c>
      <c r="J1625" s="143" t="s">
        <v>121</v>
      </c>
      <c r="K1625" s="43" t="str">
        <f t="array" ref="K1625">IF(J1625="","", XLOOKUP(J1625,'⚙️ Pengaturan'!$E$2:$E3237,'⚙️ Pengaturan'!$G$2:$G3237))</f>
        <v>VISIT FT TA</v>
      </c>
      <c r="L1625" s="43" t="str">
        <f t="shared" si="3"/>
        <v>BARU</v>
      </c>
      <c r="M1625" s="144" t="s">
        <v>31</v>
      </c>
      <c r="N1625" s="145">
        <v>300000.0</v>
      </c>
      <c r="O1625" s="146">
        <v>0.0</v>
      </c>
      <c r="P1625" s="48">
        <f t="array" ref="P1625">IFNA(XLOOKUP(J1625,'⚙️ Pengaturan'!$E$2:$E3237,'⚙️ Pengaturan'!$F$2:$F3237),"")</f>
        <v>300000</v>
      </c>
      <c r="Q1625" s="147">
        <f t="shared" ref="Q1625:Q1682" si="35">IF(I1625="","",(N1625+O1625)-P1625)</f>
        <v>0</v>
      </c>
      <c r="R1625" s="41" t="s">
        <v>37</v>
      </c>
      <c r="S1625" s="69" t="s">
        <v>1294</v>
      </c>
      <c r="T1625" s="51" t="b">
        <v>1</v>
      </c>
      <c r="U1625" s="94"/>
    </row>
    <row r="1626" ht="30.0" customHeight="1">
      <c r="A1626" s="39"/>
      <c r="B1626" s="40">
        <v>3663.0</v>
      </c>
      <c r="C1626" s="41" t="s">
        <v>50</v>
      </c>
      <c r="D1626" s="86">
        <v>46152.0</v>
      </c>
      <c r="E1626" s="43" t="str">
        <f t="shared" si="1"/>
        <v>2026</v>
      </c>
      <c r="F1626" s="43" t="str">
        <f t="shared" si="2"/>
        <v>05 Mei</v>
      </c>
      <c r="G1626" s="45" t="s">
        <v>40</v>
      </c>
      <c r="H1626" s="45" t="s">
        <v>149</v>
      </c>
      <c r="I1626" s="45" t="s">
        <v>1295</v>
      </c>
      <c r="J1626" s="143" t="s">
        <v>28</v>
      </c>
      <c r="K1626" s="43" t="str">
        <f t="array" ref="K1626">IF(J1626="","", XLOOKUP(J1626,'⚙️ Pengaturan'!$E$2:$E3237,'⚙️ Pengaturan'!$G$2:$G3237))</f>
        <v>KLINIK FT TA</v>
      </c>
      <c r="L1626" s="43" t="str">
        <f t="shared" si="3"/>
        <v>BARU</v>
      </c>
      <c r="M1626" s="144" t="s">
        <v>31</v>
      </c>
      <c r="N1626" s="145">
        <v>250000.0</v>
      </c>
      <c r="O1626" s="146">
        <v>0.0</v>
      </c>
      <c r="P1626" s="48">
        <f t="array" ref="P1626">IFNA(XLOOKUP(J1626,'⚙️ Pengaturan'!$E$2:$E3237,'⚙️ Pengaturan'!$F$2:$F3237),"")</f>
        <v>250000</v>
      </c>
      <c r="Q1626" s="147">
        <f t="shared" si="35"/>
        <v>0</v>
      </c>
      <c r="R1626" s="41" t="s">
        <v>93</v>
      </c>
      <c r="S1626" s="69" t="s">
        <v>1295</v>
      </c>
      <c r="T1626" s="51" t="b">
        <v>1</v>
      </c>
      <c r="U1626" s="94"/>
    </row>
    <row r="1627" ht="30.0" customHeight="1">
      <c r="A1627" s="39"/>
      <c r="B1627" s="40">
        <v>3664.0</v>
      </c>
      <c r="C1627" s="41" t="s">
        <v>50</v>
      </c>
      <c r="D1627" s="86">
        <v>46152.0</v>
      </c>
      <c r="E1627" s="43" t="str">
        <f t="shared" si="1"/>
        <v>2026</v>
      </c>
      <c r="F1627" s="43" t="str">
        <f t="shared" si="2"/>
        <v>05 Mei</v>
      </c>
      <c r="G1627" s="45" t="s">
        <v>43</v>
      </c>
      <c r="H1627" s="45" t="s">
        <v>149</v>
      </c>
      <c r="I1627" s="45" t="s">
        <v>1288</v>
      </c>
      <c r="J1627" s="143" t="s">
        <v>120</v>
      </c>
      <c r="K1627" s="43" t="str">
        <f t="array" ref="K1627">IF(J1627="","", XLOOKUP(J1627,'⚙️ Pengaturan'!$E$2:$E3237,'⚙️ Pengaturan'!$G$2:$G3237))</f>
        <v>KLINIK FT SESI</v>
      </c>
      <c r="L1627" s="43" t="str">
        <f t="shared" si="3"/>
        <v>BARU</v>
      </c>
      <c r="M1627" s="144" t="s">
        <v>31</v>
      </c>
      <c r="N1627" s="145">
        <v>180000.0</v>
      </c>
      <c r="O1627" s="146">
        <v>0.0</v>
      </c>
      <c r="P1627" s="48">
        <f t="array" ref="P1627">IFNA(XLOOKUP(J1627,'⚙️ Pengaturan'!$E$2:$E3237,'⚙️ Pengaturan'!$F$2:$F3237),"")</f>
        <v>180000</v>
      </c>
      <c r="Q1627" s="147">
        <f t="shared" si="35"/>
        <v>0</v>
      </c>
      <c r="R1627" s="41" t="s">
        <v>32</v>
      </c>
      <c r="S1627" s="69" t="s">
        <v>33</v>
      </c>
      <c r="T1627" s="51" t="b">
        <v>1</v>
      </c>
      <c r="U1627" s="94"/>
    </row>
    <row r="1628" ht="30.0" customHeight="1">
      <c r="A1628" s="39"/>
      <c r="B1628" s="40">
        <v>3665.0</v>
      </c>
      <c r="C1628" s="41" t="s">
        <v>50</v>
      </c>
      <c r="D1628" s="86">
        <v>46152.0</v>
      </c>
      <c r="E1628" s="43" t="str">
        <f t="shared" si="1"/>
        <v>2026</v>
      </c>
      <c r="F1628" s="43" t="str">
        <f t="shared" si="2"/>
        <v>05 Mei</v>
      </c>
      <c r="G1628" s="45" t="s">
        <v>43</v>
      </c>
      <c r="H1628" s="45" t="s">
        <v>47</v>
      </c>
      <c r="I1628" s="45" t="s">
        <v>1286</v>
      </c>
      <c r="J1628" s="143" t="s">
        <v>119</v>
      </c>
      <c r="K1628" s="43" t="str">
        <f t="array" ref="K1628">IF(J1628="","", XLOOKUP(J1628,'⚙️ Pengaturan'!$E$2:$E3237,'⚙️ Pengaturan'!$G$2:$G3237))</f>
        <v>KLINIK FT PAKET</v>
      </c>
      <c r="L1628" s="43" t="str">
        <f t="shared" si="3"/>
        <v>BARU</v>
      </c>
      <c r="M1628" s="144" t="s">
        <v>31</v>
      </c>
      <c r="N1628" s="145">
        <v>600000.0</v>
      </c>
      <c r="O1628" s="146">
        <v>150000.0</v>
      </c>
      <c r="P1628" s="48">
        <f t="array" ref="P1628">IFNA(XLOOKUP(J1628,'⚙️ Pengaturan'!$E$2:$E3237,'⚙️ Pengaturan'!$F$2:$F3237),"")</f>
        <v>750000</v>
      </c>
      <c r="Q1628" s="147">
        <f t="shared" si="35"/>
        <v>0</v>
      </c>
      <c r="R1628" s="41" t="s">
        <v>37</v>
      </c>
      <c r="S1628" s="69" t="s">
        <v>1286</v>
      </c>
      <c r="T1628" s="51" t="b">
        <v>1</v>
      </c>
      <c r="U1628" s="94" t="s">
        <v>1063</v>
      </c>
    </row>
    <row r="1629" ht="30.0" customHeight="1">
      <c r="A1629" s="39"/>
      <c r="B1629" s="40">
        <v>3666.0</v>
      </c>
      <c r="C1629" s="41" t="s">
        <v>50</v>
      </c>
      <c r="D1629" s="86">
        <v>46152.0</v>
      </c>
      <c r="E1629" s="43" t="str">
        <f t="shared" si="1"/>
        <v>2026</v>
      </c>
      <c r="F1629" s="43" t="str">
        <f t="shared" si="2"/>
        <v>05 Mei</v>
      </c>
      <c r="G1629" s="45" t="s">
        <v>43</v>
      </c>
      <c r="H1629" s="45" t="s">
        <v>96</v>
      </c>
      <c r="I1629" s="45" t="s">
        <v>1281</v>
      </c>
      <c r="J1629" s="143" t="s">
        <v>120</v>
      </c>
      <c r="K1629" s="43" t="str">
        <f t="array" ref="K1629">IF(J1629="","", XLOOKUP(J1629,'⚙️ Pengaturan'!$E$2:$E3237,'⚙️ Pengaturan'!$G$2:$G3237))</f>
        <v>KLINIK FT SESI</v>
      </c>
      <c r="L1629" s="43" t="str">
        <f t="shared" si="3"/>
        <v>BARU</v>
      </c>
      <c r="M1629" s="144" t="s">
        <v>31</v>
      </c>
      <c r="N1629" s="145">
        <v>180000.0</v>
      </c>
      <c r="O1629" s="146">
        <v>0.0</v>
      </c>
      <c r="P1629" s="48">
        <f t="array" ref="P1629">IFNA(XLOOKUP(J1629,'⚙️ Pengaturan'!$E$2:$E3237,'⚙️ Pengaturan'!$F$2:$F3237),"")</f>
        <v>180000</v>
      </c>
      <c r="Q1629" s="147">
        <f t="shared" si="35"/>
        <v>0</v>
      </c>
      <c r="R1629" s="41" t="s">
        <v>32</v>
      </c>
      <c r="S1629" s="69" t="s">
        <v>33</v>
      </c>
      <c r="T1629" s="51" t="b">
        <v>1</v>
      </c>
      <c r="U1629" s="94"/>
    </row>
    <row r="1630" ht="30.0" customHeight="1">
      <c r="A1630" s="39"/>
      <c r="B1630" s="40">
        <v>3667.0</v>
      </c>
      <c r="C1630" s="41" t="s">
        <v>50</v>
      </c>
      <c r="D1630" s="86">
        <v>46152.0</v>
      </c>
      <c r="E1630" s="43" t="str">
        <f t="shared" si="1"/>
        <v>2026</v>
      </c>
      <c r="F1630" s="43" t="str">
        <f t="shared" si="2"/>
        <v>05 Mei</v>
      </c>
      <c r="G1630" s="45" t="s">
        <v>173</v>
      </c>
      <c r="H1630" s="45" t="s">
        <v>47</v>
      </c>
      <c r="I1630" s="45" t="s">
        <v>1296</v>
      </c>
      <c r="J1630" s="143" t="s">
        <v>28</v>
      </c>
      <c r="K1630" s="43" t="str">
        <f t="array" ref="K1630">IF(J1630="","", XLOOKUP(J1630,'⚙️ Pengaturan'!$E$2:$E3237,'⚙️ Pengaturan'!$G$2:$G3237))</f>
        <v>KLINIK FT TA</v>
      </c>
      <c r="L1630" s="43" t="str">
        <f t="shared" si="3"/>
        <v>BARU</v>
      </c>
      <c r="M1630" s="144" t="s">
        <v>31</v>
      </c>
      <c r="N1630" s="145">
        <v>250000.0</v>
      </c>
      <c r="O1630" s="146">
        <v>0.0</v>
      </c>
      <c r="P1630" s="48">
        <f t="array" ref="P1630">IFNA(XLOOKUP(J1630,'⚙️ Pengaturan'!$E$2:$E3237,'⚙️ Pengaturan'!$F$2:$F3237),"")</f>
        <v>250000</v>
      </c>
      <c r="Q1630" s="147">
        <f t="shared" si="35"/>
        <v>0</v>
      </c>
      <c r="R1630" s="41" t="s">
        <v>93</v>
      </c>
      <c r="S1630" s="69" t="s">
        <v>1297</v>
      </c>
      <c r="T1630" s="51" t="b">
        <v>1</v>
      </c>
      <c r="U1630" s="94"/>
    </row>
    <row r="1631" ht="30.0" customHeight="1">
      <c r="A1631" s="39"/>
      <c r="B1631" s="40">
        <v>3668.0</v>
      </c>
      <c r="C1631" s="41" t="s">
        <v>50</v>
      </c>
      <c r="D1631" s="86">
        <v>46152.0</v>
      </c>
      <c r="E1631" s="43" t="str">
        <f t="shared" si="1"/>
        <v>2026</v>
      </c>
      <c r="F1631" s="43" t="str">
        <f t="shared" si="2"/>
        <v>05 Mei</v>
      </c>
      <c r="G1631" s="45" t="s">
        <v>173</v>
      </c>
      <c r="H1631" s="45" t="s">
        <v>96</v>
      </c>
      <c r="I1631" s="45" t="s">
        <v>1297</v>
      </c>
      <c r="J1631" s="143" t="s">
        <v>28</v>
      </c>
      <c r="K1631" s="43" t="str">
        <f t="array" ref="K1631">IF(J1631="","", XLOOKUP(J1631,'⚙️ Pengaturan'!$E$2:$E3237,'⚙️ Pengaturan'!$G$2:$G3237))</f>
        <v>KLINIK FT TA</v>
      </c>
      <c r="L1631" s="43" t="str">
        <f t="shared" si="3"/>
        <v>BARU</v>
      </c>
      <c r="M1631" s="144" t="s">
        <v>31</v>
      </c>
      <c r="N1631" s="145">
        <v>250000.0</v>
      </c>
      <c r="O1631" s="146">
        <v>0.0</v>
      </c>
      <c r="P1631" s="48">
        <f t="array" ref="P1631">IFNA(XLOOKUP(J1631,'⚙️ Pengaturan'!$E$2:$E3237,'⚙️ Pengaturan'!$F$2:$F3237),"")</f>
        <v>250000</v>
      </c>
      <c r="Q1631" s="147">
        <f t="shared" si="35"/>
        <v>0</v>
      </c>
      <c r="R1631" s="41" t="s">
        <v>93</v>
      </c>
      <c r="S1631" s="69" t="s">
        <v>1297</v>
      </c>
      <c r="T1631" s="51" t="b">
        <v>1</v>
      </c>
      <c r="U1631" s="94"/>
    </row>
    <row r="1632" ht="30.0" customHeight="1">
      <c r="A1632" s="39"/>
      <c r="B1632" s="40">
        <v>3669.0</v>
      </c>
      <c r="C1632" s="41" t="s">
        <v>50</v>
      </c>
      <c r="D1632" s="86">
        <v>46152.0</v>
      </c>
      <c r="E1632" s="43" t="str">
        <f t="shared" si="1"/>
        <v>2026</v>
      </c>
      <c r="F1632" s="43" t="str">
        <f t="shared" si="2"/>
        <v>05 Mei</v>
      </c>
      <c r="G1632" s="45" t="s">
        <v>69</v>
      </c>
      <c r="H1632" s="45" t="s">
        <v>41</v>
      </c>
      <c r="I1632" s="45" t="s">
        <v>1298</v>
      </c>
      <c r="J1632" s="143" t="s">
        <v>28</v>
      </c>
      <c r="K1632" s="43" t="str">
        <f t="array" ref="K1632">IF(J1632="","", XLOOKUP(J1632,'⚙️ Pengaturan'!$E$2:$E3237,'⚙️ Pengaturan'!$G$2:$G3237))</f>
        <v>KLINIK FT TA</v>
      </c>
      <c r="L1632" s="43" t="str">
        <f t="shared" si="3"/>
        <v>BARU</v>
      </c>
      <c r="M1632" s="144" t="s">
        <v>31</v>
      </c>
      <c r="N1632" s="145">
        <v>250000.0</v>
      </c>
      <c r="O1632" s="146">
        <v>0.0</v>
      </c>
      <c r="P1632" s="48">
        <f t="array" ref="P1632">IFNA(XLOOKUP(J1632,'⚙️ Pengaturan'!$E$2:$E3237,'⚙️ Pengaturan'!$F$2:$F3237),"")</f>
        <v>250000</v>
      </c>
      <c r="Q1632" s="147">
        <f t="shared" si="35"/>
        <v>0</v>
      </c>
      <c r="R1632" s="41" t="s">
        <v>37</v>
      </c>
      <c r="S1632" s="69" t="s">
        <v>1298</v>
      </c>
      <c r="T1632" s="51" t="b">
        <v>1</v>
      </c>
      <c r="U1632" s="94"/>
    </row>
    <row r="1633" ht="30.0" customHeight="1">
      <c r="A1633" s="39"/>
      <c r="B1633" s="40">
        <v>3670.0</v>
      </c>
      <c r="C1633" s="41" t="s">
        <v>50</v>
      </c>
      <c r="D1633" s="86">
        <v>46152.0</v>
      </c>
      <c r="E1633" s="43" t="str">
        <f t="shared" si="1"/>
        <v>2026</v>
      </c>
      <c r="F1633" s="43" t="str">
        <f t="shared" si="2"/>
        <v>05 Mei</v>
      </c>
      <c r="G1633" s="45" t="s">
        <v>155</v>
      </c>
      <c r="H1633" s="45" t="s">
        <v>76</v>
      </c>
      <c r="I1633" s="45" t="s">
        <v>1299</v>
      </c>
      <c r="J1633" s="143" t="s">
        <v>28</v>
      </c>
      <c r="K1633" s="43" t="str">
        <f t="array" ref="K1633">IF(J1633="","", XLOOKUP(J1633,'⚙️ Pengaturan'!$E$2:$E3237,'⚙️ Pengaturan'!$G$2:$G3237))</f>
        <v>KLINIK FT TA</v>
      </c>
      <c r="L1633" s="43" t="str">
        <f t="shared" si="3"/>
        <v>BARU</v>
      </c>
      <c r="M1633" s="144" t="s">
        <v>31</v>
      </c>
      <c r="N1633" s="145">
        <v>250000.0</v>
      </c>
      <c r="O1633" s="146">
        <v>0.0</v>
      </c>
      <c r="P1633" s="48">
        <f t="array" ref="P1633">IFNA(XLOOKUP(J1633,'⚙️ Pengaturan'!$E$2:$E3237,'⚙️ Pengaturan'!$F$2:$F3237),"")</f>
        <v>250000</v>
      </c>
      <c r="Q1633" s="147">
        <f t="shared" si="35"/>
        <v>0</v>
      </c>
      <c r="R1633" s="41" t="s">
        <v>37</v>
      </c>
      <c r="S1633" s="69" t="s">
        <v>1299</v>
      </c>
      <c r="T1633" s="51" t="b">
        <v>1</v>
      </c>
      <c r="U1633" s="94"/>
    </row>
    <row r="1634" ht="30.0" customHeight="1">
      <c r="A1634" s="39"/>
      <c r="B1634" s="40">
        <v>3671.0</v>
      </c>
      <c r="C1634" s="41" t="s">
        <v>39</v>
      </c>
      <c r="D1634" s="86">
        <v>46153.0</v>
      </c>
      <c r="E1634" s="43" t="str">
        <f t="shared" si="1"/>
        <v>2026</v>
      </c>
      <c r="F1634" s="43" t="str">
        <f t="shared" si="2"/>
        <v>05 Mei</v>
      </c>
      <c r="G1634" s="45" t="s">
        <v>195</v>
      </c>
      <c r="H1634" s="45" t="s">
        <v>166</v>
      </c>
      <c r="I1634" s="45" t="s">
        <v>1300</v>
      </c>
      <c r="J1634" s="143" t="s">
        <v>28</v>
      </c>
      <c r="K1634" s="43" t="str">
        <f t="array" ref="K1634">IF(J1634="","", XLOOKUP(J1634,'⚙️ Pengaturan'!$E$2:$E3237,'⚙️ Pengaturan'!$G$2:$G3237))</f>
        <v>KLINIK FT TA</v>
      </c>
      <c r="L1634" s="43" t="str">
        <f t="shared" si="3"/>
        <v>BARU</v>
      </c>
      <c r="M1634" s="144" t="s">
        <v>31</v>
      </c>
      <c r="N1634" s="145">
        <v>250000.0</v>
      </c>
      <c r="O1634" s="146">
        <v>0.0</v>
      </c>
      <c r="P1634" s="48">
        <f t="array" ref="P1634">IFNA(XLOOKUP(J1634,'⚙️ Pengaturan'!$E$2:$E3237,'⚙️ Pengaturan'!$F$2:$F3237),"")</f>
        <v>250000</v>
      </c>
      <c r="Q1634" s="147">
        <f t="shared" si="35"/>
        <v>0</v>
      </c>
      <c r="R1634" s="41" t="s">
        <v>37</v>
      </c>
      <c r="S1634" s="69" t="s">
        <v>1300</v>
      </c>
      <c r="T1634" s="51" t="b">
        <v>1</v>
      </c>
      <c r="U1634" s="94"/>
    </row>
    <row r="1635" ht="30.0" customHeight="1">
      <c r="A1635" s="39"/>
      <c r="B1635" s="40">
        <v>3672.0</v>
      </c>
      <c r="C1635" s="41" t="s">
        <v>39</v>
      </c>
      <c r="D1635" s="86">
        <v>46153.0</v>
      </c>
      <c r="E1635" s="43" t="str">
        <f t="shared" si="1"/>
        <v>2026</v>
      </c>
      <c r="F1635" s="43" t="str">
        <f t="shared" si="2"/>
        <v>05 Mei</v>
      </c>
      <c r="G1635" s="45" t="s">
        <v>69</v>
      </c>
      <c r="H1635" s="45" t="s">
        <v>149</v>
      </c>
      <c r="I1635" s="45" t="s">
        <v>1301</v>
      </c>
      <c r="J1635" s="143" t="s">
        <v>138</v>
      </c>
      <c r="K1635" s="43" t="str">
        <f t="array" ref="K1635">IF(J1635="","", XLOOKUP(J1635,'⚙️ Pengaturan'!$E$2:$E3237,'⚙️ Pengaturan'!$G$2:$G3237))</f>
        <v>VISIT FT PAKET</v>
      </c>
      <c r="L1635" s="43" t="str">
        <f t="shared" si="3"/>
        <v>BARU</v>
      </c>
      <c r="M1635" s="144" t="s">
        <v>31</v>
      </c>
      <c r="N1635" s="145">
        <v>1800000.0</v>
      </c>
      <c r="O1635" s="146">
        <v>0.0</v>
      </c>
      <c r="P1635" s="48">
        <f t="array" ref="P1635">IFNA(XLOOKUP(J1635,'⚙️ Pengaturan'!$E$2:$E3237,'⚙️ Pengaturan'!$F$2:$F3237),"")</f>
        <v>1800000</v>
      </c>
      <c r="Q1635" s="147">
        <f t="shared" si="35"/>
        <v>0</v>
      </c>
      <c r="R1635" s="41" t="s">
        <v>37</v>
      </c>
      <c r="S1635" s="69" t="s">
        <v>1302</v>
      </c>
      <c r="T1635" s="51" t="b">
        <v>1</v>
      </c>
      <c r="U1635" s="94"/>
    </row>
    <row r="1636" ht="30.0" customHeight="1">
      <c r="A1636" s="39"/>
      <c r="B1636" s="40">
        <v>3673.0</v>
      </c>
      <c r="C1636" s="41" t="s">
        <v>39</v>
      </c>
      <c r="D1636" s="86">
        <v>46153.0</v>
      </c>
      <c r="E1636" s="43" t="str">
        <f t="shared" si="1"/>
        <v>2026</v>
      </c>
      <c r="F1636" s="43" t="str">
        <f t="shared" si="2"/>
        <v>05 Mei</v>
      </c>
      <c r="G1636" s="45" t="s">
        <v>25</v>
      </c>
      <c r="H1636" s="45" t="s">
        <v>166</v>
      </c>
      <c r="I1636" s="45" t="s">
        <v>1303</v>
      </c>
      <c r="J1636" s="143" t="s">
        <v>28</v>
      </c>
      <c r="K1636" s="43" t="str">
        <f t="array" ref="K1636">IF(J1636="","", XLOOKUP(J1636,'⚙️ Pengaturan'!$E$2:$E3237,'⚙️ Pengaturan'!$G$2:$G3237))</f>
        <v>KLINIK FT TA</v>
      </c>
      <c r="L1636" s="43" t="str">
        <f t="shared" si="3"/>
        <v>BARU</v>
      </c>
      <c r="M1636" s="144" t="s">
        <v>31</v>
      </c>
      <c r="N1636" s="145">
        <v>250000.0</v>
      </c>
      <c r="O1636" s="146">
        <v>0.0</v>
      </c>
      <c r="P1636" s="48">
        <f t="array" ref="P1636">IFNA(XLOOKUP(J1636,'⚙️ Pengaturan'!$E$2:$E3237,'⚙️ Pengaturan'!$F$2:$F3237),"")</f>
        <v>250000</v>
      </c>
      <c r="Q1636" s="147">
        <f t="shared" si="35"/>
        <v>0</v>
      </c>
      <c r="R1636" s="41" t="s">
        <v>37</v>
      </c>
      <c r="S1636" s="69" t="s">
        <v>1303</v>
      </c>
      <c r="T1636" s="51" t="b">
        <v>1</v>
      </c>
      <c r="U1636" s="94"/>
    </row>
    <row r="1637" ht="30.0" customHeight="1">
      <c r="A1637" s="39"/>
      <c r="B1637" s="40">
        <v>3674.0</v>
      </c>
      <c r="C1637" s="41" t="s">
        <v>39</v>
      </c>
      <c r="D1637" s="86">
        <v>46153.0</v>
      </c>
      <c r="E1637" s="43" t="str">
        <f t="shared" si="1"/>
        <v>2026</v>
      </c>
      <c r="F1637" s="43" t="str">
        <f t="shared" si="2"/>
        <v>05 Mei</v>
      </c>
      <c r="G1637" s="45" t="s">
        <v>161</v>
      </c>
      <c r="H1637" s="45" t="s">
        <v>166</v>
      </c>
      <c r="I1637" s="45" t="s">
        <v>1304</v>
      </c>
      <c r="J1637" s="143" t="s">
        <v>28</v>
      </c>
      <c r="K1637" s="43" t="str">
        <f t="array" ref="K1637">IF(J1637="","", XLOOKUP(J1637,'⚙️ Pengaturan'!$E$2:$E3237,'⚙️ Pengaturan'!$G$2:$G3237))</f>
        <v>KLINIK FT TA</v>
      </c>
      <c r="L1637" s="43" t="str">
        <f t="shared" si="3"/>
        <v>BARU</v>
      </c>
      <c r="M1637" s="144" t="s">
        <v>31</v>
      </c>
      <c r="N1637" s="145">
        <v>250000.0</v>
      </c>
      <c r="O1637" s="146">
        <v>0.0</v>
      </c>
      <c r="P1637" s="48">
        <f t="array" ref="P1637">IFNA(XLOOKUP(J1637,'⚙️ Pengaturan'!$E$2:$E3237,'⚙️ Pengaturan'!$F$2:$F3237),"")</f>
        <v>250000</v>
      </c>
      <c r="Q1637" s="147">
        <f t="shared" si="35"/>
        <v>0</v>
      </c>
      <c r="R1637" s="41" t="s">
        <v>32</v>
      </c>
      <c r="S1637" s="69" t="s">
        <v>33</v>
      </c>
      <c r="T1637" s="51" t="b">
        <v>1</v>
      </c>
      <c r="U1637" s="94"/>
    </row>
    <row r="1638" ht="30.0" customHeight="1">
      <c r="A1638" s="39"/>
      <c r="B1638" s="40">
        <v>3675.0</v>
      </c>
      <c r="C1638" s="41" t="s">
        <v>39</v>
      </c>
      <c r="D1638" s="86">
        <v>46153.0</v>
      </c>
      <c r="E1638" s="43" t="str">
        <f t="shared" si="1"/>
        <v>2026</v>
      </c>
      <c r="F1638" s="43" t="str">
        <f t="shared" si="2"/>
        <v>05 Mei</v>
      </c>
      <c r="G1638" s="45" t="s">
        <v>161</v>
      </c>
      <c r="H1638" s="45" t="s">
        <v>156</v>
      </c>
      <c r="I1638" s="45" t="s">
        <v>969</v>
      </c>
      <c r="J1638" s="143" t="s">
        <v>347</v>
      </c>
      <c r="K1638" s="43" t="str">
        <f t="array" ref="K1638">IF(J1638="","", XLOOKUP(J1638,'⚙️ Pengaturan'!$E$2:$E3237,'⚙️ Pengaturan'!$G$2:$G3237))</f>
        <v>KLINIK FT PAKET</v>
      </c>
      <c r="L1638" s="43" t="str">
        <f t="shared" si="3"/>
        <v>LANJUTAN</v>
      </c>
      <c r="M1638" s="144" t="s">
        <v>31</v>
      </c>
      <c r="N1638" s="145">
        <v>1300000.0</v>
      </c>
      <c r="O1638" s="146">
        <v>0.0</v>
      </c>
      <c r="P1638" s="48">
        <f t="array" ref="P1638">IFNA(XLOOKUP(J1638,'⚙️ Pengaturan'!$E$2:$E3237,'⚙️ Pengaturan'!$F$2:$F3237),"")</f>
        <v>1300000</v>
      </c>
      <c r="Q1638" s="147">
        <f t="shared" si="35"/>
        <v>0</v>
      </c>
      <c r="R1638" s="41" t="s">
        <v>37</v>
      </c>
      <c r="S1638" s="69" t="s">
        <v>969</v>
      </c>
      <c r="T1638" s="51" t="b">
        <v>1</v>
      </c>
      <c r="U1638" s="94"/>
    </row>
    <row r="1639" ht="30.0" customHeight="1">
      <c r="A1639" s="39"/>
      <c r="B1639" s="40">
        <v>3676.0</v>
      </c>
      <c r="C1639" s="41" t="s">
        <v>39</v>
      </c>
      <c r="D1639" s="86">
        <v>46153.0</v>
      </c>
      <c r="E1639" s="43" t="str">
        <f t="shared" si="1"/>
        <v>2026</v>
      </c>
      <c r="F1639" s="43" t="str">
        <f t="shared" si="2"/>
        <v>05 Mei</v>
      </c>
      <c r="G1639" s="45" t="s">
        <v>35</v>
      </c>
      <c r="H1639" s="45" t="s">
        <v>26</v>
      </c>
      <c r="I1639" s="45" t="s">
        <v>1305</v>
      </c>
      <c r="J1639" s="143" t="s">
        <v>28</v>
      </c>
      <c r="K1639" s="43" t="str">
        <f t="array" ref="K1639">IF(J1639="","", XLOOKUP(J1639,'⚙️ Pengaturan'!$E$2:$E3237,'⚙️ Pengaturan'!$G$2:$G3237))</f>
        <v>KLINIK FT TA</v>
      </c>
      <c r="L1639" s="43" t="str">
        <f t="shared" si="3"/>
        <v>BARU</v>
      </c>
      <c r="M1639" s="144" t="s">
        <v>31</v>
      </c>
      <c r="N1639" s="145">
        <v>250000.0</v>
      </c>
      <c r="O1639" s="146">
        <v>0.0</v>
      </c>
      <c r="P1639" s="48">
        <f t="array" ref="P1639">IFNA(XLOOKUP(J1639,'⚙️ Pengaturan'!$E$2:$E3237,'⚙️ Pengaturan'!$F$2:$F3237),"")</f>
        <v>250000</v>
      </c>
      <c r="Q1639" s="147">
        <f t="shared" si="35"/>
        <v>0</v>
      </c>
      <c r="R1639" s="41" t="s">
        <v>37</v>
      </c>
      <c r="S1639" s="69" t="s">
        <v>1305</v>
      </c>
      <c r="T1639" s="51" t="b">
        <v>1</v>
      </c>
      <c r="U1639" s="94"/>
    </row>
    <row r="1640" ht="30.0" customHeight="1">
      <c r="A1640" s="39"/>
      <c r="B1640" s="40">
        <v>3677.0</v>
      </c>
      <c r="C1640" s="41" t="s">
        <v>39</v>
      </c>
      <c r="D1640" s="86">
        <v>46153.0</v>
      </c>
      <c r="E1640" s="43" t="str">
        <f t="shared" si="1"/>
        <v>2026</v>
      </c>
      <c r="F1640" s="43" t="str">
        <f t="shared" si="2"/>
        <v>05 Mei</v>
      </c>
      <c r="G1640" s="45" t="s">
        <v>35</v>
      </c>
      <c r="H1640" s="45" t="s">
        <v>150</v>
      </c>
      <c r="I1640" s="45" t="s">
        <v>1265</v>
      </c>
      <c r="J1640" s="143" t="s">
        <v>120</v>
      </c>
      <c r="K1640" s="43" t="str">
        <f t="array" ref="K1640">IF(J1640="","", XLOOKUP(J1640,'⚙️ Pengaturan'!$E$2:$E3237,'⚙️ Pengaturan'!$G$2:$G3237))</f>
        <v>KLINIK FT SESI</v>
      </c>
      <c r="L1640" s="43" t="str">
        <f t="shared" si="3"/>
        <v>LANJUTAN</v>
      </c>
      <c r="M1640" s="144" t="s">
        <v>31</v>
      </c>
      <c r="N1640" s="145">
        <v>180000.0</v>
      </c>
      <c r="O1640" s="146">
        <v>0.0</v>
      </c>
      <c r="P1640" s="48">
        <f t="array" ref="P1640">IFNA(XLOOKUP(J1640,'⚙️ Pengaturan'!$E$2:$E3237,'⚙️ Pengaturan'!$F$2:$F3237),"")</f>
        <v>180000</v>
      </c>
      <c r="Q1640" s="147">
        <f t="shared" si="35"/>
        <v>0</v>
      </c>
      <c r="R1640" s="41" t="s">
        <v>32</v>
      </c>
      <c r="S1640" s="69" t="s">
        <v>33</v>
      </c>
      <c r="T1640" s="51" t="b">
        <v>1</v>
      </c>
      <c r="U1640" s="94"/>
    </row>
    <row r="1641" ht="30.0" customHeight="1">
      <c r="A1641" s="39"/>
      <c r="B1641" s="40">
        <v>3678.0</v>
      </c>
      <c r="C1641" s="41" t="s">
        <v>50</v>
      </c>
      <c r="D1641" s="86">
        <v>46153.0</v>
      </c>
      <c r="E1641" s="43" t="str">
        <f t="shared" si="1"/>
        <v>2026</v>
      </c>
      <c r="F1641" s="43" t="str">
        <f t="shared" si="2"/>
        <v>05 Mei</v>
      </c>
      <c r="G1641" s="45" t="s">
        <v>40</v>
      </c>
      <c r="H1641" s="45" t="s">
        <v>96</v>
      </c>
      <c r="I1641" s="45" t="s">
        <v>1306</v>
      </c>
      <c r="J1641" s="143" t="s">
        <v>28</v>
      </c>
      <c r="K1641" s="43" t="str">
        <f t="array" ref="K1641">IF(J1641="","", XLOOKUP(J1641,'⚙️ Pengaturan'!$E$2:$E3237,'⚙️ Pengaturan'!$G$2:$G3237))</f>
        <v>KLINIK FT TA</v>
      </c>
      <c r="L1641" s="43" t="str">
        <f t="shared" si="3"/>
        <v>BARU</v>
      </c>
      <c r="M1641" s="144" t="s">
        <v>31</v>
      </c>
      <c r="N1641" s="145">
        <v>250000.0</v>
      </c>
      <c r="O1641" s="146">
        <v>0.0</v>
      </c>
      <c r="P1641" s="48">
        <f t="array" ref="P1641">IFNA(XLOOKUP(J1641,'⚙️ Pengaturan'!$E$2:$E3237,'⚙️ Pengaturan'!$F$2:$F3237),"")</f>
        <v>250000</v>
      </c>
      <c r="Q1641" s="147">
        <f t="shared" si="35"/>
        <v>0</v>
      </c>
      <c r="R1641" s="41" t="s">
        <v>93</v>
      </c>
      <c r="S1641" s="69" t="s">
        <v>1306</v>
      </c>
      <c r="T1641" s="51" t="b">
        <v>1</v>
      </c>
      <c r="U1641" s="94"/>
    </row>
    <row r="1642" ht="30.0" customHeight="1">
      <c r="A1642" s="39"/>
      <c r="B1642" s="40">
        <v>3679.0</v>
      </c>
      <c r="C1642" s="41" t="s">
        <v>50</v>
      </c>
      <c r="D1642" s="86">
        <v>46153.0</v>
      </c>
      <c r="E1642" s="43" t="str">
        <f t="shared" si="1"/>
        <v>2026</v>
      </c>
      <c r="F1642" s="43" t="str">
        <f t="shared" si="2"/>
        <v>05 Mei</v>
      </c>
      <c r="G1642" s="45" t="s">
        <v>43</v>
      </c>
      <c r="H1642" s="45" t="s">
        <v>96</v>
      </c>
      <c r="I1642" s="45" t="s">
        <v>1307</v>
      </c>
      <c r="J1642" s="143" t="s">
        <v>28</v>
      </c>
      <c r="K1642" s="43" t="str">
        <f t="array" ref="K1642">IF(J1642="","", XLOOKUP(J1642,'⚙️ Pengaturan'!$E$2:$E3237,'⚙️ Pengaturan'!$G$2:$G3237))</f>
        <v>KLINIK FT TA</v>
      </c>
      <c r="L1642" s="43" t="str">
        <f t="shared" si="3"/>
        <v>BARU</v>
      </c>
      <c r="M1642" s="144" t="s">
        <v>31</v>
      </c>
      <c r="N1642" s="145">
        <v>250000.0</v>
      </c>
      <c r="O1642" s="146">
        <v>0.0</v>
      </c>
      <c r="P1642" s="48">
        <f t="array" ref="P1642">IFNA(XLOOKUP(J1642,'⚙️ Pengaturan'!$E$2:$E3237,'⚙️ Pengaturan'!$F$2:$F3237),"")</f>
        <v>250000</v>
      </c>
      <c r="Q1642" s="147">
        <f t="shared" si="35"/>
        <v>0</v>
      </c>
      <c r="R1642" s="41" t="s">
        <v>32</v>
      </c>
      <c r="S1642" s="69" t="s">
        <v>33</v>
      </c>
      <c r="T1642" s="51" t="b">
        <v>1</v>
      </c>
      <c r="U1642" s="94"/>
    </row>
    <row r="1643" ht="30.0" customHeight="1">
      <c r="A1643" s="39"/>
      <c r="B1643" s="40">
        <v>3680.0</v>
      </c>
      <c r="C1643" s="41" t="s">
        <v>50</v>
      </c>
      <c r="D1643" s="86">
        <v>46153.0</v>
      </c>
      <c r="E1643" s="43" t="str">
        <f t="shared" si="1"/>
        <v>2026</v>
      </c>
      <c r="F1643" s="43" t="str">
        <f t="shared" si="2"/>
        <v>05 Mei</v>
      </c>
      <c r="G1643" s="45" t="s">
        <v>173</v>
      </c>
      <c r="H1643" s="45" t="s">
        <v>96</v>
      </c>
      <c r="I1643" s="45" t="s">
        <v>1247</v>
      </c>
      <c r="J1643" s="143" t="s">
        <v>119</v>
      </c>
      <c r="K1643" s="43" t="str">
        <f t="array" ref="K1643">IF(J1643="","", XLOOKUP(J1643,'⚙️ Pengaturan'!$E$2:$E3237,'⚙️ Pengaturan'!$G$2:$G3237))</f>
        <v>KLINIK FT PAKET</v>
      </c>
      <c r="L1643" s="43" t="str">
        <f t="shared" si="3"/>
        <v>LANJUTAN</v>
      </c>
      <c r="M1643" s="144" t="s">
        <v>164</v>
      </c>
      <c r="N1643" s="145">
        <v>450000.0</v>
      </c>
      <c r="O1643" s="146">
        <v>300000.0</v>
      </c>
      <c r="P1643" s="48">
        <f t="array" ref="P1643">IFNA(XLOOKUP(J1643,'⚙️ Pengaturan'!$E$2:$E3237,'⚙️ Pengaturan'!$F$2:$F3237),"")</f>
        <v>750000</v>
      </c>
      <c r="Q1643" s="147">
        <f t="shared" si="35"/>
        <v>0</v>
      </c>
      <c r="R1643" s="41" t="s">
        <v>37</v>
      </c>
      <c r="S1643" s="69" t="s">
        <v>1246</v>
      </c>
      <c r="T1643" s="51" t="b">
        <v>1</v>
      </c>
      <c r="U1643" s="94"/>
    </row>
    <row r="1644" ht="30.0" customHeight="1">
      <c r="A1644" s="39"/>
      <c r="B1644" s="40">
        <v>3681.0</v>
      </c>
      <c r="C1644" s="41" t="s">
        <v>50</v>
      </c>
      <c r="D1644" s="86">
        <v>46153.0</v>
      </c>
      <c r="E1644" s="43" t="str">
        <f t="shared" si="1"/>
        <v>2026</v>
      </c>
      <c r="F1644" s="43" t="str">
        <f t="shared" si="2"/>
        <v>05 Mei</v>
      </c>
      <c r="G1644" s="45" t="s">
        <v>173</v>
      </c>
      <c r="H1644" s="45" t="s">
        <v>41</v>
      </c>
      <c r="I1644" s="45" t="s">
        <v>1246</v>
      </c>
      <c r="J1644" s="143" t="s">
        <v>119</v>
      </c>
      <c r="K1644" s="43" t="str">
        <f t="array" ref="K1644">IF(J1644="","", XLOOKUP(J1644,'⚙️ Pengaturan'!$E$2:$E3237,'⚙️ Pengaturan'!$G$2:$G3237))</f>
        <v>KLINIK FT PAKET</v>
      </c>
      <c r="L1644" s="43" t="str">
        <f t="shared" si="3"/>
        <v>LANJUTAN</v>
      </c>
      <c r="M1644" s="144" t="s">
        <v>164</v>
      </c>
      <c r="N1644" s="145">
        <v>450000.0</v>
      </c>
      <c r="O1644" s="146">
        <v>300000.0</v>
      </c>
      <c r="P1644" s="48">
        <f t="array" ref="P1644">IFNA(XLOOKUP(J1644,'⚙️ Pengaturan'!$E$2:$E3237,'⚙️ Pengaturan'!$F$2:$F3237),"")</f>
        <v>750000</v>
      </c>
      <c r="Q1644" s="147">
        <f t="shared" si="35"/>
        <v>0</v>
      </c>
      <c r="R1644" s="41" t="s">
        <v>37</v>
      </c>
      <c r="S1644" s="69" t="s">
        <v>1246</v>
      </c>
      <c r="T1644" s="51" t="b">
        <v>1</v>
      </c>
      <c r="U1644" s="94"/>
    </row>
    <row r="1645" ht="30.0" customHeight="1">
      <c r="A1645" s="39"/>
      <c r="B1645" s="40">
        <v>3682.0</v>
      </c>
      <c r="C1645" s="41" t="s">
        <v>50</v>
      </c>
      <c r="D1645" s="86">
        <v>46153.0</v>
      </c>
      <c r="E1645" s="43" t="str">
        <f t="shared" si="1"/>
        <v>2026</v>
      </c>
      <c r="F1645" s="43" t="str">
        <f t="shared" si="2"/>
        <v>05 Mei</v>
      </c>
      <c r="G1645" s="45" t="s">
        <v>155</v>
      </c>
      <c r="H1645" s="45" t="s">
        <v>96</v>
      </c>
      <c r="I1645" s="45" t="s">
        <v>1030</v>
      </c>
      <c r="J1645" s="143" t="s">
        <v>347</v>
      </c>
      <c r="K1645" s="43" t="str">
        <f t="array" ref="K1645">IF(J1645="","", XLOOKUP(J1645,'⚙️ Pengaturan'!$E$2:$E3237,'⚙️ Pengaturan'!$G$2:$G3237))</f>
        <v>KLINIK FT PAKET</v>
      </c>
      <c r="L1645" s="43" t="str">
        <f t="shared" si="3"/>
        <v>LANJUTAN</v>
      </c>
      <c r="M1645" s="144" t="s">
        <v>31</v>
      </c>
      <c r="N1645" s="145">
        <v>1040000.0</v>
      </c>
      <c r="O1645" s="146">
        <v>260000.0</v>
      </c>
      <c r="P1645" s="48">
        <f t="array" ref="P1645">IFNA(XLOOKUP(J1645,'⚙️ Pengaturan'!$E$2:$E3237,'⚙️ Pengaturan'!$F$2:$F3237),"")</f>
        <v>1300000</v>
      </c>
      <c r="Q1645" s="147">
        <f t="shared" si="35"/>
        <v>0</v>
      </c>
      <c r="R1645" s="41" t="s">
        <v>93</v>
      </c>
      <c r="S1645" s="69" t="s">
        <v>1030</v>
      </c>
      <c r="T1645" s="51" t="b">
        <v>1</v>
      </c>
      <c r="U1645" s="94" t="s">
        <v>1063</v>
      </c>
    </row>
    <row r="1646" ht="30.0" customHeight="1">
      <c r="A1646" s="39"/>
      <c r="B1646" s="40">
        <v>3683.0</v>
      </c>
      <c r="C1646" s="41" t="s">
        <v>50</v>
      </c>
      <c r="D1646" s="86">
        <v>46153.0</v>
      </c>
      <c r="E1646" s="43" t="str">
        <f t="shared" si="1"/>
        <v>2026</v>
      </c>
      <c r="F1646" s="43" t="str">
        <f t="shared" si="2"/>
        <v>05 Mei</v>
      </c>
      <c r="G1646" s="45" t="s">
        <v>155</v>
      </c>
      <c r="H1646" s="45" t="s">
        <v>149</v>
      </c>
      <c r="I1646" s="45" t="s">
        <v>1308</v>
      </c>
      <c r="J1646" s="143" t="s">
        <v>28</v>
      </c>
      <c r="K1646" s="43" t="str">
        <f t="array" ref="K1646">IF(J1646="","", XLOOKUP(J1646,'⚙️ Pengaturan'!$E$2:$E3237,'⚙️ Pengaturan'!$G$2:$G3237))</f>
        <v>KLINIK FT TA</v>
      </c>
      <c r="L1646" s="43" t="str">
        <f t="shared" si="3"/>
        <v>BARU</v>
      </c>
      <c r="M1646" s="144" t="s">
        <v>31</v>
      </c>
      <c r="N1646" s="145">
        <v>250000.0</v>
      </c>
      <c r="O1646" s="146">
        <v>0.0</v>
      </c>
      <c r="P1646" s="48">
        <f t="array" ref="P1646">IFNA(XLOOKUP(J1646,'⚙️ Pengaturan'!$E$2:$E3237,'⚙️ Pengaturan'!$F$2:$F3237),"")</f>
        <v>250000</v>
      </c>
      <c r="Q1646" s="147">
        <f t="shared" si="35"/>
        <v>0</v>
      </c>
      <c r="R1646" s="41" t="s">
        <v>32</v>
      </c>
      <c r="S1646" s="69" t="s">
        <v>33</v>
      </c>
      <c r="T1646" s="51" t="b">
        <v>1</v>
      </c>
      <c r="U1646" s="94"/>
    </row>
    <row r="1647" ht="30.0" customHeight="1">
      <c r="A1647" s="39"/>
      <c r="B1647" s="40">
        <v>3684.0</v>
      </c>
      <c r="C1647" s="41" t="s">
        <v>50</v>
      </c>
      <c r="D1647" s="86">
        <v>46153.0</v>
      </c>
      <c r="E1647" s="43" t="str">
        <f t="shared" si="1"/>
        <v>2026</v>
      </c>
      <c r="F1647" s="43" t="str">
        <f t="shared" si="2"/>
        <v>05 Mei</v>
      </c>
      <c r="G1647" s="45" t="s">
        <v>155</v>
      </c>
      <c r="H1647" s="45" t="s">
        <v>76</v>
      </c>
      <c r="I1647" s="45" t="s">
        <v>1299</v>
      </c>
      <c r="J1647" s="143" t="s">
        <v>119</v>
      </c>
      <c r="K1647" s="43" t="str">
        <f t="array" ref="K1647">IF(J1647="","", XLOOKUP(J1647,'⚙️ Pengaturan'!$E$2:$E3237,'⚙️ Pengaturan'!$G$2:$G3237))</f>
        <v>KLINIK FT PAKET</v>
      </c>
      <c r="L1647" s="43" t="str">
        <f t="shared" si="3"/>
        <v>BARU</v>
      </c>
      <c r="M1647" s="144" t="s">
        <v>31</v>
      </c>
      <c r="N1647" s="145">
        <v>750000.0</v>
      </c>
      <c r="O1647" s="146">
        <v>0.0</v>
      </c>
      <c r="P1647" s="48">
        <f t="array" ref="P1647">IFNA(XLOOKUP(J1647,'⚙️ Pengaturan'!$E$2:$E3237,'⚙️ Pengaturan'!$F$2:$F3237),"")</f>
        <v>750000</v>
      </c>
      <c r="Q1647" s="147">
        <f t="shared" si="35"/>
        <v>0</v>
      </c>
      <c r="R1647" s="41" t="s">
        <v>37</v>
      </c>
      <c r="S1647" s="69" t="s">
        <v>1299</v>
      </c>
      <c r="T1647" s="51" t="b">
        <v>1</v>
      </c>
      <c r="U1647" s="94"/>
    </row>
    <row r="1648" ht="30.0" customHeight="1">
      <c r="A1648" s="39"/>
      <c r="B1648" s="40">
        <v>3685.0</v>
      </c>
      <c r="C1648" s="41" t="s">
        <v>39</v>
      </c>
      <c r="D1648" s="86">
        <v>46154.0</v>
      </c>
      <c r="E1648" s="43" t="str">
        <f t="shared" si="1"/>
        <v>2026</v>
      </c>
      <c r="F1648" s="43" t="str">
        <f t="shared" si="2"/>
        <v>05 Mei</v>
      </c>
      <c r="G1648" s="45" t="s">
        <v>195</v>
      </c>
      <c r="H1648" s="45" t="s">
        <v>149</v>
      </c>
      <c r="I1648" s="45" t="s">
        <v>1284</v>
      </c>
      <c r="J1648" s="143" t="s">
        <v>119</v>
      </c>
      <c r="K1648" s="43" t="str">
        <f t="array" ref="K1648">IF(J1648="","", XLOOKUP(J1648,'⚙️ Pengaturan'!$E$2:$E3237,'⚙️ Pengaturan'!$G$2:$G3237))</f>
        <v>KLINIK FT PAKET</v>
      </c>
      <c r="L1648" s="43" t="str">
        <f t="shared" si="3"/>
        <v>BARU</v>
      </c>
      <c r="M1648" s="144" t="s">
        <v>31</v>
      </c>
      <c r="N1648" s="145">
        <v>750000.0</v>
      </c>
      <c r="O1648" s="146">
        <v>0.0</v>
      </c>
      <c r="P1648" s="48">
        <f t="array" ref="P1648">IFNA(XLOOKUP(J1648,'⚙️ Pengaturan'!$E$2:$E3237,'⚙️ Pengaturan'!$F$2:$F3237),"")</f>
        <v>750000</v>
      </c>
      <c r="Q1648" s="147">
        <f t="shared" si="35"/>
        <v>0</v>
      </c>
      <c r="R1648" s="41" t="s">
        <v>37</v>
      </c>
      <c r="S1648" s="69" t="s">
        <v>1284</v>
      </c>
      <c r="T1648" s="51" t="b">
        <v>1</v>
      </c>
      <c r="U1648" s="94"/>
    </row>
    <row r="1649" ht="30.0" customHeight="1">
      <c r="A1649" s="39"/>
      <c r="B1649" s="40">
        <v>3686.0</v>
      </c>
      <c r="C1649" s="41" t="s">
        <v>39</v>
      </c>
      <c r="D1649" s="86">
        <v>46154.0</v>
      </c>
      <c r="E1649" s="43" t="str">
        <f t="shared" si="1"/>
        <v>2026</v>
      </c>
      <c r="F1649" s="43" t="str">
        <f t="shared" si="2"/>
        <v>05 Mei</v>
      </c>
      <c r="G1649" s="45" t="s">
        <v>206</v>
      </c>
      <c r="H1649" s="45" t="s">
        <v>149</v>
      </c>
      <c r="I1649" s="45" t="s">
        <v>1015</v>
      </c>
      <c r="J1649" s="143" t="s">
        <v>120</v>
      </c>
      <c r="K1649" s="43" t="str">
        <f t="array" ref="K1649">IF(J1649="","", XLOOKUP(J1649,'⚙️ Pengaturan'!$E$2:$E3237,'⚙️ Pengaturan'!$G$2:$G3237))</f>
        <v>KLINIK FT SESI</v>
      </c>
      <c r="L1649" s="43" t="str">
        <f t="shared" si="3"/>
        <v>LANJUTAN</v>
      </c>
      <c r="M1649" s="144" t="s">
        <v>31</v>
      </c>
      <c r="N1649" s="145">
        <v>180000.0</v>
      </c>
      <c r="O1649" s="146">
        <v>0.0</v>
      </c>
      <c r="P1649" s="48">
        <f t="array" ref="P1649">IFNA(XLOOKUP(J1649,'⚙️ Pengaturan'!$E$2:$E3237,'⚙️ Pengaturan'!$F$2:$F3237),"")</f>
        <v>180000</v>
      </c>
      <c r="Q1649" s="147">
        <f t="shared" si="35"/>
        <v>0</v>
      </c>
      <c r="R1649" s="41" t="s">
        <v>37</v>
      </c>
      <c r="S1649" s="69" t="s">
        <v>1015</v>
      </c>
      <c r="T1649" s="51" t="b">
        <v>1</v>
      </c>
      <c r="U1649" s="94"/>
    </row>
    <row r="1650" ht="30.0" customHeight="1">
      <c r="A1650" s="39"/>
      <c r="B1650" s="40">
        <v>3687.0</v>
      </c>
      <c r="C1650" s="41" t="s">
        <v>39</v>
      </c>
      <c r="D1650" s="86">
        <v>46154.0</v>
      </c>
      <c r="E1650" s="43" t="str">
        <f t="shared" si="1"/>
        <v>2026</v>
      </c>
      <c r="F1650" s="43" t="str">
        <f t="shared" si="2"/>
        <v>05 Mei</v>
      </c>
      <c r="G1650" s="45" t="s">
        <v>206</v>
      </c>
      <c r="H1650" s="45" t="s">
        <v>96</v>
      </c>
      <c r="I1650" s="45" t="s">
        <v>1184</v>
      </c>
      <c r="J1650" s="143" t="s">
        <v>120</v>
      </c>
      <c r="K1650" s="43" t="str">
        <f t="array" ref="K1650">IF(J1650="","", XLOOKUP(J1650,'⚙️ Pengaturan'!$E$2:$E3237,'⚙️ Pengaturan'!$G$2:$G3237))</f>
        <v>KLINIK FT SESI</v>
      </c>
      <c r="L1650" s="43" t="str">
        <f t="shared" si="3"/>
        <v>LANJUTAN</v>
      </c>
      <c r="M1650" s="144" t="s">
        <v>31</v>
      </c>
      <c r="N1650" s="145">
        <v>180000.0</v>
      </c>
      <c r="O1650" s="146">
        <v>0.0</v>
      </c>
      <c r="P1650" s="48">
        <f t="array" ref="P1650">IFNA(XLOOKUP(J1650,'⚙️ Pengaturan'!$E$2:$E3237,'⚙️ Pengaturan'!$F$2:$F3237),"")</f>
        <v>180000</v>
      </c>
      <c r="Q1650" s="147">
        <f t="shared" si="35"/>
        <v>0</v>
      </c>
      <c r="R1650" s="41" t="s">
        <v>32</v>
      </c>
      <c r="S1650" s="69" t="s">
        <v>33</v>
      </c>
      <c r="T1650" s="51" t="b">
        <v>1</v>
      </c>
      <c r="U1650" s="94"/>
    </row>
    <row r="1651" ht="30.0" customHeight="1">
      <c r="A1651" s="39"/>
      <c r="B1651" s="40">
        <v>3688.0</v>
      </c>
      <c r="C1651" s="41" t="s">
        <v>39</v>
      </c>
      <c r="D1651" s="86">
        <v>46154.0</v>
      </c>
      <c r="E1651" s="43" t="str">
        <f t="shared" si="1"/>
        <v>2026</v>
      </c>
      <c r="F1651" s="43" t="str">
        <f t="shared" si="2"/>
        <v>05 Mei</v>
      </c>
      <c r="G1651" s="45" t="s">
        <v>161</v>
      </c>
      <c r="H1651" s="45" t="s">
        <v>41</v>
      </c>
      <c r="I1651" s="45" t="s">
        <v>1293</v>
      </c>
      <c r="J1651" s="143" t="s">
        <v>120</v>
      </c>
      <c r="K1651" s="43" t="str">
        <f t="array" ref="K1651">IF(J1651="","", XLOOKUP(J1651,'⚙️ Pengaturan'!$E$2:$E3237,'⚙️ Pengaturan'!$G$2:$G3237))</f>
        <v>KLINIK FT SESI</v>
      </c>
      <c r="L1651" s="43" t="str">
        <f t="shared" si="3"/>
        <v>BARU</v>
      </c>
      <c r="M1651" s="144" t="s">
        <v>31</v>
      </c>
      <c r="N1651" s="145">
        <v>180000.0</v>
      </c>
      <c r="O1651" s="146">
        <v>0.0</v>
      </c>
      <c r="P1651" s="48">
        <f t="array" ref="P1651">IFNA(XLOOKUP(J1651,'⚙️ Pengaturan'!$E$2:$E3237,'⚙️ Pengaturan'!$F$2:$F3237),"")</f>
        <v>180000</v>
      </c>
      <c r="Q1651" s="147">
        <f t="shared" si="35"/>
        <v>0</v>
      </c>
      <c r="R1651" s="41" t="s">
        <v>37</v>
      </c>
      <c r="S1651" s="69" t="s">
        <v>1293</v>
      </c>
      <c r="T1651" s="51" t="b">
        <v>1</v>
      </c>
      <c r="U1651" s="94"/>
    </row>
    <row r="1652" ht="30.0" customHeight="1">
      <c r="A1652" s="39"/>
      <c r="B1652" s="40">
        <v>3689.0</v>
      </c>
      <c r="C1652" s="41" t="s">
        <v>39</v>
      </c>
      <c r="D1652" s="86">
        <v>46154.0</v>
      </c>
      <c r="E1652" s="43" t="str">
        <f t="shared" si="1"/>
        <v>2026</v>
      </c>
      <c r="F1652" s="43" t="str">
        <f t="shared" si="2"/>
        <v>05 Mei</v>
      </c>
      <c r="G1652" s="45" t="s">
        <v>35</v>
      </c>
      <c r="H1652" s="45" t="s">
        <v>41</v>
      </c>
      <c r="I1652" s="45" t="s">
        <v>1309</v>
      </c>
      <c r="J1652" s="143" t="s">
        <v>120</v>
      </c>
      <c r="K1652" s="43" t="str">
        <f t="array" ref="K1652">IF(J1652="","", XLOOKUP(J1652,'⚙️ Pengaturan'!$E$2:$E3237,'⚙️ Pengaturan'!$G$2:$G3237))</f>
        <v>KLINIK FT SESI</v>
      </c>
      <c r="L1652" s="43" t="str">
        <f t="shared" si="3"/>
        <v>BARU</v>
      </c>
      <c r="M1652" s="144" t="s">
        <v>31</v>
      </c>
      <c r="N1652" s="145">
        <v>0.0</v>
      </c>
      <c r="O1652" s="146">
        <v>180000.0</v>
      </c>
      <c r="P1652" s="48">
        <f t="array" ref="P1652">IFNA(XLOOKUP(J1652,'⚙️ Pengaturan'!$E$2:$E3237,'⚙️ Pengaturan'!$F$2:$F3237),"")</f>
        <v>180000</v>
      </c>
      <c r="Q1652" s="147">
        <f t="shared" si="35"/>
        <v>0</v>
      </c>
      <c r="R1652" s="41" t="s">
        <v>32</v>
      </c>
      <c r="S1652" s="69" t="s">
        <v>33</v>
      </c>
      <c r="T1652" s="51" t="b">
        <v>1</v>
      </c>
      <c r="U1652" s="94"/>
    </row>
    <row r="1653" ht="30.0" customHeight="1">
      <c r="A1653" s="39"/>
      <c r="B1653" s="40">
        <v>3690.0</v>
      </c>
      <c r="C1653" s="41" t="s">
        <v>50</v>
      </c>
      <c r="D1653" s="86">
        <v>46154.0</v>
      </c>
      <c r="E1653" s="43" t="str">
        <f t="shared" si="1"/>
        <v>2026</v>
      </c>
      <c r="F1653" s="43" t="str">
        <f t="shared" si="2"/>
        <v>05 Mei</v>
      </c>
      <c r="G1653" s="45" t="s">
        <v>40</v>
      </c>
      <c r="H1653" s="45" t="s">
        <v>166</v>
      </c>
      <c r="I1653" s="45" t="s">
        <v>1304</v>
      </c>
      <c r="J1653" s="143" t="s">
        <v>120</v>
      </c>
      <c r="K1653" s="43" t="str">
        <f t="array" ref="K1653">IF(J1653="","", XLOOKUP(J1653,'⚙️ Pengaturan'!$E$2:$E3237,'⚙️ Pengaturan'!$G$2:$G3237))</f>
        <v>KLINIK FT SESI</v>
      </c>
      <c r="L1653" s="43" t="str">
        <f t="shared" si="3"/>
        <v>BARU</v>
      </c>
      <c r="M1653" s="144" t="s">
        <v>31</v>
      </c>
      <c r="N1653" s="145">
        <v>180000.0</v>
      </c>
      <c r="O1653" s="146">
        <v>0.0</v>
      </c>
      <c r="P1653" s="48">
        <f t="array" ref="P1653">IFNA(XLOOKUP(J1653,'⚙️ Pengaturan'!$E$2:$E3237,'⚙️ Pengaturan'!$F$2:$F3237),"")</f>
        <v>180000</v>
      </c>
      <c r="Q1653" s="147">
        <f t="shared" si="35"/>
        <v>0</v>
      </c>
      <c r="R1653" s="41" t="s">
        <v>32</v>
      </c>
      <c r="S1653" s="69" t="s">
        <v>33</v>
      </c>
      <c r="T1653" s="51" t="b">
        <v>1</v>
      </c>
      <c r="U1653" s="94"/>
    </row>
    <row r="1654" ht="30.0" customHeight="1">
      <c r="A1654" s="39"/>
      <c r="B1654" s="40">
        <v>3691.0</v>
      </c>
      <c r="C1654" s="41" t="s">
        <v>50</v>
      </c>
      <c r="D1654" s="86">
        <v>46155.0</v>
      </c>
      <c r="E1654" s="43" t="str">
        <f t="shared" si="1"/>
        <v>2026</v>
      </c>
      <c r="F1654" s="43" t="str">
        <f t="shared" si="2"/>
        <v>05 Mei</v>
      </c>
      <c r="G1654" s="45" t="s">
        <v>195</v>
      </c>
      <c r="H1654" s="45" t="s">
        <v>149</v>
      </c>
      <c r="I1654" s="45" t="s">
        <v>454</v>
      </c>
      <c r="J1654" s="143" t="s">
        <v>120</v>
      </c>
      <c r="K1654" s="43" t="str">
        <f t="array" ref="K1654">IF(J1654="","", XLOOKUP(J1654,'⚙️ Pengaturan'!$E$2:$E3237,'⚙️ Pengaturan'!$G$2:$G3237))</f>
        <v>KLINIK FT SESI</v>
      </c>
      <c r="L1654" s="43" t="str">
        <f t="shared" si="3"/>
        <v>BARU</v>
      </c>
      <c r="M1654" s="144" t="s">
        <v>31</v>
      </c>
      <c r="N1654" s="145">
        <v>180000.0</v>
      </c>
      <c r="O1654" s="146">
        <v>0.0</v>
      </c>
      <c r="P1654" s="48">
        <f t="array" ref="P1654">IFNA(XLOOKUP(J1654,'⚙️ Pengaturan'!$E$2:$E3237,'⚙️ Pengaturan'!$F$2:$F3237),"")</f>
        <v>180000</v>
      </c>
      <c r="Q1654" s="147">
        <f t="shared" si="35"/>
        <v>0</v>
      </c>
      <c r="R1654" s="41" t="s">
        <v>32</v>
      </c>
      <c r="S1654" s="69" t="s">
        <v>33</v>
      </c>
      <c r="T1654" s="51" t="b">
        <v>1</v>
      </c>
      <c r="U1654" s="94"/>
    </row>
    <row r="1655" ht="30.0" customHeight="1">
      <c r="A1655" s="39"/>
      <c r="B1655" s="40">
        <v>3692.0</v>
      </c>
      <c r="C1655" s="41" t="s">
        <v>50</v>
      </c>
      <c r="D1655" s="86">
        <v>46155.0</v>
      </c>
      <c r="E1655" s="43" t="str">
        <f t="shared" si="1"/>
        <v>2026</v>
      </c>
      <c r="F1655" s="43" t="str">
        <f t="shared" si="2"/>
        <v>05 Mei</v>
      </c>
      <c r="G1655" s="45" t="s">
        <v>195</v>
      </c>
      <c r="H1655" s="45" t="s">
        <v>47</v>
      </c>
      <c r="I1655" s="45" t="s">
        <v>1281</v>
      </c>
      <c r="J1655" s="143" t="s">
        <v>120</v>
      </c>
      <c r="K1655" s="43" t="str">
        <f t="array" ref="K1655">IF(J1655="","", XLOOKUP(J1655,'⚙️ Pengaturan'!$E$2:$E3237,'⚙️ Pengaturan'!$G$2:$G3237))</f>
        <v>KLINIK FT SESI</v>
      </c>
      <c r="L1655" s="43" t="str">
        <f t="shared" si="3"/>
        <v>LANJUTAN</v>
      </c>
      <c r="M1655" s="144" t="s">
        <v>31</v>
      </c>
      <c r="N1655" s="145">
        <v>180000.0</v>
      </c>
      <c r="O1655" s="146">
        <v>0.0</v>
      </c>
      <c r="P1655" s="48">
        <f t="array" ref="P1655">IFNA(XLOOKUP(J1655,'⚙️ Pengaturan'!$E$2:$E3237,'⚙️ Pengaturan'!$F$2:$F3237),"")</f>
        <v>180000</v>
      </c>
      <c r="Q1655" s="147">
        <f t="shared" si="35"/>
        <v>0</v>
      </c>
      <c r="R1655" s="41" t="s">
        <v>32</v>
      </c>
      <c r="S1655" s="69" t="s">
        <v>33</v>
      </c>
      <c r="T1655" s="51" t="b">
        <v>1</v>
      </c>
      <c r="U1655" s="94"/>
    </row>
    <row r="1656" ht="30.0" customHeight="1">
      <c r="A1656" s="39"/>
      <c r="B1656" s="40">
        <v>3693.0</v>
      </c>
      <c r="C1656" s="41" t="s">
        <v>50</v>
      </c>
      <c r="D1656" s="86">
        <v>46155.0</v>
      </c>
      <c r="E1656" s="43" t="str">
        <f t="shared" si="1"/>
        <v>2026</v>
      </c>
      <c r="F1656" s="43" t="str">
        <f t="shared" si="2"/>
        <v>05 Mei</v>
      </c>
      <c r="G1656" s="45" t="s">
        <v>195</v>
      </c>
      <c r="H1656" s="45" t="s">
        <v>76</v>
      </c>
      <c r="I1656" s="45" t="s">
        <v>1310</v>
      </c>
      <c r="J1656" s="143" t="s">
        <v>28</v>
      </c>
      <c r="K1656" s="43" t="str">
        <f t="array" ref="K1656">IF(J1656="","", XLOOKUP(J1656,'⚙️ Pengaturan'!$E$2:$E3237,'⚙️ Pengaturan'!$G$2:$G3237))</f>
        <v>KLINIK FT TA</v>
      </c>
      <c r="L1656" s="43" t="str">
        <f t="shared" si="3"/>
        <v>BARU</v>
      </c>
      <c r="M1656" s="144" t="s">
        <v>31</v>
      </c>
      <c r="N1656" s="145">
        <v>250000.0</v>
      </c>
      <c r="O1656" s="146">
        <v>0.0</v>
      </c>
      <c r="P1656" s="48">
        <f t="array" ref="P1656">IFNA(XLOOKUP(J1656,'⚙️ Pengaturan'!$E$2:$E3237,'⚙️ Pengaturan'!$F$2:$F3237),"")</f>
        <v>250000</v>
      </c>
      <c r="Q1656" s="147">
        <f t="shared" si="35"/>
        <v>0</v>
      </c>
      <c r="R1656" s="41" t="s">
        <v>32</v>
      </c>
      <c r="S1656" s="69" t="s">
        <v>33</v>
      </c>
      <c r="T1656" s="51" t="b">
        <v>1</v>
      </c>
      <c r="U1656" s="94"/>
    </row>
    <row r="1657" ht="30.0" customHeight="1">
      <c r="A1657" s="39"/>
      <c r="B1657" s="40">
        <v>3694.0</v>
      </c>
      <c r="C1657" s="41" t="s">
        <v>50</v>
      </c>
      <c r="D1657" s="86">
        <v>46155.0</v>
      </c>
      <c r="E1657" s="43" t="str">
        <f t="shared" si="1"/>
        <v>2026</v>
      </c>
      <c r="F1657" s="43" t="str">
        <f t="shared" si="2"/>
        <v>05 Mei</v>
      </c>
      <c r="G1657" s="45" t="s">
        <v>195</v>
      </c>
      <c r="H1657" s="45" t="s">
        <v>96</v>
      </c>
      <c r="I1657" s="45" t="s">
        <v>1297</v>
      </c>
      <c r="J1657" s="143" t="s">
        <v>347</v>
      </c>
      <c r="K1657" s="43" t="str">
        <f t="array" ref="K1657">IF(J1657="","", XLOOKUP(J1657,'⚙️ Pengaturan'!$E$2:$E3237,'⚙️ Pengaturan'!$G$2:$G3237))</f>
        <v>KLINIK FT PAKET</v>
      </c>
      <c r="L1657" s="43" t="str">
        <f t="shared" si="3"/>
        <v>BARU</v>
      </c>
      <c r="M1657" s="144" t="s">
        <v>31</v>
      </c>
      <c r="N1657" s="145">
        <v>1300000.0</v>
      </c>
      <c r="O1657" s="146">
        <v>0.0</v>
      </c>
      <c r="P1657" s="48">
        <f t="array" ref="P1657">IFNA(XLOOKUP(J1657,'⚙️ Pengaturan'!$E$2:$E3237,'⚙️ Pengaturan'!$F$2:$F3237),"")</f>
        <v>1300000</v>
      </c>
      <c r="Q1657" s="147">
        <f t="shared" si="35"/>
        <v>0</v>
      </c>
      <c r="R1657" s="41" t="s">
        <v>93</v>
      </c>
      <c r="S1657" s="69" t="s">
        <v>1297</v>
      </c>
      <c r="T1657" s="51" t="b">
        <v>1</v>
      </c>
      <c r="U1657" s="94"/>
    </row>
    <row r="1658" ht="30.0" customHeight="1">
      <c r="A1658" s="39"/>
      <c r="B1658" s="40">
        <v>3695.0</v>
      </c>
      <c r="C1658" s="41" t="s">
        <v>50</v>
      </c>
      <c r="D1658" s="86">
        <v>46155.0</v>
      </c>
      <c r="E1658" s="43" t="str">
        <f t="shared" si="1"/>
        <v>2026</v>
      </c>
      <c r="F1658" s="43" t="str">
        <f t="shared" si="2"/>
        <v>05 Mei</v>
      </c>
      <c r="G1658" s="45" t="s">
        <v>69</v>
      </c>
      <c r="H1658" s="45" t="s">
        <v>166</v>
      </c>
      <c r="I1658" s="45" t="s">
        <v>1303</v>
      </c>
      <c r="J1658" s="143" t="s">
        <v>323</v>
      </c>
      <c r="K1658" s="43" t="str">
        <f t="array" ref="K1658">IF(J1658="","", XLOOKUP(J1658,'⚙️ Pengaturan'!$E$2:$E3237,'⚙️ Pengaturan'!$G$2:$G3237))</f>
        <v>VISIT FT SESI</v>
      </c>
      <c r="L1658" s="43" t="str">
        <f t="shared" si="3"/>
        <v>BARU</v>
      </c>
      <c r="M1658" s="144" t="s">
        <v>31</v>
      </c>
      <c r="N1658" s="145">
        <v>200000.0</v>
      </c>
      <c r="O1658" s="146">
        <v>0.0</v>
      </c>
      <c r="P1658" s="48">
        <f t="array" ref="P1658">IFNA(XLOOKUP(J1658,'⚙️ Pengaturan'!$E$2:$E3237,'⚙️ Pengaturan'!$F$2:$F3237),"")</f>
        <v>200000</v>
      </c>
      <c r="Q1658" s="147">
        <f t="shared" si="35"/>
        <v>0</v>
      </c>
      <c r="R1658" s="41" t="s">
        <v>37</v>
      </c>
      <c r="S1658" s="69" t="s">
        <v>1303</v>
      </c>
      <c r="T1658" s="51" t="b">
        <v>1</v>
      </c>
      <c r="U1658" s="94"/>
    </row>
    <row r="1659" ht="30.0" customHeight="1">
      <c r="A1659" s="39"/>
      <c r="B1659" s="40">
        <v>3696.0</v>
      </c>
      <c r="C1659" s="41" t="s">
        <v>50</v>
      </c>
      <c r="D1659" s="86">
        <v>46155.0</v>
      </c>
      <c r="E1659" s="43" t="str">
        <f t="shared" si="1"/>
        <v>2026</v>
      </c>
      <c r="F1659" s="43" t="str">
        <f t="shared" si="2"/>
        <v>05 Mei</v>
      </c>
      <c r="G1659" s="45" t="s">
        <v>69</v>
      </c>
      <c r="H1659" s="45" t="s">
        <v>41</v>
      </c>
      <c r="I1659" s="45" t="s">
        <v>1268</v>
      </c>
      <c r="J1659" s="143" t="s">
        <v>370</v>
      </c>
      <c r="K1659" s="43" t="str">
        <f t="array" ref="K1659">IF(J1659="","", XLOOKUP(J1659,'⚙️ Pengaturan'!$E$2:$E3237,'⚙️ Pengaturan'!$G$2:$G3237))</f>
        <v>KELAS LANSIA PAKET</v>
      </c>
      <c r="L1659" s="43" t="str">
        <f t="shared" si="3"/>
        <v>BARU</v>
      </c>
      <c r="M1659" s="144" t="s">
        <v>31</v>
      </c>
      <c r="N1659" s="145">
        <v>400000.0</v>
      </c>
      <c r="O1659" s="146">
        <v>0.0</v>
      </c>
      <c r="P1659" s="119">
        <v>0.0</v>
      </c>
      <c r="Q1659" s="147">
        <f t="shared" si="35"/>
        <v>400000</v>
      </c>
      <c r="R1659" s="41" t="s">
        <v>118</v>
      </c>
      <c r="S1659" s="69" t="s">
        <v>1269</v>
      </c>
      <c r="T1659" s="51" t="b">
        <v>1</v>
      </c>
      <c r="U1659" s="94"/>
    </row>
    <row r="1660" ht="30.0" customHeight="1">
      <c r="A1660" s="39"/>
      <c r="B1660" s="40">
        <v>3697.0</v>
      </c>
      <c r="C1660" s="41" t="s">
        <v>50</v>
      </c>
      <c r="D1660" s="86">
        <v>46155.0</v>
      </c>
      <c r="E1660" s="43" t="str">
        <f t="shared" si="1"/>
        <v>2026</v>
      </c>
      <c r="F1660" s="43" t="str">
        <f t="shared" si="2"/>
        <v>05 Mei</v>
      </c>
      <c r="G1660" s="45" t="s">
        <v>206</v>
      </c>
      <c r="H1660" s="45" t="s">
        <v>47</v>
      </c>
      <c r="I1660" s="45" t="s">
        <v>977</v>
      </c>
      <c r="J1660" s="143" t="s">
        <v>120</v>
      </c>
      <c r="K1660" s="43" t="str">
        <f t="array" ref="K1660">IF(J1660="","", XLOOKUP(J1660,'⚙️ Pengaturan'!$E$2:$E3237,'⚙️ Pengaturan'!$G$2:$G3237))</f>
        <v>KLINIK FT SESI</v>
      </c>
      <c r="L1660" s="43" t="str">
        <f t="shared" si="3"/>
        <v>BARU</v>
      </c>
      <c r="M1660" s="144" t="s">
        <v>31</v>
      </c>
      <c r="N1660" s="145">
        <v>144000.0</v>
      </c>
      <c r="O1660" s="146">
        <v>36000.0</v>
      </c>
      <c r="P1660" s="48">
        <f t="array" ref="P1660">IFNA(XLOOKUP(J1660,'⚙️ Pengaturan'!$E$2:$E3237,'⚙️ Pengaturan'!$F$2:$F3237),"")</f>
        <v>180000</v>
      </c>
      <c r="Q1660" s="147">
        <f t="shared" si="35"/>
        <v>0</v>
      </c>
      <c r="R1660" s="41" t="s">
        <v>32</v>
      </c>
      <c r="S1660" s="69" t="s">
        <v>33</v>
      </c>
      <c r="T1660" s="51" t="b">
        <v>1</v>
      </c>
      <c r="U1660" s="94" t="s">
        <v>1063</v>
      </c>
    </row>
    <row r="1661" ht="30.0" customHeight="1">
      <c r="A1661" s="39"/>
      <c r="B1661" s="40">
        <v>3698.0</v>
      </c>
      <c r="C1661" s="41" t="s">
        <v>50</v>
      </c>
      <c r="D1661" s="86">
        <v>46155.0</v>
      </c>
      <c r="E1661" s="43" t="str">
        <f t="shared" si="1"/>
        <v>2026</v>
      </c>
      <c r="F1661" s="43" t="str">
        <f t="shared" si="2"/>
        <v>05 Mei</v>
      </c>
      <c r="G1661" s="45" t="s">
        <v>161</v>
      </c>
      <c r="H1661" s="45" t="s">
        <v>41</v>
      </c>
      <c r="I1661" s="45" t="s">
        <v>1311</v>
      </c>
      <c r="J1661" s="143" t="s">
        <v>28</v>
      </c>
      <c r="K1661" s="43" t="str">
        <f t="array" ref="K1661">IF(J1661="","", XLOOKUP(J1661,'⚙️ Pengaturan'!$E$2:$E3237,'⚙️ Pengaturan'!$G$2:$G3237))</f>
        <v>KLINIK FT TA</v>
      </c>
      <c r="L1661" s="43" t="str">
        <f t="shared" si="3"/>
        <v>BARU</v>
      </c>
      <c r="M1661" s="144" t="s">
        <v>31</v>
      </c>
      <c r="N1661" s="145">
        <v>200000.0</v>
      </c>
      <c r="O1661" s="146">
        <v>50000.0</v>
      </c>
      <c r="P1661" s="48">
        <f t="array" ref="P1661">IFNA(XLOOKUP(J1661,'⚙️ Pengaturan'!$E$2:$E3237,'⚙️ Pengaturan'!$F$2:$F3237),"")</f>
        <v>250000</v>
      </c>
      <c r="Q1661" s="147">
        <f t="shared" si="35"/>
        <v>0</v>
      </c>
      <c r="R1661" s="41" t="s">
        <v>32</v>
      </c>
      <c r="S1661" s="69" t="s">
        <v>33</v>
      </c>
      <c r="T1661" s="51" t="b">
        <v>1</v>
      </c>
      <c r="U1661" s="94" t="s">
        <v>1063</v>
      </c>
    </row>
    <row r="1662" ht="30.0" customHeight="1">
      <c r="A1662" s="39"/>
      <c r="B1662" s="40">
        <v>3699.0</v>
      </c>
      <c r="C1662" s="41" t="s">
        <v>50</v>
      </c>
      <c r="D1662" s="86">
        <v>46155.0</v>
      </c>
      <c r="E1662" s="43" t="str">
        <f t="shared" si="1"/>
        <v>2026</v>
      </c>
      <c r="F1662" s="43" t="str">
        <f t="shared" si="2"/>
        <v>05 Mei</v>
      </c>
      <c r="G1662" s="45" t="s">
        <v>69</v>
      </c>
      <c r="H1662" s="45" t="s">
        <v>41</v>
      </c>
      <c r="I1662" s="45" t="s">
        <v>1312</v>
      </c>
      <c r="J1662" s="143" t="s">
        <v>121</v>
      </c>
      <c r="K1662" s="43" t="str">
        <f t="array" ref="K1662">IF(J1662="","", XLOOKUP(J1662,'⚙️ Pengaturan'!$E$2:$E3237,'⚙️ Pengaturan'!$G$2:$G3237))</f>
        <v>VISIT FT TA</v>
      </c>
      <c r="L1662" s="43" t="str">
        <f t="shared" si="3"/>
        <v>BARU</v>
      </c>
      <c r="M1662" s="144" t="s">
        <v>31</v>
      </c>
      <c r="N1662" s="145">
        <v>300000.0</v>
      </c>
      <c r="O1662" s="146">
        <v>0.0</v>
      </c>
      <c r="P1662" s="48">
        <f t="array" ref="P1662">IFNA(XLOOKUP(J1662,'⚙️ Pengaturan'!$E$2:$E3237,'⚙️ Pengaturan'!$F$2:$F3237),"")</f>
        <v>300000</v>
      </c>
      <c r="Q1662" s="147">
        <f t="shared" si="35"/>
        <v>0</v>
      </c>
      <c r="R1662" s="41" t="s">
        <v>32</v>
      </c>
      <c r="S1662" s="69" t="s">
        <v>33</v>
      </c>
      <c r="T1662" s="51" t="b">
        <v>1</v>
      </c>
      <c r="U1662" s="94"/>
    </row>
    <row r="1663" ht="30.0" customHeight="1">
      <c r="A1663" s="39"/>
      <c r="B1663" s="40">
        <v>3700.0</v>
      </c>
      <c r="C1663" s="41" t="s">
        <v>50</v>
      </c>
      <c r="D1663" s="86">
        <v>46155.0</v>
      </c>
      <c r="E1663" s="43" t="str">
        <f t="shared" si="1"/>
        <v>2026</v>
      </c>
      <c r="F1663" s="43" t="str">
        <f t="shared" si="2"/>
        <v>05 Mei</v>
      </c>
      <c r="G1663" s="45" t="s">
        <v>35</v>
      </c>
      <c r="H1663" s="45" t="s">
        <v>47</v>
      </c>
      <c r="I1663" s="45" t="s">
        <v>1306</v>
      </c>
      <c r="J1663" s="143" t="s">
        <v>120</v>
      </c>
      <c r="K1663" s="43" t="str">
        <f t="array" ref="K1663">IF(J1663="","", XLOOKUP(J1663,'⚙️ Pengaturan'!$E$2:$E3237,'⚙️ Pengaturan'!$G$2:$G3237))</f>
        <v>KLINIK FT SESI</v>
      </c>
      <c r="L1663" s="43" t="str">
        <f t="shared" si="3"/>
        <v>BARU</v>
      </c>
      <c r="M1663" s="144" t="s">
        <v>31</v>
      </c>
      <c r="N1663" s="145">
        <v>180000.0</v>
      </c>
      <c r="O1663" s="146">
        <v>0.0</v>
      </c>
      <c r="P1663" s="48">
        <f t="array" ref="P1663">IFNA(XLOOKUP(J1663,'⚙️ Pengaturan'!$E$2:$E3237,'⚙️ Pengaturan'!$F$2:$F3237),"")</f>
        <v>180000</v>
      </c>
      <c r="Q1663" s="147">
        <f t="shared" si="35"/>
        <v>0</v>
      </c>
      <c r="R1663" s="41" t="s">
        <v>32</v>
      </c>
      <c r="S1663" s="69" t="s">
        <v>33</v>
      </c>
      <c r="T1663" s="51" t="b">
        <v>1</v>
      </c>
      <c r="U1663" s="94"/>
    </row>
    <row r="1664" ht="30.0" customHeight="1">
      <c r="A1664" s="39"/>
      <c r="B1664" s="40">
        <v>3701.0</v>
      </c>
      <c r="C1664" s="41" t="s">
        <v>39</v>
      </c>
      <c r="D1664" s="86">
        <v>46155.0</v>
      </c>
      <c r="E1664" s="43" t="str">
        <f t="shared" si="1"/>
        <v>2026</v>
      </c>
      <c r="F1664" s="43" t="str">
        <f t="shared" si="2"/>
        <v>05 Mei</v>
      </c>
      <c r="G1664" s="45" t="s">
        <v>69</v>
      </c>
      <c r="H1664" s="45" t="s">
        <v>26</v>
      </c>
      <c r="I1664" s="45" t="s">
        <v>701</v>
      </c>
      <c r="J1664" s="143" t="s">
        <v>119</v>
      </c>
      <c r="K1664" s="43" t="str">
        <f t="array" ref="K1664">IF(J1664="","", XLOOKUP(J1664,'⚙️ Pengaturan'!$E$2:$E3237,'⚙️ Pengaturan'!$G$2:$G3237))</f>
        <v>KLINIK FT PAKET</v>
      </c>
      <c r="L1664" s="43" t="str">
        <f t="shared" si="3"/>
        <v>LANJUTAN</v>
      </c>
      <c r="M1664" s="144" t="s">
        <v>164</v>
      </c>
      <c r="N1664" s="145">
        <v>250000.0</v>
      </c>
      <c r="O1664" s="146">
        <v>500000.0</v>
      </c>
      <c r="P1664" s="48">
        <f t="array" ref="P1664">IFNA(XLOOKUP(J1664,'⚙️ Pengaturan'!$E$2:$E3237,'⚙️ Pengaturan'!$F$2:$F3237),"")</f>
        <v>750000</v>
      </c>
      <c r="Q1664" s="147">
        <f t="shared" si="35"/>
        <v>0</v>
      </c>
      <c r="R1664" s="41" t="s">
        <v>37</v>
      </c>
      <c r="S1664" s="69" t="s">
        <v>1313</v>
      </c>
      <c r="T1664" s="51" t="b">
        <v>1</v>
      </c>
      <c r="U1664" s="94"/>
    </row>
    <row r="1665" ht="30.0" customHeight="1">
      <c r="A1665" s="39"/>
      <c r="B1665" s="40">
        <v>3702.0</v>
      </c>
      <c r="C1665" s="41" t="s">
        <v>39</v>
      </c>
      <c r="D1665" s="86">
        <v>46155.0</v>
      </c>
      <c r="E1665" s="43" t="str">
        <f t="shared" si="1"/>
        <v>2026</v>
      </c>
      <c r="F1665" s="43" t="str">
        <f t="shared" si="2"/>
        <v>05 Mei</v>
      </c>
      <c r="G1665" s="45" t="s">
        <v>69</v>
      </c>
      <c r="H1665" s="45" t="s">
        <v>76</v>
      </c>
      <c r="I1665" s="45" t="s">
        <v>256</v>
      </c>
      <c r="J1665" s="143" t="s">
        <v>323</v>
      </c>
      <c r="K1665" s="43" t="str">
        <f t="array" ref="K1665">IF(J1665="","", XLOOKUP(J1665,'⚙️ Pengaturan'!$E$2:$E3237,'⚙️ Pengaturan'!$G$2:$G3237))</f>
        <v>VISIT FT SESI</v>
      </c>
      <c r="L1665" s="43" t="str">
        <f t="shared" si="3"/>
        <v>BARU</v>
      </c>
      <c r="M1665" s="144" t="s">
        <v>31</v>
      </c>
      <c r="N1665" s="145">
        <v>200000.0</v>
      </c>
      <c r="O1665" s="146">
        <v>0.0</v>
      </c>
      <c r="P1665" s="48">
        <f t="array" ref="P1665">IFNA(XLOOKUP(J1665,'⚙️ Pengaturan'!$E$2:$E3237,'⚙️ Pengaturan'!$F$2:$F3237),"")</f>
        <v>200000</v>
      </c>
      <c r="Q1665" s="147">
        <f t="shared" si="35"/>
        <v>0</v>
      </c>
      <c r="R1665" s="41" t="s">
        <v>37</v>
      </c>
      <c r="S1665" s="69" t="s">
        <v>1314</v>
      </c>
      <c r="T1665" s="51" t="b">
        <v>1</v>
      </c>
      <c r="U1665" s="94"/>
    </row>
    <row r="1666" ht="30.0" customHeight="1">
      <c r="A1666" s="39"/>
      <c r="B1666" s="40">
        <v>3703.0</v>
      </c>
      <c r="C1666" s="41" t="s">
        <v>39</v>
      </c>
      <c r="D1666" s="86">
        <v>46155.0</v>
      </c>
      <c r="E1666" s="43" t="str">
        <f t="shared" si="1"/>
        <v>2026</v>
      </c>
      <c r="F1666" s="43" t="str">
        <f t="shared" si="2"/>
        <v>05 Mei</v>
      </c>
      <c r="G1666" s="45" t="s">
        <v>40</v>
      </c>
      <c r="H1666" s="45" t="s">
        <v>150</v>
      </c>
      <c r="I1666" s="45" t="s">
        <v>1292</v>
      </c>
      <c r="J1666" s="143" t="s">
        <v>120</v>
      </c>
      <c r="K1666" s="43" t="str">
        <f t="array" ref="K1666">IF(J1666="","", XLOOKUP(J1666,'⚙️ Pengaturan'!$E$2:$E3237,'⚙️ Pengaturan'!$G$2:$G3237))</f>
        <v>KLINIK FT SESI</v>
      </c>
      <c r="L1666" s="43" t="str">
        <f t="shared" si="3"/>
        <v>BARU</v>
      </c>
      <c r="M1666" s="144" t="s">
        <v>31</v>
      </c>
      <c r="N1666" s="145">
        <v>180000.0</v>
      </c>
      <c r="O1666" s="146">
        <v>0.0</v>
      </c>
      <c r="P1666" s="48">
        <f t="array" ref="P1666">IFNA(XLOOKUP(J1666,'⚙️ Pengaturan'!$E$2:$E3237,'⚙️ Pengaturan'!$F$2:$F3237),"")</f>
        <v>180000</v>
      </c>
      <c r="Q1666" s="147">
        <f t="shared" si="35"/>
        <v>0</v>
      </c>
      <c r="R1666" s="41" t="s">
        <v>32</v>
      </c>
      <c r="S1666" s="69" t="s">
        <v>33</v>
      </c>
      <c r="T1666" s="51" t="b">
        <v>1</v>
      </c>
      <c r="U1666" s="94"/>
    </row>
    <row r="1667" ht="30.0" customHeight="1">
      <c r="A1667" s="39"/>
      <c r="B1667" s="40">
        <v>3704.0</v>
      </c>
      <c r="C1667" s="41" t="s">
        <v>39</v>
      </c>
      <c r="D1667" s="86">
        <v>46155.0</v>
      </c>
      <c r="E1667" s="43" t="str">
        <f t="shared" si="1"/>
        <v>2026</v>
      </c>
      <c r="F1667" s="43" t="str">
        <f t="shared" si="2"/>
        <v>05 Mei</v>
      </c>
      <c r="G1667" s="45" t="s">
        <v>69</v>
      </c>
      <c r="H1667" s="45" t="s">
        <v>166</v>
      </c>
      <c r="I1667" s="45" t="s">
        <v>1315</v>
      </c>
      <c r="J1667" s="143" t="s">
        <v>28</v>
      </c>
      <c r="K1667" s="43" t="str">
        <f t="array" ref="K1667">IF(J1667="","", XLOOKUP(J1667,'⚙️ Pengaturan'!$E$2:$E3237,'⚙️ Pengaturan'!$G$2:$G3237))</f>
        <v>KLINIK FT TA</v>
      </c>
      <c r="L1667" s="43" t="str">
        <f t="shared" si="3"/>
        <v>BARU</v>
      </c>
      <c r="M1667" s="144" t="s">
        <v>31</v>
      </c>
      <c r="N1667" s="145">
        <v>200000.0</v>
      </c>
      <c r="O1667" s="146">
        <v>50000.0</v>
      </c>
      <c r="P1667" s="48">
        <f t="array" ref="P1667">IFNA(XLOOKUP(J1667,'⚙️ Pengaturan'!$E$2:$E3237,'⚙️ Pengaturan'!$F$2:$F3237),"")</f>
        <v>250000</v>
      </c>
      <c r="Q1667" s="147">
        <f t="shared" si="35"/>
        <v>0</v>
      </c>
      <c r="R1667" s="41" t="s">
        <v>37</v>
      </c>
      <c r="S1667" s="69" t="s">
        <v>1315</v>
      </c>
      <c r="T1667" s="51" t="b">
        <v>1</v>
      </c>
      <c r="U1667" s="94" t="s">
        <v>1063</v>
      </c>
    </row>
    <row r="1668" ht="30.0" customHeight="1">
      <c r="A1668" s="39"/>
      <c r="B1668" s="40">
        <v>3705.0</v>
      </c>
      <c r="C1668" s="41" t="s">
        <v>39</v>
      </c>
      <c r="D1668" s="86">
        <v>46155.0</v>
      </c>
      <c r="E1668" s="43" t="str">
        <f t="shared" si="1"/>
        <v>2026</v>
      </c>
      <c r="F1668" s="43" t="str">
        <f t="shared" si="2"/>
        <v>05 Mei</v>
      </c>
      <c r="G1668" s="45" t="s">
        <v>173</v>
      </c>
      <c r="H1668" s="45" t="s">
        <v>166</v>
      </c>
      <c r="I1668" s="45" t="s">
        <v>1316</v>
      </c>
      <c r="J1668" s="143" t="s">
        <v>28</v>
      </c>
      <c r="K1668" s="43" t="str">
        <f t="array" ref="K1668">IF(J1668="","", XLOOKUP(J1668,'⚙️ Pengaturan'!$E$2:$E3237,'⚙️ Pengaturan'!$G$2:$G3237))</f>
        <v>KLINIK FT TA</v>
      </c>
      <c r="L1668" s="43" t="str">
        <f t="shared" si="3"/>
        <v>BARU</v>
      </c>
      <c r="M1668" s="144" t="s">
        <v>31</v>
      </c>
      <c r="N1668" s="145">
        <v>250000.0</v>
      </c>
      <c r="O1668" s="146">
        <v>0.0</v>
      </c>
      <c r="P1668" s="48">
        <f t="array" ref="P1668">IFNA(XLOOKUP(J1668,'⚙️ Pengaturan'!$E$2:$E3237,'⚙️ Pengaturan'!$F$2:$F3237),"")</f>
        <v>250000</v>
      </c>
      <c r="Q1668" s="147">
        <f t="shared" si="35"/>
        <v>0</v>
      </c>
      <c r="R1668" s="41" t="s">
        <v>37</v>
      </c>
      <c r="S1668" s="69" t="s">
        <v>1316</v>
      </c>
      <c r="T1668" s="51" t="b">
        <v>1</v>
      </c>
      <c r="U1668" s="94"/>
    </row>
    <row r="1669" ht="30.0" customHeight="1">
      <c r="A1669" s="39"/>
      <c r="B1669" s="40">
        <v>3706.0</v>
      </c>
      <c r="C1669" s="41" t="s">
        <v>39</v>
      </c>
      <c r="D1669" s="86">
        <v>46155.0</v>
      </c>
      <c r="E1669" s="43" t="str">
        <f t="shared" si="1"/>
        <v>2026</v>
      </c>
      <c r="F1669" s="43" t="str">
        <f t="shared" si="2"/>
        <v>05 Mei</v>
      </c>
      <c r="G1669" s="45" t="s">
        <v>173</v>
      </c>
      <c r="H1669" s="45" t="s">
        <v>150</v>
      </c>
      <c r="I1669" s="45" t="s">
        <v>1296</v>
      </c>
      <c r="J1669" s="143" t="s">
        <v>119</v>
      </c>
      <c r="K1669" s="43" t="str">
        <f t="array" ref="K1669">IF(J1669="","", XLOOKUP(J1669,'⚙️ Pengaturan'!$E$2:$E3237,'⚙️ Pengaturan'!$G$2:$G3237))</f>
        <v>KLINIK FT PAKET</v>
      </c>
      <c r="L1669" s="43" t="str">
        <f t="shared" si="3"/>
        <v>BARU</v>
      </c>
      <c r="M1669" s="144" t="s">
        <v>60</v>
      </c>
      <c r="N1669" s="145">
        <v>200000.0</v>
      </c>
      <c r="O1669" s="146">
        <v>0.0</v>
      </c>
      <c r="P1669" s="48">
        <f t="array" ref="P1669">IFNA(XLOOKUP(J1669,'⚙️ Pengaturan'!$E$2:$E3237,'⚙️ Pengaturan'!$F$2:$F3237),"")</f>
        <v>750000</v>
      </c>
      <c r="Q1669" s="147">
        <f t="shared" si="35"/>
        <v>-550000</v>
      </c>
      <c r="R1669" s="41" t="s">
        <v>32</v>
      </c>
      <c r="S1669" s="69" t="s">
        <v>33</v>
      </c>
      <c r="T1669" s="51" t="b">
        <v>1</v>
      </c>
      <c r="U1669" s="94"/>
    </row>
    <row r="1670" ht="30.0" customHeight="1">
      <c r="A1670" s="39"/>
      <c r="B1670" s="40">
        <v>3707.0</v>
      </c>
      <c r="C1670" s="41" t="s">
        <v>39</v>
      </c>
      <c r="D1670" s="86">
        <v>46155.0</v>
      </c>
      <c r="E1670" s="43" t="str">
        <f t="shared" si="1"/>
        <v>2026</v>
      </c>
      <c r="F1670" s="43" t="str">
        <f t="shared" si="2"/>
        <v>05 Mei</v>
      </c>
      <c r="G1670" s="45" t="s">
        <v>190</v>
      </c>
      <c r="H1670" s="45" t="s">
        <v>150</v>
      </c>
      <c r="I1670" s="45" t="s">
        <v>1317</v>
      </c>
      <c r="J1670" s="143" t="s">
        <v>28</v>
      </c>
      <c r="K1670" s="43" t="str">
        <f t="array" ref="K1670">IF(J1670="","", XLOOKUP(J1670,'⚙️ Pengaturan'!$E$2:$E3237,'⚙️ Pengaturan'!$G$2:$G3237))</f>
        <v>KLINIK FT TA</v>
      </c>
      <c r="L1670" s="43" t="str">
        <f t="shared" si="3"/>
        <v>BARU</v>
      </c>
      <c r="M1670" s="144" t="s">
        <v>31</v>
      </c>
      <c r="N1670" s="145">
        <v>250000.0</v>
      </c>
      <c r="O1670" s="146">
        <v>0.0</v>
      </c>
      <c r="P1670" s="48">
        <f t="array" ref="P1670">IFNA(XLOOKUP(J1670,'⚙️ Pengaturan'!$E$2:$E3237,'⚙️ Pengaturan'!$F$2:$F3237),"")</f>
        <v>250000</v>
      </c>
      <c r="Q1670" s="147">
        <f t="shared" si="35"/>
        <v>0</v>
      </c>
      <c r="R1670" s="41" t="s">
        <v>32</v>
      </c>
      <c r="S1670" s="69" t="s">
        <v>33</v>
      </c>
      <c r="T1670" s="51" t="b">
        <v>1</v>
      </c>
      <c r="U1670" s="94" t="s">
        <v>1318</v>
      </c>
    </row>
    <row r="1671" ht="30.0" customHeight="1">
      <c r="A1671" s="39"/>
      <c r="B1671" s="40">
        <v>3708.0</v>
      </c>
      <c r="C1671" s="41" t="s">
        <v>39</v>
      </c>
      <c r="D1671" s="86">
        <v>46155.0</v>
      </c>
      <c r="E1671" s="43" t="str">
        <f t="shared" si="1"/>
        <v>2026</v>
      </c>
      <c r="F1671" s="43" t="str">
        <f t="shared" si="2"/>
        <v>05 Mei</v>
      </c>
      <c r="G1671" s="45" t="s">
        <v>190</v>
      </c>
      <c r="H1671" s="45" t="s">
        <v>166</v>
      </c>
      <c r="I1671" s="45" t="s">
        <v>1319</v>
      </c>
      <c r="J1671" s="143" t="s">
        <v>28</v>
      </c>
      <c r="K1671" s="43" t="str">
        <f t="array" ref="K1671">IF(J1671="","", XLOOKUP(J1671,'⚙️ Pengaturan'!$E$2:$E3237,'⚙️ Pengaturan'!$G$2:$G3237))</f>
        <v>KLINIK FT TA</v>
      </c>
      <c r="L1671" s="43" t="str">
        <f t="shared" si="3"/>
        <v>BARU</v>
      </c>
      <c r="M1671" s="144" t="s">
        <v>31</v>
      </c>
      <c r="N1671" s="145">
        <v>200000.0</v>
      </c>
      <c r="O1671" s="146">
        <v>50000.0</v>
      </c>
      <c r="P1671" s="48">
        <f t="array" ref="P1671">IFNA(XLOOKUP(J1671,'⚙️ Pengaturan'!$E$2:$E3237,'⚙️ Pengaturan'!$F$2:$F3237),"")</f>
        <v>250000</v>
      </c>
      <c r="Q1671" s="147">
        <f t="shared" si="35"/>
        <v>0</v>
      </c>
      <c r="R1671" s="41" t="s">
        <v>37</v>
      </c>
      <c r="S1671" s="69" t="s">
        <v>1319</v>
      </c>
      <c r="T1671" s="51" t="b">
        <v>1</v>
      </c>
      <c r="U1671" s="94" t="s">
        <v>1320</v>
      </c>
    </row>
    <row r="1672" ht="30.0" customHeight="1">
      <c r="A1672" s="39"/>
      <c r="B1672" s="40">
        <v>3709.0</v>
      </c>
      <c r="C1672" s="41" t="s">
        <v>39</v>
      </c>
      <c r="D1672" s="86">
        <v>46155.0</v>
      </c>
      <c r="E1672" s="43" t="str">
        <f t="shared" si="1"/>
        <v>2026</v>
      </c>
      <c r="F1672" s="43" t="str">
        <f t="shared" si="2"/>
        <v>05 Mei</v>
      </c>
      <c r="G1672" s="45" t="s">
        <v>190</v>
      </c>
      <c r="H1672" s="45" t="s">
        <v>26</v>
      </c>
      <c r="I1672" s="45" t="s">
        <v>1305</v>
      </c>
      <c r="J1672" s="143" t="s">
        <v>120</v>
      </c>
      <c r="K1672" s="43" t="str">
        <f t="array" ref="K1672">IF(J1672="","", XLOOKUP(J1672,'⚙️ Pengaturan'!$E$2:$E3237,'⚙️ Pengaturan'!$G$2:$G3237))</f>
        <v>KLINIK FT SESI</v>
      </c>
      <c r="L1672" s="43" t="str">
        <f t="shared" si="3"/>
        <v>BARU</v>
      </c>
      <c r="M1672" s="144" t="s">
        <v>31</v>
      </c>
      <c r="N1672" s="145">
        <v>180000.0</v>
      </c>
      <c r="O1672" s="146">
        <v>0.0</v>
      </c>
      <c r="P1672" s="48">
        <f t="array" ref="P1672">IFNA(XLOOKUP(J1672,'⚙️ Pengaturan'!$E$2:$E3237,'⚙️ Pengaturan'!$F$2:$F3237),"")</f>
        <v>180000</v>
      </c>
      <c r="Q1672" s="147">
        <f t="shared" si="35"/>
        <v>0</v>
      </c>
      <c r="R1672" s="41" t="s">
        <v>37</v>
      </c>
      <c r="S1672" s="69" t="s">
        <v>1305</v>
      </c>
      <c r="T1672" s="51" t="b">
        <v>1</v>
      </c>
      <c r="U1672" s="94"/>
    </row>
    <row r="1673" ht="30.0" customHeight="1">
      <c r="A1673" s="39"/>
      <c r="B1673" s="40">
        <v>3710.0</v>
      </c>
      <c r="C1673" s="41" t="s">
        <v>39</v>
      </c>
      <c r="D1673" s="86">
        <v>46155.0</v>
      </c>
      <c r="E1673" s="43" t="str">
        <f t="shared" si="1"/>
        <v>2026</v>
      </c>
      <c r="F1673" s="43" t="str">
        <f t="shared" si="2"/>
        <v>05 Mei</v>
      </c>
      <c r="G1673" s="45" t="s">
        <v>69</v>
      </c>
      <c r="H1673" s="45" t="s">
        <v>76</v>
      </c>
      <c r="I1673" s="45" t="s">
        <v>1197</v>
      </c>
      <c r="J1673" s="143" t="s">
        <v>364</v>
      </c>
      <c r="K1673" s="43" t="str">
        <f t="array" ref="K1673">IF(J1673="","", XLOOKUP(J1673,'⚙️ Pengaturan'!$E$2:$E3237,'⚙️ Pengaturan'!$G$2:$G3237))</f>
        <v>VISIT FT PAKET</v>
      </c>
      <c r="L1673" s="43" t="str">
        <f t="shared" si="3"/>
        <v>BARU</v>
      </c>
      <c r="M1673" s="144" t="s">
        <v>31</v>
      </c>
      <c r="N1673" s="145">
        <v>2300000.0</v>
      </c>
      <c r="O1673" s="146">
        <v>0.0</v>
      </c>
      <c r="P1673" s="48">
        <f t="array" ref="P1673">IFNA(XLOOKUP(J1673,'⚙️ Pengaturan'!$E$2:$E3237,'⚙️ Pengaturan'!$F$2:$F3237),"")</f>
        <v>2300000</v>
      </c>
      <c r="Q1673" s="147">
        <f t="shared" si="35"/>
        <v>0</v>
      </c>
      <c r="R1673" s="41" t="s">
        <v>37</v>
      </c>
      <c r="S1673" s="69" t="s">
        <v>1197</v>
      </c>
      <c r="T1673" s="51" t="b">
        <v>1</v>
      </c>
      <c r="U1673" s="94"/>
    </row>
    <row r="1674" ht="30.0" customHeight="1">
      <c r="A1674" s="39"/>
      <c r="B1674" s="40">
        <v>3711.0</v>
      </c>
      <c r="C1674" s="41" t="s">
        <v>39</v>
      </c>
      <c r="D1674" s="86">
        <v>46157.0</v>
      </c>
      <c r="E1674" s="43" t="str">
        <f t="shared" si="1"/>
        <v>2026</v>
      </c>
      <c r="F1674" s="43" t="str">
        <f t="shared" si="2"/>
        <v>05 Mei</v>
      </c>
      <c r="G1674" s="45" t="s">
        <v>195</v>
      </c>
      <c r="H1674" s="45" t="s">
        <v>166</v>
      </c>
      <c r="I1674" s="45" t="s">
        <v>1321</v>
      </c>
      <c r="J1674" s="143" t="s">
        <v>28</v>
      </c>
      <c r="K1674" s="43" t="str">
        <f t="array" ref="K1674">IF(J1674="","", XLOOKUP(J1674,'⚙️ Pengaturan'!$E$2:$E3237,'⚙️ Pengaturan'!$G$2:$G3237))</f>
        <v>KLINIK FT TA</v>
      </c>
      <c r="L1674" s="43" t="str">
        <f t="shared" si="3"/>
        <v>BARU</v>
      </c>
      <c r="M1674" s="144" t="s">
        <v>31</v>
      </c>
      <c r="N1674" s="145">
        <v>250000.0</v>
      </c>
      <c r="O1674" s="146">
        <v>0.0</v>
      </c>
      <c r="P1674" s="48">
        <f t="array" ref="P1674">IFNA(XLOOKUP(J1674,'⚙️ Pengaturan'!$E$2:$E3237,'⚙️ Pengaturan'!$F$2:$F3237),"")</f>
        <v>250000</v>
      </c>
      <c r="Q1674" s="147">
        <f t="shared" si="35"/>
        <v>0</v>
      </c>
      <c r="R1674" s="41" t="s">
        <v>32</v>
      </c>
      <c r="S1674" s="69" t="s">
        <v>33</v>
      </c>
      <c r="T1674" s="51" t="b">
        <v>1</v>
      </c>
      <c r="U1674" s="94"/>
    </row>
    <row r="1675" ht="30.0" customHeight="1">
      <c r="A1675" s="39"/>
      <c r="B1675" s="40">
        <v>3712.0</v>
      </c>
      <c r="C1675" s="41" t="s">
        <v>39</v>
      </c>
      <c r="D1675" s="86">
        <v>46157.0</v>
      </c>
      <c r="E1675" s="43" t="str">
        <f t="shared" si="1"/>
        <v>2026</v>
      </c>
      <c r="F1675" s="43" t="str">
        <f t="shared" si="2"/>
        <v>05 Mei</v>
      </c>
      <c r="G1675" s="45" t="s">
        <v>25</v>
      </c>
      <c r="H1675" s="45" t="s">
        <v>166</v>
      </c>
      <c r="I1675" s="45" t="s">
        <v>908</v>
      </c>
      <c r="J1675" s="143" t="s">
        <v>119</v>
      </c>
      <c r="K1675" s="43" t="str">
        <f t="array" ref="K1675">IF(J1675="","", XLOOKUP(J1675,'⚙️ Pengaturan'!$E$2:$E3237,'⚙️ Pengaturan'!$G$2:$G3237))</f>
        <v>KLINIK FT PAKET</v>
      </c>
      <c r="L1675" s="43" t="str">
        <f t="shared" si="3"/>
        <v>LANJUTAN</v>
      </c>
      <c r="M1675" s="144" t="s">
        <v>164</v>
      </c>
      <c r="N1675" s="145">
        <v>350000.0</v>
      </c>
      <c r="O1675" s="146">
        <v>400000.0</v>
      </c>
      <c r="P1675" s="48">
        <f t="array" ref="P1675">IFNA(XLOOKUP(J1675,'⚙️ Pengaturan'!$E$2:$E3237,'⚙️ Pengaturan'!$F$2:$F3237),"")</f>
        <v>750000</v>
      </c>
      <c r="Q1675" s="147">
        <f t="shared" si="35"/>
        <v>0</v>
      </c>
      <c r="R1675" s="41" t="s">
        <v>37</v>
      </c>
      <c r="S1675" s="69" t="s">
        <v>908</v>
      </c>
      <c r="T1675" s="51" t="b">
        <v>1</v>
      </c>
      <c r="U1675" s="94"/>
    </row>
    <row r="1676" ht="30.0" customHeight="1">
      <c r="A1676" s="39"/>
      <c r="B1676" s="40">
        <v>3713.0</v>
      </c>
      <c r="C1676" s="41" t="s">
        <v>39</v>
      </c>
      <c r="D1676" s="86">
        <v>46157.0</v>
      </c>
      <c r="E1676" s="43" t="str">
        <f t="shared" si="1"/>
        <v>2026</v>
      </c>
      <c r="F1676" s="43" t="str">
        <f t="shared" si="2"/>
        <v>05 Mei</v>
      </c>
      <c r="G1676" s="45" t="s">
        <v>25</v>
      </c>
      <c r="H1676" s="45" t="s">
        <v>156</v>
      </c>
      <c r="I1676" s="45" t="s">
        <v>1081</v>
      </c>
      <c r="J1676" s="143" t="s">
        <v>347</v>
      </c>
      <c r="K1676" s="43" t="str">
        <f t="array" ref="K1676">IF(J1676="","", XLOOKUP(J1676,'⚙️ Pengaturan'!$E$2:$E3237,'⚙️ Pengaturan'!$G$2:$G3237))</f>
        <v>KLINIK FT PAKET</v>
      </c>
      <c r="L1676" s="43" t="str">
        <f t="shared" si="3"/>
        <v>LANJUTAN</v>
      </c>
      <c r="M1676" s="144" t="s">
        <v>164</v>
      </c>
      <c r="N1676" s="145">
        <v>700000.0</v>
      </c>
      <c r="O1676" s="146">
        <v>600000.0</v>
      </c>
      <c r="P1676" s="48">
        <f t="array" ref="P1676">IFNA(XLOOKUP(J1676,'⚙️ Pengaturan'!$E$2:$E3237,'⚙️ Pengaturan'!$F$2:$F3237),"")</f>
        <v>1300000</v>
      </c>
      <c r="Q1676" s="147">
        <f t="shared" si="35"/>
        <v>0</v>
      </c>
      <c r="R1676" s="41" t="s">
        <v>37</v>
      </c>
      <c r="S1676" s="69" t="s">
        <v>1081</v>
      </c>
      <c r="T1676" s="51" t="b">
        <v>1</v>
      </c>
      <c r="U1676" s="94"/>
    </row>
    <row r="1677" ht="30.0" customHeight="1">
      <c r="A1677" s="39"/>
      <c r="B1677" s="40">
        <v>3714.0</v>
      </c>
      <c r="C1677" s="41" t="s">
        <v>39</v>
      </c>
      <c r="D1677" s="86">
        <v>46157.0</v>
      </c>
      <c r="E1677" s="43" t="str">
        <f t="shared" si="1"/>
        <v>2026</v>
      </c>
      <c r="F1677" s="43" t="str">
        <f t="shared" si="2"/>
        <v>05 Mei</v>
      </c>
      <c r="G1677" s="45" t="s">
        <v>25</v>
      </c>
      <c r="H1677" s="45" t="s">
        <v>156</v>
      </c>
      <c r="I1677" s="45" t="s">
        <v>1081</v>
      </c>
      <c r="J1677" s="143" t="s">
        <v>347</v>
      </c>
      <c r="K1677" s="43" t="str">
        <f t="array" ref="K1677">IF(J1677="","", XLOOKUP(J1677,'⚙️ Pengaturan'!$E$2:$E3237,'⚙️ Pengaturan'!$G$2:$G3237))</f>
        <v>KLINIK FT PAKET</v>
      </c>
      <c r="L1677" s="43" t="str">
        <f t="shared" si="3"/>
        <v>LANJUTAN</v>
      </c>
      <c r="M1677" s="144" t="s">
        <v>60</v>
      </c>
      <c r="N1677" s="145">
        <v>600000.0</v>
      </c>
      <c r="O1677" s="146">
        <v>0.0</v>
      </c>
      <c r="P1677" s="48">
        <f t="array" ref="P1677">IFNA(XLOOKUP(J1677,'⚙️ Pengaturan'!$E$2:$E3237,'⚙️ Pengaturan'!$F$2:$F3237),"")</f>
        <v>1300000</v>
      </c>
      <c r="Q1677" s="147">
        <f t="shared" si="35"/>
        <v>-700000</v>
      </c>
      <c r="R1677" s="41" t="s">
        <v>37</v>
      </c>
      <c r="S1677" s="69" t="s">
        <v>1081</v>
      </c>
      <c r="T1677" s="51" t="b">
        <v>1</v>
      </c>
      <c r="U1677" s="94"/>
    </row>
    <row r="1678" ht="30.0" customHeight="1">
      <c r="A1678" s="39"/>
      <c r="B1678" s="40">
        <v>3715.0</v>
      </c>
      <c r="C1678" s="41" t="s">
        <v>39</v>
      </c>
      <c r="D1678" s="86">
        <v>46157.0</v>
      </c>
      <c r="E1678" s="43" t="str">
        <f t="shared" si="1"/>
        <v>2026</v>
      </c>
      <c r="F1678" s="43" t="str">
        <f t="shared" si="2"/>
        <v>05 Mei</v>
      </c>
      <c r="G1678" s="45" t="s">
        <v>69</v>
      </c>
      <c r="H1678" s="45" t="s">
        <v>166</v>
      </c>
      <c r="I1678" s="45" t="s">
        <v>648</v>
      </c>
      <c r="J1678" s="143" t="s">
        <v>364</v>
      </c>
      <c r="K1678" s="43" t="str">
        <f t="array" ref="K1678">IF(J1678="","", XLOOKUP(J1678,'⚙️ Pengaturan'!$E$2:$E3237,'⚙️ Pengaturan'!$G$2:$G3237))</f>
        <v>VISIT FT PAKET</v>
      </c>
      <c r="L1678" s="43" t="str">
        <f t="shared" si="3"/>
        <v>LANJUTAN</v>
      </c>
      <c r="M1678" s="144" t="s">
        <v>31</v>
      </c>
      <c r="N1678" s="145">
        <v>2300000.0</v>
      </c>
      <c r="O1678" s="146">
        <v>0.0</v>
      </c>
      <c r="P1678" s="48">
        <f t="array" ref="P1678">IFNA(XLOOKUP(J1678,'⚙️ Pengaturan'!$E$2:$E3237,'⚙️ Pengaturan'!$F$2:$F3237),"")</f>
        <v>2300000</v>
      </c>
      <c r="Q1678" s="147">
        <f t="shared" si="35"/>
        <v>0</v>
      </c>
      <c r="R1678" s="41" t="s">
        <v>37</v>
      </c>
      <c r="S1678" s="69" t="s">
        <v>648</v>
      </c>
      <c r="T1678" s="51" t="b">
        <v>1</v>
      </c>
      <c r="U1678" s="94"/>
    </row>
    <row r="1679" ht="30.0" customHeight="1">
      <c r="A1679" s="39"/>
      <c r="B1679" s="40">
        <v>3716.0</v>
      </c>
      <c r="C1679" s="41" t="s">
        <v>39</v>
      </c>
      <c r="D1679" s="86">
        <v>46157.0</v>
      </c>
      <c r="E1679" s="43" t="str">
        <f t="shared" si="1"/>
        <v>2026</v>
      </c>
      <c r="F1679" s="43" t="str">
        <f t="shared" si="2"/>
        <v>05 Mei</v>
      </c>
      <c r="G1679" s="45" t="s">
        <v>35</v>
      </c>
      <c r="H1679" s="45" t="s">
        <v>166</v>
      </c>
      <c r="I1679" s="45" t="s">
        <v>1322</v>
      </c>
      <c r="J1679" s="143" t="s">
        <v>28</v>
      </c>
      <c r="K1679" s="43" t="str">
        <f t="array" ref="K1679">IF(J1679="","", XLOOKUP(J1679,'⚙️ Pengaturan'!$E$2:$E3237,'⚙️ Pengaturan'!$G$2:$G3237))</f>
        <v>KLINIK FT TA</v>
      </c>
      <c r="L1679" s="43" t="str">
        <f t="shared" si="3"/>
        <v>BARU</v>
      </c>
      <c r="M1679" s="144" t="s">
        <v>31</v>
      </c>
      <c r="N1679" s="145">
        <v>250000.0</v>
      </c>
      <c r="O1679" s="146">
        <v>0.0</v>
      </c>
      <c r="P1679" s="48">
        <f t="array" ref="P1679">IFNA(XLOOKUP(J1679,'⚙️ Pengaturan'!$E$2:$E3237,'⚙️ Pengaturan'!$F$2:$F3237),"")</f>
        <v>250000</v>
      </c>
      <c r="Q1679" s="147">
        <f t="shared" si="35"/>
        <v>0</v>
      </c>
      <c r="R1679" s="41" t="s">
        <v>32</v>
      </c>
      <c r="S1679" s="69" t="s">
        <v>33</v>
      </c>
      <c r="T1679" s="51" t="b">
        <v>1</v>
      </c>
      <c r="U1679" s="94"/>
    </row>
    <row r="1680" ht="30.0" customHeight="1">
      <c r="A1680" s="39"/>
      <c r="B1680" s="40">
        <v>3717.0</v>
      </c>
      <c r="C1680" s="41" t="s">
        <v>50</v>
      </c>
      <c r="D1680" s="86">
        <v>46157.0</v>
      </c>
      <c r="E1680" s="43" t="str">
        <f t="shared" si="1"/>
        <v>2026</v>
      </c>
      <c r="F1680" s="43" t="str">
        <f t="shared" si="2"/>
        <v>05 Mei</v>
      </c>
      <c r="G1680" s="45" t="s">
        <v>40</v>
      </c>
      <c r="H1680" s="45" t="s">
        <v>149</v>
      </c>
      <c r="I1680" s="45" t="s">
        <v>1323</v>
      </c>
      <c r="J1680" s="143" t="s">
        <v>28</v>
      </c>
      <c r="K1680" s="43" t="str">
        <f t="array" ref="K1680">IF(J1680="","", XLOOKUP(J1680,'⚙️ Pengaturan'!$E$2:$E3237,'⚙️ Pengaturan'!$G$2:$G3237))</f>
        <v>KLINIK FT TA</v>
      </c>
      <c r="L1680" s="43" t="str">
        <f t="shared" si="3"/>
        <v>BARU</v>
      </c>
      <c r="M1680" s="144" t="s">
        <v>31</v>
      </c>
      <c r="N1680" s="145">
        <v>250000.0</v>
      </c>
      <c r="O1680" s="146">
        <v>0.0</v>
      </c>
      <c r="P1680" s="48">
        <f t="array" ref="P1680">IFNA(XLOOKUP(J1680,'⚙️ Pengaturan'!$E$2:$E3237,'⚙️ Pengaturan'!$F$2:$F3237),"")</f>
        <v>250000</v>
      </c>
      <c r="Q1680" s="147">
        <f t="shared" si="35"/>
        <v>0</v>
      </c>
      <c r="R1680" s="41" t="s">
        <v>37</v>
      </c>
      <c r="S1680" s="69" t="s">
        <v>1323</v>
      </c>
      <c r="T1680" s="51" t="b">
        <v>1</v>
      </c>
      <c r="U1680" s="94"/>
    </row>
    <row r="1681" ht="30.0" customHeight="1">
      <c r="A1681" s="39"/>
      <c r="B1681" s="40">
        <v>3718.0</v>
      </c>
      <c r="C1681" s="41" t="s">
        <v>50</v>
      </c>
      <c r="D1681" s="86">
        <v>46157.0</v>
      </c>
      <c r="E1681" s="43" t="str">
        <f t="shared" si="1"/>
        <v>2026</v>
      </c>
      <c r="F1681" s="43" t="str">
        <f t="shared" si="2"/>
        <v>05 Mei</v>
      </c>
      <c r="G1681" s="45" t="s">
        <v>40</v>
      </c>
      <c r="H1681" s="45" t="s">
        <v>149</v>
      </c>
      <c r="I1681" s="45" t="s">
        <v>1323</v>
      </c>
      <c r="J1681" s="143" t="s">
        <v>120</v>
      </c>
      <c r="K1681" s="43" t="str">
        <f t="array" ref="K1681">IF(J1681="","", XLOOKUP(J1681,'⚙️ Pengaturan'!$E$2:$E3237,'⚙️ Pengaturan'!$G$2:$G3237))</f>
        <v>KLINIK FT SESI</v>
      </c>
      <c r="L1681" s="43" t="str">
        <f t="shared" si="3"/>
        <v>BARU</v>
      </c>
      <c r="M1681" s="144" t="s">
        <v>31</v>
      </c>
      <c r="N1681" s="145">
        <v>180000.0</v>
      </c>
      <c r="O1681" s="146">
        <v>0.0</v>
      </c>
      <c r="P1681" s="48">
        <f t="array" ref="P1681">IFNA(XLOOKUP(J1681,'⚙️ Pengaturan'!$E$2:$E3237,'⚙️ Pengaturan'!$F$2:$F3237),"")</f>
        <v>180000</v>
      </c>
      <c r="Q1681" s="147">
        <f t="shared" si="35"/>
        <v>0</v>
      </c>
      <c r="R1681" s="41" t="s">
        <v>37</v>
      </c>
      <c r="S1681" s="69" t="s">
        <v>1323</v>
      </c>
      <c r="T1681" s="51" t="b">
        <v>1</v>
      </c>
      <c r="U1681" s="94" t="s">
        <v>1324</v>
      </c>
    </row>
    <row r="1682" ht="30.0" customHeight="1">
      <c r="A1682" s="39"/>
      <c r="B1682" s="40">
        <v>3719.0</v>
      </c>
      <c r="C1682" s="41" t="s">
        <v>50</v>
      </c>
      <c r="D1682" s="86">
        <v>46157.0</v>
      </c>
      <c r="E1682" s="43" t="str">
        <f t="shared" si="1"/>
        <v>2026</v>
      </c>
      <c r="F1682" s="43" t="str">
        <f t="shared" si="2"/>
        <v>05 Mei</v>
      </c>
      <c r="G1682" s="45" t="s">
        <v>155</v>
      </c>
      <c r="H1682" s="45" t="s">
        <v>149</v>
      </c>
      <c r="I1682" s="45" t="s">
        <v>1325</v>
      </c>
      <c r="J1682" s="143" t="s">
        <v>28</v>
      </c>
      <c r="K1682" s="43" t="str">
        <f t="array" ref="K1682">IF(J1682="","", XLOOKUP(J1682,'⚙️ Pengaturan'!$E$2:$E3237,'⚙️ Pengaturan'!$G$2:$G3237))</f>
        <v>KLINIK FT TA</v>
      </c>
      <c r="L1682" s="43" t="str">
        <f t="shared" si="3"/>
        <v>BARU</v>
      </c>
      <c r="M1682" s="144" t="s">
        <v>31</v>
      </c>
      <c r="N1682" s="145">
        <v>250000.0</v>
      </c>
      <c r="O1682" s="146">
        <v>0.0</v>
      </c>
      <c r="P1682" s="48">
        <f t="array" ref="P1682">IFNA(XLOOKUP(J1682,'⚙️ Pengaturan'!$E$2:$E3237,'⚙️ Pengaturan'!$F$2:$F3237),"")</f>
        <v>250000</v>
      </c>
      <c r="Q1682" s="147">
        <f t="shared" si="35"/>
        <v>0</v>
      </c>
      <c r="R1682" s="41" t="s">
        <v>37</v>
      </c>
      <c r="S1682" s="69" t="s">
        <v>1326</v>
      </c>
      <c r="T1682" s="51" t="b">
        <v>1</v>
      </c>
      <c r="U1682" s="94"/>
    </row>
    <row r="1683" ht="30.0" customHeight="1">
      <c r="A1683" s="39"/>
      <c r="B1683" s="40">
        <v>3720.0</v>
      </c>
      <c r="C1683" s="41" t="s">
        <v>79</v>
      </c>
      <c r="D1683" s="86">
        <v>46158.0</v>
      </c>
      <c r="E1683" s="43" t="str">
        <f t="shared" si="1"/>
        <v>2026</v>
      </c>
      <c r="F1683" s="43" t="str">
        <f t="shared" si="2"/>
        <v>05 Mei</v>
      </c>
      <c r="G1683" s="45" t="s">
        <v>195</v>
      </c>
      <c r="H1683" s="45" t="s">
        <v>26</v>
      </c>
      <c r="I1683" s="45" t="s">
        <v>1327</v>
      </c>
      <c r="J1683" s="143" t="s">
        <v>28</v>
      </c>
      <c r="K1683" s="43" t="str">
        <f t="array" ref="K1683">IF(J1683="","", XLOOKUP(J1683,'⚙️ Pengaturan'!$E$2:$E3237,'⚙️ Pengaturan'!$G$2:$G3237))</f>
        <v>KLINIK FT TA</v>
      </c>
      <c r="L1683" s="43" t="str">
        <f t="shared" si="3"/>
        <v>BARU</v>
      </c>
      <c r="M1683" s="144" t="s">
        <v>31</v>
      </c>
      <c r="N1683" s="145">
        <v>250000.0</v>
      </c>
      <c r="O1683" s="146">
        <v>0.0</v>
      </c>
      <c r="P1683" s="48">
        <v>250000.0</v>
      </c>
      <c r="Q1683" s="147">
        <v>0.0</v>
      </c>
      <c r="R1683" s="41" t="s">
        <v>32</v>
      </c>
      <c r="S1683" s="69" t="s">
        <v>33</v>
      </c>
      <c r="T1683" s="51" t="b">
        <v>1</v>
      </c>
      <c r="U1683" s="94"/>
    </row>
    <row r="1684" ht="30.0" customHeight="1">
      <c r="A1684" s="39"/>
      <c r="B1684" s="40">
        <v>3721.0</v>
      </c>
      <c r="C1684" s="41" t="s">
        <v>79</v>
      </c>
      <c r="D1684" s="86">
        <v>46158.0</v>
      </c>
      <c r="E1684" s="43" t="str">
        <f t="shared" si="1"/>
        <v>2026</v>
      </c>
      <c r="F1684" s="43" t="str">
        <f t="shared" si="2"/>
        <v>05 Mei</v>
      </c>
      <c r="G1684" s="45" t="s">
        <v>195</v>
      </c>
      <c r="H1684" s="45" t="s">
        <v>26</v>
      </c>
      <c r="I1684" s="45" t="s">
        <v>1327</v>
      </c>
      <c r="J1684" s="143" t="s">
        <v>119</v>
      </c>
      <c r="K1684" s="43" t="str">
        <f t="array" ref="K1684">IF(J1684="","", XLOOKUP(J1684,'⚙️ Pengaturan'!$E$2:$E3237,'⚙️ Pengaturan'!$G$2:$G3237))</f>
        <v>KLINIK FT PAKET</v>
      </c>
      <c r="L1684" s="43" t="str">
        <f t="shared" si="3"/>
        <v>BARU</v>
      </c>
      <c r="M1684" s="144" t="s">
        <v>31</v>
      </c>
      <c r="N1684" s="145">
        <v>750000.0</v>
      </c>
      <c r="O1684" s="146">
        <v>0.0</v>
      </c>
      <c r="P1684" s="48">
        <f t="array" ref="P1684">IFNA(XLOOKUP(J1684,'⚙️ Pengaturan'!$E$2:$E3237,'⚙️ Pengaturan'!$F$2:$F3237),"")</f>
        <v>750000</v>
      </c>
      <c r="Q1684" s="147">
        <f t="shared" ref="Q1684:Q1694" si="36">IF(I1684="","",(N1684+O1684)-P1684)</f>
        <v>0</v>
      </c>
      <c r="R1684" s="41" t="s">
        <v>32</v>
      </c>
      <c r="S1684" s="69" t="s">
        <v>33</v>
      </c>
      <c r="T1684" s="51" t="b">
        <v>1</v>
      </c>
      <c r="U1684" s="94"/>
    </row>
    <row r="1685" ht="30.0" customHeight="1">
      <c r="A1685" s="39"/>
      <c r="B1685" s="40">
        <v>3722.0</v>
      </c>
      <c r="C1685" s="41" t="s">
        <v>79</v>
      </c>
      <c r="D1685" s="86">
        <v>46158.0</v>
      </c>
      <c r="E1685" s="43" t="str">
        <f t="shared" si="1"/>
        <v>2026</v>
      </c>
      <c r="F1685" s="43" t="str">
        <f t="shared" si="2"/>
        <v>05 Mei</v>
      </c>
      <c r="G1685" s="45" t="s">
        <v>25</v>
      </c>
      <c r="H1685" s="45" t="s">
        <v>150</v>
      </c>
      <c r="I1685" s="45" t="s">
        <v>1296</v>
      </c>
      <c r="J1685" s="143" t="s">
        <v>119</v>
      </c>
      <c r="K1685" s="43" t="str">
        <f t="array" ref="K1685">IF(J1685="","", XLOOKUP(J1685,'⚙️ Pengaturan'!$E$2:$E3237,'⚙️ Pengaturan'!$G$2:$G3237))</f>
        <v>KLINIK FT PAKET</v>
      </c>
      <c r="L1685" s="43" t="str">
        <f t="shared" si="3"/>
        <v>LANJUTAN</v>
      </c>
      <c r="M1685" s="144" t="s">
        <v>164</v>
      </c>
      <c r="N1685" s="145">
        <v>550000.0</v>
      </c>
      <c r="O1685" s="146">
        <v>200000.0</v>
      </c>
      <c r="P1685" s="48">
        <f t="array" ref="P1685">IFNA(XLOOKUP(J1685,'⚙️ Pengaturan'!$E$2:$E3237,'⚙️ Pengaturan'!$F$2:$F3237),"")</f>
        <v>750000</v>
      </c>
      <c r="Q1685" s="147">
        <f t="shared" si="36"/>
        <v>0</v>
      </c>
      <c r="R1685" s="41" t="s">
        <v>93</v>
      </c>
      <c r="S1685" s="69" t="s">
        <v>1297</v>
      </c>
      <c r="T1685" s="51" t="b">
        <v>1</v>
      </c>
      <c r="U1685" s="94"/>
    </row>
    <row r="1686" ht="30.0" customHeight="1">
      <c r="A1686" s="39"/>
      <c r="B1686" s="40">
        <v>3723.0</v>
      </c>
      <c r="C1686" s="41" t="s">
        <v>79</v>
      </c>
      <c r="D1686" s="86">
        <v>46158.0</v>
      </c>
      <c r="E1686" s="43" t="str">
        <f t="shared" si="1"/>
        <v>2026</v>
      </c>
      <c r="F1686" s="43" t="str">
        <f t="shared" si="2"/>
        <v>05 Mei</v>
      </c>
      <c r="G1686" s="45" t="s">
        <v>206</v>
      </c>
      <c r="H1686" s="45" t="s">
        <v>150</v>
      </c>
      <c r="I1686" s="45" t="s">
        <v>1292</v>
      </c>
      <c r="J1686" s="143" t="s">
        <v>119</v>
      </c>
      <c r="K1686" s="43" t="str">
        <f t="array" ref="K1686">IF(J1686="","", XLOOKUP(J1686,'⚙️ Pengaturan'!$E$2:$E3237,'⚙️ Pengaturan'!$G$2:$G3237))</f>
        <v>KLINIK FT PAKET</v>
      </c>
      <c r="L1686" s="43" t="str">
        <f t="shared" si="3"/>
        <v>BARU</v>
      </c>
      <c r="M1686" s="144" t="s">
        <v>60</v>
      </c>
      <c r="N1686" s="145">
        <v>300000.0</v>
      </c>
      <c r="O1686" s="146">
        <v>0.0</v>
      </c>
      <c r="P1686" s="48">
        <f t="array" ref="P1686">IFNA(XLOOKUP(J1686,'⚙️ Pengaturan'!$E$2:$E3237,'⚙️ Pengaturan'!$F$2:$F3237),"")</f>
        <v>750000</v>
      </c>
      <c r="Q1686" s="147">
        <f t="shared" si="36"/>
        <v>-450000</v>
      </c>
      <c r="R1686" s="41" t="s">
        <v>32</v>
      </c>
      <c r="S1686" s="69" t="s">
        <v>33</v>
      </c>
      <c r="T1686" s="51" t="b">
        <v>1</v>
      </c>
      <c r="U1686" s="94"/>
    </row>
    <row r="1687" ht="30.0" customHeight="1">
      <c r="A1687" s="39"/>
      <c r="B1687" s="40">
        <v>3724.0</v>
      </c>
      <c r="C1687" s="41" t="s">
        <v>79</v>
      </c>
      <c r="D1687" s="86">
        <v>46158.0</v>
      </c>
      <c r="E1687" s="43" t="str">
        <f t="shared" si="1"/>
        <v>2026</v>
      </c>
      <c r="F1687" s="43" t="str">
        <f t="shared" si="2"/>
        <v>05 Mei</v>
      </c>
      <c r="G1687" s="45" t="s">
        <v>206</v>
      </c>
      <c r="H1687" s="45" t="s">
        <v>166</v>
      </c>
      <c r="I1687" s="45" t="s">
        <v>1321</v>
      </c>
      <c r="J1687" s="143" t="s">
        <v>119</v>
      </c>
      <c r="K1687" s="43" t="str">
        <f t="array" ref="K1687">IF(J1687="","", XLOOKUP(J1687,'⚙️ Pengaturan'!$E$2:$E3237,'⚙️ Pengaturan'!$G$2:$G3237))</f>
        <v>KLINIK FT PAKET</v>
      </c>
      <c r="L1687" s="43" t="str">
        <f t="shared" si="3"/>
        <v>BARU</v>
      </c>
      <c r="M1687" s="144" t="s">
        <v>60</v>
      </c>
      <c r="N1687" s="145">
        <v>300000.0</v>
      </c>
      <c r="O1687" s="146">
        <v>150000.0</v>
      </c>
      <c r="P1687" s="48">
        <v>750000.0</v>
      </c>
      <c r="Q1687" s="147">
        <f t="shared" si="36"/>
        <v>-300000</v>
      </c>
      <c r="R1687" s="41" t="s">
        <v>32</v>
      </c>
      <c r="S1687" s="69" t="s">
        <v>33</v>
      </c>
      <c r="T1687" s="51" t="b">
        <v>1</v>
      </c>
      <c r="U1687" s="94" t="s">
        <v>1063</v>
      </c>
    </row>
    <row r="1688" ht="30.0" customHeight="1">
      <c r="A1688" s="39"/>
      <c r="B1688" s="40">
        <v>3725.0</v>
      </c>
      <c r="C1688" s="41" t="s">
        <v>79</v>
      </c>
      <c r="D1688" s="86">
        <v>46158.0</v>
      </c>
      <c r="E1688" s="43" t="str">
        <f t="shared" si="1"/>
        <v>2026</v>
      </c>
      <c r="F1688" s="43" t="str">
        <f t="shared" si="2"/>
        <v>05 Mei</v>
      </c>
      <c r="G1688" s="45" t="s">
        <v>161</v>
      </c>
      <c r="H1688" s="45" t="s">
        <v>150</v>
      </c>
      <c r="I1688" s="45" t="s">
        <v>1265</v>
      </c>
      <c r="J1688" s="143" t="s">
        <v>119</v>
      </c>
      <c r="K1688" s="43" t="str">
        <f t="array" ref="K1688">IF(J1688="","", XLOOKUP(J1688,'⚙️ Pengaturan'!$E$2:$E3237,'⚙️ Pengaturan'!$G$2:$G3237))</f>
        <v>KLINIK FT PAKET</v>
      </c>
      <c r="L1688" s="43" t="str">
        <f t="shared" si="3"/>
        <v>BARU</v>
      </c>
      <c r="M1688" s="144" t="s">
        <v>31</v>
      </c>
      <c r="N1688" s="145">
        <v>600000.0</v>
      </c>
      <c r="O1688" s="146">
        <v>150000.0</v>
      </c>
      <c r="P1688" s="48">
        <f t="array" ref="P1688">IFNA(XLOOKUP(J1688,'⚙️ Pengaturan'!$E$2:$E3237,'⚙️ Pengaturan'!$F$2:$F3237),"")</f>
        <v>750000</v>
      </c>
      <c r="Q1688" s="147">
        <f t="shared" si="36"/>
        <v>0</v>
      </c>
      <c r="R1688" s="41" t="s">
        <v>32</v>
      </c>
      <c r="S1688" s="69" t="s">
        <v>33</v>
      </c>
      <c r="T1688" s="51" t="b">
        <v>1</v>
      </c>
      <c r="U1688" s="94" t="s">
        <v>1063</v>
      </c>
    </row>
    <row r="1689" ht="30.0" customHeight="1">
      <c r="A1689" s="39"/>
      <c r="B1689" s="40">
        <v>3726.0</v>
      </c>
      <c r="C1689" s="41" t="s">
        <v>79</v>
      </c>
      <c r="D1689" s="86">
        <v>46158.0</v>
      </c>
      <c r="E1689" s="43" t="str">
        <f t="shared" si="1"/>
        <v>2026</v>
      </c>
      <c r="F1689" s="43" t="str">
        <f t="shared" si="2"/>
        <v>05 Mei</v>
      </c>
      <c r="G1689" s="45" t="s">
        <v>161</v>
      </c>
      <c r="H1689" s="45" t="s">
        <v>166</v>
      </c>
      <c r="I1689" s="45" t="s">
        <v>1315</v>
      </c>
      <c r="J1689" s="143" t="s">
        <v>347</v>
      </c>
      <c r="K1689" s="43" t="str">
        <f t="array" ref="K1689">IF(J1689="","", XLOOKUP(J1689,'⚙️ Pengaturan'!$E$2:$E3237,'⚙️ Pengaturan'!$G$2:$G3237))</f>
        <v>KLINIK FT PAKET</v>
      </c>
      <c r="L1689" s="43" t="str">
        <f t="shared" si="3"/>
        <v>BARU</v>
      </c>
      <c r="M1689" s="144" t="s">
        <v>60</v>
      </c>
      <c r="N1689" s="145">
        <v>300000.0</v>
      </c>
      <c r="O1689" s="146">
        <v>260000.0</v>
      </c>
      <c r="P1689" s="48">
        <f t="array" ref="P1689">IFNA(XLOOKUP(J1689,'⚙️ Pengaturan'!$E$2:$E3237,'⚙️ Pengaturan'!$F$2:$F3237),"")</f>
        <v>1300000</v>
      </c>
      <c r="Q1689" s="147">
        <f t="shared" si="36"/>
        <v>-740000</v>
      </c>
      <c r="R1689" s="41" t="s">
        <v>37</v>
      </c>
      <c r="S1689" s="69" t="s">
        <v>1315</v>
      </c>
      <c r="T1689" s="51" t="b">
        <v>1</v>
      </c>
      <c r="U1689" s="94" t="s">
        <v>1063</v>
      </c>
    </row>
    <row r="1690" ht="30.0" customHeight="1">
      <c r="A1690" s="39"/>
      <c r="B1690" s="40">
        <v>3727.0</v>
      </c>
      <c r="C1690" s="41" t="s">
        <v>39</v>
      </c>
      <c r="D1690" s="86">
        <v>46158.0</v>
      </c>
      <c r="E1690" s="43" t="str">
        <f t="shared" si="1"/>
        <v>2026</v>
      </c>
      <c r="F1690" s="43" t="str">
        <f t="shared" si="2"/>
        <v>05 Mei</v>
      </c>
      <c r="G1690" s="45" t="s">
        <v>161</v>
      </c>
      <c r="H1690" s="45" t="s">
        <v>26</v>
      </c>
      <c r="I1690" s="45" t="s">
        <v>1328</v>
      </c>
      <c r="J1690" s="143" t="s">
        <v>28</v>
      </c>
      <c r="K1690" s="43" t="str">
        <f t="array" ref="K1690">IF(J1690="","", XLOOKUP(J1690,'⚙️ Pengaturan'!$E$2:$E3237,'⚙️ Pengaturan'!$G$2:$G3237))</f>
        <v>KLINIK FT TA</v>
      </c>
      <c r="L1690" s="43" t="str">
        <f t="shared" si="3"/>
        <v>BARU</v>
      </c>
      <c r="M1690" s="144" t="s">
        <v>31</v>
      </c>
      <c r="N1690" s="145">
        <v>250000.0</v>
      </c>
      <c r="O1690" s="146">
        <v>0.0</v>
      </c>
      <c r="P1690" s="48">
        <f t="array" ref="P1690">IFNA(XLOOKUP(J1690,'⚙️ Pengaturan'!$E$2:$E3237,'⚙️ Pengaturan'!$F$2:$F3237),"")</f>
        <v>250000</v>
      </c>
      <c r="Q1690" s="147">
        <f t="shared" si="36"/>
        <v>0</v>
      </c>
      <c r="R1690" s="41" t="s">
        <v>37</v>
      </c>
      <c r="S1690" s="69" t="s">
        <v>1315</v>
      </c>
      <c r="T1690" s="51" t="b">
        <v>1</v>
      </c>
      <c r="U1690" s="94"/>
    </row>
    <row r="1691" ht="30.0" customHeight="1">
      <c r="A1691" s="39"/>
      <c r="B1691" s="40">
        <v>3728.0</v>
      </c>
      <c r="C1691" s="41" t="s">
        <v>39</v>
      </c>
      <c r="D1691" s="86">
        <v>46158.0</v>
      </c>
      <c r="E1691" s="43" t="str">
        <f t="shared" si="1"/>
        <v>2026</v>
      </c>
      <c r="F1691" s="43" t="str">
        <f t="shared" si="2"/>
        <v>05 Mei</v>
      </c>
      <c r="G1691" s="45" t="s">
        <v>173</v>
      </c>
      <c r="H1691" s="45" t="s">
        <v>47</v>
      </c>
      <c r="I1691" s="45" t="s">
        <v>1329</v>
      </c>
      <c r="J1691" s="143" t="s">
        <v>28</v>
      </c>
      <c r="K1691" s="43" t="str">
        <f t="array" ref="K1691">IF(J1691="","", XLOOKUP(J1691,'⚙️ Pengaturan'!$E$2:$E3237,'⚙️ Pengaturan'!$G$2:$G3237))</f>
        <v>KLINIK FT TA</v>
      </c>
      <c r="L1691" s="43" t="str">
        <f t="shared" si="3"/>
        <v>BARU</v>
      </c>
      <c r="M1691" s="144" t="s">
        <v>31</v>
      </c>
      <c r="N1691" s="145">
        <v>200000.0</v>
      </c>
      <c r="O1691" s="146">
        <v>50000.0</v>
      </c>
      <c r="P1691" s="48">
        <f t="array" ref="P1691">IFNA(XLOOKUP(J1691,'⚙️ Pengaturan'!$E$2:$E3237,'⚙️ Pengaturan'!$F$2:$F3237),"")</f>
        <v>250000</v>
      </c>
      <c r="Q1691" s="147">
        <f t="shared" si="36"/>
        <v>0</v>
      </c>
      <c r="R1691" s="41" t="s">
        <v>32</v>
      </c>
      <c r="S1691" s="69" t="s">
        <v>33</v>
      </c>
      <c r="T1691" s="51" t="b">
        <v>1</v>
      </c>
      <c r="U1691" s="94" t="s">
        <v>1063</v>
      </c>
    </row>
    <row r="1692" ht="30.0" customHeight="1">
      <c r="A1692" s="39"/>
      <c r="B1692" s="40">
        <v>3729.0</v>
      </c>
      <c r="C1692" s="41" t="s">
        <v>39</v>
      </c>
      <c r="D1692" s="86">
        <v>46158.0</v>
      </c>
      <c r="E1692" s="43" t="str">
        <f t="shared" si="1"/>
        <v>2026</v>
      </c>
      <c r="F1692" s="43" t="str">
        <f t="shared" si="2"/>
        <v>05 Mei</v>
      </c>
      <c r="G1692" s="45" t="s">
        <v>173</v>
      </c>
      <c r="H1692" s="45" t="s">
        <v>41</v>
      </c>
      <c r="I1692" s="45" t="s">
        <v>1330</v>
      </c>
      <c r="J1692" s="143" t="s">
        <v>28</v>
      </c>
      <c r="K1692" s="43" t="str">
        <f t="array" ref="K1692">IF(J1692="","", XLOOKUP(J1692,'⚙️ Pengaturan'!$E$2:$E3237,'⚙️ Pengaturan'!$G$2:$G3237))</f>
        <v>KLINIK FT TA</v>
      </c>
      <c r="L1692" s="43" t="str">
        <f t="shared" si="3"/>
        <v>BARU</v>
      </c>
      <c r="M1692" s="144" t="s">
        <v>31</v>
      </c>
      <c r="N1692" s="145">
        <v>200000.0</v>
      </c>
      <c r="O1692" s="146">
        <v>50000.0</v>
      </c>
      <c r="P1692" s="48">
        <f t="array" ref="P1692">IFNA(XLOOKUP(J1692,'⚙️ Pengaturan'!$E$2:$E3237,'⚙️ Pengaturan'!$F$2:$F3237),"")</f>
        <v>250000</v>
      </c>
      <c r="Q1692" s="147">
        <f t="shared" si="36"/>
        <v>0</v>
      </c>
      <c r="R1692" s="41" t="s">
        <v>37</v>
      </c>
      <c r="S1692" s="69" t="s">
        <v>1330</v>
      </c>
      <c r="T1692" s="51" t="b">
        <v>1</v>
      </c>
      <c r="U1692" s="94" t="s">
        <v>1063</v>
      </c>
    </row>
    <row r="1693" ht="30.0" customHeight="1">
      <c r="A1693" s="39"/>
      <c r="B1693" s="40">
        <v>3730.0</v>
      </c>
      <c r="C1693" s="41" t="s">
        <v>39</v>
      </c>
      <c r="D1693" s="86">
        <v>46158.0</v>
      </c>
      <c r="E1693" s="43" t="str">
        <f t="shared" si="1"/>
        <v>2026</v>
      </c>
      <c r="F1693" s="43" t="str">
        <f t="shared" si="2"/>
        <v>05 Mei</v>
      </c>
      <c r="G1693" s="45" t="s">
        <v>69</v>
      </c>
      <c r="H1693" s="45" t="s">
        <v>41</v>
      </c>
      <c r="I1693" s="45" t="s">
        <v>1312</v>
      </c>
      <c r="J1693" s="143" t="s">
        <v>138</v>
      </c>
      <c r="K1693" s="43" t="str">
        <f t="array" ref="K1693">IF(J1693="","", XLOOKUP(J1693,'⚙️ Pengaturan'!$E$2:$E3237,'⚙️ Pengaturan'!$G$2:$G3237))</f>
        <v>VISIT FT PAKET</v>
      </c>
      <c r="L1693" s="43" t="str">
        <f t="shared" si="3"/>
        <v>BARU</v>
      </c>
      <c r="M1693" s="144" t="s">
        <v>60</v>
      </c>
      <c r="N1693" s="145">
        <v>1000000.0</v>
      </c>
      <c r="O1693" s="146">
        <v>0.0</v>
      </c>
      <c r="P1693" s="48">
        <f t="array" ref="P1693">IFNA(XLOOKUP(J1693,'⚙️ Pengaturan'!$E$2:$E3237,'⚙️ Pengaturan'!$F$2:$F3237),"")</f>
        <v>1800000</v>
      </c>
      <c r="Q1693" s="147">
        <f t="shared" si="36"/>
        <v>-800000</v>
      </c>
      <c r="R1693" s="41" t="s">
        <v>32</v>
      </c>
      <c r="S1693" s="69" t="s">
        <v>33</v>
      </c>
      <c r="T1693" s="51" t="b">
        <v>1</v>
      </c>
      <c r="U1693" s="94"/>
    </row>
    <row r="1694" ht="30.0" customHeight="1">
      <c r="A1694" s="39"/>
      <c r="B1694" s="161">
        <v>3731.0</v>
      </c>
      <c r="C1694" s="41" t="s">
        <v>39</v>
      </c>
      <c r="D1694" s="86">
        <v>46158.0</v>
      </c>
      <c r="E1694" s="43" t="str">
        <f t="shared" si="1"/>
        <v>2026</v>
      </c>
      <c r="F1694" s="43" t="str">
        <f t="shared" si="2"/>
        <v>05 Mei</v>
      </c>
      <c r="G1694" s="45" t="s">
        <v>46</v>
      </c>
      <c r="H1694" s="45" t="s">
        <v>47</v>
      </c>
      <c r="I1694" s="45" t="s">
        <v>1331</v>
      </c>
      <c r="J1694" s="143" t="s">
        <v>28</v>
      </c>
      <c r="K1694" s="43" t="str">
        <f t="array" ref="K1694">IF(J1694="","", XLOOKUP(J1694,'⚙️ Pengaturan'!$E$2:$E3237,'⚙️ Pengaturan'!$G$2:$G3237))</f>
        <v>KLINIK FT TA</v>
      </c>
      <c r="L1694" s="43" t="str">
        <f t="shared" si="3"/>
        <v>BARU</v>
      </c>
      <c r="M1694" s="144" t="s">
        <v>31</v>
      </c>
      <c r="N1694" s="145">
        <v>250000.0</v>
      </c>
      <c r="O1694" s="146">
        <v>0.0</v>
      </c>
      <c r="P1694" s="48">
        <f t="array" ref="P1694">IFNA(XLOOKUP(J1694,'⚙️ Pengaturan'!$E$2:$E3237,'⚙️ Pengaturan'!$F$2:$F3237),"")</f>
        <v>250000</v>
      </c>
      <c r="Q1694" s="147">
        <f t="shared" si="36"/>
        <v>0</v>
      </c>
      <c r="R1694" s="41" t="s">
        <v>32</v>
      </c>
      <c r="S1694" s="69" t="s">
        <v>33</v>
      </c>
      <c r="T1694" s="51" t="b">
        <v>1</v>
      </c>
      <c r="U1694" s="94"/>
    </row>
    <row r="1695" ht="30.0" customHeight="1">
      <c r="A1695" s="39"/>
      <c r="B1695" s="40">
        <v>3732.0</v>
      </c>
      <c r="C1695" s="41" t="s">
        <v>39</v>
      </c>
      <c r="D1695" s="86">
        <v>46158.0</v>
      </c>
      <c r="E1695" s="43" t="str">
        <f t="shared" si="1"/>
        <v>2026</v>
      </c>
      <c r="F1695" s="43" t="str">
        <f t="shared" si="2"/>
        <v>05 Mei</v>
      </c>
      <c r="G1695" s="45" t="s">
        <v>69</v>
      </c>
      <c r="H1695" s="45" t="s">
        <v>96</v>
      </c>
      <c r="I1695" s="45" t="s">
        <v>1307</v>
      </c>
      <c r="J1695" s="143" t="s">
        <v>120</v>
      </c>
      <c r="K1695" s="43" t="str">
        <f t="array" ref="K1695">IF(J1695="","", XLOOKUP(J1695,'⚙️ Pengaturan'!$E$2:$E3237,'⚙️ Pengaturan'!$G$2:$G3237))</f>
        <v>KLINIK FT SESI</v>
      </c>
      <c r="L1695" s="43" t="str">
        <f t="shared" si="3"/>
        <v>BARU</v>
      </c>
      <c r="M1695" s="144" t="s">
        <v>31</v>
      </c>
      <c r="N1695" s="145">
        <v>144000.0</v>
      </c>
      <c r="O1695" s="146">
        <v>36000.0</v>
      </c>
      <c r="P1695" s="48">
        <f t="array" ref="P1695">IFNA(XLOOKUP(J1695,'⚙️ Pengaturan'!$E$2:$E3237,'⚙️ Pengaturan'!$F$2:$F3237),"")</f>
        <v>180000</v>
      </c>
      <c r="Q1695" s="153">
        <v>0.0</v>
      </c>
      <c r="R1695" s="41" t="s">
        <v>32</v>
      </c>
      <c r="S1695" s="69" t="s">
        <v>33</v>
      </c>
      <c r="T1695" s="51" t="b">
        <v>1</v>
      </c>
      <c r="U1695" s="94" t="s">
        <v>1332</v>
      </c>
    </row>
    <row r="1696" ht="30.0" customHeight="1">
      <c r="A1696" s="39"/>
      <c r="B1696" s="161">
        <v>3733.0</v>
      </c>
      <c r="C1696" s="41" t="s">
        <v>79</v>
      </c>
      <c r="D1696" s="86">
        <v>46159.0</v>
      </c>
      <c r="E1696" s="43" t="str">
        <f t="shared" si="1"/>
        <v>2026</v>
      </c>
      <c r="F1696" s="43" t="str">
        <f t="shared" si="2"/>
        <v>05 Mei</v>
      </c>
      <c r="G1696" s="45" t="s">
        <v>195</v>
      </c>
      <c r="H1696" s="45" t="s">
        <v>47</v>
      </c>
      <c r="I1696" s="45" t="s">
        <v>1333</v>
      </c>
      <c r="J1696" s="143" t="s">
        <v>28</v>
      </c>
      <c r="K1696" s="43" t="str">
        <f t="array" ref="K1696">IF(J1696="","", XLOOKUP(J1696,'⚙️ Pengaturan'!$E$2:$E3237,'⚙️ Pengaturan'!$G$2:$G3237))</f>
        <v>KLINIK FT TA</v>
      </c>
      <c r="L1696" s="43" t="str">
        <f t="shared" si="3"/>
        <v>BARU</v>
      </c>
      <c r="M1696" s="144" t="s">
        <v>31</v>
      </c>
      <c r="N1696" s="145">
        <v>250000.0</v>
      </c>
      <c r="O1696" s="146">
        <v>0.0</v>
      </c>
      <c r="P1696" s="48">
        <v>250000.0</v>
      </c>
      <c r="Q1696" s="147">
        <v>0.0</v>
      </c>
      <c r="R1696" s="41" t="s">
        <v>37</v>
      </c>
      <c r="S1696" s="69" t="s">
        <v>1333</v>
      </c>
      <c r="T1696" s="51" t="b">
        <v>1</v>
      </c>
      <c r="U1696" s="94"/>
    </row>
    <row r="1697" ht="30.0" customHeight="1">
      <c r="A1697" s="39"/>
      <c r="B1697" s="40">
        <v>3734.0</v>
      </c>
      <c r="C1697" s="41" t="s">
        <v>79</v>
      </c>
      <c r="D1697" s="86">
        <v>46159.0</v>
      </c>
      <c r="E1697" s="43" t="str">
        <f t="shared" si="1"/>
        <v>2026</v>
      </c>
      <c r="F1697" s="43" t="str">
        <f t="shared" si="2"/>
        <v>05 Mei</v>
      </c>
      <c r="G1697" s="45" t="s">
        <v>25</v>
      </c>
      <c r="H1697" s="45" t="s">
        <v>41</v>
      </c>
      <c r="I1697" s="45" t="s">
        <v>1334</v>
      </c>
      <c r="J1697" s="143" t="s">
        <v>28</v>
      </c>
      <c r="K1697" s="43" t="str">
        <f t="array" ref="K1697">IF(J1697="","", XLOOKUP(J1697,'⚙️ Pengaturan'!$E$2:$E3237,'⚙️ Pengaturan'!$G$2:$G3237))</f>
        <v>KLINIK FT TA</v>
      </c>
      <c r="L1697" s="43" t="str">
        <f t="shared" si="3"/>
        <v>BARU</v>
      </c>
      <c r="M1697" s="144" t="s">
        <v>31</v>
      </c>
      <c r="N1697" s="145">
        <v>250000.0</v>
      </c>
      <c r="O1697" s="146">
        <v>0.0</v>
      </c>
      <c r="P1697" s="48">
        <v>250000.0</v>
      </c>
      <c r="Q1697" s="147">
        <v>0.0</v>
      </c>
      <c r="R1697" s="41" t="s">
        <v>37</v>
      </c>
      <c r="S1697" s="69" t="s">
        <v>1334</v>
      </c>
      <c r="T1697" s="51" t="b">
        <v>1</v>
      </c>
      <c r="U1697" s="94"/>
    </row>
    <row r="1698" ht="30.0" customHeight="1">
      <c r="A1698" s="39"/>
      <c r="B1698" s="161">
        <v>3735.0</v>
      </c>
      <c r="C1698" s="41" t="s">
        <v>79</v>
      </c>
      <c r="D1698" s="86">
        <v>46159.0</v>
      </c>
      <c r="E1698" s="43" t="str">
        <f t="shared" si="1"/>
        <v>2026</v>
      </c>
      <c r="F1698" s="43" t="str">
        <f t="shared" si="2"/>
        <v>05 Mei</v>
      </c>
      <c r="G1698" s="45" t="s">
        <v>206</v>
      </c>
      <c r="H1698" s="45" t="s">
        <v>41</v>
      </c>
      <c r="I1698" s="45" t="s">
        <v>1335</v>
      </c>
      <c r="J1698" s="143" t="s">
        <v>28</v>
      </c>
      <c r="K1698" s="43" t="str">
        <f t="array" ref="K1698">IF(J1698="","", XLOOKUP(J1698,'⚙️ Pengaturan'!$E$2:$E3237,'⚙️ Pengaturan'!$G$2:$G3237))</f>
        <v>KLINIK FT TA</v>
      </c>
      <c r="L1698" s="43" t="str">
        <f t="shared" si="3"/>
        <v>BARU</v>
      </c>
      <c r="M1698" s="144" t="s">
        <v>31</v>
      </c>
      <c r="N1698" s="145">
        <v>250000.0</v>
      </c>
      <c r="O1698" s="146">
        <v>0.0</v>
      </c>
      <c r="P1698" s="48">
        <v>250000.0</v>
      </c>
      <c r="Q1698" s="147">
        <v>0.0</v>
      </c>
      <c r="R1698" s="41" t="s">
        <v>37</v>
      </c>
      <c r="S1698" s="69" t="s">
        <v>1336</v>
      </c>
      <c r="T1698" s="51" t="b">
        <v>1</v>
      </c>
      <c r="U1698" s="94"/>
    </row>
    <row r="1699" ht="30.0" customHeight="1">
      <c r="A1699" s="39"/>
      <c r="B1699" s="40">
        <v>3736.0</v>
      </c>
      <c r="C1699" s="41" t="s">
        <v>79</v>
      </c>
      <c r="D1699" s="86">
        <v>46159.0</v>
      </c>
      <c r="E1699" s="43" t="str">
        <f t="shared" si="1"/>
        <v>2026</v>
      </c>
      <c r="F1699" s="43" t="str">
        <f t="shared" si="2"/>
        <v>05 Mei</v>
      </c>
      <c r="G1699" s="45" t="s">
        <v>206</v>
      </c>
      <c r="H1699" s="45" t="s">
        <v>47</v>
      </c>
      <c r="I1699" s="45" t="s">
        <v>1281</v>
      </c>
      <c r="J1699" s="143" t="s">
        <v>120</v>
      </c>
      <c r="K1699" s="43" t="str">
        <f t="array" ref="K1699">IF(J1699="","", XLOOKUP(J1699,'⚙️ Pengaturan'!$E$2:$E3237,'⚙️ Pengaturan'!$G$2:$G3237))</f>
        <v>KLINIK FT SESI</v>
      </c>
      <c r="L1699" s="43" t="str">
        <f t="shared" si="3"/>
        <v>LANJUTAN</v>
      </c>
      <c r="M1699" s="144" t="s">
        <v>31</v>
      </c>
      <c r="N1699" s="145">
        <v>180000.0</v>
      </c>
      <c r="O1699" s="146">
        <v>0.0</v>
      </c>
      <c r="P1699" s="48">
        <v>180000.0</v>
      </c>
      <c r="Q1699" s="147">
        <v>0.0</v>
      </c>
      <c r="R1699" s="41" t="s">
        <v>32</v>
      </c>
      <c r="S1699" s="69" t="s">
        <v>33</v>
      </c>
      <c r="T1699" s="51" t="b">
        <v>1</v>
      </c>
      <c r="U1699" s="94"/>
    </row>
    <row r="1700" ht="30.0" customHeight="1">
      <c r="A1700" s="39"/>
      <c r="B1700" s="161">
        <v>3737.0</v>
      </c>
      <c r="C1700" s="41" t="s">
        <v>50</v>
      </c>
      <c r="D1700" s="86">
        <v>46159.0</v>
      </c>
      <c r="E1700" s="43" t="str">
        <f t="shared" si="1"/>
        <v>2026</v>
      </c>
      <c r="F1700" s="43" t="str">
        <f t="shared" si="2"/>
        <v>05 Mei</v>
      </c>
      <c r="G1700" s="45" t="s">
        <v>35</v>
      </c>
      <c r="H1700" s="45" t="s">
        <v>76</v>
      </c>
      <c r="I1700" s="45" t="s">
        <v>1337</v>
      </c>
      <c r="J1700" s="143" t="s">
        <v>28</v>
      </c>
      <c r="K1700" s="43" t="str">
        <f t="array" ref="K1700">IF(J1700="","", XLOOKUP(J1700,'⚙️ Pengaturan'!$E$2:$E3237,'⚙️ Pengaturan'!$G$2:$G3237))</f>
        <v>KLINIK FT TA</v>
      </c>
      <c r="L1700" s="43" t="str">
        <f t="shared" si="3"/>
        <v>BARU</v>
      </c>
      <c r="M1700" s="144" t="s">
        <v>31</v>
      </c>
      <c r="N1700" s="145">
        <v>250000.0</v>
      </c>
      <c r="O1700" s="146">
        <v>0.0</v>
      </c>
      <c r="P1700" s="48">
        <f t="array" ref="P1700">IFNA(XLOOKUP(J1700,'⚙️ Pengaturan'!$E$2:$E3237,'⚙️ Pengaturan'!$F$2:$F3237),"")</f>
        <v>250000</v>
      </c>
      <c r="Q1700" s="147">
        <f t="shared" ref="Q1700:Q1769" si="37">IF(I1700="","",(N1700+O1700)-P1700)</f>
        <v>0</v>
      </c>
      <c r="R1700" s="41" t="s">
        <v>37</v>
      </c>
      <c r="S1700" s="69" t="s">
        <v>1337</v>
      </c>
      <c r="T1700" s="51" t="b">
        <v>1</v>
      </c>
      <c r="U1700" s="94"/>
    </row>
    <row r="1701" ht="30.0" customHeight="1">
      <c r="A1701" s="39"/>
      <c r="B1701" s="40">
        <v>3738.0</v>
      </c>
      <c r="C1701" s="41" t="s">
        <v>50</v>
      </c>
      <c r="D1701" s="86">
        <v>46159.0</v>
      </c>
      <c r="E1701" s="43" t="str">
        <f t="shared" si="1"/>
        <v>2026</v>
      </c>
      <c r="F1701" s="43" t="str">
        <f t="shared" si="2"/>
        <v>05 Mei</v>
      </c>
      <c r="G1701" s="45" t="s">
        <v>35</v>
      </c>
      <c r="H1701" s="45" t="s">
        <v>76</v>
      </c>
      <c r="I1701" s="45" t="s">
        <v>1337</v>
      </c>
      <c r="J1701" s="143" t="s">
        <v>119</v>
      </c>
      <c r="K1701" s="43" t="str">
        <f t="array" ref="K1701">IF(J1701="","", XLOOKUP(J1701,'⚙️ Pengaturan'!$E$2:$E3237,'⚙️ Pengaturan'!$G$2:$G3237))</f>
        <v>KLINIK FT PAKET</v>
      </c>
      <c r="L1701" s="43" t="str">
        <f t="shared" si="3"/>
        <v>BARU</v>
      </c>
      <c r="M1701" s="144" t="s">
        <v>60</v>
      </c>
      <c r="N1701" s="145">
        <v>500000.0</v>
      </c>
      <c r="O1701" s="146">
        <v>0.0</v>
      </c>
      <c r="P1701" s="48">
        <f t="array" ref="P1701">IFNA(XLOOKUP(J1701,'⚙️ Pengaturan'!$E$2:$E3237,'⚙️ Pengaturan'!$F$2:$F3237),"")</f>
        <v>750000</v>
      </c>
      <c r="Q1701" s="147">
        <f t="shared" si="37"/>
        <v>-250000</v>
      </c>
      <c r="R1701" s="41" t="s">
        <v>37</v>
      </c>
      <c r="S1701" s="69" t="s">
        <v>1337</v>
      </c>
      <c r="T1701" s="51" t="b">
        <v>1</v>
      </c>
      <c r="U1701" s="94"/>
    </row>
    <row r="1702" ht="30.0" customHeight="1">
      <c r="A1702" s="39"/>
      <c r="B1702" s="161">
        <v>3739.0</v>
      </c>
      <c r="C1702" s="41" t="s">
        <v>50</v>
      </c>
      <c r="D1702" s="86">
        <v>46159.0</v>
      </c>
      <c r="E1702" s="43" t="str">
        <f t="shared" si="1"/>
        <v>2026</v>
      </c>
      <c r="F1702" s="43" t="str">
        <f t="shared" si="2"/>
        <v>05 Mei</v>
      </c>
      <c r="G1702" s="45" t="s">
        <v>35</v>
      </c>
      <c r="H1702" s="45" t="s">
        <v>149</v>
      </c>
      <c r="I1702" s="121" t="s">
        <v>1338</v>
      </c>
      <c r="J1702" s="143" t="s">
        <v>119</v>
      </c>
      <c r="K1702" s="43" t="str">
        <f t="array" ref="K1702">IF(J1702="","", XLOOKUP(J1702,'⚙️ Pengaturan'!$E$2:$E3237,'⚙️ Pengaturan'!$G$2:$G3237))</f>
        <v>KLINIK FT PAKET</v>
      </c>
      <c r="L1702" s="43" t="str">
        <f t="shared" si="3"/>
        <v>LANJUTAN</v>
      </c>
      <c r="M1702" s="144" t="s">
        <v>31</v>
      </c>
      <c r="N1702" s="145">
        <v>750000.0</v>
      </c>
      <c r="O1702" s="146">
        <v>0.0</v>
      </c>
      <c r="P1702" s="48">
        <f t="array" ref="P1702">IFNA(XLOOKUP(J1702,'⚙️ Pengaturan'!$E$2:$E3237,'⚙️ Pengaturan'!$F$2:$F3237),"")</f>
        <v>750000</v>
      </c>
      <c r="Q1702" s="147">
        <f t="shared" si="37"/>
        <v>0</v>
      </c>
      <c r="R1702" s="41" t="s">
        <v>37</v>
      </c>
      <c r="S1702" s="69" t="s">
        <v>1339</v>
      </c>
      <c r="T1702" s="51" t="b">
        <v>1</v>
      </c>
      <c r="U1702" s="94"/>
    </row>
    <row r="1703" ht="30.0" customHeight="1">
      <c r="A1703" s="39"/>
      <c r="B1703" s="40">
        <v>3740.0</v>
      </c>
      <c r="C1703" s="41" t="s">
        <v>50</v>
      </c>
      <c r="D1703" s="86">
        <v>46159.0</v>
      </c>
      <c r="E1703" s="43" t="str">
        <f t="shared" si="1"/>
        <v>2026</v>
      </c>
      <c r="F1703" s="43" t="str">
        <f t="shared" si="2"/>
        <v>05 Mei</v>
      </c>
      <c r="G1703" s="45" t="s">
        <v>40</v>
      </c>
      <c r="H1703" s="45" t="s">
        <v>162</v>
      </c>
      <c r="I1703" s="45" t="s">
        <v>1340</v>
      </c>
      <c r="J1703" s="143" t="s">
        <v>28</v>
      </c>
      <c r="K1703" s="43" t="str">
        <f t="array" ref="K1703">IF(J1703="","", XLOOKUP(J1703,'⚙️ Pengaturan'!$E$2:$E3237,'⚙️ Pengaturan'!$G$2:$G3237))</f>
        <v>KLINIK FT TA</v>
      </c>
      <c r="L1703" s="43" t="str">
        <f t="shared" si="3"/>
        <v>BARU</v>
      </c>
      <c r="M1703" s="144" t="s">
        <v>31</v>
      </c>
      <c r="N1703" s="145">
        <v>250000.0</v>
      </c>
      <c r="O1703" s="146">
        <v>0.0</v>
      </c>
      <c r="P1703" s="48">
        <f t="array" ref="P1703">IFNA(XLOOKUP(J1703,'⚙️ Pengaturan'!$E$2:$E3237,'⚙️ Pengaturan'!$F$2:$F3237),"")</f>
        <v>250000</v>
      </c>
      <c r="Q1703" s="147">
        <f t="shared" si="37"/>
        <v>0</v>
      </c>
      <c r="R1703" s="41" t="s">
        <v>32</v>
      </c>
      <c r="S1703" s="69" t="s">
        <v>33</v>
      </c>
      <c r="T1703" s="51" t="b">
        <v>1</v>
      </c>
      <c r="U1703" s="94"/>
    </row>
    <row r="1704" ht="30.0" customHeight="1">
      <c r="A1704" s="39"/>
      <c r="B1704" s="161">
        <v>3741.0</v>
      </c>
      <c r="C1704" s="41" t="s">
        <v>50</v>
      </c>
      <c r="D1704" s="86">
        <v>46159.0</v>
      </c>
      <c r="E1704" s="43" t="str">
        <f t="shared" si="1"/>
        <v>2026</v>
      </c>
      <c r="F1704" s="43" t="str">
        <f t="shared" si="2"/>
        <v>05 Mei</v>
      </c>
      <c r="G1704" s="45" t="s">
        <v>43</v>
      </c>
      <c r="H1704" s="45" t="s">
        <v>26</v>
      </c>
      <c r="I1704" s="45" t="s">
        <v>1328</v>
      </c>
      <c r="J1704" s="143" t="s">
        <v>119</v>
      </c>
      <c r="K1704" s="43" t="str">
        <f t="array" ref="K1704">IF(J1704="","", XLOOKUP(J1704,'⚙️ Pengaturan'!$E$2:$E3237,'⚙️ Pengaturan'!$G$2:$G3237))</f>
        <v>KLINIK FT PAKET</v>
      </c>
      <c r="L1704" s="43" t="str">
        <f t="shared" si="3"/>
        <v>BARU</v>
      </c>
      <c r="M1704" s="144" t="s">
        <v>31</v>
      </c>
      <c r="N1704" s="145">
        <v>750000.0</v>
      </c>
      <c r="O1704" s="146">
        <v>0.0</v>
      </c>
      <c r="P1704" s="48">
        <f t="array" ref="P1704">IFNA(XLOOKUP(J1704,'⚙️ Pengaturan'!$E$2:$E3237,'⚙️ Pengaturan'!$F$2:$F3237),"")</f>
        <v>750000</v>
      </c>
      <c r="Q1704" s="147">
        <f t="shared" si="37"/>
        <v>0</v>
      </c>
      <c r="R1704" s="41" t="s">
        <v>37</v>
      </c>
      <c r="S1704" s="69" t="s">
        <v>1328</v>
      </c>
      <c r="T1704" s="51" t="b">
        <v>1</v>
      </c>
      <c r="U1704" s="94"/>
    </row>
    <row r="1705" ht="30.0" customHeight="1">
      <c r="A1705" s="39"/>
      <c r="B1705" s="40">
        <v>3742.0</v>
      </c>
      <c r="C1705" s="41" t="s">
        <v>50</v>
      </c>
      <c r="D1705" s="86">
        <v>46159.0</v>
      </c>
      <c r="E1705" s="43" t="str">
        <f t="shared" si="1"/>
        <v>2026</v>
      </c>
      <c r="F1705" s="43" t="str">
        <f t="shared" si="2"/>
        <v>05 Mei</v>
      </c>
      <c r="G1705" s="45" t="s">
        <v>43</v>
      </c>
      <c r="H1705" s="45" t="s">
        <v>1341</v>
      </c>
      <c r="I1705" s="45" t="s">
        <v>1342</v>
      </c>
      <c r="J1705" s="143" t="s">
        <v>28</v>
      </c>
      <c r="K1705" s="43" t="str">
        <f t="array" ref="K1705">IF(J1705="","", XLOOKUP(J1705,'⚙️ Pengaturan'!$E$2:$E3237,'⚙️ Pengaturan'!$G$2:$G3237))</f>
        <v>KLINIK FT TA</v>
      </c>
      <c r="L1705" s="43" t="str">
        <f t="shared" si="3"/>
        <v>BARU</v>
      </c>
      <c r="M1705" s="144" t="s">
        <v>31</v>
      </c>
      <c r="N1705" s="145">
        <v>250000.0</v>
      </c>
      <c r="O1705" s="146">
        <v>0.0</v>
      </c>
      <c r="P1705" s="48">
        <f t="array" ref="P1705">IFNA(XLOOKUP(J1705,'⚙️ Pengaturan'!$E$2:$E3237,'⚙️ Pengaturan'!$F$2:$F3237),"")</f>
        <v>250000</v>
      </c>
      <c r="Q1705" s="147">
        <f t="shared" si="37"/>
        <v>0</v>
      </c>
      <c r="R1705" s="41" t="s">
        <v>118</v>
      </c>
      <c r="S1705" s="69" t="s">
        <v>1343</v>
      </c>
      <c r="T1705" s="51" t="b">
        <v>1</v>
      </c>
      <c r="U1705" s="94"/>
    </row>
    <row r="1706" ht="30.0" customHeight="1">
      <c r="A1706" s="39"/>
      <c r="B1706" s="161">
        <v>3743.0</v>
      </c>
      <c r="C1706" s="41" t="s">
        <v>50</v>
      </c>
      <c r="D1706" s="86">
        <v>46159.0</v>
      </c>
      <c r="E1706" s="43" t="str">
        <f t="shared" si="1"/>
        <v>2026</v>
      </c>
      <c r="F1706" s="43" t="str">
        <f t="shared" si="2"/>
        <v>05 Mei</v>
      </c>
      <c r="G1706" s="45" t="s">
        <v>173</v>
      </c>
      <c r="H1706" s="45" t="s">
        <v>162</v>
      </c>
      <c r="I1706" s="45" t="s">
        <v>1181</v>
      </c>
      <c r="J1706" s="143" t="s">
        <v>119</v>
      </c>
      <c r="K1706" s="43" t="str">
        <f t="array" ref="K1706">IF(J1706="","", XLOOKUP(J1706,'⚙️ Pengaturan'!$E$2:$E3237,'⚙️ Pengaturan'!$G$2:$G3237))</f>
        <v>KLINIK FT PAKET</v>
      </c>
      <c r="L1706" s="43" t="str">
        <f t="shared" si="3"/>
        <v>BARU</v>
      </c>
      <c r="M1706" s="144" t="s">
        <v>31</v>
      </c>
      <c r="N1706" s="145">
        <v>750000.0</v>
      </c>
      <c r="O1706" s="146">
        <v>0.0</v>
      </c>
      <c r="P1706" s="48">
        <f t="array" ref="P1706">IFNA(XLOOKUP(J1706,'⚙️ Pengaturan'!$E$2:$E3237,'⚙️ Pengaturan'!$F$2:$F3237),"")</f>
        <v>750000</v>
      </c>
      <c r="Q1706" s="147">
        <f t="shared" si="37"/>
        <v>0</v>
      </c>
      <c r="R1706" s="41" t="s">
        <v>32</v>
      </c>
      <c r="S1706" s="69" t="s">
        <v>33</v>
      </c>
      <c r="T1706" s="51" t="b">
        <v>1</v>
      </c>
      <c r="U1706" s="94"/>
    </row>
    <row r="1707" ht="30.0" customHeight="1">
      <c r="A1707" s="39"/>
      <c r="B1707" s="40">
        <v>3744.0</v>
      </c>
      <c r="C1707" s="41" t="s">
        <v>50</v>
      </c>
      <c r="D1707" s="86">
        <v>46159.0</v>
      </c>
      <c r="E1707" s="43" t="str">
        <f t="shared" si="1"/>
        <v>2026</v>
      </c>
      <c r="F1707" s="43" t="str">
        <f t="shared" si="2"/>
        <v>05 Mei</v>
      </c>
      <c r="G1707" s="45" t="s">
        <v>173</v>
      </c>
      <c r="H1707" s="45" t="s">
        <v>26</v>
      </c>
      <c r="I1707" s="45" t="s">
        <v>1344</v>
      </c>
      <c r="J1707" s="143" t="s">
        <v>28</v>
      </c>
      <c r="K1707" s="43" t="str">
        <f t="array" ref="K1707">IF(J1707="","", XLOOKUP(J1707,'⚙️ Pengaturan'!$E$2:$E3237,'⚙️ Pengaturan'!$G$2:$G3237))</f>
        <v>KLINIK FT TA</v>
      </c>
      <c r="L1707" s="43" t="str">
        <f t="shared" si="3"/>
        <v>BARU</v>
      </c>
      <c r="M1707" s="144" t="s">
        <v>31</v>
      </c>
      <c r="N1707" s="145">
        <v>250000.0</v>
      </c>
      <c r="O1707" s="146">
        <v>0.0</v>
      </c>
      <c r="P1707" s="48">
        <f t="array" ref="P1707">IFNA(XLOOKUP(J1707,'⚙️ Pengaturan'!$E$2:$E3237,'⚙️ Pengaturan'!$F$2:$F3237),"")</f>
        <v>250000</v>
      </c>
      <c r="Q1707" s="147">
        <f t="shared" si="37"/>
        <v>0</v>
      </c>
      <c r="R1707" s="41" t="s">
        <v>37</v>
      </c>
      <c r="S1707" s="69" t="s">
        <v>1344</v>
      </c>
      <c r="T1707" s="51" t="b">
        <v>1</v>
      </c>
      <c r="U1707" s="94"/>
    </row>
    <row r="1708" ht="30.0" customHeight="1">
      <c r="A1708" s="39"/>
      <c r="B1708" s="161">
        <v>3745.0</v>
      </c>
      <c r="C1708" s="41" t="s">
        <v>50</v>
      </c>
      <c r="D1708" s="86">
        <v>46159.0</v>
      </c>
      <c r="E1708" s="43" t="str">
        <f t="shared" si="1"/>
        <v>2026</v>
      </c>
      <c r="F1708" s="43" t="str">
        <f t="shared" si="2"/>
        <v>05 Mei</v>
      </c>
      <c r="G1708" s="45" t="s">
        <v>155</v>
      </c>
      <c r="H1708" s="45" t="s">
        <v>150</v>
      </c>
      <c r="I1708" s="45" t="s">
        <v>1317</v>
      </c>
      <c r="J1708" s="143" t="s">
        <v>120</v>
      </c>
      <c r="K1708" s="43" t="str">
        <f t="array" ref="K1708">IF(J1708="","", XLOOKUP(J1708,'⚙️ Pengaturan'!$E$2:$E3237,'⚙️ Pengaturan'!$G$2:$G3237))</f>
        <v>KLINIK FT SESI</v>
      </c>
      <c r="L1708" s="43" t="str">
        <f t="shared" si="3"/>
        <v>BARU</v>
      </c>
      <c r="M1708" s="144" t="s">
        <v>31</v>
      </c>
      <c r="N1708" s="145">
        <v>180000.0</v>
      </c>
      <c r="O1708" s="146">
        <v>0.0</v>
      </c>
      <c r="P1708" s="48">
        <f t="array" ref="P1708">IFNA(XLOOKUP(J1708,'⚙️ Pengaturan'!$E$2:$E3237,'⚙️ Pengaturan'!$F$2:$F3237),"")</f>
        <v>180000</v>
      </c>
      <c r="Q1708" s="147">
        <f t="shared" si="37"/>
        <v>0</v>
      </c>
      <c r="R1708" s="41" t="s">
        <v>32</v>
      </c>
      <c r="S1708" s="69" t="s">
        <v>33</v>
      </c>
      <c r="T1708" s="51" t="b">
        <v>1</v>
      </c>
      <c r="U1708" s="94"/>
    </row>
    <row r="1709" ht="30.0" customHeight="1">
      <c r="A1709" s="39"/>
      <c r="B1709" s="40">
        <v>3746.0</v>
      </c>
      <c r="C1709" s="41" t="s">
        <v>50</v>
      </c>
      <c r="D1709" s="86">
        <v>46159.0</v>
      </c>
      <c r="E1709" s="43" t="str">
        <f t="shared" si="1"/>
        <v>2026</v>
      </c>
      <c r="F1709" s="43" t="str">
        <f t="shared" si="2"/>
        <v>05 Mei</v>
      </c>
      <c r="G1709" s="45" t="s">
        <v>69</v>
      </c>
      <c r="H1709" s="45" t="s">
        <v>41</v>
      </c>
      <c r="I1709" s="45" t="s">
        <v>1345</v>
      </c>
      <c r="J1709" s="143" t="s">
        <v>28</v>
      </c>
      <c r="K1709" s="43" t="str">
        <f t="array" ref="K1709">IF(J1709="","", XLOOKUP(J1709,'⚙️ Pengaturan'!$E$2:$E3237,'⚙️ Pengaturan'!$G$2:$G3237))</f>
        <v>KLINIK FT TA</v>
      </c>
      <c r="L1709" s="43" t="str">
        <f t="shared" si="3"/>
        <v>BARU</v>
      </c>
      <c r="M1709" s="144" t="s">
        <v>31</v>
      </c>
      <c r="N1709" s="145">
        <v>250000.0</v>
      </c>
      <c r="O1709" s="146">
        <v>0.0</v>
      </c>
      <c r="P1709" s="48">
        <f t="array" ref="P1709">IFNA(XLOOKUP(J1709,'⚙️ Pengaturan'!$E$2:$E3237,'⚙️ Pengaturan'!$F$2:$F3237),"")</f>
        <v>250000</v>
      </c>
      <c r="Q1709" s="147">
        <f t="shared" si="37"/>
        <v>0</v>
      </c>
      <c r="R1709" s="41" t="s">
        <v>32</v>
      </c>
      <c r="S1709" s="69" t="s">
        <v>33</v>
      </c>
      <c r="T1709" s="51" t="b">
        <v>1</v>
      </c>
      <c r="U1709" s="94"/>
    </row>
    <row r="1710" ht="30.0" customHeight="1">
      <c r="A1710" s="39"/>
      <c r="B1710" s="161">
        <v>3747.0</v>
      </c>
      <c r="C1710" s="41" t="s">
        <v>50</v>
      </c>
      <c r="D1710" s="86">
        <v>46160.0</v>
      </c>
      <c r="E1710" s="43" t="str">
        <f t="shared" si="1"/>
        <v>2026</v>
      </c>
      <c r="F1710" s="43" t="str">
        <f t="shared" si="2"/>
        <v>05 Mei</v>
      </c>
      <c r="G1710" s="45" t="s">
        <v>206</v>
      </c>
      <c r="H1710" s="45" t="s">
        <v>26</v>
      </c>
      <c r="I1710" s="45" t="s">
        <v>440</v>
      </c>
      <c r="J1710" s="143" t="s">
        <v>28</v>
      </c>
      <c r="K1710" s="43" t="str">
        <f t="array" ref="K1710">IF(J1710="","", XLOOKUP(J1710,'⚙️ Pengaturan'!$E$2:$E3237,'⚙️ Pengaturan'!$G$2:$G3237))</f>
        <v>KLINIK FT TA</v>
      </c>
      <c r="L1710" s="43" t="str">
        <f t="shared" si="3"/>
        <v>BARU</v>
      </c>
      <c r="M1710" s="144" t="s">
        <v>31</v>
      </c>
      <c r="N1710" s="145">
        <v>250000.0</v>
      </c>
      <c r="O1710" s="146">
        <v>0.0</v>
      </c>
      <c r="P1710" s="48">
        <f t="array" ref="P1710">IFNA(XLOOKUP(J1710,'⚙️ Pengaturan'!$E$2:$E3237,'⚙️ Pengaturan'!$F$2:$F3237),"")</f>
        <v>250000</v>
      </c>
      <c r="Q1710" s="147">
        <f t="shared" si="37"/>
        <v>0</v>
      </c>
      <c r="R1710" s="41" t="s">
        <v>32</v>
      </c>
      <c r="S1710" s="69" t="s">
        <v>33</v>
      </c>
      <c r="T1710" s="51" t="b">
        <v>1</v>
      </c>
      <c r="U1710" s="94"/>
    </row>
    <row r="1711" ht="30.0" customHeight="1">
      <c r="A1711" s="39"/>
      <c r="B1711" s="40">
        <v>3748.0</v>
      </c>
      <c r="C1711" s="41" t="s">
        <v>50</v>
      </c>
      <c r="D1711" s="86">
        <v>46160.0</v>
      </c>
      <c r="E1711" s="43" t="str">
        <f t="shared" si="1"/>
        <v>2026</v>
      </c>
      <c r="F1711" s="43" t="str">
        <f t="shared" si="2"/>
        <v>05 Mei</v>
      </c>
      <c r="G1711" s="45" t="s">
        <v>35</v>
      </c>
      <c r="H1711" s="45" t="s">
        <v>162</v>
      </c>
      <c r="I1711" s="45" t="s">
        <v>964</v>
      </c>
      <c r="J1711" s="143" t="s">
        <v>120</v>
      </c>
      <c r="K1711" s="43" t="str">
        <f t="array" ref="K1711">IF(J1711="","", XLOOKUP(J1711,'⚙️ Pengaturan'!$E$2:$E3237,'⚙️ Pengaturan'!$G$2:$G3237))</f>
        <v>KLINIK FT SESI</v>
      </c>
      <c r="L1711" s="43" t="str">
        <f t="shared" si="3"/>
        <v>BARU</v>
      </c>
      <c r="M1711" s="144" t="s">
        <v>31</v>
      </c>
      <c r="N1711" s="145">
        <v>180000.0</v>
      </c>
      <c r="O1711" s="146">
        <v>0.0</v>
      </c>
      <c r="P1711" s="48">
        <f t="array" ref="P1711">IFNA(XLOOKUP(J1711,'⚙️ Pengaturan'!$E$2:$E3237,'⚙️ Pengaturan'!$F$2:$F3237),"")</f>
        <v>180000</v>
      </c>
      <c r="Q1711" s="147">
        <f t="shared" si="37"/>
        <v>0</v>
      </c>
      <c r="R1711" s="41" t="s">
        <v>32</v>
      </c>
      <c r="S1711" s="69" t="s">
        <v>33</v>
      </c>
      <c r="T1711" s="51" t="b">
        <v>1</v>
      </c>
      <c r="U1711" s="94"/>
    </row>
    <row r="1712" ht="30.0" customHeight="1">
      <c r="A1712" s="39"/>
      <c r="B1712" s="161">
        <v>3749.0</v>
      </c>
      <c r="C1712" s="41" t="s">
        <v>50</v>
      </c>
      <c r="D1712" s="86">
        <v>46160.0</v>
      </c>
      <c r="E1712" s="43" t="str">
        <f t="shared" si="1"/>
        <v>2026</v>
      </c>
      <c r="F1712" s="43" t="str">
        <f t="shared" si="2"/>
        <v>05 Mei</v>
      </c>
      <c r="G1712" s="45" t="s">
        <v>69</v>
      </c>
      <c r="H1712" s="45" t="s">
        <v>47</v>
      </c>
      <c r="I1712" s="45" t="s">
        <v>1346</v>
      </c>
      <c r="J1712" s="143" t="s">
        <v>121</v>
      </c>
      <c r="K1712" s="43" t="str">
        <f t="array" ref="K1712">IF(J1712="","", XLOOKUP(J1712,'⚙️ Pengaturan'!$E$2:$E3237,'⚙️ Pengaturan'!$G$2:$G3237))</f>
        <v>VISIT FT TA</v>
      </c>
      <c r="L1712" s="43" t="str">
        <f t="shared" si="3"/>
        <v>BARU</v>
      </c>
      <c r="M1712" s="144" t="s">
        <v>31</v>
      </c>
      <c r="N1712" s="145">
        <v>300000.0</v>
      </c>
      <c r="O1712" s="146">
        <v>0.0</v>
      </c>
      <c r="P1712" s="48">
        <f t="array" ref="P1712">IFNA(XLOOKUP(J1712,'⚙️ Pengaturan'!$E$2:$E3237,'⚙️ Pengaturan'!$F$2:$F3237),"")</f>
        <v>300000</v>
      </c>
      <c r="Q1712" s="147">
        <f t="shared" si="37"/>
        <v>0</v>
      </c>
      <c r="R1712" s="41" t="s">
        <v>32</v>
      </c>
      <c r="S1712" s="69" t="s">
        <v>33</v>
      </c>
      <c r="T1712" s="51" t="b">
        <v>1</v>
      </c>
      <c r="U1712" s="94"/>
    </row>
    <row r="1713" ht="30.0" customHeight="1">
      <c r="A1713" s="39"/>
      <c r="B1713" s="40">
        <v>3750.0</v>
      </c>
      <c r="C1713" s="41" t="s">
        <v>50</v>
      </c>
      <c r="D1713" s="86">
        <v>46160.0</v>
      </c>
      <c r="E1713" s="43" t="str">
        <f t="shared" si="1"/>
        <v>2026</v>
      </c>
      <c r="F1713" s="43" t="str">
        <f t="shared" si="2"/>
        <v>05 Mei</v>
      </c>
      <c r="G1713" s="45" t="s">
        <v>35</v>
      </c>
      <c r="H1713" s="45" t="s">
        <v>166</v>
      </c>
      <c r="I1713" s="45" t="s">
        <v>494</v>
      </c>
      <c r="J1713" s="143" t="s">
        <v>92</v>
      </c>
      <c r="K1713" s="43" t="str">
        <f t="array" ref="K1713">IF(J1713="","", XLOOKUP(J1713,'⚙️ Pengaturan'!$E$2:$E3237,'⚙️ Pengaturan'!$G$2:$G3237))</f>
        <v>KLINIK FT PAKET</v>
      </c>
      <c r="L1713" s="43" t="str">
        <f t="shared" si="3"/>
        <v>LANJUTAN</v>
      </c>
      <c r="M1713" s="144" t="s">
        <v>60</v>
      </c>
      <c r="N1713" s="145">
        <v>500000.0</v>
      </c>
      <c r="O1713" s="146">
        <v>0.0</v>
      </c>
      <c r="P1713" s="48">
        <f t="array" ref="P1713">IFNA(XLOOKUP(J1713,'⚙️ Pengaturan'!$E$2:$E3237,'⚙️ Pengaturan'!$F$2:$F3237),"")</f>
        <v>1200000</v>
      </c>
      <c r="Q1713" s="147">
        <f t="shared" si="37"/>
        <v>-700000</v>
      </c>
      <c r="R1713" s="41" t="s">
        <v>37</v>
      </c>
      <c r="S1713" s="69" t="s">
        <v>494</v>
      </c>
      <c r="T1713" s="51" t="b">
        <v>1</v>
      </c>
      <c r="U1713" s="94"/>
    </row>
    <row r="1714" ht="30.0" customHeight="1">
      <c r="A1714" s="39"/>
      <c r="B1714" s="161">
        <v>3751.0</v>
      </c>
      <c r="C1714" s="41" t="s">
        <v>39</v>
      </c>
      <c r="D1714" s="86">
        <v>46160.0</v>
      </c>
      <c r="E1714" s="43" t="str">
        <f t="shared" si="1"/>
        <v>2026</v>
      </c>
      <c r="F1714" s="43" t="str">
        <f t="shared" si="2"/>
        <v>05 Mei</v>
      </c>
      <c r="G1714" s="45" t="s">
        <v>40</v>
      </c>
      <c r="H1714" s="45" t="s">
        <v>47</v>
      </c>
      <c r="I1714" s="45" t="s">
        <v>1333</v>
      </c>
      <c r="J1714" s="143" t="s">
        <v>120</v>
      </c>
      <c r="K1714" s="43" t="str">
        <f t="array" ref="K1714">IF(J1714="","", XLOOKUP(J1714,'⚙️ Pengaturan'!$E$2:$E3237,'⚙️ Pengaturan'!$G$2:$G3237))</f>
        <v>KLINIK FT SESI</v>
      </c>
      <c r="L1714" s="43" t="str">
        <f t="shared" si="3"/>
        <v>BARU</v>
      </c>
      <c r="M1714" s="144" t="s">
        <v>31</v>
      </c>
      <c r="N1714" s="145">
        <v>180000.0</v>
      </c>
      <c r="O1714" s="146">
        <v>0.0</v>
      </c>
      <c r="P1714" s="48">
        <f t="array" ref="P1714">IFNA(XLOOKUP(J1714,'⚙️ Pengaturan'!$E$2:$E3237,'⚙️ Pengaturan'!$F$2:$F3237),"")</f>
        <v>180000</v>
      </c>
      <c r="Q1714" s="147">
        <f t="shared" si="37"/>
        <v>0</v>
      </c>
      <c r="R1714" s="41" t="s">
        <v>37</v>
      </c>
      <c r="S1714" s="69" t="s">
        <v>1333</v>
      </c>
      <c r="T1714" s="51" t="b">
        <v>1</v>
      </c>
      <c r="U1714" s="94"/>
    </row>
    <row r="1715" ht="30.0" customHeight="1">
      <c r="A1715" s="39"/>
      <c r="B1715" s="40">
        <v>3752.0</v>
      </c>
      <c r="C1715" s="41" t="s">
        <v>39</v>
      </c>
      <c r="D1715" s="86">
        <v>46160.0</v>
      </c>
      <c r="E1715" s="43" t="str">
        <f t="shared" si="1"/>
        <v>2026</v>
      </c>
      <c r="F1715" s="43" t="str">
        <f t="shared" si="2"/>
        <v>05 Mei</v>
      </c>
      <c r="G1715" s="45" t="s">
        <v>40</v>
      </c>
      <c r="H1715" s="45" t="s">
        <v>41</v>
      </c>
      <c r="I1715" s="45" t="s">
        <v>1347</v>
      </c>
      <c r="J1715" s="143" t="s">
        <v>28</v>
      </c>
      <c r="K1715" s="43" t="str">
        <f t="array" ref="K1715">IF(J1715="","", XLOOKUP(J1715,'⚙️ Pengaturan'!$E$2:$E3237,'⚙️ Pengaturan'!$G$2:$G3237))</f>
        <v>KLINIK FT TA</v>
      </c>
      <c r="L1715" s="43" t="str">
        <f t="shared" si="3"/>
        <v>BARU</v>
      </c>
      <c r="M1715" s="144" t="s">
        <v>31</v>
      </c>
      <c r="N1715" s="145">
        <v>200000.0</v>
      </c>
      <c r="O1715" s="146">
        <v>50000.0</v>
      </c>
      <c r="P1715" s="48">
        <f t="array" ref="P1715">IFNA(XLOOKUP(J1715,'⚙️ Pengaturan'!$E$2:$E3237,'⚙️ Pengaturan'!$F$2:$F3237),"")</f>
        <v>250000</v>
      </c>
      <c r="Q1715" s="147">
        <f t="shared" si="37"/>
        <v>0</v>
      </c>
      <c r="R1715" s="41" t="s">
        <v>37</v>
      </c>
      <c r="S1715" s="69" t="s">
        <v>1347</v>
      </c>
      <c r="T1715" s="51" t="b">
        <v>1</v>
      </c>
      <c r="U1715" s="94" t="s">
        <v>1332</v>
      </c>
    </row>
    <row r="1716" ht="30.0" customHeight="1">
      <c r="A1716" s="39"/>
      <c r="B1716" s="161">
        <v>3753.0</v>
      </c>
      <c r="C1716" s="41" t="s">
        <v>39</v>
      </c>
      <c r="D1716" s="86">
        <v>46160.0</v>
      </c>
      <c r="E1716" s="43" t="str">
        <f t="shared" si="1"/>
        <v>2026</v>
      </c>
      <c r="F1716" s="43" t="str">
        <f t="shared" si="2"/>
        <v>05 Mei</v>
      </c>
      <c r="G1716" s="45" t="s">
        <v>173</v>
      </c>
      <c r="H1716" s="45" t="s">
        <v>149</v>
      </c>
      <c r="I1716" s="45" t="s">
        <v>653</v>
      </c>
      <c r="J1716" s="143" t="s">
        <v>28</v>
      </c>
      <c r="K1716" s="43" t="str">
        <f t="array" ref="K1716">IF(J1716="","", XLOOKUP(J1716,'⚙️ Pengaturan'!$E$2:$E3237,'⚙️ Pengaturan'!$G$2:$G3237))</f>
        <v>KLINIK FT TA</v>
      </c>
      <c r="L1716" s="43" t="str">
        <f t="shared" si="3"/>
        <v>BARU</v>
      </c>
      <c r="M1716" s="144" t="s">
        <v>31</v>
      </c>
      <c r="N1716" s="145">
        <v>200000.0</v>
      </c>
      <c r="O1716" s="146">
        <v>50000.0</v>
      </c>
      <c r="P1716" s="48">
        <f t="array" ref="P1716">IFNA(XLOOKUP(J1716,'⚙️ Pengaturan'!$E$2:$E3237,'⚙️ Pengaturan'!$F$2:$F3237),"")</f>
        <v>250000</v>
      </c>
      <c r="Q1716" s="147">
        <f t="shared" si="37"/>
        <v>0</v>
      </c>
      <c r="R1716" s="41" t="s">
        <v>37</v>
      </c>
      <c r="S1716" s="69" t="s">
        <v>654</v>
      </c>
      <c r="T1716" s="51" t="b">
        <v>1</v>
      </c>
      <c r="U1716" s="94" t="s">
        <v>1332</v>
      </c>
    </row>
    <row r="1717" ht="30.0" customHeight="1">
      <c r="A1717" s="39"/>
      <c r="B1717" s="40">
        <v>3754.0</v>
      </c>
      <c r="C1717" s="41" t="s">
        <v>39</v>
      </c>
      <c r="D1717" s="86">
        <v>46160.0</v>
      </c>
      <c r="E1717" s="43" t="str">
        <f t="shared" si="1"/>
        <v>2026</v>
      </c>
      <c r="F1717" s="43" t="str">
        <f t="shared" si="2"/>
        <v>05 Mei</v>
      </c>
      <c r="G1717" s="45" t="s">
        <v>173</v>
      </c>
      <c r="H1717" s="45" t="s">
        <v>149</v>
      </c>
      <c r="I1717" s="45" t="s">
        <v>653</v>
      </c>
      <c r="J1717" s="143" t="s">
        <v>56</v>
      </c>
      <c r="K1717" s="43" t="str">
        <f t="array" ref="K1717">IF(J1717="","", XLOOKUP(J1717,'⚙️ Pengaturan'!$E$2:$E3237,'⚙️ Pengaturan'!$G$2:$G3237))</f>
        <v>KLINIK FT PAKET</v>
      </c>
      <c r="L1717" s="43" t="str">
        <f t="shared" si="3"/>
        <v>LANJUTAN</v>
      </c>
      <c r="M1717" s="144" t="s">
        <v>164</v>
      </c>
      <c r="N1717" s="145">
        <v>450000.0</v>
      </c>
      <c r="O1717" s="146">
        <v>200000.0</v>
      </c>
      <c r="P1717" s="48">
        <f t="array" ref="P1717">IFNA(XLOOKUP(J1717,'⚙️ Pengaturan'!$E$2:$E3237,'⚙️ Pengaturan'!$F$2:$F3237),"")</f>
        <v>650000</v>
      </c>
      <c r="Q1717" s="147">
        <f t="shared" si="37"/>
        <v>0</v>
      </c>
      <c r="R1717" s="41" t="s">
        <v>37</v>
      </c>
      <c r="S1717" s="69" t="s">
        <v>654</v>
      </c>
      <c r="T1717" s="51" t="b">
        <v>1</v>
      </c>
      <c r="U1717" s="94"/>
    </row>
    <row r="1718" ht="30.0" customHeight="1">
      <c r="A1718" s="39"/>
      <c r="B1718" s="161">
        <v>3755.0</v>
      </c>
      <c r="C1718" s="41" t="s">
        <v>39</v>
      </c>
      <c r="D1718" s="86">
        <v>46160.0</v>
      </c>
      <c r="E1718" s="43" t="str">
        <f t="shared" si="1"/>
        <v>2026</v>
      </c>
      <c r="F1718" s="43" t="str">
        <f t="shared" si="2"/>
        <v>05 Mei</v>
      </c>
      <c r="G1718" s="45" t="s">
        <v>173</v>
      </c>
      <c r="H1718" s="45" t="s">
        <v>96</v>
      </c>
      <c r="I1718" s="45" t="s">
        <v>1051</v>
      </c>
      <c r="J1718" s="143" t="s">
        <v>120</v>
      </c>
      <c r="K1718" s="43" t="str">
        <f t="array" ref="K1718">IF(J1718="","", XLOOKUP(J1718,'⚙️ Pengaturan'!$E$2:$E3237,'⚙️ Pengaturan'!$G$2:$G3237))</f>
        <v>KLINIK FT SESI</v>
      </c>
      <c r="L1718" s="43" t="str">
        <f t="shared" si="3"/>
        <v>LANJUTAN</v>
      </c>
      <c r="M1718" s="144" t="s">
        <v>31</v>
      </c>
      <c r="N1718" s="145">
        <v>180000.0</v>
      </c>
      <c r="O1718" s="146">
        <v>0.0</v>
      </c>
      <c r="P1718" s="48">
        <f t="array" ref="P1718">IFNA(XLOOKUP(J1718,'⚙️ Pengaturan'!$E$2:$E3237,'⚙️ Pengaturan'!$F$2:$F3237),"")</f>
        <v>180000</v>
      </c>
      <c r="Q1718" s="147">
        <f t="shared" si="37"/>
        <v>0</v>
      </c>
      <c r="R1718" s="41" t="s">
        <v>37</v>
      </c>
      <c r="S1718" s="69" t="s">
        <v>431</v>
      </c>
      <c r="T1718" s="51" t="b">
        <v>1</v>
      </c>
      <c r="U1718" s="94"/>
    </row>
    <row r="1719" ht="30.0" customHeight="1">
      <c r="A1719" s="39"/>
      <c r="B1719" s="40">
        <v>3756.0</v>
      </c>
      <c r="C1719" s="41" t="s">
        <v>39</v>
      </c>
      <c r="D1719" s="86">
        <v>46160.0</v>
      </c>
      <c r="E1719" s="43" t="str">
        <f t="shared" si="1"/>
        <v>2026</v>
      </c>
      <c r="F1719" s="43" t="str">
        <f t="shared" si="2"/>
        <v>05 Mei</v>
      </c>
      <c r="G1719" s="45" t="s">
        <v>173</v>
      </c>
      <c r="H1719" s="45" t="s">
        <v>41</v>
      </c>
      <c r="I1719" s="45" t="s">
        <v>1348</v>
      </c>
      <c r="J1719" s="143" t="s">
        <v>28</v>
      </c>
      <c r="K1719" s="43" t="str">
        <f t="array" ref="K1719">IF(J1719="","", XLOOKUP(J1719,'⚙️ Pengaturan'!$E$2:$E3237,'⚙️ Pengaturan'!$G$2:$G3237))</f>
        <v>KLINIK FT TA</v>
      </c>
      <c r="L1719" s="43" t="str">
        <f t="shared" si="3"/>
        <v>BARU</v>
      </c>
      <c r="M1719" s="144" t="s">
        <v>31</v>
      </c>
      <c r="N1719" s="145">
        <v>250000.0</v>
      </c>
      <c r="O1719" s="146">
        <v>0.0</v>
      </c>
      <c r="P1719" s="48">
        <f t="array" ref="P1719">IFNA(XLOOKUP(J1719,'⚙️ Pengaturan'!$E$2:$E3237,'⚙️ Pengaturan'!$F$2:$F3237),"")</f>
        <v>250000</v>
      </c>
      <c r="Q1719" s="147">
        <f t="shared" si="37"/>
        <v>0</v>
      </c>
      <c r="R1719" s="41" t="s">
        <v>37</v>
      </c>
      <c r="S1719" s="69" t="s">
        <v>1348</v>
      </c>
      <c r="T1719" s="51" t="b">
        <v>1</v>
      </c>
      <c r="U1719" s="94"/>
    </row>
    <row r="1720" ht="30.0" customHeight="1">
      <c r="A1720" s="39"/>
      <c r="B1720" s="161">
        <v>3757.0</v>
      </c>
      <c r="C1720" s="41" t="s">
        <v>39</v>
      </c>
      <c r="D1720" s="86">
        <v>46160.0</v>
      </c>
      <c r="E1720" s="43" t="str">
        <f t="shared" si="1"/>
        <v>2026</v>
      </c>
      <c r="F1720" s="43" t="str">
        <f t="shared" si="2"/>
        <v>05 Mei</v>
      </c>
      <c r="G1720" s="45" t="s">
        <v>46</v>
      </c>
      <c r="H1720" s="45" t="s">
        <v>47</v>
      </c>
      <c r="I1720" s="45" t="s">
        <v>1329</v>
      </c>
      <c r="J1720" s="143" t="s">
        <v>119</v>
      </c>
      <c r="K1720" s="43" t="str">
        <f t="array" ref="K1720">IF(J1720="","", XLOOKUP(J1720,'⚙️ Pengaturan'!$E$2:$E3237,'⚙️ Pengaturan'!$G$2:$G3237))</f>
        <v>KLINIK FT PAKET</v>
      </c>
      <c r="L1720" s="43" t="str">
        <f t="shared" si="3"/>
        <v>BARU</v>
      </c>
      <c r="M1720" s="144" t="s">
        <v>31</v>
      </c>
      <c r="N1720" s="145">
        <v>600000.0</v>
      </c>
      <c r="O1720" s="146">
        <v>150000.0</v>
      </c>
      <c r="P1720" s="48">
        <f t="array" ref="P1720">IFNA(XLOOKUP(J1720,'⚙️ Pengaturan'!$E$2:$E3237,'⚙️ Pengaturan'!$F$2:$F3237),"")</f>
        <v>750000</v>
      </c>
      <c r="Q1720" s="147">
        <f t="shared" si="37"/>
        <v>0</v>
      </c>
      <c r="R1720" s="41" t="s">
        <v>37</v>
      </c>
      <c r="S1720" s="69" t="s">
        <v>1349</v>
      </c>
      <c r="T1720" s="51" t="b">
        <v>1</v>
      </c>
      <c r="U1720" s="94"/>
    </row>
    <row r="1721" ht="30.0" customHeight="1">
      <c r="A1721" s="39"/>
      <c r="B1721" s="40">
        <v>3758.0</v>
      </c>
      <c r="C1721" s="41" t="s">
        <v>39</v>
      </c>
      <c r="D1721" s="86">
        <v>46160.0</v>
      </c>
      <c r="E1721" s="43" t="str">
        <f t="shared" si="1"/>
        <v>2026</v>
      </c>
      <c r="F1721" s="43" t="str">
        <f t="shared" si="2"/>
        <v>05 Mei</v>
      </c>
      <c r="G1721" s="45" t="s">
        <v>69</v>
      </c>
      <c r="H1721" s="45" t="s">
        <v>149</v>
      </c>
      <c r="I1721" s="45" t="s">
        <v>1350</v>
      </c>
      <c r="J1721" s="143" t="s">
        <v>28</v>
      </c>
      <c r="K1721" s="43" t="str">
        <f t="array" ref="K1721">IF(J1721="","", XLOOKUP(J1721,'⚙️ Pengaturan'!$E$2:$E3237,'⚙️ Pengaturan'!$G$2:$G3237))</f>
        <v>KLINIK FT TA</v>
      </c>
      <c r="L1721" s="43" t="str">
        <f t="shared" si="3"/>
        <v>BARU</v>
      </c>
      <c r="M1721" s="144" t="s">
        <v>31</v>
      </c>
      <c r="N1721" s="145">
        <v>0.0</v>
      </c>
      <c r="O1721" s="146">
        <v>250000.0</v>
      </c>
      <c r="P1721" s="48">
        <f t="array" ref="P1721">IFNA(XLOOKUP(J1721,'⚙️ Pengaturan'!$E$2:$E3237,'⚙️ Pengaturan'!$F$2:$F3237),"")</f>
        <v>250000</v>
      </c>
      <c r="Q1721" s="147">
        <f t="shared" si="37"/>
        <v>0</v>
      </c>
      <c r="R1721" s="41" t="s">
        <v>37</v>
      </c>
      <c r="S1721" s="69" t="s">
        <v>33</v>
      </c>
      <c r="T1721" s="51" t="b">
        <v>1</v>
      </c>
      <c r="U1721" s="94"/>
    </row>
    <row r="1722" ht="30.0" customHeight="1">
      <c r="A1722" s="39"/>
      <c r="B1722" s="161">
        <v>3759.0</v>
      </c>
      <c r="C1722" s="41" t="s">
        <v>39</v>
      </c>
      <c r="D1722" s="86">
        <v>46160.0</v>
      </c>
      <c r="E1722" s="43" t="str">
        <f t="shared" si="1"/>
        <v>2026</v>
      </c>
      <c r="F1722" s="43" t="str">
        <f t="shared" si="2"/>
        <v>05 Mei</v>
      </c>
      <c r="G1722" s="45" t="s">
        <v>69</v>
      </c>
      <c r="H1722" s="45" t="s">
        <v>149</v>
      </c>
      <c r="I1722" s="45" t="s">
        <v>1351</v>
      </c>
      <c r="J1722" s="143" t="s">
        <v>28</v>
      </c>
      <c r="K1722" s="43" t="str">
        <f t="array" ref="K1722">IF(J1722="","", XLOOKUP(J1722,'⚙️ Pengaturan'!$E$2:$E3237,'⚙️ Pengaturan'!$G$2:$G3237))</f>
        <v>KLINIK FT TA</v>
      </c>
      <c r="L1722" s="43" t="str">
        <f t="shared" si="3"/>
        <v>BARU</v>
      </c>
      <c r="M1722" s="144" t="s">
        <v>31</v>
      </c>
      <c r="N1722" s="145">
        <v>250000.0</v>
      </c>
      <c r="O1722" s="146">
        <v>250000.0</v>
      </c>
      <c r="P1722" s="48">
        <f t="array" ref="P1722">IFNA(XLOOKUP(J1722,'⚙️ Pengaturan'!$E$2:$E3237,'⚙️ Pengaturan'!$F$2:$F3237),"")</f>
        <v>250000</v>
      </c>
      <c r="Q1722" s="147">
        <f t="shared" si="37"/>
        <v>250000</v>
      </c>
      <c r="R1722" s="41" t="s">
        <v>32</v>
      </c>
      <c r="S1722" s="69" t="s">
        <v>33</v>
      </c>
      <c r="T1722" s="51" t="b">
        <v>1</v>
      </c>
      <c r="U1722" s="94"/>
    </row>
    <row r="1723" ht="30.0" customHeight="1">
      <c r="A1723" s="39"/>
      <c r="B1723" s="40">
        <v>3760.0</v>
      </c>
      <c r="C1723" s="41" t="s">
        <v>50</v>
      </c>
      <c r="D1723" s="86">
        <v>46161.0</v>
      </c>
      <c r="E1723" s="43" t="str">
        <f t="shared" si="1"/>
        <v>2026</v>
      </c>
      <c r="F1723" s="43" t="str">
        <f t="shared" si="2"/>
        <v>05 Mei</v>
      </c>
      <c r="G1723" s="45" t="s">
        <v>206</v>
      </c>
      <c r="H1723" s="45" t="s">
        <v>156</v>
      </c>
      <c r="I1723" s="45" t="s">
        <v>620</v>
      </c>
      <c r="J1723" s="143" t="s">
        <v>120</v>
      </c>
      <c r="K1723" s="43" t="str">
        <f t="array" ref="K1723">IF(J1723="","", XLOOKUP(J1723,'⚙️ Pengaturan'!$E$2:$E3237,'⚙️ Pengaturan'!$G$2:$G3237))</f>
        <v>KLINIK FT SESI</v>
      </c>
      <c r="L1723" s="43" t="str">
        <f t="shared" si="3"/>
        <v>LANJUTAN</v>
      </c>
      <c r="M1723" s="144" t="s">
        <v>31</v>
      </c>
      <c r="N1723" s="145">
        <v>180000.0</v>
      </c>
      <c r="O1723" s="146">
        <v>0.0</v>
      </c>
      <c r="P1723" s="48">
        <f t="array" ref="P1723">IFNA(XLOOKUP(J1723,'⚙️ Pengaturan'!$E$2:$E3237,'⚙️ Pengaturan'!$F$2:$F3237),"")</f>
        <v>180000</v>
      </c>
      <c r="Q1723" s="147">
        <f t="shared" si="37"/>
        <v>0</v>
      </c>
      <c r="R1723" s="41" t="s">
        <v>37</v>
      </c>
      <c r="S1723" s="69" t="s">
        <v>620</v>
      </c>
      <c r="T1723" s="51" t="b">
        <v>1</v>
      </c>
      <c r="U1723" s="94"/>
    </row>
    <row r="1724" ht="30.0" customHeight="1">
      <c r="A1724" s="39"/>
      <c r="B1724" s="161">
        <v>3761.0</v>
      </c>
      <c r="C1724" s="41" t="s">
        <v>50</v>
      </c>
      <c r="D1724" s="86">
        <v>46161.0</v>
      </c>
      <c r="E1724" s="43" t="str">
        <f t="shared" si="1"/>
        <v>2026</v>
      </c>
      <c r="F1724" s="43" t="str">
        <f t="shared" si="2"/>
        <v>05 Mei</v>
      </c>
      <c r="G1724" s="45" t="s">
        <v>206</v>
      </c>
      <c r="H1724" s="45" t="s">
        <v>41</v>
      </c>
      <c r="I1724" s="45" t="s">
        <v>1352</v>
      </c>
      <c r="J1724" s="143" t="s">
        <v>28</v>
      </c>
      <c r="K1724" s="43" t="str">
        <f t="array" ref="K1724">IF(J1724="","", XLOOKUP(J1724,'⚙️ Pengaturan'!$E$2:$E3237,'⚙️ Pengaturan'!$G$2:$G3237))</f>
        <v>KLINIK FT TA</v>
      </c>
      <c r="L1724" s="43" t="str">
        <f t="shared" si="3"/>
        <v>BARU</v>
      </c>
      <c r="M1724" s="144" t="s">
        <v>31</v>
      </c>
      <c r="N1724" s="145">
        <v>250000.0</v>
      </c>
      <c r="O1724" s="146">
        <v>0.0</v>
      </c>
      <c r="P1724" s="48">
        <f t="array" ref="P1724">IFNA(XLOOKUP(J1724,'⚙️ Pengaturan'!$E$2:$E3237,'⚙️ Pengaturan'!$F$2:$F3237),"")</f>
        <v>250000</v>
      </c>
      <c r="Q1724" s="147">
        <f t="shared" si="37"/>
        <v>0</v>
      </c>
      <c r="R1724" s="41" t="s">
        <v>37</v>
      </c>
      <c r="S1724" s="69" t="s">
        <v>1352</v>
      </c>
      <c r="T1724" s="51" t="b">
        <v>1</v>
      </c>
      <c r="U1724" s="94"/>
    </row>
    <row r="1725" ht="30.0" customHeight="1">
      <c r="A1725" s="39"/>
      <c r="B1725" s="40">
        <v>3762.0</v>
      </c>
      <c r="C1725" s="41" t="s">
        <v>50</v>
      </c>
      <c r="D1725" s="86">
        <v>46161.0</v>
      </c>
      <c r="E1725" s="43" t="str">
        <f t="shared" si="1"/>
        <v>2026</v>
      </c>
      <c r="F1725" s="43" t="str">
        <f t="shared" si="2"/>
        <v>05 Mei</v>
      </c>
      <c r="G1725" s="45" t="s">
        <v>69</v>
      </c>
      <c r="H1725" s="45" t="s">
        <v>150</v>
      </c>
      <c r="I1725" s="45" t="s">
        <v>1353</v>
      </c>
      <c r="J1725" s="143" t="s">
        <v>121</v>
      </c>
      <c r="K1725" s="43" t="str">
        <f t="array" ref="K1725">IF(J1725="","", XLOOKUP(J1725,'⚙️ Pengaturan'!$E$2:$E3237,'⚙️ Pengaturan'!$G$2:$G3237))</f>
        <v>VISIT FT TA</v>
      </c>
      <c r="L1725" s="43" t="str">
        <f t="shared" si="3"/>
        <v>BARU</v>
      </c>
      <c r="M1725" s="144" t="s">
        <v>31</v>
      </c>
      <c r="N1725" s="145">
        <v>300000.0</v>
      </c>
      <c r="O1725" s="146">
        <v>0.0</v>
      </c>
      <c r="P1725" s="48">
        <f t="array" ref="P1725">IFNA(XLOOKUP(J1725,'⚙️ Pengaturan'!$E$2:$E3237,'⚙️ Pengaturan'!$F$2:$F3237),"")</f>
        <v>300000</v>
      </c>
      <c r="Q1725" s="147">
        <f t="shared" si="37"/>
        <v>0</v>
      </c>
      <c r="R1725" s="41" t="s">
        <v>32</v>
      </c>
      <c r="S1725" s="69" t="s">
        <v>33</v>
      </c>
      <c r="T1725" s="51" t="b">
        <v>1</v>
      </c>
      <c r="U1725" s="94"/>
    </row>
    <row r="1726" ht="30.0" customHeight="1">
      <c r="A1726" s="39"/>
      <c r="B1726" s="161">
        <v>3763.0</v>
      </c>
      <c r="C1726" s="41" t="s">
        <v>39</v>
      </c>
      <c r="D1726" s="86">
        <v>46161.0</v>
      </c>
      <c r="E1726" s="43" t="str">
        <f t="shared" si="1"/>
        <v>2026</v>
      </c>
      <c r="F1726" s="43" t="str">
        <f t="shared" si="2"/>
        <v>05 Mei</v>
      </c>
      <c r="G1726" s="45" t="s">
        <v>40</v>
      </c>
      <c r="H1726" s="45" t="s">
        <v>26</v>
      </c>
      <c r="I1726" s="45" t="s">
        <v>440</v>
      </c>
      <c r="J1726" s="143" t="s">
        <v>120</v>
      </c>
      <c r="K1726" s="43" t="str">
        <f t="array" ref="K1726">IF(J1726="","", XLOOKUP(J1726,'⚙️ Pengaturan'!$E$2:$E3237,'⚙️ Pengaturan'!$G$2:$G3237))</f>
        <v>KLINIK FT SESI</v>
      </c>
      <c r="L1726" s="43" t="str">
        <f t="shared" si="3"/>
        <v>BARU</v>
      </c>
      <c r="M1726" s="144" t="s">
        <v>31</v>
      </c>
      <c r="N1726" s="145">
        <v>180000.0</v>
      </c>
      <c r="O1726" s="146">
        <v>0.0</v>
      </c>
      <c r="P1726" s="48">
        <f t="array" ref="P1726">IFNA(XLOOKUP(J1726,'⚙️ Pengaturan'!$E$2:$E3237,'⚙️ Pengaturan'!$F$2:$F3237),"")</f>
        <v>180000</v>
      </c>
      <c r="Q1726" s="147">
        <f t="shared" si="37"/>
        <v>0</v>
      </c>
      <c r="R1726" s="41" t="s">
        <v>32</v>
      </c>
      <c r="S1726" s="69" t="s">
        <v>33</v>
      </c>
      <c r="T1726" s="51" t="b">
        <v>1</v>
      </c>
      <c r="U1726" s="94"/>
    </row>
    <row r="1727" ht="30.0" customHeight="1">
      <c r="A1727" s="39"/>
      <c r="B1727" s="40">
        <v>3764.0</v>
      </c>
      <c r="C1727" s="41" t="s">
        <v>39</v>
      </c>
      <c r="D1727" s="86">
        <v>46161.0</v>
      </c>
      <c r="E1727" s="43" t="str">
        <f t="shared" si="1"/>
        <v>2026</v>
      </c>
      <c r="F1727" s="43" t="str">
        <f t="shared" si="2"/>
        <v>05 Mei</v>
      </c>
      <c r="G1727" s="45" t="s">
        <v>173</v>
      </c>
      <c r="H1727" s="45" t="s">
        <v>162</v>
      </c>
      <c r="I1727" s="45" t="s">
        <v>1354</v>
      </c>
      <c r="J1727" s="143" t="s">
        <v>28</v>
      </c>
      <c r="K1727" s="43" t="str">
        <f t="array" ref="K1727">IF(J1727="","", XLOOKUP(J1727,'⚙️ Pengaturan'!$E$2:$E3237,'⚙️ Pengaturan'!$G$2:$G3237))</f>
        <v>KLINIK FT TA</v>
      </c>
      <c r="L1727" s="43" t="str">
        <f t="shared" si="3"/>
        <v>BARU</v>
      </c>
      <c r="M1727" s="144" t="s">
        <v>31</v>
      </c>
      <c r="N1727" s="145">
        <v>250000.0</v>
      </c>
      <c r="O1727" s="146">
        <v>0.0</v>
      </c>
      <c r="P1727" s="48">
        <f t="array" ref="P1727">IFNA(XLOOKUP(J1727,'⚙️ Pengaturan'!$E$2:$E3237,'⚙️ Pengaturan'!$F$2:$F3237),"")</f>
        <v>250000</v>
      </c>
      <c r="Q1727" s="147">
        <f t="shared" si="37"/>
        <v>0</v>
      </c>
      <c r="R1727" s="41" t="s">
        <v>37</v>
      </c>
      <c r="S1727" s="69" t="s">
        <v>1354</v>
      </c>
      <c r="T1727" s="51" t="b">
        <v>1</v>
      </c>
      <c r="U1727" s="94"/>
    </row>
    <row r="1728" ht="30.0" customHeight="1">
      <c r="A1728" s="39"/>
      <c r="B1728" s="161">
        <v>3765.0</v>
      </c>
      <c r="C1728" s="41" t="s">
        <v>39</v>
      </c>
      <c r="D1728" s="86">
        <v>46161.0</v>
      </c>
      <c r="E1728" s="43" t="str">
        <f t="shared" si="1"/>
        <v>2026</v>
      </c>
      <c r="F1728" s="43" t="str">
        <f t="shared" si="2"/>
        <v>05 Mei</v>
      </c>
      <c r="G1728" s="45" t="s">
        <v>173</v>
      </c>
      <c r="H1728" s="45" t="s">
        <v>150</v>
      </c>
      <c r="I1728" s="45" t="s">
        <v>1355</v>
      </c>
      <c r="J1728" s="143" t="s">
        <v>28</v>
      </c>
      <c r="K1728" s="43" t="str">
        <f t="array" ref="K1728">IF(J1728="","", XLOOKUP(J1728,'⚙️ Pengaturan'!$E$2:$E3237,'⚙️ Pengaturan'!$G$2:$G3237))</f>
        <v>KLINIK FT TA</v>
      </c>
      <c r="L1728" s="43" t="str">
        <f t="shared" si="3"/>
        <v>BARU</v>
      </c>
      <c r="M1728" s="144" t="s">
        <v>31</v>
      </c>
      <c r="N1728" s="145">
        <v>250000.0</v>
      </c>
      <c r="O1728" s="146">
        <v>0.0</v>
      </c>
      <c r="P1728" s="48">
        <f t="array" ref="P1728">IFNA(XLOOKUP(J1728,'⚙️ Pengaturan'!$E$2:$E3237,'⚙️ Pengaturan'!$F$2:$F3237),"")</f>
        <v>250000</v>
      </c>
      <c r="Q1728" s="147">
        <f t="shared" si="37"/>
        <v>0</v>
      </c>
      <c r="R1728" s="41" t="s">
        <v>32</v>
      </c>
      <c r="S1728" s="69" t="s">
        <v>33</v>
      </c>
      <c r="T1728" s="51" t="b">
        <v>1</v>
      </c>
      <c r="U1728" s="94"/>
    </row>
    <row r="1729" ht="30.0" customHeight="1">
      <c r="A1729" s="39"/>
      <c r="B1729" s="40">
        <v>3766.0</v>
      </c>
      <c r="C1729" s="41" t="s">
        <v>39</v>
      </c>
      <c r="D1729" s="86">
        <v>46161.0</v>
      </c>
      <c r="E1729" s="43" t="str">
        <f t="shared" si="1"/>
        <v>2026</v>
      </c>
      <c r="F1729" s="43" t="str">
        <f t="shared" si="2"/>
        <v>05 Mei</v>
      </c>
      <c r="G1729" s="45" t="s">
        <v>155</v>
      </c>
      <c r="H1729" s="45" t="s">
        <v>166</v>
      </c>
      <c r="I1729" s="45" t="s">
        <v>1319</v>
      </c>
      <c r="J1729" s="143" t="s">
        <v>119</v>
      </c>
      <c r="K1729" s="43" t="str">
        <f t="array" ref="K1729">IF(J1729="","", XLOOKUP(J1729,'⚙️ Pengaturan'!$E$2:$E3237,'⚙️ Pengaturan'!$G$2:$G3237))</f>
        <v>KLINIK FT PAKET</v>
      </c>
      <c r="L1729" s="43" t="str">
        <f t="shared" si="3"/>
        <v>BARU</v>
      </c>
      <c r="M1729" s="144" t="s">
        <v>31</v>
      </c>
      <c r="N1729" s="145">
        <v>300000.0</v>
      </c>
      <c r="O1729" s="146">
        <v>150000.0</v>
      </c>
      <c r="P1729" s="48">
        <f t="array" ref="P1729">IFNA(XLOOKUP(J1729,'⚙️ Pengaturan'!$E$2:$E3237,'⚙️ Pengaturan'!$F$2:$F3237),"")</f>
        <v>750000</v>
      </c>
      <c r="Q1729" s="147">
        <f t="shared" si="37"/>
        <v>-300000</v>
      </c>
      <c r="R1729" s="41" t="s">
        <v>37</v>
      </c>
      <c r="S1729" s="69" t="s">
        <v>1319</v>
      </c>
      <c r="T1729" s="51" t="b">
        <v>1</v>
      </c>
      <c r="U1729" s="94"/>
    </row>
    <row r="1730" ht="30.0" customHeight="1">
      <c r="A1730" s="39"/>
      <c r="B1730" s="161">
        <v>3767.0</v>
      </c>
      <c r="C1730" s="41" t="s">
        <v>50</v>
      </c>
      <c r="D1730" s="86">
        <v>46162.0</v>
      </c>
      <c r="E1730" s="43" t="str">
        <f t="shared" si="1"/>
        <v>2026</v>
      </c>
      <c r="F1730" s="43" t="str">
        <f t="shared" si="2"/>
        <v>05 Mei</v>
      </c>
      <c r="G1730" s="45" t="s">
        <v>195</v>
      </c>
      <c r="H1730" s="45" t="s">
        <v>76</v>
      </c>
      <c r="I1730" s="45" t="s">
        <v>1337</v>
      </c>
      <c r="J1730" s="143" t="s">
        <v>119</v>
      </c>
      <c r="K1730" s="43" t="str">
        <f t="array" ref="K1730">IF(J1730="","", XLOOKUP(J1730,'⚙️ Pengaturan'!$E$2:$E3237,'⚙️ Pengaturan'!$G$2:$G3237))</f>
        <v>KLINIK FT PAKET</v>
      </c>
      <c r="L1730" s="43" t="str">
        <f t="shared" si="3"/>
        <v>LANJUTAN</v>
      </c>
      <c r="M1730" s="144" t="s">
        <v>164</v>
      </c>
      <c r="N1730" s="145">
        <v>250000.0</v>
      </c>
      <c r="O1730" s="146">
        <v>500000.0</v>
      </c>
      <c r="P1730" s="48">
        <f t="array" ref="P1730">IFNA(XLOOKUP(J1730,'⚙️ Pengaturan'!$E$2:$E3237,'⚙️ Pengaturan'!$F$2:$F3237),"")</f>
        <v>750000</v>
      </c>
      <c r="Q1730" s="147">
        <f t="shared" si="37"/>
        <v>0</v>
      </c>
      <c r="R1730" s="41" t="s">
        <v>37</v>
      </c>
      <c r="S1730" s="69" t="s">
        <v>1337</v>
      </c>
      <c r="T1730" s="51" t="b">
        <v>1</v>
      </c>
      <c r="U1730" s="94"/>
    </row>
    <row r="1731" ht="30.0" customHeight="1">
      <c r="A1731" s="39"/>
      <c r="B1731" s="40">
        <v>3768.0</v>
      </c>
      <c r="C1731" s="41" t="s">
        <v>50</v>
      </c>
      <c r="D1731" s="86">
        <v>46162.0</v>
      </c>
      <c r="E1731" s="43" t="str">
        <f t="shared" si="1"/>
        <v>2026</v>
      </c>
      <c r="F1731" s="43" t="str">
        <f t="shared" si="2"/>
        <v>05 Mei</v>
      </c>
      <c r="G1731" s="45" t="s">
        <v>195</v>
      </c>
      <c r="H1731" s="45" t="s">
        <v>156</v>
      </c>
      <c r="I1731" s="45" t="s">
        <v>1356</v>
      </c>
      <c r="J1731" s="143" t="s">
        <v>92</v>
      </c>
      <c r="K1731" s="43" t="str">
        <f t="array" ref="K1731">IF(J1731="","", XLOOKUP(J1731,'⚙️ Pengaturan'!$E$2:$E3237,'⚙️ Pengaturan'!$G$2:$G3237))</f>
        <v>KLINIK FT PAKET</v>
      </c>
      <c r="L1731" s="43" t="str">
        <f t="shared" si="3"/>
        <v>BARU</v>
      </c>
      <c r="M1731" s="144" t="s">
        <v>31</v>
      </c>
      <c r="N1731" s="145">
        <v>1200000.0</v>
      </c>
      <c r="O1731" s="146">
        <v>0.0</v>
      </c>
      <c r="P1731" s="48">
        <f t="array" ref="P1731">IFNA(XLOOKUP(J1731,'⚙️ Pengaturan'!$E$2:$E3237,'⚙️ Pengaturan'!$F$2:$F3237),"")</f>
        <v>1200000</v>
      </c>
      <c r="Q1731" s="147">
        <f t="shared" si="37"/>
        <v>0</v>
      </c>
      <c r="R1731" s="41" t="s">
        <v>37</v>
      </c>
      <c r="S1731" s="69" t="s">
        <v>1356</v>
      </c>
      <c r="T1731" s="51" t="b">
        <v>1</v>
      </c>
      <c r="U1731" s="94"/>
    </row>
    <row r="1732" ht="30.0" customHeight="1">
      <c r="A1732" s="39"/>
      <c r="B1732" s="161">
        <v>3769.0</v>
      </c>
      <c r="C1732" s="41" t="s">
        <v>50</v>
      </c>
      <c r="D1732" s="86">
        <v>46162.0</v>
      </c>
      <c r="E1732" s="43" t="str">
        <f t="shared" si="1"/>
        <v>2026</v>
      </c>
      <c r="F1732" s="43" t="str">
        <f t="shared" si="2"/>
        <v>05 Mei</v>
      </c>
      <c r="G1732" s="45" t="s">
        <v>195</v>
      </c>
      <c r="H1732" s="45" t="s">
        <v>41</v>
      </c>
      <c r="I1732" s="45" t="s">
        <v>1352</v>
      </c>
      <c r="J1732" s="143" t="s">
        <v>119</v>
      </c>
      <c r="K1732" s="43" t="str">
        <f t="array" ref="K1732">IF(J1732="","", XLOOKUP(J1732,'⚙️ Pengaturan'!$E$2:$E3237,'⚙️ Pengaturan'!$G$2:$G3237))</f>
        <v>KLINIK FT PAKET</v>
      </c>
      <c r="L1732" s="43" t="str">
        <f t="shared" si="3"/>
        <v>BARU</v>
      </c>
      <c r="M1732" s="144" t="s">
        <v>60</v>
      </c>
      <c r="N1732" s="145">
        <v>300000.0</v>
      </c>
      <c r="O1732" s="146">
        <v>0.0</v>
      </c>
      <c r="P1732" s="48">
        <f t="array" ref="P1732">IFNA(XLOOKUP(J1732,'⚙️ Pengaturan'!$E$2:$E3237,'⚙️ Pengaturan'!$F$2:$F3237),"")</f>
        <v>750000</v>
      </c>
      <c r="Q1732" s="147">
        <f t="shared" si="37"/>
        <v>-450000</v>
      </c>
      <c r="R1732" s="41" t="s">
        <v>37</v>
      </c>
      <c r="S1732" s="69" t="s">
        <v>1352</v>
      </c>
      <c r="T1732" s="51" t="b">
        <v>1</v>
      </c>
      <c r="U1732" s="94"/>
    </row>
    <row r="1733" ht="30.0" customHeight="1">
      <c r="A1733" s="39"/>
      <c r="B1733" s="40">
        <v>3770.0</v>
      </c>
      <c r="C1733" s="41" t="s">
        <v>50</v>
      </c>
      <c r="D1733" s="86">
        <v>46162.0</v>
      </c>
      <c r="E1733" s="43" t="str">
        <f t="shared" si="1"/>
        <v>2026</v>
      </c>
      <c r="F1733" s="43" t="str">
        <f t="shared" si="2"/>
        <v>05 Mei</v>
      </c>
      <c r="G1733" s="45" t="s">
        <v>25</v>
      </c>
      <c r="H1733" s="45" t="s">
        <v>76</v>
      </c>
      <c r="I1733" s="45" t="s">
        <v>1333</v>
      </c>
      <c r="J1733" s="143" t="s">
        <v>120</v>
      </c>
      <c r="K1733" s="43" t="str">
        <f t="array" ref="K1733">IF(J1733="","", XLOOKUP(J1733,'⚙️ Pengaturan'!$E$2:$E3237,'⚙️ Pengaturan'!$G$2:$G3237))</f>
        <v>KLINIK FT SESI</v>
      </c>
      <c r="L1733" s="43" t="str">
        <f t="shared" si="3"/>
        <v>LANJUTAN</v>
      </c>
      <c r="M1733" s="144" t="s">
        <v>31</v>
      </c>
      <c r="N1733" s="145">
        <v>180000.0</v>
      </c>
      <c r="O1733" s="146">
        <v>0.0</v>
      </c>
      <c r="P1733" s="48">
        <f t="array" ref="P1733">IFNA(XLOOKUP(J1733,'⚙️ Pengaturan'!$E$2:$E3237,'⚙️ Pengaturan'!$F$2:$F3237),"")</f>
        <v>180000</v>
      </c>
      <c r="Q1733" s="147">
        <f t="shared" si="37"/>
        <v>0</v>
      </c>
      <c r="R1733" s="41" t="s">
        <v>37</v>
      </c>
      <c r="S1733" s="69" t="s">
        <v>1333</v>
      </c>
      <c r="T1733" s="51" t="b">
        <v>1</v>
      </c>
      <c r="U1733" s="94"/>
    </row>
    <row r="1734" ht="30.0" customHeight="1">
      <c r="A1734" s="39"/>
      <c r="B1734" s="161">
        <v>3771.0</v>
      </c>
      <c r="C1734" s="41" t="s">
        <v>50</v>
      </c>
      <c r="D1734" s="86">
        <v>46162.0</v>
      </c>
      <c r="E1734" s="43" t="str">
        <f t="shared" si="1"/>
        <v>2026</v>
      </c>
      <c r="F1734" s="43" t="str">
        <f t="shared" si="2"/>
        <v>05 Mei</v>
      </c>
      <c r="G1734" s="45" t="s">
        <v>161</v>
      </c>
      <c r="H1734" s="45" t="s">
        <v>76</v>
      </c>
      <c r="I1734" s="45" t="s">
        <v>1357</v>
      </c>
      <c r="J1734" s="143" t="s">
        <v>28</v>
      </c>
      <c r="K1734" s="43" t="str">
        <f t="array" ref="K1734">IF(J1734="","", XLOOKUP(J1734,'⚙️ Pengaturan'!$E$2:$E3237,'⚙️ Pengaturan'!$G$2:$G3237))</f>
        <v>KLINIK FT TA</v>
      </c>
      <c r="L1734" s="43" t="str">
        <f t="shared" si="3"/>
        <v>BARU</v>
      </c>
      <c r="M1734" s="144" t="s">
        <v>31</v>
      </c>
      <c r="N1734" s="145">
        <v>250000.0</v>
      </c>
      <c r="O1734" s="146">
        <v>0.0</v>
      </c>
      <c r="P1734" s="48">
        <f t="array" ref="P1734">IFNA(XLOOKUP(J1734,'⚙️ Pengaturan'!$E$2:$E3237,'⚙️ Pengaturan'!$F$2:$F3237),"")</f>
        <v>250000</v>
      </c>
      <c r="Q1734" s="147">
        <f t="shared" si="37"/>
        <v>0</v>
      </c>
      <c r="R1734" s="41" t="s">
        <v>37</v>
      </c>
      <c r="S1734" s="69" t="s">
        <v>1357</v>
      </c>
      <c r="T1734" s="51" t="b">
        <v>1</v>
      </c>
      <c r="U1734" s="94"/>
    </row>
    <row r="1735" ht="30.0" customHeight="1">
      <c r="A1735" s="39"/>
      <c r="B1735" s="40">
        <v>3772.0</v>
      </c>
      <c r="C1735" s="41" t="s">
        <v>39</v>
      </c>
      <c r="D1735" s="86">
        <v>46162.0</v>
      </c>
      <c r="E1735" s="43" t="str">
        <f t="shared" si="1"/>
        <v>2026</v>
      </c>
      <c r="F1735" s="43" t="str">
        <f t="shared" si="2"/>
        <v>05 Mei</v>
      </c>
      <c r="G1735" s="45" t="s">
        <v>35</v>
      </c>
      <c r="H1735" s="45" t="s">
        <v>76</v>
      </c>
      <c r="I1735" s="45" t="s">
        <v>407</v>
      </c>
      <c r="J1735" s="143" t="s">
        <v>92</v>
      </c>
      <c r="K1735" s="43" t="str">
        <f t="array" ref="K1735">IF(J1735="","", XLOOKUP(J1735,'⚙️ Pengaturan'!$E$2:$E3237,'⚙️ Pengaturan'!$G$2:$G3237))</f>
        <v>KLINIK FT PAKET</v>
      </c>
      <c r="L1735" s="43" t="str">
        <f t="shared" si="3"/>
        <v>LANJUTAN</v>
      </c>
      <c r="M1735" s="144" t="s">
        <v>31</v>
      </c>
      <c r="N1735" s="145">
        <v>1200000.0</v>
      </c>
      <c r="O1735" s="146">
        <v>0.0</v>
      </c>
      <c r="P1735" s="48">
        <f t="array" ref="P1735">IFNA(XLOOKUP(J1735,'⚙️ Pengaturan'!$E$2:$E3237,'⚙️ Pengaturan'!$F$2:$F3237),"")</f>
        <v>1200000</v>
      </c>
      <c r="Q1735" s="147">
        <f t="shared" si="37"/>
        <v>0</v>
      </c>
      <c r="R1735" s="41" t="s">
        <v>118</v>
      </c>
      <c r="S1735" s="69" t="s">
        <v>408</v>
      </c>
      <c r="T1735" s="51" t="b">
        <v>1</v>
      </c>
      <c r="U1735" s="94"/>
    </row>
    <row r="1736" ht="30.0" customHeight="1">
      <c r="A1736" s="39"/>
      <c r="B1736" s="161">
        <v>3773.0</v>
      </c>
      <c r="C1736" s="41" t="s">
        <v>39</v>
      </c>
      <c r="D1736" s="86">
        <v>46162.0</v>
      </c>
      <c r="E1736" s="43" t="str">
        <f t="shared" si="1"/>
        <v>2026</v>
      </c>
      <c r="F1736" s="43" t="str">
        <f t="shared" si="2"/>
        <v>05 Mei</v>
      </c>
      <c r="G1736" s="45" t="s">
        <v>40</v>
      </c>
      <c r="H1736" s="45" t="s">
        <v>150</v>
      </c>
      <c r="I1736" s="45" t="s">
        <v>1358</v>
      </c>
      <c r="J1736" s="143" t="s">
        <v>28</v>
      </c>
      <c r="K1736" s="43" t="str">
        <f t="array" ref="K1736">IF(J1736="","", XLOOKUP(J1736,'⚙️ Pengaturan'!$E$2:$E3237,'⚙️ Pengaturan'!$G$2:$G3237))</f>
        <v>KLINIK FT TA</v>
      </c>
      <c r="L1736" s="43" t="str">
        <f t="shared" si="3"/>
        <v>BARU</v>
      </c>
      <c r="M1736" s="144" t="s">
        <v>31</v>
      </c>
      <c r="N1736" s="145">
        <v>250000.0</v>
      </c>
      <c r="O1736" s="146">
        <v>0.0</v>
      </c>
      <c r="P1736" s="48">
        <f t="array" ref="P1736">IFNA(XLOOKUP(J1736,'⚙️ Pengaturan'!$E$2:$E3237,'⚙️ Pengaturan'!$F$2:$F3237),"")</f>
        <v>250000</v>
      </c>
      <c r="Q1736" s="147">
        <f t="shared" si="37"/>
        <v>0</v>
      </c>
      <c r="R1736" s="41" t="s">
        <v>32</v>
      </c>
      <c r="S1736" s="69" t="s">
        <v>33</v>
      </c>
      <c r="T1736" s="51" t="b">
        <v>1</v>
      </c>
      <c r="U1736" s="94"/>
    </row>
    <row r="1737" ht="30.0" customHeight="1">
      <c r="A1737" s="39"/>
      <c r="B1737" s="40">
        <v>3774.0</v>
      </c>
      <c r="C1737" s="41" t="s">
        <v>39</v>
      </c>
      <c r="D1737" s="86">
        <v>46162.0</v>
      </c>
      <c r="E1737" s="43" t="str">
        <f t="shared" si="1"/>
        <v>2026</v>
      </c>
      <c r="F1737" s="43" t="str">
        <f t="shared" si="2"/>
        <v>05 Mei</v>
      </c>
      <c r="G1737" s="45" t="s">
        <v>40</v>
      </c>
      <c r="H1737" s="45" t="s">
        <v>166</v>
      </c>
      <c r="I1737" s="45" t="s">
        <v>1086</v>
      </c>
      <c r="J1737" s="143" t="s">
        <v>119</v>
      </c>
      <c r="K1737" s="43" t="str">
        <f t="array" ref="K1737">IF(J1737="","", XLOOKUP(J1737,'⚙️ Pengaturan'!$E$2:$E3237,'⚙️ Pengaturan'!$G$2:$G3237))</f>
        <v>KLINIK FT PAKET</v>
      </c>
      <c r="L1737" s="43" t="str">
        <f t="shared" si="3"/>
        <v>LANJUTAN</v>
      </c>
      <c r="M1737" s="144" t="s">
        <v>164</v>
      </c>
      <c r="N1737" s="145">
        <v>300000.0</v>
      </c>
      <c r="O1737" s="146">
        <v>450000.0</v>
      </c>
      <c r="P1737" s="48">
        <f t="array" ref="P1737">IFNA(XLOOKUP(J1737,'⚙️ Pengaturan'!$E$2:$E3237,'⚙️ Pengaturan'!$F$2:$F3237),"")</f>
        <v>750000</v>
      </c>
      <c r="Q1737" s="147">
        <f t="shared" si="37"/>
        <v>0</v>
      </c>
      <c r="R1737" s="41" t="s">
        <v>32</v>
      </c>
      <c r="S1737" s="69" t="s">
        <v>33</v>
      </c>
      <c r="T1737" s="51" t="b">
        <v>1</v>
      </c>
      <c r="U1737" s="94"/>
    </row>
    <row r="1738" ht="30.0" customHeight="1">
      <c r="A1738" s="39"/>
      <c r="B1738" s="161">
        <v>3775.0</v>
      </c>
      <c r="C1738" s="41" t="s">
        <v>39</v>
      </c>
      <c r="D1738" s="86">
        <v>46162.0</v>
      </c>
      <c r="E1738" s="43" t="str">
        <f t="shared" si="1"/>
        <v>2026</v>
      </c>
      <c r="F1738" s="43" t="str">
        <f t="shared" si="2"/>
        <v>05 Mei</v>
      </c>
      <c r="G1738" s="45" t="s">
        <v>40</v>
      </c>
      <c r="H1738" s="45" t="s">
        <v>162</v>
      </c>
      <c r="I1738" s="45" t="s">
        <v>1340</v>
      </c>
      <c r="J1738" s="143" t="s">
        <v>120</v>
      </c>
      <c r="K1738" s="43" t="str">
        <f t="array" ref="K1738">IF(J1738="","", XLOOKUP(J1738,'⚙️ Pengaturan'!$E$2:$E3237,'⚙️ Pengaturan'!$G$2:$G3237))</f>
        <v>KLINIK FT SESI</v>
      </c>
      <c r="L1738" s="43" t="str">
        <f t="shared" si="3"/>
        <v>BARU</v>
      </c>
      <c r="M1738" s="144" t="s">
        <v>31</v>
      </c>
      <c r="N1738" s="145">
        <v>180000.0</v>
      </c>
      <c r="O1738" s="146">
        <v>0.0</v>
      </c>
      <c r="P1738" s="48">
        <f t="array" ref="P1738">IFNA(XLOOKUP(J1738,'⚙️ Pengaturan'!$E$2:$E3237,'⚙️ Pengaturan'!$F$2:$F3237),"")</f>
        <v>180000</v>
      </c>
      <c r="Q1738" s="147">
        <f t="shared" si="37"/>
        <v>0</v>
      </c>
      <c r="R1738" s="41" t="s">
        <v>37</v>
      </c>
      <c r="S1738" s="69" t="s">
        <v>1340</v>
      </c>
      <c r="T1738" s="51" t="b">
        <v>1</v>
      </c>
      <c r="U1738" s="94"/>
    </row>
    <row r="1739" ht="30.0" customHeight="1">
      <c r="A1739" s="39"/>
      <c r="B1739" s="40">
        <v>3776.0</v>
      </c>
      <c r="C1739" s="41" t="s">
        <v>39</v>
      </c>
      <c r="D1739" s="86">
        <v>46162.0</v>
      </c>
      <c r="E1739" s="43" t="str">
        <f t="shared" si="1"/>
        <v>2026</v>
      </c>
      <c r="F1739" s="43" t="str">
        <f t="shared" si="2"/>
        <v>05 Mei</v>
      </c>
      <c r="G1739" s="45" t="s">
        <v>43</v>
      </c>
      <c r="H1739" s="45" t="s">
        <v>150</v>
      </c>
      <c r="I1739" s="45" t="s">
        <v>963</v>
      </c>
      <c r="J1739" s="143" t="s">
        <v>119</v>
      </c>
      <c r="K1739" s="43" t="str">
        <f t="array" ref="K1739">IF(J1739="","", XLOOKUP(J1739,'⚙️ Pengaturan'!$E$2:$E3237,'⚙️ Pengaturan'!$G$2:$G3237))</f>
        <v>KLINIK FT PAKET</v>
      </c>
      <c r="L1739" s="43" t="str">
        <f t="shared" si="3"/>
        <v>LANJUTAN</v>
      </c>
      <c r="M1739" s="144" t="s">
        <v>60</v>
      </c>
      <c r="N1739" s="145">
        <v>300000.0</v>
      </c>
      <c r="O1739" s="146">
        <v>150000.0</v>
      </c>
      <c r="P1739" s="48">
        <f t="array" ref="P1739">IFNA(XLOOKUP(J1739,'⚙️ Pengaturan'!$E$2:$E3237,'⚙️ Pengaturan'!$F$2:$F3237),"")</f>
        <v>750000</v>
      </c>
      <c r="Q1739" s="147">
        <f t="shared" si="37"/>
        <v>-300000</v>
      </c>
      <c r="R1739" s="41" t="s">
        <v>32</v>
      </c>
      <c r="S1739" s="69" t="s">
        <v>33</v>
      </c>
      <c r="T1739" s="51" t="b">
        <v>1</v>
      </c>
      <c r="U1739" s="94" t="s">
        <v>1332</v>
      </c>
    </row>
    <row r="1740" ht="30.0" customHeight="1">
      <c r="A1740" s="39"/>
      <c r="B1740" s="161">
        <v>3777.0</v>
      </c>
      <c r="C1740" s="41" t="s">
        <v>39</v>
      </c>
      <c r="D1740" s="86">
        <v>46162.0</v>
      </c>
      <c r="E1740" s="43" t="str">
        <f t="shared" si="1"/>
        <v>2026</v>
      </c>
      <c r="F1740" s="43" t="str">
        <f t="shared" si="2"/>
        <v>05 Mei</v>
      </c>
      <c r="G1740" s="45" t="s">
        <v>155</v>
      </c>
      <c r="H1740" s="45" t="s">
        <v>1341</v>
      </c>
      <c r="I1740" s="45" t="s">
        <v>1359</v>
      </c>
      <c r="J1740" s="143" t="s">
        <v>28</v>
      </c>
      <c r="K1740" s="43" t="str">
        <f t="array" ref="K1740">IF(J1740="","", XLOOKUP(J1740,'⚙️ Pengaturan'!$E$2:$E3237,'⚙️ Pengaturan'!$G$2:$G3237))</f>
        <v>KLINIK FT TA</v>
      </c>
      <c r="L1740" s="43" t="str">
        <f t="shared" si="3"/>
        <v>BARU</v>
      </c>
      <c r="M1740" s="144" t="s">
        <v>31</v>
      </c>
      <c r="N1740" s="145">
        <v>250000.0</v>
      </c>
      <c r="O1740" s="146">
        <v>0.0</v>
      </c>
      <c r="P1740" s="48">
        <f t="array" ref="P1740">IFNA(XLOOKUP(J1740,'⚙️ Pengaturan'!$E$2:$E3237,'⚙️ Pengaturan'!$F$2:$F3237),"")</f>
        <v>250000</v>
      </c>
      <c r="Q1740" s="147">
        <f t="shared" si="37"/>
        <v>0</v>
      </c>
      <c r="R1740" s="41" t="s">
        <v>37</v>
      </c>
      <c r="S1740" s="69" t="s">
        <v>1359</v>
      </c>
      <c r="T1740" s="51" t="b">
        <v>1</v>
      </c>
      <c r="U1740" s="94"/>
    </row>
    <row r="1741" ht="30.0" customHeight="1">
      <c r="A1741" s="39"/>
      <c r="B1741" s="40">
        <v>3778.0</v>
      </c>
      <c r="C1741" s="41" t="s">
        <v>39</v>
      </c>
      <c r="D1741" s="86">
        <v>46162.0</v>
      </c>
      <c r="E1741" s="43" t="str">
        <f t="shared" si="1"/>
        <v>2026</v>
      </c>
      <c r="F1741" s="43" t="str">
        <f t="shared" si="2"/>
        <v>05 Mei</v>
      </c>
      <c r="G1741" s="45" t="s">
        <v>155</v>
      </c>
      <c r="H1741" s="45" t="s">
        <v>162</v>
      </c>
      <c r="I1741" s="45" t="s">
        <v>1049</v>
      </c>
      <c r="J1741" s="143" t="s">
        <v>28</v>
      </c>
      <c r="K1741" s="43" t="str">
        <f t="array" ref="K1741">IF(J1741="","", XLOOKUP(J1741,'⚙️ Pengaturan'!$E$2:$E3237,'⚙️ Pengaturan'!$G$2:$G3237))</f>
        <v>KLINIK FT TA</v>
      </c>
      <c r="L1741" s="43" t="str">
        <f t="shared" si="3"/>
        <v>LANJUTAN</v>
      </c>
      <c r="M1741" s="144" t="s">
        <v>31</v>
      </c>
      <c r="N1741" s="145">
        <v>250000.0</v>
      </c>
      <c r="O1741" s="146">
        <v>0.0</v>
      </c>
      <c r="P1741" s="48">
        <f t="array" ref="P1741">IFNA(XLOOKUP(J1741,'⚙️ Pengaturan'!$E$2:$E3237,'⚙️ Pengaturan'!$F$2:$F3237),"")</f>
        <v>250000</v>
      </c>
      <c r="Q1741" s="147">
        <f t="shared" si="37"/>
        <v>0</v>
      </c>
      <c r="R1741" s="41" t="s">
        <v>37</v>
      </c>
      <c r="S1741" s="69" t="s">
        <v>1049</v>
      </c>
      <c r="T1741" s="51" t="b">
        <v>1</v>
      </c>
      <c r="U1741" s="94"/>
    </row>
    <row r="1742" ht="30.0" customHeight="1">
      <c r="A1742" s="39"/>
      <c r="B1742" s="161">
        <v>3779.0</v>
      </c>
      <c r="C1742" s="41" t="s">
        <v>39</v>
      </c>
      <c r="D1742" s="86">
        <v>46162.0</v>
      </c>
      <c r="E1742" s="43" t="str">
        <f t="shared" si="1"/>
        <v>2026</v>
      </c>
      <c r="F1742" s="43" t="str">
        <f t="shared" si="2"/>
        <v>05 Mei</v>
      </c>
      <c r="G1742" s="45" t="s">
        <v>190</v>
      </c>
      <c r="H1742" s="45" t="s">
        <v>1341</v>
      </c>
      <c r="I1742" s="45" t="s">
        <v>1351</v>
      </c>
      <c r="J1742" s="143" t="s">
        <v>120</v>
      </c>
      <c r="K1742" s="43" t="str">
        <f t="array" ref="K1742">IF(J1742="","", XLOOKUP(J1742,'⚙️ Pengaturan'!$E$2:$E3237,'⚙️ Pengaturan'!$G$2:$G3237))</f>
        <v>KLINIK FT SESI</v>
      </c>
      <c r="L1742" s="43" t="str">
        <f t="shared" si="3"/>
        <v>BARU</v>
      </c>
      <c r="M1742" s="144" t="s">
        <v>31</v>
      </c>
      <c r="N1742" s="145">
        <v>180000.0</v>
      </c>
      <c r="O1742" s="146">
        <v>0.0</v>
      </c>
      <c r="P1742" s="48">
        <f t="array" ref="P1742">IFNA(XLOOKUP(J1742,'⚙️ Pengaturan'!$E$2:$E3237,'⚙️ Pengaturan'!$F$2:$F3237),"")</f>
        <v>180000</v>
      </c>
      <c r="Q1742" s="147">
        <f t="shared" si="37"/>
        <v>0</v>
      </c>
      <c r="R1742" s="41" t="s">
        <v>32</v>
      </c>
      <c r="S1742" s="69" t="s">
        <v>33</v>
      </c>
      <c r="T1742" s="51" t="b">
        <v>1</v>
      </c>
      <c r="U1742" s="94"/>
    </row>
    <row r="1743" ht="30.0" customHeight="1">
      <c r="A1743" s="39"/>
      <c r="B1743" s="40">
        <v>3780.0</v>
      </c>
      <c r="C1743" s="41" t="s">
        <v>39</v>
      </c>
      <c r="D1743" s="86">
        <v>46162.0</v>
      </c>
      <c r="E1743" s="43" t="str">
        <f t="shared" si="1"/>
        <v>2026</v>
      </c>
      <c r="F1743" s="43" t="str">
        <f t="shared" si="2"/>
        <v>05 Mei</v>
      </c>
      <c r="G1743" s="45" t="s">
        <v>190</v>
      </c>
      <c r="H1743" s="45" t="s">
        <v>150</v>
      </c>
      <c r="I1743" s="45" t="s">
        <v>1317</v>
      </c>
      <c r="J1743" s="143" t="s">
        <v>119</v>
      </c>
      <c r="K1743" s="43" t="str">
        <f t="array" ref="K1743">IF(J1743="","", XLOOKUP(J1743,'⚙️ Pengaturan'!$E$2:$E3237,'⚙️ Pengaturan'!$G$2:$G3237))</f>
        <v>KLINIK FT PAKET</v>
      </c>
      <c r="L1743" s="43" t="str">
        <f t="shared" si="3"/>
        <v>BARU</v>
      </c>
      <c r="M1743" s="144" t="s">
        <v>31</v>
      </c>
      <c r="N1743" s="145">
        <v>750000.0</v>
      </c>
      <c r="O1743" s="146">
        <v>0.0</v>
      </c>
      <c r="P1743" s="48">
        <f t="array" ref="P1743">IFNA(XLOOKUP(J1743,'⚙️ Pengaturan'!$E$2:$E3237,'⚙️ Pengaturan'!$F$2:$F3237),"")</f>
        <v>750000</v>
      </c>
      <c r="Q1743" s="147">
        <f t="shared" si="37"/>
        <v>0</v>
      </c>
      <c r="R1743" s="41" t="s">
        <v>37</v>
      </c>
      <c r="S1743" s="69" t="s">
        <v>1360</v>
      </c>
      <c r="T1743" s="51" t="b">
        <v>1</v>
      </c>
      <c r="U1743" s="94"/>
    </row>
    <row r="1744" ht="30.0" customHeight="1">
      <c r="A1744" s="39"/>
      <c r="B1744" s="161">
        <v>3781.0</v>
      </c>
      <c r="C1744" s="41" t="s">
        <v>50</v>
      </c>
      <c r="D1744" s="86">
        <v>46163.0</v>
      </c>
      <c r="E1744" s="43" t="str">
        <f t="shared" si="1"/>
        <v>2026</v>
      </c>
      <c r="F1744" s="43" t="str">
        <f t="shared" si="2"/>
        <v>05 Mei</v>
      </c>
      <c r="G1744" s="45" t="s">
        <v>195</v>
      </c>
      <c r="H1744" s="45" t="s">
        <v>150</v>
      </c>
      <c r="I1744" s="45" t="s">
        <v>1292</v>
      </c>
      <c r="J1744" s="143" t="s">
        <v>119</v>
      </c>
      <c r="K1744" s="43" t="str">
        <f t="array" ref="K1744">IF(J1744="","", XLOOKUP(J1744,'⚙️ Pengaturan'!$E$2:$E3237,'⚙️ Pengaturan'!$G$2:$G3237))</f>
        <v>KLINIK FT PAKET</v>
      </c>
      <c r="L1744" s="43" t="str">
        <f t="shared" si="3"/>
        <v>LANJUTAN</v>
      </c>
      <c r="M1744" s="144" t="s">
        <v>164</v>
      </c>
      <c r="N1744" s="145">
        <v>450000.0</v>
      </c>
      <c r="O1744" s="146">
        <v>300000.0</v>
      </c>
      <c r="P1744" s="48">
        <f t="array" ref="P1744">IFNA(XLOOKUP(J1744,'⚙️ Pengaturan'!$E$2:$E3237,'⚙️ Pengaturan'!$F$2:$F3237),"")</f>
        <v>750000</v>
      </c>
      <c r="Q1744" s="147">
        <f t="shared" si="37"/>
        <v>0</v>
      </c>
      <c r="R1744" s="41" t="s">
        <v>32</v>
      </c>
      <c r="S1744" s="69" t="s">
        <v>33</v>
      </c>
      <c r="T1744" s="51" t="b">
        <v>1</v>
      </c>
      <c r="U1744" s="94"/>
    </row>
    <row r="1745" ht="30.0" customHeight="1">
      <c r="A1745" s="39"/>
      <c r="B1745" s="40">
        <v>3782.0</v>
      </c>
      <c r="C1745" s="41" t="s">
        <v>50</v>
      </c>
      <c r="D1745" s="86">
        <v>46163.0</v>
      </c>
      <c r="E1745" s="43" t="str">
        <f t="shared" si="1"/>
        <v>2026</v>
      </c>
      <c r="F1745" s="43" t="str">
        <f t="shared" si="2"/>
        <v>05 Mei</v>
      </c>
      <c r="G1745" s="45" t="s">
        <v>25</v>
      </c>
      <c r="H1745" s="45" t="s">
        <v>166</v>
      </c>
      <c r="I1745" s="45" t="s">
        <v>970</v>
      </c>
      <c r="J1745" s="143" t="s">
        <v>120</v>
      </c>
      <c r="K1745" s="43" t="str">
        <f t="array" ref="K1745">IF(J1745="","", XLOOKUP(J1745,'⚙️ Pengaturan'!$E$2:$E3237,'⚙️ Pengaturan'!$G$2:$G3237))</f>
        <v>KLINIK FT SESI</v>
      </c>
      <c r="L1745" s="43" t="str">
        <f t="shared" si="3"/>
        <v>LANJUTAN</v>
      </c>
      <c r="M1745" s="144" t="s">
        <v>31</v>
      </c>
      <c r="N1745" s="145">
        <v>180000.0</v>
      </c>
      <c r="O1745" s="146">
        <v>0.0</v>
      </c>
      <c r="P1745" s="48">
        <f t="array" ref="P1745">IFNA(XLOOKUP(J1745,'⚙️ Pengaturan'!$E$2:$E3237,'⚙️ Pengaturan'!$F$2:$F3237),"")</f>
        <v>180000</v>
      </c>
      <c r="Q1745" s="147">
        <f t="shared" si="37"/>
        <v>0</v>
      </c>
      <c r="R1745" s="41" t="s">
        <v>37</v>
      </c>
      <c r="S1745" s="69" t="s">
        <v>970</v>
      </c>
      <c r="T1745" s="51" t="b">
        <v>1</v>
      </c>
      <c r="U1745" s="94"/>
    </row>
    <row r="1746" ht="30.0" customHeight="1">
      <c r="A1746" s="39"/>
      <c r="B1746" s="161">
        <v>3783.0</v>
      </c>
      <c r="C1746" s="41" t="s">
        <v>50</v>
      </c>
      <c r="D1746" s="86">
        <v>46163.0</v>
      </c>
      <c r="E1746" s="43" t="str">
        <f t="shared" si="1"/>
        <v>2026</v>
      </c>
      <c r="F1746" s="43" t="str">
        <f t="shared" si="2"/>
        <v>05 Mei</v>
      </c>
      <c r="G1746" s="45" t="s">
        <v>25</v>
      </c>
      <c r="H1746" s="45" t="s">
        <v>150</v>
      </c>
      <c r="I1746" s="45" t="s">
        <v>1355</v>
      </c>
      <c r="J1746" s="143" t="s">
        <v>120</v>
      </c>
      <c r="K1746" s="43" t="str">
        <f t="array" ref="K1746">IF(J1746="","", XLOOKUP(J1746,'⚙️ Pengaturan'!$E$2:$E3237,'⚙️ Pengaturan'!$G$2:$G3237))</f>
        <v>KLINIK FT SESI</v>
      </c>
      <c r="L1746" s="43" t="str">
        <f t="shared" si="3"/>
        <v>BARU</v>
      </c>
      <c r="M1746" s="144" t="s">
        <v>31</v>
      </c>
      <c r="N1746" s="145">
        <v>180000.0</v>
      </c>
      <c r="O1746" s="146">
        <v>0.0</v>
      </c>
      <c r="P1746" s="48">
        <f t="array" ref="P1746">IFNA(XLOOKUP(J1746,'⚙️ Pengaturan'!$E$2:$E3237,'⚙️ Pengaturan'!$F$2:$F3237),"")</f>
        <v>180000</v>
      </c>
      <c r="Q1746" s="147">
        <f t="shared" si="37"/>
        <v>0</v>
      </c>
      <c r="R1746" s="41" t="s">
        <v>32</v>
      </c>
      <c r="S1746" s="69" t="s">
        <v>33</v>
      </c>
      <c r="T1746" s="51" t="b">
        <v>1</v>
      </c>
      <c r="U1746" s="94"/>
    </row>
    <row r="1747" ht="30.0" customHeight="1">
      <c r="A1747" s="39"/>
      <c r="B1747" s="40">
        <v>3784.0</v>
      </c>
      <c r="C1747" s="41" t="s">
        <v>50</v>
      </c>
      <c r="D1747" s="86">
        <v>46163.0</v>
      </c>
      <c r="E1747" s="43" t="str">
        <f t="shared" si="1"/>
        <v>2026</v>
      </c>
      <c r="F1747" s="43" t="str">
        <f t="shared" si="2"/>
        <v>05 Mei</v>
      </c>
      <c r="G1747" s="45" t="s">
        <v>206</v>
      </c>
      <c r="H1747" s="45" t="s">
        <v>26</v>
      </c>
      <c r="I1747" s="45" t="s">
        <v>1361</v>
      </c>
      <c r="J1747" s="143" t="s">
        <v>28</v>
      </c>
      <c r="K1747" s="43" t="str">
        <f t="array" ref="K1747">IF(J1747="","", XLOOKUP(J1747,'⚙️ Pengaturan'!$E$2:$E3237,'⚙️ Pengaturan'!$G$2:$G3237))</f>
        <v>KLINIK FT TA</v>
      </c>
      <c r="L1747" s="43" t="str">
        <f t="shared" si="3"/>
        <v>BARU</v>
      </c>
      <c r="M1747" s="144" t="s">
        <v>31</v>
      </c>
      <c r="N1747" s="145">
        <v>0.0</v>
      </c>
      <c r="O1747" s="146">
        <v>250000.0</v>
      </c>
      <c r="P1747" s="48">
        <f t="array" ref="P1747">IFNA(XLOOKUP(J1747,'⚙️ Pengaturan'!$E$2:$E3237,'⚙️ Pengaturan'!$F$2:$F3237),"")</f>
        <v>250000</v>
      </c>
      <c r="Q1747" s="147">
        <f t="shared" si="37"/>
        <v>0</v>
      </c>
      <c r="R1747" s="41" t="s">
        <v>32</v>
      </c>
      <c r="S1747" s="69" t="s">
        <v>33</v>
      </c>
      <c r="T1747" s="51" t="b">
        <v>1</v>
      </c>
      <c r="U1747" s="94"/>
    </row>
    <row r="1748" ht="30.0" customHeight="1">
      <c r="A1748" s="39"/>
      <c r="B1748" s="161">
        <v>3785.0</v>
      </c>
      <c r="C1748" s="41" t="s">
        <v>50</v>
      </c>
      <c r="D1748" s="86">
        <v>46163.0</v>
      </c>
      <c r="E1748" s="43" t="str">
        <f t="shared" si="1"/>
        <v>2026</v>
      </c>
      <c r="F1748" s="43" t="str">
        <f t="shared" si="2"/>
        <v>05 Mei</v>
      </c>
      <c r="G1748" s="45" t="s">
        <v>161</v>
      </c>
      <c r="H1748" s="45" t="s">
        <v>162</v>
      </c>
      <c r="I1748" s="45" t="s">
        <v>1362</v>
      </c>
      <c r="J1748" s="143" t="s">
        <v>28</v>
      </c>
      <c r="K1748" s="43" t="str">
        <f t="array" ref="K1748">IF(J1748="","", XLOOKUP(J1748,'⚙️ Pengaturan'!$E$2:$E3237,'⚙️ Pengaturan'!$G$2:$G3237))</f>
        <v>KLINIK FT TA</v>
      </c>
      <c r="L1748" s="43" t="str">
        <f t="shared" si="3"/>
        <v>BARU</v>
      </c>
      <c r="M1748" s="144" t="s">
        <v>31</v>
      </c>
      <c r="N1748" s="145">
        <v>250000.0</v>
      </c>
      <c r="O1748" s="146">
        <v>0.0</v>
      </c>
      <c r="P1748" s="48">
        <f t="array" ref="P1748">IFNA(XLOOKUP(J1748,'⚙️ Pengaturan'!$E$2:$E3237,'⚙️ Pengaturan'!$F$2:$F3237),"")</f>
        <v>250000</v>
      </c>
      <c r="Q1748" s="147">
        <f t="shared" si="37"/>
        <v>0</v>
      </c>
      <c r="R1748" s="41" t="s">
        <v>37</v>
      </c>
      <c r="S1748" s="69" t="s">
        <v>1363</v>
      </c>
      <c r="T1748" s="51" t="b">
        <v>1</v>
      </c>
      <c r="U1748" s="94"/>
    </row>
    <row r="1749" ht="30.0" customHeight="1">
      <c r="A1749" s="39"/>
      <c r="B1749" s="40">
        <v>3786.0</v>
      </c>
      <c r="C1749" s="41" t="s">
        <v>50</v>
      </c>
      <c r="D1749" s="86">
        <v>46163.0</v>
      </c>
      <c r="E1749" s="43" t="str">
        <f t="shared" si="1"/>
        <v>2026</v>
      </c>
      <c r="F1749" s="43" t="str">
        <f t="shared" si="2"/>
        <v>05 Mei</v>
      </c>
      <c r="G1749" s="45" t="s">
        <v>161</v>
      </c>
      <c r="H1749" s="45" t="s">
        <v>150</v>
      </c>
      <c r="I1749" s="45" t="s">
        <v>1364</v>
      </c>
      <c r="J1749" s="143" t="s">
        <v>28</v>
      </c>
      <c r="K1749" s="43" t="str">
        <f t="array" ref="K1749">IF(J1749="","", XLOOKUP(J1749,'⚙️ Pengaturan'!$E$2:$E3237,'⚙️ Pengaturan'!$G$2:$G3237))</f>
        <v>KLINIK FT TA</v>
      </c>
      <c r="L1749" s="43" t="str">
        <f t="shared" si="3"/>
        <v>BARU</v>
      </c>
      <c r="M1749" s="144" t="s">
        <v>31</v>
      </c>
      <c r="N1749" s="145">
        <v>250000.0</v>
      </c>
      <c r="O1749" s="146">
        <v>0.0</v>
      </c>
      <c r="P1749" s="48">
        <f t="array" ref="P1749">IFNA(XLOOKUP(J1749,'⚙️ Pengaturan'!$E$2:$E3237,'⚙️ Pengaturan'!$F$2:$F3237),"")</f>
        <v>250000</v>
      </c>
      <c r="Q1749" s="147">
        <f t="shared" si="37"/>
        <v>0</v>
      </c>
      <c r="R1749" s="41" t="s">
        <v>32</v>
      </c>
      <c r="S1749" s="69" t="s">
        <v>33</v>
      </c>
      <c r="T1749" s="51" t="b">
        <v>1</v>
      </c>
      <c r="U1749" s="94"/>
    </row>
    <row r="1750" ht="30.0" customHeight="1">
      <c r="A1750" s="39"/>
      <c r="B1750" s="161">
        <v>3787.0</v>
      </c>
      <c r="C1750" s="41" t="s">
        <v>50</v>
      </c>
      <c r="D1750" s="86">
        <v>46163.0</v>
      </c>
      <c r="E1750" s="43" t="str">
        <f t="shared" si="1"/>
        <v>2026</v>
      </c>
      <c r="F1750" s="43" t="str">
        <f t="shared" si="2"/>
        <v>05 Mei</v>
      </c>
      <c r="G1750" s="45" t="s">
        <v>35</v>
      </c>
      <c r="H1750" s="45" t="s">
        <v>26</v>
      </c>
      <c r="I1750" s="45" t="s">
        <v>1226</v>
      </c>
      <c r="J1750" s="143" t="s">
        <v>119</v>
      </c>
      <c r="K1750" s="43" t="str">
        <f t="array" ref="K1750">IF(J1750="","", XLOOKUP(J1750,'⚙️ Pengaturan'!$E$2:$E3237,'⚙️ Pengaturan'!$G$2:$G3237))</f>
        <v>KLINIK FT PAKET</v>
      </c>
      <c r="L1750" s="43" t="str">
        <f t="shared" si="3"/>
        <v>LANJUTAN</v>
      </c>
      <c r="M1750" s="144" t="s">
        <v>31</v>
      </c>
      <c r="N1750" s="145">
        <v>750000.0</v>
      </c>
      <c r="O1750" s="146">
        <v>0.0</v>
      </c>
      <c r="P1750" s="48">
        <f t="array" ref="P1750">IFNA(XLOOKUP(J1750,'⚙️ Pengaturan'!$E$2:$E3237,'⚙️ Pengaturan'!$F$2:$F3237),"")</f>
        <v>750000</v>
      </c>
      <c r="Q1750" s="147">
        <f t="shared" si="37"/>
        <v>0</v>
      </c>
      <c r="R1750" s="41" t="s">
        <v>37</v>
      </c>
      <c r="S1750" s="69" t="s">
        <v>1226</v>
      </c>
      <c r="T1750" s="51" t="b">
        <v>1</v>
      </c>
      <c r="U1750" s="94"/>
    </row>
    <row r="1751" ht="30.0" customHeight="1">
      <c r="A1751" s="39"/>
      <c r="B1751" s="40">
        <v>3788.0</v>
      </c>
      <c r="C1751" s="41" t="s">
        <v>39</v>
      </c>
      <c r="D1751" s="86">
        <v>46163.0</v>
      </c>
      <c r="E1751" s="43" t="str">
        <f t="shared" si="1"/>
        <v>2026</v>
      </c>
      <c r="F1751" s="43" t="str">
        <f t="shared" si="2"/>
        <v>05 Mei</v>
      </c>
      <c r="G1751" s="45" t="s">
        <v>40</v>
      </c>
      <c r="H1751" s="45" t="s">
        <v>47</v>
      </c>
      <c r="I1751" s="45" t="s">
        <v>1365</v>
      </c>
      <c r="J1751" s="143" t="s">
        <v>28</v>
      </c>
      <c r="K1751" s="43" t="str">
        <f t="array" ref="K1751">IF(J1751="","", XLOOKUP(J1751,'⚙️ Pengaturan'!$E$2:$E3237,'⚙️ Pengaturan'!$G$2:$G3237))</f>
        <v>KLINIK FT TA</v>
      </c>
      <c r="L1751" s="43" t="str">
        <f t="shared" si="3"/>
        <v>BARU</v>
      </c>
      <c r="M1751" s="144" t="s">
        <v>31</v>
      </c>
      <c r="N1751" s="145">
        <v>250000.0</v>
      </c>
      <c r="O1751" s="146">
        <v>0.0</v>
      </c>
      <c r="P1751" s="48">
        <f t="array" ref="P1751">IFNA(XLOOKUP(J1751,'⚙️ Pengaturan'!$E$2:$E3237,'⚙️ Pengaturan'!$F$2:$F3237),"")</f>
        <v>250000</v>
      </c>
      <c r="Q1751" s="147">
        <f t="shared" si="37"/>
        <v>0</v>
      </c>
      <c r="R1751" s="41" t="s">
        <v>32</v>
      </c>
      <c r="S1751" s="69" t="s">
        <v>33</v>
      </c>
      <c r="T1751" s="51" t="b">
        <v>1</v>
      </c>
      <c r="U1751" s="94"/>
    </row>
    <row r="1752" ht="30.0" customHeight="1">
      <c r="A1752" s="39"/>
      <c r="B1752" s="161">
        <v>3789.0</v>
      </c>
      <c r="C1752" s="41" t="s">
        <v>39</v>
      </c>
      <c r="D1752" s="86">
        <v>46163.0</v>
      </c>
      <c r="E1752" s="43" t="str">
        <f t="shared" si="1"/>
        <v>2026</v>
      </c>
      <c r="F1752" s="43" t="str">
        <f t="shared" si="2"/>
        <v>05 Mei</v>
      </c>
      <c r="G1752" s="45" t="s">
        <v>40</v>
      </c>
      <c r="H1752" s="45" t="s">
        <v>1341</v>
      </c>
      <c r="I1752" s="45" t="s">
        <v>1366</v>
      </c>
      <c r="J1752" s="143" t="s">
        <v>28</v>
      </c>
      <c r="K1752" s="43" t="str">
        <f t="array" ref="K1752">IF(J1752="","", XLOOKUP(J1752,'⚙️ Pengaturan'!$E$2:$E3237,'⚙️ Pengaturan'!$G$2:$G3237))</f>
        <v>KLINIK FT TA</v>
      </c>
      <c r="L1752" s="43" t="str">
        <f t="shared" si="3"/>
        <v>BARU</v>
      </c>
      <c r="M1752" s="144" t="s">
        <v>31</v>
      </c>
      <c r="N1752" s="145">
        <v>250000.0</v>
      </c>
      <c r="O1752" s="146">
        <v>0.0</v>
      </c>
      <c r="P1752" s="48">
        <f t="array" ref="P1752">IFNA(XLOOKUP(J1752,'⚙️ Pengaturan'!$E$2:$E3237,'⚙️ Pengaturan'!$F$2:$F3237),"")</f>
        <v>250000</v>
      </c>
      <c r="Q1752" s="147">
        <f t="shared" si="37"/>
        <v>0</v>
      </c>
      <c r="R1752" s="41" t="s">
        <v>32</v>
      </c>
      <c r="S1752" s="69" t="s">
        <v>33</v>
      </c>
      <c r="T1752" s="51" t="b">
        <v>1</v>
      </c>
      <c r="U1752" s="94"/>
    </row>
    <row r="1753" ht="30.0" customHeight="1">
      <c r="A1753" s="39"/>
      <c r="B1753" s="40">
        <v>3790.0</v>
      </c>
      <c r="C1753" s="41" t="s">
        <v>39</v>
      </c>
      <c r="D1753" s="86">
        <v>46163.0</v>
      </c>
      <c r="E1753" s="43" t="str">
        <f t="shared" si="1"/>
        <v>2026</v>
      </c>
      <c r="F1753" s="43" t="str">
        <f t="shared" si="2"/>
        <v>05 Mei</v>
      </c>
      <c r="G1753" s="45" t="s">
        <v>40</v>
      </c>
      <c r="H1753" s="45" t="s">
        <v>149</v>
      </c>
      <c r="I1753" s="45" t="s">
        <v>1331</v>
      </c>
      <c r="J1753" s="143" t="s">
        <v>347</v>
      </c>
      <c r="K1753" s="43" t="str">
        <f t="array" ref="K1753">IF(J1753="","", XLOOKUP(J1753,'⚙️ Pengaturan'!$E$2:$E3237,'⚙️ Pengaturan'!$G$2:$G3237))</f>
        <v>KLINIK FT PAKET</v>
      </c>
      <c r="L1753" s="43" t="str">
        <f t="shared" si="3"/>
        <v>BARU</v>
      </c>
      <c r="M1753" s="144" t="s">
        <v>60</v>
      </c>
      <c r="N1753" s="145">
        <v>600000.0</v>
      </c>
      <c r="O1753" s="146">
        <v>0.0</v>
      </c>
      <c r="P1753" s="48">
        <f t="array" ref="P1753">IFNA(XLOOKUP(J1753,'⚙️ Pengaturan'!$E$2:$E3237,'⚙️ Pengaturan'!$F$2:$F3237),"")</f>
        <v>1300000</v>
      </c>
      <c r="Q1753" s="147">
        <f t="shared" si="37"/>
        <v>-700000</v>
      </c>
      <c r="R1753" s="41" t="s">
        <v>32</v>
      </c>
      <c r="S1753" s="69" t="s">
        <v>33</v>
      </c>
      <c r="T1753" s="51" t="b">
        <v>1</v>
      </c>
      <c r="U1753" s="94"/>
    </row>
    <row r="1754" ht="30.0" customHeight="1">
      <c r="A1754" s="39"/>
      <c r="B1754" s="161">
        <v>3791.0</v>
      </c>
      <c r="C1754" s="41" t="s">
        <v>39</v>
      </c>
      <c r="D1754" s="86">
        <v>46163.0</v>
      </c>
      <c r="E1754" s="43" t="str">
        <f t="shared" si="1"/>
        <v>2026</v>
      </c>
      <c r="F1754" s="43" t="str">
        <f t="shared" si="2"/>
        <v>05 Mei</v>
      </c>
      <c r="G1754" s="45" t="s">
        <v>43</v>
      </c>
      <c r="H1754" s="45" t="s">
        <v>162</v>
      </c>
      <c r="I1754" s="45" t="s">
        <v>1362</v>
      </c>
      <c r="J1754" s="143" t="s">
        <v>347</v>
      </c>
      <c r="K1754" s="43" t="str">
        <f t="array" ref="K1754">IF(J1754="","", XLOOKUP(J1754,'⚙️ Pengaturan'!$E$2:$E3237,'⚙️ Pengaturan'!$G$2:$G3237))</f>
        <v>KLINIK FT PAKET</v>
      </c>
      <c r="L1754" s="43" t="str">
        <f t="shared" si="3"/>
        <v>BARU</v>
      </c>
      <c r="M1754" s="144" t="s">
        <v>31</v>
      </c>
      <c r="N1754" s="145">
        <v>1300000.0</v>
      </c>
      <c r="O1754" s="146">
        <v>0.0</v>
      </c>
      <c r="P1754" s="48">
        <f t="array" ref="P1754">IFNA(XLOOKUP(J1754,'⚙️ Pengaturan'!$E$2:$E3237,'⚙️ Pengaturan'!$F$2:$F3237),"")</f>
        <v>1300000</v>
      </c>
      <c r="Q1754" s="147">
        <f t="shared" si="37"/>
        <v>0</v>
      </c>
      <c r="R1754" s="41" t="s">
        <v>37</v>
      </c>
      <c r="S1754" s="69" t="s">
        <v>1363</v>
      </c>
      <c r="T1754" s="51" t="b">
        <v>1</v>
      </c>
      <c r="U1754" s="94"/>
    </row>
    <row r="1755" ht="30.0" customHeight="1">
      <c r="A1755" s="39"/>
      <c r="B1755" s="40">
        <v>3792.0</v>
      </c>
      <c r="C1755" s="41" t="s">
        <v>39</v>
      </c>
      <c r="D1755" s="86">
        <v>46163.0</v>
      </c>
      <c r="E1755" s="43" t="str">
        <f t="shared" si="1"/>
        <v>2026</v>
      </c>
      <c r="F1755" s="43" t="str">
        <f t="shared" si="2"/>
        <v>05 Mei</v>
      </c>
      <c r="G1755" s="45" t="s">
        <v>43</v>
      </c>
      <c r="H1755" s="45" t="s">
        <v>41</v>
      </c>
      <c r="I1755" s="45" t="s">
        <v>1348</v>
      </c>
      <c r="J1755" s="143" t="s">
        <v>120</v>
      </c>
      <c r="K1755" s="43" t="str">
        <f t="array" ref="K1755">IF(J1755="","", XLOOKUP(J1755,'⚙️ Pengaturan'!$E$2:$E3237,'⚙️ Pengaturan'!$G$2:$G3237))</f>
        <v>KLINIK FT SESI</v>
      </c>
      <c r="L1755" s="43" t="str">
        <f t="shared" si="3"/>
        <v>BARU</v>
      </c>
      <c r="M1755" s="144" t="s">
        <v>31</v>
      </c>
      <c r="N1755" s="145">
        <v>180000.0</v>
      </c>
      <c r="O1755" s="146">
        <v>0.0</v>
      </c>
      <c r="P1755" s="48">
        <f t="array" ref="P1755">IFNA(XLOOKUP(J1755,'⚙️ Pengaturan'!$E$2:$E3237,'⚙️ Pengaturan'!$F$2:$F3237),"")</f>
        <v>180000</v>
      </c>
      <c r="Q1755" s="147">
        <f t="shared" si="37"/>
        <v>0</v>
      </c>
      <c r="R1755" s="41" t="s">
        <v>37</v>
      </c>
      <c r="S1755" s="69" t="s">
        <v>1348</v>
      </c>
      <c r="T1755" s="51" t="b">
        <v>1</v>
      </c>
      <c r="U1755" s="94"/>
    </row>
    <row r="1756" ht="30.0" customHeight="1">
      <c r="A1756" s="39"/>
      <c r="B1756" s="161">
        <v>3793.0</v>
      </c>
      <c r="C1756" s="41" t="s">
        <v>39</v>
      </c>
      <c r="D1756" s="86">
        <v>46163.0</v>
      </c>
      <c r="E1756" s="43" t="str">
        <f t="shared" si="1"/>
        <v>2026</v>
      </c>
      <c r="F1756" s="43" t="str">
        <f t="shared" si="2"/>
        <v>05 Mei</v>
      </c>
      <c r="G1756" s="45" t="s">
        <v>43</v>
      </c>
      <c r="H1756" s="45" t="s">
        <v>47</v>
      </c>
      <c r="I1756" s="45" t="s">
        <v>1281</v>
      </c>
      <c r="J1756" s="143" t="s">
        <v>120</v>
      </c>
      <c r="K1756" s="43" t="str">
        <f t="array" ref="K1756">IF(J1756="","", XLOOKUP(J1756,'⚙️ Pengaturan'!$E$2:$E3237,'⚙️ Pengaturan'!$G$2:$G3237))</f>
        <v>KLINIK FT SESI</v>
      </c>
      <c r="L1756" s="43" t="str">
        <f t="shared" si="3"/>
        <v>LANJUTAN</v>
      </c>
      <c r="M1756" s="144" t="s">
        <v>31</v>
      </c>
      <c r="N1756" s="145">
        <v>180000.0</v>
      </c>
      <c r="O1756" s="146">
        <v>0.0</v>
      </c>
      <c r="P1756" s="48">
        <f t="array" ref="P1756">IFNA(XLOOKUP(J1756,'⚙️ Pengaturan'!$E$2:$E3237,'⚙️ Pengaturan'!$F$2:$F3237),"")</f>
        <v>180000</v>
      </c>
      <c r="Q1756" s="147">
        <f t="shared" si="37"/>
        <v>0</v>
      </c>
      <c r="R1756" s="41" t="s">
        <v>32</v>
      </c>
      <c r="S1756" s="69" t="s">
        <v>33</v>
      </c>
      <c r="T1756" s="51" t="b">
        <v>1</v>
      </c>
      <c r="U1756" s="94"/>
    </row>
    <row r="1757" ht="30.0" customHeight="1">
      <c r="A1757" s="39"/>
      <c r="B1757" s="40">
        <v>3794.0</v>
      </c>
      <c r="C1757" s="41" t="s">
        <v>39</v>
      </c>
      <c r="D1757" s="86">
        <v>46163.0</v>
      </c>
      <c r="E1757" s="43" t="str">
        <f t="shared" si="1"/>
        <v>2026</v>
      </c>
      <c r="F1757" s="43" t="str">
        <f t="shared" si="2"/>
        <v>05 Mei</v>
      </c>
      <c r="G1757" s="45" t="s">
        <v>173</v>
      </c>
      <c r="H1757" s="45" t="s">
        <v>41</v>
      </c>
      <c r="I1757" s="45" t="s">
        <v>1330</v>
      </c>
      <c r="J1757" s="143" t="s">
        <v>119</v>
      </c>
      <c r="K1757" s="43" t="str">
        <f t="array" ref="K1757">IF(J1757="","", XLOOKUP(J1757,'⚙️ Pengaturan'!$E$2:$E3237,'⚙️ Pengaturan'!$G$2:$G3237))</f>
        <v>KLINIK FT PAKET</v>
      </c>
      <c r="L1757" s="43" t="str">
        <f t="shared" si="3"/>
        <v>BARU</v>
      </c>
      <c r="M1757" s="144" t="s">
        <v>31</v>
      </c>
      <c r="N1757" s="145">
        <v>600000.0</v>
      </c>
      <c r="O1757" s="146">
        <v>150000.0</v>
      </c>
      <c r="P1757" s="48">
        <f t="array" ref="P1757">IFNA(XLOOKUP(J1757,'⚙️ Pengaturan'!$E$2:$E3237,'⚙️ Pengaturan'!$F$2:$F3237),"")</f>
        <v>750000</v>
      </c>
      <c r="Q1757" s="147">
        <f t="shared" si="37"/>
        <v>0</v>
      </c>
      <c r="R1757" s="41" t="s">
        <v>37</v>
      </c>
      <c r="S1757" s="69" t="s">
        <v>1330</v>
      </c>
      <c r="T1757" s="51" t="b">
        <v>1</v>
      </c>
      <c r="U1757" s="94" t="s">
        <v>1332</v>
      </c>
    </row>
    <row r="1758" ht="30.0" customHeight="1">
      <c r="A1758" s="39"/>
      <c r="B1758" s="161">
        <v>3795.0</v>
      </c>
      <c r="C1758" s="41" t="s">
        <v>39</v>
      </c>
      <c r="D1758" s="86">
        <v>46163.0</v>
      </c>
      <c r="E1758" s="43" t="str">
        <f t="shared" si="1"/>
        <v>2026</v>
      </c>
      <c r="F1758" s="43" t="str">
        <f t="shared" si="2"/>
        <v>05 Mei</v>
      </c>
      <c r="G1758" s="45" t="s">
        <v>173</v>
      </c>
      <c r="H1758" s="45" t="s">
        <v>96</v>
      </c>
      <c r="I1758" s="45" t="s">
        <v>1367</v>
      </c>
      <c r="J1758" s="143" t="s">
        <v>28</v>
      </c>
      <c r="K1758" s="43" t="str">
        <f t="array" ref="K1758">IF(J1758="","", XLOOKUP(J1758,'⚙️ Pengaturan'!$E$2:$E3237,'⚙️ Pengaturan'!$G$2:$G3237))</f>
        <v>KLINIK FT TA</v>
      </c>
      <c r="L1758" s="43" t="str">
        <f t="shared" si="3"/>
        <v>BARU</v>
      </c>
      <c r="M1758" s="144" t="s">
        <v>31</v>
      </c>
      <c r="N1758" s="145">
        <v>250000.0</v>
      </c>
      <c r="O1758" s="146">
        <v>0.0</v>
      </c>
      <c r="P1758" s="48">
        <f t="array" ref="P1758">IFNA(XLOOKUP(J1758,'⚙️ Pengaturan'!$E$2:$E3237,'⚙️ Pengaturan'!$F$2:$F3237),"")</f>
        <v>250000</v>
      </c>
      <c r="Q1758" s="147">
        <f t="shared" si="37"/>
        <v>0</v>
      </c>
      <c r="R1758" s="41" t="s">
        <v>37</v>
      </c>
      <c r="S1758" s="69" t="s">
        <v>1367</v>
      </c>
      <c r="T1758" s="51" t="b">
        <v>1</v>
      </c>
      <c r="U1758" s="94"/>
    </row>
    <row r="1759" ht="30.0" customHeight="1">
      <c r="A1759" s="39"/>
      <c r="B1759" s="40">
        <v>3796.0</v>
      </c>
      <c r="C1759" s="41" t="s">
        <v>39</v>
      </c>
      <c r="D1759" s="86">
        <v>46163.0</v>
      </c>
      <c r="E1759" s="43" t="str">
        <f t="shared" si="1"/>
        <v>2026</v>
      </c>
      <c r="F1759" s="43" t="str">
        <f t="shared" si="2"/>
        <v>05 Mei</v>
      </c>
      <c r="G1759" s="45" t="s">
        <v>173</v>
      </c>
      <c r="H1759" s="45" t="s">
        <v>76</v>
      </c>
      <c r="I1759" s="45" t="s">
        <v>1368</v>
      </c>
      <c r="J1759" s="143" t="s">
        <v>28</v>
      </c>
      <c r="K1759" s="43" t="str">
        <f t="array" ref="K1759">IF(J1759="","", XLOOKUP(J1759,'⚙️ Pengaturan'!$E$2:$E3237,'⚙️ Pengaturan'!$G$2:$G3237))</f>
        <v>KLINIK FT TA</v>
      </c>
      <c r="L1759" s="43" t="str">
        <f t="shared" si="3"/>
        <v>BARU</v>
      </c>
      <c r="M1759" s="144" t="s">
        <v>31</v>
      </c>
      <c r="N1759" s="145">
        <v>250000.0</v>
      </c>
      <c r="O1759" s="146">
        <v>0.0</v>
      </c>
      <c r="P1759" s="48">
        <f t="array" ref="P1759">IFNA(XLOOKUP(J1759,'⚙️ Pengaturan'!$E$2:$E3237,'⚙️ Pengaturan'!$F$2:$F3237),"")</f>
        <v>250000</v>
      </c>
      <c r="Q1759" s="147">
        <f t="shared" si="37"/>
        <v>0</v>
      </c>
      <c r="R1759" s="41" t="s">
        <v>37</v>
      </c>
      <c r="S1759" s="69" t="s">
        <v>1368</v>
      </c>
      <c r="T1759" s="51" t="b">
        <v>1</v>
      </c>
      <c r="U1759" s="94"/>
    </row>
    <row r="1760" ht="30.0" customHeight="1">
      <c r="A1760" s="39"/>
      <c r="B1760" s="161">
        <v>3797.0</v>
      </c>
      <c r="C1760" s="41" t="s">
        <v>39</v>
      </c>
      <c r="D1760" s="86">
        <v>46163.0</v>
      </c>
      <c r="E1760" s="43" t="str">
        <f t="shared" si="1"/>
        <v>2026</v>
      </c>
      <c r="F1760" s="43" t="str">
        <f t="shared" si="2"/>
        <v>05 Mei</v>
      </c>
      <c r="G1760" s="45" t="s">
        <v>46</v>
      </c>
      <c r="H1760" s="45" t="s">
        <v>47</v>
      </c>
      <c r="I1760" s="45" t="s">
        <v>830</v>
      </c>
      <c r="J1760" s="143" t="s">
        <v>347</v>
      </c>
      <c r="K1760" s="43" t="str">
        <f t="array" ref="K1760">IF(J1760="","", XLOOKUP(J1760,'⚙️ Pengaturan'!$E$2:$E3237,'⚙️ Pengaturan'!$G$2:$G3237))</f>
        <v>KLINIK FT PAKET</v>
      </c>
      <c r="L1760" s="43" t="str">
        <f t="shared" si="3"/>
        <v>LANJUTAN</v>
      </c>
      <c r="M1760" s="144" t="s">
        <v>31</v>
      </c>
      <c r="N1760" s="145">
        <v>1040000.0</v>
      </c>
      <c r="O1760" s="146">
        <v>260000.0</v>
      </c>
      <c r="P1760" s="48">
        <f t="array" ref="P1760">IFNA(XLOOKUP(J1760,'⚙️ Pengaturan'!$E$2:$E3237,'⚙️ Pengaturan'!$F$2:$F3237),"")</f>
        <v>1300000</v>
      </c>
      <c r="Q1760" s="147">
        <f t="shared" si="37"/>
        <v>0</v>
      </c>
      <c r="R1760" s="41" t="s">
        <v>93</v>
      </c>
      <c r="S1760" s="69" t="s">
        <v>830</v>
      </c>
      <c r="T1760" s="51" t="b">
        <v>1</v>
      </c>
      <c r="U1760" s="94" t="s">
        <v>1332</v>
      </c>
    </row>
    <row r="1761" ht="30.0" customHeight="1">
      <c r="A1761" s="39"/>
      <c r="B1761" s="40">
        <v>3798.0</v>
      </c>
      <c r="C1761" s="41" t="s">
        <v>39</v>
      </c>
      <c r="D1761" s="86">
        <v>46163.0</v>
      </c>
      <c r="E1761" s="43" t="str">
        <f t="shared" si="1"/>
        <v>2026</v>
      </c>
      <c r="F1761" s="43" t="str">
        <f t="shared" si="2"/>
        <v>05 Mei</v>
      </c>
      <c r="G1761" s="45" t="s">
        <v>155</v>
      </c>
      <c r="H1761" s="45" t="s">
        <v>96</v>
      </c>
      <c r="I1761" s="45" t="s">
        <v>717</v>
      </c>
      <c r="J1761" s="143" t="s">
        <v>347</v>
      </c>
      <c r="K1761" s="43" t="str">
        <f t="array" ref="K1761">IF(J1761="","", XLOOKUP(J1761,'⚙️ Pengaturan'!$E$2:$E3237,'⚙️ Pengaturan'!$G$2:$G3237))</f>
        <v>KLINIK FT PAKET</v>
      </c>
      <c r="L1761" s="43" t="str">
        <f t="shared" si="3"/>
        <v>BARU</v>
      </c>
      <c r="M1761" s="144" t="s">
        <v>31</v>
      </c>
      <c r="N1761" s="145">
        <v>1040000.0</v>
      </c>
      <c r="O1761" s="146">
        <v>260000.0</v>
      </c>
      <c r="P1761" s="48">
        <f t="array" ref="P1761">IFNA(XLOOKUP(J1761,'⚙️ Pengaturan'!$E$2:$E3237,'⚙️ Pengaturan'!$F$2:$F3237),"")</f>
        <v>1300000</v>
      </c>
      <c r="Q1761" s="147">
        <f t="shared" si="37"/>
        <v>0</v>
      </c>
      <c r="R1761" s="41" t="s">
        <v>32</v>
      </c>
      <c r="S1761" s="69" t="s">
        <v>33</v>
      </c>
      <c r="T1761" s="51" t="b">
        <v>1</v>
      </c>
      <c r="U1761" s="94"/>
    </row>
    <row r="1762" ht="30.0" customHeight="1">
      <c r="A1762" s="39"/>
      <c r="B1762" s="161">
        <v>3799.0</v>
      </c>
      <c r="C1762" s="41" t="s">
        <v>39</v>
      </c>
      <c r="D1762" s="86">
        <v>46163.0</v>
      </c>
      <c r="E1762" s="43" t="str">
        <f t="shared" si="1"/>
        <v>2026</v>
      </c>
      <c r="F1762" s="43" t="str">
        <f t="shared" si="2"/>
        <v>05 Mei</v>
      </c>
      <c r="G1762" s="45" t="s">
        <v>155</v>
      </c>
      <c r="H1762" s="45" t="s">
        <v>41</v>
      </c>
      <c r="I1762" s="45" t="s">
        <v>1345</v>
      </c>
      <c r="J1762" s="143" t="s">
        <v>120</v>
      </c>
      <c r="K1762" s="43" t="str">
        <f t="array" ref="K1762">IF(J1762="","", XLOOKUP(J1762,'⚙️ Pengaturan'!$E$2:$E3237,'⚙️ Pengaturan'!$G$2:$G3237))</f>
        <v>KLINIK FT SESI</v>
      </c>
      <c r="L1762" s="43" t="str">
        <f t="shared" si="3"/>
        <v>BARU</v>
      </c>
      <c r="M1762" s="144" t="s">
        <v>31</v>
      </c>
      <c r="N1762" s="145">
        <v>180000.0</v>
      </c>
      <c r="O1762" s="146">
        <v>0.0</v>
      </c>
      <c r="P1762" s="48">
        <f t="array" ref="P1762">IFNA(XLOOKUP(J1762,'⚙️ Pengaturan'!$E$2:$E3237,'⚙️ Pengaturan'!$F$2:$F3237),"")</f>
        <v>180000</v>
      </c>
      <c r="Q1762" s="147">
        <f t="shared" si="37"/>
        <v>0</v>
      </c>
      <c r="R1762" s="41" t="s">
        <v>32</v>
      </c>
      <c r="S1762" s="69" t="s">
        <v>33</v>
      </c>
      <c r="T1762" s="51" t="b">
        <v>1</v>
      </c>
      <c r="U1762" s="94"/>
    </row>
    <row r="1763" ht="30.0" customHeight="1">
      <c r="A1763" s="39"/>
      <c r="B1763" s="40">
        <v>3800.0</v>
      </c>
      <c r="C1763" s="41" t="s">
        <v>50</v>
      </c>
      <c r="D1763" s="86">
        <v>46164.0</v>
      </c>
      <c r="E1763" s="43" t="str">
        <f t="shared" si="1"/>
        <v>2026</v>
      </c>
      <c r="F1763" s="43" t="str">
        <f t="shared" si="2"/>
        <v>05 Mei</v>
      </c>
      <c r="G1763" s="45" t="s">
        <v>195</v>
      </c>
      <c r="H1763" s="45" t="s">
        <v>47</v>
      </c>
      <c r="I1763" s="45" t="s">
        <v>1259</v>
      </c>
      <c r="J1763" s="143" t="s">
        <v>119</v>
      </c>
      <c r="K1763" s="43" t="str">
        <f t="array" ref="K1763">IF(J1763="","", XLOOKUP(J1763,'⚙️ Pengaturan'!$E$2:$E3237,'⚙️ Pengaturan'!$G$2:$G3237))</f>
        <v>KLINIK FT PAKET</v>
      </c>
      <c r="L1763" s="43" t="str">
        <f t="shared" si="3"/>
        <v>LANJUTAN</v>
      </c>
      <c r="M1763" s="144" t="s">
        <v>81</v>
      </c>
      <c r="N1763" s="145">
        <v>200000.0</v>
      </c>
      <c r="O1763" s="146">
        <v>200000.0</v>
      </c>
      <c r="P1763" s="48">
        <f t="array" ref="P1763">IFNA(XLOOKUP(J1763,'⚙️ Pengaturan'!$E$2:$E3237,'⚙️ Pengaturan'!$F$2:$F3237),"")</f>
        <v>750000</v>
      </c>
      <c r="Q1763" s="147">
        <f t="shared" si="37"/>
        <v>-350000</v>
      </c>
      <c r="R1763" s="41" t="s">
        <v>32</v>
      </c>
      <c r="S1763" s="69" t="s">
        <v>33</v>
      </c>
      <c r="T1763" s="51" t="b">
        <v>1</v>
      </c>
      <c r="U1763" s="94"/>
    </row>
    <row r="1764" ht="30.0" customHeight="1">
      <c r="A1764" s="39"/>
      <c r="B1764" s="161">
        <v>3801.0</v>
      </c>
      <c r="C1764" s="41" t="s">
        <v>50</v>
      </c>
      <c r="D1764" s="86">
        <v>46164.0</v>
      </c>
      <c r="E1764" s="43" t="str">
        <f t="shared" si="1"/>
        <v>2026</v>
      </c>
      <c r="F1764" s="43" t="str">
        <f t="shared" si="2"/>
        <v>05 Mei</v>
      </c>
      <c r="G1764" s="45" t="s">
        <v>25</v>
      </c>
      <c r="H1764" s="45" t="s">
        <v>96</v>
      </c>
      <c r="I1764" s="45" t="s">
        <v>1369</v>
      </c>
      <c r="J1764" s="143" t="s">
        <v>28</v>
      </c>
      <c r="K1764" s="43" t="str">
        <f t="array" ref="K1764">IF(J1764="","", XLOOKUP(J1764,'⚙️ Pengaturan'!$E$2:$E3237,'⚙️ Pengaturan'!$G$2:$G3237))</f>
        <v>KLINIK FT TA</v>
      </c>
      <c r="L1764" s="43" t="str">
        <f t="shared" si="3"/>
        <v>BARU</v>
      </c>
      <c r="M1764" s="144" t="s">
        <v>31</v>
      </c>
      <c r="N1764" s="145">
        <v>250000.0</v>
      </c>
      <c r="O1764" s="146">
        <v>0.0</v>
      </c>
      <c r="P1764" s="48">
        <f t="array" ref="P1764">IFNA(XLOOKUP(J1764,'⚙️ Pengaturan'!$E$2:$E3237,'⚙️ Pengaturan'!$F$2:$F3237),"")</f>
        <v>250000</v>
      </c>
      <c r="Q1764" s="147">
        <f t="shared" si="37"/>
        <v>0</v>
      </c>
      <c r="R1764" s="41" t="s">
        <v>32</v>
      </c>
      <c r="S1764" s="69" t="s">
        <v>33</v>
      </c>
      <c r="T1764" s="51" t="b">
        <v>1</v>
      </c>
      <c r="U1764" s="94"/>
    </row>
    <row r="1765" ht="30.0" customHeight="1">
      <c r="A1765" s="39"/>
      <c r="B1765" s="40">
        <v>3802.0</v>
      </c>
      <c r="C1765" s="41" t="s">
        <v>50</v>
      </c>
      <c r="D1765" s="86">
        <v>46164.0</v>
      </c>
      <c r="E1765" s="43" t="str">
        <f t="shared" si="1"/>
        <v>2026</v>
      </c>
      <c r="F1765" s="43" t="str">
        <f t="shared" si="2"/>
        <v>05 Mei</v>
      </c>
      <c r="G1765" s="45" t="s">
        <v>241</v>
      </c>
      <c r="H1765" s="45" t="s">
        <v>149</v>
      </c>
      <c r="I1765" s="45" t="s">
        <v>1370</v>
      </c>
      <c r="J1765" s="143" t="s">
        <v>121</v>
      </c>
      <c r="K1765" s="43" t="str">
        <f t="array" ref="K1765">IF(J1765="","", XLOOKUP(J1765,'⚙️ Pengaturan'!$E$2:$E3237,'⚙️ Pengaturan'!$G$2:$G3237))</f>
        <v>VISIT FT TA</v>
      </c>
      <c r="L1765" s="43" t="str">
        <f t="shared" si="3"/>
        <v>BARU</v>
      </c>
      <c r="M1765" s="144" t="s">
        <v>31</v>
      </c>
      <c r="N1765" s="145">
        <v>300000.0</v>
      </c>
      <c r="O1765" s="146">
        <v>0.0</v>
      </c>
      <c r="P1765" s="48">
        <f t="array" ref="P1765">IFNA(XLOOKUP(J1765,'⚙️ Pengaturan'!$E$2:$E3237,'⚙️ Pengaturan'!$F$2:$F3237),"")</f>
        <v>300000</v>
      </c>
      <c r="Q1765" s="147">
        <f t="shared" si="37"/>
        <v>0</v>
      </c>
      <c r="R1765" s="41" t="s">
        <v>37</v>
      </c>
      <c r="S1765" s="69" t="s">
        <v>1370</v>
      </c>
      <c r="T1765" s="51" t="b">
        <v>1</v>
      </c>
      <c r="U1765" s="94"/>
    </row>
    <row r="1766" ht="30.0" customHeight="1">
      <c r="A1766" s="39"/>
      <c r="B1766" s="161">
        <v>3803.0</v>
      </c>
      <c r="C1766" s="41" t="s">
        <v>50</v>
      </c>
      <c r="D1766" s="86">
        <v>46164.0</v>
      </c>
      <c r="E1766" s="43" t="str">
        <f t="shared" si="1"/>
        <v>2026</v>
      </c>
      <c r="F1766" s="43" t="str">
        <f t="shared" si="2"/>
        <v>05 Mei</v>
      </c>
      <c r="G1766" s="45" t="s">
        <v>35</v>
      </c>
      <c r="H1766" s="45" t="s">
        <v>149</v>
      </c>
      <c r="I1766" s="45" t="s">
        <v>971</v>
      </c>
      <c r="J1766" s="143" t="s">
        <v>28</v>
      </c>
      <c r="K1766" s="43" t="str">
        <f t="array" ref="K1766">IF(J1766="","", XLOOKUP(J1766,'⚙️ Pengaturan'!$E$2:$E3237,'⚙️ Pengaturan'!$G$2:$G3237))</f>
        <v>KLINIK FT TA</v>
      </c>
      <c r="L1766" s="43" t="str">
        <f t="shared" si="3"/>
        <v>LANJUTAN</v>
      </c>
      <c r="M1766" s="144" t="s">
        <v>31</v>
      </c>
      <c r="N1766" s="145">
        <v>250000.0</v>
      </c>
      <c r="O1766" s="146">
        <v>0.0</v>
      </c>
      <c r="P1766" s="48">
        <f t="array" ref="P1766">IFNA(XLOOKUP(J1766,'⚙️ Pengaturan'!$E$2:$E3237,'⚙️ Pengaturan'!$F$2:$F3237),"")</f>
        <v>250000</v>
      </c>
      <c r="Q1766" s="147">
        <f t="shared" si="37"/>
        <v>0</v>
      </c>
      <c r="R1766" s="41" t="s">
        <v>32</v>
      </c>
      <c r="S1766" s="69" t="s">
        <v>33</v>
      </c>
      <c r="T1766" s="51" t="b">
        <v>1</v>
      </c>
      <c r="U1766" s="94"/>
    </row>
    <row r="1767" ht="30.0" customHeight="1">
      <c r="A1767" s="39"/>
      <c r="B1767" s="40">
        <v>3804.0</v>
      </c>
      <c r="C1767" s="41" t="s">
        <v>50</v>
      </c>
      <c r="D1767" s="86">
        <v>46164.0</v>
      </c>
      <c r="E1767" s="43" t="str">
        <f t="shared" si="1"/>
        <v>2026</v>
      </c>
      <c r="F1767" s="43" t="str">
        <f t="shared" si="2"/>
        <v>05 Mei</v>
      </c>
      <c r="G1767" s="45" t="s">
        <v>35</v>
      </c>
      <c r="H1767" s="45" t="s">
        <v>149</v>
      </c>
      <c r="I1767" s="45" t="s">
        <v>971</v>
      </c>
      <c r="J1767" s="143" t="s">
        <v>120</v>
      </c>
      <c r="K1767" s="43" t="str">
        <f t="array" ref="K1767">IF(J1767="","", XLOOKUP(J1767,'⚙️ Pengaturan'!$E$2:$E3237,'⚙️ Pengaturan'!$G$2:$G3237))</f>
        <v>KLINIK FT SESI</v>
      </c>
      <c r="L1767" s="43" t="str">
        <f t="shared" si="3"/>
        <v>LANJUTAN</v>
      </c>
      <c r="M1767" s="144" t="s">
        <v>31</v>
      </c>
      <c r="N1767" s="145">
        <v>180000.0</v>
      </c>
      <c r="O1767" s="146">
        <v>0.0</v>
      </c>
      <c r="P1767" s="48">
        <f t="array" ref="P1767">IFNA(XLOOKUP(J1767,'⚙️ Pengaturan'!$E$2:$E3237,'⚙️ Pengaturan'!$F$2:$F3237),"")</f>
        <v>180000</v>
      </c>
      <c r="Q1767" s="147">
        <f t="shared" si="37"/>
        <v>0</v>
      </c>
      <c r="R1767" s="41" t="s">
        <v>32</v>
      </c>
      <c r="S1767" s="69" t="s">
        <v>33</v>
      </c>
      <c r="T1767" s="51" t="b">
        <v>1</v>
      </c>
      <c r="U1767" s="94"/>
    </row>
    <row r="1768" ht="30.0" customHeight="1">
      <c r="A1768" s="39"/>
      <c r="B1768" s="161">
        <v>3805.0</v>
      </c>
      <c r="C1768" s="41" t="s">
        <v>50</v>
      </c>
      <c r="D1768" s="86">
        <v>46164.0</v>
      </c>
      <c r="E1768" s="43" t="str">
        <f t="shared" si="1"/>
        <v>2026</v>
      </c>
      <c r="F1768" s="43" t="str">
        <f t="shared" si="2"/>
        <v>05 Mei</v>
      </c>
      <c r="G1768" s="45" t="s">
        <v>35</v>
      </c>
      <c r="H1768" s="45" t="s">
        <v>47</v>
      </c>
      <c r="I1768" s="45" t="s">
        <v>1335</v>
      </c>
      <c r="J1768" s="143" t="s">
        <v>120</v>
      </c>
      <c r="K1768" s="43" t="str">
        <f t="array" ref="K1768">IF(J1768="","", XLOOKUP(J1768,'⚙️ Pengaturan'!$E$2:$E3237,'⚙️ Pengaturan'!$G$2:$G3237))</f>
        <v>KLINIK FT SESI</v>
      </c>
      <c r="L1768" s="43" t="str">
        <f t="shared" si="3"/>
        <v>BARU</v>
      </c>
      <c r="M1768" s="144" t="s">
        <v>31</v>
      </c>
      <c r="N1768" s="145">
        <v>180000.0</v>
      </c>
      <c r="O1768" s="146">
        <v>0.0</v>
      </c>
      <c r="P1768" s="48">
        <f t="array" ref="P1768">IFNA(XLOOKUP(J1768,'⚙️ Pengaturan'!$E$2:$E3237,'⚙️ Pengaturan'!$F$2:$F3237),"")</f>
        <v>180000</v>
      </c>
      <c r="Q1768" s="147">
        <f t="shared" si="37"/>
        <v>0</v>
      </c>
      <c r="R1768" s="41" t="s">
        <v>32</v>
      </c>
      <c r="S1768" s="69" t="s">
        <v>33</v>
      </c>
      <c r="T1768" s="51" t="b">
        <v>1</v>
      </c>
      <c r="U1768" s="94"/>
    </row>
    <row r="1769" ht="30.0" customHeight="1">
      <c r="A1769" s="39"/>
      <c r="B1769" s="40">
        <v>3806.0</v>
      </c>
      <c r="C1769" s="41" t="s">
        <v>39</v>
      </c>
      <c r="D1769" s="86">
        <v>46164.0</v>
      </c>
      <c r="E1769" s="43" t="str">
        <f t="shared" si="1"/>
        <v>2026</v>
      </c>
      <c r="F1769" s="43" t="str">
        <f t="shared" si="2"/>
        <v>05 Mei</v>
      </c>
      <c r="G1769" s="45" t="s">
        <v>43</v>
      </c>
      <c r="H1769" s="45" t="s">
        <v>162</v>
      </c>
      <c r="I1769" s="45" t="s">
        <v>440</v>
      </c>
      <c r="J1769" s="143" t="s">
        <v>120</v>
      </c>
      <c r="K1769" s="43" t="str">
        <f t="array" ref="K1769">IF(J1769="","", XLOOKUP(J1769,'⚙️ Pengaturan'!$E$2:$E3237,'⚙️ Pengaturan'!$G$2:$G3237))</f>
        <v>KLINIK FT SESI</v>
      </c>
      <c r="L1769" s="43" t="str">
        <f t="shared" si="3"/>
        <v>LANJUTAN</v>
      </c>
      <c r="M1769" s="144" t="s">
        <v>31</v>
      </c>
      <c r="N1769" s="145">
        <v>180000.0</v>
      </c>
      <c r="O1769" s="146">
        <v>0.0</v>
      </c>
      <c r="P1769" s="48">
        <f t="array" ref="P1769">IFNA(XLOOKUP(J1769,'⚙️ Pengaturan'!$E$2:$E3237,'⚙️ Pengaturan'!$F$2:$F3237),"")</f>
        <v>180000</v>
      </c>
      <c r="Q1769" s="147">
        <f t="shared" si="37"/>
        <v>0</v>
      </c>
      <c r="R1769" s="41" t="s">
        <v>32</v>
      </c>
      <c r="S1769" s="69" t="s">
        <v>33</v>
      </c>
      <c r="T1769" s="51" t="b">
        <v>1</v>
      </c>
      <c r="U1769" s="94"/>
    </row>
    <row r="1770" ht="30.0" customHeight="1">
      <c r="A1770" s="39"/>
      <c r="B1770" s="161">
        <v>3807.0</v>
      </c>
      <c r="C1770" s="41" t="s">
        <v>79</v>
      </c>
      <c r="D1770" s="86">
        <v>46165.0</v>
      </c>
      <c r="E1770" s="43" t="str">
        <f t="shared" si="1"/>
        <v>2026</v>
      </c>
      <c r="F1770" s="43" t="str">
        <f t="shared" si="2"/>
        <v>05 Mei</v>
      </c>
      <c r="G1770" s="45" t="s">
        <v>195</v>
      </c>
      <c r="H1770" s="45" t="s">
        <v>26</v>
      </c>
      <c r="I1770" s="45" t="s">
        <v>1327</v>
      </c>
      <c r="J1770" s="143" t="s">
        <v>119</v>
      </c>
      <c r="K1770" s="43" t="str">
        <f t="array" ref="K1770">IF(J1770="","", XLOOKUP(J1770,'⚙️ Pengaturan'!$E$2:$E3237,'⚙️ Pengaturan'!$G$2:$G3237))</f>
        <v>KLINIK FT PAKET</v>
      </c>
      <c r="L1770" s="43" t="str">
        <f t="shared" si="3"/>
        <v>LANJUTAN</v>
      </c>
      <c r="M1770" s="144" t="s">
        <v>31</v>
      </c>
      <c r="N1770" s="145">
        <v>600000.0</v>
      </c>
      <c r="O1770" s="146">
        <v>150000.0</v>
      </c>
      <c r="P1770" s="48">
        <v>750000.0</v>
      </c>
      <c r="Q1770" s="147">
        <v>0.0</v>
      </c>
      <c r="R1770" s="41" t="s">
        <v>32</v>
      </c>
      <c r="S1770" s="69" t="s">
        <v>33</v>
      </c>
      <c r="T1770" s="51" t="b">
        <v>1</v>
      </c>
      <c r="U1770" s="94" t="s">
        <v>1371</v>
      </c>
    </row>
    <row r="1771" ht="30.0" customHeight="1">
      <c r="A1771" s="39"/>
      <c r="B1771" s="40">
        <v>3808.0</v>
      </c>
      <c r="C1771" s="41" t="s">
        <v>79</v>
      </c>
      <c r="D1771" s="86">
        <v>46165.0</v>
      </c>
      <c r="E1771" s="43" t="str">
        <f t="shared" si="1"/>
        <v>2026</v>
      </c>
      <c r="F1771" s="43" t="str">
        <f t="shared" si="2"/>
        <v>05 Mei</v>
      </c>
      <c r="G1771" s="45" t="s">
        <v>25</v>
      </c>
      <c r="H1771" s="45" t="s">
        <v>150</v>
      </c>
      <c r="I1771" s="45" t="s">
        <v>1358</v>
      </c>
      <c r="J1771" s="158" t="s">
        <v>119</v>
      </c>
      <c r="K1771" s="43" t="str">
        <f t="array" ref="K1771">IF(J1771="","", XLOOKUP(J1771,'⚙️ Pengaturan'!$E$2:$E3237,'⚙️ Pengaturan'!$G$2:$G3237))</f>
        <v>KLINIK FT PAKET</v>
      </c>
      <c r="L1771" s="43" t="str">
        <f t="shared" si="3"/>
        <v>BARU</v>
      </c>
      <c r="M1771" s="159" t="s">
        <v>31</v>
      </c>
      <c r="N1771" s="145">
        <v>750000.0</v>
      </c>
      <c r="O1771" s="146">
        <v>0.0</v>
      </c>
      <c r="P1771" s="151">
        <v>750000.0</v>
      </c>
      <c r="Q1771" s="147">
        <v>0.0</v>
      </c>
      <c r="R1771" s="41" t="s">
        <v>93</v>
      </c>
      <c r="S1771" s="69" t="s">
        <v>1358</v>
      </c>
      <c r="T1771" s="51" t="b">
        <v>1</v>
      </c>
      <c r="U1771" s="94"/>
    </row>
    <row r="1772" ht="30.0" customHeight="1">
      <c r="A1772" s="39"/>
      <c r="B1772" s="161">
        <v>3809.0</v>
      </c>
      <c r="C1772" s="41" t="s">
        <v>79</v>
      </c>
      <c r="D1772" s="86">
        <v>46165.0</v>
      </c>
      <c r="E1772" s="43" t="str">
        <f t="shared" si="1"/>
        <v>2026</v>
      </c>
      <c r="F1772" s="43" t="str">
        <f t="shared" si="2"/>
        <v>05 Mei</v>
      </c>
      <c r="G1772" s="45" t="s">
        <v>206</v>
      </c>
      <c r="H1772" s="45" t="s">
        <v>166</v>
      </c>
      <c r="I1772" s="45" t="s">
        <v>1303</v>
      </c>
      <c r="J1772" s="143" t="s">
        <v>120</v>
      </c>
      <c r="K1772" s="43" t="str">
        <f t="array" ref="K1772">IF(J1772="","", XLOOKUP(J1772,'⚙️ Pengaturan'!$E$2:$E3237,'⚙️ Pengaturan'!$G$2:$G3237))</f>
        <v>KLINIK FT SESI</v>
      </c>
      <c r="L1772" s="43" t="str">
        <f t="shared" si="3"/>
        <v>BARU</v>
      </c>
      <c r="M1772" s="144" t="s">
        <v>31</v>
      </c>
      <c r="N1772" s="145">
        <v>180000.0</v>
      </c>
      <c r="O1772" s="146">
        <v>0.0</v>
      </c>
      <c r="P1772" s="48">
        <v>180000.0</v>
      </c>
      <c r="Q1772" s="147">
        <v>0.0</v>
      </c>
      <c r="R1772" s="41" t="s">
        <v>32</v>
      </c>
      <c r="S1772" s="69" t="s">
        <v>33</v>
      </c>
      <c r="T1772" s="51" t="b">
        <v>1</v>
      </c>
      <c r="U1772" s="94"/>
    </row>
    <row r="1773" ht="30.0" customHeight="1">
      <c r="A1773" s="39"/>
      <c r="B1773" s="40">
        <v>3810.0</v>
      </c>
      <c r="C1773" s="41" t="s">
        <v>79</v>
      </c>
      <c r="D1773" s="86">
        <v>46165.0</v>
      </c>
      <c r="E1773" s="43" t="str">
        <f t="shared" si="1"/>
        <v>2026</v>
      </c>
      <c r="F1773" s="43" t="str">
        <f t="shared" si="2"/>
        <v>05 Mei</v>
      </c>
      <c r="G1773" s="45" t="s">
        <v>161</v>
      </c>
      <c r="H1773" s="45" t="s">
        <v>26</v>
      </c>
      <c r="I1773" s="45" t="s">
        <v>976</v>
      </c>
      <c r="J1773" s="143" t="s">
        <v>120</v>
      </c>
      <c r="K1773" s="43" t="str">
        <f t="array" ref="K1773">IF(J1773="","", XLOOKUP(J1773,'⚙️ Pengaturan'!$E$2:$E3237,'⚙️ Pengaturan'!$G$2:$G3237))</f>
        <v>KLINIK FT SESI</v>
      </c>
      <c r="L1773" s="43" t="str">
        <f t="shared" si="3"/>
        <v>LANJUTAN</v>
      </c>
      <c r="M1773" s="144" t="s">
        <v>31</v>
      </c>
      <c r="N1773" s="145">
        <v>144000.0</v>
      </c>
      <c r="O1773" s="146">
        <v>36000.0</v>
      </c>
      <c r="P1773" s="48">
        <v>180000.0</v>
      </c>
      <c r="Q1773" s="147">
        <f t="shared" ref="Q1773:Q1785" si="38">IF(I1773="","",(N1773+O1773)-P1773)</f>
        <v>0</v>
      </c>
      <c r="R1773" s="41" t="s">
        <v>32</v>
      </c>
      <c r="S1773" s="69" t="s">
        <v>33</v>
      </c>
      <c r="T1773" s="51" t="b">
        <v>1</v>
      </c>
      <c r="U1773" s="94"/>
    </row>
    <row r="1774" ht="30.0" customHeight="1">
      <c r="A1774" s="39"/>
      <c r="B1774" s="161">
        <v>3811.0</v>
      </c>
      <c r="C1774" s="41" t="s">
        <v>79</v>
      </c>
      <c r="D1774" s="86">
        <v>46165.0</v>
      </c>
      <c r="E1774" s="43" t="s">
        <v>23</v>
      </c>
      <c r="F1774" s="43" t="s">
        <v>1372</v>
      </c>
      <c r="G1774" s="45" t="s">
        <v>161</v>
      </c>
      <c r="H1774" s="45" t="s">
        <v>166</v>
      </c>
      <c r="I1774" s="45" t="s">
        <v>1321</v>
      </c>
      <c r="J1774" s="143" t="s">
        <v>119</v>
      </c>
      <c r="K1774" s="43" t="str">
        <f t="array" ref="K1774">IF(J1774="","", XLOOKUP(J1774,'⚙️ Pengaturan'!$E$2:$E3237,'⚙️ Pengaturan'!$G$2:$G3237))</f>
        <v>KLINIK FT PAKET</v>
      </c>
      <c r="L1774" s="43" t="str">
        <f t="shared" si="3"/>
        <v>LANJUTAN</v>
      </c>
      <c r="M1774" s="144" t="s">
        <v>164</v>
      </c>
      <c r="N1774" s="145">
        <v>300000.0</v>
      </c>
      <c r="O1774" s="146">
        <v>450000.0</v>
      </c>
      <c r="P1774" s="48">
        <f t="array" ref="P1774">IFNA(XLOOKUP(J1774,'⚙️ Pengaturan'!$E$2:$E3237,'⚙️ Pengaturan'!$F$2:$F3237),"")</f>
        <v>750000</v>
      </c>
      <c r="Q1774" s="147">
        <f t="shared" si="38"/>
        <v>0</v>
      </c>
      <c r="R1774" s="41" t="s">
        <v>32</v>
      </c>
      <c r="S1774" s="69" t="s">
        <v>33</v>
      </c>
      <c r="T1774" s="51" t="b">
        <v>1</v>
      </c>
      <c r="U1774" s="94"/>
    </row>
    <row r="1775" ht="30.0" customHeight="1">
      <c r="A1775" s="39"/>
      <c r="B1775" s="40">
        <v>3812.0</v>
      </c>
      <c r="C1775" s="41" t="s">
        <v>79</v>
      </c>
      <c r="D1775" s="86">
        <v>46165.0</v>
      </c>
      <c r="E1775" s="43" t="str">
        <f t="shared" ref="E1775:E1915" si="39">if(D1775="","",text(D1775,"YYY"))</f>
        <v>2026</v>
      </c>
      <c r="F1775" s="43" t="str">
        <f t="shared" ref="F1775:F1915" si="40">if(D1775="","",text(D1775,"MM")&amp;" "&amp;text(D1775,"MMM"))</f>
        <v>05 Mei</v>
      </c>
      <c r="G1775" s="45" t="s">
        <v>35</v>
      </c>
      <c r="H1775" s="45" t="s">
        <v>150</v>
      </c>
      <c r="I1775" s="45" t="s">
        <v>1373</v>
      </c>
      <c r="J1775" s="143" t="s">
        <v>121</v>
      </c>
      <c r="K1775" s="43" t="str">
        <f t="array" ref="K1775">IF(J1775="","", XLOOKUP(J1775,'⚙️ Pengaturan'!$E$2:$E3237,'⚙️ Pengaturan'!$G$2:$G3237))</f>
        <v>VISIT FT TA</v>
      </c>
      <c r="L1775" s="43" t="str">
        <f t="shared" si="3"/>
        <v>BARU</v>
      </c>
      <c r="M1775" s="144" t="s">
        <v>31</v>
      </c>
      <c r="N1775" s="145">
        <v>300000.0</v>
      </c>
      <c r="O1775" s="146">
        <v>50000.0</v>
      </c>
      <c r="P1775" s="119">
        <v>350000.0</v>
      </c>
      <c r="Q1775" s="147">
        <f t="shared" si="38"/>
        <v>0</v>
      </c>
      <c r="R1775" s="41" t="s">
        <v>32</v>
      </c>
      <c r="S1775" s="69" t="s">
        <v>33</v>
      </c>
      <c r="T1775" s="51" t="b">
        <v>1</v>
      </c>
      <c r="U1775" s="94" t="s">
        <v>1374</v>
      </c>
    </row>
    <row r="1776" ht="30.0" customHeight="1">
      <c r="A1776" s="39"/>
      <c r="B1776" s="161">
        <v>3813.0</v>
      </c>
      <c r="C1776" s="41" t="s">
        <v>50</v>
      </c>
      <c r="D1776" s="86">
        <v>46165.0</v>
      </c>
      <c r="E1776" s="43" t="str">
        <f t="shared" si="39"/>
        <v>2026</v>
      </c>
      <c r="F1776" s="43" t="str">
        <f t="shared" si="40"/>
        <v>05 Mei</v>
      </c>
      <c r="G1776" s="45" t="s">
        <v>40</v>
      </c>
      <c r="H1776" s="45" t="s">
        <v>76</v>
      </c>
      <c r="I1776" s="45" t="s">
        <v>1375</v>
      </c>
      <c r="J1776" s="143" t="s">
        <v>28</v>
      </c>
      <c r="K1776" s="43" t="str">
        <f t="array" ref="K1776">IF(J1776="","", XLOOKUP(J1776,'⚙️ Pengaturan'!$E$2:$E3237,'⚙️ Pengaturan'!$G$2:$G3237))</f>
        <v>KLINIK FT TA</v>
      </c>
      <c r="L1776" s="43" t="str">
        <f t="shared" si="3"/>
        <v>BARU</v>
      </c>
      <c r="M1776" s="144" t="s">
        <v>31</v>
      </c>
      <c r="N1776" s="145">
        <v>250000.0</v>
      </c>
      <c r="O1776" s="146">
        <v>0.0</v>
      </c>
      <c r="P1776" s="48">
        <f t="array" ref="P1776">IFNA(XLOOKUP(J1776,'⚙️ Pengaturan'!$E$2:$E3237,'⚙️ Pengaturan'!$F$2:$F3237),"")</f>
        <v>250000</v>
      </c>
      <c r="Q1776" s="147">
        <f t="shared" si="38"/>
        <v>0</v>
      </c>
      <c r="R1776" s="41" t="s">
        <v>37</v>
      </c>
      <c r="S1776" s="69" t="s">
        <v>1375</v>
      </c>
      <c r="T1776" s="51" t="b">
        <v>1</v>
      </c>
      <c r="U1776" s="94"/>
    </row>
    <row r="1777" ht="30.0" customHeight="1">
      <c r="A1777" s="39"/>
      <c r="B1777" s="40">
        <v>3814.0</v>
      </c>
      <c r="C1777" s="41" t="s">
        <v>50</v>
      </c>
      <c r="D1777" s="86">
        <v>46165.0</v>
      </c>
      <c r="E1777" s="43" t="str">
        <f t="shared" si="39"/>
        <v>2026</v>
      </c>
      <c r="F1777" s="43" t="str">
        <f t="shared" si="40"/>
        <v>05 Mei</v>
      </c>
      <c r="G1777" s="45" t="s">
        <v>43</v>
      </c>
      <c r="H1777" s="45" t="s">
        <v>149</v>
      </c>
      <c r="I1777" s="45" t="s">
        <v>1295</v>
      </c>
      <c r="J1777" s="143" t="s">
        <v>120</v>
      </c>
      <c r="K1777" s="43" t="str">
        <f t="array" ref="K1777">IF(J1777="","", XLOOKUP(J1777,'⚙️ Pengaturan'!$E$2:$E3237,'⚙️ Pengaturan'!$G$2:$G3237))</f>
        <v>KLINIK FT SESI</v>
      </c>
      <c r="L1777" s="43" t="str">
        <f t="shared" si="3"/>
        <v>BARU</v>
      </c>
      <c r="M1777" s="144" t="s">
        <v>31</v>
      </c>
      <c r="N1777" s="145">
        <v>180000.0</v>
      </c>
      <c r="O1777" s="146">
        <v>0.0</v>
      </c>
      <c r="P1777" s="48">
        <f t="array" ref="P1777">IFNA(XLOOKUP(J1777,'⚙️ Pengaturan'!$E$2:$E3237,'⚙️ Pengaturan'!$F$2:$F3237),"")</f>
        <v>180000</v>
      </c>
      <c r="Q1777" s="147">
        <f t="shared" si="38"/>
        <v>0</v>
      </c>
      <c r="R1777" s="41" t="s">
        <v>93</v>
      </c>
      <c r="S1777" s="69" t="s">
        <v>1295</v>
      </c>
      <c r="T1777" s="51" t="b">
        <v>1</v>
      </c>
      <c r="U1777" s="94"/>
    </row>
    <row r="1778" ht="30.0" customHeight="1">
      <c r="A1778" s="39"/>
      <c r="B1778" s="161">
        <v>3815.0</v>
      </c>
      <c r="C1778" s="41" t="s">
        <v>50</v>
      </c>
      <c r="D1778" s="86">
        <v>46165.0</v>
      </c>
      <c r="E1778" s="43" t="str">
        <f t="shared" si="39"/>
        <v>2026</v>
      </c>
      <c r="F1778" s="43" t="str">
        <f t="shared" si="40"/>
        <v>05 Mei</v>
      </c>
      <c r="G1778" s="45" t="s">
        <v>43</v>
      </c>
      <c r="H1778" s="45" t="s">
        <v>47</v>
      </c>
      <c r="I1778" s="45" t="s">
        <v>1365</v>
      </c>
      <c r="J1778" s="143" t="s">
        <v>120</v>
      </c>
      <c r="K1778" s="43" t="str">
        <f t="array" ref="K1778">IF(J1778="","", XLOOKUP(J1778,'⚙️ Pengaturan'!$E$2:$E3237,'⚙️ Pengaturan'!$G$2:$G3237))</f>
        <v>KLINIK FT SESI</v>
      </c>
      <c r="L1778" s="43" t="str">
        <f t="shared" si="3"/>
        <v>BARU</v>
      </c>
      <c r="M1778" s="144" t="s">
        <v>31</v>
      </c>
      <c r="N1778" s="145">
        <v>180000.0</v>
      </c>
      <c r="O1778" s="146">
        <v>0.0</v>
      </c>
      <c r="P1778" s="48">
        <f t="array" ref="P1778">IFNA(XLOOKUP(J1778,'⚙️ Pengaturan'!$E$2:$E3237,'⚙️ Pengaturan'!$F$2:$F3237),"")</f>
        <v>180000</v>
      </c>
      <c r="Q1778" s="147">
        <f t="shared" si="38"/>
        <v>0</v>
      </c>
      <c r="R1778" s="41" t="s">
        <v>32</v>
      </c>
      <c r="S1778" s="69" t="s">
        <v>33</v>
      </c>
      <c r="T1778" s="51" t="b">
        <v>1</v>
      </c>
      <c r="U1778" s="94"/>
    </row>
    <row r="1779" ht="30.0" customHeight="1">
      <c r="A1779" s="39"/>
      <c r="B1779" s="40">
        <v>3816.0</v>
      </c>
      <c r="C1779" s="41" t="s">
        <v>50</v>
      </c>
      <c r="D1779" s="86">
        <v>46165.0</v>
      </c>
      <c r="E1779" s="43" t="str">
        <f t="shared" si="39"/>
        <v>2026</v>
      </c>
      <c r="F1779" s="43" t="str">
        <f t="shared" si="40"/>
        <v>05 Mei</v>
      </c>
      <c r="G1779" s="45" t="s">
        <v>43</v>
      </c>
      <c r="H1779" s="45" t="s">
        <v>96</v>
      </c>
      <c r="I1779" s="45" t="s">
        <v>1367</v>
      </c>
      <c r="J1779" s="143" t="s">
        <v>120</v>
      </c>
      <c r="K1779" s="43" t="str">
        <f t="array" ref="K1779">IF(J1779="","", XLOOKUP(J1779,'⚙️ Pengaturan'!$E$2:$E3237,'⚙️ Pengaturan'!$G$2:$G3237))</f>
        <v>KLINIK FT SESI</v>
      </c>
      <c r="L1779" s="43" t="str">
        <f t="shared" si="3"/>
        <v>BARU</v>
      </c>
      <c r="M1779" s="144" t="s">
        <v>31</v>
      </c>
      <c r="N1779" s="145">
        <v>180000.0</v>
      </c>
      <c r="O1779" s="146">
        <v>0.0</v>
      </c>
      <c r="P1779" s="48">
        <f t="array" ref="P1779">IFNA(XLOOKUP(J1779,'⚙️ Pengaturan'!$E$2:$E3237,'⚙️ Pengaturan'!$F$2:$F3237),"")</f>
        <v>180000</v>
      </c>
      <c r="Q1779" s="147">
        <f t="shared" si="38"/>
        <v>0</v>
      </c>
      <c r="R1779" s="41" t="s">
        <v>37</v>
      </c>
      <c r="S1779" s="69" t="s">
        <v>1367</v>
      </c>
      <c r="T1779" s="51" t="b">
        <v>1</v>
      </c>
      <c r="U1779" s="94"/>
    </row>
    <row r="1780" ht="30.0" customHeight="1">
      <c r="A1780" s="39"/>
      <c r="B1780" s="161">
        <v>3817.0</v>
      </c>
      <c r="C1780" s="41" t="s">
        <v>50</v>
      </c>
      <c r="D1780" s="86">
        <v>46165.0</v>
      </c>
      <c r="E1780" s="43" t="str">
        <f t="shared" si="39"/>
        <v>2026</v>
      </c>
      <c r="F1780" s="43" t="str">
        <f t="shared" si="40"/>
        <v>05 Mei</v>
      </c>
      <c r="G1780" s="45" t="s">
        <v>43</v>
      </c>
      <c r="H1780" s="45" t="s">
        <v>76</v>
      </c>
      <c r="I1780" s="45" t="s">
        <v>1376</v>
      </c>
      <c r="J1780" s="143" t="s">
        <v>28</v>
      </c>
      <c r="K1780" s="43" t="str">
        <f t="array" ref="K1780">IF(J1780="","", XLOOKUP(J1780,'⚙️ Pengaturan'!$E$2:$E3237,'⚙️ Pengaturan'!$G$2:$G3237))</f>
        <v>KLINIK FT TA</v>
      </c>
      <c r="L1780" s="43" t="str">
        <f t="shared" si="3"/>
        <v>BARU</v>
      </c>
      <c r="M1780" s="144" t="s">
        <v>31</v>
      </c>
      <c r="N1780" s="145">
        <v>250000.0</v>
      </c>
      <c r="O1780" s="146">
        <v>0.0</v>
      </c>
      <c r="P1780" s="48">
        <f t="array" ref="P1780">IFNA(XLOOKUP(J1780,'⚙️ Pengaturan'!$E$2:$E3237,'⚙️ Pengaturan'!$F$2:$F3237),"")</f>
        <v>250000</v>
      </c>
      <c r="Q1780" s="147">
        <f t="shared" si="38"/>
        <v>0</v>
      </c>
      <c r="R1780" s="41" t="s">
        <v>37</v>
      </c>
      <c r="S1780" s="69" t="s">
        <v>1376</v>
      </c>
      <c r="T1780" s="51" t="b">
        <v>1</v>
      </c>
      <c r="U1780" s="94"/>
    </row>
    <row r="1781" ht="30.0" customHeight="1">
      <c r="A1781" s="39"/>
      <c r="B1781" s="40">
        <v>3818.0</v>
      </c>
      <c r="C1781" s="41" t="s">
        <v>50</v>
      </c>
      <c r="D1781" s="86">
        <v>46165.0</v>
      </c>
      <c r="E1781" s="43" t="str">
        <f t="shared" si="39"/>
        <v>2026</v>
      </c>
      <c r="F1781" s="43" t="str">
        <f t="shared" si="40"/>
        <v>05 Mei</v>
      </c>
      <c r="G1781" s="45" t="s">
        <v>173</v>
      </c>
      <c r="H1781" s="45" t="s">
        <v>76</v>
      </c>
      <c r="I1781" s="45" t="s">
        <v>1368</v>
      </c>
      <c r="J1781" s="143" t="s">
        <v>347</v>
      </c>
      <c r="K1781" s="43" t="str">
        <f t="array" ref="K1781">IF(J1781="","", XLOOKUP(J1781,'⚙️ Pengaturan'!$E$2:$E3237,'⚙️ Pengaturan'!$G$2:$G3237))</f>
        <v>KLINIK FT PAKET</v>
      </c>
      <c r="L1781" s="43" t="str">
        <f t="shared" si="3"/>
        <v>BARU</v>
      </c>
      <c r="M1781" s="144" t="s">
        <v>31</v>
      </c>
      <c r="N1781" s="145">
        <v>1300000.0</v>
      </c>
      <c r="O1781" s="146">
        <v>0.0</v>
      </c>
      <c r="P1781" s="48">
        <f t="array" ref="P1781">IFNA(XLOOKUP(J1781,'⚙️ Pengaturan'!$E$2:$E3237,'⚙️ Pengaturan'!$F$2:$F3237),"")</f>
        <v>1300000</v>
      </c>
      <c r="Q1781" s="147">
        <f t="shared" si="38"/>
        <v>0</v>
      </c>
      <c r="R1781" s="41" t="s">
        <v>37</v>
      </c>
      <c r="S1781" s="69" t="s">
        <v>1368</v>
      </c>
      <c r="T1781" s="51" t="b">
        <v>1</v>
      </c>
      <c r="U1781" s="94"/>
    </row>
    <row r="1782" ht="30.0" customHeight="1">
      <c r="A1782" s="39"/>
      <c r="B1782" s="161">
        <v>3819.0</v>
      </c>
      <c r="C1782" s="41" t="s">
        <v>50</v>
      </c>
      <c r="D1782" s="86">
        <v>46165.0</v>
      </c>
      <c r="E1782" s="43" t="str">
        <f t="shared" si="39"/>
        <v>2026</v>
      </c>
      <c r="F1782" s="43" t="str">
        <f t="shared" si="40"/>
        <v>05 Mei</v>
      </c>
      <c r="G1782" s="45" t="s">
        <v>173</v>
      </c>
      <c r="H1782" s="45" t="s">
        <v>96</v>
      </c>
      <c r="I1782" s="45" t="s">
        <v>1377</v>
      </c>
      <c r="J1782" s="143" t="s">
        <v>28</v>
      </c>
      <c r="K1782" s="43" t="str">
        <f t="array" ref="K1782">IF(J1782="","", XLOOKUP(J1782,'⚙️ Pengaturan'!$E$2:$E3237,'⚙️ Pengaturan'!$G$2:$G3237))</f>
        <v>KLINIK FT TA</v>
      </c>
      <c r="L1782" s="43" t="str">
        <f t="shared" si="3"/>
        <v>BARU</v>
      </c>
      <c r="M1782" s="144" t="s">
        <v>31</v>
      </c>
      <c r="N1782" s="145">
        <v>250000.0</v>
      </c>
      <c r="O1782" s="146">
        <v>0.0</v>
      </c>
      <c r="P1782" s="48">
        <f t="array" ref="P1782">IFNA(XLOOKUP(J1782,'⚙️ Pengaturan'!$E$2:$E3237,'⚙️ Pengaturan'!$F$2:$F3237),"")</f>
        <v>250000</v>
      </c>
      <c r="Q1782" s="147">
        <f t="shared" si="38"/>
        <v>0</v>
      </c>
      <c r="R1782" s="41" t="s">
        <v>32</v>
      </c>
      <c r="S1782" s="69" t="s">
        <v>33</v>
      </c>
      <c r="T1782" s="51" t="b">
        <v>1</v>
      </c>
      <c r="U1782" s="94"/>
    </row>
    <row r="1783" ht="30.0" customHeight="1">
      <c r="A1783" s="39"/>
      <c r="B1783" s="40">
        <v>3820.0</v>
      </c>
      <c r="C1783" s="41" t="s">
        <v>50</v>
      </c>
      <c r="D1783" s="86">
        <v>46165.0</v>
      </c>
      <c r="E1783" s="43" t="str">
        <f t="shared" si="39"/>
        <v>2026</v>
      </c>
      <c r="F1783" s="43" t="str">
        <f t="shared" si="40"/>
        <v>05 Mei</v>
      </c>
      <c r="G1783" s="45" t="s">
        <v>190</v>
      </c>
      <c r="H1783" s="45" t="s">
        <v>149</v>
      </c>
      <c r="I1783" s="45" t="s">
        <v>1351</v>
      </c>
      <c r="J1783" s="143" t="s">
        <v>120</v>
      </c>
      <c r="K1783" s="43" t="str">
        <f t="array" ref="K1783">IF(J1783="","", XLOOKUP(J1783,'⚙️ Pengaturan'!$E$2:$E3237,'⚙️ Pengaturan'!$G$2:$G3237))</f>
        <v>KLINIK FT SESI</v>
      </c>
      <c r="L1783" s="43" t="str">
        <f t="shared" si="3"/>
        <v>LANJUTAN</v>
      </c>
      <c r="M1783" s="144" t="s">
        <v>31</v>
      </c>
      <c r="N1783" s="145">
        <v>180000.0</v>
      </c>
      <c r="O1783" s="146">
        <v>0.0</v>
      </c>
      <c r="P1783" s="48">
        <f t="array" ref="P1783">IFNA(XLOOKUP(J1783,'⚙️ Pengaturan'!$E$2:$E3237,'⚙️ Pengaturan'!$F$2:$F3237),"")</f>
        <v>180000</v>
      </c>
      <c r="Q1783" s="147">
        <f t="shared" si="38"/>
        <v>0</v>
      </c>
      <c r="R1783" s="41" t="s">
        <v>32</v>
      </c>
      <c r="S1783" s="69" t="s">
        <v>33</v>
      </c>
      <c r="T1783" s="51" t="b">
        <v>1</v>
      </c>
      <c r="U1783" s="94"/>
    </row>
    <row r="1784" ht="30.0" customHeight="1">
      <c r="A1784" s="39"/>
      <c r="B1784" s="161">
        <v>3821.0</v>
      </c>
      <c r="C1784" s="41" t="s">
        <v>50</v>
      </c>
      <c r="D1784" s="86">
        <v>46165.0</v>
      </c>
      <c r="E1784" s="43" t="str">
        <f t="shared" si="39"/>
        <v>2026</v>
      </c>
      <c r="F1784" s="43" t="str">
        <f t="shared" si="40"/>
        <v>05 Mei</v>
      </c>
      <c r="G1784" s="45" t="s">
        <v>69</v>
      </c>
      <c r="H1784" s="45" t="s">
        <v>47</v>
      </c>
      <c r="I1784" s="45" t="s">
        <v>1286</v>
      </c>
      <c r="J1784" s="143" t="s">
        <v>119</v>
      </c>
      <c r="K1784" s="43" t="str">
        <f t="array" ref="K1784">IF(J1784="","", XLOOKUP(J1784,'⚙️ Pengaturan'!$E$2:$E3237,'⚙️ Pengaturan'!$G$2:$G3237))</f>
        <v>KLINIK FT PAKET</v>
      </c>
      <c r="L1784" s="43" t="str">
        <f t="shared" si="3"/>
        <v>LANJUTAN</v>
      </c>
      <c r="M1784" s="144" t="s">
        <v>31</v>
      </c>
      <c r="N1784" s="145">
        <v>600000.0</v>
      </c>
      <c r="O1784" s="146">
        <v>150000.0</v>
      </c>
      <c r="P1784" s="48">
        <f t="array" ref="P1784">IFNA(XLOOKUP(J1784,'⚙️ Pengaturan'!$E$2:$E3237,'⚙️ Pengaturan'!$F$2:$F3237),"")</f>
        <v>750000</v>
      </c>
      <c r="Q1784" s="147">
        <f t="shared" si="38"/>
        <v>0</v>
      </c>
      <c r="R1784" s="41" t="s">
        <v>37</v>
      </c>
      <c r="S1784" s="69" t="s">
        <v>1286</v>
      </c>
      <c r="T1784" s="51" t="b">
        <v>1</v>
      </c>
      <c r="U1784" s="94" t="s">
        <v>1378</v>
      </c>
    </row>
    <row r="1785" ht="30.0" customHeight="1">
      <c r="A1785" s="39"/>
      <c r="B1785" s="40">
        <v>3822.0</v>
      </c>
      <c r="C1785" s="41" t="s">
        <v>50</v>
      </c>
      <c r="D1785" s="86">
        <v>46166.0</v>
      </c>
      <c r="E1785" s="43" t="str">
        <f t="shared" si="39"/>
        <v>2026</v>
      </c>
      <c r="F1785" s="43" t="str">
        <f t="shared" si="40"/>
        <v>05 Mei</v>
      </c>
      <c r="G1785" s="45" t="s">
        <v>69</v>
      </c>
      <c r="H1785" s="45" t="s">
        <v>76</v>
      </c>
      <c r="I1785" s="45" t="s">
        <v>709</v>
      </c>
      <c r="J1785" s="143" t="s">
        <v>364</v>
      </c>
      <c r="K1785" s="43" t="str">
        <f t="array" ref="K1785">IF(J1785="","", XLOOKUP(J1785,'⚙️ Pengaturan'!$E$2:$E3237,'⚙️ Pengaturan'!$G$2:$G3237))</f>
        <v>VISIT FT PAKET</v>
      </c>
      <c r="L1785" s="43" t="str">
        <f t="shared" si="3"/>
        <v>LANJUTAN</v>
      </c>
      <c r="M1785" s="144" t="s">
        <v>31</v>
      </c>
      <c r="N1785" s="145">
        <v>2300000.0</v>
      </c>
      <c r="O1785" s="146">
        <v>0.0</v>
      </c>
      <c r="P1785" s="48">
        <f t="array" ref="P1785">IFNA(XLOOKUP(J1785,'⚙️ Pengaturan'!$E$2:$E3237,'⚙️ Pengaturan'!$F$2:$F3237),"")</f>
        <v>2300000</v>
      </c>
      <c r="Q1785" s="147">
        <f t="shared" si="38"/>
        <v>0</v>
      </c>
      <c r="R1785" s="41" t="s">
        <v>37</v>
      </c>
      <c r="S1785" s="69" t="s">
        <v>709</v>
      </c>
      <c r="T1785" s="51" t="b">
        <v>1</v>
      </c>
      <c r="U1785" s="94"/>
    </row>
    <row r="1786" ht="30.0" customHeight="1">
      <c r="A1786" s="39"/>
      <c r="B1786" s="161">
        <v>3823.0</v>
      </c>
      <c r="C1786" s="41" t="s">
        <v>79</v>
      </c>
      <c r="D1786" s="86">
        <v>46166.0</v>
      </c>
      <c r="E1786" s="43" t="str">
        <f t="shared" si="39"/>
        <v>2026</v>
      </c>
      <c r="F1786" s="43" t="str">
        <f t="shared" si="40"/>
        <v>05 Mei</v>
      </c>
      <c r="G1786" s="45" t="s">
        <v>195</v>
      </c>
      <c r="H1786" s="45" t="s">
        <v>41</v>
      </c>
      <c r="I1786" s="45" t="s">
        <v>1379</v>
      </c>
      <c r="J1786" s="143" t="s">
        <v>28</v>
      </c>
      <c r="K1786" s="43" t="str">
        <f t="array" ref="K1786">IF(J1786="","", XLOOKUP(J1786,'⚙️ Pengaturan'!$E$2:$E3237,'⚙️ Pengaturan'!$G$2:$G3237))</f>
        <v>KLINIK FT TA</v>
      </c>
      <c r="L1786" s="43" t="str">
        <f t="shared" si="3"/>
        <v>BARU</v>
      </c>
      <c r="M1786" s="144" t="s">
        <v>31</v>
      </c>
      <c r="N1786" s="145">
        <v>250000.0</v>
      </c>
      <c r="O1786" s="146">
        <v>0.0</v>
      </c>
      <c r="P1786" s="48">
        <v>250000.0</v>
      </c>
      <c r="Q1786" s="147">
        <v>0.0</v>
      </c>
      <c r="R1786" s="41" t="s">
        <v>37</v>
      </c>
      <c r="S1786" s="69" t="s">
        <v>1379</v>
      </c>
      <c r="T1786" s="51" t="b">
        <v>1</v>
      </c>
      <c r="U1786" s="94"/>
    </row>
    <row r="1787" ht="30.0" customHeight="1">
      <c r="A1787" s="39"/>
      <c r="B1787" s="40">
        <v>3824.0</v>
      </c>
      <c r="C1787" s="41" t="s">
        <v>79</v>
      </c>
      <c r="D1787" s="86">
        <v>46166.0</v>
      </c>
      <c r="E1787" s="43" t="str">
        <f t="shared" si="39"/>
        <v>2026</v>
      </c>
      <c r="F1787" s="43" t="str">
        <f t="shared" si="40"/>
        <v>05 Mei</v>
      </c>
      <c r="G1787" s="45" t="s">
        <v>195</v>
      </c>
      <c r="H1787" s="45" t="s">
        <v>1341</v>
      </c>
      <c r="I1787" s="45" t="s">
        <v>1380</v>
      </c>
      <c r="J1787" s="158" t="s">
        <v>28</v>
      </c>
      <c r="K1787" s="43" t="str">
        <f t="array" ref="K1787">IF(J1787="","", XLOOKUP(J1787,'⚙️ Pengaturan'!$E$2:$E3237,'⚙️ Pengaturan'!$G$2:$G3237))</f>
        <v>KLINIK FT TA</v>
      </c>
      <c r="L1787" s="43" t="str">
        <f t="shared" si="3"/>
        <v>BARU</v>
      </c>
      <c r="M1787" s="159" t="s">
        <v>31</v>
      </c>
      <c r="N1787" s="149">
        <v>250000.0</v>
      </c>
      <c r="O1787" s="150">
        <v>0.0</v>
      </c>
      <c r="P1787" s="151">
        <v>250000.0</v>
      </c>
      <c r="Q1787" s="147">
        <v>0.0</v>
      </c>
      <c r="R1787" s="41" t="s">
        <v>37</v>
      </c>
      <c r="S1787" s="69" t="s">
        <v>1380</v>
      </c>
      <c r="T1787" s="51" t="b">
        <v>1</v>
      </c>
      <c r="U1787" s="94"/>
    </row>
    <row r="1788" ht="30.0" customHeight="1">
      <c r="A1788" s="39"/>
      <c r="B1788" s="161">
        <v>3825.0</v>
      </c>
      <c r="C1788" s="41" t="s">
        <v>79</v>
      </c>
      <c r="D1788" s="86">
        <v>46166.0</v>
      </c>
      <c r="E1788" s="43" t="str">
        <f t="shared" si="39"/>
        <v>2026</v>
      </c>
      <c r="F1788" s="43" t="str">
        <f t="shared" si="40"/>
        <v>05 Mei</v>
      </c>
      <c r="G1788" s="45" t="s">
        <v>25</v>
      </c>
      <c r="H1788" s="45" t="s">
        <v>1341</v>
      </c>
      <c r="I1788" s="45" t="s">
        <v>1366</v>
      </c>
      <c r="J1788" s="143" t="s">
        <v>119</v>
      </c>
      <c r="K1788" s="43" t="str">
        <f t="array" ref="K1788">IF(J1788="","", XLOOKUP(J1788,'⚙️ Pengaturan'!$E$2:$E3237,'⚙️ Pengaturan'!$G$2:$G3237))</f>
        <v>KLINIK FT PAKET</v>
      </c>
      <c r="L1788" s="43" t="str">
        <f t="shared" si="3"/>
        <v>BARU</v>
      </c>
      <c r="M1788" s="144" t="s">
        <v>31</v>
      </c>
      <c r="N1788" s="145">
        <v>750000.0</v>
      </c>
      <c r="O1788" s="146">
        <v>0.0</v>
      </c>
      <c r="P1788" s="48">
        <f t="array" ref="P1788">IFNA(XLOOKUP(J1788,'⚙️ Pengaturan'!$E$2:$E3237,'⚙️ Pengaturan'!$F$2:$F3237),"")</f>
        <v>750000</v>
      </c>
      <c r="Q1788" s="147">
        <f t="shared" ref="Q1788:Q1789" si="41">IF(I1788="","",(N1788+O1788)-P1788)</f>
        <v>0</v>
      </c>
      <c r="R1788" s="41" t="s">
        <v>32</v>
      </c>
      <c r="S1788" s="69" t="s">
        <v>33</v>
      </c>
      <c r="T1788" s="51" t="b">
        <v>1</v>
      </c>
      <c r="U1788" s="94"/>
    </row>
    <row r="1789" ht="30.0" customHeight="1">
      <c r="A1789" s="39"/>
      <c r="B1789" s="40">
        <v>3826.0</v>
      </c>
      <c r="C1789" s="41" t="s">
        <v>79</v>
      </c>
      <c r="D1789" s="86">
        <v>46166.0</v>
      </c>
      <c r="E1789" s="43" t="str">
        <f t="shared" si="39"/>
        <v>2026</v>
      </c>
      <c r="F1789" s="43" t="str">
        <f t="shared" si="40"/>
        <v>05 Mei</v>
      </c>
      <c r="G1789" s="45" t="s">
        <v>206</v>
      </c>
      <c r="H1789" s="45" t="s">
        <v>41</v>
      </c>
      <c r="I1789" s="45" t="s">
        <v>1345</v>
      </c>
      <c r="J1789" s="143" t="s">
        <v>120</v>
      </c>
      <c r="K1789" s="43" t="str">
        <f t="array" ref="K1789">IF(J1789="","", XLOOKUP(J1789,'⚙️ Pengaturan'!$E$2:$E3237,'⚙️ Pengaturan'!$G$2:$G3237))</f>
        <v>KLINIK FT SESI</v>
      </c>
      <c r="L1789" s="43" t="str">
        <f t="shared" si="3"/>
        <v>LANJUTAN</v>
      </c>
      <c r="M1789" s="144" t="s">
        <v>31</v>
      </c>
      <c r="N1789" s="145">
        <v>180000.0</v>
      </c>
      <c r="O1789" s="146">
        <v>0.0</v>
      </c>
      <c r="P1789" s="48">
        <v>180000.0</v>
      </c>
      <c r="Q1789" s="147">
        <f t="shared" si="41"/>
        <v>0</v>
      </c>
      <c r="R1789" s="41" t="s">
        <v>32</v>
      </c>
      <c r="S1789" s="69" t="s">
        <v>33</v>
      </c>
      <c r="T1789" s="51" t="b">
        <v>1</v>
      </c>
      <c r="U1789" s="94"/>
    </row>
    <row r="1790" ht="30.0" customHeight="1">
      <c r="A1790" s="39"/>
      <c r="B1790" s="161">
        <v>3827.0</v>
      </c>
      <c r="C1790" s="41" t="s">
        <v>79</v>
      </c>
      <c r="D1790" s="86">
        <v>46166.0</v>
      </c>
      <c r="E1790" s="43" t="str">
        <f t="shared" si="39"/>
        <v>2026</v>
      </c>
      <c r="F1790" s="43" t="str">
        <f t="shared" si="40"/>
        <v>05 Mei</v>
      </c>
      <c r="G1790" s="45" t="s">
        <v>161</v>
      </c>
      <c r="H1790" s="45" t="s">
        <v>41</v>
      </c>
      <c r="I1790" s="45" t="s">
        <v>1381</v>
      </c>
      <c r="J1790" s="158" t="s">
        <v>28</v>
      </c>
      <c r="K1790" s="43" t="str">
        <f t="array" ref="K1790">IF(J1790="","", XLOOKUP(J1790,'⚙️ Pengaturan'!$E$2:$E3237,'⚙️ Pengaturan'!$G$2:$G3237))</f>
        <v>KLINIK FT TA</v>
      </c>
      <c r="L1790" s="43" t="str">
        <f t="shared" si="3"/>
        <v>BARU</v>
      </c>
      <c r="M1790" s="159" t="s">
        <v>31</v>
      </c>
      <c r="N1790" s="149">
        <v>250000.0</v>
      </c>
      <c r="O1790" s="150">
        <v>0.0</v>
      </c>
      <c r="P1790" s="48">
        <v>250000.0</v>
      </c>
      <c r="Q1790" s="147">
        <v>0.0</v>
      </c>
      <c r="R1790" s="41" t="s">
        <v>37</v>
      </c>
      <c r="S1790" s="69" t="s">
        <v>1381</v>
      </c>
      <c r="T1790" s="51" t="b">
        <v>1</v>
      </c>
      <c r="U1790" s="94"/>
    </row>
    <row r="1791" ht="30.0" customHeight="1">
      <c r="A1791" s="39"/>
      <c r="B1791" s="40">
        <v>3828.0</v>
      </c>
      <c r="C1791" s="41" t="s">
        <v>79</v>
      </c>
      <c r="D1791" s="86">
        <v>46166.0</v>
      </c>
      <c r="E1791" s="43" t="str">
        <f t="shared" si="39"/>
        <v>2026</v>
      </c>
      <c r="F1791" s="43" t="str">
        <f t="shared" si="40"/>
        <v>05 Mei</v>
      </c>
      <c r="G1791" s="45" t="s">
        <v>35</v>
      </c>
      <c r="H1791" s="45" t="s">
        <v>41</v>
      </c>
      <c r="I1791" s="45" t="s">
        <v>1232</v>
      </c>
      <c r="J1791" s="158" t="s">
        <v>28</v>
      </c>
      <c r="K1791" s="43" t="str">
        <f t="array" ref="K1791">IF(J1791="","", XLOOKUP(J1791,'⚙️ Pengaturan'!$E$2:$E3237,'⚙️ Pengaturan'!$G$2:$G3237))</f>
        <v>KLINIK FT TA</v>
      </c>
      <c r="L1791" s="43" t="str">
        <f t="shared" si="3"/>
        <v>LANJUTAN</v>
      </c>
      <c r="M1791" s="159" t="s">
        <v>31</v>
      </c>
      <c r="N1791" s="149">
        <v>250000.0</v>
      </c>
      <c r="O1791" s="150">
        <v>0.0</v>
      </c>
      <c r="P1791" s="48">
        <v>250000.0</v>
      </c>
      <c r="Q1791" s="147">
        <v>0.0</v>
      </c>
      <c r="R1791" s="41" t="s">
        <v>37</v>
      </c>
      <c r="S1791" s="69" t="s">
        <v>1232</v>
      </c>
      <c r="T1791" s="51" t="b">
        <v>1</v>
      </c>
      <c r="U1791" s="94"/>
    </row>
    <row r="1792" ht="30.0" customHeight="1">
      <c r="A1792" s="39"/>
      <c r="B1792" s="161">
        <v>3829.0</v>
      </c>
      <c r="C1792" s="41" t="s">
        <v>79</v>
      </c>
      <c r="D1792" s="86">
        <v>46166.0</v>
      </c>
      <c r="E1792" s="43" t="str">
        <f t="shared" si="39"/>
        <v>2026</v>
      </c>
      <c r="F1792" s="43" t="str">
        <f t="shared" si="40"/>
        <v>05 Mei</v>
      </c>
      <c r="G1792" s="45" t="s">
        <v>35</v>
      </c>
      <c r="H1792" s="45" t="s">
        <v>41</v>
      </c>
      <c r="I1792" s="45" t="s">
        <v>1382</v>
      </c>
      <c r="J1792" s="158" t="s">
        <v>28</v>
      </c>
      <c r="K1792" s="43" t="str">
        <f t="array" ref="K1792">IF(J1792="","", XLOOKUP(J1792,'⚙️ Pengaturan'!$E$2:$E3237,'⚙️ Pengaturan'!$G$2:$G3237))</f>
        <v>KLINIK FT TA</v>
      </c>
      <c r="L1792" s="43" t="str">
        <f t="shared" si="3"/>
        <v>BARU</v>
      </c>
      <c r="M1792" s="159" t="s">
        <v>31</v>
      </c>
      <c r="N1792" s="149">
        <v>250000.0</v>
      </c>
      <c r="O1792" s="150">
        <v>0.0</v>
      </c>
      <c r="P1792" s="48">
        <v>250000.0</v>
      </c>
      <c r="Q1792" s="147">
        <v>0.0</v>
      </c>
      <c r="R1792" s="41" t="s">
        <v>32</v>
      </c>
      <c r="S1792" s="69" t="s">
        <v>33</v>
      </c>
      <c r="T1792" s="51" t="b">
        <v>1</v>
      </c>
      <c r="U1792" s="94"/>
    </row>
    <row r="1793" ht="30.0" customHeight="1">
      <c r="A1793" s="39"/>
      <c r="B1793" s="40">
        <v>3830.0</v>
      </c>
      <c r="C1793" s="41" t="s">
        <v>79</v>
      </c>
      <c r="D1793" s="86">
        <v>46166.0</v>
      </c>
      <c r="E1793" s="43" t="str">
        <f t="shared" si="39"/>
        <v>2026</v>
      </c>
      <c r="F1793" s="43" t="str">
        <f t="shared" si="40"/>
        <v>05 Mei</v>
      </c>
      <c r="G1793" s="45" t="s">
        <v>35</v>
      </c>
      <c r="H1793" s="45" t="s">
        <v>76</v>
      </c>
      <c r="I1793" s="45" t="s">
        <v>1383</v>
      </c>
      <c r="J1793" s="158" t="s">
        <v>28</v>
      </c>
      <c r="K1793" s="43" t="str">
        <f t="array" ref="K1793">IF(J1793="","", XLOOKUP(J1793,'⚙️ Pengaturan'!$E$2:$E3237,'⚙️ Pengaturan'!$G$2:$G3237))</f>
        <v>KLINIK FT TA</v>
      </c>
      <c r="L1793" s="43" t="str">
        <f t="shared" si="3"/>
        <v>BARU</v>
      </c>
      <c r="M1793" s="159" t="s">
        <v>31</v>
      </c>
      <c r="N1793" s="149">
        <v>250000.0</v>
      </c>
      <c r="O1793" s="150">
        <v>0.0</v>
      </c>
      <c r="P1793" s="48">
        <v>250000.0</v>
      </c>
      <c r="Q1793" s="147">
        <v>0.0</v>
      </c>
      <c r="R1793" s="41" t="s">
        <v>32</v>
      </c>
      <c r="S1793" s="69" t="s">
        <v>33</v>
      </c>
      <c r="T1793" s="51" t="b">
        <v>1</v>
      </c>
      <c r="U1793" s="94" t="s">
        <v>1384</v>
      </c>
    </row>
    <row r="1794" ht="30.0" customHeight="1">
      <c r="A1794" s="39"/>
      <c r="B1794" s="161">
        <v>3831.0</v>
      </c>
      <c r="C1794" s="41" t="s">
        <v>39</v>
      </c>
      <c r="D1794" s="86">
        <v>46166.0</v>
      </c>
      <c r="E1794" s="43" t="str">
        <f t="shared" si="39"/>
        <v>2026</v>
      </c>
      <c r="F1794" s="43" t="str">
        <f t="shared" si="40"/>
        <v>05 Mei</v>
      </c>
      <c r="G1794" s="45" t="s">
        <v>173</v>
      </c>
      <c r="H1794" s="45" t="s">
        <v>162</v>
      </c>
      <c r="I1794" s="45" t="s">
        <v>1344</v>
      </c>
      <c r="J1794" s="143" t="s">
        <v>120</v>
      </c>
      <c r="K1794" s="43" t="str">
        <f t="array" ref="K1794">IF(J1794="","", XLOOKUP(J1794,'⚙️ Pengaturan'!$E$2:$E3237,'⚙️ Pengaturan'!$G$2:$G3237))</f>
        <v>KLINIK FT SESI</v>
      </c>
      <c r="L1794" s="43" t="str">
        <f t="shared" si="3"/>
        <v>BARU</v>
      </c>
      <c r="M1794" s="144" t="s">
        <v>31</v>
      </c>
      <c r="N1794" s="145">
        <v>180000.0</v>
      </c>
      <c r="O1794" s="146">
        <v>0.0</v>
      </c>
      <c r="P1794" s="48">
        <f t="array" ref="P1794">IFNA(XLOOKUP(J1794,'⚙️ Pengaturan'!$E$2:$E3237,'⚙️ Pengaturan'!$F$2:$F3237),"")</f>
        <v>180000</v>
      </c>
      <c r="Q1794" s="147">
        <f t="shared" ref="Q1794:Q1821" si="42">IF(I1794="","",(N1794+O1794)-P1794)</f>
        <v>0</v>
      </c>
      <c r="R1794" s="41" t="s">
        <v>32</v>
      </c>
      <c r="S1794" s="69" t="s">
        <v>33</v>
      </c>
      <c r="T1794" s="51" t="b">
        <v>1</v>
      </c>
      <c r="U1794" s="94"/>
    </row>
    <row r="1795" ht="30.0" customHeight="1">
      <c r="A1795" s="39"/>
      <c r="B1795" s="40">
        <v>3832.0</v>
      </c>
      <c r="C1795" s="41" t="s">
        <v>39</v>
      </c>
      <c r="D1795" s="86">
        <v>46166.0</v>
      </c>
      <c r="E1795" s="43" t="str">
        <f t="shared" si="39"/>
        <v>2026</v>
      </c>
      <c r="F1795" s="43" t="str">
        <f t="shared" si="40"/>
        <v>05 Mei</v>
      </c>
      <c r="G1795" s="45" t="s">
        <v>173</v>
      </c>
      <c r="H1795" s="45" t="s">
        <v>150</v>
      </c>
      <c r="I1795" s="45" t="s">
        <v>1385</v>
      </c>
      <c r="J1795" s="143" t="s">
        <v>28</v>
      </c>
      <c r="K1795" s="43" t="str">
        <f t="array" ref="K1795">IF(J1795="","", XLOOKUP(J1795,'⚙️ Pengaturan'!$E$2:$E3237,'⚙️ Pengaturan'!$G$2:$G3237))</f>
        <v>KLINIK FT TA</v>
      </c>
      <c r="L1795" s="43" t="str">
        <f t="shared" si="3"/>
        <v>BARU</v>
      </c>
      <c r="M1795" s="144" t="s">
        <v>31</v>
      </c>
      <c r="N1795" s="145">
        <v>200000.0</v>
      </c>
      <c r="O1795" s="146">
        <v>50000.0</v>
      </c>
      <c r="P1795" s="48">
        <f t="array" ref="P1795">IFNA(XLOOKUP(J1795,'⚙️ Pengaturan'!$E$2:$E3237,'⚙️ Pengaturan'!$F$2:$F3237),"")</f>
        <v>250000</v>
      </c>
      <c r="Q1795" s="147">
        <f t="shared" si="42"/>
        <v>0</v>
      </c>
      <c r="R1795" s="41" t="s">
        <v>37</v>
      </c>
      <c r="S1795" s="69" t="s">
        <v>1386</v>
      </c>
      <c r="T1795" s="51" t="b">
        <v>1</v>
      </c>
      <c r="U1795" s="94" t="s">
        <v>1332</v>
      </c>
    </row>
    <row r="1796" ht="30.0" customHeight="1">
      <c r="A1796" s="39"/>
      <c r="B1796" s="161">
        <v>3833.0</v>
      </c>
      <c r="C1796" s="41" t="s">
        <v>39</v>
      </c>
      <c r="D1796" s="86">
        <v>46166.0</v>
      </c>
      <c r="E1796" s="43" t="str">
        <f t="shared" si="39"/>
        <v>2026</v>
      </c>
      <c r="F1796" s="43" t="str">
        <f t="shared" si="40"/>
        <v>05 Mei</v>
      </c>
      <c r="G1796" s="45" t="s">
        <v>46</v>
      </c>
      <c r="H1796" s="45" t="s">
        <v>150</v>
      </c>
      <c r="I1796" s="45" t="s">
        <v>1369</v>
      </c>
      <c r="J1796" s="143" t="s">
        <v>119</v>
      </c>
      <c r="K1796" s="43" t="str">
        <f t="array" ref="K1796">IF(J1796="","", XLOOKUP(J1796,'⚙️ Pengaturan'!$E$2:$E3237,'⚙️ Pengaturan'!$G$2:$G3237))</f>
        <v>KLINIK FT PAKET</v>
      </c>
      <c r="L1796" s="43" t="str">
        <f t="shared" si="3"/>
        <v>BARU</v>
      </c>
      <c r="M1796" s="144" t="s">
        <v>31</v>
      </c>
      <c r="N1796" s="145">
        <v>750000.0</v>
      </c>
      <c r="O1796" s="146">
        <v>0.0</v>
      </c>
      <c r="P1796" s="48">
        <f t="array" ref="P1796">IFNA(XLOOKUP(J1796,'⚙️ Pengaturan'!$E$2:$E3237,'⚙️ Pengaturan'!$F$2:$F3237),"")</f>
        <v>750000</v>
      </c>
      <c r="Q1796" s="147">
        <f t="shared" si="42"/>
        <v>0</v>
      </c>
      <c r="R1796" s="41" t="s">
        <v>32</v>
      </c>
      <c r="S1796" s="69" t="s">
        <v>33</v>
      </c>
      <c r="T1796" s="51" t="b">
        <v>1</v>
      </c>
      <c r="U1796" s="94"/>
    </row>
    <row r="1797" ht="30.0" customHeight="1">
      <c r="A1797" s="39"/>
      <c r="B1797" s="40">
        <v>3834.0</v>
      </c>
      <c r="C1797" s="41" t="s">
        <v>39</v>
      </c>
      <c r="D1797" s="86">
        <v>46166.0</v>
      </c>
      <c r="E1797" s="43" t="str">
        <f t="shared" si="39"/>
        <v>2026</v>
      </c>
      <c r="F1797" s="43" t="str">
        <f t="shared" si="40"/>
        <v>05 Mei</v>
      </c>
      <c r="G1797" s="45" t="s">
        <v>155</v>
      </c>
      <c r="H1797" s="45" t="s">
        <v>166</v>
      </c>
      <c r="I1797" s="45" t="s">
        <v>1315</v>
      </c>
      <c r="J1797" s="143" t="s">
        <v>347</v>
      </c>
      <c r="K1797" s="43" t="str">
        <f t="array" ref="K1797">IF(J1797="","", XLOOKUP(J1797,'⚙️ Pengaturan'!$E$2:$E3237,'⚙️ Pengaturan'!$G$2:$G3237))</f>
        <v>KLINIK FT PAKET</v>
      </c>
      <c r="L1797" s="43" t="str">
        <f t="shared" si="3"/>
        <v>LANJUTAN</v>
      </c>
      <c r="M1797" s="144" t="s">
        <v>164</v>
      </c>
      <c r="N1797" s="145">
        <v>740000.0</v>
      </c>
      <c r="O1797" s="146">
        <v>560000.0</v>
      </c>
      <c r="P1797" s="48">
        <f t="array" ref="P1797">IFNA(XLOOKUP(J1797,'⚙️ Pengaturan'!$E$2:$E3237,'⚙️ Pengaturan'!$F$2:$F3237),"")</f>
        <v>1300000</v>
      </c>
      <c r="Q1797" s="147">
        <f t="shared" si="42"/>
        <v>0</v>
      </c>
      <c r="R1797" s="41" t="s">
        <v>37</v>
      </c>
      <c r="S1797" s="69" t="s">
        <v>1315</v>
      </c>
      <c r="T1797" s="51" t="b">
        <v>1</v>
      </c>
      <c r="U1797" s="94"/>
    </row>
    <row r="1798" ht="30.0" customHeight="1">
      <c r="A1798" s="39"/>
      <c r="B1798" s="161">
        <v>3835.0</v>
      </c>
      <c r="C1798" s="41" t="s">
        <v>39</v>
      </c>
      <c r="D1798" s="86">
        <v>46167.0</v>
      </c>
      <c r="E1798" s="43" t="str">
        <f t="shared" si="39"/>
        <v>2026</v>
      </c>
      <c r="F1798" s="43" t="str">
        <f t="shared" si="40"/>
        <v>05 Mei</v>
      </c>
      <c r="G1798" s="45" t="s">
        <v>25</v>
      </c>
      <c r="H1798" s="45" t="s">
        <v>156</v>
      </c>
      <c r="I1798" s="45" t="s">
        <v>1227</v>
      </c>
      <c r="J1798" s="143" t="s">
        <v>347</v>
      </c>
      <c r="K1798" s="43" t="str">
        <f t="array" ref="K1798">IF(J1798="","", XLOOKUP(J1798,'⚙️ Pengaturan'!$E$2:$E3237,'⚙️ Pengaturan'!$G$2:$G3237))</f>
        <v>KLINIK FT PAKET</v>
      </c>
      <c r="L1798" s="43" t="str">
        <f t="shared" si="3"/>
        <v>BARU</v>
      </c>
      <c r="M1798" s="144" t="s">
        <v>31</v>
      </c>
      <c r="N1798" s="145">
        <v>1300000.0</v>
      </c>
      <c r="O1798" s="146">
        <v>0.0</v>
      </c>
      <c r="P1798" s="48">
        <f t="array" ref="P1798">IFNA(XLOOKUP(J1798,'⚙️ Pengaturan'!$E$2:$E3237,'⚙️ Pengaturan'!$F$2:$F3237),"")</f>
        <v>1300000</v>
      </c>
      <c r="Q1798" s="147">
        <f t="shared" si="42"/>
        <v>0</v>
      </c>
      <c r="R1798" s="41" t="s">
        <v>32</v>
      </c>
      <c r="S1798" s="69" t="s">
        <v>33</v>
      </c>
      <c r="T1798" s="51" t="b">
        <v>1</v>
      </c>
      <c r="U1798" s="94"/>
    </row>
    <row r="1799" ht="30.0" customHeight="1">
      <c r="A1799" s="39"/>
      <c r="B1799" s="40">
        <v>3836.0</v>
      </c>
      <c r="C1799" s="41" t="s">
        <v>39</v>
      </c>
      <c r="D1799" s="86">
        <v>46162.0</v>
      </c>
      <c r="E1799" s="43" t="str">
        <f t="shared" si="39"/>
        <v>2026</v>
      </c>
      <c r="F1799" s="43" t="str">
        <f t="shared" si="40"/>
        <v>05 Mei</v>
      </c>
      <c r="G1799" s="45" t="s">
        <v>69</v>
      </c>
      <c r="H1799" s="45" t="s">
        <v>166</v>
      </c>
      <c r="I1799" s="45" t="s">
        <v>1303</v>
      </c>
      <c r="J1799" s="143" t="s">
        <v>323</v>
      </c>
      <c r="K1799" s="43" t="str">
        <f t="array" ref="K1799">IF(J1799="","", XLOOKUP(J1799,'⚙️ Pengaturan'!$E$2:$E3237,'⚙️ Pengaturan'!$G$2:$G3237))</f>
        <v>VISIT FT SESI</v>
      </c>
      <c r="L1799" s="43" t="str">
        <f t="shared" si="3"/>
        <v>LANJUTAN</v>
      </c>
      <c r="M1799" s="144" t="s">
        <v>31</v>
      </c>
      <c r="N1799" s="145">
        <v>200000.0</v>
      </c>
      <c r="O1799" s="146">
        <v>0.0</v>
      </c>
      <c r="P1799" s="48">
        <f t="array" ref="P1799">IFNA(XLOOKUP(J1799,'⚙️ Pengaturan'!$E$2:$E3237,'⚙️ Pengaturan'!$F$2:$F3237),"")</f>
        <v>200000</v>
      </c>
      <c r="Q1799" s="147">
        <f t="shared" si="42"/>
        <v>0</v>
      </c>
      <c r="R1799" s="41" t="s">
        <v>37</v>
      </c>
      <c r="S1799" s="69" t="s">
        <v>1303</v>
      </c>
      <c r="T1799" s="51" t="b">
        <v>1</v>
      </c>
      <c r="U1799" s="94"/>
    </row>
    <row r="1800" ht="30.0" customHeight="1">
      <c r="A1800" s="39"/>
      <c r="B1800" s="161">
        <v>3837.0</v>
      </c>
      <c r="C1800" s="41" t="s">
        <v>39</v>
      </c>
      <c r="D1800" s="86">
        <v>46167.0</v>
      </c>
      <c r="E1800" s="43" t="str">
        <f t="shared" si="39"/>
        <v>2026</v>
      </c>
      <c r="F1800" s="43" t="str">
        <f t="shared" si="40"/>
        <v>05 Mei</v>
      </c>
      <c r="G1800" s="45" t="s">
        <v>195</v>
      </c>
      <c r="H1800" s="45" t="s">
        <v>166</v>
      </c>
      <c r="I1800" s="45" t="s">
        <v>1387</v>
      </c>
      <c r="J1800" s="143" t="s">
        <v>28</v>
      </c>
      <c r="K1800" s="43" t="str">
        <f t="array" ref="K1800">IF(J1800="","", XLOOKUP(J1800,'⚙️ Pengaturan'!$E$2:$E3237,'⚙️ Pengaturan'!$G$2:$G3237))</f>
        <v>KLINIK FT TA</v>
      </c>
      <c r="L1800" s="43" t="str">
        <f t="shared" si="3"/>
        <v>BARU</v>
      </c>
      <c r="M1800" s="144" t="s">
        <v>31</v>
      </c>
      <c r="N1800" s="145">
        <v>250000.0</v>
      </c>
      <c r="O1800" s="146">
        <v>0.0</v>
      </c>
      <c r="P1800" s="48">
        <f t="array" ref="P1800">IFNA(XLOOKUP(J1800,'⚙️ Pengaturan'!$E$2:$E3237,'⚙️ Pengaturan'!$F$2:$F3237),"")</f>
        <v>250000</v>
      </c>
      <c r="Q1800" s="147">
        <f t="shared" si="42"/>
        <v>0</v>
      </c>
      <c r="R1800" s="41" t="s">
        <v>32</v>
      </c>
      <c r="S1800" s="69" t="s">
        <v>33</v>
      </c>
      <c r="T1800" s="51" t="b">
        <v>1</v>
      </c>
      <c r="U1800" s="94"/>
    </row>
    <row r="1801" ht="30.0" customHeight="1">
      <c r="A1801" s="39"/>
      <c r="B1801" s="40">
        <v>3838.0</v>
      </c>
      <c r="C1801" s="41" t="s">
        <v>39</v>
      </c>
      <c r="D1801" s="86">
        <v>46138.0</v>
      </c>
      <c r="E1801" s="43" t="str">
        <f t="shared" si="39"/>
        <v>2026</v>
      </c>
      <c r="F1801" s="43" t="str">
        <f t="shared" si="40"/>
        <v>04 Apr</v>
      </c>
      <c r="G1801" s="45" t="s">
        <v>69</v>
      </c>
      <c r="H1801" s="45" t="s">
        <v>149</v>
      </c>
      <c r="I1801" s="45" t="s">
        <v>1388</v>
      </c>
      <c r="J1801" s="143" t="s">
        <v>377</v>
      </c>
      <c r="K1801" s="43" t="str">
        <f t="array" ref="K1801">IF(J1801="","", XLOOKUP(J1801,'⚙️ Pengaturan'!$E$2:$E3237,'⚙️ Pengaturan'!$G$2:$G3237))</f>
        <v>KELAS SKOLIO PAKET</v>
      </c>
      <c r="L1801" s="43" t="str">
        <f t="shared" si="3"/>
        <v>BARU</v>
      </c>
      <c r="M1801" s="144" t="s">
        <v>31</v>
      </c>
      <c r="N1801" s="145">
        <v>440000.0</v>
      </c>
      <c r="O1801" s="146">
        <v>0.0</v>
      </c>
      <c r="P1801" s="48">
        <f t="array" ref="P1801">IFNA(XLOOKUP(J1801,'⚙️ Pengaturan'!$E$2:$E3237,'⚙️ Pengaturan'!$F$2:$F3237),"")</f>
        <v>440000</v>
      </c>
      <c r="Q1801" s="147">
        <f t="shared" si="42"/>
        <v>0</v>
      </c>
      <c r="R1801" s="41" t="s">
        <v>37</v>
      </c>
      <c r="S1801" s="69" t="s">
        <v>33</v>
      </c>
      <c r="T1801" s="51" t="b">
        <v>1</v>
      </c>
      <c r="U1801" s="94"/>
    </row>
    <row r="1802" ht="30.0" customHeight="1">
      <c r="A1802" s="39"/>
      <c r="B1802" s="161">
        <v>3839.0</v>
      </c>
      <c r="C1802" s="41" t="s">
        <v>39</v>
      </c>
      <c r="D1802" s="86">
        <v>46149.0</v>
      </c>
      <c r="E1802" s="43" t="str">
        <f t="shared" si="39"/>
        <v>2026</v>
      </c>
      <c r="F1802" s="43" t="str">
        <f t="shared" si="40"/>
        <v>05 Mei</v>
      </c>
      <c r="G1802" s="45" t="s">
        <v>69</v>
      </c>
      <c r="H1802" s="45" t="s">
        <v>149</v>
      </c>
      <c r="I1802" s="45" t="s">
        <v>174</v>
      </c>
      <c r="J1802" s="143" t="s">
        <v>374</v>
      </c>
      <c r="K1802" s="43" t="str">
        <f t="array" ref="K1802">IF(J1802="","", XLOOKUP(J1802,'⚙️ Pengaturan'!$E$2:$E3237,'⚙️ Pengaturan'!$G$2:$G3237))</f>
        <v>KELAS SKOLIO SESI</v>
      </c>
      <c r="L1802" s="43" t="str">
        <f t="shared" si="3"/>
        <v>BARU</v>
      </c>
      <c r="M1802" s="144" t="s">
        <v>31</v>
      </c>
      <c r="N1802" s="145">
        <v>120000.0</v>
      </c>
      <c r="O1802" s="146">
        <v>0.0</v>
      </c>
      <c r="P1802" s="48">
        <f t="array" ref="P1802">IFNA(XLOOKUP(J1802,'⚙️ Pengaturan'!$E$2:$E3237,'⚙️ Pengaturan'!$F$2:$F3237),"")</f>
        <v>120000</v>
      </c>
      <c r="Q1802" s="147">
        <f t="shared" si="42"/>
        <v>0</v>
      </c>
      <c r="R1802" s="41" t="s">
        <v>37</v>
      </c>
      <c r="S1802" s="69" t="s">
        <v>174</v>
      </c>
      <c r="T1802" s="51" t="b">
        <v>1</v>
      </c>
      <c r="U1802" s="94"/>
    </row>
    <row r="1803" ht="30.0" customHeight="1">
      <c r="A1803" s="39"/>
      <c r="B1803" s="40">
        <v>3840.0</v>
      </c>
      <c r="C1803" s="41" t="s">
        <v>39</v>
      </c>
      <c r="D1803" s="86">
        <v>46150.0</v>
      </c>
      <c r="E1803" s="43" t="str">
        <f t="shared" si="39"/>
        <v>2026</v>
      </c>
      <c r="F1803" s="43" t="str">
        <f t="shared" si="40"/>
        <v>05 Mei</v>
      </c>
      <c r="G1803" s="45" t="s">
        <v>69</v>
      </c>
      <c r="H1803" s="45" t="s">
        <v>149</v>
      </c>
      <c r="I1803" s="45" t="s">
        <v>1389</v>
      </c>
      <c r="J1803" s="143" t="s">
        <v>374</v>
      </c>
      <c r="K1803" s="43" t="str">
        <f t="array" ref="K1803">IF(J1803="","", XLOOKUP(J1803,'⚙️ Pengaturan'!$E$2:$E3237,'⚙️ Pengaturan'!$G$2:$G3237))</f>
        <v>KELAS SKOLIO SESI</v>
      </c>
      <c r="L1803" s="43" t="str">
        <f t="shared" si="3"/>
        <v>BARU</v>
      </c>
      <c r="M1803" s="144" t="s">
        <v>31</v>
      </c>
      <c r="N1803" s="145">
        <v>120000.0</v>
      </c>
      <c r="O1803" s="146">
        <v>0.0</v>
      </c>
      <c r="P1803" s="48">
        <f t="array" ref="P1803">IFNA(XLOOKUP(J1803,'⚙️ Pengaturan'!$E$2:$E3237,'⚙️ Pengaturan'!$F$2:$F3237),"")</f>
        <v>120000</v>
      </c>
      <c r="Q1803" s="147">
        <f t="shared" si="42"/>
        <v>0</v>
      </c>
      <c r="R1803" s="41" t="s">
        <v>37</v>
      </c>
      <c r="S1803" s="69" t="s">
        <v>1389</v>
      </c>
      <c r="T1803" s="51" t="b">
        <v>1</v>
      </c>
      <c r="U1803" s="94"/>
    </row>
    <row r="1804" ht="30.0" customHeight="1">
      <c r="A1804" s="39"/>
      <c r="B1804" s="161">
        <v>3841.0</v>
      </c>
      <c r="C1804" s="41" t="s">
        <v>39</v>
      </c>
      <c r="D1804" s="86">
        <v>46167.0</v>
      </c>
      <c r="E1804" s="43" t="str">
        <f t="shared" si="39"/>
        <v>2026</v>
      </c>
      <c r="F1804" s="43" t="str">
        <f t="shared" si="40"/>
        <v>05 Mei</v>
      </c>
      <c r="G1804" s="45" t="s">
        <v>161</v>
      </c>
      <c r="H1804" s="45" t="s">
        <v>162</v>
      </c>
      <c r="I1804" s="45" t="s">
        <v>1390</v>
      </c>
      <c r="J1804" s="143" t="s">
        <v>28</v>
      </c>
      <c r="K1804" s="43" t="str">
        <f t="array" ref="K1804">IF(J1804="","", XLOOKUP(J1804,'⚙️ Pengaturan'!$E$2:$E3237,'⚙️ Pengaturan'!$G$2:$G3237))</f>
        <v>KLINIK FT TA</v>
      </c>
      <c r="L1804" s="43" t="str">
        <f t="shared" si="3"/>
        <v>BARU</v>
      </c>
      <c r="M1804" s="144" t="s">
        <v>31</v>
      </c>
      <c r="N1804" s="145">
        <v>250000.0</v>
      </c>
      <c r="O1804" s="146">
        <v>0.0</v>
      </c>
      <c r="P1804" s="48">
        <f t="array" ref="P1804">IFNA(XLOOKUP(J1804,'⚙️ Pengaturan'!$E$2:$E3237,'⚙️ Pengaturan'!$F$2:$F3237),"")</f>
        <v>250000</v>
      </c>
      <c r="Q1804" s="147">
        <f t="shared" si="42"/>
        <v>0</v>
      </c>
      <c r="R1804" s="41" t="s">
        <v>32</v>
      </c>
      <c r="S1804" s="69" t="s">
        <v>33</v>
      </c>
      <c r="T1804" s="51" t="b">
        <v>1</v>
      </c>
      <c r="U1804" s="94"/>
    </row>
    <row r="1805" ht="30.0" customHeight="1">
      <c r="A1805" s="39"/>
      <c r="B1805" s="40">
        <v>3842.0</v>
      </c>
      <c r="C1805" s="41" t="s">
        <v>39</v>
      </c>
      <c r="D1805" s="86">
        <v>46167.0</v>
      </c>
      <c r="E1805" s="43" t="str">
        <f t="shared" si="39"/>
        <v>2026</v>
      </c>
      <c r="F1805" s="43" t="str">
        <f t="shared" si="40"/>
        <v>05 Mei</v>
      </c>
      <c r="G1805" s="45" t="s">
        <v>161</v>
      </c>
      <c r="H1805" s="45" t="s">
        <v>150</v>
      </c>
      <c r="I1805" s="45" t="s">
        <v>1391</v>
      </c>
      <c r="J1805" s="143" t="s">
        <v>28</v>
      </c>
      <c r="K1805" s="43" t="str">
        <f t="array" ref="K1805">IF(J1805="","", XLOOKUP(J1805,'⚙️ Pengaturan'!$E$2:$E3237,'⚙️ Pengaturan'!$G$2:$G3237))</f>
        <v>KLINIK FT TA</v>
      </c>
      <c r="L1805" s="43" t="str">
        <f t="shared" si="3"/>
        <v>BARU</v>
      </c>
      <c r="M1805" s="144" t="s">
        <v>31</v>
      </c>
      <c r="N1805" s="145">
        <v>250000.0</v>
      </c>
      <c r="O1805" s="146">
        <v>0.0</v>
      </c>
      <c r="P1805" s="48">
        <f t="array" ref="P1805">IFNA(XLOOKUP(J1805,'⚙️ Pengaturan'!$E$2:$E3237,'⚙️ Pengaturan'!$F$2:$F3237),"")</f>
        <v>250000</v>
      </c>
      <c r="Q1805" s="147">
        <f t="shared" si="42"/>
        <v>0</v>
      </c>
      <c r="R1805" s="41" t="s">
        <v>37</v>
      </c>
      <c r="S1805" s="69" t="s">
        <v>1391</v>
      </c>
      <c r="T1805" s="51" t="b">
        <v>1</v>
      </c>
      <c r="U1805" s="94"/>
    </row>
    <row r="1806" ht="30.0" customHeight="1">
      <c r="A1806" s="39"/>
      <c r="B1806" s="161">
        <v>3843.0</v>
      </c>
      <c r="C1806" s="41" t="s">
        <v>50</v>
      </c>
      <c r="D1806" s="86">
        <v>46167.0</v>
      </c>
      <c r="E1806" s="43" t="str">
        <f t="shared" si="39"/>
        <v>2026</v>
      </c>
      <c r="F1806" s="43" t="str">
        <f t="shared" si="40"/>
        <v>05 Mei</v>
      </c>
      <c r="G1806" s="45" t="s">
        <v>173</v>
      </c>
      <c r="H1806" s="45" t="s">
        <v>96</v>
      </c>
      <c r="I1806" s="45" t="s">
        <v>1377</v>
      </c>
      <c r="J1806" s="143" t="s">
        <v>119</v>
      </c>
      <c r="K1806" s="43" t="str">
        <f t="array" ref="K1806">IF(J1806="","", XLOOKUP(J1806,'⚙️ Pengaturan'!$E$2:$E3237,'⚙️ Pengaturan'!$G$2:$G3237))</f>
        <v>KLINIK FT PAKET</v>
      </c>
      <c r="L1806" s="43" t="str">
        <f t="shared" si="3"/>
        <v>BARU</v>
      </c>
      <c r="M1806" s="144" t="s">
        <v>60</v>
      </c>
      <c r="N1806" s="145">
        <v>200000.0</v>
      </c>
      <c r="O1806" s="146">
        <v>150000.0</v>
      </c>
      <c r="P1806" s="48">
        <f t="array" ref="P1806">IFNA(XLOOKUP(J1806,'⚙️ Pengaturan'!$E$2:$E3237,'⚙️ Pengaturan'!$F$2:$F3237),"")</f>
        <v>750000</v>
      </c>
      <c r="Q1806" s="147">
        <f t="shared" si="42"/>
        <v>-400000</v>
      </c>
      <c r="R1806" s="41" t="s">
        <v>32</v>
      </c>
      <c r="S1806" s="69" t="s">
        <v>33</v>
      </c>
      <c r="T1806" s="51" t="b">
        <v>1</v>
      </c>
      <c r="U1806" s="94" t="s">
        <v>1063</v>
      </c>
    </row>
    <row r="1807" ht="30.0" customHeight="1">
      <c r="A1807" s="39"/>
      <c r="B1807" s="40">
        <v>3844.0</v>
      </c>
      <c r="C1807" s="41" t="s">
        <v>50</v>
      </c>
      <c r="D1807" s="86">
        <v>46167.0</v>
      </c>
      <c r="E1807" s="43" t="str">
        <f t="shared" si="39"/>
        <v>2026</v>
      </c>
      <c r="F1807" s="43" t="str">
        <f t="shared" si="40"/>
        <v>05 Mei</v>
      </c>
      <c r="G1807" s="45" t="s">
        <v>40</v>
      </c>
      <c r="H1807" s="45" t="s">
        <v>149</v>
      </c>
      <c r="I1807" s="45" t="s">
        <v>1243</v>
      </c>
      <c r="J1807" s="143" t="s">
        <v>349</v>
      </c>
      <c r="K1807" s="43" t="str">
        <f t="array" ref="K1807">IF(J1807="","", XLOOKUP(J1807,'⚙️ Pengaturan'!$E$2:$E3237,'⚙️ Pengaturan'!$G$2:$G3237))</f>
        <v>KLINIK FT PAKET</v>
      </c>
      <c r="L1807" s="43" t="str">
        <f t="shared" si="3"/>
        <v>LANJUTAN</v>
      </c>
      <c r="M1807" s="144" t="s">
        <v>31</v>
      </c>
      <c r="N1807" s="145">
        <v>1920000.0</v>
      </c>
      <c r="O1807" s="146">
        <v>480000.0</v>
      </c>
      <c r="P1807" s="48">
        <f t="array" ref="P1807">IFNA(XLOOKUP(J1807,'⚙️ Pengaturan'!$E$2:$E3237,'⚙️ Pengaturan'!$F$2:$F3237),"")</f>
        <v>2400000</v>
      </c>
      <c r="Q1807" s="147">
        <f t="shared" si="42"/>
        <v>0</v>
      </c>
      <c r="R1807" s="41" t="s">
        <v>37</v>
      </c>
      <c r="S1807" s="69" t="s">
        <v>1392</v>
      </c>
      <c r="T1807" s="51" t="b">
        <v>1</v>
      </c>
      <c r="U1807" s="94"/>
    </row>
    <row r="1808" ht="30.0" customHeight="1">
      <c r="A1808" s="39"/>
      <c r="B1808" s="161">
        <v>3845.0</v>
      </c>
      <c r="C1808" s="41" t="s">
        <v>50</v>
      </c>
      <c r="D1808" s="86">
        <v>46167.0</v>
      </c>
      <c r="E1808" s="43" t="str">
        <f t="shared" si="39"/>
        <v>2026</v>
      </c>
      <c r="F1808" s="43" t="str">
        <f t="shared" si="40"/>
        <v>05 Mei</v>
      </c>
      <c r="G1808" s="45" t="s">
        <v>155</v>
      </c>
      <c r="H1808" s="45" t="s">
        <v>76</v>
      </c>
      <c r="I1808" s="45" t="s">
        <v>1191</v>
      </c>
      <c r="J1808" s="143" t="s">
        <v>119</v>
      </c>
      <c r="K1808" s="43" t="str">
        <f t="array" ref="K1808">IF(J1808="","", XLOOKUP(J1808,'⚙️ Pengaturan'!$E$2:$E3237,'⚙️ Pengaturan'!$G$2:$G3237))</f>
        <v>KLINIK FT PAKET</v>
      </c>
      <c r="L1808" s="43" t="str">
        <f t="shared" si="3"/>
        <v>BARU</v>
      </c>
      <c r="M1808" s="144" t="s">
        <v>31</v>
      </c>
      <c r="N1808" s="145">
        <v>750000.0</v>
      </c>
      <c r="O1808" s="146">
        <v>0.0</v>
      </c>
      <c r="P1808" s="48">
        <f t="array" ref="P1808">IFNA(XLOOKUP(J1808,'⚙️ Pengaturan'!$E$2:$E3237,'⚙️ Pengaturan'!$F$2:$F3237),"")</f>
        <v>750000</v>
      </c>
      <c r="Q1808" s="147">
        <f t="shared" si="42"/>
        <v>0</v>
      </c>
      <c r="R1808" s="41" t="s">
        <v>32</v>
      </c>
      <c r="S1808" s="69" t="s">
        <v>33</v>
      </c>
      <c r="T1808" s="51" t="b">
        <v>1</v>
      </c>
      <c r="U1808" s="94"/>
    </row>
    <row r="1809" ht="30.0" customHeight="1">
      <c r="A1809" s="39"/>
      <c r="B1809" s="40">
        <v>3846.0</v>
      </c>
      <c r="C1809" s="41" t="s">
        <v>39</v>
      </c>
      <c r="D1809" s="86">
        <v>46168.0</v>
      </c>
      <c r="E1809" s="43" t="str">
        <f t="shared" si="39"/>
        <v>2026</v>
      </c>
      <c r="F1809" s="43" t="str">
        <f t="shared" si="40"/>
        <v>05 Mei</v>
      </c>
      <c r="G1809" s="45" t="s">
        <v>195</v>
      </c>
      <c r="H1809" s="45" t="s">
        <v>76</v>
      </c>
      <c r="I1809" s="45" t="s">
        <v>1383</v>
      </c>
      <c r="J1809" s="143" t="s">
        <v>120</v>
      </c>
      <c r="K1809" s="43" t="str">
        <f t="array" ref="K1809">IF(J1809="","", XLOOKUP(J1809,'⚙️ Pengaturan'!$E$2:$E3237,'⚙️ Pengaturan'!$G$2:$G3237))</f>
        <v>KLINIK FT SESI</v>
      </c>
      <c r="L1809" s="43" t="str">
        <f t="shared" si="3"/>
        <v>BARU</v>
      </c>
      <c r="M1809" s="144" t="s">
        <v>31</v>
      </c>
      <c r="N1809" s="145">
        <v>180000.0</v>
      </c>
      <c r="O1809" s="146">
        <v>0.0</v>
      </c>
      <c r="P1809" s="48">
        <f t="array" ref="P1809">IFNA(XLOOKUP(J1809,'⚙️ Pengaturan'!$E$2:$E3237,'⚙️ Pengaturan'!$F$2:$F3237),"")</f>
        <v>180000</v>
      </c>
      <c r="Q1809" s="147">
        <f t="shared" si="42"/>
        <v>0</v>
      </c>
      <c r="R1809" s="41" t="s">
        <v>37</v>
      </c>
      <c r="S1809" s="69" t="s">
        <v>1384</v>
      </c>
      <c r="T1809" s="51" t="b">
        <v>1</v>
      </c>
      <c r="U1809" s="94"/>
    </row>
    <row r="1810" ht="30.0" customHeight="1">
      <c r="A1810" s="39"/>
      <c r="B1810" s="161">
        <v>3847.0</v>
      </c>
      <c r="C1810" s="41" t="s">
        <v>39</v>
      </c>
      <c r="D1810" s="86">
        <v>46168.0</v>
      </c>
      <c r="E1810" s="43" t="str">
        <f t="shared" si="39"/>
        <v>2026</v>
      </c>
      <c r="F1810" s="43" t="str">
        <f t="shared" si="40"/>
        <v>05 Mei</v>
      </c>
      <c r="G1810" s="45" t="s">
        <v>25</v>
      </c>
      <c r="H1810" s="45" t="s">
        <v>41</v>
      </c>
      <c r="I1810" s="45" t="s">
        <v>1393</v>
      </c>
      <c r="J1810" s="143" t="s">
        <v>28</v>
      </c>
      <c r="K1810" s="43" t="str">
        <f t="array" ref="K1810">IF(J1810="","", XLOOKUP(J1810,'⚙️ Pengaturan'!$E$2:$E3237,'⚙️ Pengaturan'!$G$2:$G3237))</f>
        <v>KLINIK FT TA</v>
      </c>
      <c r="L1810" s="43" t="str">
        <f t="shared" si="3"/>
        <v>BARU</v>
      </c>
      <c r="M1810" s="144" t="s">
        <v>31</v>
      </c>
      <c r="N1810" s="145">
        <v>250000.0</v>
      </c>
      <c r="O1810" s="146">
        <v>0.0</v>
      </c>
      <c r="P1810" s="48">
        <f t="array" ref="P1810">IFNA(XLOOKUP(J1810,'⚙️ Pengaturan'!$E$2:$E3237,'⚙️ Pengaturan'!$F$2:$F3237),"")</f>
        <v>250000</v>
      </c>
      <c r="Q1810" s="147">
        <f t="shared" si="42"/>
        <v>0</v>
      </c>
      <c r="R1810" s="41" t="s">
        <v>37</v>
      </c>
      <c r="S1810" s="69" t="s">
        <v>1393</v>
      </c>
      <c r="T1810" s="51" t="b">
        <v>1</v>
      </c>
      <c r="U1810" s="94"/>
    </row>
    <row r="1811" ht="30.0" customHeight="1">
      <c r="A1811" s="39"/>
      <c r="B1811" s="40">
        <v>3848.0</v>
      </c>
      <c r="C1811" s="41" t="s">
        <v>39</v>
      </c>
      <c r="D1811" s="86">
        <v>46168.0</v>
      </c>
      <c r="E1811" s="43" t="str">
        <f t="shared" si="39"/>
        <v>2026</v>
      </c>
      <c r="F1811" s="43" t="str">
        <f t="shared" si="40"/>
        <v>05 Mei</v>
      </c>
      <c r="G1811" s="45" t="s">
        <v>25</v>
      </c>
      <c r="H1811" s="45" t="s">
        <v>47</v>
      </c>
      <c r="I1811" s="45" t="s">
        <v>1382</v>
      </c>
      <c r="J1811" s="143" t="s">
        <v>120</v>
      </c>
      <c r="K1811" s="43" t="str">
        <f t="array" ref="K1811">IF(J1811="","", XLOOKUP(J1811,'⚙️ Pengaturan'!$E$2:$E3237,'⚙️ Pengaturan'!$G$2:$G3237))</f>
        <v>KLINIK FT SESI</v>
      </c>
      <c r="L1811" s="43" t="str">
        <f t="shared" si="3"/>
        <v>BARU</v>
      </c>
      <c r="M1811" s="144" t="s">
        <v>31</v>
      </c>
      <c r="N1811" s="145">
        <v>180000.0</v>
      </c>
      <c r="O1811" s="146">
        <v>0.0</v>
      </c>
      <c r="P1811" s="48">
        <f t="array" ref="P1811">IFNA(XLOOKUP(J1811,'⚙️ Pengaturan'!$E$2:$E3237,'⚙️ Pengaturan'!$F$2:$F3237),"")</f>
        <v>180000</v>
      </c>
      <c r="Q1811" s="147">
        <f t="shared" si="42"/>
        <v>0</v>
      </c>
      <c r="R1811" s="41" t="s">
        <v>37</v>
      </c>
      <c r="S1811" s="69" t="s">
        <v>1394</v>
      </c>
      <c r="T1811" s="51" t="b">
        <v>1</v>
      </c>
      <c r="U1811" s="94"/>
    </row>
    <row r="1812" ht="30.0" customHeight="1">
      <c r="A1812" s="39"/>
      <c r="B1812" s="161">
        <v>3849.0</v>
      </c>
      <c r="C1812" s="41" t="s">
        <v>39</v>
      </c>
      <c r="D1812" s="86">
        <v>46168.0</v>
      </c>
      <c r="E1812" s="43" t="str">
        <f t="shared" si="39"/>
        <v>2026</v>
      </c>
      <c r="F1812" s="43" t="str">
        <f t="shared" si="40"/>
        <v>05 Mei</v>
      </c>
      <c r="G1812" s="45" t="s">
        <v>25</v>
      </c>
      <c r="H1812" s="45" t="s">
        <v>41</v>
      </c>
      <c r="I1812" s="45" t="s">
        <v>1381</v>
      </c>
      <c r="J1812" s="143" t="s">
        <v>120</v>
      </c>
      <c r="K1812" s="43" t="str">
        <f t="array" ref="K1812">IF(J1812="","", XLOOKUP(J1812,'⚙️ Pengaturan'!$E$2:$E3237,'⚙️ Pengaturan'!$G$2:$G3237))</f>
        <v>KLINIK FT SESI</v>
      </c>
      <c r="L1812" s="43" t="str">
        <f t="shared" si="3"/>
        <v>BARU</v>
      </c>
      <c r="M1812" s="144" t="s">
        <v>31</v>
      </c>
      <c r="N1812" s="145">
        <v>180000.0</v>
      </c>
      <c r="O1812" s="146">
        <v>0.0</v>
      </c>
      <c r="P1812" s="48">
        <f t="array" ref="P1812">IFNA(XLOOKUP(J1812,'⚙️ Pengaturan'!$E$2:$E3237,'⚙️ Pengaturan'!$F$2:$F3237),"")</f>
        <v>180000</v>
      </c>
      <c r="Q1812" s="147">
        <f t="shared" si="42"/>
        <v>0</v>
      </c>
      <c r="R1812" s="41" t="s">
        <v>32</v>
      </c>
      <c r="S1812" s="69" t="s">
        <v>33</v>
      </c>
      <c r="T1812" s="51" t="b">
        <v>1</v>
      </c>
      <c r="U1812" s="94"/>
    </row>
    <row r="1813" ht="30.0" customHeight="1">
      <c r="A1813" s="39"/>
      <c r="B1813" s="40">
        <v>3850.0</v>
      </c>
      <c r="C1813" s="41" t="s">
        <v>39</v>
      </c>
      <c r="D1813" s="86">
        <v>46168.0</v>
      </c>
      <c r="E1813" s="43" t="str">
        <f t="shared" si="39"/>
        <v>2026</v>
      </c>
      <c r="F1813" s="43" t="str">
        <f t="shared" si="40"/>
        <v>05 Mei</v>
      </c>
      <c r="G1813" s="45" t="s">
        <v>35</v>
      </c>
      <c r="H1813" s="45" t="s">
        <v>76</v>
      </c>
      <c r="I1813" s="45" t="s">
        <v>1395</v>
      </c>
      <c r="J1813" s="143" t="s">
        <v>28</v>
      </c>
      <c r="K1813" s="43" t="str">
        <f t="array" ref="K1813">IF(J1813="","", XLOOKUP(J1813,'⚙️ Pengaturan'!$E$2:$E3237,'⚙️ Pengaturan'!$G$2:$G3237))</f>
        <v>KLINIK FT TA</v>
      </c>
      <c r="L1813" s="43" t="str">
        <f t="shared" si="3"/>
        <v>BARU</v>
      </c>
      <c r="M1813" s="144" t="s">
        <v>31</v>
      </c>
      <c r="N1813" s="145">
        <v>250000.0</v>
      </c>
      <c r="O1813" s="146">
        <v>0.0</v>
      </c>
      <c r="P1813" s="48">
        <f t="array" ref="P1813">IFNA(XLOOKUP(J1813,'⚙️ Pengaturan'!$E$2:$E3237,'⚙️ Pengaturan'!$F$2:$F3237),"")</f>
        <v>250000</v>
      </c>
      <c r="Q1813" s="147">
        <f t="shared" si="42"/>
        <v>0</v>
      </c>
      <c r="R1813" s="41" t="s">
        <v>32</v>
      </c>
      <c r="S1813" s="69" t="s">
        <v>33</v>
      </c>
      <c r="T1813" s="51" t="b">
        <v>1</v>
      </c>
      <c r="U1813" s="94"/>
    </row>
    <row r="1814" ht="30.0" customHeight="1">
      <c r="A1814" s="39"/>
      <c r="B1814" s="161">
        <v>3851.0</v>
      </c>
      <c r="C1814" s="41" t="s">
        <v>50</v>
      </c>
      <c r="D1814" s="86">
        <v>46168.0</v>
      </c>
      <c r="E1814" s="43" t="str">
        <f t="shared" si="39"/>
        <v>2026</v>
      </c>
      <c r="F1814" s="43" t="str">
        <f t="shared" si="40"/>
        <v>05 Mei</v>
      </c>
      <c r="G1814" s="45" t="s">
        <v>43</v>
      </c>
      <c r="H1814" s="45" t="s">
        <v>150</v>
      </c>
      <c r="I1814" s="45" t="s">
        <v>963</v>
      </c>
      <c r="J1814" s="143" t="s">
        <v>119</v>
      </c>
      <c r="K1814" s="43" t="str">
        <f t="array" ref="K1814">IF(J1814="","", XLOOKUP(J1814,'⚙️ Pengaturan'!$E$2:$E3237,'⚙️ Pengaturan'!$G$2:$G3237))</f>
        <v>KLINIK FT PAKET</v>
      </c>
      <c r="L1814" s="43" t="str">
        <f t="shared" si="3"/>
        <v>LANJUTAN</v>
      </c>
      <c r="M1814" s="144" t="s">
        <v>164</v>
      </c>
      <c r="N1814" s="145">
        <v>300000.0</v>
      </c>
      <c r="O1814" s="146">
        <v>450000.0</v>
      </c>
      <c r="P1814" s="48">
        <f t="array" ref="P1814">IFNA(XLOOKUP(J1814,'⚙️ Pengaturan'!$E$2:$E3237,'⚙️ Pengaturan'!$F$2:$F3237),"")</f>
        <v>750000</v>
      </c>
      <c r="Q1814" s="147">
        <f t="shared" si="42"/>
        <v>0</v>
      </c>
      <c r="R1814" s="41" t="s">
        <v>32</v>
      </c>
      <c r="S1814" s="69" t="s">
        <v>33</v>
      </c>
      <c r="T1814" s="51" t="b">
        <v>1</v>
      </c>
      <c r="U1814" s="94"/>
    </row>
    <row r="1815" ht="30.0" customHeight="1">
      <c r="A1815" s="39"/>
      <c r="B1815" s="40">
        <v>3852.0</v>
      </c>
      <c r="C1815" s="41" t="s">
        <v>50</v>
      </c>
      <c r="D1815" s="86">
        <v>46168.0</v>
      </c>
      <c r="E1815" s="43" t="str">
        <f t="shared" si="39"/>
        <v>2026</v>
      </c>
      <c r="F1815" s="43" t="str">
        <f t="shared" si="40"/>
        <v>05 Mei</v>
      </c>
      <c r="G1815" s="45" t="s">
        <v>173</v>
      </c>
      <c r="H1815" s="45" t="s">
        <v>150</v>
      </c>
      <c r="I1815" s="45" t="s">
        <v>1251</v>
      </c>
      <c r="J1815" s="143" t="s">
        <v>120</v>
      </c>
      <c r="K1815" s="43" t="str">
        <f t="array" ref="K1815">IF(J1815="","", XLOOKUP(J1815,'⚙️ Pengaturan'!$E$2:$E3237,'⚙️ Pengaturan'!$G$2:$G3237))</f>
        <v>KLINIK FT SESI</v>
      </c>
      <c r="L1815" s="43" t="str">
        <f t="shared" si="3"/>
        <v>BARU</v>
      </c>
      <c r="M1815" s="144" t="s">
        <v>31</v>
      </c>
      <c r="N1815" s="145">
        <v>180000.0</v>
      </c>
      <c r="O1815" s="146">
        <v>0.0</v>
      </c>
      <c r="P1815" s="48">
        <f t="array" ref="P1815">IFNA(XLOOKUP(J1815,'⚙️ Pengaturan'!$E$2:$E3237,'⚙️ Pengaturan'!$F$2:$F3237),"")</f>
        <v>180000</v>
      </c>
      <c r="Q1815" s="147">
        <f t="shared" si="42"/>
        <v>0</v>
      </c>
      <c r="R1815" s="41" t="s">
        <v>32</v>
      </c>
      <c r="S1815" s="69" t="s">
        <v>33</v>
      </c>
      <c r="T1815" s="51" t="b">
        <v>1</v>
      </c>
      <c r="U1815" s="94"/>
    </row>
    <row r="1816" ht="30.0" customHeight="1">
      <c r="A1816" s="39"/>
      <c r="B1816" s="161">
        <v>3853.0</v>
      </c>
      <c r="C1816" s="41" t="s">
        <v>50</v>
      </c>
      <c r="D1816" s="86">
        <v>46168.0</v>
      </c>
      <c r="E1816" s="43" t="str">
        <f t="shared" si="39"/>
        <v>2026</v>
      </c>
      <c r="F1816" s="43" t="str">
        <f t="shared" si="40"/>
        <v>05 Mei</v>
      </c>
      <c r="G1816" s="45" t="s">
        <v>173</v>
      </c>
      <c r="H1816" s="45" t="s">
        <v>162</v>
      </c>
      <c r="I1816" s="45" t="s">
        <v>600</v>
      </c>
      <c r="J1816" s="143" t="s">
        <v>92</v>
      </c>
      <c r="K1816" s="43" t="str">
        <f t="array" ref="K1816">IF(J1816="","", XLOOKUP(J1816,'⚙️ Pengaturan'!$E$2:$E3237,'⚙️ Pengaturan'!$G$2:$G3237))</f>
        <v>KLINIK FT PAKET</v>
      </c>
      <c r="L1816" s="43" t="str">
        <f t="shared" si="3"/>
        <v>LANJUTAN</v>
      </c>
      <c r="M1816" s="144" t="s">
        <v>164</v>
      </c>
      <c r="N1816" s="145">
        <v>1000000.0</v>
      </c>
      <c r="O1816" s="146">
        <v>200000.0</v>
      </c>
      <c r="P1816" s="48">
        <f t="array" ref="P1816">IFNA(XLOOKUP(J1816,'⚙️ Pengaturan'!$E$2:$E3237,'⚙️ Pengaturan'!$F$2:$F3237),"")</f>
        <v>1200000</v>
      </c>
      <c r="Q1816" s="147">
        <f t="shared" si="42"/>
        <v>0</v>
      </c>
      <c r="R1816" s="41" t="s">
        <v>37</v>
      </c>
      <c r="S1816" s="69" t="s">
        <v>600</v>
      </c>
      <c r="T1816" s="51" t="b">
        <v>1</v>
      </c>
      <c r="U1816" s="94"/>
    </row>
    <row r="1817" ht="30.0" customHeight="1">
      <c r="A1817" s="39"/>
      <c r="B1817" s="40">
        <v>3854.0</v>
      </c>
      <c r="C1817" s="41" t="s">
        <v>50</v>
      </c>
      <c r="D1817" s="86">
        <v>46168.0</v>
      </c>
      <c r="E1817" s="43" t="str">
        <f t="shared" si="39"/>
        <v>2026</v>
      </c>
      <c r="F1817" s="43" t="str">
        <f t="shared" si="40"/>
        <v>05 Mei</v>
      </c>
      <c r="G1817" s="45" t="s">
        <v>173</v>
      </c>
      <c r="H1817" s="45" t="s">
        <v>162</v>
      </c>
      <c r="I1817" s="45" t="s">
        <v>600</v>
      </c>
      <c r="J1817" s="143" t="s">
        <v>92</v>
      </c>
      <c r="K1817" s="43" t="str">
        <f t="array" ref="K1817">IF(J1817="","", XLOOKUP(J1817,'⚙️ Pengaturan'!$E$2:$E3237,'⚙️ Pengaturan'!$G$2:$G3237))</f>
        <v>KLINIK FT PAKET</v>
      </c>
      <c r="L1817" s="43" t="str">
        <f t="shared" si="3"/>
        <v>LANJUTAN</v>
      </c>
      <c r="M1817" s="144" t="s">
        <v>60</v>
      </c>
      <c r="N1817" s="145">
        <v>200000.0</v>
      </c>
      <c r="O1817" s="146">
        <v>0.0</v>
      </c>
      <c r="P1817" s="48">
        <f t="array" ref="P1817">IFNA(XLOOKUP(J1817,'⚙️ Pengaturan'!$E$2:$E3237,'⚙️ Pengaturan'!$F$2:$F3237),"")</f>
        <v>1200000</v>
      </c>
      <c r="Q1817" s="147">
        <f t="shared" si="42"/>
        <v>-1000000</v>
      </c>
      <c r="R1817" s="41" t="s">
        <v>37</v>
      </c>
      <c r="S1817" s="69" t="s">
        <v>600</v>
      </c>
      <c r="T1817" s="51" t="b">
        <v>1</v>
      </c>
      <c r="U1817" s="94"/>
    </row>
    <row r="1818" ht="30.0" customHeight="1">
      <c r="A1818" s="39"/>
      <c r="B1818" s="161">
        <v>3855.0</v>
      </c>
      <c r="C1818" s="41" t="s">
        <v>50</v>
      </c>
      <c r="D1818" s="86">
        <v>46168.0</v>
      </c>
      <c r="E1818" s="43" t="str">
        <f t="shared" si="39"/>
        <v>2026</v>
      </c>
      <c r="F1818" s="43" t="str">
        <f t="shared" si="40"/>
        <v>05 Mei</v>
      </c>
      <c r="G1818" s="45" t="s">
        <v>155</v>
      </c>
      <c r="H1818" s="45" t="s">
        <v>166</v>
      </c>
      <c r="I1818" s="45" t="s">
        <v>1128</v>
      </c>
      <c r="J1818" s="143" t="s">
        <v>119</v>
      </c>
      <c r="K1818" s="43" t="str">
        <f t="array" ref="K1818">IF(J1818="","", XLOOKUP(J1818,'⚙️ Pengaturan'!$E$2:$E3237,'⚙️ Pengaturan'!$G$2:$G3237))</f>
        <v>KLINIK FT PAKET</v>
      </c>
      <c r="L1818" s="43" t="str">
        <f t="shared" si="3"/>
        <v>BARU</v>
      </c>
      <c r="M1818" s="144" t="s">
        <v>31</v>
      </c>
      <c r="N1818" s="145">
        <v>600000.0</v>
      </c>
      <c r="O1818" s="146">
        <v>150000.0</v>
      </c>
      <c r="P1818" s="48">
        <f t="array" ref="P1818">IFNA(XLOOKUP(J1818,'⚙️ Pengaturan'!$E$2:$E3237,'⚙️ Pengaturan'!$F$2:$F3237),"")</f>
        <v>750000</v>
      </c>
      <c r="Q1818" s="147">
        <f t="shared" si="42"/>
        <v>0</v>
      </c>
      <c r="R1818" s="41" t="s">
        <v>37</v>
      </c>
      <c r="S1818" s="69" t="s">
        <v>1128</v>
      </c>
      <c r="T1818" s="51" t="b">
        <v>1</v>
      </c>
      <c r="U1818" s="94"/>
    </row>
    <row r="1819" ht="30.0" customHeight="1">
      <c r="A1819" s="39"/>
      <c r="B1819" s="40">
        <v>3856.0</v>
      </c>
      <c r="C1819" s="41" t="s">
        <v>50</v>
      </c>
      <c r="D1819" s="86">
        <v>46168.0</v>
      </c>
      <c r="E1819" s="43" t="str">
        <f t="shared" si="39"/>
        <v>2026</v>
      </c>
      <c r="F1819" s="43" t="str">
        <f t="shared" si="40"/>
        <v>05 Mei</v>
      </c>
      <c r="G1819" s="45" t="s">
        <v>155</v>
      </c>
      <c r="H1819" s="45" t="s">
        <v>162</v>
      </c>
      <c r="I1819" s="45" t="s">
        <v>1396</v>
      </c>
      <c r="J1819" s="143" t="s">
        <v>28</v>
      </c>
      <c r="K1819" s="43" t="str">
        <f t="array" ref="K1819">IF(J1819="","", XLOOKUP(J1819,'⚙️ Pengaturan'!$E$2:$E3237,'⚙️ Pengaturan'!$G$2:$G3237))</f>
        <v>KLINIK FT TA</v>
      </c>
      <c r="L1819" s="43" t="str">
        <f t="shared" si="3"/>
        <v>BARU</v>
      </c>
      <c r="M1819" s="144" t="s">
        <v>31</v>
      </c>
      <c r="N1819" s="145">
        <v>250000.0</v>
      </c>
      <c r="O1819" s="146">
        <v>0.0</v>
      </c>
      <c r="P1819" s="48">
        <f t="array" ref="P1819">IFNA(XLOOKUP(J1819,'⚙️ Pengaturan'!$E$2:$E3237,'⚙️ Pengaturan'!$F$2:$F3237),"")</f>
        <v>250000</v>
      </c>
      <c r="Q1819" s="147">
        <f t="shared" si="42"/>
        <v>0</v>
      </c>
      <c r="R1819" s="41" t="s">
        <v>93</v>
      </c>
      <c r="S1819" s="69" t="s">
        <v>1396</v>
      </c>
      <c r="T1819" s="51" t="b">
        <v>1</v>
      </c>
      <c r="U1819" s="94"/>
    </row>
    <row r="1820" ht="30.0" customHeight="1">
      <c r="A1820" s="39"/>
      <c r="B1820" s="161">
        <v>3857.0</v>
      </c>
      <c r="C1820" s="41" t="s">
        <v>79</v>
      </c>
      <c r="D1820" s="86">
        <v>46170.0</v>
      </c>
      <c r="E1820" s="43" t="str">
        <f t="shared" si="39"/>
        <v>2026</v>
      </c>
      <c r="F1820" s="43" t="str">
        <f t="shared" si="40"/>
        <v>05 Mei</v>
      </c>
      <c r="G1820" s="45" t="s">
        <v>69</v>
      </c>
      <c r="H1820" s="45" t="s">
        <v>96</v>
      </c>
      <c r="I1820" s="45" t="s">
        <v>586</v>
      </c>
      <c r="J1820" s="143" t="s">
        <v>138</v>
      </c>
      <c r="K1820" s="43" t="str">
        <f t="array" ref="K1820">IF(J1820="","", XLOOKUP(J1820,'⚙️ Pengaturan'!$E$2:$E3237,'⚙️ Pengaturan'!$G$2:$G3237))</f>
        <v>VISIT FT PAKET</v>
      </c>
      <c r="L1820" s="43" t="str">
        <f t="shared" si="3"/>
        <v>LANJUTAN</v>
      </c>
      <c r="M1820" s="144" t="s">
        <v>31</v>
      </c>
      <c r="N1820" s="145">
        <v>1800000.0</v>
      </c>
      <c r="O1820" s="146">
        <v>0.0</v>
      </c>
      <c r="P1820" s="48">
        <f t="array" ref="P1820">IFNA(XLOOKUP(J1820,'⚙️ Pengaturan'!$E$2:$E3237,'⚙️ Pengaturan'!$F$2:$F3237),"")</f>
        <v>1800000</v>
      </c>
      <c r="Q1820" s="147">
        <f t="shared" si="42"/>
        <v>0</v>
      </c>
      <c r="R1820" s="41" t="s">
        <v>37</v>
      </c>
      <c r="S1820" s="69" t="s">
        <v>894</v>
      </c>
      <c r="T1820" s="51" t="b">
        <v>1</v>
      </c>
      <c r="U1820" s="94"/>
    </row>
    <row r="1821" ht="30.0" customHeight="1">
      <c r="A1821" s="39"/>
      <c r="B1821" s="40">
        <v>3858.0</v>
      </c>
      <c r="C1821" s="41" t="s">
        <v>79</v>
      </c>
      <c r="D1821" s="86">
        <v>46170.0</v>
      </c>
      <c r="E1821" s="43" t="str">
        <f t="shared" si="39"/>
        <v>2026</v>
      </c>
      <c r="F1821" s="43" t="str">
        <f t="shared" si="40"/>
        <v>05 Mei</v>
      </c>
      <c r="G1821" s="45" t="s">
        <v>195</v>
      </c>
      <c r="H1821" s="45" t="s">
        <v>26</v>
      </c>
      <c r="I1821" s="45" t="s">
        <v>1065</v>
      </c>
      <c r="J1821" s="143" t="s">
        <v>347</v>
      </c>
      <c r="K1821" s="43" t="str">
        <f t="array" ref="K1821">IF(J1821="","", XLOOKUP(J1821,'⚙️ Pengaturan'!$E$2:$E3237,'⚙️ Pengaturan'!$G$2:$G3237))</f>
        <v>KLINIK FT PAKET</v>
      </c>
      <c r="L1821" s="43" t="str">
        <f t="shared" si="3"/>
        <v>LANJUTAN</v>
      </c>
      <c r="M1821" s="144" t="s">
        <v>164</v>
      </c>
      <c r="N1821" s="145">
        <v>300000.0</v>
      </c>
      <c r="O1821" s="146">
        <v>1000000.0</v>
      </c>
      <c r="P1821" s="48">
        <f t="array" ref="P1821">IFNA(XLOOKUP(J1821,'⚙️ Pengaturan'!$E$2:$E3237,'⚙️ Pengaturan'!$F$2:$F3237),"")</f>
        <v>1300000</v>
      </c>
      <c r="Q1821" s="147">
        <f t="shared" si="42"/>
        <v>0</v>
      </c>
      <c r="R1821" s="41" t="s">
        <v>32</v>
      </c>
      <c r="S1821" s="69" t="s">
        <v>33</v>
      </c>
      <c r="T1821" s="51" t="b">
        <v>1</v>
      </c>
      <c r="U1821" s="94"/>
    </row>
    <row r="1822" ht="30.0" customHeight="1">
      <c r="A1822" s="39"/>
      <c r="B1822" s="161">
        <v>3859.0</v>
      </c>
      <c r="C1822" s="41" t="s">
        <v>79</v>
      </c>
      <c r="D1822" s="86">
        <v>46170.0</v>
      </c>
      <c r="E1822" s="43" t="str">
        <f t="shared" si="39"/>
        <v>2026</v>
      </c>
      <c r="F1822" s="43" t="str">
        <f t="shared" si="40"/>
        <v>05 Mei</v>
      </c>
      <c r="G1822" s="45" t="s">
        <v>195</v>
      </c>
      <c r="H1822" s="45" t="s">
        <v>166</v>
      </c>
      <c r="I1822" s="45" t="s">
        <v>1397</v>
      </c>
      <c r="J1822" s="143" t="s">
        <v>28</v>
      </c>
      <c r="K1822" s="43" t="str">
        <f t="array" ref="K1822">IF(J1822="","", XLOOKUP(J1822,'⚙️ Pengaturan'!$E$2:$E3237,'⚙️ Pengaturan'!$G$2:$G3237))</f>
        <v>KLINIK FT TA</v>
      </c>
      <c r="L1822" s="43" t="str">
        <f t="shared" si="3"/>
        <v>BARU</v>
      </c>
      <c r="M1822" s="144" t="s">
        <v>31</v>
      </c>
      <c r="N1822" s="145">
        <v>250000.0</v>
      </c>
      <c r="O1822" s="146">
        <v>0.0</v>
      </c>
      <c r="P1822" s="48">
        <v>250000.0</v>
      </c>
      <c r="Q1822" s="147">
        <v>0.0</v>
      </c>
      <c r="R1822" s="41" t="s">
        <v>32</v>
      </c>
      <c r="S1822" s="69" t="s">
        <v>33</v>
      </c>
      <c r="T1822" s="51" t="b">
        <v>1</v>
      </c>
      <c r="U1822" s="94" t="s">
        <v>1384</v>
      </c>
    </row>
    <row r="1823" ht="30.0" customHeight="1">
      <c r="A1823" s="39"/>
      <c r="B1823" s="40">
        <v>3860.0</v>
      </c>
      <c r="C1823" s="79" t="s">
        <v>79</v>
      </c>
      <c r="D1823" s="80">
        <v>46170.0</v>
      </c>
      <c r="E1823" s="43" t="str">
        <f t="shared" si="39"/>
        <v>2026</v>
      </c>
      <c r="F1823" s="43" t="str">
        <f t="shared" si="40"/>
        <v>05 Mei</v>
      </c>
      <c r="G1823" s="45" t="s">
        <v>206</v>
      </c>
      <c r="H1823" s="45" t="s">
        <v>26</v>
      </c>
      <c r="I1823" s="45" t="s">
        <v>1398</v>
      </c>
      <c r="J1823" s="143" t="s">
        <v>28</v>
      </c>
      <c r="K1823" s="43" t="str">
        <f t="array" ref="K1823">IF(J1823="","", XLOOKUP(J1823,'⚙️ Pengaturan'!$E$2:$E3237,'⚙️ Pengaturan'!$G$2:$G3237))</f>
        <v>KLINIK FT TA</v>
      </c>
      <c r="L1823" s="43" t="str">
        <f t="shared" si="3"/>
        <v>BARU</v>
      </c>
      <c r="M1823" s="144" t="s">
        <v>31</v>
      </c>
      <c r="N1823" s="145">
        <v>250000.0</v>
      </c>
      <c r="O1823" s="146">
        <v>0.0</v>
      </c>
      <c r="P1823" s="48">
        <v>250000.0</v>
      </c>
      <c r="Q1823" s="147">
        <v>0.0</v>
      </c>
      <c r="R1823" s="41" t="s">
        <v>32</v>
      </c>
      <c r="S1823" s="69" t="s">
        <v>33</v>
      </c>
      <c r="T1823" s="51" t="b">
        <v>1</v>
      </c>
      <c r="U1823" s="94"/>
    </row>
    <row r="1824" ht="30.0" customHeight="1">
      <c r="A1824" s="39"/>
      <c r="B1824" s="161">
        <v>3861.0</v>
      </c>
      <c r="C1824" s="79" t="s">
        <v>79</v>
      </c>
      <c r="D1824" s="80">
        <v>46170.0</v>
      </c>
      <c r="E1824" s="43" t="str">
        <f t="shared" si="39"/>
        <v>2026</v>
      </c>
      <c r="F1824" s="43" t="str">
        <f t="shared" si="40"/>
        <v>05 Mei</v>
      </c>
      <c r="G1824" s="45" t="s">
        <v>35</v>
      </c>
      <c r="H1824" s="45" t="s">
        <v>26</v>
      </c>
      <c r="I1824" s="45" t="s">
        <v>1399</v>
      </c>
      <c r="J1824" s="143" t="s">
        <v>28</v>
      </c>
      <c r="K1824" s="43" t="str">
        <f t="array" ref="K1824">IF(J1824="","", XLOOKUP(J1824,'⚙️ Pengaturan'!$E$2:$E3237,'⚙️ Pengaturan'!$G$2:$G3237))</f>
        <v>KLINIK FT TA</v>
      </c>
      <c r="L1824" s="43" t="str">
        <f t="shared" si="3"/>
        <v>BARU</v>
      </c>
      <c r="M1824" s="144" t="s">
        <v>31</v>
      </c>
      <c r="N1824" s="145">
        <v>250000.0</v>
      </c>
      <c r="O1824" s="146">
        <v>0.0</v>
      </c>
      <c r="P1824" s="48">
        <v>250000.0</v>
      </c>
      <c r="Q1824" s="147">
        <v>0.0</v>
      </c>
      <c r="R1824" s="41" t="s">
        <v>32</v>
      </c>
      <c r="S1824" s="69" t="s">
        <v>33</v>
      </c>
      <c r="T1824" s="51" t="b">
        <v>1</v>
      </c>
      <c r="U1824" s="94"/>
    </row>
    <row r="1825" ht="30.0" customHeight="1">
      <c r="A1825" s="39"/>
      <c r="B1825" s="40">
        <v>3862.0</v>
      </c>
      <c r="C1825" s="79" t="s">
        <v>79</v>
      </c>
      <c r="D1825" s="80">
        <v>46170.0</v>
      </c>
      <c r="E1825" s="43" t="str">
        <f t="shared" si="39"/>
        <v>2026</v>
      </c>
      <c r="F1825" s="43" t="str">
        <f t="shared" si="40"/>
        <v>05 Mei</v>
      </c>
      <c r="G1825" s="45" t="s">
        <v>69</v>
      </c>
      <c r="H1825" s="45" t="s">
        <v>96</v>
      </c>
      <c r="I1825" s="45" t="s">
        <v>1377</v>
      </c>
      <c r="J1825" s="143" t="s">
        <v>119</v>
      </c>
      <c r="K1825" s="43" t="str">
        <f t="array" ref="K1825">IF(J1825="","", XLOOKUP(J1825,'⚙️ Pengaturan'!$E$2:$E3237,'⚙️ Pengaturan'!$G$2:$G3237))</f>
        <v>KLINIK FT PAKET</v>
      </c>
      <c r="L1825" s="43" t="str">
        <f t="shared" si="3"/>
        <v>LANJUTAN</v>
      </c>
      <c r="M1825" s="144" t="s">
        <v>164</v>
      </c>
      <c r="N1825" s="145">
        <v>400000.0</v>
      </c>
      <c r="O1825" s="146">
        <v>350000.0</v>
      </c>
      <c r="P1825" s="48">
        <f t="array" ref="P1825">IFNA(XLOOKUP(J1825,'⚙️ Pengaturan'!$E$2:$E3237,'⚙️ Pengaturan'!$F$2:$F3237),"")</f>
        <v>750000</v>
      </c>
      <c r="Q1825" s="147">
        <f t="shared" ref="Q1825:Q1844" si="43">IF(I1825="","",(N1825+O1825)-P1825)</f>
        <v>0</v>
      </c>
      <c r="R1825" s="41" t="s">
        <v>37</v>
      </c>
      <c r="S1825" s="69" t="s">
        <v>1400</v>
      </c>
      <c r="T1825" s="51" t="b">
        <v>1</v>
      </c>
      <c r="U1825" s="94"/>
    </row>
    <row r="1826" ht="30.0" customHeight="1">
      <c r="A1826" s="39"/>
      <c r="B1826" s="161">
        <v>3863.0</v>
      </c>
      <c r="C1826" s="79" t="s">
        <v>79</v>
      </c>
      <c r="D1826" s="80">
        <v>46170.0</v>
      </c>
      <c r="E1826" s="43" t="str">
        <f t="shared" si="39"/>
        <v>2026</v>
      </c>
      <c r="F1826" s="43" t="str">
        <f t="shared" si="40"/>
        <v>05 Mei</v>
      </c>
      <c r="G1826" s="45" t="s">
        <v>25</v>
      </c>
      <c r="H1826" s="45" t="s">
        <v>166</v>
      </c>
      <c r="I1826" s="45" t="s">
        <v>1321</v>
      </c>
      <c r="J1826" s="143" t="s">
        <v>119</v>
      </c>
      <c r="K1826" s="43" t="str">
        <f t="array" ref="K1826">IF(J1826="","", XLOOKUP(J1826,'⚙️ Pengaturan'!$E$2:$E3237,'⚙️ Pengaturan'!$G$2:$G3237))</f>
        <v>KLINIK FT PAKET</v>
      </c>
      <c r="L1826" s="43" t="str">
        <f t="shared" si="3"/>
        <v>LANJUTAN</v>
      </c>
      <c r="M1826" s="144" t="s">
        <v>60</v>
      </c>
      <c r="N1826" s="145">
        <v>100000.0</v>
      </c>
      <c r="O1826" s="146">
        <v>150000.0</v>
      </c>
      <c r="P1826" s="48">
        <f t="array" ref="P1826">IFNA(XLOOKUP(J1826,'⚙️ Pengaturan'!$E$2:$E3237,'⚙️ Pengaturan'!$F$2:$F3237),"")</f>
        <v>750000</v>
      </c>
      <c r="Q1826" s="147">
        <f t="shared" si="43"/>
        <v>-500000</v>
      </c>
      <c r="R1826" s="41" t="s">
        <v>32</v>
      </c>
      <c r="S1826" s="69" t="s">
        <v>33</v>
      </c>
      <c r="T1826" s="51" t="b">
        <v>1</v>
      </c>
      <c r="U1826" s="94"/>
    </row>
    <row r="1827" ht="30.0" customHeight="1">
      <c r="A1827" s="39"/>
      <c r="B1827" s="40">
        <v>3864.0</v>
      </c>
      <c r="C1827" s="41" t="s">
        <v>39</v>
      </c>
      <c r="D1827" s="86">
        <v>46170.0</v>
      </c>
      <c r="E1827" s="43" t="str">
        <f t="shared" si="39"/>
        <v>2026</v>
      </c>
      <c r="F1827" s="43" t="str">
        <f t="shared" si="40"/>
        <v>05 Mei</v>
      </c>
      <c r="G1827" s="45" t="s">
        <v>40</v>
      </c>
      <c r="H1827" s="45" t="s">
        <v>41</v>
      </c>
      <c r="I1827" s="45" t="s">
        <v>1393</v>
      </c>
      <c r="J1827" s="143" t="s">
        <v>120</v>
      </c>
      <c r="K1827" s="43" t="str">
        <f t="array" ref="K1827">IF(J1827="","", XLOOKUP(J1827,'⚙️ Pengaturan'!$E$2:$E3237,'⚙️ Pengaturan'!$G$2:$G3237))</f>
        <v>KLINIK FT SESI</v>
      </c>
      <c r="L1827" s="43" t="str">
        <f t="shared" si="3"/>
        <v>BARU</v>
      </c>
      <c r="M1827" s="144" t="s">
        <v>31</v>
      </c>
      <c r="N1827" s="145">
        <v>180000.0</v>
      </c>
      <c r="O1827" s="146">
        <v>0.0</v>
      </c>
      <c r="P1827" s="48">
        <f t="array" ref="P1827">IFNA(XLOOKUP(J1827,'⚙️ Pengaturan'!$E$2:$E3237,'⚙️ Pengaturan'!$F$2:$F3237),"")</f>
        <v>180000</v>
      </c>
      <c r="Q1827" s="147">
        <f t="shared" si="43"/>
        <v>0</v>
      </c>
      <c r="R1827" s="41" t="s">
        <v>37</v>
      </c>
      <c r="S1827" s="69" t="s">
        <v>1393</v>
      </c>
      <c r="T1827" s="51" t="b">
        <v>1</v>
      </c>
      <c r="U1827" s="94"/>
    </row>
    <row r="1828" ht="30.0" customHeight="1">
      <c r="A1828" s="39"/>
      <c r="B1828" s="161">
        <v>3865.0</v>
      </c>
      <c r="C1828" s="41" t="s">
        <v>39</v>
      </c>
      <c r="D1828" s="86">
        <v>46170.0</v>
      </c>
      <c r="E1828" s="43" t="str">
        <f t="shared" si="39"/>
        <v>2026</v>
      </c>
      <c r="F1828" s="43" t="str">
        <f t="shared" si="40"/>
        <v>05 Mei</v>
      </c>
      <c r="G1828" s="45" t="s">
        <v>40</v>
      </c>
      <c r="H1828" s="45" t="s">
        <v>76</v>
      </c>
      <c r="I1828" s="45" t="s">
        <v>1401</v>
      </c>
      <c r="J1828" s="143" t="s">
        <v>28</v>
      </c>
      <c r="K1828" s="43" t="str">
        <f t="array" ref="K1828">IF(J1828="","", XLOOKUP(J1828,'⚙️ Pengaturan'!$E$2:$E3237,'⚙️ Pengaturan'!$G$2:$G3237))</f>
        <v>KLINIK FT TA</v>
      </c>
      <c r="L1828" s="43" t="str">
        <f t="shared" si="3"/>
        <v>BARU</v>
      </c>
      <c r="M1828" s="144" t="s">
        <v>31</v>
      </c>
      <c r="N1828" s="145">
        <v>250000.0</v>
      </c>
      <c r="O1828" s="146">
        <v>0.0</v>
      </c>
      <c r="P1828" s="48">
        <f t="array" ref="P1828">IFNA(XLOOKUP(J1828,'⚙️ Pengaturan'!$E$2:$E3237,'⚙️ Pengaturan'!$F$2:$F3237),"")</f>
        <v>250000</v>
      </c>
      <c r="Q1828" s="147">
        <f t="shared" si="43"/>
        <v>0</v>
      </c>
      <c r="R1828" s="41" t="s">
        <v>32</v>
      </c>
      <c r="S1828" s="69" t="s">
        <v>33</v>
      </c>
      <c r="T1828" s="51" t="b">
        <v>1</v>
      </c>
      <c r="U1828" s="94"/>
    </row>
    <row r="1829" ht="30.0" customHeight="1">
      <c r="A1829" s="39"/>
      <c r="B1829" s="40">
        <v>3866.0</v>
      </c>
      <c r="C1829" s="41" t="s">
        <v>39</v>
      </c>
      <c r="D1829" s="86">
        <v>46170.0</v>
      </c>
      <c r="E1829" s="43" t="str">
        <f t="shared" si="39"/>
        <v>2026</v>
      </c>
      <c r="F1829" s="43" t="str">
        <f t="shared" si="40"/>
        <v>05 Mei</v>
      </c>
      <c r="G1829" s="45" t="s">
        <v>173</v>
      </c>
      <c r="H1829" s="45" t="s">
        <v>26</v>
      </c>
      <c r="I1829" s="45" t="s">
        <v>1402</v>
      </c>
      <c r="J1829" s="143" t="s">
        <v>291</v>
      </c>
      <c r="K1829" s="43" t="str">
        <f t="array" ref="K1829">IF(J1829="","", XLOOKUP(J1829,'⚙️ Pengaturan'!$E$2:$E3237,'⚙️ Pengaturan'!$G$2:$G3237))</f>
        <v>VISIT FT TA</v>
      </c>
      <c r="L1829" s="43" t="str">
        <f t="shared" si="3"/>
        <v>BARU</v>
      </c>
      <c r="M1829" s="144" t="s">
        <v>31</v>
      </c>
      <c r="N1829" s="145">
        <v>350000.0</v>
      </c>
      <c r="O1829" s="146">
        <v>0.0</v>
      </c>
      <c r="P1829" s="48">
        <f t="array" ref="P1829">IFNA(XLOOKUP(J1829,'⚙️ Pengaturan'!$E$2:$E3237,'⚙️ Pengaturan'!$F$2:$F3237),"")</f>
        <v>350000</v>
      </c>
      <c r="Q1829" s="147">
        <f t="shared" si="43"/>
        <v>0</v>
      </c>
      <c r="R1829" s="41" t="s">
        <v>37</v>
      </c>
      <c r="S1829" s="69" t="s">
        <v>1402</v>
      </c>
      <c r="T1829" s="51" t="b">
        <v>1</v>
      </c>
      <c r="U1829" s="94"/>
    </row>
    <row r="1830" ht="30.0" customHeight="1">
      <c r="A1830" s="39"/>
      <c r="B1830" s="161">
        <v>3867.0</v>
      </c>
      <c r="C1830" s="41" t="s">
        <v>39</v>
      </c>
      <c r="D1830" s="86">
        <v>46170.0</v>
      </c>
      <c r="E1830" s="43" t="str">
        <f t="shared" si="39"/>
        <v>2026</v>
      </c>
      <c r="F1830" s="43" t="str">
        <f t="shared" si="40"/>
        <v>05 Mei</v>
      </c>
      <c r="G1830" s="45" t="s">
        <v>173</v>
      </c>
      <c r="H1830" s="45" t="s">
        <v>41</v>
      </c>
      <c r="I1830" s="45" t="s">
        <v>1403</v>
      </c>
      <c r="J1830" s="143" t="s">
        <v>28</v>
      </c>
      <c r="K1830" s="43" t="str">
        <f t="array" ref="K1830">IF(J1830="","", XLOOKUP(J1830,'⚙️ Pengaturan'!$E$2:$E3237,'⚙️ Pengaturan'!$G$2:$G3237))</f>
        <v>KLINIK FT TA</v>
      </c>
      <c r="L1830" s="43" t="str">
        <f t="shared" si="3"/>
        <v>BARU</v>
      </c>
      <c r="M1830" s="144" t="s">
        <v>31</v>
      </c>
      <c r="N1830" s="145">
        <v>250000.0</v>
      </c>
      <c r="O1830" s="146">
        <v>0.0</v>
      </c>
      <c r="P1830" s="48">
        <f t="array" ref="P1830">IFNA(XLOOKUP(J1830,'⚙️ Pengaturan'!$E$2:$E3237,'⚙️ Pengaturan'!$F$2:$F3237),"")</f>
        <v>250000</v>
      </c>
      <c r="Q1830" s="147">
        <f t="shared" si="43"/>
        <v>0</v>
      </c>
      <c r="R1830" s="41" t="s">
        <v>32</v>
      </c>
      <c r="S1830" s="69" t="s">
        <v>33</v>
      </c>
      <c r="T1830" s="51" t="b">
        <v>1</v>
      </c>
      <c r="U1830" s="94"/>
    </row>
    <row r="1831" ht="30.0" customHeight="1">
      <c r="A1831" s="39"/>
      <c r="B1831" s="40">
        <v>3868.0</v>
      </c>
      <c r="C1831" s="41" t="s">
        <v>50</v>
      </c>
      <c r="D1831" s="86">
        <v>46171.0</v>
      </c>
      <c r="E1831" s="43" t="str">
        <f t="shared" si="39"/>
        <v>2026</v>
      </c>
      <c r="F1831" s="43" t="str">
        <f t="shared" si="40"/>
        <v>05 Mei</v>
      </c>
      <c r="G1831" s="45" t="s">
        <v>195</v>
      </c>
      <c r="H1831" s="45" t="s">
        <v>41</v>
      </c>
      <c r="I1831" s="45" t="s">
        <v>1404</v>
      </c>
      <c r="J1831" s="143" t="s">
        <v>28</v>
      </c>
      <c r="K1831" s="43" t="str">
        <f t="array" ref="K1831">IF(J1831="","", XLOOKUP(J1831,'⚙️ Pengaturan'!$E$2:$E3237,'⚙️ Pengaturan'!$G$2:$G3237))</f>
        <v>KLINIK FT TA</v>
      </c>
      <c r="L1831" s="43" t="str">
        <f t="shared" si="3"/>
        <v>BARU</v>
      </c>
      <c r="M1831" s="144" t="s">
        <v>31</v>
      </c>
      <c r="N1831" s="145">
        <v>250000.0</v>
      </c>
      <c r="O1831" s="146">
        <v>0.0</v>
      </c>
      <c r="P1831" s="48">
        <f t="array" ref="P1831">IFNA(XLOOKUP(J1831,'⚙️ Pengaturan'!$E$2:$E3237,'⚙️ Pengaturan'!$F$2:$F3237),"")</f>
        <v>250000</v>
      </c>
      <c r="Q1831" s="147">
        <f t="shared" si="43"/>
        <v>0</v>
      </c>
      <c r="R1831" s="41" t="s">
        <v>37</v>
      </c>
      <c r="S1831" s="69" t="s">
        <v>1404</v>
      </c>
      <c r="T1831" s="51" t="b">
        <v>1</v>
      </c>
      <c r="U1831" s="94"/>
    </row>
    <row r="1832" ht="30.0" customHeight="1">
      <c r="A1832" s="39"/>
      <c r="B1832" s="161">
        <v>3869.0</v>
      </c>
      <c r="C1832" s="41" t="s">
        <v>50</v>
      </c>
      <c r="D1832" s="86">
        <v>46171.0</v>
      </c>
      <c r="E1832" s="43" t="str">
        <f t="shared" si="39"/>
        <v>2026</v>
      </c>
      <c r="F1832" s="43" t="str">
        <f t="shared" si="40"/>
        <v>05 Mei</v>
      </c>
      <c r="G1832" s="45" t="s">
        <v>25</v>
      </c>
      <c r="H1832" s="45" t="s">
        <v>103</v>
      </c>
      <c r="I1832" s="45" t="s">
        <v>1243</v>
      </c>
      <c r="J1832" s="143" t="s">
        <v>349</v>
      </c>
      <c r="K1832" s="43" t="str">
        <f t="array" ref="K1832">IF(J1832="","", XLOOKUP(J1832,'⚙️ Pengaturan'!$E$2:$E3237,'⚙️ Pengaturan'!$G$2:$G3237))</f>
        <v>KLINIK FT PAKET</v>
      </c>
      <c r="L1832" s="43" t="str">
        <f t="shared" si="3"/>
        <v>LANJUTAN</v>
      </c>
      <c r="M1832" s="144" t="s">
        <v>31</v>
      </c>
      <c r="N1832" s="145">
        <v>1920000.0</v>
      </c>
      <c r="O1832" s="146">
        <v>480000.0</v>
      </c>
      <c r="P1832" s="48">
        <f t="array" ref="P1832">IFNA(XLOOKUP(J1832,'⚙️ Pengaturan'!$E$2:$E3237,'⚙️ Pengaturan'!$F$2:$F3237),"")</f>
        <v>2400000</v>
      </c>
      <c r="Q1832" s="147">
        <f t="shared" si="43"/>
        <v>0</v>
      </c>
      <c r="R1832" s="41" t="s">
        <v>37</v>
      </c>
      <c r="S1832" s="69" t="s">
        <v>1392</v>
      </c>
      <c r="T1832" s="51" t="b">
        <v>1</v>
      </c>
      <c r="U1832" s="94"/>
    </row>
    <row r="1833" ht="30.0" customHeight="1">
      <c r="A1833" s="39"/>
      <c r="B1833" s="40">
        <v>3870.0</v>
      </c>
      <c r="C1833" s="41" t="s">
        <v>50</v>
      </c>
      <c r="D1833" s="86">
        <v>46171.0</v>
      </c>
      <c r="E1833" s="43" t="str">
        <f t="shared" si="39"/>
        <v>2026</v>
      </c>
      <c r="F1833" s="43" t="str">
        <f t="shared" si="40"/>
        <v>05 Mei</v>
      </c>
      <c r="G1833" s="45" t="s">
        <v>69</v>
      </c>
      <c r="H1833" s="45" t="s">
        <v>162</v>
      </c>
      <c r="I1833" s="45" t="s">
        <v>1405</v>
      </c>
      <c r="J1833" s="143" t="s">
        <v>291</v>
      </c>
      <c r="K1833" s="43" t="str">
        <f t="array" ref="K1833">IF(J1833="","", XLOOKUP(J1833,'⚙️ Pengaturan'!$E$2:$E3237,'⚙️ Pengaturan'!$G$2:$G3237))</f>
        <v>VISIT FT TA</v>
      </c>
      <c r="L1833" s="43" t="str">
        <f t="shared" si="3"/>
        <v>BARU</v>
      </c>
      <c r="M1833" s="144" t="s">
        <v>31</v>
      </c>
      <c r="N1833" s="145">
        <v>350000.0</v>
      </c>
      <c r="O1833" s="146">
        <v>0.0</v>
      </c>
      <c r="P1833" s="48">
        <f t="array" ref="P1833">IFNA(XLOOKUP(J1833,'⚙️ Pengaturan'!$E$2:$E3237,'⚙️ Pengaturan'!$F$2:$F3237),"")</f>
        <v>350000</v>
      </c>
      <c r="Q1833" s="147">
        <f t="shared" si="43"/>
        <v>0</v>
      </c>
      <c r="R1833" s="41" t="s">
        <v>37</v>
      </c>
      <c r="S1833" s="69" t="s">
        <v>1406</v>
      </c>
      <c r="T1833" s="51" t="b">
        <v>1</v>
      </c>
      <c r="U1833" s="94"/>
    </row>
    <row r="1834" ht="30.0" customHeight="1">
      <c r="A1834" s="39"/>
      <c r="B1834" s="161">
        <v>3871.0</v>
      </c>
      <c r="C1834" s="41" t="s">
        <v>50</v>
      </c>
      <c r="D1834" s="86">
        <v>46171.0</v>
      </c>
      <c r="E1834" s="43" t="str">
        <f t="shared" si="39"/>
        <v>2026</v>
      </c>
      <c r="F1834" s="43" t="str">
        <f t="shared" si="40"/>
        <v>05 Mei</v>
      </c>
      <c r="G1834" s="45" t="s">
        <v>206</v>
      </c>
      <c r="H1834" s="45" t="s">
        <v>150</v>
      </c>
      <c r="I1834" s="45" t="s">
        <v>1407</v>
      </c>
      <c r="J1834" s="143" t="s">
        <v>28</v>
      </c>
      <c r="K1834" s="43" t="str">
        <f t="array" ref="K1834">IF(J1834="","", XLOOKUP(J1834,'⚙️ Pengaturan'!$E$2:$E3237,'⚙️ Pengaturan'!$G$2:$G3237))</f>
        <v>KLINIK FT TA</v>
      </c>
      <c r="L1834" s="43" t="str">
        <f t="shared" si="3"/>
        <v>BARU</v>
      </c>
      <c r="M1834" s="144" t="s">
        <v>31</v>
      </c>
      <c r="N1834" s="145">
        <v>250000.0</v>
      </c>
      <c r="O1834" s="146">
        <v>0.0</v>
      </c>
      <c r="P1834" s="48">
        <f t="array" ref="P1834">IFNA(XLOOKUP(J1834,'⚙️ Pengaturan'!$E$2:$E3237,'⚙️ Pengaturan'!$F$2:$F3237),"")</f>
        <v>250000</v>
      </c>
      <c r="Q1834" s="147">
        <f t="shared" si="43"/>
        <v>0</v>
      </c>
      <c r="R1834" s="41" t="s">
        <v>37</v>
      </c>
      <c r="S1834" s="69" t="s">
        <v>1407</v>
      </c>
      <c r="T1834" s="51" t="b">
        <v>1</v>
      </c>
      <c r="U1834" s="94"/>
    </row>
    <row r="1835" ht="30.0" customHeight="1">
      <c r="A1835" s="39"/>
      <c r="B1835" s="40">
        <v>3872.0</v>
      </c>
      <c r="C1835" s="41" t="s">
        <v>50</v>
      </c>
      <c r="D1835" s="86">
        <v>46171.0</v>
      </c>
      <c r="E1835" s="43" t="str">
        <f t="shared" si="39"/>
        <v>2026</v>
      </c>
      <c r="F1835" s="43" t="str">
        <f t="shared" si="40"/>
        <v>05 Mei</v>
      </c>
      <c r="G1835" s="45" t="s">
        <v>161</v>
      </c>
      <c r="H1835" s="45" t="s">
        <v>103</v>
      </c>
      <c r="I1835" s="45" t="s">
        <v>620</v>
      </c>
      <c r="J1835" s="143" t="s">
        <v>120</v>
      </c>
      <c r="K1835" s="43" t="str">
        <f t="array" ref="K1835">IF(J1835="","", XLOOKUP(J1835,'⚙️ Pengaturan'!$E$2:$E3237,'⚙️ Pengaturan'!$G$2:$G3237))</f>
        <v>KLINIK FT SESI</v>
      </c>
      <c r="L1835" s="43" t="str">
        <f t="shared" si="3"/>
        <v>LANJUTAN</v>
      </c>
      <c r="M1835" s="144" t="s">
        <v>31</v>
      </c>
      <c r="N1835" s="145">
        <v>180000.0</v>
      </c>
      <c r="O1835" s="146">
        <v>0.0</v>
      </c>
      <c r="P1835" s="48">
        <f t="array" ref="P1835">IFNA(XLOOKUP(J1835,'⚙️ Pengaturan'!$E$2:$E3237,'⚙️ Pengaturan'!$F$2:$F3237),"")</f>
        <v>180000</v>
      </c>
      <c r="Q1835" s="147">
        <f t="shared" si="43"/>
        <v>0</v>
      </c>
      <c r="R1835" s="41" t="s">
        <v>32</v>
      </c>
      <c r="S1835" s="69" t="s">
        <v>33</v>
      </c>
      <c r="T1835" s="51" t="b">
        <v>1</v>
      </c>
      <c r="U1835" s="94"/>
    </row>
    <row r="1836" ht="30.0" customHeight="1">
      <c r="A1836" s="39"/>
      <c r="B1836" s="161">
        <v>3873.0</v>
      </c>
      <c r="C1836" s="41" t="s">
        <v>39</v>
      </c>
      <c r="D1836" s="86">
        <v>46171.0</v>
      </c>
      <c r="E1836" s="43" t="str">
        <f t="shared" si="39"/>
        <v>2026</v>
      </c>
      <c r="F1836" s="43" t="str">
        <f t="shared" si="40"/>
        <v>05 Mei</v>
      </c>
      <c r="G1836" s="45" t="s">
        <v>69</v>
      </c>
      <c r="H1836" s="45" t="s">
        <v>96</v>
      </c>
      <c r="I1836" s="45" t="s">
        <v>1408</v>
      </c>
      <c r="J1836" s="143" t="s">
        <v>291</v>
      </c>
      <c r="K1836" s="43" t="str">
        <f t="array" ref="K1836">IF(J1836="","", XLOOKUP(J1836,'⚙️ Pengaturan'!$E$2:$E3237,'⚙️ Pengaturan'!$G$2:$G3237))</f>
        <v>VISIT FT TA</v>
      </c>
      <c r="L1836" s="43" t="str">
        <f t="shared" si="3"/>
        <v>BARU</v>
      </c>
      <c r="M1836" s="144" t="s">
        <v>31</v>
      </c>
      <c r="N1836" s="145">
        <v>300000.0</v>
      </c>
      <c r="O1836" s="146">
        <v>50000.0</v>
      </c>
      <c r="P1836" s="48">
        <f t="array" ref="P1836">IFNA(XLOOKUP(J1836,'⚙️ Pengaturan'!$E$2:$E3237,'⚙️ Pengaturan'!$F$2:$F3237),"")</f>
        <v>350000</v>
      </c>
      <c r="Q1836" s="147">
        <f t="shared" si="43"/>
        <v>0</v>
      </c>
      <c r="R1836" s="41" t="s">
        <v>32</v>
      </c>
      <c r="S1836" s="69" t="s">
        <v>33</v>
      </c>
      <c r="T1836" s="51" t="b">
        <v>1</v>
      </c>
      <c r="U1836" s="94" t="s">
        <v>1409</v>
      </c>
    </row>
    <row r="1837" ht="30.0" customHeight="1">
      <c r="A1837" s="39"/>
      <c r="B1837" s="40">
        <v>3874.0</v>
      </c>
      <c r="C1837" s="41" t="s">
        <v>39</v>
      </c>
      <c r="D1837" s="86">
        <v>46171.0</v>
      </c>
      <c r="E1837" s="43" t="str">
        <f t="shared" si="39"/>
        <v>2026</v>
      </c>
      <c r="F1837" s="43" t="str">
        <f t="shared" si="40"/>
        <v>05 Mei</v>
      </c>
      <c r="G1837" s="45" t="s">
        <v>43</v>
      </c>
      <c r="H1837" s="45" t="s">
        <v>166</v>
      </c>
      <c r="I1837" s="45" t="s">
        <v>1410</v>
      </c>
      <c r="J1837" s="143" t="s">
        <v>28</v>
      </c>
      <c r="K1837" s="43" t="str">
        <f t="array" ref="K1837">IF(J1837="","", XLOOKUP(J1837,'⚙️ Pengaturan'!$E$2:$E3237,'⚙️ Pengaturan'!$G$2:$G3237))</f>
        <v>KLINIK FT TA</v>
      </c>
      <c r="L1837" s="43" t="str">
        <f t="shared" si="3"/>
        <v>BARU</v>
      </c>
      <c r="M1837" s="144" t="s">
        <v>31</v>
      </c>
      <c r="N1837" s="145">
        <v>250000.0</v>
      </c>
      <c r="O1837" s="146">
        <v>0.0</v>
      </c>
      <c r="P1837" s="48">
        <f t="array" ref="P1837">IFNA(XLOOKUP(J1837,'⚙️ Pengaturan'!$E$2:$E3237,'⚙️ Pengaturan'!$F$2:$F3237),"")</f>
        <v>250000</v>
      </c>
      <c r="Q1837" s="147">
        <f t="shared" si="43"/>
        <v>0</v>
      </c>
      <c r="R1837" s="41" t="s">
        <v>37</v>
      </c>
      <c r="S1837" s="69" t="s">
        <v>1410</v>
      </c>
      <c r="T1837" s="51" t="b">
        <v>1</v>
      </c>
      <c r="U1837" s="94"/>
    </row>
    <row r="1838" ht="30.0" customHeight="1">
      <c r="A1838" s="39"/>
      <c r="B1838" s="161">
        <v>3875.0</v>
      </c>
      <c r="C1838" s="41" t="s">
        <v>39</v>
      </c>
      <c r="D1838" s="86">
        <v>46171.0</v>
      </c>
      <c r="E1838" s="43" t="str">
        <f t="shared" si="39"/>
        <v>2026</v>
      </c>
      <c r="F1838" s="43" t="str">
        <f t="shared" si="40"/>
        <v>05 Mei</v>
      </c>
      <c r="G1838" s="45" t="s">
        <v>43</v>
      </c>
      <c r="H1838" s="45" t="s">
        <v>156</v>
      </c>
      <c r="I1838" s="45" t="s">
        <v>1411</v>
      </c>
      <c r="J1838" s="143" t="s">
        <v>28</v>
      </c>
      <c r="K1838" s="43" t="str">
        <f t="array" ref="K1838">IF(J1838="","", XLOOKUP(J1838,'⚙️ Pengaturan'!$E$2:$E3237,'⚙️ Pengaturan'!$G$2:$G3237))</f>
        <v>KLINIK FT TA</v>
      </c>
      <c r="L1838" s="43" t="str">
        <f t="shared" si="3"/>
        <v>BARU</v>
      </c>
      <c r="M1838" s="144" t="s">
        <v>31</v>
      </c>
      <c r="N1838" s="145">
        <v>250000.0</v>
      </c>
      <c r="O1838" s="146">
        <v>0.0</v>
      </c>
      <c r="P1838" s="48">
        <f t="array" ref="P1838">IFNA(XLOOKUP(J1838,'⚙️ Pengaturan'!$E$2:$E3237,'⚙️ Pengaturan'!$F$2:$F3237),"")</f>
        <v>250000</v>
      </c>
      <c r="Q1838" s="147">
        <f t="shared" si="43"/>
        <v>0</v>
      </c>
      <c r="R1838" s="41" t="s">
        <v>37</v>
      </c>
      <c r="S1838" s="69" t="s">
        <v>1411</v>
      </c>
      <c r="T1838" s="51" t="b">
        <v>1</v>
      </c>
      <c r="U1838" s="94"/>
    </row>
    <row r="1839" ht="30.0" customHeight="1">
      <c r="A1839" s="39"/>
      <c r="B1839" s="40">
        <v>3876.0</v>
      </c>
      <c r="C1839" s="41" t="s">
        <v>39</v>
      </c>
      <c r="D1839" s="86">
        <v>46171.0</v>
      </c>
      <c r="E1839" s="43" t="str">
        <f t="shared" si="39"/>
        <v>2026</v>
      </c>
      <c r="F1839" s="43" t="str">
        <f t="shared" si="40"/>
        <v>05 Mei</v>
      </c>
      <c r="G1839" s="45" t="s">
        <v>173</v>
      </c>
      <c r="H1839" s="45" t="s">
        <v>166</v>
      </c>
      <c r="I1839" s="45" t="s">
        <v>1412</v>
      </c>
      <c r="J1839" s="143" t="s">
        <v>28</v>
      </c>
      <c r="K1839" s="43" t="str">
        <f t="array" ref="K1839">IF(J1839="","", XLOOKUP(J1839,'⚙️ Pengaturan'!$E$2:$E3237,'⚙️ Pengaturan'!$G$2:$G3237))</f>
        <v>KLINIK FT TA</v>
      </c>
      <c r="L1839" s="43" t="str">
        <f t="shared" si="3"/>
        <v>BARU</v>
      </c>
      <c r="M1839" s="144" t="s">
        <v>31</v>
      </c>
      <c r="N1839" s="145">
        <v>250000.0</v>
      </c>
      <c r="O1839" s="146">
        <v>0.0</v>
      </c>
      <c r="P1839" s="48">
        <f t="array" ref="P1839">IFNA(XLOOKUP(J1839,'⚙️ Pengaturan'!$E$2:$E3237,'⚙️ Pengaturan'!$F$2:$F3237),"")</f>
        <v>250000</v>
      </c>
      <c r="Q1839" s="147">
        <f t="shared" si="43"/>
        <v>0</v>
      </c>
      <c r="R1839" s="41" t="s">
        <v>37</v>
      </c>
      <c r="S1839" s="69" t="s">
        <v>1412</v>
      </c>
      <c r="T1839" s="51" t="b">
        <v>1</v>
      </c>
      <c r="U1839" s="94"/>
    </row>
    <row r="1840" ht="30.0" customHeight="1">
      <c r="A1840" s="39"/>
      <c r="B1840" s="161">
        <v>3877.0</v>
      </c>
      <c r="C1840" s="41" t="s">
        <v>39</v>
      </c>
      <c r="D1840" s="86">
        <v>46171.0</v>
      </c>
      <c r="E1840" s="43" t="str">
        <f t="shared" si="39"/>
        <v>2026</v>
      </c>
      <c r="F1840" s="43" t="str">
        <f t="shared" si="40"/>
        <v>05 Mei</v>
      </c>
      <c r="G1840" s="45" t="s">
        <v>173</v>
      </c>
      <c r="H1840" s="45" t="s">
        <v>156</v>
      </c>
      <c r="I1840" s="45" t="s">
        <v>1413</v>
      </c>
      <c r="J1840" s="143" t="s">
        <v>28</v>
      </c>
      <c r="K1840" s="43" t="str">
        <f t="array" ref="K1840">IF(J1840="","", XLOOKUP(J1840,'⚙️ Pengaturan'!$E$2:$E3237,'⚙️ Pengaturan'!$G$2:$G3237))</f>
        <v>KLINIK FT TA</v>
      </c>
      <c r="L1840" s="43" t="str">
        <f t="shared" si="3"/>
        <v>BARU</v>
      </c>
      <c r="M1840" s="144" t="s">
        <v>31</v>
      </c>
      <c r="N1840" s="145">
        <v>250000.0</v>
      </c>
      <c r="O1840" s="146">
        <v>0.0</v>
      </c>
      <c r="P1840" s="48">
        <f t="array" ref="P1840">IFNA(XLOOKUP(J1840,'⚙️ Pengaturan'!$E$2:$E3237,'⚙️ Pengaturan'!$F$2:$F3237),"")</f>
        <v>250000</v>
      </c>
      <c r="Q1840" s="147">
        <f t="shared" si="43"/>
        <v>0</v>
      </c>
      <c r="R1840" s="41" t="s">
        <v>37</v>
      </c>
      <c r="S1840" s="69" t="s">
        <v>1413</v>
      </c>
      <c r="T1840" s="51" t="b">
        <v>1</v>
      </c>
      <c r="U1840" s="94"/>
    </row>
    <row r="1841" ht="30.0" customHeight="1">
      <c r="A1841" s="39"/>
      <c r="B1841" s="40">
        <v>3878.0</v>
      </c>
      <c r="C1841" s="41" t="s">
        <v>39</v>
      </c>
      <c r="D1841" s="86">
        <v>46171.0</v>
      </c>
      <c r="E1841" s="43" t="str">
        <f t="shared" si="39"/>
        <v>2026</v>
      </c>
      <c r="F1841" s="43" t="str">
        <f t="shared" si="40"/>
        <v>05 Mei</v>
      </c>
      <c r="G1841" s="45" t="s">
        <v>69</v>
      </c>
      <c r="H1841" s="45" t="s">
        <v>162</v>
      </c>
      <c r="I1841" s="45" t="s">
        <v>1414</v>
      </c>
      <c r="J1841" s="143" t="s">
        <v>291</v>
      </c>
      <c r="K1841" s="43" t="str">
        <f t="array" ref="K1841">IF(J1841="","", XLOOKUP(J1841,'⚙️ Pengaturan'!$E$2:$E3237,'⚙️ Pengaturan'!$G$2:$G3237))</f>
        <v>VISIT FT TA</v>
      </c>
      <c r="L1841" s="43" t="str">
        <f t="shared" si="3"/>
        <v>BARU</v>
      </c>
      <c r="M1841" s="144" t="s">
        <v>31</v>
      </c>
      <c r="N1841" s="145">
        <v>350000.0</v>
      </c>
      <c r="O1841" s="146">
        <v>0.0</v>
      </c>
      <c r="P1841" s="48">
        <f t="array" ref="P1841">IFNA(XLOOKUP(J1841,'⚙️ Pengaturan'!$E$2:$E3237,'⚙️ Pengaturan'!$F$2:$F3237),"")</f>
        <v>350000</v>
      </c>
      <c r="Q1841" s="147">
        <f t="shared" si="43"/>
        <v>0</v>
      </c>
      <c r="R1841" s="41" t="s">
        <v>32</v>
      </c>
      <c r="S1841" s="69" t="s">
        <v>33</v>
      </c>
      <c r="T1841" s="51" t="b">
        <v>1</v>
      </c>
      <c r="U1841" s="94"/>
    </row>
    <row r="1842" ht="30.0" customHeight="1">
      <c r="A1842" s="39"/>
      <c r="B1842" s="161">
        <v>3879.0</v>
      </c>
      <c r="C1842" s="41" t="s">
        <v>39</v>
      </c>
      <c r="D1842" s="86">
        <v>46171.0</v>
      </c>
      <c r="E1842" s="43" t="str">
        <f t="shared" si="39"/>
        <v>2026</v>
      </c>
      <c r="F1842" s="43" t="str">
        <f t="shared" si="40"/>
        <v>05 Mei</v>
      </c>
      <c r="G1842" s="45" t="s">
        <v>46</v>
      </c>
      <c r="H1842" s="45" t="s">
        <v>166</v>
      </c>
      <c r="I1842" s="45" t="s">
        <v>1383</v>
      </c>
      <c r="J1842" s="143" t="s">
        <v>120</v>
      </c>
      <c r="K1842" s="43" t="str">
        <f t="array" ref="K1842">IF(J1842="","", XLOOKUP(J1842,'⚙️ Pengaturan'!$E$2:$E3237,'⚙️ Pengaturan'!$G$2:$G3237))</f>
        <v>KLINIK FT SESI</v>
      </c>
      <c r="L1842" s="43" t="str">
        <f t="shared" si="3"/>
        <v>LANJUTAN</v>
      </c>
      <c r="M1842" s="144" t="s">
        <v>31</v>
      </c>
      <c r="N1842" s="145">
        <v>180000.0</v>
      </c>
      <c r="O1842" s="146">
        <v>0.0</v>
      </c>
      <c r="P1842" s="48">
        <f t="array" ref="P1842">IFNA(XLOOKUP(J1842,'⚙️ Pengaturan'!$E$2:$E3237,'⚙️ Pengaturan'!$F$2:$F3237),"")</f>
        <v>180000</v>
      </c>
      <c r="Q1842" s="147">
        <f t="shared" si="43"/>
        <v>0</v>
      </c>
      <c r="R1842" s="41" t="s">
        <v>37</v>
      </c>
      <c r="S1842" s="69" t="s">
        <v>1384</v>
      </c>
      <c r="T1842" s="51" t="b">
        <v>1</v>
      </c>
      <c r="U1842" s="94"/>
    </row>
    <row r="1843" ht="30.0" customHeight="1">
      <c r="A1843" s="39"/>
      <c r="B1843" s="40">
        <v>3880.0</v>
      </c>
      <c r="C1843" s="41" t="s">
        <v>39</v>
      </c>
      <c r="D1843" s="86">
        <v>46171.0</v>
      </c>
      <c r="E1843" s="43" t="str">
        <f t="shared" si="39"/>
        <v>2026</v>
      </c>
      <c r="F1843" s="43" t="str">
        <f t="shared" si="40"/>
        <v>05 Mei</v>
      </c>
      <c r="G1843" s="45" t="s">
        <v>190</v>
      </c>
      <c r="H1843" s="45" t="s">
        <v>166</v>
      </c>
      <c r="I1843" s="45" t="s">
        <v>1351</v>
      </c>
      <c r="J1843" s="143" t="s">
        <v>120</v>
      </c>
      <c r="K1843" s="43" t="str">
        <f t="array" ref="K1843">IF(J1843="","", XLOOKUP(J1843,'⚙️ Pengaturan'!$E$2:$E3237,'⚙️ Pengaturan'!$G$2:$G3237))</f>
        <v>KLINIK FT SESI</v>
      </c>
      <c r="L1843" s="43" t="str">
        <f t="shared" si="3"/>
        <v>LANJUTAN</v>
      </c>
      <c r="M1843" s="144" t="s">
        <v>31</v>
      </c>
      <c r="N1843" s="145">
        <v>180000.0</v>
      </c>
      <c r="O1843" s="146">
        <v>0.0</v>
      </c>
      <c r="P1843" s="48">
        <f t="array" ref="P1843">IFNA(XLOOKUP(J1843,'⚙️ Pengaturan'!$E$2:$E3237,'⚙️ Pengaturan'!$F$2:$F3237),"")</f>
        <v>180000</v>
      </c>
      <c r="Q1843" s="147">
        <f t="shared" si="43"/>
        <v>0</v>
      </c>
      <c r="R1843" s="41" t="s">
        <v>32</v>
      </c>
      <c r="S1843" s="69" t="s">
        <v>33</v>
      </c>
      <c r="T1843" s="51" t="b">
        <v>1</v>
      </c>
      <c r="U1843" s="94"/>
    </row>
    <row r="1844" ht="30.0" customHeight="1">
      <c r="A1844" s="39"/>
      <c r="B1844" s="161">
        <v>3881.0</v>
      </c>
      <c r="C1844" s="41" t="s">
        <v>79</v>
      </c>
      <c r="D1844" s="86">
        <v>46172.0</v>
      </c>
      <c r="E1844" s="43" t="str">
        <f t="shared" si="39"/>
        <v>2026</v>
      </c>
      <c r="F1844" s="43" t="str">
        <f t="shared" si="40"/>
        <v>05 Mei</v>
      </c>
      <c r="G1844" s="45" t="s">
        <v>195</v>
      </c>
      <c r="H1844" s="45" t="s">
        <v>96</v>
      </c>
      <c r="I1844" s="45" t="s">
        <v>798</v>
      </c>
      <c r="J1844" s="143" t="s">
        <v>347</v>
      </c>
      <c r="K1844" s="43" t="str">
        <f t="array" ref="K1844">IF(J1844="","", XLOOKUP(J1844,'⚙️ Pengaturan'!$E$2:$E3237,'⚙️ Pengaturan'!$G$2:$G3237))</f>
        <v>KLINIK FT PAKET</v>
      </c>
      <c r="L1844" s="43" t="str">
        <f t="shared" si="3"/>
        <v>BARU</v>
      </c>
      <c r="M1844" s="144" t="s">
        <v>31</v>
      </c>
      <c r="N1844" s="145">
        <v>960000.0</v>
      </c>
      <c r="O1844" s="146">
        <v>340000.0</v>
      </c>
      <c r="P1844" s="48">
        <f t="array" ref="P1844">IFNA(XLOOKUP(J1844,'⚙️ Pengaturan'!$E$2:$E3237,'⚙️ Pengaturan'!$F$2:$F3237),"")</f>
        <v>1300000</v>
      </c>
      <c r="Q1844" s="147">
        <f t="shared" si="43"/>
        <v>0</v>
      </c>
      <c r="R1844" s="41" t="s">
        <v>37</v>
      </c>
      <c r="S1844" s="69" t="s">
        <v>798</v>
      </c>
      <c r="T1844" s="51" t="b">
        <v>1</v>
      </c>
      <c r="U1844" s="94"/>
    </row>
    <row r="1845" ht="30.0" customHeight="1">
      <c r="A1845" s="39"/>
      <c r="B1845" s="40">
        <v>3882.0</v>
      </c>
      <c r="C1845" s="41" t="s">
        <v>79</v>
      </c>
      <c r="D1845" s="86">
        <v>46172.0</v>
      </c>
      <c r="E1845" s="43" t="str">
        <f t="shared" si="39"/>
        <v>2026</v>
      </c>
      <c r="F1845" s="43" t="str">
        <f t="shared" si="40"/>
        <v>05 Mei</v>
      </c>
      <c r="G1845" s="45" t="s">
        <v>161</v>
      </c>
      <c r="H1845" s="45" t="s">
        <v>96</v>
      </c>
      <c r="I1845" s="45" t="s">
        <v>1415</v>
      </c>
      <c r="J1845" s="143" t="s">
        <v>28</v>
      </c>
      <c r="K1845" s="43" t="str">
        <f t="array" ref="K1845">IF(J1845="","", XLOOKUP(J1845,'⚙️ Pengaturan'!$E$2:$E3237,'⚙️ Pengaturan'!$G$2:$G3237))</f>
        <v>KLINIK FT TA</v>
      </c>
      <c r="L1845" s="43" t="str">
        <f t="shared" si="3"/>
        <v>BARU</v>
      </c>
      <c r="M1845" s="144" t="s">
        <v>31</v>
      </c>
      <c r="N1845" s="145">
        <v>250000.0</v>
      </c>
      <c r="O1845" s="146">
        <v>0.0</v>
      </c>
      <c r="P1845" s="48">
        <v>250000.0</v>
      </c>
      <c r="Q1845" s="147">
        <v>0.0</v>
      </c>
      <c r="R1845" s="41" t="s">
        <v>37</v>
      </c>
      <c r="S1845" s="69" t="s">
        <v>1416</v>
      </c>
      <c r="T1845" s="51" t="b">
        <v>1</v>
      </c>
      <c r="U1845" s="94"/>
    </row>
    <row r="1846" ht="30.0" customHeight="1">
      <c r="A1846" s="39"/>
      <c r="B1846" s="161">
        <v>3883.0</v>
      </c>
      <c r="C1846" s="41" t="s">
        <v>79</v>
      </c>
      <c r="D1846" s="86">
        <v>46172.0</v>
      </c>
      <c r="E1846" s="43" t="str">
        <f t="shared" si="39"/>
        <v>2026</v>
      </c>
      <c r="F1846" s="43" t="str">
        <f t="shared" si="40"/>
        <v>05 Mei</v>
      </c>
      <c r="G1846" s="45" t="s">
        <v>161</v>
      </c>
      <c r="H1846" s="45" t="s">
        <v>103</v>
      </c>
      <c r="I1846" s="45" t="s">
        <v>1417</v>
      </c>
      <c r="J1846" s="158" t="s">
        <v>28</v>
      </c>
      <c r="K1846" s="43" t="str">
        <f t="array" ref="K1846">IF(J1846="","", XLOOKUP(J1846,'⚙️ Pengaturan'!$E$2:$E3237,'⚙️ Pengaturan'!$G$2:$G3237))</f>
        <v>KLINIK FT TA</v>
      </c>
      <c r="L1846" s="43" t="str">
        <f t="shared" si="3"/>
        <v>BARU</v>
      </c>
      <c r="M1846" s="159" t="s">
        <v>31</v>
      </c>
      <c r="N1846" s="149">
        <v>250000.0</v>
      </c>
      <c r="O1846" s="150">
        <v>0.0</v>
      </c>
      <c r="P1846" s="151">
        <v>250000.0</v>
      </c>
      <c r="Q1846" s="147">
        <v>0.0</v>
      </c>
      <c r="R1846" s="41" t="s">
        <v>118</v>
      </c>
      <c r="S1846" s="69" t="s">
        <v>1417</v>
      </c>
      <c r="T1846" s="51" t="b">
        <v>1</v>
      </c>
      <c r="U1846" s="94"/>
    </row>
    <row r="1847" ht="30.0" customHeight="1">
      <c r="A1847" s="39"/>
      <c r="B1847" s="40">
        <v>3884.0</v>
      </c>
      <c r="C1847" s="41" t="s">
        <v>79</v>
      </c>
      <c r="D1847" s="86">
        <v>46172.0</v>
      </c>
      <c r="E1847" s="43" t="str">
        <f t="shared" si="39"/>
        <v>2026</v>
      </c>
      <c r="F1847" s="43" t="str">
        <f t="shared" si="40"/>
        <v>05 Mei</v>
      </c>
      <c r="G1847" s="45" t="s">
        <v>161</v>
      </c>
      <c r="H1847" s="45" t="s">
        <v>103</v>
      </c>
      <c r="I1847" s="45" t="s">
        <v>1417</v>
      </c>
      <c r="J1847" s="143" t="s">
        <v>349</v>
      </c>
      <c r="K1847" s="43" t="str">
        <f t="array" ref="K1847">IF(J1847="","", XLOOKUP(J1847,'⚙️ Pengaturan'!$E$2:$E3237,'⚙️ Pengaturan'!$G$2:$G3237))</f>
        <v>KLINIK FT PAKET</v>
      </c>
      <c r="L1847" s="43" t="str">
        <f t="shared" si="3"/>
        <v>BARU</v>
      </c>
      <c r="M1847" s="144" t="s">
        <v>60</v>
      </c>
      <c r="N1847" s="145">
        <v>1000000.0</v>
      </c>
      <c r="O1847" s="146">
        <v>0.0</v>
      </c>
      <c r="P1847" s="48">
        <f t="array" ref="P1847">IFNA(XLOOKUP(J1847,'⚙️ Pengaturan'!$E$2:$E3237,'⚙️ Pengaturan'!$F$2:$F3237),"")</f>
        <v>2400000</v>
      </c>
      <c r="Q1847" s="147">
        <f t="shared" ref="Q1847:Q1863" si="44">IF(I1847="","",(N1847+O1847)-P1847)</f>
        <v>-1400000</v>
      </c>
      <c r="R1847" s="41" t="s">
        <v>118</v>
      </c>
      <c r="S1847" s="69" t="s">
        <v>1417</v>
      </c>
      <c r="T1847" s="51" t="b">
        <v>1</v>
      </c>
      <c r="U1847" s="94"/>
    </row>
    <row r="1848" ht="30.0" customHeight="1">
      <c r="A1848" s="39"/>
      <c r="B1848" s="161">
        <v>3885.0</v>
      </c>
      <c r="C1848" s="41" t="s">
        <v>50</v>
      </c>
      <c r="D1848" s="86">
        <v>46172.0</v>
      </c>
      <c r="E1848" s="43" t="str">
        <f t="shared" si="39"/>
        <v>2026</v>
      </c>
      <c r="F1848" s="43" t="str">
        <f t="shared" si="40"/>
        <v>05 Mei</v>
      </c>
      <c r="G1848" s="45" t="s">
        <v>40</v>
      </c>
      <c r="H1848" s="45" t="s">
        <v>26</v>
      </c>
      <c r="I1848" s="45" t="s">
        <v>1418</v>
      </c>
      <c r="J1848" s="143" t="s">
        <v>28</v>
      </c>
      <c r="K1848" s="43" t="str">
        <f t="array" ref="K1848">IF(J1848="","", XLOOKUP(J1848,'⚙️ Pengaturan'!$E$2:$E3237,'⚙️ Pengaturan'!$G$2:$G3237))</f>
        <v>KLINIK FT TA</v>
      </c>
      <c r="L1848" s="43" t="str">
        <f t="shared" si="3"/>
        <v>BARU</v>
      </c>
      <c r="M1848" s="144" t="s">
        <v>31</v>
      </c>
      <c r="N1848" s="145">
        <v>250000.0</v>
      </c>
      <c r="O1848" s="146">
        <v>0.0</v>
      </c>
      <c r="P1848" s="48">
        <f t="array" ref="P1848">IFNA(XLOOKUP(J1848,'⚙️ Pengaturan'!$E$2:$E3237,'⚙️ Pengaturan'!$F$2:$F3237),"")</f>
        <v>250000</v>
      </c>
      <c r="Q1848" s="147">
        <f t="shared" si="44"/>
        <v>0</v>
      </c>
      <c r="R1848" s="41" t="s">
        <v>37</v>
      </c>
      <c r="S1848" s="69" t="s">
        <v>1418</v>
      </c>
      <c r="T1848" s="51" t="b">
        <v>1</v>
      </c>
      <c r="U1848" s="94"/>
    </row>
    <row r="1849" ht="30.0" customHeight="1">
      <c r="A1849" s="39"/>
      <c r="B1849" s="40">
        <v>3886.0</v>
      </c>
      <c r="C1849" s="41" t="s">
        <v>50</v>
      </c>
      <c r="D1849" s="86">
        <v>46172.0</v>
      </c>
      <c r="E1849" s="43" t="str">
        <f t="shared" si="39"/>
        <v>2026</v>
      </c>
      <c r="F1849" s="43" t="str">
        <f t="shared" si="40"/>
        <v>05 Mei</v>
      </c>
      <c r="G1849" s="45" t="s">
        <v>43</v>
      </c>
      <c r="H1849" s="45" t="s">
        <v>162</v>
      </c>
      <c r="I1849" s="45" t="s">
        <v>1419</v>
      </c>
      <c r="J1849" s="143" t="s">
        <v>28</v>
      </c>
      <c r="K1849" s="43" t="str">
        <f t="array" ref="K1849">IF(J1849="","", XLOOKUP(J1849,'⚙️ Pengaturan'!$E$2:$E3237,'⚙️ Pengaturan'!$G$2:$G3237))</f>
        <v>KLINIK FT TA</v>
      </c>
      <c r="L1849" s="43" t="str">
        <f t="shared" si="3"/>
        <v>BARU</v>
      </c>
      <c r="M1849" s="144" t="s">
        <v>31</v>
      </c>
      <c r="N1849" s="145">
        <v>250000.0</v>
      </c>
      <c r="O1849" s="146">
        <v>0.0</v>
      </c>
      <c r="P1849" s="48">
        <f t="array" ref="P1849">IFNA(XLOOKUP(J1849,'⚙️ Pengaturan'!$E$2:$E3237,'⚙️ Pengaturan'!$F$2:$F3237),"")</f>
        <v>250000</v>
      </c>
      <c r="Q1849" s="147">
        <f t="shared" si="44"/>
        <v>0</v>
      </c>
      <c r="R1849" s="41" t="s">
        <v>32</v>
      </c>
      <c r="S1849" s="69" t="s">
        <v>33</v>
      </c>
      <c r="T1849" s="51" t="b">
        <v>1</v>
      </c>
      <c r="U1849" s="94"/>
    </row>
    <row r="1850" ht="30.0" customHeight="1">
      <c r="A1850" s="39"/>
      <c r="B1850" s="161">
        <v>3887.0</v>
      </c>
      <c r="C1850" s="41" t="s">
        <v>50</v>
      </c>
      <c r="D1850" s="86">
        <v>46172.0</v>
      </c>
      <c r="E1850" s="43" t="str">
        <f t="shared" si="39"/>
        <v>2026</v>
      </c>
      <c r="F1850" s="43" t="str">
        <f t="shared" si="40"/>
        <v>05 Mei</v>
      </c>
      <c r="G1850" s="45" t="s">
        <v>69</v>
      </c>
      <c r="H1850" s="45" t="s">
        <v>166</v>
      </c>
      <c r="I1850" s="45" t="s">
        <v>1420</v>
      </c>
      <c r="J1850" s="143" t="s">
        <v>121</v>
      </c>
      <c r="K1850" s="43" t="str">
        <f t="array" ref="K1850">IF(J1850="","", XLOOKUP(J1850,'⚙️ Pengaturan'!$E$2:$E3237,'⚙️ Pengaturan'!$G$2:$G3237))</f>
        <v>VISIT FT TA</v>
      </c>
      <c r="L1850" s="43" t="str">
        <f t="shared" si="3"/>
        <v>BARU</v>
      </c>
      <c r="M1850" s="144" t="s">
        <v>31</v>
      </c>
      <c r="N1850" s="145">
        <v>300000.0</v>
      </c>
      <c r="O1850" s="146">
        <v>0.0</v>
      </c>
      <c r="P1850" s="48">
        <f t="array" ref="P1850">IFNA(XLOOKUP(J1850,'⚙️ Pengaturan'!$E$2:$E3237,'⚙️ Pengaturan'!$F$2:$F3237),"")</f>
        <v>300000</v>
      </c>
      <c r="Q1850" s="147">
        <f t="shared" si="44"/>
        <v>0</v>
      </c>
      <c r="R1850" s="41" t="s">
        <v>32</v>
      </c>
      <c r="S1850" s="69" t="s">
        <v>33</v>
      </c>
      <c r="T1850" s="51" t="b">
        <v>1</v>
      </c>
      <c r="U1850" s="94"/>
    </row>
    <row r="1851" ht="30.0" customHeight="1">
      <c r="A1851" s="39"/>
      <c r="B1851" s="40">
        <v>3888.0</v>
      </c>
      <c r="C1851" s="41" t="s">
        <v>50</v>
      </c>
      <c r="D1851" s="86">
        <v>46172.0</v>
      </c>
      <c r="E1851" s="43" t="str">
        <f t="shared" si="39"/>
        <v>2026</v>
      </c>
      <c r="F1851" s="43" t="str">
        <f t="shared" si="40"/>
        <v>05 Mei</v>
      </c>
      <c r="G1851" s="45" t="s">
        <v>173</v>
      </c>
      <c r="H1851" s="45" t="s">
        <v>26</v>
      </c>
      <c r="I1851" s="45" t="s">
        <v>1421</v>
      </c>
      <c r="J1851" s="143" t="s">
        <v>28</v>
      </c>
      <c r="K1851" s="43" t="str">
        <f t="array" ref="K1851">IF(J1851="","", XLOOKUP(J1851,'⚙️ Pengaturan'!$E$2:$E3237,'⚙️ Pengaturan'!$G$2:$G3237))</f>
        <v>KLINIK FT TA</v>
      </c>
      <c r="L1851" s="43" t="str">
        <f t="shared" si="3"/>
        <v>BARU</v>
      </c>
      <c r="M1851" s="144" t="s">
        <v>31</v>
      </c>
      <c r="N1851" s="145">
        <v>250000.0</v>
      </c>
      <c r="O1851" s="146">
        <v>0.0</v>
      </c>
      <c r="P1851" s="48">
        <f t="array" ref="P1851">IFNA(XLOOKUP(J1851,'⚙️ Pengaturan'!$E$2:$E3237,'⚙️ Pengaturan'!$F$2:$F3237),"")</f>
        <v>250000</v>
      </c>
      <c r="Q1851" s="147">
        <f t="shared" si="44"/>
        <v>0</v>
      </c>
      <c r="R1851" s="41" t="s">
        <v>37</v>
      </c>
      <c r="S1851" s="69" t="s">
        <v>1421</v>
      </c>
      <c r="T1851" s="51" t="b">
        <v>1</v>
      </c>
      <c r="U1851" s="94"/>
    </row>
    <row r="1852" ht="30.0" customHeight="1">
      <c r="A1852" s="39"/>
      <c r="B1852" s="161">
        <v>3889.0</v>
      </c>
      <c r="C1852" s="41" t="s">
        <v>50</v>
      </c>
      <c r="D1852" s="86">
        <v>46172.0</v>
      </c>
      <c r="E1852" s="43" t="str">
        <f t="shared" si="39"/>
        <v>2026</v>
      </c>
      <c r="F1852" s="43" t="str">
        <f t="shared" si="40"/>
        <v>05 Mei</v>
      </c>
      <c r="G1852" s="45" t="s">
        <v>173</v>
      </c>
      <c r="H1852" s="45" t="s">
        <v>162</v>
      </c>
      <c r="I1852" s="45" t="s">
        <v>1411</v>
      </c>
      <c r="J1852" s="143" t="s">
        <v>120</v>
      </c>
      <c r="K1852" s="43" t="str">
        <f t="array" ref="K1852">IF(J1852="","", XLOOKUP(J1852,'⚙️ Pengaturan'!$E$2:$E3237,'⚙️ Pengaturan'!$G$2:$G3237))</f>
        <v>KLINIK FT SESI</v>
      </c>
      <c r="L1852" s="43" t="str">
        <f t="shared" si="3"/>
        <v>BARU</v>
      </c>
      <c r="M1852" s="144" t="s">
        <v>31</v>
      </c>
      <c r="N1852" s="145">
        <v>180000.0</v>
      </c>
      <c r="O1852" s="146">
        <v>0.0</v>
      </c>
      <c r="P1852" s="48">
        <f t="array" ref="P1852">IFNA(XLOOKUP(J1852,'⚙️ Pengaturan'!$E$2:$E3237,'⚙️ Pengaturan'!$F$2:$F3237),"")</f>
        <v>180000</v>
      </c>
      <c r="Q1852" s="147">
        <f t="shared" si="44"/>
        <v>0</v>
      </c>
      <c r="R1852" s="41" t="s">
        <v>37</v>
      </c>
      <c r="S1852" s="69" t="s">
        <v>1411</v>
      </c>
      <c r="T1852" s="51" t="b">
        <v>1</v>
      </c>
      <c r="U1852" s="94"/>
    </row>
    <row r="1853" ht="30.0" customHeight="1">
      <c r="A1853" s="39"/>
      <c r="B1853" s="40">
        <v>3890.0</v>
      </c>
      <c r="C1853" s="41" t="s">
        <v>50</v>
      </c>
      <c r="D1853" s="86">
        <v>46172.0</v>
      </c>
      <c r="E1853" s="43" t="str">
        <f t="shared" si="39"/>
        <v>2026</v>
      </c>
      <c r="F1853" s="43" t="str">
        <f t="shared" si="40"/>
        <v>05 Mei</v>
      </c>
      <c r="G1853" s="45" t="s">
        <v>173</v>
      </c>
      <c r="H1853" s="45" t="s">
        <v>150</v>
      </c>
      <c r="I1853" s="45" t="s">
        <v>1407</v>
      </c>
      <c r="J1853" s="143" t="s">
        <v>119</v>
      </c>
      <c r="K1853" s="43" t="str">
        <f t="array" ref="K1853">IF(J1853="","", XLOOKUP(J1853,'⚙️ Pengaturan'!$E$2:$E3237,'⚙️ Pengaturan'!$G$2:$G3237))</f>
        <v>KLINIK FT PAKET</v>
      </c>
      <c r="L1853" s="43" t="str">
        <f t="shared" si="3"/>
        <v>BARU</v>
      </c>
      <c r="M1853" s="144" t="s">
        <v>31</v>
      </c>
      <c r="N1853" s="145">
        <v>750000.0</v>
      </c>
      <c r="O1853" s="146">
        <v>0.0</v>
      </c>
      <c r="P1853" s="48">
        <f t="array" ref="P1853">IFNA(XLOOKUP(J1853,'⚙️ Pengaturan'!$E$2:$E3237,'⚙️ Pengaturan'!$F$2:$F3237),"")</f>
        <v>750000</v>
      </c>
      <c r="Q1853" s="147">
        <f t="shared" si="44"/>
        <v>0</v>
      </c>
      <c r="R1853" s="41" t="s">
        <v>37</v>
      </c>
      <c r="S1853" s="69" t="s">
        <v>1407</v>
      </c>
      <c r="T1853" s="51" t="b">
        <v>1</v>
      </c>
      <c r="U1853" s="94"/>
    </row>
    <row r="1854" ht="30.0" customHeight="1">
      <c r="A1854" s="39"/>
      <c r="B1854" s="161">
        <v>3891.0</v>
      </c>
      <c r="C1854" s="41" t="s">
        <v>50</v>
      </c>
      <c r="D1854" s="86">
        <v>46172.0</v>
      </c>
      <c r="E1854" s="43" t="str">
        <f t="shared" si="39"/>
        <v>2026</v>
      </c>
      <c r="F1854" s="43" t="str">
        <f t="shared" si="40"/>
        <v>05 Mei</v>
      </c>
      <c r="G1854" s="45" t="s">
        <v>155</v>
      </c>
      <c r="H1854" s="45" t="s">
        <v>26</v>
      </c>
      <c r="I1854" s="45" t="s">
        <v>1398</v>
      </c>
      <c r="J1854" s="143" t="s">
        <v>120</v>
      </c>
      <c r="K1854" s="43" t="str">
        <f t="array" ref="K1854">IF(J1854="","", XLOOKUP(J1854,'⚙️ Pengaturan'!$E$2:$E3237,'⚙️ Pengaturan'!$G$2:$G3237))</f>
        <v>KLINIK FT SESI</v>
      </c>
      <c r="L1854" s="43" t="str">
        <f t="shared" si="3"/>
        <v>BARU</v>
      </c>
      <c r="M1854" s="144" t="s">
        <v>31</v>
      </c>
      <c r="N1854" s="145">
        <v>180000.0</v>
      </c>
      <c r="O1854" s="146">
        <v>0.0</v>
      </c>
      <c r="P1854" s="48">
        <f t="array" ref="P1854">IFNA(XLOOKUP(J1854,'⚙️ Pengaturan'!$E$2:$E3237,'⚙️ Pengaturan'!$F$2:$F3237),"")</f>
        <v>180000</v>
      </c>
      <c r="Q1854" s="147">
        <f t="shared" si="44"/>
        <v>0</v>
      </c>
      <c r="R1854" s="41" t="s">
        <v>32</v>
      </c>
      <c r="S1854" s="69" t="s">
        <v>33</v>
      </c>
      <c r="T1854" s="51" t="b">
        <v>1</v>
      </c>
      <c r="U1854" s="94"/>
    </row>
    <row r="1855" ht="30.0" customHeight="1">
      <c r="A1855" s="39"/>
      <c r="B1855" s="40">
        <v>3892.0</v>
      </c>
      <c r="C1855" s="41" t="s">
        <v>50</v>
      </c>
      <c r="D1855" s="86">
        <v>46172.0</v>
      </c>
      <c r="E1855" s="43" t="str">
        <f t="shared" si="39"/>
        <v>2026</v>
      </c>
      <c r="F1855" s="43" t="str">
        <f t="shared" si="40"/>
        <v>05 Mei</v>
      </c>
      <c r="G1855" s="45" t="s">
        <v>69</v>
      </c>
      <c r="H1855" s="45" t="s">
        <v>96</v>
      </c>
      <c r="I1855" s="45" t="s">
        <v>1408</v>
      </c>
      <c r="J1855" s="143" t="s">
        <v>364</v>
      </c>
      <c r="K1855" s="43" t="str">
        <f t="array" ref="K1855">IF(J1855="","", XLOOKUP(J1855,'⚙️ Pengaturan'!$E$2:$E3237,'⚙️ Pengaturan'!$G$2:$G3237))</f>
        <v>VISIT FT PAKET</v>
      </c>
      <c r="L1855" s="43" t="str">
        <f t="shared" si="3"/>
        <v>BARU</v>
      </c>
      <c r="M1855" s="144" t="s">
        <v>31</v>
      </c>
      <c r="N1855" s="145">
        <v>2300000.0</v>
      </c>
      <c r="O1855" s="146">
        <v>0.0</v>
      </c>
      <c r="P1855" s="48">
        <f t="array" ref="P1855">IFNA(XLOOKUP(J1855,'⚙️ Pengaturan'!$E$2:$E3237,'⚙️ Pengaturan'!$F$2:$F3237),"")</f>
        <v>2300000</v>
      </c>
      <c r="Q1855" s="147">
        <f t="shared" si="44"/>
        <v>0</v>
      </c>
      <c r="R1855" s="41" t="s">
        <v>37</v>
      </c>
      <c r="S1855" s="69" t="s">
        <v>1408</v>
      </c>
      <c r="T1855" s="51" t="b">
        <v>1</v>
      </c>
      <c r="U1855" s="94"/>
    </row>
    <row r="1856" ht="30.0" customHeight="1">
      <c r="A1856" s="39"/>
      <c r="B1856" s="161">
        <v>3893.0</v>
      </c>
      <c r="C1856" s="41" t="s">
        <v>50</v>
      </c>
      <c r="D1856" s="86">
        <v>46175.0</v>
      </c>
      <c r="E1856" s="43" t="str">
        <f t="shared" si="39"/>
        <v>2026</v>
      </c>
      <c r="F1856" s="43" t="str">
        <f t="shared" si="40"/>
        <v>06 Jun</v>
      </c>
      <c r="G1856" s="45" t="s">
        <v>195</v>
      </c>
      <c r="H1856" s="45" t="s">
        <v>76</v>
      </c>
      <c r="I1856" s="45" t="s">
        <v>170</v>
      </c>
      <c r="J1856" s="143" t="s">
        <v>119</v>
      </c>
      <c r="K1856" s="43" t="str">
        <f t="array" ref="K1856">IF(J1856="","", XLOOKUP(J1856,'⚙️ Pengaturan'!$E$2:$E3237,'⚙️ Pengaturan'!$G$2:$G3237))</f>
        <v>KLINIK FT PAKET</v>
      </c>
      <c r="L1856" s="43" t="str">
        <f t="shared" si="3"/>
        <v>BARU</v>
      </c>
      <c r="M1856" s="144" t="s">
        <v>31</v>
      </c>
      <c r="N1856" s="145">
        <v>750000.0</v>
      </c>
      <c r="O1856" s="146">
        <v>0.0</v>
      </c>
      <c r="P1856" s="48">
        <f t="array" ref="P1856">IFNA(XLOOKUP(J1856,'⚙️ Pengaturan'!$E$2:$E3237,'⚙️ Pengaturan'!$F$2:$F3237),"")</f>
        <v>750000</v>
      </c>
      <c r="Q1856" s="147">
        <f t="shared" si="44"/>
        <v>0</v>
      </c>
      <c r="R1856" s="41" t="s">
        <v>37</v>
      </c>
      <c r="S1856" s="69" t="s">
        <v>502</v>
      </c>
      <c r="T1856" s="51" t="b">
        <v>1</v>
      </c>
      <c r="U1856" s="94"/>
    </row>
    <row r="1857" ht="30.0" customHeight="1">
      <c r="A1857" s="39"/>
      <c r="B1857" s="40">
        <v>3894.0</v>
      </c>
      <c r="C1857" s="41" t="s">
        <v>50</v>
      </c>
      <c r="D1857" s="86">
        <v>46175.0</v>
      </c>
      <c r="E1857" s="43" t="str">
        <f t="shared" si="39"/>
        <v>2026</v>
      </c>
      <c r="F1857" s="43" t="str">
        <f t="shared" si="40"/>
        <v>06 Jun</v>
      </c>
      <c r="G1857" s="45" t="s">
        <v>195</v>
      </c>
      <c r="H1857" s="45" t="s">
        <v>41</v>
      </c>
      <c r="I1857" s="45" t="s">
        <v>934</v>
      </c>
      <c r="J1857" s="143" t="s">
        <v>119</v>
      </c>
      <c r="K1857" s="43" t="str">
        <f t="array" ref="K1857">IF(J1857="","", XLOOKUP(J1857,'⚙️ Pengaturan'!$E$2:$E3237,'⚙️ Pengaturan'!$G$2:$G3237))</f>
        <v>KLINIK FT PAKET</v>
      </c>
      <c r="L1857" s="43" t="str">
        <f t="shared" si="3"/>
        <v>LANJUTAN</v>
      </c>
      <c r="M1857" s="144" t="s">
        <v>31</v>
      </c>
      <c r="N1857" s="145">
        <v>750000.0</v>
      </c>
      <c r="O1857" s="146">
        <v>0.0</v>
      </c>
      <c r="P1857" s="48">
        <f t="array" ref="P1857">IFNA(XLOOKUP(J1857,'⚙️ Pengaturan'!$E$2:$E3237,'⚙️ Pengaturan'!$F$2:$F3237),"")</f>
        <v>750000</v>
      </c>
      <c r="Q1857" s="147">
        <f t="shared" si="44"/>
        <v>0</v>
      </c>
      <c r="R1857" s="41" t="s">
        <v>37</v>
      </c>
      <c r="S1857" s="69" t="s">
        <v>934</v>
      </c>
      <c r="T1857" s="51" t="b">
        <v>1</v>
      </c>
      <c r="U1857" s="94"/>
    </row>
    <row r="1858" ht="30.0" customHeight="1">
      <c r="A1858" s="39"/>
      <c r="B1858" s="161">
        <v>3895.0</v>
      </c>
      <c r="C1858" s="41" t="s">
        <v>50</v>
      </c>
      <c r="D1858" s="86">
        <v>46175.0</v>
      </c>
      <c r="E1858" s="43" t="str">
        <f t="shared" si="39"/>
        <v>2026</v>
      </c>
      <c r="F1858" s="43" t="str">
        <f t="shared" si="40"/>
        <v>06 Jun</v>
      </c>
      <c r="G1858" s="45" t="s">
        <v>25</v>
      </c>
      <c r="H1858" s="45" t="s">
        <v>41</v>
      </c>
      <c r="I1858" s="45" t="s">
        <v>1404</v>
      </c>
      <c r="J1858" s="143" t="s">
        <v>120</v>
      </c>
      <c r="K1858" s="43" t="str">
        <f t="array" ref="K1858">IF(J1858="","", XLOOKUP(J1858,'⚙️ Pengaturan'!$E$2:$E3237,'⚙️ Pengaturan'!$G$2:$G3237))</f>
        <v>KLINIK FT SESI</v>
      </c>
      <c r="L1858" s="43" t="str">
        <f t="shared" si="3"/>
        <v>BARU</v>
      </c>
      <c r="M1858" s="144" t="s">
        <v>31</v>
      </c>
      <c r="N1858" s="145">
        <v>180000.0</v>
      </c>
      <c r="O1858" s="146">
        <v>0.0</v>
      </c>
      <c r="P1858" s="119">
        <v>180000.0</v>
      </c>
      <c r="Q1858" s="147">
        <f t="shared" si="44"/>
        <v>0</v>
      </c>
      <c r="R1858" s="41" t="s">
        <v>37</v>
      </c>
      <c r="S1858" s="69" t="s">
        <v>1404</v>
      </c>
      <c r="T1858" s="51" t="b">
        <v>1</v>
      </c>
      <c r="U1858" s="94"/>
    </row>
    <row r="1859" ht="30.0" customHeight="1">
      <c r="A1859" s="39"/>
      <c r="B1859" s="40">
        <v>3896.0</v>
      </c>
      <c r="C1859" s="41" t="s">
        <v>50</v>
      </c>
      <c r="D1859" s="86">
        <v>46175.0</v>
      </c>
      <c r="E1859" s="43" t="str">
        <f t="shared" si="39"/>
        <v>2026</v>
      </c>
      <c r="F1859" s="43" t="str">
        <f t="shared" si="40"/>
        <v>06 Jun</v>
      </c>
      <c r="G1859" s="45" t="s">
        <v>25</v>
      </c>
      <c r="H1859" s="45" t="s">
        <v>41</v>
      </c>
      <c r="I1859" s="45" t="s">
        <v>1404</v>
      </c>
      <c r="J1859" s="143" t="s">
        <v>120</v>
      </c>
      <c r="K1859" s="43" t="str">
        <f t="array" ref="K1859">IF(J1859="","", XLOOKUP(J1859,'⚙️ Pengaturan'!$E$2:$E3237,'⚙️ Pengaturan'!$G$2:$G3237))</f>
        <v>KLINIK FT SESI</v>
      </c>
      <c r="L1859" s="43" t="str">
        <f t="shared" si="3"/>
        <v>LANJUTAN</v>
      </c>
      <c r="M1859" s="144" t="s">
        <v>31</v>
      </c>
      <c r="N1859" s="145">
        <v>180000.0</v>
      </c>
      <c r="O1859" s="146">
        <v>0.0</v>
      </c>
      <c r="P1859" s="48">
        <f t="array" ref="P1859">IFNA(XLOOKUP(J1859,'⚙️ Pengaturan'!$E$2:$E3237,'⚙️ Pengaturan'!$F$2:$F3237),"")</f>
        <v>180000</v>
      </c>
      <c r="Q1859" s="147">
        <f t="shared" si="44"/>
        <v>0</v>
      </c>
      <c r="R1859" s="41" t="s">
        <v>37</v>
      </c>
      <c r="S1859" s="69" t="s">
        <v>1404</v>
      </c>
      <c r="T1859" s="51" t="b">
        <v>1</v>
      </c>
      <c r="U1859" s="94" t="s">
        <v>1422</v>
      </c>
    </row>
    <row r="1860" ht="30.0" customHeight="1">
      <c r="A1860" s="39"/>
      <c r="B1860" s="161">
        <v>3897.0</v>
      </c>
      <c r="C1860" s="41" t="s">
        <v>50</v>
      </c>
      <c r="D1860" s="86">
        <v>46175.0</v>
      </c>
      <c r="E1860" s="43" t="str">
        <f t="shared" si="39"/>
        <v>2026</v>
      </c>
      <c r="F1860" s="43" t="str">
        <f t="shared" si="40"/>
        <v>06 Jun</v>
      </c>
      <c r="G1860" s="45" t="s">
        <v>69</v>
      </c>
      <c r="H1860" s="45" t="s">
        <v>149</v>
      </c>
      <c r="I1860" s="121" t="s">
        <v>1423</v>
      </c>
      <c r="J1860" s="143" t="s">
        <v>120</v>
      </c>
      <c r="K1860" s="43" t="str">
        <f t="array" ref="K1860">IF(J1860="","", XLOOKUP(J1860,'⚙️ Pengaturan'!$E$2:$E3237,'⚙️ Pengaturan'!$G$2:$G3237))</f>
        <v>KLINIK FT SESI</v>
      </c>
      <c r="L1860" s="43" t="str">
        <f t="shared" si="3"/>
        <v>BARU</v>
      </c>
      <c r="M1860" s="144" t="s">
        <v>31</v>
      </c>
      <c r="N1860" s="145">
        <v>180000.0</v>
      </c>
      <c r="O1860" s="146">
        <v>0.0</v>
      </c>
      <c r="P1860" s="119">
        <v>180000.0</v>
      </c>
      <c r="Q1860" s="147">
        <f t="shared" si="44"/>
        <v>0</v>
      </c>
      <c r="R1860" s="41" t="s">
        <v>32</v>
      </c>
      <c r="S1860" s="69" t="s">
        <v>33</v>
      </c>
      <c r="T1860" s="51" t="b">
        <v>1</v>
      </c>
      <c r="U1860" s="94"/>
    </row>
    <row r="1861" ht="30.0" customHeight="1">
      <c r="A1861" s="39"/>
      <c r="B1861" s="40">
        <v>3898.0</v>
      </c>
      <c r="C1861" s="41" t="s">
        <v>50</v>
      </c>
      <c r="D1861" s="86">
        <v>46175.0</v>
      </c>
      <c r="E1861" s="43" t="str">
        <f t="shared" si="39"/>
        <v>2026</v>
      </c>
      <c r="F1861" s="43" t="str">
        <f t="shared" si="40"/>
        <v>06 Jun</v>
      </c>
      <c r="G1861" s="45" t="s">
        <v>161</v>
      </c>
      <c r="H1861" s="45" t="s">
        <v>149</v>
      </c>
      <c r="I1861" s="45" t="s">
        <v>1424</v>
      </c>
      <c r="J1861" s="143" t="s">
        <v>28</v>
      </c>
      <c r="K1861" s="43" t="str">
        <f t="array" ref="K1861">IF(J1861="","", XLOOKUP(J1861,'⚙️ Pengaturan'!$E$2:$E3237,'⚙️ Pengaturan'!$G$2:$G3237))</f>
        <v>KLINIK FT TA</v>
      </c>
      <c r="L1861" s="43" t="str">
        <f t="shared" si="3"/>
        <v>BARU</v>
      </c>
      <c r="M1861" s="144" t="s">
        <v>31</v>
      </c>
      <c r="N1861" s="145">
        <v>250000.0</v>
      </c>
      <c r="O1861" s="146">
        <v>0.0</v>
      </c>
      <c r="P1861" s="48">
        <f t="array" ref="P1861">IFNA(XLOOKUP(J1861,'⚙️ Pengaturan'!$E$2:$E3237,'⚙️ Pengaturan'!$F$2:$F3237),"")</f>
        <v>250000</v>
      </c>
      <c r="Q1861" s="147">
        <f t="shared" si="44"/>
        <v>0</v>
      </c>
      <c r="R1861" s="41" t="s">
        <v>32</v>
      </c>
      <c r="S1861" s="69" t="s">
        <v>33</v>
      </c>
      <c r="T1861" s="51" t="b">
        <v>1</v>
      </c>
      <c r="U1861" s="94"/>
    </row>
    <row r="1862" ht="30.0" customHeight="1">
      <c r="A1862" s="39"/>
      <c r="B1862" s="161">
        <v>3899.0</v>
      </c>
      <c r="C1862" s="41" t="s">
        <v>50</v>
      </c>
      <c r="D1862" s="86">
        <v>46175.0</v>
      </c>
      <c r="E1862" s="43" t="str">
        <f t="shared" si="39"/>
        <v>2026</v>
      </c>
      <c r="F1862" s="43" t="str">
        <f t="shared" si="40"/>
        <v>06 Jun</v>
      </c>
      <c r="G1862" s="45" t="s">
        <v>161</v>
      </c>
      <c r="H1862" s="45" t="s">
        <v>47</v>
      </c>
      <c r="I1862" s="45" t="s">
        <v>245</v>
      </c>
      <c r="J1862" s="143" t="s">
        <v>120</v>
      </c>
      <c r="K1862" s="43" t="str">
        <f t="array" ref="K1862">IF(J1862="","", XLOOKUP(J1862,'⚙️ Pengaturan'!$E$2:$E3237,'⚙️ Pengaturan'!$G$2:$G3237))</f>
        <v>KLINIK FT SESI</v>
      </c>
      <c r="L1862" s="43" t="str">
        <f t="shared" si="3"/>
        <v>LANJUTAN</v>
      </c>
      <c r="M1862" s="144" t="s">
        <v>31</v>
      </c>
      <c r="N1862" s="145">
        <v>180000.0</v>
      </c>
      <c r="O1862" s="146">
        <v>0.0</v>
      </c>
      <c r="P1862" s="48">
        <f t="array" ref="P1862">IFNA(XLOOKUP(J1862,'⚙️ Pengaturan'!$E$2:$E3237,'⚙️ Pengaturan'!$F$2:$F3237),"")</f>
        <v>180000</v>
      </c>
      <c r="Q1862" s="147">
        <f t="shared" si="44"/>
        <v>0</v>
      </c>
      <c r="R1862" s="41" t="s">
        <v>37</v>
      </c>
      <c r="S1862" s="69" t="s">
        <v>245</v>
      </c>
      <c r="T1862" s="51" t="b">
        <v>1</v>
      </c>
      <c r="U1862" s="94"/>
    </row>
    <row r="1863" ht="30.0" customHeight="1">
      <c r="A1863" s="39"/>
      <c r="B1863" s="40">
        <v>3900.0</v>
      </c>
      <c r="C1863" s="41" t="s">
        <v>50</v>
      </c>
      <c r="D1863" s="86">
        <v>46175.0</v>
      </c>
      <c r="E1863" s="43" t="str">
        <f t="shared" si="39"/>
        <v>2026</v>
      </c>
      <c r="F1863" s="43" t="str">
        <f t="shared" si="40"/>
        <v>06 Jun</v>
      </c>
      <c r="G1863" s="45" t="s">
        <v>161</v>
      </c>
      <c r="H1863" s="45" t="s">
        <v>41</v>
      </c>
      <c r="I1863" s="45" t="s">
        <v>1381</v>
      </c>
      <c r="J1863" s="143" t="s">
        <v>119</v>
      </c>
      <c r="K1863" s="43" t="str">
        <f t="array" ref="K1863">IF(J1863="","", XLOOKUP(J1863,'⚙️ Pengaturan'!$E$2:$E3237,'⚙️ Pengaturan'!$G$2:$G3237))</f>
        <v>KLINIK FT PAKET</v>
      </c>
      <c r="L1863" s="43" t="str">
        <f t="shared" si="3"/>
        <v>BARU</v>
      </c>
      <c r="M1863" s="144" t="s">
        <v>31</v>
      </c>
      <c r="N1863" s="145">
        <v>750000.0</v>
      </c>
      <c r="O1863" s="146">
        <v>0.0</v>
      </c>
      <c r="P1863" s="48">
        <f t="array" ref="P1863">IFNA(XLOOKUP(J1863,'⚙️ Pengaturan'!$E$2:$E3237,'⚙️ Pengaturan'!$F$2:$F3237),"")</f>
        <v>750000</v>
      </c>
      <c r="Q1863" s="147">
        <f t="shared" si="44"/>
        <v>0</v>
      </c>
      <c r="R1863" s="41" t="s">
        <v>37</v>
      </c>
      <c r="S1863" s="69" t="s">
        <v>1381</v>
      </c>
      <c r="T1863" s="51" t="b">
        <v>1</v>
      </c>
      <c r="U1863" s="94"/>
    </row>
    <row r="1864" ht="30.0" customHeight="1">
      <c r="A1864" s="39"/>
      <c r="B1864" s="161">
        <v>3901.0</v>
      </c>
      <c r="C1864" s="41" t="s">
        <v>39</v>
      </c>
      <c r="D1864" s="86">
        <v>46175.0</v>
      </c>
      <c r="E1864" s="43" t="str">
        <f t="shared" si="39"/>
        <v>2026</v>
      </c>
      <c r="F1864" s="43" t="str">
        <f t="shared" si="40"/>
        <v>06 Jun</v>
      </c>
      <c r="G1864" s="45" t="s">
        <v>35</v>
      </c>
      <c r="H1864" s="45" t="s">
        <v>103</v>
      </c>
      <c r="I1864" s="45" t="s">
        <v>1425</v>
      </c>
      <c r="J1864" s="143" t="s">
        <v>28</v>
      </c>
      <c r="K1864" s="43" t="str">
        <f t="array" ref="K1864">IF(J1864="","", XLOOKUP(J1864,'⚙️ Pengaturan'!$E$2:$E3237,'⚙️ Pengaturan'!$G$2:$G3237))</f>
        <v>KLINIK FT TA</v>
      </c>
      <c r="L1864" s="43" t="str">
        <f t="shared" si="3"/>
        <v>BARU</v>
      </c>
      <c r="M1864" s="144" t="s">
        <v>31</v>
      </c>
      <c r="N1864" s="145">
        <v>250000.0</v>
      </c>
      <c r="O1864" s="146">
        <v>0.0</v>
      </c>
      <c r="P1864" s="48">
        <f t="array" ref="P1864">IFNA(XLOOKUP(J1864,'⚙️ Pengaturan'!$E$2:$E3237,'⚙️ Pengaturan'!$F$2:$F3237),"")</f>
        <v>250000</v>
      </c>
      <c r="Q1864" s="153">
        <v>0.0</v>
      </c>
      <c r="R1864" s="41" t="s">
        <v>32</v>
      </c>
      <c r="S1864" s="69" t="s">
        <v>33</v>
      </c>
      <c r="T1864" s="51" t="b">
        <v>1</v>
      </c>
      <c r="U1864" s="94" t="s">
        <v>1426</v>
      </c>
    </row>
    <row r="1865" ht="30.0" customHeight="1">
      <c r="A1865" s="39"/>
      <c r="B1865" s="40">
        <v>3902.0</v>
      </c>
      <c r="C1865" s="41" t="s">
        <v>39</v>
      </c>
      <c r="D1865" s="86">
        <v>46175.0</v>
      </c>
      <c r="E1865" s="43" t="str">
        <f t="shared" si="39"/>
        <v>2026</v>
      </c>
      <c r="F1865" s="43" t="str">
        <f t="shared" si="40"/>
        <v>06 Jun</v>
      </c>
      <c r="G1865" s="45" t="s">
        <v>43</v>
      </c>
      <c r="H1865" s="45" t="s">
        <v>150</v>
      </c>
      <c r="I1865" s="45" t="s">
        <v>1427</v>
      </c>
      <c r="J1865" s="143" t="s">
        <v>28</v>
      </c>
      <c r="K1865" s="43" t="str">
        <f t="array" ref="K1865">IF(J1865="","", XLOOKUP(J1865,'⚙️ Pengaturan'!$E$2:$E3237,'⚙️ Pengaturan'!$G$2:$G3237))</f>
        <v>KLINIK FT TA</v>
      </c>
      <c r="L1865" s="43" t="str">
        <f t="shared" si="3"/>
        <v>BARU</v>
      </c>
      <c r="M1865" s="144" t="s">
        <v>31</v>
      </c>
      <c r="N1865" s="145">
        <v>250000.0</v>
      </c>
      <c r="O1865" s="146">
        <v>0.0</v>
      </c>
      <c r="P1865" s="48">
        <f t="array" ref="P1865">IFNA(XLOOKUP(J1865,'⚙️ Pengaturan'!$E$2:$E3237,'⚙️ Pengaturan'!$F$2:$F3237),"")</f>
        <v>250000</v>
      </c>
      <c r="Q1865" s="147">
        <f t="shared" ref="Q1865:Q1886" si="45">IF(I1865="","",(N1865+O1865)-P1865)</f>
        <v>0</v>
      </c>
      <c r="R1865" s="41" t="s">
        <v>37</v>
      </c>
      <c r="S1865" s="69" t="s">
        <v>1427</v>
      </c>
      <c r="T1865" s="51" t="b">
        <v>1</v>
      </c>
      <c r="U1865" s="94"/>
    </row>
    <row r="1866" ht="30.0" customHeight="1">
      <c r="A1866" s="39"/>
      <c r="B1866" s="161">
        <v>3903.0</v>
      </c>
      <c r="C1866" s="41" t="s">
        <v>39</v>
      </c>
      <c r="D1866" s="86">
        <v>46175.0</v>
      </c>
      <c r="E1866" s="43" t="str">
        <f t="shared" si="39"/>
        <v>2026</v>
      </c>
      <c r="F1866" s="43" t="str">
        <f t="shared" si="40"/>
        <v>06 Jun</v>
      </c>
      <c r="G1866" s="45" t="s">
        <v>43</v>
      </c>
      <c r="H1866" s="45" t="s">
        <v>162</v>
      </c>
      <c r="I1866" s="45" t="s">
        <v>1421</v>
      </c>
      <c r="J1866" s="143" t="s">
        <v>120</v>
      </c>
      <c r="K1866" s="43" t="str">
        <f t="array" ref="K1866">IF(J1866="","", XLOOKUP(J1866,'⚙️ Pengaturan'!$E$2:$E3237,'⚙️ Pengaturan'!$G$2:$G3237))</f>
        <v>KLINIK FT SESI</v>
      </c>
      <c r="L1866" s="43" t="str">
        <f t="shared" si="3"/>
        <v>BARU</v>
      </c>
      <c r="M1866" s="144" t="s">
        <v>31</v>
      </c>
      <c r="N1866" s="145">
        <v>180000.0</v>
      </c>
      <c r="O1866" s="146">
        <v>0.0</v>
      </c>
      <c r="P1866" s="48">
        <f t="array" ref="P1866">IFNA(XLOOKUP(J1866,'⚙️ Pengaturan'!$E$2:$E3237,'⚙️ Pengaturan'!$F$2:$F3237),"")</f>
        <v>180000</v>
      </c>
      <c r="Q1866" s="147">
        <f t="shared" si="45"/>
        <v>0</v>
      </c>
      <c r="R1866" s="41" t="s">
        <v>37</v>
      </c>
      <c r="S1866" s="69" t="s">
        <v>1421</v>
      </c>
      <c r="T1866" s="51" t="b">
        <v>1</v>
      </c>
      <c r="U1866" s="94"/>
    </row>
    <row r="1867" ht="30.0" customHeight="1">
      <c r="A1867" s="39"/>
      <c r="B1867" s="40">
        <v>3904.0</v>
      </c>
      <c r="C1867" s="41" t="s">
        <v>39</v>
      </c>
      <c r="D1867" s="86">
        <v>46175.0</v>
      </c>
      <c r="E1867" s="43" t="str">
        <f t="shared" si="39"/>
        <v>2026</v>
      </c>
      <c r="F1867" s="43" t="str">
        <f t="shared" si="40"/>
        <v>06 Jun</v>
      </c>
      <c r="G1867" s="45" t="s">
        <v>43</v>
      </c>
      <c r="H1867" s="45" t="s">
        <v>26</v>
      </c>
      <c r="I1867" s="45" t="s">
        <v>1399</v>
      </c>
      <c r="J1867" s="143" t="s">
        <v>120</v>
      </c>
      <c r="K1867" s="43" t="str">
        <f t="array" ref="K1867">IF(J1867="","", XLOOKUP(J1867,'⚙️ Pengaturan'!$E$2:$E3237,'⚙️ Pengaturan'!$G$2:$G3237))</f>
        <v>KLINIK FT SESI</v>
      </c>
      <c r="L1867" s="43" t="str">
        <f t="shared" si="3"/>
        <v>BARU</v>
      </c>
      <c r="M1867" s="144" t="s">
        <v>31</v>
      </c>
      <c r="N1867" s="145">
        <v>180000.0</v>
      </c>
      <c r="O1867" s="146">
        <v>0.0</v>
      </c>
      <c r="P1867" s="48">
        <f t="array" ref="P1867">IFNA(XLOOKUP(J1867,'⚙️ Pengaturan'!$E$2:$E3237,'⚙️ Pengaturan'!$F$2:$F3237),"")</f>
        <v>180000</v>
      </c>
      <c r="Q1867" s="147">
        <f t="shared" si="45"/>
        <v>0</v>
      </c>
      <c r="R1867" s="41" t="s">
        <v>32</v>
      </c>
      <c r="S1867" s="69" t="s">
        <v>33</v>
      </c>
      <c r="T1867" s="51" t="b">
        <v>1</v>
      </c>
      <c r="U1867" s="94"/>
    </row>
    <row r="1868" ht="30.0" customHeight="1">
      <c r="A1868" s="39"/>
      <c r="B1868" s="161">
        <v>3905.0</v>
      </c>
      <c r="C1868" s="41" t="s">
        <v>39</v>
      </c>
      <c r="D1868" s="86">
        <v>46175.0</v>
      </c>
      <c r="E1868" s="43" t="str">
        <f t="shared" si="39"/>
        <v>2026</v>
      </c>
      <c r="F1868" s="43" t="str">
        <f t="shared" si="40"/>
        <v>06 Jun</v>
      </c>
      <c r="G1868" s="45" t="s">
        <v>173</v>
      </c>
      <c r="H1868" s="45" t="s">
        <v>150</v>
      </c>
      <c r="I1868" s="45" t="s">
        <v>1232</v>
      </c>
      <c r="J1868" s="143" t="s">
        <v>120</v>
      </c>
      <c r="K1868" s="43" t="str">
        <f t="array" ref="K1868">IF(J1868="","", XLOOKUP(J1868,'⚙️ Pengaturan'!$E$2:$E3237,'⚙️ Pengaturan'!$G$2:$G3237))</f>
        <v>KLINIK FT SESI</v>
      </c>
      <c r="L1868" s="43" t="str">
        <f t="shared" si="3"/>
        <v>BARU</v>
      </c>
      <c r="M1868" s="144" t="s">
        <v>31</v>
      </c>
      <c r="N1868" s="145">
        <v>180000.0</v>
      </c>
      <c r="O1868" s="146">
        <v>0.0</v>
      </c>
      <c r="P1868" s="48">
        <f t="array" ref="P1868">IFNA(XLOOKUP(J1868,'⚙️ Pengaturan'!$E$2:$E3237,'⚙️ Pengaturan'!$F$2:$F3237),"")</f>
        <v>180000</v>
      </c>
      <c r="Q1868" s="147">
        <f t="shared" si="45"/>
        <v>0</v>
      </c>
      <c r="R1868" s="41" t="s">
        <v>32</v>
      </c>
      <c r="S1868" s="69" t="s">
        <v>33</v>
      </c>
      <c r="T1868" s="51" t="b">
        <v>1</v>
      </c>
      <c r="U1868" s="94"/>
    </row>
    <row r="1869" ht="30.0" customHeight="1">
      <c r="A1869" s="39"/>
      <c r="B1869" s="40">
        <v>3906.0</v>
      </c>
      <c r="C1869" s="41" t="s">
        <v>39</v>
      </c>
      <c r="D1869" s="86">
        <v>46175.0</v>
      </c>
      <c r="E1869" s="43" t="str">
        <f t="shared" si="39"/>
        <v>2026</v>
      </c>
      <c r="F1869" s="43" t="str">
        <f t="shared" si="40"/>
        <v>06 Jun</v>
      </c>
      <c r="G1869" s="45" t="s">
        <v>173</v>
      </c>
      <c r="H1869" s="45" t="s">
        <v>162</v>
      </c>
      <c r="I1869" s="45" t="s">
        <v>1410</v>
      </c>
      <c r="J1869" s="143" t="s">
        <v>120</v>
      </c>
      <c r="K1869" s="43" t="str">
        <f t="array" ref="K1869">IF(J1869="","", XLOOKUP(J1869,'⚙️ Pengaturan'!$E$2:$E3237,'⚙️ Pengaturan'!$G$2:$G3237))</f>
        <v>KLINIK FT SESI</v>
      </c>
      <c r="L1869" s="43" t="str">
        <f t="shared" si="3"/>
        <v>BARU</v>
      </c>
      <c r="M1869" s="144" t="s">
        <v>31</v>
      </c>
      <c r="N1869" s="145">
        <v>180000.0</v>
      </c>
      <c r="O1869" s="146">
        <v>0.0</v>
      </c>
      <c r="P1869" s="48">
        <f t="array" ref="P1869">IFNA(XLOOKUP(J1869,'⚙️ Pengaturan'!$E$2:$E3237,'⚙️ Pengaturan'!$F$2:$F3237),"")</f>
        <v>180000</v>
      </c>
      <c r="Q1869" s="147">
        <f t="shared" si="45"/>
        <v>0</v>
      </c>
      <c r="R1869" s="41" t="s">
        <v>37</v>
      </c>
      <c r="S1869" s="69" t="s">
        <v>1410</v>
      </c>
      <c r="T1869" s="51" t="b">
        <v>1</v>
      </c>
      <c r="U1869" s="94"/>
    </row>
    <row r="1870" ht="30.0" customHeight="1">
      <c r="A1870" s="39"/>
      <c r="B1870" s="161">
        <v>3907.0</v>
      </c>
      <c r="C1870" s="41" t="s">
        <v>39</v>
      </c>
      <c r="D1870" s="86">
        <v>46175.0</v>
      </c>
      <c r="E1870" s="43" t="str">
        <f t="shared" si="39"/>
        <v>2026</v>
      </c>
      <c r="F1870" s="43" t="str">
        <f t="shared" si="40"/>
        <v>06 Jun</v>
      </c>
      <c r="G1870" s="45" t="s">
        <v>173</v>
      </c>
      <c r="H1870" s="45" t="s">
        <v>166</v>
      </c>
      <c r="I1870" s="45" t="s">
        <v>1412</v>
      </c>
      <c r="J1870" s="143" t="s">
        <v>119</v>
      </c>
      <c r="K1870" s="43" t="str">
        <f t="array" ref="K1870">IF(J1870="","", XLOOKUP(J1870,'⚙️ Pengaturan'!$E$2:$E3237,'⚙️ Pengaturan'!$G$2:$G3237))</f>
        <v>KLINIK FT PAKET</v>
      </c>
      <c r="L1870" s="43" t="str">
        <f t="shared" si="3"/>
        <v>BARU</v>
      </c>
      <c r="M1870" s="144" t="s">
        <v>31</v>
      </c>
      <c r="N1870" s="145">
        <v>600000.0</v>
      </c>
      <c r="O1870" s="146">
        <v>150000.0</v>
      </c>
      <c r="P1870" s="48">
        <f t="array" ref="P1870">IFNA(XLOOKUP(J1870,'⚙️ Pengaturan'!$E$2:$E3237,'⚙️ Pengaturan'!$F$2:$F3237),"")</f>
        <v>750000</v>
      </c>
      <c r="Q1870" s="147">
        <f t="shared" si="45"/>
        <v>0</v>
      </c>
      <c r="R1870" s="41" t="s">
        <v>37</v>
      </c>
      <c r="S1870" s="69" t="s">
        <v>1412</v>
      </c>
      <c r="T1870" s="51" t="b">
        <v>1</v>
      </c>
      <c r="U1870" s="94" t="s">
        <v>1332</v>
      </c>
    </row>
    <row r="1871" ht="30.0" customHeight="1">
      <c r="A1871" s="39"/>
      <c r="B1871" s="40">
        <v>3908.0</v>
      </c>
      <c r="C1871" s="41" t="s">
        <v>39</v>
      </c>
      <c r="D1871" s="86">
        <v>46175.0</v>
      </c>
      <c r="E1871" s="43" t="str">
        <f t="shared" si="39"/>
        <v>2026</v>
      </c>
      <c r="F1871" s="43" t="str">
        <f t="shared" si="40"/>
        <v>06 Jun</v>
      </c>
      <c r="G1871" s="45" t="s">
        <v>46</v>
      </c>
      <c r="H1871" s="45" t="s">
        <v>26</v>
      </c>
      <c r="I1871" s="45" t="s">
        <v>1065</v>
      </c>
      <c r="J1871" s="143" t="s">
        <v>119</v>
      </c>
      <c r="K1871" s="43" t="str">
        <f t="array" ref="K1871">IF(J1871="","", XLOOKUP(J1871,'⚙️ Pengaturan'!$E$2:$E3237,'⚙️ Pengaturan'!$G$2:$G3237))</f>
        <v>KLINIK FT PAKET</v>
      </c>
      <c r="L1871" s="43" t="str">
        <f t="shared" si="3"/>
        <v>BARU</v>
      </c>
      <c r="M1871" s="144" t="s">
        <v>60</v>
      </c>
      <c r="N1871" s="145">
        <v>250000.0</v>
      </c>
      <c r="O1871" s="146">
        <v>0.0</v>
      </c>
      <c r="P1871" s="48">
        <f t="array" ref="P1871">IFNA(XLOOKUP(J1871,'⚙️ Pengaturan'!$E$2:$E3237,'⚙️ Pengaturan'!$F$2:$F3237),"")</f>
        <v>750000</v>
      </c>
      <c r="Q1871" s="147">
        <f t="shared" si="45"/>
        <v>-500000</v>
      </c>
      <c r="R1871" s="41" t="s">
        <v>32</v>
      </c>
      <c r="S1871" s="69" t="s">
        <v>33</v>
      </c>
      <c r="T1871" s="51" t="b">
        <v>1</v>
      </c>
      <c r="U1871" s="94"/>
    </row>
    <row r="1872" ht="30.0" customHeight="1">
      <c r="A1872" s="39"/>
      <c r="B1872" s="161">
        <v>3909.0</v>
      </c>
      <c r="C1872" s="41" t="s">
        <v>39</v>
      </c>
      <c r="D1872" s="86">
        <v>46175.0</v>
      </c>
      <c r="E1872" s="43" t="str">
        <f t="shared" si="39"/>
        <v>2026</v>
      </c>
      <c r="F1872" s="43" t="str">
        <f t="shared" si="40"/>
        <v>06 Jun</v>
      </c>
      <c r="G1872" s="45" t="s">
        <v>155</v>
      </c>
      <c r="H1872" s="45" t="s">
        <v>162</v>
      </c>
      <c r="I1872" s="45" t="s">
        <v>1428</v>
      </c>
      <c r="J1872" s="143" t="s">
        <v>28</v>
      </c>
      <c r="K1872" s="43" t="str">
        <f t="array" ref="K1872">IF(J1872="","", XLOOKUP(J1872,'⚙️ Pengaturan'!$E$2:$E3237,'⚙️ Pengaturan'!$G$2:$G3237))</f>
        <v>KLINIK FT TA</v>
      </c>
      <c r="L1872" s="43" t="str">
        <f t="shared" si="3"/>
        <v>BARU</v>
      </c>
      <c r="M1872" s="144" t="s">
        <v>31</v>
      </c>
      <c r="N1872" s="145">
        <v>250000.0</v>
      </c>
      <c r="O1872" s="146">
        <v>0.0</v>
      </c>
      <c r="P1872" s="48">
        <f t="array" ref="P1872">IFNA(XLOOKUP(J1872,'⚙️ Pengaturan'!$E$2:$E3237,'⚙️ Pengaturan'!$F$2:$F3237),"")</f>
        <v>250000</v>
      </c>
      <c r="Q1872" s="147">
        <f t="shared" si="45"/>
        <v>0</v>
      </c>
      <c r="R1872" s="41" t="s">
        <v>37</v>
      </c>
      <c r="S1872" s="69" t="s">
        <v>33</v>
      </c>
      <c r="T1872" s="51" t="b">
        <v>1</v>
      </c>
      <c r="U1872" s="94"/>
    </row>
    <row r="1873" ht="30.0" customHeight="1">
      <c r="A1873" s="39"/>
      <c r="B1873" s="40">
        <v>3910.0</v>
      </c>
      <c r="C1873" s="41" t="s">
        <v>39</v>
      </c>
      <c r="D1873" s="86">
        <v>46175.0</v>
      </c>
      <c r="E1873" s="43" t="str">
        <f t="shared" si="39"/>
        <v>2026</v>
      </c>
      <c r="F1873" s="43" t="str">
        <f t="shared" si="40"/>
        <v>06 Jun</v>
      </c>
      <c r="G1873" s="45" t="s">
        <v>190</v>
      </c>
      <c r="H1873" s="45" t="s">
        <v>162</v>
      </c>
      <c r="I1873" s="45" t="s">
        <v>1429</v>
      </c>
      <c r="J1873" s="143" t="s">
        <v>28</v>
      </c>
      <c r="K1873" s="43" t="str">
        <f t="array" ref="K1873">IF(J1873="","", XLOOKUP(J1873,'⚙️ Pengaturan'!$E$2:$E3237,'⚙️ Pengaturan'!$G$2:$G3237))</f>
        <v>KLINIK FT TA</v>
      </c>
      <c r="L1873" s="43" t="str">
        <f t="shared" si="3"/>
        <v>BARU</v>
      </c>
      <c r="M1873" s="144" t="s">
        <v>31</v>
      </c>
      <c r="N1873" s="145">
        <v>250000.0</v>
      </c>
      <c r="O1873" s="146">
        <v>0.0</v>
      </c>
      <c r="P1873" s="48">
        <f t="array" ref="P1873">IFNA(XLOOKUP(J1873,'⚙️ Pengaturan'!$E$2:$E3237,'⚙️ Pengaturan'!$F$2:$F3237),"")</f>
        <v>250000</v>
      </c>
      <c r="Q1873" s="147">
        <f t="shared" si="45"/>
        <v>0</v>
      </c>
      <c r="R1873" s="41" t="s">
        <v>37</v>
      </c>
      <c r="S1873" s="69" t="s">
        <v>1429</v>
      </c>
      <c r="T1873" s="51" t="b">
        <v>1</v>
      </c>
      <c r="U1873" s="94"/>
    </row>
    <row r="1874" ht="30.0" customHeight="1">
      <c r="A1874" s="39"/>
      <c r="B1874" s="161">
        <v>3911.0</v>
      </c>
      <c r="C1874" s="41" t="s">
        <v>39</v>
      </c>
      <c r="D1874" s="86">
        <v>46175.0</v>
      </c>
      <c r="E1874" s="43" t="str">
        <f t="shared" si="39"/>
        <v>2026</v>
      </c>
      <c r="F1874" s="43" t="str">
        <f t="shared" si="40"/>
        <v>06 Jun</v>
      </c>
      <c r="G1874" s="45" t="s">
        <v>190</v>
      </c>
      <c r="H1874" s="45" t="s">
        <v>26</v>
      </c>
      <c r="I1874" s="45" t="s">
        <v>1430</v>
      </c>
      <c r="J1874" s="143" t="s">
        <v>28</v>
      </c>
      <c r="K1874" s="43" t="str">
        <f t="array" ref="K1874">IF(J1874="","", XLOOKUP(J1874,'⚙️ Pengaturan'!$E$2:$E3237,'⚙️ Pengaturan'!$G$2:$G3237))</f>
        <v>KLINIK FT TA</v>
      </c>
      <c r="L1874" s="43" t="str">
        <f t="shared" si="3"/>
        <v>BARU</v>
      </c>
      <c r="M1874" s="144" t="s">
        <v>31</v>
      </c>
      <c r="N1874" s="145">
        <v>250000.0</v>
      </c>
      <c r="O1874" s="146">
        <v>0.0</v>
      </c>
      <c r="P1874" s="48">
        <f t="array" ref="P1874">IFNA(XLOOKUP(J1874,'⚙️ Pengaturan'!$E$2:$E3237,'⚙️ Pengaturan'!$F$2:$F3237),"")</f>
        <v>250000</v>
      </c>
      <c r="Q1874" s="147">
        <f t="shared" si="45"/>
        <v>0</v>
      </c>
      <c r="R1874" s="41" t="s">
        <v>37</v>
      </c>
      <c r="S1874" s="69" t="s">
        <v>1430</v>
      </c>
      <c r="T1874" s="51" t="b">
        <v>1</v>
      </c>
      <c r="U1874" s="94" t="s">
        <v>1374</v>
      </c>
    </row>
    <row r="1875" ht="30.0" customHeight="1">
      <c r="A1875" s="39"/>
      <c r="B1875" s="40">
        <v>3912.0</v>
      </c>
      <c r="C1875" s="41" t="s">
        <v>50</v>
      </c>
      <c r="D1875" s="86">
        <v>46176.0</v>
      </c>
      <c r="E1875" s="43" t="str">
        <f t="shared" si="39"/>
        <v>2026</v>
      </c>
      <c r="F1875" s="43" t="str">
        <f t="shared" si="40"/>
        <v>06 Jun</v>
      </c>
      <c r="G1875" s="45" t="s">
        <v>195</v>
      </c>
      <c r="H1875" s="45" t="s">
        <v>76</v>
      </c>
      <c r="I1875" s="45" t="s">
        <v>1431</v>
      </c>
      <c r="J1875" s="143" t="s">
        <v>28</v>
      </c>
      <c r="K1875" s="43" t="str">
        <f t="array" ref="K1875">IF(J1875="","", XLOOKUP(J1875,'⚙️ Pengaturan'!$E$2:$E3237,'⚙️ Pengaturan'!$G$2:$G3237))</f>
        <v>KLINIK FT TA</v>
      </c>
      <c r="L1875" s="43" t="str">
        <f t="shared" si="3"/>
        <v>BARU</v>
      </c>
      <c r="M1875" s="144" t="s">
        <v>31</v>
      </c>
      <c r="N1875" s="145">
        <v>250000.0</v>
      </c>
      <c r="O1875" s="146">
        <v>0.0</v>
      </c>
      <c r="P1875" s="48">
        <f t="array" ref="P1875">IFNA(XLOOKUP(J1875,'⚙️ Pengaturan'!$E$2:$E3237,'⚙️ Pengaturan'!$F$2:$F3237),"")</f>
        <v>250000</v>
      </c>
      <c r="Q1875" s="147">
        <f t="shared" si="45"/>
        <v>0</v>
      </c>
      <c r="R1875" s="41" t="s">
        <v>32</v>
      </c>
      <c r="S1875" s="69" t="s">
        <v>33</v>
      </c>
      <c r="T1875" s="51" t="b">
        <v>1</v>
      </c>
      <c r="U1875" s="94"/>
    </row>
    <row r="1876" ht="30.0" customHeight="1">
      <c r="A1876" s="39"/>
      <c r="B1876" s="161">
        <v>3913.0</v>
      </c>
      <c r="C1876" s="41" t="s">
        <v>50</v>
      </c>
      <c r="D1876" s="86">
        <v>46176.0</v>
      </c>
      <c r="E1876" s="43" t="str">
        <f t="shared" si="39"/>
        <v>2026</v>
      </c>
      <c r="F1876" s="43" t="str">
        <f t="shared" si="40"/>
        <v>06 Jun</v>
      </c>
      <c r="G1876" s="45" t="s">
        <v>206</v>
      </c>
      <c r="H1876" s="45" t="s">
        <v>149</v>
      </c>
      <c r="I1876" s="45" t="s">
        <v>1369</v>
      </c>
      <c r="J1876" s="143" t="s">
        <v>119</v>
      </c>
      <c r="K1876" s="43" t="str">
        <f t="array" ref="K1876">IF(J1876="","", XLOOKUP(J1876,'⚙️ Pengaturan'!$E$2:$E3237,'⚙️ Pengaturan'!$G$2:$G3237))</f>
        <v>KLINIK FT PAKET</v>
      </c>
      <c r="L1876" s="43" t="str">
        <f t="shared" si="3"/>
        <v>LANJUTAN</v>
      </c>
      <c r="M1876" s="144" t="s">
        <v>31</v>
      </c>
      <c r="N1876" s="145">
        <v>750000.0</v>
      </c>
      <c r="O1876" s="146">
        <v>0.0</v>
      </c>
      <c r="P1876" s="48">
        <f t="array" ref="P1876">IFNA(XLOOKUP(J1876,'⚙️ Pengaturan'!$E$2:$E3237,'⚙️ Pengaturan'!$F$2:$F3237),"")</f>
        <v>750000</v>
      </c>
      <c r="Q1876" s="147">
        <f t="shared" si="45"/>
        <v>0</v>
      </c>
      <c r="R1876" s="41" t="s">
        <v>32</v>
      </c>
      <c r="S1876" s="69" t="s">
        <v>33</v>
      </c>
      <c r="T1876" s="51" t="b">
        <v>1</v>
      </c>
      <c r="U1876" s="94"/>
    </row>
    <row r="1877" ht="30.0" customHeight="1">
      <c r="A1877" s="39"/>
      <c r="B1877" s="40">
        <v>3914.0</v>
      </c>
      <c r="C1877" s="41" t="s">
        <v>50</v>
      </c>
      <c r="D1877" s="86">
        <v>46176.0</v>
      </c>
      <c r="E1877" s="43" t="str">
        <f t="shared" si="39"/>
        <v>2026</v>
      </c>
      <c r="F1877" s="43" t="str">
        <f t="shared" si="40"/>
        <v>06 Jun</v>
      </c>
      <c r="G1877" s="45" t="s">
        <v>206</v>
      </c>
      <c r="H1877" s="45" t="s">
        <v>26</v>
      </c>
      <c r="I1877" s="45" t="s">
        <v>1327</v>
      </c>
      <c r="J1877" s="143" t="s">
        <v>347</v>
      </c>
      <c r="K1877" s="43" t="str">
        <f t="array" ref="K1877">IF(J1877="","", XLOOKUP(J1877,'⚙️ Pengaturan'!$E$2:$E3237,'⚙️ Pengaturan'!$G$2:$G3237))</f>
        <v>KLINIK FT PAKET</v>
      </c>
      <c r="L1877" s="43" t="str">
        <f t="shared" si="3"/>
        <v>BARU</v>
      </c>
      <c r="M1877" s="144" t="s">
        <v>31</v>
      </c>
      <c r="N1877" s="145">
        <v>1300000.0</v>
      </c>
      <c r="O1877" s="146">
        <v>0.0</v>
      </c>
      <c r="P1877" s="48">
        <f t="array" ref="P1877">IFNA(XLOOKUP(J1877,'⚙️ Pengaturan'!$E$2:$E3237,'⚙️ Pengaturan'!$F$2:$F3237),"")</f>
        <v>1300000</v>
      </c>
      <c r="Q1877" s="147">
        <f t="shared" si="45"/>
        <v>0</v>
      </c>
      <c r="R1877" s="41" t="s">
        <v>32</v>
      </c>
      <c r="S1877" s="69" t="s">
        <v>33</v>
      </c>
      <c r="T1877" s="51" t="b">
        <v>1</v>
      </c>
      <c r="U1877" s="94"/>
    </row>
    <row r="1878" ht="30.0" customHeight="1">
      <c r="A1878" s="39"/>
      <c r="B1878" s="161">
        <v>3915.0</v>
      </c>
      <c r="C1878" s="41" t="s">
        <v>50</v>
      </c>
      <c r="D1878" s="86">
        <v>46176.0</v>
      </c>
      <c r="E1878" s="43" t="str">
        <f t="shared" si="39"/>
        <v>2026</v>
      </c>
      <c r="F1878" s="43" t="str">
        <f t="shared" si="40"/>
        <v>06 Jun</v>
      </c>
      <c r="G1878" s="45" t="s">
        <v>161</v>
      </c>
      <c r="H1878" s="45" t="s">
        <v>47</v>
      </c>
      <c r="I1878" s="45" t="s">
        <v>1432</v>
      </c>
      <c r="J1878" s="143" t="s">
        <v>28</v>
      </c>
      <c r="K1878" s="43" t="str">
        <f t="array" ref="K1878">IF(J1878="","", XLOOKUP(J1878,'⚙️ Pengaturan'!$E$2:$E3237,'⚙️ Pengaturan'!$G$2:$G3237))</f>
        <v>KLINIK FT TA</v>
      </c>
      <c r="L1878" s="43" t="str">
        <f t="shared" si="3"/>
        <v>BARU</v>
      </c>
      <c r="M1878" s="144" t="s">
        <v>31</v>
      </c>
      <c r="N1878" s="145">
        <v>250000.0</v>
      </c>
      <c r="O1878" s="146">
        <v>0.0</v>
      </c>
      <c r="P1878" s="48">
        <f t="array" ref="P1878">IFNA(XLOOKUP(J1878,'⚙️ Pengaturan'!$E$2:$E3237,'⚙️ Pengaturan'!$F$2:$F3237),"")</f>
        <v>250000</v>
      </c>
      <c r="Q1878" s="147">
        <f t="shared" si="45"/>
        <v>0</v>
      </c>
      <c r="R1878" s="41" t="s">
        <v>37</v>
      </c>
      <c r="S1878" s="69" t="s">
        <v>1433</v>
      </c>
      <c r="T1878" s="51" t="b">
        <v>1</v>
      </c>
      <c r="U1878" s="94"/>
    </row>
    <row r="1879" ht="30.0" customHeight="1">
      <c r="A1879" s="39"/>
      <c r="B1879" s="40">
        <v>3916.0</v>
      </c>
      <c r="C1879" s="41" t="s">
        <v>50</v>
      </c>
      <c r="D1879" s="86">
        <v>46176.0</v>
      </c>
      <c r="E1879" s="43" t="str">
        <f t="shared" si="39"/>
        <v>2026</v>
      </c>
      <c r="F1879" s="43" t="str">
        <f t="shared" si="40"/>
        <v>06 Jun</v>
      </c>
      <c r="G1879" s="45" t="s">
        <v>161</v>
      </c>
      <c r="H1879" s="45" t="s">
        <v>47</v>
      </c>
      <c r="I1879" s="45" t="s">
        <v>1432</v>
      </c>
      <c r="J1879" s="143" t="s">
        <v>347</v>
      </c>
      <c r="K1879" s="43" t="str">
        <f t="array" ref="K1879">IF(J1879="","", XLOOKUP(J1879,'⚙️ Pengaturan'!$E$2:$E3237,'⚙️ Pengaturan'!$G$2:$G3237))</f>
        <v>KLINIK FT PAKET</v>
      </c>
      <c r="L1879" s="43" t="str">
        <f t="shared" si="3"/>
        <v>BARU</v>
      </c>
      <c r="M1879" s="144" t="s">
        <v>60</v>
      </c>
      <c r="N1879" s="145">
        <v>600000.0</v>
      </c>
      <c r="O1879" s="146">
        <v>0.0</v>
      </c>
      <c r="P1879" s="48">
        <f t="array" ref="P1879">IFNA(XLOOKUP(J1879,'⚙️ Pengaturan'!$E$2:$E3237,'⚙️ Pengaturan'!$F$2:$F3237),"")</f>
        <v>1300000</v>
      </c>
      <c r="Q1879" s="147">
        <f t="shared" si="45"/>
        <v>-700000</v>
      </c>
      <c r="R1879" s="41" t="s">
        <v>37</v>
      </c>
      <c r="S1879" s="69" t="s">
        <v>1433</v>
      </c>
      <c r="T1879" s="51" t="b">
        <v>1</v>
      </c>
      <c r="U1879" s="94"/>
    </row>
    <row r="1880" ht="30.0" customHeight="1">
      <c r="A1880" s="39"/>
      <c r="B1880" s="161">
        <v>3917.0</v>
      </c>
      <c r="C1880" s="41" t="s">
        <v>50</v>
      </c>
      <c r="D1880" s="86">
        <v>46176.0</v>
      </c>
      <c r="E1880" s="43" t="str">
        <f t="shared" si="39"/>
        <v>2026</v>
      </c>
      <c r="F1880" s="43" t="str">
        <f t="shared" si="40"/>
        <v>06 Jun</v>
      </c>
      <c r="G1880" s="45" t="s">
        <v>35</v>
      </c>
      <c r="H1880" s="45" t="s">
        <v>76</v>
      </c>
      <c r="I1880" s="45" t="s">
        <v>1434</v>
      </c>
      <c r="J1880" s="143" t="s">
        <v>28</v>
      </c>
      <c r="K1880" s="43" t="str">
        <f t="array" ref="K1880">IF(J1880="","", XLOOKUP(J1880,'⚙️ Pengaturan'!$E$2:$E3237,'⚙️ Pengaturan'!$G$2:$G3237))</f>
        <v>KLINIK FT TA</v>
      </c>
      <c r="L1880" s="43" t="str">
        <f t="shared" si="3"/>
        <v>BARU</v>
      </c>
      <c r="M1880" s="144" t="s">
        <v>31</v>
      </c>
      <c r="N1880" s="145">
        <v>250000.0</v>
      </c>
      <c r="O1880" s="146">
        <v>0.0</v>
      </c>
      <c r="P1880" s="48">
        <f t="array" ref="P1880">IFNA(XLOOKUP(J1880,'⚙️ Pengaturan'!$E$2:$E3237,'⚙️ Pengaturan'!$F$2:$F3237),"")</f>
        <v>250000</v>
      </c>
      <c r="Q1880" s="147">
        <f t="shared" si="45"/>
        <v>0</v>
      </c>
      <c r="R1880" s="41" t="s">
        <v>32</v>
      </c>
      <c r="S1880" s="69" t="s">
        <v>33</v>
      </c>
      <c r="T1880" s="51" t="b">
        <v>1</v>
      </c>
      <c r="U1880" s="94"/>
    </row>
    <row r="1881" ht="30.0" customHeight="1">
      <c r="A1881" s="39"/>
      <c r="B1881" s="40">
        <v>3918.0</v>
      </c>
      <c r="C1881" s="41" t="s">
        <v>39</v>
      </c>
      <c r="D1881" s="86">
        <v>46176.0</v>
      </c>
      <c r="E1881" s="43" t="str">
        <f t="shared" si="39"/>
        <v>2026</v>
      </c>
      <c r="F1881" s="43" t="str">
        <f t="shared" si="40"/>
        <v>06 Jun</v>
      </c>
      <c r="G1881" s="45" t="s">
        <v>35</v>
      </c>
      <c r="H1881" s="45" t="s">
        <v>41</v>
      </c>
      <c r="I1881" s="45" t="s">
        <v>1393</v>
      </c>
      <c r="J1881" s="143" t="s">
        <v>119</v>
      </c>
      <c r="K1881" s="43" t="str">
        <f t="array" ref="K1881">IF(J1881="","", XLOOKUP(J1881,'⚙️ Pengaturan'!$E$2:$E3237,'⚙️ Pengaturan'!$G$2:$G3237))</f>
        <v>KLINIK FT PAKET</v>
      </c>
      <c r="L1881" s="43" t="str">
        <f t="shared" si="3"/>
        <v>BARU</v>
      </c>
      <c r="M1881" s="144" t="s">
        <v>31</v>
      </c>
      <c r="N1881" s="145">
        <v>750000.0</v>
      </c>
      <c r="O1881" s="146">
        <v>0.0</v>
      </c>
      <c r="P1881" s="48">
        <f t="array" ref="P1881">IFNA(XLOOKUP(J1881,'⚙️ Pengaturan'!$E$2:$E3237,'⚙️ Pengaturan'!$F$2:$F3237),"")</f>
        <v>750000</v>
      </c>
      <c r="Q1881" s="147">
        <f t="shared" si="45"/>
        <v>0</v>
      </c>
      <c r="R1881" s="41" t="s">
        <v>37</v>
      </c>
      <c r="S1881" s="69" t="s">
        <v>1393</v>
      </c>
      <c r="T1881" s="51" t="b">
        <v>1</v>
      </c>
      <c r="U1881" s="94"/>
    </row>
    <row r="1882" ht="30.0" customHeight="1">
      <c r="A1882" s="39"/>
      <c r="B1882" s="161">
        <v>3919.0</v>
      </c>
      <c r="C1882" s="41" t="s">
        <v>39</v>
      </c>
      <c r="D1882" s="86">
        <v>46176.0</v>
      </c>
      <c r="E1882" s="43" t="str">
        <f t="shared" si="39"/>
        <v>2026</v>
      </c>
      <c r="F1882" s="43" t="str">
        <f t="shared" si="40"/>
        <v>06 Jun</v>
      </c>
      <c r="G1882" s="45" t="s">
        <v>40</v>
      </c>
      <c r="H1882" s="45" t="s">
        <v>26</v>
      </c>
      <c r="I1882" s="45" t="s">
        <v>701</v>
      </c>
      <c r="J1882" s="143" t="s">
        <v>119</v>
      </c>
      <c r="K1882" s="43" t="str">
        <f t="array" ref="K1882">IF(J1882="","", XLOOKUP(J1882,'⚙️ Pengaturan'!$E$2:$E3237,'⚙️ Pengaturan'!$G$2:$G3237))</f>
        <v>KLINIK FT PAKET</v>
      </c>
      <c r="L1882" s="43" t="str">
        <f t="shared" si="3"/>
        <v>LANJUTAN</v>
      </c>
      <c r="M1882" s="144" t="s">
        <v>31</v>
      </c>
      <c r="N1882" s="145">
        <v>200000.0</v>
      </c>
      <c r="O1882" s="146">
        <v>150000.0</v>
      </c>
      <c r="P1882" s="48">
        <f t="array" ref="P1882">IFNA(XLOOKUP(J1882,'⚙️ Pengaturan'!$E$2:$E3237,'⚙️ Pengaturan'!$F$2:$F3237),"")</f>
        <v>750000</v>
      </c>
      <c r="Q1882" s="147">
        <f t="shared" si="45"/>
        <v>-400000</v>
      </c>
      <c r="R1882" s="41" t="s">
        <v>32</v>
      </c>
      <c r="S1882" s="69" t="s">
        <v>1332</v>
      </c>
      <c r="T1882" s="51" t="b">
        <v>1</v>
      </c>
      <c r="U1882" s="94"/>
    </row>
    <row r="1883" ht="30.0" customHeight="1">
      <c r="A1883" s="39"/>
      <c r="B1883" s="40">
        <v>3920.0</v>
      </c>
      <c r="C1883" s="41" t="s">
        <v>39</v>
      </c>
      <c r="D1883" s="86">
        <v>46176.0</v>
      </c>
      <c r="E1883" s="43" t="str">
        <f t="shared" si="39"/>
        <v>2026</v>
      </c>
      <c r="F1883" s="43" t="str">
        <f t="shared" si="40"/>
        <v>06 Jun</v>
      </c>
      <c r="G1883" s="45" t="s">
        <v>40</v>
      </c>
      <c r="H1883" s="45" t="s">
        <v>162</v>
      </c>
      <c r="I1883" s="45" t="s">
        <v>1435</v>
      </c>
      <c r="J1883" s="143" t="s">
        <v>28</v>
      </c>
      <c r="K1883" s="43" t="str">
        <f t="array" ref="K1883">IF(J1883="","", XLOOKUP(J1883,'⚙️ Pengaturan'!$E$2:$E3237,'⚙️ Pengaturan'!$G$2:$G3237))</f>
        <v>KLINIK FT TA</v>
      </c>
      <c r="L1883" s="43" t="str">
        <f t="shared" si="3"/>
        <v>BARU</v>
      </c>
      <c r="M1883" s="144" t="s">
        <v>31</v>
      </c>
      <c r="N1883" s="145">
        <v>250000.0</v>
      </c>
      <c r="O1883" s="146">
        <v>0.0</v>
      </c>
      <c r="P1883" s="48">
        <f t="array" ref="P1883">IFNA(XLOOKUP(J1883,'⚙️ Pengaturan'!$E$2:$E3237,'⚙️ Pengaturan'!$F$2:$F3237),"")</f>
        <v>250000</v>
      </c>
      <c r="Q1883" s="147">
        <f t="shared" si="45"/>
        <v>0</v>
      </c>
      <c r="R1883" s="41" t="s">
        <v>32</v>
      </c>
      <c r="S1883" s="69" t="s">
        <v>33</v>
      </c>
      <c r="T1883" s="51" t="b">
        <v>1</v>
      </c>
      <c r="U1883" s="94"/>
    </row>
    <row r="1884" ht="30.0" customHeight="1">
      <c r="A1884" s="39"/>
      <c r="B1884" s="161">
        <v>3921.0</v>
      </c>
      <c r="C1884" s="41" t="s">
        <v>39</v>
      </c>
      <c r="D1884" s="86">
        <v>46176.0</v>
      </c>
      <c r="E1884" s="43" t="str">
        <f t="shared" si="39"/>
        <v>2026</v>
      </c>
      <c r="F1884" s="43" t="str">
        <f t="shared" si="40"/>
        <v>06 Jun</v>
      </c>
      <c r="G1884" s="45" t="s">
        <v>40</v>
      </c>
      <c r="H1884" s="45" t="s">
        <v>166</v>
      </c>
      <c r="I1884" s="45" t="s">
        <v>1436</v>
      </c>
      <c r="J1884" s="143" t="s">
        <v>28</v>
      </c>
      <c r="K1884" s="43" t="str">
        <f t="array" ref="K1884">IF(J1884="","", XLOOKUP(J1884,'⚙️ Pengaturan'!$E$2:$E3237,'⚙️ Pengaturan'!$G$2:$G3237))</f>
        <v>KLINIK FT TA</v>
      </c>
      <c r="L1884" s="43" t="str">
        <f t="shared" si="3"/>
        <v>BARU</v>
      </c>
      <c r="M1884" s="144" t="s">
        <v>31</v>
      </c>
      <c r="N1884" s="145">
        <v>250000.0</v>
      </c>
      <c r="O1884" s="146">
        <v>0.0</v>
      </c>
      <c r="P1884" s="48">
        <f t="array" ref="P1884">IFNA(XLOOKUP(J1884,'⚙️ Pengaturan'!$E$2:$E3237,'⚙️ Pengaturan'!$F$2:$F3237),"")</f>
        <v>250000</v>
      </c>
      <c r="Q1884" s="147">
        <f t="shared" si="45"/>
        <v>0</v>
      </c>
      <c r="R1884" s="41" t="s">
        <v>32</v>
      </c>
      <c r="S1884" s="69" t="s">
        <v>33</v>
      </c>
      <c r="T1884" s="51" t="b">
        <v>1</v>
      </c>
      <c r="U1884" s="94"/>
    </row>
    <row r="1885" ht="30.0" customHeight="1">
      <c r="A1885" s="39"/>
      <c r="B1885" s="40">
        <v>3922.0</v>
      </c>
      <c r="C1885" s="41" t="s">
        <v>39</v>
      </c>
      <c r="D1885" s="86">
        <v>46176.0</v>
      </c>
      <c r="E1885" s="43" t="str">
        <f t="shared" si="39"/>
        <v>2026</v>
      </c>
      <c r="F1885" s="43" t="str">
        <f t="shared" si="40"/>
        <v>06 Jun</v>
      </c>
      <c r="G1885" s="45" t="s">
        <v>173</v>
      </c>
      <c r="H1885" s="45" t="s">
        <v>162</v>
      </c>
      <c r="I1885" s="45" t="s">
        <v>1276</v>
      </c>
      <c r="J1885" s="143" t="s">
        <v>120</v>
      </c>
      <c r="K1885" s="43" t="str">
        <f t="array" ref="K1885">IF(J1885="","", XLOOKUP(J1885,'⚙️ Pengaturan'!$E$2:$E3237,'⚙️ Pengaturan'!$G$2:$G3237))</f>
        <v>KLINIK FT SESI</v>
      </c>
      <c r="L1885" s="43" t="str">
        <f t="shared" si="3"/>
        <v>BARU</v>
      </c>
      <c r="M1885" s="144" t="s">
        <v>31</v>
      </c>
      <c r="N1885" s="145">
        <v>180000.0</v>
      </c>
      <c r="O1885" s="146">
        <v>0.0</v>
      </c>
      <c r="P1885" s="48">
        <f t="array" ref="P1885">IFNA(XLOOKUP(J1885,'⚙️ Pengaturan'!$E$2:$E3237,'⚙️ Pengaturan'!$F$2:$F3237),"")</f>
        <v>180000</v>
      </c>
      <c r="Q1885" s="147">
        <f t="shared" si="45"/>
        <v>0</v>
      </c>
      <c r="R1885" s="41" t="s">
        <v>37</v>
      </c>
      <c r="S1885" s="69" t="s">
        <v>33</v>
      </c>
      <c r="T1885" s="51" t="b">
        <v>1</v>
      </c>
      <c r="U1885" s="94"/>
    </row>
    <row r="1886" ht="30.0" customHeight="1">
      <c r="A1886" s="39"/>
      <c r="B1886" s="161">
        <v>3923.0</v>
      </c>
      <c r="C1886" s="41" t="s">
        <v>39</v>
      </c>
      <c r="D1886" s="86">
        <v>46176.0</v>
      </c>
      <c r="E1886" s="43" t="str">
        <f t="shared" si="39"/>
        <v>2026</v>
      </c>
      <c r="F1886" s="43" t="str">
        <f t="shared" si="40"/>
        <v>06 Jun</v>
      </c>
      <c r="G1886" s="45" t="s">
        <v>155</v>
      </c>
      <c r="H1886" s="45" t="s">
        <v>162</v>
      </c>
      <c r="I1886" s="45" t="s">
        <v>1437</v>
      </c>
      <c r="J1886" s="143" t="s">
        <v>28</v>
      </c>
      <c r="K1886" s="43" t="str">
        <f t="array" ref="K1886">IF(J1886="","", XLOOKUP(J1886,'⚙️ Pengaturan'!$E$2:$E3237,'⚙️ Pengaturan'!$G$2:$G3237))</f>
        <v>KLINIK FT TA</v>
      </c>
      <c r="L1886" s="43" t="str">
        <f t="shared" si="3"/>
        <v>BARU</v>
      </c>
      <c r="M1886" s="144" t="s">
        <v>31</v>
      </c>
      <c r="N1886" s="145">
        <v>250000.0</v>
      </c>
      <c r="O1886" s="146">
        <v>0.0</v>
      </c>
      <c r="P1886" s="48">
        <f t="array" ref="P1886">IFNA(XLOOKUP(J1886,'⚙️ Pengaturan'!$E$2:$E3237,'⚙️ Pengaturan'!$F$2:$F3237),"")</f>
        <v>250000</v>
      </c>
      <c r="Q1886" s="147">
        <f t="shared" si="45"/>
        <v>0</v>
      </c>
      <c r="R1886" s="41" t="s">
        <v>32</v>
      </c>
      <c r="S1886" s="69" t="s">
        <v>33</v>
      </c>
      <c r="T1886" s="51" t="b">
        <v>1</v>
      </c>
      <c r="U1886" s="94"/>
    </row>
    <row r="1887" ht="30.0" customHeight="1">
      <c r="A1887" s="39"/>
      <c r="B1887" s="40">
        <v>3924.0</v>
      </c>
      <c r="C1887" s="41" t="s">
        <v>39</v>
      </c>
      <c r="D1887" s="86">
        <v>46176.0</v>
      </c>
      <c r="E1887" s="43" t="str">
        <f t="shared" si="39"/>
        <v>2026</v>
      </c>
      <c r="F1887" s="43" t="str">
        <f t="shared" si="40"/>
        <v>06 Jun</v>
      </c>
      <c r="G1887" s="45" t="s">
        <v>195</v>
      </c>
      <c r="H1887" s="45" t="s">
        <v>47</v>
      </c>
      <c r="I1887" s="45" t="s">
        <v>1438</v>
      </c>
      <c r="J1887" s="143" t="s">
        <v>120</v>
      </c>
      <c r="K1887" s="43" t="str">
        <f t="array" ref="K1887">IF(J1887="","", XLOOKUP(J1887,'⚙️ Pengaturan'!$E$2:$E3237,'⚙️ Pengaturan'!$G$2:$G3237))</f>
        <v>KLINIK FT SESI</v>
      </c>
      <c r="L1887" s="43" t="str">
        <f t="shared" si="3"/>
        <v>BARU</v>
      </c>
      <c r="M1887" s="144" t="s">
        <v>31</v>
      </c>
      <c r="N1887" s="145">
        <v>0.0</v>
      </c>
      <c r="O1887" s="146">
        <v>180000.0</v>
      </c>
      <c r="P1887" s="48">
        <f t="array" ref="P1887">IFNA(XLOOKUP(J1887,'⚙️ Pengaturan'!$E$2:$E3237,'⚙️ Pengaturan'!$F$2:$F3237),"")</f>
        <v>180000</v>
      </c>
      <c r="Q1887" s="153">
        <v>0.0</v>
      </c>
      <c r="R1887" s="41" t="s">
        <v>32</v>
      </c>
      <c r="S1887" s="69" t="s">
        <v>33</v>
      </c>
      <c r="T1887" s="51" t="b">
        <v>1</v>
      </c>
      <c r="U1887" s="94"/>
    </row>
    <row r="1888" ht="30.0" customHeight="1">
      <c r="A1888" s="39"/>
      <c r="B1888" s="161">
        <v>3925.0</v>
      </c>
      <c r="C1888" s="41" t="s">
        <v>39</v>
      </c>
      <c r="D1888" s="86">
        <v>46177.0</v>
      </c>
      <c r="E1888" s="43" t="str">
        <f t="shared" si="39"/>
        <v>2026</v>
      </c>
      <c r="F1888" s="43" t="str">
        <f t="shared" si="40"/>
        <v>06 Jun</v>
      </c>
      <c r="G1888" s="45" t="s">
        <v>195</v>
      </c>
      <c r="H1888" s="45" t="s">
        <v>150</v>
      </c>
      <c r="I1888" s="45" t="s">
        <v>1427</v>
      </c>
      <c r="J1888" s="143" t="s">
        <v>120</v>
      </c>
      <c r="K1888" s="43" t="str">
        <f t="array" ref="K1888">IF(J1888="","", XLOOKUP(J1888,'⚙️ Pengaturan'!$E$2:$E3237,'⚙️ Pengaturan'!$G$2:$G3237))</f>
        <v>KLINIK FT SESI</v>
      </c>
      <c r="L1888" s="43" t="str">
        <f t="shared" si="3"/>
        <v>BARU</v>
      </c>
      <c r="M1888" s="144" t="s">
        <v>31</v>
      </c>
      <c r="N1888" s="145">
        <v>180000.0</v>
      </c>
      <c r="O1888" s="146">
        <v>0.0</v>
      </c>
      <c r="P1888" s="48">
        <f t="array" ref="P1888">IFNA(XLOOKUP(J1888,'⚙️ Pengaturan'!$E$2:$E3237,'⚙️ Pengaturan'!$F$2:$F3237),"")</f>
        <v>180000</v>
      </c>
      <c r="Q1888" s="147">
        <f t="shared" ref="Q1888:Q1913" si="46">IF(I1888="","",(N1888+O1888)-P1888)</f>
        <v>0</v>
      </c>
      <c r="R1888" s="41" t="s">
        <v>37</v>
      </c>
      <c r="S1888" s="69" t="s">
        <v>1427</v>
      </c>
      <c r="T1888" s="51" t="b">
        <v>1</v>
      </c>
      <c r="U1888" s="94"/>
    </row>
    <row r="1889" ht="30.0" customHeight="1">
      <c r="A1889" s="39"/>
      <c r="B1889" s="40">
        <v>3926.0</v>
      </c>
      <c r="C1889" s="41" t="s">
        <v>39</v>
      </c>
      <c r="D1889" s="86">
        <v>46177.0</v>
      </c>
      <c r="E1889" s="43" t="str">
        <f t="shared" si="39"/>
        <v>2026</v>
      </c>
      <c r="F1889" s="43" t="str">
        <f t="shared" si="40"/>
        <v>06 Jun</v>
      </c>
      <c r="G1889" s="45" t="s">
        <v>195</v>
      </c>
      <c r="H1889" s="45" t="s">
        <v>41</v>
      </c>
      <c r="I1889" s="45" t="s">
        <v>876</v>
      </c>
      <c r="J1889" s="143" t="s">
        <v>291</v>
      </c>
      <c r="K1889" s="43" t="str">
        <f t="array" ref="K1889">IF(J1889="","", XLOOKUP(J1889,'⚙️ Pengaturan'!$E$2:$E3237,'⚙️ Pengaturan'!$G$2:$G3237))</f>
        <v>VISIT FT TA</v>
      </c>
      <c r="L1889" s="43" t="str">
        <f t="shared" si="3"/>
        <v>BARU</v>
      </c>
      <c r="M1889" s="144" t="s">
        <v>31</v>
      </c>
      <c r="N1889" s="145">
        <v>350000.0</v>
      </c>
      <c r="O1889" s="146">
        <v>0.0</v>
      </c>
      <c r="P1889" s="48">
        <f t="array" ref="P1889">IFNA(XLOOKUP(J1889,'⚙️ Pengaturan'!$E$2:$E3237,'⚙️ Pengaturan'!$F$2:$F3237),"")</f>
        <v>350000</v>
      </c>
      <c r="Q1889" s="147">
        <f t="shared" si="46"/>
        <v>0</v>
      </c>
      <c r="R1889" s="41" t="s">
        <v>37</v>
      </c>
      <c r="S1889" s="69" t="s">
        <v>1439</v>
      </c>
      <c r="T1889" s="51" t="b">
        <v>1</v>
      </c>
      <c r="U1889" s="94"/>
    </row>
    <row r="1890" ht="30.0" customHeight="1">
      <c r="A1890" s="39"/>
      <c r="B1890" s="161">
        <v>3927.0</v>
      </c>
      <c r="C1890" s="41" t="s">
        <v>39</v>
      </c>
      <c r="D1890" s="86">
        <v>46177.0</v>
      </c>
      <c r="E1890" s="43" t="str">
        <f t="shared" si="39"/>
        <v>2026</v>
      </c>
      <c r="F1890" s="43" t="str">
        <f t="shared" si="40"/>
        <v>06 Jun</v>
      </c>
      <c r="G1890" s="45" t="s">
        <v>25</v>
      </c>
      <c r="H1890" s="45" t="s">
        <v>150</v>
      </c>
      <c r="I1890" s="45" t="s">
        <v>1369</v>
      </c>
      <c r="J1890" s="143" t="s">
        <v>28</v>
      </c>
      <c r="K1890" s="43" t="str">
        <f t="array" ref="K1890">IF(J1890="","", XLOOKUP(J1890,'⚙️ Pengaturan'!$E$2:$E3237,'⚙️ Pengaturan'!$G$2:$G3237))</f>
        <v>KLINIK FT TA</v>
      </c>
      <c r="L1890" s="43" t="str">
        <f t="shared" si="3"/>
        <v>LANJUTAN</v>
      </c>
      <c r="M1890" s="144" t="s">
        <v>31</v>
      </c>
      <c r="N1890" s="145">
        <v>250000.0</v>
      </c>
      <c r="O1890" s="146">
        <v>0.0</v>
      </c>
      <c r="P1890" s="48">
        <f t="array" ref="P1890">IFNA(XLOOKUP(J1890,'⚙️ Pengaturan'!$E$2:$E3237,'⚙️ Pengaturan'!$F$2:$F3237),"")</f>
        <v>250000</v>
      </c>
      <c r="Q1890" s="147">
        <f t="shared" si="46"/>
        <v>0</v>
      </c>
      <c r="R1890" s="41" t="s">
        <v>32</v>
      </c>
      <c r="S1890" s="69" t="s">
        <v>33</v>
      </c>
      <c r="T1890" s="51" t="b">
        <v>1</v>
      </c>
      <c r="U1890" s="94"/>
    </row>
    <row r="1891" ht="30.0" customHeight="1">
      <c r="A1891" s="39"/>
      <c r="B1891" s="40">
        <v>3928.0</v>
      </c>
      <c r="C1891" s="41" t="s">
        <v>39</v>
      </c>
      <c r="D1891" s="86">
        <v>46177.0</v>
      </c>
      <c r="E1891" s="43" t="str">
        <f t="shared" si="39"/>
        <v>2026</v>
      </c>
      <c r="F1891" s="43" t="str">
        <f t="shared" si="40"/>
        <v>06 Jun</v>
      </c>
      <c r="G1891" s="45" t="s">
        <v>69</v>
      </c>
      <c r="H1891" s="45" t="s">
        <v>149</v>
      </c>
      <c r="I1891" s="45" t="s">
        <v>1370</v>
      </c>
      <c r="J1891" s="143" t="s">
        <v>138</v>
      </c>
      <c r="K1891" s="43" t="str">
        <f t="array" ref="K1891">IF(J1891="","", XLOOKUP(J1891,'⚙️ Pengaturan'!$E$2:$E3237,'⚙️ Pengaturan'!$G$2:$G3237))</f>
        <v>VISIT FT PAKET</v>
      </c>
      <c r="L1891" s="43" t="str">
        <f t="shared" si="3"/>
        <v>BARU</v>
      </c>
      <c r="M1891" s="144" t="s">
        <v>60</v>
      </c>
      <c r="N1891" s="145">
        <v>1000000.0</v>
      </c>
      <c r="O1891" s="146">
        <v>0.0</v>
      </c>
      <c r="P1891" s="48">
        <f t="array" ref="P1891">IFNA(XLOOKUP(J1891,'⚙️ Pengaturan'!$E$2:$E3237,'⚙️ Pengaturan'!$F$2:$F3237),"")</f>
        <v>1800000</v>
      </c>
      <c r="Q1891" s="147">
        <f t="shared" si="46"/>
        <v>-800000</v>
      </c>
      <c r="R1891" s="41" t="s">
        <v>37</v>
      </c>
      <c r="S1891" s="69" t="s">
        <v>1370</v>
      </c>
      <c r="T1891" s="51" t="b">
        <v>1</v>
      </c>
      <c r="U1891" s="94"/>
    </row>
    <row r="1892" ht="30.0" customHeight="1">
      <c r="A1892" s="39"/>
      <c r="B1892" s="161">
        <v>3929.0</v>
      </c>
      <c r="C1892" s="41" t="s">
        <v>50</v>
      </c>
      <c r="D1892" s="86">
        <v>46177.0</v>
      </c>
      <c r="E1892" s="43" t="str">
        <f t="shared" si="39"/>
        <v>2026</v>
      </c>
      <c r="F1892" s="43" t="str">
        <f t="shared" si="40"/>
        <v>06 Jun</v>
      </c>
      <c r="G1892" s="45" t="s">
        <v>40</v>
      </c>
      <c r="H1892" s="45" t="s">
        <v>47</v>
      </c>
      <c r="I1892" s="45" t="s">
        <v>1440</v>
      </c>
      <c r="J1892" s="143" t="s">
        <v>28</v>
      </c>
      <c r="K1892" s="43" t="str">
        <f t="array" ref="K1892">IF(J1892="","", XLOOKUP(J1892,'⚙️ Pengaturan'!$E$2:$E3237,'⚙️ Pengaturan'!$G$2:$G3237))</f>
        <v>KLINIK FT TA</v>
      </c>
      <c r="L1892" s="43" t="str">
        <f t="shared" si="3"/>
        <v>BARU</v>
      </c>
      <c r="M1892" s="144" t="s">
        <v>31</v>
      </c>
      <c r="N1892" s="145">
        <v>250000.0</v>
      </c>
      <c r="O1892" s="162">
        <v>0.0</v>
      </c>
      <c r="P1892" s="48">
        <f t="array" ref="P1892">IFNA(XLOOKUP(J1892,'⚙️ Pengaturan'!$E$2:$E3237,'⚙️ Pengaturan'!$F$2:$F3237),"")</f>
        <v>250000</v>
      </c>
      <c r="Q1892" s="147">
        <f t="shared" si="46"/>
        <v>0</v>
      </c>
      <c r="R1892" s="41" t="s">
        <v>37</v>
      </c>
      <c r="S1892" s="69" t="s">
        <v>1440</v>
      </c>
      <c r="T1892" s="51" t="b">
        <v>1</v>
      </c>
      <c r="U1892" s="94"/>
    </row>
    <row r="1893" ht="30.0" customHeight="1">
      <c r="A1893" s="39"/>
      <c r="B1893" s="40">
        <v>3930.0</v>
      </c>
      <c r="C1893" s="41" t="s">
        <v>50</v>
      </c>
      <c r="D1893" s="86">
        <v>46177.0</v>
      </c>
      <c r="E1893" s="43" t="str">
        <f t="shared" si="39"/>
        <v>2026</v>
      </c>
      <c r="F1893" s="43" t="str">
        <f t="shared" si="40"/>
        <v>06 Jun</v>
      </c>
      <c r="G1893" s="45" t="s">
        <v>43</v>
      </c>
      <c r="H1893" s="45" t="s">
        <v>47</v>
      </c>
      <c r="I1893" s="45" t="s">
        <v>1441</v>
      </c>
      <c r="J1893" s="143" t="s">
        <v>28</v>
      </c>
      <c r="K1893" s="43" t="str">
        <f t="array" ref="K1893">IF(J1893="","", XLOOKUP(J1893,'⚙️ Pengaturan'!$E$2:$E3237,'⚙️ Pengaturan'!$G$2:$G3237))</f>
        <v>KLINIK FT TA</v>
      </c>
      <c r="L1893" s="43" t="str">
        <f t="shared" si="3"/>
        <v>BARU</v>
      </c>
      <c r="M1893" s="144" t="s">
        <v>31</v>
      </c>
      <c r="N1893" s="145">
        <v>250000.0</v>
      </c>
      <c r="O1893" s="162">
        <v>0.0</v>
      </c>
      <c r="P1893" s="48">
        <f t="array" ref="P1893">IFNA(XLOOKUP(J1893,'⚙️ Pengaturan'!$E$2:$E3237,'⚙️ Pengaturan'!$F$2:$F3237),"")</f>
        <v>250000</v>
      </c>
      <c r="Q1893" s="147">
        <f t="shared" si="46"/>
        <v>0</v>
      </c>
      <c r="R1893" s="41" t="s">
        <v>37</v>
      </c>
      <c r="S1893" s="69" t="s">
        <v>1441</v>
      </c>
      <c r="T1893" s="51" t="b">
        <v>1</v>
      </c>
      <c r="U1893" s="94"/>
    </row>
    <row r="1894" ht="30.0" customHeight="1">
      <c r="A1894" s="39"/>
      <c r="B1894" s="161">
        <v>3931.0</v>
      </c>
      <c r="C1894" s="41" t="s">
        <v>50</v>
      </c>
      <c r="D1894" s="86">
        <v>46177.0</v>
      </c>
      <c r="E1894" s="43" t="str">
        <f t="shared" si="39"/>
        <v>2026</v>
      </c>
      <c r="F1894" s="43" t="str">
        <f t="shared" si="40"/>
        <v>06 Jun</v>
      </c>
      <c r="G1894" s="45" t="s">
        <v>43</v>
      </c>
      <c r="H1894" s="45" t="s">
        <v>166</v>
      </c>
      <c r="I1894" s="45" t="s">
        <v>710</v>
      </c>
      <c r="J1894" s="143" t="s">
        <v>92</v>
      </c>
      <c r="K1894" s="43" t="str">
        <f t="array" ref="K1894">IF(J1894="","", XLOOKUP(J1894,'⚙️ Pengaturan'!$E$2:$E3237,'⚙️ Pengaturan'!$G$2:$G3237))</f>
        <v>KLINIK FT PAKET</v>
      </c>
      <c r="L1894" s="43" t="str">
        <f t="shared" si="3"/>
        <v>LANJUTAN</v>
      </c>
      <c r="M1894" s="144" t="s">
        <v>31</v>
      </c>
      <c r="N1894" s="145">
        <v>1200000.0</v>
      </c>
      <c r="O1894" s="146">
        <v>0.0</v>
      </c>
      <c r="P1894" s="48">
        <f t="array" ref="P1894">IFNA(XLOOKUP(J1894,'⚙️ Pengaturan'!$E$2:$E3237,'⚙️ Pengaturan'!$F$2:$F3237),"")</f>
        <v>1200000</v>
      </c>
      <c r="Q1894" s="147">
        <f t="shared" si="46"/>
        <v>0</v>
      </c>
      <c r="R1894" s="41" t="s">
        <v>37</v>
      </c>
      <c r="S1894" s="69" t="s">
        <v>710</v>
      </c>
      <c r="T1894" s="51" t="b">
        <v>1</v>
      </c>
      <c r="U1894" s="94"/>
    </row>
    <row r="1895" ht="30.0" customHeight="1">
      <c r="A1895" s="39"/>
      <c r="B1895" s="40">
        <v>3932.0</v>
      </c>
      <c r="C1895" s="41" t="s">
        <v>50</v>
      </c>
      <c r="D1895" s="86">
        <v>46177.0</v>
      </c>
      <c r="E1895" s="43" t="str">
        <f t="shared" si="39"/>
        <v>2026</v>
      </c>
      <c r="F1895" s="43" t="str">
        <f t="shared" si="40"/>
        <v>06 Jun</v>
      </c>
      <c r="G1895" s="45" t="s">
        <v>155</v>
      </c>
      <c r="H1895" s="45" t="s">
        <v>149</v>
      </c>
      <c r="I1895" s="45" t="s">
        <v>174</v>
      </c>
      <c r="J1895" s="143" t="s">
        <v>374</v>
      </c>
      <c r="K1895" s="43" t="str">
        <f t="array" ref="K1895">IF(J1895="","", XLOOKUP(J1895,'⚙️ Pengaturan'!$E$2:$E3237,'⚙️ Pengaturan'!$G$2:$G3237))</f>
        <v>KELAS SKOLIO SESI</v>
      </c>
      <c r="L1895" s="43" t="str">
        <f t="shared" si="3"/>
        <v>LANJUTAN</v>
      </c>
      <c r="M1895" s="144" t="s">
        <v>31</v>
      </c>
      <c r="N1895" s="145">
        <v>120000.0</v>
      </c>
      <c r="O1895" s="146">
        <v>0.0</v>
      </c>
      <c r="P1895" s="48">
        <f t="array" ref="P1895">IFNA(XLOOKUP(J1895,'⚙️ Pengaturan'!$E$2:$E3237,'⚙️ Pengaturan'!$F$2:$F3237),"")</f>
        <v>120000</v>
      </c>
      <c r="Q1895" s="147">
        <f t="shared" si="46"/>
        <v>0</v>
      </c>
      <c r="R1895" s="41" t="s">
        <v>37</v>
      </c>
      <c r="S1895" s="69" t="s">
        <v>174</v>
      </c>
      <c r="T1895" s="51" t="b">
        <v>1</v>
      </c>
      <c r="U1895" s="94"/>
    </row>
    <row r="1896" ht="30.0" customHeight="1">
      <c r="A1896" s="39"/>
      <c r="B1896" s="161">
        <v>3933.0</v>
      </c>
      <c r="C1896" s="41" t="s">
        <v>50</v>
      </c>
      <c r="D1896" s="86">
        <v>46177.0</v>
      </c>
      <c r="E1896" s="43" t="str">
        <f t="shared" si="39"/>
        <v>2026</v>
      </c>
      <c r="F1896" s="43" t="str">
        <f t="shared" si="40"/>
        <v>06 Jun</v>
      </c>
      <c r="G1896" s="45" t="s">
        <v>155</v>
      </c>
      <c r="H1896" s="45" t="s">
        <v>149</v>
      </c>
      <c r="I1896" s="45" t="s">
        <v>1442</v>
      </c>
      <c r="J1896" s="143" t="s">
        <v>377</v>
      </c>
      <c r="K1896" s="43" t="str">
        <f t="array" ref="K1896">IF(J1896="","", XLOOKUP(J1896,'⚙️ Pengaturan'!$E$2:$E3237,'⚙️ Pengaturan'!$G$2:$G3237))</f>
        <v>KELAS SKOLIO PAKET</v>
      </c>
      <c r="L1896" s="43" t="str">
        <f t="shared" si="3"/>
        <v>BARU</v>
      </c>
      <c r="M1896" s="144" t="s">
        <v>31</v>
      </c>
      <c r="N1896" s="145">
        <v>440000.0</v>
      </c>
      <c r="O1896" s="146">
        <v>0.0</v>
      </c>
      <c r="P1896" s="48">
        <f t="array" ref="P1896">IFNA(XLOOKUP(J1896,'⚙️ Pengaturan'!$E$2:$E3237,'⚙️ Pengaturan'!$F$2:$F3237),"")</f>
        <v>440000</v>
      </c>
      <c r="Q1896" s="147">
        <f t="shared" si="46"/>
        <v>0</v>
      </c>
      <c r="R1896" s="41" t="s">
        <v>37</v>
      </c>
      <c r="S1896" s="69" t="s">
        <v>1442</v>
      </c>
      <c r="T1896" s="51" t="b">
        <v>1</v>
      </c>
      <c r="U1896" s="94"/>
    </row>
    <row r="1897" ht="30.0" customHeight="1">
      <c r="A1897" s="39"/>
      <c r="B1897" s="40">
        <v>3934.0</v>
      </c>
      <c r="C1897" s="41" t="s">
        <v>39</v>
      </c>
      <c r="D1897" s="86">
        <v>46178.0</v>
      </c>
      <c r="E1897" s="43" t="str">
        <f t="shared" si="39"/>
        <v>2026</v>
      </c>
      <c r="F1897" s="43" t="str">
        <f t="shared" si="40"/>
        <v>06 Jun</v>
      </c>
      <c r="G1897" s="45" t="s">
        <v>69</v>
      </c>
      <c r="H1897" s="45" t="s">
        <v>166</v>
      </c>
      <c r="I1897" s="45" t="s">
        <v>1420</v>
      </c>
      <c r="J1897" s="143" t="s">
        <v>138</v>
      </c>
      <c r="K1897" s="43" t="str">
        <f t="array" ref="K1897">IF(J1897="","", XLOOKUP(J1897,'⚙️ Pengaturan'!$E$2:$E3237,'⚙️ Pengaturan'!$G$2:$G3237))</f>
        <v>VISIT FT PAKET</v>
      </c>
      <c r="L1897" s="43" t="str">
        <f t="shared" si="3"/>
        <v>BARU</v>
      </c>
      <c r="M1897" s="144" t="s">
        <v>31</v>
      </c>
      <c r="N1897" s="145">
        <v>1800000.0</v>
      </c>
      <c r="O1897" s="146">
        <v>0.0</v>
      </c>
      <c r="P1897" s="48">
        <f t="array" ref="P1897">IFNA(XLOOKUP(J1897,'⚙️ Pengaturan'!$E$2:$E3237,'⚙️ Pengaturan'!$F$2:$F3237),"")</f>
        <v>1800000</v>
      </c>
      <c r="Q1897" s="147">
        <f t="shared" si="46"/>
        <v>0</v>
      </c>
      <c r="R1897" s="41" t="s">
        <v>37</v>
      </c>
      <c r="S1897" s="69" t="s">
        <v>1420</v>
      </c>
      <c r="T1897" s="51" t="b">
        <v>1</v>
      </c>
      <c r="U1897" s="94"/>
    </row>
    <row r="1898" ht="30.0" customHeight="1">
      <c r="A1898" s="39"/>
      <c r="B1898" s="161">
        <v>3935.0</v>
      </c>
      <c r="C1898" s="41" t="s">
        <v>39</v>
      </c>
      <c r="D1898" s="86">
        <v>46178.0</v>
      </c>
      <c r="E1898" s="43" t="str">
        <f t="shared" si="39"/>
        <v>2026</v>
      </c>
      <c r="F1898" s="43" t="str">
        <f t="shared" si="40"/>
        <v>06 Jun</v>
      </c>
      <c r="G1898" s="45" t="s">
        <v>25</v>
      </c>
      <c r="H1898" s="45" t="s">
        <v>103</v>
      </c>
      <c r="I1898" s="45" t="s">
        <v>1419</v>
      </c>
      <c r="J1898" s="143" t="s">
        <v>119</v>
      </c>
      <c r="K1898" s="43" t="str">
        <f t="array" ref="K1898">IF(J1898="","", XLOOKUP(J1898,'⚙️ Pengaturan'!$E$2:$E3237,'⚙️ Pengaturan'!$G$2:$G3237))</f>
        <v>KLINIK FT PAKET</v>
      </c>
      <c r="L1898" s="43" t="str">
        <f t="shared" si="3"/>
        <v>BARU</v>
      </c>
      <c r="M1898" s="144" t="s">
        <v>31</v>
      </c>
      <c r="N1898" s="145">
        <v>750000.0</v>
      </c>
      <c r="O1898" s="146">
        <v>0.0</v>
      </c>
      <c r="P1898" s="48">
        <f t="array" ref="P1898">IFNA(XLOOKUP(J1898,'⚙️ Pengaturan'!$E$2:$E3237,'⚙️ Pengaturan'!$F$2:$F3237),"")</f>
        <v>750000</v>
      </c>
      <c r="Q1898" s="147">
        <f t="shared" si="46"/>
        <v>0</v>
      </c>
      <c r="R1898" s="41" t="s">
        <v>32</v>
      </c>
      <c r="S1898" s="69" t="s">
        <v>33</v>
      </c>
      <c r="T1898" s="51" t="b">
        <v>1</v>
      </c>
      <c r="U1898" s="94"/>
    </row>
    <row r="1899" ht="30.0" customHeight="1">
      <c r="A1899" s="39"/>
      <c r="B1899" s="40">
        <v>3936.0</v>
      </c>
      <c r="C1899" s="41" t="s">
        <v>39</v>
      </c>
      <c r="D1899" s="86">
        <v>46178.0</v>
      </c>
      <c r="E1899" s="43" t="str">
        <f t="shared" si="39"/>
        <v>2026</v>
      </c>
      <c r="F1899" s="43" t="str">
        <f t="shared" si="40"/>
        <v>06 Jun</v>
      </c>
      <c r="G1899" s="45" t="s">
        <v>206</v>
      </c>
      <c r="H1899" s="45" t="s">
        <v>149</v>
      </c>
      <c r="I1899" s="45" t="s">
        <v>1443</v>
      </c>
      <c r="J1899" s="143" t="s">
        <v>28</v>
      </c>
      <c r="K1899" s="43" t="str">
        <f t="array" ref="K1899">IF(J1899="","", XLOOKUP(J1899,'⚙️ Pengaturan'!$E$2:$E3237,'⚙️ Pengaturan'!$G$2:$G3237))</f>
        <v>KLINIK FT TA</v>
      </c>
      <c r="L1899" s="43" t="str">
        <f t="shared" si="3"/>
        <v>BARU</v>
      </c>
      <c r="M1899" s="144" t="s">
        <v>31</v>
      </c>
      <c r="N1899" s="145">
        <v>250000.0</v>
      </c>
      <c r="O1899" s="146">
        <v>0.0</v>
      </c>
      <c r="P1899" s="48">
        <f t="array" ref="P1899">IFNA(XLOOKUP(J1899,'⚙️ Pengaturan'!$E$2:$E3237,'⚙️ Pengaturan'!$F$2:$F3237),"")</f>
        <v>250000</v>
      </c>
      <c r="Q1899" s="147">
        <f t="shared" si="46"/>
        <v>0</v>
      </c>
      <c r="R1899" s="41" t="s">
        <v>37</v>
      </c>
      <c r="S1899" s="69" t="s">
        <v>1443</v>
      </c>
      <c r="T1899" s="51" t="b">
        <v>1</v>
      </c>
      <c r="U1899" s="94"/>
    </row>
    <row r="1900" ht="30.0" customHeight="1">
      <c r="A1900" s="39"/>
      <c r="B1900" s="161">
        <v>3937.0</v>
      </c>
      <c r="C1900" s="41" t="s">
        <v>39</v>
      </c>
      <c r="D1900" s="86">
        <v>46178.0</v>
      </c>
      <c r="E1900" s="43" t="str">
        <f t="shared" si="39"/>
        <v>2026</v>
      </c>
      <c r="F1900" s="43" t="str">
        <f t="shared" si="40"/>
        <v>06 Jun</v>
      </c>
      <c r="G1900" s="45" t="s">
        <v>161</v>
      </c>
      <c r="H1900" s="45" t="s">
        <v>149</v>
      </c>
      <c r="I1900" s="45" t="s">
        <v>1444</v>
      </c>
      <c r="J1900" s="143" t="s">
        <v>28</v>
      </c>
      <c r="K1900" s="43" t="str">
        <f t="array" ref="K1900">IF(J1900="","", XLOOKUP(J1900,'⚙️ Pengaturan'!$E$2:$E3237,'⚙️ Pengaturan'!$G$2:$G3237))</f>
        <v>KLINIK FT TA</v>
      </c>
      <c r="L1900" s="43" t="str">
        <f t="shared" si="3"/>
        <v>BARU</v>
      </c>
      <c r="M1900" s="144" t="s">
        <v>31</v>
      </c>
      <c r="N1900" s="145">
        <v>250000.0</v>
      </c>
      <c r="O1900" s="146">
        <v>0.0</v>
      </c>
      <c r="P1900" s="48">
        <f t="array" ref="P1900">IFNA(XLOOKUP(J1900,'⚙️ Pengaturan'!$E$2:$E3237,'⚙️ Pengaturan'!$F$2:$F3237),"")</f>
        <v>250000</v>
      </c>
      <c r="Q1900" s="147">
        <f t="shared" si="46"/>
        <v>0</v>
      </c>
      <c r="R1900" s="41" t="s">
        <v>37</v>
      </c>
      <c r="S1900" s="69" t="s">
        <v>1444</v>
      </c>
      <c r="T1900" s="51" t="b">
        <v>1</v>
      </c>
      <c r="U1900" s="94"/>
    </row>
    <row r="1901" ht="30.0" customHeight="1">
      <c r="A1901" s="39"/>
      <c r="B1901" s="40">
        <v>3938.0</v>
      </c>
      <c r="C1901" s="41" t="s">
        <v>39</v>
      </c>
      <c r="D1901" s="86">
        <v>46178.0</v>
      </c>
      <c r="E1901" s="43" t="str">
        <f t="shared" si="39"/>
        <v>2026</v>
      </c>
      <c r="F1901" s="43" t="str">
        <f t="shared" si="40"/>
        <v>06 Jun</v>
      </c>
      <c r="G1901" s="45" t="s">
        <v>161</v>
      </c>
      <c r="H1901" s="45" t="s">
        <v>47</v>
      </c>
      <c r="I1901" s="45" t="s">
        <v>1440</v>
      </c>
      <c r="J1901" s="143" t="s">
        <v>347</v>
      </c>
      <c r="K1901" s="43" t="str">
        <f t="array" ref="K1901">IF(J1901="","", XLOOKUP(J1901,'⚙️ Pengaturan'!$E$2:$E3237,'⚙️ Pengaturan'!$G$2:$G3237))</f>
        <v>KLINIK FT PAKET</v>
      </c>
      <c r="L1901" s="43" t="str">
        <f t="shared" si="3"/>
        <v>BARU</v>
      </c>
      <c r="M1901" s="144" t="s">
        <v>60</v>
      </c>
      <c r="N1901" s="145">
        <v>300000.0</v>
      </c>
      <c r="O1901" s="146">
        <v>0.0</v>
      </c>
      <c r="P1901" s="48">
        <f t="array" ref="P1901">IFNA(XLOOKUP(J1901,'⚙️ Pengaturan'!$E$2:$E3237,'⚙️ Pengaturan'!$F$2:$F3237),"")</f>
        <v>1300000</v>
      </c>
      <c r="Q1901" s="147">
        <f t="shared" si="46"/>
        <v>-1000000</v>
      </c>
      <c r="R1901" s="41" t="s">
        <v>37</v>
      </c>
      <c r="S1901" s="69" t="s">
        <v>1440</v>
      </c>
      <c r="T1901" s="51" t="b">
        <v>1</v>
      </c>
      <c r="U1901" s="94"/>
    </row>
    <row r="1902" ht="30.0" customHeight="1">
      <c r="A1902" s="39"/>
      <c r="B1902" s="161">
        <v>3939.0</v>
      </c>
      <c r="C1902" s="41" t="s">
        <v>39</v>
      </c>
      <c r="D1902" s="86">
        <v>46178.0</v>
      </c>
      <c r="E1902" s="43" t="str">
        <f t="shared" si="39"/>
        <v>2026</v>
      </c>
      <c r="F1902" s="43" t="str">
        <f t="shared" si="40"/>
        <v>06 Jun</v>
      </c>
      <c r="G1902" s="45" t="s">
        <v>35</v>
      </c>
      <c r="H1902" s="45" t="s">
        <v>47</v>
      </c>
      <c r="I1902" s="45" t="s">
        <v>245</v>
      </c>
      <c r="J1902" s="143" t="s">
        <v>120</v>
      </c>
      <c r="K1902" s="43" t="str">
        <f t="array" ref="K1902">IF(J1902="","", XLOOKUP(J1902,'⚙️ Pengaturan'!$E$2:$E3237,'⚙️ Pengaturan'!$G$2:$G3237))</f>
        <v>KLINIK FT SESI</v>
      </c>
      <c r="L1902" s="43" t="str">
        <f t="shared" si="3"/>
        <v>LANJUTAN</v>
      </c>
      <c r="M1902" s="144" t="s">
        <v>31</v>
      </c>
      <c r="N1902" s="145">
        <v>180000.0</v>
      </c>
      <c r="O1902" s="146">
        <v>0.0</v>
      </c>
      <c r="P1902" s="48">
        <f t="array" ref="P1902">IFNA(XLOOKUP(J1902,'⚙️ Pengaturan'!$E$2:$E3237,'⚙️ Pengaturan'!$F$2:$F3237),"")</f>
        <v>180000</v>
      </c>
      <c r="Q1902" s="147">
        <f t="shared" si="46"/>
        <v>0</v>
      </c>
      <c r="R1902" s="41" t="s">
        <v>37</v>
      </c>
      <c r="S1902" s="69" t="s">
        <v>245</v>
      </c>
      <c r="T1902" s="51" t="b">
        <v>1</v>
      </c>
      <c r="U1902" s="94"/>
    </row>
    <row r="1903" ht="30.0" customHeight="1">
      <c r="A1903" s="39"/>
      <c r="B1903" s="40">
        <v>3940.0</v>
      </c>
      <c r="C1903" s="41" t="s">
        <v>50</v>
      </c>
      <c r="D1903" s="86">
        <v>46178.0</v>
      </c>
      <c r="E1903" s="43" t="str">
        <f t="shared" si="39"/>
        <v>2026</v>
      </c>
      <c r="F1903" s="43" t="str">
        <f t="shared" si="40"/>
        <v>06 Jun</v>
      </c>
      <c r="G1903" s="45" t="s">
        <v>40</v>
      </c>
      <c r="H1903" s="45" t="s">
        <v>26</v>
      </c>
      <c r="I1903" s="45" t="s">
        <v>1445</v>
      </c>
      <c r="J1903" s="143" t="s">
        <v>28</v>
      </c>
      <c r="K1903" s="43" t="str">
        <f t="array" ref="K1903">IF(J1903="","", XLOOKUP(J1903,'⚙️ Pengaturan'!$E$2:$E3237,'⚙️ Pengaturan'!$G$2:$G3237))</f>
        <v>KLINIK FT TA</v>
      </c>
      <c r="L1903" s="43" t="str">
        <f t="shared" si="3"/>
        <v>BARU</v>
      </c>
      <c r="M1903" s="144" t="s">
        <v>31</v>
      </c>
      <c r="N1903" s="145">
        <v>250000.0</v>
      </c>
      <c r="O1903" s="146">
        <v>0.0</v>
      </c>
      <c r="P1903" s="48">
        <f t="array" ref="P1903">IFNA(XLOOKUP(J1903,'⚙️ Pengaturan'!$E$2:$E3237,'⚙️ Pengaturan'!$F$2:$F3237),"")</f>
        <v>250000</v>
      </c>
      <c r="Q1903" s="147">
        <f t="shared" si="46"/>
        <v>0</v>
      </c>
      <c r="R1903" s="41" t="s">
        <v>118</v>
      </c>
      <c r="S1903" s="69" t="s">
        <v>1445</v>
      </c>
      <c r="T1903" s="51" t="b">
        <v>1</v>
      </c>
      <c r="U1903" s="94"/>
    </row>
    <row r="1904" ht="30.0" customHeight="1">
      <c r="A1904" s="39"/>
      <c r="B1904" s="161">
        <v>3941.0</v>
      </c>
      <c r="C1904" s="41" t="s">
        <v>50</v>
      </c>
      <c r="D1904" s="86">
        <v>46178.0</v>
      </c>
      <c r="E1904" s="43" t="str">
        <f t="shared" si="39"/>
        <v>2026</v>
      </c>
      <c r="F1904" s="43" t="str">
        <f t="shared" si="40"/>
        <v>06 Jun</v>
      </c>
      <c r="G1904" s="45" t="s">
        <v>43</v>
      </c>
      <c r="H1904" s="45" t="s">
        <v>26</v>
      </c>
      <c r="I1904" s="45" t="s">
        <v>1437</v>
      </c>
      <c r="J1904" s="143" t="s">
        <v>119</v>
      </c>
      <c r="K1904" s="43" t="str">
        <f t="array" ref="K1904">IF(J1904="","", XLOOKUP(J1904,'⚙️ Pengaturan'!$E$2:$E3237,'⚙️ Pengaturan'!$G$2:$G3237))</f>
        <v>KLINIK FT PAKET</v>
      </c>
      <c r="L1904" s="43" t="str">
        <f t="shared" si="3"/>
        <v>BARU</v>
      </c>
      <c r="M1904" s="144" t="s">
        <v>31</v>
      </c>
      <c r="N1904" s="145">
        <v>750000.0</v>
      </c>
      <c r="O1904" s="146">
        <v>0.0</v>
      </c>
      <c r="P1904" s="48">
        <f t="array" ref="P1904">IFNA(XLOOKUP(J1904,'⚙️ Pengaturan'!$E$2:$E3237,'⚙️ Pengaturan'!$F$2:$F3237),"")</f>
        <v>750000</v>
      </c>
      <c r="Q1904" s="147">
        <f t="shared" si="46"/>
        <v>0</v>
      </c>
      <c r="R1904" s="41" t="s">
        <v>32</v>
      </c>
      <c r="S1904" s="69" t="s">
        <v>33</v>
      </c>
      <c r="T1904" s="51" t="b">
        <v>1</v>
      </c>
      <c r="U1904" s="94"/>
    </row>
    <row r="1905" ht="30.0" customHeight="1">
      <c r="A1905" s="39"/>
      <c r="B1905" s="40">
        <v>3942.0</v>
      </c>
      <c r="C1905" s="41" t="s">
        <v>50</v>
      </c>
      <c r="D1905" s="86">
        <v>46178.0</v>
      </c>
      <c r="E1905" s="43" t="str">
        <f t="shared" si="39"/>
        <v>2026</v>
      </c>
      <c r="F1905" s="43" t="str">
        <f t="shared" si="40"/>
        <v>06 Jun</v>
      </c>
      <c r="G1905" s="45" t="s">
        <v>173</v>
      </c>
      <c r="H1905" s="45" t="s">
        <v>26</v>
      </c>
      <c r="I1905" s="45" t="s">
        <v>1446</v>
      </c>
      <c r="J1905" s="143" t="s">
        <v>28</v>
      </c>
      <c r="K1905" s="43" t="str">
        <f t="array" ref="K1905">IF(J1905="","", XLOOKUP(J1905,'⚙️ Pengaturan'!$E$2:$E3237,'⚙️ Pengaturan'!$G$2:$G3237))</f>
        <v>KLINIK FT TA</v>
      </c>
      <c r="L1905" s="43" t="str">
        <f t="shared" si="3"/>
        <v>BARU</v>
      </c>
      <c r="M1905" s="144" t="s">
        <v>31</v>
      </c>
      <c r="N1905" s="145">
        <v>250000.0</v>
      </c>
      <c r="O1905" s="146">
        <v>0.0</v>
      </c>
      <c r="P1905" s="48">
        <f t="array" ref="P1905">IFNA(XLOOKUP(J1905,'⚙️ Pengaturan'!$E$2:$E3237,'⚙️ Pengaturan'!$F$2:$F3237),"")</f>
        <v>250000</v>
      </c>
      <c r="Q1905" s="147">
        <f t="shared" si="46"/>
        <v>0</v>
      </c>
      <c r="R1905" s="41" t="s">
        <v>32</v>
      </c>
      <c r="S1905" s="69" t="s">
        <v>33</v>
      </c>
      <c r="T1905" s="51" t="b">
        <v>1</v>
      </c>
      <c r="U1905" s="94"/>
    </row>
    <row r="1906" ht="30.0" customHeight="1">
      <c r="A1906" s="39"/>
      <c r="B1906" s="161">
        <v>3943.0</v>
      </c>
      <c r="C1906" s="41" t="s">
        <v>50</v>
      </c>
      <c r="D1906" s="86">
        <v>46178.0</v>
      </c>
      <c r="E1906" s="43" t="str">
        <f t="shared" si="39"/>
        <v>2026</v>
      </c>
      <c r="F1906" s="43" t="str">
        <f t="shared" si="40"/>
        <v>06 Jun</v>
      </c>
      <c r="G1906" s="45" t="s">
        <v>173</v>
      </c>
      <c r="H1906" s="45" t="s">
        <v>96</v>
      </c>
      <c r="I1906" s="45" t="s">
        <v>1307</v>
      </c>
      <c r="J1906" s="143" t="s">
        <v>28</v>
      </c>
      <c r="K1906" s="43" t="str">
        <f t="array" ref="K1906">IF(J1906="","", XLOOKUP(J1906,'⚙️ Pengaturan'!$E$2:$E3237,'⚙️ Pengaturan'!$G$2:$G3237))</f>
        <v>KLINIK FT TA</v>
      </c>
      <c r="L1906" s="43" t="str">
        <f t="shared" si="3"/>
        <v>LANJUTAN</v>
      </c>
      <c r="M1906" s="144" t="s">
        <v>31</v>
      </c>
      <c r="N1906" s="145">
        <v>200000.0</v>
      </c>
      <c r="O1906" s="146">
        <v>50000.0</v>
      </c>
      <c r="P1906" s="48">
        <f t="array" ref="P1906">IFNA(XLOOKUP(J1906,'⚙️ Pengaturan'!$E$2:$E3237,'⚙️ Pengaturan'!$F$2:$F3237),"")</f>
        <v>250000</v>
      </c>
      <c r="Q1906" s="147">
        <f t="shared" si="46"/>
        <v>0</v>
      </c>
      <c r="R1906" s="41" t="s">
        <v>118</v>
      </c>
      <c r="S1906" s="69" t="s">
        <v>1447</v>
      </c>
      <c r="T1906" s="51" t="b">
        <v>1</v>
      </c>
      <c r="U1906" s="94"/>
    </row>
    <row r="1907" ht="30.0" customHeight="1">
      <c r="A1907" s="39"/>
      <c r="B1907" s="40">
        <v>3944.0</v>
      </c>
      <c r="C1907" s="41" t="s">
        <v>50</v>
      </c>
      <c r="D1907" s="86">
        <v>46178.0</v>
      </c>
      <c r="E1907" s="43" t="str">
        <f t="shared" si="39"/>
        <v>2026</v>
      </c>
      <c r="F1907" s="43" t="str">
        <f t="shared" si="40"/>
        <v>06 Jun</v>
      </c>
      <c r="G1907" s="45" t="s">
        <v>173</v>
      </c>
      <c r="H1907" s="45" t="s">
        <v>96</v>
      </c>
      <c r="I1907" s="45" t="s">
        <v>1307</v>
      </c>
      <c r="J1907" s="143" t="s">
        <v>119</v>
      </c>
      <c r="K1907" s="43" t="str">
        <f t="array" ref="K1907">IF(J1907="","", XLOOKUP(J1907,'⚙️ Pengaturan'!$E$2:$E3237,'⚙️ Pengaturan'!$G$2:$G3237))</f>
        <v>KLINIK FT PAKET</v>
      </c>
      <c r="L1907" s="43" t="str">
        <f t="shared" si="3"/>
        <v>BARU</v>
      </c>
      <c r="M1907" s="144" t="s">
        <v>31</v>
      </c>
      <c r="N1907" s="145">
        <v>600000.0</v>
      </c>
      <c r="O1907" s="146">
        <v>150000.0</v>
      </c>
      <c r="P1907" s="48">
        <f t="array" ref="P1907">IFNA(XLOOKUP(J1907,'⚙️ Pengaturan'!$E$2:$E3237,'⚙️ Pengaturan'!$F$2:$F3237),"")</f>
        <v>750000</v>
      </c>
      <c r="Q1907" s="147">
        <f t="shared" si="46"/>
        <v>0</v>
      </c>
      <c r="R1907" s="41" t="s">
        <v>118</v>
      </c>
      <c r="S1907" s="69" t="s">
        <v>1447</v>
      </c>
      <c r="T1907" s="51" t="b">
        <v>1</v>
      </c>
      <c r="U1907" s="94"/>
    </row>
    <row r="1908" ht="30.0" customHeight="1">
      <c r="A1908" s="39"/>
      <c r="B1908" s="161">
        <v>3945.0</v>
      </c>
      <c r="C1908" s="41" t="s">
        <v>50</v>
      </c>
      <c r="D1908" s="86">
        <v>46178.0</v>
      </c>
      <c r="E1908" s="43" t="str">
        <f t="shared" si="39"/>
        <v>2026</v>
      </c>
      <c r="F1908" s="43" t="str">
        <f t="shared" si="40"/>
        <v>06 Jun</v>
      </c>
      <c r="G1908" s="45" t="s">
        <v>155</v>
      </c>
      <c r="H1908" s="45" t="s">
        <v>26</v>
      </c>
      <c r="I1908" s="45" t="s">
        <v>1448</v>
      </c>
      <c r="J1908" s="143" t="s">
        <v>28</v>
      </c>
      <c r="K1908" s="43" t="str">
        <f t="array" ref="K1908">IF(J1908="","", XLOOKUP(J1908,'⚙️ Pengaturan'!$E$2:$E3237,'⚙️ Pengaturan'!$G$2:$G3237))</f>
        <v>KLINIK FT TA</v>
      </c>
      <c r="L1908" s="43" t="str">
        <f t="shared" si="3"/>
        <v>BARU</v>
      </c>
      <c r="M1908" s="144" t="s">
        <v>31</v>
      </c>
      <c r="N1908" s="145">
        <v>200000.0</v>
      </c>
      <c r="O1908" s="146">
        <v>50000.0</v>
      </c>
      <c r="P1908" s="48">
        <f t="array" ref="P1908">IFNA(XLOOKUP(J1908,'⚙️ Pengaturan'!$E$2:$E3237,'⚙️ Pengaturan'!$F$2:$F3237),"")</f>
        <v>250000</v>
      </c>
      <c r="Q1908" s="147">
        <f t="shared" si="46"/>
        <v>0</v>
      </c>
      <c r="R1908" s="41" t="s">
        <v>118</v>
      </c>
      <c r="S1908" s="69" t="s">
        <v>1448</v>
      </c>
      <c r="T1908" s="51" t="b">
        <v>1</v>
      </c>
      <c r="U1908" s="94"/>
    </row>
    <row r="1909" ht="30.0" customHeight="1">
      <c r="A1909" s="39"/>
      <c r="B1909" s="40">
        <v>3946.0</v>
      </c>
      <c r="C1909" s="41" t="s">
        <v>79</v>
      </c>
      <c r="D1909" s="86">
        <v>46179.0</v>
      </c>
      <c r="E1909" s="43" t="str">
        <f t="shared" si="39"/>
        <v>2026</v>
      </c>
      <c r="F1909" s="43" t="str">
        <f t="shared" si="40"/>
        <v>06 Jun</v>
      </c>
      <c r="G1909" s="45" t="s">
        <v>195</v>
      </c>
      <c r="H1909" s="45" t="s">
        <v>47</v>
      </c>
      <c r="I1909" s="45" t="s">
        <v>1449</v>
      </c>
      <c r="J1909" s="143" t="s">
        <v>28</v>
      </c>
      <c r="K1909" s="43" t="str">
        <f t="array" ref="K1909">IF(J1909="","", XLOOKUP(J1909,'⚙️ Pengaturan'!$E$2:$E3237,'⚙️ Pengaturan'!$G$2:$G3237))</f>
        <v>KLINIK FT TA</v>
      </c>
      <c r="L1909" s="43" t="str">
        <f t="shared" si="3"/>
        <v>BARU</v>
      </c>
      <c r="M1909" s="144" t="s">
        <v>31</v>
      </c>
      <c r="N1909" s="145">
        <v>250000.0</v>
      </c>
      <c r="O1909" s="146">
        <v>0.0</v>
      </c>
      <c r="P1909" s="48">
        <f t="array" ref="P1909">IFNA(XLOOKUP(J1909,'⚙️ Pengaturan'!$E$2:$E3237,'⚙️ Pengaturan'!$F$2:$F3237),"")</f>
        <v>250000</v>
      </c>
      <c r="Q1909" s="147">
        <f t="shared" si="46"/>
        <v>0</v>
      </c>
      <c r="R1909" s="41" t="s">
        <v>37</v>
      </c>
      <c r="S1909" s="69" t="s">
        <v>1449</v>
      </c>
      <c r="T1909" s="51" t="b">
        <v>1</v>
      </c>
      <c r="U1909" s="94"/>
    </row>
    <row r="1910" ht="30.0" customHeight="1">
      <c r="A1910" s="39"/>
      <c r="B1910" s="161">
        <v>3947.0</v>
      </c>
      <c r="C1910" s="41" t="s">
        <v>79</v>
      </c>
      <c r="D1910" s="86">
        <v>46179.0</v>
      </c>
      <c r="E1910" s="43" t="str">
        <f t="shared" si="39"/>
        <v>2026</v>
      </c>
      <c r="F1910" s="43" t="str">
        <f t="shared" si="40"/>
        <v>06 Jun</v>
      </c>
      <c r="G1910" s="45" t="s">
        <v>195</v>
      </c>
      <c r="H1910" s="45" t="s">
        <v>149</v>
      </c>
      <c r="I1910" s="45" t="s">
        <v>1424</v>
      </c>
      <c r="J1910" s="143" t="s">
        <v>120</v>
      </c>
      <c r="K1910" s="43" t="str">
        <f t="array" ref="K1910">IF(J1910="","", XLOOKUP(J1910,'⚙️ Pengaturan'!$E$2:$E3237,'⚙️ Pengaturan'!$G$2:$G3237))</f>
        <v>KLINIK FT SESI</v>
      </c>
      <c r="L1910" s="43" t="str">
        <f t="shared" si="3"/>
        <v>BARU</v>
      </c>
      <c r="M1910" s="144" t="s">
        <v>31</v>
      </c>
      <c r="N1910" s="145">
        <v>180000.0</v>
      </c>
      <c r="O1910" s="146">
        <v>0.0</v>
      </c>
      <c r="P1910" s="48">
        <f t="array" ref="P1910">IFNA(XLOOKUP(J1910,'⚙️ Pengaturan'!$E$2:$E3237,'⚙️ Pengaturan'!$F$2:$F3237),"")</f>
        <v>180000</v>
      </c>
      <c r="Q1910" s="147">
        <f t="shared" si="46"/>
        <v>0</v>
      </c>
      <c r="R1910" s="41" t="s">
        <v>37</v>
      </c>
      <c r="S1910" s="69" t="s">
        <v>1450</v>
      </c>
      <c r="T1910" s="51" t="b">
        <v>1</v>
      </c>
      <c r="U1910" s="94"/>
    </row>
    <row r="1911" ht="30.0" customHeight="1">
      <c r="A1911" s="39"/>
      <c r="B1911" s="40">
        <v>3948.0</v>
      </c>
      <c r="C1911" s="41" t="s">
        <v>79</v>
      </c>
      <c r="D1911" s="86">
        <v>46179.0</v>
      </c>
      <c r="E1911" s="43" t="str">
        <f t="shared" si="39"/>
        <v>2026</v>
      </c>
      <c r="F1911" s="43" t="str">
        <f t="shared" si="40"/>
        <v>06 Jun</v>
      </c>
      <c r="G1911" s="45" t="s">
        <v>25</v>
      </c>
      <c r="H1911" s="45" t="s">
        <v>149</v>
      </c>
      <c r="I1911" s="45" t="s">
        <v>1295</v>
      </c>
      <c r="J1911" s="143" t="s">
        <v>120</v>
      </c>
      <c r="K1911" s="43" t="str">
        <f t="array" ref="K1911">IF(J1911="","", XLOOKUP(J1911,'⚙️ Pengaturan'!$E$2:$E3237,'⚙️ Pengaturan'!$G$2:$G3237))</f>
        <v>KLINIK FT SESI</v>
      </c>
      <c r="L1911" s="43" t="str">
        <f t="shared" si="3"/>
        <v>LANJUTAN</v>
      </c>
      <c r="M1911" s="144" t="s">
        <v>31</v>
      </c>
      <c r="N1911" s="145">
        <v>120000.0</v>
      </c>
      <c r="O1911" s="146">
        <v>60000.0</v>
      </c>
      <c r="P1911" s="48">
        <f t="array" ref="P1911">IFNA(XLOOKUP(J1911,'⚙️ Pengaturan'!$E$2:$E3237,'⚙️ Pengaturan'!$F$2:$F3237),"")</f>
        <v>180000</v>
      </c>
      <c r="Q1911" s="147">
        <f t="shared" si="46"/>
        <v>0</v>
      </c>
      <c r="R1911" s="41" t="s">
        <v>93</v>
      </c>
      <c r="S1911" s="69" t="s">
        <v>1295</v>
      </c>
      <c r="T1911" s="51" t="b">
        <v>1</v>
      </c>
      <c r="U1911" s="94" t="s">
        <v>1451</v>
      </c>
    </row>
    <row r="1912" ht="30.0" customHeight="1">
      <c r="A1912" s="39"/>
      <c r="B1912" s="161">
        <v>3949.0</v>
      </c>
      <c r="C1912" s="41" t="s">
        <v>79</v>
      </c>
      <c r="D1912" s="86">
        <v>46179.0</v>
      </c>
      <c r="E1912" s="43" t="str">
        <f t="shared" si="39"/>
        <v>2026</v>
      </c>
      <c r="F1912" s="43" t="str">
        <f t="shared" si="40"/>
        <v>06 Jun</v>
      </c>
      <c r="G1912" s="45" t="s">
        <v>195</v>
      </c>
      <c r="H1912" s="45" t="s">
        <v>76</v>
      </c>
      <c r="I1912" s="45" t="s">
        <v>1431</v>
      </c>
      <c r="J1912" s="143" t="s">
        <v>120</v>
      </c>
      <c r="K1912" s="43" t="str">
        <f t="array" ref="K1912">IF(J1912="","", XLOOKUP(J1912,'⚙️ Pengaturan'!$E$2:$E3237,'⚙️ Pengaturan'!$G$2:$G3237))</f>
        <v>KLINIK FT SESI</v>
      </c>
      <c r="L1912" s="43" t="str">
        <f t="shared" si="3"/>
        <v>BARU</v>
      </c>
      <c r="M1912" s="144" t="s">
        <v>31</v>
      </c>
      <c r="N1912" s="145">
        <v>180000.0</v>
      </c>
      <c r="O1912" s="146">
        <v>0.0</v>
      </c>
      <c r="P1912" s="48">
        <f t="array" ref="P1912">IFNA(XLOOKUP(J1912,'⚙️ Pengaturan'!$E$2:$E3237,'⚙️ Pengaturan'!$F$2:$F3237),"")</f>
        <v>180000</v>
      </c>
      <c r="Q1912" s="147">
        <f t="shared" si="46"/>
        <v>0</v>
      </c>
      <c r="R1912" s="41" t="s">
        <v>37</v>
      </c>
      <c r="S1912" s="69" t="s">
        <v>1431</v>
      </c>
      <c r="T1912" s="51" t="b">
        <v>1</v>
      </c>
      <c r="U1912" s="94"/>
    </row>
    <row r="1913" ht="30.0" customHeight="1">
      <c r="A1913" s="39"/>
      <c r="B1913" s="40">
        <v>3950.0</v>
      </c>
      <c r="C1913" s="41" t="s">
        <v>79</v>
      </c>
      <c r="D1913" s="86">
        <v>46179.0</v>
      </c>
      <c r="E1913" s="43" t="str">
        <f t="shared" si="39"/>
        <v>2026</v>
      </c>
      <c r="F1913" s="43" t="str">
        <f t="shared" si="40"/>
        <v>06 Jun</v>
      </c>
      <c r="G1913" s="45" t="s">
        <v>195</v>
      </c>
      <c r="H1913" s="45" t="s">
        <v>76</v>
      </c>
      <c r="I1913" s="45" t="s">
        <v>1431</v>
      </c>
      <c r="J1913" s="143" t="s">
        <v>120</v>
      </c>
      <c r="K1913" s="43" t="str">
        <f t="array" ref="K1913">IF(J1913="","", XLOOKUP(J1913,'⚙️ Pengaturan'!$E$2:$E3237,'⚙️ Pengaturan'!$G$2:$G3237))</f>
        <v>KLINIK FT SESI</v>
      </c>
      <c r="L1913" s="43" t="str">
        <f t="shared" si="3"/>
        <v>LANJUTAN</v>
      </c>
      <c r="M1913" s="144" t="s">
        <v>31</v>
      </c>
      <c r="N1913" s="145">
        <v>180000.0</v>
      </c>
      <c r="O1913" s="146">
        <v>0.0</v>
      </c>
      <c r="P1913" s="48">
        <f t="array" ref="P1913">IFNA(XLOOKUP(J1913,'⚙️ Pengaturan'!$E$2:$E3237,'⚙️ Pengaturan'!$F$2:$F3237),"")</f>
        <v>180000</v>
      </c>
      <c r="Q1913" s="147">
        <f t="shared" si="46"/>
        <v>0</v>
      </c>
      <c r="R1913" s="41" t="s">
        <v>37</v>
      </c>
      <c r="S1913" s="69" t="s">
        <v>1431</v>
      </c>
      <c r="T1913" s="51" t="b">
        <v>1</v>
      </c>
      <c r="U1913" s="94"/>
    </row>
    <row r="1914" ht="30.0" customHeight="1">
      <c r="A1914" s="39"/>
      <c r="B1914" s="161">
        <v>3951.0</v>
      </c>
      <c r="C1914" s="41" t="s">
        <v>79</v>
      </c>
      <c r="D1914" s="86">
        <v>46179.0</v>
      </c>
      <c r="E1914" s="43" t="str">
        <f t="shared" si="39"/>
        <v>2026</v>
      </c>
      <c r="F1914" s="43" t="str">
        <f t="shared" si="40"/>
        <v>06 Jun</v>
      </c>
      <c r="G1914" s="45" t="s">
        <v>161</v>
      </c>
      <c r="H1914" s="45" t="s">
        <v>96</v>
      </c>
      <c r="I1914" s="45" t="s">
        <v>1399</v>
      </c>
      <c r="J1914" s="143" t="s">
        <v>120</v>
      </c>
      <c r="K1914" s="43" t="str">
        <f t="array" ref="K1914">IF(J1914="","", XLOOKUP(J1914,'⚙️ Pengaturan'!$E$2:$E3237,'⚙️ Pengaturan'!$G$2:$G3237))</f>
        <v>KLINIK FT SESI</v>
      </c>
      <c r="L1914" s="43" t="str">
        <f t="shared" si="3"/>
        <v>LANJUTAN</v>
      </c>
      <c r="M1914" s="144" t="s">
        <v>31</v>
      </c>
      <c r="N1914" s="145">
        <v>180000.0</v>
      </c>
      <c r="O1914" s="146">
        <v>0.0</v>
      </c>
      <c r="P1914" s="48">
        <v>180000.0</v>
      </c>
      <c r="Q1914" s="147">
        <v>0.0</v>
      </c>
      <c r="R1914" s="41" t="s">
        <v>32</v>
      </c>
      <c r="S1914" s="69" t="s">
        <v>33</v>
      </c>
      <c r="T1914" s="51" t="b">
        <v>1</v>
      </c>
      <c r="U1914" s="94"/>
    </row>
    <row r="1915" ht="30.0" customHeight="1">
      <c r="A1915" s="39"/>
      <c r="B1915" s="40">
        <v>3952.0</v>
      </c>
      <c r="C1915" s="41" t="s">
        <v>79</v>
      </c>
      <c r="D1915" s="86">
        <v>46179.0</v>
      </c>
      <c r="E1915" s="43" t="str">
        <f t="shared" si="39"/>
        <v>2026</v>
      </c>
      <c r="F1915" s="43" t="str">
        <f t="shared" si="40"/>
        <v>06 Jun</v>
      </c>
      <c r="G1915" s="45" t="s">
        <v>35</v>
      </c>
      <c r="H1915" s="45" t="s">
        <v>41</v>
      </c>
      <c r="I1915" s="45" t="s">
        <v>1404</v>
      </c>
      <c r="J1915" s="143" t="s">
        <v>120</v>
      </c>
      <c r="K1915" s="43" t="str">
        <f t="array" ref="K1915">IF(J1915="","", XLOOKUP(J1915,'⚙️ Pengaturan'!$E$2:$E3237,'⚙️ Pengaturan'!$G$2:$G3237))</f>
        <v>KLINIK FT SESI</v>
      </c>
      <c r="L1915" s="43" t="str">
        <f t="shared" si="3"/>
        <v>LANJUTAN</v>
      </c>
      <c r="M1915" s="144" t="s">
        <v>31</v>
      </c>
      <c r="N1915" s="145">
        <v>180000.0</v>
      </c>
      <c r="O1915" s="146">
        <v>0.0</v>
      </c>
      <c r="P1915" s="48">
        <v>180000.0</v>
      </c>
      <c r="Q1915" s="147">
        <v>0.0</v>
      </c>
      <c r="R1915" s="41" t="s">
        <v>37</v>
      </c>
      <c r="S1915" s="69" t="s">
        <v>1404</v>
      </c>
      <c r="T1915" s="51" t="b">
        <v>1</v>
      </c>
      <c r="U1915" s="94"/>
    </row>
    <row r="1916" ht="30.0" customHeight="1">
      <c r="A1916" s="39"/>
      <c r="B1916" s="161">
        <v>3953.0</v>
      </c>
      <c r="C1916" s="41" t="s">
        <v>79</v>
      </c>
      <c r="D1916" s="86">
        <v>46179.0</v>
      </c>
      <c r="E1916" s="43" t="s">
        <v>23</v>
      </c>
      <c r="F1916" s="43" t="s">
        <v>1452</v>
      </c>
      <c r="G1916" s="45" t="s">
        <v>69</v>
      </c>
      <c r="H1916" s="45" t="s">
        <v>166</v>
      </c>
      <c r="I1916" s="45" t="s">
        <v>980</v>
      </c>
      <c r="J1916" s="143" t="s">
        <v>364</v>
      </c>
      <c r="K1916" s="43" t="str">
        <f t="array" ref="K1916">IF(J1916="","", XLOOKUP(J1916,'⚙️ Pengaturan'!$E$2:$E3237,'⚙️ Pengaturan'!$G$2:$G3237))</f>
        <v>VISIT FT PAKET</v>
      </c>
      <c r="L1916" s="43" t="str">
        <f t="shared" si="3"/>
        <v>LANJUTAN</v>
      </c>
      <c r="M1916" s="144" t="s">
        <v>31</v>
      </c>
      <c r="N1916" s="145">
        <v>2300000.0</v>
      </c>
      <c r="O1916" s="146">
        <v>0.0</v>
      </c>
      <c r="P1916" s="48">
        <v>2300000.0</v>
      </c>
      <c r="Q1916" s="147">
        <v>0.0</v>
      </c>
      <c r="R1916" s="41" t="s">
        <v>37</v>
      </c>
      <c r="S1916" s="69" t="s">
        <v>998</v>
      </c>
      <c r="T1916" s="51" t="b">
        <v>1</v>
      </c>
      <c r="U1916" s="94"/>
    </row>
    <row r="1917" ht="30.0" customHeight="1">
      <c r="A1917" s="39"/>
      <c r="B1917" s="40">
        <v>3954.0</v>
      </c>
      <c r="C1917" s="41" t="s">
        <v>39</v>
      </c>
      <c r="D1917" s="86">
        <v>46179.0</v>
      </c>
      <c r="E1917" s="43" t="str">
        <f t="shared" ref="E1917:E2020" si="47">if(D1917="","",text(D1917,"YYY"))</f>
        <v>2026</v>
      </c>
      <c r="F1917" s="43" t="str">
        <f t="shared" ref="F1917:F2020" si="48">if(D1917="","",text(D1917,"MM")&amp;" "&amp;text(D1917,"MMM"))</f>
        <v>06 Jun</v>
      </c>
      <c r="G1917" s="45" t="s">
        <v>40</v>
      </c>
      <c r="H1917" s="45" t="s">
        <v>162</v>
      </c>
      <c r="I1917" s="45" t="s">
        <v>1429</v>
      </c>
      <c r="J1917" s="143" t="s">
        <v>119</v>
      </c>
      <c r="K1917" s="43" t="str">
        <f t="array" ref="K1917">IF(J1917="","", XLOOKUP(J1917,'⚙️ Pengaturan'!$E$2:$E3237,'⚙️ Pengaturan'!$G$2:$G3237))</f>
        <v>KLINIK FT PAKET</v>
      </c>
      <c r="L1917" s="43" t="str">
        <f t="shared" si="3"/>
        <v>BARU</v>
      </c>
      <c r="M1917" s="144" t="s">
        <v>31</v>
      </c>
      <c r="N1917" s="145">
        <v>750000.0</v>
      </c>
      <c r="O1917" s="146">
        <v>0.0</v>
      </c>
      <c r="P1917" s="48">
        <f t="array" ref="P1917">IFNA(XLOOKUP(J1917,'⚙️ Pengaturan'!$E$2:$E3237,'⚙️ Pengaturan'!$F$2:$F3237),"")</f>
        <v>750000</v>
      </c>
      <c r="Q1917" s="147">
        <f t="shared" ref="Q1917:Q1921" si="49">IF(I1917="","",(N1917+O1917)-P1917)</f>
        <v>0</v>
      </c>
      <c r="R1917" s="41" t="s">
        <v>37</v>
      </c>
      <c r="S1917" s="69" t="s">
        <v>1429</v>
      </c>
      <c r="T1917" s="51" t="b">
        <v>1</v>
      </c>
      <c r="U1917" s="94"/>
    </row>
    <row r="1918" ht="30.0" customHeight="1">
      <c r="A1918" s="39"/>
      <c r="B1918" s="161">
        <v>3955.0</v>
      </c>
      <c r="C1918" s="41" t="s">
        <v>39</v>
      </c>
      <c r="D1918" s="86">
        <v>46179.0</v>
      </c>
      <c r="E1918" s="43" t="str">
        <f t="shared" si="47"/>
        <v>2026</v>
      </c>
      <c r="F1918" s="43" t="str">
        <f t="shared" si="48"/>
        <v>06 Jun</v>
      </c>
      <c r="G1918" s="45" t="s">
        <v>43</v>
      </c>
      <c r="H1918" s="45" t="s">
        <v>150</v>
      </c>
      <c r="I1918" s="45" t="s">
        <v>1453</v>
      </c>
      <c r="J1918" s="143" t="s">
        <v>28</v>
      </c>
      <c r="K1918" s="43" t="str">
        <f t="array" ref="K1918">IF(J1918="","", XLOOKUP(J1918,'⚙️ Pengaturan'!$E$2:$E3237,'⚙️ Pengaturan'!$G$2:$G3237))</f>
        <v>KLINIK FT TA</v>
      </c>
      <c r="L1918" s="43" t="str">
        <f t="shared" si="3"/>
        <v>BARU</v>
      </c>
      <c r="M1918" s="144" t="s">
        <v>31</v>
      </c>
      <c r="N1918" s="145">
        <v>250000.0</v>
      </c>
      <c r="O1918" s="146">
        <v>0.0</v>
      </c>
      <c r="P1918" s="48">
        <f t="array" ref="P1918">IFNA(XLOOKUP(J1918,'⚙️ Pengaturan'!$E$2:$E3237,'⚙️ Pengaturan'!$F$2:$F3237),"")</f>
        <v>250000</v>
      </c>
      <c r="Q1918" s="147">
        <f t="shared" si="49"/>
        <v>0</v>
      </c>
      <c r="R1918" s="41" t="s">
        <v>37</v>
      </c>
      <c r="S1918" s="69" t="s">
        <v>1453</v>
      </c>
      <c r="T1918" s="51" t="b">
        <v>1</v>
      </c>
      <c r="U1918" s="94"/>
    </row>
    <row r="1919" ht="30.0" customHeight="1">
      <c r="A1919" s="39"/>
      <c r="B1919" s="40">
        <v>3956.0</v>
      </c>
      <c r="C1919" s="41" t="s">
        <v>79</v>
      </c>
      <c r="D1919" s="86">
        <v>46179.0</v>
      </c>
      <c r="E1919" s="43" t="str">
        <f t="shared" si="47"/>
        <v>2026</v>
      </c>
      <c r="F1919" s="43" t="str">
        <f t="shared" si="48"/>
        <v>06 Jun</v>
      </c>
      <c r="G1919" s="45" t="s">
        <v>35</v>
      </c>
      <c r="H1919" s="45" t="s">
        <v>149</v>
      </c>
      <c r="I1919" s="45" t="s">
        <v>1443</v>
      </c>
      <c r="J1919" s="143" t="s">
        <v>119</v>
      </c>
      <c r="K1919" s="43" t="str">
        <f t="array" ref="K1919">IF(J1919="","", XLOOKUP(J1919,'⚙️ Pengaturan'!$E$2:$E3237,'⚙️ Pengaturan'!$G$2:$G3237))</f>
        <v>KLINIK FT PAKET</v>
      </c>
      <c r="L1919" s="43" t="str">
        <f t="shared" si="3"/>
        <v>BARU</v>
      </c>
      <c r="M1919" s="144" t="s">
        <v>31</v>
      </c>
      <c r="N1919" s="145">
        <v>750000.0</v>
      </c>
      <c r="O1919" s="146">
        <v>0.0</v>
      </c>
      <c r="P1919" s="48">
        <f t="array" ref="P1919">IFNA(XLOOKUP(J1919,'⚙️ Pengaturan'!$E$2:$E3237,'⚙️ Pengaturan'!$F$2:$F3237),"")</f>
        <v>750000</v>
      </c>
      <c r="Q1919" s="147">
        <f t="shared" si="49"/>
        <v>0</v>
      </c>
      <c r="R1919" s="41" t="s">
        <v>37</v>
      </c>
      <c r="S1919" s="69" t="s">
        <v>1443</v>
      </c>
      <c r="T1919" s="51" t="b">
        <v>1</v>
      </c>
      <c r="U1919" s="94"/>
    </row>
    <row r="1920" ht="30.0" customHeight="1">
      <c r="A1920" s="39"/>
      <c r="B1920" s="161">
        <v>3957.0</v>
      </c>
      <c r="C1920" s="41" t="s">
        <v>39</v>
      </c>
      <c r="D1920" s="86">
        <v>46179.0</v>
      </c>
      <c r="E1920" s="43" t="str">
        <f t="shared" si="47"/>
        <v>2026</v>
      </c>
      <c r="F1920" s="43" t="str">
        <f t="shared" si="48"/>
        <v>06 Jun</v>
      </c>
      <c r="G1920" s="45" t="s">
        <v>155</v>
      </c>
      <c r="H1920" s="45" t="s">
        <v>150</v>
      </c>
      <c r="I1920" s="45" t="s">
        <v>1448</v>
      </c>
      <c r="J1920" s="143" t="s">
        <v>120</v>
      </c>
      <c r="K1920" s="43" t="str">
        <f t="array" ref="K1920">IF(J1920="","", XLOOKUP(J1920,'⚙️ Pengaturan'!$E$2:$E3237,'⚙️ Pengaturan'!$G$2:$G3237))</f>
        <v>KLINIK FT SESI</v>
      </c>
      <c r="L1920" s="43" t="str">
        <f t="shared" si="3"/>
        <v>BARU</v>
      </c>
      <c r="M1920" s="144" t="s">
        <v>31</v>
      </c>
      <c r="N1920" s="145">
        <v>180000.0</v>
      </c>
      <c r="O1920" s="146">
        <v>0.0</v>
      </c>
      <c r="P1920" s="48">
        <f t="array" ref="P1920">IFNA(XLOOKUP(J1920,'⚙️ Pengaturan'!$E$2:$E3237,'⚙️ Pengaturan'!$F$2:$F3237),"")</f>
        <v>180000</v>
      </c>
      <c r="Q1920" s="147">
        <f t="shared" si="49"/>
        <v>0</v>
      </c>
      <c r="R1920" s="41" t="s">
        <v>32</v>
      </c>
      <c r="S1920" s="69" t="s">
        <v>33</v>
      </c>
      <c r="T1920" s="51" t="b">
        <v>1</v>
      </c>
      <c r="U1920" s="94"/>
    </row>
    <row r="1921" ht="30.0" customHeight="1">
      <c r="A1921" s="39"/>
      <c r="B1921" s="40">
        <v>3958.0</v>
      </c>
      <c r="C1921" s="41" t="s">
        <v>39</v>
      </c>
      <c r="D1921" s="86">
        <v>46179.0</v>
      </c>
      <c r="E1921" s="43" t="str">
        <f t="shared" si="47"/>
        <v>2026</v>
      </c>
      <c r="F1921" s="43" t="str">
        <f t="shared" si="48"/>
        <v>06 Jun</v>
      </c>
      <c r="G1921" s="45" t="s">
        <v>190</v>
      </c>
      <c r="H1921" s="45" t="s">
        <v>166</v>
      </c>
      <c r="I1921" s="45" t="s">
        <v>1430</v>
      </c>
      <c r="J1921" s="143" t="s">
        <v>120</v>
      </c>
      <c r="K1921" s="43" t="str">
        <f t="array" ref="K1921">IF(J1921="","", XLOOKUP(J1921,'⚙️ Pengaturan'!$E$2:$E3237,'⚙️ Pengaturan'!$G$2:$G3237))</f>
        <v>KLINIK FT SESI</v>
      </c>
      <c r="L1921" s="43" t="str">
        <f t="shared" si="3"/>
        <v>BARU</v>
      </c>
      <c r="M1921" s="144" t="s">
        <v>31</v>
      </c>
      <c r="N1921" s="145">
        <v>180000.0</v>
      </c>
      <c r="O1921" s="146">
        <v>0.0</v>
      </c>
      <c r="P1921" s="48">
        <f t="array" ref="P1921">IFNA(XLOOKUP(J1921,'⚙️ Pengaturan'!$E$2:$E3237,'⚙️ Pengaturan'!$F$2:$F3237),"")</f>
        <v>180000</v>
      </c>
      <c r="Q1921" s="147">
        <f t="shared" si="49"/>
        <v>0</v>
      </c>
      <c r="R1921" s="41" t="s">
        <v>37</v>
      </c>
      <c r="S1921" s="69" t="s">
        <v>1430</v>
      </c>
      <c r="T1921" s="51" t="b">
        <v>1</v>
      </c>
      <c r="U1921" s="94"/>
    </row>
    <row r="1922" ht="30.0" customHeight="1">
      <c r="A1922" s="39"/>
      <c r="B1922" s="161">
        <v>3959.0</v>
      </c>
      <c r="C1922" s="41" t="s">
        <v>79</v>
      </c>
      <c r="D1922" s="86">
        <v>46180.0</v>
      </c>
      <c r="E1922" s="43" t="str">
        <f t="shared" si="47"/>
        <v>2026</v>
      </c>
      <c r="F1922" s="43" t="str">
        <f t="shared" si="48"/>
        <v>06 Jun</v>
      </c>
      <c r="G1922" s="45" t="s">
        <v>195</v>
      </c>
      <c r="H1922" s="45" t="s">
        <v>162</v>
      </c>
      <c r="I1922" s="45" t="s">
        <v>1454</v>
      </c>
      <c r="J1922" s="143" t="s">
        <v>28</v>
      </c>
      <c r="K1922" s="43" t="str">
        <f t="array" ref="K1922">IF(J1922="","", XLOOKUP(J1922,'⚙️ Pengaturan'!$E$2:$E3237,'⚙️ Pengaturan'!$G$2:$G3237))</f>
        <v>KLINIK FT TA</v>
      </c>
      <c r="L1922" s="43" t="str">
        <f t="shared" si="3"/>
        <v>BARU</v>
      </c>
      <c r="M1922" s="144" t="s">
        <v>31</v>
      </c>
      <c r="N1922" s="145">
        <v>250000.0</v>
      </c>
      <c r="O1922" s="146">
        <v>0.0</v>
      </c>
      <c r="P1922" s="48">
        <v>250000.0</v>
      </c>
      <c r="Q1922" s="147">
        <v>0.0</v>
      </c>
      <c r="R1922" s="41" t="s">
        <v>32</v>
      </c>
      <c r="S1922" s="69" t="s">
        <v>33</v>
      </c>
      <c r="T1922" s="51" t="b">
        <v>1</v>
      </c>
      <c r="U1922" s="94"/>
    </row>
    <row r="1923" ht="30.0" customHeight="1">
      <c r="A1923" s="39"/>
      <c r="B1923" s="40">
        <v>3960.0</v>
      </c>
      <c r="C1923" s="41" t="s">
        <v>79</v>
      </c>
      <c r="D1923" s="86">
        <v>46180.0</v>
      </c>
      <c r="E1923" s="43" t="str">
        <f t="shared" si="47"/>
        <v>2026</v>
      </c>
      <c r="F1923" s="43" t="str">
        <f t="shared" si="48"/>
        <v>06 Jun</v>
      </c>
      <c r="G1923" s="45" t="s">
        <v>195</v>
      </c>
      <c r="H1923" s="45" t="s">
        <v>166</v>
      </c>
      <c r="I1923" s="45" t="s">
        <v>1455</v>
      </c>
      <c r="J1923" s="143" t="s">
        <v>28</v>
      </c>
      <c r="K1923" s="43" t="str">
        <f t="array" ref="K1923">IF(J1923="","", XLOOKUP(J1923,'⚙️ Pengaturan'!$E$2:$E3237,'⚙️ Pengaturan'!$G$2:$G3237))</f>
        <v>KLINIK FT TA</v>
      </c>
      <c r="L1923" s="43" t="str">
        <f t="shared" si="3"/>
        <v>BARU</v>
      </c>
      <c r="M1923" s="144" t="s">
        <v>31</v>
      </c>
      <c r="N1923" s="145">
        <v>250000.0</v>
      </c>
      <c r="O1923" s="146">
        <v>0.0</v>
      </c>
      <c r="P1923" s="48">
        <v>250000.0</v>
      </c>
      <c r="Q1923" s="147">
        <v>0.0</v>
      </c>
      <c r="R1923" s="41" t="s">
        <v>32</v>
      </c>
      <c r="S1923" s="69" t="s">
        <v>33</v>
      </c>
      <c r="T1923" s="51" t="b">
        <v>1</v>
      </c>
      <c r="U1923" s="94"/>
    </row>
    <row r="1924" ht="30.0" customHeight="1">
      <c r="A1924" s="39"/>
      <c r="B1924" s="161">
        <v>3961.0</v>
      </c>
      <c r="C1924" s="41" t="s">
        <v>79</v>
      </c>
      <c r="D1924" s="86">
        <v>46180.0</v>
      </c>
      <c r="E1924" s="43" t="str">
        <f t="shared" si="47"/>
        <v>2026</v>
      </c>
      <c r="F1924" s="43" t="str">
        <f t="shared" si="48"/>
        <v>06 Jun</v>
      </c>
      <c r="G1924" s="45" t="s">
        <v>195</v>
      </c>
      <c r="H1924" s="45" t="s">
        <v>26</v>
      </c>
      <c r="I1924" s="45" t="s">
        <v>1456</v>
      </c>
      <c r="J1924" s="143" t="s">
        <v>28</v>
      </c>
      <c r="K1924" s="43" t="str">
        <f t="array" ref="K1924">IF(J1924="","", XLOOKUP(J1924,'⚙️ Pengaturan'!$E$2:$E3237,'⚙️ Pengaturan'!$G$2:$G3237))</f>
        <v>KLINIK FT TA</v>
      </c>
      <c r="L1924" s="43" t="str">
        <f t="shared" si="3"/>
        <v>BARU</v>
      </c>
      <c r="M1924" s="144" t="s">
        <v>31</v>
      </c>
      <c r="N1924" s="145">
        <v>250000.0</v>
      </c>
      <c r="O1924" s="146">
        <v>0.0</v>
      </c>
      <c r="P1924" s="48">
        <v>250000.0</v>
      </c>
      <c r="Q1924" s="147">
        <v>0.0</v>
      </c>
      <c r="R1924" s="41" t="s">
        <v>32</v>
      </c>
      <c r="S1924" s="69" t="s">
        <v>33</v>
      </c>
      <c r="T1924" s="51" t="b">
        <v>1</v>
      </c>
      <c r="U1924" s="94"/>
    </row>
    <row r="1925" ht="30.0" customHeight="1">
      <c r="A1925" s="39"/>
      <c r="B1925" s="40">
        <v>3962.0</v>
      </c>
      <c r="C1925" s="41" t="s">
        <v>79</v>
      </c>
      <c r="D1925" s="86">
        <v>46180.0</v>
      </c>
      <c r="E1925" s="43" t="str">
        <f t="shared" si="47"/>
        <v>2026</v>
      </c>
      <c r="F1925" s="43" t="str">
        <f t="shared" si="48"/>
        <v>06 Jun</v>
      </c>
      <c r="G1925" s="45" t="s">
        <v>195</v>
      </c>
      <c r="H1925" s="45" t="s">
        <v>162</v>
      </c>
      <c r="I1925" s="45" t="s">
        <v>1366</v>
      </c>
      <c r="J1925" s="143" t="s">
        <v>119</v>
      </c>
      <c r="K1925" s="43" t="str">
        <f t="array" ref="K1925">IF(J1925="","", XLOOKUP(J1925,'⚙️ Pengaturan'!$E$2:$E3237,'⚙️ Pengaturan'!$G$2:$G3237))</f>
        <v>KLINIK FT PAKET</v>
      </c>
      <c r="L1925" s="43" t="str">
        <f t="shared" si="3"/>
        <v>LANJUTAN</v>
      </c>
      <c r="M1925" s="144" t="s">
        <v>31</v>
      </c>
      <c r="N1925" s="145">
        <v>750000.0</v>
      </c>
      <c r="O1925" s="146">
        <v>0.0</v>
      </c>
      <c r="P1925" s="48">
        <v>750000.0</v>
      </c>
      <c r="Q1925" s="147">
        <v>0.0</v>
      </c>
      <c r="R1925" s="41" t="s">
        <v>32</v>
      </c>
      <c r="S1925" s="69" t="s">
        <v>33</v>
      </c>
      <c r="T1925" s="51" t="b">
        <v>1</v>
      </c>
      <c r="U1925" s="94"/>
    </row>
    <row r="1926" ht="30.0" customHeight="1">
      <c r="A1926" s="39"/>
      <c r="B1926" s="161">
        <v>3963.0</v>
      </c>
      <c r="C1926" s="41" t="s">
        <v>50</v>
      </c>
      <c r="D1926" s="86">
        <v>46180.0</v>
      </c>
      <c r="E1926" s="43" t="str">
        <f t="shared" si="47"/>
        <v>2026</v>
      </c>
      <c r="F1926" s="43" t="str">
        <f t="shared" si="48"/>
        <v>06 Jun</v>
      </c>
      <c r="G1926" s="45" t="s">
        <v>40</v>
      </c>
      <c r="H1926" s="45" t="s">
        <v>47</v>
      </c>
      <c r="I1926" s="45" t="s">
        <v>1457</v>
      </c>
      <c r="J1926" s="143" t="s">
        <v>28</v>
      </c>
      <c r="K1926" s="43" t="str">
        <f t="array" ref="K1926">IF(J1926="","", XLOOKUP(J1926,'⚙️ Pengaturan'!$E$2:$E3237,'⚙️ Pengaturan'!$G$2:$G3237))</f>
        <v>KLINIK FT TA</v>
      </c>
      <c r="L1926" s="43" t="str">
        <f t="shared" si="3"/>
        <v>BARU</v>
      </c>
      <c r="M1926" s="144" t="s">
        <v>31</v>
      </c>
      <c r="N1926" s="145">
        <v>250000.0</v>
      </c>
      <c r="O1926" s="146">
        <v>0.0</v>
      </c>
      <c r="P1926" s="48">
        <f t="array" ref="P1926">IFNA(XLOOKUP(J1926,'⚙️ Pengaturan'!$E$2:$E3237,'⚙️ Pengaturan'!$F$2:$F3237),"")</f>
        <v>250000</v>
      </c>
      <c r="Q1926" s="147">
        <f t="shared" ref="Q1926:Q2020" si="50">IF(I1926="","",(N1926+O1926)-P1926)</f>
        <v>0</v>
      </c>
      <c r="R1926" s="41" t="s">
        <v>32</v>
      </c>
      <c r="S1926" s="69" t="s">
        <v>33</v>
      </c>
      <c r="T1926" s="51" t="b">
        <v>1</v>
      </c>
      <c r="U1926" s="94"/>
    </row>
    <row r="1927" ht="30.0" customHeight="1">
      <c r="A1927" s="39"/>
      <c r="B1927" s="40">
        <v>3964.0</v>
      </c>
      <c r="C1927" s="41" t="s">
        <v>50</v>
      </c>
      <c r="D1927" s="86">
        <v>46180.0</v>
      </c>
      <c r="E1927" s="43" t="str">
        <f t="shared" si="47"/>
        <v>2026</v>
      </c>
      <c r="F1927" s="43" t="str">
        <f t="shared" si="48"/>
        <v>06 Jun</v>
      </c>
      <c r="G1927" s="45" t="s">
        <v>43</v>
      </c>
      <c r="H1927" s="45" t="s">
        <v>41</v>
      </c>
      <c r="I1927" s="45" t="s">
        <v>1458</v>
      </c>
      <c r="J1927" s="143" t="s">
        <v>28</v>
      </c>
      <c r="K1927" s="43" t="str">
        <f t="array" ref="K1927">IF(J1927="","", XLOOKUP(J1927,'⚙️ Pengaturan'!$E$2:$E3237,'⚙️ Pengaturan'!$G$2:$G3237))</f>
        <v>KLINIK FT TA</v>
      </c>
      <c r="L1927" s="43" t="str">
        <f t="shared" si="3"/>
        <v>BARU</v>
      </c>
      <c r="M1927" s="144" t="s">
        <v>31</v>
      </c>
      <c r="N1927" s="145">
        <v>250000.0</v>
      </c>
      <c r="O1927" s="146">
        <v>0.0</v>
      </c>
      <c r="P1927" s="48">
        <f t="array" ref="P1927">IFNA(XLOOKUP(J1927,'⚙️ Pengaturan'!$E$2:$E3237,'⚙️ Pengaturan'!$F$2:$F3237),"")</f>
        <v>250000</v>
      </c>
      <c r="Q1927" s="147">
        <f t="shared" si="50"/>
        <v>0</v>
      </c>
      <c r="R1927" s="41" t="s">
        <v>37</v>
      </c>
      <c r="S1927" s="69" t="s">
        <v>1458</v>
      </c>
      <c r="T1927" s="51" t="b">
        <v>1</v>
      </c>
      <c r="U1927" s="94"/>
    </row>
    <row r="1928" ht="30.0" customHeight="1">
      <c r="A1928" s="39"/>
      <c r="B1928" s="161">
        <v>3965.0</v>
      </c>
      <c r="C1928" s="41" t="s">
        <v>50</v>
      </c>
      <c r="D1928" s="86">
        <v>46180.0</v>
      </c>
      <c r="E1928" s="43" t="str">
        <f t="shared" si="47"/>
        <v>2026</v>
      </c>
      <c r="F1928" s="43" t="str">
        <f t="shared" si="48"/>
        <v>06 Jun</v>
      </c>
      <c r="G1928" s="45" t="s">
        <v>173</v>
      </c>
      <c r="H1928" s="45" t="s">
        <v>41</v>
      </c>
      <c r="I1928" s="45" t="s">
        <v>1459</v>
      </c>
      <c r="J1928" s="143" t="s">
        <v>28</v>
      </c>
      <c r="K1928" s="43" t="str">
        <f t="array" ref="K1928">IF(J1928="","", XLOOKUP(J1928,'⚙️ Pengaturan'!$E$2:$E3237,'⚙️ Pengaturan'!$G$2:$G3237))</f>
        <v>KLINIK FT TA</v>
      </c>
      <c r="L1928" s="43" t="str">
        <f t="shared" si="3"/>
        <v>BARU</v>
      </c>
      <c r="M1928" s="144" t="s">
        <v>31</v>
      </c>
      <c r="N1928" s="145">
        <v>250000.0</v>
      </c>
      <c r="O1928" s="146">
        <v>0.0</v>
      </c>
      <c r="P1928" s="48">
        <f t="array" ref="P1928">IFNA(XLOOKUP(J1928,'⚙️ Pengaturan'!$E$2:$E3237,'⚙️ Pengaturan'!$F$2:$F3237),"")</f>
        <v>250000</v>
      </c>
      <c r="Q1928" s="147">
        <f t="shared" si="50"/>
        <v>0</v>
      </c>
      <c r="R1928" s="41" t="s">
        <v>32</v>
      </c>
      <c r="S1928" s="69" t="s">
        <v>33</v>
      </c>
      <c r="T1928" s="51" t="b">
        <v>1</v>
      </c>
      <c r="U1928" s="94"/>
    </row>
    <row r="1929" ht="30.0" customHeight="1">
      <c r="A1929" s="39"/>
      <c r="B1929" s="40">
        <v>3966.0</v>
      </c>
      <c r="C1929" s="41" t="s">
        <v>50</v>
      </c>
      <c r="D1929" s="86">
        <v>46180.0</v>
      </c>
      <c r="E1929" s="43" t="str">
        <f t="shared" si="47"/>
        <v>2026</v>
      </c>
      <c r="F1929" s="43" t="str">
        <f t="shared" si="48"/>
        <v>06 Jun</v>
      </c>
      <c r="G1929" s="45" t="s">
        <v>69</v>
      </c>
      <c r="H1929" s="45" t="s">
        <v>166</v>
      </c>
      <c r="I1929" s="45" t="s">
        <v>1460</v>
      </c>
      <c r="J1929" s="143" t="s">
        <v>28</v>
      </c>
      <c r="K1929" s="43" t="str">
        <f t="array" ref="K1929">IF(J1929="","", XLOOKUP(J1929,'⚙️ Pengaturan'!$E$2:$E3237,'⚙️ Pengaturan'!$G$2:$G3237))</f>
        <v>KLINIK FT TA</v>
      </c>
      <c r="L1929" s="43" t="str">
        <f t="shared" si="3"/>
        <v>BARU</v>
      </c>
      <c r="M1929" s="144" t="s">
        <v>31</v>
      </c>
      <c r="N1929" s="145">
        <v>250000.0</v>
      </c>
      <c r="O1929" s="146">
        <v>0.0</v>
      </c>
      <c r="P1929" s="48">
        <f t="array" ref="P1929">IFNA(XLOOKUP(J1929,'⚙️ Pengaturan'!$E$2:$E3237,'⚙️ Pengaturan'!$F$2:$F3237),"")</f>
        <v>250000</v>
      </c>
      <c r="Q1929" s="147">
        <f t="shared" si="50"/>
        <v>0</v>
      </c>
      <c r="R1929" s="41" t="s">
        <v>37</v>
      </c>
      <c r="S1929" s="69" t="s">
        <v>1460</v>
      </c>
      <c r="T1929" s="51" t="b">
        <v>1</v>
      </c>
      <c r="U1929" s="94"/>
    </row>
    <row r="1930" ht="30.0" customHeight="1">
      <c r="A1930" s="39"/>
      <c r="B1930" s="161">
        <v>3967.0</v>
      </c>
      <c r="C1930" s="41" t="s">
        <v>50</v>
      </c>
      <c r="D1930" s="86">
        <v>46180.0</v>
      </c>
      <c r="E1930" s="43" t="str">
        <f t="shared" si="47"/>
        <v>2026</v>
      </c>
      <c r="F1930" s="43" t="str">
        <f t="shared" si="48"/>
        <v>06 Jun</v>
      </c>
      <c r="G1930" s="45" t="s">
        <v>69</v>
      </c>
      <c r="H1930" s="45" t="s">
        <v>162</v>
      </c>
      <c r="I1930" s="45" t="s">
        <v>1461</v>
      </c>
      <c r="J1930" s="143" t="s">
        <v>28</v>
      </c>
      <c r="K1930" s="43" t="str">
        <f t="array" ref="K1930">IF(J1930="","", XLOOKUP(J1930,'⚙️ Pengaturan'!$E$2:$E3237,'⚙️ Pengaturan'!$G$2:$G3237))</f>
        <v>KLINIK FT TA</v>
      </c>
      <c r="L1930" s="43" t="str">
        <f t="shared" si="3"/>
        <v>BARU</v>
      </c>
      <c r="M1930" s="144" t="s">
        <v>31</v>
      </c>
      <c r="N1930" s="145">
        <v>250000.0</v>
      </c>
      <c r="O1930" s="146">
        <v>0.0</v>
      </c>
      <c r="P1930" s="48">
        <f t="array" ref="P1930">IFNA(XLOOKUP(J1930,'⚙️ Pengaturan'!$E$2:$E3237,'⚙️ Pengaturan'!$F$2:$F3237),"")</f>
        <v>250000</v>
      </c>
      <c r="Q1930" s="147">
        <f t="shared" si="50"/>
        <v>0</v>
      </c>
      <c r="R1930" s="41" t="s">
        <v>37</v>
      </c>
      <c r="S1930" s="69" t="s">
        <v>1461</v>
      </c>
      <c r="T1930" s="51" t="b">
        <v>1</v>
      </c>
      <c r="U1930" s="94"/>
    </row>
    <row r="1931" ht="30.0" customHeight="1">
      <c r="A1931" s="39"/>
      <c r="B1931" s="40">
        <v>3968.0</v>
      </c>
      <c r="C1931" s="41" t="s">
        <v>50</v>
      </c>
      <c r="D1931" s="86">
        <v>46180.0</v>
      </c>
      <c r="E1931" s="43" t="str">
        <f t="shared" si="47"/>
        <v>2026</v>
      </c>
      <c r="F1931" s="43" t="str">
        <f t="shared" si="48"/>
        <v>06 Jun</v>
      </c>
      <c r="G1931" s="45" t="s">
        <v>155</v>
      </c>
      <c r="H1931" s="45" t="s">
        <v>41</v>
      </c>
      <c r="I1931" s="45" t="s">
        <v>1249</v>
      </c>
      <c r="J1931" s="143" t="s">
        <v>119</v>
      </c>
      <c r="K1931" s="43" t="str">
        <f t="array" ref="K1931">IF(J1931="","", XLOOKUP(J1931,'⚙️ Pengaturan'!$E$2:$E3237,'⚙️ Pengaturan'!$G$2:$G3237))</f>
        <v>KLINIK FT PAKET</v>
      </c>
      <c r="L1931" s="43" t="str">
        <f t="shared" si="3"/>
        <v>LANJUTAN</v>
      </c>
      <c r="M1931" s="144" t="s">
        <v>31</v>
      </c>
      <c r="N1931" s="145">
        <v>600000.0</v>
      </c>
      <c r="O1931" s="146">
        <v>150000.0</v>
      </c>
      <c r="P1931" s="48">
        <f t="array" ref="P1931">IFNA(XLOOKUP(J1931,'⚙️ Pengaturan'!$E$2:$E3237,'⚙️ Pengaturan'!$F$2:$F3237),"")</f>
        <v>750000</v>
      </c>
      <c r="Q1931" s="147">
        <f t="shared" si="50"/>
        <v>0</v>
      </c>
      <c r="R1931" s="41" t="s">
        <v>37</v>
      </c>
      <c r="S1931" s="69" t="s">
        <v>1249</v>
      </c>
      <c r="T1931" s="51" t="b">
        <v>1</v>
      </c>
      <c r="U1931" s="94" t="s">
        <v>1063</v>
      </c>
    </row>
    <row r="1932" ht="30.0" customHeight="1">
      <c r="A1932" s="39"/>
      <c r="B1932" s="161">
        <v>3969.0</v>
      </c>
      <c r="C1932" s="41" t="s">
        <v>50</v>
      </c>
      <c r="D1932" s="86">
        <v>46180.0</v>
      </c>
      <c r="E1932" s="43" t="str">
        <f t="shared" si="47"/>
        <v>2026</v>
      </c>
      <c r="F1932" s="43" t="str">
        <f t="shared" si="48"/>
        <v>06 Jun</v>
      </c>
      <c r="G1932" s="45" t="s">
        <v>155</v>
      </c>
      <c r="H1932" s="45" t="s">
        <v>96</v>
      </c>
      <c r="I1932" s="45" t="s">
        <v>1307</v>
      </c>
      <c r="J1932" s="143" t="s">
        <v>119</v>
      </c>
      <c r="K1932" s="43" t="str">
        <f t="array" ref="K1932">IF(J1932="","", XLOOKUP(J1932,'⚙️ Pengaturan'!$E$2:$E3237,'⚙️ Pengaturan'!$G$2:$G3237))</f>
        <v>KLINIK FT PAKET</v>
      </c>
      <c r="L1932" s="43" t="str">
        <f t="shared" si="3"/>
        <v>LANJUTAN</v>
      </c>
      <c r="M1932" s="144" t="s">
        <v>60</v>
      </c>
      <c r="N1932" s="145">
        <v>300000.0</v>
      </c>
      <c r="O1932" s="146">
        <v>150000.0</v>
      </c>
      <c r="P1932" s="48">
        <f t="array" ref="P1932">IFNA(XLOOKUP(J1932,'⚙️ Pengaturan'!$E$2:$E3237,'⚙️ Pengaturan'!$F$2:$F3237),"")</f>
        <v>750000</v>
      </c>
      <c r="Q1932" s="147">
        <f t="shared" si="50"/>
        <v>-300000</v>
      </c>
      <c r="R1932" s="41" t="s">
        <v>32</v>
      </c>
      <c r="S1932" s="69" t="s">
        <v>33</v>
      </c>
      <c r="T1932" s="51" t="b">
        <v>1</v>
      </c>
      <c r="U1932" s="94" t="s">
        <v>1063</v>
      </c>
    </row>
    <row r="1933" ht="30.0" customHeight="1">
      <c r="A1933" s="39"/>
      <c r="B1933" s="40">
        <v>3970.0</v>
      </c>
      <c r="C1933" s="41" t="s">
        <v>50</v>
      </c>
      <c r="D1933" s="86">
        <v>46180.0</v>
      </c>
      <c r="E1933" s="43" t="str">
        <f t="shared" si="47"/>
        <v>2026</v>
      </c>
      <c r="F1933" s="43" t="str">
        <f t="shared" si="48"/>
        <v>06 Jun</v>
      </c>
      <c r="G1933" s="45" t="s">
        <v>69</v>
      </c>
      <c r="H1933" s="45" t="s">
        <v>162</v>
      </c>
      <c r="I1933" s="45" t="s">
        <v>1462</v>
      </c>
      <c r="J1933" s="143" t="s">
        <v>28</v>
      </c>
      <c r="K1933" s="43" t="str">
        <f t="array" ref="K1933">IF(J1933="","", XLOOKUP(J1933,'⚙️ Pengaturan'!$E$2:$E3237,'⚙️ Pengaturan'!$G$2:$G3237))</f>
        <v>KLINIK FT TA</v>
      </c>
      <c r="L1933" s="43" t="str">
        <f t="shared" si="3"/>
        <v>BARU</v>
      </c>
      <c r="M1933" s="144" t="s">
        <v>31</v>
      </c>
      <c r="N1933" s="145">
        <v>250000.0</v>
      </c>
      <c r="O1933" s="146">
        <v>0.0</v>
      </c>
      <c r="P1933" s="48">
        <f t="array" ref="P1933">IFNA(XLOOKUP(J1933,'⚙️ Pengaturan'!$E$2:$E3237,'⚙️ Pengaturan'!$F$2:$F3237),"")</f>
        <v>250000</v>
      </c>
      <c r="Q1933" s="147">
        <f t="shared" si="50"/>
        <v>0</v>
      </c>
      <c r="R1933" s="41" t="s">
        <v>32</v>
      </c>
      <c r="S1933" s="69" t="s">
        <v>33</v>
      </c>
      <c r="T1933" s="51" t="b">
        <v>1</v>
      </c>
      <c r="U1933" s="94"/>
    </row>
    <row r="1934" ht="30.0" customHeight="1">
      <c r="A1934" s="39"/>
      <c r="B1934" s="161">
        <v>3971.0</v>
      </c>
      <c r="C1934" s="41" t="s">
        <v>39</v>
      </c>
      <c r="D1934" s="86">
        <v>46181.0</v>
      </c>
      <c r="E1934" s="43" t="str">
        <f t="shared" si="47"/>
        <v>2026</v>
      </c>
      <c r="F1934" s="43" t="str">
        <f t="shared" si="48"/>
        <v>06 Jun</v>
      </c>
      <c r="G1934" s="45" t="s">
        <v>69</v>
      </c>
      <c r="H1934" s="45" t="s">
        <v>26</v>
      </c>
      <c r="I1934" s="45" t="s">
        <v>1463</v>
      </c>
      <c r="J1934" s="143" t="s">
        <v>365</v>
      </c>
      <c r="K1934" s="43" t="str">
        <f t="array" ref="K1934">IF(J1934="","", XLOOKUP(J1934,'⚙️ Pengaturan'!$E$2:$E3237,'⚙️ Pengaturan'!$G$2:$G3237))</f>
        <v>VISIT FT SESI</v>
      </c>
      <c r="L1934" s="43" t="str">
        <f t="shared" si="3"/>
        <v>BARU</v>
      </c>
      <c r="M1934" s="144" t="s">
        <v>31</v>
      </c>
      <c r="N1934" s="145">
        <v>200000.0</v>
      </c>
      <c r="O1934" s="146">
        <v>50000.0</v>
      </c>
      <c r="P1934" s="48">
        <f t="array" ref="P1934">IFNA(XLOOKUP(J1934,'⚙️ Pengaturan'!$E$2:$E3237,'⚙️ Pengaturan'!$F$2:$F3237),"")</f>
        <v>250000</v>
      </c>
      <c r="Q1934" s="147">
        <f t="shared" si="50"/>
        <v>0</v>
      </c>
      <c r="R1934" s="41" t="s">
        <v>32</v>
      </c>
      <c r="S1934" s="69" t="s">
        <v>33</v>
      </c>
      <c r="T1934" s="51" t="b">
        <v>1</v>
      </c>
      <c r="U1934" s="163" t="s">
        <v>1409</v>
      </c>
    </row>
    <row r="1935" ht="30.0" customHeight="1">
      <c r="A1935" s="39"/>
      <c r="B1935" s="40">
        <v>3972.0</v>
      </c>
      <c r="C1935" s="41" t="s">
        <v>39</v>
      </c>
      <c r="D1935" s="86">
        <v>46181.0</v>
      </c>
      <c r="E1935" s="43" t="str">
        <f t="shared" si="47"/>
        <v>2026</v>
      </c>
      <c r="F1935" s="43" t="str">
        <f t="shared" si="48"/>
        <v>06 Jun</v>
      </c>
      <c r="G1935" s="45" t="s">
        <v>69</v>
      </c>
      <c r="H1935" s="45" t="s">
        <v>26</v>
      </c>
      <c r="I1935" s="45" t="s">
        <v>1463</v>
      </c>
      <c r="J1935" s="143" t="s">
        <v>323</v>
      </c>
      <c r="K1935" s="43" t="str">
        <f t="array" ref="K1935">IF(J1935="","", XLOOKUP(J1935,'⚙️ Pengaturan'!$E$2:$E3237,'⚙️ Pengaturan'!$G$2:$G3237))</f>
        <v>VISIT FT SESI</v>
      </c>
      <c r="L1935" s="43" t="str">
        <f t="shared" si="3"/>
        <v>BARU</v>
      </c>
      <c r="M1935" s="144" t="s">
        <v>31</v>
      </c>
      <c r="N1935" s="145">
        <v>200000.0</v>
      </c>
      <c r="O1935" s="146">
        <v>0.0</v>
      </c>
      <c r="P1935" s="48">
        <f t="array" ref="P1935">IFNA(XLOOKUP(J1935,'⚙️ Pengaturan'!$E$2:$E3237,'⚙️ Pengaturan'!$F$2:$F3237),"")</f>
        <v>200000</v>
      </c>
      <c r="Q1935" s="147">
        <f t="shared" si="50"/>
        <v>0</v>
      </c>
      <c r="R1935" s="41" t="s">
        <v>32</v>
      </c>
      <c r="S1935" s="69" t="s">
        <v>33</v>
      </c>
      <c r="T1935" s="51" t="b">
        <v>1</v>
      </c>
      <c r="U1935" s="94"/>
    </row>
    <row r="1936" ht="30.0" customHeight="1">
      <c r="A1936" s="39"/>
      <c r="B1936" s="161">
        <v>3973.0</v>
      </c>
      <c r="C1936" s="41" t="s">
        <v>39</v>
      </c>
      <c r="D1936" s="86">
        <v>46181.0</v>
      </c>
      <c r="E1936" s="43" t="str">
        <f t="shared" si="47"/>
        <v>2026</v>
      </c>
      <c r="F1936" s="43" t="str">
        <f t="shared" si="48"/>
        <v>06 Jun</v>
      </c>
      <c r="G1936" s="45" t="s">
        <v>25</v>
      </c>
      <c r="H1936" s="45" t="s">
        <v>150</v>
      </c>
      <c r="I1936" s="45" t="s">
        <v>1355</v>
      </c>
      <c r="J1936" s="143" t="s">
        <v>119</v>
      </c>
      <c r="K1936" s="43" t="str">
        <f t="array" ref="K1936">IF(J1936="","", XLOOKUP(J1936,'⚙️ Pengaturan'!$E$2:$E3237,'⚙️ Pengaturan'!$G$2:$G3237))</f>
        <v>KLINIK FT PAKET</v>
      </c>
      <c r="L1936" s="43" t="str">
        <f t="shared" si="3"/>
        <v>BARU</v>
      </c>
      <c r="M1936" s="144" t="s">
        <v>60</v>
      </c>
      <c r="N1936" s="145">
        <v>300000.0</v>
      </c>
      <c r="O1936" s="146">
        <v>0.0</v>
      </c>
      <c r="P1936" s="48">
        <f t="array" ref="P1936">IFNA(XLOOKUP(J1936,'⚙️ Pengaturan'!$E$2:$E3237,'⚙️ Pengaturan'!$F$2:$F3237),"")</f>
        <v>750000</v>
      </c>
      <c r="Q1936" s="147">
        <f t="shared" si="50"/>
        <v>-450000</v>
      </c>
      <c r="R1936" s="41" t="s">
        <v>32</v>
      </c>
      <c r="S1936" s="69" t="s">
        <v>33</v>
      </c>
      <c r="T1936" s="51" t="b">
        <v>1</v>
      </c>
      <c r="U1936" s="94"/>
    </row>
    <row r="1937" ht="30.0" customHeight="1">
      <c r="A1937" s="39"/>
      <c r="B1937" s="40">
        <v>3974.0</v>
      </c>
      <c r="C1937" s="41" t="s">
        <v>39</v>
      </c>
      <c r="D1937" s="86">
        <v>46181.0</v>
      </c>
      <c r="E1937" s="43" t="str">
        <f t="shared" si="47"/>
        <v>2026</v>
      </c>
      <c r="F1937" s="43" t="str">
        <f t="shared" si="48"/>
        <v>06 Jun</v>
      </c>
      <c r="G1937" s="45" t="s">
        <v>69</v>
      </c>
      <c r="H1937" s="45" t="s">
        <v>162</v>
      </c>
      <c r="I1937" s="45" t="s">
        <v>1464</v>
      </c>
      <c r="J1937" s="143" t="s">
        <v>28</v>
      </c>
      <c r="K1937" s="43" t="str">
        <f t="array" ref="K1937">IF(J1937="","", XLOOKUP(J1937,'⚙️ Pengaturan'!$E$2:$E3237,'⚙️ Pengaturan'!$G$2:$G3237))</f>
        <v>KLINIK FT TA</v>
      </c>
      <c r="L1937" s="43" t="str">
        <f t="shared" si="3"/>
        <v>BARU</v>
      </c>
      <c r="M1937" s="144" t="s">
        <v>31</v>
      </c>
      <c r="N1937" s="145">
        <v>0.0</v>
      </c>
      <c r="O1937" s="146">
        <v>0.0</v>
      </c>
      <c r="P1937" s="48">
        <f t="array" ref="P1937">IFNA(XLOOKUP(J1937,'⚙️ Pengaturan'!$E$2:$E3237,'⚙️ Pengaturan'!$F$2:$F3237),"")</f>
        <v>250000</v>
      </c>
      <c r="Q1937" s="147">
        <f t="shared" si="50"/>
        <v>-250000</v>
      </c>
      <c r="R1937" s="41" t="s">
        <v>37</v>
      </c>
      <c r="S1937" s="69" t="s">
        <v>1465</v>
      </c>
      <c r="T1937" s="51" t="b">
        <v>1</v>
      </c>
      <c r="U1937" s="94" t="s">
        <v>1466</v>
      </c>
    </row>
    <row r="1938" ht="30.0" customHeight="1">
      <c r="A1938" s="39"/>
      <c r="B1938" s="161">
        <v>3975.0</v>
      </c>
      <c r="C1938" s="41" t="s">
        <v>39</v>
      </c>
      <c r="D1938" s="86">
        <v>46181.0</v>
      </c>
      <c r="E1938" s="43" t="str">
        <f t="shared" si="47"/>
        <v>2026</v>
      </c>
      <c r="F1938" s="43" t="str">
        <f t="shared" si="48"/>
        <v>06 Jun</v>
      </c>
      <c r="G1938" s="45" t="s">
        <v>161</v>
      </c>
      <c r="H1938" s="45" t="s">
        <v>156</v>
      </c>
      <c r="I1938" s="45" t="s">
        <v>1467</v>
      </c>
      <c r="J1938" s="143" t="s">
        <v>28</v>
      </c>
      <c r="K1938" s="43" t="str">
        <f t="array" ref="K1938">IF(J1938="","", XLOOKUP(J1938,'⚙️ Pengaturan'!$E$2:$E3237,'⚙️ Pengaturan'!$G$2:$G3237))</f>
        <v>KLINIK FT TA</v>
      </c>
      <c r="L1938" s="43" t="str">
        <f t="shared" si="3"/>
        <v>BARU</v>
      </c>
      <c r="M1938" s="144" t="s">
        <v>31</v>
      </c>
      <c r="N1938" s="145">
        <v>250000.0</v>
      </c>
      <c r="O1938" s="146">
        <v>0.0</v>
      </c>
      <c r="P1938" s="48">
        <f t="array" ref="P1938">IFNA(XLOOKUP(J1938,'⚙️ Pengaturan'!$E$2:$E3237,'⚙️ Pengaturan'!$F$2:$F3237),"")</f>
        <v>250000</v>
      </c>
      <c r="Q1938" s="147">
        <f t="shared" si="50"/>
        <v>0</v>
      </c>
      <c r="R1938" s="41" t="s">
        <v>32</v>
      </c>
      <c r="S1938" s="69" t="s">
        <v>33</v>
      </c>
      <c r="T1938" s="51" t="b">
        <v>1</v>
      </c>
      <c r="U1938" s="94"/>
    </row>
    <row r="1939" ht="30.0" customHeight="1">
      <c r="A1939" s="39"/>
      <c r="B1939" s="40">
        <v>3976.0</v>
      </c>
      <c r="C1939" s="41" t="s">
        <v>50</v>
      </c>
      <c r="D1939" s="86">
        <v>46181.0</v>
      </c>
      <c r="E1939" s="43" t="str">
        <f t="shared" si="47"/>
        <v>2026</v>
      </c>
      <c r="F1939" s="43" t="str">
        <f t="shared" si="48"/>
        <v>06 Jun</v>
      </c>
      <c r="G1939" s="45" t="s">
        <v>40</v>
      </c>
      <c r="H1939" s="45" t="s">
        <v>47</v>
      </c>
      <c r="I1939" s="45" t="s">
        <v>1449</v>
      </c>
      <c r="J1939" s="143" t="s">
        <v>120</v>
      </c>
      <c r="K1939" s="43" t="str">
        <f t="array" ref="K1939">IF(J1939="","", XLOOKUP(J1939,'⚙️ Pengaturan'!$E$2:$E3237,'⚙️ Pengaturan'!$G$2:$G3237))</f>
        <v>KLINIK FT SESI</v>
      </c>
      <c r="L1939" s="43" t="str">
        <f t="shared" si="3"/>
        <v>BARU</v>
      </c>
      <c r="M1939" s="144" t="s">
        <v>31</v>
      </c>
      <c r="N1939" s="145">
        <v>180000.0</v>
      </c>
      <c r="O1939" s="146">
        <v>0.0</v>
      </c>
      <c r="P1939" s="48">
        <f t="array" ref="P1939">IFNA(XLOOKUP(J1939,'⚙️ Pengaturan'!$E$2:$E3237,'⚙️ Pengaturan'!$F$2:$F3237),"")</f>
        <v>180000</v>
      </c>
      <c r="Q1939" s="147">
        <f t="shared" si="50"/>
        <v>0</v>
      </c>
      <c r="R1939" s="41" t="s">
        <v>37</v>
      </c>
      <c r="S1939" s="69" t="s">
        <v>1449</v>
      </c>
      <c r="T1939" s="51" t="b">
        <v>1</v>
      </c>
      <c r="U1939" s="94"/>
    </row>
    <row r="1940" ht="30.0" customHeight="1">
      <c r="A1940" s="39"/>
      <c r="B1940" s="161">
        <v>3977.0</v>
      </c>
      <c r="C1940" s="41" t="s">
        <v>50</v>
      </c>
      <c r="D1940" s="86">
        <v>46181.0</v>
      </c>
      <c r="E1940" s="43" t="str">
        <f t="shared" si="47"/>
        <v>2026</v>
      </c>
      <c r="F1940" s="43" t="str">
        <f t="shared" si="48"/>
        <v>06 Jun</v>
      </c>
      <c r="G1940" s="45" t="s">
        <v>43</v>
      </c>
      <c r="H1940" s="45" t="s">
        <v>96</v>
      </c>
      <c r="I1940" s="45" t="s">
        <v>1468</v>
      </c>
      <c r="J1940" s="143" t="s">
        <v>28</v>
      </c>
      <c r="K1940" s="43" t="str">
        <f t="array" ref="K1940">IF(J1940="","", XLOOKUP(J1940,'⚙️ Pengaturan'!$E$2:$E3237,'⚙️ Pengaturan'!$G$2:$G3237))</f>
        <v>KLINIK FT TA</v>
      </c>
      <c r="L1940" s="43" t="str">
        <f t="shared" si="3"/>
        <v>BARU</v>
      </c>
      <c r="M1940" s="144" t="s">
        <v>31</v>
      </c>
      <c r="N1940" s="145">
        <v>250000.0</v>
      </c>
      <c r="O1940" s="146">
        <v>0.0</v>
      </c>
      <c r="P1940" s="48">
        <f t="array" ref="P1940">IFNA(XLOOKUP(J1940,'⚙️ Pengaturan'!$E$2:$E3237,'⚙️ Pengaturan'!$F$2:$F3237),"")</f>
        <v>250000</v>
      </c>
      <c r="Q1940" s="147">
        <f t="shared" si="50"/>
        <v>0</v>
      </c>
      <c r="R1940" s="41" t="s">
        <v>93</v>
      </c>
      <c r="S1940" s="69" t="s">
        <v>1468</v>
      </c>
      <c r="T1940" s="51" t="b">
        <v>1</v>
      </c>
      <c r="U1940" s="94"/>
    </row>
    <row r="1941" ht="30.0" customHeight="1">
      <c r="A1941" s="39"/>
      <c r="B1941" s="40">
        <v>3978.0</v>
      </c>
      <c r="C1941" s="41" t="s">
        <v>50</v>
      </c>
      <c r="D1941" s="86">
        <v>46181.0</v>
      </c>
      <c r="E1941" s="43" t="str">
        <f t="shared" si="47"/>
        <v>2026</v>
      </c>
      <c r="F1941" s="43" t="str">
        <f t="shared" si="48"/>
        <v>06 Jun</v>
      </c>
      <c r="G1941" s="45" t="s">
        <v>173</v>
      </c>
      <c r="H1941" s="45" t="s">
        <v>149</v>
      </c>
      <c r="I1941" s="45" t="s">
        <v>1444</v>
      </c>
      <c r="J1941" s="143" t="s">
        <v>347</v>
      </c>
      <c r="K1941" s="43" t="str">
        <f t="array" ref="K1941">IF(J1941="","", XLOOKUP(J1941,'⚙️ Pengaturan'!$E$2:$E3237,'⚙️ Pengaturan'!$G$2:$G3237))</f>
        <v>KLINIK FT PAKET</v>
      </c>
      <c r="L1941" s="43" t="str">
        <f t="shared" si="3"/>
        <v>BARU</v>
      </c>
      <c r="M1941" s="144" t="s">
        <v>31</v>
      </c>
      <c r="N1941" s="145">
        <v>1300000.0</v>
      </c>
      <c r="O1941" s="146">
        <v>0.0</v>
      </c>
      <c r="P1941" s="48">
        <f t="array" ref="P1941">IFNA(XLOOKUP(J1941,'⚙️ Pengaturan'!$E$2:$E3237,'⚙️ Pengaturan'!$F$2:$F3237),"")</f>
        <v>1300000</v>
      </c>
      <c r="Q1941" s="147">
        <f t="shared" si="50"/>
        <v>0</v>
      </c>
      <c r="R1941" s="41" t="s">
        <v>37</v>
      </c>
      <c r="S1941" s="69" t="s">
        <v>1444</v>
      </c>
      <c r="T1941" s="51" t="b">
        <v>1</v>
      </c>
      <c r="U1941" s="94"/>
    </row>
    <row r="1942" ht="30.0" customHeight="1">
      <c r="A1942" s="39"/>
      <c r="B1942" s="161">
        <v>3979.0</v>
      </c>
      <c r="C1942" s="41" t="s">
        <v>50</v>
      </c>
      <c r="D1942" s="86">
        <v>46181.0</v>
      </c>
      <c r="E1942" s="43" t="str">
        <f t="shared" si="47"/>
        <v>2026</v>
      </c>
      <c r="F1942" s="43" t="str">
        <f t="shared" si="48"/>
        <v>06 Jun</v>
      </c>
      <c r="G1942" s="45" t="s">
        <v>155</v>
      </c>
      <c r="H1942" s="45" t="s">
        <v>149</v>
      </c>
      <c r="I1942" s="45" t="s">
        <v>1424</v>
      </c>
      <c r="J1942" s="143" t="s">
        <v>120</v>
      </c>
      <c r="K1942" s="43" t="str">
        <f t="array" ref="K1942">IF(J1942="","", XLOOKUP(J1942,'⚙️ Pengaturan'!$E$2:$E3237,'⚙️ Pengaturan'!$G$2:$G3237))</f>
        <v>KLINIK FT SESI</v>
      </c>
      <c r="L1942" s="43" t="str">
        <f t="shared" si="3"/>
        <v>LANJUTAN</v>
      </c>
      <c r="M1942" s="144" t="s">
        <v>31</v>
      </c>
      <c r="N1942" s="145">
        <v>180000.0</v>
      </c>
      <c r="O1942" s="146">
        <v>0.0</v>
      </c>
      <c r="P1942" s="48">
        <f t="array" ref="P1942">IFNA(XLOOKUP(J1942,'⚙️ Pengaturan'!$E$2:$E3237,'⚙️ Pengaturan'!$F$2:$F3237),"")</f>
        <v>180000</v>
      </c>
      <c r="Q1942" s="147">
        <f t="shared" si="50"/>
        <v>0</v>
      </c>
      <c r="R1942" s="41" t="s">
        <v>37</v>
      </c>
      <c r="S1942" s="69" t="s">
        <v>1450</v>
      </c>
      <c r="T1942" s="51" t="b">
        <v>1</v>
      </c>
      <c r="U1942" s="94"/>
    </row>
    <row r="1943" ht="30.0" customHeight="1">
      <c r="A1943" s="39"/>
      <c r="B1943" s="40">
        <v>3980.0</v>
      </c>
      <c r="C1943" s="41" t="s">
        <v>50</v>
      </c>
      <c r="D1943" s="86">
        <v>46181.0</v>
      </c>
      <c r="E1943" s="43" t="str">
        <f t="shared" si="47"/>
        <v>2026</v>
      </c>
      <c r="F1943" s="43" t="str">
        <f t="shared" si="48"/>
        <v>06 Jun</v>
      </c>
      <c r="G1943" s="45" t="s">
        <v>155</v>
      </c>
      <c r="H1943" s="45" t="s">
        <v>41</v>
      </c>
      <c r="I1943" s="45" t="s">
        <v>1459</v>
      </c>
      <c r="J1943" s="143" t="s">
        <v>120</v>
      </c>
      <c r="K1943" s="43" t="str">
        <f t="array" ref="K1943">IF(J1943="","", XLOOKUP(J1943,'⚙️ Pengaturan'!$E$2:$E3237,'⚙️ Pengaturan'!$G$2:$G3237))</f>
        <v>KLINIK FT SESI</v>
      </c>
      <c r="L1943" s="43" t="str">
        <f t="shared" si="3"/>
        <v>BARU</v>
      </c>
      <c r="M1943" s="144" t="s">
        <v>31</v>
      </c>
      <c r="N1943" s="145">
        <v>180000.0</v>
      </c>
      <c r="O1943" s="146">
        <v>0.0</v>
      </c>
      <c r="P1943" s="48">
        <f t="array" ref="P1943">IFNA(XLOOKUP(J1943,'⚙️ Pengaturan'!$E$2:$E3237,'⚙️ Pengaturan'!$F$2:$F3237),"")</f>
        <v>180000</v>
      </c>
      <c r="Q1943" s="147">
        <f t="shared" si="50"/>
        <v>0</v>
      </c>
      <c r="R1943" s="41" t="s">
        <v>32</v>
      </c>
      <c r="S1943" s="69" t="s">
        <v>33</v>
      </c>
      <c r="T1943" s="51" t="b">
        <v>1</v>
      </c>
      <c r="U1943" s="94"/>
    </row>
    <row r="1944" ht="30.0" customHeight="1">
      <c r="A1944" s="39"/>
      <c r="B1944" s="161">
        <v>3981.0</v>
      </c>
      <c r="C1944" s="41" t="s">
        <v>50</v>
      </c>
      <c r="D1944" s="86">
        <v>46181.0</v>
      </c>
      <c r="E1944" s="43" t="str">
        <f t="shared" si="47"/>
        <v>2026</v>
      </c>
      <c r="F1944" s="43" t="str">
        <f t="shared" si="48"/>
        <v>06 Jun</v>
      </c>
      <c r="G1944" s="45" t="s">
        <v>155</v>
      </c>
      <c r="H1944" s="45" t="s">
        <v>76</v>
      </c>
      <c r="I1944" s="45" t="s">
        <v>1469</v>
      </c>
      <c r="J1944" s="143" t="s">
        <v>28</v>
      </c>
      <c r="K1944" s="43" t="str">
        <f t="array" ref="K1944">IF(J1944="","", XLOOKUP(J1944,'⚙️ Pengaturan'!$E$2:$E3237,'⚙️ Pengaturan'!$G$2:$G3237))</f>
        <v>KLINIK FT TA</v>
      </c>
      <c r="L1944" s="43" t="str">
        <f t="shared" si="3"/>
        <v>BARU</v>
      </c>
      <c r="M1944" s="144" t="s">
        <v>31</v>
      </c>
      <c r="N1944" s="145">
        <v>250000.0</v>
      </c>
      <c r="O1944" s="146">
        <v>0.0</v>
      </c>
      <c r="P1944" s="48">
        <f t="array" ref="P1944">IFNA(XLOOKUP(J1944,'⚙️ Pengaturan'!$E$2:$E3237,'⚙️ Pengaturan'!$F$2:$F3237),"")</f>
        <v>250000</v>
      </c>
      <c r="Q1944" s="147">
        <f t="shared" si="50"/>
        <v>0</v>
      </c>
      <c r="R1944" s="41" t="s">
        <v>37</v>
      </c>
      <c r="S1944" s="69" t="s">
        <v>1469</v>
      </c>
      <c r="T1944" s="51" t="b">
        <v>1</v>
      </c>
      <c r="U1944" s="94"/>
    </row>
    <row r="1945" ht="30.0" customHeight="1">
      <c r="A1945" s="39"/>
      <c r="B1945" s="40">
        <v>3982.0</v>
      </c>
      <c r="C1945" s="41" t="s">
        <v>50</v>
      </c>
      <c r="D1945" s="86">
        <v>46181.0</v>
      </c>
      <c r="E1945" s="43" t="str">
        <f t="shared" si="47"/>
        <v>2026</v>
      </c>
      <c r="F1945" s="43" t="str">
        <f t="shared" si="48"/>
        <v>06 Jun</v>
      </c>
      <c r="G1945" s="45" t="s">
        <v>190</v>
      </c>
      <c r="H1945" s="45" t="s">
        <v>76</v>
      </c>
      <c r="I1945" s="45" t="s">
        <v>1456</v>
      </c>
      <c r="J1945" s="143" t="s">
        <v>120</v>
      </c>
      <c r="K1945" s="43" t="str">
        <f t="array" ref="K1945">IF(J1945="","", XLOOKUP(J1945,'⚙️ Pengaturan'!$E$2:$E3237,'⚙️ Pengaturan'!$G$2:$G3237))</f>
        <v>KLINIK FT SESI</v>
      </c>
      <c r="L1945" s="43" t="str">
        <f t="shared" si="3"/>
        <v>BARU</v>
      </c>
      <c r="M1945" s="144" t="s">
        <v>31</v>
      </c>
      <c r="N1945" s="145">
        <v>180000.0</v>
      </c>
      <c r="O1945" s="146">
        <v>0.0</v>
      </c>
      <c r="P1945" s="48">
        <f t="array" ref="P1945">IFNA(XLOOKUP(J1945,'⚙️ Pengaturan'!$E$2:$E3237,'⚙️ Pengaturan'!$F$2:$F3237),"")</f>
        <v>180000</v>
      </c>
      <c r="Q1945" s="147">
        <f t="shared" si="50"/>
        <v>0</v>
      </c>
      <c r="R1945" s="41" t="s">
        <v>32</v>
      </c>
      <c r="S1945" s="69" t="s">
        <v>33</v>
      </c>
      <c r="T1945" s="51" t="b">
        <v>1</v>
      </c>
      <c r="U1945" s="94"/>
    </row>
    <row r="1946" ht="30.0" customHeight="1">
      <c r="A1946" s="39"/>
      <c r="B1946" s="161">
        <v>3983.0</v>
      </c>
      <c r="C1946" s="41" t="s">
        <v>39</v>
      </c>
      <c r="D1946" s="86">
        <v>46182.0</v>
      </c>
      <c r="E1946" s="43" t="str">
        <f t="shared" si="47"/>
        <v>2026</v>
      </c>
      <c r="F1946" s="43" t="str">
        <f t="shared" si="48"/>
        <v>06 Jun</v>
      </c>
      <c r="G1946" s="45" t="s">
        <v>25</v>
      </c>
      <c r="H1946" s="45" t="s">
        <v>149</v>
      </c>
      <c r="I1946" s="45" t="s">
        <v>1470</v>
      </c>
      <c r="J1946" s="143" t="s">
        <v>28</v>
      </c>
      <c r="K1946" s="43" t="str">
        <f t="array" ref="K1946">IF(J1946="","", XLOOKUP(J1946,'⚙️ Pengaturan'!$E$2:$E3237,'⚙️ Pengaturan'!$G$2:$G3237))</f>
        <v>KLINIK FT TA</v>
      </c>
      <c r="L1946" s="43" t="str">
        <f t="shared" si="3"/>
        <v>BARU</v>
      </c>
      <c r="M1946" s="144" t="s">
        <v>31</v>
      </c>
      <c r="N1946" s="145">
        <v>250000.0</v>
      </c>
      <c r="O1946" s="146">
        <v>0.0</v>
      </c>
      <c r="P1946" s="48">
        <f t="array" ref="P1946">IFNA(XLOOKUP(J1946,'⚙️ Pengaturan'!$E$2:$E3237,'⚙️ Pengaturan'!$F$2:$F3237),"")</f>
        <v>250000</v>
      </c>
      <c r="Q1946" s="147">
        <f t="shared" si="50"/>
        <v>0</v>
      </c>
      <c r="R1946" s="41" t="s">
        <v>32</v>
      </c>
      <c r="S1946" s="69" t="s">
        <v>33</v>
      </c>
      <c r="T1946" s="51" t="b">
        <v>1</v>
      </c>
      <c r="U1946" s="94"/>
    </row>
    <row r="1947" ht="30.0" customHeight="1">
      <c r="A1947" s="39"/>
      <c r="B1947" s="40">
        <v>3984.0</v>
      </c>
      <c r="C1947" s="41" t="s">
        <v>39</v>
      </c>
      <c r="D1947" s="86">
        <v>46182.0</v>
      </c>
      <c r="E1947" s="43" t="str">
        <f t="shared" si="47"/>
        <v>2026</v>
      </c>
      <c r="F1947" s="43" t="str">
        <f t="shared" si="48"/>
        <v>06 Jun</v>
      </c>
      <c r="G1947" s="45" t="s">
        <v>25</v>
      </c>
      <c r="H1947" s="45" t="s">
        <v>41</v>
      </c>
      <c r="I1947" s="45" t="s">
        <v>1471</v>
      </c>
      <c r="J1947" s="143" t="s">
        <v>28</v>
      </c>
      <c r="K1947" s="43" t="str">
        <f t="array" ref="K1947">IF(J1947="","", XLOOKUP(J1947,'⚙️ Pengaturan'!$E$2:$E3237,'⚙️ Pengaturan'!$G$2:$G3237))</f>
        <v>KLINIK FT TA</v>
      </c>
      <c r="L1947" s="43" t="str">
        <f t="shared" si="3"/>
        <v>BARU</v>
      </c>
      <c r="M1947" s="144" t="s">
        <v>31</v>
      </c>
      <c r="N1947" s="145">
        <v>250000.0</v>
      </c>
      <c r="O1947" s="146">
        <v>0.0</v>
      </c>
      <c r="P1947" s="48">
        <f t="array" ref="P1947">IFNA(XLOOKUP(J1947,'⚙️ Pengaturan'!$E$2:$E3237,'⚙️ Pengaturan'!$F$2:$F3237),"")</f>
        <v>250000</v>
      </c>
      <c r="Q1947" s="147">
        <f t="shared" si="50"/>
        <v>0</v>
      </c>
      <c r="R1947" s="41" t="s">
        <v>32</v>
      </c>
      <c r="S1947" s="69" t="s">
        <v>33</v>
      </c>
      <c r="T1947" s="51" t="b">
        <v>1</v>
      </c>
      <c r="U1947" s="94"/>
    </row>
    <row r="1948" ht="30.0" customHeight="1">
      <c r="A1948" s="39"/>
      <c r="B1948" s="161">
        <v>3985.0</v>
      </c>
      <c r="C1948" s="41" t="s">
        <v>39</v>
      </c>
      <c r="D1948" s="86">
        <v>46182.0</v>
      </c>
      <c r="E1948" s="43" t="str">
        <f t="shared" si="47"/>
        <v>2026</v>
      </c>
      <c r="F1948" s="43" t="str">
        <f t="shared" si="48"/>
        <v>06 Jun</v>
      </c>
      <c r="G1948" s="45" t="s">
        <v>206</v>
      </c>
      <c r="H1948" s="45" t="s">
        <v>96</v>
      </c>
      <c r="I1948" s="45" t="s">
        <v>1468</v>
      </c>
      <c r="J1948" s="143" t="s">
        <v>347</v>
      </c>
      <c r="K1948" s="43" t="str">
        <f t="array" ref="K1948">IF(J1948="","", XLOOKUP(J1948,'⚙️ Pengaturan'!$E$2:$E3237,'⚙️ Pengaturan'!$G$2:$G3237))</f>
        <v>KLINIK FT PAKET</v>
      </c>
      <c r="L1948" s="43" t="str">
        <f t="shared" si="3"/>
        <v>BARU</v>
      </c>
      <c r="M1948" s="144" t="s">
        <v>31</v>
      </c>
      <c r="N1948" s="145">
        <v>1300000.0</v>
      </c>
      <c r="O1948" s="146">
        <v>0.0</v>
      </c>
      <c r="P1948" s="48">
        <f t="array" ref="P1948">IFNA(XLOOKUP(J1948,'⚙️ Pengaturan'!$E$2:$E3237,'⚙️ Pengaturan'!$F$2:$F3237),"")</f>
        <v>1300000</v>
      </c>
      <c r="Q1948" s="147">
        <f t="shared" si="50"/>
        <v>0</v>
      </c>
      <c r="R1948" s="41" t="s">
        <v>93</v>
      </c>
      <c r="S1948" s="69" t="s">
        <v>1468</v>
      </c>
      <c r="T1948" s="51" t="b">
        <v>1</v>
      </c>
      <c r="U1948" s="94"/>
    </row>
    <row r="1949" ht="30.0" customHeight="1">
      <c r="A1949" s="39"/>
      <c r="B1949" s="40">
        <v>3986.0</v>
      </c>
      <c r="C1949" s="41" t="s">
        <v>39</v>
      </c>
      <c r="D1949" s="86">
        <v>46182.0</v>
      </c>
      <c r="E1949" s="43" t="str">
        <f t="shared" si="47"/>
        <v>2026</v>
      </c>
      <c r="F1949" s="43" t="str">
        <f t="shared" si="48"/>
        <v>06 Jun</v>
      </c>
      <c r="G1949" s="45" t="s">
        <v>206</v>
      </c>
      <c r="H1949" s="45" t="s">
        <v>149</v>
      </c>
      <c r="I1949" s="45" t="s">
        <v>956</v>
      </c>
      <c r="J1949" s="143" t="s">
        <v>28</v>
      </c>
      <c r="K1949" s="43" t="str">
        <f t="array" ref="K1949">IF(J1949="","", XLOOKUP(J1949,'⚙️ Pengaturan'!$E$2:$E3237,'⚙️ Pengaturan'!$G$2:$G3237))</f>
        <v>KLINIK FT TA</v>
      </c>
      <c r="L1949" s="43" t="str">
        <f t="shared" si="3"/>
        <v>LANJUTAN</v>
      </c>
      <c r="M1949" s="144" t="s">
        <v>31</v>
      </c>
      <c r="N1949" s="145">
        <v>250000.0</v>
      </c>
      <c r="O1949" s="146">
        <v>0.0</v>
      </c>
      <c r="P1949" s="48">
        <f t="array" ref="P1949">IFNA(XLOOKUP(J1949,'⚙️ Pengaturan'!$E$2:$E3237,'⚙️ Pengaturan'!$F$2:$F3237),"")</f>
        <v>250000</v>
      </c>
      <c r="Q1949" s="147">
        <f t="shared" si="50"/>
        <v>0</v>
      </c>
      <c r="R1949" s="41" t="s">
        <v>37</v>
      </c>
      <c r="S1949" s="69" t="s">
        <v>956</v>
      </c>
      <c r="T1949" s="51" t="b">
        <v>1</v>
      </c>
      <c r="U1949" s="94"/>
    </row>
    <row r="1950" ht="30.0" customHeight="1">
      <c r="A1950" s="39"/>
      <c r="B1950" s="161">
        <v>3987.0</v>
      </c>
      <c r="C1950" s="41" t="s">
        <v>39</v>
      </c>
      <c r="D1950" s="86">
        <v>46182.0</v>
      </c>
      <c r="E1950" s="43" t="str">
        <f t="shared" si="47"/>
        <v>2026</v>
      </c>
      <c r="F1950" s="43" t="str">
        <f t="shared" si="48"/>
        <v>06 Jun</v>
      </c>
      <c r="G1950" s="45" t="s">
        <v>206</v>
      </c>
      <c r="H1950" s="45" t="s">
        <v>149</v>
      </c>
      <c r="I1950" s="45" t="s">
        <v>956</v>
      </c>
      <c r="J1950" s="143" t="s">
        <v>347</v>
      </c>
      <c r="K1950" s="43" t="str">
        <f t="array" ref="K1950">IF(J1950="","", XLOOKUP(J1950,'⚙️ Pengaturan'!$E$2:$E3237,'⚙️ Pengaturan'!$G$2:$G3237))</f>
        <v>KLINIK FT PAKET</v>
      </c>
      <c r="L1950" s="43" t="str">
        <f t="shared" si="3"/>
        <v>BARU</v>
      </c>
      <c r="M1950" s="144" t="s">
        <v>31</v>
      </c>
      <c r="N1950" s="145">
        <v>1300000.0</v>
      </c>
      <c r="O1950" s="146">
        <v>0.0</v>
      </c>
      <c r="P1950" s="48">
        <f t="array" ref="P1950">IFNA(XLOOKUP(J1950,'⚙️ Pengaturan'!$E$2:$E3237,'⚙️ Pengaturan'!$F$2:$F3237),"")</f>
        <v>1300000</v>
      </c>
      <c r="Q1950" s="147">
        <f t="shared" si="50"/>
        <v>0</v>
      </c>
      <c r="R1950" s="41" t="s">
        <v>37</v>
      </c>
      <c r="S1950" s="69" t="s">
        <v>956</v>
      </c>
      <c r="T1950" s="51" t="b">
        <v>1</v>
      </c>
      <c r="U1950" s="94"/>
    </row>
    <row r="1951" ht="30.0" customHeight="1">
      <c r="A1951" s="39"/>
      <c r="B1951" s="40">
        <v>3988.0</v>
      </c>
      <c r="C1951" s="41" t="s">
        <v>39</v>
      </c>
      <c r="D1951" s="86">
        <v>46182.0</v>
      </c>
      <c r="E1951" s="43" t="str">
        <f t="shared" si="47"/>
        <v>2026</v>
      </c>
      <c r="F1951" s="43" t="str">
        <f t="shared" si="48"/>
        <v>06 Jun</v>
      </c>
      <c r="G1951" s="45" t="s">
        <v>206</v>
      </c>
      <c r="H1951" s="45" t="s">
        <v>41</v>
      </c>
      <c r="I1951" s="45" t="s">
        <v>1472</v>
      </c>
      <c r="J1951" s="143" t="s">
        <v>28</v>
      </c>
      <c r="K1951" s="43" t="str">
        <f t="array" ref="K1951">IF(J1951="","", XLOOKUP(J1951,'⚙️ Pengaturan'!$E$2:$E3237,'⚙️ Pengaturan'!$G$2:$G3237))</f>
        <v>KLINIK FT TA</v>
      </c>
      <c r="L1951" s="43" t="str">
        <f t="shared" si="3"/>
        <v>BARU</v>
      </c>
      <c r="M1951" s="144" t="s">
        <v>31</v>
      </c>
      <c r="N1951" s="145">
        <v>250000.0</v>
      </c>
      <c r="O1951" s="146">
        <v>0.0</v>
      </c>
      <c r="P1951" s="48">
        <f t="array" ref="P1951">IFNA(XLOOKUP(J1951,'⚙️ Pengaturan'!$E$2:$E3237,'⚙️ Pengaturan'!$F$2:$F3237),"")</f>
        <v>250000</v>
      </c>
      <c r="Q1951" s="147">
        <f t="shared" si="50"/>
        <v>0</v>
      </c>
      <c r="R1951" s="41" t="s">
        <v>32</v>
      </c>
      <c r="S1951" s="69" t="s">
        <v>33</v>
      </c>
      <c r="T1951" s="51" t="b">
        <v>1</v>
      </c>
      <c r="U1951" s="94"/>
    </row>
    <row r="1952" ht="30.0" customHeight="1">
      <c r="A1952" s="39"/>
      <c r="B1952" s="161">
        <v>3989.0</v>
      </c>
      <c r="C1952" s="41" t="s">
        <v>39</v>
      </c>
      <c r="D1952" s="86">
        <v>46182.0</v>
      </c>
      <c r="E1952" s="43" t="str">
        <f t="shared" si="47"/>
        <v>2026</v>
      </c>
      <c r="F1952" s="43" t="str">
        <f t="shared" si="48"/>
        <v>06 Jun</v>
      </c>
      <c r="G1952" s="45" t="s">
        <v>206</v>
      </c>
      <c r="H1952" s="45" t="s">
        <v>47</v>
      </c>
      <c r="I1952" s="45" t="s">
        <v>1457</v>
      </c>
      <c r="J1952" s="143" t="s">
        <v>119</v>
      </c>
      <c r="K1952" s="43" t="str">
        <f t="array" ref="K1952">IF(J1952="","", XLOOKUP(J1952,'⚙️ Pengaturan'!$E$2:$E3237,'⚙️ Pengaturan'!$G$2:$G3237))</f>
        <v>KLINIK FT PAKET</v>
      </c>
      <c r="L1952" s="43" t="str">
        <f t="shared" si="3"/>
        <v>BARU</v>
      </c>
      <c r="M1952" s="144" t="s">
        <v>31</v>
      </c>
      <c r="N1952" s="145">
        <v>750000.0</v>
      </c>
      <c r="O1952" s="146">
        <v>0.0</v>
      </c>
      <c r="P1952" s="48">
        <f t="array" ref="P1952">IFNA(XLOOKUP(J1952,'⚙️ Pengaturan'!$E$2:$E3237,'⚙️ Pengaturan'!$F$2:$F3237),"")</f>
        <v>750000</v>
      </c>
      <c r="Q1952" s="147">
        <f t="shared" si="50"/>
        <v>0</v>
      </c>
      <c r="R1952" s="41" t="s">
        <v>37</v>
      </c>
      <c r="S1952" s="69" t="s">
        <v>1457</v>
      </c>
      <c r="T1952" s="51" t="b">
        <v>1</v>
      </c>
      <c r="U1952" s="94"/>
    </row>
    <row r="1953" ht="30.0" customHeight="1">
      <c r="A1953" s="39"/>
      <c r="B1953" s="40">
        <v>3990.0</v>
      </c>
      <c r="C1953" s="41" t="s">
        <v>39</v>
      </c>
      <c r="D1953" s="86">
        <v>46182.0</v>
      </c>
      <c r="E1953" s="43" t="str">
        <f t="shared" si="47"/>
        <v>2026</v>
      </c>
      <c r="F1953" s="43" t="str">
        <f t="shared" si="48"/>
        <v>06 Jun</v>
      </c>
      <c r="G1953" s="45" t="s">
        <v>241</v>
      </c>
      <c r="H1953" s="45" t="s">
        <v>76</v>
      </c>
      <c r="I1953" s="45" t="s">
        <v>1473</v>
      </c>
      <c r="J1953" s="143" t="s">
        <v>28</v>
      </c>
      <c r="K1953" s="43" t="str">
        <f t="array" ref="K1953">IF(J1953="","", XLOOKUP(J1953,'⚙️ Pengaturan'!$E$2:$E3237,'⚙️ Pengaturan'!$G$2:$G3237))</f>
        <v>KLINIK FT TA</v>
      </c>
      <c r="L1953" s="43" t="str">
        <f t="shared" si="3"/>
        <v>BARU</v>
      </c>
      <c r="M1953" s="144" t="s">
        <v>31</v>
      </c>
      <c r="N1953" s="145">
        <v>250000.0</v>
      </c>
      <c r="O1953" s="146">
        <v>0.0</v>
      </c>
      <c r="P1953" s="48">
        <f t="array" ref="P1953">IFNA(XLOOKUP(J1953,'⚙️ Pengaturan'!$E$2:$E3237,'⚙️ Pengaturan'!$F$2:$F3237),"")</f>
        <v>250000</v>
      </c>
      <c r="Q1953" s="147">
        <f t="shared" si="50"/>
        <v>0</v>
      </c>
      <c r="R1953" s="41" t="s">
        <v>32</v>
      </c>
      <c r="S1953" s="69" t="s">
        <v>33</v>
      </c>
      <c r="T1953" s="51" t="b">
        <v>1</v>
      </c>
      <c r="U1953" s="94"/>
    </row>
    <row r="1954" ht="30.0" customHeight="1">
      <c r="A1954" s="39"/>
      <c r="B1954" s="161">
        <v>3991.0</v>
      </c>
      <c r="C1954" s="41" t="s">
        <v>50</v>
      </c>
      <c r="D1954" s="86">
        <v>46182.0</v>
      </c>
      <c r="E1954" s="43" t="str">
        <f t="shared" si="47"/>
        <v>2026</v>
      </c>
      <c r="F1954" s="43" t="str">
        <f t="shared" si="48"/>
        <v>06 Jun</v>
      </c>
      <c r="G1954" s="45" t="s">
        <v>40</v>
      </c>
      <c r="H1954" s="45" t="s">
        <v>26</v>
      </c>
      <c r="I1954" s="45" t="s">
        <v>1445</v>
      </c>
      <c r="J1954" s="143" t="s">
        <v>120</v>
      </c>
      <c r="K1954" s="43" t="str">
        <f t="array" ref="K1954">IF(J1954="","", XLOOKUP(J1954,'⚙️ Pengaturan'!$E$2:$E3237,'⚙️ Pengaturan'!$G$2:$G3237))</f>
        <v>KLINIK FT SESI</v>
      </c>
      <c r="L1954" s="43" t="str">
        <f t="shared" si="3"/>
        <v>BARU</v>
      </c>
      <c r="M1954" s="144" t="s">
        <v>31</v>
      </c>
      <c r="N1954" s="145">
        <v>180000.0</v>
      </c>
      <c r="O1954" s="146">
        <v>0.0</v>
      </c>
      <c r="P1954" s="48">
        <f t="array" ref="P1954">IFNA(XLOOKUP(J1954,'⚙️ Pengaturan'!$E$2:$E3237,'⚙️ Pengaturan'!$F$2:$F3237),"")</f>
        <v>180000</v>
      </c>
      <c r="Q1954" s="147">
        <f t="shared" si="50"/>
        <v>0</v>
      </c>
      <c r="R1954" s="41" t="s">
        <v>118</v>
      </c>
      <c r="S1954" s="69" t="s">
        <v>1445</v>
      </c>
      <c r="T1954" s="51" t="b">
        <v>1</v>
      </c>
      <c r="U1954" s="94"/>
    </row>
    <row r="1955" ht="30.0" customHeight="1">
      <c r="A1955" s="39"/>
      <c r="B1955" s="40">
        <v>3992.0</v>
      </c>
      <c r="C1955" s="41" t="s">
        <v>50</v>
      </c>
      <c r="D1955" s="86">
        <v>46182.0</v>
      </c>
      <c r="E1955" s="43" t="str">
        <f t="shared" si="47"/>
        <v>2026</v>
      </c>
      <c r="F1955" s="43" t="str">
        <f t="shared" si="48"/>
        <v>06 Jun</v>
      </c>
      <c r="G1955" s="45" t="s">
        <v>43</v>
      </c>
      <c r="H1955" s="45" t="s">
        <v>150</v>
      </c>
      <c r="I1955" s="45" t="s">
        <v>1474</v>
      </c>
      <c r="J1955" s="143" t="s">
        <v>28</v>
      </c>
      <c r="K1955" s="43" t="str">
        <f t="array" ref="K1955">IF(J1955="","", XLOOKUP(J1955,'⚙️ Pengaturan'!$E$2:$E3237,'⚙️ Pengaturan'!$G$2:$G3237))</f>
        <v>KLINIK FT TA</v>
      </c>
      <c r="L1955" s="43" t="str">
        <f t="shared" si="3"/>
        <v>BARU</v>
      </c>
      <c r="M1955" s="144" t="s">
        <v>31</v>
      </c>
      <c r="N1955" s="145">
        <v>250000.0</v>
      </c>
      <c r="O1955" s="146">
        <v>0.0</v>
      </c>
      <c r="P1955" s="48">
        <f t="array" ref="P1955">IFNA(XLOOKUP(J1955,'⚙️ Pengaturan'!$E$2:$E3237,'⚙️ Pengaturan'!$F$2:$F3237),"")</f>
        <v>250000</v>
      </c>
      <c r="Q1955" s="147">
        <f t="shared" si="50"/>
        <v>0</v>
      </c>
      <c r="R1955" s="41" t="s">
        <v>32</v>
      </c>
      <c r="S1955" s="69" t="s">
        <v>33</v>
      </c>
      <c r="T1955" s="51" t="b">
        <v>1</v>
      </c>
      <c r="U1955" s="94"/>
    </row>
    <row r="1956" ht="30.0" customHeight="1">
      <c r="A1956" s="39"/>
      <c r="B1956" s="161">
        <v>3993.0</v>
      </c>
      <c r="C1956" s="41" t="s">
        <v>50</v>
      </c>
      <c r="D1956" s="86">
        <v>46182.0</v>
      </c>
      <c r="E1956" s="43" t="str">
        <f t="shared" si="47"/>
        <v>2026</v>
      </c>
      <c r="F1956" s="43" t="str">
        <f t="shared" si="48"/>
        <v>06 Jun</v>
      </c>
      <c r="G1956" s="45" t="s">
        <v>43</v>
      </c>
      <c r="H1956" s="45" t="s">
        <v>26</v>
      </c>
      <c r="I1956" s="45" t="s">
        <v>1475</v>
      </c>
      <c r="J1956" s="143" t="s">
        <v>28</v>
      </c>
      <c r="K1956" s="43" t="str">
        <f t="array" ref="K1956">IF(J1956="","", XLOOKUP(J1956,'⚙️ Pengaturan'!$E$2:$E3237,'⚙️ Pengaturan'!$G$2:$G3237))</f>
        <v>KLINIK FT TA</v>
      </c>
      <c r="L1956" s="43" t="str">
        <f t="shared" si="3"/>
        <v>BARU</v>
      </c>
      <c r="M1956" s="144" t="s">
        <v>31</v>
      </c>
      <c r="N1956" s="145">
        <v>250000.0</v>
      </c>
      <c r="O1956" s="146">
        <v>0.0</v>
      </c>
      <c r="P1956" s="48">
        <f t="array" ref="P1956">IFNA(XLOOKUP(J1956,'⚙️ Pengaturan'!$E$2:$E3237,'⚙️ Pengaturan'!$F$2:$F3237),"")</f>
        <v>250000</v>
      </c>
      <c r="Q1956" s="147">
        <f t="shared" si="50"/>
        <v>0</v>
      </c>
      <c r="R1956" s="41" t="s">
        <v>32</v>
      </c>
      <c r="S1956" s="69" t="s">
        <v>33</v>
      </c>
      <c r="T1956" s="51" t="b">
        <v>1</v>
      </c>
      <c r="U1956" s="94"/>
    </row>
    <row r="1957" ht="30.0" customHeight="1">
      <c r="A1957" s="39"/>
      <c r="B1957" s="40">
        <v>3994.0</v>
      </c>
      <c r="C1957" s="41" t="s">
        <v>50</v>
      </c>
      <c r="D1957" s="86">
        <v>46182.0</v>
      </c>
      <c r="E1957" s="43" t="str">
        <f t="shared" si="47"/>
        <v>2026</v>
      </c>
      <c r="F1957" s="43" t="str">
        <f t="shared" si="48"/>
        <v>06 Jun</v>
      </c>
      <c r="G1957" s="45" t="s">
        <v>173</v>
      </c>
      <c r="H1957" s="45" t="s">
        <v>162</v>
      </c>
      <c r="I1957" s="45" t="s">
        <v>1462</v>
      </c>
      <c r="J1957" s="143" t="s">
        <v>119</v>
      </c>
      <c r="K1957" s="43" t="str">
        <f t="array" ref="K1957">IF(J1957="","", XLOOKUP(J1957,'⚙️ Pengaturan'!$E$2:$E3237,'⚙️ Pengaturan'!$G$2:$G3237))</f>
        <v>KLINIK FT PAKET</v>
      </c>
      <c r="L1957" s="43" t="str">
        <f t="shared" si="3"/>
        <v>BARU</v>
      </c>
      <c r="M1957" s="144" t="s">
        <v>31</v>
      </c>
      <c r="N1957" s="145">
        <v>750000.0</v>
      </c>
      <c r="O1957" s="146">
        <v>0.0</v>
      </c>
      <c r="P1957" s="48">
        <f t="array" ref="P1957">IFNA(XLOOKUP(J1957,'⚙️ Pengaturan'!$E$2:$E3237,'⚙️ Pengaturan'!$F$2:$F3237),"")</f>
        <v>750000</v>
      </c>
      <c r="Q1957" s="147">
        <f t="shared" si="50"/>
        <v>0</v>
      </c>
      <c r="R1957" s="41" t="s">
        <v>37</v>
      </c>
      <c r="S1957" s="69" t="s">
        <v>1462</v>
      </c>
      <c r="T1957" s="51" t="b">
        <v>1</v>
      </c>
      <c r="U1957" s="94"/>
    </row>
    <row r="1958" ht="30.0" customHeight="1">
      <c r="A1958" s="39"/>
      <c r="B1958" s="161">
        <v>3995.0</v>
      </c>
      <c r="C1958" s="41" t="s">
        <v>50</v>
      </c>
      <c r="D1958" s="86">
        <v>46182.0</v>
      </c>
      <c r="E1958" s="43" t="str">
        <f t="shared" si="47"/>
        <v>2026</v>
      </c>
      <c r="F1958" s="43" t="str">
        <f t="shared" si="48"/>
        <v>06 Jun</v>
      </c>
      <c r="G1958" s="45" t="s">
        <v>155</v>
      </c>
      <c r="H1958" s="45" t="s">
        <v>162</v>
      </c>
      <c r="I1958" s="45" t="s">
        <v>1461</v>
      </c>
      <c r="J1958" s="143" t="s">
        <v>119</v>
      </c>
      <c r="K1958" s="43" t="str">
        <f t="array" ref="K1958">IF(J1958="","", XLOOKUP(J1958,'⚙️ Pengaturan'!$E$2:$E3237,'⚙️ Pengaturan'!$G$2:$G3237))</f>
        <v>KLINIK FT PAKET</v>
      </c>
      <c r="L1958" s="43" t="str">
        <f t="shared" si="3"/>
        <v>BARU</v>
      </c>
      <c r="M1958" s="144" t="s">
        <v>31</v>
      </c>
      <c r="N1958" s="145">
        <v>750000.0</v>
      </c>
      <c r="O1958" s="146">
        <v>0.0</v>
      </c>
      <c r="P1958" s="48">
        <f t="array" ref="P1958">IFNA(XLOOKUP(J1958,'⚙️ Pengaturan'!$E$2:$E3237,'⚙️ Pengaturan'!$F$2:$F3237),"")</f>
        <v>750000</v>
      </c>
      <c r="Q1958" s="147">
        <f t="shared" si="50"/>
        <v>0</v>
      </c>
      <c r="R1958" s="41" t="s">
        <v>37</v>
      </c>
      <c r="S1958" s="69" t="s">
        <v>1461</v>
      </c>
      <c r="T1958" s="51" t="b">
        <v>1</v>
      </c>
      <c r="U1958" s="94"/>
    </row>
    <row r="1959" ht="30.0" customHeight="1">
      <c r="A1959" s="39"/>
      <c r="B1959" s="40">
        <v>3996.0</v>
      </c>
      <c r="C1959" s="41" t="s">
        <v>50</v>
      </c>
      <c r="D1959" s="86">
        <v>46182.0</v>
      </c>
      <c r="E1959" s="43" t="str">
        <f t="shared" si="47"/>
        <v>2026</v>
      </c>
      <c r="F1959" s="43" t="str">
        <f t="shared" si="48"/>
        <v>06 Jun</v>
      </c>
      <c r="G1959" s="45" t="s">
        <v>190</v>
      </c>
      <c r="H1959" s="45" t="s">
        <v>150</v>
      </c>
      <c r="I1959" s="45" t="s">
        <v>1476</v>
      </c>
      <c r="J1959" s="143" t="s">
        <v>28</v>
      </c>
      <c r="K1959" s="43" t="str">
        <f t="array" ref="K1959">IF(J1959="","", XLOOKUP(J1959,'⚙️ Pengaturan'!$E$2:$E3237,'⚙️ Pengaturan'!$G$2:$G3237))</f>
        <v>KLINIK FT TA</v>
      </c>
      <c r="L1959" s="43" t="str">
        <f t="shared" si="3"/>
        <v>BARU</v>
      </c>
      <c r="M1959" s="144" t="s">
        <v>31</v>
      </c>
      <c r="N1959" s="145">
        <v>250000.0</v>
      </c>
      <c r="O1959" s="146">
        <v>0.0</v>
      </c>
      <c r="P1959" s="48">
        <f t="array" ref="P1959">IFNA(XLOOKUP(J1959,'⚙️ Pengaturan'!$E$2:$E3237,'⚙️ Pengaturan'!$F$2:$F3237),"")</f>
        <v>250000</v>
      </c>
      <c r="Q1959" s="147">
        <f t="shared" si="50"/>
        <v>0</v>
      </c>
      <c r="R1959" s="41" t="s">
        <v>32</v>
      </c>
      <c r="S1959" s="69" t="s">
        <v>33</v>
      </c>
      <c r="T1959" s="51" t="b">
        <v>1</v>
      </c>
      <c r="U1959" s="94"/>
    </row>
    <row r="1960" ht="30.0" customHeight="1">
      <c r="A1960" s="39"/>
      <c r="B1960" s="161">
        <v>3997.0</v>
      </c>
      <c r="C1960" s="41" t="s">
        <v>50</v>
      </c>
      <c r="D1960" s="86">
        <v>46182.0</v>
      </c>
      <c r="E1960" s="43" t="str">
        <f t="shared" si="47"/>
        <v>2026</v>
      </c>
      <c r="F1960" s="43" t="str">
        <f t="shared" si="48"/>
        <v>06 Jun</v>
      </c>
      <c r="G1960" s="45" t="s">
        <v>190</v>
      </c>
      <c r="H1960" s="45" t="s">
        <v>166</v>
      </c>
      <c r="I1960" s="45" t="s">
        <v>674</v>
      </c>
      <c r="J1960" s="143" t="s">
        <v>347</v>
      </c>
      <c r="K1960" s="43" t="str">
        <f t="array" ref="K1960">IF(J1960="","", XLOOKUP(J1960,'⚙️ Pengaturan'!$E$2:$E3237,'⚙️ Pengaturan'!$G$2:$G3237))</f>
        <v>KLINIK FT PAKET</v>
      </c>
      <c r="L1960" s="43" t="str">
        <f t="shared" si="3"/>
        <v>BARU</v>
      </c>
      <c r="M1960" s="144" t="s">
        <v>31</v>
      </c>
      <c r="N1960" s="145">
        <v>1300000.0</v>
      </c>
      <c r="O1960" s="146">
        <v>0.0</v>
      </c>
      <c r="P1960" s="48">
        <f t="array" ref="P1960">IFNA(XLOOKUP(J1960,'⚙️ Pengaturan'!$E$2:$E3237,'⚙️ Pengaturan'!$F$2:$F3237),"")</f>
        <v>1300000</v>
      </c>
      <c r="Q1960" s="147">
        <f t="shared" si="50"/>
        <v>0</v>
      </c>
      <c r="R1960" s="41" t="s">
        <v>93</v>
      </c>
      <c r="S1960" s="69" t="s">
        <v>674</v>
      </c>
      <c r="T1960" s="51" t="b">
        <v>1</v>
      </c>
      <c r="U1960" s="94"/>
    </row>
    <row r="1961" ht="30.0" customHeight="1">
      <c r="A1961" s="39"/>
      <c r="B1961" s="40">
        <v>3998.0</v>
      </c>
      <c r="C1961" s="41" t="s">
        <v>50</v>
      </c>
      <c r="D1961" s="86">
        <v>46182.0</v>
      </c>
      <c r="E1961" s="43" t="str">
        <f t="shared" si="47"/>
        <v>2026</v>
      </c>
      <c r="F1961" s="43" t="str">
        <f t="shared" si="48"/>
        <v>06 Jun</v>
      </c>
      <c r="G1961" s="45" t="s">
        <v>190</v>
      </c>
      <c r="H1961" s="45" t="s">
        <v>26</v>
      </c>
      <c r="I1961" s="45" t="s">
        <v>1477</v>
      </c>
      <c r="J1961" s="143" t="s">
        <v>28</v>
      </c>
      <c r="K1961" s="43" t="str">
        <f t="array" ref="K1961">IF(J1961="","", XLOOKUP(J1961,'⚙️ Pengaturan'!$E$2:$E3237,'⚙️ Pengaturan'!$G$2:$G3237))</f>
        <v>KLINIK FT TA</v>
      </c>
      <c r="L1961" s="43" t="str">
        <f t="shared" si="3"/>
        <v>BARU</v>
      </c>
      <c r="M1961" s="144" t="s">
        <v>31</v>
      </c>
      <c r="N1961" s="145">
        <v>250000.0</v>
      </c>
      <c r="O1961" s="146">
        <v>0.0</v>
      </c>
      <c r="P1961" s="48">
        <f t="array" ref="P1961">IFNA(XLOOKUP(J1961,'⚙️ Pengaturan'!$E$2:$E3237,'⚙️ Pengaturan'!$F$2:$F3237),"")</f>
        <v>250000</v>
      </c>
      <c r="Q1961" s="147">
        <f t="shared" si="50"/>
        <v>0</v>
      </c>
      <c r="R1961" s="41" t="s">
        <v>32</v>
      </c>
      <c r="S1961" s="69" t="s">
        <v>33</v>
      </c>
      <c r="T1961" s="51" t="b">
        <v>1</v>
      </c>
      <c r="U1961" s="94"/>
    </row>
    <row r="1962" ht="30.0" customHeight="1">
      <c r="A1962" s="39"/>
      <c r="B1962" s="161">
        <v>3999.0</v>
      </c>
      <c r="C1962" s="41" t="s">
        <v>50</v>
      </c>
      <c r="D1962" s="86">
        <v>46182.0</v>
      </c>
      <c r="E1962" s="43" t="str">
        <f t="shared" si="47"/>
        <v>2026</v>
      </c>
      <c r="F1962" s="43" t="str">
        <f t="shared" si="48"/>
        <v>06 Jun</v>
      </c>
      <c r="G1962" s="45" t="s">
        <v>190</v>
      </c>
      <c r="H1962" s="45" t="s">
        <v>162</v>
      </c>
      <c r="I1962" s="45" t="s">
        <v>966</v>
      </c>
      <c r="J1962" s="143" t="s">
        <v>347</v>
      </c>
      <c r="K1962" s="43" t="str">
        <f t="array" ref="K1962">IF(J1962="","", XLOOKUP(J1962,'⚙️ Pengaturan'!$E$2:$E3237,'⚙️ Pengaturan'!$G$2:$G3237))</f>
        <v>KLINIK FT PAKET</v>
      </c>
      <c r="L1962" s="43" t="str">
        <f t="shared" si="3"/>
        <v>LANJUTAN</v>
      </c>
      <c r="M1962" s="144" t="s">
        <v>31</v>
      </c>
      <c r="N1962" s="145">
        <v>1300000.0</v>
      </c>
      <c r="O1962" s="146">
        <v>0.0</v>
      </c>
      <c r="P1962" s="48">
        <f t="array" ref="P1962">IFNA(XLOOKUP(J1962,'⚙️ Pengaturan'!$E$2:$E3237,'⚙️ Pengaturan'!$F$2:$F3237),"")</f>
        <v>1300000</v>
      </c>
      <c r="Q1962" s="147">
        <f t="shared" si="50"/>
        <v>0</v>
      </c>
      <c r="R1962" s="41" t="s">
        <v>118</v>
      </c>
      <c r="S1962" s="69" t="s">
        <v>966</v>
      </c>
      <c r="T1962" s="51" t="b">
        <v>1</v>
      </c>
      <c r="U1962" s="94"/>
    </row>
    <row r="1963" ht="30.0" customHeight="1">
      <c r="A1963" s="39"/>
      <c r="B1963" s="40">
        <v>4000.0</v>
      </c>
      <c r="C1963" s="41" t="s">
        <v>39</v>
      </c>
      <c r="D1963" s="86">
        <v>46183.0</v>
      </c>
      <c r="E1963" s="43" t="str">
        <f t="shared" si="47"/>
        <v>2026</v>
      </c>
      <c r="F1963" s="43" t="str">
        <f t="shared" si="48"/>
        <v>06 Jun</v>
      </c>
      <c r="G1963" s="45" t="s">
        <v>69</v>
      </c>
      <c r="H1963" s="45" t="s">
        <v>166</v>
      </c>
      <c r="I1963" s="45" t="s">
        <v>1478</v>
      </c>
      <c r="J1963" s="143" t="s">
        <v>121</v>
      </c>
      <c r="K1963" s="43" t="str">
        <f t="array" ref="K1963">IF(J1963="","", XLOOKUP(J1963,'⚙️ Pengaturan'!$E$2:$E3237,'⚙️ Pengaturan'!$G$2:$G3237))</f>
        <v>VISIT FT TA</v>
      </c>
      <c r="L1963" s="43" t="str">
        <f t="shared" si="3"/>
        <v>BARU</v>
      </c>
      <c r="M1963" s="144" t="s">
        <v>31</v>
      </c>
      <c r="N1963" s="145">
        <v>300000.0</v>
      </c>
      <c r="O1963" s="146">
        <v>0.0</v>
      </c>
      <c r="P1963" s="48">
        <f t="array" ref="P1963">IFNA(XLOOKUP(J1963,'⚙️ Pengaturan'!$E$2:$E3237,'⚙️ Pengaturan'!$F$2:$F3237),"")</f>
        <v>300000</v>
      </c>
      <c r="Q1963" s="147">
        <f t="shared" si="50"/>
        <v>0</v>
      </c>
      <c r="R1963" s="41" t="s">
        <v>37</v>
      </c>
      <c r="S1963" s="69" t="s">
        <v>1479</v>
      </c>
      <c r="T1963" s="51" t="b">
        <v>1</v>
      </c>
      <c r="U1963" s="94"/>
    </row>
    <row r="1964" ht="30.0" customHeight="1">
      <c r="A1964" s="39"/>
      <c r="B1964" s="161">
        <v>4001.0</v>
      </c>
      <c r="C1964" s="41" t="s">
        <v>39</v>
      </c>
      <c r="D1964" s="86">
        <v>46183.0</v>
      </c>
      <c r="E1964" s="43" t="str">
        <f t="shared" si="47"/>
        <v>2026</v>
      </c>
      <c r="F1964" s="43" t="str">
        <f t="shared" si="48"/>
        <v>06 Jun</v>
      </c>
      <c r="G1964" s="45" t="s">
        <v>25</v>
      </c>
      <c r="H1964" s="45" t="s">
        <v>76</v>
      </c>
      <c r="I1964" s="45" t="s">
        <v>1469</v>
      </c>
      <c r="J1964" s="143" t="s">
        <v>120</v>
      </c>
      <c r="K1964" s="43" t="str">
        <f t="array" ref="K1964">IF(J1964="","", XLOOKUP(J1964,'⚙️ Pengaturan'!$E$2:$E3237,'⚙️ Pengaturan'!$G$2:$G3237))</f>
        <v>KLINIK FT SESI</v>
      </c>
      <c r="L1964" s="43" t="str">
        <f t="shared" si="3"/>
        <v>BARU</v>
      </c>
      <c r="M1964" s="144" t="s">
        <v>31</v>
      </c>
      <c r="N1964" s="145">
        <v>180000.0</v>
      </c>
      <c r="O1964" s="146">
        <v>0.0</v>
      </c>
      <c r="P1964" s="48">
        <f t="array" ref="P1964">IFNA(XLOOKUP(J1964,'⚙️ Pengaturan'!$E$2:$E3237,'⚙️ Pengaturan'!$F$2:$F3237),"")</f>
        <v>180000</v>
      </c>
      <c r="Q1964" s="147">
        <f t="shared" si="50"/>
        <v>0</v>
      </c>
      <c r="R1964" s="41" t="s">
        <v>32</v>
      </c>
      <c r="S1964" s="69" t="s">
        <v>33</v>
      </c>
      <c r="T1964" s="51" t="b">
        <v>1</v>
      </c>
      <c r="U1964" s="94"/>
    </row>
    <row r="1965" ht="30.0" customHeight="1">
      <c r="A1965" s="39"/>
      <c r="B1965" s="40">
        <v>4002.0</v>
      </c>
      <c r="C1965" s="41" t="s">
        <v>39</v>
      </c>
      <c r="D1965" s="86">
        <v>46183.0</v>
      </c>
      <c r="E1965" s="43" t="str">
        <f t="shared" si="47"/>
        <v>2026</v>
      </c>
      <c r="F1965" s="43" t="str">
        <f t="shared" si="48"/>
        <v>06 Jun</v>
      </c>
      <c r="G1965" s="45" t="s">
        <v>206</v>
      </c>
      <c r="H1965" s="45" t="s">
        <v>41</v>
      </c>
      <c r="I1965" s="45" t="s">
        <v>1210</v>
      </c>
      <c r="J1965" s="143" t="s">
        <v>120</v>
      </c>
      <c r="K1965" s="43" t="str">
        <f t="array" ref="K1965">IF(J1965="","", XLOOKUP(J1965,'⚙️ Pengaturan'!$E$2:$E3237,'⚙️ Pengaturan'!$G$2:$G3237))</f>
        <v>KLINIK FT SESI</v>
      </c>
      <c r="L1965" s="43" t="str">
        <f t="shared" si="3"/>
        <v>BARU</v>
      </c>
      <c r="M1965" s="144" t="s">
        <v>31</v>
      </c>
      <c r="N1965" s="145">
        <v>180000.0</v>
      </c>
      <c r="O1965" s="146">
        <v>0.0</v>
      </c>
      <c r="P1965" s="48">
        <f t="array" ref="P1965">IFNA(XLOOKUP(J1965,'⚙️ Pengaturan'!$E$2:$E3237,'⚙️ Pengaturan'!$F$2:$F3237),"")</f>
        <v>180000</v>
      </c>
      <c r="Q1965" s="147">
        <f t="shared" si="50"/>
        <v>0</v>
      </c>
      <c r="R1965" s="41" t="s">
        <v>37</v>
      </c>
      <c r="S1965" s="69" t="s">
        <v>1210</v>
      </c>
      <c r="T1965" s="51" t="b">
        <v>1</v>
      </c>
      <c r="U1965" s="94"/>
    </row>
    <row r="1966" ht="30.0" customHeight="1">
      <c r="A1966" s="39"/>
      <c r="B1966" s="161">
        <v>4003.0</v>
      </c>
      <c r="C1966" s="41" t="s">
        <v>39</v>
      </c>
      <c r="D1966" s="86">
        <v>46183.0</v>
      </c>
      <c r="E1966" s="43" t="str">
        <f t="shared" si="47"/>
        <v>2026</v>
      </c>
      <c r="F1966" s="43" t="str">
        <f t="shared" si="48"/>
        <v>06 Jun</v>
      </c>
      <c r="G1966" s="45" t="s">
        <v>25</v>
      </c>
      <c r="H1966" s="45" t="s">
        <v>150</v>
      </c>
      <c r="I1966" s="45" t="s">
        <v>1369</v>
      </c>
      <c r="J1966" s="143" t="s">
        <v>119</v>
      </c>
      <c r="K1966" s="43" t="str">
        <f t="array" ref="K1966">IF(J1966="","", XLOOKUP(J1966,'⚙️ Pengaturan'!$E$2:$E3237,'⚙️ Pengaturan'!$G$2:$G3237))</f>
        <v>KLINIK FT PAKET</v>
      </c>
      <c r="L1966" s="43" t="str">
        <f t="shared" si="3"/>
        <v>LANJUTAN</v>
      </c>
      <c r="M1966" s="144" t="s">
        <v>31</v>
      </c>
      <c r="N1966" s="145">
        <v>750000.0</v>
      </c>
      <c r="O1966" s="146">
        <v>0.0</v>
      </c>
      <c r="P1966" s="48">
        <f t="array" ref="P1966">IFNA(XLOOKUP(J1966,'⚙️ Pengaturan'!$E$2:$E3237,'⚙️ Pengaturan'!$F$2:$F3237),"")</f>
        <v>750000</v>
      </c>
      <c r="Q1966" s="147">
        <f t="shared" si="50"/>
        <v>0</v>
      </c>
      <c r="R1966" s="41" t="s">
        <v>32</v>
      </c>
      <c r="S1966" s="69" t="s">
        <v>33</v>
      </c>
      <c r="T1966" s="51" t="b">
        <v>1</v>
      </c>
      <c r="U1966" s="94"/>
    </row>
    <row r="1967" ht="30.0" customHeight="1">
      <c r="A1967" s="39"/>
      <c r="B1967" s="40">
        <v>4004.0</v>
      </c>
      <c r="C1967" s="41" t="s">
        <v>39</v>
      </c>
      <c r="D1967" s="86">
        <v>46183.0</v>
      </c>
      <c r="E1967" s="43" t="str">
        <f t="shared" si="47"/>
        <v>2026</v>
      </c>
      <c r="F1967" s="43" t="str">
        <f t="shared" si="48"/>
        <v>06 Jun</v>
      </c>
      <c r="G1967" s="45" t="s">
        <v>69</v>
      </c>
      <c r="H1967" s="45" t="s">
        <v>47</v>
      </c>
      <c r="I1967" s="45" t="s">
        <v>1480</v>
      </c>
      <c r="J1967" s="143" t="s">
        <v>291</v>
      </c>
      <c r="K1967" s="43" t="str">
        <f t="array" ref="K1967">IF(J1967="","", XLOOKUP(J1967,'⚙️ Pengaturan'!$E$2:$E3237,'⚙️ Pengaturan'!$G$2:$G3237))</f>
        <v>VISIT FT TA</v>
      </c>
      <c r="L1967" s="43" t="str">
        <f t="shared" si="3"/>
        <v>BARU</v>
      </c>
      <c r="M1967" s="144" t="s">
        <v>31</v>
      </c>
      <c r="N1967" s="145">
        <v>350000.0</v>
      </c>
      <c r="O1967" s="146">
        <v>0.0</v>
      </c>
      <c r="P1967" s="48">
        <f t="array" ref="P1967">IFNA(XLOOKUP(J1967,'⚙️ Pengaturan'!$E$2:$E3237,'⚙️ Pengaturan'!$F$2:$F3237),"")</f>
        <v>350000</v>
      </c>
      <c r="Q1967" s="147">
        <f t="shared" si="50"/>
        <v>0</v>
      </c>
      <c r="R1967" s="41" t="s">
        <v>32</v>
      </c>
      <c r="S1967" s="69" t="s">
        <v>33</v>
      </c>
      <c r="T1967" s="51" t="b">
        <v>1</v>
      </c>
      <c r="U1967" s="94"/>
    </row>
    <row r="1968" ht="30.0" customHeight="1">
      <c r="A1968" s="39"/>
      <c r="B1968" s="161">
        <v>4005.0</v>
      </c>
      <c r="C1968" s="41" t="s">
        <v>39</v>
      </c>
      <c r="D1968" s="86">
        <v>46183.0</v>
      </c>
      <c r="E1968" s="43" t="str">
        <f t="shared" si="47"/>
        <v>2026</v>
      </c>
      <c r="F1968" s="43" t="str">
        <f t="shared" si="48"/>
        <v>06 Jun</v>
      </c>
      <c r="G1968" s="45" t="s">
        <v>69</v>
      </c>
      <c r="H1968" s="45" t="s">
        <v>149</v>
      </c>
      <c r="I1968" s="121" t="s">
        <v>1481</v>
      </c>
      <c r="J1968" s="143" t="s">
        <v>120</v>
      </c>
      <c r="K1968" s="43" t="str">
        <f t="array" ref="K1968">IF(J1968="","", XLOOKUP(J1968,'⚙️ Pengaturan'!$E$2:$E3237,'⚙️ Pengaturan'!$G$2:$G3237))</f>
        <v>KLINIK FT SESI</v>
      </c>
      <c r="L1968" s="43" t="str">
        <f t="shared" si="3"/>
        <v>LANJUTAN</v>
      </c>
      <c r="M1968" s="144" t="s">
        <v>31</v>
      </c>
      <c r="N1968" s="145">
        <v>180000.0</v>
      </c>
      <c r="O1968" s="146">
        <v>0.0</v>
      </c>
      <c r="P1968" s="48">
        <f t="array" ref="P1968">IFNA(XLOOKUP(J1968,'⚙️ Pengaturan'!$E$2:$E3237,'⚙️ Pengaturan'!$F$2:$F3237),"")</f>
        <v>180000</v>
      </c>
      <c r="Q1968" s="147">
        <f t="shared" si="50"/>
        <v>0</v>
      </c>
      <c r="R1968" s="41" t="s">
        <v>32</v>
      </c>
      <c r="S1968" s="69" t="s">
        <v>33</v>
      </c>
      <c r="T1968" s="51" t="b">
        <v>1</v>
      </c>
      <c r="U1968" s="94" t="s">
        <v>1482</v>
      </c>
    </row>
    <row r="1969" ht="30.0" customHeight="1">
      <c r="A1969" s="39"/>
      <c r="B1969" s="40">
        <v>4006.0</v>
      </c>
      <c r="C1969" s="41" t="s">
        <v>39</v>
      </c>
      <c r="D1969" s="86">
        <v>46183.0</v>
      </c>
      <c r="E1969" s="43" t="str">
        <f t="shared" si="47"/>
        <v>2026</v>
      </c>
      <c r="F1969" s="43" t="str">
        <f t="shared" si="48"/>
        <v>06 Jun</v>
      </c>
      <c r="G1969" s="45" t="s">
        <v>69</v>
      </c>
      <c r="H1969" s="45" t="s">
        <v>149</v>
      </c>
      <c r="I1969" s="121" t="s">
        <v>1483</v>
      </c>
      <c r="J1969" s="143" t="s">
        <v>120</v>
      </c>
      <c r="K1969" s="43" t="str">
        <f t="array" ref="K1969">IF(J1969="","", XLOOKUP(J1969,'⚙️ Pengaturan'!$E$2:$E3237,'⚙️ Pengaturan'!$G$2:$G3237))</f>
        <v>KLINIK FT SESI</v>
      </c>
      <c r="L1969" s="43" t="str">
        <f t="shared" si="3"/>
        <v>LANJUTAN</v>
      </c>
      <c r="M1969" s="144" t="s">
        <v>31</v>
      </c>
      <c r="N1969" s="145">
        <v>180000.0</v>
      </c>
      <c r="O1969" s="146">
        <v>0.0</v>
      </c>
      <c r="P1969" s="48">
        <f t="array" ref="P1969">IFNA(XLOOKUP(J1969,'⚙️ Pengaturan'!$E$2:$E3237,'⚙️ Pengaturan'!$F$2:$F3237),"")</f>
        <v>180000</v>
      </c>
      <c r="Q1969" s="147">
        <f t="shared" si="50"/>
        <v>0</v>
      </c>
      <c r="R1969" s="41" t="s">
        <v>32</v>
      </c>
      <c r="S1969" s="69" t="s">
        <v>33</v>
      </c>
      <c r="T1969" s="51" t="b">
        <v>1</v>
      </c>
      <c r="U1969" s="94" t="s">
        <v>1482</v>
      </c>
    </row>
    <row r="1970" ht="30.0" customHeight="1">
      <c r="A1970" s="39"/>
      <c r="B1970" s="161">
        <v>4007.0</v>
      </c>
      <c r="C1970" s="41" t="s">
        <v>39</v>
      </c>
      <c r="D1970" s="86">
        <v>46183.0</v>
      </c>
      <c r="E1970" s="43" t="str">
        <f t="shared" si="47"/>
        <v>2026</v>
      </c>
      <c r="F1970" s="43" t="str">
        <f t="shared" si="48"/>
        <v>06 Jun</v>
      </c>
      <c r="G1970" s="45" t="s">
        <v>161</v>
      </c>
      <c r="H1970" s="45" t="s">
        <v>47</v>
      </c>
      <c r="I1970" s="45" t="s">
        <v>1449</v>
      </c>
      <c r="J1970" s="143" t="s">
        <v>120</v>
      </c>
      <c r="K1970" s="43" t="str">
        <f t="array" ref="K1970">IF(J1970="","", XLOOKUP(J1970,'⚙️ Pengaturan'!$E$2:$E3237,'⚙️ Pengaturan'!$G$2:$G3237))</f>
        <v>KLINIK FT SESI</v>
      </c>
      <c r="L1970" s="43" t="str">
        <f t="shared" si="3"/>
        <v>LANJUTAN</v>
      </c>
      <c r="M1970" s="144" t="s">
        <v>31</v>
      </c>
      <c r="N1970" s="145">
        <v>180000.0</v>
      </c>
      <c r="O1970" s="146">
        <v>0.0</v>
      </c>
      <c r="P1970" s="48">
        <f t="array" ref="P1970">IFNA(XLOOKUP(J1970,'⚙️ Pengaturan'!$E$2:$E3237,'⚙️ Pengaturan'!$F$2:$F3237),"")</f>
        <v>180000</v>
      </c>
      <c r="Q1970" s="147">
        <f t="shared" si="50"/>
        <v>0</v>
      </c>
      <c r="R1970" s="41" t="s">
        <v>32</v>
      </c>
      <c r="S1970" s="69" t="s">
        <v>33</v>
      </c>
      <c r="T1970" s="51" t="b">
        <v>1</v>
      </c>
      <c r="U1970" s="94"/>
    </row>
    <row r="1971" ht="30.0" customHeight="1">
      <c r="A1971" s="39"/>
      <c r="B1971" s="40">
        <v>4008.0</v>
      </c>
      <c r="C1971" s="41" t="s">
        <v>39</v>
      </c>
      <c r="D1971" s="86">
        <v>46183.0</v>
      </c>
      <c r="E1971" s="43" t="str">
        <f t="shared" si="47"/>
        <v>2026</v>
      </c>
      <c r="F1971" s="43" t="str">
        <f t="shared" si="48"/>
        <v>06 Jun</v>
      </c>
      <c r="G1971" s="45" t="s">
        <v>161</v>
      </c>
      <c r="H1971" s="45" t="s">
        <v>41</v>
      </c>
      <c r="I1971" s="45" t="s">
        <v>1484</v>
      </c>
      <c r="J1971" s="143" t="s">
        <v>28</v>
      </c>
      <c r="K1971" s="43" t="str">
        <f t="array" ref="K1971">IF(J1971="","", XLOOKUP(J1971,'⚙️ Pengaturan'!$E$2:$E3237,'⚙️ Pengaturan'!$G$2:$G3237))</f>
        <v>KLINIK FT TA</v>
      </c>
      <c r="L1971" s="43" t="str">
        <f t="shared" si="3"/>
        <v>BARU</v>
      </c>
      <c r="M1971" s="144" t="s">
        <v>31</v>
      </c>
      <c r="N1971" s="145">
        <v>250000.0</v>
      </c>
      <c r="O1971" s="146">
        <v>0.0</v>
      </c>
      <c r="P1971" s="48">
        <f t="array" ref="P1971">IFNA(XLOOKUP(J1971,'⚙️ Pengaturan'!$E$2:$E3237,'⚙️ Pengaturan'!$F$2:$F3237),"")</f>
        <v>250000</v>
      </c>
      <c r="Q1971" s="147">
        <f t="shared" si="50"/>
        <v>0</v>
      </c>
      <c r="R1971" s="41" t="s">
        <v>32</v>
      </c>
      <c r="S1971" s="69" t="s">
        <v>33</v>
      </c>
      <c r="T1971" s="51" t="b">
        <v>1</v>
      </c>
      <c r="U1971" s="94"/>
    </row>
    <row r="1972" ht="30.0" customHeight="1">
      <c r="A1972" s="39"/>
      <c r="B1972" s="161">
        <v>4009.0</v>
      </c>
      <c r="C1972" s="41" t="s">
        <v>39</v>
      </c>
      <c r="D1972" s="86">
        <v>46183.0</v>
      </c>
      <c r="E1972" s="43" t="str">
        <f t="shared" si="47"/>
        <v>2026</v>
      </c>
      <c r="F1972" s="43" t="str">
        <f t="shared" si="48"/>
        <v>06 Jun</v>
      </c>
      <c r="G1972" s="45" t="s">
        <v>69</v>
      </c>
      <c r="H1972" s="45" t="s">
        <v>47</v>
      </c>
      <c r="I1972" s="45" t="s">
        <v>1480</v>
      </c>
      <c r="J1972" s="143" t="s">
        <v>364</v>
      </c>
      <c r="K1972" s="43" t="str">
        <f t="array" ref="K1972">IF(J1972="","", XLOOKUP(J1972,'⚙️ Pengaturan'!$E$2:$E3237,'⚙️ Pengaturan'!$G$2:$G3237))</f>
        <v>VISIT FT PAKET</v>
      </c>
      <c r="L1972" s="43" t="str">
        <f t="shared" si="3"/>
        <v>BARU</v>
      </c>
      <c r="M1972" s="144" t="s">
        <v>31</v>
      </c>
      <c r="N1972" s="145">
        <v>2300000.0</v>
      </c>
      <c r="O1972" s="146">
        <v>0.0</v>
      </c>
      <c r="P1972" s="48">
        <f t="array" ref="P1972">IFNA(XLOOKUP(J1972,'⚙️ Pengaturan'!$E$2:$E3237,'⚙️ Pengaturan'!$F$2:$F3237),"")</f>
        <v>2300000</v>
      </c>
      <c r="Q1972" s="147">
        <f t="shared" si="50"/>
        <v>0</v>
      </c>
      <c r="R1972" s="41" t="s">
        <v>37</v>
      </c>
      <c r="S1972" s="69" t="s">
        <v>1480</v>
      </c>
      <c r="T1972" s="51" t="b">
        <v>1</v>
      </c>
      <c r="U1972" s="94"/>
    </row>
    <row r="1973" ht="30.0" customHeight="1">
      <c r="A1973" s="39"/>
      <c r="B1973" s="40">
        <v>4010.0</v>
      </c>
      <c r="C1973" s="41" t="s">
        <v>50</v>
      </c>
      <c r="D1973" s="86">
        <v>46183.0</v>
      </c>
      <c r="E1973" s="43" t="str">
        <f t="shared" si="47"/>
        <v>2026</v>
      </c>
      <c r="F1973" s="43" t="str">
        <f t="shared" si="48"/>
        <v>06 Jun</v>
      </c>
      <c r="G1973" s="45" t="s">
        <v>40</v>
      </c>
      <c r="H1973" s="45" t="s">
        <v>26</v>
      </c>
      <c r="I1973" s="45" t="s">
        <v>426</v>
      </c>
      <c r="J1973" s="143" t="s">
        <v>56</v>
      </c>
      <c r="K1973" s="43" t="str">
        <f t="array" ref="K1973">IF(J1973="","", XLOOKUP(J1973,'⚙️ Pengaturan'!$E$2:$E3237,'⚙️ Pengaturan'!$G$2:$G3237))</f>
        <v>KLINIK FT PAKET</v>
      </c>
      <c r="L1973" s="43" t="str">
        <f t="shared" si="3"/>
        <v>LANJUTAN</v>
      </c>
      <c r="M1973" s="144" t="s">
        <v>31</v>
      </c>
      <c r="N1973" s="145">
        <v>650000.0</v>
      </c>
      <c r="O1973" s="146">
        <v>0.0</v>
      </c>
      <c r="P1973" s="48">
        <f t="array" ref="P1973">IFNA(XLOOKUP(J1973,'⚙️ Pengaturan'!$E$2:$E3237,'⚙️ Pengaturan'!$F$2:$F3237),"")</f>
        <v>650000</v>
      </c>
      <c r="Q1973" s="147">
        <f t="shared" si="50"/>
        <v>0</v>
      </c>
      <c r="R1973" s="41" t="s">
        <v>37</v>
      </c>
      <c r="S1973" s="69" t="s">
        <v>426</v>
      </c>
      <c r="T1973" s="51" t="b">
        <v>1</v>
      </c>
      <c r="U1973" s="94"/>
    </row>
    <row r="1974" ht="30.0" customHeight="1">
      <c r="A1974" s="39"/>
      <c r="B1974" s="161">
        <v>4011.0</v>
      </c>
      <c r="C1974" s="41" t="s">
        <v>50</v>
      </c>
      <c r="D1974" s="86">
        <v>46183.0</v>
      </c>
      <c r="E1974" s="43" t="str">
        <f t="shared" si="47"/>
        <v>2026</v>
      </c>
      <c r="F1974" s="43" t="str">
        <f t="shared" si="48"/>
        <v>06 Jun</v>
      </c>
      <c r="G1974" s="45" t="s">
        <v>43</v>
      </c>
      <c r="H1974" s="45" t="s">
        <v>26</v>
      </c>
      <c r="I1974" s="45" t="s">
        <v>701</v>
      </c>
      <c r="J1974" s="143" t="s">
        <v>119</v>
      </c>
      <c r="K1974" s="43" t="str">
        <f t="array" ref="K1974">IF(J1974="","", XLOOKUP(J1974,'⚙️ Pengaturan'!$E$2:$E3237,'⚙️ Pengaturan'!$G$2:$G3237))</f>
        <v>KLINIK FT PAKET</v>
      </c>
      <c r="L1974" s="43" t="str">
        <f t="shared" si="3"/>
        <v>LANJUTAN</v>
      </c>
      <c r="M1974" s="144" t="s">
        <v>81</v>
      </c>
      <c r="N1974" s="145">
        <v>200000.0</v>
      </c>
      <c r="O1974" s="146">
        <v>350000.0</v>
      </c>
      <c r="P1974" s="48">
        <f t="array" ref="P1974">IFNA(XLOOKUP(J1974,'⚙️ Pengaturan'!$E$2:$E3237,'⚙️ Pengaturan'!$F$2:$F3237),"")</f>
        <v>750000</v>
      </c>
      <c r="Q1974" s="147">
        <f t="shared" si="50"/>
        <v>-200000</v>
      </c>
      <c r="R1974" s="41" t="s">
        <v>32</v>
      </c>
      <c r="S1974" s="69" t="s">
        <v>33</v>
      </c>
      <c r="T1974" s="51" t="b">
        <v>1</v>
      </c>
      <c r="U1974" s="94"/>
    </row>
    <row r="1975" ht="30.0" customHeight="1">
      <c r="A1975" s="39"/>
      <c r="B1975" s="40">
        <v>4012.0</v>
      </c>
      <c r="C1975" s="41" t="s">
        <v>50</v>
      </c>
      <c r="D1975" s="86">
        <v>46183.0</v>
      </c>
      <c r="E1975" s="43" t="str">
        <f t="shared" si="47"/>
        <v>2026</v>
      </c>
      <c r="F1975" s="43" t="str">
        <f t="shared" si="48"/>
        <v>06 Jun</v>
      </c>
      <c r="G1975" s="45" t="s">
        <v>43</v>
      </c>
      <c r="H1975" s="45" t="s">
        <v>26</v>
      </c>
      <c r="I1975" s="45" t="s">
        <v>435</v>
      </c>
      <c r="J1975" s="143" t="s">
        <v>56</v>
      </c>
      <c r="K1975" s="43" t="str">
        <f t="array" ref="K1975">IF(J1975="","", XLOOKUP(J1975,'⚙️ Pengaturan'!$E$2:$E3237,'⚙️ Pengaturan'!$G$2:$G3237))</f>
        <v>KLINIK FT PAKET</v>
      </c>
      <c r="L1975" s="43" t="str">
        <f t="shared" si="3"/>
        <v>LANJUTAN</v>
      </c>
      <c r="M1975" s="144" t="s">
        <v>31</v>
      </c>
      <c r="N1975" s="145">
        <v>650000.0</v>
      </c>
      <c r="O1975" s="146">
        <v>0.0</v>
      </c>
      <c r="P1975" s="48">
        <f t="array" ref="P1975">IFNA(XLOOKUP(J1975,'⚙️ Pengaturan'!$E$2:$E3237,'⚙️ Pengaturan'!$F$2:$F3237),"")</f>
        <v>650000</v>
      </c>
      <c r="Q1975" s="147">
        <f t="shared" si="50"/>
        <v>0</v>
      </c>
      <c r="R1975" s="41" t="s">
        <v>37</v>
      </c>
      <c r="S1975" s="69" t="s">
        <v>426</v>
      </c>
      <c r="T1975" s="51" t="b">
        <v>1</v>
      </c>
      <c r="U1975" s="94"/>
    </row>
    <row r="1976" ht="30.0" customHeight="1">
      <c r="A1976" s="39"/>
      <c r="B1976" s="161">
        <v>4013.0</v>
      </c>
      <c r="C1976" s="41" t="s">
        <v>50</v>
      </c>
      <c r="D1976" s="86">
        <v>46183.0</v>
      </c>
      <c r="E1976" s="43" t="str">
        <f t="shared" si="47"/>
        <v>2026</v>
      </c>
      <c r="F1976" s="43" t="str">
        <f t="shared" si="48"/>
        <v>06 Jun</v>
      </c>
      <c r="G1976" s="45" t="s">
        <v>173</v>
      </c>
      <c r="H1976" s="45" t="s">
        <v>166</v>
      </c>
      <c r="I1976" s="45" t="s">
        <v>1475</v>
      </c>
      <c r="J1976" s="143" t="s">
        <v>347</v>
      </c>
      <c r="K1976" s="43" t="str">
        <f t="array" ref="K1976">IF(J1976="","", XLOOKUP(J1976,'⚙️ Pengaturan'!$E$2:$E3237,'⚙️ Pengaturan'!$G$2:$G3237))</f>
        <v>KLINIK FT PAKET</v>
      </c>
      <c r="L1976" s="43" t="str">
        <f t="shared" si="3"/>
        <v>BARU</v>
      </c>
      <c r="M1976" s="144" t="s">
        <v>60</v>
      </c>
      <c r="N1976" s="145">
        <v>300000.0</v>
      </c>
      <c r="O1976" s="146">
        <v>0.0</v>
      </c>
      <c r="P1976" s="48">
        <f t="array" ref="P1976">IFNA(XLOOKUP(J1976,'⚙️ Pengaturan'!$E$2:$E3237,'⚙️ Pengaturan'!$F$2:$F3237),"")</f>
        <v>1300000</v>
      </c>
      <c r="Q1976" s="147">
        <f t="shared" si="50"/>
        <v>-1000000</v>
      </c>
      <c r="R1976" s="41" t="s">
        <v>32</v>
      </c>
      <c r="S1976" s="69" t="s">
        <v>33</v>
      </c>
      <c r="T1976" s="51" t="b">
        <v>1</v>
      </c>
      <c r="U1976" s="94"/>
    </row>
    <row r="1977" ht="30.0" customHeight="1">
      <c r="A1977" s="39"/>
      <c r="B1977" s="40">
        <v>4014.0</v>
      </c>
      <c r="C1977" s="41" t="s">
        <v>50</v>
      </c>
      <c r="D1977" s="86">
        <v>46183.0</v>
      </c>
      <c r="E1977" s="43" t="str">
        <f t="shared" si="47"/>
        <v>2026</v>
      </c>
      <c r="F1977" s="43" t="str">
        <f t="shared" si="48"/>
        <v>06 Jun</v>
      </c>
      <c r="G1977" s="45" t="s">
        <v>173</v>
      </c>
      <c r="H1977" s="45" t="s">
        <v>162</v>
      </c>
      <c r="I1977" s="45" t="s">
        <v>1485</v>
      </c>
      <c r="J1977" s="143" t="s">
        <v>28</v>
      </c>
      <c r="K1977" s="43" t="str">
        <f t="array" ref="K1977">IF(J1977="","", XLOOKUP(J1977,'⚙️ Pengaturan'!$E$2:$E3237,'⚙️ Pengaturan'!$G$2:$G3237))</f>
        <v>KLINIK FT TA</v>
      </c>
      <c r="L1977" s="43" t="str">
        <f t="shared" si="3"/>
        <v>BARU</v>
      </c>
      <c r="M1977" s="144" t="s">
        <v>31</v>
      </c>
      <c r="N1977" s="145">
        <v>250000.0</v>
      </c>
      <c r="O1977" s="146">
        <v>0.0</v>
      </c>
      <c r="P1977" s="48">
        <f t="array" ref="P1977">IFNA(XLOOKUP(J1977,'⚙️ Pengaturan'!$E$2:$E3237,'⚙️ Pengaturan'!$F$2:$F3237),"")</f>
        <v>250000</v>
      </c>
      <c r="Q1977" s="147">
        <f t="shared" si="50"/>
        <v>0</v>
      </c>
      <c r="R1977" s="41" t="s">
        <v>37</v>
      </c>
      <c r="S1977" s="69" t="s">
        <v>1485</v>
      </c>
      <c r="T1977" s="51" t="b">
        <v>1</v>
      </c>
      <c r="U1977" s="94"/>
    </row>
    <row r="1978" ht="30.0" customHeight="1">
      <c r="A1978" s="39"/>
      <c r="B1978" s="161">
        <v>4015.0</v>
      </c>
      <c r="C1978" s="41" t="s">
        <v>50</v>
      </c>
      <c r="D1978" s="86">
        <v>46183.0</v>
      </c>
      <c r="E1978" s="43" t="str">
        <f t="shared" si="47"/>
        <v>2026</v>
      </c>
      <c r="F1978" s="43" t="str">
        <f t="shared" si="48"/>
        <v>06 Jun</v>
      </c>
      <c r="G1978" s="45" t="s">
        <v>173</v>
      </c>
      <c r="H1978" s="45" t="s">
        <v>162</v>
      </c>
      <c r="I1978" s="45" t="s">
        <v>1485</v>
      </c>
      <c r="J1978" s="143" t="s">
        <v>119</v>
      </c>
      <c r="K1978" s="43" t="str">
        <f t="array" ref="K1978">IF(J1978="","", XLOOKUP(J1978,'⚙️ Pengaturan'!$E$2:$E3237,'⚙️ Pengaturan'!$G$2:$G3237))</f>
        <v>KLINIK FT PAKET</v>
      </c>
      <c r="L1978" s="43" t="str">
        <f t="shared" si="3"/>
        <v>BARU</v>
      </c>
      <c r="M1978" s="144" t="s">
        <v>60</v>
      </c>
      <c r="N1978" s="145">
        <v>300000.0</v>
      </c>
      <c r="O1978" s="146">
        <v>0.0</v>
      </c>
      <c r="P1978" s="48">
        <f t="array" ref="P1978">IFNA(XLOOKUP(J1978,'⚙️ Pengaturan'!$E$2:$E3237,'⚙️ Pengaturan'!$F$2:$F3237),"")</f>
        <v>750000</v>
      </c>
      <c r="Q1978" s="147">
        <f t="shared" si="50"/>
        <v>-450000</v>
      </c>
      <c r="R1978" s="41" t="s">
        <v>37</v>
      </c>
      <c r="S1978" s="69" t="s">
        <v>1485</v>
      </c>
      <c r="T1978" s="51" t="b">
        <v>1</v>
      </c>
      <c r="U1978" s="94"/>
    </row>
    <row r="1979" ht="30.0" customHeight="1">
      <c r="A1979" s="39"/>
      <c r="B1979" s="40">
        <v>4016.0</v>
      </c>
      <c r="C1979" s="41" t="s">
        <v>50</v>
      </c>
      <c r="D1979" s="86">
        <v>46183.0</v>
      </c>
      <c r="E1979" s="43" t="str">
        <f t="shared" si="47"/>
        <v>2026</v>
      </c>
      <c r="F1979" s="43" t="str">
        <f t="shared" si="48"/>
        <v>06 Jun</v>
      </c>
      <c r="G1979" s="45" t="s">
        <v>173</v>
      </c>
      <c r="H1979" s="45" t="s">
        <v>166</v>
      </c>
      <c r="I1979" s="45" t="s">
        <v>1475</v>
      </c>
      <c r="J1979" s="143" t="s">
        <v>347</v>
      </c>
      <c r="K1979" s="43" t="str">
        <f t="array" ref="K1979">IF(J1979="","", XLOOKUP(J1979,'⚙️ Pengaturan'!$E$2:$E3237,'⚙️ Pengaturan'!$G$2:$G3237))</f>
        <v>KLINIK FT PAKET</v>
      </c>
      <c r="L1979" s="43" t="str">
        <f t="shared" si="3"/>
        <v>LANJUTAN</v>
      </c>
      <c r="M1979" s="144" t="s">
        <v>81</v>
      </c>
      <c r="N1979" s="145">
        <v>300000.0</v>
      </c>
      <c r="O1979" s="146">
        <v>300000.0</v>
      </c>
      <c r="P1979" s="48">
        <f t="array" ref="P1979">IFNA(XLOOKUP(J1979,'⚙️ Pengaturan'!$E$2:$E3237,'⚙️ Pengaturan'!$F$2:$F3237),"")</f>
        <v>1300000</v>
      </c>
      <c r="Q1979" s="147">
        <f t="shared" si="50"/>
        <v>-700000</v>
      </c>
      <c r="R1979" s="41" t="s">
        <v>37</v>
      </c>
      <c r="S1979" s="69" t="s">
        <v>1475</v>
      </c>
      <c r="T1979" s="51" t="b">
        <v>1</v>
      </c>
      <c r="U1979" s="94"/>
    </row>
    <row r="1980" ht="30.0" customHeight="1">
      <c r="A1980" s="39"/>
      <c r="B1980" s="161">
        <v>4017.0</v>
      </c>
      <c r="C1980" s="41" t="s">
        <v>50</v>
      </c>
      <c r="D1980" s="86">
        <v>46183.0</v>
      </c>
      <c r="E1980" s="43" t="str">
        <f t="shared" si="47"/>
        <v>2026</v>
      </c>
      <c r="F1980" s="43" t="str">
        <f t="shared" si="48"/>
        <v>06 Jun</v>
      </c>
      <c r="G1980" s="45" t="s">
        <v>155</v>
      </c>
      <c r="H1980" s="45" t="s">
        <v>150</v>
      </c>
      <c r="I1980" s="45" t="s">
        <v>1486</v>
      </c>
      <c r="J1980" s="143" t="s">
        <v>28</v>
      </c>
      <c r="K1980" s="43" t="str">
        <f t="array" ref="K1980">IF(J1980="","", XLOOKUP(J1980,'⚙️ Pengaturan'!$E$2:$E3237,'⚙️ Pengaturan'!$G$2:$G3237))</f>
        <v>KLINIK FT TA</v>
      </c>
      <c r="L1980" s="43" t="str">
        <f t="shared" si="3"/>
        <v>BARU</v>
      </c>
      <c r="M1980" s="144" t="s">
        <v>31</v>
      </c>
      <c r="N1980" s="145">
        <v>250000.0</v>
      </c>
      <c r="O1980" s="146">
        <v>0.0</v>
      </c>
      <c r="P1980" s="48">
        <f t="array" ref="P1980">IFNA(XLOOKUP(J1980,'⚙️ Pengaturan'!$E$2:$E3237,'⚙️ Pengaturan'!$F$2:$F3237),"")</f>
        <v>250000</v>
      </c>
      <c r="Q1980" s="147">
        <f t="shared" si="50"/>
        <v>0</v>
      </c>
      <c r="R1980" s="41" t="s">
        <v>32</v>
      </c>
      <c r="S1980" s="69" t="s">
        <v>33</v>
      </c>
      <c r="T1980" s="51" t="b">
        <v>1</v>
      </c>
      <c r="U1980" s="94"/>
    </row>
    <row r="1981" ht="30.0" customHeight="1">
      <c r="A1981" s="39"/>
      <c r="B1981" s="40">
        <v>4018.0</v>
      </c>
      <c r="C1981" s="41" t="s">
        <v>50</v>
      </c>
      <c r="D1981" s="86">
        <v>46183.0</v>
      </c>
      <c r="E1981" s="43" t="str">
        <f t="shared" si="47"/>
        <v>2026</v>
      </c>
      <c r="F1981" s="43" t="str">
        <f t="shared" si="48"/>
        <v>06 Jun</v>
      </c>
      <c r="G1981" s="45" t="s">
        <v>155</v>
      </c>
      <c r="H1981" s="45" t="s">
        <v>162</v>
      </c>
      <c r="I1981" s="45" t="s">
        <v>1454</v>
      </c>
      <c r="J1981" s="143" t="s">
        <v>119</v>
      </c>
      <c r="K1981" s="43" t="str">
        <f t="array" ref="K1981">IF(J1981="","", XLOOKUP(J1981,'⚙️ Pengaturan'!$E$2:$E3237,'⚙️ Pengaturan'!$G$2:$G3237))</f>
        <v>KLINIK FT PAKET</v>
      </c>
      <c r="L1981" s="43" t="str">
        <f t="shared" si="3"/>
        <v>BARU</v>
      </c>
      <c r="M1981" s="144" t="s">
        <v>31</v>
      </c>
      <c r="N1981" s="145">
        <v>750000.0</v>
      </c>
      <c r="O1981" s="146">
        <v>0.0</v>
      </c>
      <c r="P1981" s="48">
        <f t="array" ref="P1981">IFNA(XLOOKUP(J1981,'⚙️ Pengaturan'!$E$2:$E3237,'⚙️ Pengaturan'!$F$2:$F3237),"")</f>
        <v>750000</v>
      </c>
      <c r="Q1981" s="147">
        <f t="shared" si="50"/>
        <v>0</v>
      </c>
      <c r="R1981" s="41" t="s">
        <v>32</v>
      </c>
      <c r="S1981" s="69" t="s">
        <v>33</v>
      </c>
      <c r="T1981" s="51" t="b">
        <v>1</v>
      </c>
      <c r="U1981" s="94"/>
    </row>
    <row r="1982" ht="30.0" customHeight="1">
      <c r="A1982" s="39"/>
      <c r="B1982" s="161">
        <v>4019.0</v>
      </c>
      <c r="C1982" s="41" t="s">
        <v>50</v>
      </c>
      <c r="D1982" s="86">
        <v>46183.0</v>
      </c>
      <c r="E1982" s="43" t="str">
        <f t="shared" si="47"/>
        <v>2026</v>
      </c>
      <c r="F1982" s="43" t="str">
        <f t="shared" si="48"/>
        <v>06 Jun</v>
      </c>
      <c r="G1982" s="45" t="s">
        <v>155</v>
      </c>
      <c r="H1982" s="45" t="s">
        <v>166</v>
      </c>
      <c r="I1982" s="45" t="s">
        <v>1460</v>
      </c>
      <c r="J1982" s="143" t="s">
        <v>119</v>
      </c>
      <c r="K1982" s="43" t="str">
        <f t="array" ref="K1982">IF(J1982="","", XLOOKUP(J1982,'⚙️ Pengaturan'!$E$2:$E3237,'⚙️ Pengaturan'!$G$2:$G3237))</f>
        <v>KLINIK FT PAKET</v>
      </c>
      <c r="L1982" s="43" t="str">
        <f t="shared" si="3"/>
        <v>BARU</v>
      </c>
      <c r="M1982" s="144" t="s">
        <v>60</v>
      </c>
      <c r="N1982" s="145">
        <v>300000.0</v>
      </c>
      <c r="O1982" s="146">
        <v>0.0</v>
      </c>
      <c r="P1982" s="48">
        <f t="array" ref="P1982">IFNA(XLOOKUP(J1982,'⚙️ Pengaturan'!$E$2:$E3237,'⚙️ Pengaturan'!$F$2:$F3237),"")</f>
        <v>750000</v>
      </c>
      <c r="Q1982" s="147">
        <f t="shared" si="50"/>
        <v>-450000</v>
      </c>
      <c r="R1982" s="41" t="s">
        <v>93</v>
      </c>
      <c r="S1982" s="69" t="s">
        <v>1460</v>
      </c>
      <c r="T1982" s="51" t="b">
        <v>1</v>
      </c>
      <c r="U1982" s="94"/>
    </row>
    <row r="1983" ht="30.0" customHeight="1">
      <c r="A1983" s="39"/>
      <c r="B1983" s="40">
        <v>4020.0</v>
      </c>
      <c r="C1983" s="41" t="s">
        <v>39</v>
      </c>
      <c r="D1983" s="86">
        <v>46184.0</v>
      </c>
      <c r="E1983" s="43" t="str">
        <f t="shared" si="47"/>
        <v>2026</v>
      </c>
      <c r="F1983" s="43" t="str">
        <f t="shared" si="48"/>
        <v>06 Jun</v>
      </c>
      <c r="G1983" s="45" t="s">
        <v>25</v>
      </c>
      <c r="H1983" s="45" t="s">
        <v>103</v>
      </c>
      <c r="I1983" s="45" t="s">
        <v>620</v>
      </c>
      <c r="J1983" s="143" t="s">
        <v>120</v>
      </c>
      <c r="K1983" s="43" t="str">
        <f t="array" ref="K1983">IF(J1983="","", XLOOKUP(J1983,'⚙️ Pengaturan'!$E$2:$E3237,'⚙️ Pengaturan'!$G$2:$G3237))</f>
        <v>KLINIK FT SESI</v>
      </c>
      <c r="L1983" s="43" t="str">
        <f t="shared" si="3"/>
        <v>LANJUTAN</v>
      </c>
      <c r="M1983" s="144" t="s">
        <v>31</v>
      </c>
      <c r="N1983" s="145">
        <v>180000.0</v>
      </c>
      <c r="O1983" s="146">
        <v>0.0</v>
      </c>
      <c r="P1983" s="48">
        <f t="array" ref="P1983">IFNA(XLOOKUP(J1983,'⚙️ Pengaturan'!$E$2:$E3237,'⚙️ Pengaturan'!$F$2:$F3237),"")</f>
        <v>180000</v>
      </c>
      <c r="Q1983" s="147">
        <f t="shared" si="50"/>
        <v>0</v>
      </c>
      <c r="R1983" s="41" t="s">
        <v>37</v>
      </c>
      <c r="S1983" s="69" t="s">
        <v>620</v>
      </c>
      <c r="T1983" s="51" t="b">
        <v>1</v>
      </c>
      <c r="U1983" s="94"/>
    </row>
    <row r="1984" ht="30.0" customHeight="1">
      <c r="A1984" s="39"/>
      <c r="B1984" s="161">
        <v>4021.0</v>
      </c>
      <c r="C1984" s="41" t="s">
        <v>39</v>
      </c>
      <c r="D1984" s="86">
        <v>46184.0</v>
      </c>
      <c r="E1984" s="43" t="str">
        <f t="shared" si="47"/>
        <v>2026</v>
      </c>
      <c r="F1984" s="43" t="str">
        <f t="shared" si="48"/>
        <v>06 Jun</v>
      </c>
      <c r="G1984" s="45" t="s">
        <v>206</v>
      </c>
      <c r="H1984" s="45" t="s">
        <v>166</v>
      </c>
      <c r="I1984" s="45" t="s">
        <v>1487</v>
      </c>
      <c r="J1984" s="143" t="s">
        <v>28</v>
      </c>
      <c r="K1984" s="43" t="str">
        <f t="array" ref="K1984">IF(J1984="","", XLOOKUP(J1984,'⚙️ Pengaturan'!$E$2:$E3237,'⚙️ Pengaturan'!$G$2:$G3237))</f>
        <v>KLINIK FT TA</v>
      </c>
      <c r="L1984" s="43" t="str">
        <f t="shared" si="3"/>
        <v>BARU</v>
      </c>
      <c r="M1984" s="144" t="s">
        <v>31</v>
      </c>
      <c r="N1984" s="145">
        <v>250000.0</v>
      </c>
      <c r="O1984" s="146">
        <v>0.0</v>
      </c>
      <c r="P1984" s="48">
        <f t="array" ref="P1984">IFNA(XLOOKUP(J1984,'⚙️ Pengaturan'!$E$2:$E3237,'⚙️ Pengaturan'!$F$2:$F3237),"")</f>
        <v>250000</v>
      </c>
      <c r="Q1984" s="147">
        <f t="shared" si="50"/>
        <v>0</v>
      </c>
      <c r="R1984" s="41" t="s">
        <v>37</v>
      </c>
      <c r="S1984" s="69" t="s">
        <v>1487</v>
      </c>
      <c r="T1984" s="51" t="b">
        <v>1</v>
      </c>
      <c r="U1984" s="94"/>
    </row>
    <row r="1985" ht="30.0" customHeight="1">
      <c r="A1985" s="39"/>
      <c r="B1985" s="40">
        <v>4022.0</v>
      </c>
      <c r="C1985" s="41" t="s">
        <v>39</v>
      </c>
      <c r="D1985" s="86">
        <v>46184.0</v>
      </c>
      <c r="E1985" s="43" t="str">
        <f t="shared" si="47"/>
        <v>2026</v>
      </c>
      <c r="F1985" s="43" t="str">
        <f t="shared" si="48"/>
        <v>06 Jun</v>
      </c>
      <c r="G1985" s="45" t="s">
        <v>206</v>
      </c>
      <c r="H1985" s="45" t="s">
        <v>150</v>
      </c>
      <c r="I1985" s="45" t="s">
        <v>1355</v>
      </c>
      <c r="J1985" s="143" t="s">
        <v>119</v>
      </c>
      <c r="K1985" s="43" t="str">
        <f t="array" ref="K1985">IF(J1985="","", XLOOKUP(J1985,'⚙️ Pengaturan'!$E$2:$E3237,'⚙️ Pengaturan'!$G$2:$G3237))</f>
        <v>KLINIK FT PAKET</v>
      </c>
      <c r="L1985" s="43" t="str">
        <f t="shared" si="3"/>
        <v>LANJUTAN</v>
      </c>
      <c r="M1985" s="144" t="s">
        <v>164</v>
      </c>
      <c r="N1985" s="145">
        <v>450000.0</v>
      </c>
      <c r="O1985" s="146">
        <v>300000.0</v>
      </c>
      <c r="P1985" s="48">
        <f t="array" ref="P1985">IFNA(XLOOKUP(J1985,'⚙️ Pengaturan'!$E$2:$E3237,'⚙️ Pengaturan'!$F$2:$F3237),"")</f>
        <v>750000</v>
      </c>
      <c r="Q1985" s="147">
        <f t="shared" si="50"/>
        <v>0</v>
      </c>
      <c r="R1985" s="41" t="s">
        <v>32</v>
      </c>
      <c r="S1985" s="69" t="s">
        <v>33</v>
      </c>
      <c r="T1985" s="51" t="b">
        <v>1</v>
      </c>
      <c r="U1985" s="94"/>
    </row>
    <row r="1986" ht="30.0" customHeight="1">
      <c r="A1986" s="39"/>
      <c r="B1986" s="161">
        <v>4023.0</v>
      </c>
      <c r="C1986" s="41" t="s">
        <v>39</v>
      </c>
      <c r="D1986" s="86">
        <v>46184.0</v>
      </c>
      <c r="E1986" s="43" t="str">
        <f t="shared" si="47"/>
        <v>2026</v>
      </c>
      <c r="F1986" s="43" t="str">
        <f t="shared" si="48"/>
        <v>06 Jun</v>
      </c>
      <c r="G1986" s="45" t="s">
        <v>161</v>
      </c>
      <c r="H1986" s="45" t="s">
        <v>150</v>
      </c>
      <c r="I1986" s="45" t="s">
        <v>1488</v>
      </c>
      <c r="J1986" s="143" t="s">
        <v>28</v>
      </c>
      <c r="K1986" s="43" t="str">
        <f t="array" ref="K1986">IF(J1986="","", XLOOKUP(J1986,'⚙️ Pengaturan'!$E$2:$E3237,'⚙️ Pengaturan'!$G$2:$G3237))</f>
        <v>KLINIK FT TA</v>
      </c>
      <c r="L1986" s="43" t="str">
        <f t="shared" si="3"/>
        <v>BARU</v>
      </c>
      <c r="M1986" s="144" t="s">
        <v>31</v>
      </c>
      <c r="N1986" s="145">
        <v>250000.0</v>
      </c>
      <c r="O1986" s="146">
        <v>0.0</v>
      </c>
      <c r="P1986" s="48">
        <f t="array" ref="P1986">IFNA(XLOOKUP(J1986,'⚙️ Pengaturan'!$E$2:$E3237,'⚙️ Pengaturan'!$F$2:$F3237),"")</f>
        <v>250000</v>
      </c>
      <c r="Q1986" s="147">
        <f t="shared" si="50"/>
        <v>0</v>
      </c>
      <c r="R1986" s="41" t="s">
        <v>37</v>
      </c>
      <c r="S1986" s="69" t="s">
        <v>1488</v>
      </c>
      <c r="T1986" s="51" t="b">
        <v>1</v>
      </c>
      <c r="U1986" s="69"/>
    </row>
    <row r="1987" ht="30.0" customHeight="1">
      <c r="A1987" s="39"/>
      <c r="B1987" s="40">
        <v>4024.0</v>
      </c>
      <c r="C1987" s="41" t="s">
        <v>50</v>
      </c>
      <c r="D1987" s="86">
        <v>46184.0</v>
      </c>
      <c r="E1987" s="43" t="str">
        <f t="shared" si="47"/>
        <v>2026</v>
      </c>
      <c r="F1987" s="43" t="str">
        <f t="shared" si="48"/>
        <v>06 Jun</v>
      </c>
      <c r="G1987" s="45" t="s">
        <v>40</v>
      </c>
      <c r="H1987" s="45" t="s">
        <v>41</v>
      </c>
      <c r="I1987" s="45" t="s">
        <v>1471</v>
      </c>
      <c r="J1987" s="143" t="s">
        <v>120</v>
      </c>
      <c r="K1987" s="43" t="str">
        <f t="array" ref="K1987">IF(J1987="","", XLOOKUP(J1987,'⚙️ Pengaturan'!$E$2:$E3237,'⚙️ Pengaturan'!$G$2:$G3237))</f>
        <v>KLINIK FT SESI</v>
      </c>
      <c r="L1987" s="43" t="str">
        <f t="shared" si="3"/>
        <v>BARU</v>
      </c>
      <c r="M1987" s="144" t="s">
        <v>31</v>
      </c>
      <c r="N1987" s="145">
        <v>180000.0</v>
      </c>
      <c r="O1987" s="146">
        <v>0.0</v>
      </c>
      <c r="P1987" s="48">
        <f t="array" ref="P1987">IFNA(XLOOKUP(J1987,'⚙️ Pengaturan'!$E$2:$E3237,'⚙️ Pengaturan'!$F$2:$F3237),"")</f>
        <v>180000</v>
      </c>
      <c r="Q1987" s="147">
        <f t="shared" si="50"/>
        <v>0</v>
      </c>
      <c r="R1987" s="41" t="s">
        <v>32</v>
      </c>
      <c r="S1987" s="69" t="s">
        <v>33</v>
      </c>
      <c r="T1987" s="51" t="b">
        <v>1</v>
      </c>
      <c r="U1987" s="94"/>
    </row>
    <row r="1988" ht="30.0" customHeight="1">
      <c r="A1988" s="39"/>
      <c r="B1988" s="161">
        <v>4025.0</v>
      </c>
      <c r="C1988" s="41" t="s">
        <v>50</v>
      </c>
      <c r="D1988" s="86">
        <v>46184.0</v>
      </c>
      <c r="E1988" s="43" t="str">
        <f t="shared" si="47"/>
        <v>2026</v>
      </c>
      <c r="F1988" s="43" t="str">
        <f t="shared" si="48"/>
        <v>06 Jun</v>
      </c>
      <c r="G1988" s="45" t="s">
        <v>43</v>
      </c>
      <c r="H1988" s="45" t="s">
        <v>41</v>
      </c>
      <c r="I1988" s="45" t="s">
        <v>1474</v>
      </c>
      <c r="J1988" s="143" t="s">
        <v>120</v>
      </c>
      <c r="K1988" s="43" t="str">
        <f t="array" ref="K1988">IF(J1988="","", XLOOKUP(J1988,'⚙️ Pengaturan'!$E$2:$E3237,'⚙️ Pengaturan'!$G$2:$G3237))</f>
        <v>KLINIK FT SESI</v>
      </c>
      <c r="L1988" s="43" t="str">
        <f t="shared" si="3"/>
        <v>BARU</v>
      </c>
      <c r="M1988" s="144" t="s">
        <v>31</v>
      </c>
      <c r="N1988" s="145">
        <v>180000.0</v>
      </c>
      <c r="O1988" s="146">
        <v>0.0</v>
      </c>
      <c r="P1988" s="48">
        <f t="array" ref="P1988">IFNA(XLOOKUP(J1988,'⚙️ Pengaturan'!$E$2:$E3237,'⚙️ Pengaturan'!$F$2:$F3237),"")</f>
        <v>180000</v>
      </c>
      <c r="Q1988" s="147">
        <f t="shared" si="50"/>
        <v>0</v>
      </c>
      <c r="R1988" s="41" t="s">
        <v>32</v>
      </c>
      <c r="S1988" s="69" t="s">
        <v>33</v>
      </c>
      <c r="T1988" s="51" t="b">
        <v>1</v>
      </c>
      <c r="U1988" s="94"/>
    </row>
    <row r="1989" ht="30.0" customHeight="1">
      <c r="A1989" s="39"/>
      <c r="B1989" s="40">
        <v>4026.0</v>
      </c>
      <c r="C1989" s="41" t="s">
        <v>50</v>
      </c>
      <c r="D1989" s="86">
        <v>46184.0</v>
      </c>
      <c r="E1989" s="43" t="str">
        <f t="shared" si="47"/>
        <v>2026</v>
      </c>
      <c r="F1989" s="43" t="str">
        <f t="shared" si="48"/>
        <v>06 Jun</v>
      </c>
      <c r="G1989" s="45" t="s">
        <v>173</v>
      </c>
      <c r="H1989" s="45" t="s">
        <v>149</v>
      </c>
      <c r="I1989" s="45" t="s">
        <v>1470</v>
      </c>
      <c r="J1989" s="143" t="s">
        <v>119</v>
      </c>
      <c r="K1989" s="43" t="str">
        <f t="array" ref="K1989">IF(J1989="","", XLOOKUP(J1989,'⚙️ Pengaturan'!$E$2:$E3237,'⚙️ Pengaturan'!$G$2:$G3237))</f>
        <v>KLINIK FT PAKET</v>
      </c>
      <c r="L1989" s="43" t="str">
        <f t="shared" si="3"/>
        <v>BARU</v>
      </c>
      <c r="M1989" s="144" t="s">
        <v>31</v>
      </c>
      <c r="N1989" s="145">
        <v>750000.0</v>
      </c>
      <c r="O1989" s="146">
        <v>0.0</v>
      </c>
      <c r="P1989" s="48">
        <f t="array" ref="P1989">IFNA(XLOOKUP(J1989,'⚙️ Pengaturan'!$E$2:$E3237,'⚙️ Pengaturan'!$F$2:$F3237),"")</f>
        <v>750000</v>
      </c>
      <c r="Q1989" s="147">
        <f t="shared" si="50"/>
        <v>0</v>
      </c>
      <c r="R1989" s="41" t="s">
        <v>32</v>
      </c>
      <c r="S1989" s="69" t="s">
        <v>33</v>
      </c>
      <c r="T1989" s="51" t="b">
        <v>1</v>
      </c>
      <c r="U1989" s="94"/>
    </row>
    <row r="1990" ht="30.0" customHeight="1">
      <c r="A1990" s="39"/>
      <c r="B1990" s="161">
        <v>4027.0</v>
      </c>
      <c r="C1990" s="41" t="s">
        <v>50</v>
      </c>
      <c r="D1990" s="86">
        <v>46184.0</v>
      </c>
      <c r="E1990" s="43" t="str">
        <f t="shared" si="47"/>
        <v>2026</v>
      </c>
      <c r="F1990" s="43" t="str">
        <f t="shared" si="48"/>
        <v>06 Jun</v>
      </c>
      <c r="G1990" s="45" t="s">
        <v>173</v>
      </c>
      <c r="H1990" s="45" t="s">
        <v>41</v>
      </c>
      <c r="I1990" s="45" t="s">
        <v>1489</v>
      </c>
      <c r="J1990" s="143" t="s">
        <v>28</v>
      </c>
      <c r="K1990" s="43" t="str">
        <f t="array" ref="K1990">IF(J1990="","", XLOOKUP(J1990,'⚙️ Pengaturan'!$E$2:$E3237,'⚙️ Pengaturan'!$G$2:$G3237))</f>
        <v>KLINIK FT TA</v>
      </c>
      <c r="L1990" s="43" t="str">
        <f t="shared" si="3"/>
        <v>BARU</v>
      </c>
      <c r="M1990" s="144" t="s">
        <v>31</v>
      </c>
      <c r="N1990" s="145">
        <v>250000.0</v>
      </c>
      <c r="O1990" s="146">
        <v>0.0</v>
      </c>
      <c r="P1990" s="48">
        <f t="array" ref="P1990">IFNA(XLOOKUP(J1990,'⚙️ Pengaturan'!$E$2:$E3237,'⚙️ Pengaturan'!$F$2:$F3237),"")</f>
        <v>250000</v>
      </c>
      <c r="Q1990" s="147">
        <f t="shared" si="50"/>
        <v>0</v>
      </c>
      <c r="R1990" s="41" t="s">
        <v>32</v>
      </c>
      <c r="S1990" s="69" t="s">
        <v>33</v>
      </c>
      <c r="T1990" s="51" t="b">
        <v>1</v>
      </c>
      <c r="U1990" s="94"/>
    </row>
    <row r="1991" ht="30.0" customHeight="1">
      <c r="A1991" s="39"/>
      <c r="B1991" s="40">
        <v>4028.0</v>
      </c>
      <c r="C1991" s="41" t="s">
        <v>50</v>
      </c>
      <c r="D1991" s="86">
        <v>46184.0</v>
      </c>
      <c r="E1991" s="43" t="str">
        <f t="shared" si="47"/>
        <v>2026</v>
      </c>
      <c r="F1991" s="43" t="str">
        <f t="shared" si="48"/>
        <v>06 Jun</v>
      </c>
      <c r="G1991" s="45" t="s">
        <v>173</v>
      </c>
      <c r="H1991" s="45" t="s">
        <v>41</v>
      </c>
      <c r="I1991" s="45" t="s">
        <v>1489</v>
      </c>
      <c r="J1991" s="143" t="s">
        <v>347</v>
      </c>
      <c r="K1991" s="43" t="str">
        <f t="array" ref="K1991">IF(J1991="","", XLOOKUP(J1991,'⚙️ Pengaturan'!$E$2:$E3237,'⚙️ Pengaturan'!$G$2:$G3237))</f>
        <v>KLINIK FT PAKET</v>
      </c>
      <c r="L1991" s="43" t="str">
        <f t="shared" si="3"/>
        <v>BARU</v>
      </c>
      <c r="M1991" s="144" t="s">
        <v>60</v>
      </c>
      <c r="N1991" s="145">
        <v>500000.0</v>
      </c>
      <c r="O1991" s="146">
        <v>0.0</v>
      </c>
      <c r="P1991" s="48">
        <f t="array" ref="P1991">IFNA(XLOOKUP(J1991,'⚙️ Pengaturan'!$E$2:$E3237,'⚙️ Pengaturan'!$F$2:$F3237),"")</f>
        <v>1300000</v>
      </c>
      <c r="Q1991" s="147">
        <f t="shared" si="50"/>
        <v>-800000</v>
      </c>
      <c r="R1991" s="41" t="s">
        <v>32</v>
      </c>
      <c r="S1991" s="69" t="s">
        <v>33</v>
      </c>
      <c r="T1991" s="51" t="b">
        <v>1</v>
      </c>
      <c r="U1991" s="94"/>
    </row>
    <row r="1992" ht="30.0" customHeight="1">
      <c r="A1992" s="39"/>
      <c r="B1992" s="161">
        <v>4029.0</v>
      </c>
      <c r="C1992" s="41" t="s">
        <v>50</v>
      </c>
      <c r="D1992" s="86">
        <v>46184.0</v>
      </c>
      <c r="E1992" s="43" t="str">
        <f t="shared" si="47"/>
        <v>2026</v>
      </c>
      <c r="F1992" s="43" t="str">
        <f t="shared" si="48"/>
        <v>06 Jun</v>
      </c>
      <c r="G1992" s="45" t="s">
        <v>190</v>
      </c>
      <c r="H1992" s="45" t="s">
        <v>41</v>
      </c>
      <c r="I1992" s="45" t="s">
        <v>1477</v>
      </c>
      <c r="J1992" s="143" t="s">
        <v>119</v>
      </c>
      <c r="K1992" s="43" t="str">
        <f t="array" ref="K1992">IF(J1992="","", XLOOKUP(J1992,'⚙️ Pengaturan'!$E$2:$E3237,'⚙️ Pengaturan'!$G$2:$G3237))</f>
        <v>KLINIK FT PAKET</v>
      </c>
      <c r="L1992" s="43" t="str">
        <f t="shared" si="3"/>
        <v>BARU</v>
      </c>
      <c r="M1992" s="144" t="s">
        <v>31</v>
      </c>
      <c r="N1992" s="145">
        <v>750000.0</v>
      </c>
      <c r="O1992" s="146">
        <v>0.0</v>
      </c>
      <c r="P1992" s="48">
        <f t="array" ref="P1992">IFNA(XLOOKUP(J1992,'⚙️ Pengaturan'!$E$2:$E3237,'⚙️ Pengaturan'!$F$2:$F3237),"")</f>
        <v>750000</v>
      </c>
      <c r="Q1992" s="147">
        <f t="shared" si="50"/>
        <v>0</v>
      </c>
      <c r="R1992" s="41" t="s">
        <v>37</v>
      </c>
      <c r="S1992" s="69" t="s">
        <v>1477</v>
      </c>
      <c r="T1992" s="51" t="b">
        <v>1</v>
      </c>
      <c r="U1992" s="94"/>
    </row>
    <row r="1993" ht="30.0" customHeight="1">
      <c r="A1993" s="39"/>
      <c r="B1993" s="40">
        <v>4030.0</v>
      </c>
      <c r="C1993" s="41" t="s">
        <v>50</v>
      </c>
      <c r="D1993" s="86">
        <v>46184.0</v>
      </c>
      <c r="E1993" s="43" t="str">
        <f t="shared" si="47"/>
        <v>2026</v>
      </c>
      <c r="F1993" s="43" t="str">
        <f t="shared" si="48"/>
        <v>06 Jun</v>
      </c>
      <c r="G1993" s="45" t="s">
        <v>190</v>
      </c>
      <c r="H1993" s="45" t="s">
        <v>76</v>
      </c>
      <c r="I1993" s="45" t="s">
        <v>1473</v>
      </c>
      <c r="J1993" s="143" t="s">
        <v>347</v>
      </c>
      <c r="K1993" s="43" t="str">
        <f t="array" ref="K1993">IF(J1993="","", XLOOKUP(J1993,'⚙️ Pengaturan'!$E$2:$E3237,'⚙️ Pengaturan'!$G$2:$G3237))</f>
        <v>KLINIK FT PAKET</v>
      </c>
      <c r="L1993" s="43" t="str">
        <f t="shared" si="3"/>
        <v>BARU</v>
      </c>
      <c r="M1993" s="144" t="s">
        <v>31</v>
      </c>
      <c r="N1993" s="145">
        <v>1300000.0</v>
      </c>
      <c r="O1993" s="146">
        <v>0.0</v>
      </c>
      <c r="P1993" s="48">
        <f t="array" ref="P1993">IFNA(XLOOKUP(J1993,'⚙️ Pengaturan'!$E$2:$E3237,'⚙️ Pengaturan'!$F$2:$F3237),"")</f>
        <v>1300000</v>
      </c>
      <c r="Q1993" s="147">
        <f t="shared" si="50"/>
        <v>0</v>
      </c>
      <c r="R1993" s="41" t="s">
        <v>32</v>
      </c>
      <c r="S1993" s="69" t="s">
        <v>33</v>
      </c>
      <c r="T1993" s="51" t="b">
        <v>1</v>
      </c>
      <c r="U1993" s="94"/>
    </row>
    <row r="1994" ht="30.0" customHeight="1">
      <c r="A1994" s="39"/>
      <c r="B1994" s="161">
        <v>4031.0</v>
      </c>
      <c r="C1994" s="41" t="s">
        <v>50</v>
      </c>
      <c r="D1994" s="86">
        <v>46184.0</v>
      </c>
      <c r="E1994" s="43" t="str">
        <f t="shared" si="47"/>
        <v>2026</v>
      </c>
      <c r="F1994" s="43" t="str">
        <f t="shared" si="48"/>
        <v>06 Jun</v>
      </c>
      <c r="G1994" s="45" t="s">
        <v>190</v>
      </c>
      <c r="H1994" s="45" t="s">
        <v>47</v>
      </c>
      <c r="I1994" s="45" t="s">
        <v>1490</v>
      </c>
      <c r="J1994" s="143" t="s">
        <v>28</v>
      </c>
      <c r="K1994" s="43" t="str">
        <f t="array" ref="K1994">IF(J1994="","", XLOOKUP(J1994,'⚙️ Pengaturan'!$E$2:$E3237,'⚙️ Pengaturan'!$G$2:$G3237))</f>
        <v>KLINIK FT TA</v>
      </c>
      <c r="L1994" s="43" t="str">
        <f t="shared" si="3"/>
        <v>BARU</v>
      </c>
      <c r="M1994" s="144" t="s">
        <v>31</v>
      </c>
      <c r="N1994" s="145">
        <v>250000.0</v>
      </c>
      <c r="O1994" s="146">
        <v>0.0</v>
      </c>
      <c r="P1994" s="48">
        <f t="array" ref="P1994">IFNA(XLOOKUP(J1994,'⚙️ Pengaturan'!$E$2:$E3237,'⚙️ Pengaturan'!$F$2:$F3237),"")</f>
        <v>250000</v>
      </c>
      <c r="Q1994" s="147">
        <f t="shared" si="50"/>
        <v>0</v>
      </c>
      <c r="R1994" s="41" t="s">
        <v>37</v>
      </c>
      <c r="S1994" s="69" t="s">
        <v>1490</v>
      </c>
      <c r="T1994" s="51" t="b">
        <v>1</v>
      </c>
      <c r="U1994" s="94"/>
    </row>
    <row r="1995" ht="30.0" customHeight="1">
      <c r="A1995" s="39"/>
      <c r="B1995" s="40">
        <v>4032.0</v>
      </c>
      <c r="C1995" s="41" t="s">
        <v>50</v>
      </c>
      <c r="D1995" s="86">
        <v>46184.0</v>
      </c>
      <c r="E1995" s="43" t="str">
        <f t="shared" si="47"/>
        <v>2026</v>
      </c>
      <c r="F1995" s="43" t="str">
        <f t="shared" si="48"/>
        <v>06 Jun</v>
      </c>
      <c r="G1995" s="45" t="s">
        <v>69</v>
      </c>
      <c r="H1995" s="45" t="s">
        <v>47</v>
      </c>
      <c r="I1995" s="45" t="s">
        <v>830</v>
      </c>
      <c r="J1995" s="143" t="s">
        <v>347</v>
      </c>
      <c r="K1995" s="43" t="str">
        <f t="array" ref="K1995">IF(J1995="","", XLOOKUP(J1995,'⚙️ Pengaturan'!$E$2:$E3237,'⚙️ Pengaturan'!$G$2:$G3237))</f>
        <v>KLINIK FT PAKET</v>
      </c>
      <c r="L1995" s="43" t="str">
        <f t="shared" si="3"/>
        <v>LANJUTAN</v>
      </c>
      <c r="M1995" s="144" t="s">
        <v>31</v>
      </c>
      <c r="N1995" s="145">
        <v>1040000.0</v>
      </c>
      <c r="O1995" s="146">
        <v>260000.0</v>
      </c>
      <c r="P1995" s="48">
        <f t="array" ref="P1995">IFNA(XLOOKUP(J1995,'⚙️ Pengaturan'!$E$2:$E3237,'⚙️ Pengaturan'!$F$2:$F3237),"")</f>
        <v>1300000</v>
      </c>
      <c r="Q1995" s="147">
        <f t="shared" si="50"/>
        <v>0</v>
      </c>
      <c r="R1995" s="41" t="s">
        <v>93</v>
      </c>
      <c r="S1995" s="69" t="s">
        <v>830</v>
      </c>
      <c r="T1995" s="51" t="b">
        <v>1</v>
      </c>
      <c r="U1995" s="94"/>
    </row>
    <row r="1996" ht="30.0" customHeight="1">
      <c r="A1996" s="39"/>
      <c r="B1996" s="161">
        <v>4033.0</v>
      </c>
      <c r="C1996" s="41" t="s">
        <v>39</v>
      </c>
      <c r="D1996" s="86">
        <v>46185.0</v>
      </c>
      <c r="E1996" s="43" t="str">
        <f t="shared" si="47"/>
        <v>2026</v>
      </c>
      <c r="F1996" s="43" t="str">
        <f t="shared" si="48"/>
        <v>06 Jun</v>
      </c>
      <c r="G1996" s="45" t="s">
        <v>206</v>
      </c>
      <c r="H1996" s="45" t="s">
        <v>149</v>
      </c>
      <c r="I1996" s="45" t="s">
        <v>1424</v>
      </c>
      <c r="J1996" s="143" t="s">
        <v>120</v>
      </c>
      <c r="K1996" s="43" t="str">
        <f t="array" ref="K1996">IF(J1996="","", XLOOKUP(J1996,'⚙️ Pengaturan'!$E$2:$E3237,'⚙️ Pengaturan'!$G$2:$G3237))</f>
        <v>KLINIK FT SESI</v>
      </c>
      <c r="L1996" s="43" t="str">
        <f t="shared" si="3"/>
        <v>LANJUTAN</v>
      </c>
      <c r="M1996" s="144" t="s">
        <v>31</v>
      </c>
      <c r="N1996" s="145">
        <v>180000.0</v>
      </c>
      <c r="O1996" s="146">
        <v>0.0</v>
      </c>
      <c r="P1996" s="48">
        <f t="array" ref="P1996">IFNA(XLOOKUP(J1996,'⚙️ Pengaturan'!$E$2:$E3237,'⚙️ Pengaturan'!$F$2:$F3237),"")</f>
        <v>180000</v>
      </c>
      <c r="Q1996" s="147">
        <f t="shared" si="50"/>
        <v>0</v>
      </c>
      <c r="R1996" s="41" t="s">
        <v>32</v>
      </c>
      <c r="S1996" s="69" t="s">
        <v>33</v>
      </c>
      <c r="T1996" s="51" t="b">
        <v>1</v>
      </c>
      <c r="U1996" s="94"/>
    </row>
    <row r="1997" ht="30.0" customHeight="1">
      <c r="A1997" s="39"/>
      <c r="B1997" s="40">
        <v>4034.0</v>
      </c>
      <c r="C1997" s="41" t="s">
        <v>39</v>
      </c>
      <c r="D1997" s="86">
        <v>46185.0</v>
      </c>
      <c r="E1997" s="43" t="str">
        <f t="shared" si="47"/>
        <v>2026</v>
      </c>
      <c r="F1997" s="43" t="str">
        <f t="shared" si="48"/>
        <v>06 Jun</v>
      </c>
      <c r="G1997" s="45" t="s">
        <v>161</v>
      </c>
      <c r="H1997" s="45" t="s">
        <v>96</v>
      </c>
      <c r="I1997" s="45" t="s">
        <v>1491</v>
      </c>
      <c r="J1997" s="143" t="s">
        <v>28</v>
      </c>
      <c r="K1997" s="43" t="str">
        <f t="array" ref="K1997">IF(J1997="","", XLOOKUP(J1997,'⚙️ Pengaturan'!$E$2:$E3237,'⚙️ Pengaturan'!$G$2:$G3237))</f>
        <v>KLINIK FT TA</v>
      </c>
      <c r="L1997" s="43" t="str">
        <f t="shared" si="3"/>
        <v>BARU</v>
      </c>
      <c r="M1997" s="144" t="s">
        <v>31</v>
      </c>
      <c r="N1997" s="145">
        <v>250000.0</v>
      </c>
      <c r="O1997" s="146">
        <v>0.0</v>
      </c>
      <c r="P1997" s="48">
        <f t="array" ref="P1997">IFNA(XLOOKUP(J1997,'⚙️ Pengaturan'!$E$2:$E3237,'⚙️ Pengaturan'!$F$2:$F3237),"")</f>
        <v>250000</v>
      </c>
      <c r="Q1997" s="147">
        <f t="shared" si="50"/>
        <v>0</v>
      </c>
      <c r="R1997" s="41" t="s">
        <v>37</v>
      </c>
      <c r="S1997" s="69" t="s">
        <v>1491</v>
      </c>
      <c r="T1997" s="51" t="b">
        <v>1</v>
      </c>
      <c r="U1997" s="94"/>
    </row>
    <row r="1998" ht="30.0" customHeight="1">
      <c r="A1998" s="39"/>
      <c r="B1998" s="161">
        <v>4035.0</v>
      </c>
      <c r="C1998" s="41" t="s">
        <v>39</v>
      </c>
      <c r="D1998" s="86">
        <v>46185.0</v>
      </c>
      <c r="E1998" s="43" t="str">
        <f t="shared" si="47"/>
        <v>2026</v>
      </c>
      <c r="F1998" s="43" t="str">
        <f t="shared" si="48"/>
        <v>06 Jun</v>
      </c>
      <c r="G1998" s="45" t="s">
        <v>161</v>
      </c>
      <c r="H1998" s="45" t="s">
        <v>149</v>
      </c>
      <c r="I1998" s="45" t="s">
        <v>1284</v>
      </c>
      <c r="J1998" s="143" t="s">
        <v>119</v>
      </c>
      <c r="K1998" s="43" t="str">
        <f t="array" ref="K1998">IF(J1998="","", XLOOKUP(J1998,'⚙️ Pengaturan'!$E$2:$E3237,'⚙️ Pengaturan'!$G$2:$G3237))</f>
        <v>KLINIK FT PAKET</v>
      </c>
      <c r="L1998" s="43" t="str">
        <f t="shared" si="3"/>
        <v>LANJUTAN</v>
      </c>
      <c r="M1998" s="144" t="s">
        <v>31</v>
      </c>
      <c r="N1998" s="145">
        <v>750000.0</v>
      </c>
      <c r="O1998" s="146">
        <v>0.0</v>
      </c>
      <c r="P1998" s="48">
        <f t="array" ref="P1998">IFNA(XLOOKUP(J1998,'⚙️ Pengaturan'!$E$2:$E3237,'⚙️ Pengaturan'!$F$2:$F3237),"")</f>
        <v>750000</v>
      </c>
      <c r="Q1998" s="147">
        <f t="shared" si="50"/>
        <v>0</v>
      </c>
      <c r="R1998" s="41" t="s">
        <v>37</v>
      </c>
      <c r="S1998" s="69" t="s">
        <v>1284</v>
      </c>
      <c r="T1998" s="51" t="b">
        <v>1</v>
      </c>
      <c r="U1998" s="94"/>
    </row>
    <row r="1999" ht="30.0" customHeight="1">
      <c r="A1999" s="39"/>
      <c r="B1999" s="40">
        <v>4036.0</v>
      </c>
      <c r="C1999" s="41" t="s">
        <v>39</v>
      </c>
      <c r="D1999" s="86">
        <v>46185.0</v>
      </c>
      <c r="E1999" s="43" t="str">
        <f t="shared" si="47"/>
        <v>2026</v>
      </c>
      <c r="F1999" s="43" t="str">
        <f t="shared" si="48"/>
        <v>06 Jun</v>
      </c>
      <c r="G1999" s="45" t="s">
        <v>161</v>
      </c>
      <c r="H1999" s="45" t="s">
        <v>96</v>
      </c>
      <c r="I1999" s="45" t="s">
        <v>502</v>
      </c>
      <c r="J1999" s="143" t="s">
        <v>120</v>
      </c>
      <c r="K1999" s="43" t="str">
        <f t="array" ref="K1999">IF(J1999="","", XLOOKUP(J1999,'⚙️ Pengaturan'!$E$2:$E3237,'⚙️ Pengaturan'!$G$2:$G3237))</f>
        <v>KLINIK FT SESI</v>
      </c>
      <c r="L1999" s="43" t="str">
        <f t="shared" si="3"/>
        <v>BARU</v>
      </c>
      <c r="M1999" s="144" t="s">
        <v>31</v>
      </c>
      <c r="N1999" s="145">
        <v>180000.0</v>
      </c>
      <c r="O1999" s="146">
        <v>0.0</v>
      </c>
      <c r="P1999" s="48">
        <f t="array" ref="P1999">IFNA(XLOOKUP(J1999,'⚙️ Pengaturan'!$E$2:$E3237,'⚙️ Pengaturan'!$F$2:$F3237),"")</f>
        <v>180000</v>
      </c>
      <c r="Q1999" s="147">
        <f t="shared" si="50"/>
        <v>0</v>
      </c>
      <c r="R1999" s="41" t="s">
        <v>118</v>
      </c>
      <c r="S1999" s="69" t="s">
        <v>502</v>
      </c>
      <c r="T1999" s="51" t="b">
        <v>1</v>
      </c>
      <c r="U1999" s="94"/>
    </row>
    <row r="2000" ht="30.0" customHeight="1">
      <c r="A2000" s="39"/>
      <c r="B2000" s="161">
        <v>4037.0</v>
      </c>
      <c r="C2000" s="41" t="s">
        <v>50</v>
      </c>
      <c r="D2000" s="86">
        <v>46185.0</v>
      </c>
      <c r="E2000" s="43" t="str">
        <f t="shared" si="47"/>
        <v>2026</v>
      </c>
      <c r="F2000" s="43" t="str">
        <f t="shared" si="48"/>
        <v>06 Jun</v>
      </c>
      <c r="G2000" s="45" t="s">
        <v>173</v>
      </c>
      <c r="H2000" s="45" t="s">
        <v>76</v>
      </c>
      <c r="I2000" s="45" t="s">
        <v>1487</v>
      </c>
      <c r="J2000" s="143" t="s">
        <v>120</v>
      </c>
      <c r="K2000" s="43" t="str">
        <f t="array" ref="K2000">IF(J2000="","", XLOOKUP(J2000,'⚙️ Pengaturan'!$E$2:$E3237,'⚙️ Pengaturan'!$G$2:$G3237))</f>
        <v>KLINIK FT SESI</v>
      </c>
      <c r="L2000" s="43" t="str">
        <f t="shared" si="3"/>
        <v>BARU</v>
      </c>
      <c r="M2000" s="144" t="s">
        <v>31</v>
      </c>
      <c r="N2000" s="145">
        <v>180000.0</v>
      </c>
      <c r="O2000" s="146">
        <v>0.0</v>
      </c>
      <c r="P2000" s="48">
        <f t="array" ref="P2000">IFNA(XLOOKUP(J2000,'⚙️ Pengaturan'!$E$2:$E3237,'⚙️ Pengaturan'!$F$2:$F3237),"")</f>
        <v>180000</v>
      </c>
      <c r="Q2000" s="147">
        <f t="shared" si="50"/>
        <v>0</v>
      </c>
      <c r="R2000" s="41" t="s">
        <v>37</v>
      </c>
      <c r="S2000" s="69" t="s">
        <v>1487</v>
      </c>
      <c r="T2000" s="51" t="b">
        <v>1</v>
      </c>
      <c r="U2000" s="94"/>
    </row>
    <row r="2001" ht="30.0" customHeight="1">
      <c r="A2001" s="39"/>
      <c r="B2001" s="161">
        <v>4039.0</v>
      </c>
      <c r="C2001" s="41" t="s">
        <v>50</v>
      </c>
      <c r="D2001" s="86">
        <v>46185.0</v>
      </c>
      <c r="E2001" s="43" t="str">
        <f t="shared" si="47"/>
        <v>2026</v>
      </c>
      <c r="F2001" s="43" t="str">
        <f t="shared" si="48"/>
        <v>06 Jun</v>
      </c>
      <c r="G2001" s="45" t="s">
        <v>190</v>
      </c>
      <c r="H2001" s="45" t="s">
        <v>76</v>
      </c>
      <c r="I2001" s="45" t="s">
        <v>1476</v>
      </c>
      <c r="J2001" s="143" t="s">
        <v>120</v>
      </c>
      <c r="K2001" s="43" t="str">
        <f t="array" ref="K2001">IF(J2001="","", XLOOKUP(J2001,'⚙️ Pengaturan'!$E$2:$E3237,'⚙️ Pengaturan'!$G$2:$G3237))</f>
        <v>KLINIK FT SESI</v>
      </c>
      <c r="L2001" s="43" t="str">
        <f t="shared" si="3"/>
        <v>BARU</v>
      </c>
      <c r="M2001" s="144" t="s">
        <v>31</v>
      </c>
      <c r="N2001" s="145">
        <v>180000.0</v>
      </c>
      <c r="O2001" s="146">
        <v>0.0</v>
      </c>
      <c r="P2001" s="48">
        <f t="array" ref="P2001">IFNA(XLOOKUP(J2001,'⚙️ Pengaturan'!$E$2:$E3237,'⚙️ Pengaturan'!$F$2:$F3237),"")</f>
        <v>180000</v>
      </c>
      <c r="Q2001" s="147">
        <f t="shared" si="50"/>
        <v>0</v>
      </c>
      <c r="R2001" s="41" t="s">
        <v>32</v>
      </c>
      <c r="S2001" s="69" t="s">
        <v>33</v>
      </c>
      <c r="T2001" s="51" t="b">
        <v>1</v>
      </c>
      <c r="U2001" s="94"/>
    </row>
    <row r="2002" ht="30.0" customHeight="1">
      <c r="A2002" s="39"/>
      <c r="B2002" s="40">
        <v>4040.0</v>
      </c>
      <c r="C2002" s="41" t="s">
        <v>50</v>
      </c>
      <c r="D2002" s="154">
        <v>46186.0</v>
      </c>
      <c r="E2002" s="43" t="str">
        <f t="shared" si="47"/>
        <v>2026</v>
      </c>
      <c r="F2002" s="43" t="str">
        <f t="shared" si="48"/>
        <v>06 Jun</v>
      </c>
      <c r="G2002" s="45" t="s">
        <v>195</v>
      </c>
      <c r="H2002" s="45" t="s">
        <v>150</v>
      </c>
      <c r="I2002" s="45" t="s">
        <v>1476</v>
      </c>
      <c r="J2002" s="143" t="s">
        <v>120</v>
      </c>
      <c r="K2002" s="43" t="str">
        <f t="array" ref="K2002">IF(J2002="","", XLOOKUP(J2002,'⚙️ Pengaturan'!$E$2:$E3237,'⚙️ Pengaturan'!$G$2:$G3237))</f>
        <v>KLINIK FT SESI</v>
      </c>
      <c r="L2002" s="43" t="str">
        <f t="shared" si="3"/>
        <v>LANJUTAN</v>
      </c>
      <c r="M2002" s="144" t="s">
        <v>31</v>
      </c>
      <c r="N2002" s="145">
        <v>180000.0</v>
      </c>
      <c r="O2002" s="146">
        <v>0.0</v>
      </c>
      <c r="P2002" s="48">
        <f t="array" ref="P2002">IFNA(XLOOKUP(J2002,'⚙️ Pengaturan'!$E$2:$E3237,'⚙️ Pengaturan'!$F$2:$F3237),"")</f>
        <v>180000</v>
      </c>
      <c r="Q2002" s="147">
        <f t="shared" si="50"/>
        <v>0</v>
      </c>
      <c r="R2002" s="41" t="s">
        <v>32</v>
      </c>
      <c r="S2002" s="69" t="s">
        <v>33</v>
      </c>
      <c r="T2002" s="51" t="b">
        <v>1</v>
      </c>
      <c r="U2002" s="94"/>
    </row>
    <row r="2003" ht="30.0" customHeight="1">
      <c r="A2003" s="39"/>
      <c r="B2003" s="161">
        <v>4041.0</v>
      </c>
      <c r="C2003" s="41" t="s">
        <v>50</v>
      </c>
      <c r="D2003" s="154">
        <v>46186.0</v>
      </c>
      <c r="E2003" s="43" t="str">
        <f t="shared" si="47"/>
        <v>2026</v>
      </c>
      <c r="F2003" s="43" t="str">
        <f t="shared" si="48"/>
        <v>06 Jun</v>
      </c>
      <c r="G2003" s="45" t="s">
        <v>206</v>
      </c>
      <c r="H2003" s="45" t="s">
        <v>150</v>
      </c>
      <c r="I2003" s="45" t="s">
        <v>1486</v>
      </c>
      <c r="J2003" s="143" t="s">
        <v>120</v>
      </c>
      <c r="K2003" s="43" t="str">
        <f t="array" ref="K2003">IF(J2003="","", XLOOKUP(J2003,'⚙️ Pengaturan'!$E$2:$E3237,'⚙️ Pengaturan'!$G$2:$G3237))</f>
        <v>KLINIK FT SESI</v>
      </c>
      <c r="L2003" s="43" t="str">
        <f t="shared" si="3"/>
        <v>BARU</v>
      </c>
      <c r="M2003" s="144" t="s">
        <v>31</v>
      </c>
      <c r="N2003" s="145">
        <v>180000.0</v>
      </c>
      <c r="O2003" s="162">
        <v>0.0</v>
      </c>
      <c r="P2003" s="48">
        <f t="array" ref="P2003">IFNA(XLOOKUP(J2003,'⚙️ Pengaturan'!$E$2:$E3237,'⚙️ Pengaturan'!$F$2:$F3237),"")</f>
        <v>180000</v>
      </c>
      <c r="Q2003" s="147">
        <f t="shared" si="50"/>
        <v>0</v>
      </c>
      <c r="R2003" s="41" t="s">
        <v>32</v>
      </c>
      <c r="S2003" s="69" t="s">
        <v>33</v>
      </c>
      <c r="T2003" s="51" t="b">
        <v>1</v>
      </c>
      <c r="U2003" s="94"/>
    </row>
    <row r="2004" ht="30.0" customHeight="1">
      <c r="A2004" s="39"/>
      <c r="B2004" s="40">
        <v>4042.0</v>
      </c>
      <c r="C2004" s="41" t="s">
        <v>50</v>
      </c>
      <c r="D2004" s="154">
        <v>46186.0</v>
      </c>
      <c r="E2004" s="43" t="str">
        <f t="shared" si="47"/>
        <v>2026</v>
      </c>
      <c r="F2004" s="43" t="str">
        <f t="shared" si="48"/>
        <v>06 Jun</v>
      </c>
      <c r="G2004" s="45" t="s">
        <v>206</v>
      </c>
      <c r="H2004" s="45" t="s">
        <v>162</v>
      </c>
      <c r="I2004" s="45" t="s">
        <v>1340</v>
      </c>
      <c r="J2004" s="143" t="s">
        <v>120</v>
      </c>
      <c r="K2004" s="43" t="str">
        <f t="array" ref="K2004">IF(J2004="","", XLOOKUP(J2004,'⚙️ Pengaturan'!$E$2:$E3237,'⚙️ Pengaturan'!$G$2:$G3237))</f>
        <v>KLINIK FT SESI</v>
      </c>
      <c r="L2004" s="43" t="str">
        <f t="shared" si="3"/>
        <v>LANJUTAN</v>
      </c>
      <c r="M2004" s="144" t="s">
        <v>31</v>
      </c>
      <c r="N2004" s="145">
        <v>180000.0</v>
      </c>
      <c r="O2004" s="162">
        <v>0.0</v>
      </c>
      <c r="P2004" s="48">
        <f t="array" ref="P2004">IFNA(XLOOKUP(J2004,'⚙️ Pengaturan'!$E$2:$E3237,'⚙️ Pengaturan'!$F$2:$F3237),"")</f>
        <v>180000</v>
      </c>
      <c r="Q2004" s="147">
        <f t="shared" si="50"/>
        <v>0</v>
      </c>
      <c r="R2004" s="41" t="s">
        <v>37</v>
      </c>
      <c r="S2004" s="69" t="s">
        <v>1340</v>
      </c>
      <c r="T2004" s="51" t="b">
        <v>1</v>
      </c>
      <c r="U2004" s="94"/>
    </row>
    <row r="2005" ht="30.0" customHeight="1">
      <c r="A2005" s="39"/>
      <c r="B2005" s="161">
        <v>4043.0</v>
      </c>
      <c r="C2005" s="41" t="s">
        <v>50</v>
      </c>
      <c r="D2005" s="154">
        <v>46186.0</v>
      </c>
      <c r="E2005" s="43" t="str">
        <f t="shared" si="47"/>
        <v>2026</v>
      </c>
      <c r="F2005" s="43" t="str">
        <f t="shared" si="48"/>
        <v>06 Jun</v>
      </c>
      <c r="G2005" s="45" t="s">
        <v>69</v>
      </c>
      <c r="H2005" s="45" t="s">
        <v>162</v>
      </c>
      <c r="I2005" s="45" t="s">
        <v>1485</v>
      </c>
      <c r="J2005" s="143" t="s">
        <v>119</v>
      </c>
      <c r="K2005" s="43" t="str">
        <f t="array" ref="K2005">IF(J2005="","", XLOOKUP(J2005,'⚙️ Pengaturan'!$E$2:$E3237,'⚙️ Pengaturan'!$G$2:$G3237))</f>
        <v>KLINIK FT PAKET</v>
      </c>
      <c r="L2005" s="43" t="str">
        <f t="shared" si="3"/>
        <v>LANJUTAN</v>
      </c>
      <c r="M2005" s="144" t="s">
        <v>164</v>
      </c>
      <c r="N2005" s="145">
        <v>450000.0</v>
      </c>
      <c r="O2005" s="146">
        <v>300000.0</v>
      </c>
      <c r="P2005" s="48">
        <f t="array" ref="P2005">IFNA(XLOOKUP(J2005,'⚙️ Pengaturan'!$E$2:$E3237,'⚙️ Pengaturan'!$F$2:$F3237),"")</f>
        <v>750000</v>
      </c>
      <c r="Q2005" s="147">
        <f t="shared" si="50"/>
        <v>0</v>
      </c>
      <c r="R2005" s="41" t="s">
        <v>37</v>
      </c>
      <c r="S2005" s="69" t="s">
        <v>1485</v>
      </c>
      <c r="T2005" s="51" t="b">
        <v>1</v>
      </c>
      <c r="U2005" s="94"/>
    </row>
    <row r="2006" ht="30.0" customHeight="1">
      <c r="A2006" s="39"/>
      <c r="B2006" s="40">
        <v>4044.0</v>
      </c>
      <c r="C2006" s="41" t="s">
        <v>50</v>
      </c>
      <c r="D2006" s="154">
        <v>46186.0</v>
      </c>
      <c r="E2006" s="43" t="str">
        <f t="shared" si="47"/>
        <v>2026</v>
      </c>
      <c r="F2006" s="43" t="str">
        <f t="shared" si="48"/>
        <v>06 Jun</v>
      </c>
      <c r="G2006" s="45" t="s">
        <v>35</v>
      </c>
      <c r="H2006" s="45" t="s">
        <v>26</v>
      </c>
      <c r="I2006" s="45" t="s">
        <v>1399</v>
      </c>
      <c r="J2006" s="143" t="s">
        <v>120</v>
      </c>
      <c r="K2006" s="43" t="str">
        <f t="array" ref="K2006">IF(J2006="","", XLOOKUP(J2006,'⚙️ Pengaturan'!$E$2:$E3237,'⚙️ Pengaturan'!$G$2:$G3237))</f>
        <v>KLINIK FT SESI</v>
      </c>
      <c r="L2006" s="43" t="str">
        <f t="shared" si="3"/>
        <v>LANJUTAN</v>
      </c>
      <c r="M2006" s="144" t="s">
        <v>31</v>
      </c>
      <c r="N2006" s="145">
        <v>180000.0</v>
      </c>
      <c r="O2006" s="146">
        <v>0.0</v>
      </c>
      <c r="P2006" s="48">
        <f t="array" ref="P2006">IFNA(XLOOKUP(J2006,'⚙️ Pengaturan'!$E$2:$E3237,'⚙️ Pengaturan'!$F$2:$F3237),"")</f>
        <v>180000</v>
      </c>
      <c r="Q2006" s="147">
        <f t="shared" si="50"/>
        <v>0</v>
      </c>
      <c r="R2006" s="41" t="s">
        <v>32</v>
      </c>
      <c r="S2006" s="69" t="s">
        <v>33</v>
      </c>
      <c r="T2006" s="51" t="b">
        <v>1</v>
      </c>
      <c r="U2006" s="94"/>
    </row>
    <row r="2007" ht="30.0" customHeight="1">
      <c r="A2007" s="39"/>
      <c r="B2007" s="161">
        <v>4045.0</v>
      </c>
      <c r="C2007" s="41" t="s">
        <v>50</v>
      </c>
      <c r="D2007" s="154">
        <v>46186.0</v>
      </c>
      <c r="E2007" s="43" t="str">
        <f t="shared" si="47"/>
        <v>2026</v>
      </c>
      <c r="F2007" s="43" t="str">
        <f t="shared" si="48"/>
        <v>06 Jun</v>
      </c>
      <c r="G2007" s="45" t="s">
        <v>35</v>
      </c>
      <c r="H2007" s="45" t="s">
        <v>166</v>
      </c>
      <c r="I2007" s="45" t="s">
        <v>1492</v>
      </c>
      <c r="J2007" s="143" t="s">
        <v>28</v>
      </c>
      <c r="K2007" s="43" t="str">
        <f t="array" ref="K2007">IF(J2007="","", XLOOKUP(J2007,'⚙️ Pengaturan'!$E$2:$E3237,'⚙️ Pengaturan'!$G$2:$G3237))</f>
        <v>KLINIK FT TA</v>
      </c>
      <c r="L2007" s="43" t="str">
        <f t="shared" si="3"/>
        <v>BARU</v>
      </c>
      <c r="M2007" s="144" t="s">
        <v>31</v>
      </c>
      <c r="N2007" s="145">
        <v>200000.0</v>
      </c>
      <c r="O2007" s="146">
        <v>50000.0</v>
      </c>
      <c r="P2007" s="119">
        <v>250000.0</v>
      </c>
      <c r="Q2007" s="147">
        <f t="shared" si="50"/>
        <v>0</v>
      </c>
      <c r="R2007" s="41" t="s">
        <v>32</v>
      </c>
      <c r="S2007" s="69" t="s">
        <v>33</v>
      </c>
      <c r="T2007" s="51" t="b">
        <v>1</v>
      </c>
      <c r="U2007" s="94"/>
    </row>
    <row r="2008" ht="30.0" customHeight="1">
      <c r="A2008" s="39"/>
      <c r="B2008" s="40">
        <v>4046.0</v>
      </c>
      <c r="C2008" s="41" t="s">
        <v>50</v>
      </c>
      <c r="D2008" s="154">
        <v>46186.0</v>
      </c>
      <c r="E2008" s="43" t="str">
        <f t="shared" si="47"/>
        <v>2026</v>
      </c>
      <c r="F2008" s="43" t="str">
        <f t="shared" si="48"/>
        <v>06 Jun</v>
      </c>
      <c r="G2008" s="45" t="s">
        <v>35</v>
      </c>
      <c r="H2008" s="45" t="s">
        <v>150</v>
      </c>
      <c r="I2008" s="45" t="s">
        <v>1488</v>
      </c>
      <c r="J2008" s="143" t="s">
        <v>119</v>
      </c>
      <c r="K2008" s="43" t="str">
        <f t="array" ref="K2008">IF(J2008="","", XLOOKUP(J2008,'⚙️ Pengaturan'!$E$2:$E3237,'⚙️ Pengaturan'!$G$2:$G3237))</f>
        <v>KLINIK FT PAKET</v>
      </c>
      <c r="L2008" s="43" t="str">
        <f t="shared" si="3"/>
        <v>BARU</v>
      </c>
      <c r="M2008" s="144" t="s">
        <v>31</v>
      </c>
      <c r="N2008" s="145">
        <v>750000.0</v>
      </c>
      <c r="O2008" s="146">
        <v>0.0</v>
      </c>
      <c r="P2008" s="48">
        <f t="array" ref="P2008">IFNA(XLOOKUP(J2008,'⚙️ Pengaturan'!$E$2:$E3237,'⚙️ Pengaturan'!$F$2:$F3237),"")</f>
        <v>750000</v>
      </c>
      <c r="Q2008" s="147">
        <f t="shared" si="50"/>
        <v>0</v>
      </c>
      <c r="R2008" s="41" t="s">
        <v>37</v>
      </c>
      <c r="S2008" s="69" t="s">
        <v>1488</v>
      </c>
      <c r="T2008" s="51" t="b">
        <v>1</v>
      </c>
      <c r="U2008" s="94"/>
    </row>
    <row r="2009" ht="30.0" customHeight="1">
      <c r="A2009" s="39"/>
      <c r="B2009" s="161">
        <v>4047.0</v>
      </c>
      <c r="C2009" s="41" t="s">
        <v>39</v>
      </c>
      <c r="D2009" s="86">
        <v>46186.0</v>
      </c>
      <c r="E2009" s="43" t="str">
        <f t="shared" si="47"/>
        <v>2026</v>
      </c>
      <c r="F2009" s="43" t="str">
        <f t="shared" si="48"/>
        <v>06 Jun</v>
      </c>
      <c r="G2009" s="45" t="s">
        <v>40</v>
      </c>
      <c r="H2009" s="45" t="s">
        <v>41</v>
      </c>
      <c r="I2009" s="45" t="s">
        <v>1453</v>
      </c>
      <c r="J2009" s="143" t="s">
        <v>120</v>
      </c>
      <c r="K2009" s="43" t="str">
        <f t="array" ref="K2009">IF(J2009="","", XLOOKUP(J2009,'⚙️ Pengaturan'!$E$2:$E3237,'⚙️ Pengaturan'!$G$2:$G3237))</f>
        <v>KLINIK FT SESI</v>
      </c>
      <c r="L2009" s="43" t="str">
        <f t="shared" si="3"/>
        <v>BARU</v>
      </c>
      <c r="M2009" s="144" t="s">
        <v>31</v>
      </c>
      <c r="N2009" s="145">
        <v>180000.0</v>
      </c>
      <c r="O2009" s="146">
        <v>0.0</v>
      </c>
      <c r="P2009" s="48">
        <f t="array" ref="P2009">IFNA(XLOOKUP(J2009,'⚙️ Pengaturan'!$E$2:$E3237,'⚙️ Pengaturan'!$F$2:$F3237),"")</f>
        <v>180000</v>
      </c>
      <c r="Q2009" s="147">
        <f t="shared" si="50"/>
        <v>0</v>
      </c>
      <c r="R2009" s="41" t="s">
        <v>37</v>
      </c>
      <c r="S2009" s="69" t="s">
        <v>1453</v>
      </c>
      <c r="T2009" s="51" t="b">
        <v>1</v>
      </c>
      <c r="U2009" s="94"/>
    </row>
    <row r="2010" ht="30.0" customHeight="1">
      <c r="A2010" s="39"/>
      <c r="B2010" s="40">
        <v>4048.0</v>
      </c>
      <c r="C2010" s="41" t="s">
        <v>39</v>
      </c>
      <c r="D2010" s="86">
        <v>46186.0</v>
      </c>
      <c r="E2010" s="43" t="str">
        <f t="shared" si="47"/>
        <v>2026</v>
      </c>
      <c r="F2010" s="43" t="str">
        <f t="shared" si="48"/>
        <v>06 Jun</v>
      </c>
      <c r="G2010" s="45" t="s">
        <v>40</v>
      </c>
      <c r="H2010" s="45" t="s">
        <v>47</v>
      </c>
      <c r="I2010" s="45" t="s">
        <v>1449</v>
      </c>
      <c r="J2010" s="143" t="s">
        <v>120</v>
      </c>
      <c r="K2010" s="43" t="str">
        <f t="array" ref="K2010">IF(J2010="","", XLOOKUP(J2010,'⚙️ Pengaturan'!$E$2:$E3237,'⚙️ Pengaturan'!$G$2:$G3237))</f>
        <v>KLINIK FT SESI</v>
      </c>
      <c r="L2010" s="43" t="str">
        <f t="shared" si="3"/>
        <v>LANJUTAN</v>
      </c>
      <c r="M2010" s="144" t="s">
        <v>31</v>
      </c>
      <c r="N2010" s="145">
        <v>180000.0</v>
      </c>
      <c r="O2010" s="146">
        <v>0.0</v>
      </c>
      <c r="P2010" s="48">
        <f t="array" ref="P2010">IFNA(XLOOKUP(J2010,'⚙️ Pengaturan'!$E$2:$E3237,'⚙️ Pengaturan'!$F$2:$F3237),"")</f>
        <v>180000</v>
      </c>
      <c r="Q2010" s="147">
        <f t="shared" si="50"/>
        <v>0</v>
      </c>
      <c r="R2010" s="41" t="s">
        <v>32</v>
      </c>
      <c r="S2010" s="69" t="s">
        <v>33</v>
      </c>
      <c r="T2010" s="51" t="b">
        <v>1</v>
      </c>
      <c r="U2010" s="94"/>
    </row>
    <row r="2011" ht="30.0" customHeight="1">
      <c r="A2011" s="39"/>
      <c r="B2011" s="161">
        <v>4049.0</v>
      </c>
      <c r="C2011" s="41" t="s">
        <v>39</v>
      </c>
      <c r="D2011" s="86">
        <v>46186.0</v>
      </c>
      <c r="E2011" s="43" t="str">
        <f t="shared" si="47"/>
        <v>2026</v>
      </c>
      <c r="F2011" s="43" t="str">
        <f t="shared" si="48"/>
        <v>06 Jun</v>
      </c>
      <c r="G2011" s="45" t="s">
        <v>43</v>
      </c>
      <c r="H2011" s="45" t="s">
        <v>41</v>
      </c>
      <c r="I2011" s="45" t="s">
        <v>1493</v>
      </c>
      <c r="J2011" s="143" t="s">
        <v>28</v>
      </c>
      <c r="K2011" s="43" t="str">
        <f t="array" ref="K2011">IF(J2011="","", XLOOKUP(J2011,'⚙️ Pengaturan'!$E$2:$E3237,'⚙️ Pengaturan'!$G$2:$G3237))</f>
        <v>KLINIK FT TA</v>
      </c>
      <c r="L2011" s="43" t="str">
        <f t="shared" si="3"/>
        <v>BARU</v>
      </c>
      <c r="M2011" s="144" t="s">
        <v>31</v>
      </c>
      <c r="N2011" s="145">
        <v>250000.0</v>
      </c>
      <c r="O2011" s="146">
        <v>0.0</v>
      </c>
      <c r="P2011" s="48">
        <f t="array" ref="P2011">IFNA(XLOOKUP(J2011,'⚙️ Pengaturan'!$E$2:$E3237,'⚙️ Pengaturan'!$F$2:$F3237),"")</f>
        <v>250000</v>
      </c>
      <c r="Q2011" s="147">
        <f t="shared" si="50"/>
        <v>0</v>
      </c>
      <c r="R2011" s="41" t="s">
        <v>32</v>
      </c>
      <c r="S2011" s="69" t="s">
        <v>33</v>
      </c>
      <c r="T2011" s="51" t="b">
        <v>1</v>
      </c>
      <c r="U2011" s="94"/>
    </row>
    <row r="2012" ht="30.0" customHeight="1">
      <c r="A2012" s="39"/>
      <c r="B2012" s="40">
        <v>4050.0</v>
      </c>
      <c r="C2012" s="41" t="s">
        <v>39</v>
      </c>
      <c r="D2012" s="86">
        <v>46186.0</v>
      </c>
      <c r="E2012" s="43" t="str">
        <f t="shared" si="47"/>
        <v>2026</v>
      </c>
      <c r="F2012" s="43" t="str">
        <f t="shared" si="48"/>
        <v>06 Jun</v>
      </c>
      <c r="G2012" s="45" t="s">
        <v>43</v>
      </c>
      <c r="H2012" s="45" t="s">
        <v>47</v>
      </c>
      <c r="I2012" s="45" t="s">
        <v>1286</v>
      </c>
      <c r="J2012" s="143" t="s">
        <v>119</v>
      </c>
      <c r="K2012" s="43" t="str">
        <f t="array" ref="K2012">IF(J2012="","", XLOOKUP(J2012,'⚙️ Pengaturan'!$E$2:$E3237,'⚙️ Pengaturan'!$G$2:$G3237))</f>
        <v>KLINIK FT PAKET</v>
      </c>
      <c r="L2012" s="43" t="str">
        <f t="shared" si="3"/>
        <v>LANJUTAN</v>
      </c>
      <c r="M2012" s="144" t="s">
        <v>31</v>
      </c>
      <c r="N2012" s="145">
        <v>600000.0</v>
      </c>
      <c r="O2012" s="146">
        <v>150000.0</v>
      </c>
      <c r="P2012" s="48">
        <f t="array" ref="P2012">IFNA(XLOOKUP(J2012,'⚙️ Pengaturan'!$E$2:$E3237,'⚙️ Pengaturan'!$F$2:$F3237),"")</f>
        <v>750000</v>
      </c>
      <c r="Q2012" s="147">
        <f t="shared" si="50"/>
        <v>0</v>
      </c>
      <c r="R2012" s="41" t="s">
        <v>37</v>
      </c>
      <c r="S2012" s="69" t="s">
        <v>1286</v>
      </c>
      <c r="T2012" s="51" t="b">
        <v>1</v>
      </c>
      <c r="U2012" s="94" t="s">
        <v>1494</v>
      </c>
    </row>
    <row r="2013" ht="30.0" customHeight="1">
      <c r="A2013" s="39"/>
      <c r="B2013" s="161">
        <v>4051.0</v>
      </c>
      <c r="C2013" s="41" t="s">
        <v>39</v>
      </c>
      <c r="D2013" s="86">
        <v>46186.0</v>
      </c>
      <c r="E2013" s="43" t="str">
        <f t="shared" si="47"/>
        <v>2026</v>
      </c>
      <c r="F2013" s="43" t="str">
        <f t="shared" si="48"/>
        <v>06 Jun</v>
      </c>
      <c r="G2013" s="45" t="s">
        <v>173</v>
      </c>
      <c r="H2013" s="45" t="s">
        <v>41</v>
      </c>
      <c r="I2013" s="45" t="s">
        <v>1474</v>
      </c>
      <c r="J2013" s="143" t="s">
        <v>120</v>
      </c>
      <c r="K2013" s="43" t="str">
        <f t="array" ref="K2013">IF(J2013="","", XLOOKUP(J2013,'⚙️ Pengaturan'!$E$2:$E3237,'⚙️ Pengaturan'!$G$2:$G3237))</f>
        <v>KLINIK FT SESI</v>
      </c>
      <c r="L2013" s="43" t="str">
        <f t="shared" si="3"/>
        <v>LANJUTAN</v>
      </c>
      <c r="M2013" s="144" t="s">
        <v>31</v>
      </c>
      <c r="N2013" s="145">
        <v>180000.0</v>
      </c>
      <c r="O2013" s="146">
        <v>0.0</v>
      </c>
      <c r="P2013" s="48">
        <f t="array" ref="P2013">IFNA(XLOOKUP(J2013,'⚙️ Pengaturan'!$E$2:$E3237,'⚙️ Pengaturan'!$F$2:$F3237),"")</f>
        <v>180000</v>
      </c>
      <c r="Q2013" s="147">
        <f t="shared" si="50"/>
        <v>0</v>
      </c>
      <c r="R2013" s="41" t="s">
        <v>32</v>
      </c>
      <c r="S2013" s="69" t="s">
        <v>33</v>
      </c>
      <c r="T2013" s="51" t="b">
        <v>1</v>
      </c>
      <c r="U2013" s="94"/>
    </row>
    <row r="2014" ht="30.0" customHeight="1">
      <c r="A2014" s="39"/>
      <c r="B2014" s="40">
        <v>4052.0</v>
      </c>
      <c r="C2014" s="41" t="s">
        <v>39</v>
      </c>
      <c r="D2014" s="86">
        <v>46186.0</v>
      </c>
      <c r="E2014" s="43" t="str">
        <f t="shared" si="47"/>
        <v>2026</v>
      </c>
      <c r="F2014" s="43" t="str">
        <f t="shared" si="48"/>
        <v>06 Jun</v>
      </c>
      <c r="G2014" s="45" t="s">
        <v>155</v>
      </c>
      <c r="H2014" s="45" t="s">
        <v>41</v>
      </c>
      <c r="I2014" s="45" t="s">
        <v>1489</v>
      </c>
      <c r="J2014" s="143" t="s">
        <v>347</v>
      </c>
      <c r="K2014" s="43" t="str">
        <f t="array" ref="K2014">IF(J2014="","", XLOOKUP(J2014,'⚙️ Pengaturan'!$E$2:$E3237,'⚙️ Pengaturan'!$G$2:$G3237))</f>
        <v>KLINIK FT PAKET</v>
      </c>
      <c r="L2014" s="43" t="str">
        <f t="shared" si="3"/>
        <v>LANJUTAN</v>
      </c>
      <c r="M2014" s="144" t="s">
        <v>31</v>
      </c>
      <c r="N2014" s="145">
        <v>800000.0</v>
      </c>
      <c r="O2014" s="146">
        <v>500000.0</v>
      </c>
      <c r="P2014" s="48">
        <f t="array" ref="P2014">IFNA(XLOOKUP(J2014,'⚙️ Pengaturan'!$E$2:$E3237,'⚙️ Pengaturan'!$F$2:$F3237),"")</f>
        <v>1300000</v>
      </c>
      <c r="Q2014" s="147">
        <f t="shared" si="50"/>
        <v>0</v>
      </c>
      <c r="R2014" s="41" t="s">
        <v>37</v>
      </c>
      <c r="S2014" s="69" t="s">
        <v>1489</v>
      </c>
      <c r="T2014" s="51" t="b">
        <v>1</v>
      </c>
      <c r="U2014" s="94"/>
    </row>
    <row r="2015" ht="30.0" customHeight="1">
      <c r="A2015" s="39"/>
      <c r="B2015" s="161">
        <v>4053.0</v>
      </c>
      <c r="C2015" s="41" t="s">
        <v>39</v>
      </c>
      <c r="D2015" s="86">
        <v>46186.0</v>
      </c>
      <c r="E2015" s="43" t="str">
        <f t="shared" si="47"/>
        <v>2026</v>
      </c>
      <c r="F2015" s="43" t="str">
        <f t="shared" si="48"/>
        <v>06 Jun</v>
      </c>
      <c r="G2015" s="45" t="s">
        <v>155</v>
      </c>
      <c r="H2015" s="45" t="s">
        <v>96</v>
      </c>
      <c r="I2015" s="45" t="s">
        <v>1495</v>
      </c>
      <c r="J2015" s="143" t="s">
        <v>28</v>
      </c>
      <c r="K2015" s="43" t="str">
        <f t="array" ref="K2015">IF(J2015="","", XLOOKUP(J2015,'⚙️ Pengaturan'!$E$2:$E3237,'⚙️ Pengaturan'!$G$2:$G3237))</f>
        <v>KLINIK FT TA</v>
      </c>
      <c r="L2015" s="43" t="str">
        <f t="shared" si="3"/>
        <v>BARU</v>
      </c>
      <c r="M2015" s="144" t="s">
        <v>31</v>
      </c>
      <c r="N2015" s="145">
        <v>250000.0</v>
      </c>
      <c r="O2015" s="146">
        <v>0.0</v>
      </c>
      <c r="P2015" s="48">
        <f t="array" ref="P2015">IFNA(XLOOKUP(J2015,'⚙️ Pengaturan'!$E$2:$E3237,'⚙️ Pengaturan'!$F$2:$F3237),"")</f>
        <v>250000</v>
      </c>
      <c r="Q2015" s="147">
        <f t="shared" si="50"/>
        <v>0</v>
      </c>
      <c r="R2015" s="41" t="s">
        <v>37</v>
      </c>
      <c r="S2015" s="69" t="s">
        <v>1496</v>
      </c>
      <c r="T2015" s="51" t="b">
        <v>1</v>
      </c>
      <c r="U2015" s="94"/>
    </row>
    <row r="2016" ht="30.0" customHeight="1">
      <c r="A2016" s="39"/>
      <c r="B2016" s="40">
        <v>4054.0</v>
      </c>
      <c r="C2016" s="41" t="s">
        <v>39</v>
      </c>
      <c r="D2016" s="86">
        <v>46186.0</v>
      </c>
      <c r="E2016" s="43" t="str">
        <f t="shared" si="47"/>
        <v>2026</v>
      </c>
      <c r="F2016" s="43" t="str">
        <f t="shared" si="48"/>
        <v>06 Jun</v>
      </c>
      <c r="G2016" s="45" t="s">
        <v>190</v>
      </c>
      <c r="H2016" s="45" t="s">
        <v>47</v>
      </c>
      <c r="I2016" s="45" t="s">
        <v>1490</v>
      </c>
      <c r="J2016" s="143" t="s">
        <v>120</v>
      </c>
      <c r="K2016" s="43" t="str">
        <f t="array" ref="K2016">IF(J2016="","", XLOOKUP(J2016,'⚙️ Pengaturan'!$E$2:$E3237,'⚙️ Pengaturan'!$G$2:$G3237))</f>
        <v>KLINIK FT SESI</v>
      </c>
      <c r="L2016" s="43" t="str">
        <f t="shared" si="3"/>
        <v>BARU</v>
      </c>
      <c r="M2016" s="144" t="s">
        <v>31</v>
      </c>
      <c r="N2016" s="145">
        <v>180000.0</v>
      </c>
      <c r="O2016" s="146">
        <v>0.0</v>
      </c>
      <c r="P2016" s="48">
        <f t="array" ref="P2016">IFNA(XLOOKUP(J2016,'⚙️ Pengaturan'!$E$2:$E3237,'⚙️ Pengaturan'!$F$2:$F3237),"")</f>
        <v>180000</v>
      </c>
      <c r="Q2016" s="147">
        <f t="shared" si="50"/>
        <v>0</v>
      </c>
      <c r="R2016" s="41" t="s">
        <v>37</v>
      </c>
      <c r="S2016" s="69" t="s">
        <v>1490</v>
      </c>
      <c r="T2016" s="51" t="b">
        <v>1</v>
      </c>
      <c r="U2016" s="94"/>
    </row>
    <row r="2017" ht="30.0" customHeight="1">
      <c r="A2017" s="39"/>
      <c r="B2017" s="161">
        <v>4055.0</v>
      </c>
      <c r="C2017" s="41" t="s">
        <v>39</v>
      </c>
      <c r="D2017" s="86">
        <v>46186.0</v>
      </c>
      <c r="E2017" s="43" t="str">
        <f t="shared" si="47"/>
        <v>2026</v>
      </c>
      <c r="F2017" s="43" t="str">
        <f t="shared" si="48"/>
        <v>06 Jun</v>
      </c>
      <c r="G2017" s="45" t="s">
        <v>155</v>
      </c>
      <c r="H2017" s="45" t="s">
        <v>96</v>
      </c>
      <c r="I2017" s="45" t="s">
        <v>1495</v>
      </c>
      <c r="J2017" s="143" t="s">
        <v>354</v>
      </c>
      <c r="K2017" s="43" t="str">
        <f t="array" ref="K2017">IF(J2017="","", XLOOKUP(J2017,'⚙️ Pengaturan'!$E$2:$E3237,'⚙️ Pengaturan'!$G$2:$G3237))</f>
        <v>STORE  </v>
      </c>
      <c r="L2017" s="43" t="str">
        <f t="shared" si="3"/>
        <v>BARU</v>
      </c>
      <c r="M2017" s="144" t="s">
        <v>31</v>
      </c>
      <c r="N2017" s="145">
        <v>20000.0</v>
      </c>
      <c r="O2017" s="146">
        <v>0.0</v>
      </c>
      <c r="P2017" s="48">
        <f t="array" ref="P2017">IFNA(XLOOKUP(J2017,'⚙️ Pengaturan'!$E$2:$E3237,'⚙️ Pengaturan'!$F$2:$F3237),"")</f>
        <v>20000</v>
      </c>
      <c r="Q2017" s="147">
        <f t="shared" si="50"/>
        <v>0</v>
      </c>
      <c r="R2017" s="41" t="s">
        <v>37</v>
      </c>
      <c r="S2017" s="69" t="s">
        <v>1496</v>
      </c>
      <c r="T2017" s="51" t="b">
        <v>1</v>
      </c>
      <c r="U2017" s="94"/>
    </row>
    <row r="2018" ht="30.0" customHeight="1">
      <c r="A2018" s="39"/>
      <c r="B2018" s="40">
        <v>4056.0</v>
      </c>
      <c r="C2018" s="41" t="s">
        <v>79</v>
      </c>
      <c r="D2018" s="86">
        <v>46182.0</v>
      </c>
      <c r="E2018" s="43" t="str">
        <f t="shared" si="47"/>
        <v>2026</v>
      </c>
      <c r="F2018" s="43" t="str">
        <f t="shared" si="48"/>
        <v>06 Jun</v>
      </c>
      <c r="G2018" s="45" t="s">
        <v>69</v>
      </c>
      <c r="H2018" s="45" t="s">
        <v>96</v>
      </c>
      <c r="I2018" s="45" t="s">
        <v>1497</v>
      </c>
      <c r="J2018" s="143" t="s">
        <v>291</v>
      </c>
      <c r="K2018" s="43" t="str">
        <f t="array" ref="K2018">IF(J2018="","", XLOOKUP(J2018,'⚙️ Pengaturan'!$E$2:$E3237,'⚙️ Pengaturan'!$G$2:$G3237))</f>
        <v>VISIT FT TA</v>
      </c>
      <c r="L2018" s="43" t="str">
        <f t="shared" si="3"/>
        <v>BARU</v>
      </c>
      <c r="M2018" s="144" t="s">
        <v>31</v>
      </c>
      <c r="N2018" s="145">
        <v>350000.0</v>
      </c>
      <c r="O2018" s="146">
        <v>0.0</v>
      </c>
      <c r="P2018" s="48">
        <f t="array" ref="P2018">IFNA(XLOOKUP(J2018,'⚙️ Pengaturan'!$E$2:$E3237,'⚙️ Pengaturan'!$F$2:$F3237),"")</f>
        <v>350000</v>
      </c>
      <c r="Q2018" s="147">
        <f t="shared" si="50"/>
        <v>0</v>
      </c>
      <c r="R2018" s="41" t="s">
        <v>37</v>
      </c>
      <c r="S2018" s="69" t="s">
        <v>1498</v>
      </c>
      <c r="T2018" s="51" t="b">
        <v>1</v>
      </c>
      <c r="U2018" s="94"/>
    </row>
    <row r="2019" ht="30.0" customHeight="1">
      <c r="A2019" s="39"/>
      <c r="B2019" s="161">
        <v>4057.0</v>
      </c>
      <c r="C2019" s="41" t="s">
        <v>79</v>
      </c>
      <c r="D2019" s="86">
        <v>46187.0</v>
      </c>
      <c r="E2019" s="43" t="str">
        <f t="shared" si="47"/>
        <v>2026</v>
      </c>
      <c r="F2019" s="43" t="str">
        <f t="shared" si="48"/>
        <v>06 Jun</v>
      </c>
      <c r="G2019" s="45" t="s">
        <v>69</v>
      </c>
      <c r="H2019" s="45" t="s">
        <v>96</v>
      </c>
      <c r="I2019" s="45" t="s">
        <v>1497</v>
      </c>
      <c r="J2019" s="143" t="s">
        <v>138</v>
      </c>
      <c r="K2019" s="43" t="str">
        <f t="array" ref="K2019">IF(J2019="","", XLOOKUP(J2019,'⚙️ Pengaturan'!$E$2:$E3237,'⚙️ Pengaturan'!$G$2:$G3237))</f>
        <v>VISIT FT PAKET</v>
      </c>
      <c r="L2019" s="43" t="str">
        <f t="shared" si="3"/>
        <v>BARU</v>
      </c>
      <c r="M2019" s="144" t="s">
        <v>31</v>
      </c>
      <c r="N2019" s="145">
        <v>1800000.0</v>
      </c>
      <c r="O2019" s="146">
        <v>0.0</v>
      </c>
      <c r="P2019" s="48">
        <f t="array" ref="P2019">IFNA(XLOOKUP(J2019,'⚙️ Pengaturan'!$E$2:$E3237,'⚙️ Pengaturan'!$F$2:$F3237),"")</f>
        <v>1800000</v>
      </c>
      <c r="Q2019" s="147">
        <f t="shared" si="50"/>
        <v>0</v>
      </c>
      <c r="R2019" s="41" t="s">
        <v>37</v>
      </c>
      <c r="S2019" s="69" t="s">
        <v>1498</v>
      </c>
      <c r="T2019" s="51" t="b">
        <v>1</v>
      </c>
      <c r="U2019" s="94"/>
    </row>
    <row r="2020" ht="30.0" customHeight="1">
      <c r="A2020" s="39"/>
      <c r="B2020" s="40">
        <v>4058.0</v>
      </c>
      <c r="C2020" s="41" t="s">
        <v>79</v>
      </c>
      <c r="D2020" s="86">
        <v>46187.0</v>
      </c>
      <c r="E2020" s="43" t="str">
        <f t="shared" si="47"/>
        <v>2026</v>
      </c>
      <c r="F2020" s="43" t="str">
        <f t="shared" si="48"/>
        <v>06 Jun</v>
      </c>
      <c r="G2020" s="45" t="s">
        <v>195</v>
      </c>
      <c r="H2020" s="45" t="s">
        <v>41</v>
      </c>
      <c r="I2020" s="45" t="s">
        <v>1499</v>
      </c>
      <c r="J2020" s="143" t="s">
        <v>28</v>
      </c>
      <c r="K2020" s="43" t="str">
        <f t="array" ref="K2020">IF(J2020="","", XLOOKUP(J2020,'⚙️ Pengaturan'!$E$2:$E3237,'⚙️ Pengaturan'!$G$2:$G3237))</f>
        <v>KLINIK FT TA</v>
      </c>
      <c r="L2020" s="43" t="str">
        <f t="shared" si="3"/>
        <v>BARU</v>
      </c>
      <c r="M2020" s="144" t="s">
        <v>31</v>
      </c>
      <c r="N2020" s="145">
        <v>250000.0</v>
      </c>
      <c r="O2020" s="146">
        <v>0.0</v>
      </c>
      <c r="P2020" s="48">
        <f t="array" ref="P2020">IFNA(XLOOKUP(J2020,'⚙️ Pengaturan'!$E$2:$E3237,'⚙️ Pengaturan'!$F$2:$F3237),"")</f>
        <v>250000</v>
      </c>
      <c r="Q2020" s="147">
        <f t="shared" si="50"/>
        <v>0</v>
      </c>
      <c r="R2020" s="41" t="s">
        <v>32</v>
      </c>
      <c r="S2020" s="69" t="s">
        <v>33</v>
      </c>
      <c r="T2020" s="51" t="b">
        <v>1</v>
      </c>
      <c r="U2020" s="94"/>
    </row>
    <row r="2021" ht="30.0" customHeight="1">
      <c r="A2021" s="39"/>
      <c r="B2021" s="164">
        <v>4059.0</v>
      </c>
      <c r="C2021" s="41" t="s">
        <v>79</v>
      </c>
      <c r="D2021" s="86">
        <v>46187.0</v>
      </c>
      <c r="E2021" s="43" t="s">
        <v>23</v>
      </c>
      <c r="F2021" s="43" t="s">
        <v>1452</v>
      </c>
      <c r="G2021" s="45" t="s">
        <v>195</v>
      </c>
      <c r="H2021" s="45" t="s">
        <v>47</v>
      </c>
      <c r="I2021" s="45" t="s">
        <v>1500</v>
      </c>
      <c r="J2021" s="143" t="s">
        <v>28</v>
      </c>
      <c r="K2021" s="43" t="str">
        <f t="array" ref="K2021">IF(J2021="","", XLOOKUP(J2021,'⚙️ Pengaturan'!$E$2:$E3237,'⚙️ Pengaturan'!$G$2:$G3237))</f>
        <v>KLINIK FT TA</v>
      </c>
      <c r="L2021" s="43" t="str">
        <f t="shared" si="3"/>
        <v>BARU</v>
      </c>
      <c r="M2021" s="144" t="s">
        <v>31</v>
      </c>
      <c r="N2021" s="145">
        <v>200000.0</v>
      </c>
      <c r="O2021" s="146">
        <v>50000.0</v>
      </c>
      <c r="P2021" s="48">
        <v>250000.0</v>
      </c>
      <c r="Q2021" s="147">
        <v>0.0</v>
      </c>
      <c r="R2021" s="41" t="s">
        <v>37</v>
      </c>
      <c r="S2021" s="69" t="s">
        <v>1500</v>
      </c>
      <c r="T2021" s="51" t="b">
        <v>1</v>
      </c>
      <c r="U2021" s="94" t="s">
        <v>1063</v>
      </c>
    </row>
    <row r="2022" ht="30.0" customHeight="1">
      <c r="A2022" s="39"/>
      <c r="B2022" s="40">
        <v>4060.0</v>
      </c>
      <c r="C2022" s="41" t="s">
        <v>79</v>
      </c>
      <c r="D2022" s="86">
        <v>46187.0</v>
      </c>
      <c r="E2022" s="43" t="s">
        <v>23</v>
      </c>
      <c r="F2022" s="43" t="s">
        <v>1452</v>
      </c>
      <c r="G2022" s="45" t="s">
        <v>25</v>
      </c>
      <c r="H2022" s="45" t="s">
        <v>41</v>
      </c>
      <c r="I2022" s="45" t="s">
        <v>1501</v>
      </c>
      <c r="J2022" s="158" t="s">
        <v>28</v>
      </c>
      <c r="K2022" s="43" t="str">
        <f t="array" ref="K2022">IF(J2022="","", XLOOKUP(J2022,'⚙️ Pengaturan'!$E$2:$E3237,'⚙️ Pengaturan'!$G$2:$G3237))</f>
        <v>KLINIK FT TA</v>
      </c>
      <c r="L2022" s="43" t="str">
        <f t="shared" si="3"/>
        <v>BARU</v>
      </c>
      <c r="M2022" s="159" t="s">
        <v>31</v>
      </c>
      <c r="N2022" s="149">
        <v>250000.0</v>
      </c>
      <c r="O2022" s="150">
        <v>0.0</v>
      </c>
      <c r="P2022" s="48">
        <v>250000.0</v>
      </c>
      <c r="Q2022" s="147">
        <v>0.0</v>
      </c>
      <c r="R2022" s="41" t="s">
        <v>37</v>
      </c>
      <c r="S2022" s="69" t="s">
        <v>1501</v>
      </c>
      <c r="T2022" s="51" t="b">
        <v>1</v>
      </c>
      <c r="U2022" s="94"/>
    </row>
    <row r="2023" ht="30.0" customHeight="1">
      <c r="A2023" s="39"/>
      <c r="B2023" s="164">
        <v>4061.0</v>
      </c>
      <c r="C2023" s="41" t="s">
        <v>79</v>
      </c>
      <c r="D2023" s="86">
        <v>46187.0</v>
      </c>
      <c r="E2023" s="43" t="s">
        <v>23</v>
      </c>
      <c r="F2023" s="43" t="s">
        <v>1452</v>
      </c>
      <c r="G2023" s="45" t="s">
        <v>25</v>
      </c>
      <c r="H2023" s="45" t="s">
        <v>41</v>
      </c>
      <c r="I2023" s="45" t="s">
        <v>1502</v>
      </c>
      <c r="J2023" s="158" t="s">
        <v>28</v>
      </c>
      <c r="K2023" s="43" t="str">
        <f t="array" ref="K2023">IF(J2023="","", XLOOKUP(J2023,'⚙️ Pengaturan'!$E$2:$E3237,'⚙️ Pengaturan'!$G$2:$G3237))</f>
        <v>KLINIK FT TA</v>
      </c>
      <c r="L2023" s="43" t="str">
        <f t="shared" si="3"/>
        <v>BARU</v>
      </c>
      <c r="M2023" s="159" t="s">
        <v>31</v>
      </c>
      <c r="N2023" s="149">
        <v>250000.0</v>
      </c>
      <c r="O2023" s="150">
        <v>0.0</v>
      </c>
      <c r="P2023" s="48">
        <v>250000.0</v>
      </c>
      <c r="Q2023" s="147">
        <v>0.0</v>
      </c>
      <c r="R2023" s="41" t="s">
        <v>32</v>
      </c>
      <c r="S2023" s="69" t="s">
        <v>33</v>
      </c>
      <c r="T2023" s="51" t="b">
        <v>1</v>
      </c>
      <c r="U2023" s="94"/>
    </row>
    <row r="2024" ht="30.0" customHeight="1">
      <c r="A2024" s="39"/>
      <c r="B2024" s="40">
        <v>4062.0</v>
      </c>
      <c r="C2024" s="41" t="s">
        <v>79</v>
      </c>
      <c r="D2024" s="86">
        <v>46187.0</v>
      </c>
      <c r="E2024" s="43" t="s">
        <v>23</v>
      </c>
      <c r="F2024" s="43" t="s">
        <v>1452</v>
      </c>
      <c r="G2024" s="45" t="s">
        <v>161</v>
      </c>
      <c r="H2024" s="45" t="s">
        <v>47</v>
      </c>
      <c r="I2024" s="45" t="s">
        <v>1162</v>
      </c>
      <c r="J2024" s="143" t="s">
        <v>119</v>
      </c>
      <c r="K2024" s="43" t="str">
        <f t="array" ref="K2024">IF(J2024="","", XLOOKUP(J2024,'⚙️ Pengaturan'!$E$2:$E3237,'⚙️ Pengaturan'!$G$2:$G3237))</f>
        <v>KLINIK FT PAKET</v>
      </c>
      <c r="L2024" s="43" t="str">
        <f t="shared" si="3"/>
        <v>LANJUTAN</v>
      </c>
      <c r="M2024" s="144" t="s">
        <v>31</v>
      </c>
      <c r="N2024" s="145">
        <v>600000.0</v>
      </c>
      <c r="O2024" s="146">
        <v>150000.0</v>
      </c>
      <c r="P2024" s="48">
        <v>750000.0</v>
      </c>
      <c r="Q2024" s="147">
        <v>0.0</v>
      </c>
      <c r="R2024" s="41" t="s">
        <v>37</v>
      </c>
      <c r="S2024" s="69" t="s">
        <v>1118</v>
      </c>
      <c r="T2024" s="51" t="b">
        <v>1</v>
      </c>
      <c r="U2024" s="94"/>
    </row>
    <row r="2025" ht="30.0" customHeight="1">
      <c r="A2025" s="39"/>
      <c r="B2025" s="164">
        <v>4063.0</v>
      </c>
      <c r="C2025" s="41" t="s">
        <v>79</v>
      </c>
      <c r="D2025" s="86">
        <v>46187.0</v>
      </c>
      <c r="E2025" s="43" t="s">
        <v>23</v>
      </c>
      <c r="F2025" s="43" t="s">
        <v>1452</v>
      </c>
      <c r="G2025" s="45" t="s">
        <v>161</v>
      </c>
      <c r="H2025" s="45" t="s">
        <v>47</v>
      </c>
      <c r="I2025" s="45" t="s">
        <v>1457</v>
      </c>
      <c r="J2025" s="143" t="s">
        <v>119</v>
      </c>
      <c r="K2025" s="43" t="str">
        <f t="array" ref="K2025">IF(J2025="","", XLOOKUP(J2025,'⚙️ Pengaturan'!$E$2:$E3237,'⚙️ Pengaturan'!$G$2:$G3237))</f>
        <v>KLINIK FT PAKET</v>
      </c>
      <c r="L2025" s="43" t="str">
        <f t="shared" si="3"/>
        <v>LANJUTAN</v>
      </c>
      <c r="M2025" s="144" t="s">
        <v>31</v>
      </c>
      <c r="N2025" s="145">
        <v>600000.0</v>
      </c>
      <c r="O2025" s="146">
        <v>150000.0</v>
      </c>
      <c r="P2025" s="48">
        <v>750000.0</v>
      </c>
      <c r="Q2025" s="147">
        <v>0.0</v>
      </c>
      <c r="R2025" s="41" t="s">
        <v>37</v>
      </c>
      <c r="S2025" s="69" t="s">
        <v>1457</v>
      </c>
      <c r="T2025" s="51" t="b">
        <v>1</v>
      </c>
      <c r="U2025" s="94"/>
    </row>
    <row r="2026" ht="30.0" customHeight="1">
      <c r="A2026" s="39"/>
      <c r="B2026" s="40">
        <v>4064.0</v>
      </c>
      <c r="C2026" s="41" t="s">
        <v>50</v>
      </c>
      <c r="D2026" s="86">
        <v>46187.0</v>
      </c>
      <c r="E2026" s="43" t="str">
        <f t="shared" ref="E2026:E2282" si="51">if(D2026="","",text(D2026,"YYY"))</f>
        <v>2026</v>
      </c>
      <c r="F2026" s="43" t="str">
        <f t="shared" ref="F2026:F2282" si="52">if(D2026="","",text(D2026,"MM")&amp;" "&amp;text(D2026,"MMM"))</f>
        <v>06 Jun</v>
      </c>
      <c r="G2026" s="45" t="s">
        <v>40</v>
      </c>
      <c r="H2026" s="45" t="s">
        <v>150</v>
      </c>
      <c r="I2026" s="45" t="s">
        <v>1503</v>
      </c>
      <c r="J2026" s="143" t="s">
        <v>28</v>
      </c>
      <c r="K2026" s="43" t="str">
        <f t="array" ref="K2026">IF(J2026="","", XLOOKUP(J2026,'⚙️ Pengaturan'!$E$2:$E3237,'⚙️ Pengaturan'!$G$2:$G3237))</f>
        <v>KLINIK FT TA</v>
      </c>
      <c r="L2026" s="43" t="str">
        <f t="shared" si="3"/>
        <v>BARU</v>
      </c>
      <c r="M2026" s="144" t="s">
        <v>31</v>
      </c>
      <c r="N2026" s="145">
        <v>200000.0</v>
      </c>
      <c r="O2026" s="146">
        <v>50000.0</v>
      </c>
      <c r="P2026" s="48">
        <f t="array" ref="P2026">IFNA(XLOOKUP(J2026,'⚙️ Pengaturan'!$E$2:$E3237,'⚙️ Pengaturan'!$F$2:$F3237),"")</f>
        <v>250000</v>
      </c>
      <c r="Q2026" s="147">
        <f t="shared" ref="Q2026:Q2031" si="53">IF(I2026="","",(N2026+O2026)-P2026)</f>
        <v>0</v>
      </c>
      <c r="R2026" s="41" t="s">
        <v>118</v>
      </c>
      <c r="S2026" s="69" t="s">
        <v>1503</v>
      </c>
      <c r="T2026" s="51" t="b">
        <v>1</v>
      </c>
      <c r="U2026" s="94" t="s">
        <v>1063</v>
      </c>
    </row>
    <row r="2027" ht="30.0" customHeight="1">
      <c r="A2027" s="39"/>
      <c r="B2027" s="164">
        <v>4065.0</v>
      </c>
      <c r="C2027" s="41" t="s">
        <v>50</v>
      </c>
      <c r="D2027" s="86">
        <v>46187.0</v>
      </c>
      <c r="E2027" s="43" t="str">
        <f t="shared" si="51"/>
        <v>2026</v>
      </c>
      <c r="F2027" s="43" t="str">
        <f t="shared" si="52"/>
        <v>06 Jun</v>
      </c>
      <c r="G2027" s="45" t="s">
        <v>40</v>
      </c>
      <c r="H2027" s="45" t="s">
        <v>26</v>
      </c>
      <c r="I2027" s="45" t="s">
        <v>1504</v>
      </c>
      <c r="J2027" s="143" t="s">
        <v>28</v>
      </c>
      <c r="K2027" s="43" t="str">
        <f t="array" ref="K2027">IF(J2027="","", XLOOKUP(J2027,'⚙️ Pengaturan'!$E$2:$E3237,'⚙️ Pengaturan'!$G$2:$G3237))</f>
        <v>KLINIK FT TA</v>
      </c>
      <c r="L2027" s="43" t="str">
        <f t="shared" si="3"/>
        <v>BARU</v>
      </c>
      <c r="M2027" s="144" t="s">
        <v>31</v>
      </c>
      <c r="N2027" s="145">
        <v>250000.0</v>
      </c>
      <c r="O2027" s="146">
        <v>0.0</v>
      </c>
      <c r="P2027" s="48">
        <f t="array" ref="P2027">IFNA(XLOOKUP(J2027,'⚙️ Pengaturan'!$E$2:$E3237,'⚙️ Pengaturan'!$F$2:$F3237),"")</f>
        <v>250000</v>
      </c>
      <c r="Q2027" s="147">
        <f t="shared" si="53"/>
        <v>0</v>
      </c>
      <c r="R2027" s="41" t="s">
        <v>37</v>
      </c>
      <c r="S2027" s="69" t="s">
        <v>1504</v>
      </c>
      <c r="T2027" s="51" t="b">
        <v>1</v>
      </c>
      <c r="U2027" s="94"/>
    </row>
    <row r="2028" ht="30.0" customHeight="1">
      <c r="A2028" s="39"/>
      <c r="B2028" s="40">
        <v>4066.0</v>
      </c>
      <c r="C2028" s="41" t="s">
        <v>50</v>
      </c>
      <c r="D2028" s="86">
        <v>46187.0</v>
      </c>
      <c r="E2028" s="43" t="str">
        <f t="shared" si="51"/>
        <v>2026</v>
      </c>
      <c r="F2028" s="43" t="str">
        <f t="shared" si="52"/>
        <v>06 Jun</v>
      </c>
      <c r="G2028" s="45" t="s">
        <v>40</v>
      </c>
      <c r="H2028" s="45" t="s">
        <v>41</v>
      </c>
      <c r="I2028" s="45" t="s">
        <v>1505</v>
      </c>
      <c r="J2028" s="143" t="s">
        <v>28</v>
      </c>
      <c r="K2028" s="43" t="str">
        <f t="array" ref="K2028">IF(J2028="","", XLOOKUP(J2028,'⚙️ Pengaturan'!$E$2:$E3237,'⚙️ Pengaturan'!$G$2:$G3237))</f>
        <v>KLINIK FT TA</v>
      </c>
      <c r="L2028" s="43" t="str">
        <f t="shared" si="3"/>
        <v>BARU</v>
      </c>
      <c r="M2028" s="144" t="s">
        <v>31</v>
      </c>
      <c r="N2028" s="145">
        <v>250000.0</v>
      </c>
      <c r="O2028" s="146">
        <v>0.0</v>
      </c>
      <c r="P2028" s="48">
        <f t="array" ref="P2028">IFNA(XLOOKUP(J2028,'⚙️ Pengaturan'!$E$2:$E3237,'⚙️ Pengaturan'!$F$2:$F3237),"")</f>
        <v>250000</v>
      </c>
      <c r="Q2028" s="147">
        <f t="shared" si="53"/>
        <v>0</v>
      </c>
      <c r="R2028" s="41" t="s">
        <v>32</v>
      </c>
      <c r="S2028" s="76" t="s">
        <v>33</v>
      </c>
      <c r="T2028" s="51" t="b">
        <v>1</v>
      </c>
      <c r="U2028" s="94"/>
    </row>
    <row r="2029" ht="30.0" customHeight="1">
      <c r="A2029" s="39"/>
      <c r="B2029" s="164">
        <v>4067.0</v>
      </c>
      <c r="C2029" s="41" t="s">
        <v>50</v>
      </c>
      <c r="D2029" s="86">
        <v>46187.0</v>
      </c>
      <c r="E2029" s="43" t="str">
        <f t="shared" si="51"/>
        <v>2026</v>
      </c>
      <c r="F2029" s="43" t="str">
        <f t="shared" si="52"/>
        <v>06 Jun</v>
      </c>
      <c r="G2029" s="45" t="s">
        <v>43</v>
      </c>
      <c r="H2029" s="45" t="s">
        <v>166</v>
      </c>
      <c r="I2029" s="45" t="s">
        <v>1506</v>
      </c>
      <c r="J2029" s="143" t="s">
        <v>28</v>
      </c>
      <c r="K2029" s="43" t="str">
        <f t="array" ref="K2029">IF(J2029="","", XLOOKUP(J2029,'⚙️ Pengaturan'!$E$2:$E3237,'⚙️ Pengaturan'!$G$2:$G3237))</f>
        <v>KLINIK FT TA</v>
      </c>
      <c r="L2029" s="43" t="str">
        <f t="shared" si="3"/>
        <v>BARU</v>
      </c>
      <c r="M2029" s="144" t="s">
        <v>31</v>
      </c>
      <c r="N2029" s="145">
        <v>200000.0</v>
      </c>
      <c r="O2029" s="146">
        <v>50000.0</v>
      </c>
      <c r="P2029" s="48">
        <f t="array" ref="P2029">IFNA(XLOOKUP(J2029,'⚙️ Pengaturan'!$E$2:$E3237,'⚙️ Pengaturan'!$F$2:$F3237),"")</f>
        <v>250000</v>
      </c>
      <c r="Q2029" s="147">
        <f t="shared" si="53"/>
        <v>0</v>
      </c>
      <c r="R2029" s="41" t="s">
        <v>32</v>
      </c>
      <c r="S2029" s="76" t="s">
        <v>33</v>
      </c>
      <c r="T2029" s="51" t="b">
        <v>1</v>
      </c>
      <c r="U2029" s="94" t="s">
        <v>1063</v>
      </c>
    </row>
    <row r="2030" ht="30.0" customHeight="1">
      <c r="A2030" s="39"/>
      <c r="B2030" s="40">
        <v>4068.0</v>
      </c>
      <c r="C2030" s="41" t="s">
        <v>50</v>
      </c>
      <c r="D2030" s="86">
        <v>46187.0</v>
      </c>
      <c r="E2030" s="43" t="str">
        <f t="shared" si="51"/>
        <v>2026</v>
      </c>
      <c r="F2030" s="43" t="str">
        <f t="shared" si="52"/>
        <v>06 Jun</v>
      </c>
      <c r="G2030" s="45" t="s">
        <v>155</v>
      </c>
      <c r="H2030" s="45" t="s">
        <v>166</v>
      </c>
      <c r="I2030" s="45" t="s">
        <v>1507</v>
      </c>
      <c r="J2030" s="143" t="s">
        <v>28</v>
      </c>
      <c r="K2030" s="43" t="str">
        <f t="array" ref="K2030">IF(J2030="","", XLOOKUP(J2030,'⚙️ Pengaturan'!$E$2:$E3237,'⚙️ Pengaturan'!$G$2:$G3237))</f>
        <v>KLINIK FT TA</v>
      </c>
      <c r="L2030" s="43" t="str">
        <f t="shared" si="3"/>
        <v>BARU</v>
      </c>
      <c r="M2030" s="144" t="s">
        <v>31</v>
      </c>
      <c r="N2030" s="145">
        <v>250000.0</v>
      </c>
      <c r="O2030" s="146">
        <v>0.0</v>
      </c>
      <c r="P2030" s="48">
        <f t="array" ref="P2030">IFNA(XLOOKUP(J2030,'⚙️ Pengaturan'!$E$2:$E3237,'⚙️ Pengaturan'!$F$2:$F3237),"")</f>
        <v>250000</v>
      </c>
      <c r="Q2030" s="147">
        <f t="shared" si="53"/>
        <v>0</v>
      </c>
      <c r="R2030" s="41" t="s">
        <v>32</v>
      </c>
      <c r="S2030" s="76" t="s">
        <v>33</v>
      </c>
      <c r="T2030" s="51" t="b">
        <v>1</v>
      </c>
      <c r="U2030" s="94"/>
    </row>
    <row r="2031" ht="30.0" customHeight="1">
      <c r="A2031" s="39"/>
      <c r="B2031" s="164">
        <v>4069.0</v>
      </c>
      <c r="C2031" s="41" t="s">
        <v>50</v>
      </c>
      <c r="D2031" s="86">
        <v>46187.0</v>
      </c>
      <c r="E2031" s="43" t="str">
        <f t="shared" si="51"/>
        <v>2026</v>
      </c>
      <c r="F2031" s="43" t="str">
        <f t="shared" si="52"/>
        <v>06 Jun</v>
      </c>
      <c r="G2031" s="45" t="s">
        <v>190</v>
      </c>
      <c r="H2031" s="45" t="s">
        <v>150</v>
      </c>
      <c r="I2031" s="45" t="s">
        <v>1508</v>
      </c>
      <c r="J2031" s="143" t="s">
        <v>28</v>
      </c>
      <c r="K2031" s="43" t="str">
        <f t="array" ref="K2031">IF(J2031="","", XLOOKUP(J2031,'⚙️ Pengaturan'!$E$2:$E3237,'⚙️ Pengaturan'!$G$2:$G3237))</f>
        <v>KLINIK FT TA</v>
      </c>
      <c r="L2031" s="43" t="str">
        <f t="shared" si="3"/>
        <v>BARU</v>
      </c>
      <c r="M2031" s="144" t="s">
        <v>31</v>
      </c>
      <c r="N2031" s="145">
        <v>250000.0</v>
      </c>
      <c r="O2031" s="146">
        <v>0.0</v>
      </c>
      <c r="P2031" s="48">
        <f t="array" ref="P2031">IFNA(XLOOKUP(J2031,'⚙️ Pengaturan'!$E$2:$E3237,'⚙️ Pengaturan'!$F$2:$F3237),"")</f>
        <v>250000</v>
      </c>
      <c r="Q2031" s="147">
        <f t="shared" si="53"/>
        <v>0</v>
      </c>
      <c r="R2031" s="41" t="s">
        <v>37</v>
      </c>
      <c r="S2031" s="69" t="s">
        <v>1508</v>
      </c>
      <c r="T2031" s="51" t="b">
        <v>1</v>
      </c>
      <c r="U2031" s="94"/>
    </row>
    <row r="2032" ht="30.0" customHeight="1">
      <c r="A2032" s="39"/>
      <c r="B2032" s="40">
        <v>4070.0</v>
      </c>
      <c r="C2032" s="41" t="s">
        <v>79</v>
      </c>
      <c r="D2032" s="86">
        <v>46188.0</v>
      </c>
      <c r="E2032" s="43" t="str">
        <f t="shared" si="51"/>
        <v>2026</v>
      </c>
      <c r="F2032" s="43" t="str">
        <f t="shared" si="52"/>
        <v>06 Jun</v>
      </c>
      <c r="G2032" s="45" t="s">
        <v>195</v>
      </c>
      <c r="H2032" s="45" t="s">
        <v>26</v>
      </c>
      <c r="I2032" s="45" t="s">
        <v>1509</v>
      </c>
      <c r="J2032" s="158" t="s">
        <v>28</v>
      </c>
      <c r="K2032" s="43" t="str">
        <f t="array" ref="K2032">IF(J2032="","", XLOOKUP(J2032,'⚙️ Pengaturan'!$E$2:$E3237,'⚙️ Pengaturan'!$G$2:$G3237))</f>
        <v>KLINIK FT TA</v>
      </c>
      <c r="L2032" s="43" t="str">
        <f t="shared" si="3"/>
        <v>BARU</v>
      </c>
      <c r="M2032" s="148" t="s">
        <v>31</v>
      </c>
      <c r="N2032" s="149">
        <v>250000.0</v>
      </c>
      <c r="O2032" s="150">
        <v>0.0</v>
      </c>
      <c r="P2032" s="151">
        <v>250000.0</v>
      </c>
      <c r="Q2032" s="147">
        <v>0.0</v>
      </c>
      <c r="R2032" s="41" t="s">
        <v>32</v>
      </c>
      <c r="S2032" s="76" t="s">
        <v>33</v>
      </c>
      <c r="T2032" s="51" t="b">
        <v>1</v>
      </c>
      <c r="U2032" s="94"/>
    </row>
    <row r="2033" ht="30.0" customHeight="1">
      <c r="A2033" s="39"/>
      <c r="B2033" s="164">
        <v>4071.0</v>
      </c>
      <c r="C2033" s="41" t="s">
        <v>79</v>
      </c>
      <c r="D2033" s="86">
        <v>46188.0</v>
      </c>
      <c r="E2033" s="43" t="str">
        <f t="shared" si="51"/>
        <v>2026</v>
      </c>
      <c r="F2033" s="43" t="str">
        <f t="shared" si="52"/>
        <v>06 Jun</v>
      </c>
      <c r="G2033" s="45" t="s">
        <v>195</v>
      </c>
      <c r="H2033" s="45" t="s">
        <v>150</v>
      </c>
      <c r="I2033" s="45" t="s">
        <v>1503</v>
      </c>
      <c r="J2033" s="143" t="s">
        <v>120</v>
      </c>
      <c r="K2033" s="43" t="str">
        <f t="array" ref="K2033">IF(J2033="","", XLOOKUP(J2033,'⚙️ Pengaturan'!$E$2:$E3237,'⚙️ Pengaturan'!$G$2:$G3237))</f>
        <v>KLINIK FT SESI</v>
      </c>
      <c r="L2033" s="43" t="str">
        <f t="shared" si="3"/>
        <v>BARU</v>
      </c>
      <c r="M2033" s="144" t="s">
        <v>31</v>
      </c>
      <c r="N2033" s="145">
        <v>144000.0</v>
      </c>
      <c r="O2033" s="146">
        <v>36000.0</v>
      </c>
      <c r="P2033" s="48">
        <f t="array" ref="P2033">IFNA(XLOOKUP(J2033,'⚙️ Pengaturan'!$E$2:$E3237,'⚙️ Pengaturan'!$F$2:$F3237),"")</f>
        <v>180000</v>
      </c>
      <c r="Q2033" s="147">
        <f t="shared" ref="Q2033:Q2086" si="54">IF(I2033="","",(N2033+O2033)-P2033)</f>
        <v>0</v>
      </c>
      <c r="R2033" s="41" t="s">
        <v>37</v>
      </c>
      <c r="S2033" s="76" t="s">
        <v>33</v>
      </c>
      <c r="T2033" s="51" t="b">
        <v>1</v>
      </c>
      <c r="U2033" s="94" t="s">
        <v>1510</v>
      </c>
    </row>
    <row r="2034" ht="30.0" customHeight="1">
      <c r="A2034" s="39"/>
      <c r="B2034" s="40">
        <v>4072.0</v>
      </c>
      <c r="C2034" s="41" t="s">
        <v>79</v>
      </c>
      <c r="D2034" s="86">
        <v>46188.0</v>
      </c>
      <c r="E2034" s="43" t="str">
        <f t="shared" si="51"/>
        <v>2026</v>
      </c>
      <c r="F2034" s="43" t="str">
        <f t="shared" si="52"/>
        <v>06 Jun</v>
      </c>
      <c r="G2034" s="45" t="s">
        <v>161</v>
      </c>
      <c r="H2034" s="45" t="s">
        <v>150</v>
      </c>
      <c r="I2034" s="45" t="s">
        <v>1012</v>
      </c>
      <c r="J2034" s="143" t="s">
        <v>119</v>
      </c>
      <c r="K2034" s="43" t="str">
        <f t="array" ref="K2034">IF(J2034="","", XLOOKUP(J2034,'⚙️ Pengaturan'!$E$2:$E3237,'⚙️ Pengaturan'!$G$2:$G3237))</f>
        <v>KLINIK FT PAKET</v>
      </c>
      <c r="L2034" s="43" t="str">
        <f t="shared" si="3"/>
        <v>LANJUTAN</v>
      </c>
      <c r="M2034" s="144" t="s">
        <v>31</v>
      </c>
      <c r="N2034" s="145">
        <v>750000.0</v>
      </c>
      <c r="O2034" s="146">
        <v>0.0</v>
      </c>
      <c r="P2034" s="48">
        <f t="array" ref="P2034">IFNA(XLOOKUP(J2034,'⚙️ Pengaturan'!$E$2:$E3237,'⚙️ Pengaturan'!$F$2:$F3237),"")</f>
        <v>750000</v>
      </c>
      <c r="Q2034" s="147">
        <f t="shared" si="54"/>
        <v>0</v>
      </c>
      <c r="R2034" s="41" t="s">
        <v>37</v>
      </c>
      <c r="S2034" s="69" t="s">
        <v>1012</v>
      </c>
      <c r="T2034" s="51" t="b">
        <v>1</v>
      </c>
      <c r="U2034" s="94"/>
    </row>
    <row r="2035" ht="30.0" customHeight="1">
      <c r="A2035" s="39"/>
      <c r="B2035" s="164">
        <v>4073.0</v>
      </c>
      <c r="C2035" s="41" t="s">
        <v>39</v>
      </c>
      <c r="D2035" s="86">
        <v>46188.0</v>
      </c>
      <c r="E2035" s="43" t="str">
        <f t="shared" si="51"/>
        <v>2026</v>
      </c>
      <c r="F2035" s="43" t="str">
        <f t="shared" si="52"/>
        <v>06 Jun</v>
      </c>
      <c r="G2035" s="45" t="s">
        <v>43</v>
      </c>
      <c r="H2035" s="45" t="s">
        <v>41</v>
      </c>
      <c r="I2035" s="45" t="s">
        <v>1505</v>
      </c>
      <c r="J2035" s="143" t="s">
        <v>120</v>
      </c>
      <c r="K2035" s="43" t="str">
        <f t="array" ref="K2035">IF(J2035="","", XLOOKUP(J2035,'⚙️ Pengaturan'!$E$2:$E3237,'⚙️ Pengaturan'!$G$2:$G3237))</f>
        <v>KLINIK FT SESI</v>
      </c>
      <c r="L2035" s="43" t="str">
        <f t="shared" si="3"/>
        <v>BARU</v>
      </c>
      <c r="M2035" s="144" t="s">
        <v>31</v>
      </c>
      <c r="N2035" s="145">
        <v>180000.0</v>
      </c>
      <c r="O2035" s="146">
        <v>0.0</v>
      </c>
      <c r="P2035" s="48">
        <f t="array" ref="P2035">IFNA(XLOOKUP(J2035,'⚙️ Pengaturan'!$E$2:$E3237,'⚙️ Pengaturan'!$F$2:$F3237),"")</f>
        <v>180000</v>
      </c>
      <c r="Q2035" s="147">
        <f t="shared" si="54"/>
        <v>0</v>
      </c>
      <c r="R2035" s="41" t="s">
        <v>32</v>
      </c>
      <c r="S2035" s="76" t="s">
        <v>33</v>
      </c>
      <c r="T2035" s="51" t="b">
        <v>1</v>
      </c>
      <c r="U2035" s="94"/>
    </row>
    <row r="2036" ht="30.0" customHeight="1">
      <c r="A2036" s="39"/>
      <c r="B2036" s="40">
        <v>4074.0</v>
      </c>
      <c r="C2036" s="41" t="s">
        <v>39</v>
      </c>
      <c r="D2036" s="86">
        <v>46188.0</v>
      </c>
      <c r="E2036" s="43" t="str">
        <f t="shared" si="51"/>
        <v>2026</v>
      </c>
      <c r="F2036" s="43" t="str">
        <f t="shared" si="52"/>
        <v>06 Jun</v>
      </c>
      <c r="G2036" s="45" t="s">
        <v>69</v>
      </c>
      <c r="H2036" s="45" t="s">
        <v>150</v>
      </c>
      <c r="I2036" s="45" t="s">
        <v>1511</v>
      </c>
      <c r="J2036" s="143" t="s">
        <v>121</v>
      </c>
      <c r="K2036" s="43" t="str">
        <f t="array" ref="K2036">IF(J2036="","", XLOOKUP(J2036,'⚙️ Pengaturan'!$E$2:$E3237,'⚙️ Pengaturan'!$G$2:$G3237))</f>
        <v>VISIT FT TA</v>
      </c>
      <c r="L2036" s="43" t="str">
        <f t="shared" si="3"/>
        <v>BARU</v>
      </c>
      <c r="M2036" s="144" t="s">
        <v>31</v>
      </c>
      <c r="N2036" s="145">
        <v>300000.0</v>
      </c>
      <c r="O2036" s="146">
        <v>0.0</v>
      </c>
      <c r="P2036" s="48">
        <f t="array" ref="P2036">IFNA(XLOOKUP(J2036,'⚙️ Pengaturan'!$E$2:$E3237,'⚙️ Pengaturan'!$F$2:$F3237),"")</f>
        <v>300000</v>
      </c>
      <c r="Q2036" s="147">
        <f t="shared" si="54"/>
        <v>0</v>
      </c>
      <c r="R2036" s="41" t="s">
        <v>118</v>
      </c>
      <c r="S2036" s="76" t="s">
        <v>1512</v>
      </c>
      <c r="T2036" s="51" t="b">
        <v>1</v>
      </c>
      <c r="U2036" s="94"/>
    </row>
    <row r="2037" ht="30.0" customHeight="1">
      <c r="A2037" s="39"/>
      <c r="B2037" s="164">
        <v>4075.0</v>
      </c>
      <c r="C2037" s="41" t="s">
        <v>39</v>
      </c>
      <c r="D2037" s="86">
        <v>46188.0</v>
      </c>
      <c r="E2037" s="43" t="str">
        <f t="shared" si="51"/>
        <v>2026</v>
      </c>
      <c r="F2037" s="43" t="str">
        <f t="shared" si="52"/>
        <v>06 Jun</v>
      </c>
      <c r="G2037" s="45" t="s">
        <v>173</v>
      </c>
      <c r="H2037" s="45" t="s">
        <v>96</v>
      </c>
      <c r="I2037" s="45" t="s">
        <v>1492</v>
      </c>
      <c r="J2037" s="143" t="s">
        <v>119</v>
      </c>
      <c r="K2037" s="43" t="str">
        <f t="array" ref="K2037">IF(J2037="","", XLOOKUP(J2037,'⚙️ Pengaturan'!$E$2:$E3237,'⚙️ Pengaturan'!$G$2:$G3237))</f>
        <v>KLINIK FT PAKET</v>
      </c>
      <c r="L2037" s="43" t="str">
        <f t="shared" si="3"/>
        <v>BARU</v>
      </c>
      <c r="M2037" s="144" t="s">
        <v>31</v>
      </c>
      <c r="N2037" s="145">
        <v>750000.0</v>
      </c>
      <c r="O2037" s="146">
        <v>0.0</v>
      </c>
      <c r="P2037" s="48">
        <f t="array" ref="P2037">IFNA(XLOOKUP(J2037,'⚙️ Pengaturan'!$E$2:$E3237,'⚙️ Pengaturan'!$F$2:$F3237),"")</f>
        <v>750000</v>
      </c>
      <c r="Q2037" s="147">
        <f t="shared" si="54"/>
        <v>0</v>
      </c>
      <c r="R2037" s="41" t="s">
        <v>37</v>
      </c>
      <c r="S2037" s="76" t="s">
        <v>1513</v>
      </c>
      <c r="T2037" s="51" t="b">
        <v>1</v>
      </c>
      <c r="U2037" s="94"/>
    </row>
    <row r="2038" ht="30.0" customHeight="1">
      <c r="A2038" s="39"/>
      <c r="B2038" s="40">
        <v>4076.0</v>
      </c>
      <c r="C2038" s="41" t="s">
        <v>39</v>
      </c>
      <c r="D2038" s="86">
        <v>46188.0</v>
      </c>
      <c r="E2038" s="43" t="str">
        <f t="shared" si="51"/>
        <v>2026</v>
      </c>
      <c r="F2038" s="43" t="str">
        <f t="shared" si="52"/>
        <v>06 Jun</v>
      </c>
      <c r="G2038" s="45" t="s">
        <v>155</v>
      </c>
      <c r="H2038" s="45" t="s">
        <v>76</v>
      </c>
      <c r="I2038" s="45" t="s">
        <v>1456</v>
      </c>
      <c r="J2038" s="143" t="s">
        <v>120</v>
      </c>
      <c r="K2038" s="43" t="str">
        <f t="array" ref="K2038">IF(J2038="","", XLOOKUP(J2038,'⚙️ Pengaturan'!$E$2:$E3237,'⚙️ Pengaturan'!$G$2:$G3237))</f>
        <v>KLINIK FT SESI</v>
      </c>
      <c r="L2038" s="43" t="str">
        <f t="shared" si="3"/>
        <v>LANJUTAN</v>
      </c>
      <c r="M2038" s="144" t="s">
        <v>31</v>
      </c>
      <c r="N2038" s="145">
        <v>180000.0</v>
      </c>
      <c r="O2038" s="146">
        <v>0.0</v>
      </c>
      <c r="P2038" s="48">
        <f t="array" ref="P2038">IFNA(XLOOKUP(J2038,'⚙️ Pengaturan'!$E$2:$E3237,'⚙️ Pengaturan'!$F$2:$F3237),"")</f>
        <v>180000</v>
      </c>
      <c r="Q2038" s="147">
        <f t="shared" si="54"/>
        <v>0</v>
      </c>
      <c r="R2038" s="41" t="s">
        <v>32</v>
      </c>
      <c r="S2038" s="76" t="s">
        <v>33</v>
      </c>
      <c r="T2038" s="51" t="b">
        <v>1</v>
      </c>
      <c r="U2038" s="94"/>
    </row>
    <row r="2039" ht="30.0" customHeight="1">
      <c r="A2039" s="39"/>
      <c r="B2039" s="164">
        <v>4077.0</v>
      </c>
      <c r="C2039" s="41" t="s">
        <v>39</v>
      </c>
      <c r="D2039" s="86">
        <v>46188.0</v>
      </c>
      <c r="E2039" s="43" t="str">
        <f t="shared" si="51"/>
        <v>2026</v>
      </c>
      <c r="F2039" s="43" t="str">
        <f t="shared" si="52"/>
        <v>06 Jun</v>
      </c>
      <c r="G2039" s="45" t="s">
        <v>190</v>
      </c>
      <c r="H2039" s="45" t="s">
        <v>96</v>
      </c>
      <c r="I2039" s="45" t="s">
        <v>1495</v>
      </c>
      <c r="J2039" s="143" t="s">
        <v>120</v>
      </c>
      <c r="K2039" s="43" t="str">
        <f t="array" ref="K2039">IF(J2039="","", XLOOKUP(J2039,'⚙️ Pengaturan'!$E$2:$E3237,'⚙️ Pengaturan'!$G$2:$G3237))</f>
        <v>KLINIK FT SESI</v>
      </c>
      <c r="L2039" s="43" t="str">
        <f t="shared" si="3"/>
        <v>BARU</v>
      </c>
      <c r="M2039" s="144" t="s">
        <v>31</v>
      </c>
      <c r="N2039" s="145">
        <v>180000.0</v>
      </c>
      <c r="O2039" s="146">
        <v>0.0</v>
      </c>
      <c r="P2039" s="48">
        <f t="array" ref="P2039">IFNA(XLOOKUP(J2039,'⚙️ Pengaturan'!$E$2:$E3237,'⚙️ Pengaturan'!$F$2:$F3237),"")</f>
        <v>180000</v>
      </c>
      <c r="Q2039" s="147">
        <f t="shared" si="54"/>
        <v>0</v>
      </c>
      <c r="R2039" s="41" t="s">
        <v>37</v>
      </c>
      <c r="S2039" s="76" t="s">
        <v>33</v>
      </c>
      <c r="T2039" s="51" t="b">
        <v>1</v>
      </c>
      <c r="U2039" s="94"/>
    </row>
    <row r="2040" ht="30.0" customHeight="1">
      <c r="A2040" s="39"/>
      <c r="B2040" s="40">
        <v>4078.0</v>
      </c>
      <c r="C2040" s="41" t="s">
        <v>39</v>
      </c>
      <c r="D2040" s="86">
        <v>46188.0</v>
      </c>
      <c r="E2040" s="43" t="str">
        <f t="shared" si="51"/>
        <v>2026</v>
      </c>
      <c r="F2040" s="43" t="str">
        <f t="shared" si="52"/>
        <v>06 Jun</v>
      </c>
      <c r="G2040" s="45" t="s">
        <v>69</v>
      </c>
      <c r="H2040" s="45" t="s">
        <v>26</v>
      </c>
      <c r="I2040" s="45" t="s">
        <v>1514</v>
      </c>
      <c r="J2040" s="143" t="s">
        <v>28</v>
      </c>
      <c r="K2040" s="43" t="str">
        <f t="array" ref="K2040">IF(J2040="","", XLOOKUP(J2040,'⚙️ Pengaturan'!$E$2:$E3237,'⚙️ Pengaturan'!$G$2:$G3237))</f>
        <v>KLINIK FT TA</v>
      </c>
      <c r="L2040" s="43" t="str">
        <f t="shared" si="3"/>
        <v>BARU</v>
      </c>
      <c r="M2040" s="144" t="s">
        <v>31</v>
      </c>
      <c r="N2040" s="145">
        <v>250000.0</v>
      </c>
      <c r="O2040" s="146">
        <v>0.0</v>
      </c>
      <c r="P2040" s="48">
        <f t="array" ref="P2040">IFNA(XLOOKUP(J2040,'⚙️ Pengaturan'!$E$2:$E3237,'⚙️ Pengaturan'!$F$2:$F3237),"")</f>
        <v>250000</v>
      </c>
      <c r="Q2040" s="147">
        <f t="shared" si="54"/>
        <v>0</v>
      </c>
      <c r="R2040" s="41" t="s">
        <v>32</v>
      </c>
      <c r="S2040" s="69" t="s">
        <v>33</v>
      </c>
      <c r="T2040" s="51" t="b">
        <v>1</v>
      </c>
      <c r="U2040" s="94"/>
    </row>
    <row r="2041" ht="30.0" customHeight="1">
      <c r="A2041" s="39"/>
      <c r="B2041" s="164">
        <v>4079.0</v>
      </c>
      <c r="C2041" s="41" t="s">
        <v>39</v>
      </c>
      <c r="D2041" s="86">
        <v>46188.0</v>
      </c>
      <c r="E2041" s="43" t="str">
        <f t="shared" si="51"/>
        <v>2026</v>
      </c>
      <c r="F2041" s="43" t="str">
        <f t="shared" si="52"/>
        <v>06 Jun</v>
      </c>
      <c r="G2041" s="45" t="s">
        <v>69</v>
      </c>
      <c r="H2041" s="45" t="s">
        <v>166</v>
      </c>
      <c r="I2041" s="45" t="s">
        <v>1515</v>
      </c>
      <c r="J2041" s="143" t="s">
        <v>28</v>
      </c>
      <c r="K2041" s="43" t="str">
        <f t="array" ref="K2041">IF(J2041="","", XLOOKUP(J2041,'⚙️ Pengaturan'!$E$2:$E3237,'⚙️ Pengaturan'!$G$2:$G3237))</f>
        <v>KLINIK FT TA</v>
      </c>
      <c r="L2041" s="43" t="str">
        <f t="shared" si="3"/>
        <v>BARU</v>
      </c>
      <c r="M2041" s="144" t="s">
        <v>31</v>
      </c>
      <c r="N2041" s="145">
        <v>250000.0</v>
      </c>
      <c r="O2041" s="146">
        <v>0.0</v>
      </c>
      <c r="P2041" s="48">
        <f t="array" ref="P2041">IFNA(XLOOKUP(J2041,'⚙️ Pengaturan'!$E$2:$E3237,'⚙️ Pengaturan'!$F$2:$F3237),"")</f>
        <v>250000</v>
      </c>
      <c r="Q2041" s="147">
        <f t="shared" si="54"/>
        <v>0</v>
      </c>
      <c r="R2041" s="41" t="s">
        <v>32</v>
      </c>
      <c r="S2041" s="69" t="s">
        <v>33</v>
      </c>
      <c r="T2041" s="51" t="b">
        <v>1</v>
      </c>
      <c r="U2041" s="94"/>
    </row>
    <row r="2042" ht="30.0" customHeight="1">
      <c r="A2042" s="39"/>
      <c r="B2042" s="40">
        <v>4080.0</v>
      </c>
      <c r="C2042" s="41" t="s">
        <v>50</v>
      </c>
      <c r="D2042" s="86">
        <v>46190.0</v>
      </c>
      <c r="E2042" s="43" t="str">
        <f t="shared" si="51"/>
        <v>2026</v>
      </c>
      <c r="F2042" s="43" t="str">
        <f t="shared" si="52"/>
        <v>06 Jun</v>
      </c>
      <c r="G2042" s="45" t="s">
        <v>195</v>
      </c>
      <c r="H2042" s="45" t="s">
        <v>47</v>
      </c>
      <c r="I2042" s="45" t="s">
        <v>1516</v>
      </c>
      <c r="J2042" s="143" t="s">
        <v>28</v>
      </c>
      <c r="K2042" s="43" t="str">
        <f t="array" ref="K2042">IF(J2042="","", XLOOKUP(J2042,'⚙️ Pengaturan'!$E$2:$E3237,'⚙️ Pengaturan'!$G$2:$G3237))</f>
        <v>KLINIK FT TA</v>
      </c>
      <c r="L2042" s="43" t="str">
        <f t="shared" si="3"/>
        <v>BARU</v>
      </c>
      <c r="M2042" s="144" t="s">
        <v>31</v>
      </c>
      <c r="N2042" s="145">
        <v>250000.0</v>
      </c>
      <c r="O2042" s="146">
        <v>0.0</v>
      </c>
      <c r="P2042" s="48">
        <f t="array" ref="P2042">IFNA(XLOOKUP(J2042,'⚙️ Pengaturan'!$E$2:$E3237,'⚙️ Pengaturan'!$F$2:$F3237),"")</f>
        <v>250000</v>
      </c>
      <c r="Q2042" s="147">
        <f t="shared" si="54"/>
        <v>0</v>
      </c>
      <c r="R2042" s="41" t="s">
        <v>118</v>
      </c>
      <c r="S2042" s="69" t="s">
        <v>1516</v>
      </c>
      <c r="T2042" s="51" t="b">
        <v>1</v>
      </c>
      <c r="U2042" s="94"/>
    </row>
    <row r="2043" ht="30.0" customHeight="1">
      <c r="A2043" s="39"/>
      <c r="B2043" s="164">
        <v>4081.0</v>
      </c>
      <c r="C2043" s="41" t="s">
        <v>50</v>
      </c>
      <c r="D2043" s="86">
        <v>46190.0</v>
      </c>
      <c r="E2043" s="43" t="str">
        <f t="shared" si="51"/>
        <v>2026</v>
      </c>
      <c r="F2043" s="43" t="str">
        <f t="shared" si="52"/>
        <v>06 Jun</v>
      </c>
      <c r="G2043" s="45" t="s">
        <v>195</v>
      </c>
      <c r="H2043" s="45" t="s">
        <v>47</v>
      </c>
      <c r="I2043" s="45" t="s">
        <v>1516</v>
      </c>
      <c r="J2043" s="143" t="s">
        <v>119</v>
      </c>
      <c r="K2043" s="43" t="str">
        <f t="array" ref="K2043">IF(J2043="","", XLOOKUP(J2043,'⚙️ Pengaturan'!$E$2:$E3237,'⚙️ Pengaturan'!$G$2:$G3237))</f>
        <v>KLINIK FT PAKET</v>
      </c>
      <c r="L2043" s="43" t="str">
        <f t="shared" si="3"/>
        <v>BARU</v>
      </c>
      <c r="M2043" s="144" t="s">
        <v>31</v>
      </c>
      <c r="N2043" s="145">
        <v>750000.0</v>
      </c>
      <c r="O2043" s="146">
        <v>0.0</v>
      </c>
      <c r="P2043" s="48">
        <f t="array" ref="P2043">IFNA(XLOOKUP(J2043,'⚙️ Pengaturan'!$E$2:$E3237,'⚙️ Pengaturan'!$F$2:$F3237),"")</f>
        <v>750000</v>
      </c>
      <c r="Q2043" s="147">
        <f t="shared" si="54"/>
        <v>0</v>
      </c>
      <c r="R2043" s="41" t="s">
        <v>118</v>
      </c>
      <c r="S2043" s="69" t="s">
        <v>1516</v>
      </c>
      <c r="T2043" s="51" t="b">
        <v>1</v>
      </c>
      <c r="U2043" s="94"/>
    </row>
    <row r="2044" ht="30.0" customHeight="1">
      <c r="A2044" s="39"/>
      <c r="B2044" s="40">
        <v>4082.0</v>
      </c>
      <c r="C2044" s="41" t="s">
        <v>50</v>
      </c>
      <c r="D2044" s="86">
        <v>46190.0</v>
      </c>
      <c r="E2044" s="43" t="str">
        <f t="shared" si="51"/>
        <v>2026</v>
      </c>
      <c r="F2044" s="43" t="str">
        <f t="shared" si="52"/>
        <v>06 Jun</v>
      </c>
      <c r="G2044" s="45" t="s">
        <v>206</v>
      </c>
      <c r="H2044" s="45" t="s">
        <v>47</v>
      </c>
      <c r="I2044" s="45" t="s">
        <v>1517</v>
      </c>
      <c r="J2044" s="143" t="s">
        <v>28</v>
      </c>
      <c r="K2044" s="43" t="str">
        <f t="array" ref="K2044">IF(J2044="","", XLOOKUP(J2044,'⚙️ Pengaturan'!$E$2:$E3237,'⚙️ Pengaturan'!$G$2:$G3237))</f>
        <v>KLINIK FT TA</v>
      </c>
      <c r="L2044" s="43" t="str">
        <f t="shared" si="3"/>
        <v>BARU</v>
      </c>
      <c r="M2044" s="144" t="s">
        <v>31</v>
      </c>
      <c r="N2044" s="145">
        <v>250000.0</v>
      </c>
      <c r="O2044" s="146">
        <v>0.0</v>
      </c>
      <c r="P2044" s="48">
        <f t="array" ref="P2044">IFNA(XLOOKUP(J2044,'⚙️ Pengaturan'!$E$2:$E3237,'⚙️ Pengaturan'!$F$2:$F3237),"")</f>
        <v>250000</v>
      </c>
      <c r="Q2044" s="147">
        <f t="shared" si="54"/>
        <v>0</v>
      </c>
      <c r="R2044" s="41" t="s">
        <v>32</v>
      </c>
      <c r="S2044" s="76" t="s">
        <v>33</v>
      </c>
      <c r="T2044" s="51" t="b">
        <v>1</v>
      </c>
      <c r="U2044" s="94"/>
    </row>
    <row r="2045" ht="30.0" customHeight="1">
      <c r="A2045" s="39"/>
      <c r="B2045" s="164">
        <v>4083.0</v>
      </c>
      <c r="C2045" s="41" t="s">
        <v>50</v>
      </c>
      <c r="D2045" s="86">
        <v>46190.0</v>
      </c>
      <c r="E2045" s="43" t="str">
        <f t="shared" si="51"/>
        <v>2026</v>
      </c>
      <c r="F2045" s="43" t="str">
        <f t="shared" si="52"/>
        <v>06 Jun</v>
      </c>
      <c r="G2045" s="45" t="s">
        <v>161</v>
      </c>
      <c r="H2045" s="45" t="s">
        <v>41</v>
      </c>
      <c r="I2045" s="45" t="s">
        <v>1505</v>
      </c>
      <c r="J2045" s="143" t="s">
        <v>120</v>
      </c>
      <c r="K2045" s="43" t="str">
        <f t="array" ref="K2045">IF(J2045="","", XLOOKUP(J2045,'⚙️ Pengaturan'!$E$2:$E3237,'⚙️ Pengaturan'!$G$2:$G3237))</f>
        <v>KLINIK FT SESI</v>
      </c>
      <c r="L2045" s="43" t="str">
        <f t="shared" si="3"/>
        <v>LANJUTAN</v>
      </c>
      <c r="M2045" s="144" t="s">
        <v>31</v>
      </c>
      <c r="N2045" s="145">
        <v>180000.0</v>
      </c>
      <c r="O2045" s="146">
        <v>0.0</v>
      </c>
      <c r="P2045" s="48">
        <f t="array" ref="P2045">IFNA(XLOOKUP(J2045,'⚙️ Pengaturan'!$E$2:$E3237,'⚙️ Pengaturan'!$F$2:$F3237),"")</f>
        <v>180000</v>
      </c>
      <c r="Q2045" s="147">
        <f t="shared" si="54"/>
        <v>0</v>
      </c>
      <c r="R2045" s="41" t="s">
        <v>32</v>
      </c>
      <c r="S2045" s="76" t="s">
        <v>33</v>
      </c>
      <c r="T2045" s="51" t="b">
        <v>1</v>
      </c>
      <c r="U2045" s="94"/>
    </row>
    <row r="2046" ht="30.0" customHeight="1">
      <c r="A2046" s="39"/>
      <c r="B2046" s="40">
        <v>4084.0</v>
      </c>
      <c r="C2046" s="41" t="s">
        <v>50</v>
      </c>
      <c r="D2046" s="86">
        <v>46190.0</v>
      </c>
      <c r="E2046" s="43" t="str">
        <f t="shared" si="51"/>
        <v>2026</v>
      </c>
      <c r="F2046" s="43" t="str">
        <f t="shared" si="52"/>
        <v>06 Jun</v>
      </c>
      <c r="G2046" s="45" t="s">
        <v>35</v>
      </c>
      <c r="H2046" s="45" t="s">
        <v>149</v>
      </c>
      <c r="I2046" s="45" t="s">
        <v>1518</v>
      </c>
      <c r="J2046" s="143" t="s">
        <v>28</v>
      </c>
      <c r="K2046" s="43" t="str">
        <f t="array" ref="K2046">IF(J2046="","", XLOOKUP(J2046,'⚙️ Pengaturan'!$E$2:$E3237,'⚙️ Pengaturan'!$G$2:$G3237))</f>
        <v>KLINIK FT TA</v>
      </c>
      <c r="L2046" s="43" t="str">
        <f t="shared" si="3"/>
        <v>BARU</v>
      </c>
      <c r="M2046" s="144" t="s">
        <v>31</v>
      </c>
      <c r="N2046" s="145">
        <v>250000.0</v>
      </c>
      <c r="O2046" s="146">
        <v>0.0</v>
      </c>
      <c r="P2046" s="48">
        <f t="array" ref="P2046">IFNA(XLOOKUP(J2046,'⚙️ Pengaturan'!$E$2:$E3237,'⚙️ Pengaturan'!$F$2:$F3237),"")</f>
        <v>250000</v>
      </c>
      <c r="Q2046" s="147">
        <f t="shared" si="54"/>
        <v>0</v>
      </c>
      <c r="R2046" s="41" t="s">
        <v>32</v>
      </c>
      <c r="S2046" s="76" t="s">
        <v>33</v>
      </c>
      <c r="T2046" s="51" t="b">
        <v>1</v>
      </c>
      <c r="U2046" s="94"/>
    </row>
    <row r="2047" ht="30.0" customHeight="1">
      <c r="A2047" s="39"/>
      <c r="B2047" s="164">
        <v>4085.0</v>
      </c>
      <c r="C2047" s="41" t="s">
        <v>39</v>
      </c>
      <c r="D2047" s="86">
        <v>46190.0</v>
      </c>
      <c r="E2047" s="43" t="str">
        <f t="shared" si="51"/>
        <v>2026</v>
      </c>
      <c r="F2047" s="43" t="str">
        <f t="shared" si="52"/>
        <v>06 Jun</v>
      </c>
      <c r="G2047" s="45" t="s">
        <v>40</v>
      </c>
      <c r="H2047" s="45" t="s">
        <v>166</v>
      </c>
      <c r="I2047" s="45" t="s">
        <v>502</v>
      </c>
      <c r="J2047" s="143" t="s">
        <v>120</v>
      </c>
      <c r="K2047" s="43" t="str">
        <f t="array" ref="K2047">IF(J2047="","", XLOOKUP(J2047,'⚙️ Pengaturan'!$E$2:$E3237,'⚙️ Pengaturan'!$G$2:$G3237))</f>
        <v>KLINIK FT SESI</v>
      </c>
      <c r="L2047" s="43" t="str">
        <f t="shared" si="3"/>
        <v>LANJUTAN</v>
      </c>
      <c r="M2047" s="144" t="s">
        <v>31</v>
      </c>
      <c r="N2047" s="145">
        <v>180000.0</v>
      </c>
      <c r="O2047" s="146">
        <v>0.0</v>
      </c>
      <c r="P2047" s="48">
        <f t="array" ref="P2047">IFNA(XLOOKUP(J2047,'⚙️ Pengaturan'!$E$2:$E3237,'⚙️ Pengaturan'!$F$2:$F3237),"")</f>
        <v>180000</v>
      </c>
      <c r="Q2047" s="147">
        <f t="shared" si="54"/>
        <v>0</v>
      </c>
      <c r="R2047" s="41" t="s">
        <v>37</v>
      </c>
      <c r="S2047" s="69" t="s">
        <v>502</v>
      </c>
      <c r="T2047" s="51" t="b">
        <v>1</v>
      </c>
      <c r="U2047" s="94"/>
    </row>
    <row r="2048" ht="30.0" customHeight="1">
      <c r="A2048" s="39"/>
      <c r="B2048" s="40">
        <v>4086.0</v>
      </c>
      <c r="C2048" s="41" t="s">
        <v>39</v>
      </c>
      <c r="D2048" s="86">
        <v>46190.0</v>
      </c>
      <c r="E2048" s="43" t="str">
        <f t="shared" si="51"/>
        <v>2026</v>
      </c>
      <c r="F2048" s="43" t="str">
        <f t="shared" si="52"/>
        <v>06 Jun</v>
      </c>
      <c r="G2048" s="45" t="s">
        <v>43</v>
      </c>
      <c r="H2048" s="45" t="s">
        <v>26</v>
      </c>
      <c r="I2048" s="45" t="s">
        <v>701</v>
      </c>
      <c r="J2048" s="143" t="s">
        <v>119</v>
      </c>
      <c r="K2048" s="43" t="str">
        <f t="array" ref="K2048">IF(J2048="","", XLOOKUP(J2048,'⚙️ Pengaturan'!$E$2:$E3237,'⚙️ Pengaturan'!$G$2:$G3237))</f>
        <v>KLINIK FT PAKET</v>
      </c>
      <c r="L2048" s="43" t="str">
        <f t="shared" si="3"/>
        <v>LANJUTAN</v>
      </c>
      <c r="M2048" s="144" t="s">
        <v>164</v>
      </c>
      <c r="N2048" s="145">
        <v>200000.0</v>
      </c>
      <c r="O2048" s="146">
        <v>550000.0</v>
      </c>
      <c r="P2048" s="48">
        <f t="array" ref="P2048">IFNA(XLOOKUP(J2048,'⚙️ Pengaturan'!$E$2:$E3237,'⚙️ Pengaturan'!$F$2:$F3237),"")</f>
        <v>750000</v>
      </c>
      <c r="Q2048" s="147">
        <f t="shared" si="54"/>
        <v>0</v>
      </c>
      <c r="R2048" s="41" t="s">
        <v>32</v>
      </c>
      <c r="S2048" s="76" t="s">
        <v>33</v>
      </c>
      <c r="T2048" s="51" t="b">
        <v>1</v>
      </c>
      <c r="U2048" s="94"/>
    </row>
    <row r="2049" ht="30.0" customHeight="1">
      <c r="A2049" s="39"/>
      <c r="B2049" s="164">
        <v>4087.0</v>
      </c>
      <c r="C2049" s="41" t="s">
        <v>39</v>
      </c>
      <c r="D2049" s="86">
        <v>46190.0</v>
      </c>
      <c r="E2049" s="43" t="str">
        <f t="shared" si="51"/>
        <v>2026</v>
      </c>
      <c r="F2049" s="43" t="str">
        <f t="shared" si="52"/>
        <v>06 Jun</v>
      </c>
      <c r="G2049" s="45" t="s">
        <v>43</v>
      </c>
      <c r="H2049" s="45" t="s">
        <v>150</v>
      </c>
      <c r="I2049" s="45" t="s">
        <v>1519</v>
      </c>
      <c r="J2049" s="143" t="s">
        <v>28</v>
      </c>
      <c r="K2049" s="43" t="str">
        <f t="array" ref="K2049">IF(J2049="","", XLOOKUP(J2049,'⚙️ Pengaturan'!$E$2:$E3237,'⚙️ Pengaturan'!$G$2:$G3237))</f>
        <v>KLINIK FT TA</v>
      </c>
      <c r="L2049" s="43" t="str">
        <f t="shared" si="3"/>
        <v>BARU</v>
      </c>
      <c r="M2049" s="144" t="s">
        <v>31</v>
      </c>
      <c r="N2049" s="145">
        <v>250000.0</v>
      </c>
      <c r="O2049" s="146">
        <v>0.0</v>
      </c>
      <c r="P2049" s="48">
        <f t="array" ref="P2049">IFNA(XLOOKUP(J2049,'⚙️ Pengaturan'!$E$2:$E3237,'⚙️ Pengaturan'!$F$2:$F3237),"")</f>
        <v>250000</v>
      </c>
      <c r="Q2049" s="147">
        <f t="shared" si="54"/>
        <v>0</v>
      </c>
      <c r="R2049" s="41" t="s">
        <v>32</v>
      </c>
      <c r="S2049" s="76" t="s">
        <v>33</v>
      </c>
      <c r="T2049" s="51" t="b">
        <v>1</v>
      </c>
      <c r="U2049" s="94"/>
    </row>
    <row r="2050" ht="30.0" customHeight="1">
      <c r="A2050" s="39"/>
      <c r="B2050" s="40">
        <v>4088.0</v>
      </c>
      <c r="C2050" s="41" t="s">
        <v>39</v>
      </c>
      <c r="D2050" s="86">
        <v>46190.0</v>
      </c>
      <c r="E2050" s="43" t="str">
        <f t="shared" si="51"/>
        <v>2026</v>
      </c>
      <c r="F2050" s="43" t="str">
        <f t="shared" si="52"/>
        <v>06 Jun</v>
      </c>
      <c r="G2050" s="45" t="s">
        <v>173</v>
      </c>
      <c r="H2050" s="45" t="s">
        <v>166</v>
      </c>
      <c r="I2050" s="45" t="s">
        <v>1520</v>
      </c>
      <c r="J2050" s="143" t="s">
        <v>28</v>
      </c>
      <c r="K2050" s="43" t="str">
        <f t="array" ref="K2050">IF(J2050="","", XLOOKUP(J2050,'⚙️ Pengaturan'!$E$2:$E3237,'⚙️ Pengaturan'!$G$2:$G3237))</f>
        <v>KLINIK FT TA</v>
      </c>
      <c r="L2050" s="43" t="str">
        <f t="shared" si="3"/>
        <v>BARU</v>
      </c>
      <c r="M2050" s="144" t="s">
        <v>31</v>
      </c>
      <c r="N2050" s="145">
        <v>250000.0</v>
      </c>
      <c r="O2050" s="146">
        <v>0.0</v>
      </c>
      <c r="P2050" s="48">
        <f t="array" ref="P2050">IFNA(XLOOKUP(J2050,'⚙️ Pengaturan'!$E$2:$E3237,'⚙️ Pengaturan'!$F$2:$F3237),"")</f>
        <v>250000</v>
      </c>
      <c r="Q2050" s="147">
        <f t="shared" si="54"/>
        <v>0</v>
      </c>
      <c r="R2050" s="41" t="s">
        <v>32</v>
      </c>
      <c r="S2050" s="76" t="s">
        <v>33</v>
      </c>
      <c r="T2050" s="51" t="b">
        <v>1</v>
      </c>
      <c r="U2050" s="94"/>
    </row>
    <row r="2051" ht="30.0" customHeight="1">
      <c r="A2051" s="39"/>
      <c r="B2051" s="164">
        <v>4089.0</v>
      </c>
      <c r="C2051" s="41" t="s">
        <v>39</v>
      </c>
      <c r="D2051" s="86">
        <v>46190.0</v>
      </c>
      <c r="E2051" s="43" t="str">
        <f t="shared" si="51"/>
        <v>2026</v>
      </c>
      <c r="F2051" s="43" t="str">
        <f t="shared" si="52"/>
        <v>06 Jun</v>
      </c>
      <c r="G2051" s="45" t="s">
        <v>173</v>
      </c>
      <c r="H2051" s="45" t="s">
        <v>162</v>
      </c>
      <c r="I2051" s="45" t="s">
        <v>1521</v>
      </c>
      <c r="J2051" s="143" t="s">
        <v>28</v>
      </c>
      <c r="K2051" s="43" t="str">
        <f t="array" ref="K2051">IF(J2051="","", XLOOKUP(J2051,'⚙️ Pengaturan'!$E$2:$E3237,'⚙️ Pengaturan'!$G$2:$G3237))</f>
        <v>KLINIK FT TA</v>
      </c>
      <c r="L2051" s="43" t="str">
        <f t="shared" si="3"/>
        <v>BARU</v>
      </c>
      <c r="M2051" s="144" t="s">
        <v>31</v>
      </c>
      <c r="N2051" s="145">
        <v>250000.0</v>
      </c>
      <c r="O2051" s="146">
        <v>0.0</v>
      </c>
      <c r="P2051" s="48">
        <f t="array" ref="P2051">IFNA(XLOOKUP(J2051,'⚙️ Pengaturan'!$E$2:$E3237,'⚙️ Pengaturan'!$F$2:$F3237),"")</f>
        <v>250000</v>
      </c>
      <c r="Q2051" s="147">
        <f t="shared" si="54"/>
        <v>0</v>
      </c>
      <c r="R2051" s="41" t="s">
        <v>37</v>
      </c>
      <c r="S2051" s="69" t="s">
        <v>1521</v>
      </c>
      <c r="T2051" s="51" t="b">
        <v>1</v>
      </c>
      <c r="U2051" s="94"/>
    </row>
    <row r="2052" ht="30.0" customHeight="1">
      <c r="A2052" s="39"/>
      <c r="B2052" s="40">
        <v>4090.0</v>
      </c>
      <c r="C2052" s="41" t="s">
        <v>39</v>
      </c>
      <c r="D2052" s="86">
        <v>46190.0</v>
      </c>
      <c r="E2052" s="43" t="str">
        <f t="shared" si="51"/>
        <v>2026</v>
      </c>
      <c r="F2052" s="43" t="str">
        <f t="shared" si="52"/>
        <v>06 Jun</v>
      </c>
      <c r="G2052" s="45" t="s">
        <v>173</v>
      </c>
      <c r="H2052" s="45" t="s">
        <v>26</v>
      </c>
      <c r="I2052" s="45" t="s">
        <v>1509</v>
      </c>
      <c r="J2052" s="143" t="s">
        <v>119</v>
      </c>
      <c r="K2052" s="43" t="str">
        <f t="array" ref="K2052">IF(J2052="","", XLOOKUP(J2052,'⚙️ Pengaturan'!$E$2:$E3237,'⚙️ Pengaturan'!$G$2:$G3237))</f>
        <v>KLINIK FT PAKET</v>
      </c>
      <c r="L2052" s="43" t="str">
        <f t="shared" si="3"/>
        <v>BARU</v>
      </c>
      <c r="M2052" s="144" t="s">
        <v>60</v>
      </c>
      <c r="N2052" s="145">
        <v>400000.0</v>
      </c>
      <c r="O2052" s="146">
        <v>0.0</v>
      </c>
      <c r="P2052" s="48">
        <f t="array" ref="P2052">IFNA(XLOOKUP(J2052,'⚙️ Pengaturan'!$E$2:$E3237,'⚙️ Pengaturan'!$F$2:$F3237),"")</f>
        <v>750000</v>
      </c>
      <c r="Q2052" s="147">
        <f t="shared" si="54"/>
        <v>-350000</v>
      </c>
      <c r="R2052" s="41" t="s">
        <v>32</v>
      </c>
      <c r="S2052" s="76" t="s">
        <v>33</v>
      </c>
      <c r="T2052" s="51" t="b">
        <v>1</v>
      </c>
      <c r="U2052" s="94"/>
    </row>
    <row r="2053" ht="30.0" customHeight="1">
      <c r="A2053" s="39"/>
      <c r="B2053" s="164">
        <v>4091.0</v>
      </c>
      <c r="C2053" s="41" t="s">
        <v>39</v>
      </c>
      <c r="D2053" s="86">
        <v>46190.0</v>
      </c>
      <c r="E2053" s="43" t="str">
        <f t="shared" si="51"/>
        <v>2026</v>
      </c>
      <c r="F2053" s="43" t="str">
        <f t="shared" si="52"/>
        <v>06 Jun</v>
      </c>
      <c r="G2053" s="45" t="s">
        <v>155</v>
      </c>
      <c r="H2053" s="45" t="s">
        <v>150</v>
      </c>
      <c r="I2053" s="45" t="s">
        <v>1486</v>
      </c>
      <c r="J2053" s="143" t="s">
        <v>120</v>
      </c>
      <c r="K2053" s="43" t="str">
        <f t="array" ref="K2053">IF(J2053="","", XLOOKUP(J2053,'⚙️ Pengaturan'!$E$2:$E3237,'⚙️ Pengaturan'!$G$2:$G3237))</f>
        <v>KLINIK FT SESI</v>
      </c>
      <c r="L2053" s="43" t="str">
        <f t="shared" si="3"/>
        <v>LANJUTAN</v>
      </c>
      <c r="M2053" s="144" t="s">
        <v>31</v>
      </c>
      <c r="N2053" s="145">
        <v>180000.0</v>
      </c>
      <c r="O2053" s="146">
        <v>0.0</v>
      </c>
      <c r="P2053" s="48">
        <f t="array" ref="P2053">IFNA(XLOOKUP(J2053,'⚙️ Pengaturan'!$E$2:$E3237,'⚙️ Pengaturan'!$F$2:$F3237),"")</f>
        <v>180000</v>
      </c>
      <c r="Q2053" s="147">
        <f t="shared" si="54"/>
        <v>0</v>
      </c>
      <c r="R2053" s="41" t="s">
        <v>32</v>
      </c>
      <c r="S2053" s="76" t="s">
        <v>33</v>
      </c>
      <c r="T2053" s="51" t="b">
        <v>1</v>
      </c>
      <c r="U2053" s="94"/>
    </row>
    <row r="2054" ht="30.0" customHeight="1">
      <c r="A2054" s="39"/>
      <c r="B2054" s="40">
        <v>4092.0</v>
      </c>
      <c r="C2054" s="41" t="s">
        <v>39</v>
      </c>
      <c r="D2054" s="86">
        <v>46190.0</v>
      </c>
      <c r="E2054" s="43" t="str">
        <f t="shared" si="51"/>
        <v>2026</v>
      </c>
      <c r="F2054" s="43" t="str">
        <f t="shared" si="52"/>
        <v>06 Jun</v>
      </c>
      <c r="G2054" s="45" t="s">
        <v>69</v>
      </c>
      <c r="H2054" s="45" t="s">
        <v>96</v>
      </c>
      <c r="I2054" s="45" t="s">
        <v>1004</v>
      </c>
      <c r="J2054" s="143" t="s">
        <v>347</v>
      </c>
      <c r="K2054" s="43" t="str">
        <f t="array" ref="K2054">IF(J2054="","", XLOOKUP(J2054,'⚙️ Pengaturan'!$E$2:$E3237,'⚙️ Pengaturan'!$G$2:$G3237))</f>
        <v>KLINIK FT PAKET</v>
      </c>
      <c r="L2054" s="43" t="str">
        <f t="shared" si="3"/>
        <v>LANJUTAN</v>
      </c>
      <c r="M2054" s="144" t="s">
        <v>164</v>
      </c>
      <c r="N2054" s="145">
        <v>700000.0</v>
      </c>
      <c r="O2054" s="146">
        <v>0.0</v>
      </c>
      <c r="P2054" s="48">
        <f t="array" ref="P2054">IFNA(XLOOKUP(J2054,'⚙️ Pengaturan'!$E$2:$E3237,'⚙️ Pengaturan'!$F$2:$F3237),"")</f>
        <v>1300000</v>
      </c>
      <c r="Q2054" s="147">
        <f t="shared" si="54"/>
        <v>-600000</v>
      </c>
      <c r="R2054" s="41" t="s">
        <v>37</v>
      </c>
      <c r="S2054" s="69" t="s">
        <v>1004</v>
      </c>
      <c r="T2054" s="51" t="b">
        <v>1</v>
      </c>
      <c r="U2054" s="94"/>
    </row>
    <row r="2055" ht="30.0" customHeight="1">
      <c r="A2055" s="39"/>
      <c r="B2055" s="164">
        <v>4093.0</v>
      </c>
      <c r="C2055" s="41" t="s">
        <v>39</v>
      </c>
      <c r="D2055" s="86">
        <v>46191.0</v>
      </c>
      <c r="E2055" s="43" t="str">
        <f t="shared" si="51"/>
        <v>2026</v>
      </c>
      <c r="F2055" s="43" t="str">
        <f t="shared" si="52"/>
        <v>06 Jun</v>
      </c>
      <c r="G2055" s="45" t="s">
        <v>195</v>
      </c>
      <c r="H2055" s="45" t="s">
        <v>162</v>
      </c>
      <c r="I2055" s="45" t="s">
        <v>1272</v>
      </c>
      <c r="J2055" s="143" t="s">
        <v>119</v>
      </c>
      <c r="K2055" s="43" t="str">
        <f t="array" ref="K2055">IF(J2055="","", XLOOKUP(J2055,'⚙️ Pengaturan'!$E$2:$E3237,'⚙️ Pengaturan'!$G$2:$G3237))</f>
        <v>KLINIK FT PAKET</v>
      </c>
      <c r="L2055" s="43" t="str">
        <f t="shared" si="3"/>
        <v>BARU</v>
      </c>
      <c r="M2055" s="144" t="s">
        <v>60</v>
      </c>
      <c r="N2055" s="145">
        <v>300000.0</v>
      </c>
      <c r="O2055" s="146">
        <v>0.0</v>
      </c>
      <c r="P2055" s="48">
        <f t="array" ref="P2055">IFNA(XLOOKUP(J2055,'⚙️ Pengaturan'!$E$2:$E3237,'⚙️ Pengaturan'!$F$2:$F3237),"")</f>
        <v>750000</v>
      </c>
      <c r="Q2055" s="147">
        <f t="shared" si="54"/>
        <v>-450000</v>
      </c>
      <c r="R2055" s="41" t="s">
        <v>37</v>
      </c>
      <c r="S2055" s="165" t="s">
        <v>1513</v>
      </c>
      <c r="T2055" s="51" t="b">
        <v>1</v>
      </c>
      <c r="U2055" s="94"/>
    </row>
    <row r="2056" ht="30.0" customHeight="1">
      <c r="A2056" s="39"/>
      <c r="B2056" s="40">
        <v>4094.0</v>
      </c>
      <c r="C2056" s="41" t="s">
        <v>39</v>
      </c>
      <c r="D2056" s="86">
        <v>46191.0</v>
      </c>
      <c r="E2056" s="43" t="str">
        <f t="shared" si="51"/>
        <v>2026</v>
      </c>
      <c r="F2056" s="43" t="str">
        <f t="shared" si="52"/>
        <v>06 Jun</v>
      </c>
      <c r="G2056" s="45" t="s">
        <v>195</v>
      </c>
      <c r="H2056" s="45" t="s">
        <v>150</v>
      </c>
      <c r="I2056" s="45" t="s">
        <v>1522</v>
      </c>
      <c r="J2056" s="143" t="s">
        <v>28</v>
      </c>
      <c r="K2056" s="43" t="str">
        <f t="array" ref="K2056">IF(J2056="","", XLOOKUP(J2056,'⚙️ Pengaturan'!$E$2:$E3237,'⚙️ Pengaturan'!$G$2:$G3237))</f>
        <v>KLINIK FT TA</v>
      </c>
      <c r="L2056" s="43" t="str">
        <f t="shared" si="3"/>
        <v>BARU</v>
      </c>
      <c r="M2056" s="144" t="s">
        <v>31</v>
      </c>
      <c r="N2056" s="145">
        <v>250000.0</v>
      </c>
      <c r="O2056" s="146">
        <v>0.0</v>
      </c>
      <c r="P2056" s="48">
        <f t="array" ref="P2056">IFNA(XLOOKUP(J2056,'⚙️ Pengaturan'!$E$2:$E3237,'⚙️ Pengaturan'!$F$2:$F3237),"")</f>
        <v>250000</v>
      </c>
      <c r="Q2056" s="147">
        <f t="shared" si="54"/>
        <v>0</v>
      </c>
      <c r="R2056" s="41" t="s">
        <v>37</v>
      </c>
      <c r="S2056" s="69" t="s">
        <v>1489</v>
      </c>
      <c r="T2056" s="51" t="b">
        <v>1</v>
      </c>
      <c r="U2056" s="94"/>
    </row>
    <row r="2057" ht="30.0" customHeight="1">
      <c r="A2057" s="39"/>
      <c r="B2057" s="164">
        <v>4095.0</v>
      </c>
      <c r="C2057" s="41" t="s">
        <v>39</v>
      </c>
      <c r="D2057" s="86">
        <v>46191.0</v>
      </c>
      <c r="E2057" s="43" t="str">
        <f t="shared" si="51"/>
        <v>2026</v>
      </c>
      <c r="F2057" s="43" t="str">
        <f t="shared" si="52"/>
        <v>06 Jun</v>
      </c>
      <c r="G2057" s="45" t="s">
        <v>25</v>
      </c>
      <c r="H2057" s="45" t="s">
        <v>166</v>
      </c>
      <c r="I2057" s="45" t="s">
        <v>750</v>
      </c>
      <c r="J2057" s="143" t="s">
        <v>120</v>
      </c>
      <c r="K2057" s="43" t="str">
        <f t="array" ref="K2057">IF(J2057="","", XLOOKUP(J2057,'⚙️ Pengaturan'!$E$2:$E3237,'⚙️ Pengaturan'!$G$2:$G3237))</f>
        <v>KLINIK FT SESI</v>
      </c>
      <c r="L2057" s="43" t="str">
        <f t="shared" si="3"/>
        <v>BARU</v>
      </c>
      <c r="M2057" s="144" t="s">
        <v>31</v>
      </c>
      <c r="N2057" s="145">
        <v>180000.0</v>
      </c>
      <c r="O2057" s="146">
        <v>0.0</v>
      </c>
      <c r="P2057" s="48">
        <f t="array" ref="P2057">IFNA(XLOOKUP(J2057,'⚙️ Pengaturan'!$E$2:$E3237,'⚙️ Pengaturan'!$F$2:$F3237),"")</f>
        <v>180000</v>
      </c>
      <c r="Q2057" s="147">
        <f t="shared" si="54"/>
        <v>0</v>
      </c>
      <c r="R2057" s="41" t="s">
        <v>37</v>
      </c>
      <c r="S2057" s="69" t="s">
        <v>893</v>
      </c>
      <c r="T2057" s="51" t="b">
        <v>1</v>
      </c>
      <c r="U2057" s="94"/>
    </row>
    <row r="2058" ht="30.0" customHeight="1">
      <c r="A2058" s="39"/>
      <c r="B2058" s="40">
        <v>4096.0</v>
      </c>
      <c r="C2058" s="41" t="s">
        <v>39</v>
      </c>
      <c r="D2058" s="86">
        <v>46191.0</v>
      </c>
      <c r="E2058" s="43" t="str">
        <f t="shared" si="51"/>
        <v>2026</v>
      </c>
      <c r="F2058" s="43" t="str">
        <f t="shared" si="52"/>
        <v>06 Jun</v>
      </c>
      <c r="G2058" s="45" t="s">
        <v>206</v>
      </c>
      <c r="H2058" s="45" t="s">
        <v>26</v>
      </c>
      <c r="I2058" s="45" t="s">
        <v>1514</v>
      </c>
      <c r="J2058" s="143" t="s">
        <v>119</v>
      </c>
      <c r="K2058" s="43" t="str">
        <f t="array" ref="K2058">IF(J2058="","", XLOOKUP(J2058,'⚙️ Pengaturan'!$E$2:$E3237,'⚙️ Pengaturan'!$G$2:$G3237))</f>
        <v>KLINIK FT PAKET</v>
      </c>
      <c r="L2058" s="43" t="str">
        <f t="shared" si="3"/>
        <v>BARU</v>
      </c>
      <c r="M2058" s="144" t="s">
        <v>31</v>
      </c>
      <c r="N2058" s="145">
        <v>750000.0</v>
      </c>
      <c r="O2058" s="146">
        <v>0.0</v>
      </c>
      <c r="P2058" s="48">
        <f t="array" ref="P2058">IFNA(XLOOKUP(J2058,'⚙️ Pengaturan'!$E$2:$E3237,'⚙️ Pengaturan'!$F$2:$F3237),"")</f>
        <v>750000</v>
      </c>
      <c r="Q2058" s="147">
        <f t="shared" si="54"/>
        <v>0</v>
      </c>
      <c r="R2058" s="41" t="s">
        <v>93</v>
      </c>
      <c r="S2058" s="76" t="s">
        <v>33</v>
      </c>
      <c r="T2058" s="51" t="b">
        <v>1</v>
      </c>
      <c r="U2058" s="94"/>
    </row>
    <row r="2059" ht="30.0" customHeight="1">
      <c r="A2059" s="39"/>
      <c r="B2059" s="164">
        <v>4097.0</v>
      </c>
      <c r="C2059" s="41" t="s">
        <v>39</v>
      </c>
      <c r="D2059" s="86">
        <v>46191.0</v>
      </c>
      <c r="E2059" s="43" t="str">
        <f t="shared" si="51"/>
        <v>2026</v>
      </c>
      <c r="F2059" s="43" t="str">
        <f t="shared" si="52"/>
        <v>06 Jun</v>
      </c>
      <c r="G2059" s="45" t="s">
        <v>206</v>
      </c>
      <c r="H2059" s="45" t="s">
        <v>150</v>
      </c>
      <c r="I2059" s="45" t="s">
        <v>1519</v>
      </c>
      <c r="J2059" s="143" t="s">
        <v>120</v>
      </c>
      <c r="K2059" s="43" t="str">
        <f t="array" ref="K2059">IF(J2059="","", XLOOKUP(J2059,'⚙️ Pengaturan'!$E$2:$E3237,'⚙️ Pengaturan'!$G$2:$G3237))</f>
        <v>KLINIK FT SESI</v>
      </c>
      <c r="L2059" s="43" t="str">
        <f t="shared" si="3"/>
        <v>BARU</v>
      </c>
      <c r="M2059" s="144" t="s">
        <v>31</v>
      </c>
      <c r="N2059" s="145">
        <v>180000.0</v>
      </c>
      <c r="O2059" s="146">
        <v>0.0</v>
      </c>
      <c r="P2059" s="48">
        <f t="array" ref="P2059">IFNA(XLOOKUP(J2059,'⚙️ Pengaturan'!$E$2:$E3237,'⚙️ Pengaturan'!$F$2:$F3237),"")</f>
        <v>180000</v>
      </c>
      <c r="Q2059" s="147">
        <f t="shared" si="54"/>
        <v>0</v>
      </c>
      <c r="R2059" s="41" t="s">
        <v>32</v>
      </c>
      <c r="S2059" s="76" t="s">
        <v>33</v>
      </c>
      <c r="T2059" s="51" t="b">
        <v>1</v>
      </c>
      <c r="U2059" s="94"/>
    </row>
    <row r="2060" ht="30.0" customHeight="1">
      <c r="A2060" s="39"/>
      <c r="B2060" s="40">
        <v>4098.0</v>
      </c>
      <c r="C2060" s="41" t="s">
        <v>39</v>
      </c>
      <c r="D2060" s="86">
        <v>46191.0</v>
      </c>
      <c r="E2060" s="43" t="str">
        <f t="shared" si="51"/>
        <v>2026</v>
      </c>
      <c r="F2060" s="43" t="str">
        <f t="shared" si="52"/>
        <v>06 Jun</v>
      </c>
      <c r="G2060" s="45" t="s">
        <v>241</v>
      </c>
      <c r="H2060" s="45" t="s">
        <v>162</v>
      </c>
      <c r="I2060" s="45" t="s">
        <v>1518</v>
      </c>
      <c r="J2060" s="143" t="s">
        <v>120</v>
      </c>
      <c r="K2060" s="43" t="str">
        <f t="array" ref="K2060">IF(J2060="","", XLOOKUP(J2060,'⚙️ Pengaturan'!$E$2:$E3237,'⚙️ Pengaturan'!$G$2:$G3237))</f>
        <v>KLINIK FT SESI</v>
      </c>
      <c r="L2060" s="43" t="str">
        <f t="shared" si="3"/>
        <v>BARU</v>
      </c>
      <c r="M2060" s="144" t="s">
        <v>31</v>
      </c>
      <c r="N2060" s="145">
        <v>180000.0</v>
      </c>
      <c r="O2060" s="146">
        <v>0.0</v>
      </c>
      <c r="P2060" s="48">
        <f t="array" ref="P2060">IFNA(XLOOKUP(J2060,'⚙️ Pengaturan'!$E$2:$E3237,'⚙️ Pengaturan'!$F$2:$F3237),"")</f>
        <v>180000</v>
      </c>
      <c r="Q2060" s="147">
        <f t="shared" si="54"/>
        <v>0</v>
      </c>
      <c r="R2060" s="41" t="s">
        <v>32</v>
      </c>
      <c r="S2060" s="76" t="s">
        <v>33</v>
      </c>
      <c r="T2060" s="51" t="b">
        <v>1</v>
      </c>
      <c r="U2060" s="94"/>
    </row>
    <row r="2061" ht="30.0" customHeight="1">
      <c r="A2061" s="39"/>
      <c r="B2061" s="164">
        <v>4099.0</v>
      </c>
      <c r="C2061" s="41" t="s">
        <v>39</v>
      </c>
      <c r="D2061" s="86">
        <v>46191.0</v>
      </c>
      <c r="E2061" s="43" t="str">
        <f t="shared" si="51"/>
        <v>2026</v>
      </c>
      <c r="F2061" s="43" t="str">
        <f t="shared" si="52"/>
        <v>06 Jun</v>
      </c>
      <c r="G2061" s="45" t="s">
        <v>161</v>
      </c>
      <c r="H2061" s="45" t="s">
        <v>150</v>
      </c>
      <c r="I2061" s="45" t="s">
        <v>1369</v>
      </c>
      <c r="J2061" s="143" t="s">
        <v>120</v>
      </c>
      <c r="K2061" s="43" t="str">
        <f t="array" ref="K2061">IF(J2061="","", XLOOKUP(J2061,'⚙️ Pengaturan'!$E$2:$E3237,'⚙️ Pengaturan'!$G$2:$G3237))</f>
        <v>KLINIK FT SESI</v>
      </c>
      <c r="L2061" s="43" t="str">
        <f t="shared" si="3"/>
        <v>BARU</v>
      </c>
      <c r="M2061" s="144" t="s">
        <v>31</v>
      </c>
      <c r="N2061" s="145">
        <v>180000.0</v>
      </c>
      <c r="O2061" s="146">
        <v>0.0</v>
      </c>
      <c r="P2061" s="48">
        <f t="array" ref="P2061">IFNA(XLOOKUP(J2061,'⚙️ Pengaturan'!$E$2:$E3237,'⚙️ Pengaturan'!$F$2:$F3237),"")</f>
        <v>180000</v>
      </c>
      <c r="Q2061" s="147">
        <f t="shared" si="54"/>
        <v>0</v>
      </c>
      <c r="R2061" s="41" t="s">
        <v>32</v>
      </c>
      <c r="S2061" s="76" t="s">
        <v>33</v>
      </c>
      <c r="T2061" s="51" t="b">
        <v>1</v>
      </c>
      <c r="U2061" s="94"/>
    </row>
    <row r="2062" ht="30.0" customHeight="1">
      <c r="A2062" s="39"/>
      <c r="B2062" s="40">
        <v>4100.0</v>
      </c>
      <c r="C2062" s="41" t="s">
        <v>50</v>
      </c>
      <c r="D2062" s="86">
        <v>46191.0</v>
      </c>
      <c r="E2062" s="43" t="str">
        <f t="shared" si="51"/>
        <v>2026</v>
      </c>
      <c r="F2062" s="43" t="str">
        <f t="shared" si="52"/>
        <v>06 Jun</v>
      </c>
      <c r="G2062" s="45" t="s">
        <v>69</v>
      </c>
      <c r="H2062" s="45" t="s">
        <v>149</v>
      </c>
      <c r="I2062" s="45" t="s">
        <v>1523</v>
      </c>
      <c r="J2062" s="143" t="s">
        <v>138</v>
      </c>
      <c r="K2062" s="43" t="str">
        <f t="array" ref="K2062">IF(J2062="","", XLOOKUP(J2062,'⚙️ Pengaturan'!$E$2:$E3237,'⚙️ Pengaturan'!$G$2:$G3237))</f>
        <v>VISIT FT PAKET</v>
      </c>
      <c r="L2062" s="43" t="str">
        <f t="shared" si="3"/>
        <v>BARU</v>
      </c>
      <c r="M2062" s="144" t="s">
        <v>31</v>
      </c>
      <c r="N2062" s="145">
        <v>1800000.0</v>
      </c>
      <c r="O2062" s="146">
        <v>0.0</v>
      </c>
      <c r="P2062" s="48">
        <f t="array" ref="P2062">IFNA(XLOOKUP(J2062,'⚙️ Pengaturan'!$E$2:$E3237,'⚙️ Pengaturan'!$F$2:$F3237),"")</f>
        <v>1800000</v>
      </c>
      <c r="Q2062" s="147">
        <f t="shared" si="54"/>
        <v>0</v>
      </c>
      <c r="R2062" s="41" t="s">
        <v>37</v>
      </c>
      <c r="S2062" s="69" t="s">
        <v>1523</v>
      </c>
      <c r="T2062" s="51" t="b">
        <v>1</v>
      </c>
      <c r="U2062" s="94"/>
    </row>
    <row r="2063" ht="30.0" customHeight="1">
      <c r="A2063" s="39"/>
      <c r="B2063" s="164">
        <v>4101.0</v>
      </c>
      <c r="C2063" s="41" t="s">
        <v>50</v>
      </c>
      <c r="D2063" s="86">
        <v>46191.0</v>
      </c>
      <c r="E2063" s="43" t="str">
        <f t="shared" si="51"/>
        <v>2026</v>
      </c>
      <c r="F2063" s="43" t="str">
        <f t="shared" si="52"/>
        <v>06 Jun</v>
      </c>
      <c r="G2063" s="45" t="s">
        <v>43</v>
      </c>
      <c r="H2063" s="45" t="s">
        <v>96</v>
      </c>
      <c r="I2063" s="45" t="s">
        <v>893</v>
      </c>
      <c r="J2063" s="143" t="s">
        <v>120</v>
      </c>
      <c r="K2063" s="43" t="str">
        <f t="array" ref="K2063">IF(J2063="","", XLOOKUP(J2063,'⚙️ Pengaturan'!$E$2:$E3237,'⚙️ Pengaturan'!$G$2:$G3237))</f>
        <v>KLINIK FT SESI</v>
      </c>
      <c r="L2063" s="43" t="str">
        <f t="shared" si="3"/>
        <v>LANJUTAN</v>
      </c>
      <c r="M2063" s="144" t="s">
        <v>31</v>
      </c>
      <c r="N2063" s="145">
        <v>180000.0</v>
      </c>
      <c r="O2063" s="146">
        <v>0.0</v>
      </c>
      <c r="P2063" s="48">
        <f t="array" ref="P2063">IFNA(XLOOKUP(J2063,'⚙️ Pengaturan'!$E$2:$E3237,'⚙️ Pengaturan'!$F$2:$F3237),"")</f>
        <v>180000</v>
      </c>
      <c r="Q2063" s="147">
        <f t="shared" si="54"/>
        <v>0</v>
      </c>
      <c r="R2063" s="41" t="s">
        <v>37</v>
      </c>
      <c r="S2063" s="76" t="s">
        <v>33</v>
      </c>
      <c r="T2063" s="51" t="b">
        <v>1</v>
      </c>
      <c r="U2063" s="94"/>
    </row>
    <row r="2064" ht="30.0" customHeight="1">
      <c r="A2064" s="39"/>
      <c r="B2064" s="40">
        <v>4102.0</v>
      </c>
      <c r="C2064" s="41" t="s">
        <v>50</v>
      </c>
      <c r="D2064" s="86">
        <v>46191.0</v>
      </c>
      <c r="E2064" s="43" t="str">
        <f t="shared" si="51"/>
        <v>2026</v>
      </c>
      <c r="F2064" s="43" t="str">
        <f t="shared" si="52"/>
        <v>06 Jun</v>
      </c>
      <c r="G2064" s="45" t="s">
        <v>43</v>
      </c>
      <c r="H2064" s="45" t="s">
        <v>47</v>
      </c>
      <c r="I2064" s="45" t="s">
        <v>1502</v>
      </c>
      <c r="J2064" s="143" t="s">
        <v>120</v>
      </c>
      <c r="K2064" s="43" t="str">
        <f t="array" ref="K2064">IF(J2064="","", XLOOKUP(J2064,'⚙️ Pengaturan'!$E$2:$E3237,'⚙️ Pengaturan'!$G$2:$G3237))</f>
        <v>KLINIK FT SESI</v>
      </c>
      <c r="L2064" s="43" t="str">
        <f t="shared" si="3"/>
        <v>BARU</v>
      </c>
      <c r="M2064" s="144" t="s">
        <v>31</v>
      </c>
      <c r="N2064" s="145">
        <v>180000.0</v>
      </c>
      <c r="O2064" s="146">
        <v>0.0</v>
      </c>
      <c r="P2064" s="48">
        <f t="array" ref="P2064">IFNA(XLOOKUP(J2064,'⚙️ Pengaturan'!$E$2:$E3237,'⚙️ Pengaturan'!$F$2:$F3237),"")</f>
        <v>180000</v>
      </c>
      <c r="Q2064" s="147">
        <f t="shared" si="54"/>
        <v>0</v>
      </c>
      <c r="R2064" s="41" t="s">
        <v>37</v>
      </c>
      <c r="S2064" s="76" t="s">
        <v>33</v>
      </c>
      <c r="T2064" s="51" t="b">
        <v>1</v>
      </c>
      <c r="U2064" s="94"/>
    </row>
    <row r="2065" ht="30.0" customHeight="1">
      <c r="A2065" s="39"/>
      <c r="B2065" s="164">
        <v>4103.0</v>
      </c>
      <c r="C2065" s="41" t="s">
        <v>39</v>
      </c>
      <c r="D2065" s="86">
        <v>46191.0</v>
      </c>
      <c r="E2065" s="43" t="str">
        <f t="shared" si="51"/>
        <v>2026</v>
      </c>
      <c r="F2065" s="43" t="str">
        <f t="shared" si="52"/>
        <v>06 Jun</v>
      </c>
      <c r="G2065" s="45" t="s">
        <v>206</v>
      </c>
      <c r="H2065" s="45" t="s">
        <v>166</v>
      </c>
      <c r="I2065" s="45" t="s">
        <v>1524</v>
      </c>
      <c r="J2065" s="143" t="s">
        <v>28</v>
      </c>
      <c r="K2065" s="43" t="str">
        <f t="array" ref="K2065">IF(J2065="","", XLOOKUP(J2065,'⚙️ Pengaturan'!$E$2:$E3237,'⚙️ Pengaturan'!$G$2:$G3237))</f>
        <v>KLINIK FT TA</v>
      </c>
      <c r="L2065" s="43" t="str">
        <f t="shared" si="3"/>
        <v>BARU</v>
      </c>
      <c r="M2065" s="144" t="s">
        <v>31</v>
      </c>
      <c r="N2065" s="145">
        <v>250000.0</v>
      </c>
      <c r="O2065" s="146">
        <v>0.0</v>
      </c>
      <c r="P2065" s="48">
        <f t="array" ref="P2065">IFNA(XLOOKUP(J2065,'⚙️ Pengaturan'!$E$2:$E3237,'⚙️ Pengaturan'!$F$2:$F3237),"")</f>
        <v>250000</v>
      </c>
      <c r="Q2065" s="147">
        <f t="shared" si="54"/>
        <v>0</v>
      </c>
      <c r="R2065" s="41" t="s">
        <v>37</v>
      </c>
      <c r="S2065" s="69" t="s">
        <v>1524</v>
      </c>
      <c r="T2065" s="51" t="b">
        <v>1</v>
      </c>
      <c r="U2065" s="94"/>
    </row>
    <row r="2066" ht="30.0" customHeight="1">
      <c r="A2066" s="39"/>
      <c r="B2066" s="40">
        <v>4104.0</v>
      </c>
      <c r="C2066" s="41" t="s">
        <v>50</v>
      </c>
      <c r="D2066" s="86">
        <v>46191.0</v>
      </c>
      <c r="E2066" s="43" t="str">
        <f t="shared" si="51"/>
        <v>2026</v>
      </c>
      <c r="F2066" s="43" t="str">
        <f t="shared" si="52"/>
        <v>06 Jun</v>
      </c>
      <c r="G2066" s="45" t="s">
        <v>40</v>
      </c>
      <c r="H2066" s="45" t="s">
        <v>149</v>
      </c>
      <c r="I2066" s="45" t="s">
        <v>1424</v>
      </c>
      <c r="J2066" s="143" t="s">
        <v>120</v>
      </c>
      <c r="K2066" s="43" t="str">
        <f t="array" ref="K2066">IF(J2066="","", XLOOKUP(J2066,'⚙️ Pengaturan'!$E$2:$E3237,'⚙️ Pengaturan'!$G$2:$G3237))</f>
        <v>KLINIK FT SESI</v>
      </c>
      <c r="L2066" s="43" t="str">
        <f t="shared" si="3"/>
        <v>LANJUTAN</v>
      </c>
      <c r="M2066" s="144" t="s">
        <v>31</v>
      </c>
      <c r="N2066" s="145">
        <v>180000.0</v>
      </c>
      <c r="O2066" s="146">
        <v>0.0</v>
      </c>
      <c r="P2066" s="48">
        <f t="array" ref="P2066">IFNA(XLOOKUP(J2066,'⚙️ Pengaturan'!$E$2:$E3237,'⚙️ Pengaturan'!$F$2:$F3237),"")</f>
        <v>180000</v>
      </c>
      <c r="Q2066" s="147">
        <f t="shared" si="54"/>
        <v>0</v>
      </c>
      <c r="R2066" s="41" t="s">
        <v>32</v>
      </c>
      <c r="S2066" s="76" t="s">
        <v>33</v>
      </c>
      <c r="T2066" s="51" t="b">
        <v>1</v>
      </c>
      <c r="U2066" s="94"/>
    </row>
    <row r="2067" ht="30.0" customHeight="1">
      <c r="A2067" s="39"/>
      <c r="B2067" s="164">
        <v>4105.0</v>
      </c>
      <c r="C2067" s="41" t="s">
        <v>50</v>
      </c>
      <c r="D2067" s="86">
        <v>46191.0</v>
      </c>
      <c r="E2067" s="43" t="str">
        <f t="shared" si="51"/>
        <v>2026</v>
      </c>
      <c r="F2067" s="43" t="str">
        <f t="shared" si="52"/>
        <v>06 Jun</v>
      </c>
      <c r="G2067" s="45" t="s">
        <v>40</v>
      </c>
      <c r="H2067" s="45" t="s">
        <v>96</v>
      </c>
      <c r="I2067" s="45" t="s">
        <v>1525</v>
      </c>
      <c r="J2067" s="143" t="s">
        <v>28</v>
      </c>
      <c r="K2067" s="43" t="str">
        <f t="array" ref="K2067">IF(J2067="","", XLOOKUP(J2067,'⚙️ Pengaturan'!$E$2:$E3237,'⚙️ Pengaturan'!$G$2:$G3237))</f>
        <v>KLINIK FT TA</v>
      </c>
      <c r="L2067" s="43" t="str">
        <f t="shared" si="3"/>
        <v>BARU</v>
      </c>
      <c r="M2067" s="144" t="s">
        <v>31</v>
      </c>
      <c r="N2067" s="145">
        <v>250000.0</v>
      </c>
      <c r="O2067" s="146">
        <v>0.0</v>
      </c>
      <c r="P2067" s="48">
        <f t="array" ref="P2067">IFNA(XLOOKUP(J2067,'⚙️ Pengaturan'!$E$2:$E3237,'⚙️ Pengaturan'!$F$2:$F3237),"")</f>
        <v>250000</v>
      </c>
      <c r="Q2067" s="147">
        <f t="shared" si="54"/>
        <v>0</v>
      </c>
      <c r="R2067" s="41" t="s">
        <v>37</v>
      </c>
      <c r="S2067" s="69" t="s">
        <v>1525</v>
      </c>
      <c r="T2067" s="51" t="b">
        <v>1</v>
      </c>
      <c r="U2067" s="94"/>
    </row>
    <row r="2068" ht="30.0" customHeight="1">
      <c r="A2068" s="39"/>
      <c r="B2068" s="40">
        <v>4106.0</v>
      </c>
      <c r="C2068" s="41" t="s">
        <v>50</v>
      </c>
      <c r="D2068" s="86">
        <v>46191.0</v>
      </c>
      <c r="E2068" s="43" t="str">
        <f t="shared" si="51"/>
        <v>2026</v>
      </c>
      <c r="F2068" s="43" t="str">
        <f t="shared" si="52"/>
        <v>06 Jun</v>
      </c>
      <c r="G2068" s="45" t="s">
        <v>40</v>
      </c>
      <c r="H2068" s="45" t="s">
        <v>47</v>
      </c>
      <c r="I2068" s="45" t="s">
        <v>1502</v>
      </c>
      <c r="J2068" s="143" t="s">
        <v>120</v>
      </c>
      <c r="K2068" s="43" t="str">
        <f t="array" ref="K2068">IF(J2068="","", XLOOKUP(J2068,'⚙️ Pengaturan'!$E$2:$E3237,'⚙️ Pengaturan'!$G$2:$G3237))</f>
        <v>KLINIK FT SESI</v>
      </c>
      <c r="L2068" s="43" t="str">
        <f t="shared" si="3"/>
        <v>LANJUTAN</v>
      </c>
      <c r="M2068" s="144" t="s">
        <v>31</v>
      </c>
      <c r="N2068" s="145">
        <v>180000.0</v>
      </c>
      <c r="O2068" s="146">
        <v>0.0</v>
      </c>
      <c r="P2068" s="48">
        <f t="array" ref="P2068">IFNA(XLOOKUP(J2068,'⚙️ Pengaturan'!$E$2:$E3237,'⚙️ Pengaturan'!$F$2:$F3237),"")</f>
        <v>180000</v>
      </c>
      <c r="Q2068" s="147">
        <f t="shared" si="54"/>
        <v>0</v>
      </c>
      <c r="R2068" s="41" t="s">
        <v>32</v>
      </c>
      <c r="S2068" s="76" t="s">
        <v>33</v>
      </c>
      <c r="T2068" s="51" t="b">
        <v>1</v>
      </c>
      <c r="U2068" s="94"/>
    </row>
    <row r="2069" ht="30.0" customHeight="1">
      <c r="A2069" s="39"/>
      <c r="B2069" s="164">
        <v>4107.0</v>
      </c>
      <c r="C2069" s="41" t="s">
        <v>50</v>
      </c>
      <c r="D2069" s="86">
        <v>46191.0</v>
      </c>
      <c r="E2069" s="43" t="str">
        <f t="shared" si="51"/>
        <v>2026</v>
      </c>
      <c r="F2069" s="43" t="str">
        <f t="shared" si="52"/>
        <v>06 Jun</v>
      </c>
      <c r="G2069" s="45" t="s">
        <v>43</v>
      </c>
      <c r="H2069" s="45" t="s">
        <v>96</v>
      </c>
      <c r="I2069" s="45" t="s">
        <v>893</v>
      </c>
      <c r="J2069" s="143" t="s">
        <v>120</v>
      </c>
      <c r="K2069" s="43" t="str">
        <f t="array" ref="K2069">IF(J2069="","", XLOOKUP(J2069,'⚙️ Pengaturan'!$E$2:$E3237,'⚙️ Pengaturan'!$G$2:$G3237))</f>
        <v>KLINIK FT SESI</v>
      </c>
      <c r="L2069" s="43" t="str">
        <f t="shared" si="3"/>
        <v>LANJUTAN</v>
      </c>
      <c r="M2069" s="144" t="s">
        <v>31</v>
      </c>
      <c r="N2069" s="145">
        <v>180000.0</v>
      </c>
      <c r="O2069" s="146">
        <v>0.0</v>
      </c>
      <c r="P2069" s="48">
        <f t="array" ref="P2069">IFNA(XLOOKUP(J2069,'⚙️ Pengaturan'!$E$2:$E3237,'⚙️ Pengaturan'!$F$2:$F3237),"")</f>
        <v>180000</v>
      </c>
      <c r="Q2069" s="147">
        <f t="shared" si="54"/>
        <v>0</v>
      </c>
      <c r="R2069" s="41" t="s">
        <v>32</v>
      </c>
      <c r="S2069" s="76" t="s">
        <v>33</v>
      </c>
      <c r="T2069" s="51" t="b">
        <v>1</v>
      </c>
      <c r="U2069" s="94"/>
    </row>
    <row r="2070" ht="30.0" customHeight="1">
      <c r="A2070" s="39"/>
      <c r="B2070" s="40">
        <v>4108.0</v>
      </c>
      <c r="C2070" s="41" t="s">
        <v>50</v>
      </c>
      <c r="D2070" s="86">
        <v>46191.0</v>
      </c>
      <c r="E2070" s="43" t="str">
        <f t="shared" si="51"/>
        <v>2026</v>
      </c>
      <c r="F2070" s="43" t="str">
        <f t="shared" si="52"/>
        <v>06 Jun</v>
      </c>
      <c r="G2070" s="45" t="s">
        <v>155</v>
      </c>
      <c r="H2070" s="45" t="s">
        <v>41</v>
      </c>
      <c r="I2070" s="45" t="s">
        <v>1499</v>
      </c>
      <c r="J2070" s="143" t="s">
        <v>120</v>
      </c>
      <c r="K2070" s="43" t="str">
        <f t="array" ref="K2070">IF(J2070="","", XLOOKUP(J2070,'⚙️ Pengaturan'!$E$2:$E3237,'⚙️ Pengaturan'!$G$2:$G3237))</f>
        <v>KLINIK FT SESI</v>
      </c>
      <c r="L2070" s="43" t="str">
        <f t="shared" si="3"/>
        <v>BARU</v>
      </c>
      <c r="M2070" s="144" t="s">
        <v>31</v>
      </c>
      <c r="N2070" s="145">
        <v>180000.0</v>
      </c>
      <c r="O2070" s="146">
        <v>0.0</v>
      </c>
      <c r="P2070" s="48">
        <f t="array" ref="P2070">IFNA(XLOOKUP(J2070,'⚙️ Pengaturan'!$E$2:$E3237,'⚙️ Pengaturan'!$F$2:$F3237),"")</f>
        <v>180000</v>
      </c>
      <c r="Q2070" s="147">
        <f t="shared" si="54"/>
        <v>0</v>
      </c>
      <c r="R2070" s="41" t="s">
        <v>37</v>
      </c>
      <c r="S2070" s="69" t="s">
        <v>1499</v>
      </c>
      <c r="T2070" s="51" t="b">
        <v>1</v>
      </c>
      <c r="U2070" s="94"/>
    </row>
    <row r="2071" ht="30.0" customHeight="1">
      <c r="A2071" s="39"/>
      <c r="B2071" s="164">
        <v>4109.0</v>
      </c>
      <c r="C2071" s="41" t="s">
        <v>50</v>
      </c>
      <c r="D2071" s="86">
        <v>46191.0</v>
      </c>
      <c r="E2071" s="43" t="str">
        <f t="shared" si="51"/>
        <v>2026</v>
      </c>
      <c r="F2071" s="43" t="str">
        <f t="shared" si="52"/>
        <v>06 Jun</v>
      </c>
      <c r="G2071" s="45" t="s">
        <v>155</v>
      </c>
      <c r="H2071" s="45" t="s">
        <v>47</v>
      </c>
      <c r="I2071" s="45" t="s">
        <v>1500</v>
      </c>
      <c r="J2071" s="143" t="s">
        <v>120</v>
      </c>
      <c r="K2071" s="43" t="str">
        <f t="array" ref="K2071">IF(J2071="","", XLOOKUP(J2071,'⚙️ Pengaturan'!$E$2:$E3237,'⚙️ Pengaturan'!$G$2:$G3237))</f>
        <v>KLINIK FT SESI</v>
      </c>
      <c r="L2071" s="43" t="str">
        <f t="shared" si="3"/>
        <v>BARU</v>
      </c>
      <c r="M2071" s="144" t="s">
        <v>31</v>
      </c>
      <c r="N2071" s="145">
        <v>144000.0</v>
      </c>
      <c r="O2071" s="146">
        <v>36000.0</v>
      </c>
      <c r="P2071" s="48">
        <f t="array" ref="P2071">IFNA(XLOOKUP(J2071,'⚙️ Pengaturan'!$E$2:$E3237,'⚙️ Pengaturan'!$F$2:$F3237),"")</f>
        <v>180000</v>
      </c>
      <c r="Q2071" s="147">
        <f t="shared" si="54"/>
        <v>0</v>
      </c>
      <c r="R2071" s="41" t="s">
        <v>37</v>
      </c>
      <c r="S2071" s="69" t="s">
        <v>1500</v>
      </c>
      <c r="T2071" s="51" t="b">
        <v>1</v>
      </c>
      <c r="U2071" s="94"/>
    </row>
    <row r="2072" ht="30.0" customHeight="1">
      <c r="A2072" s="39"/>
      <c r="B2072" s="40">
        <v>4110.0</v>
      </c>
      <c r="C2072" s="41" t="s">
        <v>50</v>
      </c>
      <c r="D2072" s="86">
        <v>46191.0</v>
      </c>
      <c r="E2072" s="43" t="str">
        <f t="shared" si="51"/>
        <v>2026</v>
      </c>
      <c r="F2072" s="43" t="str">
        <f t="shared" si="52"/>
        <v>06 Jun</v>
      </c>
      <c r="G2072" s="45" t="s">
        <v>155</v>
      </c>
      <c r="H2072" s="45" t="s">
        <v>149</v>
      </c>
      <c r="I2072" s="45" t="s">
        <v>174</v>
      </c>
      <c r="J2072" s="143" t="s">
        <v>374</v>
      </c>
      <c r="K2072" s="43" t="str">
        <f t="array" ref="K2072">IF(J2072="","", XLOOKUP(J2072,'⚙️ Pengaturan'!$E$2:$E3237,'⚙️ Pengaturan'!$G$2:$G3237))</f>
        <v>KELAS SKOLIO SESI</v>
      </c>
      <c r="L2072" s="43" t="str">
        <f t="shared" si="3"/>
        <v>LANJUTAN</v>
      </c>
      <c r="M2072" s="144" t="s">
        <v>31</v>
      </c>
      <c r="N2072" s="145">
        <v>120000.0</v>
      </c>
      <c r="O2072" s="146">
        <v>0.0</v>
      </c>
      <c r="P2072" s="48">
        <f t="array" ref="P2072">IFNA(XLOOKUP(J2072,'⚙️ Pengaturan'!$E$2:$E3237,'⚙️ Pengaturan'!$F$2:$F3237),"")</f>
        <v>120000</v>
      </c>
      <c r="Q2072" s="147">
        <f t="shared" si="54"/>
        <v>0</v>
      </c>
      <c r="R2072" s="41" t="s">
        <v>37</v>
      </c>
      <c r="S2072" s="69" t="s">
        <v>174</v>
      </c>
      <c r="T2072" s="51" t="b">
        <v>1</v>
      </c>
      <c r="U2072" s="94"/>
    </row>
    <row r="2073" ht="30.0" customHeight="1">
      <c r="A2073" s="39"/>
      <c r="B2073" s="164">
        <v>4111.0</v>
      </c>
      <c r="C2073" s="41" t="s">
        <v>50</v>
      </c>
      <c r="D2073" s="86">
        <v>46191.0</v>
      </c>
      <c r="E2073" s="43" t="str">
        <f t="shared" si="51"/>
        <v>2026</v>
      </c>
      <c r="F2073" s="43" t="str">
        <f t="shared" si="52"/>
        <v>06 Jun</v>
      </c>
      <c r="G2073" s="45" t="s">
        <v>190</v>
      </c>
      <c r="H2073" s="45" t="s">
        <v>149</v>
      </c>
      <c r="I2073" s="45" t="s">
        <v>790</v>
      </c>
      <c r="J2073" s="143" t="s">
        <v>28</v>
      </c>
      <c r="K2073" s="43" t="str">
        <f t="array" ref="K2073">IF(J2073="","", XLOOKUP(J2073,'⚙️ Pengaturan'!$E$2:$E3237,'⚙️ Pengaturan'!$G$2:$G3237))</f>
        <v>KLINIK FT TA</v>
      </c>
      <c r="L2073" s="43" t="str">
        <f t="shared" si="3"/>
        <v>LANJUTAN</v>
      </c>
      <c r="M2073" s="144" t="s">
        <v>31</v>
      </c>
      <c r="N2073" s="145">
        <v>250000.0</v>
      </c>
      <c r="O2073" s="146">
        <v>0.0</v>
      </c>
      <c r="P2073" s="48">
        <f t="array" ref="P2073">IFNA(XLOOKUP(J2073,'⚙️ Pengaturan'!$E$2:$E3237,'⚙️ Pengaturan'!$F$2:$F3237),"")</f>
        <v>250000</v>
      </c>
      <c r="Q2073" s="147">
        <f t="shared" si="54"/>
        <v>0</v>
      </c>
      <c r="R2073" s="41" t="s">
        <v>32</v>
      </c>
      <c r="S2073" s="76" t="s">
        <v>33</v>
      </c>
      <c r="T2073" s="51" t="b">
        <v>1</v>
      </c>
      <c r="U2073" s="94"/>
    </row>
    <row r="2074" ht="30.0" customHeight="1">
      <c r="A2074" s="39"/>
      <c r="B2074" s="40">
        <v>4112.0</v>
      </c>
      <c r="C2074" s="41" t="s">
        <v>50</v>
      </c>
      <c r="D2074" s="86">
        <v>46191.0</v>
      </c>
      <c r="E2074" s="43" t="str">
        <f t="shared" si="51"/>
        <v>2026</v>
      </c>
      <c r="F2074" s="43" t="str">
        <f t="shared" si="52"/>
        <v>06 Jun</v>
      </c>
      <c r="G2074" s="45" t="s">
        <v>190</v>
      </c>
      <c r="H2074" s="45" t="s">
        <v>41</v>
      </c>
      <c r="I2074" s="45" t="s">
        <v>1501</v>
      </c>
      <c r="J2074" s="143" t="s">
        <v>347</v>
      </c>
      <c r="K2074" s="43" t="str">
        <f t="array" ref="K2074">IF(J2074="","", XLOOKUP(J2074,'⚙️ Pengaturan'!$E$2:$E3237,'⚙️ Pengaturan'!$G$2:$G3237))</f>
        <v>KLINIK FT PAKET</v>
      </c>
      <c r="L2074" s="43" t="str">
        <f t="shared" si="3"/>
        <v>BARU</v>
      </c>
      <c r="M2074" s="144" t="s">
        <v>31</v>
      </c>
      <c r="N2074" s="145">
        <v>1300000.0</v>
      </c>
      <c r="O2074" s="146">
        <v>0.0</v>
      </c>
      <c r="P2074" s="48">
        <f t="array" ref="P2074">IFNA(XLOOKUP(J2074,'⚙️ Pengaturan'!$E$2:$E3237,'⚙️ Pengaturan'!$F$2:$F3237),"")</f>
        <v>1300000</v>
      </c>
      <c r="Q2074" s="147">
        <f t="shared" si="54"/>
        <v>0</v>
      </c>
      <c r="R2074" s="41" t="s">
        <v>37</v>
      </c>
      <c r="S2074" s="69" t="s">
        <v>1501</v>
      </c>
      <c r="T2074" s="51" t="b">
        <v>1</v>
      </c>
      <c r="U2074" s="94"/>
    </row>
    <row r="2075" ht="30.0" customHeight="1">
      <c r="A2075" s="39"/>
      <c r="B2075" s="164">
        <v>4113.0</v>
      </c>
      <c r="C2075" s="41" t="s">
        <v>50</v>
      </c>
      <c r="D2075" s="86">
        <v>46191.0</v>
      </c>
      <c r="E2075" s="43" t="str">
        <f t="shared" si="51"/>
        <v>2026</v>
      </c>
      <c r="F2075" s="43" t="str">
        <f t="shared" si="52"/>
        <v>06 Jun</v>
      </c>
      <c r="G2075" s="45" t="s">
        <v>190</v>
      </c>
      <c r="H2075" s="45" t="s">
        <v>41</v>
      </c>
      <c r="I2075" s="45" t="s">
        <v>1474</v>
      </c>
      <c r="J2075" s="143" t="s">
        <v>120</v>
      </c>
      <c r="K2075" s="43" t="str">
        <f t="array" ref="K2075">IF(J2075="","", XLOOKUP(J2075,'⚙️ Pengaturan'!$E$2:$E3237,'⚙️ Pengaturan'!$G$2:$G3237))</f>
        <v>KLINIK FT SESI</v>
      </c>
      <c r="L2075" s="43" t="str">
        <f t="shared" si="3"/>
        <v>LANJUTAN</v>
      </c>
      <c r="M2075" s="144" t="s">
        <v>31</v>
      </c>
      <c r="N2075" s="145">
        <v>180000.0</v>
      </c>
      <c r="O2075" s="146">
        <v>0.0</v>
      </c>
      <c r="P2075" s="48">
        <f t="array" ref="P2075">IFNA(XLOOKUP(J2075,'⚙️ Pengaturan'!$E$2:$E3237,'⚙️ Pengaturan'!$F$2:$F3237),"")</f>
        <v>180000</v>
      </c>
      <c r="Q2075" s="147">
        <f t="shared" si="54"/>
        <v>0</v>
      </c>
      <c r="R2075" s="41" t="s">
        <v>32</v>
      </c>
      <c r="S2075" s="76" t="s">
        <v>33</v>
      </c>
      <c r="T2075" s="51" t="b">
        <v>1</v>
      </c>
      <c r="U2075" s="94"/>
    </row>
    <row r="2076" ht="30.0" customHeight="1">
      <c r="A2076" s="39"/>
      <c r="B2076" s="40">
        <v>4114.0</v>
      </c>
      <c r="C2076" s="41" t="s">
        <v>39</v>
      </c>
      <c r="D2076" s="86">
        <v>46192.0</v>
      </c>
      <c r="E2076" s="43" t="str">
        <f t="shared" si="51"/>
        <v>2026</v>
      </c>
      <c r="F2076" s="43" t="str">
        <f t="shared" si="52"/>
        <v>06 Jun</v>
      </c>
      <c r="G2076" s="45" t="s">
        <v>25</v>
      </c>
      <c r="H2076" s="45" t="s">
        <v>149</v>
      </c>
      <c r="I2076" s="45" t="s">
        <v>1526</v>
      </c>
      <c r="J2076" s="143" t="s">
        <v>28</v>
      </c>
      <c r="K2076" s="43" t="str">
        <f t="array" ref="K2076">IF(J2076="","", XLOOKUP(J2076,'⚙️ Pengaturan'!$E$2:$E3237,'⚙️ Pengaturan'!$G$2:$G3237))</f>
        <v>KLINIK FT TA</v>
      </c>
      <c r="L2076" s="43" t="str">
        <f t="shared" si="3"/>
        <v>BARU</v>
      </c>
      <c r="M2076" s="144" t="s">
        <v>31</v>
      </c>
      <c r="N2076" s="145">
        <v>250000.0</v>
      </c>
      <c r="O2076" s="146">
        <v>0.0</v>
      </c>
      <c r="P2076" s="48">
        <f t="array" ref="P2076">IFNA(XLOOKUP(J2076,'⚙️ Pengaturan'!$E$2:$E3237,'⚙️ Pengaturan'!$F$2:$F3237),"")</f>
        <v>250000</v>
      </c>
      <c r="Q2076" s="147">
        <f t="shared" si="54"/>
        <v>0</v>
      </c>
      <c r="R2076" s="41" t="s">
        <v>32</v>
      </c>
      <c r="S2076" s="76" t="s">
        <v>33</v>
      </c>
      <c r="T2076" s="51" t="b">
        <v>1</v>
      </c>
      <c r="U2076" s="94"/>
    </row>
    <row r="2077" ht="30.0" customHeight="1">
      <c r="A2077" s="39"/>
      <c r="B2077" s="164">
        <v>4115.0</v>
      </c>
      <c r="C2077" s="41" t="s">
        <v>39</v>
      </c>
      <c r="D2077" s="86">
        <v>46192.0</v>
      </c>
      <c r="E2077" s="43" t="str">
        <f t="shared" si="51"/>
        <v>2026</v>
      </c>
      <c r="F2077" s="43" t="str">
        <f t="shared" si="52"/>
        <v>06 Jun</v>
      </c>
      <c r="G2077" s="45" t="s">
        <v>206</v>
      </c>
      <c r="H2077" s="45" t="s">
        <v>162</v>
      </c>
      <c r="I2077" s="45" t="s">
        <v>1527</v>
      </c>
      <c r="J2077" s="143" t="s">
        <v>28</v>
      </c>
      <c r="K2077" s="43" t="str">
        <f t="array" ref="K2077">IF(J2077="","", XLOOKUP(J2077,'⚙️ Pengaturan'!$E$2:$E3237,'⚙️ Pengaturan'!$G$2:$G3237))</f>
        <v>KLINIK FT TA</v>
      </c>
      <c r="L2077" s="43" t="str">
        <f t="shared" si="3"/>
        <v>BARU</v>
      </c>
      <c r="M2077" s="144" t="s">
        <v>31</v>
      </c>
      <c r="N2077" s="145">
        <v>250000.0</v>
      </c>
      <c r="O2077" s="146">
        <v>0.0</v>
      </c>
      <c r="P2077" s="48">
        <f t="array" ref="P2077">IFNA(XLOOKUP(J2077,'⚙️ Pengaturan'!$E$2:$E3237,'⚙️ Pengaturan'!$F$2:$F3237),"")</f>
        <v>250000</v>
      </c>
      <c r="Q2077" s="147">
        <f t="shared" si="54"/>
        <v>0</v>
      </c>
      <c r="R2077" s="41" t="s">
        <v>32</v>
      </c>
      <c r="S2077" s="76" t="s">
        <v>33</v>
      </c>
      <c r="T2077" s="51" t="b">
        <v>1</v>
      </c>
      <c r="U2077" s="94"/>
    </row>
    <row r="2078" ht="30.0" customHeight="1">
      <c r="A2078" s="39"/>
      <c r="B2078" s="40">
        <v>4116.0</v>
      </c>
      <c r="C2078" s="41" t="s">
        <v>39</v>
      </c>
      <c r="D2078" s="86">
        <v>46192.0</v>
      </c>
      <c r="E2078" s="43" t="str">
        <f t="shared" si="51"/>
        <v>2026</v>
      </c>
      <c r="F2078" s="43" t="str">
        <f t="shared" si="52"/>
        <v>06 Jun</v>
      </c>
      <c r="G2078" s="45" t="s">
        <v>161</v>
      </c>
      <c r="H2078" s="45" t="s">
        <v>149</v>
      </c>
      <c r="I2078" s="45" t="s">
        <v>1327</v>
      </c>
      <c r="J2078" s="143" t="s">
        <v>119</v>
      </c>
      <c r="K2078" s="43" t="str">
        <f t="array" ref="K2078">IF(J2078="","", XLOOKUP(J2078,'⚙️ Pengaturan'!$E$2:$E3237,'⚙️ Pengaturan'!$G$2:$G3237))</f>
        <v>KLINIK FT PAKET</v>
      </c>
      <c r="L2078" s="43" t="str">
        <f t="shared" si="3"/>
        <v>LANJUTAN</v>
      </c>
      <c r="M2078" s="144" t="s">
        <v>31</v>
      </c>
      <c r="N2078" s="145">
        <v>750000.0</v>
      </c>
      <c r="O2078" s="146">
        <v>0.0</v>
      </c>
      <c r="P2078" s="48">
        <f t="array" ref="P2078">IFNA(XLOOKUP(J2078,'⚙️ Pengaturan'!$E$2:$E3237,'⚙️ Pengaturan'!$F$2:$F3237),"")</f>
        <v>750000</v>
      </c>
      <c r="Q2078" s="147">
        <f t="shared" si="54"/>
        <v>0</v>
      </c>
      <c r="R2078" s="41" t="s">
        <v>32</v>
      </c>
      <c r="S2078" s="76" t="s">
        <v>33</v>
      </c>
      <c r="T2078" s="51" t="b">
        <v>1</v>
      </c>
      <c r="U2078" s="94"/>
    </row>
    <row r="2079" ht="30.0" customHeight="1">
      <c r="A2079" s="39"/>
      <c r="B2079" s="164">
        <v>4117.0</v>
      </c>
      <c r="C2079" s="41" t="s">
        <v>50</v>
      </c>
      <c r="D2079" s="86">
        <v>46192.0</v>
      </c>
      <c r="E2079" s="43" t="str">
        <f t="shared" si="51"/>
        <v>2026</v>
      </c>
      <c r="F2079" s="43" t="str">
        <f t="shared" si="52"/>
        <v>06 Jun</v>
      </c>
      <c r="G2079" s="45" t="s">
        <v>40</v>
      </c>
      <c r="H2079" s="45" t="s">
        <v>26</v>
      </c>
      <c r="I2079" s="45" t="s">
        <v>1528</v>
      </c>
      <c r="J2079" s="143" t="s">
        <v>28</v>
      </c>
      <c r="K2079" s="43" t="str">
        <f t="array" ref="K2079">IF(J2079="","", XLOOKUP(J2079,'⚙️ Pengaturan'!$E$2:$E3237,'⚙️ Pengaturan'!$G$2:$G3237))</f>
        <v>KLINIK FT TA</v>
      </c>
      <c r="L2079" s="43" t="str">
        <f t="shared" si="3"/>
        <v>BARU</v>
      </c>
      <c r="M2079" s="144" t="s">
        <v>31</v>
      </c>
      <c r="N2079" s="145">
        <v>250000.0</v>
      </c>
      <c r="O2079" s="146">
        <v>0.0</v>
      </c>
      <c r="P2079" s="48">
        <f t="array" ref="P2079">IFNA(XLOOKUP(J2079,'⚙️ Pengaturan'!$E$2:$E3237,'⚙️ Pengaturan'!$F$2:$F3237),"")</f>
        <v>250000</v>
      </c>
      <c r="Q2079" s="147">
        <f t="shared" si="54"/>
        <v>0</v>
      </c>
      <c r="R2079" s="41" t="s">
        <v>118</v>
      </c>
      <c r="S2079" s="69" t="s">
        <v>1528</v>
      </c>
      <c r="T2079" s="51" t="b">
        <v>1</v>
      </c>
      <c r="U2079" s="94"/>
    </row>
    <row r="2080" ht="30.0" customHeight="1">
      <c r="A2080" s="39"/>
      <c r="B2080" s="40">
        <v>4118.0</v>
      </c>
      <c r="C2080" s="41" t="s">
        <v>50</v>
      </c>
      <c r="D2080" s="86">
        <v>46192.0</v>
      </c>
      <c r="E2080" s="43" t="str">
        <f t="shared" si="51"/>
        <v>2026</v>
      </c>
      <c r="F2080" s="43" t="str">
        <f t="shared" si="52"/>
        <v>06 Jun</v>
      </c>
      <c r="G2080" s="45" t="s">
        <v>40</v>
      </c>
      <c r="H2080" s="45" t="s">
        <v>166</v>
      </c>
      <c r="I2080" s="45" t="s">
        <v>902</v>
      </c>
      <c r="J2080" s="143" t="s">
        <v>28</v>
      </c>
      <c r="K2080" s="43" t="str">
        <f t="array" ref="K2080">IF(J2080="","", XLOOKUP(J2080,'⚙️ Pengaturan'!$E$2:$E3237,'⚙️ Pengaturan'!$G$2:$G3237))</f>
        <v>KLINIK FT TA</v>
      </c>
      <c r="L2080" s="43" t="str">
        <f t="shared" si="3"/>
        <v>LANJUTAN</v>
      </c>
      <c r="M2080" s="144" t="s">
        <v>31</v>
      </c>
      <c r="N2080" s="145">
        <v>250000.0</v>
      </c>
      <c r="O2080" s="146">
        <v>0.0</v>
      </c>
      <c r="P2080" s="48">
        <f t="array" ref="P2080">IFNA(XLOOKUP(J2080,'⚙️ Pengaturan'!$E$2:$E3237,'⚙️ Pengaturan'!$F$2:$F3237),"")</f>
        <v>250000</v>
      </c>
      <c r="Q2080" s="147">
        <f t="shared" si="54"/>
        <v>0</v>
      </c>
      <c r="R2080" s="41" t="s">
        <v>37</v>
      </c>
      <c r="S2080" s="69" t="s">
        <v>902</v>
      </c>
      <c r="T2080" s="51" t="b">
        <v>1</v>
      </c>
      <c r="U2080" s="94"/>
    </row>
    <row r="2081" ht="30.0" customHeight="1">
      <c r="A2081" s="39"/>
      <c r="B2081" s="164">
        <v>4119.0</v>
      </c>
      <c r="C2081" s="41" t="s">
        <v>50</v>
      </c>
      <c r="D2081" s="86">
        <v>46192.0</v>
      </c>
      <c r="E2081" s="43" t="str">
        <f t="shared" si="51"/>
        <v>2026</v>
      </c>
      <c r="F2081" s="43" t="str">
        <f t="shared" si="52"/>
        <v>06 Jun</v>
      </c>
      <c r="G2081" s="45" t="s">
        <v>43</v>
      </c>
      <c r="H2081" s="45" t="s">
        <v>166</v>
      </c>
      <c r="I2081" s="45" t="s">
        <v>1519</v>
      </c>
      <c r="J2081" s="143" t="s">
        <v>120</v>
      </c>
      <c r="K2081" s="43" t="str">
        <f t="array" ref="K2081">IF(J2081="","", XLOOKUP(J2081,'⚙️ Pengaturan'!$E$2:$E3237,'⚙️ Pengaturan'!$G$2:$G3237))</f>
        <v>KLINIK FT SESI</v>
      </c>
      <c r="L2081" s="43" t="str">
        <f t="shared" si="3"/>
        <v>LANJUTAN</v>
      </c>
      <c r="M2081" s="144" t="s">
        <v>31</v>
      </c>
      <c r="N2081" s="145">
        <v>180000.0</v>
      </c>
      <c r="O2081" s="146">
        <v>0.0</v>
      </c>
      <c r="P2081" s="48">
        <f t="array" ref="P2081">IFNA(XLOOKUP(J2081,'⚙️ Pengaturan'!$E$2:$E3237,'⚙️ Pengaturan'!$F$2:$F3237),"")</f>
        <v>180000</v>
      </c>
      <c r="Q2081" s="147">
        <f t="shared" si="54"/>
        <v>0</v>
      </c>
      <c r="R2081" s="41" t="s">
        <v>32</v>
      </c>
      <c r="S2081" s="76" t="s">
        <v>33</v>
      </c>
      <c r="T2081" s="51" t="b">
        <v>1</v>
      </c>
      <c r="U2081" s="94"/>
    </row>
    <row r="2082" ht="30.0" customHeight="1">
      <c r="A2082" s="39"/>
      <c r="B2082" s="40">
        <v>4120.0</v>
      </c>
      <c r="C2082" s="41" t="s">
        <v>50</v>
      </c>
      <c r="D2082" s="86">
        <v>46192.0</v>
      </c>
      <c r="E2082" s="43" t="str">
        <f t="shared" si="51"/>
        <v>2026</v>
      </c>
      <c r="F2082" s="43" t="str">
        <f t="shared" si="52"/>
        <v>06 Jun</v>
      </c>
      <c r="G2082" s="45" t="s">
        <v>173</v>
      </c>
      <c r="H2082" s="45" t="s">
        <v>166</v>
      </c>
      <c r="I2082" s="45" t="s">
        <v>1529</v>
      </c>
      <c r="J2082" s="143" t="s">
        <v>28</v>
      </c>
      <c r="K2082" s="43" t="str">
        <f t="array" ref="K2082">IF(J2082="","", XLOOKUP(J2082,'⚙️ Pengaturan'!$E$2:$E3237,'⚙️ Pengaturan'!$G$2:$G3237))</f>
        <v>KLINIK FT TA</v>
      </c>
      <c r="L2082" s="43" t="str">
        <f t="shared" si="3"/>
        <v>BARU</v>
      </c>
      <c r="M2082" s="144" t="s">
        <v>31</v>
      </c>
      <c r="N2082" s="145">
        <v>250000.0</v>
      </c>
      <c r="O2082" s="146">
        <v>0.0</v>
      </c>
      <c r="P2082" s="48">
        <f t="array" ref="P2082">IFNA(XLOOKUP(J2082,'⚙️ Pengaturan'!$E$2:$E3237,'⚙️ Pengaturan'!$F$2:$F3237),"")</f>
        <v>250000</v>
      </c>
      <c r="Q2082" s="147">
        <f t="shared" si="54"/>
        <v>0</v>
      </c>
      <c r="R2082" s="41" t="s">
        <v>32</v>
      </c>
      <c r="S2082" s="76" t="s">
        <v>33</v>
      </c>
      <c r="T2082" s="51" t="b">
        <v>1</v>
      </c>
      <c r="U2082" s="94"/>
    </row>
    <row r="2083" ht="30.0" customHeight="1">
      <c r="A2083" s="39"/>
      <c r="B2083" s="164">
        <v>4121.0</v>
      </c>
      <c r="C2083" s="41" t="s">
        <v>50</v>
      </c>
      <c r="D2083" s="86">
        <v>46192.0</v>
      </c>
      <c r="E2083" s="43" t="str">
        <f t="shared" si="51"/>
        <v>2026</v>
      </c>
      <c r="F2083" s="43" t="str">
        <f t="shared" si="52"/>
        <v>06 Jun</v>
      </c>
      <c r="G2083" s="45" t="s">
        <v>173</v>
      </c>
      <c r="H2083" s="45" t="s">
        <v>26</v>
      </c>
      <c r="I2083" s="45" t="s">
        <v>1530</v>
      </c>
      <c r="J2083" s="143" t="s">
        <v>28</v>
      </c>
      <c r="K2083" s="43" t="str">
        <f t="array" ref="K2083">IF(J2083="","", XLOOKUP(J2083,'⚙️ Pengaturan'!$E$2:$E3237,'⚙️ Pengaturan'!$G$2:$G3237))</f>
        <v>KLINIK FT TA</v>
      </c>
      <c r="L2083" s="43" t="str">
        <f t="shared" si="3"/>
        <v>BARU</v>
      </c>
      <c r="M2083" s="144" t="s">
        <v>31</v>
      </c>
      <c r="N2083" s="145">
        <v>250000.0</v>
      </c>
      <c r="O2083" s="146">
        <v>0.0</v>
      </c>
      <c r="P2083" s="48">
        <f t="array" ref="P2083">IFNA(XLOOKUP(J2083,'⚙️ Pengaturan'!$E$2:$E3237,'⚙️ Pengaturan'!$F$2:$F3237),"")</f>
        <v>250000</v>
      </c>
      <c r="Q2083" s="147">
        <f t="shared" si="54"/>
        <v>0</v>
      </c>
      <c r="R2083" s="41" t="s">
        <v>93</v>
      </c>
      <c r="S2083" s="69" t="s">
        <v>1530</v>
      </c>
      <c r="T2083" s="51" t="b">
        <v>1</v>
      </c>
      <c r="U2083" s="94"/>
    </row>
    <row r="2084" ht="30.0" customHeight="1">
      <c r="A2084" s="39"/>
      <c r="B2084" s="40">
        <v>4122.0</v>
      </c>
      <c r="C2084" s="41" t="s">
        <v>50</v>
      </c>
      <c r="D2084" s="86">
        <v>46192.0</v>
      </c>
      <c r="E2084" s="43" t="str">
        <f t="shared" si="51"/>
        <v>2026</v>
      </c>
      <c r="F2084" s="43" t="str">
        <f t="shared" si="52"/>
        <v>06 Jun</v>
      </c>
      <c r="G2084" s="45" t="s">
        <v>155</v>
      </c>
      <c r="H2084" s="45" t="s">
        <v>156</v>
      </c>
      <c r="I2084" s="45" t="s">
        <v>1531</v>
      </c>
      <c r="J2084" s="143" t="s">
        <v>28</v>
      </c>
      <c r="K2084" s="43" t="str">
        <f t="array" ref="K2084">IF(J2084="","", XLOOKUP(J2084,'⚙️ Pengaturan'!$E$2:$E3237,'⚙️ Pengaturan'!$G$2:$G3237))</f>
        <v>KLINIK FT TA</v>
      </c>
      <c r="L2084" s="43" t="str">
        <f t="shared" si="3"/>
        <v>BARU</v>
      </c>
      <c r="M2084" s="144" t="s">
        <v>31</v>
      </c>
      <c r="N2084" s="145">
        <v>250000.0</v>
      </c>
      <c r="O2084" s="146">
        <v>0.0</v>
      </c>
      <c r="P2084" s="48">
        <f t="array" ref="P2084">IFNA(XLOOKUP(J2084,'⚙️ Pengaturan'!$E$2:$E3237,'⚙️ Pengaturan'!$F$2:$F3237),"")</f>
        <v>250000</v>
      </c>
      <c r="Q2084" s="147">
        <f t="shared" si="54"/>
        <v>0</v>
      </c>
      <c r="R2084" s="41" t="s">
        <v>32</v>
      </c>
      <c r="S2084" s="76" t="s">
        <v>33</v>
      </c>
      <c r="T2084" s="51" t="b">
        <v>1</v>
      </c>
      <c r="U2084" s="94"/>
    </row>
    <row r="2085" ht="30.0" customHeight="1">
      <c r="A2085" s="39"/>
      <c r="B2085" s="164">
        <v>4123.0</v>
      </c>
      <c r="C2085" s="41" t="s">
        <v>50</v>
      </c>
      <c r="D2085" s="86">
        <v>46192.0</v>
      </c>
      <c r="E2085" s="43" t="str">
        <f t="shared" si="51"/>
        <v>2026</v>
      </c>
      <c r="F2085" s="43" t="str">
        <f t="shared" si="52"/>
        <v>06 Jun</v>
      </c>
      <c r="G2085" s="45" t="s">
        <v>155</v>
      </c>
      <c r="H2085" s="45" t="s">
        <v>166</v>
      </c>
      <c r="I2085" s="45" t="s">
        <v>1489</v>
      </c>
      <c r="J2085" s="143" t="s">
        <v>347</v>
      </c>
      <c r="K2085" s="43" t="str">
        <f t="array" ref="K2085">IF(J2085="","", XLOOKUP(J2085,'⚙️ Pengaturan'!$E$2:$E3237,'⚙️ Pengaturan'!$G$2:$G3237))</f>
        <v>KLINIK FT PAKET</v>
      </c>
      <c r="L2085" s="43" t="str">
        <f t="shared" si="3"/>
        <v>LANJUTAN</v>
      </c>
      <c r="M2085" s="144" t="s">
        <v>31</v>
      </c>
      <c r="N2085" s="145">
        <v>1300000.0</v>
      </c>
      <c r="O2085" s="146">
        <v>0.0</v>
      </c>
      <c r="P2085" s="48">
        <f t="array" ref="P2085">IFNA(XLOOKUP(J2085,'⚙️ Pengaturan'!$E$2:$E3237,'⚙️ Pengaturan'!$F$2:$F3237),"")</f>
        <v>1300000</v>
      </c>
      <c r="Q2085" s="147">
        <f t="shared" si="54"/>
        <v>0</v>
      </c>
      <c r="R2085" s="41" t="s">
        <v>37</v>
      </c>
      <c r="S2085" s="69" t="s">
        <v>1489</v>
      </c>
      <c r="T2085" s="51" t="b">
        <v>1</v>
      </c>
      <c r="U2085" s="94"/>
    </row>
    <row r="2086" ht="30.0" customHeight="1">
      <c r="A2086" s="39"/>
      <c r="B2086" s="40">
        <v>4124.0</v>
      </c>
      <c r="C2086" s="41" t="s">
        <v>50</v>
      </c>
      <c r="D2086" s="86">
        <v>46192.0</v>
      </c>
      <c r="E2086" s="43" t="str">
        <f t="shared" si="51"/>
        <v>2026</v>
      </c>
      <c r="F2086" s="43" t="str">
        <f t="shared" si="52"/>
        <v>06 Jun</v>
      </c>
      <c r="G2086" s="45" t="s">
        <v>155</v>
      </c>
      <c r="H2086" s="45" t="s">
        <v>150</v>
      </c>
      <c r="I2086" s="45" t="s">
        <v>1522</v>
      </c>
      <c r="J2086" s="143" t="s">
        <v>120</v>
      </c>
      <c r="K2086" s="43" t="str">
        <f t="array" ref="K2086">IF(J2086="","", XLOOKUP(J2086,'⚙️ Pengaturan'!$E$2:$E3237,'⚙️ Pengaturan'!$G$2:$G3237))</f>
        <v>KLINIK FT SESI</v>
      </c>
      <c r="L2086" s="43" t="str">
        <f t="shared" si="3"/>
        <v>BARU</v>
      </c>
      <c r="M2086" s="144" t="s">
        <v>31</v>
      </c>
      <c r="N2086" s="145">
        <v>180000.0</v>
      </c>
      <c r="O2086" s="146">
        <v>0.0</v>
      </c>
      <c r="P2086" s="48">
        <f t="array" ref="P2086">IFNA(XLOOKUP(J2086,'⚙️ Pengaturan'!$E$2:$E3237,'⚙️ Pengaturan'!$F$2:$F3237),"")</f>
        <v>180000</v>
      </c>
      <c r="Q2086" s="147">
        <f t="shared" si="54"/>
        <v>0</v>
      </c>
      <c r="R2086" s="41" t="s">
        <v>37</v>
      </c>
      <c r="S2086" s="69" t="s">
        <v>1489</v>
      </c>
      <c r="T2086" s="51" t="b">
        <v>1</v>
      </c>
      <c r="U2086" s="94" t="s">
        <v>1532</v>
      </c>
    </row>
    <row r="2087" ht="30.0" customHeight="1">
      <c r="A2087" s="39"/>
      <c r="B2087" s="164">
        <v>4125.0</v>
      </c>
      <c r="C2087" s="41" t="s">
        <v>79</v>
      </c>
      <c r="D2087" s="86">
        <v>46193.0</v>
      </c>
      <c r="E2087" s="43" t="str">
        <f t="shared" si="51"/>
        <v>2026</v>
      </c>
      <c r="F2087" s="43" t="str">
        <f t="shared" si="52"/>
        <v>06 Jun</v>
      </c>
      <c r="G2087" s="45" t="s">
        <v>195</v>
      </c>
      <c r="H2087" s="45" t="s">
        <v>150</v>
      </c>
      <c r="I2087" s="45" t="s">
        <v>1533</v>
      </c>
      <c r="J2087" s="143" t="s">
        <v>28</v>
      </c>
      <c r="K2087" s="43" t="str">
        <f t="array" ref="K2087">IF(J2087="","", XLOOKUP(J2087,'⚙️ Pengaturan'!$E$2:$E3237,'⚙️ Pengaturan'!$G$2:$G3237))</f>
        <v>KLINIK FT TA</v>
      </c>
      <c r="L2087" s="43" t="str">
        <f t="shared" si="3"/>
        <v>BARU</v>
      </c>
      <c r="M2087" s="144" t="s">
        <v>31</v>
      </c>
      <c r="N2087" s="145">
        <v>250000.0</v>
      </c>
      <c r="O2087" s="146">
        <v>0.0</v>
      </c>
      <c r="P2087" s="48">
        <v>250000.0</v>
      </c>
      <c r="Q2087" s="147">
        <v>0.0</v>
      </c>
      <c r="R2087" s="41" t="s">
        <v>32</v>
      </c>
      <c r="S2087" s="69" t="s">
        <v>1533</v>
      </c>
      <c r="T2087" s="51" t="b">
        <v>1</v>
      </c>
      <c r="U2087" s="94"/>
    </row>
    <row r="2088" ht="30.0" customHeight="1">
      <c r="A2088" s="39"/>
      <c r="B2088" s="40">
        <v>4126.0</v>
      </c>
      <c r="C2088" s="41" t="s">
        <v>79</v>
      </c>
      <c r="D2088" s="86">
        <v>46193.0</v>
      </c>
      <c r="E2088" s="43" t="str">
        <f t="shared" si="51"/>
        <v>2026</v>
      </c>
      <c r="F2088" s="43" t="str">
        <f t="shared" si="52"/>
        <v>06 Jun</v>
      </c>
      <c r="G2088" s="45" t="s">
        <v>206</v>
      </c>
      <c r="H2088" s="45" t="s">
        <v>162</v>
      </c>
      <c r="I2088" s="45" t="s">
        <v>1534</v>
      </c>
      <c r="J2088" s="143" t="s">
        <v>28</v>
      </c>
      <c r="K2088" s="43" t="str">
        <f t="array" ref="K2088">IF(J2088="","", XLOOKUP(J2088,'⚙️ Pengaturan'!$E$2:$E3237,'⚙️ Pengaturan'!$G$2:$G3237))</f>
        <v>KLINIK FT TA</v>
      </c>
      <c r="L2088" s="43" t="str">
        <f t="shared" si="3"/>
        <v>BARU</v>
      </c>
      <c r="M2088" s="144" t="s">
        <v>31</v>
      </c>
      <c r="N2088" s="145">
        <v>250000.0</v>
      </c>
      <c r="O2088" s="146">
        <v>0.0</v>
      </c>
      <c r="P2088" s="48">
        <v>250000.0</v>
      </c>
      <c r="Q2088" s="147">
        <v>0.0</v>
      </c>
      <c r="R2088" s="41" t="s">
        <v>37</v>
      </c>
      <c r="S2088" s="69" t="s">
        <v>1534</v>
      </c>
      <c r="T2088" s="51" t="b">
        <v>1</v>
      </c>
      <c r="U2088" s="94"/>
    </row>
    <row r="2089" ht="30.0" customHeight="1">
      <c r="A2089" s="39"/>
      <c r="B2089" s="164">
        <v>4127.0</v>
      </c>
      <c r="C2089" s="41" t="s">
        <v>79</v>
      </c>
      <c r="D2089" s="86">
        <v>46193.0</v>
      </c>
      <c r="E2089" s="43" t="str">
        <f t="shared" si="51"/>
        <v>2026</v>
      </c>
      <c r="F2089" s="43" t="str">
        <f t="shared" si="52"/>
        <v>06 Jun</v>
      </c>
      <c r="G2089" s="45" t="s">
        <v>161</v>
      </c>
      <c r="H2089" s="45" t="s">
        <v>103</v>
      </c>
      <c r="I2089" s="45" t="s">
        <v>1535</v>
      </c>
      <c r="J2089" s="143" t="s">
        <v>28</v>
      </c>
      <c r="K2089" s="43" t="str">
        <f t="array" ref="K2089">IF(J2089="","", XLOOKUP(J2089,'⚙️ Pengaturan'!$E$2:$E3237,'⚙️ Pengaturan'!$G$2:$G3237))</f>
        <v>KLINIK FT TA</v>
      </c>
      <c r="L2089" s="43" t="str">
        <f t="shared" si="3"/>
        <v>BARU</v>
      </c>
      <c r="M2089" s="144" t="s">
        <v>31</v>
      </c>
      <c r="N2089" s="145">
        <v>250000.0</v>
      </c>
      <c r="O2089" s="146">
        <v>0.0</v>
      </c>
      <c r="P2089" s="48">
        <v>250000.0</v>
      </c>
      <c r="Q2089" s="147">
        <v>0.0</v>
      </c>
      <c r="R2089" s="41" t="s">
        <v>32</v>
      </c>
      <c r="S2089" s="76" t="s">
        <v>33</v>
      </c>
      <c r="T2089" s="51" t="b">
        <v>1</v>
      </c>
      <c r="U2089" s="94"/>
    </row>
    <row r="2090" ht="30.0" customHeight="1">
      <c r="A2090" s="39"/>
      <c r="B2090" s="40">
        <v>4128.0</v>
      </c>
      <c r="C2090" s="41" t="s">
        <v>39</v>
      </c>
      <c r="D2090" s="86">
        <v>46193.0</v>
      </c>
      <c r="E2090" s="43" t="str">
        <f t="shared" si="51"/>
        <v>2026</v>
      </c>
      <c r="F2090" s="43" t="str">
        <f t="shared" si="52"/>
        <v>06 Jun</v>
      </c>
      <c r="G2090" s="45" t="s">
        <v>40</v>
      </c>
      <c r="H2090" s="45" t="s">
        <v>149</v>
      </c>
      <c r="I2090" s="45" t="s">
        <v>1536</v>
      </c>
      <c r="J2090" s="143" t="s">
        <v>120</v>
      </c>
      <c r="K2090" s="43" t="str">
        <f t="array" ref="K2090">IF(J2090="","", XLOOKUP(J2090,'⚙️ Pengaturan'!$E$2:$E3237,'⚙️ Pengaturan'!$G$2:$G3237))</f>
        <v>KLINIK FT SESI</v>
      </c>
      <c r="L2090" s="43" t="str">
        <f t="shared" si="3"/>
        <v>BARU</v>
      </c>
      <c r="M2090" s="144" t="s">
        <v>31</v>
      </c>
      <c r="N2090" s="145">
        <v>180000.0</v>
      </c>
      <c r="O2090" s="146">
        <v>0.0</v>
      </c>
      <c r="P2090" s="48">
        <f t="array" ref="P2090">IFNA(XLOOKUP(J2090,'⚙️ Pengaturan'!$E$2:$E3237,'⚙️ Pengaturan'!$F$2:$F3237),"")</f>
        <v>180000</v>
      </c>
      <c r="Q2090" s="147">
        <f t="shared" ref="Q2090:Q2100" si="55">IF(I2090="","",(N2090+O2090)-P2090)</f>
        <v>0</v>
      </c>
      <c r="R2090" s="41" t="s">
        <v>37</v>
      </c>
      <c r="S2090" s="76" t="s">
        <v>619</v>
      </c>
      <c r="T2090" s="51" t="b">
        <v>1</v>
      </c>
      <c r="U2090" s="94"/>
    </row>
    <row r="2091" ht="30.0" customHeight="1">
      <c r="A2091" s="39"/>
      <c r="B2091" s="164">
        <v>4129.0</v>
      </c>
      <c r="C2091" s="41" t="s">
        <v>39</v>
      </c>
      <c r="D2091" s="86">
        <v>46193.0</v>
      </c>
      <c r="E2091" s="43" t="str">
        <f t="shared" si="51"/>
        <v>2026</v>
      </c>
      <c r="F2091" s="43" t="str">
        <f t="shared" si="52"/>
        <v>06 Jun</v>
      </c>
      <c r="G2091" s="45" t="s">
        <v>40</v>
      </c>
      <c r="H2091" s="45" t="s">
        <v>96</v>
      </c>
      <c r="I2091" s="45" t="s">
        <v>1297</v>
      </c>
      <c r="J2091" s="143" t="s">
        <v>347</v>
      </c>
      <c r="K2091" s="43" t="str">
        <f t="array" ref="K2091">IF(J2091="","", XLOOKUP(J2091,'⚙️ Pengaturan'!$E$2:$E3237,'⚙️ Pengaturan'!$G$2:$G3237))</f>
        <v>KLINIK FT PAKET</v>
      </c>
      <c r="L2091" s="43" t="str">
        <f t="shared" si="3"/>
        <v>LANJUTAN</v>
      </c>
      <c r="M2091" s="144" t="s">
        <v>31</v>
      </c>
      <c r="N2091" s="145">
        <v>1040000.0</v>
      </c>
      <c r="O2091" s="146">
        <v>260000.0</v>
      </c>
      <c r="P2091" s="48">
        <f t="array" ref="P2091">IFNA(XLOOKUP(J2091,'⚙️ Pengaturan'!$E$2:$E3237,'⚙️ Pengaturan'!$F$2:$F3237),"")</f>
        <v>1300000</v>
      </c>
      <c r="Q2091" s="147">
        <f t="shared" si="55"/>
        <v>0</v>
      </c>
      <c r="R2091" s="41" t="s">
        <v>93</v>
      </c>
      <c r="S2091" s="76" t="s">
        <v>33</v>
      </c>
      <c r="T2091" s="51" t="b">
        <v>1</v>
      </c>
      <c r="U2091" s="94" t="s">
        <v>1063</v>
      </c>
    </row>
    <row r="2092" ht="30.0" customHeight="1">
      <c r="A2092" s="39"/>
      <c r="B2092" s="40">
        <v>4130.0</v>
      </c>
      <c r="C2092" s="41" t="s">
        <v>39</v>
      </c>
      <c r="D2092" s="86">
        <v>46193.0</v>
      </c>
      <c r="E2092" s="43" t="str">
        <f t="shared" si="51"/>
        <v>2026</v>
      </c>
      <c r="F2092" s="43" t="str">
        <f t="shared" si="52"/>
        <v>06 Jun</v>
      </c>
      <c r="G2092" s="45" t="s">
        <v>43</v>
      </c>
      <c r="H2092" s="45" t="s">
        <v>76</v>
      </c>
      <c r="I2092" s="45" t="s">
        <v>785</v>
      </c>
      <c r="J2092" s="143" t="s">
        <v>28</v>
      </c>
      <c r="K2092" s="43" t="str">
        <f t="array" ref="K2092">IF(J2092="","", XLOOKUP(J2092,'⚙️ Pengaturan'!$E$2:$E3237,'⚙️ Pengaturan'!$G$2:$G3237))</f>
        <v>KLINIK FT TA</v>
      </c>
      <c r="L2092" s="43" t="str">
        <f t="shared" si="3"/>
        <v>LANJUTAN</v>
      </c>
      <c r="M2092" s="144" t="s">
        <v>31</v>
      </c>
      <c r="N2092" s="145">
        <v>250000.0</v>
      </c>
      <c r="O2092" s="146">
        <v>0.0</v>
      </c>
      <c r="P2092" s="48">
        <f t="array" ref="P2092">IFNA(XLOOKUP(J2092,'⚙️ Pengaturan'!$E$2:$E3237,'⚙️ Pengaturan'!$F$2:$F3237),"")</f>
        <v>250000</v>
      </c>
      <c r="Q2092" s="147">
        <f t="shared" si="55"/>
        <v>0</v>
      </c>
      <c r="R2092" s="41" t="s">
        <v>32</v>
      </c>
      <c r="S2092" s="76" t="s">
        <v>33</v>
      </c>
      <c r="T2092" s="51" t="b">
        <v>1</v>
      </c>
      <c r="U2092" s="94"/>
    </row>
    <row r="2093" ht="30.0" customHeight="1">
      <c r="A2093" s="39"/>
      <c r="B2093" s="164">
        <v>4131.0</v>
      </c>
      <c r="C2093" s="41" t="s">
        <v>39</v>
      </c>
      <c r="D2093" s="86">
        <v>46193.0</v>
      </c>
      <c r="E2093" s="43" t="str">
        <f t="shared" si="51"/>
        <v>2026</v>
      </c>
      <c r="F2093" s="43" t="str">
        <f t="shared" si="52"/>
        <v>06 Jun</v>
      </c>
      <c r="G2093" s="45" t="s">
        <v>43</v>
      </c>
      <c r="H2093" s="45" t="s">
        <v>149</v>
      </c>
      <c r="I2093" s="45" t="s">
        <v>1537</v>
      </c>
      <c r="J2093" s="143" t="s">
        <v>28</v>
      </c>
      <c r="K2093" s="43" t="str">
        <f t="array" ref="K2093">IF(J2093="","", XLOOKUP(J2093,'⚙️ Pengaturan'!$E$2:$E3237,'⚙️ Pengaturan'!$G$2:$G3237))</f>
        <v>KLINIK FT TA</v>
      </c>
      <c r="L2093" s="43" t="str">
        <f t="shared" si="3"/>
        <v>BARU</v>
      </c>
      <c r="M2093" s="144" t="s">
        <v>31</v>
      </c>
      <c r="N2093" s="145">
        <v>250000.0</v>
      </c>
      <c r="O2093" s="146">
        <v>0.0</v>
      </c>
      <c r="P2093" s="48">
        <f t="array" ref="P2093">IFNA(XLOOKUP(J2093,'⚙️ Pengaturan'!$E$2:$E3237,'⚙️ Pengaturan'!$F$2:$F3237),"")</f>
        <v>250000</v>
      </c>
      <c r="Q2093" s="147">
        <f t="shared" si="55"/>
        <v>0</v>
      </c>
      <c r="R2093" s="41" t="s">
        <v>32</v>
      </c>
      <c r="S2093" s="76" t="s">
        <v>33</v>
      </c>
      <c r="T2093" s="51" t="b">
        <v>1</v>
      </c>
      <c r="U2093" s="94"/>
    </row>
    <row r="2094" ht="30.0" customHeight="1">
      <c r="A2094" s="39"/>
      <c r="B2094" s="40">
        <v>4132.0</v>
      </c>
      <c r="C2094" s="41" t="s">
        <v>39</v>
      </c>
      <c r="D2094" s="86">
        <v>46193.0</v>
      </c>
      <c r="E2094" s="43" t="str">
        <f t="shared" si="51"/>
        <v>2026</v>
      </c>
      <c r="F2094" s="43" t="str">
        <f t="shared" si="52"/>
        <v>06 Jun</v>
      </c>
      <c r="G2094" s="45" t="s">
        <v>173</v>
      </c>
      <c r="H2094" s="45" t="s">
        <v>41</v>
      </c>
      <c r="I2094" s="45" t="s">
        <v>1538</v>
      </c>
      <c r="J2094" s="143" t="s">
        <v>28</v>
      </c>
      <c r="K2094" s="43" t="str">
        <f t="array" ref="K2094">IF(J2094="","", XLOOKUP(J2094,'⚙️ Pengaturan'!$E$2:$E3237,'⚙️ Pengaturan'!$G$2:$G3237))</f>
        <v>KLINIK FT TA</v>
      </c>
      <c r="L2094" s="43" t="str">
        <f t="shared" si="3"/>
        <v>BARU</v>
      </c>
      <c r="M2094" s="144" t="s">
        <v>31</v>
      </c>
      <c r="N2094" s="145">
        <v>250000.0</v>
      </c>
      <c r="O2094" s="146">
        <v>0.0</v>
      </c>
      <c r="P2094" s="48">
        <f t="array" ref="P2094">IFNA(XLOOKUP(J2094,'⚙️ Pengaturan'!$E$2:$E3237,'⚙️ Pengaturan'!$F$2:$F3237),"")</f>
        <v>250000</v>
      </c>
      <c r="Q2094" s="147">
        <f t="shared" si="55"/>
        <v>0</v>
      </c>
      <c r="R2094" s="41" t="s">
        <v>32</v>
      </c>
      <c r="S2094" s="76" t="s">
        <v>33</v>
      </c>
      <c r="T2094" s="51" t="b">
        <v>1</v>
      </c>
      <c r="U2094" s="94"/>
    </row>
    <row r="2095" ht="30.0" customHeight="1">
      <c r="A2095" s="39"/>
      <c r="B2095" s="164">
        <v>4133.0</v>
      </c>
      <c r="C2095" s="41" t="s">
        <v>39</v>
      </c>
      <c r="D2095" s="86">
        <v>46193.0</v>
      </c>
      <c r="E2095" s="43" t="str">
        <f t="shared" si="51"/>
        <v>2026</v>
      </c>
      <c r="F2095" s="43" t="str">
        <f t="shared" si="52"/>
        <v>06 Jun</v>
      </c>
      <c r="G2095" s="45" t="s">
        <v>155</v>
      </c>
      <c r="H2095" s="45" t="s">
        <v>41</v>
      </c>
      <c r="I2095" s="45" t="s">
        <v>1203</v>
      </c>
      <c r="J2095" s="143" t="s">
        <v>28</v>
      </c>
      <c r="K2095" s="43" t="str">
        <f t="array" ref="K2095">IF(J2095="","", XLOOKUP(J2095,'⚙️ Pengaturan'!$E$2:$E3237,'⚙️ Pengaturan'!$G$2:$G3237))</f>
        <v>KLINIK FT TA</v>
      </c>
      <c r="L2095" s="43" t="str">
        <f t="shared" si="3"/>
        <v>LANJUTAN</v>
      </c>
      <c r="M2095" s="144" t="s">
        <v>31</v>
      </c>
      <c r="N2095" s="145">
        <v>250000.0</v>
      </c>
      <c r="O2095" s="146">
        <v>0.0</v>
      </c>
      <c r="P2095" s="48">
        <f t="array" ref="P2095">IFNA(XLOOKUP(J2095,'⚙️ Pengaturan'!$E$2:$E3237,'⚙️ Pengaturan'!$F$2:$F3237),"")</f>
        <v>250000</v>
      </c>
      <c r="Q2095" s="147">
        <f t="shared" si="55"/>
        <v>0</v>
      </c>
      <c r="R2095" s="41" t="s">
        <v>37</v>
      </c>
      <c r="S2095" s="69" t="s">
        <v>1203</v>
      </c>
      <c r="T2095" s="51" t="b">
        <v>1</v>
      </c>
      <c r="U2095" s="94"/>
    </row>
    <row r="2096" ht="30.0" customHeight="1">
      <c r="A2096" s="39"/>
      <c r="B2096" s="40">
        <v>4134.0</v>
      </c>
      <c r="C2096" s="41" t="s">
        <v>39</v>
      </c>
      <c r="D2096" s="86">
        <v>46193.0</v>
      </c>
      <c r="E2096" s="43" t="str">
        <f t="shared" si="51"/>
        <v>2026</v>
      </c>
      <c r="F2096" s="43" t="str">
        <f t="shared" si="52"/>
        <v>06 Jun</v>
      </c>
      <c r="G2096" s="45" t="s">
        <v>155</v>
      </c>
      <c r="H2096" s="45" t="s">
        <v>47</v>
      </c>
      <c r="I2096" s="45" t="s">
        <v>245</v>
      </c>
      <c r="J2096" s="143" t="s">
        <v>120</v>
      </c>
      <c r="K2096" s="43" t="str">
        <f t="array" ref="K2096">IF(J2096="","", XLOOKUP(J2096,'⚙️ Pengaturan'!$E$2:$E3237,'⚙️ Pengaturan'!$G$2:$G3237))</f>
        <v>KLINIK FT SESI</v>
      </c>
      <c r="L2096" s="43" t="str">
        <f t="shared" si="3"/>
        <v>LANJUTAN</v>
      </c>
      <c r="M2096" s="144" t="s">
        <v>31</v>
      </c>
      <c r="N2096" s="145">
        <v>180000.0</v>
      </c>
      <c r="O2096" s="146">
        <v>0.0</v>
      </c>
      <c r="P2096" s="48">
        <f t="array" ref="P2096">IFNA(XLOOKUP(J2096,'⚙️ Pengaturan'!$E$2:$E3237,'⚙️ Pengaturan'!$F$2:$F3237),"")</f>
        <v>180000</v>
      </c>
      <c r="Q2096" s="147">
        <f t="shared" si="55"/>
        <v>0</v>
      </c>
      <c r="R2096" s="41" t="s">
        <v>37</v>
      </c>
      <c r="S2096" s="69" t="s">
        <v>245</v>
      </c>
      <c r="T2096" s="51" t="b">
        <v>1</v>
      </c>
      <c r="U2096" s="94"/>
    </row>
    <row r="2097" ht="30.0" customHeight="1">
      <c r="A2097" s="39"/>
      <c r="B2097" s="164">
        <v>4135.0</v>
      </c>
      <c r="C2097" s="41" t="s">
        <v>39</v>
      </c>
      <c r="D2097" s="86">
        <v>46192.0</v>
      </c>
      <c r="E2097" s="43" t="str">
        <f t="shared" si="51"/>
        <v>2026</v>
      </c>
      <c r="F2097" s="43" t="str">
        <f t="shared" si="52"/>
        <v>06 Jun</v>
      </c>
      <c r="G2097" s="45" t="s">
        <v>69</v>
      </c>
      <c r="H2097" s="45" t="s">
        <v>47</v>
      </c>
      <c r="I2097" s="45" t="s">
        <v>1539</v>
      </c>
      <c r="J2097" s="143" t="s">
        <v>291</v>
      </c>
      <c r="K2097" s="43" t="str">
        <f t="array" ref="K2097">IF(J2097="","", XLOOKUP(J2097,'⚙️ Pengaturan'!$E$2:$E3237,'⚙️ Pengaturan'!$G$2:$G3237))</f>
        <v>VISIT FT TA</v>
      </c>
      <c r="L2097" s="43" t="str">
        <f t="shared" si="3"/>
        <v>BARU</v>
      </c>
      <c r="M2097" s="144" t="s">
        <v>31</v>
      </c>
      <c r="N2097" s="145">
        <v>300000.0</v>
      </c>
      <c r="O2097" s="146">
        <v>50000.0</v>
      </c>
      <c r="P2097" s="48">
        <f t="array" ref="P2097">IFNA(XLOOKUP(J2097,'⚙️ Pengaturan'!$E$2:$E3237,'⚙️ Pengaturan'!$F$2:$F3237),"")</f>
        <v>350000</v>
      </c>
      <c r="Q2097" s="147">
        <f t="shared" si="55"/>
        <v>0</v>
      </c>
      <c r="R2097" s="41" t="s">
        <v>32</v>
      </c>
      <c r="S2097" s="76" t="s">
        <v>33</v>
      </c>
      <c r="T2097" s="51" t="b">
        <v>1</v>
      </c>
      <c r="U2097" s="94" t="s">
        <v>1374</v>
      </c>
    </row>
    <row r="2098" ht="30.0" customHeight="1">
      <c r="A2098" s="39"/>
      <c r="B2098" s="40">
        <v>4136.0</v>
      </c>
      <c r="C2098" s="41" t="s">
        <v>39</v>
      </c>
      <c r="D2098" s="86">
        <v>46193.0</v>
      </c>
      <c r="E2098" s="43" t="str">
        <f t="shared" si="51"/>
        <v>2026</v>
      </c>
      <c r="F2098" s="43" t="str">
        <f t="shared" si="52"/>
        <v>06 Jun</v>
      </c>
      <c r="G2098" s="45" t="s">
        <v>155</v>
      </c>
      <c r="H2098" s="45" t="s">
        <v>149</v>
      </c>
      <c r="I2098" s="45" t="s">
        <v>1540</v>
      </c>
      <c r="J2098" s="143" t="s">
        <v>28</v>
      </c>
      <c r="K2098" s="43" t="str">
        <f t="array" ref="K2098">IF(J2098="","", XLOOKUP(J2098,'⚙️ Pengaturan'!$E$2:$E3237,'⚙️ Pengaturan'!$G$2:$G3237))</f>
        <v>KLINIK FT TA</v>
      </c>
      <c r="L2098" s="43" t="str">
        <f t="shared" si="3"/>
        <v>BARU</v>
      </c>
      <c r="M2098" s="144" t="s">
        <v>31</v>
      </c>
      <c r="N2098" s="145">
        <v>250000.0</v>
      </c>
      <c r="O2098" s="146">
        <v>0.0</v>
      </c>
      <c r="P2098" s="48">
        <f t="array" ref="P2098">IFNA(XLOOKUP(J2098,'⚙️ Pengaturan'!$E$2:$E3237,'⚙️ Pengaturan'!$F$2:$F3237),"")</f>
        <v>250000</v>
      </c>
      <c r="Q2098" s="147">
        <f t="shared" si="55"/>
        <v>0</v>
      </c>
      <c r="R2098" s="41" t="s">
        <v>32</v>
      </c>
      <c r="S2098" s="76" t="s">
        <v>33</v>
      </c>
      <c r="T2098" s="51" t="b">
        <v>1</v>
      </c>
      <c r="U2098" s="94"/>
    </row>
    <row r="2099" ht="30.0" customHeight="1">
      <c r="A2099" s="39"/>
      <c r="B2099" s="164">
        <v>4137.0</v>
      </c>
      <c r="C2099" s="41" t="s">
        <v>39</v>
      </c>
      <c r="D2099" s="86">
        <v>46193.0</v>
      </c>
      <c r="E2099" s="43" t="str">
        <f t="shared" si="51"/>
        <v>2026</v>
      </c>
      <c r="F2099" s="43" t="str">
        <f t="shared" si="52"/>
        <v>06 Jun</v>
      </c>
      <c r="G2099" s="45" t="s">
        <v>69</v>
      </c>
      <c r="H2099" s="45" t="s">
        <v>26</v>
      </c>
      <c r="I2099" s="45" t="s">
        <v>1541</v>
      </c>
      <c r="J2099" s="143" t="s">
        <v>28</v>
      </c>
      <c r="K2099" s="43" t="str">
        <f t="array" ref="K2099">IF(J2099="","", XLOOKUP(J2099,'⚙️ Pengaturan'!$E$2:$E3237,'⚙️ Pengaturan'!$G$2:$G3237))</f>
        <v>KLINIK FT TA</v>
      </c>
      <c r="L2099" s="43" t="str">
        <f t="shared" si="3"/>
        <v>BARU</v>
      </c>
      <c r="M2099" s="144" t="s">
        <v>31</v>
      </c>
      <c r="N2099" s="145">
        <v>250000.0</v>
      </c>
      <c r="O2099" s="146">
        <v>0.0</v>
      </c>
      <c r="P2099" s="48">
        <f t="array" ref="P2099">IFNA(XLOOKUP(J2099,'⚙️ Pengaturan'!$E$2:$E3237,'⚙️ Pengaturan'!$F$2:$F3237),"")</f>
        <v>250000</v>
      </c>
      <c r="Q2099" s="147">
        <f t="shared" si="55"/>
        <v>0</v>
      </c>
      <c r="R2099" s="41" t="s">
        <v>37</v>
      </c>
      <c r="S2099" s="69" t="s">
        <v>1541</v>
      </c>
      <c r="T2099" s="51" t="b">
        <v>1</v>
      </c>
      <c r="U2099" s="94"/>
    </row>
    <row r="2100" ht="30.0" customHeight="1">
      <c r="A2100" s="39"/>
      <c r="B2100" s="40">
        <v>4138.0</v>
      </c>
      <c r="C2100" s="41" t="s">
        <v>39</v>
      </c>
      <c r="D2100" s="86">
        <v>46193.0</v>
      </c>
      <c r="E2100" s="43" t="str">
        <f t="shared" si="51"/>
        <v>2026</v>
      </c>
      <c r="F2100" s="43" t="str">
        <f t="shared" si="52"/>
        <v>06 Jun</v>
      </c>
      <c r="G2100" s="45" t="s">
        <v>190</v>
      </c>
      <c r="H2100" s="45" t="s">
        <v>76</v>
      </c>
      <c r="I2100" s="45" t="s">
        <v>600</v>
      </c>
      <c r="J2100" s="143" t="s">
        <v>92</v>
      </c>
      <c r="K2100" s="43" t="str">
        <f t="array" ref="K2100">IF(J2100="","", XLOOKUP(J2100,'⚙️ Pengaturan'!$E$2:$E3237,'⚙️ Pengaturan'!$G$2:$G3237))</f>
        <v>KLINIK FT PAKET</v>
      </c>
      <c r="L2100" s="43" t="str">
        <f t="shared" si="3"/>
        <v>LANJUTAN</v>
      </c>
      <c r="M2100" s="144" t="s">
        <v>164</v>
      </c>
      <c r="N2100" s="145">
        <v>1000000.0</v>
      </c>
      <c r="O2100" s="146">
        <v>200000.0</v>
      </c>
      <c r="P2100" s="48">
        <f t="array" ref="P2100">IFNA(XLOOKUP(J2100,'⚙️ Pengaturan'!$E$2:$E3237,'⚙️ Pengaturan'!$F$2:$F3237),"")</f>
        <v>1200000</v>
      </c>
      <c r="Q2100" s="147">
        <f t="shared" si="55"/>
        <v>0</v>
      </c>
      <c r="R2100" s="41" t="s">
        <v>32</v>
      </c>
      <c r="S2100" s="76" t="s">
        <v>33</v>
      </c>
      <c r="T2100" s="51" t="b">
        <v>1</v>
      </c>
      <c r="U2100" s="94"/>
    </row>
    <row r="2101" ht="30.0" customHeight="1">
      <c r="A2101" s="39"/>
      <c r="B2101" s="164">
        <v>4139.0</v>
      </c>
      <c r="C2101" s="41" t="s">
        <v>79</v>
      </c>
      <c r="D2101" s="86">
        <v>46194.0</v>
      </c>
      <c r="E2101" s="43" t="str">
        <f t="shared" si="51"/>
        <v>2026</v>
      </c>
      <c r="F2101" s="43" t="str">
        <f t="shared" si="52"/>
        <v>06 Jun</v>
      </c>
      <c r="G2101" s="45" t="s">
        <v>195</v>
      </c>
      <c r="H2101" s="45" t="s">
        <v>47</v>
      </c>
      <c r="I2101" s="45" t="s">
        <v>1542</v>
      </c>
      <c r="J2101" s="143" t="s">
        <v>28</v>
      </c>
      <c r="K2101" s="43" t="str">
        <f t="array" ref="K2101">IF(J2101="","", XLOOKUP(J2101,'⚙️ Pengaturan'!$E$2:$E3237,'⚙️ Pengaturan'!$G$2:$G3237))</f>
        <v>KLINIK FT TA</v>
      </c>
      <c r="L2101" s="43" t="str">
        <f t="shared" si="3"/>
        <v>BARU</v>
      </c>
      <c r="M2101" s="144" t="s">
        <v>31</v>
      </c>
      <c r="N2101" s="145">
        <v>250000.0</v>
      </c>
      <c r="O2101" s="146">
        <v>0.0</v>
      </c>
      <c r="P2101" s="48">
        <v>250000.0</v>
      </c>
      <c r="Q2101" s="147">
        <v>0.0</v>
      </c>
      <c r="R2101" s="41" t="s">
        <v>37</v>
      </c>
      <c r="S2101" s="76" t="s">
        <v>1543</v>
      </c>
      <c r="T2101" s="51" t="b">
        <v>1</v>
      </c>
      <c r="U2101" s="94"/>
    </row>
    <row r="2102" ht="30.0" customHeight="1">
      <c r="A2102" s="39"/>
      <c r="B2102" s="40">
        <v>4140.0</v>
      </c>
      <c r="C2102" s="41" t="s">
        <v>79</v>
      </c>
      <c r="D2102" s="86">
        <v>46194.0</v>
      </c>
      <c r="E2102" s="43" t="str">
        <f t="shared" si="51"/>
        <v>2026</v>
      </c>
      <c r="F2102" s="43" t="str">
        <f t="shared" si="52"/>
        <v>06 Jun</v>
      </c>
      <c r="G2102" s="45" t="s">
        <v>195</v>
      </c>
      <c r="H2102" s="45" t="s">
        <v>96</v>
      </c>
      <c r="I2102" s="45" t="s">
        <v>893</v>
      </c>
      <c r="J2102" s="143" t="s">
        <v>120</v>
      </c>
      <c r="K2102" s="43" t="str">
        <f t="array" ref="K2102">IF(J2102="","", XLOOKUP(J2102,'⚙️ Pengaturan'!$E$2:$E3237,'⚙️ Pengaturan'!$G$2:$G3237))</f>
        <v>KLINIK FT SESI</v>
      </c>
      <c r="L2102" s="43" t="str">
        <f t="shared" si="3"/>
        <v>LANJUTAN</v>
      </c>
      <c r="M2102" s="144" t="s">
        <v>31</v>
      </c>
      <c r="N2102" s="145">
        <v>180000.0</v>
      </c>
      <c r="O2102" s="146">
        <v>0.0</v>
      </c>
      <c r="P2102" s="48">
        <v>180000.0</v>
      </c>
      <c r="Q2102" s="147">
        <v>0.0</v>
      </c>
      <c r="R2102" s="41" t="s">
        <v>32</v>
      </c>
      <c r="S2102" s="76" t="s">
        <v>33</v>
      </c>
      <c r="T2102" s="51" t="b">
        <v>1</v>
      </c>
      <c r="U2102" s="94"/>
    </row>
    <row r="2103" ht="30.0" customHeight="1">
      <c r="A2103" s="39"/>
      <c r="B2103" s="40">
        <v>4142.0</v>
      </c>
      <c r="C2103" s="41" t="s">
        <v>79</v>
      </c>
      <c r="D2103" s="86">
        <v>46194.0</v>
      </c>
      <c r="E2103" s="43" t="str">
        <f t="shared" si="51"/>
        <v>2026</v>
      </c>
      <c r="F2103" s="43" t="str">
        <f t="shared" si="52"/>
        <v>06 Jun</v>
      </c>
      <c r="G2103" s="45" t="s">
        <v>206</v>
      </c>
      <c r="H2103" s="45" t="s">
        <v>96</v>
      </c>
      <c r="I2103" s="45" t="s">
        <v>420</v>
      </c>
      <c r="J2103" s="143" t="s">
        <v>28</v>
      </c>
      <c r="K2103" s="43" t="str">
        <f t="array" ref="K2103">IF(J2103="","", XLOOKUP(J2103,'⚙️ Pengaturan'!$E$2:$E3237,'⚙️ Pengaturan'!$G$2:$G3237))</f>
        <v>KLINIK FT TA</v>
      </c>
      <c r="L2103" s="43" t="str">
        <f t="shared" si="3"/>
        <v>LANJUTAN</v>
      </c>
      <c r="M2103" s="144" t="s">
        <v>31</v>
      </c>
      <c r="N2103" s="145">
        <v>250000.0</v>
      </c>
      <c r="O2103" s="146">
        <v>0.0</v>
      </c>
      <c r="P2103" s="48">
        <v>250000.0</v>
      </c>
      <c r="Q2103" s="147">
        <v>0.0</v>
      </c>
      <c r="R2103" s="41" t="s">
        <v>37</v>
      </c>
      <c r="S2103" s="69" t="s">
        <v>420</v>
      </c>
      <c r="T2103" s="51" t="b">
        <v>1</v>
      </c>
      <c r="U2103" s="94"/>
    </row>
    <row r="2104" ht="30.0" customHeight="1">
      <c r="A2104" s="39"/>
      <c r="B2104" s="164">
        <v>4143.0</v>
      </c>
      <c r="C2104" s="41" t="s">
        <v>79</v>
      </c>
      <c r="D2104" s="86">
        <v>46194.0</v>
      </c>
      <c r="E2104" s="43" t="str">
        <f t="shared" si="51"/>
        <v>2026</v>
      </c>
      <c r="F2104" s="43" t="str">
        <f t="shared" si="52"/>
        <v>06 Jun</v>
      </c>
      <c r="G2104" s="45" t="s">
        <v>206</v>
      </c>
      <c r="H2104" s="45" t="s">
        <v>47</v>
      </c>
      <c r="I2104" s="45" t="s">
        <v>1517</v>
      </c>
      <c r="J2104" s="143" t="s">
        <v>120</v>
      </c>
      <c r="K2104" s="43" t="str">
        <f t="array" ref="K2104">IF(J2104="","", XLOOKUP(J2104,'⚙️ Pengaturan'!$E$2:$E3237,'⚙️ Pengaturan'!$G$2:$G3237))</f>
        <v>KLINIK FT SESI</v>
      </c>
      <c r="L2104" s="43" t="str">
        <f t="shared" si="3"/>
        <v>BARU</v>
      </c>
      <c r="M2104" s="144" t="s">
        <v>31</v>
      </c>
      <c r="N2104" s="145">
        <v>180000.0</v>
      </c>
      <c r="O2104" s="146">
        <v>0.0</v>
      </c>
      <c r="P2104" s="48">
        <v>180000.0</v>
      </c>
      <c r="Q2104" s="147">
        <v>0.0</v>
      </c>
      <c r="R2104" s="41" t="s">
        <v>37</v>
      </c>
      <c r="S2104" s="69" t="s">
        <v>1517</v>
      </c>
      <c r="T2104" s="51" t="b">
        <v>1</v>
      </c>
      <c r="U2104" s="94"/>
    </row>
    <row r="2105" ht="30.0" customHeight="1">
      <c r="A2105" s="39"/>
      <c r="B2105" s="40">
        <v>4144.0</v>
      </c>
      <c r="C2105" s="41" t="s">
        <v>79</v>
      </c>
      <c r="D2105" s="86">
        <v>46194.0</v>
      </c>
      <c r="E2105" s="43" t="str">
        <f t="shared" si="51"/>
        <v>2026</v>
      </c>
      <c r="F2105" s="43" t="str">
        <f t="shared" si="52"/>
        <v>06 Jun</v>
      </c>
      <c r="G2105" s="45" t="s">
        <v>35</v>
      </c>
      <c r="H2105" s="45" t="s">
        <v>41</v>
      </c>
      <c r="I2105" s="45" t="s">
        <v>1474</v>
      </c>
      <c r="J2105" s="143" t="s">
        <v>28</v>
      </c>
      <c r="K2105" s="43" t="str">
        <f t="array" ref="K2105">IF(J2105="","", XLOOKUP(J2105,'⚙️ Pengaturan'!$E$2:$E3237,'⚙️ Pengaturan'!$G$2:$G3237))</f>
        <v>KLINIK FT TA</v>
      </c>
      <c r="L2105" s="43" t="str">
        <f t="shared" si="3"/>
        <v>LANJUTAN</v>
      </c>
      <c r="M2105" s="144" t="s">
        <v>31</v>
      </c>
      <c r="N2105" s="145">
        <v>250000.0</v>
      </c>
      <c r="O2105" s="146">
        <v>0.0</v>
      </c>
      <c r="P2105" s="48">
        <v>250000.0</v>
      </c>
      <c r="Q2105" s="147">
        <v>0.0</v>
      </c>
      <c r="R2105" s="41" t="s">
        <v>32</v>
      </c>
      <c r="S2105" s="76" t="s">
        <v>33</v>
      </c>
      <c r="T2105" s="51" t="b">
        <v>1</v>
      </c>
      <c r="U2105" s="94"/>
    </row>
    <row r="2106" ht="30.0" customHeight="1">
      <c r="A2106" s="39"/>
      <c r="B2106" s="164">
        <v>4145.0</v>
      </c>
      <c r="C2106" s="41" t="s">
        <v>79</v>
      </c>
      <c r="D2106" s="86">
        <v>46194.0</v>
      </c>
      <c r="E2106" s="43" t="str">
        <f t="shared" si="51"/>
        <v>2026</v>
      </c>
      <c r="F2106" s="43" t="str">
        <f t="shared" si="52"/>
        <v>06 Jun</v>
      </c>
      <c r="G2106" s="45" t="s">
        <v>35</v>
      </c>
      <c r="H2106" s="45" t="s">
        <v>96</v>
      </c>
      <c r="I2106" s="45" t="s">
        <v>1544</v>
      </c>
      <c r="J2106" s="143" t="s">
        <v>120</v>
      </c>
      <c r="K2106" s="43" t="str">
        <f t="array" ref="K2106">IF(J2106="","", XLOOKUP(J2106,'⚙️ Pengaturan'!$E$2:$E3237,'⚙️ Pengaturan'!$G$2:$G3237))</f>
        <v>KLINIK FT SESI</v>
      </c>
      <c r="L2106" s="43" t="str">
        <f t="shared" si="3"/>
        <v>BARU</v>
      </c>
      <c r="M2106" s="144" t="s">
        <v>31</v>
      </c>
      <c r="N2106" s="145">
        <v>180000.0</v>
      </c>
      <c r="O2106" s="146">
        <v>0.0</v>
      </c>
      <c r="P2106" s="48">
        <v>180000.0</v>
      </c>
      <c r="Q2106" s="147">
        <v>0.0</v>
      </c>
      <c r="R2106" s="41" t="s">
        <v>37</v>
      </c>
      <c r="S2106" s="69" t="s">
        <v>1544</v>
      </c>
      <c r="T2106" s="51" t="b">
        <v>1</v>
      </c>
      <c r="U2106" s="94"/>
    </row>
    <row r="2107" ht="30.0" customHeight="1">
      <c r="A2107" s="39"/>
      <c r="B2107" s="40">
        <v>4146.0</v>
      </c>
      <c r="C2107" s="41" t="s">
        <v>50</v>
      </c>
      <c r="D2107" s="86">
        <v>46194.0</v>
      </c>
      <c r="E2107" s="43" t="str">
        <f t="shared" si="51"/>
        <v>2026</v>
      </c>
      <c r="F2107" s="43" t="str">
        <f t="shared" si="52"/>
        <v>06 Jun</v>
      </c>
      <c r="G2107" s="45" t="s">
        <v>40</v>
      </c>
      <c r="H2107" s="45" t="s">
        <v>26</v>
      </c>
      <c r="I2107" s="45" t="s">
        <v>1528</v>
      </c>
      <c r="J2107" s="143" t="s">
        <v>120</v>
      </c>
      <c r="K2107" s="43" t="str">
        <f t="array" ref="K2107">IF(J2107="","", XLOOKUP(J2107,'⚙️ Pengaturan'!$E$2:$E3237,'⚙️ Pengaturan'!$G$2:$G3237))</f>
        <v>KLINIK FT SESI</v>
      </c>
      <c r="L2107" s="43" t="str">
        <f t="shared" si="3"/>
        <v>BARU</v>
      </c>
      <c r="M2107" s="144" t="s">
        <v>31</v>
      </c>
      <c r="N2107" s="145">
        <v>180000.0</v>
      </c>
      <c r="O2107" s="146">
        <v>0.0</v>
      </c>
      <c r="P2107" s="48">
        <v>180000.0</v>
      </c>
      <c r="Q2107" s="147">
        <f t="shared" ref="Q2107:Q2144" si="56">IF(I2107="","",(N2107+O2107)-P2107)</f>
        <v>0</v>
      </c>
      <c r="R2107" s="41" t="s">
        <v>118</v>
      </c>
      <c r="S2107" s="69" t="s">
        <v>1528</v>
      </c>
      <c r="T2107" s="51" t="b">
        <v>1</v>
      </c>
      <c r="U2107" s="94"/>
    </row>
    <row r="2108" ht="30.0" customHeight="1">
      <c r="A2108" s="39"/>
      <c r="B2108" s="164">
        <v>4147.0</v>
      </c>
      <c r="C2108" s="41" t="s">
        <v>50</v>
      </c>
      <c r="D2108" s="86">
        <v>46194.0</v>
      </c>
      <c r="E2108" s="43" t="str">
        <f t="shared" si="51"/>
        <v>2026</v>
      </c>
      <c r="F2108" s="43" t="str">
        <f t="shared" si="52"/>
        <v>06 Jun</v>
      </c>
      <c r="G2108" s="45" t="s">
        <v>40</v>
      </c>
      <c r="H2108" s="45" t="s">
        <v>166</v>
      </c>
      <c r="I2108" s="45" t="s">
        <v>1524</v>
      </c>
      <c r="J2108" s="143" t="s">
        <v>120</v>
      </c>
      <c r="K2108" s="43" t="str">
        <f t="array" ref="K2108">IF(J2108="","", XLOOKUP(J2108,'⚙️ Pengaturan'!$E$2:$E3237,'⚙️ Pengaturan'!$G$2:$G3237))</f>
        <v>KLINIK FT SESI</v>
      </c>
      <c r="L2108" s="43" t="str">
        <f t="shared" si="3"/>
        <v>BARU</v>
      </c>
      <c r="M2108" s="144" t="s">
        <v>31</v>
      </c>
      <c r="N2108" s="145">
        <v>180000.0</v>
      </c>
      <c r="O2108" s="146">
        <v>0.0</v>
      </c>
      <c r="P2108" s="48">
        <v>180000.0</v>
      </c>
      <c r="Q2108" s="147">
        <f t="shared" si="56"/>
        <v>0</v>
      </c>
      <c r="R2108" s="41" t="s">
        <v>37</v>
      </c>
      <c r="S2108" s="69" t="s">
        <v>1317</v>
      </c>
      <c r="T2108" s="51" t="b">
        <v>1</v>
      </c>
      <c r="U2108" s="94"/>
    </row>
    <row r="2109" ht="30.0" customHeight="1">
      <c r="A2109" s="39"/>
      <c r="B2109" s="40">
        <v>4148.0</v>
      </c>
      <c r="C2109" s="41" t="s">
        <v>50</v>
      </c>
      <c r="D2109" s="86">
        <v>46194.0</v>
      </c>
      <c r="E2109" s="43" t="str">
        <f t="shared" si="51"/>
        <v>2026</v>
      </c>
      <c r="F2109" s="43" t="str">
        <f t="shared" si="52"/>
        <v>06 Jun</v>
      </c>
      <c r="G2109" s="45" t="s">
        <v>43</v>
      </c>
      <c r="H2109" s="45" t="s">
        <v>166</v>
      </c>
      <c r="I2109" s="45" t="s">
        <v>1315</v>
      </c>
      <c r="J2109" s="143" t="s">
        <v>347</v>
      </c>
      <c r="K2109" s="43" t="str">
        <f t="array" ref="K2109">IF(J2109="","", XLOOKUP(J2109,'⚙️ Pengaturan'!$E$2:$E3237,'⚙️ Pengaturan'!$G$2:$G3237))</f>
        <v>KLINIK FT PAKET</v>
      </c>
      <c r="L2109" s="43" t="str">
        <f t="shared" si="3"/>
        <v>LANJUTAN</v>
      </c>
      <c r="M2109" s="144" t="s">
        <v>60</v>
      </c>
      <c r="N2109" s="145">
        <v>300000.0</v>
      </c>
      <c r="O2109" s="146">
        <v>260000.0</v>
      </c>
      <c r="P2109" s="119">
        <v>0.0</v>
      </c>
      <c r="Q2109" s="147">
        <f t="shared" si="56"/>
        <v>560000</v>
      </c>
      <c r="R2109" s="41" t="s">
        <v>32</v>
      </c>
      <c r="S2109" s="76" t="s">
        <v>33</v>
      </c>
      <c r="T2109" s="51" t="b">
        <v>1</v>
      </c>
      <c r="U2109" s="94"/>
    </row>
    <row r="2110" ht="30.0" customHeight="1">
      <c r="A2110" s="39"/>
      <c r="B2110" s="164">
        <v>4149.0</v>
      </c>
      <c r="C2110" s="41" t="s">
        <v>50</v>
      </c>
      <c r="D2110" s="86">
        <v>46194.0</v>
      </c>
      <c r="E2110" s="43" t="str">
        <f t="shared" si="51"/>
        <v>2026</v>
      </c>
      <c r="F2110" s="43" t="str">
        <f t="shared" si="52"/>
        <v>06 Jun</v>
      </c>
      <c r="G2110" s="45" t="s">
        <v>43</v>
      </c>
      <c r="H2110" s="45" t="s">
        <v>359</v>
      </c>
      <c r="I2110" s="45" t="s">
        <v>1534</v>
      </c>
      <c r="J2110" s="143" t="s">
        <v>1545</v>
      </c>
      <c r="K2110" s="43" t="str">
        <f t="array" ref="K2110">IF(J2110="","", XLOOKUP(J2110,'⚙️ Pengaturan'!$E$2:$E3237,'⚙️ Pengaturan'!$G$2:$G3237))</f>
        <v>KLINIK SM SESI</v>
      </c>
      <c r="L2110" s="43" t="str">
        <f t="shared" si="3"/>
        <v>BARU</v>
      </c>
      <c r="M2110" s="144" t="s">
        <v>31</v>
      </c>
      <c r="N2110" s="145">
        <v>107000.0</v>
      </c>
      <c r="O2110" s="146">
        <v>18000.0</v>
      </c>
      <c r="P2110" s="119">
        <v>125000.0</v>
      </c>
      <c r="Q2110" s="147">
        <f t="shared" si="56"/>
        <v>0</v>
      </c>
      <c r="R2110" s="41" t="s">
        <v>37</v>
      </c>
      <c r="S2110" s="76" t="s">
        <v>1534</v>
      </c>
      <c r="T2110" s="51" t="b">
        <v>1</v>
      </c>
      <c r="U2110" s="94"/>
    </row>
    <row r="2111" ht="30.0" customHeight="1">
      <c r="A2111" s="39"/>
      <c r="B2111" s="40">
        <v>4150.0</v>
      </c>
      <c r="C2111" s="41" t="s">
        <v>50</v>
      </c>
      <c r="D2111" s="86">
        <v>46194.0</v>
      </c>
      <c r="E2111" s="43" t="str">
        <f t="shared" si="51"/>
        <v>2026</v>
      </c>
      <c r="F2111" s="43" t="str">
        <f t="shared" si="52"/>
        <v>06 Jun</v>
      </c>
      <c r="G2111" s="45" t="s">
        <v>43</v>
      </c>
      <c r="H2111" s="45" t="s">
        <v>359</v>
      </c>
      <c r="I2111" s="45" t="s">
        <v>1546</v>
      </c>
      <c r="J2111" s="143" t="s">
        <v>1547</v>
      </c>
      <c r="K2111" s="43" t="str">
        <f t="array" ref="K2111">IF(J2111="","", XLOOKUP(J2111,'⚙️ Pengaturan'!$E$2:$E3237,'⚙️ Pengaturan'!$G$2:$G3237))</f>
        <v>KLINIK SM SESI</v>
      </c>
      <c r="L2111" s="43" t="str">
        <f t="shared" si="3"/>
        <v>BARU</v>
      </c>
      <c r="M2111" s="144" t="s">
        <v>31</v>
      </c>
      <c r="N2111" s="145">
        <v>167000.0</v>
      </c>
      <c r="O2111" s="146">
        <v>28000.0</v>
      </c>
      <c r="P2111" s="48">
        <f t="array" ref="P2111">IFNA(XLOOKUP(J2111,'⚙️ Pengaturan'!$E$2:$E3237,'⚙️ Pengaturan'!$F$2:$F3237),"")</f>
        <v>195000</v>
      </c>
      <c r="Q2111" s="147">
        <f t="shared" si="56"/>
        <v>0</v>
      </c>
      <c r="R2111" s="41" t="s">
        <v>37</v>
      </c>
      <c r="S2111" s="69" t="s">
        <v>1546</v>
      </c>
      <c r="T2111" s="51" t="b">
        <v>1</v>
      </c>
      <c r="U2111" s="94"/>
    </row>
    <row r="2112" ht="30.0" customHeight="1">
      <c r="A2112" s="39"/>
      <c r="B2112" s="164">
        <v>4151.0</v>
      </c>
      <c r="C2112" s="41" t="s">
        <v>50</v>
      </c>
      <c r="D2112" s="86">
        <v>46194.0</v>
      </c>
      <c r="E2112" s="43" t="str">
        <f t="shared" si="51"/>
        <v>2026</v>
      </c>
      <c r="F2112" s="43" t="str">
        <f t="shared" si="52"/>
        <v>06 Jun</v>
      </c>
      <c r="G2112" s="45" t="s">
        <v>173</v>
      </c>
      <c r="H2112" s="45" t="s">
        <v>150</v>
      </c>
      <c r="I2112" s="45" t="s">
        <v>1493</v>
      </c>
      <c r="J2112" s="143" t="s">
        <v>119</v>
      </c>
      <c r="K2112" s="43" t="str">
        <f t="array" ref="K2112">IF(J2112="","", XLOOKUP(J2112,'⚙️ Pengaturan'!$E$2:$E3237,'⚙️ Pengaturan'!$G$2:$G3237))</f>
        <v>KLINIK FT PAKET</v>
      </c>
      <c r="L2112" s="43" t="str">
        <f t="shared" si="3"/>
        <v>BARU</v>
      </c>
      <c r="M2112" s="144" t="s">
        <v>31</v>
      </c>
      <c r="N2112" s="145">
        <v>750000.0</v>
      </c>
      <c r="O2112" s="146">
        <v>0.0</v>
      </c>
      <c r="P2112" s="48">
        <f t="array" ref="P2112">IFNA(XLOOKUP(J2112,'⚙️ Pengaturan'!$E$2:$E3237,'⚙️ Pengaturan'!$F$2:$F3237),"")</f>
        <v>750000</v>
      </c>
      <c r="Q2112" s="147">
        <f t="shared" si="56"/>
        <v>0</v>
      </c>
      <c r="R2112" s="41" t="s">
        <v>37</v>
      </c>
      <c r="S2112" s="69" t="s">
        <v>1493</v>
      </c>
      <c r="T2112" s="51" t="b">
        <v>1</v>
      </c>
      <c r="U2112" s="94"/>
    </row>
    <row r="2113" ht="30.0" customHeight="1">
      <c r="A2113" s="39"/>
      <c r="B2113" s="40">
        <v>4152.0</v>
      </c>
      <c r="C2113" s="41" t="s">
        <v>50</v>
      </c>
      <c r="D2113" s="86">
        <v>46194.0</v>
      </c>
      <c r="E2113" s="43" t="str">
        <f t="shared" si="51"/>
        <v>2026</v>
      </c>
      <c r="F2113" s="43" t="str">
        <f t="shared" si="52"/>
        <v>06 Jun</v>
      </c>
      <c r="G2113" s="45" t="s">
        <v>69</v>
      </c>
      <c r="H2113" s="45" t="s">
        <v>166</v>
      </c>
      <c r="I2113" s="45" t="s">
        <v>1548</v>
      </c>
      <c r="J2113" s="143" t="s">
        <v>356</v>
      </c>
      <c r="K2113" s="43" t="str">
        <f t="array" ref="K2113">IF(J2113="","", XLOOKUP(J2113,'⚙️ Pengaturan'!$E$2:$E3237,'⚙️ Pengaturan'!$G$2:$G3237))</f>
        <v>STORE  </v>
      </c>
      <c r="L2113" s="43" t="str">
        <f t="shared" si="3"/>
        <v>BARU</v>
      </c>
      <c r="M2113" s="144" t="s">
        <v>31</v>
      </c>
      <c r="N2113" s="145">
        <v>45000.0</v>
      </c>
      <c r="O2113" s="146">
        <v>0.0</v>
      </c>
      <c r="P2113" s="48">
        <f t="array" ref="P2113">IFNA(XLOOKUP(J2113,'⚙️ Pengaturan'!$E$2:$E3237,'⚙️ Pengaturan'!$F$2:$F3237),"")</f>
        <v>45000</v>
      </c>
      <c r="Q2113" s="147">
        <f t="shared" si="56"/>
        <v>0</v>
      </c>
      <c r="R2113" s="41" t="s">
        <v>118</v>
      </c>
      <c r="S2113" s="69" t="s">
        <v>1548</v>
      </c>
      <c r="T2113" s="51" t="b">
        <v>1</v>
      </c>
      <c r="U2113" s="94"/>
    </row>
    <row r="2114" ht="30.0" customHeight="1">
      <c r="A2114" s="39"/>
      <c r="B2114" s="164">
        <v>4153.0</v>
      </c>
      <c r="C2114" s="41" t="s">
        <v>50</v>
      </c>
      <c r="D2114" s="86">
        <v>46194.0</v>
      </c>
      <c r="E2114" s="43" t="str">
        <f t="shared" si="51"/>
        <v>2026</v>
      </c>
      <c r="F2114" s="43" t="str">
        <f t="shared" si="52"/>
        <v>06 Jun</v>
      </c>
      <c r="G2114" s="45" t="s">
        <v>69</v>
      </c>
      <c r="H2114" s="45" t="s">
        <v>26</v>
      </c>
      <c r="I2114" s="45" t="s">
        <v>1361</v>
      </c>
      <c r="J2114" s="143" t="s">
        <v>120</v>
      </c>
      <c r="K2114" s="43" t="str">
        <f t="array" ref="K2114">IF(J2114="","", XLOOKUP(J2114,'⚙️ Pengaturan'!$E$2:$E3237,'⚙️ Pengaturan'!$G$2:$G3237))</f>
        <v>KLINIK FT SESI</v>
      </c>
      <c r="L2114" s="43" t="str">
        <f t="shared" si="3"/>
        <v>BARU</v>
      </c>
      <c r="M2114" s="144" t="s">
        <v>31</v>
      </c>
      <c r="N2114" s="145">
        <v>180000.0</v>
      </c>
      <c r="O2114" s="146">
        <v>0.0</v>
      </c>
      <c r="P2114" s="48">
        <f t="array" ref="P2114">IFNA(XLOOKUP(J2114,'⚙️ Pengaturan'!$E$2:$E3237,'⚙️ Pengaturan'!$F$2:$F3237),"")</f>
        <v>180000</v>
      </c>
      <c r="Q2114" s="147">
        <f t="shared" si="56"/>
        <v>0</v>
      </c>
      <c r="R2114" s="41" t="s">
        <v>32</v>
      </c>
      <c r="S2114" s="76" t="s">
        <v>33</v>
      </c>
      <c r="T2114" s="51" t="b">
        <v>1</v>
      </c>
      <c r="U2114" s="94"/>
    </row>
    <row r="2115" ht="30.0" customHeight="1">
      <c r="A2115" s="39"/>
      <c r="B2115" s="40">
        <v>4154.0</v>
      </c>
      <c r="C2115" s="41" t="s">
        <v>50</v>
      </c>
      <c r="D2115" s="86">
        <v>46194.0</v>
      </c>
      <c r="E2115" s="43" t="str">
        <f t="shared" si="51"/>
        <v>2026</v>
      </c>
      <c r="F2115" s="43" t="str">
        <f t="shared" si="52"/>
        <v>06 Jun</v>
      </c>
      <c r="G2115" s="45" t="s">
        <v>155</v>
      </c>
      <c r="H2115" s="45" t="s">
        <v>166</v>
      </c>
      <c r="I2115" s="45" t="s">
        <v>1548</v>
      </c>
      <c r="J2115" s="143" t="s">
        <v>354</v>
      </c>
      <c r="K2115" s="43" t="str">
        <f t="array" ref="K2115">IF(J2115="","", XLOOKUP(J2115,'⚙️ Pengaturan'!$E$2:$E3237,'⚙️ Pengaturan'!$G$2:$G3237))</f>
        <v>STORE  </v>
      </c>
      <c r="L2115" s="43" t="str">
        <f t="shared" si="3"/>
        <v>BARU</v>
      </c>
      <c r="M2115" s="144" t="s">
        <v>31</v>
      </c>
      <c r="N2115" s="145">
        <v>20000.0</v>
      </c>
      <c r="O2115" s="146">
        <v>0.0</v>
      </c>
      <c r="P2115" s="48">
        <f t="array" ref="P2115">IFNA(XLOOKUP(J2115,'⚙️ Pengaturan'!$E$2:$E3237,'⚙️ Pengaturan'!$F$2:$F3237),"")</f>
        <v>20000</v>
      </c>
      <c r="Q2115" s="147">
        <f t="shared" si="56"/>
        <v>0</v>
      </c>
      <c r="R2115" s="41" t="s">
        <v>118</v>
      </c>
      <c r="S2115" s="69" t="s">
        <v>1548</v>
      </c>
      <c r="T2115" s="51" t="b">
        <v>1</v>
      </c>
      <c r="U2115" s="94"/>
    </row>
    <row r="2116" ht="30.0" customHeight="1">
      <c r="A2116" s="39"/>
      <c r="B2116" s="164">
        <v>4155.0</v>
      </c>
      <c r="C2116" s="41" t="s">
        <v>50</v>
      </c>
      <c r="D2116" s="86">
        <v>46194.0</v>
      </c>
      <c r="E2116" s="43" t="str">
        <f t="shared" si="51"/>
        <v>2026</v>
      </c>
      <c r="F2116" s="43" t="str">
        <f t="shared" si="52"/>
        <v>06 Jun</v>
      </c>
      <c r="G2116" s="45" t="s">
        <v>155</v>
      </c>
      <c r="H2116" s="45" t="s">
        <v>26</v>
      </c>
      <c r="I2116" s="45" t="s">
        <v>1530</v>
      </c>
      <c r="J2116" s="143" t="s">
        <v>120</v>
      </c>
      <c r="K2116" s="43" t="str">
        <f t="array" ref="K2116">IF(J2116="","", XLOOKUP(J2116,'⚙️ Pengaturan'!$E$2:$E3237,'⚙️ Pengaturan'!$G$2:$G3237))</f>
        <v>KLINIK FT SESI</v>
      </c>
      <c r="L2116" s="43" t="str">
        <f t="shared" si="3"/>
        <v>BARU</v>
      </c>
      <c r="M2116" s="144" t="s">
        <v>31</v>
      </c>
      <c r="N2116" s="145">
        <v>180000.0</v>
      </c>
      <c r="O2116" s="146">
        <v>0.0</v>
      </c>
      <c r="P2116" s="48">
        <f t="array" ref="P2116">IFNA(XLOOKUP(J2116,'⚙️ Pengaturan'!$E$2:$E3237,'⚙️ Pengaturan'!$F$2:$F3237),"")</f>
        <v>180000</v>
      </c>
      <c r="Q2116" s="147">
        <f t="shared" si="56"/>
        <v>0</v>
      </c>
      <c r="R2116" s="41" t="s">
        <v>37</v>
      </c>
      <c r="S2116" s="69" t="s">
        <v>1530</v>
      </c>
      <c r="T2116" s="51" t="b">
        <v>1</v>
      </c>
      <c r="U2116" s="94"/>
    </row>
    <row r="2117" ht="30.0" customHeight="1">
      <c r="A2117" s="39"/>
      <c r="B2117" s="40">
        <v>4156.0</v>
      </c>
      <c r="C2117" s="41" t="s">
        <v>50</v>
      </c>
      <c r="D2117" s="86">
        <v>46194.0</v>
      </c>
      <c r="E2117" s="43" t="str">
        <f t="shared" si="51"/>
        <v>2026</v>
      </c>
      <c r="F2117" s="43" t="str">
        <f t="shared" si="52"/>
        <v>06 Jun</v>
      </c>
      <c r="G2117" s="45" t="s">
        <v>190</v>
      </c>
      <c r="H2117" s="45" t="s">
        <v>150</v>
      </c>
      <c r="I2117" s="45" t="s">
        <v>1549</v>
      </c>
      <c r="J2117" s="143" t="s">
        <v>28</v>
      </c>
      <c r="K2117" s="43" t="str">
        <f t="array" ref="K2117">IF(J2117="","", XLOOKUP(J2117,'⚙️ Pengaturan'!$E$2:$E3237,'⚙️ Pengaturan'!$G$2:$G3237))</f>
        <v>KLINIK FT TA</v>
      </c>
      <c r="L2117" s="43" t="str">
        <f t="shared" si="3"/>
        <v>BARU</v>
      </c>
      <c r="M2117" s="144" t="s">
        <v>31</v>
      </c>
      <c r="N2117" s="145">
        <v>100000.0</v>
      </c>
      <c r="O2117" s="146">
        <v>150000.0</v>
      </c>
      <c r="P2117" s="48">
        <f t="array" ref="P2117">IFNA(XLOOKUP(J2117,'⚙️ Pengaturan'!$E$2:$E3237,'⚙️ Pengaturan'!$F$2:$F3237),"")</f>
        <v>250000</v>
      </c>
      <c r="Q2117" s="147">
        <f t="shared" si="56"/>
        <v>0</v>
      </c>
      <c r="R2117" s="41" t="s">
        <v>32</v>
      </c>
      <c r="S2117" s="76" t="s">
        <v>33</v>
      </c>
      <c r="T2117" s="51" t="b">
        <v>1</v>
      </c>
      <c r="U2117" s="94"/>
    </row>
    <row r="2118" ht="30.0" customHeight="1">
      <c r="A2118" s="39"/>
      <c r="B2118" s="164">
        <v>4157.0</v>
      </c>
      <c r="C2118" s="41" t="s">
        <v>50</v>
      </c>
      <c r="D2118" s="86">
        <v>46194.0</v>
      </c>
      <c r="E2118" s="43" t="str">
        <f t="shared" si="51"/>
        <v>2026</v>
      </c>
      <c r="F2118" s="43" t="str">
        <f t="shared" si="52"/>
        <v>06 Jun</v>
      </c>
      <c r="G2118" s="45" t="s">
        <v>190</v>
      </c>
      <c r="H2118" s="45" t="s">
        <v>166</v>
      </c>
      <c r="I2118" s="45" t="s">
        <v>648</v>
      </c>
      <c r="J2118" s="143" t="s">
        <v>364</v>
      </c>
      <c r="K2118" s="43" t="str">
        <f t="array" ref="K2118">IF(J2118="","", XLOOKUP(J2118,'⚙️ Pengaturan'!$E$2:$E3237,'⚙️ Pengaturan'!$G$2:$G3237))</f>
        <v>VISIT FT PAKET</v>
      </c>
      <c r="L2118" s="43" t="str">
        <f t="shared" si="3"/>
        <v>LANJUTAN</v>
      </c>
      <c r="M2118" s="144" t="s">
        <v>31</v>
      </c>
      <c r="N2118" s="145">
        <v>2300000.0</v>
      </c>
      <c r="O2118" s="146">
        <v>0.0</v>
      </c>
      <c r="P2118" s="48">
        <f t="array" ref="P2118">IFNA(XLOOKUP(J2118,'⚙️ Pengaturan'!$E$2:$E3237,'⚙️ Pengaturan'!$F$2:$F3237),"")</f>
        <v>2300000</v>
      </c>
      <c r="Q2118" s="147">
        <f t="shared" si="56"/>
        <v>0</v>
      </c>
      <c r="R2118" s="41" t="s">
        <v>37</v>
      </c>
      <c r="S2118" s="69" t="s">
        <v>648</v>
      </c>
      <c r="T2118" s="51" t="b">
        <v>1</v>
      </c>
      <c r="U2118" s="94"/>
    </row>
    <row r="2119" ht="30.0" customHeight="1">
      <c r="A2119" s="39"/>
      <c r="B2119" s="40">
        <v>4158.0</v>
      </c>
      <c r="C2119" s="41" t="s">
        <v>50</v>
      </c>
      <c r="D2119" s="86">
        <v>46194.0</v>
      </c>
      <c r="E2119" s="43" t="str">
        <f t="shared" si="51"/>
        <v>2026</v>
      </c>
      <c r="F2119" s="43" t="str">
        <f t="shared" si="52"/>
        <v>06 Jun</v>
      </c>
      <c r="G2119" s="45" t="s">
        <v>190</v>
      </c>
      <c r="H2119" s="45" t="s">
        <v>359</v>
      </c>
      <c r="I2119" s="45" t="s">
        <v>1550</v>
      </c>
      <c r="J2119" s="143" t="s">
        <v>1545</v>
      </c>
      <c r="K2119" s="43" t="str">
        <f t="array" ref="K2119">IF(J2119="","", XLOOKUP(J2119,'⚙️ Pengaturan'!$E$2:$E3237,'⚙️ Pengaturan'!$G$2:$G3237))</f>
        <v>KLINIK SM SESI</v>
      </c>
      <c r="L2119" s="43" t="str">
        <f t="shared" si="3"/>
        <v>BARU</v>
      </c>
      <c r="M2119" s="144" t="s">
        <v>31</v>
      </c>
      <c r="N2119" s="145">
        <v>107000.0</v>
      </c>
      <c r="O2119" s="146">
        <v>18000.0</v>
      </c>
      <c r="P2119" s="48">
        <f t="array" ref="P2119">IFNA(XLOOKUP(J2119,'⚙️ Pengaturan'!$E$2:$E3237,'⚙️ Pengaturan'!$F$2:$F3237),"")</f>
        <v>125000</v>
      </c>
      <c r="Q2119" s="147">
        <f t="shared" si="56"/>
        <v>0</v>
      </c>
      <c r="R2119" s="41" t="s">
        <v>37</v>
      </c>
      <c r="S2119" s="69" t="s">
        <v>1550</v>
      </c>
      <c r="T2119" s="51" t="b">
        <v>1</v>
      </c>
      <c r="U2119" s="94"/>
    </row>
    <row r="2120" ht="30.0" customHeight="1">
      <c r="A2120" s="39"/>
      <c r="B2120" s="164">
        <v>4159.0</v>
      </c>
      <c r="C2120" s="41" t="s">
        <v>39</v>
      </c>
      <c r="D2120" s="86">
        <v>46195.0</v>
      </c>
      <c r="E2120" s="43" t="str">
        <f t="shared" si="51"/>
        <v>2026</v>
      </c>
      <c r="F2120" s="43" t="str">
        <f t="shared" si="52"/>
        <v>06 Jun</v>
      </c>
      <c r="G2120" s="45" t="s">
        <v>195</v>
      </c>
      <c r="H2120" s="45" t="s">
        <v>26</v>
      </c>
      <c r="I2120" s="45" t="s">
        <v>1551</v>
      </c>
      <c r="J2120" s="143" t="s">
        <v>28</v>
      </c>
      <c r="K2120" s="43" t="str">
        <f t="array" ref="K2120">IF(J2120="","", XLOOKUP(J2120,'⚙️ Pengaturan'!$E$2:$E3237,'⚙️ Pengaturan'!$G$2:$G3237))</f>
        <v>KLINIK FT TA</v>
      </c>
      <c r="L2120" s="43" t="str">
        <f t="shared" si="3"/>
        <v>BARU</v>
      </c>
      <c r="M2120" s="144" t="s">
        <v>31</v>
      </c>
      <c r="N2120" s="145">
        <v>200000.0</v>
      </c>
      <c r="O2120" s="146">
        <v>50000.0</v>
      </c>
      <c r="P2120" s="48">
        <f t="array" ref="P2120">IFNA(XLOOKUP(J2120,'⚙️ Pengaturan'!$E$2:$E3237,'⚙️ Pengaturan'!$F$2:$F3237),"")</f>
        <v>250000</v>
      </c>
      <c r="Q2120" s="147">
        <f t="shared" si="56"/>
        <v>0</v>
      </c>
      <c r="R2120" s="41" t="s">
        <v>32</v>
      </c>
      <c r="S2120" s="76" t="s">
        <v>33</v>
      </c>
      <c r="T2120" s="51" t="b">
        <v>1</v>
      </c>
      <c r="U2120" s="94" t="s">
        <v>1552</v>
      </c>
    </row>
    <row r="2121" ht="30.0" customHeight="1">
      <c r="A2121" s="39"/>
      <c r="B2121" s="40">
        <v>4160.0</v>
      </c>
      <c r="C2121" s="41" t="s">
        <v>39</v>
      </c>
      <c r="D2121" s="86">
        <v>46195.0</v>
      </c>
      <c r="E2121" s="43" t="str">
        <f t="shared" si="51"/>
        <v>2026</v>
      </c>
      <c r="F2121" s="43" t="str">
        <f t="shared" si="52"/>
        <v>06 Jun</v>
      </c>
      <c r="G2121" s="45" t="s">
        <v>206</v>
      </c>
      <c r="H2121" s="45" t="s">
        <v>26</v>
      </c>
      <c r="I2121" s="45" t="s">
        <v>1553</v>
      </c>
      <c r="J2121" s="143" t="s">
        <v>28</v>
      </c>
      <c r="K2121" s="43" t="str">
        <f t="array" ref="K2121">IF(J2121="","", XLOOKUP(J2121,'⚙️ Pengaturan'!$E$2:$E3237,'⚙️ Pengaturan'!$G$2:$G3237))</f>
        <v>KLINIK FT TA</v>
      </c>
      <c r="L2121" s="43" t="str">
        <f t="shared" si="3"/>
        <v>BARU</v>
      </c>
      <c r="M2121" s="144" t="s">
        <v>31</v>
      </c>
      <c r="N2121" s="145">
        <v>250000.0</v>
      </c>
      <c r="O2121" s="146">
        <v>0.0</v>
      </c>
      <c r="P2121" s="48">
        <f t="array" ref="P2121">IFNA(XLOOKUP(J2121,'⚙️ Pengaturan'!$E$2:$E3237,'⚙️ Pengaturan'!$F$2:$F3237),"")</f>
        <v>250000</v>
      </c>
      <c r="Q2121" s="147">
        <f t="shared" si="56"/>
        <v>0</v>
      </c>
      <c r="R2121" s="41" t="s">
        <v>32</v>
      </c>
      <c r="S2121" s="76" t="s">
        <v>33</v>
      </c>
      <c r="T2121" s="51" t="b">
        <v>1</v>
      </c>
      <c r="U2121" s="94"/>
    </row>
    <row r="2122" ht="30.0" customHeight="1">
      <c r="A2122" s="39"/>
      <c r="B2122" s="164">
        <v>4161.0</v>
      </c>
      <c r="C2122" s="41" t="s">
        <v>39</v>
      </c>
      <c r="D2122" s="86">
        <v>46195.0</v>
      </c>
      <c r="E2122" s="43" t="str">
        <f t="shared" si="51"/>
        <v>2026</v>
      </c>
      <c r="F2122" s="43" t="str">
        <f t="shared" si="52"/>
        <v>06 Jun</v>
      </c>
      <c r="G2122" s="45" t="s">
        <v>195</v>
      </c>
      <c r="H2122" s="45" t="s">
        <v>150</v>
      </c>
      <c r="I2122" s="45" t="s">
        <v>1533</v>
      </c>
      <c r="J2122" s="143" t="s">
        <v>119</v>
      </c>
      <c r="K2122" s="43" t="str">
        <f t="array" ref="K2122">IF(J2122="","", XLOOKUP(J2122,'⚙️ Pengaturan'!$E$2:$E3237,'⚙️ Pengaturan'!$G$2:$G3237))</f>
        <v>KLINIK FT PAKET</v>
      </c>
      <c r="L2122" s="43" t="str">
        <f t="shared" si="3"/>
        <v>BARU</v>
      </c>
      <c r="M2122" s="144" t="s">
        <v>60</v>
      </c>
      <c r="N2122" s="145">
        <v>300000.0</v>
      </c>
      <c r="O2122" s="146">
        <v>450000.0</v>
      </c>
      <c r="P2122" s="48">
        <f t="array" ref="P2122">IFNA(XLOOKUP(J2122,'⚙️ Pengaturan'!$E$2:$E3237,'⚙️ Pengaturan'!$F$2:$F3237),"")</f>
        <v>750000</v>
      </c>
      <c r="Q2122" s="147">
        <f t="shared" si="56"/>
        <v>0</v>
      </c>
      <c r="R2122" s="41" t="s">
        <v>32</v>
      </c>
      <c r="S2122" s="76" t="s">
        <v>33</v>
      </c>
      <c r="T2122" s="51" t="b">
        <v>1</v>
      </c>
      <c r="U2122" s="94"/>
    </row>
    <row r="2123" ht="30.0" customHeight="1">
      <c r="A2123" s="39"/>
      <c r="B2123" s="40">
        <v>4162.0</v>
      </c>
      <c r="C2123" s="41" t="s">
        <v>39</v>
      </c>
      <c r="D2123" s="86">
        <v>46195.0</v>
      </c>
      <c r="E2123" s="43" t="str">
        <f t="shared" si="51"/>
        <v>2026</v>
      </c>
      <c r="F2123" s="43" t="str">
        <f t="shared" si="52"/>
        <v>06 Jun</v>
      </c>
      <c r="G2123" s="45" t="s">
        <v>69</v>
      </c>
      <c r="H2123" s="45" t="s">
        <v>41</v>
      </c>
      <c r="I2123" s="45" t="s">
        <v>1252</v>
      </c>
      <c r="J2123" s="143" t="s">
        <v>138</v>
      </c>
      <c r="K2123" s="43" t="str">
        <f t="array" ref="K2123">IF(J2123="","", XLOOKUP(J2123,'⚙️ Pengaturan'!$E$2:$E3237,'⚙️ Pengaturan'!$G$2:$G3237))</f>
        <v>VISIT FT PAKET</v>
      </c>
      <c r="L2123" s="43" t="str">
        <f t="shared" si="3"/>
        <v>LANJUTAN</v>
      </c>
      <c r="M2123" s="144" t="s">
        <v>31</v>
      </c>
      <c r="N2123" s="145">
        <v>1800000.0</v>
      </c>
      <c r="O2123" s="146">
        <v>0.0</v>
      </c>
      <c r="P2123" s="48">
        <f t="array" ref="P2123">IFNA(XLOOKUP(J2123,'⚙️ Pengaturan'!$E$2:$E3237,'⚙️ Pengaturan'!$F$2:$F3237),"")</f>
        <v>1800000</v>
      </c>
      <c r="Q2123" s="147">
        <f t="shared" si="56"/>
        <v>0</v>
      </c>
      <c r="R2123" s="41" t="s">
        <v>37</v>
      </c>
      <c r="S2123" s="76" t="s">
        <v>1253</v>
      </c>
      <c r="T2123" s="51" t="b">
        <v>1</v>
      </c>
      <c r="U2123" s="94"/>
    </row>
    <row r="2124" ht="30.0" customHeight="1">
      <c r="A2124" s="39"/>
      <c r="B2124" s="164">
        <v>4163.0</v>
      </c>
      <c r="C2124" s="41" t="s">
        <v>39</v>
      </c>
      <c r="D2124" s="86">
        <v>46195.0</v>
      </c>
      <c r="E2124" s="43" t="str">
        <f t="shared" si="51"/>
        <v>2026</v>
      </c>
      <c r="F2124" s="43" t="str">
        <f t="shared" si="52"/>
        <v>06 Jun</v>
      </c>
      <c r="G2124" s="45" t="s">
        <v>69</v>
      </c>
      <c r="H2124" s="45" t="s">
        <v>162</v>
      </c>
      <c r="I2124" s="45" t="s">
        <v>1554</v>
      </c>
      <c r="J2124" s="143" t="s">
        <v>347</v>
      </c>
      <c r="K2124" s="43" t="str">
        <f t="array" ref="K2124">IF(J2124="","", XLOOKUP(J2124,'⚙️ Pengaturan'!$E$2:$E3237,'⚙️ Pengaturan'!$G$2:$G3237))</f>
        <v>KLINIK FT PAKET</v>
      </c>
      <c r="L2124" s="43" t="str">
        <f t="shared" si="3"/>
        <v>BARU</v>
      </c>
      <c r="M2124" s="144" t="s">
        <v>31</v>
      </c>
      <c r="N2124" s="145">
        <v>1300000.0</v>
      </c>
      <c r="O2124" s="146">
        <v>0.0</v>
      </c>
      <c r="P2124" s="48">
        <f t="array" ref="P2124">IFNA(XLOOKUP(J2124,'⚙️ Pengaturan'!$E$2:$E3237,'⚙️ Pengaturan'!$F$2:$F3237),"")</f>
        <v>1300000</v>
      </c>
      <c r="Q2124" s="147">
        <f t="shared" si="56"/>
        <v>0</v>
      </c>
      <c r="R2124" s="41" t="s">
        <v>37</v>
      </c>
      <c r="S2124" s="69" t="s">
        <v>1363</v>
      </c>
      <c r="T2124" s="51" t="b">
        <v>1</v>
      </c>
      <c r="U2124" s="94"/>
    </row>
    <row r="2125" ht="30.0" customHeight="1">
      <c r="A2125" s="39"/>
      <c r="B2125" s="40">
        <v>4164.0</v>
      </c>
      <c r="C2125" s="41" t="s">
        <v>39</v>
      </c>
      <c r="D2125" s="86">
        <v>46195.0</v>
      </c>
      <c r="E2125" s="43" t="str">
        <f t="shared" si="51"/>
        <v>2026</v>
      </c>
      <c r="F2125" s="43" t="str">
        <f t="shared" si="52"/>
        <v>06 Jun</v>
      </c>
      <c r="G2125" s="45" t="s">
        <v>161</v>
      </c>
      <c r="H2125" s="45" t="s">
        <v>26</v>
      </c>
      <c r="I2125" s="45" t="s">
        <v>1555</v>
      </c>
      <c r="J2125" s="143" t="s">
        <v>28</v>
      </c>
      <c r="K2125" s="43" t="str">
        <f t="array" ref="K2125">IF(J2125="","", XLOOKUP(J2125,'⚙️ Pengaturan'!$E$2:$E3237,'⚙️ Pengaturan'!$G$2:$G3237))</f>
        <v>KLINIK FT TA</v>
      </c>
      <c r="L2125" s="43" t="str">
        <f t="shared" si="3"/>
        <v>BARU</v>
      </c>
      <c r="M2125" s="144" t="s">
        <v>31</v>
      </c>
      <c r="N2125" s="145">
        <v>250000.0</v>
      </c>
      <c r="O2125" s="146">
        <v>0.0</v>
      </c>
      <c r="P2125" s="48">
        <f t="array" ref="P2125">IFNA(XLOOKUP(J2125,'⚙️ Pengaturan'!$E$2:$E3237,'⚙️ Pengaturan'!$F$2:$F3237),"")</f>
        <v>250000</v>
      </c>
      <c r="Q2125" s="147">
        <f t="shared" si="56"/>
        <v>0</v>
      </c>
      <c r="R2125" s="41" t="s">
        <v>118</v>
      </c>
      <c r="S2125" s="69" t="s">
        <v>1555</v>
      </c>
      <c r="T2125" s="51" t="b">
        <v>1</v>
      </c>
      <c r="U2125" s="94"/>
    </row>
    <row r="2126" ht="30.0" customHeight="1">
      <c r="A2126" s="39"/>
      <c r="B2126" s="164">
        <v>4165.0</v>
      </c>
      <c r="C2126" s="41" t="s">
        <v>39</v>
      </c>
      <c r="D2126" s="86">
        <v>46195.0</v>
      </c>
      <c r="E2126" s="43" t="str">
        <f t="shared" si="51"/>
        <v>2026</v>
      </c>
      <c r="F2126" s="43" t="str">
        <f t="shared" si="52"/>
        <v>06 Jun</v>
      </c>
      <c r="G2126" s="45" t="s">
        <v>161</v>
      </c>
      <c r="H2126" s="45" t="s">
        <v>162</v>
      </c>
      <c r="I2126" s="45" t="s">
        <v>1485</v>
      </c>
      <c r="J2126" s="143" t="s">
        <v>347</v>
      </c>
      <c r="K2126" s="43" t="str">
        <f t="array" ref="K2126">IF(J2126="","", XLOOKUP(J2126,'⚙️ Pengaturan'!$E$2:$E3237,'⚙️ Pengaturan'!$G$2:$G3237))</f>
        <v>KLINIK FT PAKET</v>
      </c>
      <c r="L2126" s="43" t="str">
        <f t="shared" si="3"/>
        <v>BARU</v>
      </c>
      <c r="M2126" s="144" t="s">
        <v>31</v>
      </c>
      <c r="N2126" s="145">
        <v>650000.0</v>
      </c>
      <c r="O2126" s="146">
        <v>650000.0</v>
      </c>
      <c r="P2126" s="48">
        <f t="array" ref="P2126">IFNA(XLOOKUP(J2126,'⚙️ Pengaturan'!$E$2:$E3237,'⚙️ Pengaturan'!$F$2:$F3237),"")</f>
        <v>1300000</v>
      </c>
      <c r="Q2126" s="147">
        <f t="shared" si="56"/>
        <v>0</v>
      </c>
      <c r="R2126" s="41" t="s">
        <v>37</v>
      </c>
      <c r="S2126" s="69" t="s">
        <v>1485</v>
      </c>
      <c r="T2126" s="51" t="b">
        <v>1</v>
      </c>
      <c r="U2126" s="94"/>
    </row>
    <row r="2127" ht="30.0" customHeight="1">
      <c r="A2127" s="39"/>
      <c r="B2127" s="40">
        <v>4166.0</v>
      </c>
      <c r="C2127" s="41" t="s">
        <v>39</v>
      </c>
      <c r="D2127" s="86">
        <v>46195.0</v>
      </c>
      <c r="E2127" s="43" t="str">
        <f t="shared" si="51"/>
        <v>2026</v>
      </c>
      <c r="F2127" s="43" t="str">
        <f t="shared" si="52"/>
        <v>06 Jun</v>
      </c>
      <c r="G2127" s="45" t="s">
        <v>161</v>
      </c>
      <c r="H2127" s="45" t="s">
        <v>150</v>
      </c>
      <c r="I2127" s="45" t="s">
        <v>1556</v>
      </c>
      <c r="J2127" s="143" t="s">
        <v>28</v>
      </c>
      <c r="K2127" s="43" t="str">
        <f t="array" ref="K2127">IF(J2127="","", XLOOKUP(J2127,'⚙️ Pengaturan'!$E$2:$E3237,'⚙️ Pengaturan'!$G$2:$G3237))</f>
        <v>KLINIK FT TA</v>
      </c>
      <c r="L2127" s="43" t="str">
        <f t="shared" si="3"/>
        <v>BARU</v>
      </c>
      <c r="M2127" s="144" t="s">
        <v>31</v>
      </c>
      <c r="N2127" s="145">
        <v>0.0</v>
      </c>
      <c r="O2127" s="146">
        <v>250000.0</v>
      </c>
      <c r="P2127" s="48">
        <f t="array" ref="P2127">IFNA(XLOOKUP(J2127,'⚙️ Pengaturan'!$E$2:$E3237,'⚙️ Pengaturan'!$F$2:$F3237),"")</f>
        <v>250000</v>
      </c>
      <c r="Q2127" s="147">
        <f t="shared" si="56"/>
        <v>0</v>
      </c>
      <c r="R2127" s="41" t="s">
        <v>32</v>
      </c>
      <c r="S2127" s="76" t="s">
        <v>33</v>
      </c>
      <c r="T2127" s="51" t="b">
        <v>1</v>
      </c>
      <c r="U2127" s="94"/>
    </row>
    <row r="2128" ht="30.0" customHeight="1">
      <c r="A2128" s="39"/>
      <c r="B2128" s="164">
        <v>4167.0</v>
      </c>
      <c r="C2128" s="41" t="s">
        <v>39</v>
      </c>
      <c r="D2128" s="86">
        <v>46195.0</v>
      </c>
      <c r="E2128" s="43" t="str">
        <f t="shared" si="51"/>
        <v>2026</v>
      </c>
      <c r="F2128" s="43" t="str">
        <f t="shared" si="52"/>
        <v>06 Jun</v>
      </c>
      <c r="G2128" s="45" t="s">
        <v>35</v>
      </c>
      <c r="H2128" s="45" t="s">
        <v>150</v>
      </c>
      <c r="I2128" s="45" t="s">
        <v>1557</v>
      </c>
      <c r="J2128" s="143" t="s">
        <v>28</v>
      </c>
      <c r="K2128" s="43" t="str">
        <f t="array" ref="K2128">IF(J2128="","", XLOOKUP(J2128,'⚙️ Pengaturan'!$E$2:$E3237,'⚙️ Pengaturan'!$G$2:$G3237))</f>
        <v>KLINIK FT TA</v>
      </c>
      <c r="L2128" s="43" t="str">
        <f t="shared" si="3"/>
        <v>BARU</v>
      </c>
      <c r="M2128" s="144" t="s">
        <v>31</v>
      </c>
      <c r="N2128" s="145">
        <v>0.0</v>
      </c>
      <c r="O2128" s="146">
        <v>250000.0</v>
      </c>
      <c r="P2128" s="48">
        <f t="array" ref="P2128">IFNA(XLOOKUP(J2128,'⚙️ Pengaturan'!$E$2:$E3237,'⚙️ Pengaturan'!$F$2:$F3237),"")</f>
        <v>250000</v>
      </c>
      <c r="Q2128" s="147">
        <f t="shared" si="56"/>
        <v>0</v>
      </c>
      <c r="R2128" s="41" t="s">
        <v>32</v>
      </c>
      <c r="S2128" s="76" t="s">
        <v>33</v>
      </c>
      <c r="T2128" s="51" t="b">
        <v>1</v>
      </c>
      <c r="U2128" s="94"/>
    </row>
    <row r="2129" ht="30.0" customHeight="1">
      <c r="A2129" s="39"/>
      <c r="B2129" s="40">
        <v>4168.0</v>
      </c>
      <c r="C2129" s="41" t="s">
        <v>50</v>
      </c>
      <c r="D2129" s="86">
        <v>46195.0</v>
      </c>
      <c r="E2129" s="43" t="str">
        <f t="shared" si="51"/>
        <v>2026</v>
      </c>
      <c r="F2129" s="43" t="str">
        <f t="shared" si="52"/>
        <v>06 Jun</v>
      </c>
      <c r="G2129" s="45" t="s">
        <v>40</v>
      </c>
      <c r="H2129" s="45" t="s">
        <v>96</v>
      </c>
      <c r="I2129" s="45" t="s">
        <v>1558</v>
      </c>
      <c r="J2129" s="143" t="s">
        <v>28</v>
      </c>
      <c r="K2129" s="43" t="str">
        <f t="array" ref="K2129">IF(J2129="","", XLOOKUP(J2129,'⚙️ Pengaturan'!$E$2:$E3237,'⚙️ Pengaturan'!$G$2:$G3237))</f>
        <v>KLINIK FT TA</v>
      </c>
      <c r="L2129" s="43" t="str">
        <f t="shared" si="3"/>
        <v>BARU</v>
      </c>
      <c r="M2129" s="144" t="s">
        <v>31</v>
      </c>
      <c r="N2129" s="145">
        <v>250000.0</v>
      </c>
      <c r="O2129" s="146">
        <v>0.0</v>
      </c>
      <c r="P2129" s="48">
        <f t="array" ref="P2129">IFNA(XLOOKUP(J2129,'⚙️ Pengaturan'!$E$2:$E3237,'⚙️ Pengaturan'!$F$2:$F3237),"")</f>
        <v>250000</v>
      </c>
      <c r="Q2129" s="147">
        <f t="shared" si="56"/>
        <v>0</v>
      </c>
      <c r="R2129" s="41" t="s">
        <v>37</v>
      </c>
      <c r="S2129" s="69" t="s">
        <v>1558</v>
      </c>
      <c r="T2129" s="51" t="b">
        <v>1</v>
      </c>
      <c r="U2129" s="94"/>
    </row>
    <row r="2130" ht="30.0" customHeight="1">
      <c r="A2130" s="39"/>
      <c r="B2130" s="164">
        <v>4169.0</v>
      </c>
      <c r="C2130" s="41" t="s">
        <v>50</v>
      </c>
      <c r="D2130" s="86">
        <v>46195.0</v>
      </c>
      <c r="E2130" s="43" t="str">
        <f t="shared" si="51"/>
        <v>2026</v>
      </c>
      <c r="F2130" s="43" t="str">
        <f t="shared" si="52"/>
        <v>06 Jun</v>
      </c>
      <c r="G2130" s="45" t="s">
        <v>43</v>
      </c>
      <c r="H2130" s="45" t="s">
        <v>96</v>
      </c>
      <c r="I2130" s="45" t="s">
        <v>1377</v>
      </c>
      <c r="J2130" s="143" t="s">
        <v>119</v>
      </c>
      <c r="K2130" s="43" t="str">
        <f t="array" ref="K2130">IF(J2130="","", XLOOKUP(J2130,'⚙️ Pengaturan'!$E$2:$E3237,'⚙️ Pengaturan'!$G$2:$G3237))</f>
        <v>KLINIK FT PAKET</v>
      </c>
      <c r="L2130" s="43" t="str">
        <f t="shared" si="3"/>
        <v>LANJUTAN</v>
      </c>
      <c r="M2130" s="144" t="s">
        <v>31</v>
      </c>
      <c r="N2130" s="145">
        <v>600000.0</v>
      </c>
      <c r="O2130" s="146">
        <v>150000.0</v>
      </c>
      <c r="P2130" s="119">
        <v>750000.0</v>
      </c>
      <c r="Q2130" s="147">
        <f t="shared" si="56"/>
        <v>0</v>
      </c>
      <c r="R2130" s="41" t="s">
        <v>118</v>
      </c>
      <c r="S2130" s="69" t="s">
        <v>1377</v>
      </c>
      <c r="T2130" s="51" t="b">
        <v>1</v>
      </c>
      <c r="U2130" s="94" t="s">
        <v>1063</v>
      </c>
    </row>
    <row r="2131" ht="30.0" customHeight="1">
      <c r="A2131" s="39"/>
      <c r="B2131" s="40">
        <v>4170.0</v>
      </c>
      <c r="C2131" s="41" t="s">
        <v>50</v>
      </c>
      <c r="D2131" s="86">
        <v>46195.0</v>
      </c>
      <c r="E2131" s="43" t="str">
        <f t="shared" si="51"/>
        <v>2026</v>
      </c>
      <c r="F2131" s="43" t="str">
        <f t="shared" si="52"/>
        <v>06 Jun</v>
      </c>
      <c r="G2131" s="45" t="s">
        <v>43</v>
      </c>
      <c r="H2131" s="45" t="s">
        <v>149</v>
      </c>
      <c r="I2131" s="45" t="s">
        <v>1526</v>
      </c>
      <c r="J2131" s="143" t="s">
        <v>120</v>
      </c>
      <c r="K2131" s="43" t="str">
        <f t="array" ref="K2131">IF(J2131="","", XLOOKUP(J2131,'⚙️ Pengaturan'!$E$2:$E3237,'⚙️ Pengaturan'!$G$2:$G3237))</f>
        <v>KLINIK FT SESI</v>
      </c>
      <c r="L2131" s="43" t="str">
        <f t="shared" si="3"/>
        <v>BARU</v>
      </c>
      <c r="M2131" s="144" t="s">
        <v>31</v>
      </c>
      <c r="N2131" s="145">
        <v>180000.0</v>
      </c>
      <c r="O2131" s="146">
        <v>0.0</v>
      </c>
      <c r="P2131" s="48">
        <f t="array" ref="P2131">IFNA(XLOOKUP(J2131,'⚙️ Pengaturan'!$E$2:$E3237,'⚙️ Pengaturan'!$F$2:$F3237),"")</f>
        <v>180000</v>
      </c>
      <c r="Q2131" s="147">
        <f t="shared" si="56"/>
        <v>0</v>
      </c>
      <c r="R2131" s="41" t="s">
        <v>37</v>
      </c>
      <c r="S2131" s="69" t="s">
        <v>1526</v>
      </c>
      <c r="T2131" s="51" t="b">
        <v>1</v>
      </c>
      <c r="U2131" s="94"/>
    </row>
    <row r="2132" ht="30.0" customHeight="1">
      <c r="A2132" s="39"/>
      <c r="B2132" s="164">
        <v>4171.0</v>
      </c>
      <c r="C2132" s="41" t="s">
        <v>50</v>
      </c>
      <c r="D2132" s="86">
        <v>46195.0</v>
      </c>
      <c r="E2132" s="43" t="str">
        <f t="shared" si="51"/>
        <v>2026</v>
      </c>
      <c r="F2132" s="43" t="str">
        <f t="shared" si="52"/>
        <v>06 Jun</v>
      </c>
      <c r="G2132" s="45" t="s">
        <v>43</v>
      </c>
      <c r="H2132" s="45" t="s">
        <v>76</v>
      </c>
      <c r="I2132" s="45" t="s">
        <v>1540</v>
      </c>
      <c r="J2132" s="143" t="s">
        <v>120</v>
      </c>
      <c r="K2132" s="43" t="str">
        <f t="array" ref="K2132">IF(J2132="","", XLOOKUP(J2132,'⚙️ Pengaturan'!$E$2:$E3237,'⚙️ Pengaturan'!$G$2:$G3237))</f>
        <v>KLINIK FT SESI</v>
      </c>
      <c r="L2132" s="43" t="str">
        <f t="shared" si="3"/>
        <v>BARU</v>
      </c>
      <c r="M2132" s="144" t="s">
        <v>31</v>
      </c>
      <c r="N2132" s="145">
        <v>180000.0</v>
      </c>
      <c r="O2132" s="146">
        <v>0.0</v>
      </c>
      <c r="P2132" s="48">
        <f t="array" ref="P2132">IFNA(XLOOKUP(J2132,'⚙️ Pengaturan'!$E$2:$E3237,'⚙️ Pengaturan'!$F$2:$F3237),"")</f>
        <v>180000</v>
      </c>
      <c r="Q2132" s="147">
        <f t="shared" si="56"/>
        <v>0</v>
      </c>
      <c r="R2132" s="41" t="s">
        <v>32</v>
      </c>
      <c r="S2132" s="76" t="s">
        <v>33</v>
      </c>
      <c r="T2132" s="51" t="b">
        <v>1</v>
      </c>
      <c r="U2132" s="94"/>
    </row>
    <row r="2133" ht="30.0" customHeight="1">
      <c r="A2133" s="39"/>
      <c r="B2133" s="40">
        <v>4172.0</v>
      </c>
      <c r="C2133" s="41" t="s">
        <v>50</v>
      </c>
      <c r="D2133" s="86">
        <v>46195.0</v>
      </c>
      <c r="E2133" s="43" t="str">
        <f t="shared" si="51"/>
        <v>2026</v>
      </c>
      <c r="F2133" s="43" t="str">
        <f t="shared" si="52"/>
        <v>06 Jun</v>
      </c>
      <c r="G2133" s="45" t="s">
        <v>69</v>
      </c>
      <c r="H2133" s="45" t="s">
        <v>47</v>
      </c>
      <c r="I2133" s="45" t="s">
        <v>1539</v>
      </c>
      <c r="J2133" s="143" t="s">
        <v>365</v>
      </c>
      <c r="K2133" s="43" t="str">
        <f t="array" ref="K2133">IF(J2133="","", XLOOKUP(J2133,'⚙️ Pengaturan'!$E$2:$E3237,'⚙️ Pengaturan'!$G$2:$G3237))</f>
        <v>VISIT FT SESI</v>
      </c>
      <c r="L2133" s="43" t="str">
        <f t="shared" si="3"/>
        <v>BARU</v>
      </c>
      <c r="M2133" s="144" t="s">
        <v>31</v>
      </c>
      <c r="N2133" s="145">
        <v>250000.0</v>
      </c>
      <c r="O2133" s="146">
        <v>0.0</v>
      </c>
      <c r="P2133" s="48">
        <f t="array" ref="P2133">IFNA(XLOOKUP(J2133,'⚙️ Pengaturan'!$E$2:$E3237,'⚙️ Pengaturan'!$F$2:$F3237),"")</f>
        <v>250000</v>
      </c>
      <c r="Q2133" s="147">
        <f t="shared" si="56"/>
        <v>0</v>
      </c>
      <c r="R2133" s="41" t="s">
        <v>32</v>
      </c>
      <c r="S2133" s="76" t="s">
        <v>33</v>
      </c>
      <c r="T2133" s="51" t="b">
        <v>1</v>
      </c>
      <c r="U2133" s="94"/>
    </row>
    <row r="2134" ht="30.0" customHeight="1">
      <c r="A2134" s="39"/>
      <c r="B2134" s="164">
        <v>4173.0</v>
      </c>
      <c r="C2134" s="41" t="s">
        <v>50</v>
      </c>
      <c r="D2134" s="86">
        <v>46195.0</v>
      </c>
      <c r="E2134" s="43" t="str">
        <f t="shared" si="51"/>
        <v>2026</v>
      </c>
      <c r="F2134" s="43" t="str">
        <f t="shared" si="52"/>
        <v>06 Jun</v>
      </c>
      <c r="G2134" s="45" t="s">
        <v>69</v>
      </c>
      <c r="H2134" s="45" t="s">
        <v>150</v>
      </c>
      <c r="I2134" s="45" t="s">
        <v>1549</v>
      </c>
      <c r="J2134" s="143" t="s">
        <v>365</v>
      </c>
      <c r="K2134" s="43" t="str">
        <f t="array" ref="K2134">IF(J2134="","", XLOOKUP(J2134,'⚙️ Pengaturan'!$E$2:$E3237,'⚙️ Pengaturan'!$G$2:$G3237))</f>
        <v>VISIT FT SESI</v>
      </c>
      <c r="L2134" s="43" t="str">
        <f t="shared" si="3"/>
        <v>BARU</v>
      </c>
      <c r="M2134" s="144" t="s">
        <v>31</v>
      </c>
      <c r="N2134" s="145">
        <v>250000.0</v>
      </c>
      <c r="O2134" s="146">
        <v>0.0</v>
      </c>
      <c r="P2134" s="48">
        <f t="array" ref="P2134">IFNA(XLOOKUP(J2134,'⚙️ Pengaturan'!$E$2:$E3237,'⚙️ Pengaturan'!$F$2:$F3237),"")</f>
        <v>250000</v>
      </c>
      <c r="Q2134" s="147">
        <f t="shared" si="56"/>
        <v>0</v>
      </c>
      <c r="R2134" s="41" t="s">
        <v>32</v>
      </c>
      <c r="S2134" s="76" t="s">
        <v>33</v>
      </c>
      <c r="T2134" s="51" t="b">
        <v>1</v>
      </c>
      <c r="U2134" s="94"/>
    </row>
    <row r="2135" ht="30.0" customHeight="1">
      <c r="A2135" s="39"/>
      <c r="B2135" s="40">
        <v>4174.0</v>
      </c>
      <c r="C2135" s="41" t="s">
        <v>50</v>
      </c>
      <c r="D2135" s="86">
        <v>46195.0</v>
      </c>
      <c r="E2135" s="43" t="str">
        <f t="shared" si="51"/>
        <v>2026</v>
      </c>
      <c r="F2135" s="43" t="str">
        <f t="shared" si="52"/>
        <v>06 Jun</v>
      </c>
      <c r="G2135" s="45" t="s">
        <v>173</v>
      </c>
      <c r="H2135" s="45" t="s">
        <v>41</v>
      </c>
      <c r="I2135" s="45" t="s">
        <v>1559</v>
      </c>
      <c r="J2135" s="143" t="s">
        <v>28</v>
      </c>
      <c r="K2135" s="43" t="str">
        <f t="array" ref="K2135">IF(J2135="","", XLOOKUP(J2135,'⚙️ Pengaturan'!$E$2:$E3237,'⚙️ Pengaturan'!$G$2:$G3237))</f>
        <v>KLINIK FT TA</v>
      </c>
      <c r="L2135" s="43" t="str">
        <f t="shared" si="3"/>
        <v>BARU</v>
      </c>
      <c r="M2135" s="144" t="s">
        <v>31</v>
      </c>
      <c r="N2135" s="145">
        <v>250000.0</v>
      </c>
      <c r="O2135" s="146">
        <v>0.0</v>
      </c>
      <c r="P2135" s="48">
        <f t="array" ref="P2135">IFNA(XLOOKUP(J2135,'⚙️ Pengaturan'!$E$2:$E3237,'⚙️ Pengaturan'!$F$2:$F3237),"")</f>
        <v>250000</v>
      </c>
      <c r="Q2135" s="147">
        <f t="shared" si="56"/>
        <v>0</v>
      </c>
      <c r="R2135" s="41" t="s">
        <v>37</v>
      </c>
      <c r="S2135" s="69" t="s">
        <v>1559</v>
      </c>
      <c r="T2135" s="51" t="b">
        <v>1</v>
      </c>
      <c r="U2135" s="94"/>
    </row>
    <row r="2136" ht="30.0" customHeight="1">
      <c r="A2136" s="39"/>
      <c r="B2136" s="164">
        <v>4175.0</v>
      </c>
      <c r="C2136" s="41" t="s">
        <v>50</v>
      </c>
      <c r="D2136" s="86">
        <v>46195.0</v>
      </c>
      <c r="E2136" s="43" t="str">
        <f t="shared" si="51"/>
        <v>2026</v>
      </c>
      <c r="F2136" s="43" t="str">
        <f t="shared" si="52"/>
        <v>06 Jun</v>
      </c>
      <c r="G2136" s="45" t="s">
        <v>190</v>
      </c>
      <c r="H2136" s="45" t="s">
        <v>96</v>
      </c>
      <c r="I2136" s="45" t="s">
        <v>1560</v>
      </c>
      <c r="J2136" s="143" t="s">
        <v>28</v>
      </c>
      <c r="K2136" s="43" t="str">
        <f t="array" ref="K2136">IF(J2136="","", XLOOKUP(J2136,'⚙️ Pengaturan'!$E$2:$E3237,'⚙️ Pengaturan'!$G$2:$G3237))</f>
        <v>KLINIK FT TA</v>
      </c>
      <c r="L2136" s="43" t="str">
        <f t="shared" si="3"/>
        <v>BARU</v>
      </c>
      <c r="M2136" s="144" t="s">
        <v>31</v>
      </c>
      <c r="N2136" s="145">
        <v>0.0</v>
      </c>
      <c r="O2136" s="146">
        <v>250000.0</v>
      </c>
      <c r="P2136" s="48">
        <f t="array" ref="P2136">IFNA(XLOOKUP(J2136,'⚙️ Pengaturan'!$E$2:$E3237,'⚙️ Pengaturan'!$F$2:$F3237),"")</f>
        <v>250000</v>
      </c>
      <c r="Q2136" s="147">
        <f t="shared" si="56"/>
        <v>0</v>
      </c>
      <c r="R2136" s="41" t="s">
        <v>32</v>
      </c>
      <c r="S2136" s="76" t="s">
        <v>33</v>
      </c>
      <c r="T2136" s="51" t="b">
        <v>1</v>
      </c>
      <c r="U2136" s="94"/>
    </row>
    <row r="2137" ht="30.0" customHeight="1">
      <c r="A2137" s="39"/>
      <c r="B2137" s="40">
        <v>4176.0</v>
      </c>
      <c r="C2137" s="41" t="s">
        <v>50</v>
      </c>
      <c r="D2137" s="86">
        <v>46195.0</v>
      </c>
      <c r="E2137" s="43" t="str">
        <f t="shared" si="51"/>
        <v>2026</v>
      </c>
      <c r="F2137" s="43" t="str">
        <f t="shared" si="52"/>
        <v>06 Jun</v>
      </c>
      <c r="G2137" s="45" t="s">
        <v>190</v>
      </c>
      <c r="H2137" s="45" t="s">
        <v>76</v>
      </c>
      <c r="I2137" s="45" t="s">
        <v>1561</v>
      </c>
      <c r="J2137" s="143" t="s">
        <v>28</v>
      </c>
      <c r="K2137" s="43" t="str">
        <f t="array" ref="K2137">IF(J2137="","", XLOOKUP(J2137,'⚙️ Pengaturan'!$E$2:$E3237,'⚙️ Pengaturan'!$G$2:$G3237))</f>
        <v>KLINIK FT TA</v>
      </c>
      <c r="L2137" s="43" t="str">
        <f t="shared" si="3"/>
        <v>BARU</v>
      </c>
      <c r="M2137" s="144" t="s">
        <v>31</v>
      </c>
      <c r="N2137" s="145">
        <v>250000.0</v>
      </c>
      <c r="O2137" s="146">
        <v>0.0</v>
      </c>
      <c r="P2137" s="48">
        <f t="array" ref="P2137">IFNA(XLOOKUP(J2137,'⚙️ Pengaturan'!$E$2:$E3237,'⚙️ Pengaturan'!$F$2:$F3237),"")</f>
        <v>250000</v>
      </c>
      <c r="Q2137" s="147">
        <f t="shared" si="56"/>
        <v>0</v>
      </c>
      <c r="R2137" s="41" t="s">
        <v>37</v>
      </c>
      <c r="S2137" s="69" t="s">
        <v>1561</v>
      </c>
      <c r="T2137" s="51" t="b">
        <v>1</v>
      </c>
      <c r="U2137" s="94"/>
    </row>
    <row r="2138" ht="30.0" customHeight="1">
      <c r="A2138" s="39"/>
      <c r="B2138" s="164">
        <v>4177.0</v>
      </c>
      <c r="C2138" s="41" t="s">
        <v>50</v>
      </c>
      <c r="D2138" s="86">
        <v>46195.0</v>
      </c>
      <c r="E2138" s="43" t="str">
        <f t="shared" si="51"/>
        <v>2026</v>
      </c>
      <c r="F2138" s="43" t="str">
        <f t="shared" si="52"/>
        <v>06 Jun</v>
      </c>
      <c r="G2138" s="45" t="s">
        <v>190</v>
      </c>
      <c r="H2138" s="45" t="s">
        <v>76</v>
      </c>
      <c r="I2138" s="45" t="s">
        <v>1561</v>
      </c>
      <c r="J2138" s="143" t="s">
        <v>119</v>
      </c>
      <c r="K2138" s="43" t="str">
        <f t="array" ref="K2138">IF(J2138="","", XLOOKUP(J2138,'⚙️ Pengaturan'!$E$2:$E3237,'⚙️ Pengaturan'!$G$2:$G3237))</f>
        <v>KLINIK FT PAKET</v>
      </c>
      <c r="L2138" s="43" t="str">
        <f t="shared" si="3"/>
        <v>BARU</v>
      </c>
      <c r="M2138" s="144" t="s">
        <v>31</v>
      </c>
      <c r="N2138" s="145">
        <v>750000.0</v>
      </c>
      <c r="O2138" s="146">
        <v>0.0</v>
      </c>
      <c r="P2138" s="48">
        <f t="array" ref="P2138">IFNA(XLOOKUP(J2138,'⚙️ Pengaturan'!$E$2:$E3237,'⚙️ Pengaturan'!$F$2:$F3237),"")</f>
        <v>750000</v>
      </c>
      <c r="Q2138" s="147">
        <f t="shared" si="56"/>
        <v>0</v>
      </c>
      <c r="R2138" s="41" t="s">
        <v>37</v>
      </c>
      <c r="S2138" s="69" t="s">
        <v>1561</v>
      </c>
      <c r="T2138" s="51" t="b">
        <v>1</v>
      </c>
      <c r="U2138" s="94"/>
    </row>
    <row r="2139" ht="30.0" customHeight="1">
      <c r="A2139" s="39"/>
      <c r="B2139" s="40">
        <v>4178.0</v>
      </c>
      <c r="C2139" s="41" t="s">
        <v>50</v>
      </c>
      <c r="D2139" s="86">
        <v>46195.0</v>
      </c>
      <c r="E2139" s="43" t="str">
        <f t="shared" si="51"/>
        <v>2026</v>
      </c>
      <c r="F2139" s="43" t="str">
        <f t="shared" si="52"/>
        <v>06 Jun</v>
      </c>
      <c r="G2139" s="45" t="s">
        <v>190</v>
      </c>
      <c r="H2139" s="45" t="s">
        <v>149</v>
      </c>
      <c r="I2139" s="45" t="s">
        <v>1438</v>
      </c>
      <c r="J2139" s="143" t="s">
        <v>120</v>
      </c>
      <c r="K2139" s="43" t="str">
        <f t="array" ref="K2139">IF(J2139="","", XLOOKUP(J2139,'⚙️ Pengaturan'!$E$2:$E3237,'⚙️ Pengaturan'!$G$2:$G3237))</f>
        <v>KLINIK FT SESI</v>
      </c>
      <c r="L2139" s="43" t="str">
        <f t="shared" si="3"/>
        <v>LANJUTAN</v>
      </c>
      <c r="M2139" s="144" t="s">
        <v>31</v>
      </c>
      <c r="N2139" s="145">
        <v>0.0</v>
      </c>
      <c r="O2139" s="146">
        <v>180000.0</v>
      </c>
      <c r="P2139" s="48">
        <f t="array" ref="P2139">IFNA(XLOOKUP(J2139,'⚙️ Pengaturan'!$E$2:$E3237,'⚙️ Pengaturan'!$F$2:$F3237),"")</f>
        <v>180000</v>
      </c>
      <c r="Q2139" s="147">
        <f t="shared" si="56"/>
        <v>0</v>
      </c>
      <c r="R2139" s="41" t="s">
        <v>32</v>
      </c>
      <c r="S2139" s="76" t="s">
        <v>33</v>
      </c>
      <c r="T2139" s="51" t="b">
        <v>1</v>
      </c>
      <c r="U2139" s="94"/>
    </row>
    <row r="2140" ht="30.0" customHeight="1">
      <c r="A2140" s="39"/>
      <c r="B2140" s="164">
        <v>4179.0</v>
      </c>
      <c r="C2140" s="41" t="s">
        <v>50</v>
      </c>
      <c r="D2140" s="86">
        <v>46195.0</v>
      </c>
      <c r="E2140" s="43" t="str">
        <f t="shared" si="51"/>
        <v>2026</v>
      </c>
      <c r="F2140" s="43" t="str">
        <f t="shared" si="52"/>
        <v>06 Jun</v>
      </c>
      <c r="G2140" s="45" t="s">
        <v>190</v>
      </c>
      <c r="H2140" s="45" t="s">
        <v>76</v>
      </c>
      <c r="I2140" s="45" t="s">
        <v>1448</v>
      </c>
      <c r="J2140" s="143" t="s">
        <v>119</v>
      </c>
      <c r="K2140" s="43" t="str">
        <f t="array" ref="K2140">IF(J2140="","", XLOOKUP(J2140,'⚙️ Pengaturan'!$E$2:$E3237,'⚙️ Pengaturan'!$G$2:$G3237))</f>
        <v>KLINIK FT PAKET</v>
      </c>
      <c r="L2140" s="43" t="str">
        <f t="shared" si="3"/>
        <v>BARU</v>
      </c>
      <c r="M2140" s="144" t="s">
        <v>31</v>
      </c>
      <c r="N2140" s="145">
        <v>0.0</v>
      </c>
      <c r="O2140" s="146">
        <v>750000.0</v>
      </c>
      <c r="P2140" s="48">
        <f t="array" ref="P2140">IFNA(XLOOKUP(J2140,'⚙️ Pengaturan'!$E$2:$E3237,'⚙️ Pengaturan'!$F$2:$F3237),"")</f>
        <v>750000</v>
      </c>
      <c r="Q2140" s="147">
        <f t="shared" si="56"/>
        <v>0</v>
      </c>
      <c r="R2140" s="41" t="s">
        <v>37</v>
      </c>
      <c r="S2140" s="69" t="s">
        <v>1562</v>
      </c>
      <c r="T2140" s="51" t="b">
        <v>1</v>
      </c>
      <c r="U2140" s="94"/>
    </row>
    <row r="2141" ht="30.0" customHeight="1">
      <c r="A2141" s="39"/>
      <c r="B2141" s="40">
        <v>4180.0</v>
      </c>
      <c r="C2141" s="41" t="s">
        <v>50</v>
      </c>
      <c r="D2141" s="86">
        <v>46195.0</v>
      </c>
      <c r="E2141" s="43" t="str">
        <f t="shared" si="51"/>
        <v>2026</v>
      </c>
      <c r="F2141" s="43" t="str">
        <f t="shared" si="52"/>
        <v>06 Jun</v>
      </c>
      <c r="G2141" s="45" t="s">
        <v>190</v>
      </c>
      <c r="H2141" s="45" t="s">
        <v>359</v>
      </c>
      <c r="I2141" s="45" t="s">
        <v>1534</v>
      </c>
      <c r="J2141" s="143" t="s">
        <v>1545</v>
      </c>
      <c r="K2141" s="43" t="str">
        <f t="array" ref="K2141">IF(J2141="","", XLOOKUP(J2141,'⚙️ Pengaturan'!$E$2:$E3237,'⚙️ Pengaturan'!$G$2:$G3237))</f>
        <v>KLINIK SM SESI</v>
      </c>
      <c r="L2141" s="43" t="str">
        <f t="shared" si="3"/>
        <v>LANJUTAN</v>
      </c>
      <c r="M2141" s="144" t="s">
        <v>31</v>
      </c>
      <c r="N2141" s="145">
        <v>107000.0</v>
      </c>
      <c r="O2141" s="146">
        <v>18000.0</v>
      </c>
      <c r="P2141" s="48">
        <f t="array" ref="P2141">IFNA(XLOOKUP(J2141,'⚙️ Pengaturan'!$E$2:$E3237,'⚙️ Pengaturan'!$F$2:$F3237),"")</f>
        <v>125000</v>
      </c>
      <c r="Q2141" s="147">
        <f t="shared" si="56"/>
        <v>0</v>
      </c>
      <c r="R2141" s="41" t="s">
        <v>32</v>
      </c>
      <c r="S2141" s="76" t="s">
        <v>33</v>
      </c>
      <c r="T2141" s="51" t="b">
        <v>1</v>
      </c>
      <c r="U2141" s="94"/>
    </row>
    <row r="2142" ht="30.0" customHeight="1">
      <c r="A2142" s="39"/>
      <c r="B2142" s="164">
        <v>4181.0</v>
      </c>
      <c r="C2142" s="41" t="s">
        <v>50</v>
      </c>
      <c r="D2142" s="86">
        <v>46195.0</v>
      </c>
      <c r="E2142" s="43" t="str">
        <f t="shared" si="51"/>
        <v>2026</v>
      </c>
      <c r="F2142" s="43" t="str">
        <f t="shared" si="52"/>
        <v>06 Jun</v>
      </c>
      <c r="G2142" s="45" t="s">
        <v>190</v>
      </c>
      <c r="H2142" s="45" t="s">
        <v>359</v>
      </c>
      <c r="I2142" s="45" t="s">
        <v>1563</v>
      </c>
      <c r="J2142" s="143" t="s">
        <v>1545</v>
      </c>
      <c r="K2142" s="43" t="str">
        <f t="array" ref="K2142">IF(J2142="","", XLOOKUP(J2142,'⚙️ Pengaturan'!$E$2:$E3237,'⚙️ Pengaturan'!$G$2:$G3237))</f>
        <v>KLINIK SM SESI</v>
      </c>
      <c r="L2142" s="43" t="str">
        <f t="shared" si="3"/>
        <v>BARU</v>
      </c>
      <c r="M2142" s="144" t="s">
        <v>31</v>
      </c>
      <c r="N2142" s="145">
        <v>107000.0</v>
      </c>
      <c r="O2142" s="146">
        <v>18000.0</v>
      </c>
      <c r="P2142" s="48">
        <f t="array" ref="P2142">IFNA(XLOOKUP(J2142,'⚙️ Pengaturan'!$E$2:$E3237,'⚙️ Pengaturan'!$F$2:$F3237),"")</f>
        <v>125000</v>
      </c>
      <c r="Q2142" s="147">
        <f t="shared" si="56"/>
        <v>0</v>
      </c>
      <c r="R2142" s="41" t="s">
        <v>37</v>
      </c>
      <c r="S2142" s="69" t="s">
        <v>1563</v>
      </c>
      <c r="T2142" s="51" t="b">
        <v>1</v>
      </c>
      <c r="U2142" s="94"/>
    </row>
    <row r="2143" ht="30.0" customHeight="1">
      <c r="A2143" s="39"/>
      <c r="B2143" s="40">
        <v>4182.0</v>
      </c>
      <c r="C2143" s="41" t="s">
        <v>50</v>
      </c>
      <c r="D2143" s="86">
        <v>46195.0</v>
      </c>
      <c r="E2143" s="43" t="str">
        <f t="shared" si="51"/>
        <v>2026</v>
      </c>
      <c r="F2143" s="43" t="str">
        <f t="shared" si="52"/>
        <v>06 Jun</v>
      </c>
      <c r="G2143" s="45" t="s">
        <v>190</v>
      </c>
      <c r="H2143" s="45" t="s">
        <v>41</v>
      </c>
      <c r="I2143" s="45" t="s">
        <v>1500</v>
      </c>
      <c r="J2143" s="143" t="s">
        <v>120</v>
      </c>
      <c r="K2143" s="43" t="str">
        <f t="array" ref="K2143">IF(J2143="","", XLOOKUP(J2143,'⚙️ Pengaturan'!$E$2:$E3237,'⚙️ Pengaturan'!$G$2:$G3237))</f>
        <v>KLINIK FT SESI</v>
      </c>
      <c r="L2143" s="43" t="str">
        <f t="shared" si="3"/>
        <v>LANJUTAN</v>
      </c>
      <c r="M2143" s="144" t="s">
        <v>31</v>
      </c>
      <c r="N2143" s="145">
        <v>180000.0</v>
      </c>
      <c r="O2143" s="146">
        <v>0.0</v>
      </c>
      <c r="P2143" s="48">
        <f t="array" ref="P2143">IFNA(XLOOKUP(J2143,'⚙️ Pengaturan'!$E$2:$E3237,'⚙️ Pengaturan'!$F$2:$F3237),"")</f>
        <v>180000</v>
      </c>
      <c r="Q2143" s="147">
        <f t="shared" si="56"/>
        <v>0</v>
      </c>
      <c r="R2143" s="41" t="s">
        <v>37</v>
      </c>
      <c r="S2143" s="69" t="s">
        <v>1500</v>
      </c>
      <c r="T2143" s="51" t="b">
        <v>1</v>
      </c>
      <c r="U2143" s="94"/>
    </row>
    <row r="2144" ht="30.0" customHeight="1">
      <c r="A2144" s="39"/>
      <c r="B2144" s="164">
        <v>4183.0</v>
      </c>
      <c r="C2144" s="41" t="s">
        <v>50</v>
      </c>
      <c r="D2144" s="86">
        <v>46195.0</v>
      </c>
      <c r="E2144" s="43" t="str">
        <f t="shared" si="51"/>
        <v>2026</v>
      </c>
      <c r="F2144" s="43" t="str">
        <f t="shared" si="52"/>
        <v>06 Jun</v>
      </c>
      <c r="G2144" s="45" t="s">
        <v>190</v>
      </c>
      <c r="H2144" s="45" t="s">
        <v>149</v>
      </c>
      <c r="I2144" s="45" t="s">
        <v>1260</v>
      </c>
      <c r="J2144" s="143" t="s">
        <v>120</v>
      </c>
      <c r="K2144" s="43" t="str">
        <f t="array" ref="K2144">IF(J2144="","", XLOOKUP(J2144,'⚙️ Pengaturan'!$E$2:$E3237,'⚙️ Pengaturan'!$G$2:$G3237))</f>
        <v>KLINIK FT SESI</v>
      </c>
      <c r="L2144" s="43" t="str">
        <f t="shared" si="3"/>
        <v>BARU</v>
      </c>
      <c r="M2144" s="144" t="s">
        <v>31</v>
      </c>
      <c r="N2144" s="145">
        <v>180000.0</v>
      </c>
      <c r="O2144" s="146">
        <v>0.0</v>
      </c>
      <c r="P2144" s="48">
        <f t="array" ref="P2144">IFNA(XLOOKUP(J2144,'⚙️ Pengaturan'!$E$2:$E3237,'⚙️ Pengaturan'!$F$2:$F3237),"")</f>
        <v>180000</v>
      </c>
      <c r="Q2144" s="147">
        <f t="shared" si="56"/>
        <v>0</v>
      </c>
      <c r="R2144" s="41" t="s">
        <v>32</v>
      </c>
      <c r="S2144" s="76" t="s">
        <v>33</v>
      </c>
      <c r="T2144" s="51" t="b">
        <v>1</v>
      </c>
      <c r="U2144" s="94"/>
    </row>
    <row r="2145" ht="30.0" customHeight="1">
      <c r="A2145" s="39"/>
      <c r="B2145" s="40">
        <v>4184.0</v>
      </c>
      <c r="C2145" s="41" t="s">
        <v>79</v>
      </c>
      <c r="D2145" s="86">
        <v>46196.0</v>
      </c>
      <c r="E2145" s="43" t="str">
        <f t="shared" si="51"/>
        <v>2026</v>
      </c>
      <c r="F2145" s="43" t="str">
        <f t="shared" si="52"/>
        <v>06 Jun</v>
      </c>
      <c r="G2145" s="45" t="s">
        <v>195</v>
      </c>
      <c r="H2145" s="45" t="s">
        <v>76</v>
      </c>
      <c r="I2145" s="45" t="s">
        <v>1376</v>
      </c>
      <c r="J2145" s="143" t="s">
        <v>28</v>
      </c>
      <c r="K2145" s="43" t="str">
        <f t="array" ref="K2145">IF(J2145="","", XLOOKUP(J2145,'⚙️ Pengaturan'!$E$2:$E3237,'⚙️ Pengaturan'!$G$2:$G3237))</f>
        <v>KLINIK FT TA</v>
      </c>
      <c r="L2145" s="43" t="str">
        <f t="shared" si="3"/>
        <v>LANJUTAN</v>
      </c>
      <c r="M2145" s="144" t="s">
        <v>31</v>
      </c>
      <c r="N2145" s="145">
        <v>250000.0</v>
      </c>
      <c r="O2145" s="146">
        <v>0.0</v>
      </c>
      <c r="P2145" s="48">
        <v>250000.0</v>
      </c>
      <c r="Q2145" s="147">
        <v>0.0</v>
      </c>
      <c r="R2145" s="41" t="s">
        <v>32</v>
      </c>
      <c r="S2145" s="76" t="s">
        <v>33</v>
      </c>
      <c r="T2145" s="51" t="b">
        <v>1</v>
      </c>
      <c r="U2145" s="94"/>
    </row>
    <row r="2146" ht="30.0" customHeight="1">
      <c r="A2146" s="39"/>
      <c r="B2146" s="164">
        <v>4185.0</v>
      </c>
      <c r="C2146" s="41" t="s">
        <v>79</v>
      </c>
      <c r="D2146" s="86">
        <v>46196.0</v>
      </c>
      <c r="E2146" s="43" t="str">
        <f t="shared" si="51"/>
        <v>2026</v>
      </c>
      <c r="F2146" s="43" t="str">
        <f t="shared" si="52"/>
        <v>06 Jun</v>
      </c>
      <c r="G2146" s="45" t="s">
        <v>195</v>
      </c>
      <c r="H2146" s="45" t="s">
        <v>76</v>
      </c>
      <c r="I2146" s="45" t="s">
        <v>341</v>
      </c>
      <c r="J2146" s="166" t="s">
        <v>28</v>
      </c>
      <c r="K2146" s="43" t="str">
        <f t="array" ref="K2146">IF(J2146="","", XLOOKUP(J2146,'⚙️ Pengaturan'!$E$2:$E3237,'⚙️ Pengaturan'!$G$2:$G3237))</f>
        <v>KLINIK FT TA</v>
      </c>
      <c r="L2146" s="43" t="str">
        <f t="shared" si="3"/>
        <v>BARU</v>
      </c>
      <c r="M2146" s="167" t="s">
        <v>31</v>
      </c>
      <c r="N2146" s="140">
        <v>250000.0</v>
      </c>
      <c r="O2146" s="141">
        <v>0.0</v>
      </c>
      <c r="P2146" s="168">
        <f t="array" ref="P2146">IFNA(XLOOKUP(J2146,'⚙️ Pengaturan'!$E$2:$E3237,'⚙️ Pengaturan'!$F$2:$F3237),"")</f>
        <v>250000</v>
      </c>
      <c r="Q2146" s="142">
        <f t="shared" ref="Q2146:Q2282" si="57">IF(I2146="","",(N2146+O2146)-P2146)</f>
        <v>0</v>
      </c>
      <c r="R2146" s="41" t="s">
        <v>32</v>
      </c>
      <c r="S2146" s="76" t="s">
        <v>33</v>
      </c>
      <c r="T2146" s="51" t="b">
        <v>1</v>
      </c>
      <c r="U2146" s="94"/>
    </row>
    <row r="2147" ht="30.0" customHeight="1">
      <c r="A2147" s="39"/>
      <c r="B2147" s="40">
        <v>4186.0</v>
      </c>
      <c r="C2147" s="41" t="s">
        <v>79</v>
      </c>
      <c r="D2147" s="86">
        <v>46196.0</v>
      </c>
      <c r="E2147" s="43" t="str">
        <f t="shared" si="51"/>
        <v>2026</v>
      </c>
      <c r="F2147" s="43" t="str">
        <f t="shared" si="52"/>
        <v>06 Jun</v>
      </c>
      <c r="G2147" s="45" t="s">
        <v>195</v>
      </c>
      <c r="H2147" s="45" t="s">
        <v>76</v>
      </c>
      <c r="I2147" s="45" t="s">
        <v>1564</v>
      </c>
      <c r="J2147" s="166" t="s">
        <v>28</v>
      </c>
      <c r="K2147" s="43" t="str">
        <f t="array" ref="K2147">IF(J2147="","", XLOOKUP(J2147,'⚙️ Pengaturan'!$E$2:$E3237,'⚙️ Pengaturan'!$G$2:$G3237))</f>
        <v>KLINIK FT TA</v>
      </c>
      <c r="L2147" s="43" t="str">
        <f t="shared" si="3"/>
        <v>BARU</v>
      </c>
      <c r="M2147" s="167" t="s">
        <v>31</v>
      </c>
      <c r="N2147" s="140">
        <v>250000.0</v>
      </c>
      <c r="O2147" s="141">
        <v>0.0</v>
      </c>
      <c r="P2147" s="168">
        <f t="array" ref="P2147">IFNA(XLOOKUP(J2147,'⚙️ Pengaturan'!$E$2:$E3237,'⚙️ Pengaturan'!$F$2:$F3237),"")</f>
        <v>250000</v>
      </c>
      <c r="Q2147" s="142">
        <f t="shared" si="57"/>
        <v>0</v>
      </c>
      <c r="R2147" s="41" t="s">
        <v>37</v>
      </c>
      <c r="S2147" s="69" t="s">
        <v>1564</v>
      </c>
      <c r="T2147" s="51" t="b">
        <v>1</v>
      </c>
      <c r="U2147" s="94"/>
    </row>
    <row r="2148" ht="30.0" customHeight="1">
      <c r="A2148" s="39"/>
      <c r="B2148" s="164">
        <v>4187.0</v>
      </c>
      <c r="C2148" s="41" t="s">
        <v>79</v>
      </c>
      <c r="D2148" s="86">
        <v>46196.0</v>
      </c>
      <c r="E2148" s="43" t="str">
        <f t="shared" si="51"/>
        <v>2026</v>
      </c>
      <c r="F2148" s="43" t="str">
        <f t="shared" si="52"/>
        <v>06 Jun</v>
      </c>
      <c r="G2148" s="45" t="s">
        <v>195</v>
      </c>
      <c r="H2148" s="45" t="s">
        <v>76</v>
      </c>
      <c r="I2148" s="45" t="s">
        <v>1565</v>
      </c>
      <c r="J2148" s="166" t="s">
        <v>28</v>
      </c>
      <c r="K2148" s="43" t="str">
        <f t="array" ref="K2148">IF(J2148="","", XLOOKUP(J2148,'⚙️ Pengaturan'!$E$2:$E3237,'⚙️ Pengaturan'!$G$2:$G3237))</f>
        <v>KLINIK FT TA</v>
      </c>
      <c r="L2148" s="43" t="str">
        <f t="shared" si="3"/>
        <v>BARU</v>
      </c>
      <c r="M2148" s="167" t="s">
        <v>31</v>
      </c>
      <c r="N2148" s="140">
        <v>250000.0</v>
      </c>
      <c r="O2148" s="141">
        <v>0.0</v>
      </c>
      <c r="P2148" s="168">
        <f t="array" ref="P2148">IFNA(XLOOKUP(J2148,'⚙️ Pengaturan'!$E$2:$E3237,'⚙️ Pengaturan'!$F$2:$F3237),"")</f>
        <v>250000</v>
      </c>
      <c r="Q2148" s="142">
        <f t="shared" si="57"/>
        <v>0</v>
      </c>
      <c r="R2148" s="41" t="s">
        <v>37</v>
      </c>
      <c r="S2148" s="69" t="s">
        <v>1565</v>
      </c>
      <c r="T2148" s="51" t="b">
        <v>1</v>
      </c>
      <c r="U2148" s="94"/>
    </row>
    <row r="2149" ht="30.0" customHeight="1">
      <c r="A2149" s="39"/>
      <c r="B2149" s="40">
        <v>4188.0</v>
      </c>
      <c r="C2149" s="41" t="s">
        <v>39</v>
      </c>
      <c r="D2149" s="86">
        <v>46196.0</v>
      </c>
      <c r="E2149" s="43" t="str">
        <f t="shared" si="51"/>
        <v>2026</v>
      </c>
      <c r="F2149" s="43" t="str">
        <f t="shared" si="52"/>
        <v>06 Jun</v>
      </c>
      <c r="G2149" s="45" t="s">
        <v>35</v>
      </c>
      <c r="H2149" s="45" t="s">
        <v>150</v>
      </c>
      <c r="I2149" s="45" t="s">
        <v>1476</v>
      </c>
      <c r="J2149" s="143" t="s">
        <v>119</v>
      </c>
      <c r="K2149" s="43" t="str">
        <f t="array" ref="K2149">IF(J2149="","", XLOOKUP(J2149,'⚙️ Pengaturan'!$E$2:$E3237,'⚙️ Pengaturan'!$G$2:$G3237))</f>
        <v>KLINIK FT PAKET</v>
      </c>
      <c r="L2149" s="43" t="str">
        <f t="shared" si="3"/>
        <v>BARU</v>
      </c>
      <c r="M2149" s="144" t="s">
        <v>31</v>
      </c>
      <c r="N2149" s="145">
        <v>750000.0</v>
      </c>
      <c r="O2149" s="146">
        <v>0.0</v>
      </c>
      <c r="P2149" s="48">
        <f t="array" ref="P2149">IFNA(XLOOKUP(J2149,'⚙️ Pengaturan'!$E$2:$E3237,'⚙️ Pengaturan'!$F$2:$F3237),"")</f>
        <v>750000</v>
      </c>
      <c r="Q2149" s="147">
        <f t="shared" si="57"/>
        <v>0</v>
      </c>
      <c r="R2149" s="41" t="s">
        <v>93</v>
      </c>
      <c r="S2149" s="76" t="s">
        <v>33</v>
      </c>
      <c r="T2149" s="51" t="b">
        <v>1</v>
      </c>
      <c r="U2149" s="94"/>
    </row>
    <row r="2150" ht="30.0" customHeight="1">
      <c r="A2150" s="39"/>
      <c r="B2150" s="164">
        <v>4189.0</v>
      </c>
      <c r="C2150" s="41" t="s">
        <v>39</v>
      </c>
      <c r="D2150" s="86">
        <v>46196.0</v>
      </c>
      <c r="E2150" s="43" t="str">
        <f t="shared" si="51"/>
        <v>2026</v>
      </c>
      <c r="F2150" s="43" t="str">
        <f t="shared" si="52"/>
        <v>06 Jun</v>
      </c>
      <c r="G2150" s="45" t="s">
        <v>43</v>
      </c>
      <c r="H2150" s="45" t="s">
        <v>162</v>
      </c>
      <c r="I2150" s="45" t="s">
        <v>1429</v>
      </c>
      <c r="J2150" s="143" t="s">
        <v>119</v>
      </c>
      <c r="K2150" s="43" t="str">
        <f t="array" ref="K2150">IF(J2150="","", XLOOKUP(J2150,'⚙️ Pengaturan'!$E$2:$E3237,'⚙️ Pengaturan'!$G$2:$G3237))</f>
        <v>KLINIK FT PAKET</v>
      </c>
      <c r="L2150" s="43" t="str">
        <f t="shared" si="3"/>
        <v>LANJUTAN</v>
      </c>
      <c r="M2150" s="144" t="s">
        <v>31</v>
      </c>
      <c r="N2150" s="145">
        <v>300000.0</v>
      </c>
      <c r="O2150" s="146">
        <v>0.0</v>
      </c>
      <c r="P2150" s="48">
        <f t="array" ref="P2150">IFNA(XLOOKUP(J2150,'⚙️ Pengaturan'!$E$2:$E3237,'⚙️ Pengaturan'!$F$2:$F3237),"")</f>
        <v>750000</v>
      </c>
      <c r="Q2150" s="147">
        <f t="shared" si="57"/>
        <v>-450000</v>
      </c>
      <c r="R2150" s="41" t="s">
        <v>37</v>
      </c>
      <c r="S2150" s="69" t="s">
        <v>1429</v>
      </c>
      <c r="T2150" s="51" t="b">
        <v>1</v>
      </c>
      <c r="U2150" s="94"/>
    </row>
    <row r="2151" ht="30.0" customHeight="1">
      <c r="A2151" s="39"/>
      <c r="B2151" s="40">
        <v>4190.0</v>
      </c>
      <c r="C2151" s="41" t="s">
        <v>39</v>
      </c>
      <c r="D2151" s="86">
        <v>46196.0</v>
      </c>
      <c r="E2151" s="43" t="str">
        <f t="shared" si="51"/>
        <v>2026</v>
      </c>
      <c r="F2151" s="43" t="str">
        <f t="shared" si="52"/>
        <v>06 Jun</v>
      </c>
      <c r="G2151" s="45" t="s">
        <v>40</v>
      </c>
      <c r="H2151" s="45" t="s">
        <v>359</v>
      </c>
      <c r="I2151" s="45" t="s">
        <v>1081</v>
      </c>
      <c r="J2151" s="143" t="s">
        <v>1545</v>
      </c>
      <c r="K2151" s="43" t="str">
        <f t="array" ref="K2151">IF(J2151="","", XLOOKUP(J2151,'⚙️ Pengaturan'!$E$2:$E3237,'⚙️ Pengaturan'!$G$2:$G3237))</f>
        <v>KLINIK SM SESI</v>
      </c>
      <c r="L2151" s="43" t="str">
        <f t="shared" si="3"/>
        <v>BARU</v>
      </c>
      <c r="M2151" s="144" t="s">
        <v>31</v>
      </c>
      <c r="N2151" s="145">
        <v>107000.0</v>
      </c>
      <c r="O2151" s="146">
        <v>18000.0</v>
      </c>
      <c r="P2151" s="48">
        <f t="array" ref="P2151">IFNA(XLOOKUP(J2151,'⚙️ Pengaturan'!$E$2:$E3237,'⚙️ Pengaturan'!$F$2:$F3237),"")</f>
        <v>125000</v>
      </c>
      <c r="Q2151" s="147">
        <f t="shared" si="57"/>
        <v>0</v>
      </c>
      <c r="R2151" s="41" t="s">
        <v>37</v>
      </c>
      <c r="S2151" s="69" t="s">
        <v>1081</v>
      </c>
      <c r="T2151" s="51" t="b">
        <v>1</v>
      </c>
      <c r="U2151" s="94"/>
    </row>
    <row r="2152" ht="30.0" customHeight="1">
      <c r="A2152" s="39"/>
      <c r="B2152" s="164">
        <v>4191.0</v>
      </c>
      <c r="C2152" s="41" t="s">
        <v>39</v>
      </c>
      <c r="D2152" s="86">
        <v>46196.0</v>
      </c>
      <c r="E2152" s="43" t="str">
        <f t="shared" si="51"/>
        <v>2026</v>
      </c>
      <c r="F2152" s="43" t="str">
        <f t="shared" si="52"/>
        <v>06 Jun</v>
      </c>
      <c r="G2152" s="45" t="s">
        <v>43</v>
      </c>
      <c r="H2152" s="45" t="s">
        <v>359</v>
      </c>
      <c r="I2152" s="45" t="s">
        <v>1411</v>
      </c>
      <c r="J2152" s="143" t="s">
        <v>1545</v>
      </c>
      <c r="K2152" s="43" t="str">
        <f t="array" ref="K2152">IF(J2152="","", XLOOKUP(J2152,'⚙️ Pengaturan'!$E$2:$E3237,'⚙️ Pengaturan'!$G$2:$G3237))</f>
        <v>KLINIK SM SESI</v>
      </c>
      <c r="L2152" s="43" t="str">
        <f t="shared" si="3"/>
        <v>BARU</v>
      </c>
      <c r="M2152" s="144" t="s">
        <v>31</v>
      </c>
      <c r="N2152" s="145">
        <v>107000.0</v>
      </c>
      <c r="O2152" s="146">
        <v>18000.0</v>
      </c>
      <c r="P2152" s="48">
        <f t="array" ref="P2152">IFNA(XLOOKUP(J2152,'⚙️ Pengaturan'!$E$2:$E3237,'⚙️ Pengaturan'!$F$2:$F3237),"")</f>
        <v>125000</v>
      </c>
      <c r="Q2152" s="147">
        <f t="shared" si="57"/>
        <v>0</v>
      </c>
      <c r="R2152" s="41" t="s">
        <v>37</v>
      </c>
      <c r="S2152" s="69" t="s">
        <v>1411</v>
      </c>
      <c r="T2152" s="51" t="b">
        <v>1</v>
      </c>
      <c r="U2152" s="94"/>
    </row>
    <row r="2153" ht="30.0" customHeight="1">
      <c r="A2153" s="39"/>
      <c r="B2153" s="40">
        <v>4192.0</v>
      </c>
      <c r="C2153" s="41" t="s">
        <v>39</v>
      </c>
      <c r="D2153" s="86">
        <v>46196.0</v>
      </c>
      <c r="E2153" s="43" t="str">
        <f t="shared" si="51"/>
        <v>2026</v>
      </c>
      <c r="F2153" s="43" t="str">
        <f t="shared" si="52"/>
        <v>06 Jun</v>
      </c>
      <c r="G2153" s="45" t="s">
        <v>155</v>
      </c>
      <c r="H2153" s="45" t="s">
        <v>162</v>
      </c>
      <c r="I2153" s="45" t="s">
        <v>1534</v>
      </c>
      <c r="J2153" s="143" t="s">
        <v>120</v>
      </c>
      <c r="K2153" s="43" t="str">
        <f t="array" ref="K2153">IF(J2153="","", XLOOKUP(J2153,'⚙️ Pengaturan'!$E$2:$E3237,'⚙️ Pengaturan'!$G$2:$G3237))</f>
        <v>KLINIK FT SESI</v>
      </c>
      <c r="L2153" s="43" t="str">
        <f t="shared" si="3"/>
        <v>BARU</v>
      </c>
      <c r="M2153" s="144" t="s">
        <v>31</v>
      </c>
      <c r="N2153" s="145">
        <v>180000.0</v>
      </c>
      <c r="O2153" s="146">
        <v>0.0</v>
      </c>
      <c r="P2153" s="48">
        <f t="array" ref="P2153">IFNA(XLOOKUP(J2153,'⚙️ Pengaturan'!$E$2:$E3237,'⚙️ Pengaturan'!$F$2:$F3237),"")</f>
        <v>180000</v>
      </c>
      <c r="Q2153" s="147">
        <f t="shared" si="57"/>
        <v>0</v>
      </c>
      <c r="R2153" s="41" t="s">
        <v>37</v>
      </c>
      <c r="S2153" s="69" t="s">
        <v>1534</v>
      </c>
      <c r="T2153" s="51" t="b">
        <v>1</v>
      </c>
      <c r="U2153" s="94"/>
    </row>
    <row r="2154" ht="30.0" customHeight="1">
      <c r="A2154" s="39"/>
      <c r="B2154" s="164">
        <v>4193.0</v>
      </c>
      <c r="C2154" s="41" t="s">
        <v>39</v>
      </c>
      <c r="D2154" s="86">
        <v>46196.0</v>
      </c>
      <c r="E2154" s="43" t="str">
        <f t="shared" si="51"/>
        <v>2026</v>
      </c>
      <c r="F2154" s="43" t="str">
        <f t="shared" si="52"/>
        <v>06 Jun</v>
      </c>
      <c r="G2154" s="45" t="s">
        <v>155</v>
      </c>
      <c r="H2154" s="45" t="s">
        <v>150</v>
      </c>
      <c r="I2154" s="45" t="s">
        <v>1566</v>
      </c>
      <c r="J2154" s="143" t="s">
        <v>28</v>
      </c>
      <c r="K2154" s="43" t="str">
        <f t="array" ref="K2154">IF(J2154="","", XLOOKUP(J2154,'⚙️ Pengaturan'!$E$2:$E3237,'⚙️ Pengaturan'!$G$2:$G3237))</f>
        <v>KLINIK FT TA</v>
      </c>
      <c r="L2154" s="43" t="str">
        <f t="shared" si="3"/>
        <v>BARU</v>
      </c>
      <c r="M2154" s="144" t="s">
        <v>31</v>
      </c>
      <c r="N2154" s="145">
        <v>250000.0</v>
      </c>
      <c r="O2154" s="146">
        <v>0.0</v>
      </c>
      <c r="P2154" s="48">
        <f t="array" ref="P2154">IFNA(XLOOKUP(J2154,'⚙️ Pengaturan'!$E$2:$E3237,'⚙️ Pengaturan'!$F$2:$F3237),"")</f>
        <v>250000</v>
      </c>
      <c r="Q2154" s="147">
        <f t="shared" si="57"/>
        <v>0</v>
      </c>
      <c r="R2154" s="41" t="s">
        <v>37</v>
      </c>
      <c r="S2154" s="69" t="s">
        <v>1566</v>
      </c>
      <c r="T2154" s="51" t="b">
        <v>1</v>
      </c>
      <c r="U2154" s="94"/>
    </row>
    <row r="2155" ht="30.0" customHeight="1">
      <c r="A2155" s="39"/>
      <c r="B2155" s="40">
        <v>4194.0</v>
      </c>
      <c r="C2155" s="41" t="s">
        <v>39</v>
      </c>
      <c r="D2155" s="86">
        <v>46196.0</v>
      </c>
      <c r="E2155" s="43" t="str">
        <f t="shared" si="51"/>
        <v>2026</v>
      </c>
      <c r="F2155" s="43" t="str">
        <f t="shared" si="52"/>
        <v>06 Jun</v>
      </c>
      <c r="G2155" s="45" t="s">
        <v>155</v>
      </c>
      <c r="H2155" s="45" t="s">
        <v>166</v>
      </c>
      <c r="I2155" s="45" t="s">
        <v>1567</v>
      </c>
      <c r="J2155" s="143" t="s">
        <v>28</v>
      </c>
      <c r="K2155" s="43" t="str">
        <f t="array" ref="K2155">IF(J2155="","", XLOOKUP(J2155,'⚙️ Pengaturan'!$E$2:$E3237,'⚙️ Pengaturan'!$G$2:$G3237))</f>
        <v>KLINIK FT TA</v>
      </c>
      <c r="L2155" s="43" t="str">
        <f t="shared" si="3"/>
        <v>BARU</v>
      </c>
      <c r="M2155" s="144" t="s">
        <v>31</v>
      </c>
      <c r="N2155" s="145">
        <v>250000.0</v>
      </c>
      <c r="O2155" s="146">
        <v>0.0</v>
      </c>
      <c r="P2155" s="48">
        <f t="array" ref="P2155">IFNA(XLOOKUP(J2155,'⚙️ Pengaturan'!$E$2:$E3237,'⚙️ Pengaturan'!$F$2:$F3237),"")</f>
        <v>250000</v>
      </c>
      <c r="Q2155" s="147">
        <f t="shared" si="57"/>
        <v>0</v>
      </c>
      <c r="R2155" s="41" t="s">
        <v>37</v>
      </c>
      <c r="S2155" s="76" t="s">
        <v>1568</v>
      </c>
      <c r="T2155" s="51" t="b">
        <v>1</v>
      </c>
      <c r="U2155" s="94"/>
    </row>
    <row r="2156" ht="30.0" customHeight="1">
      <c r="A2156" s="39"/>
      <c r="B2156" s="164">
        <v>4195.0</v>
      </c>
      <c r="C2156" s="41" t="s">
        <v>39</v>
      </c>
      <c r="D2156" s="86">
        <v>46196.0</v>
      </c>
      <c r="E2156" s="43" t="str">
        <f t="shared" si="51"/>
        <v>2026</v>
      </c>
      <c r="F2156" s="43" t="str">
        <f t="shared" si="52"/>
        <v>06 Jun</v>
      </c>
      <c r="G2156" s="45" t="s">
        <v>190</v>
      </c>
      <c r="H2156" s="45" t="s">
        <v>166</v>
      </c>
      <c r="I2156" s="45" t="s">
        <v>1569</v>
      </c>
      <c r="J2156" s="143" t="s">
        <v>28</v>
      </c>
      <c r="K2156" s="43" t="str">
        <f t="array" ref="K2156">IF(J2156="","", XLOOKUP(J2156,'⚙️ Pengaturan'!$E$2:$E3237,'⚙️ Pengaturan'!$G$2:$G3237))</f>
        <v>KLINIK FT TA</v>
      </c>
      <c r="L2156" s="43" t="str">
        <f t="shared" si="3"/>
        <v>BARU</v>
      </c>
      <c r="M2156" s="144" t="s">
        <v>31</v>
      </c>
      <c r="N2156" s="145">
        <v>250000.0</v>
      </c>
      <c r="O2156" s="146">
        <v>0.0</v>
      </c>
      <c r="P2156" s="48">
        <f t="array" ref="P2156">IFNA(XLOOKUP(J2156,'⚙️ Pengaturan'!$E$2:$E3237,'⚙️ Pengaturan'!$F$2:$F3237),"")</f>
        <v>250000</v>
      </c>
      <c r="Q2156" s="147">
        <f t="shared" si="57"/>
        <v>0</v>
      </c>
      <c r="R2156" s="41" t="s">
        <v>37</v>
      </c>
      <c r="S2156" s="69" t="s">
        <v>1569</v>
      </c>
      <c r="T2156" s="51" t="b">
        <v>1</v>
      </c>
      <c r="U2156" s="94"/>
    </row>
    <row r="2157" ht="30.0" customHeight="1">
      <c r="A2157" s="39"/>
      <c r="B2157" s="40">
        <v>4196.0</v>
      </c>
      <c r="C2157" s="41" t="s">
        <v>39</v>
      </c>
      <c r="D2157" s="86">
        <v>46196.0</v>
      </c>
      <c r="E2157" s="43" t="str">
        <f t="shared" si="51"/>
        <v>2026</v>
      </c>
      <c r="F2157" s="43" t="str">
        <f t="shared" si="52"/>
        <v>06 Jun</v>
      </c>
      <c r="G2157" s="45" t="s">
        <v>190</v>
      </c>
      <c r="H2157" s="45" t="s">
        <v>26</v>
      </c>
      <c r="I2157" s="45" t="s">
        <v>1361</v>
      </c>
      <c r="J2157" s="143" t="s">
        <v>120</v>
      </c>
      <c r="K2157" s="43" t="str">
        <f t="array" ref="K2157">IF(J2157="","", XLOOKUP(J2157,'⚙️ Pengaturan'!$E$2:$E3237,'⚙️ Pengaturan'!$G$2:$G3237))</f>
        <v>KLINIK FT SESI</v>
      </c>
      <c r="L2157" s="43" t="str">
        <f t="shared" si="3"/>
        <v>LANJUTAN</v>
      </c>
      <c r="M2157" s="144" t="s">
        <v>31</v>
      </c>
      <c r="N2157" s="145">
        <v>180000.0</v>
      </c>
      <c r="O2157" s="146">
        <v>0.0</v>
      </c>
      <c r="P2157" s="48">
        <f t="array" ref="P2157">IFNA(XLOOKUP(J2157,'⚙️ Pengaturan'!$E$2:$E3237,'⚙️ Pengaturan'!$F$2:$F3237),"")</f>
        <v>180000</v>
      </c>
      <c r="Q2157" s="147">
        <f t="shared" si="57"/>
        <v>0</v>
      </c>
      <c r="R2157" s="41" t="s">
        <v>32</v>
      </c>
      <c r="S2157" s="69" t="s">
        <v>1361</v>
      </c>
      <c r="T2157" s="51" t="b">
        <v>1</v>
      </c>
      <c r="U2157" s="94"/>
    </row>
    <row r="2158" ht="30.0" customHeight="1">
      <c r="A2158" s="39"/>
      <c r="B2158" s="164">
        <v>4197.0</v>
      </c>
      <c r="C2158" s="41" t="s">
        <v>39</v>
      </c>
      <c r="D2158" s="86">
        <v>46196.0</v>
      </c>
      <c r="E2158" s="43" t="str">
        <f t="shared" si="51"/>
        <v>2026</v>
      </c>
      <c r="F2158" s="43" t="str">
        <f t="shared" si="52"/>
        <v>06 Jun</v>
      </c>
      <c r="G2158" s="45" t="s">
        <v>69</v>
      </c>
      <c r="H2158" s="45" t="s">
        <v>41</v>
      </c>
      <c r="I2158" s="45" t="s">
        <v>1309</v>
      </c>
      <c r="J2158" s="143" t="s">
        <v>120</v>
      </c>
      <c r="K2158" s="43" t="str">
        <f t="array" ref="K2158">IF(J2158="","", XLOOKUP(J2158,'⚙️ Pengaturan'!$E$2:$E3237,'⚙️ Pengaturan'!$G$2:$G3237))</f>
        <v>KLINIK FT SESI</v>
      </c>
      <c r="L2158" s="43" t="str">
        <f t="shared" si="3"/>
        <v>LANJUTAN</v>
      </c>
      <c r="M2158" s="144" t="s">
        <v>31</v>
      </c>
      <c r="N2158" s="145">
        <v>0.0</v>
      </c>
      <c r="O2158" s="146">
        <v>180000.0</v>
      </c>
      <c r="P2158" s="48">
        <f t="array" ref="P2158">IFNA(XLOOKUP(J2158,'⚙️ Pengaturan'!$E$2:$E3237,'⚙️ Pengaturan'!$F$2:$F3237),"")</f>
        <v>180000</v>
      </c>
      <c r="Q2158" s="147">
        <f t="shared" si="57"/>
        <v>0</v>
      </c>
      <c r="R2158" s="41" t="s">
        <v>32</v>
      </c>
      <c r="S2158" s="76" t="s">
        <v>33</v>
      </c>
      <c r="T2158" s="51" t="b">
        <v>1</v>
      </c>
      <c r="U2158" s="94"/>
    </row>
    <row r="2159" ht="30.0" customHeight="1">
      <c r="A2159" s="39"/>
      <c r="B2159" s="40">
        <v>4198.0</v>
      </c>
      <c r="C2159" s="41" t="s">
        <v>39</v>
      </c>
      <c r="D2159" s="86">
        <v>46197.0</v>
      </c>
      <c r="E2159" s="43" t="str">
        <f t="shared" si="51"/>
        <v>2026</v>
      </c>
      <c r="F2159" s="43" t="str">
        <f t="shared" si="52"/>
        <v>06 Jun</v>
      </c>
      <c r="G2159" s="45" t="s">
        <v>195</v>
      </c>
      <c r="H2159" s="45" t="s">
        <v>96</v>
      </c>
      <c r="I2159" s="45" t="s">
        <v>893</v>
      </c>
      <c r="J2159" s="143" t="s">
        <v>120</v>
      </c>
      <c r="K2159" s="43" t="str">
        <f t="array" ref="K2159">IF(J2159="","", XLOOKUP(J2159,'⚙️ Pengaturan'!$E$2:$E3237,'⚙️ Pengaturan'!$G$2:$G3237))</f>
        <v>KLINIK FT SESI</v>
      </c>
      <c r="L2159" s="43" t="str">
        <f t="shared" si="3"/>
        <v>LANJUTAN</v>
      </c>
      <c r="M2159" s="144" t="s">
        <v>31</v>
      </c>
      <c r="N2159" s="145">
        <v>180000.0</v>
      </c>
      <c r="O2159" s="146">
        <v>0.0</v>
      </c>
      <c r="P2159" s="48">
        <f t="array" ref="P2159">IFNA(XLOOKUP(J2159,'⚙️ Pengaturan'!$E$2:$E3237,'⚙️ Pengaturan'!$F$2:$F3237),"")</f>
        <v>180000</v>
      </c>
      <c r="Q2159" s="147">
        <f t="shared" si="57"/>
        <v>0</v>
      </c>
      <c r="R2159" s="41" t="s">
        <v>32</v>
      </c>
      <c r="S2159" s="76" t="s">
        <v>33</v>
      </c>
      <c r="T2159" s="51" t="b">
        <v>1</v>
      </c>
      <c r="U2159" s="94"/>
    </row>
    <row r="2160" ht="30.0" customHeight="1">
      <c r="A2160" s="39"/>
      <c r="B2160" s="164">
        <v>4199.0</v>
      </c>
      <c r="C2160" s="41" t="s">
        <v>39</v>
      </c>
      <c r="D2160" s="86">
        <v>46197.0</v>
      </c>
      <c r="E2160" s="43" t="str">
        <f t="shared" si="51"/>
        <v>2026</v>
      </c>
      <c r="F2160" s="43" t="str">
        <f t="shared" si="52"/>
        <v>06 Jun</v>
      </c>
      <c r="G2160" s="45" t="s">
        <v>195</v>
      </c>
      <c r="H2160" s="45" t="s">
        <v>47</v>
      </c>
      <c r="I2160" s="45" t="s">
        <v>1533</v>
      </c>
      <c r="J2160" s="143" t="s">
        <v>119</v>
      </c>
      <c r="K2160" s="43" t="str">
        <f t="array" ref="K2160">IF(J2160="","", XLOOKUP(J2160,'⚙️ Pengaturan'!$E$2:$E3237,'⚙️ Pengaturan'!$G$2:$G3237))</f>
        <v>KLINIK FT PAKET</v>
      </c>
      <c r="L2160" s="43" t="str">
        <f t="shared" si="3"/>
        <v>LANJUTAN</v>
      </c>
      <c r="M2160" s="144" t="s">
        <v>81</v>
      </c>
      <c r="N2160" s="145">
        <v>200000.0</v>
      </c>
      <c r="O2160" s="146">
        <v>300000.0</v>
      </c>
      <c r="P2160" s="48">
        <f t="array" ref="P2160">IFNA(XLOOKUP(J2160,'⚙️ Pengaturan'!$E$2:$E3237,'⚙️ Pengaturan'!$F$2:$F3237),"")</f>
        <v>750000</v>
      </c>
      <c r="Q2160" s="147">
        <f t="shared" si="57"/>
        <v>-250000</v>
      </c>
      <c r="R2160" s="41" t="s">
        <v>32</v>
      </c>
      <c r="S2160" s="76" t="s">
        <v>33</v>
      </c>
      <c r="T2160" s="51" t="b">
        <v>1</v>
      </c>
      <c r="U2160" s="94"/>
    </row>
    <row r="2161" ht="30.0" customHeight="1">
      <c r="A2161" s="39"/>
      <c r="B2161" s="40">
        <v>4200.0</v>
      </c>
      <c r="C2161" s="41" t="s">
        <v>39</v>
      </c>
      <c r="D2161" s="86">
        <v>46197.0</v>
      </c>
      <c r="E2161" s="43" t="str">
        <f t="shared" si="51"/>
        <v>2026</v>
      </c>
      <c r="F2161" s="43" t="str">
        <f t="shared" si="52"/>
        <v>06 Jun</v>
      </c>
      <c r="G2161" s="45" t="s">
        <v>195</v>
      </c>
      <c r="H2161" s="45" t="s">
        <v>76</v>
      </c>
      <c r="I2161" s="45" t="s">
        <v>1376</v>
      </c>
      <c r="J2161" s="143" t="s">
        <v>349</v>
      </c>
      <c r="K2161" s="43" t="str">
        <f t="array" ref="K2161">IF(J2161="","", XLOOKUP(J2161,'⚙️ Pengaturan'!$E$2:$E3237,'⚙️ Pengaturan'!$G$2:$G3237))</f>
        <v>KLINIK FT PAKET</v>
      </c>
      <c r="L2161" s="43" t="str">
        <f t="shared" si="3"/>
        <v>BARU</v>
      </c>
      <c r="M2161" s="144" t="s">
        <v>60</v>
      </c>
      <c r="N2161" s="145">
        <v>1000000.0</v>
      </c>
      <c r="O2161" s="146">
        <v>0.0</v>
      </c>
      <c r="P2161" s="48">
        <f t="array" ref="P2161">IFNA(XLOOKUP(J2161,'⚙️ Pengaturan'!$E$2:$E3237,'⚙️ Pengaturan'!$F$2:$F3237),"")</f>
        <v>2400000</v>
      </c>
      <c r="Q2161" s="147">
        <f t="shared" si="57"/>
        <v>-1400000</v>
      </c>
      <c r="R2161" s="41" t="s">
        <v>32</v>
      </c>
      <c r="S2161" s="76" t="s">
        <v>33</v>
      </c>
      <c r="T2161" s="51" t="b">
        <v>1</v>
      </c>
      <c r="U2161" s="94"/>
    </row>
    <row r="2162" ht="30.0" customHeight="1">
      <c r="A2162" s="39"/>
      <c r="B2162" s="164">
        <v>4201.0</v>
      </c>
      <c r="C2162" s="41" t="s">
        <v>39</v>
      </c>
      <c r="D2162" s="86">
        <v>46197.0</v>
      </c>
      <c r="E2162" s="43" t="str">
        <f t="shared" si="51"/>
        <v>2026</v>
      </c>
      <c r="F2162" s="43" t="str">
        <f t="shared" si="52"/>
        <v>06 Jun</v>
      </c>
      <c r="G2162" s="45" t="s">
        <v>69</v>
      </c>
      <c r="H2162" s="45" t="s">
        <v>47</v>
      </c>
      <c r="I2162" s="45" t="s">
        <v>1539</v>
      </c>
      <c r="J2162" s="143" t="s">
        <v>365</v>
      </c>
      <c r="K2162" s="43" t="str">
        <f t="array" ref="K2162">IF(J2162="","", XLOOKUP(J2162,'⚙️ Pengaturan'!$E$2:$E3237,'⚙️ Pengaturan'!$G$2:$G3237))</f>
        <v>VISIT FT SESI</v>
      </c>
      <c r="L2162" s="43" t="str">
        <f t="shared" si="3"/>
        <v>LANJUTAN</v>
      </c>
      <c r="M2162" s="144" t="s">
        <v>31</v>
      </c>
      <c r="N2162" s="145">
        <v>200000.0</v>
      </c>
      <c r="O2162" s="146">
        <v>50000.0</v>
      </c>
      <c r="P2162" s="48">
        <f t="array" ref="P2162">IFNA(XLOOKUP(J2162,'⚙️ Pengaturan'!$E$2:$E3237,'⚙️ Pengaturan'!$F$2:$F3237),"")</f>
        <v>250000</v>
      </c>
      <c r="Q2162" s="147">
        <f t="shared" si="57"/>
        <v>0</v>
      </c>
      <c r="R2162" s="41" t="s">
        <v>32</v>
      </c>
      <c r="S2162" s="76" t="s">
        <v>33</v>
      </c>
      <c r="T2162" s="51" t="b">
        <v>1</v>
      </c>
      <c r="U2162" s="94" t="s">
        <v>1374</v>
      </c>
    </row>
    <row r="2163" ht="30.0" customHeight="1">
      <c r="A2163" s="39"/>
      <c r="B2163" s="40">
        <v>4202.0</v>
      </c>
      <c r="C2163" s="41" t="s">
        <v>39</v>
      </c>
      <c r="D2163" s="86">
        <v>46197.0</v>
      </c>
      <c r="E2163" s="43" t="str">
        <f t="shared" si="51"/>
        <v>2026</v>
      </c>
      <c r="F2163" s="43" t="str">
        <f t="shared" si="52"/>
        <v>06 Jun</v>
      </c>
      <c r="G2163" s="45" t="s">
        <v>195</v>
      </c>
      <c r="H2163" s="45" t="s">
        <v>149</v>
      </c>
      <c r="I2163" s="45" t="s">
        <v>1551</v>
      </c>
      <c r="J2163" s="143" t="s">
        <v>120</v>
      </c>
      <c r="K2163" s="43" t="str">
        <f t="array" ref="K2163">IF(J2163="","", XLOOKUP(J2163,'⚙️ Pengaturan'!$E$2:$E3237,'⚙️ Pengaturan'!$G$2:$G3237))</f>
        <v>KLINIK FT SESI</v>
      </c>
      <c r="L2163" s="43" t="str">
        <f t="shared" si="3"/>
        <v>BARU</v>
      </c>
      <c r="M2163" s="144" t="s">
        <v>31</v>
      </c>
      <c r="N2163" s="145">
        <v>144000.0</v>
      </c>
      <c r="O2163" s="146">
        <v>36000.0</v>
      </c>
      <c r="P2163" s="48">
        <f t="array" ref="P2163">IFNA(XLOOKUP(J2163,'⚙️ Pengaturan'!$E$2:$E3237,'⚙️ Pengaturan'!$F$2:$F3237),"")</f>
        <v>180000</v>
      </c>
      <c r="Q2163" s="147">
        <f t="shared" si="57"/>
        <v>0</v>
      </c>
      <c r="R2163" s="41" t="s">
        <v>37</v>
      </c>
      <c r="S2163" s="76" t="s">
        <v>33</v>
      </c>
      <c r="T2163" s="51" t="b">
        <v>1</v>
      </c>
      <c r="U2163" s="94" t="s">
        <v>1570</v>
      </c>
    </row>
    <row r="2164" ht="30.0" customHeight="1">
      <c r="A2164" s="39"/>
      <c r="B2164" s="164">
        <v>4203.0</v>
      </c>
      <c r="C2164" s="41" t="s">
        <v>39</v>
      </c>
      <c r="D2164" s="86">
        <v>46197.0</v>
      </c>
      <c r="E2164" s="43" t="str">
        <f t="shared" si="51"/>
        <v>2026</v>
      </c>
      <c r="F2164" s="43" t="str">
        <f t="shared" si="52"/>
        <v>06 Jun</v>
      </c>
      <c r="G2164" s="45" t="s">
        <v>161</v>
      </c>
      <c r="H2164" s="45" t="s">
        <v>96</v>
      </c>
      <c r="I2164" s="45" t="s">
        <v>1571</v>
      </c>
      <c r="J2164" s="143" t="s">
        <v>28</v>
      </c>
      <c r="K2164" s="43" t="str">
        <f t="array" ref="K2164">IF(J2164="","", XLOOKUP(J2164,'⚙️ Pengaturan'!$E$2:$E3237,'⚙️ Pengaturan'!$G$2:$G3237))</f>
        <v>KLINIK FT TA</v>
      </c>
      <c r="L2164" s="43" t="str">
        <f t="shared" si="3"/>
        <v>BARU</v>
      </c>
      <c r="M2164" s="144" t="s">
        <v>31</v>
      </c>
      <c r="N2164" s="145">
        <v>200000.0</v>
      </c>
      <c r="O2164" s="146">
        <v>50000.0</v>
      </c>
      <c r="P2164" s="48">
        <f t="array" ref="P2164">IFNA(XLOOKUP(J2164,'⚙️ Pengaturan'!$E$2:$E3237,'⚙️ Pengaturan'!$F$2:$F3237),"")</f>
        <v>250000</v>
      </c>
      <c r="Q2164" s="147">
        <f t="shared" si="57"/>
        <v>0</v>
      </c>
      <c r="R2164" s="41" t="s">
        <v>32</v>
      </c>
      <c r="S2164" s="76" t="s">
        <v>33</v>
      </c>
      <c r="T2164" s="51" t="b">
        <v>1</v>
      </c>
      <c r="U2164" s="94" t="s">
        <v>1572</v>
      </c>
    </row>
    <row r="2165" ht="30.0" customHeight="1">
      <c r="A2165" s="39"/>
      <c r="B2165" s="40">
        <v>4204.0</v>
      </c>
      <c r="C2165" s="41" t="s">
        <v>39</v>
      </c>
      <c r="D2165" s="86">
        <v>46197.0</v>
      </c>
      <c r="E2165" s="43" t="str">
        <f t="shared" si="51"/>
        <v>2026</v>
      </c>
      <c r="F2165" s="43" t="str">
        <f t="shared" si="52"/>
        <v>06 Jun</v>
      </c>
      <c r="G2165" s="45" t="s">
        <v>161</v>
      </c>
      <c r="H2165" s="45" t="s">
        <v>41</v>
      </c>
      <c r="I2165" s="45" t="s">
        <v>1573</v>
      </c>
      <c r="J2165" s="143" t="s">
        <v>28</v>
      </c>
      <c r="K2165" s="43" t="str">
        <f t="array" ref="K2165">IF(J2165="","", XLOOKUP(J2165,'⚙️ Pengaturan'!$E$2:$E3237,'⚙️ Pengaturan'!$G$2:$G3237))</f>
        <v>KLINIK FT TA</v>
      </c>
      <c r="L2165" s="43" t="str">
        <f t="shared" si="3"/>
        <v>BARU</v>
      </c>
      <c r="M2165" s="144" t="s">
        <v>31</v>
      </c>
      <c r="N2165" s="145">
        <v>200000.0</v>
      </c>
      <c r="O2165" s="146">
        <v>50000.0</v>
      </c>
      <c r="P2165" s="48">
        <f t="array" ref="P2165">IFNA(XLOOKUP(J2165,'⚙️ Pengaturan'!$E$2:$E3237,'⚙️ Pengaturan'!$F$2:$F3237),"")</f>
        <v>250000</v>
      </c>
      <c r="Q2165" s="147">
        <f t="shared" si="57"/>
        <v>0</v>
      </c>
      <c r="R2165" s="41" t="s">
        <v>32</v>
      </c>
      <c r="S2165" s="76" t="s">
        <v>33</v>
      </c>
      <c r="T2165" s="51" t="b">
        <v>1</v>
      </c>
      <c r="U2165" s="94" t="s">
        <v>1574</v>
      </c>
    </row>
    <row r="2166" ht="30.0" customHeight="1">
      <c r="A2166" s="39"/>
      <c r="B2166" s="164">
        <v>4205.0</v>
      </c>
      <c r="C2166" s="41" t="s">
        <v>39</v>
      </c>
      <c r="D2166" s="86">
        <v>46197.0</v>
      </c>
      <c r="E2166" s="43" t="str">
        <f t="shared" si="51"/>
        <v>2026</v>
      </c>
      <c r="F2166" s="43" t="str">
        <f t="shared" si="52"/>
        <v>06 Jun</v>
      </c>
      <c r="G2166" s="45" t="s">
        <v>35</v>
      </c>
      <c r="H2166" s="45" t="s">
        <v>149</v>
      </c>
      <c r="I2166" s="45" t="s">
        <v>1575</v>
      </c>
      <c r="J2166" s="143" t="s">
        <v>28</v>
      </c>
      <c r="K2166" s="43" t="str">
        <f t="array" ref="K2166">IF(J2166="","", XLOOKUP(J2166,'⚙️ Pengaturan'!$E$2:$E3237,'⚙️ Pengaturan'!$G$2:$G3237))</f>
        <v>KLINIK FT TA</v>
      </c>
      <c r="L2166" s="43" t="str">
        <f t="shared" si="3"/>
        <v>BARU</v>
      </c>
      <c r="M2166" s="144" t="s">
        <v>31</v>
      </c>
      <c r="N2166" s="145">
        <v>250000.0</v>
      </c>
      <c r="O2166" s="146">
        <v>0.0</v>
      </c>
      <c r="P2166" s="48">
        <f t="array" ref="P2166">IFNA(XLOOKUP(J2166,'⚙️ Pengaturan'!$E$2:$E3237,'⚙️ Pengaturan'!$F$2:$F3237),"")</f>
        <v>250000</v>
      </c>
      <c r="Q2166" s="147">
        <f t="shared" si="57"/>
        <v>0</v>
      </c>
      <c r="R2166" s="41" t="s">
        <v>32</v>
      </c>
      <c r="S2166" s="76" t="s">
        <v>33</v>
      </c>
      <c r="T2166" s="51" t="b">
        <v>1</v>
      </c>
      <c r="U2166" s="94"/>
    </row>
    <row r="2167" ht="30.0" customHeight="1">
      <c r="A2167" s="39"/>
      <c r="B2167" s="40">
        <v>4206.0</v>
      </c>
      <c r="C2167" s="41" t="s">
        <v>39</v>
      </c>
      <c r="D2167" s="86">
        <v>46197.0</v>
      </c>
      <c r="E2167" s="43" t="str">
        <f t="shared" si="51"/>
        <v>2026</v>
      </c>
      <c r="F2167" s="43" t="str">
        <f t="shared" si="52"/>
        <v>06 Jun</v>
      </c>
      <c r="G2167" s="45" t="s">
        <v>161</v>
      </c>
      <c r="H2167" s="45" t="s">
        <v>166</v>
      </c>
      <c r="I2167" s="45" t="s">
        <v>1399</v>
      </c>
      <c r="J2167" s="143" t="s">
        <v>120</v>
      </c>
      <c r="K2167" s="43" t="str">
        <f t="array" ref="K2167">IF(J2167="","", XLOOKUP(J2167,'⚙️ Pengaturan'!$E$2:$E3237,'⚙️ Pengaturan'!$G$2:$G3237))</f>
        <v>KLINIK FT SESI</v>
      </c>
      <c r="L2167" s="43" t="str">
        <f t="shared" si="3"/>
        <v>LANJUTAN</v>
      </c>
      <c r="M2167" s="144" t="s">
        <v>31</v>
      </c>
      <c r="N2167" s="145">
        <v>180000.0</v>
      </c>
      <c r="O2167" s="146">
        <v>0.0</v>
      </c>
      <c r="P2167" s="48">
        <f t="array" ref="P2167">IFNA(XLOOKUP(J2167,'⚙️ Pengaturan'!$E$2:$E3237,'⚙️ Pengaturan'!$F$2:$F3237),"")</f>
        <v>180000</v>
      </c>
      <c r="Q2167" s="147">
        <f t="shared" si="57"/>
        <v>0</v>
      </c>
      <c r="R2167" s="41" t="s">
        <v>32</v>
      </c>
      <c r="S2167" s="76" t="s">
        <v>33</v>
      </c>
      <c r="T2167" s="51" t="b">
        <v>1</v>
      </c>
      <c r="U2167" s="94"/>
    </row>
    <row r="2168" ht="30.0" customHeight="1">
      <c r="A2168" s="39"/>
      <c r="B2168" s="164">
        <v>4207.0</v>
      </c>
      <c r="C2168" s="41" t="s">
        <v>39</v>
      </c>
      <c r="D2168" s="86">
        <v>46197.0</v>
      </c>
      <c r="E2168" s="43" t="str">
        <f t="shared" si="51"/>
        <v>2026</v>
      </c>
      <c r="F2168" s="43" t="str">
        <f t="shared" si="52"/>
        <v>06 Jun</v>
      </c>
      <c r="G2168" s="45" t="s">
        <v>35</v>
      </c>
      <c r="H2168" s="45" t="s">
        <v>41</v>
      </c>
      <c r="I2168" s="45" t="s">
        <v>1573</v>
      </c>
      <c r="J2168" s="143" t="s">
        <v>347</v>
      </c>
      <c r="K2168" s="43" t="str">
        <f t="array" ref="K2168">IF(J2168="","", XLOOKUP(J2168,'⚙️ Pengaturan'!$E$2:$E3237,'⚙️ Pengaturan'!$G$2:$G3237))</f>
        <v>KLINIK FT PAKET</v>
      </c>
      <c r="L2168" s="43" t="str">
        <f t="shared" si="3"/>
        <v>BARU</v>
      </c>
      <c r="M2168" s="144" t="s">
        <v>31</v>
      </c>
      <c r="N2168" s="145">
        <v>1000000.0</v>
      </c>
      <c r="O2168" s="146">
        <v>0.0</v>
      </c>
      <c r="P2168" s="48">
        <f t="array" ref="P2168">IFNA(XLOOKUP(J2168,'⚙️ Pengaturan'!$E$2:$E3237,'⚙️ Pengaturan'!$F$2:$F3237),"")</f>
        <v>1300000</v>
      </c>
      <c r="Q2168" s="147">
        <f t="shared" si="57"/>
        <v>-300000</v>
      </c>
      <c r="R2168" s="41" t="s">
        <v>37</v>
      </c>
      <c r="S2168" s="69" t="s">
        <v>1573</v>
      </c>
      <c r="T2168" s="51" t="b">
        <v>1</v>
      </c>
      <c r="U2168" s="94"/>
    </row>
    <row r="2169" ht="30.0" customHeight="1">
      <c r="A2169" s="39"/>
      <c r="B2169" s="40">
        <v>4208.0</v>
      </c>
      <c r="C2169" s="41" t="s">
        <v>50</v>
      </c>
      <c r="D2169" s="86">
        <v>46197.0</v>
      </c>
      <c r="E2169" s="43" t="str">
        <f t="shared" si="51"/>
        <v>2026</v>
      </c>
      <c r="F2169" s="43" t="str">
        <f t="shared" si="52"/>
        <v>06 Jun</v>
      </c>
      <c r="G2169" s="45" t="s">
        <v>40</v>
      </c>
      <c r="H2169" s="45" t="s">
        <v>166</v>
      </c>
      <c r="I2169" s="45" t="s">
        <v>1576</v>
      </c>
      <c r="J2169" s="143" t="s">
        <v>119</v>
      </c>
      <c r="K2169" s="43" t="str">
        <f t="array" ref="K2169">IF(J2169="","", XLOOKUP(J2169,'⚙️ Pengaturan'!$E$2:$E3237,'⚙️ Pengaturan'!$G$2:$G3237))</f>
        <v>KLINIK FT PAKET</v>
      </c>
      <c r="L2169" s="43" t="str">
        <f t="shared" si="3"/>
        <v>BARU</v>
      </c>
      <c r="M2169" s="144" t="s">
        <v>31</v>
      </c>
      <c r="N2169" s="145">
        <v>750000.0</v>
      </c>
      <c r="O2169" s="146">
        <v>0.0</v>
      </c>
      <c r="P2169" s="48">
        <f t="array" ref="P2169">IFNA(XLOOKUP(J2169,'⚙️ Pengaturan'!$E$2:$E3237,'⚙️ Pengaturan'!$F$2:$F3237),"")</f>
        <v>750000</v>
      </c>
      <c r="Q2169" s="147">
        <f t="shared" si="57"/>
        <v>0</v>
      </c>
      <c r="R2169" s="41" t="s">
        <v>118</v>
      </c>
      <c r="S2169" s="69" t="s">
        <v>1576</v>
      </c>
      <c r="T2169" s="51" t="b">
        <v>1</v>
      </c>
      <c r="U2169" s="94"/>
    </row>
    <row r="2170" ht="30.0" customHeight="1">
      <c r="A2170" s="39"/>
      <c r="B2170" s="164">
        <v>4209.0</v>
      </c>
      <c r="C2170" s="41" t="s">
        <v>50</v>
      </c>
      <c r="D2170" s="86">
        <v>46197.0</v>
      </c>
      <c r="E2170" s="43" t="str">
        <f t="shared" si="51"/>
        <v>2026</v>
      </c>
      <c r="F2170" s="43" t="str">
        <f t="shared" si="52"/>
        <v>06 Jun</v>
      </c>
      <c r="G2170" s="45" t="s">
        <v>43</v>
      </c>
      <c r="H2170" s="45" t="s">
        <v>150</v>
      </c>
      <c r="I2170" s="45" t="s">
        <v>963</v>
      </c>
      <c r="J2170" s="143" t="s">
        <v>119</v>
      </c>
      <c r="K2170" s="43" t="str">
        <f t="array" ref="K2170">IF(J2170="","", XLOOKUP(J2170,'⚙️ Pengaturan'!$E$2:$E3237,'⚙️ Pengaturan'!$G$2:$G3237))</f>
        <v>KLINIK FT PAKET</v>
      </c>
      <c r="L2170" s="43" t="str">
        <f t="shared" si="3"/>
        <v>LANJUTAN</v>
      </c>
      <c r="M2170" s="144" t="s">
        <v>31</v>
      </c>
      <c r="N2170" s="145">
        <v>600000.0</v>
      </c>
      <c r="O2170" s="146">
        <v>150000.0</v>
      </c>
      <c r="P2170" s="48">
        <f t="array" ref="P2170">IFNA(XLOOKUP(J2170,'⚙️ Pengaturan'!$E$2:$E3237,'⚙️ Pengaturan'!$F$2:$F3237),"")</f>
        <v>750000</v>
      </c>
      <c r="Q2170" s="147">
        <f t="shared" si="57"/>
        <v>0</v>
      </c>
      <c r="R2170" s="41" t="s">
        <v>32</v>
      </c>
      <c r="S2170" s="76" t="s">
        <v>33</v>
      </c>
      <c r="T2170" s="51" t="b">
        <v>1</v>
      </c>
      <c r="U2170" s="94" t="s">
        <v>1063</v>
      </c>
    </row>
    <row r="2171" ht="30.0" customHeight="1">
      <c r="A2171" s="39"/>
      <c r="B2171" s="40">
        <v>4210.0</v>
      </c>
      <c r="C2171" s="41" t="s">
        <v>50</v>
      </c>
      <c r="D2171" s="86">
        <v>46197.0</v>
      </c>
      <c r="E2171" s="43" t="str">
        <f t="shared" si="51"/>
        <v>2026</v>
      </c>
      <c r="F2171" s="43" t="str">
        <f t="shared" si="52"/>
        <v>06 Jun</v>
      </c>
      <c r="G2171" s="45" t="s">
        <v>173</v>
      </c>
      <c r="H2171" s="45" t="s">
        <v>166</v>
      </c>
      <c r="I2171" s="45" t="s">
        <v>1577</v>
      </c>
      <c r="J2171" s="143" t="s">
        <v>28</v>
      </c>
      <c r="K2171" s="43" t="str">
        <f t="array" ref="K2171">IF(J2171="","", XLOOKUP(J2171,'⚙️ Pengaturan'!$E$2:$E3237,'⚙️ Pengaturan'!$G$2:$G3237))</f>
        <v>KLINIK FT TA</v>
      </c>
      <c r="L2171" s="43" t="str">
        <f t="shared" si="3"/>
        <v>BARU</v>
      </c>
      <c r="M2171" s="144" t="s">
        <v>31</v>
      </c>
      <c r="N2171" s="145">
        <v>250000.0</v>
      </c>
      <c r="O2171" s="146">
        <v>0.0</v>
      </c>
      <c r="P2171" s="48">
        <f t="array" ref="P2171">IFNA(XLOOKUP(J2171,'⚙️ Pengaturan'!$E$2:$E3237,'⚙️ Pengaturan'!$F$2:$F3237),"")</f>
        <v>250000</v>
      </c>
      <c r="Q2171" s="147">
        <f t="shared" si="57"/>
        <v>0</v>
      </c>
      <c r="R2171" s="41" t="s">
        <v>37</v>
      </c>
      <c r="S2171" s="69" t="s">
        <v>1577</v>
      </c>
      <c r="T2171" s="51" t="b">
        <v>1</v>
      </c>
      <c r="U2171" s="94"/>
    </row>
    <row r="2172" ht="30.0" customHeight="1">
      <c r="A2172" s="39"/>
      <c r="B2172" s="164">
        <v>4211.0</v>
      </c>
      <c r="C2172" s="41" t="s">
        <v>50</v>
      </c>
      <c r="D2172" s="86">
        <v>46197.0</v>
      </c>
      <c r="E2172" s="43" t="str">
        <f t="shared" si="51"/>
        <v>2026</v>
      </c>
      <c r="F2172" s="43" t="str">
        <f t="shared" si="52"/>
        <v>06 Jun</v>
      </c>
      <c r="G2172" s="45" t="s">
        <v>173</v>
      </c>
      <c r="H2172" s="45" t="s">
        <v>150</v>
      </c>
      <c r="I2172" s="45" t="s">
        <v>1558</v>
      </c>
      <c r="J2172" s="143" t="s">
        <v>120</v>
      </c>
      <c r="K2172" s="43" t="str">
        <f t="array" ref="K2172">IF(J2172="","", XLOOKUP(J2172,'⚙️ Pengaturan'!$E$2:$E3237,'⚙️ Pengaturan'!$G$2:$G3237))</f>
        <v>KLINIK FT SESI</v>
      </c>
      <c r="L2172" s="43" t="str">
        <f t="shared" si="3"/>
        <v>BARU</v>
      </c>
      <c r="M2172" s="144" t="s">
        <v>31</v>
      </c>
      <c r="N2172" s="145">
        <v>180000.0</v>
      </c>
      <c r="O2172" s="146">
        <v>0.0</v>
      </c>
      <c r="P2172" s="48">
        <f t="array" ref="P2172">IFNA(XLOOKUP(J2172,'⚙️ Pengaturan'!$E$2:$E3237,'⚙️ Pengaturan'!$F$2:$F3237),"")</f>
        <v>180000</v>
      </c>
      <c r="Q2172" s="147">
        <f t="shared" si="57"/>
        <v>0</v>
      </c>
      <c r="R2172" s="41" t="s">
        <v>37</v>
      </c>
      <c r="S2172" s="69" t="s">
        <v>1558</v>
      </c>
      <c r="T2172" s="51" t="b">
        <v>1</v>
      </c>
      <c r="U2172" s="94"/>
    </row>
    <row r="2173" ht="30.0" customHeight="1">
      <c r="A2173" s="39"/>
      <c r="B2173" s="40">
        <v>4212.0</v>
      </c>
      <c r="C2173" s="41" t="s">
        <v>50</v>
      </c>
      <c r="D2173" s="86">
        <v>46197.0</v>
      </c>
      <c r="E2173" s="43" t="str">
        <f t="shared" si="51"/>
        <v>2026</v>
      </c>
      <c r="F2173" s="43" t="str">
        <f t="shared" si="52"/>
        <v>06 Jun</v>
      </c>
      <c r="G2173" s="45" t="s">
        <v>155</v>
      </c>
      <c r="H2173" s="45" t="s">
        <v>166</v>
      </c>
      <c r="I2173" s="45" t="s">
        <v>1578</v>
      </c>
      <c r="J2173" s="143" t="s">
        <v>28</v>
      </c>
      <c r="K2173" s="43" t="str">
        <f t="array" ref="K2173">IF(J2173="","", XLOOKUP(J2173,'⚙️ Pengaturan'!$E$2:$E3237,'⚙️ Pengaturan'!$G$2:$G3237))</f>
        <v>KLINIK FT TA</v>
      </c>
      <c r="L2173" s="43" t="str">
        <f t="shared" si="3"/>
        <v>BARU</v>
      </c>
      <c r="M2173" s="144" t="s">
        <v>31</v>
      </c>
      <c r="N2173" s="145">
        <v>200000.0</v>
      </c>
      <c r="O2173" s="146">
        <v>50000.0</v>
      </c>
      <c r="P2173" s="48">
        <f t="array" ref="P2173">IFNA(XLOOKUP(J2173,'⚙️ Pengaturan'!$E$2:$E3237,'⚙️ Pengaturan'!$F$2:$F3237),"")</f>
        <v>250000</v>
      </c>
      <c r="Q2173" s="147">
        <f t="shared" si="57"/>
        <v>0</v>
      </c>
      <c r="R2173" s="41" t="s">
        <v>37</v>
      </c>
      <c r="S2173" s="69" t="s">
        <v>1578</v>
      </c>
      <c r="T2173" s="51" t="b">
        <v>1</v>
      </c>
      <c r="U2173" s="94" t="s">
        <v>1063</v>
      </c>
    </row>
    <row r="2174" ht="30.0" customHeight="1">
      <c r="A2174" s="39"/>
      <c r="B2174" s="164">
        <v>4213.0</v>
      </c>
      <c r="C2174" s="41" t="s">
        <v>50</v>
      </c>
      <c r="D2174" s="86">
        <v>46197.0</v>
      </c>
      <c r="E2174" s="43" t="str">
        <f t="shared" si="51"/>
        <v>2026</v>
      </c>
      <c r="F2174" s="43" t="str">
        <f t="shared" si="52"/>
        <v>06 Jun</v>
      </c>
      <c r="G2174" s="45" t="s">
        <v>69</v>
      </c>
      <c r="H2174" s="45" t="s">
        <v>150</v>
      </c>
      <c r="I2174" s="45" t="s">
        <v>1556</v>
      </c>
      <c r="J2174" s="143" t="s">
        <v>120</v>
      </c>
      <c r="K2174" s="43" t="str">
        <f t="array" ref="K2174">IF(J2174="","", XLOOKUP(J2174,'⚙️ Pengaturan'!$E$2:$E3237,'⚙️ Pengaturan'!$G$2:$G3237))</f>
        <v>KLINIK FT SESI</v>
      </c>
      <c r="L2174" s="43" t="str">
        <f t="shared" si="3"/>
        <v>BARU</v>
      </c>
      <c r="M2174" s="144" t="s">
        <v>31</v>
      </c>
      <c r="N2174" s="145">
        <v>0.0</v>
      </c>
      <c r="O2174" s="146">
        <v>180000.0</v>
      </c>
      <c r="P2174" s="48">
        <f t="array" ref="P2174">IFNA(XLOOKUP(J2174,'⚙️ Pengaturan'!$E$2:$E3237,'⚙️ Pengaturan'!$F$2:$F3237),"")</f>
        <v>180000</v>
      </c>
      <c r="Q2174" s="147">
        <f t="shared" si="57"/>
        <v>0</v>
      </c>
      <c r="R2174" s="41" t="s">
        <v>32</v>
      </c>
      <c r="S2174" s="76" t="s">
        <v>33</v>
      </c>
      <c r="T2174" s="51" t="b">
        <v>1</v>
      </c>
      <c r="U2174" s="94"/>
    </row>
    <row r="2175" ht="30.0" customHeight="1">
      <c r="A2175" s="39"/>
      <c r="B2175" s="40">
        <v>4214.0</v>
      </c>
      <c r="C2175" s="41" t="s">
        <v>39</v>
      </c>
      <c r="D2175" s="86">
        <v>46198.0</v>
      </c>
      <c r="E2175" s="43" t="str">
        <f t="shared" si="51"/>
        <v>2026</v>
      </c>
      <c r="F2175" s="43" t="str">
        <f t="shared" si="52"/>
        <v>06 Jun</v>
      </c>
      <c r="G2175" s="45" t="s">
        <v>195</v>
      </c>
      <c r="H2175" s="45" t="s">
        <v>166</v>
      </c>
      <c r="I2175" s="45" t="s">
        <v>1579</v>
      </c>
      <c r="J2175" s="143" t="s">
        <v>28</v>
      </c>
      <c r="K2175" s="43" t="str">
        <f t="array" ref="K2175">IF(J2175="","", XLOOKUP(J2175,'⚙️ Pengaturan'!$E$2:$E3237,'⚙️ Pengaturan'!$G$2:$G3237))</f>
        <v>KLINIK FT TA</v>
      </c>
      <c r="L2175" s="43" t="str">
        <f t="shared" si="3"/>
        <v>BARU</v>
      </c>
      <c r="M2175" s="144" t="s">
        <v>31</v>
      </c>
      <c r="N2175" s="145">
        <v>250000.0</v>
      </c>
      <c r="O2175" s="146">
        <v>0.0</v>
      </c>
      <c r="P2175" s="48">
        <f t="array" ref="P2175">IFNA(XLOOKUP(J2175,'⚙️ Pengaturan'!$E$2:$E3237,'⚙️ Pengaturan'!$F$2:$F3237),"")</f>
        <v>250000</v>
      </c>
      <c r="Q2175" s="147">
        <f t="shared" si="57"/>
        <v>0</v>
      </c>
      <c r="R2175" s="41" t="s">
        <v>32</v>
      </c>
      <c r="S2175" s="76" t="s">
        <v>33</v>
      </c>
      <c r="T2175" s="51" t="b">
        <v>1</v>
      </c>
      <c r="U2175" s="94"/>
    </row>
    <row r="2176" ht="30.0" customHeight="1">
      <c r="A2176" s="39"/>
      <c r="B2176" s="164">
        <v>4215.0</v>
      </c>
      <c r="C2176" s="41" t="s">
        <v>39</v>
      </c>
      <c r="D2176" s="86">
        <v>46198.0</v>
      </c>
      <c r="E2176" s="43" t="str">
        <f t="shared" si="51"/>
        <v>2026</v>
      </c>
      <c r="F2176" s="43" t="str">
        <f t="shared" si="52"/>
        <v>06 Jun</v>
      </c>
      <c r="G2176" s="45" t="s">
        <v>25</v>
      </c>
      <c r="H2176" s="45" t="s">
        <v>156</v>
      </c>
      <c r="I2176" s="45" t="s">
        <v>1411</v>
      </c>
      <c r="J2176" s="143" t="s">
        <v>120</v>
      </c>
      <c r="K2176" s="43" t="str">
        <f t="array" ref="K2176">IF(J2176="","", XLOOKUP(J2176,'⚙️ Pengaturan'!$E$2:$E3237,'⚙️ Pengaturan'!$G$2:$G3237))</f>
        <v>KLINIK FT SESI</v>
      </c>
      <c r="L2176" s="43" t="str">
        <f t="shared" si="3"/>
        <v>LANJUTAN</v>
      </c>
      <c r="M2176" s="144" t="s">
        <v>31</v>
      </c>
      <c r="N2176" s="145">
        <v>180000.0</v>
      </c>
      <c r="O2176" s="146">
        <v>0.0</v>
      </c>
      <c r="P2176" s="48">
        <f t="array" ref="P2176">IFNA(XLOOKUP(J2176,'⚙️ Pengaturan'!$E$2:$E3237,'⚙️ Pengaturan'!$F$2:$F3237),"")</f>
        <v>180000</v>
      </c>
      <c r="Q2176" s="147">
        <f t="shared" si="57"/>
        <v>0</v>
      </c>
      <c r="R2176" s="41" t="s">
        <v>37</v>
      </c>
      <c r="S2176" s="69" t="s">
        <v>1411</v>
      </c>
      <c r="T2176" s="51" t="b">
        <v>1</v>
      </c>
      <c r="U2176" s="94"/>
    </row>
    <row r="2177" ht="30.0" customHeight="1">
      <c r="A2177" s="39"/>
      <c r="B2177" s="40">
        <v>4216.0</v>
      </c>
      <c r="C2177" s="41" t="s">
        <v>39</v>
      </c>
      <c r="D2177" s="86">
        <v>46198.0</v>
      </c>
      <c r="E2177" s="43" t="str">
        <f t="shared" si="51"/>
        <v>2026</v>
      </c>
      <c r="F2177" s="43" t="str">
        <f t="shared" si="52"/>
        <v>06 Jun</v>
      </c>
      <c r="G2177" s="45" t="s">
        <v>206</v>
      </c>
      <c r="H2177" s="45" t="s">
        <v>150</v>
      </c>
      <c r="I2177" s="45" t="s">
        <v>1580</v>
      </c>
      <c r="J2177" s="143" t="s">
        <v>28</v>
      </c>
      <c r="K2177" s="43" t="str">
        <f t="array" ref="K2177">IF(J2177="","", XLOOKUP(J2177,'⚙️ Pengaturan'!$E$2:$E3237,'⚙️ Pengaturan'!$G$2:$G3237))</f>
        <v>KLINIK FT TA</v>
      </c>
      <c r="L2177" s="43" t="str">
        <f t="shared" si="3"/>
        <v>BARU</v>
      </c>
      <c r="M2177" s="144" t="s">
        <v>31</v>
      </c>
      <c r="N2177" s="145">
        <v>250000.0</v>
      </c>
      <c r="O2177" s="146">
        <v>0.0</v>
      </c>
      <c r="P2177" s="48">
        <f t="array" ref="P2177">IFNA(XLOOKUP(J2177,'⚙️ Pengaturan'!$E$2:$E3237,'⚙️ Pengaturan'!$F$2:$F3237),"")</f>
        <v>250000</v>
      </c>
      <c r="Q2177" s="147">
        <f t="shared" si="57"/>
        <v>0</v>
      </c>
      <c r="R2177" s="41" t="s">
        <v>37</v>
      </c>
      <c r="S2177" s="76" t="s">
        <v>1581</v>
      </c>
      <c r="T2177" s="51" t="b">
        <v>1</v>
      </c>
      <c r="U2177" s="94"/>
    </row>
    <row r="2178" ht="30.0" customHeight="1">
      <c r="A2178" s="39"/>
      <c r="B2178" s="164">
        <v>4217.0</v>
      </c>
      <c r="C2178" s="41" t="s">
        <v>39</v>
      </c>
      <c r="D2178" s="86">
        <v>46198.0</v>
      </c>
      <c r="E2178" s="43" t="str">
        <f t="shared" si="51"/>
        <v>2026</v>
      </c>
      <c r="F2178" s="43" t="str">
        <f t="shared" si="52"/>
        <v>06 Jun</v>
      </c>
      <c r="G2178" s="45" t="s">
        <v>195</v>
      </c>
      <c r="H2178" s="45" t="s">
        <v>162</v>
      </c>
      <c r="I2178" s="45" t="s">
        <v>1429</v>
      </c>
      <c r="J2178" s="143" t="s">
        <v>119</v>
      </c>
      <c r="K2178" s="43" t="str">
        <f t="array" ref="K2178">IF(J2178="","", XLOOKUP(J2178,'⚙️ Pengaturan'!$E$2:$E3237,'⚙️ Pengaturan'!$G$2:$G3237))</f>
        <v>KLINIK FT PAKET</v>
      </c>
      <c r="L2178" s="43" t="str">
        <f t="shared" si="3"/>
        <v>LANJUTAN</v>
      </c>
      <c r="M2178" s="144" t="s">
        <v>164</v>
      </c>
      <c r="N2178" s="145">
        <v>450000.0</v>
      </c>
      <c r="O2178" s="146">
        <v>300000.0</v>
      </c>
      <c r="P2178" s="48">
        <f t="array" ref="P2178">IFNA(XLOOKUP(J2178,'⚙️ Pengaturan'!$E$2:$E3237,'⚙️ Pengaturan'!$F$2:$F3237),"")</f>
        <v>750000</v>
      </c>
      <c r="Q2178" s="147">
        <f t="shared" si="57"/>
        <v>0</v>
      </c>
      <c r="R2178" s="41" t="s">
        <v>37</v>
      </c>
      <c r="S2178" s="69" t="s">
        <v>1429</v>
      </c>
      <c r="T2178" s="51" t="b">
        <v>1</v>
      </c>
      <c r="U2178" s="94"/>
    </row>
    <row r="2179" ht="30.0" customHeight="1">
      <c r="A2179" s="39"/>
      <c r="B2179" s="40">
        <v>4218.0</v>
      </c>
      <c r="C2179" s="41" t="s">
        <v>39</v>
      </c>
      <c r="D2179" s="86">
        <v>46198.0</v>
      </c>
      <c r="E2179" s="43" t="str">
        <f t="shared" si="51"/>
        <v>2026</v>
      </c>
      <c r="F2179" s="43" t="str">
        <f t="shared" si="52"/>
        <v>06 Jun</v>
      </c>
      <c r="G2179" s="45" t="s">
        <v>161</v>
      </c>
      <c r="H2179" s="45" t="s">
        <v>166</v>
      </c>
      <c r="I2179" s="45" t="s">
        <v>1577</v>
      </c>
      <c r="J2179" s="143" t="s">
        <v>347</v>
      </c>
      <c r="K2179" s="43" t="str">
        <f t="array" ref="K2179">IF(J2179="","", XLOOKUP(J2179,'⚙️ Pengaturan'!$E$2:$E3237,'⚙️ Pengaturan'!$G$2:$G3237))</f>
        <v>KLINIK FT PAKET</v>
      </c>
      <c r="L2179" s="43" t="str">
        <f t="shared" si="3"/>
        <v>BARU</v>
      </c>
      <c r="M2179" s="144" t="s">
        <v>31</v>
      </c>
      <c r="N2179" s="145">
        <v>1300000.0</v>
      </c>
      <c r="O2179" s="146">
        <v>0.0</v>
      </c>
      <c r="P2179" s="48">
        <f t="array" ref="P2179">IFNA(XLOOKUP(J2179,'⚙️ Pengaturan'!$E$2:$E3237,'⚙️ Pengaturan'!$F$2:$F3237),"")</f>
        <v>1300000</v>
      </c>
      <c r="Q2179" s="147">
        <f t="shared" si="57"/>
        <v>0</v>
      </c>
      <c r="R2179" s="41" t="s">
        <v>37</v>
      </c>
      <c r="S2179" s="69" t="s">
        <v>1577</v>
      </c>
      <c r="T2179" s="51" t="b">
        <v>1</v>
      </c>
      <c r="U2179" s="94"/>
    </row>
    <row r="2180" ht="30.0" customHeight="1">
      <c r="A2180" s="39"/>
      <c r="B2180" s="164">
        <v>4219.0</v>
      </c>
      <c r="C2180" s="41" t="s">
        <v>39</v>
      </c>
      <c r="D2180" s="86">
        <v>46198.0</v>
      </c>
      <c r="E2180" s="43" t="str">
        <f t="shared" si="51"/>
        <v>2026</v>
      </c>
      <c r="F2180" s="43" t="str">
        <f t="shared" si="52"/>
        <v>06 Jun</v>
      </c>
      <c r="G2180" s="45" t="s">
        <v>35</v>
      </c>
      <c r="H2180" s="45" t="s">
        <v>162</v>
      </c>
      <c r="I2180" s="45" t="s">
        <v>1582</v>
      </c>
      <c r="J2180" s="143" t="s">
        <v>28</v>
      </c>
      <c r="K2180" s="43" t="str">
        <f t="array" ref="K2180">IF(J2180="","", XLOOKUP(J2180,'⚙️ Pengaturan'!$E$2:$E3237,'⚙️ Pengaturan'!$G$2:$G3237))</f>
        <v>KLINIK FT TA</v>
      </c>
      <c r="L2180" s="43" t="str">
        <f t="shared" si="3"/>
        <v>BARU</v>
      </c>
      <c r="M2180" s="144" t="s">
        <v>31</v>
      </c>
      <c r="N2180" s="145">
        <v>250000.0</v>
      </c>
      <c r="O2180" s="146">
        <v>0.0</v>
      </c>
      <c r="P2180" s="48">
        <f t="array" ref="P2180">IFNA(XLOOKUP(J2180,'⚙️ Pengaturan'!$E$2:$E3237,'⚙️ Pengaturan'!$F$2:$F3237),"")</f>
        <v>250000</v>
      </c>
      <c r="Q2180" s="147">
        <f t="shared" si="57"/>
        <v>0</v>
      </c>
      <c r="R2180" s="41" t="s">
        <v>37</v>
      </c>
      <c r="S2180" s="69" t="s">
        <v>1582</v>
      </c>
      <c r="T2180" s="51" t="b">
        <v>1</v>
      </c>
      <c r="U2180" s="94"/>
    </row>
    <row r="2181" ht="30.0" customHeight="1">
      <c r="A2181" s="39"/>
      <c r="B2181" s="40">
        <v>4220.0</v>
      </c>
      <c r="C2181" s="41" t="s">
        <v>50</v>
      </c>
      <c r="D2181" s="86">
        <v>46198.0</v>
      </c>
      <c r="E2181" s="43" t="str">
        <f t="shared" si="51"/>
        <v>2026</v>
      </c>
      <c r="F2181" s="43" t="str">
        <f t="shared" si="52"/>
        <v>06 Jun</v>
      </c>
      <c r="G2181" s="45" t="s">
        <v>40</v>
      </c>
      <c r="H2181" s="45" t="s">
        <v>41</v>
      </c>
      <c r="I2181" s="45" t="s">
        <v>1528</v>
      </c>
      <c r="J2181" s="143" t="s">
        <v>120</v>
      </c>
      <c r="K2181" s="43" t="str">
        <f t="array" ref="K2181">IF(J2181="","", XLOOKUP(J2181,'⚙️ Pengaturan'!$E$2:$E3237,'⚙️ Pengaturan'!$G$2:$G3237))</f>
        <v>KLINIK FT SESI</v>
      </c>
      <c r="L2181" s="43" t="str">
        <f t="shared" si="3"/>
        <v>LANJUTAN</v>
      </c>
      <c r="M2181" s="144" t="s">
        <v>31</v>
      </c>
      <c r="N2181" s="145">
        <v>180000.0</v>
      </c>
      <c r="O2181" s="146">
        <v>0.0</v>
      </c>
      <c r="P2181" s="48">
        <f t="array" ref="P2181">IFNA(XLOOKUP(J2181,'⚙️ Pengaturan'!$E$2:$E3237,'⚙️ Pengaturan'!$F$2:$F3237),"")</f>
        <v>180000</v>
      </c>
      <c r="Q2181" s="147">
        <f t="shared" si="57"/>
        <v>0</v>
      </c>
      <c r="R2181" s="41" t="s">
        <v>32</v>
      </c>
      <c r="S2181" s="76" t="s">
        <v>33</v>
      </c>
      <c r="T2181" s="51" t="b">
        <v>1</v>
      </c>
      <c r="U2181" s="94"/>
    </row>
    <row r="2182" ht="30.0" customHeight="1">
      <c r="A2182" s="39"/>
      <c r="B2182" s="164">
        <v>4221.0</v>
      </c>
      <c r="C2182" s="41" t="s">
        <v>50</v>
      </c>
      <c r="D2182" s="86">
        <v>46198.0</v>
      </c>
      <c r="E2182" s="43" t="str">
        <f t="shared" si="51"/>
        <v>2026</v>
      </c>
      <c r="F2182" s="43" t="str">
        <f t="shared" si="52"/>
        <v>06 Jun</v>
      </c>
      <c r="G2182" s="45" t="s">
        <v>43</v>
      </c>
      <c r="H2182" s="45" t="s">
        <v>47</v>
      </c>
      <c r="I2182" s="45" t="s">
        <v>1542</v>
      </c>
      <c r="J2182" s="143" t="s">
        <v>347</v>
      </c>
      <c r="K2182" s="43" t="str">
        <f t="array" ref="K2182">IF(J2182="","", XLOOKUP(J2182,'⚙️ Pengaturan'!$E$2:$E3237,'⚙️ Pengaturan'!$G$2:$G3237))</f>
        <v>KLINIK FT PAKET</v>
      </c>
      <c r="L2182" s="43" t="str">
        <f t="shared" si="3"/>
        <v>BARU</v>
      </c>
      <c r="M2182" s="144" t="s">
        <v>60</v>
      </c>
      <c r="N2182" s="145">
        <v>300000.0</v>
      </c>
      <c r="O2182" s="146">
        <v>0.0</v>
      </c>
      <c r="P2182" s="48">
        <f t="array" ref="P2182">IFNA(XLOOKUP(J2182,'⚙️ Pengaturan'!$E$2:$E3237,'⚙️ Pengaturan'!$F$2:$F3237),"")</f>
        <v>1300000</v>
      </c>
      <c r="Q2182" s="147">
        <f t="shared" si="57"/>
        <v>-1000000</v>
      </c>
      <c r="R2182" s="41" t="s">
        <v>37</v>
      </c>
      <c r="S2182" s="76" t="s">
        <v>600</v>
      </c>
      <c r="T2182" s="51" t="b">
        <v>1</v>
      </c>
      <c r="U2182" s="94"/>
    </row>
    <row r="2183" ht="30.0" customHeight="1">
      <c r="A2183" s="39"/>
      <c r="B2183" s="40">
        <v>4222.0</v>
      </c>
      <c r="C2183" s="41" t="s">
        <v>50</v>
      </c>
      <c r="D2183" s="86">
        <v>46185.0</v>
      </c>
      <c r="E2183" s="43" t="str">
        <f t="shared" si="51"/>
        <v>2026</v>
      </c>
      <c r="F2183" s="43" t="str">
        <f t="shared" si="52"/>
        <v>06 Jun</v>
      </c>
      <c r="G2183" s="45" t="s">
        <v>69</v>
      </c>
      <c r="H2183" s="45" t="s">
        <v>162</v>
      </c>
      <c r="I2183" s="45" t="s">
        <v>1583</v>
      </c>
      <c r="J2183" s="143" t="s">
        <v>121</v>
      </c>
      <c r="K2183" s="43" t="str">
        <f t="array" ref="K2183">IF(J2183="","", XLOOKUP(J2183,'⚙️ Pengaturan'!$E$2:$E3237,'⚙️ Pengaturan'!$G$2:$G3237))</f>
        <v>VISIT FT TA</v>
      </c>
      <c r="L2183" s="43" t="str">
        <f t="shared" si="3"/>
        <v>BARU</v>
      </c>
      <c r="M2183" s="144" t="s">
        <v>31</v>
      </c>
      <c r="N2183" s="145">
        <v>300000.0</v>
      </c>
      <c r="O2183" s="146">
        <v>0.0</v>
      </c>
      <c r="P2183" s="48">
        <f t="array" ref="P2183">IFNA(XLOOKUP(J2183,'⚙️ Pengaturan'!$E$2:$E3237,'⚙️ Pengaturan'!$F$2:$F3237),"")</f>
        <v>300000</v>
      </c>
      <c r="Q2183" s="147">
        <f t="shared" si="57"/>
        <v>0</v>
      </c>
      <c r="R2183" s="41" t="s">
        <v>32</v>
      </c>
      <c r="S2183" s="76" t="s">
        <v>33</v>
      </c>
      <c r="T2183" s="51" t="b">
        <v>1</v>
      </c>
      <c r="U2183" s="94"/>
    </row>
    <row r="2184" ht="30.0" customHeight="1">
      <c r="A2184" s="39"/>
      <c r="B2184" s="164">
        <v>4223.0</v>
      </c>
      <c r="C2184" s="41" t="s">
        <v>50</v>
      </c>
      <c r="D2184" s="86">
        <v>46176.0</v>
      </c>
      <c r="E2184" s="43" t="str">
        <f t="shared" si="51"/>
        <v>2026</v>
      </c>
      <c r="F2184" s="43" t="str">
        <f t="shared" si="52"/>
        <v>06 Jun</v>
      </c>
      <c r="G2184" s="45" t="s">
        <v>69</v>
      </c>
      <c r="H2184" s="45" t="s">
        <v>41</v>
      </c>
      <c r="I2184" s="45" t="s">
        <v>1584</v>
      </c>
      <c r="J2184" s="143" t="s">
        <v>291</v>
      </c>
      <c r="K2184" s="43" t="str">
        <f t="array" ref="K2184">IF(J2184="","", XLOOKUP(J2184,'⚙️ Pengaturan'!$E$2:$E3237,'⚙️ Pengaturan'!$G$2:$G3237))</f>
        <v>VISIT FT TA</v>
      </c>
      <c r="L2184" s="43" t="str">
        <f t="shared" si="3"/>
        <v>BARU</v>
      </c>
      <c r="M2184" s="144" t="s">
        <v>31</v>
      </c>
      <c r="N2184" s="145">
        <v>350000.0</v>
      </c>
      <c r="O2184" s="146">
        <v>0.0</v>
      </c>
      <c r="P2184" s="48">
        <f t="array" ref="P2184">IFNA(XLOOKUP(J2184,'⚙️ Pengaturan'!$E$2:$E3237,'⚙️ Pengaturan'!$F$2:$F3237),"")</f>
        <v>350000</v>
      </c>
      <c r="Q2184" s="147">
        <f t="shared" si="57"/>
        <v>0</v>
      </c>
      <c r="R2184" s="41" t="s">
        <v>32</v>
      </c>
      <c r="S2184" s="76" t="s">
        <v>33</v>
      </c>
      <c r="T2184" s="51" t="b">
        <v>1</v>
      </c>
      <c r="U2184" s="94"/>
    </row>
    <row r="2185" ht="30.0" customHeight="1">
      <c r="A2185" s="39"/>
      <c r="B2185" s="40">
        <v>4224.0</v>
      </c>
      <c r="C2185" s="41" t="s">
        <v>50</v>
      </c>
      <c r="D2185" s="86">
        <v>46198.0</v>
      </c>
      <c r="E2185" s="43" t="str">
        <f t="shared" si="51"/>
        <v>2026</v>
      </c>
      <c r="F2185" s="43" t="str">
        <f t="shared" si="52"/>
        <v>06 Jun</v>
      </c>
      <c r="G2185" s="45" t="s">
        <v>69</v>
      </c>
      <c r="H2185" s="45" t="s">
        <v>149</v>
      </c>
      <c r="I2185" s="45" t="s">
        <v>1585</v>
      </c>
      <c r="J2185" s="143" t="s">
        <v>121</v>
      </c>
      <c r="K2185" s="43" t="str">
        <f t="array" ref="K2185">IF(J2185="","", XLOOKUP(J2185,'⚙️ Pengaturan'!$E$2:$E3237,'⚙️ Pengaturan'!$G$2:$G3237))</f>
        <v>VISIT FT TA</v>
      </c>
      <c r="L2185" s="43" t="str">
        <f t="shared" si="3"/>
        <v>BARU</v>
      </c>
      <c r="M2185" s="144" t="s">
        <v>31</v>
      </c>
      <c r="N2185" s="145">
        <v>300000.0</v>
      </c>
      <c r="O2185" s="146">
        <v>0.0</v>
      </c>
      <c r="P2185" s="48">
        <f t="array" ref="P2185">IFNA(XLOOKUP(J2185,'⚙️ Pengaturan'!$E$2:$E3237,'⚙️ Pengaturan'!$F$2:$F3237),"")</f>
        <v>300000</v>
      </c>
      <c r="Q2185" s="147">
        <f t="shared" si="57"/>
        <v>0</v>
      </c>
      <c r="R2185" s="41" t="s">
        <v>32</v>
      </c>
      <c r="S2185" s="76" t="s">
        <v>33</v>
      </c>
      <c r="T2185" s="51" t="b">
        <v>1</v>
      </c>
      <c r="U2185" s="94"/>
    </row>
    <row r="2186" ht="30.0" customHeight="1">
      <c r="A2186" s="39"/>
      <c r="B2186" s="164">
        <v>4225.0</v>
      </c>
      <c r="C2186" s="41" t="s">
        <v>50</v>
      </c>
      <c r="D2186" s="86">
        <v>46198.0</v>
      </c>
      <c r="E2186" s="43" t="str">
        <f t="shared" si="51"/>
        <v>2026</v>
      </c>
      <c r="F2186" s="43" t="str">
        <f t="shared" si="52"/>
        <v>06 Jun</v>
      </c>
      <c r="G2186" s="45" t="s">
        <v>43</v>
      </c>
      <c r="H2186" s="45" t="s">
        <v>41</v>
      </c>
      <c r="I2186" s="45" t="s">
        <v>1474</v>
      </c>
      <c r="J2186" s="143" t="s">
        <v>120</v>
      </c>
      <c r="K2186" s="43" t="str">
        <f t="array" ref="K2186">IF(J2186="","", XLOOKUP(J2186,'⚙️ Pengaturan'!$E$2:$E3237,'⚙️ Pengaturan'!$G$2:$G3237))</f>
        <v>KLINIK FT SESI</v>
      </c>
      <c r="L2186" s="43" t="str">
        <f t="shared" si="3"/>
        <v>LANJUTAN</v>
      </c>
      <c r="M2186" s="144" t="s">
        <v>31</v>
      </c>
      <c r="N2186" s="145">
        <v>180000.0</v>
      </c>
      <c r="O2186" s="146">
        <v>0.0</v>
      </c>
      <c r="P2186" s="48">
        <f t="array" ref="P2186">IFNA(XLOOKUP(J2186,'⚙️ Pengaturan'!$E$2:$E3237,'⚙️ Pengaturan'!$F$2:$F3237),"")</f>
        <v>180000</v>
      </c>
      <c r="Q2186" s="147">
        <f t="shared" si="57"/>
        <v>0</v>
      </c>
      <c r="R2186" s="41" t="s">
        <v>32</v>
      </c>
      <c r="S2186" s="76" t="s">
        <v>33</v>
      </c>
      <c r="T2186" s="51" t="b">
        <v>1</v>
      </c>
      <c r="U2186" s="94"/>
    </row>
    <row r="2187" ht="30.0" customHeight="1">
      <c r="A2187" s="39"/>
      <c r="B2187" s="40">
        <v>4226.0</v>
      </c>
      <c r="C2187" s="41" t="s">
        <v>50</v>
      </c>
      <c r="D2187" s="86">
        <v>46198.0</v>
      </c>
      <c r="E2187" s="43" t="str">
        <f t="shared" si="51"/>
        <v>2026</v>
      </c>
      <c r="F2187" s="43" t="str">
        <f t="shared" si="52"/>
        <v>06 Jun</v>
      </c>
      <c r="G2187" s="45" t="s">
        <v>43</v>
      </c>
      <c r="H2187" s="45" t="s">
        <v>149</v>
      </c>
      <c r="I2187" s="45" t="s">
        <v>1586</v>
      </c>
      <c r="J2187" s="143" t="s">
        <v>119</v>
      </c>
      <c r="K2187" s="43" t="str">
        <f t="array" ref="K2187">IF(J2187="","", XLOOKUP(J2187,'⚙️ Pengaturan'!$E$2:$E3237,'⚙️ Pengaturan'!$G$2:$G3237))</f>
        <v>KLINIK FT PAKET</v>
      </c>
      <c r="L2187" s="43" t="str">
        <f t="shared" si="3"/>
        <v>BARU</v>
      </c>
      <c r="M2187" s="144" t="s">
        <v>164</v>
      </c>
      <c r="N2187" s="145">
        <v>350000.0</v>
      </c>
      <c r="O2187" s="146">
        <v>400000.0</v>
      </c>
      <c r="P2187" s="48">
        <f t="array" ref="P2187">IFNA(XLOOKUP(J2187,'⚙️ Pengaturan'!$E$2:$E3237,'⚙️ Pengaturan'!$F$2:$F3237),"")</f>
        <v>750000</v>
      </c>
      <c r="Q2187" s="147">
        <f t="shared" si="57"/>
        <v>0</v>
      </c>
      <c r="R2187" s="41" t="s">
        <v>32</v>
      </c>
      <c r="S2187" s="76" t="s">
        <v>33</v>
      </c>
      <c r="T2187" s="51" t="b">
        <v>1</v>
      </c>
      <c r="U2187" s="94"/>
    </row>
    <row r="2188" ht="30.0" customHeight="1">
      <c r="A2188" s="39"/>
      <c r="B2188" s="164">
        <v>4227.0</v>
      </c>
      <c r="C2188" s="41" t="s">
        <v>50</v>
      </c>
      <c r="D2188" s="86">
        <v>46198.0</v>
      </c>
      <c r="E2188" s="43" t="str">
        <f t="shared" si="51"/>
        <v>2026</v>
      </c>
      <c r="F2188" s="43" t="str">
        <f t="shared" si="52"/>
        <v>06 Jun</v>
      </c>
      <c r="G2188" s="45" t="s">
        <v>173</v>
      </c>
      <c r="H2188" s="45" t="s">
        <v>149</v>
      </c>
      <c r="I2188" s="45" t="s">
        <v>1526</v>
      </c>
      <c r="J2188" s="143" t="s">
        <v>120</v>
      </c>
      <c r="K2188" s="43" t="str">
        <f t="array" ref="K2188">IF(J2188="","", XLOOKUP(J2188,'⚙️ Pengaturan'!$E$2:$E3237,'⚙️ Pengaturan'!$G$2:$G3237))</f>
        <v>KLINIK FT SESI</v>
      </c>
      <c r="L2188" s="43" t="str">
        <f t="shared" si="3"/>
        <v>LANJUTAN</v>
      </c>
      <c r="M2188" s="144" t="s">
        <v>31</v>
      </c>
      <c r="N2188" s="145">
        <v>180000.0</v>
      </c>
      <c r="O2188" s="146">
        <v>0.0</v>
      </c>
      <c r="P2188" s="48">
        <f t="array" ref="P2188">IFNA(XLOOKUP(J2188,'⚙️ Pengaturan'!$E$2:$E3237,'⚙️ Pengaturan'!$F$2:$F3237),"")</f>
        <v>180000</v>
      </c>
      <c r="Q2188" s="147">
        <f t="shared" si="57"/>
        <v>0</v>
      </c>
      <c r="R2188" s="41" t="s">
        <v>37</v>
      </c>
      <c r="S2188" s="69" t="s">
        <v>1526</v>
      </c>
      <c r="T2188" s="51" t="b">
        <v>1</v>
      </c>
      <c r="U2188" s="94"/>
    </row>
    <row r="2189" ht="30.0" customHeight="1">
      <c r="A2189" s="39"/>
      <c r="B2189" s="40">
        <v>4228.0</v>
      </c>
      <c r="C2189" s="41" t="s">
        <v>50</v>
      </c>
      <c r="D2189" s="86">
        <v>46198.0</v>
      </c>
      <c r="E2189" s="43" t="str">
        <f t="shared" si="51"/>
        <v>2026</v>
      </c>
      <c r="F2189" s="43" t="str">
        <f t="shared" si="52"/>
        <v>06 Jun</v>
      </c>
      <c r="G2189" s="45" t="s">
        <v>173</v>
      </c>
      <c r="H2189" s="45" t="s">
        <v>76</v>
      </c>
      <c r="I2189" s="45" t="s">
        <v>407</v>
      </c>
      <c r="J2189" s="143" t="s">
        <v>92</v>
      </c>
      <c r="K2189" s="43" t="str">
        <f t="array" ref="K2189">IF(J2189="","", XLOOKUP(J2189,'⚙️ Pengaturan'!$E$2:$E3237,'⚙️ Pengaturan'!$G$2:$G3237))</f>
        <v>KLINIK FT PAKET</v>
      </c>
      <c r="L2189" s="43" t="str">
        <f t="shared" si="3"/>
        <v>LANJUTAN</v>
      </c>
      <c r="M2189" s="144" t="s">
        <v>31</v>
      </c>
      <c r="N2189" s="145">
        <v>1200000.0</v>
      </c>
      <c r="O2189" s="146">
        <v>0.0</v>
      </c>
      <c r="P2189" s="48">
        <f t="array" ref="P2189">IFNA(XLOOKUP(J2189,'⚙️ Pengaturan'!$E$2:$E3237,'⚙️ Pengaturan'!$F$2:$F3237),"")</f>
        <v>1200000</v>
      </c>
      <c r="Q2189" s="147">
        <f t="shared" si="57"/>
        <v>0</v>
      </c>
      <c r="R2189" s="41" t="s">
        <v>37</v>
      </c>
      <c r="S2189" s="69" t="s">
        <v>408</v>
      </c>
      <c r="T2189" s="51" t="b">
        <v>1</v>
      </c>
      <c r="U2189" s="94"/>
    </row>
    <row r="2190" ht="30.0" customHeight="1">
      <c r="A2190" s="39"/>
      <c r="B2190" s="164">
        <v>4231.0</v>
      </c>
      <c r="C2190" s="41" t="s">
        <v>50</v>
      </c>
      <c r="D2190" s="86">
        <v>46198.0</v>
      </c>
      <c r="E2190" s="43" t="str">
        <f t="shared" si="51"/>
        <v>2026</v>
      </c>
      <c r="F2190" s="43" t="str">
        <f t="shared" si="52"/>
        <v>06 Jun</v>
      </c>
      <c r="G2190" s="45" t="s">
        <v>155</v>
      </c>
      <c r="H2190" s="45" t="s">
        <v>149</v>
      </c>
      <c r="I2190" s="45" t="s">
        <v>1587</v>
      </c>
      <c r="J2190" s="143" t="s">
        <v>377</v>
      </c>
      <c r="K2190" s="43" t="str">
        <f t="array" ref="K2190">IF(J2190="","", XLOOKUP(J2190,'⚙️ Pengaturan'!$E$2:$E3237,'⚙️ Pengaturan'!$G$2:$G3237))</f>
        <v>KELAS SKOLIO PAKET</v>
      </c>
      <c r="L2190" s="43" t="str">
        <f t="shared" si="3"/>
        <v>BARU</v>
      </c>
      <c r="M2190" s="144" t="s">
        <v>31</v>
      </c>
      <c r="N2190" s="145">
        <v>440000.0</v>
      </c>
      <c r="O2190" s="146">
        <v>0.0</v>
      </c>
      <c r="P2190" s="48">
        <f t="array" ref="P2190">IFNA(XLOOKUP(J2190,'⚙️ Pengaturan'!$E$2:$E3237,'⚙️ Pengaturan'!$F$2:$F3237),"")</f>
        <v>440000</v>
      </c>
      <c r="Q2190" s="147">
        <f t="shared" si="57"/>
        <v>0</v>
      </c>
      <c r="R2190" s="41" t="s">
        <v>37</v>
      </c>
      <c r="S2190" s="76" t="s">
        <v>1588</v>
      </c>
      <c r="T2190" s="51" t="b">
        <v>1</v>
      </c>
      <c r="U2190" s="94"/>
    </row>
    <row r="2191" ht="30.0" customHeight="1">
      <c r="A2191" s="39"/>
      <c r="B2191" s="40">
        <v>4232.0</v>
      </c>
      <c r="C2191" s="41" t="s">
        <v>50</v>
      </c>
      <c r="D2191" s="86">
        <v>46198.0</v>
      </c>
      <c r="E2191" s="43" t="str">
        <f t="shared" si="51"/>
        <v>2026</v>
      </c>
      <c r="F2191" s="43" t="str">
        <f t="shared" si="52"/>
        <v>06 Jun</v>
      </c>
      <c r="G2191" s="45" t="s">
        <v>155</v>
      </c>
      <c r="H2191" s="45" t="s">
        <v>149</v>
      </c>
      <c r="I2191" s="45" t="s">
        <v>174</v>
      </c>
      <c r="J2191" s="143" t="s">
        <v>374</v>
      </c>
      <c r="K2191" s="43" t="str">
        <f t="array" ref="K2191">IF(J2191="","", XLOOKUP(J2191,'⚙️ Pengaturan'!$E$2:$E3237,'⚙️ Pengaturan'!$G$2:$G3237))</f>
        <v>KELAS SKOLIO SESI</v>
      </c>
      <c r="L2191" s="43" t="str">
        <f t="shared" si="3"/>
        <v>LANJUTAN</v>
      </c>
      <c r="M2191" s="144" t="s">
        <v>31</v>
      </c>
      <c r="N2191" s="145">
        <v>120000.0</v>
      </c>
      <c r="O2191" s="146">
        <v>0.0</v>
      </c>
      <c r="P2191" s="119">
        <v>120000.0</v>
      </c>
      <c r="Q2191" s="147">
        <f t="shared" si="57"/>
        <v>0</v>
      </c>
      <c r="R2191" s="41" t="s">
        <v>37</v>
      </c>
      <c r="S2191" s="69" t="s">
        <v>174</v>
      </c>
      <c r="T2191" s="51" t="b">
        <v>1</v>
      </c>
      <c r="U2191" s="94"/>
    </row>
    <row r="2192" ht="30.0" customHeight="1">
      <c r="A2192" s="39"/>
      <c r="B2192" s="164">
        <v>4233.0</v>
      </c>
      <c r="C2192" s="41" t="s">
        <v>50</v>
      </c>
      <c r="D2192" s="86">
        <v>46198.0</v>
      </c>
      <c r="E2192" s="43" t="str">
        <f t="shared" si="51"/>
        <v>2026</v>
      </c>
      <c r="F2192" s="43" t="str">
        <f t="shared" si="52"/>
        <v>06 Jun</v>
      </c>
      <c r="G2192" s="45" t="s">
        <v>190</v>
      </c>
      <c r="H2192" s="45" t="s">
        <v>47</v>
      </c>
      <c r="I2192" s="45" t="s">
        <v>1589</v>
      </c>
      <c r="J2192" s="143" t="s">
        <v>28</v>
      </c>
      <c r="K2192" s="43" t="str">
        <f t="array" ref="K2192">IF(J2192="","", XLOOKUP(J2192,'⚙️ Pengaturan'!$E$2:$E3237,'⚙️ Pengaturan'!$G$2:$G3237))</f>
        <v>KLINIK FT TA</v>
      </c>
      <c r="L2192" s="43" t="str">
        <f t="shared" si="3"/>
        <v>BARU</v>
      </c>
      <c r="M2192" s="144" t="s">
        <v>31</v>
      </c>
      <c r="N2192" s="145">
        <v>250000.0</v>
      </c>
      <c r="O2192" s="146">
        <v>0.0</v>
      </c>
      <c r="P2192" s="48">
        <f t="array" ref="P2192">IFNA(XLOOKUP(J2192,'⚙️ Pengaturan'!$E$2:$E3237,'⚙️ Pengaturan'!$F$2:$F3237),"")</f>
        <v>250000</v>
      </c>
      <c r="Q2192" s="147">
        <f t="shared" si="57"/>
        <v>0</v>
      </c>
      <c r="R2192" s="41" t="s">
        <v>32</v>
      </c>
      <c r="S2192" s="76" t="s">
        <v>33</v>
      </c>
      <c r="T2192" s="51" t="b">
        <v>1</v>
      </c>
      <c r="U2192" s="94"/>
    </row>
    <row r="2193" ht="30.0" customHeight="1">
      <c r="A2193" s="39"/>
      <c r="B2193" s="40">
        <v>4234.0</v>
      </c>
      <c r="C2193" s="41" t="s">
        <v>50</v>
      </c>
      <c r="D2193" s="86">
        <v>46198.0</v>
      </c>
      <c r="E2193" s="43" t="str">
        <f t="shared" si="51"/>
        <v>2026</v>
      </c>
      <c r="F2193" s="43" t="str">
        <f t="shared" si="52"/>
        <v>06 Jun</v>
      </c>
      <c r="G2193" s="45" t="s">
        <v>190</v>
      </c>
      <c r="H2193" s="45" t="s">
        <v>359</v>
      </c>
      <c r="I2193" s="45" t="s">
        <v>1081</v>
      </c>
      <c r="J2193" s="143" t="s">
        <v>1590</v>
      </c>
      <c r="K2193" s="43" t="str">
        <f t="array" ref="K2193">IF(J2193="","", XLOOKUP(J2193,'⚙️ Pengaturan'!$E$2:$E3237,'⚙️ Pengaturan'!$G$2:$G3237))</f>
        <v>KLINIK SM PAKET</v>
      </c>
      <c r="L2193" s="43" t="str">
        <f t="shared" si="3"/>
        <v>BARU</v>
      </c>
      <c r="M2193" s="144" t="s">
        <v>31</v>
      </c>
      <c r="N2193" s="145">
        <v>447000.0</v>
      </c>
      <c r="O2193" s="146">
        <v>49000.0</v>
      </c>
      <c r="P2193" s="119">
        <v>525000.0</v>
      </c>
      <c r="Q2193" s="147">
        <f t="shared" si="57"/>
        <v>-29000</v>
      </c>
      <c r="R2193" s="41" t="s">
        <v>37</v>
      </c>
      <c r="S2193" s="69" t="s">
        <v>1081</v>
      </c>
      <c r="T2193" s="51" t="b">
        <v>1</v>
      </c>
      <c r="U2193" s="94" t="s">
        <v>1591</v>
      </c>
    </row>
    <row r="2194" ht="30.0" customHeight="1">
      <c r="A2194" s="39"/>
      <c r="B2194" s="164">
        <v>4235.0</v>
      </c>
      <c r="C2194" s="41" t="s">
        <v>50</v>
      </c>
      <c r="D2194" s="86">
        <v>46198.0</v>
      </c>
      <c r="E2194" s="43" t="str">
        <f t="shared" si="51"/>
        <v>2026</v>
      </c>
      <c r="F2194" s="43" t="str">
        <f t="shared" si="52"/>
        <v>06 Jun</v>
      </c>
      <c r="G2194" s="45" t="s">
        <v>190</v>
      </c>
      <c r="H2194" s="45" t="s">
        <v>156</v>
      </c>
      <c r="I2194" s="45" t="s">
        <v>1081</v>
      </c>
      <c r="J2194" s="143" t="s">
        <v>347</v>
      </c>
      <c r="K2194" s="43" t="str">
        <f t="array" ref="K2194">IF(J2194="","", XLOOKUP(J2194,'⚙️ Pengaturan'!$E$2:$E3237,'⚙️ Pengaturan'!$G$2:$G3237))</f>
        <v>KLINIK FT PAKET</v>
      </c>
      <c r="L2194" s="43" t="str">
        <f t="shared" si="3"/>
        <v>LANJUTAN</v>
      </c>
      <c r="M2194" s="144" t="s">
        <v>164</v>
      </c>
      <c r="N2194" s="145">
        <v>700000.0</v>
      </c>
      <c r="O2194" s="146">
        <v>600000.0</v>
      </c>
      <c r="P2194" s="48">
        <f t="array" ref="P2194">IFNA(XLOOKUP(J2194,'⚙️ Pengaturan'!$E$2:$E3237,'⚙️ Pengaturan'!$F$2:$F3237),"")</f>
        <v>1300000</v>
      </c>
      <c r="Q2194" s="147">
        <f t="shared" si="57"/>
        <v>0</v>
      </c>
      <c r="R2194" s="41" t="s">
        <v>37</v>
      </c>
      <c r="S2194" s="69" t="s">
        <v>1081</v>
      </c>
      <c r="T2194" s="51" t="b">
        <v>1</v>
      </c>
      <c r="U2194" s="94"/>
    </row>
    <row r="2195" ht="30.0" customHeight="1">
      <c r="A2195" s="39"/>
      <c r="B2195" s="40">
        <v>4236.0</v>
      </c>
      <c r="C2195" s="41" t="s">
        <v>50</v>
      </c>
      <c r="D2195" s="86">
        <v>46198.0</v>
      </c>
      <c r="E2195" s="43" t="str">
        <f t="shared" si="51"/>
        <v>2026</v>
      </c>
      <c r="F2195" s="43" t="str">
        <f t="shared" si="52"/>
        <v>06 Jun</v>
      </c>
      <c r="G2195" s="45" t="s">
        <v>190</v>
      </c>
      <c r="H2195" s="45" t="s">
        <v>149</v>
      </c>
      <c r="I2195" s="45" t="s">
        <v>1540</v>
      </c>
      <c r="J2195" s="143" t="s">
        <v>119</v>
      </c>
      <c r="K2195" s="43" t="str">
        <f t="array" ref="K2195">IF(J2195="","", XLOOKUP(J2195,'⚙️ Pengaturan'!$E$2:$E3237,'⚙️ Pengaturan'!$G$2:$G3237))</f>
        <v>KLINIK FT PAKET</v>
      </c>
      <c r="L2195" s="43" t="str">
        <f t="shared" si="3"/>
        <v>BARU</v>
      </c>
      <c r="M2195" s="144" t="s">
        <v>31</v>
      </c>
      <c r="N2195" s="145">
        <v>300000.0</v>
      </c>
      <c r="O2195" s="146">
        <v>0.0</v>
      </c>
      <c r="P2195" s="48">
        <f t="array" ref="P2195">IFNA(XLOOKUP(J2195,'⚙️ Pengaturan'!$E$2:$E3237,'⚙️ Pengaturan'!$F$2:$F3237),"")</f>
        <v>750000</v>
      </c>
      <c r="Q2195" s="147">
        <f t="shared" si="57"/>
        <v>-450000</v>
      </c>
      <c r="R2195" s="41" t="s">
        <v>32</v>
      </c>
      <c r="S2195" s="76" t="s">
        <v>33</v>
      </c>
      <c r="T2195" s="51" t="b">
        <v>1</v>
      </c>
      <c r="U2195" s="94"/>
    </row>
    <row r="2196" ht="30.0" customHeight="1">
      <c r="A2196" s="39"/>
      <c r="B2196" s="164">
        <v>4237.0</v>
      </c>
      <c r="C2196" s="41" t="s">
        <v>50</v>
      </c>
      <c r="D2196" s="86">
        <v>46198.0</v>
      </c>
      <c r="E2196" s="43" t="str">
        <f t="shared" si="51"/>
        <v>2026</v>
      </c>
      <c r="F2196" s="43" t="str">
        <f t="shared" si="52"/>
        <v>06 Jun</v>
      </c>
      <c r="G2196" s="45" t="s">
        <v>190</v>
      </c>
      <c r="H2196" s="45" t="s">
        <v>96</v>
      </c>
      <c r="I2196" s="45" t="s">
        <v>1307</v>
      </c>
      <c r="J2196" s="143" t="s">
        <v>119</v>
      </c>
      <c r="K2196" s="43" t="str">
        <f t="array" ref="K2196">IF(J2196="","", XLOOKUP(J2196,'⚙️ Pengaturan'!$E$2:$E3237,'⚙️ Pengaturan'!$G$2:$G3237))</f>
        <v>KLINIK FT PAKET</v>
      </c>
      <c r="L2196" s="43" t="str">
        <f t="shared" si="3"/>
        <v>LANJUTAN</v>
      </c>
      <c r="M2196" s="144" t="s">
        <v>31</v>
      </c>
      <c r="N2196" s="145">
        <v>300000.0</v>
      </c>
      <c r="O2196" s="146">
        <v>300000.0</v>
      </c>
      <c r="P2196" s="119">
        <v>600000.0</v>
      </c>
      <c r="Q2196" s="147">
        <f t="shared" si="57"/>
        <v>0</v>
      </c>
      <c r="R2196" s="41" t="s">
        <v>32</v>
      </c>
      <c r="S2196" s="76" t="s">
        <v>33</v>
      </c>
      <c r="T2196" s="51" t="b">
        <v>1</v>
      </c>
      <c r="U2196" s="94"/>
    </row>
    <row r="2197" ht="30.0" customHeight="1">
      <c r="A2197" s="39"/>
      <c r="B2197" s="40">
        <v>4238.0</v>
      </c>
      <c r="C2197" s="41" t="s">
        <v>50</v>
      </c>
      <c r="D2197" s="86">
        <v>46199.0</v>
      </c>
      <c r="E2197" s="43" t="str">
        <f t="shared" si="51"/>
        <v>2026</v>
      </c>
      <c r="F2197" s="43" t="str">
        <f t="shared" si="52"/>
        <v>06 Jun</v>
      </c>
      <c r="G2197" s="45" t="s">
        <v>195</v>
      </c>
      <c r="H2197" s="45" t="s">
        <v>149</v>
      </c>
      <c r="I2197" s="45" t="s">
        <v>1551</v>
      </c>
      <c r="J2197" s="143" t="s">
        <v>120</v>
      </c>
      <c r="K2197" s="43" t="str">
        <f t="array" ref="K2197">IF(J2197="","", XLOOKUP(J2197,'⚙️ Pengaturan'!$E$2:$E3237,'⚙️ Pengaturan'!$G$2:$G3237))</f>
        <v>KLINIK FT SESI</v>
      </c>
      <c r="L2197" s="43" t="str">
        <f t="shared" si="3"/>
        <v>LANJUTAN</v>
      </c>
      <c r="M2197" s="144" t="s">
        <v>31</v>
      </c>
      <c r="N2197" s="145">
        <v>144000.0</v>
      </c>
      <c r="O2197" s="146">
        <v>36000.0</v>
      </c>
      <c r="P2197" s="48">
        <f t="array" ref="P2197">IFNA(XLOOKUP(J2197,'⚙️ Pengaturan'!$E$2:$E3237,'⚙️ Pengaturan'!$F$2:$F3237),"")</f>
        <v>180000</v>
      </c>
      <c r="Q2197" s="147">
        <f t="shared" si="57"/>
        <v>0</v>
      </c>
      <c r="R2197" s="41" t="s">
        <v>93</v>
      </c>
      <c r="S2197" s="69" t="s">
        <v>1551</v>
      </c>
      <c r="T2197" s="51" t="b">
        <v>1</v>
      </c>
      <c r="U2197" s="94"/>
    </row>
    <row r="2198" ht="30.0" customHeight="1">
      <c r="A2198" s="39"/>
      <c r="B2198" s="164">
        <v>4239.0</v>
      </c>
      <c r="C2198" s="41" t="s">
        <v>50</v>
      </c>
      <c r="D2198" s="86">
        <v>46199.0</v>
      </c>
      <c r="E2198" s="43" t="str">
        <f t="shared" si="51"/>
        <v>2026</v>
      </c>
      <c r="F2198" s="43" t="str">
        <f t="shared" si="52"/>
        <v>06 Jun</v>
      </c>
      <c r="G2198" s="45" t="s">
        <v>195</v>
      </c>
      <c r="H2198" s="45" t="s">
        <v>359</v>
      </c>
      <c r="I2198" s="45" t="s">
        <v>1592</v>
      </c>
      <c r="J2198" s="143" t="s">
        <v>1545</v>
      </c>
      <c r="K2198" s="43" t="str">
        <f t="array" ref="K2198">IF(J2198="","", XLOOKUP(J2198,'⚙️ Pengaturan'!$E$2:$E3237,'⚙️ Pengaturan'!$G$2:$G3237))</f>
        <v>KLINIK SM SESI</v>
      </c>
      <c r="L2198" s="43" t="str">
        <f t="shared" si="3"/>
        <v>BARU</v>
      </c>
      <c r="M2198" s="144" t="s">
        <v>31</v>
      </c>
      <c r="N2198" s="145">
        <v>107000.0</v>
      </c>
      <c r="O2198" s="146">
        <v>18000.0</v>
      </c>
      <c r="P2198" s="48">
        <f t="array" ref="P2198">IFNA(XLOOKUP(J2198,'⚙️ Pengaturan'!$E$2:$E3237,'⚙️ Pengaturan'!$F$2:$F3237),"")</f>
        <v>125000</v>
      </c>
      <c r="Q2198" s="147">
        <f t="shared" si="57"/>
        <v>0</v>
      </c>
      <c r="R2198" s="41" t="s">
        <v>118</v>
      </c>
      <c r="S2198" s="69" t="s">
        <v>1592</v>
      </c>
      <c r="T2198" s="51" t="b">
        <v>1</v>
      </c>
      <c r="U2198" s="94"/>
    </row>
    <row r="2199" ht="30.0" customHeight="1">
      <c r="A2199" s="39"/>
      <c r="B2199" s="40">
        <v>4240.0</v>
      </c>
      <c r="C2199" s="41" t="s">
        <v>50</v>
      </c>
      <c r="D2199" s="86">
        <v>46199.0</v>
      </c>
      <c r="E2199" s="43" t="str">
        <f t="shared" si="51"/>
        <v>2026</v>
      </c>
      <c r="F2199" s="43" t="str">
        <f t="shared" si="52"/>
        <v>06 Jun</v>
      </c>
      <c r="G2199" s="45" t="s">
        <v>195</v>
      </c>
      <c r="H2199" s="45" t="s">
        <v>47</v>
      </c>
      <c r="I2199" s="45" t="s">
        <v>1533</v>
      </c>
      <c r="J2199" s="143" t="s">
        <v>119</v>
      </c>
      <c r="K2199" s="43" t="str">
        <f t="array" ref="K2199">IF(J2199="","", XLOOKUP(J2199,'⚙️ Pengaturan'!$E$2:$E3237,'⚙️ Pengaturan'!$G$2:$G3237))</f>
        <v>KLINIK FT PAKET</v>
      </c>
      <c r="L2199" s="43" t="str">
        <f t="shared" si="3"/>
        <v>LANJUTAN</v>
      </c>
      <c r="M2199" s="144" t="s">
        <v>164</v>
      </c>
      <c r="N2199" s="145">
        <v>250000.0</v>
      </c>
      <c r="O2199" s="146">
        <v>500000.0</v>
      </c>
      <c r="P2199" s="48">
        <f t="array" ref="P2199">IFNA(XLOOKUP(J2199,'⚙️ Pengaturan'!$E$2:$E3237,'⚙️ Pengaturan'!$F$2:$F3237),"")</f>
        <v>750000</v>
      </c>
      <c r="Q2199" s="147">
        <f t="shared" si="57"/>
        <v>0</v>
      </c>
      <c r="R2199" s="41" t="s">
        <v>32</v>
      </c>
      <c r="S2199" s="76" t="s">
        <v>33</v>
      </c>
      <c r="T2199" s="51" t="b">
        <v>1</v>
      </c>
      <c r="U2199" s="94"/>
    </row>
    <row r="2200" ht="30.0" customHeight="1">
      <c r="A2200" s="39"/>
      <c r="B2200" s="164">
        <v>4241.0</v>
      </c>
      <c r="C2200" s="41" t="s">
        <v>50</v>
      </c>
      <c r="D2200" s="86">
        <v>46199.0</v>
      </c>
      <c r="E2200" s="43" t="str">
        <f t="shared" si="51"/>
        <v>2026</v>
      </c>
      <c r="F2200" s="43" t="str">
        <f t="shared" si="52"/>
        <v>06 Jun</v>
      </c>
      <c r="G2200" s="45" t="s">
        <v>25</v>
      </c>
      <c r="H2200" s="45" t="s">
        <v>359</v>
      </c>
      <c r="I2200" s="45" t="s">
        <v>1411</v>
      </c>
      <c r="J2200" s="143" t="s">
        <v>1545</v>
      </c>
      <c r="K2200" s="43" t="str">
        <f t="array" ref="K2200">IF(J2200="","", XLOOKUP(J2200,'⚙️ Pengaturan'!$E$2:$E3237,'⚙️ Pengaturan'!$G$2:$G3237))</f>
        <v>KLINIK SM SESI</v>
      </c>
      <c r="L2200" s="43" t="str">
        <f t="shared" si="3"/>
        <v>LANJUTAN</v>
      </c>
      <c r="M2200" s="144" t="s">
        <v>31</v>
      </c>
      <c r="N2200" s="145">
        <v>107000.0</v>
      </c>
      <c r="O2200" s="146">
        <v>18000.0</v>
      </c>
      <c r="P2200" s="48">
        <f t="array" ref="P2200">IFNA(XLOOKUP(J2200,'⚙️ Pengaturan'!$E$2:$E3237,'⚙️ Pengaturan'!$F$2:$F3237),"")</f>
        <v>125000</v>
      </c>
      <c r="Q2200" s="147">
        <f t="shared" si="57"/>
        <v>0</v>
      </c>
      <c r="R2200" s="41" t="s">
        <v>37</v>
      </c>
      <c r="S2200" s="69" t="s">
        <v>1411</v>
      </c>
      <c r="T2200" s="51" t="b">
        <v>1</v>
      </c>
      <c r="U2200" s="94"/>
    </row>
    <row r="2201" ht="30.0" customHeight="1">
      <c r="A2201" s="39"/>
      <c r="B2201" s="40">
        <v>4242.0</v>
      </c>
      <c r="C2201" s="41" t="s">
        <v>50</v>
      </c>
      <c r="D2201" s="86">
        <v>46199.0</v>
      </c>
      <c r="E2201" s="43" t="str">
        <f t="shared" si="51"/>
        <v>2026</v>
      </c>
      <c r="F2201" s="43" t="str">
        <f t="shared" si="52"/>
        <v>06 Jun</v>
      </c>
      <c r="G2201" s="45" t="s">
        <v>25</v>
      </c>
      <c r="H2201" s="45" t="s">
        <v>96</v>
      </c>
      <c r="I2201" s="45" t="s">
        <v>341</v>
      </c>
      <c r="J2201" s="143" t="s">
        <v>119</v>
      </c>
      <c r="K2201" s="43" t="str">
        <f t="array" ref="K2201">IF(J2201="","", XLOOKUP(J2201,'⚙️ Pengaturan'!$E$2:$E3237,'⚙️ Pengaturan'!$G$2:$G3237))</f>
        <v>KLINIK FT PAKET</v>
      </c>
      <c r="L2201" s="43" t="str">
        <f t="shared" si="3"/>
        <v>BARU</v>
      </c>
      <c r="M2201" s="144" t="s">
        <v>31</v>
      </c>
      <c r="N2201" s="145">
        <v>600000.0</v>
      </c>
      <c r="O2201" s="146">
        <v>150000.0</v>
      </c>
      <c r="P2201" s="48">
        <f t="array" ref="P2201">IFNA(XLOOKUP(J2201,'⚙️ Pengaturan'!$E$2:$E3237,'⚙️ Pengaturan'!$F$2:$F3237),"")</f>
        <v>750000</v>
      </c>
      <c r="Q2201" s="147">
        <f t="shared" si="57"/>
        <v>0</v>
      </c>
      <c r="R2201" s="41" t="s">
        <v>37</v>
      </c>
      <c r="S2201" s="69" t="s">
        <v>341</v>
      </c>
      <c r="T2201" s="51" t="b">
        <v>1</v>
      </c>
      <c r="U2201" s="94"/>
    </row>
    <row r="2202" ht="30.0" customHeight="1">
      <c r="A2202" s="39"/>
      <c r="B2202" s="164">
        <v>4243.0</v>
      </c>
      <c r="C2202" s="41" t="s">
        <v>50</v>
      </c>
      <c r="D2202" s="86">
        <v>46199.0</v>
      </c>
      <c r="E2202" s="43" t="str">
        <f t="shared" si="51"/>
        <v>2026</v>
      </c>
      <c r="F2202" s="43" t="str">
        <f t="shared" si="52"/>
        <v>06 Jun</v>
      </c>
      <c r="G2202" s="45" t="s">
        <v>206</v>
      </c>
      <c r="H2202" s="45" t="s">
        <v>47</v>
      </c>
      <c r="I2202" s="45" t="s">
        <v>1579</v>
      </c>
      <c r="J2202" s="143" t="s">
        <v>120</v>
      </c>
      <c r="K2202" s="43" t="str">
        <f t="array" ref="K2202">IF(J2202="","", XLOOKUP(J2202,'⚙️ Pengaturan'!$E$2:$E3237,'⚙️ Pengaturan'!$G$2:$G3237))</f>
        <v>KLINIK FT SESI</v>
      </c>
      <c r="L2202" s="43" t="str">
        <f t="shared" si="3"/>
        <v>BARU</v>
      </c>
      <c r="M2202" s="144" t="s">
        <v>31</v>
      </c>
      <c r="N2202" s="145">
        <v>180000.0</v>
      </c>
      <c r="O2202" s="146">
        <v>0.0</v>
      </c>
      <c r="P2202" s="48">
        <f t="array" ref="P2202">IFNA(XLOOKUP(J2202,'⚙️ Pengaturan'!$E$2:$E3237,'⚙️ Pengaturan'!$F$2:$F3237),"")</f>
        <v>180000</v>
      </c>
      <c r="Q2202" s="147">
        <f t="shared" si="57"/>
        <v>0</v>
      </c>
      <c r="R2202" s="41" t="s">
        <v>37</v>
      </c>
      <c r="S2202" s="69" t="s">
        <v>1579</v>
      </c>
      <c r="T2202" s="51" t="b">
        <v>1</v>
      </c>
      <c r="U2202" s="94"/>
    </row>
    <row r="2203" ht="30.0" customHeight="1">
      <c r="A2203" s="39"/>
      <c r="B2203" s="40">
        <v>4244.0</v>
      </c>
      <c r="C2203" s="41" t="s">
        <v>50</v>
      </c>
      <c r="D2203" s="86">
        <v>46199.0</v>
      </c>
      <c r="E2203" s="43" t="str">
        <f t="shared" si="51"/>
        <v>2026</v>
      </c>
      <c r="F2203" s="43" t="str">
        <f t="shared" si="52"/>
        <v>06 Jun</v>
      </c>
      <c r="G2203" s="45" t="s">
        <v>206</v>
      </c>
      <c r="H2203" s="45" t="s">
        <v>96</v>
      </c>
      <c r="I2203" s="45" t="s">
        <v>893</v>
      </c>
      <c r="J2203" s="143" t="s">
        <v>119</v>
      </c>
      <c r="K2203" s="43" t="str">
        <f t="array" ref="K2203">IF(J2203="","", XLOOKUP(J2203,'⚙️ Pengaturan'!$E$2:$E3237,'⚙️ Pengaturan'!$G$2:$G3237))</f>
        <v>KLINIK FT PAKET</v>
      </c>
      <c r="L2203" s="43" t="str">
        <f t="shared" si="3"/>
        <v>LANJUTAN</v>
      </c>
      <c r="M2203" s="144" t="s">
        <v>31</v>
      </c>
      <c r="N2203" s="145">
        <v>600000.0</v>
      </c>
      <c r="O2203" s="146">
        <v>150000.0</v>
      </c>
      <c r="P2203" s="48">
        <f t="array" ref="P2203">IFNA(XLOOKUP(J2203,'⚙️ Pengaturan'!$E$2:$E3237,'⚙️ Pengaturan'!$F$2:$F3237),"")</f>
        <v>750000</v>
      </c>
      <c r="Q2203" s="147">
        <f t="shared" si="57"/>
        <v>0</v>
      </c>
      <c r="R2203" s="41" t="s">
        <v>37</v>
      </c>
      <c r="S2203" s="69" t="s">
        <v>893</v>
      </c>
      <c r="T2203" s="51" t="b">
        <v>1</v>
      </c>
      <c r="U2203" s="94"/>
    </row>
    <row r="2204" ht="30.0" customHeight="1">
      <c r="A2204" s="39"/>
      <c r="B2204" s="164">
        <v>4245.0</v>
      </c>
      <c r="C2204" s="41" t="s">
        <v>50</v>
      </c>
      <c r="D2204" s="86">
        <v>46199.0</v>
      </c>
      <c r="E2204" s="43" t="str">
        <f t="shared" si="51"/>
        <v>2026</v>
      </c>
      <c r="F2204" s="43" t="str">
        <f t="shared" si="52"/>
        <v>06 Jun</v>
      </c>
      <c r="G2204" s="45" t="s">
        <v>206</v>
      </c>
      <c r="H2204" s="45" t="s">
        <v>76</v>
      </c>
      <c r="I2204" s="45" t="s">
        <v>888</v>
      </c>
      <c r="J2204" s="143" t="s">
        <v>347</v>
      </c>
      <c r="K2204" s="43" t="str">
        <f t="array" ref="K2204">IF(J2204="","", XLOOKUP(J2204,'⚙️ Pengaturan'!$E$2:$E3237,'⚙️ Pengaturan'!$G$2:$G3237))</f>
        <v>KLINIK FT PAKET</v>
      </c>
      <c r="L2204" s="43" t="str">
        <f t="shared" si="3"/>
        <v>BARU</v>
      </c>
      <c r="M2204" s="144" t="s">
        <v>31</v>
      </c>
      <c r="N2204" s="145">
        <v>1300000.0</v>
      </c>
      <c r="O2204" s="146">
        <v>0.0</v>
      </c>
      <c r="P2204" s="48">
        <f t="array" ref="P2204">IFNA(XLOOKUP(J2204,'⚙️ Pengaturan'!$E$2:$E3237,'⚙️ Pengaturan'!$F$2:$F3237),"")</f>
        <v>1300000</v>
      </c>
      <c r="Q2204" s="147">
        <f t="shared" si="57"/>
        <v>0</v>
      </c>
      <c r="R2204" s="41" t="s">
        <v>37</v>
      </c>
      <c r="S2204" s="69" t="s">
        <v>888</v>
      </c>
      <c r="T2204" s="51" t="b">
        <v>1</v>
      </c>
      <c r="U2204" s="94"/>
    </row>
    <row r="2205" ht="30.0" customHeight="1">
      <c r="A2205" s="39"/>
      <c r="B2205" s="40">
        <v>4246.0</v>
      </c>
      <c r="C2205" s="41" t="s">
        <v>39</v>
      </c>
      <c r="D2205" s="86">
        <v>46199.0</v>
      </c>
      <c r="E2205" s="43" t="str">
        <f t="shared" si="51"/>
        <v>2026</v>
      </c>
      <c r="F2205" s="43" t="str">
        <f t="shared" si="52"/>
        <v>06 Jun</v>
      </c>
      <c r="G2205" s="45" t="s">
        <v>241</v>
      </c>
      <c r="H2205" s="45" t="s">
        <v>166</v>
      </c>
      <c r="I2205" s="45" t="s">
        <v>1575</v>
      </c>
      <c r="J2205" s="143" t="s">
        <v>347</v>
      </c>
      <c r="K2205" s="43" t="str">
        <f t="array" ref="K2205">IF(J2205="","", XLOOKUP(J2205,'⚙️ Pengaturan'!$E$2:$E3237,'⚙️ Pengaturan'!$G$2:$G3237))</f>
        <v>KLINIK FT PAKET</v>
      </c>
      <c r="L2205" s="43" t="str">
        <f t="shared" si="3"/>
        <v>BARU</v>
      </c>
      <c r="M2205" s="144" t="s">
        <v>31</v>
      </c>
      <c r="N2205" s="145">
        <v>1300000.0</v>
      </c>
      <c r="O2205" s="146">
        <v>0.0</v>
      </c>
      <c r="P2205" s="48">
        <f t="array" ref="P2205">IFNA(XLOOKUP(J2205,'⚙️ Pengaturan'!$E$2:$E3237,'⚙️ Pengaturan'!$F$2:$F3237),"")</f>
        <v>1300000</v>
      </c>
      <c r="Q2205" s="147">
        <f t="shared" si="57"/>
        <v>0</v>
      </c>
      <c r="R2205" s="41" t="s">
        <v>37</v>
      </c>
      <c r="S2205" s="69" t="s">
        <v>1575</v>
      </c>
      <c r="T2205" s="51" t="b">
        <v>1</v>
      </c>
      <c r="U2205" s="94"/>
    </row>
    <row r="2206" ht="30.0" customHeight="1">
      <c r="A2206" s="39"/>
      <c r="B2206" s="164">
        <v>4247.0</v>
      </c>
      <c r="C2206" s="41" t="s">
        <v>39</v>
      </c>
      <c r="D2206" s="86">
        <v>46199.0</v>
      </c>
      <c r="E2206" s="43" t="str">
        <f t="shared" si="51"/>
        <v>2026</v>
      </c>
      <c r="F2206" s="43" t="str">
        <f t="shared" si="52"/>
        <v>06 Jun</v>
      </c>
      <c r="G2206" s="45" t="s">
        <v>161</v>
      </c>
      <c r="H2206" s="45" t="s">
        <v>150</v>
      </c>
      <c r="I2206" s="45" t="s">
        <v>1593</v>
      </c>
      <c r="J2206" s="143" t="s">
        <v>28</v>
      </c>
      <c r="K2206" s="43" t="str">
        <f t="array" ref="K2206">IF(J2206="","", XLOOKUP(J2206,'⚙️ Pengaturan'!$E$2:$E3237,'⚙️ Pengaturan'!$G$2:$G3237))</f>
        <v>KLINIK FT TA</v>
      </c>
      <c r="L2206" s="43" t="str">
        <f t="shared" si="3"/>
        <v>BARU</v>
      </c>
      <c r="M2206" s="144" t="s">
        <v>31</v>
      </c>
      <c r="N2206" s="145">
        <v>250000.0</v>
      </c>
      <c r="O2206" s="146">
        <v>0.0</v>
      </c>
      <c r="P2206" s="48">
        <f t="array" ref="P2206">IFNA(XLOOKUP(J2206,'⚙️ Pengaturan'!$E$2:$E3237,'⚙️ Pengaturan'!$F$2:$F3237),"")</f>
        <v>250000</v>
      </c>
      <c r="Q2206" s="147">
        <f t="shared" si="57"/>
        <v>0</v>
      </c>
      <c r="R2206" s="41" t="s">
        <v>37</v>
      </c>
      <c r="S2206" s="76" t="s">
        <v>1231</v>
      </c>
      <c r="T2206" s="51" t="b">
        <v>1</v>
      </c>
      <c r="U2206" s="94"/>
    </row>
    <row r="2207" ht="30.0" customHeight="1">
      <c r="A2207" s="39"/>
      <c r="B2207" s="40">
        <v>4248.0</v>
      </c>
      <c r="C2207" s="41" t="s">
        <v>39</v>
      </c>
      <c r="D2207" s="86">
        <v>46199.0</v>
      </c>
      <c r="E2207" s="43" t="str">
        <f t="shared" si="51"/>
        <v>2026</v>
      </c>
      <c r="F2207" s="43" t="str">
        <f t="shared" si="52"/>
        <v>06 Jun</v>
      </c>
      <c r="G2207" s="45" t="s">
        <v>161</v>
      </c>
      <c r="H2207" s="45" t="s">
        <v>41</v>
      </c>
      <c r="I2207" s="45" t="s">
        <v>1594</v>
      </c>
      <c r="J2207" s="143" t="s">
        <v>28</v>
      </c>
      <c r="K2207" s="43" t="str">
        <f t="array" ref="K2207">IF(J2207="","", XLOOKUP(J2207,'⚙️ Pengaturan'!$E$2:$E3237,'⚙️ Pengaturan'!$G$2:$G3237))</f>
        <v>KLINIK FT TA</v>
      </c>
      <c r="L2207" s="43" t="str">
        <f t="shared" si="3"/>
        <v>BARU</v>
      </c>
      <c r="M2207" s="144" t="s">
        <v>31</v>
      </c>
      <c r="N2207" s="145">
        <v>200000.0</v>
      </c>
      <c r="O2207" s="146">
        <v>50000.0</v>
      </c>
      <c r="P2207" s="48">
        <f t="array" ref="P2207">IFNA(XLOOKUP(J2207,'⚙️ Pengaturan'!$E$2:$E3237,'⚙️ Pengaturan'!$F$2:$F3237),"")</f>
        <v>250000</v>
      </c>
      <c r="Q2207" s="147">
        <f t="shared" si="57"/>
        <v>0</v>
      </c>
      <c r="R2207" s="41" t="s">
        <v>37</v>
      </c>
      <c r="S2207" s="76" t="s">
        <v>1582</v>
      </c>
      <c r="T2207" s="51" t="b">
        <v>1</v>
      </c>
      <c r="U2207" s="94" t="s">
        <v>1595</v>
      </c>
    </row>
    <row r="2208" ht="30.0" customHeight="1">
      <c r="A2208" s="39"/>
      <c r="B2208" s="164">
        <v>4249.0</v>
      </c>
      <c r="C2208" s="41" t="s">
        <v>39</v>
      </c>
      <c r="D2208" s="86">
        <v>46199.0</v>
      </c>
      <c r="E2208" s="43" t="str">
        <f t="shared" si="51"/>
        <v>2026</v>
      </c>
      <c r="F2208" s="43" t="str">
        <f t="shared" si="52"/>
        <v>06 Jun</v>
      </c>
      <c r="G2208" s="45" t="s">
        <v>35</v>
      </c>
      <c r="H2208" s="45" t="s">
        <v>41</v>
      </c>
      <c r="I2208" s="45" t="s">
        <v>873</v>
      </c>
      <c r="J2208" s="143" t="s">
        <v>28</v>
      </c>
      <c r="K2208" s="43" t="str">
        <f t="array" ref="K2208">IF(J2208="","", XLOOKUP(J2208,'⚙️ Pengaturan'!$E$2:$E3237,'⚙️ Pengaturan'!$G$2:$G3237))</f>
        <v>KLINIK FT TA</v>
      </c>
      <c r="L2208" s="43" t="str">
        <f t="shared" si="3"/>
        <v>LANJUTAN</v>
      </c>
      <c r="M2208" s="144" t="s">
        <v>31</v>
      </c>
      <c r="N2208" s="145">
        <v>250000.0</v>
      </c>
      <c r="O2208" s="146">
        <v>0.0</v>
      </c>
      <c r="P2208" s="48">
        <f t="array" ref="P2208">IFNA(XLOOKUP(J2208,'⚙️ Pengaturan'!$E$2:$E3237,'⚙️ Pengaturan'!$F$2:$F3237),"")</f>
        <v>250000</v>
      </c>
      <c r="Q2208" s="147">
        <f t="shared" si="57"/>
        <v>0</v>
      </c>
      <c r="R2208" s="41" t="s">
        <v>37</v>
      </c>
      <c r="S2208" s="69" t="s">
        <v>873</v>
      </c>
      <c r="T2208" s="51" t="b">
        <v>1</v>
      </c>
      <c r="U2208" s="94"/>
    </row>
    <row r="2209" ht="30.0" customHeight="1">
      <c r="A2209" s="39"/>
      <c r="B2209" s="40">
        <v>4250.0</v>
      </c>
      <c r="C2209" s="41" t="s">
        <v>22</v>
      </c>
      <c r="D2209" s="86">
        <v>46202.0</v>
      </c>
      <c r="E2209" s="43" t="str">
        <f t="shared" si="51"/>
        <v>2026</v>
      </c>
      <c r="F2209" s="43" t="str">
        <f t="shared" si="52"/>
        <v>06 Jun</v>
      </c>
      <c r="G2209" s="45" t="s">
        <v>195</v>
      </c>
      <c r="H2209" s="45" t="s">
        <v>166</v>
      </c>
      <c r="I2209" s="45" t="s">
        <v>494</v>
      </c>
      <c r="J2209" s="143" t="s">
        <v>92</v>
      </c>
      <c r="K2209" s="43" t="str">
        <f t="array" ref="K2209">IF(J2209="","", XLOOKUP(J2209,'⚙️ Pengaturan'!$E$2:$E3237,'⚙️ Pengaturan'!$G$2:$G3237))</f>
        <v>KLINIK FT PAKET</v>
      </c>
      <c r="L2209" s="43" t="str">
        <f t="shared" si="3"/>
        <v>LANJUTAN</v>
      </c>
      <c r="M2209" s="144" t="s">
        <v>164</v>
      </c>
      <c r="N2209" s="145">
        <v>500000.0</v>
      </c>
      <c r="O2209" s="146">
        <v>500000.0</v>
      </c>
      <c r="P2209" s="48">
        <f t="array" ref="P2209">IFNA(XLOOKUP(J2209,'⚙️ Pengaturan'!$E$2:$E3237,'⚙️ Pengaturan'!$F$2:$F3237),"")</f>
        <v>1200000</v>
      </c>
      <c r="Q2209" s="147">
        <f t="shared" si="57"/>
        <v>-200000</v>
      </c>
      <c r="R2209" s="41" t="s">
        <v>32</v>
      </c>
      <c r="S2209" s="76" t="s">
        <v>33</v>
      </c>
      <c r="T2209" s="51" t="b">
        <v>1</v>
      </c>
      <c r="U2209" s="94"/>
    </row>
    <row r="2210" ht="30.0" customHeight="1">
      <c r="A2210" s="39"/>
      <c r="B2210" s="164">
        <v>4251.0</v>
      </c>
      <c r="C2210" s="41" t="s">
        <v>22</v>
      </c>
      <c r="D2210" s="86">
        <v>46202.0</v>
      </c>
      <c r="E2210" s="43" t="str">
        <f t="shared" si="51"/>
        <v>2026</v>
      </c>
      <c r="F2210" s="43" t="str">
        <f t="shared" si="52"/>
        <v>06 Jun</v>
      </c>
      <c r="G2210" s="45" t="s">
        <v>195</v>
      </c>
      <c r="H2210" s="45" t="s">
        <v>150</v>
      </c>
      <c r="I2210" s="45" t="s">
        <v>591</v>
      </c>
      <c r="J2210" s="143" t="s">
        <v>28</v>
      </c>
      <c r="K2210" s="43" t="str">
        <f t="array" ref="K2210">IF(J2210="","", XLOOKUP(J2210,'⚙️ Pengaturan'!$E$2:$E3237,'⚙️ Pengaturan'!$G$2:$G3237))</f>
        <v>KLINIK FT TA</v>
      </c>
      <c r="L2210" s="43" t="str">
        <f t="shared" si="3"/>
        <v>LANJUTAN</v>
      </c>
      <c r="M2210" s="144" t="s">
        <v>31</v>
      </c>
      <c r="N2210" s="145">
        <v>250000.0</v>
      </c>
      <c r="O2210" s="146">
        <v>0.0</v>
      </c>
      <c r="P2210" s="48">
        <f t="array" ref="P2210">IFNA(XLOOKUP(J2210,'⚙️ Pengaturan'!$E$2:$E3237,'⚙️ Pengaturan'!$F$2:$F3237),"")</f>
        <v>250000</v>
      </c>
      <c r="Q2210" s="147">
        <f t="shared" si="57"/>
        <v>0</v>
      </c>
      <c r="R2210" s="41" t="s">
        <v>32</v>
      </c>
      <c r="S2210" s="76" t="s">
        <v>33</v>
      </c>
      <c r="T2210" s="51" t="b">
        <v>1</v>
      </c>
      <c r="U2210" s="94"/>
    </row>
    <row r="2211" ht="30.0" customHeight="1">
      <c r="A2211" s="39"/>
      <c r="B2211" s="40">
        <v>4252.0</v>
      </c>
      <c r="C2211" s="41" t="s">
        <v>22</v>
      </c>
      <c r="D2211" s="86">
        <v>46202.0</v>
      </c>
      <c r="E2211" s="43" t="str">
        <f t="shared" si="51"/>
        <v>2026</v>
      </c>
      <c r="F2211" s="43" t="str">
        <f t="shared" si="52"/>
        <v>06 Jun</v>
      </c>
      <c r="G2211" s="45" t="s">
        <v>206</v>
      </c>
      <c r="H2211" s="45" t="s">
        <v>166</v>
      </c>
      <c r="I2211" s="45" t="s">
        <v>1578</v>
      </c>
      <c r="J2211" s="143" t="s">
        <v>119</v>
      </c>
      <c r="K2211" s="43" t="str">
        <f t="array" ref="K2211">IF(J2211="","", XLOOKUP(J2211,'⚙️ Pengaturan'!$E$2:$E3237,'⚙️ Pengaturan'!$G$2:$G3237))</f>
        <v>KLINIK FT PAKET</v>
      </c>
      <c r="L2211" s="43" t="str">
        <f t="shared" si="3"/>
        <v>BARU</v>
      </c>
      <c r="M2211" s="144" t="s">
        <v>60</v>
      </c>
      <c r="N2211" s="145">
        <v>200000.0</v>
      </c>
      <c r="O2211" s="146">
        <v>0.0</v>
      </c>
      <c r="P2211" s="48">
        <f t="array" ref="P2211">IFNA(XLOOKUP(J2211,'⚙️ Pengaturan'!$E$2:$E3237,'⚙️ Pengaturan'!$F$2:$F3237),"")</f>
        <v>750000</v>
      </c>
      <c r="Q2211" s="147">
        <f t="shared" si="57"/>
        <v>-550000</v>
      </c>
      <c r="R2211" s="41" t="s">
        <v>37</v>
      </c>
      <c r="S2211" s="76" t="s">
        <v>1578</v>
      </c>
      <c r="T2211" s="51" t="b">
        <v>1</v>
      </c>
      <c r="U2211" s="94"/>
    </row>
    <row r="2212" ht="30.0" customHeight="1">
      <c r="A2212" s="39"/>
      <c r="B2212" s="164">
        <v>4253.0</v>
      </c>
      <c r="C2212" s="41" t="s">
        <v>22</v>
      </c>
      <c r="D2212" s="86">
        <v>46202.0</v>
      </c>
      <c r="E2212" s="43" t="str">
        <f t="shared" si="51"/>
        <v>2026</v>
      </c>
      <c r="F2212" s="43" t="str">
        <f t="shared" si="52"/>
        <v>06 Jun</v>
      </c>
      <c r="G2212" s="45" t="s">
        <v>161</v>
      </c>
      <c r="H2212" s="45" t="s">
        <v>150</v>
      </c>
      <c r="I2212" s="45" t="s">
        <v>1596</v>
      </c>
      <c r="J2212" s="143" t="s">
        <v>28</v>
      </c>
      <c r="K2212" s="43" t="str">
        <f t="array" ref="K2212">IF(J2212="","", XLOOKUP(J2212,'⚙️ Pengaturan'!$E$2:$E3237,'⚙️ Pengaturan'!$G$2:$G3237))</f>
        <v>KLINIK FT TA</v>
      </c>
      <c r="L2212" s="43" t="str">
        <f t="shared" si="3"/>
        <v>BARU</v>
      </c>
      <c r="M2212" s="144" t="s">
        <v>31</v>
      </c>
      <c r="N2212" s="145">
        <v>250000.0</v>
      </c>
      <c r="O2212" s="146">
        <v>0.0</v>
      </c>
      <c r="P2212" s="48">
        <f t="array" ref="P2212">IFNA(XLOOKUP(J2212,'⚙️ Pengaturan'!$E$2:$E3237,'⚙️ Pengaturan'!$F$2:$F3237),"")</f>
        <v>250000</v>
      </c>
      <c r="Q2212" s="147">
        <f t="shared" si="57"/>
        <v>0</v>
      </c>
      <c r="R2212" s="41" t="s">
        <v>32</v>
      </c>
      <c r="S2212" s="76" t="s">
        <v>33</v>
      </c>
      <c r="T2212" s="51" t="b">
        <v>1</v>
      </c>
      <c r="U2212" s="94"/>
    </row>
    <row r="2213" ht="30.0" customHeight="1">
      <c r="A2213" s="39"/>
      <c r="B2213" s="40">
        <v>4254.0</v>
      </c>
      <c r="C2213" s="41" t="s">
        <v>22</v>
      </c>
      <c r="D2213" s="86">
        <v>46202.0</v>
      </c>
      <c r="E2213" s="43" t="str">
        <f t="shared" si="51"/>
        <v>2026</v>
      </c>
      <c r="F2213" s="43" t="str">
        <f t="shared" si="52"/>
        <v>06 Jun</v>
      </c>
      <c r="G2213" s="45" t="s">
        <v>35</v>
      </c>
      <c r="H2213" s="45" t="s">
        <v>150</v>
      </c>
      <c r="I2213" s="45" t="s">
        <v>1597</v>
      </c>
      <c r="J2213" s="143" t="s">
        <v>28</v>
      </c>
      <c r="K2213" s="43" t="str">
        <f t="array" ref="K2213">IF(J2213="","", XLOOKUP(J2213,'⚙️ Pengaturan'!$E$2:$E3237,'⚙️ Pengaturan'!$G$2:$G3237))</f>
        <v>KLINIK FT TA</v>
      </c>
      <c r="L2213" s="43" t="str">
        <f t="shared" si="3"/>
        <v>BARU</v>
      </c>
      <c r="M2213" s="144" t="s">
        <v>31</v>
      </c>
      <c r="N2213" s="145">
        <v>250000.0</v>
      </c>
      <c r="O2213" s="146">
        <v>0.0</v>
      </c>
      <c r="P2213" s="48">
        <f t="array" ref="P2213">IFNA(XLOOKUP(J2213,'⚙️ Pengaturan'!$E$2:$E3237,'⚙️ Pengaturan'!$F$2:$F3237),"")</f>
        <v>250000</v>
      </c>
      <c r="Q2213" s="147">
        <f t="shared" si="57"/>
        <v>0</v>
      </c>
      <c r="R2213" s="41" t="s">
        <v>118</v>
      </c>
      <c r="S2213" s="76" t="s">
        <v>1597</v>
      </c>
      <c r="T2213" s="51" t="b">
        <v>1</v>
      </c>
      <c r="U2213" s="94"/>
    </row>
    <row r="2214" ht="30.0" customHeight="1">
      <c r="A2214" s="39"/>
      <c r="B2214" s="164">
        <v>4255.0</v>
      </c>
      <c r="C2214" s="41" t="s">
        <v>39</v>
      </c>
      <c r="D2214" s="86">
        <v>46202.0</v>
      </c>
      <c r="E2214" s="43" t="str">
        <f t="shared" si="51"/>
        <v>2026</v>
      </c>
      <c r="F2214" s="43" t="str">
        <f t="shared" si="52"/>
        <v>06 Jun</v>
      </c>
      <c r="G2214" s="45" t="s">
        <v>40</v>
      </c>
      <c r="H2214" s="45" t="s">
        <v>96</v>
      </c>
      <c r="I2214" s="45" t="s">
        <v>1571</v>
      </c>
      <c r="J2214" s="143" t="s">
        <v>120</v>
      </c>
      <c r="K2214" s="43" t="str">
        <f t="array" ref="K2214">IF(J2214="","", XLOOKUP(J2214,'⚙️ Pengaturan'!$E$2:$E3237,'⚙️ Pengaturan'!$G$2:$G3237))</f>
        <v>KLINIK FT SESI</v>
      </c>
      <c r="L2214" s="43" t="str">
        <f t="shared" si="3"/>
        <v>BARU</v>
      </c>
      <c r="M2214" s="144" t="s">
        <v>31</v>
      </c>
      <c r="N2214" s="145">
        <v>144000.0</v>
      </c>
      <c r="O2214" s="146">
        <v>36000.0</v>
      </c>
      <c r="P2214" s="48">
        <f t="array" ref="P2214">IFNA(XLOOKUP(J2214,'⚙️ Pengaturan'!$E$2:$E3237,'⚙️ Pengaturan'!$F$2:$F3237),"")</f>
        <v>180000</v>
      </c>
      <c r="Q2214" s="147">
        <f t="shared" si="57"/>
        <v>0</v>
      </c>
      <c r="R2214" s="41" t="s">
        <v>32</v>
      </c>
      <c r="S2214" s="76" t="s">
        <v>33</v>
      </c>
      <c r="T2214" s="51" t="b">
        <v>1</v>
      </c>
      <c r="U2214" s="94" t="s">
        <v>1572</v>
      </c>
    </row>
    <row r="2215" ht="30.0" customHeight="1">
      <c r="A2215" s="39"/>
      <c r="B2215" s="40">
        <v>4256.0</v>
      </c>
      <c r="C2215" s="41" t="s">
        <v>39</v>
      </c>
      <c r="D2215" s="86">
        <v>46202.0</v>
      </c>
      <c r="E2215" s="43" t="str">
        <f t="shared" si="51"/>
        <v>2026</v>
      </c>
      <c r="F2215" s="43" t="str">
        <f t="shared" si="52"/>
        <v>06 Jun</v>
      </c>
      <c r="G2215" s="45" t="s">
        <v>35</v>
      </c>
      <c r="H2215" s="45" t="s">
        <v>156</v>
      </c>
      <c r="I2215" s="45" t="s">
        <v>1598</v>
      </c>
      <c r="J2215" s="143" t="s">
        <v>28</v>
      </c>
      <c r="K2215" s="43" t="str">
        <f t="array" ref="K2215">IF(J2215="","", XLOOKUP(J2215,'⚙️ Pengaturan'!$E$2:$E3237,'⚙️ Pengaturan'!$G$2:$G3237))</f>
        <v>KLINIK FT TA</v>
      </c>
      <c r="L2215" s="43" t="str">
        <f t="shared" si="3"/>
        <v>BARU</v>
      </c>
      <c r="M2215" s="144" t="s">
        <v>31</v>
      </c>
      <c r="N2215" s="145">
        <v>250000.0</v>
      </c>
      <c r="O2215" s="146">
        <v>0.0</v>
      </c>
      <c r="P2215" s="48">
        <f t="array" ref="P2215">IFNA(XLOOKUP(J2215,'⚙️ Pengaturan'!$E$2:$E3237,'⚙️ Pengaturan'!$F$2:$F3237),"")</f>
        <v>250000</v>
      </c>
      <c r="Q2215" s="147">
        <f t="shared" si="57"/>
        <v>0</v>
      </c>
      <c r="R2215" s="41" t="s">
        <v>118</v>
      </c>
      <c r="S2215" s="76" t="s">
        <v>1599</v>
      </c>
      <c r="T2215" s="51" t="b">
        <v>1</v>
      </c>
      <c r="U2215" s="94"/>
    </row>
    <row r="2216" ht="30.0" customHeight="1">
      <c r="A2216" s="39"/>
      <c r="B2216" s="164">
        <v>4257.0</v>
      </c>
      <c r="C2216" s="41" t="s">
        <v>39</v>
      </c>
      <c r="D2216" s="86">
        <v>46202.0</v>
      </c>
      <c r="E2216" s="43" t="str">
        <f t="shared" si="51"/>
        <v>2026</v>
      </c>
      <c r="F2216" s="43" t="str">
        <f t="shared" si="52"/>
        <v>06 Jun</v>
      </c>
      <c r="G2216" s="45" t="s">
        <v>40</v>
      </c>
      <c r="H2216" s="45" t="s">
        <v>359</v>
      </c>
      <c r="I2216" s="45" t="s">
        <v>1599</v>
      </c>
      <c r="J2216" s="143" t="s">
        <v>1600</v>
      </c>
      <c r="K2216" s="43" t="str">
        <f t="array" ref="K2216">IF(J2216="","", XLOOKUP(J2216,'⚙️ Pengaturan'!$E$2:$E3237,'⚙️ Pengaturan'!$G$2:$G3237))</f>
        <v>KLINIK SM PAKET</v>
      </c>
      <c r="L2216" s="43" t="str">
        <f t="shared" si="3"/>
        <v>BARU</v>
      </c>
      <c r="M2216" s="144" t="s">
        <v>31</v>
      </c>
      <c r="N2216" s="145">
        <v>440000.0</v>
      </c>
      <c r="O2216" s="146">
        <v>0.0</v>
      </c>
      <c r="P2216" s="48">
        <f t="array" ref="P2216">IFNA(XLOOKUP(J2216,'⚙️ Pengaturan'!$E$2:$E3237,'⚙️ Pengaturan'!$F$2:$F3237),"")</f>
        <v>440000</v>
      </c>
      <c r="Q2216" s="147">
        <f t="shared" si="57"/>
        <v>0</v>
      </c>
      <c r="R2216" s="41" t="s">
        <v>118</v>
      </c>
      <c r="S2216" s="76" t="s">
        <v>1599</v>
      </c>
      <c r="T2216" s="51" t="b">
        <v>1</v>
      </c>
      <c r="U2216" s="94"/>
    </row>
    <row r="2217" ht="30.0" customHeight="1">
      <c r="A2217" s="39"/>
      <c r="B2217" s="40">
        <v>4258.0</v>
      </c>
      <c r="C2217" s="41" t="s">
        <v>39</v>
      </c>
      <c r="D2217" s="86">
        <v>46202.0</v>
      </c>
      <c r="E2217" s="43" t="str">
        <f t="shared" si="51"/>
        <v>2026</v>
      </c>
      <c r="F2217" s="43" t="str">
        <f t="shared" si="52"/>
        <v>06 Jun</v>
      </c>
      <c r="G2217" s="45" t="s">
        <v>43</v>
      </c>
      <c r="H2217" s="45" t="s">
        <v>41</v>
      </c>
      <c r="I2217" s="45" t="s">
        <v>1601</v>
      </c>
      <c r="J2217" s="143" t="s">
        <v>28</v>
      </c>
      <c r="K2217" s="43" t="str">
        <f t="array" ref="K2217">IF(J2217="","", XLOOKUP(J2217,'⚙️ Pengaturan'!$E$2:$E3237,'⚙️ Pengaturan'!$G$2:$G3237))</f>
        <v>KLINIK FT TA</v>
      </c>
      <c r="L2217" s="43" t="str">
        <f t="shared" si="3"/>
        <v>BARU</v>
      </c>
      <c r="M2217" s="144" t="s">
        <v>31</v>
      </c>
      <c r="N2217" s="145">
        <v>250000.0</v>
      </c>
      <c r="O2217" s="146">
        <v>0.0</v>
      </c>
      <c r="P2217" s="48">
        <f t="array" ref="P2217">IFNA(XLOOKUP(J2217,'⚙️ Pengaturan'!$E$2:$E3237,'⚙️ Pengaturan'!$F$2:$F3237),"")</f>
        <v>250000</v>
      </c>
      <c r="Q2217" s="147">
        <f t="shared" si="57"/>
        <v>0</v>
      </c>
      <c r="R2217" s="41" t="s">
        <v>37</v>
      </c>
      <c r="S2217" s="69" t="s">
        <v>1601</v>
      </c>
      <c r="T2217" s="51" t="b">
        <v>1</v>
      </c>
      <c r="U2217" s="94"/>
    </row>
    <row r="2218" ht="30.0" customHeight="1">
      <c r="A2218" s="39"/>
      <c r="B2218" s="164">
        <v>4259.0</v>
      </c>
      <c r="C2218" s="41" t="s">
        <v>39</v>
      </c>
      <c r="D2218" s="86">
        <v>46202.0</v>
      </c>
      <c r="E2218" s="43" t="str">
        <f t="shared" si="51"/>
        <v>2026</v>
      </c>
      <c r="F2218" s="43" t="str">
        <f t="shared" si="52"/>
        <v>06 Jun</v>
      </c>
      <c r="G2218" s="45" t="s">
        <v>43</v>
      </c>
      <c r="H2218" s="45" t="s">
        <v>149</v>
      </c>
      <c r="I2218" s="45" t="s">
        <v>1526</v>
      </c>
      <c r="J2218" s="143" t="s">
        <v>120</v>
      </c>
      <c r="K2218" s="43" t="str">
        <f t="array" ref="K2218">IF(J2218="","", XLOOKUP(J2218,'⚙️ Pengaturan'!$E$2:$E3237,'⚙️ Pengaturan'!$G$2:$G3237))</f>
        <v>KLINIK FT SESI</v>
      </c>
      <c r="L2218" s="43" t="str">
        <f t="shared" si="3"/>
        <v>LANJUTAN</v>
      </c>
      <c r="M2218" s="144" t="s">
        <v>31</v>
      </c>
      <c r="N2218" s="145">
        <v>180000.0</v>
      </c>
      <c r="O2218" s="146">
        <v>0.0</v>
      </c>
      <c r="P2218" s="48">
        <f t="array" ref="P2218">IFNA(XLOOKUP(J2218,'⚙️ Pengaturan'!$E$2:$E3237,'⚙️ Pengaturan'!$F$2:$F3237),"")</f>
        <v>180000</v>
      </c>
      <c r="Q2218" s="147">
        <f t="shared" si="57"/>
        <v>0</v>
      </c>
      <c r="R2218" s="41" t="s">
        <v>32</v>
      </c>
      <c r="S2218" s="76" t="s">
        <v>33</v>
      </c>
      <c r="T2218" s="51" t="b">
        <v>1</v>
      </c>
      <c r="U2218" s="94"/>
    </row>
    <row r="2219" ht="30.0" customHeight="1">
      <c r="A2219" s="39"/>
      <c r="B2219" s="40">
        <v>4260.0</v>
      </c>
      <c r="C2219" s="41" t="s">
        <v>39</v>
      </c>
      <c r="D2219" s="86">
        <v>46202.0</v>
      </c>
      <c r="E2219" s="43" t="str">
        <f t="shared" si="51"/>
        <v>2026</v>
      </c>
      <c r="F2219" s="43" t="str">
        <f t="shared" si="52"/>
        <v>06 Jun</v>
      </c>
      <c r="G2219" s="45" t="s">
        <v>173</v>
      </c>
      <c r="H2219" s="45" t="s">
        <v>149</v>
      </c>
      <c r="I2219" s="45" t="s">
        <v>1602</v>
      </c>
      <c r="J2219" s="143" t="s">
        <v>28</v>
      </c>
      <c r="K2219" s="43" t="str">
        <f t="array" ref="K2219">IF(J2219="","", XLOOKUP(J2219,'⚙️ Pengaturan'!$E$2:$E3237,'⚙️ Pengaturan'!$G$2:$G3237))</f>
        <v>KLINIK FT TA</v>
      </c>
      <c r="L2219" s="43" t="str">
        <f t="shared" si="3"/>
        <v>BARU</v>
      </c>
      <c r="M2219" s="144" t="s">
        <v>31</v>
      </c>
      <c r="N2219" s="145">
        <v>250000.0</v>
      </c>
      <c r="O2219" s="146">
        <v>0.0</v>
      </c>
      <c r="P2219" s="48">
        <f t="array" ref="P2219">IFNA(XLOOKUP(J2219,'⚙️ Pengaturan'!$E$2:$E3237,'⚙️ Pengaturan'!$F$2:$F3237),"")</f>
        <v>250000</v>
      </c>
      <c r="Q2219" s="147">
        <f t="shared" si="57"/>
        <v>0</v>
      </c>
      <c r="R2219" s="41" t="s">
        <v>32</v>
      </c>
      <c r="S2219" s="76" t="s">
        <v>33</v>
      </c>
      <c r="T2219" s="51" t="b">
        <v>1</v>
      </c>
      <c r="U2219" s="94"/>
    </row>
    <row r="2220" ht="30.0" customHeight="1">
      <c r="A2220" s="39"/>
      <c r="B2220" s="164">
        <v>4261.0</v>
      </c>
      <c r="C2220" s="41" t="s">
        <v>39</v>
      </c>
      <c r="D2220" s="86">
        <v>46202.0</v>
      </c>
      <c r="E2220" s="43" t="str">
        <f t="shared" si="51"/>
        <v>2026</v>
      </c>
      <c r="F2220" s="43" t="str">
        <f t="shared" si="52"/>
        <v>06 Jun</v>
      </c>
      <c r="G2220" s="45" t="s">
        <v>173</v>
      </c>
      <c r="H2220" s="45" t="s">
        <v>96</v>
      </c>
      <c r="I2220" s="45" t="s">
        <v>619</v>
      </c>
      <c r="J2220" s="143" t="s">
        <v>28</v>
      </c>
      <c r="K2220" s="43" t="str">
        <f t="array" ref="K2220">IF(J2220="","", XLOOKUP(J2220,'⚙️ Pengaturan'!$E$2:$E3237,'⚙️ Pengaturan'!$G$2:$G3237))</f>
        <v>KLINIK FT TA</v>
      </c>
      <c r="L2220" s="43" t="str">
        <f t="shared" si="3"/>
        <v>LANJUTAN</v>
      </c>
      <c r="M2220" s="144" t="s">
        <v>31</v>
      </c>
      <c r="N2220" s="145">
        <v>200000.0</v>
      </c>
      <c r="O2220" s="146">
        <v>50000.0</v>
      </c>
      <c r="P2220" s="48">
        <f t="array" ref="P2220">IFNA(XLOOKUP(J2220,'⚙️ Pengaturan'!$E$2:$E3237,'⚙️ Pengaturan'!$F$2:$F3237),"")</f>
        <v>250000</v>
      </c>
      <c r="Q2220" s="147">
        <f t="shared" si="57"/>
        <v>0</v>
      </c>
      <c r="R2220" s="41" t="s">
        <v>118</v>
      </c>
      <c r="S2220" s="76" t="s">
        <v>1603</v>
      </c>
      <c r="T2220" s="51" t="b">
        <v>1</v>
      </c>
      <c r="U2220" s="94" t="s">
        <v>1572</v>
      </c>
    </row>
    <row r="2221" ht="30.0" customHeight="1">
      <c r="A2221" s="39"/>
      <c r="B2221" s="40">
        <v>4262.0</v>
      </c>
      <c r="C2221" s="41" t="s">
        <v>39</v>
      </c>
      <c r="D2221" s="86">
        <v>46202.0</v>
      </c>
      <c r="E2221" s="43" t="str">
        <f t="shared" si="51"/>
        <v>2026</v>
      </c>
      <c r="F2221" s="43" t="str">
        <f t="shared" si="52"/>
        <v>06 Jun</v>
      </c>
      <c r="G2221" s="45" t="s">
        <v>173</v>
      </c>
      <c r="H2221" s="45" t="s">
        <v>96</v>
      </c>
      <c r="I2221" s="45" t="s">
        <v>619</v>
      </c>
      <c r="J2221" s="143" t="s">
        <v>347</v>
      </c>
      <c r="K2221" s="43" t="str">
        <f t="array" ref="K2221">IF(J2221="","", XLOOKUP(J2221,'⚙️ Pengaturan'!$E$2:$E3237,'⚙️ Pengaturan'!$G$2:$G3237))</f>
        <v>KLINIK FT PAKET</v>
      </c>
      <c r="L2221" s="43" t="str">
        <f t="shared" si="3"/>
        <v>BARU</v>
      </c>
      <c r="M2221" s="144" t="s">
        <v>31</v>
      </c>
      <c r="N2221" s="145">
        <v>1040000.0</v>
      </c>
      <c r="O2221" s="146">
        <v>260000.0</v>
      </c>
      <c r="P2221" s="48">
        <f t="array" ref="P2221">IFNA(XLOOKUP(J2221,'⚙️ Pengaturan'!$E$2:$E3237,'⚙️ Pengaturan'!$F$2:$F3237),"")</f>
        <v>1300000</v>
      </c>
      <c r="Q2221" s="147">
        <f t="shared" si="57"/>
        <v>0</v>
      </c>
      <c r="R2221" s="41" t="s">
        <v>118</v>
      </c>
      <c r="S2221" s="76" t="s">
        <v>1603</v>
      </c>
      <c r="T2221" s="51" t="b">
        <v>1</v>
      </c>
      <c r="U2221" s="94" t="s">
        <v>1572</v>
      </c>
    </row>
    <row r="2222" ht="30.0" customHeight="1">
      <c r="A2222" s="39"/>
      <c r="B2222" s="164">
        <v>4263.0</v>
      </c>
      <c r="C2222" s="41" t="s">
        <v>39</v>
      </c>
      <c r="D2222" s="86">
        <v>46202.0</v>
      </c>
      <c r="E2222" s="43" t="str">
        <f t="shared" si="51"/>
        <v>2026</v>
      </c>
      <c r="F2222" s="43" t="str">
        <f t="shared" si="52"/>
        <v>06 Jun</v>
      </c>
      <c r="G2222" s="45" t="s">
        <v>173</v>
      </c>
      <c r="H2222" s="45" t="s">
        <v>359</v>
      </c>
      <c r="I2222" s="45" t="s">
        <v>1604</v>
      </c>
      <c r="J2222" s="143" t="s">
        <v>1547</v>
      </c>
      <c r="K2222" s="43" t="str">
        <f t="array" ref="K2222">IF(J2222="","", XLOOKUP(J2222,'⚙️ Pengaturan'!$E$2:$E3237,'⚙️ Pengaturan'!$G$2:$G3237))</f>
        <v>KLINIK SM SESI</v>
      </c>
      <c r="L2222" s="43" t="str">
        <f t="shared" si="3"/>
        <v>BARU</v>
      </c>
      <c r="M2222" s="144" t="s">
        <v>31</v>
      </c>
      <c r="N2222" s="145">
        <v>165000.0</v>
      </c>
      <c r="O2222" s="146">
        <v>30000.0</v>
      </c>
      <c r="P2222" s="48">
        <f t="array" ref="P2222">IFNA(XLOOKUP(J2222,'⚙️ Pengaturan'!$E$2:$E3237,'⚙️ Pengaturan'!$F$2:$F3237),"")</f>
        <v>195000</v>
      </c>
      <c r="Q2222" s="147">
        <f t="shared" si="57"/>
        <v>0</v>
      </c>
      <c r="R2222" s="41" t="s">
        <v>37</v>
      </c>
      <c r="S2222" s="69" t="s">
        <v>1604</v>
      </c>
      <c r="T2222" s="51" t="b">
        <v>1</v>
      </c>
      <c r="U2222" s="94"/>
    </row>
    <row r="2223" ht="30.0" customHeight="1">
      <c r="A2223" s="39"/>
      <c r="B2223" s="40">
        <v>4264.0</v>
      </c>
      <c r="C2223" s="41" t="s">
        <v>39</v>
      </c>
      <c r="D2223" s="86">
        <v>46202.0</v>
      </c>
      <c r="E2223" s="43" t="str">
        <f t="shared" si="51"/>
        <v>2026</v>
      </c>
      <c r="F2223" s="43" t="str">
        <f t="shared" si="52"/>
        <v>06 Jun</v>
      </c>
      <c r="G2223" s="45" t="s">
        <v>173</v>
      </c>
      <c r="H2223" s="45" t="s">
        <v>41</v>
      </c>
      <c r="I2223" s="45" t="s">
        <v>1605</v>
      </c>
      <c r="J2223" s="143" t="s">
        <v>28</v>
      </c>
      <c r="K2223" s="43" t="str">
        <f t="array" ref="K2223">IF(J2223="","", XLOOKUP(J2223,'⚙️ Pengaturan'!$E$2:$E3237,'⚙️ Pengaturan'!$G$2:$G3237))</f>
        <v>KLINIK FT TA</v>
      </c>
      <c r="L2223" s="43" t="str">
        <f t="shared" si="3"/>
        <v>BARU</v>
      </c>
      <c r="M2223" s="144" t="s">
        <v>31</v>
      </c>
      <c r="N2223" s="145">
        <v>250000.0</v>
      </c>
      <c r="O2223" s="146">
        <v>0.0</v>
      </c>
      <c r="P2223" s="48">
        <f t="array" ref="P2223">IFNA(XLOOKUP(J2223,'⚙️ Pengaturan'!$E$2:$E3237,'⚙️ Pengaturan'!$F$2:$F3237),"")</f>
        <v>250000</v>
      </c>
      <c r="Q2223" s="147">
        <f t="shared" si="57"/>
        <v>0</v>
      </c>
      <c r="R2223" s="41" t="s">
        <v>32</v>
      </c>
      <c r="S2223" s="76" t="s">
        <v>33</v>
      </c>
      <c r="T2223" s="51" t="b">
        <v>1</v>
      </c>
      <c r="U2223" s="94"/>
    </row>
    <row r="2224" ht="30.0" customHeight="1">
      <c r="A2224" s="39"/>
      <c r="B2224" s="164">
        <v>4265.0</v>
      </c>
      <c r="C2224" s="41" t="s">
        <v>39</v>
      </c>
      <c r="D2224" s="86">
        <v>46202.0</v>
      </c>
      <c r="E2224" s="43" t="str">
        <f t="shared" si="51"/>
        <v>2026</v>
      </c>
      <c r="F2224" s="43" t="str">
        <f t="shared" si="52"/>
        <v>06 Jun</v>
      </c>
      <c r="G2224" s="45" t="s">
        <v>155</v>
      </c>
      <c r="H2224" s="45" t="s">
        <v>47</v>
      </c>
      <c r="I2224" s="45" t="s">
        <v>1286</v>
      </c>
      <c r="J2224" s="143" t="s">
        <v>119</v>
      </c>
      <c r="K2224" s="43" t="str">
        <f t="array" ref="K2224">IF(J2224="","", XLOOKUP(J2224,'⚙️ Pengaturan'!$E$2:$E3237,'⚙️ Pengaturan'!$G$2:$G3237))</f>
        <v>KLINIK FT PAKET</v>
      </c>
      <c r="L2224" s="43" t="str">
        <f t="shared" si="3"/>
        <v>LANJUTAN</v>
      </c>
      <c r="M2224" s="144" t="s">
        <v>31</v>
      </c>
      <c r="N2224" s="145">
        <v>750000.0</v>
      </c>
      <c r="O2224" s="146">
        <v>150000.0</v>
      </c>
      <c r="P2224" s="48">
        <f t="array" ref="P2224">IFNA(XLOOKUP(J2224,'⚙️ Pengaturan'!$E$2:$E3237,'⚙️ Pengaturan'!$F$2:$F3237),"")</f>
        <v>750000</v>
      </c>
      <c r="Q2224" s="147">
        <f t="shared" si="57"/>
        <v>150000</v>
      </c>
      <c r="R2224" s="41" t="s">
        <v>37</v>
      </c>
      <c r="S2224" s="69" t="s">
        <v>1286</v>
      </c>
      <c r="T2224" s="51" t="b">
        <v>1</v>
      </c>
      <c r="U2224" s="94"/>
    </row>
    <row r="2225" ht="30.0" customHeight="1">
      <c r="A2225" s="39"/>
      <c r="B2225" s="40">
        <v>4266.0</v>
      </c>
      <c r="C2225" s="41" t="s">
        <v>39</v>
      </c>
      <c r="D2225" s="86">
        <v>46202.0</v>
      </c>
      <c r="E2225" s="43" t="str">
        <f t="shared" si="51"/>
        <v>2026</v>
      </c>
      <c r="F2225" s="43" t="str">
        <f t="shared" si="52"/>
        <v>06 Jun</v>
      </c>
      <c r="G2225" s="45" t="s">
        <v>155</v>
      </c>
      <c r="H2225" s="45" t="s">
        <v>359</v>
      </c>
      <c r="I2225" s="45" t="s">
        <v>1606</v>
      </c>
      <c r="J2225" s="143" t="s">
        <v>1545</v>
      </c>
      <c r="K2225" s="43" t="str">
        <f t="array" ref="K2225">IF(J2225="","", XLOOKUP(J2225,'⚙️ Pengaturan'!$E$2:$E3237,'⚙️ Pengaturan'!$G$2:$G3237))</f>
        <v>KLINIK SM SESI</v>
      </c>
      <c r="L2225" s="43" t="str">
        <f t="shared" si="3"/>
        <v>BARU</v>
      </c>
      <c r="M2225" s="144" t="s">
        <v>31</v>
      </c>
      <c r="N2225" s="145">
        <v>107000.0</v>
      </c>
      <c r="O2225" s="146">
        <v>18000.0</v>
      </c>
      <c r="P2225" s="48">
        <f t="array" ref="P2225">IFNA(XLOOKUP(J2225,'⚙️ Pengaturan'!$E$2:$E3237,'⚙️ Pengaturan'!$F$2:$F3237),"")</f>
        <v>125000</v>
      </c>
      <c r="Q2225" s="147">
        <f t="shared" si="57"/>
        <v>0</v>
      </c>
      <c r="R2225" s="41" t="s">
        <v>32</v>
      </c>
      <c r="S2225" s="76" t="s">
        <v>33</v>
      </c>
      <c r="T2225" s="51" t="b">
        <v>1</v>
      </c>
      <c r="U2225" s="94"/>
    </row>
    <row r="2226" ht="30.0" customHeight="1">
      <c r="A2226" s="39"/>
      <c r="B2226" s="164">
        <v>4267.0</v>
      </c>
      <c r="C2226" s="41" t="s">
        <v>39</v>
      </c>
      <c r="D2226" s="86">
        <v>46202.0</v>
      </c>
      <c r="E2226" s="43" t="str">
        <f t="shared" si="51"/>
        <v>2026</v>
      </c>
      <c r="F2226" s="43" t="str">
        <f t="shared" si="52"/>
        <v>06 Jun</v>
      </c>
      <c r="G2226" s="45" t="s">
        <v>155</v>
      </c>
      <c r="H2226" s="45" t="s">
        <v>96</v>
      </c>
      <c r="I2226" s="45" t="s">
        <v>1004</v>
      </c>
      <c r="J2226" s="143" t="s">
        <v>347</v>
      </c>
      <c r="K2226" s="43" t="str">
        <f t="array" ref="K2226">IF(J2226="","", XLOOKUP(J2226,'⚙️ Pengaturan'!$E$2:$E3237,'⚙️ Pengaturan'!$G$2:$G3237))</f>
        <v>KLINIK FT PAKET</v>
      </c>
      <c r="L2226" s="43" t="str">
        <f t="shared" si="3"/>
        <v>LANJUTAN</v>
      </c>
      <c r="M2226" s="144" t="s">
        <v>31</v>
      </c>
      <c r="N2226" s="145">
        <v>1040000.0</v>
      </c>
      <c r="O2226" s="146">
        <v>260000.0</v>
      </c>
      <c r="P2226" s="48">
        <f t="array" ref="P2226">IFNA(XLOOKUP(J2226,'⚙️ Pengaturan'!$E$2:$E3237,'⚙️ Pengaturan'!$F$2:$F3237),"")</f>
        <v>1300000</v>
      </c>
      <c r="Q2226" s="147">
        <f t="shared" si="57"/>
        <v>0</v>
      </c>
      <c r="R2226" s="41" t="s">
        <v>37</v>
      </c>
      <c r="S2226" s="69" t="s">
        <v>1004</v>
      </c>
      <c r="T2226" s="51" t="b">
        <v>1</v>
      </c>
      <c r="U2226" s="94"/>
    </row>
    <row r="2227" ht="30.0" customHeight="1">
      <c r="A2227" s="39"/>
      <c r="B2227" s="40">
        <v>4268.0</v>
      </c>
      <c r="C2227" s="41" t="s">
        <v>22</v>
      </c>
      <c r="D2227" s="86">
        <v>46203.0</v>
      </c>
      <c r="E2227" s="43" t="str">
        <f t="shared" si="51"/>
        <v>2026</v>
      </c>
      <c r="F2227" s="43" t="str">
        <f t="shared" si="52"/>
        <v>06 Jun</v>
      </c>
      <c r="G2227" s="45" t="s">
        <v>195</v>
      </c>
      <c r="H2227" s="45" t="s">
        <v>41</v>
      </c>
      <c r="I2227" s="45" t="s">
        <v>934</v>
      </c>
      <c r="J2227" s="143" t="s">
        <v>347</v>
      </c>
      <c r="K2227" s="43" t="str">
        <f t="array" ref="K2227">IF(J2227="","", XLOOKUP(J2227,'⚙️ Pengaturan'!$E$2:$E3237,'⚙️ Pengaturan'!$G$2:$G3237))</f>
        <v>KLINIK FT PAKET</v>
      </c>
      <c r="L2227" s="43" t="str">
        <f t="shared" si="3"/>
        <v>BARU</v>
      </c>
      <c r="M2227" s="144" t="s">
        <v>31</v>
      </c>
      <c r="N2227" s="145">
        <v>1040000.0</v>
      </c>
      <c r="O2227" s="146">
        <v>260000.0</v>
      </c>
      <c r="P2227" s="48">
        <f t="array" ref="P2227">IFNA(XLOOKUP(J2227,'⚙️ Pengaturan'!$E$2:$E3237,'⚙️ Pengaturan'!$F$2:$F3237),"")</f>
        <v>1300000</v>
      </c>
      <c r="Q2227" s="147">
        <f t="shared" si="57"/>
        <v>0</v>
      </c>
      <c r="R2227" s="41" t="s">
        <v>37</v>
      </c>
      <c r="S2227" s="76" t="s">
        <v>934</v>
      </c>
      <c r="T2227" s="51" t="b">
        <v>1</v>
      </c>
      <c r="U2227" s="94" t="s">
        <v>1607</v>
      </c>
    </row>
    <row r="2228" ht="30.0" customHeight="1">
      <c r="A2228" s="39"/>
      <c r="B2228" s="164">
        <v>4269.0</v>
      </c>
      <c r="C2228" s="41" t="s">
        <v>22</v>
      </c>
      <c r="D2228" s="86">
        <v>46203.0</v>
      </c>
      <c r="E2228" s="43" t="str">
        <f t="shared" si="51"/>
        <v>2026</v>
      </c>
      <c r="F2228" s="43" t="str">
        <f t="shared" si="52"/>
        <v>06 Jun</v>
      </c>
      <c r="G2228" s="45" t="s">
        <v>195</v>
      </c>
      <c r="H2228" s="45" t="s">
        <v>149</v>
      </c>
      <c r="I2228" s="45" t="s">
        <v>1608</v>
      </c>
      <c r="J2228" s="143" t="s">
        <v>28</v>
      </c>
      <c r="K2228" s="43" t="str">
        <f t="array" ref="K2228">IF(J2228="","", XLOOKUP(J2228,'⚙️ Pengaturan'!$E$2:$E3237,'⚙️ Pengaturan'!$G$2:$G3237))</f>
        <v>KLINIK FT TA</v>
      </c>
      <c r="L2228" s="43" t="str">
        <f t="shared" si="3"/>
        <v>BARU</v>
      </c>
      <c r="M2228" s="144" t="s">
        <v>31</v>
      </c>
      <c r="N2228" s="145">
        <v>250000.0</v>
      </c>
      <c r="O2228" s="146">
        <v>0.0</v>
      </c>
      <c r="P2228" s="48">
        <f t="array" ref="P2228">IFNA(XLOOKUP(J2228,'⚙️ Pengaturan'!$E$2:$E3237,'⚙️ Pengaturan'!$F$2:$F3237),"")</f>
        <v>250000</v>
      </c>
      <c r="Q2228" s="147">
        <f t="shared" si="57"/>
        <v>0</v>
      </c>
      <c r="R2228" s="41" t="s">
        <v>32</v>
      </c>
      <c r="S2228" s="76" t="s">
        <v>33</v>
      </c>
      <c r="T2228" s="51" t="b">
        <v>1</v>
      </c>
      <c r="U2228" s="94"/>
    </row>
    <row r="2229" ht="30.0" customHeight="1">
      <c r="A2229" s="39"/>
      <c r="B2229" s="40">
        <v>4270.0</v>
      </c>
      <c r="C2229" s="41" t="s">
        <v>22</v>
      </c>
      <c r="D2229" s="86">
        <v>46203.0</v>
      </c>
      <c r="E2229" s="43" t="str">
        <f t="shared" si="51"/>
        <v>2026</v>
      </c>
      <c r="F2229" s="43" t="str">
        <f t="shared" si="52"/>
        <v>06 Jun</v>
      </c>
      <c r="G2229" s="45" t="s">
        <v>195</v>
      </c>
      <c r="H2229" s="45" t="s">
        <v>76</v>
      </c>
      <c r="I2229" s="45" t="s">
        <v>785</v>
      </c>
      <c r="J2229" s="143" t="s">
        <v>119</v>
      </c>
      <c r="K2229" s="43" t="str">
        <f t="array" ref="K2229">IF(J2229="","", XLOOKUP(J2229,'⚙️ Pengaturan'!$E$2:$E3237,'⚙️ Pengaturan'!$G$2:$G3237))</f>
        <v>KLINIK FT PAKET</v>
      </c>
      <c r="L2229" s="43" t="str">
        <f t="shared" si="3"/>
        <v>LANJUTAN</v>
      </c>
      <c r="M2229" s="144" t="s">
        <v>31</v>
      </c>
      <c r="N2229" s="145">
        <v>600000.0</v>
      </c>
      <c r="O2229" s="146">
        <v>150000.0</v>
      </c>
      <c r="P2229" s="48">
        <f t="array" ref="P2229">IFNA(XLOOKUP(J2229,'⚙️ Pengaturan'!$E$2:$E3237,'⚙️ Pengaturan'!$F$2:$F3237),"")</f>
        <v>750000</v>
      </c>
      <c r="Q2229" s="147">
        <f t="shared" si="57"/>
        <v>0</v>
      </c>
      <c r="R2229" s="41" t="s">
        <v>32</v>
      </c>
      <c r="S2229" s="76" t="s">
        <v>33</v>
      </c>
      <c r="T2229" s="51" t="b">
        <v>1</v>
      </c>
      <c r="U2229" s="94" t="s">
        <v>1609</v>
      </c>
    </row>
    <row r="2230" ht="30.0" customHeight="1">
      <c r="A2230" s="39"/>
      <c r="B2230" s="164">
        <v>4271.0</v>
      </c>
      <c r="C2230" s="41" t="s">
        <v>22</v>
      </c>
      <c r="D2230" s="86">
        <v>46203.0</v>
      </c>
      <c r="E2230" s="43" t="str">
        <f t="shared" si="51"/>
        <v>2026</v>
      </c>
      <c r="F2230" s="43" t="str">
        <f t="shared" si="52"/>
        <v>06 Jun</v>
      </c>
      <c r="G2230" s="45" t="s">
        <v>25</v>
      </c>
      <c r="H2230" s="45" t="s">
        <v>149</v>
      </c>
      <c r="I2230" s="45" t="s">
        <v>1551</v>
      </c>
      <c r="J2230" s="143" t="s">
        <v>120</v>
      </c>
      <c r="K2230" s="43" t="str">
        <f t="array" ref="K2230">IF(J2230="","", XLOOKUP(J2230,'⚙️ Pengaturan'!$E$2:$E3237,'⚙️ Pengaturan'!$G$2:$G3237))</f>
        <v>KLINIK FT SESI</v>
      </c>
      <c r="L2230" s="43" t="str">
        <f t="shared" si="3"/>
        <v>LANJUTAN</v>
      </c>
      <c r="M2230" s="144" t="s">
        <v>31</v>
      </c>
      <c r="N2230" s="145">
        <v>180000.0</v>
      </c>
      <c r="O2230" s="146">
        <v>0.0</v>
      </c>
      <c r="P2230" s="48">
        <f t="array" ref="P2230">IFNA(XLOOKUP(J2230,'⚙️ Pengaturan'!$E$2:$E3237,'⚙️ Pengaturan'!$F$2:$F3237),"")</f>
        <v>180000</v>
      </c>
      <c r="Q2230" s="147">
        <f t="shared" si="57"/>
        <v>0</v>
      </c>
      <c r="R2230" s="41" t="s">
        <v>37</v>
      </c>
      <c r="S2230" s="76" t="s">
        <v>1551</v>
      </c>
      <c r="T2230" s="51" t="b">
        <v>1</v>
      </c>
      <c r="U2230" s="94"/>
    </row>
    <row r="2231" ht="30.0" customHeight="1">
      <c r="A2231" s="39"/>
      <c r="B2231" s="40">
        <v>4272.0</v>
      </c>
      <c r="C2231" s="41" t="s">
        <v>22</v>
      </c>
      <c r="D2231" s="86">
        <v>46203.0</v>
      </c>
      <c r="E2231" s="43" t="str">
        <f t="shared" si="51"/>
        <v>2026</v>
      </c>
      <c r="F2231" s="43" t="str">
        <f t="shared" si="52"/>
        <v>06 Jun</v>
      </c>
      <c r="G2231" s="45" t="s">
        <v>206</v>
      </c>
      <c r="H2231" s="45" t="s">
        <v>96</v>
      </c>
      <c r="I2231" s="45" t="s">
        <v>1034</v>
      </c>
      <c r="J2231" s="143" t="s">
        <v>28</v>
      </c>
      <c r="K2231" s="43" t="str">
        <f t="array" ref="K2231">IF(J2231="","", XLOOKUP(J2231,'⚙️ Pengaturan'!$E$2:$E3237,'⚙️ Pengaturan'!$G$2:$G3237))</f>
        <v>KLINIK FT TA</v>
      </c>
      <c r="L2231" s="43" t="str">
        <f t="shared" si="3"/>
        <v>LANJUTAN</v>
      </c>
      <c r="M2231" s="144" t="s">
        <v>31</v>
      </c>
      <c r="N2231" s="145">
        <v>250000.0</v>
      </c>
      <c r="O2231" s="146">
        <v>0.0</v>
      </c>
      <c r="P2231" s="48">
        <f t="array" ref="P2231">IFNA(XLOOKUP(J2231,'⚙️ Pengaturan'!$E$2:$E3237,'⚙️ Pengaturan'!$F$2:$F3237),"")</f>
        <v>250000</v>
      </c>
      <c r="Q2231" s="147">
        <f t="shared" si="57"/>
        <v>0</v>
      </c>
      <c r="R2231" s="41" t="s">
        <v>32</v>
      </c>
      <c r="S2231" s="76" t="s">
        <v>33</v>
      </c>
      <c r="T2231" s="51" t="b">
        <v>1</v>
      </c>
      <c r="U2231" s="94"/>
    </row>
    <row r="2232" ht="30.0" customHeight="1">
      <c r="A2232" s="39"/>
      <c r="B2232" s="164">
        <v>4273.0</v>
      </c>
      <c r="C2232" s="41" t="s">
        <v>22</v>
      </c>
      <c r="D2232" s="86">
        <v>46203.0</v>
      </c>
      <c r="E2232" s="43" t="str">
        <f t="shared" si="51"/>
        <v>2026</v>
      </c>
      <c r="F2232" s="43" t="str">
        <f t="shared" si="52"/>
        <v>06 Jun</v>
      </c>
      <c r="G2232" s="45" t="s">
        <v>206</v>
      </c>
      <c r="H2232" s="45" t="s">
        <v>47</v>
      </c>
      <c r="I2232" s="45" t="s">
        <v>1610</v>
      </c>
      <c r="J2232" s="143" t="s">
        <v>28</v>
      </c>
      <c r="K2232" s="43" t="str">
        <f t="array" ref="K2232">IF(J2232="","", XLOOKUP(J2232,'⚙️ Pengaturan'!$E$2:$E3237,'⚙️ Pengaturan'!$G$2:$G3237))</f>
        <v>KLINIK FT TA</v>
      </c>
      <c r="L2232" s="43" t="str">
        <f t="shared" si="3"/>
        <v>BARU</v>
      </c>
      <c r="M2232" s="144" t="s">
        <v>31</v>
      </c>
      <c r="N2232" s="145">
        <v>250000.0</v>
      </c>
      <c r="O2232" s="146">
        <v>0.0</v>
      </c>
      <c r="P2232" s="48">
        <f t="array" ref="P2232">IFNA(XLOOKUP(J2232,'⚙️ Pengaturan'!$E$2:$E3237,'⚙️ Pengaturan'!$F$2:$F3237),"")</f>
        <v>250000</v>
      </c>
      <c r="Q2232" s="147">
        <f t="shared" si="57"/>
        <v>0</v>
      </c>
      <c r="R2232" s="41" t="s">
        <v>37</v>
      </c>
      <c r="S2232" s="76" t="s">
        <v>1610</v>
      </c>
      <c r="T2232" s="51" t="b">
        <v>1</v>
      </c>
      <c r="U2232" s="94"/>
    </row>
    <row r="2233" ht="30.0" customHeight="1">
      <c r="A2233" s="39"/>
      <c r="B2233" s="40">
        <v>4274.0</v>
      </c>
      <c r="C2233" s="41" t="s">
        <v>22</v>
      </c>
      <c r="D2233" s="86">
        <v>46203.0</v>
      </c>
      <c r="E2233" s="43" t="str">
        <f t="shared" si="51"/>
        <v>2026</v>
      </c>
      <c r="F2233" s="43" t="str">
        <f t="shared" si="52"/>
        <v>06 Jun</v>
      </c>
      <c r="G2233" s="45" t="s">
        <v>161</v>
      </c>
      <c r="H2233" s="45" t="s">
        <v>41</v>
      </c>
      <c r="I2233" s="45" t="s">
        <v>873</v>
      </c>
      <c r="J2233" s="143" t="s">
        <v>120</v>
      </c>
      <c r="K2233" s="43" t="str">
        <f t="array" ref="K2233">IF(J2233="","", XLOOKUP(J2233,'⚙️ Pengaturan'!$E$2:$E3237,'⚙️ Pengaturan'!$G$2:$G3237))</f>
        <v>KLINIK FT SESI</v>
      </c>
      <c r="L2233" s="43" t="str">
        <f t="shared" si="3"/>
        <v>BARU</v>
      </c>
      <c r="M2233" s="144" t="s">
        <v>31</v>
      </c>
      <c r="N2233" s="145">
        <v>180000.0</v>
      </c>
      <c r="O2233" s="146">
        <v>0.0</v>
      </c>
      <c r="P2233" s="48">
        <f t="array" ref="P2233">IFNA(XLOOKUP(J2233,'⚙️ Pengaturan'!$E$2:$E3237,'⚙️ Pengaturan'!$F$2:$F3237),"")</f>
        <v>180000</v>
      </c>
      <c r="Q2233" s="147">
        <f t="shared" si="57"/>
        <v>0</v>
      </c>
      <c r="R2233" s="41" t="s">
        <v>37</v>
      </c>
      <c r="S2233" s="76" t="s">
        <v>873</v>
      </c>
      <c r="T2233" s="51" t="b">
        <v>1</v>
      </c>
      <c r="U2233" s="94"/>
    </row>
    <row r="2234" ht="30.0" customHeight="1">
      <c r="A2234" s="39"/>
      <c r="B2234" s="164">
        <v>4275.0</v>
      </c>
      <c r="C2234" s="41" t="s">
        <v>39</v>
      </c>
      <c r="D2234" s="86">
        <v>46203.0</v>
      </c>
      <c r="E2234" s="43" t="str">
        <f t="shared" si="51"/>
        <v>2026</v>
      </c>
      <c r="F2234" s="43" t="str">
        <f t="shared" si="52"/>
        <v>06 Jun</v>
      </c>
      <c r="G2234" s="45" t="s">
        <v>40</v>
      </c>
      <c r="H2234" s="45" t="s">
        <v>166</v>
      </c>
      <c r="I2234" s="45" t="s">
        <v>1611</v>
      </c>
      <c r="J2234" s="143" t="s">
        <v>28</v>
      </c>
      <c r="K2234" s="43" t="str">
        <f t="array" ref="K2234">IF(J2234="","", XLOOKUP(J2234,'⚙️ Pengaturan'!$E$2:$E3237,'⚙️ Pengaturan'!$G$2:$G3237))</f>
        <v>KLINIK FT TA</v>
      </c>
      <c r="L2234" s="43" t="str">
        <f t="shared" si="3"/>
        <v>BARU</v>
      </c>
      <c r="M2234" s="144" t="s">
        <v>31</v>
      </c>
      <c r="N2234" s="145">
        <v>250000.0</v>
      </c>
      <c r="O2234" s="146">
        <v>0.0</v>
      </c>
      <c r="P2234" s="48">
        <f t="array" ref="P2234">IFNA(XLOOKUP(J2234,'⚙️ Pengaturan'!$E$2:$E3237,'⚙️ Pengaturan'!$F$2:$F3237),"")</f>
        <v>250000</v>
      </c>
      <c r="Q2234" s="147">
        <f t="shared" si="57"/>
        <v>0</v>
      </c>
      <c r="R2234" s="41" t="s">
        <v>37</v>
      </c>
      <c r="S2234" s="69" t="s">
        <v>1611</v>
      </c>
      <c r="T2234" s="51" t="b">
        <v>1</v>
      </c>
      <c r="U2234" s="94"/>
    </row>
    <row r="2235" ht="30.0" customHeight="1">
      <c r="A2235" s="39"/>
      <c r="B2235" s="40">
        <v>4276.0</v>
      </c>
      <c r="C2235" s="41" t="s">
        <v>39</v>
      </c>
      <c r="D2235" s="86">
        <v>46203.0</v>
      </c>
      <c r="E2235" s="43" t="str">
        <f t="shared" si="51"/>
        <v>2026</v>
      </c>
      <c r="F2235" s="43" t="str">
        <f t="shared" si="52"/>
        <v>06 Jun</v>
      </c>
      <c r="G2235" s="45" t="s">
        <v>40</v>
      </c>
      <c r="H2235" s="45" t="s">
        <v>162</v>
      </c>
      <c r="I2235" s="45" t="s">
        <v>1133</v>
      </c>
      <c r="J2235" s="143" t="s">
        <v>120</v>
      </c>
      <c r="K2235" s="43" t="str">
        <f t="array" ref="K2235">IF(J2235="","", XLOOKUP(J2235,'⚙️ Pengaturan'!$E$2:$E3237,'⚙️ Pengaturan'!$G$2:$G3237))</f>
        <v>KLINIK FT SESI</v>
      </c>
      <c r="L2235" s="43" t="str">
        <f t="shared" si="3"/>
        <v>LANJUTAN</v>
      </c>
      <c r="M2235" s="144" t="s">
        <v>31</v>
      </c>
      <c r="N2235" s="145">
        <v>180000.0</v>
      </c>
      <c r="O2235" s="146">
        <v>0.0</v>
      </c>
      <c r="P2235" s="48">
        <f t="array" ref="P2235">IFNA(XLOOKUP(J2235,'⚙️ Pengaturan'!$E$2:$E3237,'⚙️ Pengaturan'!$F$2:$F3237),"")</f>
        <v>180000</v>
      </c>
      <c r="Q2235" s="147">
        <f t="shared" si="57"/>
        <v>0</v>
      </c>
      <c r="R2235" s="41" t="s">
        <v>37</v>
      </c>
      <c r="S2235" s="69" t="s">
        <v>1133</v>
      </c>
      <c r="T2235" s="51" t="b">
        <v>1</v>
      </c>
      <c r="U2235" s="94"/>
    </row>
    <row r="2236" ht="30.0" customHeight="1">
      <c r="A2236" s="39"/>
      <c r="B2236" s="164">
        <v>4277.0</v>
      </c>
      <c r="C2236" s="41" t="s">
        <v>39</v>
      </c>
      <c r="D2236" s="86">
        <v>46203.0</v>
      </c>
      <c r="E2236" s="43" t="str">
        <f t="shared" si="51"/>
        <v>2026</v>
      </c>
      <c r="F2236" s="43" t="str">
        <f t="shared" si="52"/>
        <v>06 Jun</v>
      </c>
      <c r="G2236" s="45" t="s">
        <v>40</v>
      </c>
      <c r="H2236" s="45" t="s">
        <v>26</v>
      </c>
      <c r="I2236" s="45" t="s">
        <v>1528</v>
      </c>
      <c r="J2236" s="143" t="s">
        <v>120</v>
      </c>
      <c r="K2236" s="43" t="str">
        <f t="array" ref="K2236">IF(J2236="","", XLOOKUP(J2236,'⚙️ Pengaturan'!$E$2:$E3237,'⚙️ Pengaturan'!$G$2:$G3237))</f>
        <v>KLINIK FT SESI</v>
      </c>
      <c r="L2236" s="43" t="str">
        <f t="shared" si="3"/>
        <v>LANJUTAN</v>
      </c>
      <c r="M2236" s="144" t="s">
        <v>31</v>
      </c>
      <c r="N2236" s="145">
        <v>180000.0</v>
      </c>
      <c r="O2236" s="146">
        <v>0.0</v>
      </c>
      <c r="P2236" s="48">
        <f t="array" ref="P2236">IFNA(XLOOKUP(J2236,'⚙️ Pengaturan'!$E$2:$E3237,'⚙️ Pengaturan'!$F$2:$F3237),"")</f>
        <v>180000</v>
      </c>
      <c r="Q2236" s="147">
        <f t="shared" si="57"/>
        <v>0</v>
      </c>
      <c r="R2236" s="41" t="s">
        <v>32</v>
      </c>
      <c r="S2236" s="76" t="s">
        <v>33</v>
      </c>
      <c r="T2236" s="51" t="b">
        <v>1</v>
      </c>
      <c r="U2236" s="94"/>
    </row>
    <row r="2237" ht="30.0" customHeight="1">
      <c r="A2237" s="39"/>
      <c r="B2237" s="40">
        <v>4278.0</v>
      </c>
      <c r="C2237" s="41" t="s">
        <v>39</v>
      </c>
      <c r="D2237" s="86">
        <v>46203.0</v>
      </c>
      <c r="E2237" s="43" t="str">
        <f t="shared" si="51"/>
        <v>2026</v>
      </c>
      <c r="F2237" s="43" t="str">
        <f t="shared" si="52"/>
        <v>06 Jun</v>
      </c>
      <c r="G2237" s="45" t="s">
        <v>43</v>
      </c>
      <c r="H2237" s="45" t="s">
        <v>26</v>
      </c>
      <c r="I2237" s="45" t="s">
        <v>1361</v>
      </c>
      <c r="J2237" s="143" t="s">
        <v>120</v>
      </c>
      <c r="K2237" s="43" t="str">
        <f t="array" ref="K2237">IF(J2237="","", XLOOKUP(J2237,'⚙️ Pengaturan'!$E$2:$E3237,'⚙️ Pengaturan'!$G$2:$G3237))</f>
        <v>KLINIK FT SESI</v>
      </c>
      <c r="L2237" s="43" t="str">
        <f t="shared" si="3"/>
        <v>LANJUTAN</v>
      </c>
      <c r="M2237" s="144" t="s">
        <v>31</v>
      </c>
      <c r="N2237" s="145">
        <v>180000.0</v>
      </c>
      <c r="O2237" s="146">
        <v>0.0</v>
      </c>
      <c r="P2237" s="48">
        <f t="array" ref="P2237">IFNA(XLOOKUP(J2237,'⚙️ Pengaturan'!$E$2:$E3237,'⚙️ Pengaturan'!$F$2:$F3237),"")</f>
        <v>180000</v>
      </c>
      <c r="Q2237" s="147">
        <f t="shared" si="57"/>
        <v>0</v>
      </c>
      <c r="R2237" s="41" t="s">
        <v>32</v>
      </c>
      <c r="S2237" s="76" t="s">
        <v>33</v>
      </c>
      <c r="T2237" s="51" t="b">
        <v>1</v>
      </c>
      <c r="U2237" s="94"/>
    </row>
    <row r="2238" ht="30.0" customHeight="1">
      <c r="A2238" s="39"/>
      <c r="B2238" s="164">
        <v>4279.0</v>
      </c>
      <c r="C2238" s="41" t="s">
        <v>39</v>
      </c>
      <c r="D2238" s="86">
        <v>46203.0</v>
      </c>
      <c r="E2238" s="43" t="str">
        <f t="shared" si="51"/>
        <v>2026</v>
      </c>
      <c r="F2238" s="43" t="str">
        <f t="shared" si="52"/>
        <v>06 Jun</v>
      </c>
      <c r="G2238" s="45" t="s">
        <v>43</v>
      </c>
      <c r="H2238" s="45" t="s">
        <v>359</v>
      </c>
      <c r="I2238" s="45" t="s">
        <v>1612</v>
      </c>
      <c r="J2238" s="143" t="s">
        <v>1547</v>
      </c>
      <c r="K2238" s="43" t="str">
        <f t="array" ref="K2238">IF(J2238="","", XLOOKUP(J2238,'⚙️ Pengaturan'!$E$2:$E3237,'⚙️ Pengaturan'!$G$2:$G3237))</f>
        <v>KLINIK SM SESI</v>
      </c>
      <c r="L2238" s="43" t="str">
        <f t="shared" si="3"/>
        <v>BARU</v>
      </c>
      <c r="M2238" s="144" t="s">
        <v>31</v>
      </c>
      <c r="N2238" s="145">
        <v>167000.0</v>
      </c>
      <c r="O2238" s="146">
        <v>28000.0</v>
      </c>
      <c r="P2238" s="48">
        <f t="array" ref="P2238">IFNA(XLOOKUP(J2238,'⚙️ Pengaturan'!$E$2:$E3237,'⚙️ Pengaturan'!$F$2:$F3237),"")</f>
        <v>195000</v>
      </c>
      <c r="Q2238" s="147">
        <f t="shared" si="57"/>
        <v>0</v>
      </c>
      <c r="R2238" s="41" t="s">
        <v>32</v>
      </c>
      <c r="S2238" s="76" t="s">
        <v>33</v>
      </c>
      <c r="T2238" s="51" t="b">
        <v>1</v>
      </c>
      <c r="U2238" s="94"/>
    </row>
    <row r="2239" ht="30.0" customHeight="1">
      <c r="A2239" s="39"/>
      <c r="B2239" s="40">
        <v>4280.0</v>
      </c>
      <c r="C2239" s="41" t="s">
        <v>39</v>
      </c>
      <c r="D2239" s="86">
        <v>46203.0</v>
      </c>
      <c r="E2239" s="43" t="str">
        <f t="shared" si="51"/>
        <v>2026</v>
      </c>
      <c r="F2239" s="43" t="str">
        <f t="shared" si="52"/>
        <v>06 Jun</v>
      </c>
      <c r="G2239" s="45" t="s">
        <v>173</v>
      </c>
      <c r="H2239" s="45" t="s">
        <v>359</v>
      </c>
      <c r="I2239" s="45" t="s">
        <v>1613</v>
      </c>
      <c r="J2239" s="143" t="s">
        <v>1547</v>
      </c>
      <c r="K2239" s="43" t="str">
        <f t="array" ref="K2239">IF(J2239="","", XLOOKUP(J2239,'⚙️ Pengaturan'!$E$2:$E3237,'⚙️ Pengaturan'!$G$2:$G3237))</f>
        <v>KLINIK SM SESI</v>
      </c>
      <c r="L2239" s="43" t="str">
        <f t="shared" si="3"/>
        <v>BARU</v>
      </c>
      <c r="M2239" s="144" t="s">
        <v>31</v>
      </c>
      <c r="N2239" s="145">
        <v>167000.0</v>
      </c>
      <c r="O2239" s="146">
        <v>28000.0</v>
      </c>
      <c r="P2239" s="48">
        <f t="array" ref="P2239">IFNA(XLOOKUP(J2239,'⚙️ Pengaturan'!$E$2:$E3237,'⚙️ Pengaturan'!$F$2:$F3237),"")</f>
        <v>195000</v>
      </c>
      <c r="Q2239" s="147">
        <f t="shared" si="57"/>
        <v>0</v>
      </c>
      <c r="R2239" s="41" t="s">
        <v>37</v>
      </c>
      <c r="S2239" s="76" t="s">
        <v>33</v>
      </c>
      <c r="T2239" s="51" t="b">
        <v>1</v>
      </c>
      <c r="U2239" s="94"/>
    </row>
    <row r="2240" ht="30.0" customHeight="1">
      <c r="A2240" s="39"/>
      <c r="B2240" s="164">
        <v>4281.0</v>
      </c>
      <c r="C2240" s="41" t="s">
        <v>39</v>
      </c>
      <c r="D2240" s="86">
        <v>46203.0</v>
      </c>
      <c r="E2240" s="43" t="str">
        <f t="shared" si="51"/>
        <v>2026</v>
      </c>
      <c r="F2240" s="43" t="str">
        <f t="shared" si="52"/>
        <v>06 Jun</v>
      </c>
      <c r="G2240" s="45" t="s">
        <v>46</v>
      </c>
      <c r="H2240" s="45" t="s">
        <v>359</v>
      </c>
      <c r="I2240" s="45" t="s">
        <v>653</v>
      </c>
      <c r="J2240" s="143" t="s">
        <v>1545</v>
      </c>
      <c r="K2240" s="43" t="str">
        <f t="array" ref="K2240">IF(J2240="","", XLOOKUP(J2240,'⚙️ Pengaturan'!$E$2:$E3237,'⚙️ Pengaturan'!$G$2:$G3237))</f>
        <v>KLINIK SM SESI</v>
      </c>
      <c r="L2240" s="43" t="str">
        <f t="shared" si="3"/>
        <v>BARU</v>
      </c>
      <c r="M2240" s="144" t="s">
        <v>31</v>
      </c>
      <c r="N2240" s="145">
        <v>107000.0</v>
      </c>
      <c r="O2240" s="146">
        <v>18000.0</v>
      </c>
      <c r="P2240" s="48">
        <f t="array" ref="P2240">IFNA(XLOOKUP(J2240,'⚙️ Pengaturan'!$E$2:$E3237,'⚙️ Pengaturan'!$F$2:$F3237),"")</f>
        <v>125000</v>
      </c>
      <c r="Q2240" s="147">
        <f t="shared" si="57"/>
        <v>0</v>
      </c>
      <c r="R2240" s="41" t="s">
        <v>37</v>
      </c>
      <c r="S2240" s="69" t="s">
        <v>654</v>
      </c>
      <c r="T2240" s="51" t="b">
        <v>1</v>
      </c>
      <c r="U2240" s="94"/>
    </row>
    <row r="2241" ht="30.0" customHeight="1">
      <c r="A2241" s="39"/>
      <c r="B2241" s="40">
        <v>4282.0</v>
      </c>
      <c r="C2241" s="41" t="s">
        <v>39</v>
      </c>
      <c r="D2241" s="86">
        <v>46203.0</v>
      </c>
      <c r="E2241" s="43" t="str">
        <f t="shared" si="51"/>
        <v>2026</v>
      </c>
      <c r="F2241" s="43" t="str">
        <f t="shared" si="52"/>
        <v>06 Jun</v>
      </c>
      <c r="G2241" s="45" t="s">
        <v>155</v>
      </c>
      <c r="H2241" s="45" t="s">
        <v>26</v>
      </c>
      <c r="I2241" s="45" t="s">
        <v>1459</v>
      </c>
      <c r="J2241" s="143" t="s">
        <v>120</v>
      </c>
      <c r="K2241" s="43" t="str">
        <f t="array" ref="K2241">IF(J2241="","", XLOOKUP(J2241,'⚙️ Pengaturan'!$E$2:$E3237,'⚙️ Pengaturan'!$G$2:$G3237))</f>
        <v>KLINIK FT SESI</v>
      </c>
      <c r="L2241" s="43" t="str">
        <f t="shared" si="3"/>
        <v>LANJUTAN</v>
      </c>
      <c r="M2241" s="144" t="s">
        <v>31</v>
      </c>
      <c r="N2241" s="145">
        <v>180000.0</v>
      </c>
      <c r="O2241" s="146">
        <v>0.0</v>
      </c>
      <c r="P2241" s="48">
        <f t="array" ref="P2241">IFNA(XLOOKUP(J2241,'⚙️ Pengaturan'!$E$2:$E3237,'⚙️ Pengaturan'!$F$2:$F3237),"")</f>
        <v>180000</v>
      </c>
      <c r="Q2241" s="147">
        <f t="shared" si="57"/>
        <v>0</v>
      </c>
      <c r="R2241" s="41" t="s">
        <v>32</v>
      </c>
      <c r="S2241" s="76" t="s">
        <v>33</v>
      </c>
      <c r="T2241" s="51" t="b">
        <v>1</v>
      </c>
      <c r="U2241" s="94"/>
    </row>
    <row r="2242" ht="30.0" customHeight="1">
      <c r="A2242" s="39"/>
      <c r="B2242" s="164">
        <v>4283.0</v>
      </c>
      <c r="C2242" s="41" t="s">
        <v>22</v>
      </c>
      <c r="D2242" s="86">
        <v>46204.0</v>
      </c>
      <c r="E2242" s="43" t="str">
        <f t="shared" si="51"/>
        <v>2026</v>
      </c>
      <c r="F2242" s="43" t="str">
        <f t="shared" si="52"/>
        <v>07 Jul</v>
      </c>
      <c r="G2242" s="45" t="s">
        <v>195</v>
      </c>
      <c r="H2242" s="45" t="s">
        <v>41</v>
      </c>
      <c r="I2242" s="45" t="s">
        <v>1601</v>
      </c>
      <c r="J2242" s="143" t="s">
        <v>119</v>
      </c>
      <c r="K2242" s="43" t="str">
        <f t="array" ref="K2242">IF(J2242="","", XLOOKUP(J2242,'⚙️ Pengaturan'!$E$2:$E3237,'⚙️ Pengaturan'!$G$2:$G3237))</f>
        <v>KLINIK FT PAKET</v>
      </c>
      <c r="L2242" s="43" t="str">
        <f t="shared" si="3"/>
        <v>BARU</v>
      </c>
      <c r="M2242" s="144" t="s">
        <v>31</v>
      </c>
      <c r="N2242" s="145">
        <v>750000.0</v>
      </c>
      <c r="O2242" s="146">
        <v>0.0</v>
      </c>
      <c r="P2242" s="48">
        <f t="array" ref="P2242">IFNA(XLOOKUP(J2242,'⚙️ Pengaturan'!$E$2:$E3237,'⚙️ Pengaturan'!$F$2:$F3237),"")</f>
        <v>750000</v>
      </c>
      <c r="Q2242" s="147">
        <f t="shared" si="57"/>
        <v>0</v>
      </c>
      <c r="R2242" s="41" t="s">
        <v>37</v>
      </c>
      <c r="S2242" s="76" t="s">
        <v>1614</v>
      </c>
      <c r="T2242" s="51" t="b">
        <v>1</v>
      </c>
      <c r="U2242" s="94"/>
    </row>
    <row r="2243" ht="30.0" customHeight="1">
      <c r="A2243" s="39"/>
      <c r="B2243" s="40">
        <v>4284.0</v>
      </c>
      <c r="C2243" s="41" t="s">
        <v>22</v>
      </c>
      <c r="D2243" s="86">
        <v>46204.0</v>
      </c>
      <c r="E2243" s="43" t="str">
        <f t="shared" si="51"/>
        <v>2026</v>
      </c>
      <c r="F2243" s="43" t="str">
        <f t="shared" si="52"/>
        <v>07 Jul</v>
      </c>
      <c r="G2243" s="45" t="s">
        <v>25</v>
      </c>
      <c r="H2243" s="45" t="s">
        <v>41</v>
      </c>
      <c r="I2243" s="45" t="s">
        <v>1615</v>
      </c>
      <c r="J2243" s="143" t="s">
        <v>28</v>
      </c>
      <c r="K2243" s="43" t="str">
        <f t="array" ref="K2243">IF(J2243="","", XLOOKUP(J2243,'⚙️ Pengaturan'!$E$2:$E3237,'⚙️ Pengaturan'!$G$2:$G3237))</f>
        <v>KLINIK FT TA</v>
      </c>
      <c r="L2243" s="43" t="str">
        <f t="shared" si="3"/>
        <v>BARU</v>
      </c>
      <c r="M2243" s="144" t="s">
        <v>31</v>
      </c>
      <c r="N2243" s="145">
        <v>250000.0</v>
      </c>
      <c r="O2243" s="146">
        <v>0.0</v>
      </c>
      <c r="P2243" s="48">
        <f t="array" ref="P2243">IFNA(XLOOKUP(J2243,'⚙️ Pengaturan'!$E$2:$E3237,'⚙️ Pengaturan'!$F$2:$F3237),"")</f>
        <v>250000</v>
      </c>
      <c r="Q2243" s="147">
        <f t="shared" si="57"/>
        <v>0</v>
      </c>
      <c r="R2243" s="41" t="s">
        <v>37</v>
      </c>
      <c r="S2243" s="76" t="s">
        <v>1616</v>
      </c>
      <c r="T2243" s="51" t="b">
        <v>1</v>
      </c>
      <c r="U2243" s="94"/>
    </row>
    <row r="2244" ht="30.0" customHeight="1">
      <c r="A2244" s="39"/>
      <c r="B2244" s="164">
        <v>4285.0</v>
      </c>
      <c r="C2244" s="41" t="s">
        <v>22</v>
      </c>
      <c r="D2244" s="86">
        <v>46204.0</v>
      </c>
      <c r="E2244" s="43" t="str">
        <f t="shared" si="51"/>
        <v>2026</v>
      </c>
      <c r="F2244" s="43" t="str">
        <f t="shared" si="52"/>
        <v>07 Jul</v>
      </c>
      <c r="G2244" s="45" t="s">
        <v>206</v>
      </c>
      <c r="H2244" s="45" t="s">
        <v>149</v>
      </c>
      <c r="I2244" s="45" t="s">
        <v>1526</v>
      </c>
      <c r="J2244" s="143" t="s">
        <v>120</v>
      </c>
      <c r="K2244" s="43" t="str">
        <f t="array" ref="K2244">IF(J2244="","", XLOOKUP(J2244,'⚙️ Pengaturan'!$E$2:$E3237,'⚙️ Pengaturan'!$G$2:$G3237))</f>
        <v>KLINIK FT SESI</v>
      </c>
      <c r="L2244" s="43" t="str">
        <f t="shared" si="3"/>
        <v>LANJUTAN</v>
      </c>
      <c r="M2244" s="144" t="s">
        <v>31</v>
      </c>
      <c r="N2244" s="145">
        <v>180000.0</v>
      </c>
      <c r="O2244" s="146">
        <v>0.0</v>
      </c>
      <c r="P2244" s="48">
        <f t="array" ref="P2244">IFNA(XLOOKUP(J2244,'⚙️ Pengaturan'!$E$2:$E3237,'⚙️ Pengaturan'!$F$2:$F3237),"")</f>
        <v>180000</v>
      </c>
      <c r="Q2244" s="147">
        <f t="shared" si="57"/>
        <v>0</v>
      </c>
      <c r="R2244" s="41" t="s">
        <v>32</v>
      </c>
      <c r="S2244" s="76" t="s">
        <v>33</v>
      </c>
      <c r="T2244" s="51" t="b">
        <v>1</v>
      </c>
      <c r="U2244" s="94"/>
    </row>
    <row r="2245" ht="30.0" customHeight="1">
      <c r="A2245" s="39"/>
      <c r="B2245" s="40">
        <v>4286.0</v>
      </c>
      <c r="C2245" s="41" t="s">
        <v>22</v>
      </c>
      <c r="D2245" s="86">
        <v>46204.0</v>
      </c>
      <c r="E2245" s="43" t="str">
        <f t="shared" si="51"/>
        <v>2026</v>
      </c>
      <c r="F2245" s="43" t="str">
        <f t="shared" si="52"/>
        <v>07 Jul</v>
      </c>
      <c r="G2245" s="45" t="s">
        <v>206</v>
      </c>
      <c r="H2245" s="45" t="s">
        <v>26</v>
      </c>
      <c r="I2245" s="45" t="s">
        <v>1509</v>
      </c>
      <c r="J2245" s="143" t="s">
        <v>120</v>
      </c>
      <c r="K2245" s="43" t="str">
        <f t="array" ref="K2245">IF(J2245="","", XLOOKUP(J2245,'⚙️ Pengaturan'!$E$2:$E3237,'⚙️ Pengaturan'!$G$2:$G3237))</f>
        <v>KLINIK FT SESI</v>
      </c>
      <c r="L2245" s="43" t="str">
        <f t="shared" si="3"/>
        <v>BARU</v>
      </c>
      <c r="M2245" s="144" t="s">
        <v>31</v>
      </c>
      <c r="N2245" s="145">
        <v>180000.0</v>
      </c>
      <c r="O2245" s="146">
        <v>0.0</v>
      </c>
      <c r="P2245" s="48">
        <f t="array" ref="P2245">IFNA(XLOOKUP(J2245,'⚙️ Pengaturan'!$E$2:$E3237,'⚙️ Pengaturan'!$F$2:$F3237),"")</f>
        <v>180000</v>
      </c>
      <c r="Q2245" s="147">
        <f t="shared" si="57"/>
        <v>0</v>
      </c>
      <c r="R2245" s="41" t="s">
        <v>32</v>
      </c>
      <c r="S2245" s="76" t="s">
        <v>33</v>
      </c>
      <c r="T2245" s="51" t="b">
        <v>1</v>
      </c>
      <c r="U2245" s="94"/>
    </row>
    <row r="2246" ht="30.0" customHeight="1">
      <c r="A2246" s="39"/>
      <c r="B2246" s="164">
        <v>4287.0</v>
      </c>
      <c r="C2246" s="41" t="s">
        <v>22</v>
      </c>
      <c r="D2246" s="86">
        <v>46204.0</v>
      </c>
      <c r="E2246" s="43" t="str">
        <f t="shared" si="51"/>
        <v>2026</v>
      </c>
      <c r="F2246" s="43" t="str">
        <f t="shared" si="52"/>
        <v>07 Jul</v>
      </c>
      <c r="G2246" s="45" t="s">
        <v>241</v>
      </c>
      <c r="H2246" s="45" t="s">
        <v>149</v>
      </c>
      <c r="I2246" s="45" t="s">
        <v>1475</v>
      </c>
      <c r="J2246" s="143" t="s">
        <v>347</v>
      </c>
      <c r="K2246" s="43" t="str">
        <f t="array" ref="K2246">IF(J2246="","", XLOOKUP(J2246,'⚙️ Pengaturan'!$E$2:$E3237,'⚙️ Pengaturan'!$G$2:$G3237))</f>
        <v>KLINIK FT PAKET</v>
      </c>
      <c r="L2246" s="43" t="str">
        <f t="shared" si="3"/>
        <v>LANJUTAN</v>
      </c>
      <c r="M2246" s="144" t="s">
        <v>81</v>
      </c>
      <c r="N2246" s="145">
        <v>400000.0</v>
      </c>
      <c r="O2246" s="146">
        <v>600000.0</v>
      </c>
      <c r="P2246" s="48">
        <f t="array" ref="P2246">IFNA(XLOOKUP(J2246,'⚙️ Pengaturan'!$E$2:$E3237,'⚙️ Pengaturan'!$F$2:$F3237),"")</f>
        <v>1300000</v>
      </c>
      <c r="Q2246" s="147">
        <f t="shared" si="57"/>
        <v>-300000</v>
      </c>
      <c r="R2246" s="41" t="s">
        <v>37</v>
      </c>
      <c r="S2246" s="76" t="s">
        <v>1617</v>
      </c>
      <c r="T2246" s="51" t="b">
        <v>1</v>
      </c>
      <c r="U2246" s="94"/>
    </row>
    <row r="2247" ht="30.0" customHeight="1">
      <c r="A2247" s="39"/>
      <c r="B2247" s="40">
        <v>4288.0</v>
      </c>
      <c r="C2247" s="41" t="s">
        <v>22</v>
      </c>
      <c r="D2247" s="86">
        <v>46204.0</v>
      </c>
      <c r="E2247" s="43" t="str">
        <f t="shared" si="51"/>
        <v>2026</v>
      </c>
      <c r="F2247" s="43" t="str">
        <f t="shared" si="52"/>
        <v>07 Jul</v>
      </c>
      <c r="G2247" s="45" t="s">
        <v>35</v>
      </c>
      <c r="H2247" s="45" t="s">
        <v>76</v>
      </c>
      <c r="I2247" s="45" t="s">
        <v>1618</v>
      </c>
      <c r="J2247" s="143" t="s">
        <v>28</v>
      </c>
      <c r="K2247" s="43" t="str">
        <f t="array" ref="K2247">IF(J2247="","", XLOOKUP(J2247,'⚙️ Pengaturan'!$E$2:$E3237,'⚙️ Pengaturan'!$G$2:$G3237))</f>
        <v>KLINIK FT TA</v>
      </c>
      <c r="L2247" s="43" t="str">
        <f t="shared" si="3"/>
        <v>BARU</v>
      </c>
      <c r="M2247" s="144" t="s">
        <v>31</v>
      </c>
      <c r="N2247" s="145">
        <v>250000.0</v>
      </c>
      <c r="O2247" s="146">
        <v>0.0</v>
      </c>
      <c r="P2247" s="48">
        <f t="array" ref="P2247">IFNA(XLOOKUP(J2247,'⚙️ Pengaturan'!$E$2:$E3237,'⚙️ Pengaturan'!$F$2:$F3237),"")</f>
        <v>250000</v>
      </c>
      <c r="Q2247" s="147">
        <f t="shared" si="57"/>
        <v>0</v>
      </c>
      <c r="R2247" s="41" t="s">
        <v>32</v>
      </c>
      <c r="S2247" s="76" t="s">
        <v>33</v>
      </c>
      <c r="T2247" s="51" t="b">
        <v>1</v>
      </c>
      <c r="U2247" s="94"/>
    </row>
    <row r="2248" ht="30.0" customHeight="1">
      <c r="A2248" s="39"/>
      <c r="B2248" s="164">
        <v>4289.0</v>
      </c>
      <c r="C2248" s="41" t="s">
        <v>22</v>
      </c>
      <c r="D2248" s="86">
        <v>46204.0</v>
      </c>
      <c r="E2248" s="43" t="str">
        <f t="shared" si="51"/>
        <v>2026</v>
      </c>
      <c r="F2248" s="43" t="str">
        <f t="shared" si="52"/>
        <v>07 Jul</v>
      </c>
      <c r="G2248" s="45" t="s">
        <v>35</v>
      </c>
      <c r="H2248" s="45" t="s">
        <v>162</v>
      </c>
      <c r="I2248" s="45" t="s">
        <v>1485</v>
      </c>
      <c r="J2248" s="143" t="s">
        <v>347</v>
      </c>
      <c r="K2248" s="43" t="str">
        <f t="array" ref="K2248">IF(J2248="","", XLOOKUP(J2248,'⚙️ Pengaturan'!$E$2:$E3237,'⚙️ Pengaturan'!$G$2:$G3237))</f>
        <v>KLINIK FT PAKET</v>
      </c>
      <c r="L2248" s="43" t="str">
        <f t="shared" si="3"/>
        <v>LANJUTAN</v>
      </c>
      <c r="M2248" s="144" t="s">
        <v>164</v>
      </c>
      <c r="N2248" s="145">
        <v>650000.0</v>
      </c>
      <c r="O2248" s="146">
        <v>650000.0</v>
      </c>
      <c r="P2248" s="48">
        <f t="array" ref="P2248">IFNA(XLOOKUP(J2248,'⚙️ Pengaturan'!$E$2:$E3237,'⚙️ Pengaturan'!$F$2:$F3237),"")</f>
        <v>1300000</v>
      </c>
      <c r="Q2248" s="147">
        <f t="shared" si="57"/>
        <v>0</v>
      </c>
      <c r="R2248" s="41" t="s">
        <v>118</v>
      </c>
      <c r="S2248" s="76" t="s">
        <v>1619</v>
      </c>
      <c r="T2248" s="51" t="b">
        <v>1</v>
      </c>
      <c r="U2248" s="94"/>
    </row>
    <row r="2249" ht="30.0" customHeight="1">
      <c r="A2249" s="39"/>
      <c r="B2249" s="40">
        <v>4290.0</v>
      </c>
      <c r="C2249" s="41" t="s">
        <v>39</v>
      </c>
      <c r="D2249" s="86">
        <v>46204.0</v>
      </c>
      <c r="E2249" s="43" t="str">
        <f t="shared" si="51"/>
        <v>2026</v>
      </c>
      <c r="F2249" s="43" t="str">
        <f t="shared" si="52"/>
        <v>07 Jul</v>
      </c>
      <c r="G2249" s="45" t="s">
        <v>40</v>
      </c>
      <c r="H2249" s="45" t="s">
        <v>166</v>
      </c>
      <c r="I2249" s="45" t="s">
        <v>1611</v>
      </c>
      <c r="J2249" s="143" t="s">
        <v>120</v>
      </c>
      <c r="K2249" s="43" t="str">
        <f t="array" ref="K2249">IF(J2249="","", XLOOKUP(J2249,'⚙️ Pengaturan'!$E$2:$E3237,'⚙️ Pengaturan'!$G$2:$G3237))</f>
        <v>KLINIK FT SESI</v>
      </c>
      <c r="L2249" s="43" t="str">
        <f t="shared" si="3"/>
        <v>BARU</v>
      </c>
      <c r="M2249" s="144" t="s">
        <v>31</v>
      </c>
      <c r="N2249" s="145">
        <v>180000.0</v>
      </c>
      <c r="O2249" s="146">
        <v>0.0</v>
      </c>
      <c r="P2249" s="48">
        <f t="array" ref="P2249">IFNA(XLOOKUP(J2249,'⚙️ Pengaturan'!$E$2:$E3237,'⚙️ Pengaturan'!$F$2:$F3237),"")</f>
        <v>180000</v>
      </c>
      <c r="Q2249" s="147">
        <f t="shared" si="57"/>
        <v>0</v>
      </c>
      <c r="R2249" s="41" t="s">
        <v>37</v>
      </c>
      <c r="S2249" s="69" t="s">
        <v>1611</v>
      </c>
      <c r="T2249" s="51" t="b">
        <v>1</v>
      </c>
      <c r="U2249" s="94"/>
    </row>
    <row r="2250" ht="30.0" customHeight="1">
      <c r="A2250" s="39"/>
      <c r="B2250" s="164">
        <v>4291.0</v>
      </c>
      <c r="C2250" s="41" t="s">
        <v>39</v>
      </c>
      <c r="D2250" s="86">
        <v>46204.0</v>
      </c>
      <c r="E2250" s="43" t="str">
        <f t="shared" si="51"/>
        <v>2026</v>
      </c>
      <c r="F2250" s="43" t="str">
        <f t="shared" si="52"/>
        <v>07 Jul</v>
      </c>
      <c r="G2250" s="45" t="s">
        <v>43</v>
      </c>
      <c r="H2250" s="45" t="s">
        <v>162</v>
      </c>
      <c r="I2250" s="45" t="s">
        <v>1620</v>
      </c>
      <c r="J2250" s="143" t="s">
        <v>28</v>
      </c>
      <c r="K2250" s="43" t="str">
        <f t="array" ref="K2250">IF(J2250="","", XLOOKUP(J2250,'⚙️ Pengaturan'!$E$2:$E3237,'⚙️ Pengaturan'!$G$2:$G3237))</f>
        <v>KLINIK FT TA</v>
      </c>
      <c r="L2250" s="43" t="str">
        <f t="shared" si="3"/>
        <v>BARU</v>
      </c>
      <c r="M2250" s="144" t="s">
        <v>31</v>
      </c>
      <c r="N2250" s="145">
        <v>250000.0</v>
      </c>
      <c r="O2250" s="146">
        <v>0.0</v>
      </c>
      <c r="P2250" s="48">
        <f t="array" ref="P2250">IFNA(XLOOKUP(J2250,'⚙️ Pengaturan'!$E$2:$E3237,'⚙️ Pengaturan'!$F$2:$F3237),"")</f>
        <v>250000</v>
      </c>
      <c r="Q2250" s="147">
        <f t="shared" si="57"/>
        <v>0</v>
      </c>
      <c r="R2250" s="41" t="s">
        <v>32</v>
      </c>
      <c r="S2250" s="76" t="s">
        <v>33</v>
      </c>
      <c r="T2250" s="51" t="b">
        <v>1</v>
      </c>
      <c r="U2250" s="94"/>
    </row>
    <row r="2251" ht="30.0" customHeight="1">
      <c r="A2251" s="39"/>
      <c r="B2251" s="40">
        <v>4292.0</v>
      </c>
      <c r="C2251" s="41" t="s">
        <v>39</v>
      </c>
      <c r="D2251" s="86">
        <v>46204.0</v>
      </c>
      <c r="E2251" s="43" t="str">
        <f t="shared" si="51"/>
        <v>2026</v>
      </c>
      <c r="F2251" s="43" t="str">
        <f t="shared" si="52"/>
        <v>07 Jul</v>
      </c>
      <c r="G2251" s="45" t="s">
        <v>173</v>
      </c>
      <c r="H2251" s="45" t="s">
        <v>150</v>
      </c>
      <c r="I2251" s="45" t="s">
        <v>1621</v>
      </c>
      <c r="J2251" s="143" t="s">
        <v>28</v>
      </c>
      <c r="K2251" s="43" t="str">
        <f t="array" ref="K2251">IF(J2251="","", XLOOKUP(J2251,'⚙️ Pengaturan'!$E$2:$E3237,'⚙️ Pengaturan'!$G$2:$G3237))</f>
        <v>KLINIK FT TA</v>
      </c>
      <c r="L2251" s="43" t="str">
        <f t="shared" si="3"/>
        <v>BARU</v>
      </c>
      <c r="M2251" s="144" t="s">
        <v>31</v>
      </c>
      <c r="N2251" s="145">
        <v>250000.0</v>
      </c>
      <c r="O2251" s="146">
        <v>0.0</v>
      </c>
      <c r="P2251" s="48">
        <f t="array" ref="P2251">IFNA(XLOOKUP(J2251,'⚙️ Pengaturan'!$E$2:$E3237,'⚙️ Pengaturan'!$F$2:$F3237),"")</f>
        <v>250000</v>
      </c>
      <c r="Q2251" s="147">
        <f t="shared" si="57"/>
        <v>0</v>
      </c>
      <c r="R2251" s="41" t="s">
        <v>32</v>
      </c>
      <c r="S2251" s="76" t="s">
        <v>33</v>
      </c>
      <c r="T2251" s="51" t="b">
        <v>1</v>
      </c>
      <c r="U2251" s="94"/>
    </row>
    <row r="2252" ht="30.0" customHeight="1">
      <c r="A2252" s="39"/>
      <c r="B2252" s="164">
        <v>4293.0</v>
      </c>
      <c r="C2252" s="41" t="s">
        <v>39</v>
      </c>
      <c r="D2252" s="86">
        <v>46204.0</v>
      </c>
      <c r="E2252" s="43" t="str">
        <f t="shared" si="51"/>
        <v>2026</v>
      </c>
      <c r="F2252" s="43" t="str">
        <f t="shared" si="52"/>
        <v>07 Jul</v>
      </c>
      <c r="G2252" s="45" t="s">
        <v>173</v>
      </c>
      <c r="H2252" s="45" t="s">
        <v>162</v>
      </c>
      <c r="I2252" s="45" t="s">
        <v>1622</v>
      </c>
      <c r="J2252" s="143" t="s">
        <v>28</v>
      </c>
      <c r="K2252" s="43" t="str">
        <f t="array" ref="K2252">IF(J2252="","", XLOOKUP(J2252,'⚙️ Pengaturan'!$E$2:$E3237,'⚙️ Pengaturan'!$G$2:$G3237))</f>
        <v>KLINIK FT TA</v>
      </c>
      <c r="L2252" s="43" t="str">
        <f t="shared" si="3"/>
        <v>BARU</v>
      </c>
      <c r="M2252" s="144" t="s">
        <v>31</v>
      </c>
      <c r="N2252" s="145">
        <v>250000.0</v>
      </c>
      <c r="O2252" s="146">
        <v>0.0</v>
      </c>
      <c r="P2252" s="48">
        <f t="array" ref="P2252">IFNA(XLOOKUP(J2252,'⚙️ Pengaturan'!$E$2:$E3237,'⚙️ Pengaturan'!$F$2:$F3237),"")</f>
        <v>250000</v>
      </c>
      <c r="Q2252" s="147">
        <f t="shared" si="57"/>
        <v>0</v>
      </c>
      <c r="R2252" s="41" t="s">
        <v>32</v>
      </c>
      <c r="S2252" s="76" t="s">
        <v>33</v>
      </c>
      <c r="T2252" s="51" t="b">
        <v>1</v>
      </c>
      <c r="U2252" s="94"/>
    </row>
    <row r="2253" ht="30.0" customHeight="1">
      <c r="A2253" s="39"/>
      <c r="B2253" s="40">
        <v>4294.0</v>
      </c>
      <c r="C2253" s="41" t="s">
        <v>39</v>
      </c>
      <c r="D2253" s="86">
        <v>46204.0</v>
      </c>
      <c r="E2253" s="43" t="str">
        <f t="shared" si="51"/>
        <v>2026</v>
      </c>
      <c r="F2253" s="43" t="str">
        <f t="shared" si="52"/>
        <v>07 Jul</v>
      </c>
      <c r="G2253" s="45" t="s">
        <v>173</v>
      </c>
      <c r="H2253" s="45" t="s">
        <v>26</v>
      </c>
      <c r="I2253" s="45" t="s">
        <v>1399</v>
      </c>
      <c r="J2253" s="143" t="s">
        <v>120</v>
      </c>
      <c r="K2253" s="43" t="str">
        <f t="array" ref="K2253">IF(J2253="","", XLOOKUP(J2253,'⚙️ Pengaturan'!$E$2:$E3237,'⚙️ Pengaturan'!$G$2:$G3237))</f>
        <v>KLINIK FT SESI</v>
      </c>
      <c r="L2253" s="43" t="str">
        <f t="shared" si="3"/>
        <v>LANJUTAN</v>
      </c>
      <c r="M2253" s="144" t="s">
        <v>31</v>
      </c>
      <c r="N2253" s="145">
        <v>180000.0</v>
      </c>
      <c r="O2253" s="146">
        <v>0.0</v>
      </c>
      <c r="P2253" s="48">
        <f t="array" ref="P2253">IFNA(XLOOKUP(J2253,'⚙️ Pengaturan'!$E$2:$E3237,'⚙️ Pengaturan'!$F$2:$F3237),"")</f>
        <v>180000</v>
      </c>
      <c r="Q2253" s="147">
        <f t="shared" si="57"/>
        <v>0</v>
      </c>
      <c r="R2253" s="41" t="s">
        <v>32</v>
      </c>
      <c r="S2253" s="76" t="s">
        <v>33</v>
      </c>
      <c r="T2253" s="51" t="b">
        <v>1</v>
      </c>
      <c r="U2253" s="94"/>
    </row>
    <row r="2254" ht="30.0" customHeight="1">
      <c r="A2254" s="39"/>
      <c r="B2254" s="164">
        <v>4295.0</v>
      </c>
      <c r="C2254" s="41" t="s">
        <v>39</v>
      </c>
      <c r="D2254" s="86">
        <v>46204.0</v>
      </c>
      <c r="E2254" s="43" t="str">
        <f t="shared" si="51"/>
        <v>2026</v>
      </c>
      <c r="F2254" s="43" t="str">
        <f t="shared" si="52"/>
        <v>07 Jul</v>
      </c>
      <c r="G2254" s="45" t="s">
        <v>155</v>
      </c>
      <c r="H2254" s="45" t="s">
        <v>162</v>
      </c>
      <c r="I2254" s="45" t="s">
        <v>1142</v>
      </c>
      <c r="J2254" s="143" t="s">
        <v>119</v>
      </c>
      <c r="K2254" s="43" t="str">
        <f t="array" ref="K2254">IF(J2254="","", XLOOKUP(J2254,'⚙️ Pengaturan'!$E$2:$E3237,'⚙️ Pengaturan'!$G$2:$G3237))</f>
        <v>KLINIK FT PAKET</v>
      </c>
      <c r="L2254" s="43" t="str">
        <f t="shared" si="3"/>
        <v>LANJUTAN</v>
      </c>
      <c r="M2254" s="144" t="s">
        <v>31</v>
      </c>
      <c r="N2254" s="145">
        <v>750000.0</v>
      </c>
      <c r="O2254" s="146">
        <v>0.0</v>
      </c>
      <c r="P2254" s="48">
        <f t="array" ref="P2254">IFNA(XLOOKUP(J2254,'⚙️ Pengaturan'!$E$2:$E3237,'⚙️ Pengaturan'!$F$2:$F3237),"")</f>
        <v>750000</v>
      </c>
      <c r="Q2254" s="147">
        <f t="shared" si="57"/>
        <v>0</v>
      </c>
      <c r="R2254" s="41" t="s">
        <v>37</v>
      </c>
      <c r="S2254" s="69" t="s">
        <v>1142</v>
      </c>
      <c r="T2254" s="51" t="b">
        <v>1</v>
      </c>
      <c r="U2254" s="94"/>
    </row>
    <row r="2255" ht="30.0" customHeight="1">
      <c r="A2255" s="39"/>
      <c r="B2255" s="40">
        <v>4296.0</v>
      </c>
      <c r="C2255" s="41" t="s">
        <v>39</v>
      </c>
      <c r="D2255" s="86">
        <v>46204.0</v>
      </c>
      <c r="E2255" s="43" t="str">
        <f t="shared" si="51"/>
        <v>2026</v>
      </c>
      <c r="F2255" s="43" t="str">
        <f t="shared" si="52"/>
        <v>07 Jul</v>
      </c>
      <c r="G2255" s="45" t="s">
        <v>155</v>
      </c>
      <c r="H2255" s="45" t="s">
        <v>166</v>
      </c>
      <c r="I2255" s="45" t="s">
        <v>1579</v>
      </c>
      <c r="J2255" s="143" t="s">
        <v>120</v>
      </c>
      <c r="K2255" s="43" t="str">
        <f t="array" ref="K2255">IF(J2255="","", XLOOKUP(J2255,'⚙️ Pengaturan'!$E$2:$E3237,'⚙️ Pengaturan'!$G$2:$G3237))</f>
        <v>KLINIK FT SESI</v>
      </c>
      <c r="L2255" s="43" t="str">
        <f t="shared" si="3"/>
        <v>LANJUTAN</v>
      </c>
      <c r="M2255" s="144" t="s">
        <v>31</v>
      </c>
      <c r="N2255" s="145">
        <v>180000.0</v>
      </c>
      <c r="O2255" s="146">
        <v>0.0</v>
      </c>
      <c r="P2255" s="48">
        <f t="array" ref="P2255">IFNA(XLOOKUP(J2255,'⚙️ Pengaturan'!$E$2:$E3237,'⚙️ Pengaturan'!$F$2:$F3237),"")</f>
        <v>180000</v>
      </c>
      <c r="Q2255" s="147">
        <f t="shared" si="57"/>
        <v>0</v>
      </c>
      <c r="R2255" s="41" t="s">
        <v>37</v>
      </c>
      <c r="S2255" s="69" t="s">
        <v>1579</v>
      </c>
      <c r="T2255" s="51" t="b">
        <v>1</v>
      </c>
      <c r="U2255" s="94"/>
    </row>
    <row r="2256" ht="30.0" customHeight="1">
      <c r="A2256" s="39"/>
      <c r="B2256" s="164">
        <v>4297.0</v>
      </c>
      <c r="C2256" s="41" t="s">
        <v>22</v>
      </c>
      <c r="D2256" s="86">
        <v>46205.0</v>
      </c>
      <c r="E2256" s="43" t="str">
        <f t="shared" si="51"/>
        <v>2026</v>
      </c>
      <c r="F2256" s="43" t="str">
        <f t="shared" si="52"/>
        <v>07 Jul</v>
      </c>
      <c r="G2256" s="45" t="s">
        <v>195</v>
      </c>
      <c r="H2256" s="45" t="s">
        <v>150</v>
      </c>
      <c r="I2256" s="45" t="s">
        <v>591</v>
      </c>
      <c r="J2256" s="143" t="s">
        <v>120</v>
      </c>
      <c r="K2256" s="43" t="str">
        <f t="array" ref="K2256">IF(J2256="","", XLOOKUP(J2256,'⚙️ Pengaturan'!$E$2:$E3237,'⚙️ Pengaturan'!$G$2:$G3237))</f>
        <v>KLINIK FT SESI</v>
      </c>
      <c r="L2256" s="43" t="str">
        <f t="shared" si="3"/>
        <v>BARU</v>
      </c>
      <c r="M2256" s="144" t="s">
        <v>31</v>
      </c>
      <c r="N2256" s="145">
        <v>180000.0</v>
      </c>
      <c r="O2256" s="146">
        <v>0.0</v>
      </c>
      <c r="P2256" s="48">
        <f t="array" ref="P2256">IFNA(XLOOKUP(J2256,'⚙️ Pengaturan'!$E$2:$E3237,'⚙️ Pengaturan'!$F$2:$F3237),"")</f>
        <v>180000</v>
      </c>
      <c r="Q2256" s="147">
        <f t="shared" si="57"/>
        <v>0</v>
      </c>
      <c r="R2256" s="41" t="s">
        <v>32</v>
      </c>
      <c r="S2256" s="76" t="s">
        <v>33</v>
      </c>
      <c r="T2256" s="51" t="b">
        <v>1</v>
      </c>
      <c r="U2256" s="94"/>
    </row>
    <row r="2257" ht="30.0" customHeight="1">
      <c r="A2257" s="39"/>
      <c r="B2257" s="40">
        <v>4298.0</v>
      </c>
      <c r="C2257" s="41" t="s">
        <v>22</v>
      </c>
      <c r="D2257" s="86">
        <v>46205.0</v>
      </c>
      <c r="E2257" s="43" t="str">
        <f t="shared" si="51"/>
        <v>2026</v>
      </c>
      <c r="F2257" s="43" t="str">
        <f t="shared" si="52"/>
        <v>07 Jul</v>
      </c>
      <c r="G2257" s="45" t="s">
        <v>25</v>
      </c>
      <c r="H2257" s="45" t="s">
        <v>26</v>
      </c>
      <c r="I2257" s="45" t="s">
        <v>27</v>
      </c>
      <c r="J2257" s="143" t="s">
        <v>28</v>
      </c>
      <c r="K2257" s="43" t="str">
        <f t="array" ref="K2257">IF(J2257="","", XLOOKUP(J2257,'⚙️ Pengaturan'!$E$2:$E3237,'⚙️ Pengaturan'!$G$2:$G3237))</f>
        <v>KLINIK FT TA</v>
      </c>
      <c r="L2257" s="43" t="str">
        <f t="shared" si="3"/>
        <v>BARU</v>
      </c>
      <c r="M2257" s="144" t="s">
        <v>31</v>
      </c>
      <c r="N2257" s="145">
        <v>250000.0</v>
      </c>
      <c r="O2257" s="146">
        <v>0.0</v>
      </c>
      <c r="P2257" s="48">
        <f t="array" ref="P2257">IFNA(XLOOKUP(J2257,'⚙️ Pengaturan'!$E$2:$E3237,'⚙️ Pengaturan'!$F$2:$F3237),"")</f>
        <v>250000</v>
      </c>
      <c r="Q2257" s="147">
        <f t="shared" si="57"/>
        <v>0</v>
      </c>
      <c r="R2257" s="41" t="s">
        <v>32</v>
      </c>
      <c r="S2257" s="76" t="s">
        <v>33</v>
      </c>
      <c r="T2257" s="51" t="b">
        <v>1</v>
      </c>
      <c r="U2257" s="94"/>
    </row>
    <row r="2258" ht="30.0" customHeight="1">
      <c r="A2258" s="39"/>
      <c r="B2258" s="164">
        <v>4299.0</v>
      </c>
      <c r="C2258" s="41" t="s">
        <v>22</v>
      </c>
      <c r="D2258" s="86">
        <v>46205.0</v>
      </c>
      <c r="E2258" s="43" t="str">
        <f t="shared" si="51"/>
        <v>2026</v>
      </c>
      <c r="F2258" s="43" t="str">
        <f t="shared" si="52"/>
        <v>07 Jul</v>
      </c>
      <c r="G2258" s="45" t="s">
        <v>25</v>
      </c>
      <c r="H2258" s="45" t="s">
        <v>166</v>
      </c>
      <c r="I2258" s="45" t="s">
        <v>1529</v>
      </c>
      <c r="J2258" s="143" t="s">
        <v>120</v>
      </c>
      <c r="K2258" s="43" t="str">
        <f t="array" ref="K2258">IF(J2258="","", XLOOKUP(J2258,'⚙️ Pengaturan'!$E$2:$E3237,'⚙️ Pengaturan'!$G$2:$G3237))</f>
        <v>KLINIK FT SESI</v>
      </c>
      <c r="L2258" s="43" t="str">
        <f t="shared" si="3"/>
        <v>BARU</v>
      </c>
      <c r="M2258" s="144" t="s">
        <v>31</v>
      </c>
      <c r="N2258" s="145">
        <v>180000.0</v>
      </c>
      <c r="O2258" s="146">
        <v>0.0</v>
      </c>
      <c r="P2258" s="48">
        <f t="array" ref="P2258">IFNA(XLOOKUP(J2258,'⚙️ Pengaturan'!$E$2:$E3237,'⚙️ Pengaturan'!$F$2:$F3237),"")</f>
        <v>180000</v>
      </c>
      <c r="Q2258" s="147">
        <f t="shared" si="57"/>
        <v>0</v>
      </c>
      <c r="R2258" s="41" t="s">
        <v>32</v>
      </c>
      <c r="S2258" s="76" t="s">
        <v>33</v>
      </c>
      <c r="T2258" s="51" t="b">
        <v>1</v>
      </c>
      <c r="U2258" s="94"/>
    </row>
    <row r="2259" ht="30.0" customHeight="1">
      <c r="A2259" s="39"/>
      <c r="B2259" s="40">
        <v>4300.0</v>
      </c>
      <c r="C2259" s="41" t="s">
        <v>22</v>
      </c>
      <c r="D2259" s="86">
        <v>46205.0</v>
      </c>
      <c r="E2259" s="43" t="str">
        <f t="shared" si="51"/>
        <v>2026</v>
      </c>
      <c r="F2259" s="43" t="str">
        <f t="shared" si="52"/>
        <v>07 Jul</v>
      </c>
      <c r="G2259" s="45" t="s">
        <v>35</v>
      </c>
      <c r="H2259" s="45" t="s">
        <v>26</v>
      </c>
      <c r="I2259" s="45" t="s">
        <v>36</v>
      </c>
      <c r="J2259" s="143" t="s">
        <v>28</v>
      </c>
      <c r="K2259" s="43" t="str">
        <f t="array" ref="K2259">IF(J2259="","", XLOOKUP(J2259,'⚙️ Pengaturan'!$E$2:$E3237,'⚙️ Pengaturan'!$G$2:$G3237))</f>
        <v>KLINIK FT TA</v>
      </c>
      <c r="L2259" s="43" t="str">
        <f t="shared" si="3"/>
        <v>BARU</v>
      </c>
      <c r="M2259" s="144" t="s">
        <v>31</v>
      </c>
      <c r="N2259" s="145">
        <v>250000.0</v>
      </c>
      <c r="O2259" s="146">
        <v>0.0</v>
      </c>
      <c r="P2259" s="48">
        <f t="array" ref="P2259">IFNA(XLOOKUP(J2259,'⚙️ Pengaturan'!$E$2:$E3237,'⚙️ Pengaturan'!$F$2:$F3237),"")</f>
        <v>250000</v>
      </c>
      <c r="Q2259" s="147">
        <f t="shared" si="57"/>
        <v>0</v>
      </c>
      <c r="R2259" s="41" t="s">
        <v>37</v>
      </c>
      <c r="S2259" s="76" t="s">
        <v>38</v>
      </c>
      <c r="T2259" s="51" t="b">
        <v>1</v>
      </c>
      <c r="U2259" s="94"/>
    </row>
    <row r="2260" ht="30.0" customHeight="1">
      <c r="A2260" s="39"/>
      <c r="B2260" s="164">
        <v>4301.0</v>
      </c>
      <c r="C2260" s="41" t="s">
        <v>22</v>
      </c>
      <c r="D2260" s="86">
        <v>46205.0</v>
      </c>
      <c r="E2260" s="43" t="str">
        <f t="shared" si="51"/>
        <v>2026</v>
      </c>
      <c r="F2260" s="43" t="str">
        <f t="shared" si="52"/>
        <v>07 Jul</v>
      </c>
      <c r="G2260" s="45" t="s">
        <v>35</v>
      </c>
      <c r="H2260" s="45" t="s">
        <v>150</v>
      </c>
      <c r="I2260" s="45" t="s">
        <v>1597</v>
      </c>
      <c r="J2260" s="143" t="s">
        <v>120</v>
      </c>
      <c r="K2260" s="43" t="str">
        <f t="array" ref="K2260">IF(J2260="","", XLOOKUP(J2260,'⚙️ Pengaturan'!$E$2:$E3237,'⚙️ Pengaturan'!$G$2:$G3237))</f>
        <v>KLINIK FT SESI</v>
      </c>
      <c r="L2260" s="43" t="str">
        <f t="shared" si="3"/>
        <v>BARU</v>
      </c>
      <c r="M2260" s="144" t="s">
        <v>31</v>
      </c>
      <c r="N2260" s="145">
        <v>180000.0</v>
      </c>
      <c r="O2260" s="146">
        <v>0.0</v>
      </c>
      <c r="P2260" s="48">
        <f t="array" ref="P2260">IFNA(XLOOKUP(J2260,'⚙️ Pengaturan'!$E$2:$E3237,'⚙️ Pengaturan'!$F$2:$F3237),"")</f>
        <v>180000</v>
      </c>
      <c r="Q2260" s="147">
        <f t="shared" si="57"/>
        <v>0</v>
      </c>
      <c r="R2260" s="41" t="s">
        <v>32</v>
      </c>
      <c r="S2260" s="76" t="s">
        <v>33</v>
      </c>
      <c r="T2260" s="51" t="b">
        <v>1</v>
      </c>
      <c r="U2260" s="94"/>
    </row>
    <row r="2261" ht="30.0" customHeight="1">
      <c r="A2261" s="39"/>
      <c r="B2261" s="40">
        <v>4302.0</v>
      </c>
      <c r="C2261" s="41" t="s">
        <v>39</v>
      </c>
      <c r="D2261" s="86">
        <v>46205.0</v>
      </c>
      <c r="E2261" s="43" t="str">
        <f t="shared" si="51"/>
        <v>2026</v>
      </c>
      <c r="F2261" s="43" t="str">
        <f t="shared" si="52"/>
        <v>07 Jul</v>
      </c>
      <c r="G2261" s="45" t="s">
        <v>40</v>
      </c>
      <c r="H2261" s="45" t="s">
        <v>41</v>
      </c>
      <c r="I2261" s="45" t="s">
        <v>42</v>
      </c>
      <c r="J2261" s="143" t="s">
        <v>28</v>
      </c>
      <c r="K2261" s="43" t="str">
        <f t="array" ref="K2261">IF(J2261="","", XLOOKUP(J2261,'⚙️ Pengaturan'!$E$2:$E3237,'⚙️ Pengaturan'!$G$2:$G3237))</f>
        <v>KLINIK FT TA</v>
      </c>
      <c r="L2261" s="43" t="str">
        <f t="shared" si="3"/>
        <v>BARU</v>
      </c>
      <c r="M2261" s="144" t="s">
        <v>31</v>
      </c>
      <c r="N2261" s="145">
        <v>250000.0</v>
      </c>
      <c r="O2261" s="146">
        <v>0.0</v>
      </c>
      <c r="P2261" s="48">
        <f t="array" ref="P2261">IFNA(XLOOKUP(J2261,'⚙️ Pengaturan'!$E$2:$E3237,'⚙️ Pengaturan'!$F$2:$F3237),"")</f>
        <v>250000</v>
      </c>
      <c r="Q2261" s="147">
        <f t="shared" si="57"/>
        <v>0</v>
      </c>
      <c r="R2261" s="41" t="s">
        <v>32</v>
      </c>
      <c r="S2261" s="76" t="s">
        <v>33</v>
      </c>
      <c r="T2261" s="51" t="b">
        <v>1</v>
      </c>
      <c r="U2261" s="94"/>
    </row>
    <row r="2262" ht="30.0" customHeight="1">
      <c r="A2262" s="39"/>
      <c r="B2262" s="164">
        <v>4303.0</v>
      </c>
      <c r="C2262" s="41" t="s">
        <v>39</v>
      </c>
      <c r="D2262" s="86">
        <v>46205.0</v>
      </c>
      <c r="E2262" s="43" t="str">
        <f t="shared" si="51"/>
        <v>2026</v>
      </c>
      <c r="F2262" s="43" t="str">
        <f t="shared" si="52"/>
        <v>07 Jul</v>
      </c>
      <c r="G2262" s="45" t="s">
        <v>40</v>
      </c>
      <c r="H2262" s="45" t="s">
        <v>47</v>
      </c>
      <c r="I2262" s="45" t="s">
        <v>1610</v>
      </c>
      <c r="J2262" s="143" t="s">
        <v>119</v>
      </c>
      <c r="K2262" s="43" t="str">
        <f t="array" ref="K2262">IF(J2262="","", XLOOKUP(J2262,'⚙️ Pengaturan'!$E$2:$E3237,'⚙️ Pengaturan'!$G$2:$G3237))</f>
        <v>KLINIK FT PAKET</v>
      </c>
      <c r="L2262" s="43" t="str">
        <f t="shared" si="3"/>
        <v>BARU</v>
      </c>
      <c r="M2262" s="144" t="s">
        <v>31</v>
      </c>
      <c r="N2262" s="145">
        <v>750000.0</v>
      </c>
      <c r="O2262" s="146">
        <v>0.0</v>
      </c>
      <c r="P2262" s="48">
        <f t="array" ref="P2262">IFNA(XLOOKUP(J2262,'⚙️ Pengaturan'!$E$2:$E3237,'⚙️ Pengaturan'!$F$2:$F3237),"")</f>
        <v>750000</v>
      </c>
      <c r="Q2262" s="147">
        <f t="shared" si="57"/>
        <v>0</v>
      </c>
      <c r="R2262" s="41" t="s">
        <v>37</v>
      </c>
      <c r="S2262" s="69" t="s">
        <v>1610</v>
      </c>
      <c r="T2262" s="51" t="b">
        <v>1</v>
      </c>
      <c r="U2262" s="94"/>
    </row>
    <row r="2263" ht="30.0" customHeight="1">
      <c r="A2263" s="39"/>
      <c r="B2263" s="40">
        <v>4304.0</v>
      </c>
      <c r="C2263" s="41" t="s">
        <v>39</v>
      </c>
      <c r="D2263" s="86">
        <v>46205.0</v>
      </c>
      <c r="E2263" s="43" t="str">
        <f t="shared" si="51"/>
        <v>2026</v>
      </c>
      <c r="F2263" s="43" t="str">
        <f t="shared" si="52"/>
        <v>07 Jul</v>
      </c>
      <c r="G2263" s="45" t="s">
        <v>40</v>
      </c>
      <c r="H2263" s="45" t="s">
        <v>156</v>
      </c>
      <c r="I2263" s="45" t="s">
        <v>1081</v>
      </c>
      <c r="J2263" s="143" t="s">
        <v>347</v>
      </c>
      <c r="K2263" s="43" t="str">
        <f t="array" ref="K2263">IF(J2263="","", XLOOKUP(J2263,'⚙️ Pengaturan'!$E$2:$E3237,'⚙️ Pengaturan'!$G$2:$G3237))</f>
        <v>KLINIK FT PAKET</v>
      </c>
      <c r="L2263" s="43" t="str">
        <f t="shared" si="3"/>
        <v>LANJUTAN</v>
      </c>
      <c r="M2263" s="144" t="s">
        <v>31</v>
      </c>
      <c r="N2263" s="145">
        <v>1300000.0</v>
      </c>
      <c r="O2263" s="146">
        <v>0.0</v>
      </c>
      <c r="P2263" s="48">
        <f t="array" ref="P2263">IFNA(XLOOKUP(J2263,'⚙️ Pengaturan'!$E$2:$E3237,'⚙️ Pengaturan'!$F$2:$F3237),"")</f>
        <v>1300000</v>
      </c>
      <c r="Q2263" s="147">
        <f t="shared" si="57"/>
        <v>0</v>
      </c>
      <c r="R2263" s="41" t="s">
        <v>37</v>
      </c>
      <c r="S2263" s="69" t="s">
        <v>1081</v>
      </c>
      <c r="T2263" s="51" t="b">
        <v>1</v>
      </c>
      <c r="U2263" s="94"/>
    </row>
    <row r="2264" ht="30.0" customHeight="1">
      <c r="A2264" s="39"/>
      <c r="B2264" s="164">
        <v>4305.0</v>
      </c>
      <c r="C2264" s="41" t="s">
        <v>39</v>
      </c>
      <c r="D2264" s="86">
        <v>46205.0</v>
      </c>
      <c r="E2264" s="43" t="str">
        <f t="shared" si="51"/>
        <v>2026</v>
      </c>
      <c r="F2264" s="43" t="str">
        <f t="shared" si="52"/>
        <v>07 Jul</v>
      </c>
      <c r="G2264" s="45" t="s">
        <v>40</v>
      </c>
      <c r="H2264" s="45" t="s">
        <v>76</v>
      </c>
      <c r="I2264" s="45" t="s">
        <v>1376</v>
      </c>
      <c r="J2264" s="143" t="s">
        <v>349</v>
      </c>
      <c r="K2264" s="43" t="str">
        <f t="array" ref="K2264">IF(J2264="","", XLOOKUP(J2264,'⚙️ Pengaturan'!$E$2:$E3237,'⚙️ Pengaturan'!$G$2:$G3237))</f>
        <v>KLINIK FT PAKET</v>
      </c>
      <c r="L2264" s="43" t="str">
        <f t="shared" si="3"/>
        <v>LANJUTAN</v>
      </c>
      <c r="M2264" s="144" t="s">
        <v>164</v>
      </c>
      <c r="N2264" s="145">
        <v>1400000.0</v>
      </c>
      <c r="O2264" s="146">
        <v>1000000.0</v>
      </c>
      <c r="P2264" s="48">
        <f t="array" ref="P2264">IFNA(XLOOKUP(J2264,'⚙️ Pengaturan'!$E$2:$E3237,'⚙️ Pengaturan'!$F$2:$F3237),"")</f>
        <v>2400000</v>
      </c>
      <c r="Q2264" s="147">
        <f t="shared" si="57"/>
        <v>0</v>
      </c>
      <c r="R2264" s="41" t="s">
        <v>37</v>
      </c>
      <c r="S2264" s="69" t="s">
        <v>1376</v>
      </c>
      <c r="T2264" s="51" t="b">
        <v>1</v>
      </c>
      <c r="U2264" s="94"/>
    </row>
    <row r="2265" ht="30.0" customHeight="1">
      <c r="A2265" s="39"/>
      <c r="B2265" s="40">
        <v>4306.0</v>
      </c>
      <c r="C2265" s="41" t="s">
        <v>39</v>
      </c>
      <c r="D2265" s="86">
        <v>46205.0</v>
      </c>
      <c r="E2265" s="43" t="str">
        <f t="shared" si="51"/>
        <v>2026</v>
      </c>
      <c r="F2265" s="43" t="str">
        <f t="shared" si="52"/>
        <v>07 Jul</v>
      </c>
      <c r="G2265" s="45" t="s">
        <v>43</v>
      </c>
      <c r="H2265" s="45" t="s">
        <v>41</v>
      </c>
      <c r="I2265" s="45" t="s">
        <v>44</v>
      </c>
      <c r="J2265" s="143" t="s">
        <v>28</v>
      </c>
      <c r="K2265" s="43" t="str">
        <f t="array" ref="K2265">IF(J2265="","", XLOOKUP(J2265,'⚙️ Pengaturan'!$E$2:$E3237,'⚙️ Pengaturan'!$G$2:$G3237))</f>
        <v>KLINIK FT TA</v>
      </c>
      <c r="L2265" s="43" t="str">
        <f t="shared" si="3"/>
        <v>BARU</v>
      </c>
      <c r="M2265" s="144" t="s">
        <v>31</v>
      </c>
      <c r="N2265" s="145">
        <v>250000.0</v>
      </c>
      <c r="O2265" s="146">
        <v>0.0</v>
      </c>
      <c r="P2265" s="48">
        <f t="array" ref="P2265">IFNA(XLOOKUP(J2265,'⚙️ Pengaturan'!$E$2:$E3237,'⚙️ Pengaturan'!$F$2:$F3237),"")</f>
        <v>250000</v>
      </c>
      <c r="Q2265" s="147">
        <f t="shared" si="57"/>
        <v>0</v>
      </c>
      <c r="R2265" s="41" t="s">
        <v>37</v>
      </c>
      <c r="S2265" s="69" t="s">
        <v>44</v>
      </c>
      <c r="T2265" s="51" t="b">
        <v>1</v>
      </c>
      <c r="U2265" s="94"/>
    </row>
    <row r="2266" ht="30.0" customHeight="1">
      <c r="A2266" s="39"/>
      <c r="B2266" s="164">
        <v>4307.0</v>
      </c>
      <c r="C2266" s="41" t="s">
        <v>39</v>
      </c>
      <c r="D2266" s="86">
        <v>46205.0</v>
      </c>
      <c r="E2266" s="43" t="str">
        <f t="shared" si="51"/>
        <v>2026</v>
      </c>
      <c r="F2266" s="43" t="str">
        <f t="shared" si="52"/>
        <v>07 Jul</v>
      </c>
      <c r="G2266" s="45" t="s">
        <v>173</v>
      </c>
      <c r="H2266" s="45" t="s">
        <v>41</v>
      </c>
      <c r="I2266" s="45" t="s">
        <v>1623</v>
      </c>
      <c r="J2266" s="143" t="s">
        <v>28</v>
      </c>
      <c r="K2266" s="50" t="s">
        <v>48</v>
      </c>
      <c r="L2266" s="43" t="str">
        <f t="shared" si="3"/>
        <v>BARU</v>
      </c>
      <c r="M2266" s="144" t="s">
        <v>31</v>
      </c>
      <c r="N2266" s="145">
        <v>250000.0</v>
      </c>
      <c r="O2266" s="146">
        <v>0.0</v>
      </c>
      <c r="P2266" s="48">
        <f t="array" ref="P2266">IFNA(XLOOKUP(J2266,'⚙️ Pengaturan'!$E$2:$E3237,'⚙️ Pengaturan'!$F$2:$F3237),"")</f>
        <v>250000</v>
      </c>
      <c r="Q2266" s="147">
        <f t="shared" si="57"/>
        <v>0</v>
      </c>
      <c r="R2266" s="41" t="s">
        <v>118</v>
      </c>
      <c r="S2266" s="76" t="s">
        <v>1624</v>
      </c>
      <c r="T2266" s="51" t="b">
        <v>1</v>
      </c>
      <c r="U2266" s="94"/>
    </row>
    <row r="2267" ht="30.0" customHeight="1">
      <c r="A2267" s="39"/>
      <c r="B2267" s="40">
        <v>4308.0</v>
      </c>
      <c r="C2267" s="41" t="s">
        <v>39</v>
      </c>
      <c r="D2267" s="86">
        <v>46205.0</v>
      </c>
      <c r="E2267" s="43" t="str">
        <f t="shared" si="51"/>
        <v>2026</v>
      </c>
      <c r="F2267" s="43" t="str">
        <f t="shared" si="52"/>
        <v>07 Jul</v>
      </c>
      <c r="G2267" s="45" t="s">
        <v>46</v>
      </c>
      <c r="H2267" s="45" t="s">
        <v>47</v>
      </c>
      <c r="I2267" s="45" t="s">
        <v>49</v>
      </c>
      <c r="J2267" s="143" t="s">
        <v>28</v>
      </c>
      <c r="K2267" s="43" t="str">
        <f t="array" ref="K2267">IF(J2267="","", XLOOKUP(J2267,'⚙️ Pengaturan'!$E$2:$E3237,'⚙️ Pengaturan'!$G$2:$G3237))</f>
        <v>KLINIK FT TA</v>
      </c>
      <c r="L2267" s="43" t="str">
        <f t="shared" si="3"/>
        <v>BARU</v>
      </c>
      <c r="M2267" s="144" t="s">
        <v>31</v>
      </c>
      <c r="N2267" s="145">
        <v>250000.0</v>
      </c>
      <c r="O2267" s="146">
        <v>0.0</v>
      </c>
      <c r="P2267" s="48">
        <f t="array" ref="P2267">IFNA(XLOOKUP(J2267,'⚙️ Pengaturan'!$E$2:$E3237,'⚙️ Pengaturan'!$F$2:$F3237),"")</f>
        <v>250000</v>
      </c>
      <c r="Q2267" s="147">
        <f t="shared" si="57"/>
        <v>0</v>
      </c>
      <c r="R2267" s="41" t="s">
        <v>32</v>
      </c>
      <c r="S2267" s="76" t="s">
        <v>33</v>
      </c>
      <c r="T2267" s="51" t="b">
        <v>1</v>
      </c>
      <c r="U2267" s="94"/>
    </row>
    <row r="2268" ht="30.0" customHeight="1">
      <c r="A2268" s="39"/>
      <c r="B2268" s="164">
        <v>4309.0</v>
      </c>
      <c r="C2268" s="41" t="s">
        <v>39</v>
      </c>
      <c r="D2268" s="86">
        <v>46205.0</v>
      </c>
      <c r="E2268" s="43" t="str">
        <f t="shared" si="51"/>
        <v>2026</v>
      </c>
      <c r="F2268" s="43" t="str">
        <f t="shared" si="52"/>
        <v>07 Jul</v>
      </c>
      <c r="G2268" s="45" t="s">
        <v>155</v>
      </c>
      <c r="H2268" s="45" t="s">
        <v>149</v>
      </c>
      <c r="I2268" s="45" t="s">
        <v>1540</v>
      </c>
      <c r="J2268" s="143" t="s">
        <v>119</v>
      </c>
      <c r="K2268" s="43" t="str">
        <f t="array" ref="K2268">IF(J2268="","", XLOOKUP(J2268,'⚙️ Pengaturan'!$E$2:$E3237,'⚙️ Pengaturan'!$G$2:$G3237))</f>
        <v>KLINIK FT PAKET</v>
      </c>
      <c r="L2268" s="43" t="str">
        <f t="shared" si="3"/>
        <v>LANJUTAN</v>
      </c>
      <c r="M2268" s="144" t="s">
        <v>31</v>
      </c>
      <c r="N2268" s="145">
        <v>450000.0</v>
      </c>
      <c r="O2268" s="146">
        <v>300000.0</v>
      </c>
      <c r="P2268" s="48">
        <f t="array" ref="P2268">IFNA(XLOOKUP(J2268,'⚙️ Pengaturan'!$E$2:$E3237,'⚙️ Pengaturan'!$F$2:$F3237),"")</f>
        <v>750000</v>
      </c>
      <c r="Q2268" s="147">
        <f t="shared" si="57"/>
        <v>0</v>
      </c>
      <c r="R2268" s="41" t="s">
        <v>32</v>
      </c>
      <c r="S2268" s="76" t="s">
        <v>33</v>
      </c>
      <c r="T2268" s="51" t="b">
        <v>1</v>
      </c>
      <c r="U2268" s="94"/>
    </row>
    <row r="2269" ht="30.0" customHeight="1">
      <c r="A2269" s="39"/>
      <c r="B2269" s="40">
        <v>4310.0</v>
      </c>
      <c r="C2269" s="41" t="s">
        <v>22</v>
      </c>
      <c r="D2269" s="86">
        <v>46206.0</v>
      </c>
      <c r="E2269" s="43" t="str">
        <f t="shared" si="51"/>
        <v>2026</v>
      </c>
      <c r="F2269" s="43" t="str">
        <f t="shared" si="52"/>
        <v>07 Jul</v>
      </c>
      <c r="G2269" s="45" t="s">
        <v>195</v>
      </c>
      <c r="H2269" s="45" t="s">
        <v>149</v>
      </c>
      <c r="I2269" s="45" t="s">
        <v>1551</v>
      </c>
      <c r="J2269" s="143" t="s">
        <v>120</v>
      </c>
      <c r="K2269" s="43" t="str">
        <f t="array" ref="K2269">IF(J2269="","", XLOOKUP(J2269,'⚙️ Pengaturan'!$E$2:$E3237,'⚙️ Pengaturan'!$G$2:$G3237))</f>
        <v>KLINIK FT SESI</v>
      </c>
      <c r="L2269" s="43" t="str">
        <f t="shared" si="3"/>
        <v>LANJUTAN</v>
      </c>
      <c r="M2269" s="144" t="s">
        <v>31</v>
      </c>
      <c r="N2269" s="145">
        <v>180000.0</v>
      </c>
      <c r="O2269" s="146">
        <v>0.0</v>
      </c>
      <c r="P2269" s="48">
        <f t="array" ref="P2269">IFNA(XLOOKUP(J2269,'⚙️ Pengaturan'!$E$2:$E3237,'⚙️ Pengaturan'!$F$2:$F3237),"")</f>
        <v>180000</v>
      </c>
      <c r="Q2269" s="147">
        <f t="shared" si="57"/>
        <v>0</v>
      </c>
      <c r="R2269" s="41" t="s">
        <v>32</v>
      </c>
      <c r="S2269" s="76" t="s">
        <v>33</v>
      </c>
      <c r="T2269" s="51" t="b">
        <v>1</v>
      </c>
      <c r="U2269" s="94"/>
    </row>
    <row r="2270" ht="30.0" customHeight="1">
      <c r="A2270" s="39"/>
      <c r="B2270" s="164">
        <v>4311.0</v>
      </c>
      <c r="C2270" s="41" t="s">
        <v>22</v>
      </c>
      <c r="D2270" s="86">
        <v>46206.0</v>
      </c>
      <c r="E2270" s="43" t="str">
        <f t="shared" si="51"/>
        <v>2026</v>
      </c>
      <c r="F2270" s="43" t="str">
        <f t="shared" si="52"/>
        <v>07 Jul</v>
      </c>
      <c r="G2270" s="45" t="s">
        <v>25</v>
      </c>
      <c r="H2270" s="45" t="s">
        <v>149</v>
      </c>
      <c r="I2270" s="45" t="s">
        <v>889</v>
      </c>
      <c r="J2270" s="143" t="s">
        <v>138</v>
      </c>
      <c r="K2270" s="43" t="str">
        <f t="array" ref="K2270">IF(J2270="","", XLOOKUP(J2270,'⚙️ Pengaturan'!$E$2:$E3237,'⚙️ Pengaturan'!$G$2:$G3237))</f>
        <v>VISIT FT PAKET</v>
      </c>
      <c r="L2270" s="43" t="str">
        <f t="shared" si="3"/>
        <v>LANJUTAN</v>
      </c>
      <c r="M2270" s="144" t="s">
        <v>31</v>
      </c>
      <c r="N2270" s="145">
        <v>1800000.0</v>
      </c>
      <c r="O2270" s="146">
        <v>0.0</v>
      </c>
      <c r="P2270" s="48">
        <f t="array" ref="P2270">IFNA(XLOOKUP(J2270,'⚙️ Pengaturan'!$E$2:$E3237,'⚙️ Pengaturan'!$F$2:$F3237),"")</f>
        <v>1800000</v>
      </c>
      <c r="Q2270" s="147">
        <f t="shared" si="57"/>
        <v>0</v>
      </c>
      <c r="R2270" s="41" t="s">
        <v>37</v>
      </c>
      <c r="S2270" s="76" t="s">
        <v>1625</v>
      </c>
      <c r="T2270" s="51" t="b">
        <v>1</v>
      </c>
      <c r="U2270" s="94"/>
    </row>
    <row r="2271" ht="30.0" customHeight="1">
      <c r="A2271" s="39"/>
      <c r="B2271" s="40">
        <v>4312.0</v>
      </c>
      <c r="C2271" s="41" t="s">
        <v>22</v>
      </c>
      <c r="D2271" s="86">
        <v>46206.0</v>
      </c>
      <c r="E2271" s="43" t="str">
        <f t="shared" si="51"/>
        <v>2026</v>
      </c>
      <c r="F2271" s="43" t="str">
        <f t="shared" si="52"/>
        <v>07 Jul</v>
      </c>
      <c r="G2271" s="45" t="s">
        <v>206</v>
      </c>
      <c r="H2271" s="45" t="s">
        <v>150</v>
      </c>
      <c r="I2271" s="45" t="s">
        <v>1596</v>
      </c>
      <c r="J2271" s="143" t="s">
        <v>349</v>
      </c>
      <c r="K2271" s="43" t="str">
        <f t="array" ref="K2271">IF(J2271="","", XLOOKUP(J2271,'⚙️ Pengaturan'!$E$2:$E3237,'⚙️ Pengaturan'!$G$2:$G3237))</f>
        <v>KLINIK FT PAKET</v>
      </c>
      <c r="L2271" s="43" t="str">
        <f t="shared" si="3"/>
        <v>BARU</v>
      </c>
      <c r="M2271" s="144" t="s">
        <v>31</v>
      </c>
      <c r="N2271" s="145">
        <v>2400000.0</v>
      </c>
      <c r="O2271" s="146">
        <v>0.0</v>
      </c>
      <c r="P2271" s="48">
        <f t="array" ref="P2271">IFNA(XLOOKUP(J2271,'⚙️ Pengaturan'!$E$2:$E3237,'⚙️ Pengaturan'!$F$2:$F3237),"")</f>
        <v>2400000</v>
      </c>
      <c r="Q2271" s="147">
        <f t="shared" si="57"/>
        <v>0</v>
      </c>
      <c r="R2271" s="41" t="s">
        <v>32</v>
      </c>
      <c r="S2271" s="76" t="s">
        <v>33</v>
      </c>
      <c r="T2271" s="51" t="b">
        <v>1</v>
      </c>
      <c r="U2271" s="94"/>
    </row>
    <row r="2272" ht="30.0" customHeight="1">
      <c r="A2272" s="39"/>
      <c r="B2272" s="164">
        <v>4313.0</v>
      </c>
      <c r="C2272" s="41" t="s">
        <v>22</v>
      </c>
      <c r="D2272" s="86">
        <v>46206.0</v>
      </c>
      <c r="E2272" s="43" t="str">
        <f t="shared" si="51"/>
        <v>2026</v>
      </c>
      <c r="F2272" s="43" t="str">
        <f t="shared" si="52"/>
        <v>07 Jul</v>
      </c>
      <c r="G2272" s="45" t="s">
        <v>161</v>
      </c>
      <c r="H2272" s="45" t="s">
        <v>41</v>
      </c>
      <c r="I2272" s="45" t="s">
        <v>1626</v>
      </c>
      <c r="J2272" s="143" t="s">
        <v>28</v>
      </c>
      <c r="K2272" s="43" t="str">
        <f t="array" ref="K2272">IF(J2272="","", XLOOKUP(J2272,'⚙️ Pengaturan'!$E$2:$E3237,'⚙️ Pengaturan'!$G$2:$G3237))</f>
        <v>KLINIK FT TA</v>
      </c>
      <c r="L2272" s="43" t="str">
        <f t="shared" si="3"/>
        <v>BARU</v>
      </c>
      <c r="M2272" s="144" t="s">
        <v>31</v>
      </c>
      <c r="N2272" s="145">
        <v>250000.0</v>
      </c>
      <c r="O2272" s="146">
        <v>0.0</v>
      </c>
      <c r="P2272" s="48">
        <f t="array" ref="P2272">IFNA(XLOOKUP(J2272,'⚙️ Pengaturan'!$E$2:$E3237,'⚙️ Pengaturan'!$F$2:$F3237),"")</f>
        <v>250000</v>
      </c>
      <c r="Q2272" s="147">
        <f t="shared" si="57"/>
        <v>0</v>
      </c>
      <c r="R2272" s="41" t="s">
        <v>37</v>
      </c>
      <c r="S2272" s="76" t="s">
        <v>1626</v>
      </c>
      <c r="T2272" s="51" t="b">
        <v>1</v>
      </c>
      <c r="U2272" s="94"/>
    </row>
    <row r="2273" ht="30.0" customHeight="1">
      <c r="A2273" s="39"/>
      <c r="B2273" s="40">
        <v>4314.0</v>
      </c>
      <c r="C2273" s="41" t="s">
        <v>22</v>
      </c>
      <c r="D2273" s="86">
        <v>46206.0</v>
      </c>
      <c r="E2273" s="43" t="str">
        <f t="shared" si="51"/>
        <v>2026</v>
      </c>
      <c r="F2273" s="43" t="str">
        <f t="shared" si="52"/>
        <v>07 Jul</v>
      </c>
      <c r="G2273" s="45" t="s">
        <v>161</v>
      </c>
      <c r="H2273" s="45" t="s">
        <v>150</v>
      </c>
      <c r="I2273" s="45" t="s">
        <v>1627</v>
      </c>
      <c r="J2273" s="143" t="s">
        <v>28</v>
      </c>
      <c r="K2273" s="43" t="str">
        <f t="array" ref="K2273">IF(J2273="","", XLOOKUP(J2273,'⚙️ Pengaturan'!$E$2:$E3237,'⚙️ Pengaturan'!$G$2:$G3237))</f>
        <v>KLINIK FT TA</v>
      </c>
      <c r="L2273" s="43" t="str">
        <f t="shared" si="3"/>
        <v>BARU</v>
      </c>
      <c r="M2273" s="144" t="s">
        <v>31</v>
      </c>
      <c r="N2273" s="145">
        <v>250000.0</v>
      </c>
      <c r="O2273" s="146">
        <v>0.0</v>
      </c>
      <c r="P2273" s="48">
        <f t="array" ref="P2273">IFNA(XLOOKUP(J2273,'⚙️ Pengaturan'!$E$2:$E3237,'⚙️ Pengaturan'!$F$2:$F3237),"")</f>
        <v>250000</v>
      </c>
      <c r="Q2273" s="147">
        <f t="shared" si="57"/>
        <v>0</v>
      </c>
      <c r="R2273" s="41" t="s">
        <v>32</v>
      </c>
      <c r="S2273" s="76" t="s">
        <v>33</v>
      </c>
      <c r="T2273" s="51" t="b">
        <v>1</v>
      </c>
      <c r="U2273" s="94"/>
    </row>
    <row r="2274" ht="30.0" customHeight="1">
      <c r="A2274" s="39"/>
      <c r="B2274" s="164">
        <v>4315.0</v>
      </c>
      <c r="C2274" s="41" t="s">
        <v>22</v>
      </c>
      <c r="D2274" s="86">
        <v>46206.0</v>
      </c>
      <c r="E2274" s="43" t="str">
        <f t="shared" si="51"/>
        <v>2026</v>
      </c>
      <c r="F2274" s="43" t="str">
        <f t="shared" si="52"/>
        <v>07 Jul</v>
      </c>
      <c r="G2274" s="45" t="s">
        <v>161</v>
      </c>
      <c r="H2274" s="45" t="s">
        <v>149</v>
      </c>
      <c r="I2274" s="45" t="s">
        <v>1526</v>
      </c>
      <c r="J2274" s="143" t="s">
        <v>120</v>
      </c>
      <c r="K2274" s="43" t="str">
        <f t="array" ref="K2274">IF(J2274="","", XLOOKUP(J2274,'⚙️ Pengaturan'!$E$2:$E3237,'⚙️ Pengaturan'!$G$2:$G3237))</f>
        <v>KLINIK FT SESI</v>
      </c>
      <c r="L2274" s="43" t="str">
        <f t="shared" si="3"/>
        <v>LANJUTAN</v>
      </c>
      <c r="M2274" s="144" t="s">
        <v>31</v>
      </c>
      <c r="N2274" s="145">
        <v>180000.0</v>
      </c>
      <c r="O2274" s="146">
        <v>0.0</v>
      </c>
      <c r="P2274" s="48">
        <f t="array" ref="P2274">IFNA(XLOOKUP(J2274,'⚙️ Pengaturan'!$E$2:$E3237,'⚙️ Pengaturan'!$F$2:$F3237),"")</f>
        <v>180000</v>
      </c>
      <c r="Q2274" s="147">
        <f t="shared" si="57"/>
        <v>0</v>
      </c>
      <c r="R2274" s="41" t="s">
        <v>32</v>
      </c>
      <c r="S2274" s="76" t="s">
        <v>33</v>
      </c>
      <c r="T2274" s="51" t="b">
        <v>1</v>
      </c>
      <c r="U2274" s="94"/>
    </row>
    <row r="2275" ht="30.0" customHeight="1">
      <c r="A2275" s="39"/>
      <c r="B2275" s="40">
        <v>4316.0</v>
      </c>
      <c r="C2275" s="41" t="s">
        <v>39</v>
      </c>
      <c r="D2275" s="86">
        <v>46205.0</v>
      </c>
      <c r="E2275" s="43" t="str">
        <f t="shared" si="51"/>
        <v>2026</v>
      </c>
      <c r="F2275" s="43" t="str">
        <f t="shared" si="52"/>
        <v>07 Jul</v>
      </c>
      <c r="G2275" s="45" t="s">
        <v>155</v>
      </c>
      <c r="H2275" s="45" t="s">
        <v>76</v>
      </c>
      <c r="I2275" s="45" t="s">
        <v>1191</v>
      </c>
      <c r="J2275" s="143" t="s">
        <v>119</v>
      </c>
      <c r="K2275" s="43" t="str">
        <f t="array" ref="K2275">IF(J2275="","", XLOOKUP(J2275,'⚙️ Pengaturan'!$E$2:$E3237,'⚙️ Pengaturan'!$G$2:$G3237))</f>
        <v>KLINIK FT PAKET</v>
      </c>
      <c r="L2275" s="43" t="str">
        <f t="shared" si="3"/>
        <v>LANJUTAN</v>
      </c>
      <c r="M2275" s="144" t="s">
        <v>31</v>
      </c>
      <c r="N2275" s="145">
        <v>750000.0</v>
      </c>
      <c r="O2275" s="146">
        <v>0.0</v>
      </c>
      <c r="P2275" s="48">
        <f t="array" ref="P2275">IFNA(XLOOKUP(J2275,'⚙️ Pengaturan'!$E$2:$E3237,'⚙️ Pengaturan'!$F$2:$F3237),"")</f>
        <v>750000</v>
      </c>
      <c r="Q2275" s="147">
        <f t="shared" si="57"/>
        <v>0</v>
      </c>
      <c r="R2275" s="41" t="s">
        <v>93</v>
      </c>
      <c r="S2275" s="69" t="s">
        <v>1191</v>
      </c>
      <c r="T2275" s="51" t="b">
        <v>1</v>
      </c>
      <c r="U2275" s="94"/>
    </row>
    <row r="2276" ht="30.0" customHeight="1">
      <c r="A2276" s="39"/>
      <c r="B2276" s="164">
        <v>4317.0</v>
      </c>
      <c r="C2276" s="41" t="s">
        <v>39</v>
      </c>
      <c r="D2276" s="86">
        <v>46206.0</v>
      </c>
      <c r="E2276" s="43" t="str">
        <f t="shared" si="51"/>
        <v>2026</v>
      </c>
      <c r="F2276" s="43" t="str">
        <f t="shared" si="52"/>
        <v>07 Jul</v>
      </c>
      <c r="G2276" s="45" t="s">
        <v>69</v>
      </c>
      <c r="H2276" s="45" t="s">
        <v>149</v>
      </c>
      <c r="I2276" s="45" t="s">
        <v>1628</v>
      </c>
      <c r="J2276" s="143" t="s">
        <v>323</v>
      </c>
      <c r="K2276" s="43" t="str">
        <f t="array" ref="K2276">IF(J2276="","", XLOOKUP(J2276,'⚙️ Pengaturan'!$E$2:$E3237,'⚙️ Pengaturan'!$G$2:$G3237))</f>
        <v>VISIT FT SESI</v>
      </c>
      <c r="L2276" s="43" t="str">
        <f t="shared" si="3"/>
        <v>BARU</v>
      </c>
      <c r="M2276" s="144" t="s">
        <v>31</v>
      </c>
      <c r="N2276" s="145">
        <v>200000.0</v>
      </c>
      <c r="O2276" s="146">
        <v>0.0</v>
      </c>
      <c r="P2276" s="48">
        <f t="array" ref="P2276">IFNA(XLOOKUP(J2276,'⚙️ Pengaturan'!$E$2:$E3237,'⚙️ Pengaturan'!$F$2:$F3237),"")</f>
        <v>200000</v>
      </c>
      <c r="Q2276" s="147">
        <f t="shared" si="57"/>
        <v>0</v>
      </c>
      <c r="R2276" s="41" t="s">
        <v>32</v>
      </c>
      <c r="S2276" s="76" t="s">
        <v>33</v>
      </c>
      <c r="T2276" s="51" t="b">
        <v>1</v>
      </c>
      <c r="U2276" s="94"/>
    </row>
    <row r="2277" ht="30.0" customHeight="1">
      <c r="A2277" s="39"/>
      <c r="B2277" s="40">
        <v>4318.0</v>
      </c>
      <c r="C2277" s="41" t="s">
        <v>39</v>
      </c>
      <c r="D2277" s="86">
        <v>46206.0</v>
      </c>
      <c r="E2277" s="43" t="str">
        <f t="shared" si="51"/>
        <v>2026</v>
      </c>
      <c r="F2277" s="43" t="str">
        <f t="shared" si="52"/>
        <v>07 Jul</v>
      </c>
      <c r="G2277" s="45" t="s">
        <v>46</v>
      </c>
      <c r="H2277" s="45" t="s">
        <v>156</v>
      </c>
      <c r="I2277" s="45" t="s">
        <v>641</v>
      </c>
      <c r="J2277" s="143" t="s">
        <v>28</v>
      </c>
      <c r="K2277" s="43" t="str">
        <f t="array" ref="K2277">IF(J2277="","", XLOOKUP(J2277,'⚙️ Pengaturan'!$E$2:$E3237,'⚙️ Pengaturan'!$G$2:$G3237))</f>
        <v>KLINIK FT TA</v>
      </c>
      <c r="L2277" s="43" t="str">
        <f t="shared" si="3"/>
        <v>BARU</v>
      </c>
      <c r="M2277" s="144" t="s">
        <v>31</v>
      </c>
      <c r="N2277" s="145">
        <v>250000.0</v>
      </c>
      <c r="O2277" s="146">
        <v>0.0</v>
      </c>
      <c r="P2277" s="48">
        <f t="array" ref="P2277">IFNA(XLOOKUP(J2277,'⚙️ Pengaturan'!$E$2:$E3237,'⚙️ Pengaturan'!$F$2:$F3237),"")</f>
        <v>250000</v>
      </c>
      <c r="Q2277" s="147">
        <f t="shared" si="57"/>
        <v>0</v>
      </c>
      <c r="R2277" s="41" t="s">
        <v>37</v>
      </c>
      <c r="S2277" s="69" t="s">
        <v>641</v>
      </c>
      <c r="T2277" s="51" t="b">
        <v>1</v>
      </c>
      <c r="U2277" s="94"/>
    </row>
    <row r="2278" ht="30.0" customHeight="1">
      <c r="A2278" s="39"/>
      <c r="B2278" s="164">
        <v>4319.0</v>
      </c>
      <c r="C2278" s="41" t="s">
        <v>39</v>
      </c>
      <c r="D2278" s="86">
        <v>46206.0</v>
      </c>
      <c r="E2278" s="43" t="str">
        <f t="shared" si="51"/>
        <v>2026</v>
      </c>
      <c r="F2278" s="43" t="str">
        <f t="shared" si="52"/>
        <v>07 Jul</v>
      </c>
      <c r="G2278" s="45" t="s">
        <v>155</v>
      </c>
      <c r="H2278" s="45" t="s">
        <v>166</v>
      </c>
      <c r="I2278" s="45" t="s">
        <v>1608</v>
      </c>
      <c r="J2278" s="143" t="s">
        <v>119</v>
      </c>
      <c r="K2278" s="43" t="str">
        <f t="array" ref="K2278">IF(J2278="","", XLOOKUP(J2278,'⚙️ Pengaturan'!$E$2:$E3237,'⚙️ Pengaturan'!$G$2:$G3237))</f>
        <v>KLINIK FT PAKET</v>
      </c>
      <c r="L2278" s="43" t="str">
        <f t="shared" si="3"/>
        <v>BARU</v>
      </c>
      <c r="M2278" s="144" t="s">
        <v>31</v>
      </c>
      <c r="N2278" s="145">
        <v>250000.0</v>
      </c>
      <c r="O2278" s="146">
        <v>0.0</v>
      </c>
      <c r="P2278" s="48">
        <f t="array" ref="P2278">IFNA(XLOOKUP(J2278,'⚙️ Pengaturan'!$E$2:$E3237,'⚙️ Pengaturan'!$F$2:$F3237),"")</f>
        <v>750000</v>
      </c>
      <c r="Q2278" s="147">
        <f t="shared" si="57"/>
        <v>-500000</v>
      </c>
      <c r="R2278" s="41" t="s">
        <v>32</v>
      </c>
      <c r="S2278" s="76" t="s">
        <v>33</v>
      </c>
      <c r="T2278" s="51" t="b">
        <v>1</v>
      </c>
      <c r="U2278" s="94"/>
    </row>
    <row r="2279" ht="30.0" customHeight="1">
      <c r="A2279" s="39"/>
      <c r="B2279" s="40">
        <v>4320.0</v>
      </c>
      <c r="C2279" s="41" t="s">
        <v>39</v>
      </c>
      <c r="D2279" s="86">
        <v>46206.0</v>
      </c>
      <c r="E2279" s="43" t="str">
        <f t="shared" si="51"/>
        <v>2026</v>
      </c>
      <c r="F2279" s="43" t="str">
        <f t="shared" si="52"/>
        <v>07 Jul</v>
      </c>
      <c r="G2279" s="45" t="s">
        <v>190</v>
      </c>
      <c r="H2279" s="45" t="s">
        <v>359</v>
      </c>
      <c r="I2279" s="45" t="s">
        <v>245</v>
      </c>
      <c r="J2279" s="143" t="s">
        <v>1547</v>
      </c>
      <c r="K2279" s="43" t="str">
        <f t="array" ref="K2279">IF(J2279="","", XLOOKUP(J2279,'⚙️ Pengaturan'!$E$2:$E3237,'⚙️ Pengaturan'!$G$2:$G3237))</f>
        <v>KLINIK SM SESI</v>
      </c>
      <c r="L2279" s="43" t="str">
        <f t="shared" si="3"/>
        <v>BARU</v>
      </c>
      <c r="M2279" s="144" t="s">
        <v>31</v>
      </c>
      <c r="N2279" s="145">
        <v>195000.0</v>
      </c>
      <c r="O2279" s="146">
        <v>0.0</v>
      </c>
      <c r="P2279" s="48">
        <f t="array" ref="P2279">IFNA(XLOOKUP(J2279,'⚙️ Pengaturan'!$E$2:$E3237,'⚙️ Pengaturan'!$F$2:$F3237),"")</f>
        <v>195000</v>
      </c>
      <c r="Q2279" s="147">
        <f t="shared" si="57"/>
        <v>0</v>
      </c>
      <c r="R2279" s="41" t="s">
        <v>37</v>
      </c>
      <c r="S2279" s="69" t="s">
        <v>245</v>
      </c>
      <c r="T2279" s="51" t="b">
        <v>1</v>
      </c>
      <c r="U2279" s="94"/>
    </row>
    <row r="2280" ht="30.0" customHeight="1">
      <c r="A2280" s="39"/>
      <c r="B2280" s="164">
        <v>4321.0</v>
      </c>
      <c r="C2280" s="41" t="s">
        <v>79</v>
      </c>
      <c r="D2280" s="86">
        <v>46207.0</v>
      </c>
      <c r="E2280" s="43" t="str">
        <f t="shared" si="51"/>
        <v>2026</v>
      </c>
      <c r="F2280" s="43" t="str">
        <f t="shared" si="52"/>
        <v>07 Jul</v>
      </c>
      <c r="G2280" s="45" t="s">
        <v>195</v>
      </c>
      <c r="H2280" s="45" t="s">
        <v>41</v>
      </c>
      <c r="I2280" s="45" t="s">
        <v>1459</v>
      </c>
      <c r="J2280" s="143" t="s">
        <v>180</v>
      </c>
      <c r="K2280" s="43" t="str">
        <f t="array" ref="K2280">IF(J2280="","", XLOOKUP(J2280,'⚙️ Pengaturan'!$E$2:$E3237,'⚙️ Pengaturan'!$G$2:$G3237))</f>
        <v>KLINIK FT SESI</v>
      </c>
      <c r="L2280" s="43" t="str">
        <f t="shared" si="3"/>
        <v>BARU</v>
      </c>
      <c r="M2280" s="144" t="s">
        <v>31</v>
      </c>
      <c r="N2280" s="145">
        <v>180000.0</v>
      </c>
      <c r="O2280" s="146">
        <v>0.0</v>
      </c>
      <c r="P2280" s="48">
        <f t="array" ref="P2280">IFNA(XLOOKUP(J2280,'⚙️ Pengaturan'!$E$2:$E3237,'⚙️ Pengaturan'!$F$2:$F3237),"")</f>
        <v>150000</v>
      </c>
      <c r="Q2280" s="147">
        <f t="shared" si="57"/>
        <v>30000</v>
      </c>
      <c r="R2280" s="41" t="s">
        <v>32</v>
      </c>
      <c r="S2280" s="76" t="s">
        <v>33</v>
      </c>
      <c r="T2280" s="51" t="b">
        <v>1</v>
      </c>
      <c r="U2280" s="94"/>
    </row>
    <row r="2281" ht="30.0" customHeight="1">
      <c r="A2281" s="39"/>
      <c r="B2281" s="40">
        <v>4322.0</v>
      </c>
      <c r="C2281" s="41" t="s">
        <v>79</v>
      </c>
      <c r="D2281" s="86">
        <v>46207.0</v>
      </c>
      <c r="E2281" s="43" t="str">
        <f t="shared" si="51"/>
        <v>2026</v>
      </c>
      <c r="F2281" s="43" t="str">
        <f t="shared" si="52"/>
        <v>07 Jul</v>
      </c>
      <c r="G2281" s="45" t="s">
        <v>195</v>
      </c>
      <c r="H2281" s="45" t="s">
        <v>41</v>
      </c>
      <c r="I2281" s="45" t="s">
        <v>1623</v>
      </c>
      <c r="J2281" s="143" t="s">
        <v>180</v>
      </c>
      <c r="K2281" s="43" t="s">
        <v>52</v>
      </c>
      <c r="L2281" s="43" t="s">
        <v>30</v>
      </c>
      <c r="M2281" s="144" t="s">
        <v>31</v>
      </c>
      <c r="N2281" s="145">
        <v>180000.0</v>
      </c>
      <c r="O2281" s="146">
        <v>0.0</v>
      </c>
      <c r="P2281" s="48">
        <f t="array" ref="P2281">IFNA(XLOOKUP(J2281,'⚙️ Pengaturan'!$E$2:$E3237,'⚙️ Pengaturan'!$F$2:$F3237),"")</f>
        <v>150000</v>
      </c>
      <c r="Q2281" s="147">
        <f t="shared" si="57"/>
        <v>30000</v>
      </c>
      <c r="R2281" s="41" t="s">
        <v>118</v>
      </c>
      <c r="S2281" s="69" t="s">
        <v>1623</v>
      </c>
      <c r="T2281" s="51" t="b">
        <v>1</v>
      </c>
      <c r="U2281" s="94"/>
    </row>
    <row r="2282" ht="30.0" customHeight="1">
      <c r="A2282" s="39"/>
      <c r="B2282" s="164">
        <v>4323.0</v>
      </c>
      <c r="C2282" s="41" t="s">
        <v>79</v>
      </c>
      <c r="D2282" s="86">
        <v>46207.0</v>
      </c>
      <c r="E2282" s="43" t="str">
        <f t="shared" si="51"/>
        <v>2026</v>
      </c>
      <c r="F2282" s="43" t="str">
        <f t="shared" si="52"/>
        <v>07 Jul</v>
      </c>
      <c r="G2282" s="45" t="s">
        <v>195</v>
      </c>
      <c r="H2282" s="45" t="s">
        <v>149</v>
      </c>
      <c r="I2282" s="45" t="s">
        <v>1444</v>
      </c>
      <c r="J2282" s="143" t="s">
        <v>347</v>
      </c>
      <c r="K2282" s="43" t="str">
        <f t="array" ref="K2282">IF(J2282="","", XLOOKUP(J2282,'⚙️ Pengaturan'!$E$2:$E3237,'⚙️ Pengaturan'!$G$2:$G3237))</f>
        <v>KLINIK FT PAKET</v>
      </c>
      <c r="L2282" s="43" t="str">
        <f>if(I2282="","",if(countifs($J$5:J2282,J2282,$I$5:I2282,I2282)=1,"BARU","LANJUTAN"))</f>
        <v>LANJUTAN</v>
      </c>
      <c r="M2282" s="144" t="s">
        <v>31</v>
      </c>
      <c r="N2282" s="145">
        <v>1300000.0</v>
      </c>
      <c r="O2282" s="146">
        <v>0.0</v>
      </c>
      <c r="P2282" s="48">
        <f t="array" ref="P2282">IFNA(XLOOKUP(J2282,'⚙️ Pengaturan'!$E$2:$E3237,'⚙️ Pengaturan'!$F$2:$F3237),"")</f>
        <v>1300000</v>
      </c>
      <c r="Q2282" s="147">
        <f t="shared" si="57"/>
        <v>0</v>
      </c>
      <c r="R2282" s="41" t="s">
        <v>37</v>
      </c>
      <c r="S2282" s="69" t="s">
        <v>1444</v>
      </c>
      <c r="T2282" s="51" t="b">
        <v>1</v>
      </c>
      <c r="U2282" s="94"/>
    </row>
    <row r="2283" ht="30.0" customHeight="1">
      <c r="A2283" s="39"/>
      <c r="B2283" s="40">
        <v>4324.0</v>
      </c>
      <c r="C2283" s="41" t="s">
        <v>79</v>
      </c>
      <c r="D2283" s="86">
        <v>46207.0</v>
      </c>
      <c r="E2283" s="43" t="s">
        <v>23</v>
      </c>
      <c r="F2283" s="43" t="s">
        <v>24</v>
      </c>
      <c r="G2283" s="45" t="s">
        <v>195</v>
      </c>
      <c r="H2283" s="45" t="s">
        <v>47</v>
      </c>
      <c r="I2283" s="45" t="s">
        <v>1629</v>
      </c>
      <c r="J2283" s="143" t="s">
        <v>28</v>
      </c>
      <c r="K2283" s="43" t="s">
        <v>29</v>
      </c>
      <c r="L2283" s="43" t="s">
        <v>30</v>
      </c>
      <c r="M2283" s="144" t="s">
        <v>31</v>
      </c>
      <c r="N2283" s="145">
        <v>250000.0</v>
      </c>
      <c r="O2283" s="146">
        <v>0.0</v>
      </c>
      <c r="P2283" s="48">
        <v>250000.0</v>
      </c>
      <c r="Q2283" s="147">
        <v>0.0</v>
      </c>
      <c r="R2283" s="41" t="s">
        <v>37</v>
      </c>
      <c r="S2283" s="69" t="s">
        <v>1629</v>
      </c>
      <c r="T2283" s="51" t="b">
        <v>1</v>
      </c>
      <c r="U2283" s="94"/>
    </row>
    <row r="2284" ht="30.0" customHeight="1">
      <c r="A2284" s="39"/>
      <c r="B2284" s="164">
        <v>4325.0</v>
      </c>
      <c r="C2284" s="41" t="s">
        <v>79</v>
      </c>
      <c r="D2284" s="86">
        <v>46207.0</v>
      </c>
      <c r="E2284" s="43" t="s">
        <v>23</v>
      </c>
      <c r="F2284" s="43" t="s">
        <v>24</v>
      </c>
      <c r="G2284" s="45" t="s">
        <v>206</v>
      </c>
      <c r="H2284" s="45" t="s">
        <v>149</v>
      </c>
      <c r="I2284" s="45" t="s">
        <v>1630</v>
      </c>
      <c r="J2284" s="143" t="s">
        <v>28</v>
      </c>
      <c r="K2284" s="43" t="s">
        <v>29</v>
      </c>
      <c r="L2284" s="43" t="s">
        <v>30</v>
      </c>
      <c r="M2284" s="144" t="s">
        <v>31</v>
      </c>
      <c r="N2284" s="145">
        <v>250000.0</v>
      </c>
      <c r="O2284" s="146">
        <v>0.0</v>
      </c>
      <c r="P2284" s="48">
        <v>250000.0</v>
      </c>
      <c r="Q2284" s="147">
        <v>0.0</v>
      </c>
      <c r="R2284" s="41" t="s">
        <v>37</v>
      </c>
      <c r="S2284" s="69" t="s">
        <v>1631</v>
      </c>
      <c r="T2284" s="51" t="b">
        <v>1</v>
      </c>
      <c r="U2284" s="94"/>
    </row>
    <row r="2285" ht="30.0" customHeight="1">
      <c r="A2285" s="39"/>
      <c r="B2285" s="40">
        <v>4326.0</v>
      </c>
      <c r="C2285" s="41" t="s">
        <v>79</v>
      </c>
      <c r="D2285" s="86">
        <v>46207.0</v>
      </c>
      <c r="E2285" s="43" t="s">
        <v>23</v>
      </c>
      <c r="F2285" s="43" t="s">
        <v>24</v>
      </c>
      <c r="G2285" s="45" t="s">
        <v>206</v>
      </c>
      <c r="H2285" s="45" t="s">
        <v>76</v>
      </c>
      <c r="I2285" s="45" t="s">
        <v>1334</v>
      </c>
      <c r="J2285" s="143" t="s">
        <v>347</v>
      </c>
      <c r="K2285" s="43" t="str">
        <f t="array" ref="K2285">IF(J2285="","", XLOOKUP(J2285,'⚙️ Pengaturan'!$E$2:$E3237,'⚙️ Pengaturan'!$G$2:$G3237))</f>
        <v>KLINIK FT PAKET</v>
      </c>
      <c r="L2285" s="43" t="str">
        <f t="shared" ref="L2285:L2290" si="58">if(I2285="","",if(countifs($J$5:J2285,J2285,$I$5:I2285,I2285)=1,"BARU","LANJUTAN"))</f>
        <v>BARU</v>
      </c>
      <c r="M2285" s="144" t="s">
        <v>31</v>
      </c>
      <c r="N2285" s="145">
        <v>1300000.0</v>
      </c>
      <c r="O2285" s="146">
        <v>0.0</v>
      </c>
      <c r="P2285" s="48">
        <f t="array" ref="P2285">IFNA(XLOOKUP(J2285,'⚙️ Pengaturan'!$E$2:$E3237,'⚙️ Pengaturan'!$F$2:$F3237),"")</f>
        <v>1300000</v>
      </c>
      <c r="Q2285" s="147">
        <f t="shared" ref="Q2285:Q2290" si="59">IF(I2285="","",(N2285+O2285)-P2285)</f>
        <v>0</v>
      </c>
      <c r="R2285" s="41" t="s">
        <v>32</v>
      </c>
      <c r="S2285" s="76" t="s">
        <v>33</v>
      </c>
      <c r="T2285" s="51" t="b">
        <v>1</v>
      </c>
      <c r="U2285" s="94"/>
    </row>
    <row r="2286" ht="30.0" customHeight="1">
      <c r="A2286" s="39"/>
      <c r="B2286" s="164">
        <v>4327.0</v>
      </c>
      <c r="C2286" s="41" t="s">
        <v>79</v>
      </c>
      <c r="D2286" s="86">
        <v>46207.0</v>
      </c>
      <c r="E2286" s="43" t="s">
        <v>23</v>
      </c>
      <c r="F2286" s="43" t="s">
        <v>24</v>
      </c>
      <c r="G2286" s="45" t="s">
        <v>206</v>
      </c>
      <c r="H2286" s="45" t="s">
        <v>96</v>
      </c>
      <c r="I2286" s="45" t="s">
        <v>1034</v>
      </c>
      <c r="J2286" s="143" t="s">
        <v>119</v>
      </c>
      <c r="K2286" s="43" t="str">
        <f t="array" ref="K2286">IF(J2286="","", XLOOKUP(J2286,'⚙️ Pengaturan'!$E$2:$E3237,'⚙️ Pengaturan'!$G$2:$G3237))</f>
        <v>KLINIK FT PAKET</v>
      </c>
      <c r="L2286" s="43" t="str">
        <f t="shared" si="58"/>
        <v>LANJUTAN</v>
      </c>
      <c r="M2286" s="144" t="s">
        <v>31</v>
      </c>
      <c r="N2286" s="145">
        <v>750000.0</v>
      </c>
      <c r="O2286" s="146">
        <v>0.0</v>
      </c>
      <c r="P2286" s="48">
        <f t="array" ref="P2286">IFNA(XLOOKUP(J2286,'⚙️ Pengaturan'!$E$2:$E3237,'⚙️ Pengaturan'!$F$2:$F3237),"")</f>
        <v>750000</v>
      </c>
      <c r="Q2286" s="147">
        <f t="shared" si="59"/>
        <v>0</v>
      </c>
      <c r="R2286" s="41" t="s">
        <v>37</v>
      </c>
      <c r="S2286" s="69" t="s">
        <v>1034</v>
      </c>
      <c r="T2286" s="51" t="b">
        <v>1</v>
      </c>
      <c r="U2286" s="94"/>
    </row>
    <row r="2287" ht="30.0" customHeight="1">
      <c r="A2287" s="39"/>
      <c r="B2287" s="40">
        <v>4328.0</v>
      </c>
      <c r="C2287" s="41" t="s">
        <v>79</v>
      </c>
      <c r="D2287" s="86">
        <v>46207.0</v>
      </c>
      <c r="E2287" s="43" t="str">
        <f t="shared" ref="E2287:E2369" si="60">if(D2287="","",text(D2287,"YYY"))</f>
        <v>2026</v>
      </c>
      <c r="F2287" s="43" t="str">
        <f t="shared" ref="F2287:F2369" si="61">if(D2287="","",text(D2287,"MM")&amp;" "&amp;text(D2287,"MMM"))</f>
        <v>07 Jul</v>
      </c>
      <c r="G2287" s="45" t="s">
        <v>69</v>
      </c>
      <c r="H2287" s="45" t="s">
        <v>149</v>
      </c>
      <c r="I2287" s="45" t="s">
        <v>1370</v>
      </c>
      <c r="J2287" s="143" t="s">
        <v>138</v>
      </c>
      <c r="K2287" s="43" t="str">
        <f t="array" ref="K2287">IF(J2287="","", XLOOKUP(J2287,'⚙️ Pengaturan'!$E$2:$E3237,'⚙️ Pengaturan'!$G$2:$G3237))</f>
        <v>VISIT FT PAKET</v>
      </c>
      <c r="L2287" s="43" t="str">
        <f t="shared" si="58"/>
        <v>LANJUTAN</v>
      </c>
      <c r="M2287" s="144" t="s">
        <v>164</v>
      </c>
      <c r="N2287" s="145">
        <v>800000.0</v>
      </c>
      <c r="O2287" s="146">
        <v>1000000.0</v>
      </c>
      <c r="P2287" s="48">
        <f t="array" ref="P2287">IFNA(XLOOKUP(J2287,'⚙️ Pengaturan'!$E$2:$E3237,'⚙️ Pengaturan'!$F$2:$F3237),"")</f>
        <v>1800000</v>
      </c>
      <c r="Q2287" s="147">
        <f t="shared" si="59"/>
        <v>0</v>
      </c>
      <c r="R2287" s="41" t="s">
        <v>37</v>
      </c>
      <c r="S2287" s="69" t="s">
        <v>1370</v>
      </c>
      <c r="T2287" s="51" t="b">
        <v>1</v>
      </c>
      <c r="U2287" s="94"/>
    </row>
    <row r="2288" ht="30.0" customHeight="1">
      <c r="A2288" s="39"/>
      <c r="B2288" s="164">
        <v>4329.0</v>
      </c>
      <c r="C2288" s="41" t="s">
        <v>22</v>
      </c>
      <c r="D2288" s="86">
        <v>46207.0</v>
      </c>
      <c r="E2288" s="43" t="str">
        <f t="shared" si="60"/>
        <v>2026</v>
      </c>
      <c r="F2288" s="43" t="str">
        <f t="shared" si="61"/>
        <v>07 Jul</v>
      </c>
      <c r="G2288" s="45" t="s">
        <v>43</v>
      </c>
      <c r="H2288" s="45" t="s">
        <v>26</v>
      </c>
      <c r="I2288" s="45" t="s">
        <v>1361</v>
      </c>
      <c r="J2288" s="143" t="s">
        <v>120</v>
      </c>
      <c r="K2288" s="43" t="str">
        <f t="array" ref="K2288">IF(J2288="","", XLOOKUP(J2288,'⚙️ Pengaturan'!$E$2:$E3237,'⚙️ Pengaturan'!$G$2:$G3237))</f>
        <v>KLINIK FT SESI</v>
      </c>
      <c r="L2288" s="43" t="str">
        <f t="shared" si="58"/>
        <v>LANJUTAN</v>
      </c>
      <c r="M2288" s="144" t="s">
        <v>31</v>
      </c>
      <c r="N2288" s="145">
        <v>180000.0</v>
      </c>
      <c r="O2288" s="146">
        <v>0.0</v>
      </c>
      <c r="P2288" s="48">
        <f t="array" ref="P2288">IFNA(XLOOKUP(J2288,'⚙️ Pengaturan'!$E$2:$E3237,'⚙️ Pengaturan'!$F$2:$F3237),"")</f>
        <v>180000</v>
      </c>
      <c r="Q2288" s="147">
        <f t="shared" si="59"/>
        <v>0</v>
      </c>
      <c r="R2288" s="41" t="s">
        <v>32</v>
      </c>
      <c r="S2288" s="76" t="s">
        <v>33</v>
      </c>
      <c r="T2288" s="51" t="b">
        <v>1</v>
      </c>
      <c r="U2288" s="94"/>
    </row>
    <row r="2289" ht="30.0" customHeight="1">
      <c r="A2289" s="39"/>
      <c r="B2289" s="40">
        <v>4330.0</v>
      </c>
      <c r="C2289" s="41" t="s">
        <v>79</v>
      </c>
      <c r="D2289" s="86">
        <v>46208.0</v>
      </c>
      <c r="E2289" s="43" t="str">
        <f t="shared" si="60"/>
        <v>2026</v>
      </c>
      <c r="F2289" s="43" t="str">
        <f t="shared" si="61"/>
        <v>07 Jul</v>
      </c>
      <c r="G2289" s="45" t="s">
        <v>195</v>
      </c>
      <c r="H2289" s="45" t="s">
        <v>162</v>
      </c>
      <c r="I2289" s="45" t="s">
        <v>1630</v>
      </c>
      <c r="J2289" s="143" t="s">
        <v>119</v>
      </c>
      <c r="K2289" s="43" t="str">
        <f t="array" ref="K2289">IF(J2289="","", XLOOKUP(J2289,'⚙️ Pengaturan'!$E$2:$E3237,'⚙️ Pengaturan'!$G$2:$G3237))</f>
        <v>KLINIK FT PAKET</v>
      </c>
      <c r="L2289" s="43" t="str">
        <f t="shared" si="58"/>
        <v>BARU</v>
      </c>
      <c r="M2289" s="144" t="s">
        <v>31</v>
      </c>
      <c r="N2289" s="145">
        <v>750000.0</v>
      </c>
      <c r="O2289" s="146">
        <v>0.0</v>
      </c>
      <c r="P2289" s="48">
        <f t="array" ref="P2289">IFNA(XLOOKUP(J2289,'⚙️ Pengaturan'!$E$2:$E3237,'⚙️ Pengaturan'!$F$2:$F3237),"")</f>
        <v>750000</v>
      </c>
      <c r="Q2289" s="147">
        <f t="shared" si="59"/>
        <v>0</v>
      </c>
      <c r="R2289" s="41" t="s">
        <v>37</v>
      </c>
      <c r="S2289" s="69" t="s">
        <v>1630</v>
      </c>
      <c r="T2289" s="51" t="b">
        <v>1</v>
      </c>
      <c r="U2289" s="94"/>
    </row>
    <row r="2290" ht="30.0" customHeight="1">
      <c r="A2290" s="39"/>
      <c r="B2290" s="164">
        <v>4331.0</v>
      </c>
      <c r="C2290" s="41" t="s">
        <v>79</v>
      </c>
      <c r="D2290" s="86">
        <v>46208.0</v>
      </c>
      <c r="E2290" s="43" t="str">
        <f t="shared" si="60"/>
        <v>2026</v>
      </c>
      <c r="F2290" s="43" t="str">
        <f t="shared" si="61"/>
        <v>07 Jul</v>
      </c>
      <c r="G2290" s="45" t="s">
        <v>195</v>
      </c>
      <c r="H2290" s="45" t="s">
        <v>166</v>
      </c>
      <c r="I2290" s="45" t="s">
        <v>1632</v>
      </c>
      <c r="J2290" s="143" t="s">
        <v>119</v>
      </c>
      <c r="K2290" s="43" t="str">
        <f t="array" ref="K2290">IF(J2290="","", XLOOKUP(J2290,'⚙️ Pengaturan'!$E$2:$E3237,'⚙️ Pengaturan'!$G$2:$G3237))</f>
        <v>KLINIK FT PAKET</v>
      </c>
      <c r="L2290" s="43" t="str">
        <f t="shared" si="58"/>
        <v>BARU</v>
      </c>
      <c r="M2290" s="144" t="s">
        <v>164</v>
      </c>
      <c r="N2290" s="145">
        <v>500000.0</v>
      </c>
      <c r="O2290" s="146">
        <v>250000.0</v>
      </c>
      <c r="P2290" s="48">
        <f t="array" ref="P2290">IFNA(XLOOKUP(J2290,'⚙️ Pengaturan'!$E$2:$E3237,'⚙️ Pengaturan'!$F$2:$F3237),"")</f>
        <v>750000</v>
      </c>
      <c r="Q2290" s="147">
        <f t="shared" si="59"/>
        <v>0</v>
      </c>
      <c r="R2290" s="41" t="s">
        <v>32</v>
      </c>
      <c r="S2290" s="76" t="s">
        <v>33</v>
      </c>
      <c r="T2290" s="51" t="b">
        <v>1</v>
      </c>
      <c r="U2290" s="94"/>
    </row>
    <row r="2291" ht="30.0" customHeight="1">
      <c r="A2291" s="39"/>
      <c r="B2291" s="40">
        <v>4332.0</v>
      </c>
      <c r="C2291" s="41" t="s">
        <v>79</v>
      </c>
      <c r="D2291" s="86">
        <v>46208.0</v>
      </c>
      <c r="E2291" s="43" t="str">
        <f t="shared" si="60"/>
        <v>2026</v>
      </c>
      <c r="F2291" s="43" t="str">
        <f t="shared" si="61"/>
        <v>07 Jul</v>
      </c>
      <c r="G2291" s="45" t="s">
        <v>206</v>
      </c>
      <c r="H2291" s="45" t="s">
        <v>26</v>
      </c>
      <c r="I2291" s="45" t="s">
        <v>1633</v>
      </c>
      <c r="J2291" s="143" t="s">
        <v>28</v>
      </c>
      <c r="K2291" s="43" t="s">
        <v>29</v>
      </c>
      <c r="L2291" s="43" t="s">
        <v>30</v>
      </c>
      <c r="M2291" s="144" t="s">
        <v>31</v>
      </c>
      <c r="N2291" s="145">
        <v>250000.0</v>
      </c>
      <c r="O2291" s="146">
        <v>0.0</v>
      </c>
      <c r="P2291" s="48">
        <v>250000.0</v>
      </c>
      <c r="Q2291" s="147">
        <v>0.0</v>
      </c>
      <c r="R2291" s="41" t="s">
        <v>32</v>
      </c>
      <c r="S2291" s="76" t="s">
        <v>33</v>
      </c>
      <c r="T2291" s="51" t="b">
        <v>1</v>
      </c>
      <c r="U2291" s="94"/>
    </row>
    <row r="2292" ht="30.0" customHeight="1">
      <c r="A2292" s="39"/>
      <c r="B2292" s="164">
        <v>4333.0</v>
      </c>
      <c r="C2292" s="41" t="s">
        <v>79</v>
      </c>
      <c r="D2292" s="86">
        <v>46208.0</v>
      </c>
      <c r="E2292" s="43" t="str">
        <f t="shared" si="60"/>
        <v>2026</v>
      </c>
      <c r="F2292" s="43" t="str">
        <f t="shared" si="61"/>
        <v>07 Jul</v>
      </c>
      <c r="G2292" s="45" t="s">
        <v>206</v>
      </c>
      <c r="H2292" s="45" t="s">
        <v>166</v>
      </c>
      <c r="I2292" s="45" t="s">
        <v>1634</v>
      </c>
      <c r="J2292" s="143" t="s">
        <v>28</v>
      </c>
      <c r="K2292" s="43" t="s">
        <v>29</v>
      </c>
      <c r="L2292" s="43" t="s">
        <v>30</v>
      </c>
      <c r="M2292" s="144" t="s">
        <v>31</v>
      </c>
      <c r="N2292" s="145">
        <v>250000.0</v>
      </c>
      <c r="O2292" s="146">
        <v>0.0</v>
      </c>
      <c r="P2292" s="48">
        <v>250000.0</v>
      </c>
      <c r="Q2292" s="147">
        <v>0.0</v>
      </c>
      <c r="R2292" s="41" t="s">
        <v>37</v>
      </c>
      <c r="S2292" s="69" t="s">
        <v>1634</v>
      </c>
      <c r="T2292" s="51" t="b">
        <v>1</v>
      </c>
      <c r="U2292" s="94"/>
    </row>
    <row r="2293" ht="30.0" customHeight="1">
      <c r="A2293" s="39"/>
      <c r="B2293" s="40">
        <v>4334.0</v>
      </c>
      <c r="C2293" s="41" t="s">
        <v>79</v>
      </c>
      <c r="D2293" s="86">
        <v>46208.0</v>
      </c>
      <c r="E2293" s="43" t="str">
        <f t="shared" si="60"/>
        <v>2026</v>
      </c>
      <c r="F2293" s="43" t="str">
        <f t="shared" si="61"/>
        <v>07 Jul</v>
      </c>
      <c r="G2293" s="45" t="s">
        <v>161</v>
      </c>
      <c r="H2293" s="45" t="s">
        <v>26</v>
      </c>
      <c r="I2293" s="45" t="s">
        <v>1635</v>
      </c>
      <c r="J2293" s="143" t="s">
        <v>28</v>
      </c>
      <c r="K2293" s="43" t="s">
        <v>29</v>
      </c>
      <c r="L2293" s="43" t="s">
        <v>30</v>
      </c>
      <c r="M2293" s="144" t="s">
        <v>31</v>
      </c>
      <c r="N2293" s="145">
        <v>250000.0</v>
      </c>
      <c r="O2293" s="146">
        <v>0.0</v>
      </c>
      <c r="P2293" s="48">
        <v>250000.0</v>
      </c>
      <c r="Q2293" s="147">
        <v>0.0</v>
      </c>
      <c r="R2293" s="41" t="s">
        <v>37</v>
      </c>
      <c r="S2293" s="69" t="s">
        <v>1635</v>
      </c>
      <c r="T2293" s="51" t="b">
        <v>1</v>
      </c>
      <c r="U2293" s="94"/>
    </row>
    <row r="2294" ht="30.0" customHeight="1">
      <c r="A2294" s="39"/>
      <c r="B2294" s="164">
        <v>4335.0</v>
      </c>
      <c r="C2294" s="41" t="s">
        <v>79</v>
      </c>
      <c r="D2294" s="86">
        <v>46208.0</v>
      </c>
      <c r="E2294" s="43" t="str">
        <f t="shared" si="60"/>
        <v>2026</v>
      </c>
      <c r="F2294" s="43" t="str">
        <f t="shared" si="61"/>
        <v>07 Jul</v>
      </c>
      <c r="G2294" s="45" t="s">
        <v>35</v>
      </c>
      <c r="H2294" s="45" t="s">
        <v>166</v>
      </c>
      <c r="I2294" s="45" t="s">
        <v>1636</v>
      </c>
      <c r="J2294" s="143" t="s">
        <v>28</v>
      </c>
      <c r="K2294" s="43" t="s">
        <v>29</v>
      </c>
      <c r="L2294" s="43" t="s">
        <v>30</v>
      </c>
      <c r="M2294" s="144" t="s">
        <v>31</v>
      </c>
      <c r="N2294" s="145">
        <v>250000.0</v>
      </c>
      <c r="O2294" s="146">
        <v>0.0</v>
      </c>
      <c r="P2294" s="48">
        <v>250000.0</v>
      </c>
      <c r="Q2294" s="147">
        <v>0.0</v>
      </c>
      <c r="R2294" s="41" t="s">
        <v>32</v>
      </c>
      <c r="S2294" s="76" t="s">
        <v>33</v>
      </c>
      <c r="T2294" s="51" t="b">
        <v>1</v>
      </c>
      <c r="U2294" s="94"/>
    </row>
    <row r="2295" ht="30.0" customHeight="1">
      <c r="A2295" s="39"/>
      <c r="B2295" s="40">
        <v>4336.0</v>
      </c>
      <c r="C2295" s="41" t="s">
        <v>39</v>
      </c>
      <c r="D2295" s="86">
        <v>46208.0</v>
      </c>
      <c r="E2295" s="43" t="str">
        <f t="shared" si="60"/>
        <v>2026</v>
      </c>
      <c r="F2295" s="43" t="str">
        <f t="shared" si="61"/>
        <v>07 Jul</v>
      </c>
      <c r="G2295" s="45" t="s">
        <v>40</v>
      </c>
      <c r="H2295" s="45" t="s">
        <v>47</v>
      </c>
      <c r="I2295" s="45" t="s">
        <v>1295</v>
      </c>
      <c r="J2295" s="143" t="s">
        <v>180</v>
      </c>
      <c r="K2295" s="43" t="str">
        <f t="array" ref="K2295">IF(J2295="","", XLOOKUP(J2295,'⚙️ Pengaturan'!$E$2:$E3237,'⚙️ Pengaturan'!$G$2:$G3237))</f>
        <v>KLINIK FT SESI</v>
      </c>
      <c r="L2295" s="43" t="str">
        <f t="shared" ref="L2295:L2364" si="62">if(I2295="","",if(countifs($J$5:J2295,J2295,$I$5:I2295,I2295)=1,"BARU","LANJUTAN"))</f>
        <v>BARU</v>
      </c>
      <c r="M2295" s="144" t="s">
        <v>31</v>
      </c>
      <c r="N2295" s="145">
        <v>180000.0</v>
      </c>
      <c r="O2295" s="146">
        <v>0.0</v>
      </c>
      <c r="P2295" s="48">
        <f t="array" ref="P2295">IFNA(XLOOKUP(J2295,'⚙️ Pengaturan'!$E$2:$E3237,'⚙️ Pengaturan'!$F$2:$F3237),"")</f>
        <v>150000</v>
      </c>
      <c r="Q2295" s="147">
        <f t="shared" ref="Q2295:Q2364" si="63">IF(I2295="","",(N2295+O2295)-P2295)</f>
        <v>30000</v>
      </c>
      <c r="R2295" s="41" t="s">
        <v>93</v>
      </c>
      <c r="S2295" s="76" t="s">
        <v>1637</v>
      </c>
      <c r="T2295" s="51" t="b">
        <v>1</v>
      </c>
      <c r="U2295" s="94"/>
    </row>
    <row r="2296" ht="30.0" customHeight="1">
      <c r="A2296" s="39"/>
      <c r="B2296" s="164">
        <v>4337.0</v>
      </c>
      <c r="C2296" s="41" t="s">
        <v>39</v>
      </c>
      <c r="D2296" s="86">
        <v>46208.0</v>
      </c>
      <c r="E2296" s="43" t="str">
        <f t="shared" si="60"/>
        <v>2026</v>
      </c>
      <c r="F2296" s="43" t="str">
        <f t="shared" si="61"/>
        <v>07 Jul</v>
      </c>
      <c r="G2296" s="45" t="s">
        <v>43</v>
      </c>
      <c r="H2296" s="45" t="s">
        <v>47</v>
      </c>
      <c r="I2296" s="45" t="s">
        <v>1638</v>
      </c>
      <c r="J2296" s="143" t="s">
        <v>28</v>
      </c>
      <c r="K2296" s="43" t="str">
        <f t="array" ref="K2296">IF(J2296="","", XLOOKUP(J2296,'⚙️ Pengaturan'!$E$2:$E3237,'⚙️ Pengaturan'!$G$2:$G3237))</f>
        <v>KLINIK FT TA</v>
      </c>
      <c r="L2296" s="43" t="str">
        <f t="shared" si="62"/>
        <v>BARU</v>
      </c>
      <c r="M2296" s="144" t="s">
        <v>31</v>
      </c>
      <c r="N2296" s="145">
        <v>250000.0</v>
      </c>
      <c r="O2296" s="146">
        <v>0.0</v>
      </c>
      <c r="P2296" s="48">
        <f t="array" ref="P2296">IFNA(XLOOKUP(J2296,'⚙️ Pengaturan'!$E$2:$E3237,'⚙️ Pengaturan'!$F$2:$F3237),"")</f>
        <v>250000</v>
      </c>
      <c r="Q2296" s="147">
        <f t="shared" si="63"/>
        <v>0</v>
      </c>
      <c r="R2296" s="41" t="s">
        <v>37</v>
      </c>
      <c r="S2296" s="69" t="s">
        <v>1638</v>
      </c>
      <c r="T2296" s="51" t="b">
        <v>1</v>
      </c>
      <c r="U2296" s="94"/>
    </row>
    <row r="2297" ht="30.0" customHeight="1">
      <c r="A2297" s="39"/>
      <c r="B2297" s="40">
        <v>4338.0</v>
      </c>
      <c r="C2297" s="41" t="s">
        <v>39</v>
      </c>
      <c r="D2297" s="86">
        <v>46208.0</v>
      </c>
      <c r="E2297" s="43" t="str">
        <f t="shared" si="60"/>
        <v>2026</v>
      </c>
      <c r="F2297" s="43" t="str">
        <f t="shared" si="61"/>
        <v>07 Jul</v>
      </c>
      <c r="G2297" s="45" t="s">
        <v>173</v>
      </c>
      <c r="H2297" s="45" t="s">
        <v>359</v>
      </c>
      <c r="I2297" s="45" t="s">
        <v>1639</v>
      </c>
      <c r="J2297" s="143" t="s">
        <v>1590</v>
      </c>
      <c r="K2297" s="43" t="str">
        <f t="array" ref="K2297">IF(J2297="","", XLOOKUP(J2297,'⚙️ Pengaturan'!$E$2:$E3237,'⚙️ Pengaturan'!$G$2:$G3237))</f>
        <v>KLINIK SM PAKET</v>
      </c>
      <c r="L2297" s="43" t="str">
        <f t="shared" si="62"/>
        <v>BARU</v>
      </c>
      <c r="M2297" s="144" t="s">
        <v>31</v>
      </c>
      <c r="N2297" s="145">
        <v>525000.0</v>
      </c>
      <c r="O2297" s="146">
        <v>0.0</v>
      </c>
      <c r="P2297" s="48">
        <f t="array" ref="P2297">IFNA(XLOOKUP(J2297,'⚙️ Pengaturan'!$E$2:$E3237,'⚙️ Pengaturan'!$F$2:$F3237),"")</f>
        <v>525000</v>
      </c>
      <c r="Q2297" s="147">
        <f t="shared" si="63"/>
        <v>0</v>
      </c>
      <c r="R2297" s="41" t="s">
        <v>37</v>
      </c>
      <c r="S2297" s="69" t="s">
        <v>1639</v>
      </c>
      <c r="T2297" s="51" t="b">
        <v>1</v>
      </c>
      <c r="U2297" s="94"/>
    </row>
    <row r="2298" ht="30.0" customHeight="1">
      <c r="A2298" s="39"/>
      <c r="B2298" s="164">
        <v>4339.0</v>
      </c>
      <c r="C2298" s="41" t="s">
        <v>39</v>
      </c>
      <c r="D2298" s="86">
        <v>46208.0</v>
      </c>
      <c r="E2298" s="43" t="str">
        <f t="shared" si="60"/>
        <v>2026</v>
      </c>
      <c r="F2298" s="43" t="str">
        <f t="shared" si="61"/>
        <v>07 Jul</v>
      </c>
      <c r="G2298" s="45" t="s">
        <v>190</v>
      </c>
      <c r="H2298" s="45" t="s">
        <v>359</v>
      </c>
      <c r="I2298" s="45" t="s">
        <v>1640</v>
      </c>
      <c r="J2298" s="143" t="s">
        <v>1547</v>
      </c>
      <c r="K2298" s="43" t="str">
        <f t="array" ref="K2298">IF(J2298="","", XLOOKUP(J2298,'⚙️ Pengaturan'!$E$2:$E3237,'⚙️ Pengaturan'!$G$2:$G3237))</f>
        <v>KLINIK SM SESI</v>
      </c>
      <c r="L2298" s="43" t="str">
        <f t="shared" si="62"/>
        <v>BARU</v>
      </c>
      <c r="M2298" s="144" t="s">
        <v>31</v>
      </c>
      <c r="N2298" s="145">
        <v>195000.0</v>
      </c>
      <c r="O2298" s="146">
        <v>0.0</v>
      </c>
      <c r="P2298" s="48">
        <f t="array" ref="P2298">IFNA(XLOOKUP(J2298,'⚙️ Pengaturan'!$E$2:$E3237,'⚙️ Pengaturan'!$F$2:$F3237),"")</f>
        <v>195000</v>
      </c>
      <c r="Q2298" s="147">
        <f t="shared" si="63"/>
        <v>0</v>
      </c>
      <c r="R2298" s="41" t="s">
        <v>37</v>
      </c>
      <c r="S2298" s="69" t="s">
        <v>1640</v>
      </c>
      <c r="T2298" s="51" t="b">
        <v>1</v>
      </c>
      <c r="U2298" s="94"/>
    </row>
    <row r="2299" ht="30.0" customHeight="1">
      <c r="A2299" s="39"/>
      <c r="B2299" s="40">
        <v>4340.0</v>
      </c>
      <c r="C2299" s="41" t="s">
        <v>39</v>
      </c>
      <c r="D2299" s="86">
        <v>46208.0</v>
      </c>
      <c r="E2299" s="43" t="str">
        <f t="shared" si="60"/>
        <v>2026</v>
      </c>
      <c r="F2299" s="43" t="str">
        <f t="shared" si="61"/>
        <v>07 Jul</v>
      </c>
      <c r="G2299" s="45" t="s">
        <v>190</v>
      </c>
      <c r="H2299" s="45" t="s">
        <v>47</v>
      </c>
      <c r="I2299" s="45" t="s">
        <v>1641</v>
      </c>
      <c r="J2299" s="143" t="s">
        <v>28</v>
      </c>
      <c r="K2299" s="43" t="str">
        <f t="array" ref="K2299">IF(J2299="","", XLOOKUP(J2299,'⚙️ Pengaturan'!$E$2:$E3237,'⚙️ Pengaturan'!$G$2:$G3237))</f>
        <v>KLINIK FT TA</v>
      </c>
      <c r="L2299" s="43" t="str">
        <f t="shared" si="62"/>
        <v>BARU</v>
      </c>
      <c r="M2299" s="144" t="s">
        <v>31</v>
      </c>
      <c r="N2299" s="145">
        <v>250000.0</v>
      </c>
      <c r="O2299" s="146">
        <v>0.0</v>
      </c>
      <c r="P2299" s="48">
        <f t="array" ref="P2299">IFNA(XLOOKUP(J2299,'⚙️ Pengaturan'!$E$2:$E3237,'⚙️ Pengaturan'!$F$2:$F3237),"")</f>
        <v>250000</v>
      </c>
      <c r="Q2299" s="147">
        <f t="shared" si="63"/>
        <v>0</v>
      </c>
      <c r="R2299" s="41" t="s">
        <v>32</v>
      </c>
      <c r="S2299" s="69" t="s">
        <v>1641</v>
      </c>
      <c r="T2299" s="51" t="b">
        <v>1</v>
      </c>
      <c r="U2299" s="94"/>
    </row>
    <row r="2300" ht="30.0" customHeight="1">
      <c r="A2300" s="39"/>
      <c r="B2300" s="164">
        <v>4341.0</v>
      </c>
      <c r="C2300" s="41" t="s">
        <v>39</v>
      </c>
      <c r="D2300" s="86">
        <v>46208.0</v>
      </c>
      <c r="E2300" s="43" t="str">
        <f t="shared" si="60"/>
        <v>2026</v>
      </c>
      <c r="F2300" s="43" t="str">
        <f t="shared" si="61"/>
        <v>07 Jul</v>
      </c>
      <c r="G2300" s="45" t="s">
        <v>190</v>
      </c>
      <c r="H2300" s="45" t="s">
        <v>96</v>
      </c>
      <c r="I2300" s="45" t="s">
        <v>1642</v>
      </c>
      <c r="J2300" s="143" t="s">
        <v>28</v>
      </c>
      <c r="K2300" s="43" t="str">
        <f t="array" ref="K2300">IF(J2300="","", XLOOKUP(J2300,'⚙️ Pengaturan'!$E$2:$E3237,'⚙️ Pengaturan'!$G$2:$G3237))</f>
        <v>KLINIK FT TA</v>
      </c>
      <c r="L2300" s="43" t="str">
        <f t="shared" si="62"/>
        <v>BARU</v>
      </c>
      <c r="M2300" s="144" t="s">
        <v>31</v>
      </c>
      <c r="N2300" s="145">
        <v>250000.0</v>
      </c>
      <c r="O2300" s="146">
        <v>0.0</v>
      </c>
      <c r="P2300" s="48">
        <f t="array" ref="P2300">IFNA(XLOOKUP(J2300,'⚙️ Pengaturan'!$E$2:$E3237,'⚙️ Pengaturan'!$F$2:$F3237),"")</f>
        <v>250000</v>
      </c>
      <c r="Q2300" s="147">
        <f t="shared" si="63"/>
        <v>0</v>
      </c>
      <c r="R2300" s="41" t="s">
        <v>37</v>
      </c>
      <c r="S2300" s="69" t="s">
        <v>1641</v>
      </c>
      <c r="T2300" s="51" t="b">
        <v>1</v>
      </c>
      <c r="U2300" s="94"/>
    </row>
    <row r="2301" ht="30.0" customHeight="1">
      <c r="A2301" s="39"/>
      <c r="B2301" s="40">
        <v>4342.0</v>
      </c>
      <c r="C2301" s="41" t="s">
        <v>22</v>
      </c>
      <c r="D2301" s="86">
        <v>46209.0</v>
      </c>
      <c r="E2301" s="43" t="str">
        <f t="shared" si="60"/>
        <v>2026</v>
      </c>
      <c r="F2301" s="43" t="str">
        <f t="shared" si="61"/>
        <v>07 Jul</v>
      </c>
      <c r="G2301" s="45" t="s">
        <v>195</v>
      </c>
      <c r="H2301" s="45" t="s">
        <v>41</v>
      </c>
      <c r="I2301" s="45" t="s">
        <v>44</v>
      </c>
      <c r="J2301" s="143" t="s">
        <v>120</v>
      </c>
      <c r="K2301" s="43" t="str">
        <f t="array" ref="K2301">IF(J2301="","", XLOOKUP(J2301,'⚙️ Pengaturan'!$E$2:$E3237,'⚙️ Pengaturan'!$G$2:$G3237))</f>
        <v>KLINIK FT SESI</v>
      </c>
      <c r="L2301" s="43" t="str">
        <f t="shared" si="62"/>
        <v>BARU</v>
      </c>
      <c r="M2301" s="144" t="s">
        <v>31</v>
      </c>
      <c r="N2301" s="145">
        <v>180000.0</v>
      </c>
      <c r="O2301" s="146">
        <v>0.0</v>
      </c>
      <c r="P2301" s="48">
        <f t="array" ref="P2301">IFNA(XLOOKUP(J2301,'⚙️ Pengaturan'!$E$2:$E3237,'⚙️ Pengaturan'!$F$2:$F3237),"")</f>
        <v>180000</v>
      </c>
      <c r="Q2301" s="147">
        <f t="shared" si="63"/>
        <v>0</v>
      </c>
      <c r="R2301" s="41" t="s">
        <v>37</v>
      </c>
      <c r="S2301" s="76" t="s">
        <v>44</v>
      </c>
      <c r="T2301" s="51" t="b">
        <v>1</v>
      </c>
      <c r="U2301" s="94"/>
    </row>
    <row r="2302" ht="30.0" customHeight="1">
      <c r="A2302" s="39"/>
      <c r="B2302" s="164">
        <v>4343.0</v>
      </c>
      <c r="C2302" s="41" t="s">
        <v>22</v>
      </c>
      <c r="D2302" s="86">
        <v>46209.0</v>
      </c>
      <c r="E2302" s="43" t="str">
        <f t="shared" si="60"/>
        <v>2026</v>
      </c>
      <c r="F2302" s="43" t="str">
        <f t="shared" si="61"/>
        <v>07 Jul</v>
      </c>
      <c r="G2302" s="45" t="s">
        <v>195</v>
      </c>
      <c r="H2302" s="45" t="s">
        <v>150</v>
      </c>
      <c r="I2302" s="45" t="s">
        <v>591</v>
      </c>
      <c r="J2302" s="143" t="s">
        <v>120</v>
      </c>
      <c r="K2302" s="43" t="str">
        <f t="array" ref="K2302">IF(J2302="","", XLOOKUP(J2302,'⚙️ Pengaturan'!$E$2:$E3237,'⚙️ Pengaturan'!$G$2:$G3237))</f>
        <v>KLINIK FT SESI</v>
      </c>
      <c r="L2302" s="43" t="str">
        <f t="shared" si="62"/>
        <v>LANJUTAN</v>
      </c>
      <c r="M2302" s="144" t="s">
        <v>31</v>
      </c>
      <c r="N2302" s="145">
        <v>180000.0</v>
      </c>
      <c r="O2302" s="146">
        <v>0.0</v>
      </c>
      <c r="P2302" s="48">
        <f t="array" ref="P2302">IFNA(XLOOKUP(J2302,'⚙️ Pengaturan'!$E$2:$E3237,'⚙️ Pengaturan'!$F$2:$F3237),"")</f>
        <v>180000</v>
      </c>
      <c r="Q2302" s="147">
        <f t="shared" si="63"/>
        <v>0</v>
      </c>
      <c r="R2302" s="41" t="s">
        <v>32</v>
      </c>
      <c r="S2302" s="76" t="s">
        <v>33</v>
      </c>
      <c r="T2302" s="51" t="b">
        <v>1</v>
      </c>
      <c r="U2302" s="94"/>
    </row>
    <row r="2303" ht="30.0" customHeight="1">
      <c r="A2303" s="39"/>
      <c r="B2303" s="40">
        <v>4344.0</v>
      </c>
      <c r="C2303" s="41" t="s">
        <v>22</v>
      </c>
      <c r="D2303" s="86">
        <v>46209.0</v>
      </c>
      <c r="E2303" s="43" t="str">
        <f t="shared" si="60"/>
        <v>2026</v>
      </c>
      <c r="F2303" s="43" t="str">
        <f t="shared" si="61"/>
        <v>07 Jul</v>
      </c>
      <c r="G2303" s="45" t="s">
        <v>25</v>
      </c>
      <c r="H2303" s="45" t="s">
        <v>96</v>
      </c>
      <c r="I2303" s="45" t="s">
        <v>1643</v>
      </c>
      <c r="J2303" s="143" t="s">
        <v>28</v>
      </c>
      <c r="K2303" s="43" t="str">
        <f t="array" ref="K2303">IF(J2303="","", XLOOKUP(J2303,'⚙️ Pengaturan'!$E$2:$E3237,'⚙️ Pengaturan'!$G$2:$G3237))</f>
        <v>KLINIK FT TA</v>
      </c>
      <c r="L2303" s="43" t="str">
        <f t="shared" si="62"/>
        <v>BARU</v>
      </c>
      <c r="M2303" s="144" t="s">
        <v>31</v>
      </c>
      <c r="N2303" s="145">
        <v>250000.0</v>
      </c>
      <c r="O2303" s="146">
        <v>0.0</v>
      </c>
      <c r="P2303" s="48">
        <f t="array" ref="P2303">IFNA(XLOOKUP(J2303,'⚙️ Pengaturan'!$E$2:$E3237,'⚙️ Pengaturan'!$F$2:$F3237),"")</f>
        <v>250000</v>
      </c>
      <c r="Q2303" s="147">
        <f t="shared" si="63"/>
        <v>0</v>
      </c>
      <c r="R2303" s="41" t="s">
        <v>32</v>
      </c>
      <c r="S2303" s="76" t="s">
        <v>33</v>
      </c>
      <c r="T2303" s="51" t="b">
        <v>1</v>
      </c>
      <c r="U2303" s="94"/>
    </row>
    <row r="2304" ht="30.0" customHeight="1">
      <c r="A2304" s="39"/>
      <c r="B2304" s="164">
        <v>4345.0</v>
      </c>
      <c r="C2304" s="41" t="s">
        <v>22</v>
      </c>
      <c r="D2304" s="86">
        <v>46209.0</v>
      </c>
      <c r="E2304" s="43" t="str">
        <f t="shared" si="60"/>
        <v>2026</v>
      </c>
      <c r="F2304" s="43" t="str">
        <f t="shared" si="61"/>
        <v>07 Jul</v>
      </c>
      <c r="G2304" s="45" t="s">
        <v>25</v>
      </c>
      <c r="H2304" s="45" t="s">
        <v>96</v>
      </c>
      <c r="I2304" s="45" t="s">
        <v>1643</v>
      </c>
      <c r="J2304" s="143" t="s">
        <v>119</v>
      </c>
      <c r="K2304" s="43" t="str">
        <f t="array" ref="K2304">IF(J2304="","", XLOOKUP(J2304,'⚙️ Pengaturan'!$E$2:$E3237,'⚙️ Pengaturan'!$G$2:$G3237))</f>
        <v>KLINIK FT PAKET</v>
      </c>
      <c r="L2304" s="43" t="str">
        <f t="shared" si="62"/>
        <v>BARU</v>
      </c>
      <c r="M2304" s="144" t="s">
        <v>31</v>
      </c>
      <c r="N2304" s="145">
        <v>750000.0</v>
      </c>
      <c r="O2304" s="146">
        <v>0.0</v>
      </c>
      <c r="P2304" s="48">
        <f t="array" ref="P2304">IFNA(XLOOKUP(J2304,'⚙️ Pengaturan'!$E$2:$E3237,'⚙️ Pengaturan'!$F$2:$F3237),"")</f>
        <v>750000</v>
      </c>
      <c r="Q2304" s="147">
        <f t="shared" si="63"/>
        <v>0</v>
      </c>
      <c r="R2304" s="41" t="s">
        <v>32</v>
      </c>
      <c r="S2304" s="76" t="s">
        <v>33</v>
      </c>
      <c r="T2304" s="51" t="b">
        <v>1</v>
      </c>
      <c r="U2304" s="94"/>
    </row>
    <row r="2305" ht="30.0" customHeight="1">
      <c r="A2305" s="39"/>
      <c r="B2305" s="40">
        <v>4346.0</v>
      </c>
      <c r="C2305" s="41" t="s">
        <v>22</v>
      </c>
      <c r="D2305" s="86">
        <v>46209.0</v>
      </c>
      <c r="E2305" s="43" t="str">
        <f t="shared" si="60"/>
        <v>2026</v>
      </c>
      <c r="F2305" s="43" t="str">
        <f t="shared" si="61"/>
        <v>07 Jul</v>
      </c>
      <c r="G2305" s="45" t="s">
        <v>25</v>
      </c>
      <c r="H2305" s="45" t="s">
        <v>149</v>
      </c>
      <c r="I2305" s="45" t="s">
        <v>1475</v>
      </c>
      <c r="J2305" s="143" t="s">
        <v>347</v>
      </c>
      <c r="K2305" s="43" t="str">
        <f t="array" ref="K2305">IF(J2305="","", XLOOKUP(J2305,'⚙️ Pengaturan'!$E$2:$E3237,'⚙️ Pengaturan'!$G$2:$G3237))</f>
        <v>KLINIK FT PAKET</v>
      </c>
      <c r="L2305" s="43" t="str">
        <f t="shared" si="62"/>
        <v>LANJUTAN</v>
      </c>
      <c r="M2305" s="144" t="s">
        <v>164</v>
      </c>
      <c r="N2305" s="145">
        <v>300000.0</v>
      </c>
      <c r="O2305" s="146">
        <v>1000000.0</v>
      </c>
      <c r="P2305" s="48">
        <f t="array" ref="P2305">IFNA(XLOOKUP(J2305,'⚙️ Pengaturan'!$E$2:$E3237,'⚙️ Pengaturan'!$F$2:$F3237),"")</f>
        <v>1300000</v>
      </c>
      <c r="Q2305" s="147">
        <f t="shared" si="63"/>
        <v>0</v>
      </c>
      <c r="R2305" s="41" t="s">
        <v>37</v>
      </c>
      <c r="S2305" s="76" t="s">
        <v>1617</v>
      </c>
      <c r="T2305" s="51" t="b">
        <v>1</v>
      </c>
      <c r="U2305" s="94"/>
    </row>
    <row r="2306" ht="30.0" customHeight="1">
      <c r="A2306" s="39"/>
      <c r="B2306" s="164">
        <v>4347.0</v>
      </c>
      <c r="C2306" s="41" t="s">
        <v>22</v>
      </c>
      <c r="D2306" s="86">
        <v>46209.0</v>
      </c>
      <c r="E2306" s="43" t="str">
        <f t="shared" si="60"/>
        <v>2026</v>
      </c>
      <c r="F2306" s="43" t="str">
        <f t="shared" si="61"/>
        <v>07 Jul</v>
      </c>
      <c r="G2306" s="45" t="s">
        <v>206</v>
      </c>
      <c r="H2306" s="45" t="s">
        <v>162</v>
      </c>
      <c r="I2306" s="45" t="s">
        <v>1644</v>
      </c>
      <c r="J2306" s="143" t="s">
        <v>28</v>
      </c>
      <c r="K2306" s="43" t="str">
        <f t="array" ref="K2306">IF(J2306="","", XLOOKUP(J2306,'⚙️ Pengaturan'!$E$2:$E3237,'⚙️ Pengaturan'!$G$2:$G3237))</f>
        <v>KLINIK FT TA</v>
      </c>
      <c r="L2306" s="43" t="str">
        <f t="shared" si="62"/>
        <v>BARU</v>
      </c>
      <c r="M2306" s="144" t="s">
        <v>31</v>
      </c>
      <c r="N2306" s="145">
        <v>250000.0</v>
      </c>
      <c r="O2306" s="146">
        <v>0.0</v>
      </c>
      <c r="P2306" s="48">
        <f t="array" ref="P2306">IFNA(XLOOKUP(J2306,'⚙️ Pengaturan'!$E$2:$E3237,'⚙️ Pengaturan'!$F$2:$F3237),"")</f>
        <v>250000</v>
      </c>
      <c r="Q2306" s="147">
        <f t="shared" si="63"/>
        <v>0</v>
      </c>
      <c r="R2306" s="41" t="s">
        <v>37</v>
      </c>
      <c r="S2306" s="69" t="s">
        <v>1644</v>
      </c>
      <c r="T2306" s="51" t="b">
        <v>1</v>
      </c>
      <c r="U2306" s="94"/>
    </row>
    <row r="2307" ht="30.0" customHeight="1">
      <c r="A2307" s="39"/>
      <c r="B2307" s="40">
        <v>4348.0</v>
      </c>
      <c r="C2307" s="41" t="s">
        <v>39</v>
      </c>
      <c r="D2307" s="86">
        <v>46209.0</v>
      </c>
      <c r="E2307" s="43" t="str">
        <f t="shared" si="60"/>
        <v>2026</v>
      </c>
      <c r="F2307" s="43" t="str">
        <f t="shared" si="61"/>
        <v>07 Jul</v>
      </c>
      <c r="G2307" s="45" t="s">
        <v>206</v>
      </c>
      <c r="H2307" s="45" t="s">
        <v>166</v>
      </c>
      <c r="I2307" s="45" t="s">
        <v>1578</v>
      </c>
      <c r="J2307" s="143" t="s">
        <v>119</v>
      </c>
      <c r="K2307" s="43" t="str">
        <f t="array" ref="K2307">IF(J2307="","", XLOOKUP(J2307,'⚙️ Pengaturan'!$E$2:$E3237,'⚙️ Pengaturan'!$G$2:$G3237))</f>
        <v>KLINIK FT PAKET</v>
      </c>
      <c r="L2307" s="43" t="str">
        <f t="shared" si="62"/>
        <v>LANJUTAN</v>
      </c>
      <c r="M2307" s="144" t="s">
        <v>164</v>
      </c>
      <c r="N2307" s="145">
        <v>400000.0</v>
      </c>
      <c r="O2307" s="146">
        <v>350000.0</v>
      </c>
      <c r="P2307" s="48">
        <f t="array" ref="P2307">IFNA(XLOOKUP(J2307,'⚙️ Pengaturan'!$E$2:$E3237,'⚙️ Pengaturan'!$F$2:$F3237),"")</f>
        <v>750000</v>
      </c>
      <c r="Q2307" s="147">
        <f t="shared" si="63"/>
        <v>0</v>
      </c>
      <c r="R2307" s="41" t="s">
        <v>37</v>
      </c>
      <c r="S2307" s="69" t="s">
        <v>1578</v>
      </c>
      <c r="T2307" s="51" t="b">
        <v>1</v>
      </c>
      <c r="U2307" s="94"/>
    </row>
    <row r="2308" ht="30.0" customHeight="1">
      <c r="A2308" s="39"/>
      <c r="B2308" s="164">
        <v>4349.0</v>
      </c>
      <c r="C2308" s="41" t="s">
        <v>22</v>
      </c>
      <c r="D2308" s="86">
        <v>46209.0</v>
      </c>
      <c r="E2308" s="43" t="str">
        <f t="shared" si="60"/>
        <v>2026</v>
      </c>
      <c r="F2308" s="43" t="str">
        <f t="shared" si="61"/>
        <v>07 Jul</v>
      </c>
      <c r="G2308" s="45" t="s">
        <v>241</v>
      </c>
      <c r="H2308" s="45" t="s">
        <v>166</v>
      </c>
      <c r="I2308" s="45" t="s">
        <v>494</v>
      </c>
      <c r="J2308" s="143" t="s">
        <v>92</v>
      </c>
      <c r="K2308" s="43" t="str">
        <f t="array" ref="K2308">IF(J2308="","", XLOOKUP(J2308,'⚙️ Pengaturan'!$E$2:$E3237,'⚙️ Pengaturan'!$G$2:$G3237))</f>
        <v>KLINIK FT PAKET</v>
      </c>
      <c r="L2308" s="43" t="str">
        <f t="shared" si="62"/>
        <v>LANJUTAN</v>
      </c>
      <c r="M2308" s="144" t="s">
        <v>164</v>
      </c>
      <c r="N2308" s="145">
        <v>200000.0</v>
      </c>
      <c r="O2308" s="146">
        <v>1000000.0</v>
      </c>
      <c r="P2308" s="48">
        <f t="array" ref="P2308">IFNA(XLOOKUP(J2308,'⚙️ Pengaturan'!$E$2:$E3237,'⚙️ Pengaturan'!$F$2:$F3237),"")</f>
        <v>1200000</v>
      </c>
      <c r="Q2308" s="147">
        <f t="shared" si="63"/>
        <v>0</v>
      </c>
      <c r="R2308" s="41" t="s">
        <v>32</v>
      </c>
      <c r="S2308" s="76" t="s">
        <v>33</v>
      </c>
      <c r="T2308" s="51" t="b">
        <v>1</v>
      </c>
      <c r="U2308" s="94"/>
    </row>
    <row r="2309" ht="30.0" customHeight="1">
      <c r="A2309" s="39"/>
      <c r="B2309" s="40">
        <v>4350.0</v>
      </c>
      <c r="C2309" s="41" t="s">
        <v>22</v>
      </c>
      <c r="D2309" s="86">
        <v>46209.0</v>
      </c>
      <c r="E2309" s="43" t="str">
        <f t="shared" si="60"/>
        <v>2026</v>
      </c>
      <c r="F2309" s="43" t="str">
        <f t="shared" si="61"/>
        <v>07 Jul</v>
      </c>
      <c r="G2309" s="45" t="s">
        <v>241</v>
      </c>
      <c r="H2309" s="45" t="s">
        <v>47</v>
      </c>
      <c r="I2309" s="45" t="s">
        <v>1638</v>
      </c>
      <c r="J2309" s="143" t="s">
        <v>120</v>
      </c>
      <c r="K2309" s="43" t="str">
        <f t="array" ref="K2309">IF(J2309="","", XLOOKUP(J2309,'⚙️ Pengaturan'!$E$2:$E3237,'⚙️ Pengaturan'!$G$2:$G3237))</f>
        <v>KLINIK FT SESI</v>
      </c>
      <c r="L2309" s="43" t="str">
        <f t="shared" si="62"/>
        <v>BARU</v>
      </c>
      <c r="M2309" s="144" t="s">
        <v>31</v>
      </c>
      <c r="N2309" s="145">
        <v>180000.0</v>
      </c>
      <c r="O2309" s="146">
        <v>0.0</v>
      </c>
      <c r="P2309" s="48">
        <f t="array" ref="P2309">IFNA(XLOOKUP(J2309,'⚙️ Pengaturan'!$E$2:$E3237,'⚙️ Pengaturan'!$F$2:$F3237),"")</f>
        <v>180000</v>
      </c>
      <c r="Q2309" s="147">
        <f t="shared" si="63"/>
        <v>0</v>
      </c>
      <c r="R2309" s="41" t="s">
        <v>118</v>
      </c>
      <c r="S2309" s="76" t="s">
        <v>1638</v>
      </c>
      <c r="T2309" s="51" t="b">
        <v>1</v>
      </c>
      <c r="U2309" s="94"/>
    </row>
    <row r="2310" ht="30.0" customHeight="1">
      <c r="A2310" s="39"/>
      <c r="B2310" s="164">
        <v>4351.0</v>
      </c>
      <c r="C2310" s="41" t="s">
        <v>22</v>
      </c>
      <c r="D2310" s="86">
        <v>46209.0</v>
      </c>
      <c r="E2310" s="43" t="str">
        <f t="shared" si="60"/>
        <v>2026</v>
      </c>
      <c r="F2310" s="43" t="str">
        <f t="shared" si="61"/>
        <v>07 Jul</v>
      </c>
      <c r="G2310" s="45" t="s">
        <v>241</v>
      </c>
      <c r="H2310" s="45" t="s">
        <v>41</v>
      </c>
      <c r="I2310" s="45" t="s">
        <v>967</v>
      </c>
      <c r="J2310" s="143" t="s">
        <v>120</v>
      </c>
      <c r="K2310" s="43" t="str">
        <f t="array" ref="K2310">IF(J2310="","", XLOOKUP(J2310,'⚙️ Pengaturan'!$E$2:$E3237,'⚙️ Pengaturan'!$G$2:$G3237))</f>
        <v>KLINIK FT SESI</v>
      </c>
      <c r="L2310" s="43" t="str">
        <f t="shared" si="62"/>
        <v>LANJUTAN</v>
      </c>
      <c r="M2310" s="144" t="s">
        <v>31</v>
      </c>
      <c r="N2310" s="145">
        <v>50000.0</v>
      </c>
      <c r="O2310" s="146">
        <v>130000.0</v>
      </c>
      <c r="P2310" s="48">
        <f t="array" ref="P2310">IFNA(XLOOKUP(J2310,'⚙️ Pengaturan'!$E$2:$E3237,'⚙️ Pengaturan'!$F$2:$F3237),"")</f>
        <v>180000</v>
      </c>
      <c r="Q2310" s="147">
        <f t="shared" si="63"/>
        <v>0</v>
      </c>
      <c r="R2310" s="41" t="s">
        <v>32</v>
      </c>
      <c r="S2310" s="76" t="s">
        <v>33</v>
      </c>
      <c r="T2310" s="51" t="b">
        <v>1</v>
      </c>
      <c r="U2310" s="94"/>
    </row>
    <row r="2311" ht="30.0" customHeight="1">
      <c r="A2311" s="39"/>
      <c r="B2311" s="40">
        <v>4352.0</v>
      </c>
      <c r="C2311" s="41" t="s">
        <v>22</v>
      </c>
      <c r="D2311" s="86">
        <v>46209.0</v>
      </c>
      <c r="E2311" s="43" t="str">
        <f t="shared" si="60"/>
        <v>2026</v>
      </c>
      <c r="F2311" s="43" t="str">
        <f t="shared" si="61"/>
        <v>07 Jul</v>
      </c>
      <c r="G2311" s="45" t="s">
        <v>241</v>
      </c>
      <c r="H2311" s="45" t="s">
        <v>96</v>
      </c>
      <c r="I2311" s="45" t="s">
        <v>1020</v>
      </c>
      <c r="J2311" s="143" t="s">
        <v>120</v>
      </c>
      <c r="K2311" s="43" t="str">
        <f t="array" ref="K2311">IF(J2311="","", XLOOKUP(J2311,'⚙️ Pengaturan'!$E$2:$E3237,'⚙️ Pengaturan'!$G$2:$G3237))</f>
        <v>KLINIK FT SESI</v>
      </c>
      <c r="L2311" s="43" t="str">
        <f t="shared" si="62"/>
        <v>BARU</v>
      </c>
      <c r="M2311" s="144" t="s">
        <v>31</v>
      </c>
      <c r="N2311" s="145">
        <v>50000.0</v>
      </c>
      <c r="O2311" s="146">
        <v>130000.0</v>
      </c>
      <c r="P2311" s="48">
        <f t="array" ref="P2311">IFNA(XLOOKUP(J2311,'⚙️ Pengaturan'!$E$2:$E3237,'⚙️ Pengaturan'!$F$2:$F3237),"")</f>
        <v>180000</v>
      </c>
      <c r="Q2311" s="147">
        <f t="shared" si="63"/>
        <v>0</v>
      </c>
      <c r="R2311" s="41" t="s">
        <v>32</v>
      </c>
      <c r="S2311" s="76" t="s">
        <v>33</v>
      </c>
      <c r="T2311" s="51" t="b">
        <v>1</v>
      </c>
      <c r="U2311" s="94"/>
    </row>
    <row r="2312" ht="30.0" customHeight="1">
      <c r="A2312" s="39"/>
      <c r="B2312" s="164">
        <v>4353.0</v>
      </c>
      <c r="C2312" s="41" t="s">
        <v>22</v>
      </c>
      <c r="D2312" s="86">
        <v>46209.0</v>
      </c>
      <c r="E2312" s="43" t="str">
        <f t="shared" si="60"/>
        <v>2026</v>
      </c>
      <c r="F2312" s="43" t="str">
        <f t="shared" si="61"/>
        <v>07 Jul</v>
      </c>
      <c r="G2312" s="45" t="s">
        <v>161</v>
      </c>
      <c r="H2312" s="45" t="s">
        <v>26</v>
      </c>
      <c r="I2312" s="45" t="s">
        <v>470</v>
      </c>
      <c r="J2312" s="143" t="s">
        <v>119</v>
      </c>
      <c r="K2312" s="43" t="str">
        <f t="array" ref="K2312">IF(J2312="","", XLOOKUP(J2312,'⚙️ Pengaturan'!$E$2:$E3237,'⚙️ Pengaturan'!$G$2:$G3237))</f>
        <v>KLINIK FT PAKET</v>
      </c>
      <c r="L2312" s="43" t="str">
        <f t="shared" si="62"/>
        <v>BARU</v>
      </c>
      <c r="M2312" s="144" t="s">
        <v>31</v>
      </c>
      <c r="N2312" s="145">
        <v>750000.0</v>
      </c>
      <c r="O2312" s="146">
        <v>0.0</v>
      </c>
      <c r="P2312" s="48">
        <f t="array" ref="P2312">IFNA(XLOOKUP(J2312,'⚙️ Pengaturan'!$E$2:$E3237,'⚙️ Pengaturan'!$F$2:$F3237),"")</f>
        <v>750000</v>
      </c>
      <c r="Q2312" s="147">
        <f t="shared" si="63"/>
        <v>0</v>
      </c>
      <c r="R2312" s="41" t="s">
        <v>93</v>
      </c>
      <c r="S2312" s="76" t="s">
        <v>470</v>
      </c>
      <c r="T2312" s="51" t="b">
        <v>1</v>
      </c>
      <c r="U2312" s="94"/>
    </row>
    <row r="2313" ht="30.0" customHeight="1">
      <c r="A2313" s="39"/>
      <c r="B2313" s="40">
        <v>4354.0</v>
      </c>
      <c r="C2313" s="41" t="s">
        <v>22</v>
      </c>
      <c r="D2313" s="86">
        <v>46209.0</v>
      </c>
      <c r="E2313" s="43" t="str">
        <f t="shared" si="60"/>
        <v>2026</v>
      </c>
      <c r="F2313" s="43" t="str">
        <f t="shared" si="61"/>
        <v>07 Jul</v>
      </c>
      <c r="G2313" s="45" t="s">
        <v>161</v>
      </c>
      <c r="H2313" s="45" t="s">
        <v>149</v>
      </c>
      <c r="I2313" s="45" t="s">
        <v>396</v>
      </c>
      <c r="J2313" s="143" t="s">
        <v>28</v>
      </c>
      <c r="K2313" s="43" t="str">
        <f t="array" ref="K2313">IF(J2313="","", XLOOKUP(J2313,'⚙️ Pengaturan'!$E$2:$E3237,'⚙️ Pengaturan'!$G$2:$G3237))</f>
        <v>KLINIK FT TA</v>
      </c>
      <c r="L2313" s="43" t="str">
        <f t="shared" si="62"/>
        <v>BARU</v>
      </c>
      <c r="M2313" s="144" t="s">
        <v>31</v>
      </c>
      <c r="N2313" s="145">
        <v>250000.0</v>
      </c>
      <c r="O2313" s="146">
        <v>0.0</v>
      </c>
      <c r="P2313" s="48">
        <f t="array" ref="P2313">IFNA(XLOOKUP(J2313,'⚙️ Pengaturan'!$E$2:$E3237,'⚙️ Pengaturan'!$F$2:$F3237),"")</f>
        <v>250000</v>
      </c>
      <c r="Q2313" s="147">
        <f t="shared" si="63"/>
        <v>0</v>
      </c>
      <c r="R2313" s="41" t="s">
        <v>32</v>
      </c>
      <c r="S2313" s="76" t="s">
        <v>33</v>
      </c>
      <c r="T2313" s="51" t="b">
        <v>1</v>
      </c>
      <c r="U2313" s="94"/>
    </row>
    <row r="2314" ht="30.0" customHeight="1">
      <c r="A2314" s="39"/>
      <c r="B2314" s="164">
        <v>4355.0</v>
      </c>
      <c r="C2314" s="41" t="s">
        <v>39</v>
      </c>
      <c r="D2314" s="86">
        <v>46209.0</v>
      </c>
      <c r="E2314" s="43" t="str">
        <f t="shared" si="60"/>
        <v>2026</v>
      </c>
      <c r="F2314" s="43" t="str">
        <f t="shared" si="61"/>
        <v>07 Jul</v>
      </c>
      <c r="G2314" s="45" t="s">
        <v>161</v>
      </c>
      <c r="H2314" s="45" t="s">
        <v>359</v>
      </c>
      <c r="I2314" s="45" t="s">
        <v>956</v>
      </c>
      <c r="J2314" s="143" t="s">
        <v>1547</v>
      </c>
      <c r="K2314" s="43" t="str">
        <f t="array" ref="K2314">IF(J2314="","", XLOOKUP(J2314,'⚙️ Pengaturan'!$E$2:$E3237,'⚙️ Pengaturan'!$G$2:$G3237))</f>
        <v>KLINIK SM SESI</v>
      </c>
      <c r="L2314" s="43" t="str">
        <f t="shared" si="62"/>
        <v>BARU</v>
      </c>
      <c r="M2314" s="144" t="s">
        <v>31</v>
      </c>
      <c r="N2314" s="145">
        <v>195000.0</v>
      </c>
      <c r="O2314" s="146">
        <v>0.0</v>
      </c>
      <c r="P2314" s="48">
        <f t="array" ref="P2314">IFNA(XLOOKUP(J2314,'⚙️ Pengaturan'!$E$2:$E3237,'⚙️ Pengaturan'!$F$2:$F3237),"")</f>
        <v>195000</v>
      </c>
      <c r="Q2314" s="147">
        <f t="shared" si="63"/>
        <v>0</v>
      </c>
      <c r="R2314" s="41" t="s">
        <v>37</v>
      </c>
      <c r="S2314" s="69" t="s">
        <v>956</v>
      </c>
      <c r="T2314" s="51" t="b">
        <v>1</v>
      </c>
      <c r="U2314" s="94"/>
    </row>
    <row r="2315" ht="30.0" customHeight="1">
      <c r="A2315" s="39"/>
      <c r="B2315" s="40">
        <v>4356.0</v>
      </c>
      <c r="C2315" s="41" t="s">
        <v>39</v>
      </c>
      <c r="D2315" s="86">
        <v>46209.0</v>
      </c>
      <c r="E2315" s="43" t="str">
        <f t="shared" si="60"/>
        <v>2026</v>
      </c>
      <c r="F2315" s="43" t="str">
        <f t="shared" si="61"/>
        <v>07 Jul</v>
      </c>
      <c r="G2315" s="45" t="s">
        <v>161</v>
      </c>
      <c r="H2315" s="45" t="s">
        <v>156</v>
      </c>
      <c r="I2315" s="45" t="s">
        <v>641</v>
      </c>
      <c r="J2315" s="143" t="s">
        <v>119</v>
      </c>
      <c r="K2315" s="43" t="str">
        <f t="array" ref="K2315">IF(J2315="","", XLOOKUP(J2315,'⚙️ Pengaturan'!$E$2:$E3237,'⚙️ Pengaturan'!$G$2:$G3237))</f>
        <v>KLINIK FT PAKET</v>
      </c>
      <c r="L2315" s="43" t="str">
        <f t="shared" si="62"/>
        <v>BARU</v>
      </c>
      <c r="M2315" s="144" t="s">
        <v>31</v>
      </c>
      <c r="N2315" s="145">
        <v>750000.0</v>
      </c>
      <c r="O2315" s="146">
        <v>0.0</v>
      </c>
      <c r="P2315" s="48">
        <f t="array" ref="P2315">IFNA(XLOOKUP(J2315,'⚙️ Pengaturan'!$E$2:$E3237,'⚙️ Pengaturan'!$F$2:$F3237),"")</f>
        <v>750000</v>
      </c>
      <c r="Q2315" s="147">
        <f t="shared" si="63"/>
        <v>0</v>
      </c>
      <c r="R2315" s="41" t="s">
        <v>37</v>
      </c>
      <c r="S2315" s="69" t="s">
        <v>641</v>
      </c>
      <c r="T2315" s="51" t="b">
        <v>1</v>
      </c>
      <c r="U2315" s="94"/>
    </row>
    <row r="2316" ht="30.0" customHeight="1">
      <c r="A2316" s="39"/>
      <c r="B2316" s="164">
        <v>4357.0</v>
      </c>
      <c r="C2316" s="41" t="s">
        <v>39</v>
      </c>
      <c r="D2316" s="86">
        <v>46209.0</v>
      </c>
      <c r="E2316" s="43" t="str">
        <f t="shared" si="60"/>
        <v>2026</v>
      </c>
      <c r="F2316" s="43" t="str">
        <f t="shared" si="61"/>
        <v>07 Jul</v>
      </c>
      <c r="G2316" s="45" t="s">
        <v>69</v>
      </c>
      <c r="H2316" s="45" t="s">
        <v>47</v>
      </c>
      <c r="I2316" s="45" t="s">
        <v>1516</v>
      </c>
      <c r="J2316" s="143" t="s">
        <v>347</v>
      </c>
      <c r="K2316" s="43" t="str">
        <f t="array" ref="K2316">IF(J2316="","", XLOOKUP(J2316,'⚙️ Pengaturan'!$E$2:$E3237,'⚙️ Pengaturan'!$G$2:$G3237))</f>
        <v>KLINIK FT PAKET</v>
      </c>
      <c r="L2316" s="43" t="str">
        <f t="shared" si="62"/>
        <v>BARU</v>
      </c>
      <c r="M2316" s="144" t="s">
        <v>31</v>
      </c>
      <c r="N2316" s="145">
        <v>1300000.0</v>
      </c>
      <c r="O2316" s="146">
        <v>0.0</v>
      </c>
      <c r="P2316" s="48">
        <f t="array" ref="P2316">IFNA(XLOOKUP(J2316,'⚙️ Pengaturan'!$E$2:$E3237,'⚙️ Pengaturan'!$F$2:$F3237),"")</f>
        <v>1300000</v>
      </c>
      <c r="Q2316" s="147">
        <f t="shared" si="63"/>
        <v>0</v>
      </c>
      <c r="R2316" s="41" t="s">
        <v>37</v>
      </c>
      <c r="S2316" s="76" t="s">
        <v>1645</v>
      </c>
      <c r="T2316" s="51" t="b">
        <v>1</v>
      </c>
      <c r="U2316" s="94"/>
    </row>
    <row r="2317" ht="30.0" customHeight="1">
      <c r="A2317" s="39"/>
      <c r="B2317" s="40">
        <v>4358.0</v>
      </c>
      <c r="C2317" s="41" t="s">
        <v>39</v>
      </c>
      <c r="D2317" s="86">
        <v>46210.0</v>
      </c>
      <c r="E2317" s="43" t="str">
        <f t="shared" si="60"/>
        <v>2026</v>
      </c>
      <c r="F2317" s="43" t="str">
        <f t="shared" si="61"/>
        <v>07 Jul</v>
      </c>
      <c r="G2317" s="45" t="s">
        <v>69</v>
      </c>
      <c r="H2317" s="45" t="s">
        <v>96</v>
      </c>
      <c r="I2317" s="45" t="s">
        <v>798</v>
      </c>
      <c r="J2317" s="143" t="s">
        <v>92</v>
      </c>
      <c r="K2317" s="43" t="str">
        <f t="array" ref="K2317">IF(J2317="","", XLOOKUP(J2317,'⚙️ Pengaturan'!$E$2:$E3237,'⚙️ Pengaturan'!$G$2:$G3237))</f>
        <v>KLINIK FT PAKET</v>
      </c>
      <c r="L2317" s="43" t="str">
        <f t="shared" si="62"/>
        <v>LANJUTAN</v>
      </c>
      <c r="M2317" s="144" t="s">
        <v>31</v>
      </c>
      <c r="N2317" s="145">
        <v>1200000.0</v>
      </c>
      <c r="O2317" s="146">
        <v>0.0</v>
      </c>
      <c r="P2317" s="48">
        <f t="array" ref="P2317">IFNA(XLOOKUP(J2317,'⚙️ Pengaturan'!$E$2:$E3237,'⚙️ Pengaturan'!$F$2:$F3237),"")</f>
        <v>1200000</v>
      </c>
      <c r="Q2317" s="147">
        <f t="shared" si="63"/>
        <v>0</v>
      </c>
      <c r="R2317" s="41" t="s">
        <v>37</v>
      </c>
      <c r="S2317" s="76" t="s">
        <v>1646</v>
      </c>
      <c r="T2317" s="51" t="b">
        <v>1</v>
      </c>
      <c r="U2317" s="94"/>
    </row>
    <row r="2318" ht="30.0" customHeight="1">
      <c r="A2318" s="39"/>
      <c r="B2318" s="164">
        <v>4359.0</v>
      </c>
      <c r="C2318" s="41" t="s">
        <v>22</v>
      </c>
      <c r="D2318" s="86">
        <v>46210.0</v>
      </c>
      <c r="E2318" s="43" t="str">
        <f t="shared" si="60"/>
        <v>2026</v>
      </c>
      <c r="F2318" s="43" t="str">
        <f t="shared" si="61"/>
        <v>07 Jul</v>
      </c>
      <c r="G2318" s="45" t="s">
        <v>69</v>
      </c>
      <c r="H2318" s="45" t="s">
        <v>149</v>
      </c>
      <c r="I2318" s="45" t="s">
        <v>1551</v>
      </c>
      <c r="J2318" s="143" t="s">
        <v>120</v>
      </c>
      <c r="K2318" s="43" t="str">
        <f t="array" ref="K2318">IF(J2318="","", XLOOKUP(J2318,'⚙️ Pengaturan'!$E$2:$E3237,'⚙️ Pengaturan'!$G$2:$G3237))</f>
        <v>KLINIK FT SESI</v>
      </c>
      <c r="L2318" s="43" t="str">
        <f t="shared" si="62"/>
        <v>LANJUTAN</v>
      </c>
      <c r="M2318" s="144" t="s">
        <v>31</v>
      </c>
      <c r="N2318" s="145">
        <v>180000.0</v>
      </c>
      <c r="O2318" s="146">
        <v>0.0</v>
      </c>
      <c r="P2318" s="48">
        <f t="array" ref="P2318">IFNA(XLOOKUP(J2318,'⚙️ Pengaturan'!$E$2:$E3237,'⚙️ Pengaturan'!$F$2:$F3237),"")</f>
        <v>180000</v>
      </c>
      <c r="Q2318" s="147">
        <f t="shared" si="63"/>
        <v>0</v>
      </c>
      <c r="R2318" s="41" t="s">
        <v>37</v>
      </c>
      <c r="S2318" s="76" t="s">
        <v>1551</v>
      </c>
      <c r="T2318" s="51" t="b">
        <v>1</v>
      </c>
      <c r="U2318" s="94"/>
    </row>
    <row r="2319" ht="30.0" customHeight="1">
      <c r="A2319" s="39"/>
      <c r="B2319" s="40">
        <v>4360.0</v>
      </c>
      <c r="C2319" s="41" t="s">
        <v>22</v>
      </c>
      <c r="D2319" s="86">
        <v>46210.0</v>
      </c>
      <c r="E2319" s="43" t="str">
        <f t="shared" si="60"/>
        <v>2026</v>
      </c>
      <c r="F2319" s="43" t="str">
        <f t="shared" si="61"/>
        <v>07 Jul</v>
      </c>
      <c r="G2319" s="45" t="s">
        <v>195</v>
      </c>
      <c r="H2319" s="45" t="s">
        <v>162</v>
      </c>
      <c r="I2319" s="45" t="s">
        <v>646</v>
      </c>
      <c r="J2319" s="143" t="s">
        <v>28</v>
      </c>
      <c r="K2319" s="43" t="str">
        <f t="array" ref="K2319">IF(J2319="","", XLOOKUP(J2319,'⚙️ Pengaturan'!$E$2:$E3237,'⚙️ Pengaturan'!$G$2:$G3237))</f>
        <v>KLINIK FT TA</v>
      </c>
      <c r="L2319" s="43" t="str">
        <f t="shared" si="62"/>
        <v>BARU</v>
      </c>
      <c r="M2319" s="144" t="s">
        <v>31</v>
      </c>
      <c r="N2319" s="145">
        <v>250000.0</v>
      </c>
      <c r="O2319" s="146">
        <v>0.0</v>
      </c>
      <c r="P2319" s="48">
        <f t="array" ref="P2319">IFNA(XLOOKUP(J2319,'⚙️ Pengaturan'!$E$2:$E3237,'⚙️ Pengaturan'!$F$2:$F3237),"")</f>
        <v>250000</v>
      </c>
      <c r="Q2319" s="147">
        <f t="shared" si="63"/>
        <v>0</v>
      </c>
      <c r="R2319" s="41" t="s">
        <v>118</v>
      </c>
      <c r="S2319" s="76" t="s">
        <v>1647</v>
      </c>
      <c r="T2319" s="51" t="b">
        <v>1</v>
      </c>
      <c r="U2319" s="94"/>
    </row>
    <row r="2320" ht="30.0" customHeight="1">
      <c r="A2320" s="39"/>
      <c r="B2320" s="164">
        <v>4361.0</v>
      </c>
      <c r="C2320" s="41" t="s">
        <v>22</v>
      </c>
      <c r="D2320" s="86">
        <v>46210.0</v>
      </c>
      <c r="E2320" s="43" t="str">
        <f t="shared" si="60"/>
        <v>2026</v>
      </c>
      <c r="F2320" s="43" t="str">
        <f t="shared" si="61"/>
        <v>07 Jul</v>
      </c>
      <c r="G2320" s="45" t="s">
        <v>25</v>
      </c>
      <c r="H2320" s="45" t="s">
        <v>162</v>
      </c>
      <c r="I2320" s="45" t="s">
        <v>646</v>
      </c>
      <c r="J2320" s="143" t="s">
        <v>119</v>
      </c>
      <c r="K2320" s="43" t="str">
        <f t="array" ref="K2320">IF(J2320="","", XLOOKUP(J2320,'⚙️ Pengaturan'!$E$2:$E3237,'⚙️ Pengaturan'!$G$2:$G3237))</f>
        <v>KLINIK FT PAKET</v>
      </c>
      <c r="L2320" s="43" t="str">
        <f t="shared" si="62"/>
        <v>BARU</v>
      </c>
      <c r="M2320" s="144" t="s">
        <v>60</v>
      </c>
      <c r="N2320" s="145">
        <v>300000.0</v>
      </c>
      <c r="O2320" s="146">
        <v>0.0</v>
      </c>
      <c r="P2320" s="48">
        <f t="array" ref="P2320">IFNA(XLOOKUP(J2320,'⚙️ Pengaturan'!$E$2:$E3237,'⚙️ Pengaturan'!$F$2:$F3237),"")</f>
        <v>750000</v>
      </c>
      <c r="Q2320" s="147">
        <f t="shared" si="63"/>
        <v>-450000</v>
      </c>
      <c r="R2320" s="41" t="s">
        <v>118</v>
      </c>
      <c r="S2320" s="76" t="s">
        <v>1647</v>
      </c>
      <c r="T2320" s="51" t="b">
        <v>1</v>
      </c>
      <c r="U2320" s="94"/>
    </row>
    <row r="2321" ht="30.0" customHeight="1">
      <c r="A2321" s="39"/>
      <c r="B2321" s="40">
        <v>4362.0</v>
      </c>
      <c r="C2321" s="41" t="s">
        <v>22</v>
      </c>
      <c r="D2321" s="86">
        <v>46210.0</v>
      </c>
      <c r="E2321" s="43" t="str">
        <f t="shared" si="60"/>
        <v>2026</v>
      </c>
      <c r="F2321" s="43" t="str">
        <f t="shared" si="61"/>
        <v>07 Jul</v>
      </c>
      <c r="G2321" s="45" t="s">
        <v>206</v>
      </c>
      <c r="H2321" s="45" t="s">
        <v>156</v>
      </c>
      <c r="I2321" s="45" t="s">
        <v>1272</v>
      </c>
      <c r="J2321" s="143" t="s">
        <v>119</v>
      </c>
      <c r="K2321" s="43" t="str">
        <f t="array" ref="K2321">IF(J2321="","", XLOOKUP(J2321,'⚙️ Pengaturan'!$E$2:$E3237,'⚙️ Pengaturan'!$G$2:$G3237))</f>
        <v>KLINIK FT PAKET</v>
      </c>
      <c r="L2321" s="43" t="str">
        <f t="shared" si="62"/>
        <v>LANJUTAN</v>
      </c>
      <c r="M2321" s="144" t="s">
        <v>164</v>
      </c>
      <c r="N2321" s="145">
        <v>450000.0</v>
      </c>
      <c r="O2321" s="146">
        <v>300000.0</v>
      </c>
      <c r="P2321" s="48">
        <f t="array" ref="P2321">IFNA(XLOOKUP(J2321,'⚙️ Pengaturan'!$E$2:$E3237,'⚙️ Pengaturan'!$F$2:$F3237),"")</f>
        <v>750000</v>
      </c>
      <c r="Q2321" s="147">
        <f t="shared" si="63"/>
        <v>0</v>
      </c>
      <c r="R2321" s="41" t="s">
        <v>37</v>
      </c>
      <c r="S2321" s="76" t="s">
        <v>1648</v>
      </c>
      <c r="T2321" s="51" t="b">
        <v>1</v>
      </c>
      <c r="U2321" s="94"/>
    </row>
    <row r="2322" ht="30.0" customHeight="1">
      <c r="A2322" s="39"/>
      <c r="B2322" s="164">
        <v>4363.0</v>
      </c>
      <c r="C2322" s="41" t="s">
        <v>22</v>
      </c>
      <c r="D2322" s="86">
        <v>46210.0</v>
      </c>
      <c r="E2322" s="43" t="str">
        <f t="shared" si="60"/>
        <v>2026</v>
      </c>
      <c r="F2322" s="43" t="str">
        <f t="shared" si="61"/>
        <v>07 Jul</v>
      </c>
      <c r="G2322" s="45" t="s">
        <v>206</v>
      </c>
      <c r="H2322" s="45" t="s">
        <v>359</v>
      </c>
      <c r="I2322" s="45" t="s">
        <v>1649</v>
      </c>
      <c r="J2322" s="143" t="s">
        <v>1547</v>
      </c>
      <c r="K2322" s="43" t="str">
        <f t="array" ref="K2322">IF(J2322="","", XLOOKUP(J2322,'⚙️ Pengaturan'!$E$2:$E3237,'⚙️ Pengaturan'!$G$2:$G3237))</f>
        <v>KLINIK SM SESI</v>
      </c>
      <c r="L2322" s="43" t="str">
        <f t="shared" si="62"/>
        <v>BARU</v>
      </c>
      <c r="M2322" s="144" t="s">
        <v>31</v>
      </c>
      <c r="N2322" s="145">
        <v>195000.0</v>
      </c>
      <c r="O2322" s="146">
        <v>0.0</v>
      </c>
      <c r="P2322" s="48">
        <f t="array" ref="P2322">IFNA(XLOOKUP(J2322,'⚙️ Pengaturan'!$E$2:$E3237,'⚙️ Pengaturan'!$F$2:$F3237),"")</f>
        <v>195000</v>
      </c>
      <c r="Q2322" s="147">
        <f t="shared" si="63"/>
        <v>0</v>
      </c>
      <c r="R2322" s="41" t="s">
        <v>37</v>
      </c>
      <c r="S2322" s="76" t="s">
        <v>1648</v>
      </c>
      <c r="T2322" s="51" t="b">
        <v>1</v>
      </c>
      <c r="U2322" s="94"/>
    </row>
    <row r="2323" ht="30.0" customHeight="1">
      <c r="A2323" s="39"/>
      <c r="B2323" s="40">
        <v>4364.0</v>
      </c>
      <c r="C2323" s="41" t="s">
        <v>22</v>
      </c>
      <c r="D2323" s="86">
        <v>46210.0</v>
      </c>
      <c r="E2323" s="43" t="str">
        <f t="shared" si="60"/>
        <v>2026</v>
      </c>
      <c r="F2323" s="43" t="str">
        <f t="shared" si="61"/>
        <v>07 Jul</v>
      </c>
      <c r="G2323" s="45" t="s">
        <v>206</v>
      </c>
      <c r="H2323" s="45" t="s">
        <v>41</v>
      </c>
      <c r="I2323" s="45" t="s">
        <v>1623</v>
      </c>
      <c r="J2323" s="143" t="s">
        <v>120</v>
      </c>
      <c r="K2323" s="43" t="str">
        <f t="array" ref="K2323">IF(J2323="","", XLOOKUP(J2323,'⚙️ Pengaturan'!$E$2:$E3237,'⚙️ Pengaturan'!$G$2:$G3237))</f>
        <v>KLINIK FT SESI</v>
      </c>
      <c r="L2323" s="43" t="str">
        <f t="shared" si="62"/>
        <v>BARU</v>
      </c>
      <c r="M2323" s="144" t="s">
        <v>31</v>
      </c>
      <c r="N2323" s="145">
        <v>180000.0</v>
      </c>
      <c r="O2323" s="146">
        <v>0.0</v>
      </c>
      <c r="P2323" s="48">
        <f t="array" ref="P2323">IFNA(XLOOKUP(J2323,'⚙️ Pengaturan'!$E$2:$E3237,'⚙️ Pengaturan'!$F$2:$F3237),"")</f>
        <v>180000</v>
      </c>
      <c r="Q2323" s="147">
        <f t="shared" si="63"/>
        <v>0</v>
      </c>
      <c r="R2323" s="41" t="s">
        <v>118</v>
      </c>
      <c r="S2323" s="76" t="s">
        <v>1624</v>
      </c>
      <c r="T2323" s="51" t="b">
        <v>1</v>
      </c>
      <c r="U2323" s="94"/>
    </row>
    <row r="2324" ht="30.0" customHeight="1">
      <c r="A2324" s="39"/>
      <c r="B2324" s="164">
        <v>4365.0</v>
      </c>
      <c r="C2324" s="41" t="s">
        <v>22</v>
      </c>
      <c r="D2324" s="86">
        <v>46210.0</v>
      </c>
      <c r="E2324" s="43" t="str">
        <f t="shared" si="60"/>
        <v>2026</v>
      </c>
      <c r="F2324" s="43" t="str">
        <f t="shared" si="61"/>
        <v>07 Jul</v>
      </c>
      <c r="G2324" s="45" t="s">
        <v>241</v>
      </c>
      <c r="H2324" s="45" t="s">
        <v>41</v>
      </c>
      <c r="I2324" s="45" t="s">
        <v>967</v>
      </c>
      <c r="J2324" s="143" t="s">
        <v>120</v>
      </c>
      <c r="K2324" s="43" t="str">
        <f t="array" ref="K2324">IF(J2324="","", XLOOKUP(J2324,'⚙️ Pengaturan'!$E$2:$E3237,'⚙️ Pengaturan'!$G$2:$G3237))</f>
        <v>KLINIK FT SESI</v>
      </c>
      <c r="L2324" s="43" t="str">
        <f t="shared" si="62"/>
        <v>LANJUTAN</v>
      </c>
      <c r="M2324" s="144" t="s">
        <v>31</v>
      </c>
      <c r="N2324" s="145">
        <v>50000.0</v>
      </c>
      <c r="O2324" s="146">
        <v>130000.0</v>
      </c>
      <c r="P2324" s="48">
        <f t="array" ref="P2324">IFNA(XLOOKUP(J2324,'⚙️ Pengaturan'!$E$2:$E3237,'⚙️ Pengaturan'!$F$2:$F3237),"")</f>
        <v>180000</v>
      </c>
      <c r="Q2324" s="147">
        <f t="shared" si="63"/>
        <v>0</v>
      </c>
      <c r="R2324" s="41" t="s">
        <v>32</v>
      </c>
      <c r="S2324" s="76" t="s">
        <v>33</v>
      </c>
      <c r="T2324" s="51" t="b">
        <v>1</v>
      </c>
      <c r="U2324" s="94"/>
    </row>
    <row r="2325" ht="30.0" customHeight="1">
      <c r="A2325" s="39"/>
      <c r="B2325" s="40">
        <v>4366.0</v>
      </c>
      <c r="C2325" s="41" t="s">
        <v>22</v>
      </c>
      <c r="D2325" s="86">
        <v>46210.0</v>
      </c>
      <c r="E2325" s="43" t="str">
        <f t="shared" si="60"/>
        <v>2026</v>
      </c>
      <c r="F2325" s="43" t="str">
        <f t="shared" si="61"/>
        <v>07 Jul</v>
      </c>
      <c r="G2325" s="45" t="s">
        <v>161</v>
      </c>
      <c r="H2325" s="45" t="s">
        <v>150</v>
      </c>
      <c r="I2325" s="45" t="s">
        <v>1621</v>
      </c>
      <c r="J2325" s="143" t="s">
        <v>120</v>
      </c>
      <c r="K2325" s="43" t="str">
        <f t="array" ref="K2325">IF(J2325="","", XLOOKUP(J2325,'⚙️ Pengaturan'!$E$2:$E3237,'⚙️ Pengaturan'!$G$2:$G3237))</f>
        <v>KLINIK FT SESI</v>
      </c>
      <c r="L2325" s="43" t="str">
        <f t="shared" si="62"/>
        <v>BARU</v>
      </c>
      <c r="M2325" s="144" t="s">
        <v>31</v>
      </c>
      <c r="N2325" s="145">
        <v>180000.0</v>
      </c>
      <c r="O2325" s="146">
        <v>0.0</v>
      </c>
      <c r="P2325" s="48">
        <f t="array" ref="P2325">IFNA(XLOOKUP(J2325,'⚙️ Pengaturan'!$E$2:$E3237,'⚙️ Pengaturan'!$F$2:$F3237),"")</f>
        <v>180000</v>
      </c>
      <c r="Q2325" s="147">
        <f t="shared" si="63"/>
        <v>0</v>
      </c>
      <c r="R2325" s="41" t="s">
        <v>32</v>
      </c>
      <c r="S2325" s="76" t="s">
        <v>33</v>
      </c>
      <c r="T2325" s="51" t="b">
        <v>1</v>
      </c>
      <c r="U2325" s="94"/>
    </row>
    <row r="2326" ht="30.0" customHeight="1">
      <c r="A2326" s="39"/>
      <c r="B2326" s="164">
        <v>4367.0</v>
      </c>
      <c r="C2326" s="41" t="s">
        <v>22</v>
      </c>
      <c r="D2326" s="86">
        <v>46210.0</v>
      </c>
      <c r="E2326" s="43" t="str">
        <f t="shared" si="60"/>
        <v>2026</v>
      </c>
      <c r="F2326" s="43" t="str">
        <f t="shared" si="61"/>
        <v>07 Jul</v>
      </c>
      <c r="G2326" s="45" t="s">
        <v>161</v>
      </c>
      <c r="H2326" s="45" t="s">
        <v>166</v>
      </c>
      <c r="I2326" s="45" t="s">
        <v>1626</v>
      </c>
      <c r="J2326" s="143" t="s">
        <v>347</v>
      </c>
      <c r="K2326" s="43" t="str">
        <f t="array" ref="K2326">IF(J2326="","", XLOOKUP(J2326,'⚙️ Pengaturan'!$E$2:$E3237,'⚙️ Pengaturan'!$G$2:$G3237))</f>
        <v>KLINIK FT PAKET</v>
      </c>
      <c r="L2326" s="43" t="str">
        <f t="shared" si="62"/>
        <v>BARU</v>
      </c>
      <c r="M2326" s="144" t="s">
        <v>31</v>
      </c>
      <c r="N2326" s="145">
        <v>1300000.0</v>
      </c>
      <c r="O2326" s="146">
        <v>0.0</v>
      </c>
      <c r="P2326" s="48">
        <f t="array" ref="P2326">IFNA(XLOOKUP(J2326,'⚙️ Pengaturan'!$E$2:$E3237,'⚙️ Pengaturan'!$F$2:$F3237),"")</f>
        <v>1300000</v>
      </c>
      <c r="Q2326" s="147">
        <f t="shared" si="63"/>
        <v>0</v>
      </c>
      <c r="R2326" s="41" t="s">
        <v>37</v>
      </c>
      <c r="S2326" s="76" t="s">
        <v>1626</v>
      </c>
      <c r="T2326" s="51" t="b">
        <v>1</v>
      </c>
      <c r="U2326" s="94"/>
    </row>
    <row r="2327" ht="30.0" customHeight="1">
      <c r="A2327" s="39"/>
      <c r="B2327" s="40">
        <v>4368.0</v>
      </c>
      <c r="C2327" s="41" t="s">
        <v>39</v>
      </c>
      <c r="D2327" s="86">
        <v>46210.0</v>
      </c>
      <c r="E2327" s="43" t="str">
        <f t="shared" si="60"/>
        <v>2026</v>
      </c>
      <c r="F2327" s="43" t="str">
        <f t="shared" si="61"/>
        <v>07 Jul</v>
      </c>
      <c r="G2327" s="45" t="s">
        <v>161</v>
      </c>
      <c r="H2327" s="45" t="s">
        <v>359</v>
      </c>
      <c r="I2327" s="45" t="s">
        <v>1573</v>
      </c>
      <c r="J2327" s="143" t="s">
        <v>1545</v>
      </c>
      <c r="K2327" s="50"/>
      <c r="L2327" s="43" t="str">
        <f t="shared" si="62"/>
        <v>BARU</v>
      </c>
      <c r="M2327" s="144" t="s">
        <v>31</v>
      </c>
      <c r="N2327" s="145">
        <v>125000.0</v>
      </c>
      <c r="O2327" s="146">
        <v>0.0</v>
      </c>
      <c r="P2327" s="48">
        <f t="array" ref="P2327">IFNA(XLOOKUP(J2327,'⚙️ Pengaturan'!$E$2:$E3237,'⚙️ Pengaturan'!$F$2:$F3237),"")</f>
        <v>125000</v>
      </c>
      <c r="Q2327" s="147">
        <f t="shared" si="63"/>
        <v>0</v>
      </c>
      <c r="R2327" s="41" t="s">
        <v>32</v>
      </c>
      <c r="S2327" s="76" t="s">
        <v>33</v>
      </c>
      <c r="T2327" s="51" t="b">
        <v>1</v>
      </c>
      <c r="U2327" s="94"/>
    </row>
    <row r="2328" ht="30.0" customHeight="1">
      <c r="A2328" s="39"/>
      <c r="B2328" s="164">
        <v>4369.0</v>
      </c>
      <c r="C2328" s="41" t="s">
        <v>39</v>
      </c>
      <c r="D2328" s="86">
        <v>46211.0</v>
      </c>
      <c r="E2328" s="43" t="str">
        <f t="shared" si="60"/>
        <v>2026</v>
      </c>
      <c r="F2328" s="43" t="str">
        <f t="shared" si="61"/>
        <v>07 Jul</v>
      </c>
      <c r="G2328" s="45" t="s">
        <v>69</v>
      </c>
      <c r="H2328" s="45" t="s">
        <v>162</v>
      </c>
      <c r="I2328" s="45" t="s">
        <v>170</v>
      </c>
      <c r="J2328" s="143" t="s">
        <v>119</v>
      </c>
      <c r="K2328" s="43" t="str">
        <f t="array" ref="K2328">IF(J2328="","", XLOOKUP(J2328,'⚙️ Pengaturan'!$E$2:$E3237,'⚙️ Pengaturan'!$G$2:$G3237))</f>
        <v>KLINIK FT PAKET</v>
      </c>
      <c r="L2328" s="43" t="str">
        <f t="shared" si="62"/>
        <v>LANJUTAN</v>
      </c>
      <c r="M2328" s="144" t="s">
        <v>31</v>
      </c>
      <c r="N2328" s="145">
        <v>750000.0</v>
      </c>
      <c r="O2328" s="146">
        <v>0.0</v>
      </c>
      <c r="P2328" s="48">
        <f t="array" ref="P2328">IFNA(XLOOKUP(J2328,'⚙️ Pengaturan'!$E$2:$E3237,'⚙️ Pengaturan'!$F$2:$F3237),"")</f>
        <v>750000</v>
      </c>
      <c r="Q2328" s="147">
        <f t="shared" si="63"/>
        <v>0</v>
      </c>
      <c r="R2328" s="41" t="s">
        <v>37</v>
      </c>
      <c r="S2328" s="76" t="s">
        <v>172</v>
      </c>
      <c r="T2328" s="51" t="b">
        <v>1</v>
      </c>
      <c r="U2328" s="94"/>
    </row>
    <row r="2329" ht="30.0" customHeight="1">
      <c r="A2329" s="39"/>
      <c r="B2329" s="40">
        <v>4370.0</v>
      </c>
      <c r="C2329" s="41" t="s">
        <v>39</v>
      </c>
      <c r="D2329" s="86">
        <v>46210.0</v>
      </c>
      <c r="E2329" s="43" t="str">
        <f t="shared" si="60"/>
        <v>2026</v>
      </c>
      <c r="F2329" s="43" t="str">
        <f t="shared" si="61"/>
        <v>07 Jul</v>
      </c>
      <c r="G2329" s="45" t="s">
        <v>69</v>
      </c>
      <c r="H2329" s="45" t="s">
        <v>149</v>
      </c>
      <c r="I2329" s="45" t="s">
        <v>1370</v>
      </c>
      <c r="J2329" s="143" t="s">
        <v>138</v>
      </c>
      <c r="K2329" s="43" t="str">
        <f t="array" ref="K2329">IF(J2329="","", XLOOKUP(J2329,'⚙️ Pengaturan'!$E$2:$E3237,'⚙️ Pengaturan'!$G$2:$G3237))</f>
        <v>VISIT FT PAKET</v>
      </c>
      <c r="L2329" s="43" t="str">
        <f t="shared" si="62"/>
        <v>LANJUTAN</v>
      </c>
      <c r="M2329" s="144" t="s">
        <v>31</v>
      </c>
      <c r="N2329" s="145">
        <v>1000000.0</v>
      </c>
      <c r="O2329" s="146">
        <v>0.0</v>
      </c>
      <c r="P2329" s="48">
        <f t="array" ref="P2329">IFNA(XLOOKUP(J2329,'⚙️ Pengaturan'!$E$2:$E3237,'⚙️ Pengaturan'!$F$2:$F3237),"")</f>
        <v>1800000</v>
      </c>
      <c r="Q2329" s="147">
        <f t="shared" si="63"/>
        <v>-800000</v>
      </c>
      <c r="R2329" s="41" t="s">
        <v>37</v>
      </c>
      <c r="S2329" s="69" t="s">
        <v>1370</v>
      </c>
      <c r="T2329" s="51" t="b">
        <v>1</v>
      </c>
      <c r="U2329" s="94"/>
    </row>
    <row r="2330" ht="30.0" customHeight="1">
      <c r="A2330" s="39"/>
      <c r="B2330" s="164">
        <v>4371.0</v>
      </c>
      <c r="C2330" s="41" t="s">
        <v>22</v>
      </c>
      <c r="D2330" s="86">
        <v>46211.0</v>
      </c>
      <c r="E2330" s="43" t="str">
        <f t="shared" si="60"/>
        <v>2026</v>
      </c>
      <c r="F2330" s="43" t="str">
        <f t="shared" si="61"/>
        <v>07 Jul</v>
      </c>
      <c r="G2330" s="45" t="s">
        <v>69</v>
      </c>
      <c r="H2330" s="45" t="s">
        <v>96</v>
      </c>
      <c r="I2330" s="45" t="s">
        <v>1571</v>
      </c>
      <c r="J2330" s="143" t="s">
        <v>120</v>
      </c>
      <c r="K2330" s="43" t="str">
        <f t="array" ref="K2330">IF(J2330="","", XLOOKUP(J2330,'⚙️ Pengaturan'!$E$2:$E3237,'⚙️ Pengaturan'!$G$2:$G3237))</f>
        <v>KLINIK FT SESI</v>
      </c>
      <c r="L2330" s="43" t="str">
        <f t="shared" si="62"/>
        <v>LANJUTAN</v>
      </c>
      <c r="M2330" s="144" t="s">
        <v>31</v>
      </c>
      <c r="N2330" s="145">
        <v>180000.0</v>
      </c>
      <c r="O2330" s="146">
        <v>0.0</v>
      </c>
      <c r="P2330" s="48">
        <f t="array" ref="P2330">IFNA(XLOOKUP(J2330,'⚙️ Pengaturan'!$E$2:$E3237,'⚙️ Pengaturan'!$F$2:$F3237),"")</f>
        <v>180000</v>
      </c>
      <c r="Q2330" s="147">
        <f t="shared" si="63"/>
        <v>0</v>
      </c>
      <c r="R2330" s="41" t="s">
        <v>32</v>
      </c>
      <c r="S2330" s="76" t="s">
        <v>33</v>
      </c>
      <c r="T2330" s="51" t="b">
        <v>1</v>
      </c>
      <c r="U2330" s="94"/>
    </row>
    <row r="2331" ht="30.0" customHeight="1">
      <c r="A2331" s="39"/>
      <c r="B2331" s="40">
        <v>4372.0</v>
      </c>
      <c r="C2331" s="41" t="s">
        <v>22</v>
      </c>
      <c r="D2331" s="86">
        <v>46211.0</v>
      </c>
      <c r="E2331" s="43" t="str">
        <f t="shared" si="60"/>
        <v>2026</v>
      </c>
      <c r="F2331" s="43" t="str">
        <f t="shared" si="61"/>
        <v>07 Jul</v>
      </c>
      <c r="G2331" s="45" t="s">
        <v>69</v>
      </c>
      <c r="H2331" s="45" t="s">
        <v>162</v>
      </c>
      <c r="I2331" s="45" t="s">
        <v>1650</v>
      </c>
      <c r="J2331" s="143" t="s">
        <v>28</v>
      </c>
      <c r="K2331" s="43" t="str">
        <f t="array" ref="K2331">IF(J2331="","", XLOOKUP(J2331,'⚙️ Pengaturan'!$E$2:$E3237,'⚙️ Pengaturan'!$G$2:$G3237))</f>
        <v>KLINIK FT TA</v>
      </c>
      <c r="L2331" s="43" t="str">
        <f t="shared" si="62"/>
        <v>BARU</v>
      </c>
      <c r="M2331" s="144" t="s">
        <v>31</v>
      </c>
      <c r="N2331" s="145">
        <v>250000.0</v>
      </c>
      <c r="O2331" s="146">
        <v>0.0</v>
      </c>
      <c r="P2331" s="48">
        <f t="array" ref="P2331">IFNA(XLOOKUP(J2331,'⚙️ Pengaturan'!$E$2:$E3237,'⚙️ Pengaturan'!$F$2:$F3237),"")</f>
        <v>250000</v>
      </c>
      <c r="Q2331" s="147">
        <f t="shared" si="63"/>
        <v>0</v>
      </c>
      <c r="R2331" s="41" t="s">
        <v>32</v>
      </c>
      <c r="S2331" s="76" t="s">
        <v>33</v>
      </c>
      <c r="T2331" s="51" t="b">
        <v>1</v>
      </c>
      <c r="U2331" s="94"/>
    </row>
    <row r="2332" ht="30.0" customHeight="1">
      <c r="A2332" s="39"/>
      <c r="B2332" s="164">
        <v>4373.0</v>
      </c>
      <c r="C2332" s="41" t="s">
        <v>22</v>
      </c>
      <c r="D2332" s="86">
        <v>46211.0</v>
      </c>
      <c r="E2332" s="43" t="str">
        <f t="shared" si="60"/>
        <v>2026</v>
      </c>
      <c r="F2332" s="43" t="str">
        <f t="shared" si="61"/>
        <v>07 Jul</v>
      </c>
      <c r="G2332" s="45" t="s">
        <v>69</v>
      </c>
      <c r="H2332" s="45" t="s">
        <v>41</v>
      </c>
      <c r="I2332" s="45" t="s">
        <v>1651</v>
      </c>
      <c r="J2332" s="143" t="s">
        <v>28</v>
      </c>
      <c r="K2332" s="43" t="str">
        <f t="array" ref="K2332">IF(J2332="","", XLOOKUP(J2332,'⚙️ Pengaturan'!$E$2:$E3237,'⚙️ Pengaturan'!$G$2:$G3237))</f>
        <v>KLINIK FT TA</v>
      </c>
      <c r="L2332" s="43" t="str">
        <f t="shared" si="62"/>
        <v>BARU</v>
      </c>
      <c r="M2332" s="144" t="s">
        <v>31</v>
      </c>
      <c r="N2332" s="145">
        <v>250000.0</v>
      </c>
      <c r="O2332" s="146">
        <v>0.0</v>
      </c>
      <c r="P2332" s="48">
        <f t="array" ref="P2332">IFNA(XLOOKUP(J2332,'⚙️ Pengaturan'!$E$2:$E3237,'⚙️ Pengaturan'!$F$2:$F3237),"")</f>
        <v>250000</v>
      </c>
      <c r="Q2332" s="147">
        <f t="shared" si="63"/>
        <v>0</v>
      </c>
      <c r="R2332" s="41" t="s">
        <v>32</v>
      </c>
      <c r="S2332" s="76" t="s">
        <v>33</v>
      </c>
      <c r="T2332" s="51" t="b">
        <v>1</v>
      </c>
      <c r="U2332" s="94"/>
    </row>
    <row r="2333" ht="30.0" customHeight="1">
      <c r="A2333" s="39"/>
      <c r="B2333" s="40">
        <v>4374.0</v>
      </c>
      <c r="C2333" s="41" t="s">
        <v>22</v>
      </c>
      <c r="D2333" s="86">
        <v>46211.0</v>
      </c>
      <c r="E2333" s="43" t="str">
        <f t="shared" si="60"/>
        <v>2026</v>
      </c>
      <c r="F2333" s="43" t="str">
        <f t="shared" si="61"/>
        <v>07 Jul</v>
      </c>
      <c r="G2333" s="45" t="s">
        <v>69</v>
      </c>
      <c r="H2333" s="45" t="s">
        <v>41</v>
      </c>
      <c r="I2333" s="45" t="s">
        <v>1651</v>
      </c>
      <c r="J2333" s="143" t="s">
        <v>119</v>
      </c>
      <c r="K2333" s="43" t="str">
        <f t="array" ref="K2333">IF(J2333="","", XLOOKUP(J2333,'⚙️ Pengaturan'!$E$2:$E3237,'⚙️ Pengaturan'!$G$2:$G3237))</f>
        <v>KLINIK FT PAKET</v>
      </c>
      <c r="L2333" s="43" t="str">
        <f t="shared" si="62"/>
        <v>BARU</v>
      </c>
      <c r="M2333" s="144" t="s">
        <v>31</v>
      </c>
      <c r="N2333" s="145">
        <v>750000.0</v>
      </c>
      <c r="O2333" s="146">
        <v>0.0</v>
      </c>
      <c r="P2333" s="48">
        <f t="array" ref="P2333">IFNA(XLOOKUP(J2333,'⚙️ Pengaturan'!$E$2:$E3237,'⚙️ Pengaturan'!$F$2:$F3237),"")</f>
        <v>750000</v>
      </c>
      <c r="Q2333" s="147">
        <f t="shared" si="63"/>
        <v>0</v>
      </c>
      <c r="R2333" s="41" t="s">
        <v>37</v>
      </c>
      <c r="S2333" s="76" t="s">
        <v>1652</v>
      </c>
      <c r="T2333" s="51" t="b">
        <v>1</v>
      </c>
      <c r="U2333" s="94"/>
    </row>
    <row r="2334" ht="30.0" customHeight="1">
      <c r="A2334" s="39"/>
      <c r="B2334" s="164">
        <v>4375.0</v>
      </c>
      <c r="C2334" s="41" t="s">
        <v>22</v>
      </c>
      <c r="D2334" s="86">
        <v>46211.0</v>
      </c>
      <c r="E2334" s="43" t="str">
        <f t="shared" si="60"/>
        <v>2026</v>
      </c>
      <c r="F2334" s="43" t="str">
        <f t="shared" si="61"/>
        <v>07 Jul</v>
      </c>
      <c r="G2334" s="45" t="s">
        <v>195</v>
      </c>
      <c r="H2334" s="45" t="s">
        <v>150</v>
      </c>
      <c r="I2334" s="45" t="s">
        <v>1653</v>
      </c>
      <c r="J2334" s="143" t="s">
        <v>28</v>
      </c>
      <c r="K2334" s="43" t="str">
        <f t="array" ref="K2334">IF(J2334="","", XLOOKUP(J2334,'⚙️ Pengaturan'!$E$2:$E3237,'⚙️ Pengaturan'!$G$2:$G3237))</f>
        <v>KLINIK FT TA</v>
      </c>
      <c r="L2334" s="43" t="str">
        <f t="shared" si="62"/>
        <v>BARU</v>
      </c>
      <c r="M2334" s="144" t="s">
        <v>31</v>
      </c>
      <c r="N2334" s="145">
        <v>250000.0</v>
      </c>
      <c r="O2334" s="146">
        <v>0.0</v>
      </c>
      <c r="P2334" s="48">
        <f t="array" ref="P2334">IFNA(XLOOKUP(J2334,'⚙️ Pengaturan'!$E$2:$E3237,'⚙️ Pengaturan'!$F$2:$F3237),"")</f>
        <v>250000</v>
      </c>
      <c r="Q2334" s="147">
        <f t="shared" si="63"/>
        <v>0</v>
      </c>
      <c r="R2334" s="41" t="s">
        <v>32</v>
      </c>
      <c r="S2334" s="76" t="s">
        <v>33</v>
      </c>
      <c r="T2334" s="51" t="b">
        <v>1</v>
      </c>
      <c r="U2334" s="94"/>
    </row>
    <row r="2335" ht="30.0" customHeight="1">
      <c r="A2335" s="39"/>
      <c r="B2335" s="40">
        <v>4376.0</v>
      </c>
      <c r="C2335" s="41" t="s">
        <v>22</v>
      </c>
      <c r="D2335" s="86">
        <v>46211.0</v>
      </c>
      <c r="E2335" s="43" t="str">
        <f t="shared" si="60"/>
        <v>2026</v>
      </c>
      <c r="F2335" s="43" t="str">
        <f t="shared" si="61"/>
        <v>07 Jul</v>
      </c>
      <c r="G2335" s="45" t="s">
        <v>25</v>
      </c>
      <c r="H2335" s="45" t="s">
        <v>26</v>
      </c>
      <c r="I2335" s="45" t="s">
        <v>1654</v>
      </c>
      <c r="J2335" s="143" t="s">
        <v>28</v>
      </c>
      <c r="K2335" s="43" t="str">
        <f t="array" ref="K2335">IF(J2335="","", XLOOKUP(J2335,'⚙️ Pengaturan'!$E$2:$E3237,'⚙️ Pengaturan'!$G$2:$G3237))</f>
        <v>KLINIK FT TA</v>
      </c>
      <c r="L2335" s="43" t="str">
        <f t="shared" si="62"/>
        <v>BARU</v>
      </c>
      <c r="M2335" s="144" t="s">
        <v>31</v>
      </c>
      <c r="N2335" s="145">
        <v>250000.0</v>
      </c>
      <c r="O2335" s="146">
        <v>0.0</v>
      </c>
      <c r="P2335" s="48">
        <f t="array" ref="P2335">IFNA(XLOOKUP(J2335,'⚙️ Pengaturan'!$E$2:$E3237,'⚙️ Pengaturan'!$F$2:$F3237),"")</f>
        <v>250000</v>
      </c>
      <c r="Q2335" s="147">
        <f t="shared" si="63"/>
        <v>0</v>
      </c>
      <c r="R2335" s="41" t="s">
        <v>32</v>
      </c>
      <c r="S2335" s="76" t="s">
        <v>33</v>
      </c>
      <c r="T2335" s="51" t="b">
        <v>1</v>
      </c>
      <c r="U2335" s="94"/>
    </row>
    <row r="2336" ht="30.0" customHeight="1">
      <c r="A2336" s="39"/>
      <c r="B2336" s="164">
        <v>4377.0</v>
      </c>
      <c r="C2336" s="41" t="s">
        <v>22</v>
      </c>
      <c r="D2336" s="86">
        <v>46211.0</v>
      </c>
      <c r="E2336" s="43" t="str">
        <f t="shared" si="60"/>
        <v>2026</v>
      </c>
      <c r="F2336" s="43" t="str">
        <f t="shared" si="61"/>
        <v>07 Jul</v>
      </c>
      <c r="G2336" s="45" t="s">
        <v>25</v>
      </c>
      <c r="H2336" s="45" t="s">
        <v>162</v>
      </c>
      <c r="I2336" s="45" t="s">
        <v>1655</v>
      </c>
      <c r="J2336" s="143" t="s">
        <v>28</v>
      </c>
      <c r="K2336" s="43" t="str">
        <f t="array" ref="K2336">IF(J2336="","", XLOOKUP(J2336,'⚙️ Pengaturan'!$E$2:$E3237,'⚙️ Pengaturan'!$G$2:$G3237))</f>
        <v>KLINIK FT TA</v>
      </c>
      <c r="L2336" s="43" t="str">
        <f t="shared" si="62"/>
        <v>BARU</v>
      </c>
      <c r="M2336" s="144" t="s">
        <v>31</v>
      </c>
      <c r="N2336" s="145">
        <v>250000.0</v>
      </c>
      <c r="O2336" s="146">
        <v>0.0</v>
      </c>
      <c r="P2336" s="48">
        <f t="array" ref="P2336">IFNA(XLOOKUP(J2336,'⚙️ Pengaturan'!$E$2:$E3237,'⚙️ Pengaturan'!$F$2:$F3237),"")</f>
        <v>250000</v>
      </c>
      <c r="Q2336" s="147">
        <f t="shared" si="63"/>
        <v>0</v>
      </c>
      <c r="R2336" s="41" t="s">
        <v>32</v>
      </c>
      <c r="S2336" s="76" t="s">
        <v>33</v>
      </c>
      <c r="T2336" s="51" t="b">
        <v>1</v>
      </c>
      <c r="U2336" s="94"/>
    </row>
    <row r="2337" ht="30.0" customHeight="1">
      <c r="A2337" s="39"/>
      <c r="B2337" s="40">
        <v>4378.0</v>
      </c>
      <c r="C2337" s="41" t="s">
        <v>22</v>
      </c>
      <c r="D2337" s="86">
        <v>46211.0</v>
      </c>
      <c r="E2337" s="43" t="str">
        <f t="shared" si="60"/>
        <v>2026</v>
      </c>
      <c r="F2337" s="43" t="str">
        <f t="shared" si="61"/>
        <v>07 Jul</v>
      </c>
      <c r="G2337" s="45" t="s">
        <v>206</v>
      </c>
      <c r="H2337" s="45" t="s">
        <v>76</v>
      </c>
      <c r="I2337" s="45" t="s">
        <v>1656</v>
      </c>
      <c r="J2337" s="143" t="s">
        <v>28</v>
      </c>
      <c r="K2337" s="43" t="str">
        <f t="array" ref="K2337">IF(J2337="","", XLOOKUP(J2337,'⚙️ Pengaturan'!$E$2:$E3237,'⚙️ Pengaturan'!$G$2:$G3237))</f>
        <v>KLINIK FT TA</v>
      </c>
      <c r="L2337" s="43" t="str">
        <f t="shared" si="62"/>
        <v>BARU</v>
      </c>
      <c r="M2337" s="144" t="s">
        <v>31</v>
      </c>
      <c r="N2337" s="145">
        <v>250000.0</v>
      </c>
      <c r="O2337" s="146">
        <v>0.0</v>
      </c>
      <c r="P2337" s="48">
        <f t="array" ref="P2337">IFNA(XLOOKUP(J2337,'⚙️ Pengaturan'!$E$2:$E3237,'⚙️ Pengaturan'!$F$2:$F3237),"")</f>
        <v>250000</v>
      </c>
      <c r="Q2337" s="147">
        <f t="shared" si="63"/>
        <v>0</v>
      </c>
      <c r="R2337" s="41" t="s">
        <v>32</v>
      </c>
      <c r="S2337" s="76" t="s">
        <v>33</v>
      </c>
      <c r="T2337" s="51" t="b">
        <v>1</v>
      </c>
      <c r="U2337" s="94"/>
    </row>
    <row r="2338" ht="30.0" customHeight="1">
      <c r="A2338" s="39"/>
      <c r="B2338" s="164">
        <v>4379.0</v>
      </c>
      <c r="C2338" s="41" t="s">
        <v>22</v>
      </c>
      <c r="D2338" s="86">
        <v>46211.0</v>
      </c>
      <c r="E2338" s="43" t="str">
        <f t="shared" si="60"/>
        <v>2026</v>
      </c>
      <c r="F2338" s="43" t="str">
        <f t="shared" si="61"/>
        <v>07 Jul</v>
      </c>
      <c r="G2338" s="45" t="s">
        <v>206</v>
      </c>
      <c r="H2338" s="45" t="s">
        <v>47</v>
      </c>
      <c r="I2338" s="45" t="s">
        <v>1657</v>
      </c>
      <c r="J2338" s="143" t="s">
        <v>28</v>
      </c>
      <c r="K2338" s="43" t="str">
        <f t="array" ref="K2338">IF(J2338="","", XLOOKUP(J2338,'⚙️ Pengaturan'!$E$2:$E3237,'⚙️ Pengaturan'!$G$2:$G3237))</f>
        <v>KLINIK FT TA</v>
      </c>
      <c r="L2338" s="43" t="str">
        <f t="shared" si="62"/>
        <v>BARU</v>
      </c>
      <c r="M2338" s="144" t="s">
        <v>31</v>
      </c>
      <c r="N2338" s="145">
        <v>250000.0</v>
      </c>
      <c r="O2338" s="146">
        <v>0.0</v>
      </c>
      <c r="P2338" s="48">
        <f t="array" ref="P2338">IFNA(XLOOKUP(J2338,'⚙️ Pengaturan'!$E$2:$E3237,'⚙️ Pengaturan'!$F$2:$F3237),"")</f>
        <v>250000</v>
      </c>
      <c r="Q2338" s="147">
        <f t="shared" si="63"/>
        <v>0</v>
      </c>
      <c r="R2338" s="41" t="s">
        <v>32</v>
      </c>
      <c r="S2338" s="76" t="s">
        <v>33</v>
      </c>
      <c r="T2338" s="51" t="b">
        <v>1</v>
      </c>
      <c r="U2338" s="94"/>
    </row>
    <row r="2339" ht="30.0" customHeight="1">
      <c r="A2339" s="39"/>
      <c r="B2339" s="40">
        <v>4380.0</v>
      </c>
      <c r="C2339" s="41" t="s">
        <v>22</v>
      </c>
      <c r="D2339" s="86">
        <v>46211.0</v>
      </c>
      <c r="E2339" s="43" t="str">
        <f t="shared" si="60"/>
        <v>2026</v>
      </c>
      <c r="F2339" s="43" t="str">
        <f t="shared" si="61"/>
        <v>07 Jul</v>
      </c>
      <c r="G2339" s="45" t="s">
        <v>241</v>
      </c>
      <c r="H2339" s="45" t="s">
        <v>26</v>
      </c>
      <c r="I2339" s="45" t="s">
        <v>1399</v>
      </c>
      <c r="J2339" s="143" t="s">
        <v>120</v>
      </c>
      <c r="K2339" s="43" t="str">
        <f t="array" ref="K2339">IF(J2339="","", XLOOKUP(J2339,'⚙️ Pengaturan'!$E$2:$E3237,'⚙️ Pengaturan'!$G$2:$G3237))</f>
        <v>KLINIK FT SESI</v>
      </c>
      <c r="L2339" s="43" t="str">
        <f t="shared" si="62"/>
        <v>LANJUTAN</v>
      </c>
      <c r="M2339" s="144" t="s">
        <v>31</v>
      </c>
      <c r="N2339" s="145">
        <v>180000.0</v>
      </c>
      <c r="O2339" s="146">
        <v>0.0</v>
      </c>
      <c r="P2339" s="48">
        <f t="array" ref="P2339">IFNA(XLOOKUP(J2339,'⚙️ Pengaturan'!$E$2:$E3237,'⚙️ Pengaturan'!$F$2:$F3237),"")</f>
        <v>180000</v>
      </c>
      <c r="Q2339" s="147">
        <f t="shared" si="63"/>
        <v>0</v>
      </c>
      <c r="R2339" s="41" t="s">
        <v>32</v>
      </c>
      <c r="S2339" s="76" t="s">
        <v>33</v>
      </c>
      <c r="T2339" s="51" t="b">
        <v>1</v>
      </c>
      <c r="U2339" s="94"/>
    </row>
    <row r="2340" ht="30.0" customHeight="1">
      <c r="A2340" s="39"/>
      <c r="B2340" s="164">
        <v>4381.0</v>
      </c>
      <c r="C2340" s="41" t="s">
        <v>22</v>
      </c>
      <c r="D2340" s="86">
        <v>46211.0</v>
      </c>
      <c r="E2340" s="43" t="str">
        <f t="shared" si="60"/>
        <v>2026</v>
      </c>
      <c r="F2340" s="43" t="str">
        <f t="shared" si="61"/>
        <v>07 Jul</v>
      </c>
      <c r="G2340" s="45" t="s">
        <v>241</v>
      </c>
      <c r="H2340" s="45" t="s">
        <v>76</v>
      </c>
      <c r="I2340" s="45" t="s">
        <v>1658</v>
      </c>
      <c r="J2340" s="143" t="s">
        <v>28</v>
      </c>
      <c r="K2340" s="43" t="str">
        <f t="array" ref="K2340">IF(J2340="","", XLOOKUP(J2340,'⚙️ Pengaturan'!$E$2:$E3237,'⚙️ Pengaturan'!$G$2:$G3237))</f>
        <v>KLINIK FT TA</v>
      </c>
      <c r="L2340" s="43" t="str">
        <f t="shared" si="62"/>
        <v>BARU</v>
      </c>
      <c r="M2340" s="144" t="s">
        <v>31</v>
      </c>
      <c r="N2340" s="145">
        <v>250000.0</v>
      </c>
      <c r="O2340" s="146">
        <v>0.0</v>
      </c>
      <c r="P2340" s="48">
        <f t="array" ref="P2340">IFNA(XLOOKUP(J2340,'⚙️ Pengaturan'!$E$2:$E3237,'⚙️ Pengaturan'!$F$2:$F3237),"")</f>
        <v>250000</v>
      </c>
      <c r="Q2340" s="147">
        <f t="shared" si="63"/>
        <v>0</v>
      </c>
      <c r="R2340" s="41" t="s">
        <v>37</v>
      </c>
      <c r="S2340" s="76" t="s">
        <v>1658</v>
      </c>
      <c r="T2340" s="51" t="b">
        <v>1</v>
      </c>
      <c r="U2340" s="94"/>
    </row>
    <row r="2341" ht="30.0" customHeight="1">
      <c r="A2341" s="39"/>
      <c r="B2341" s="40">
        <v>4382.0</v>
      </c>
      <c r="C2341" s="41" t="s">
        <v>22</v>
      </c>
      <c r="D2341" s="86">
        <v>46211.0</v>
      </c>
      <c r="E2341" s="43" t="str">
        <f t="shared" si="60"/>
        <v>2026</v>
      </c>
      <c r="F2341" s="43" t="str">
        <f t="shared" si="61"/>
        <v>07 Jul</v>
      </c>
      <c r="G2341" s="45" t="s">
        <v>241</v>
      </c>
      <c r="H2341" s="45" t="s">
        <v>150</v>
      </c>
      <c r="I2341" s="45" t="s">
        <v>1659</v>
      </c>
      <c r="J2341" s="143" t="s">
        <v>121</v>
      </c>
      <c r="K2341" s="43" t="str">
        <f t="array" ref="K2341">IF(J2341="","", XLOOKUP(J2341,'⚙️ Pengaturan'!$E$2:$E3237,'⚙️ Pengaturan'!$G$2:$G3237))</f>
        <v>VISIT FT TA</v>
      </c>
      <c r="L2341" s="43" t="str">
        <f t="shared" si="62"/>
        <v>BARU</v>
      </c>
      <c r="M2341" s="144" t="s">
        <v>31</v>
      </c>
      <c r="N2341" s="145">
        <v>300000.0</v>
      </c>
      <c r="O2341" s="146">
        <v>0.0</v>
      </c>
      <c r="P2341" s="48">
        <f t="array" ref="P2341">IFNA(XLOOKUP(J2341,'⚙️ Pengaturan'!$E$2:$E3237,'⚙️ Pengaturan'!$F$2:$F3237),"")</f>
        <v>300000</v>
      </c>
      <c r="Q2341" s="147">
        <f t="shared" si="63"/>
        <v>0</v>
      </c>
      <c r="R2341" s="41" t="s">
        <v>32</v>
      </c>
      <c r="S2341" s="76" t="s">
        <v>33</v>
      </c>
      <c r="T2341" s="51" t="b">
        <v>1</v>
      </c>
      <c r="U2341" s="94"/>
    </row>
    <row r="2342" ht="30.0" customHeight="1">
      <c r="A2342" s="39"/>
      <c r="B2342" s="164">
        <v>4383.0</v>
      </c>
      <c r="C2342" s="41" t="s">
        <v>22</v>
      </c>
      <c r="D2342" s="86">
        <v>46211.0</v>
      </c>
      <c r="E2342" s="43" t="str">
        <f t="shared" si="60"/>
        <v>2026</v>
      </c>
      <c r="F2342" s="43" t="str">
        <f t="shared" si="61"/>
        <v>07 Jul</v>
      </c>
      <c r="G2342" s="45" t="s">
        <v>241</v>
      </c>
      <c r="H2342" s="45" t="s">
        <v>41</v>
      </c>
      <c r="I2342" s="45" t="s">
        <v>1660</v>
      </c>
      <c r="J2342" s="143" t="s">
        <v>291</v>
      </c>
      <c r="K2342" s="43" t="str">
        <f t="array" ref="K2342">IF(J2342="","", XLOOKUP(J2342,'⚙️ Pengaturan'!$E$2:$E3237,'⚙️ Pengaturan'!$G$2:$G3237))</f>
        <v>VISIT FT TA</v>
      </c>
      <c r="L2342" s="43" t="str">
        <f t="shared" si="62"/>
        <v>BARU</v>
      </c>
      <c r="M2342" s="144" t="s">
        <v>31</v>
      </c>
      <c r="N2342" s="145">
        <v>300000.0</v>
      </c>
      <c r="O2342" s="146">
        <v>50000.0</v>
      </c>
      <c r="P2342" s="48">
        <f t="array" ref="P2342">IFNA(XLOOKUP(J2342,'⚙️ Pengaturan'!$E$2:$E3237,'⚙️ Pengaturan'!$F$2:$F3237),"")</f>
        <v>350000</v>
      </c>
      <c r="Q2342" s="147">
        <f t="shared" si="63"/>
        <v>0</v>
      </c>
      <c r="R2342" s="41" t="s">
        <v>32</v>
      </c>
      <c r="S2342" s="76" t="s">
        <v>1374</v>
      </c>
      <c r="T2342" s="51" t="b">
        <v>1</v>
      </c>
      <c r="U2342" s="94"/>
    </row>
    <row r="2343" ht="30.0" customHeight="1">
      <c r="A2343" s="39"/>
      <c r="B2343" s="40">
        <v>4384.0</v>
      </c>
      <c r="C2343" s="41" t="s">
        <v>22</v>
      </c>
      <c r="D2343" s="86">
        <v>46211.0</v>
      </c>
      <c r="E2343" s="43" t="str">
        <f t="shared" si="60"/>
        <v>2026</v>
      </c>
      <c r="F2343" s="43" t="str">
        <f t="shared" si="61"/>
        <v>07 Jul</v>
      </c>
      <c r="G2343" s="45" t="s">
        <v>161</v>
      </c>
      <c r="H2343" s="45" t="s">
        <v>26</v>
      </c>
      <c r="I2343" s="45" t="s">
        <v>1661</v>
      </c>
      <c r="J2343" s="143" t="s">
        <v>119</v>
      </c>
      <c r="K2343" s="43" t="str">
        <f t="array" ref="K2343">IF(J2343="","", XLOOKUP(J2343,'⚙️ Pengaturan'!$E$2:$E3237,'⚙️ Pengaturan'!$G$2:$G3237))</f>
        <v>KLINIK FT PAKET</v>
      </c>
      <c r="L2343" s="43" t="str">
        <f t="shared" si="62"/>
        <v>BARU</v>
      </c>
      <c r="M2343" s="144" t="s">
        <v>31</v>
      </c>
      <c r="N2343" s="145">
        <v>750000.0</v>
      </c>
      <c r="O2343" s="146">
        <v>0.0</v>
      </c>
      <c r="P2343" s="48">
        <f t="array" ref="P2343">IFNA(XLOOKUP(J2343,'⚙️ Pengaturan'!$E$2:$E3237,'⚙️ Pengaturan'!$F$2:$F3237),"")</f>
        <v>750000</v>
      </c>
      <c r="Q2343" s="147">
        <f t="shared" si="63"/>
        <v>0</v>
      </c>
      <c r="R2343" s="41" t="s">
        <v>37</v>
      </c>
      <c r="S2343" s="76" t="s">
        <v>1661</v>
      </c>
      <c r="T2343" s="51" t="b">
        <v>1</v>
      </c>
      <c r="U2343" s="94"/>
    </row>
    <row r="2344" ht="30.0" customHeight="1">
      <c r="A2344" s="39"/>
      <c r="B2344" s="164">
        <v>4385.0</v>
      </c>
      <c r="C2344" s="41" t="s">
        <v>22</v>
      </c>
      <c r="D2344" s="86">
        <v>46211.0</v>
      </c>
      <c r="E2344" s="43" t="str">
        <f t="shared" si="60"/>
        <v>2026</v>
      </c>
      <c r="F2344" s="43" t="str">
        <f t="shared" si="61"/>
        <v>07 Jul</v>
      </c>
      <c r="G2344" s="45" t="s">
        <v>161</v>
      </c>
      <c r="H2344" s="45" t="s">
        <v>47</v>
      </c>
      <c r="I2344" s="45" t="s">
        <v>1641</v>
      </c>
      <c r="J2344" s="143" t="s">
        <v>120</v>
      </c>
      <c r="K2344" s="43" t="str">
        <f t="array" ref="K2344">IF(J2344="","", XLOOKUP(J2344,'⚙️ Pengaturan'!$E$2:$E3237,'⚙️ Pengaturan'!$G$2:$G3237))</f>
        <v>KLINIK FT SESI</v>
      </c>
      <c r="L2344" s="43" t="str">
        <f t="shared" si="62"/>
        <v>BARU</v>
      </c>
      <c r="M2344" s="144" t="s">
        <v>31</v>
      </c>
      <c r="N2344" s="145">
        <v>180000.0</v>
      </c>
      <c r="O2344" s="146">
        <v>0.0</v>
      </c>
      <c r="P2344" s="48">
        <f t="array" ref="P2344">IFNA(XLOOKUP(J2344,'⚙️ Pengaturan'!$E$2:$E3237,'⚙️ Pengaturan'!$F$2:$F3237),"")</f>
        <v>180000</v>
      </c>
      <c r="Q2344" s="147">
        <f t="shared" si="63"/>
        <v>0</v>
      </c>
      <c r="R2344" s="41" t="s">
        <v>37</v>
      </c>
      <c r="S2344" s="76" t="s">
        <v>1661</v>
      </c>
      <c r="T2344" s="51" t="b">
        <v>1</v>
      </c>
      <c r="U2344" s="94"/>
    </row>
    <row r="2345" ht="30.0" customHeight="1">
      <c r="A2345" s="39"/>
      <c r="B2345" s="40">
        <v>4386.0</v>
      </c>
      <c r="C2345" s="41" t="s">
        <v>22</v>
      </c>
      <c r="D2345" s="86">
        <v>46211.0</v>
      </c>
      <c r="E2345" s="43" t="str">
        <f t="shared" si="60"/>
        <v>2026</v>
      </c>
      <c r="F2345" s="43" t="str">
        <f t="shared" si="61"/>
        <v>07 Jul</v>
      </c>
      <c r="G2345" s="45" t="s">
        <v>161</v>
      </c>
      <c r="H2345" s="45" t="s">
        <v>96</v>
      </c>
      <c r="I2345" s="45" t="s">
        <v>1642</v>
      </c>
      <c r="J2345" s="143" t="s">
        <v>120</v>
      </c>
      <c r="K2345" s="43" t="str">
        <f t="array" ref="K2345">IF(J2345="","", XLOOKUP(J2345,'⚙️ Pengaturan'!$E$2:$E3237,'⚙️ Pengaturan'!$G$2:$G3237))</f>
        <v>KLINIK FT SESI</v>
      </c>
      <c r="L2345" s="43" t="str">
        <f t="shared" si="62"/>
        <v>BARU</v>
      </c>
      <c r="M2345" s="144" t="s">
        <v>31</v>
      </c>
      <c r="N2345" s="145">
        <v>180000.0</v>
      </c>
      <c r="O2345" s="146">
        <v>0.0</v>
      </c>
      <c r="P2345" s="48">
        <f t="array" ref="P2345">IFNA(XLOOKUP(J2345,'⚙️ Pengaturan'!$E$2:$E3237,'⚙️ Pengaturan'!$F$2:$F3237),"")</f>
        <v>180000</v>
      </c>
      <c r="Q2345" s="147">
        <f t="shared" si="63"/>
        <v>0</v>
      </c>
      <c r="R2345" s="41" t="s">
        <v>37</v>
      </c>
      <c r="S2345" s="76" t="s">
        <v>1661</v>
      </c>
      <c r="T2345" s="51" t="b">
        <v>1</v>
      </c>
      <c r="U2345" s="94"/>
    </row>
    <row r="2346" ht="30.0" customHeight="1">
      <c r="A2346" s="39"/>
      <c r="B2346" s="164">
        <v>4387.0</v>
      </c>
      <c r="C2346" s="41" t="s">
        <v>39</v>
      </c>
      <c r="D2346" s="86">
        <v>46212.0</v>
      </c>
      <c r="E2346" s="43" t="str">
        <f t="shared" si="60"/>
        <v>2026</v>
      </c>
      <c r="F2346" s="43" t="str">
        <f t="shared" si="61"/>
        <v>07 Jul</v>
      </c>
      <c r="G2346" s="45" t="s">
        <v>69</v>
      </c>
      <c r="H2346" s="45" t="s">
        <v>150</v>
      </c>
      <c r="I2346" s="45" t="s">
        <v>1608</v>
      </c>
      <c r="J2346" s="143" t="s">
        <v>120</v>
      </c>
      <c r="K2346" s="43" t="str">
        <f t="array" ref="K2346">IF(J2346="","", XLOOKUP(J2346,'⚙️ Pengaturan'!$E$2:$E3237,'⚙️ Pengaturan'!$G$2:$G3237))</f>
        <v>KLINIK FT SESI</v>
      </c>
      <c r="L2346" s="43" t="str">
        <f t="shared" si="62"/>
        <v>BARU</v>
      </c>
      <c r="M2346" s="144" t="s">
        <v>31</v>
      </c>
      <c r="N2346" s="145">
        <v>180000.0</v>
      </c>
      <c r="O2346" s="146">
        <v>0.0</v>
      </c>
      <c r="P2346" s="48">
        <f t="array" ref="P2346">IFNA(XLOOKUP(J2346,'⚙️ Pengaturan'!$E$2:$E3237,'⚙️ Pengaturan'!$F$2:$F3237),"")</f>
        <v>180000</v>
      </c>
      <c r="Q2346" s="147">
        <f t="shared" si="63"/>
        <v>0</v>
      </c>
      <c r="R2346" s="41" t="s">
        <v>32</v>
      </c>
      <c r="S2346" s="76" t="s">
        <v>33</v>
      </c>
      <c r="T2346" s="51" t="b">
        <v>1</v>
      </c>
      <c r="U2346" s="94"/>
    </row>
    <row r="2347" ht="30.0" customHeight="1">
      <c r="A2347" s="39"/>
      <c r="B2347" s="40">
        <v>4388.0</v>
      </c>
      <c r="C2347" s="41" t="s">
        <v>39</v>
      </c>
      <c r="D2347" s="86">
        <v>46212.0</v>
      </c>
      <c r="E2347" s="43" t="str">
        <f t="shared" si="60"/>
        <v>2026</v>
      </c>
      <c r="F2347" s="43" t="str">
        <f t="shared" si="61"/>
        <v>07 Jul</v>
      </c>
      <c r="G2347" s="45" t="s">
        <v>69</v>
      </c>
      <c r="H2347" s="45" t="s">
        <v>41</v>
      </c>
      <c r="I2347" s="45" t="s">
        <v>1660</v>
      </c>
      <c r="J2347" s="143" t="s">
        <v>364</v>
      </c>
      <c r="K2347" s="43" t="str">
        <f t="array" ref="K2347">IF(J2347="","", XLOOKUP(J2347,'⚙️ Pengaturan'!$E$2:$E3237,'⚙️ Pengaturan'!$G$2:$G3237))</f>
        <v>VISIT FT PAKET</v>
      </c>
      <c r="L2347" s="43" t="str">
        <f t="shared" si="62"/>
        <v>BARU</v>
      </c>
      <c r="M2347" s="144" t="s">
        <v>31</v>
      </c>
      <c r="N2347" s="145">
        <v>2300000.0</v>
      </c>
      <c r="O2347" s="146">
        <v>0.0</v>
      </c>
      <c r="P2347" s="48">
        <f t="array" ref="P2347">IFNA(XLOOKUP(J2347,'⚙️ Pengaturan'!$E$2:$E3237,'⚙️ Pengaturan'!$F$2:$F3237),"")</f>
        <v>2300000</v>
      </c>
      <c r="Q2347" s="147">
        <f t="shared" si="63"/>
        <v>0</v>
      </c>
      <c r="R2347" s="41" t="s">
        <v>37</v>
      </c>
      <c r="S2347" s="69" t="s">
        <v>1374</v>
      </c>
      <c r="T2347" s="51" t="b">
        <v>1</v>
      </c>
      <c r="U2347" s="94"/>
    </row>
    <row r="2348" ht="30.0" customHeight="1">
      <c r="A2348" s="39"/>
      <c r="B2348" s="164">
        <v>4389.0</v>
      </c>
      <c r="C2348" s="41" t="s">
        <v>39</v>
      </c>
      <c r="D2348" s="86">
        <v>46212.0</v>
      </c>
      <c r="E2348" s="43" t="str">
        <f t="shared" si="60"/>
        <v>2026</v>
      </c>
      <c r="F2348" s="43" t="str">
        <f t="shared" si="61"/>
        <v>07 Jul</v>
      </c>
      <c r="G2348" s="45" t="s">
        <v>25</v>
      </c>
      <c r="H2348" s="45" t="s">
        <v>26</v>
      </c>
      <c r="I2348" s="45" t="s">
        <v>1662</v>
      </c>
      <c r="J2348" s="143" t="s">
        <v>28</v>
      </c>
      <c r="K2348" s="43" t="str">
        <f t="array" ref="K2348">IF(J2348="","", XLOOKUP(J2348,'⚙️ Pengaturan'!$E$2:$E3237,'⚙️ Pengaturan'!$G$2:$G3237))</f>
        <v>KLINIK FT TA</v>
      </c>
      <c r="L2348" s="43" t="str">
        <f t="shared" si="62"/>
        <v>BARU</v>
      </c>
      <c r="M2348" s="144" t="s">
        <v>31</v>
      </c>
      <c r="N2348" s="145">
        <v>250000.0</v>
      </c>
      <c r="O2348" s="146">
        <v>0.0</v>
      </c>
      <c r="P2348" s="48">
        <f t="array" ref="P2348">IFNA(XLOOKUP(J2348,'⚙️ Pengaturan'!$E$2:$E3237,'⚙️ Pengaturan'!$F$2:$F3237),"")</f>
        <v>250000</v>
      </c>
      <c r="Q2348" s="147">
        <f t="shared" si="63"/>
        <v>0</v>
      </c>
      <c r="R2348" s="41" t="s">
        <v>32</v>
      </c>
      <c r="S2348" s="76" t="s">
        <v>33</v>
      </c>
      <c r="T2348" s="51" t="b">
        <v>1</v>
      </c>
      <c r="U2348" s="94"/>
    </row>
    <row r="2349" ht="30.0" customHeight="1">
      <c r="A2349" s="39"/>
      <c r="B2349" s="40">
        <v>4390.0</v>
      </c>
      <c r="C2349" s="41" t="s">
        <v>39</v>
      </c>
      <c r="D2349" s="86">
        <v>46212.0</v>
      </c>
      <c r="E2349" s="43" t="str">
        <f t="shared" si="60"/>
        <v>2026</v>
      </c>
      <c r="F2349" s="43" t="str">
        <f t="shared" si="61"/>
        <v>07 Jul</v>
      </c>
      <c r="G2349" s="45" t="s">
        <v>25</v>
      </c>
      <c r="H2349" s="45" t="s">
        <v>26</v>
      </c>
      <c r="I2349" s="45" t="s">
        <v>1662</v>
      </c>
      <c r="J2349" s="143" t="s">
        <v>347</v>
      </c>
      <c r="K2349" s="43" t="str">
        <f t="array" ref="K2349">IF(J2349="","", XLOOKUP(J2349,'⚙️ Pengaturan'!$E$2:$E3237,'⚙️ Pengaturan'!$G$2:$G3237))</f>
        <v>KLINIK FT PAKET</v>
      </c>
      <c r="L2349" s="43" t="str">
        <f t="shared" si="62"/>
        <v>BARU</v>
      </c>
      <c r="M2349" s="144" t="s">
        <v>31</v>
      </c>
      <c r="N2349" s="145">
        <v>1300000.0</v>
      </c>
      <c r="O2349" s="146">
        <v>0.0</v>
      </c>
      <c r="P2349" s="48">
        <f t="array" ref="P2349">IFNA(XLOOKUP(J2349,'⚙️ Pengaturan'!$E$2:$E3237,'⚙️ Pengaturan'!$F$2:$F3237),"")</f>
        <v>1300000</v>
      </c>
      <c r="Q2349" s="147">
        <f t="shared" si="63"/>
        <v>0</v>
      </c>
      <c r="R2349" s="41" t="s">
        <v>32</v>
      </c>
      <c r="S2349" s="76" t="s">
        <v>33</v>
      </c>
      <c r="T2349" s="51" t="b">
        <v>1</v>
      </c>
      <c r="U2349" s="94"/>
    </row>
    <row r="2350" ht="30.0" customHeight="1">
      <c r="A2350" s="39"/>
      <c r="B2350" s="164">
        <v>4391.0</v>
      </c>
      <c r="C2350" s="41" t="s">
        <v>39</v>
      </c>
      <c r="D2350" s="86">
        <v>46212.0</v>
      </c>
      <c r="E2350" s="43" t="str">
        <f t="shared" si="60"/>
        <v>2026</v>
      </c>
      <c r="F2350" s="43" t="str">
        <f t="shared" si="61"/>
        <v>07 Jul</v>
      </c>
      <c r="G2350" s="45" t="s">
        <v>195</v>
      </c>
      <c r="H2350" s="45" t="s">
        <v>150</v>
      </c>
      <c r="I2350" s="45" t="s">
        <v>1663</v>
      </c>
      <c r="J2350" s="143" t="s">
        <v>28</v>
      </c>
      <c r="K2350" s="43" t="str">
        <f t="array" ref="K2350">IF(J2350="","", XLOOKUP(J2350,'⚙️ Pengaturan'!$E$2:$E3237,'⚙️ Pengaturan'!$G$2:$G3237))</f>
        <v>KLINIK FT TA</v>
      </c>
      <c r="L2350" s="43" t="str">
        <f t="shared" si="62"/>
        <v>BARU</v>
      </c>
      <c r="M2350" s="144" t="s">
        <v>31</v>
      </c>
      <c r="N2350" s="145">
        <v>250000.0</v>
      </c>
      <c r="O2350" s="146">
        <v>0.0</v>
      </c>
      <c r="P2350" s="48">
        <f t="array" ref="P2350">IFNA(XLOOKUP(J2350,'⚙️ Pengaturan'!$E$2:$E3237,'⚙️ Pengaturan'!$F$2:$F3237),"")</f>
        <v>250000</v>
      </c>
      <c r="Q2350" s="147">
        <f t="shared" si="63"/>
        <v>0</v>
      </c>
      <c r="R2350" s="41" t="s">
        <v>32</v>
      </c>
      <c r="S2350" s="76" t="s">
        <v>33</v>
      </c>
      <c r="T2350" s="51" t="b">
        <v>1</v>
      </c>
      <c r="U2350" s="94"/>
    </row>
    <row r="2351" ht="30.0" customHeight="1">
      <c r="A2351" s="39"/>
      <c r="B2351" s="40">
        <v>4392.0</v>
      </c>
      <c r="C2351" s="41" t="s">
        <v>39</v>
      </c>
      <c r="D2351" s="86">
        <v>46212.0</v>
      </c>
      <c r="E2351" s="43" t="str">
        <f t="shared" si="60"/>
        <v>2026</v>
      </c>
      <c r="F2351" s="43" t="str">
        <f t="shared" si="61"/>
        <v>07 Jul</v>
      </c>
      <c r="G2351" s="45" t="s">
        <v>195</v>
      </c>
      <c r="H2351" s="45" t="s">
        <v>150</v>
      </c>
      <c r="I2351" s="45" t="s">
        <v>1663</v>
      </c>
      <c r="J2351" s="143" t="s">
        <v>119</v>
      </c>
      <c r="K2351" s="43" t="str">
        <f t="array" ref="K2351">IF(J2351="","", XLOOKUP(J2351,'⚙️ Pengaturan'!$E$2:$E3237,'⚙️ Pengaturan'!$G$2:$G3237))</f>
        <v>KLINIK FT PAKET</v>
      </c>
      <c r="L2351" s="43" t="str">
        <f t="shared" si="62"/>
        <v>BARU</v>
      </c>
      <c r="M2351" s="144" t="s">
        <v>60</v>
      </c>
      <c r="N2351" s="145">
        <v>250000.0</v>
      </c>
      <c r="O2351" s="146">
        <v>0.0</v>
      </c>
      <c r="P2351" s="48">
        <f t="array" ref="P2351">IFNA(XLOOKUP(J2351,'⚙️ Pengaturan'!$E$2:$E3237,'⚙️ Pengaturan'!$F$2:$F3237),"")</f>
        <v>750000</v>
      </c>
      <c r="Q2351" s="147">
        <f t="shared" si="63"/>
        <v>-500000</v>
      </c>
      <c r="R2351" s="41" t="s">
        <v>32</v>
      </c>
      <c r="S2351" s="76" t="s">
        <v>33</v>
      </c>
      <c r="T2351" s="51" t="b">
        <v>1</v>
      </c>
      <c r="U2351" s="94"/>
    </row>
    <row r="2352" ht="30.0" customHeight="1">
      <c r="A2352" s="39"/>
      <c r="B2352" s="164">
        <v>4393.0</v>
      </c>
      <c r="C2352" s="41" t="s">
        <v>39</v>
      </c>
      <c r="D2352" s="86">
        <v>46212.0</v>
      </c>
      <c r="E2352" s="43" t="str">
        <f t="shared" si="60"/>
        <v>2026</v>
      </c>
      <c r="F2352" s="43" t="str">
        <f t="shared" si="61"/>
        <v>07 Jul</v>
      </c>
      <c r="G2352" s="45" t="s">
        <v>241</v>
      </c>
      <c r="H2352" s="45" t="s">
        <v>166</v>
      </c>
      <c r="I2352" s="45" t="s">
        <v>908</v>
      </c>
      <c r="J2352" s="143" t="s">
        <v>119</v>
      </c>
      <c r="K2352" s="43" t="str">
        <f t="array" ref="K2352">IF(J2352="","", XLOOKUP(J2352,'⚙️ Pengaturan'!$E$2:$E3237,'⚙️ Pengaturan'!$G$2:$G3237))</f>
        <v>KLINIK FT PAKET</v>
      </c>
      <c r="L2352" s="43" t="str">
        <f t="shared" si="62"/>
        <v>LANJUTAN</v>
      </c>
      <c r="M2352" s="144" t="s">
        <v>31</v>
      </c>
      <c r="N2352" s="145">
        <v>750000.0</v>
      </c>
      <c r="O2352" s="146">
        <v>0.0</v>
      </c>
      <c r="P2352" s="48">
        <f t="array" ref="P2352">IFNA(XLOOKUP(J2352,'⚙️ Pengaturan'!$E$2:$E3237,'⚙️ Pengaturan'!$F$2:$F3237),"")</f>
        <v>750000</v>
      </c>
      <c r="Q2352" s="147">
        <f t="shared" si="63"/>
        <v>0</v>
      </c>
      <c r="R2352" s="41" t="s">
        <v>37</v>
      </c>
      <c r="S2352" s="76" t="s">
        <v>908</v>
      </c>
      <c r="T2352" s="51" t="b">
        <v>1</v>
      </c>
      <c r="U2352" s="94"/>
    </row>
    <row r="2353" ht="30.0" customHeight="1">
      <c r="A2353" s="39"/>
      <c r="B2353" s="40">
        <v>4394.0</v>
      </c>
      <c r="C2353" s="41" t="s">
        <v>22</v>
      </c>
      <c r="D2353" s="86">
        <v>46212.0</v>
      </c>
      <c r="E2353" s="43" t="str">
        <f t="shared" si="60"/>
        <v>2026</v>
      </c>
      <c r="F2353" s="43" t="str">
        <f t="shared" si="61"/>
        <v>07 Jul</v>
      </c>
      <c r="G2353" s="45" t="s">
        <v>40</v>
      </c>
      <c r="H2353" s="45" t="s">
        <v>41</v>
      </c>
      <c r="I2353" s="45" t="s">
        <v>1664</v>
      </c>
      <c r="J2353" s="143" t="s">
        <v>28</v>
      </c>
      <c r="K2353" s="43" t="str">
        <f t="array" ref="K2353">IF(J2353="","", XLOOKUP(J2353,'⚙️ Pengaturan'!$E$2:$E3237,'⚙️ Pengaturan'!$G$2:$G3237))</f>
        <v>KLINIK FT TA</v>
      </c>
      <c r="L2353" s="43" t="str">
        <f t="shared" si="62"/>
        <v>BARU</v>
      </c>
      <c r="M2353" s="144" t="s">
        <v>31</v>
      </c>
      <c r="N2353" s="145">
        <v>250000.0</v>
      </c>
      <c r="O2353" s="146">
        <v>0.0</v>
      </c>
      <c r="P2353" s="48">
        <f t="array" ref="P2353">IFNA(XLOOKUP(J2353,'⚙️ Pengaturan'!$E$2:$E3237,'⚙️ Pengaturan'!$F$2:$F3237),"")</f>
        <v>250000</v>
      </c>
      <c r="Q2353" s="147">
        <f t="shared" si="63"/>
        <v>0</v>
      </c>
      <c r="R2353" s="41" t="s">
        <v>32</v>
      </c>
      <c r="S2353" s="76" t="s">
        <v>33</v>
      </c>
      <c r="T2353" s="51" t="b">
        <v>1</v>
      </c>
      <c r="U2353" s="94"/>
    </row>
    <row r="2354" ht="30.0" customHeight="1">
      <c r="A2354" s="39"/>
      <c r="B2354" s="164">
        <v>4395.0</v>
      </c>
      <c r="C2354" s="41" t="s">
        <v>22</v>
      </c>
      <c r="D2354" s="86">
        <v>46213.0</v>
      </c>
      <c r="E2354" s="43" t="str">
        <f t="shared" si="60"/>
        <v>2026</v>
      </c>
      <c r="F2354" s="43" t="str">
        <f t="shared" si="61"/>
        <v>07 Jul</v>
      </c>
      <c r="G2354" s="45" t="s">
        <v>69</v>
      </c>
      <c r="H2354" s="45" t="s">
        <v>149</v>
      </c>
      <c r="I2354" s="45" t="s">
        <v>1551</v>
      </c>
      <c r="J2354" s="143" t="s">
        <v>120</v>
      </c>
      <c r="K2354" s="43" t="str">
        <f t="array" ref="K2354">IF(J2354="","", XLOOKUP(J2354,'⚙️ Pengaturan'!$E$2:$E3237,'⚙️ Pengaturan'!$G$2:$G3237))</f>
        <v>KLINIK FT SESI</v>
      </c>
      <c r="L2354" s="43" t="str">
        <f t="shared" si="62"/>
        <v>LANJUTAN</v>
      </c>
      <c r="M2354" s="144" t="s">
        <v>31</v>
      </c>
      <c r="N2354" s="145">
        <v>180000.0</v>
      </c>
      <c r="O2354" s="146">
        <v>0.0</v>
      </c>
      <c r="P2354" s="48">
        <f t="array" ref="P2354">IFNA(XLOOKUP(J2354,'⚙️ Pengaturan'!$E$2:$E3237,'⚙️ Pengaturan'!$F$2:$F3237),"")</f>
        <v>180000</v>
      </c>
      <c r="Q2354" s="147">
        <f t="shared" si="63"/>
        <v>0</v>
      </c>
      <c r="R2354" s="41" t="s">
        <v>37</v>
      </c>
      <c r="S2354" s="76" t="s">
        <v>1551</v>
      </c>
      <c r="T2354" s="51" t="b">
        <v>1</v>
      </c>
      <c r="U2354" s="94"/>
    </row>
    <row r="2355" ht="30.0" customHeight="1">
      <c r="A2355" s="39"/>
      <c r="B2355" s="40">
        <v>4396.0</v>
      </c>
      <c r="C2355" s="41" t="s">
        <v>22</v>
      </c>
      <c r="D2355" s="86">
        <v>46213.0</v>
      </c>
      <c r="E2355" s="43" t="str">
        <f t="shared" si="60"/>
        <v>2026</v>
      </c>
      <c r="F2355" s="43" t="str">
        <f t="shared" si="61"/>
        <v>07 Jul</v>
      </c>
      <c r="G2355" s="45" t="s">
        <v>25</v>
      </c>
      <c r="H2355" s="45" t="s">
        <v>47</v>
      </c>
      <c r="I2355" s="45" t="s">
        <v>1657</v>
      </c>
      <c r="J2355" s="143" t="s">
        <v>347</v>
      </c>
      <c r="K2355" s="43" t="str">
        <f t="array" ref="K2355">IF(J2355="","", XLOOKUP(J2355,'⚙️ Pengaturan'!$E$2:$E3237,'⚙️ Pengaturan'!$G$2:$G3237))</f>
        <v>KLINIK FT PAKET</v>
      </c>
      <c r="L2355" s="43" t="str">
        <f t="shared" si="62"/>
        <v>BARU</v>
      </c>
      <c r="M2355" s="144" t="s">
        <v>31</v>
      </c>
      <c r="N2355" s="145">
        <v>1300000.0</v>
      </c>
      <c r="O2355" s="146">
        <v>0.0</v>
      </c>
      <c r="P2355" s="48">
        <f t="array" ref="P2355">IFNA(XLOOKUP(J2355,'⚙️ Pengaturan'!$E$2:$E3237,'⚙️ Pengaturan'!$F$2:$F3237),"")</f>
        <v>1300000</v>
      </c>
      <c r="Q2355" s="147">
        <f t="shared" si="63"/>
        <v>0</v>
      </c>
      <c r="R2355" s="41" t="s">
        <v>32</v>
      </c>
      <c r="S2355" s="76" t="s">
        <v>33</v>
      </c>
      <c r="T2355" s="51" t="b">
        <v>1</v>
      </c>
      <c r="U2355" s="94"/>
    </row>
    <row r="2356" ht="30.0" customHeight="1">
      <c r="A2356" s="39"/>
      <c r="B2356" s="164">
        <v>4397.0</v>
      </c>
      <c r="C2356" s="41" t="s">
        <v>22</v>
      </c>
      <c r="D2356" s="86">
        <v>46213.0</v>
      </c>
      <c r="E2356" s="43" t="str">
        <f t="shared" si="60"/>
        <v>2026</v>
      </c>
      <c r="F2356" s="43" t="str">
        <f t="shared" si="61"/>
        <v>07 Jul</v>
      </c>
      <c r="G2356" s="45" t="s">
        <v>25</v>
      </c>
      <c r="H2356" s="45" t="s">
        <v>149</v>
      </c>
      <c r="I2356" s="121" t="s">
        <v>1665</v>
      </c>
      <c r="J2356" s="143" t="s">
        <v>119</v>
      </c>
      <c r="K2356" s="43" t="str">
        <f t="array" ref="K2356">IF(J2356="","", XLOOKUP(J2356,'⚙️ Pengaturan'!$E$2:$E3237,'⚙️ Pengaturan'!$G$2:$G3237))</f>
        <v>KLINIK FT PAKET</v>
      </c>
      <c r="L2356" s="43" t="str">
        <f t="shared" si="62"/>
        <v>LANJUTAN</v>
      </c>
      <c r="M2356" s="144" t="s">
        <v>31</v>
      </c>
      <c r="N2356" s="145">
        <v>750000.0</v>
      </c>
      <c r="O2356" s="146">
        <v>0.0</v>
      </c>
      <c r="P2356" s="48">
        <f t="array" ref="P2356">IFNA(XLOOKUP(J2356,'⚙️ Pengaturan'!$E$2:$E3237,'⚙️ Pengaturan'!$F$2:$F3237),"")</f>
        <v>750000</v>
      </c>
      <c r="Q2356" s="147">
        <f t="shared" si="63"/>
        <v>0</v>
      </c>
      <c r="R2356" s="41" t="s">
        <v>32</v>
      </c>
      <c r="S2356" s="76" t="s">
        <v>33</v>
      </c>
      <c r="T2356" s="51" t="b">
        <v>1</v>
      </c>
      <c r="U2356" s="94"/>
    </row>
    <row r="2357" ht="30.0" customHeight="1">
      <c r="A2357" s="39"/>
      <c r="B2357" s="40">
        <v>4398.0</v>
      </c>
      <c r="C2357" s="41" t="s">
        <v>39</v>
      </c>
      <c r="D2357" s="86">
        <v>46213.0</v>
      </c>
      <c r="E2357" s="43" t="str">
        <f t="shared" si="60"/>
        <v>2026</v>
      </c>
      <c r="F2357" s="43" t="str">
        <f t="shared" si="61"/>
        <v>07 Jul</v>
      </c>
      <c r="G2357" s="45" t="s">
        <v>35</v>
      </c>
      <c r="H2357" s="45" t="s">
        <v>47</v>
      </c>
      <c r="I2357" s="45" t="s">
        <v>1666</v>
      </c>
      <c r="J2357" s="143" t="s">
        <v>28</v>
      </c>
      <c r="K2357" s="43" t="str">
        <f t="array" ref="K2357">IF(J2357="","", XLOOKUP(J2357,'⚙️ Pengaturan'!$E$2:$E3237,'⚙️ Pengaturan'!$G$2:$G3237))</f>
        <v>KLINIK FT TA</v>
      </c>
      <c r="L2357" s="43" t="str">
        <f t="shared" si="62"/>
        <v>BARU</v>
      </c>
      <c r="M2357" s="144" t="s">
        <v>31</v>
      </c>
      <c r="N2357" s="145">
        <v>250000.0</v>
      </c>
      <c r="O2357" s="146">
        <v>0.0</v>
      </c>
      <c r="P2357" s="48">
        <f t="array" ref="P2357">IFNA(XLOOKUP(J2357,'⚙️ Pengaturan'!$E$2:$E3237,'⚙️ Pengaturan'!$F$2:$F3237),"")</f>
        <v>250000</v>
      </c>
      <c r="Q2357" s="147">
        <f t="shared" si="63"/>
        <v>0</v>
      </c>
      <c r="R2357" s="41" t="s">
        <v>37</v>
      </c>
      <c r="S2357" s="76" t="s">
        <v>1667</v>
      </c>
      <c r="T2357" s="51" t="b">
        <v>1</v>
      </c>
      <c r="U2357" s="94"/>
    </row>
    <row r="2358" ht="30.0" customHeight="1">
      <c r="A2358" s="39"/>
      <c r="B2358" s="164">
        <v>4399.0</v>
      </c>
      <c r="C2358" s="41" t="s">
        <v>39</v>
      </c>
      <c r="D2358" s="86">
        <v>46213.0</v>
      </c>
      <c r="E2358" s="43" t="str">
        <f t="shared" si="60"/>
        <v>2026</v>
      </c>
      <c r="F2358" s="43" t="str">
        <f t="shared" si="61"/>
        <v>07 Jul</v>
      </c>
      <c r="G2358" s="45" t="s">
        <v>25</v>
      </c>
      <c r="H2358" s="45" t="s">
        <v>103</v>
      </c>
      <c r="I2358" s="45" t="s">
        <v>1668</v>
      </c>
      <c r="J2358" s="143" t="s">
        <v>28</v>
      </c>
      <c r="K2358" s="43" t="str">
        <f t="array" ref="K2358">IF(J2358="","", XLOOKUP(J2358,'⚙️ Pengaturan'!$E$2:$E3237,'⚙️ Pengaturan'!$G$2:$G3237))</f>
        <v>KLINIK FT TA</v>
      </c>
      <c r="L2358" s="43" t="str">
        <f t="shared" si="62"/>
        <v>BARU</v>
      </c>
      <c r="M2358" s="144" t="s">
        <v>31</v>
      </c>
      <c r="N2358" s="145">
        <v>250000.0</v>
      </c>
      <c r="O2358" s="146">
        <v>0.0</v>
      </c>
      <c r="P2358" s="48">
        <f t="array" ref="P2358">IFNA(XLOOKUP(J2358,'⚙️ Pengaturan'!$E$2:$E3237,'⚙️ Pengaturan'!$F$2:$F3237),"")</f>
        <v>250000</v>
      </c>
      <c r="Q2358" s="147">
        <f t="shared" si="63"/>
        <v>0</v>
      </c>
      <c r="R2358" s="41" t="s">
        <v>37</v>
      </c>
      <c r="S2358" s="69" t="s">
        <v>1668</v>
      </c>
      <c r="T2358" s="51" t="b">
        <v>1</v>
      </c>
      <c r="U2358" s="94"/>
    </row>
    <row r="2359" ht="30.0" customHeight="1">
      <c r="A2359" s="39"/>
      <c r="B2359" s="40">
        <v>4400.0</v>
      </c>
      <c r="C2359" s="41" t="s">
        <v>39</v>
      </c>
      <c r="D2359" s="86">
        <v>46213.0</v>
      </c>
      <c r="E2359" s="43" t="str">
        <f t="shared" si="60"/>
        <v>2026</v>
      </c>
      <c r="F2359" s="43" t="str">
        <f t="shared" si="61"/>
        <v>07 Jul</v>
      </c>
      <c r="G2359" s="45" t="s">
        <v>35</v>
      </c>
      <c r="H2359" s="45" t="s">
        <v>156</v>
      </c>
      <c r="I2359" s="45" t="s">
        <v>1669</v>
      </c>
      <c r="J2359" s="143" t="s">
        <v>28</v>
      </c>
      <c r="K2359" s="43" t="str">
        <f t="array" ref="K2359">IF(J2359="","", XLOOKUP(J2359,'⚙️ Pengaturan'!$E$2:$E3237,'⚙️ Pengaturan'!$G$2:$G3237))</f>
        <v>KLINIK FT TA</v>
      </c>
      <c r="L2359" s="43" t="str">
        <f t="shared" si="62"/>
        <v>BARU</v>
      </c>
      <c r="M2359" s="144" t="s">
        <v>31</v>
      </c>
      <c r="N2359" s="145">
        <v>250000.0</v>
      </c>
      <c r="O2359" s="146">
        <v>0.0</v>
      </c>
      <c r="P2359" s="48">
        <f t="array" ref="P2359">IFNA(XLOOKUP(J2359,'⚙️ Pengaturan'!$E$2:$E3237,'⚙️ Pengaturan'!$F$2:$F3237),"")</f>
        <v>250000</v>
      </c>
      <c r="Q2359" s="147">
        <f t="shared" si="63"/>
        <v>0</v>
      </c>
      <c r="R2359" s="41" t="s">
        <v>32</v>
      </c>
      <c r="S2359" s="69" t="s">
        <v>33</v>
      </c>
      <c r="T2359" s="51" t="b">
        <v>1</v>
      </c>
      <c r="U2359" s="94"/>
    </row>
    <row r="2360" ht="30.0" customHeight="1">
      <c r="A2360" s="39"/>
      <c r="B2360" s="164">
        <v>4401.0</v>
      </c>
      <c r="C2360" s="41" t="s">
        <v>39</v>
      </c>
      <c r="D2360" s="86">
        <v>46213.0</v>
      </c>
      <c r="E2360" s="43" t="str">
        <f t="shared" si="60"/>
        <v>2026</v>
      </c>
      <c r="F2360" s="43" t="str">
        <f t="shared" si="61"/>
        <v>07 Jul</v>
      </c>
      <c r="G2360" s="45" t="s">
        <v>35</v>
      </c>
      <c r="H2360" s="45" t="s">
        <v>156</v>
      </c>
      <c r="I2360" s="45" t="s">
        <v>1669</v>
      </c>
      <c r="J2360" s="143" t="s">
        <v>347</v>
      </c>
      <c r="K2360" s="43" t="str">
        <f t="array" ref="K2360">IF(J2360="","", XLOOKUP(J2360,'⚙️ Pengaturan'!$E$2:$E3237,'⚙️ Pengaturan'!$G$2:$G3237))</f>
        <v>KLINIK FT PAKET</v>
      </c>
      <c r="L2360" s="43" t="str">
        <f t="shared" si="62"/>
        <v>BARU</v>
      </c>
      <c r="M2360" s="144" t="s">
        <v>60</v>
      </c>
      <c r="N2360" s="145">
        <v>300000.0</v>
      </c>
      <c r="O2360" s="146">
        <v>0.0</v>
      </c>
      <c r="P2360" s="48">
        <f t="array" ref="P2360">IFNA(XLOOKUP(J2360,'⚙️ Pengaturan'!$E$2:$E3237,'⚙️ Pengaturan'!$F$2:$F3237),"")</f>
        <v>1300000</v>
      </c>
      <c r="Q2360" s="147">
        <f t="shared" si="63"/>
        <v>-1000000</v>
      </c>
      <c r="R2360" s="41" t="s">
        <v>32</v>
      </c>
      <c r="S2360" s="76" t="s">
        <v>33</v>
      </c>
      <c r="T2360" s="51" t="b">
        <v>1</v>
      </c>
      <c r="U2360" s="94"/>
    </row>
    <row r="2361" ht="30.0" customHeight="1">
      <c r="A2361" s="39"/>
      <c r="B2361" s="40">
        <v>4402.0</v>
      </c>
      <c r="C2361" s="41" t="s">
        <v>39</v>
      </c>
      <c r="D2361" s="86">
        <v>46213.0</v>
      </c>
      <c r="E2361" s="43" t="str">
        <f t="shared" si="60"/>
        <v>2026</v>
      </c>
      <c r="F2361" s="43" t="str">
        <f t="shared" si="61"/>
        <v>07 Jul</v>
      </c>
      <c r="G2361" s="45" t="s">
        <v>40</v>
      </c>
      <c r="H2361" s="45" t="s">
        <v>47</v>
      </c>
      <c r="I2361" s="45" t="s">
        <v>1670</v>
      </c>
      <c r="J2361" s="143" t="s">
        <v>28</v>
      </c>
      <c r="K2361" s="43" t="str">
        <f t="array" ref="K2361">IF(J2361="","", XLOOKUP(J2361,'⚙️ Pengaturan'!$E$2:$E3237,'⚙️ Pengaturan'!$G$2:$G3237))</f>
        <v>KLINIK FT TA</v>
      </c>
      <c r="L2361" s="43" t="str">
        <f t="shared" si="62"/>
        <v>BARU</v>
      </c>
      <c r="M2361" s="144" t="s">
        <v>31</v>
      </c>
      <c r="N2361" s="145">
        <v>250000.0</v>
      </c>
      <c r="O2361" s="146">
        <v>0.0</v>
      </c>
      <c r="P2361" s="48">
        <f t="array" ref="P2361">IFNA(XLOOKUP(J2361,'⚙️ Pengaturan'!$E$2:$E3237,'⚙️ Pengaturan'!$F$2:$F3237),"")</f>
        <v>250000</v>
      </c>
      <c r="Q2361" s="147">
        <f t="shared" si="63"/>
        <v>0</v>
      </c>
      <c r="R2361" s="41" t="s">
        <v>37</v>
      </c>
      <c r="S2361" s="69" t="s">
        <v>1670</v>
      </c>
      <c r="T2361" s="51" t="b">
        <v>1</v>
      </c>
      <c r="U2361" s="94"/>
    </row>
    <row r="2362" ht="30.0" customHeight="1">
      <c r="A2362" s="39"/>
      <c r="B2362" s="164">
        <v>4403.0</v>
      </c>
      <c r="C2362" s="41" t="s">
        <v>39</v>
      </c>
      <c r="D2362" s="86">
        <v>46213.0</v>
      </c>
      <c r="E2362" s="43" t="str">
        <f t="shared" si="60"/>
        <v>2026</v>
      </c>
      <c r="F2362" s="43" t="str">
        <f t="shared" si="61"/>
        <v>07 Jul</v>
      </c>
      <c r="G2362" s="45" t="s">
        <v>43</v>
      </c>
      <c r="H2362" s="45" t="s">
        <v>156</v>
      </c>
      <c r="I2362" s="45" t="s">
        <v>1671</v>
      </c>
      <c r="J2362" s="143" t="s">
        <v>28</v>
      </c>
      <c r="K2362" s="43" t="str">
        <f t="array" ref="K2362">IF(J2362="","", XLOOKUP(J2362,'⚙️ Pengaturan'!$E$2:$E3237,'⚙️ Pengaturan'!$G$2:$G3237))</f>
        <v>KLINIK FT TA</v>
      </c>
      <c r="L2362" s="43" t="str">
        <f t="shared" si="62"/>
        <v>BARU</v>
      </c>
      <c r="M2362" s="144" t="s">
        <v>31</v>
      </c>
      <c r="N2362" s="145">
        <v>250000.0</v>
      </c>
      <c r="O2362" s="146">
        <v>0.0</v>
      </c>
      <c r="P2362" s="48">
        <f t="array" ref="P2362">IFNA(XLOOKUP(J2362,'⚙️ Pengaturan'!$E$2:$E3237,'⚙️ Pengaturan'!$F$2:$F3237),"")</f>
        <v>250000</v>
      </c>
      <c r="Q2362" s="147">
        <f t="shared" si="63"/>
        <v>0</v>
      </c>
      <c r="R2362" s="41" t="s">
        <v>32</v>
      </c>
      <c r="S2362" s="76" t="s">
        <v>33</v>
      </c>
      <c r="T2362" s="51" t="b">
        <v>1</v>
      </c>
      <c r="U2362" s="94"/>
    </row>
    <row r="2363" ht="30.0" customHeight="1">
      <c r="A2363" s="39"/>
      <c r="B2363" s="40">
        <v>4404.0</v>
      </c>
      <c r="C2363" s="41" t="s">
        <v>79</v>
      </c>
      <c r="D2363" s="86">
        <v>46214.0</v>
      </c>
      <c r="E2363" s="43" t="str">
        <f t="shared" si="60"/>
        <v>2026</v>
      </c>
      <c r="F2363" s="43" t="str">
        <f t="shared" si="61"/>
        <v>07 Jul</v>
      </c>
      <c r="G2363" s="45" t="s">
        <v>69</v>
      </c>
      <c r="H2363" s="45" t="s">
        <v>96</v>
      </c>
      <c r="I2363" s="45" t="s">
        <v>586</v>
      </c>
      <c r="J2363" s="143" t="s">
        <v>138</v>
      </c>
      <c r="K2363" s="43" t="str">
        <f t="array" ref="K2363">IF(J2363="","", XLOOKUP(J2363,'⚙️ Pengaturan'!$E$2:$E3237,'⚙️ Pengaturan'!$G$2:$G3237))</f>
        <v>VISIT FT PAKET</v>
      </c>
      <c r="L2363" s="43" t="str">
        <f t="shared" si="62"/>
        <v>LANJUTAN</v>
      </c>
      <c r="M2363" s="144" t="s">
        <v>60</v>
      </c>
      <c r="N2363" s="145">
        <v>1000000.0</v>
      </c>
      <c r="O2363" s="146">
        <v>0.0</v>
      </c>
      <c r="P2363" s="48">
        <f t="array" ref="P2363">IFNA(XLOOKUP(J2363,'⚙️ Pengaturan'!$E$2:$E3237,'⚙️ Pengaturan'!$F$2:$F3237),"")</f>
        <v>1800000</v>
      </c>
      <c r="Q2363" s="147">
        <f t="shared" si="63"/>
        <v>-800000</v>
      </c>
      <c r="R2363" s="41" t="s">
        <v>32</v>
      </c>
      <c r="S2363" s="76" t="s">
        <v>33</v>
      </c>
      <c r="T2363" s="51" t="b">
        <v>1</v>
      </c>
      <c r="U2363" s="94"/>
    </row>
    <row r="2364" ht="30.0" customHeight="1">
      <c r="A2364" s="39"/>
      <c r="B2364" s="164">
        <v>4405.0</v>
      </c>
      <c r="C2364" s="41" t="s">
        <v>79</v>
      </c>
      <c r="D2364" s="86">
        <v>46214.0</v>
      </c>
      <c r="E2364" s="43" t="str">
        <f t="shared" si="60"/>
        <v>2026</v>
      </c>
      <c r="F2364" s="43" t="str">
        <f t="shared" si="61"/>
        <v>07 Jul</v>
      </c>
      <c r="G2364" s="45" t="s">
        <v>195</v>
      </c>
      <c r="H2364" s="45" t="s">
        <v>149</v>
      </c>
      <c r="I2364" s="45" t="s">
        <v>1672</v>
      </c>
      <c r="J2364" s="143" t="s">
        <v>28</v>
      </c>
      <c r="K2364" s="43" t="str">
        <f t="array" ref="K2364">IF(J2364="","", XLOOKUP(J2364,'⚙️ Pengaturan'!$E$2:$E3237,'⚙️ Pengaturan'!$G$2:$G3237))</f>
        <v>KLINIK FT TA</v>
      </c>
      <c r="L2364" s="43" t="str">
        <f t="shared" si="62"/>
        <v>BARU</v>
      </c>
      <c r="M2364" s="144" t="s">
        <v>31</v>
      </c>
      <c r="N2364" s="145">
        <v>250000.0</v>
      </c>
      <c r="O2364" s="146">
        <v>0.0</v>
      </c>
      <c r="P2364" s="48">
        <f t="array" ref="P2364">IFNA(XLOOKUP(J2364,'⚙️ Pengaturan'!$E$2:$E3237,'⚙️ Pengaturan'!$F$2:$F3237),"")</f>
        <v>250000</v>
      </c>
      <c r="Q2364" s="147">
        <f t="shared" si="63"/>
        <v>0</v>
      </c>
      <c r="R2364" s="41" t="s">
        <v>32</v>
      </c>
      <c r="S2364" s="76" t="s">
        <v>33</v>
      </c>
      <c r="T2364" s="51" t="b">
        <v>1</v>
      </c>
      <c r="U2364" s="94"/>
    </row>
    <row r="2365" ht="30.0" customHeight="1">
      <c r="A2365" s="39"/>
      <c r="B2365" s="40">
        <v>4406.0</v>
      </c>
      <c r="C2365" s="41" t="s">
        <v>79</v>
      </c>
      <c r="D2365" s="86">
        <v>46214.0</v>
      </c>
      <c r="E2365" s="43" t="str">
        <f t="shared" si="60"/>
        <v>2026</v>
      </c>
      <c r="F2365" s="43" t="str">
        <f t="shared" si="61"/>
        <v>07 Jul</v>
      </c>
      <c r="G2365" s="45" t="s">
        <v>25</v>
      </c>
      <c r="H2365" s="45" t="s">
        <v>103</v>
      </c>
      <c r="I2365" s="45" t="s">
        <v>1673</v>
      </c>
      <c r="J2365" s="143" t="s">
        <v>28</v>
      </c>
      <c r="K2365" s="43" t="s">
        <v>29</v>
      </c>
      <c r="L2365" s="43" t="s">
        <v>30</v>
      </c>
      <c r="M2365" s="144" t="s">
        <v>31</v>
      </c>
      <c r="N2365" s="145">
        <v>250000.0</v>
      </c>
      <c r="O2365" s="146">
        <v>0.0</v>
      </c>
      <c r="P2365" s="48">
        <v>250000.0</v>
      </c>
      <c r="Q2365" s="147">
        <v>0.0</v>
      </c>
      <c r="R2365" s="41" t="s">
        <v>118</v>
      </c>
      <c r="S2365" s="69" t="s">
        <v>1673</v>
      </c>
      <c r="T2365" s="51" t="b">
        <v>1</v>
      </c>
      <c r="U2365" s="94"/>
    </row>
    <row r="2366" ht="30.0" customHeight="1">
      <c r="A2366" s="39"/>
      <c r="B2366" s="164">
        <v>4407.0</v>
      </c>
      <c r="C2366" s="41" t="s">
        <v>79</v>
      </c>
      <c r="D2366" s="86">
        <v>46214.0</v>
      </c>
      <c r="E2366" s="43" t="str">
        <f t="shared" si="60"/>
        <v>2026</v>
      </c>
      <c r="F2366" s="43" t="str">
        <f t="shared" si="61"/>
        <v>07 Jul</v>
      </c>
      <c r="G2366" s="45" t="s">
        <v>206</v>
      </c>
      <c r="H2366" s="45" t="s">
        <v>76</v>
      </c>
      <c r="I2366" s="45" t="s">
        <v>1658</v>
      </c>
      <c r="J2366" s="143" t="s">
        <v>119</v>
      </c>
      <c r="K2366" s="43" t="str">
        <f t="array" ref="K2366">IF(J2366="","", XLOOKUP(J2366,'⚙️ Pengaturan'!$E$2:$E3237,'⚙️ Pengaturan'!$G$2:$G3237))</f>
        <v>KLINIK FT PAKET</v>
      </c>
      <c r="L2366" s="43" t="str">
        <f t="shared" ref="L2366:L2367" si="64">if(I2366="","",if(countifs($J$5:J2366,J2366,$I$5:I2366,I2366)=1,"BARU","LANJUTAN"))</f>
        <v>BARU</v>
      </c>
      <c r="M2366" s="144" t="s">
        <v>31</v>
      </c>
      <c r="N2366" s="145">
        <v>750000.0</v>
      </c>
      <c r="O2366" s="146">
        <v>0.0</v>
      </c>
      <c r="P2366" s="48">
        <f t="array" ref="P2366">IFNA(XLOOKUP(J2366,'⚙️ Pengaturan'!$E$2:$E3237,'⚙️ Pengaturan'!$F$2:$F3237),"")</f>
        <v>750000</v>
      </c>
      <c r="Q2366" s="147">
        <f t="shared" ref="Q2366:Q2367" si="65">IF(I2366="","",(N2366+O2366)-P2366)</f>
        <v>0</v>
      </c>
      <c r="R2366" s="41" t="s">
        <v>37</v>
      </c>
      <c r="S2366" s="69" t="s">
        <v>1658</v>
      </c>
      <c r="T2366" s="51" t="b">
        <v>1</v>
      </c>
      <c r="U2366" s="94"/>
    </row>
    <row r="2367" ht="30.0" customHeight="1">
      <c r="A2367" s="39"/>
      <c r="B2367" s="40">
        <v>4408.0</v>
      </c>
      <c r="C2367" s="41" t="s">
        <v>79</v>
      </c>
      <c r="D2367" s="86">
        <v>46214.0</v>
      </c>
      <c r="E2367" s="43" t="str">
        <f t="shared" si="60"/>
        <v>2026</v>
      </c>
      <c r="F2367" s="43" t="str">
        <f t="shared" si="61"/>
        <v>07 Jul</v>
      </c>
      <c r="G2367" s="45" t="s">
        <v>241</v>
      </c>
      <c r="H2367" s="45" t="s">
        <v>149</v>
      </c>
      <c r="I2367" s="45" t="s">
        <v>1327</v>
      </c>
      <c r="J2367" s="143" t="s">
        <v>347</v>
      </c>
      <c r="K2367" s="43" t="str">
        <f t="array" ref="K2367">IF(J2367="","", XLOOKUP(J2367,'⚙️ Pengaturan'!$E$2:$E3237,'⚙️ Pengaturan'!$G$2:$G3237))</f>
        <v>KLINIK FT PAKET</v>
      </c>
      <c r="L2367" s="43" t="str">
        <f t="shared" si="64"/>
        <v>LANJUTAN</v>
      </c>
      <c r="M2367" s="144" t="s">
        <v>31</v>
      </c>
      <c r="N2367" s="145">
        <v>1300000.0</v>
      </c>
      <c r="O2367" s="146">
        <v>0.0</v>
      </c>
      <c r="P2367" s="48">
        <f t="array" ref="P2367">IFNA(XLOOKUP(J2367,'⚙️ Pengaturan'!$E$2:$E3237,'⚙️ Pengaturan'!$F$2:$F3237),"")</f>
        <v>1300000</v>
      </c>
      <c r="Q2367" s="147">
        <f t="shared" si="65"/>
        <v>0</v>
      </c>
      <c r="R2367" s="41" t="s">
        <v>32</v>
      </c>
      <c r="S2367" s="69" t="s">
        <v>1327</v>
      </c>
      <c r="T2367" s="51" t="b">
        <v>1</v>
      </c>
      <c r="U2367" s="94"/>
    </row>
    <row r="2368" ht="30.0" customHeight="1">
      <c r="A2368" s="39"/>
      <c r="B2368" s="164">
        <v>4409.0</v>
      </c>
      <c r="C2368" s="41" t="s">
        <v>79</v>
      </c>
      <c r="D2368" s="86">
        <v>46214.0</v>
      </c>
      <c r="E2368" s="43" t="str">
        <f t="shared" si="60"/>
        <v>2026</v>
      </c>
      <c r="F2368" s="43" t="str">
        <f t="shared" si="61"/>
        <v>07 Jul</v>
      </c>
      <c r="G2368" s="45" t="s">
        <v>241</v>
      </c>
      <c r="H2368" s="45" t="s">
        <v>103</v>
      </c>
      <c r="I2368" s="45" t="s">
        <v>1674</v>
      </c>
      <c r="J2368" s="143" t="s">
        <v>28</v>
      </c>
      <c r="K2368" s="43" t="s">
        <v>29</v>
      </c>
      <c r="L2368" s="43" t="s">
        <v>30</v>
      </c>
      <c r="M2368" s="144" t="s">
        <v>31</v>
      </c>
      <c r="N2368" s="145">
        <v>200000.0</v>
      </c>
      <c r="O2368" s="146">
        <v>50000.0</v>
      </c>
      <c r="P2368" s="48">
        <v>250000.0</v>
      </c>
      <c r="Q2368" s="147">
        <v>0.0</v>
      </c>
      <c r="R2368" s="41" t="s">
        <v>118</v>
      </c>
      <c r="S2368" s="69" t="s">
        <v>1674</v>
      </c>
      <c r="T2368" s="51" t="b">
        <v>1</v>
      </c>
      <c r="U2368" s="94"/>
    </row>
    <row r="2369" ht="30.0" customHeight="1">
      <c r="A2369" s="39"/>
      <c r="B2369" s="40">
        <v>4410.0</v>
      </c>
      <c r="C2369" s="41" t="s">
        <v>79</v>
      </c>
      <c r="D2369" s="86">
        <v>46214.0</v>
      </c>
      <c r="E2369" s="43" t="str">
        <f t="shared" si="60"/>
        <v>2026</v>
      </c>
      <c r="F2369" s="43" t="str">
        <f t="shared" si="61"/>
        <v>07 Jul</v>
      </c>
      <c r="G2369" s="45" t="s">
        <v>69</v>
      </c>
      <c r="H2369" s="45" t="s">
        <v>26</v>
      </c>
      <c r="I2369" s="45" t="s">
        <v>1675</v>
      </c>
      <c r="J2369" s="143" t="s">
        <v>121</v>
      </c>
      <c r="K2369" s="43" t="str">
        <f t="array" ref="K2369">IF(J2369="","", XLOOKUP(J2369,'⚙️ Pengaturan'!$E$2:$E3237,'⚙️ Pengaturan'!$G$2:$G3237))</f>
        <v>VISIT FT TA</v>
      </c>
      <c r="L2369" s="43" t="str">
        <f t="shared" ref="L2369:L2377" si="66">if(I2369="","",if(countifs($J$5:J2369,J2369,$I$5:I2369,I2369)=1,"BARU","LANJUTAN"))</f>
        <v>BARU</v>
      </c>
      <c r="M2369" s="144" t="s">
        <v>31</v>
      </c>
      <c r="N2369" s="145">
        <v>300000.0</v>
      </c>
      <c r="O2369" s="146">
        <v>0.0</v>
      </c>
      <c r="P2369" s="48">
        <f t="array" ref="P2369">IFNA(XLOOKUP(J2369,'⚙️ Pengaturan'!$E$2:$E3237,'⚙️ Pengaturan'!$F$2:$F3237),"")</f>
        <v>300000</v>
      </c>
      <c r="Q2369" s="147">
        <f t="shared" ref="Q2369:Q2377" si="67">IF(I2369="","",(N2369+O2369)-P2369)</f>
        <v>0</v>
      </c>
      <c r="R2369" s="41" t="s">
        <v>32</v>
      </c>
      <c r="S2369" s="76" t="s">
        <v>33</v>
      </c>
      <c r="T2369" s="51" t="b">
        <v>1</v>
      </c>
      <c r="U2369" s="94"/>
    </row>
    <row r="2370" ht="30.0" customHeight="1">
      <c r="A2370" s="39"/>
      <c r="B2370" s="164">
        <v>4411.0</v>
      </c>
      <c r="C2370" s="41" t="s">
        <v>79</v>
      </c>
      <c r="D2370" s="86">
        <v>46214.0</v>
      </c>
      <c r="E2370" s="43" t="s">
        <v>23</v>
      </c>
      <c r="F2370" s="43" t="s">
        <v>24</v>
      </c>
      <c r="G2370" s="45" t="s">
        <v>69</v>
      </c>
      <c r="H2370" s="45" t="s">
        <v>26</v>
      </c>
      <c r="I2370" s="45" t="s">
        <v>1676</v>
      </c>
      <c r="J2370" s="143" t="s">
        <v>121</v>
      </c>
      <c r="K2370" s="43" t="s">
        <v>61</v>
      </c>
      <c r="L2370" s="43" t="str">
        <f t="shared" si="66"/>
        <v>BARU</v>
      </c>
      <c r="M2370" s="144" t="s">
        <v>31</v>
      </c>
      <c r="N2370" s="145">
        <v>300000.0</v>
      </c>
      <c r="O2370" s="146">
        <v>0.0</v>
      </c>
      <c r="P2370" s="48">
        <v>300000.0</v>
      </c>
      <c r="Q2370" s="147">
        <f t="shared" si="67"/>
        <v>0</v>
      </c>
      <c r="R2370" s="41" t="s">
        <v>32</v>
      </c>
      <c r="S2370" s="76" t="s">
        <v>33</v>
      </c>
      <c r="T2370" s="51" t="b">
        <v>1</v>
      </c>
      <c r="U2370" s="94"/>
    </row>
    <row r="2371" ht="30.0" customHeight="1">
      <c r="A2371" s="39"/>
      <c r="B2371" s="40">
        <v>4412.0</v>
      </c>
      <c r="C2371" s="41" t="s">
        <v>22</v>
      </c>
      <c r="D2371" s="86">
        <v>46214.0</v>
      </c>
      <c r="E2371" s="43" t="str">
        <f t="shared" ref="E2371:E2382" si="68">if(D2371="","",text(D2371,"YYY"))</f>
        <v>2026</v>
      </c>
      <c r="F2371" s="43" t="str">
        <f t="shared" ref="F2371:F2382" si="69">if(D2371="","",text(D2371,"MM")&amp;" "&amp;text(D2371,"MMM"))</f>
        <v>07 Jul</v>
      </c>
      <c r="G2371" s="45" t="s">
        <v>35</v>
      </c>
      <c r="H2371" s="45" t="s">
        <v>149</v>
      </c>
      <c r="I2371" s="45" t="s">
        <v>1677</v>
      </c>
      <c r="J2371" s="143" t="s">
        <v>28</v>
      </c>
      <c r="K2371" s="43" t="str">
        <f t="array" ref="K2371">IF(J2371="","", XLOOKUP(J2371,'⚙️ Pengaturan'!$E$2:$E3237,'⚙️ Pengaturan'!$G$2:$G3237))</f>
        <v>KLINIK FT TA</v>
      </c>
      <c r="L2371" s="43" t="str">
        <f t="shared" si="66"/>
        <v>BARU</v>
      </c>
      <c r="M2371" s="144" t="s">
        <v>31</v>
      </c>
      <c r="N2371" s="145">
        <v>250000.0</v>
      </c>
      <c r="O2371" s="146">
        <v>0.0</v>
      </c>
      <c r="P2371" s="48">
        <f t="array" ref="P2371">IFNA(XLOOKUP(J2371,'⚙️ Pengaturan'!$E$2:$E3237,'⚙️ Pengaturan'!$F$2:$F3237),"")</f>
        <v>250000</v>
      </c>
      <c r="Q2371" s="147">
        <f t="shared" si="67"/>
        <v>0</v>
      </c>
      <c r="R2371" s="41" t="s">
        <v>37</v>
      </c>
      <c r="S2371" s="76" t="s">
        <v>1677</v>
      </c>
      <c r="T2371" s="51" t="b">
        <v>1</v>
      </c>
      <c r="U2371" s="94"/>
    </row>
    <row r="2372" ht="30.0" customHeight="1">
      <c r="A2372" s="39"/>
      <c r="B2372" s="164">
        <v>4413.0</v>
      </c>
      <c r="C2372" s="41" t="s">
        <v>22</v>
      </c>
      <c r="D2372" s="86">
        <v>46214.0</v>
      </c>
      <c r="E2372" s="43" t="str">
        <f t="shared" si="68"/>
        <v>2026</v>
      </c>
      <c r="F2372" s="43" t="str">
        <f t="shared" si="69"/>
        <v>07 Jul</v>
      </c>
      <c r="G2372" s="45" t="s">
        <v>35</v>
      </c>
      <c r="H2372" s="45" t="s">
        <v>41</v>
      </c>
      <c r="I2372" s="45" t="s">
        <v>1664</v>
      </c>
      <c r="J2372" s="143" t="s">
        <v>347</v>
      </c>
      <c r="K2372" s="43" t="str">
        <f t="array" ref="K2372">IF(J2372="","", XLOOKUP(J2372,'⚙️ Pengaturan'!$E$2:$E3237,'⚙️ Pengaturan'!$G$2:$G3237))</f>
        <v>KLINIK FT PAKET</v>
      </c>
      <c r="L2372" s="43" t="str">
        <f t="shared" si="66"/>
        <v>BARU</v>
      </c>
      <c r="M2372" s="144" t="s">
        <v>31</v>
      </c>
      <c r="N2372" s="145">
        <v>1300000.0</v>
      </c>
      <c r="O2372" s="146">
        <v>0.0</v>
      </c>
      <c r="P2372" s="48">
        <f t="array" ref="P2372">IFNA(XLOOKUP(J2372,'⚙️ Pengaturan'!$E$2:$E3237,'⚙️ Pengaturan'!$F$2:$F3237),"")</f>
        <v>1300000</v>
      </c>
      <c r="Q2372" s="147">
        <f t="shared" si="67"/>
        <v>0</v>
      </c>
      <c r="R2372" s="41" t="s">
        <v>93</v>
      </c>
      <c r="S2372" s="76" t="s">
        <v>1664</v>
      </c>
      <c r="T2372" s="51" t="b">
        <v>1</v>
      </c>
      <c r="U2372" s="94"/>
    </row>
    <row r="2373" ht="30.0" customHeight="1">
      <c r="A2373" s="39"/>
      <c r="B2373" s="40">
        <v>4414.0</v>
      </c>
      <c r="C2373" s="41" t="s">
        <v>22</v>
      </c>
      <c r="D2373" s="86">
        <v>46214.0</v>
      </c>
      <c r="E2373" s="43" t="str">
        <f t="shared" si="68"/>
        <v>2026</v>
      </c>
      <c r="F2373" s="43" t="str">
        <f t="shared" si="69"/>
        <v>07 Jul</v>
      </c>
      <c r="G2373" s="45" t="s">
        <v>40</v>
      </c>
      <c r="H2373" s="45" t="s">
        <v>150</v>
      </c>
      <c r="I2373" s="45" t="s">
        <v>1358</v>
      </c>
      <c r="J2373" s="143" t="s">
        <v>119</v>
      </c>
      <c r="K2373" s="43" t="str">
        <f t="array" ref="K2373">IF(J2373="","", XLOOKUP(J2373,'⚙️ Pengaturan'!$E$2:$E3237,'⚙️ Pengaturan'!$G$2:$G3237))</f>
        <v>KLINIK FT PAKET</v>
      </c>
      <c r="L2373" s="43" t="str">
        <f t="shared" si="66"/>
        <v>LANJUTAN</v>
      </c>
      <c r="M2373" s="144" t="s">
        <v>31</v>
      </c>
      <c r="N2373" s="145">
        <v>750000.0</v>
      </c>
      <c r="O2373" s="146">
        <v>0.0</v>
      </c>
      <c r="P2373" s="48">
        <f t="array" ref="P2373">IFNA(XLOOKUP(J2373,'⚙️ Pengaturan'!$E$2:$E3237,'⚙️ Pengaturan'!$F$2:$F3237),"")</f>
        <v>750000</v>
      </c>
      <c r="Q2373" s="147">
        <f t="shared" si="67"/>
        <v>0</v>
      </c>
      <c r="R2373" s="41" t="s">
        <v>93</v>
      </c>
      <c r="S2373" s="76" t="s">
        <v>1358</v>
      </c>
      <c r="T2373" s="51" t="b">
        <v>1</v>
      </c>
      <c r="U2373" s="94"/>
    </row>
    <row r="2374" ht="30.0" customHeight="1">
      <c r="A2374" s="39"/>
      <c r="B2374" s="164">
        <v>4415.0</v>
      </c>
      <c r="C2374" s="41" t="s">
        <v>22</v>
      </c>
      <c r="D2374" s="86">
        <v>46214.0</v>
      </c>
      <c r="E2374" s="43" t="str">
        <f t="shared" si="68"/>
        <v>2026</v>
      </c>
      <c r="F2374" s="43" t="str">
        <f t="shared" si="69"/>
        <v>07 Jul</v>
      </c>
      <c r="G2374" s="45" t="s">
        <v>43</v>
      </c>
      <c r="H2374" s="45" t="s">
        <v>359</v>
      </c>
      <c r="I2374" s="45" t="s">
        <v>1678</v>
      </c>
      <c r="J2374" s="143" t="s">
        <v>1590</v>
      </c>
      <c r="K2374" s="43" t="str">
        <f t="array" ref="K2374">IF(J2374="","", XLOOKUP(J2374,'⚙️ Pengaturan'!$E$2:$E3237,'⚙️ Pengaturan'!$G$2:$G3237))</f>
        <v>KLINIK SM PAKET</v>
      </c>
      <c r="L2374" s="43" t="str">
        <f t="shared" si="66"/>
        <v>BARU</v>
      </c>
      <c r="M2374" s="144" t="s">
        <v>31</v>
      </c>
      <c r="N2374" s="145">
        <v>525000.0</v>
      </c>
      <c r="O2374" s="146">
        <v>0.0</v>
      </c>
      <c r="P2374" s="48">
        <f t="array" ref="P2374">IFNA(XLOOKUP(J2374,'⚙️ Pengaturan'!$E$2:$E3237,'⚙️ Pengaturan'!$F$2:$F3237),"")</f>
        <v>525000</v>
      </c>
      <c r="Q2374" s="147">
        <f t="shared" si="67"/>
        <v>0</v>
      </c>
      <c r="R2374" s="41" t="s">
        <v>37</v>
      </c>
      <c r="S2374" s="76" t="s">
        <v>1678</v>
      </c>
      <c r="T2374" s="51" t="b">
        <v>1</v>
      </c>
      <c r="U2374" s="94"/>
    </row>
    <row r="2375" ht="30.0" customHeight="1">
      <c r="A2375" s="39"/>
      <c r="B2375" s="40">
        <v>4416.0</v>
      </c>
      <c r="C2375" s="41" t="s">
        <v>22</v>
      </c>
      <c r="D2375" s="86">
        <v>46214.0</v>
      </c>
      <c r="E2375" s="43" t="str">
        <f t="shared" si="68"/>
        <v>2026</v>
      </c>
      <c r="F2375" s="43" t="str">
        <f t="shared" si="69"/>
        <v>07 Jul</v>
      </c>
      <c r="G2375" s="45" t="s">
        <v>173</v>
      </c>
      <c r="H2375" s="45" t="s">
        <v>150</v>
      </c>
      <c r="I2375" s="45" t="s">
        <v>1679</v>
      </c>
      <c r="J2375" s="143" t="s">
        <v>28</v>
      </c>
      <c r="K2375" s="43" t="str">
        <f t="array" ref="K2375">IF(J2375="","", XLOOKUP(J2375,'⚙️ Pengaturan'!$E$2:$E3237,'⚙️ Pengaturan'!$G$2:$G3237))</f>
        <v>KLINIK FT TA</v>
      </c>
      <c r="L2375" s="43" t="str">
        <f t="shared" si="66"/>
        <v>BARU</v>
      </c>
      <c r="M2375" s="144" t="s">
        <v>31</v>
      </c>
      <c r="N2375" s="145">
        <v>250000.0</v>
      </c>
      <c r="O2375" s="146">
        <v>0.0</v>
      </c>
      <c r="P2375" s="48">
        <f t="array" ref="P2375">IFNA(XLOOKUP(J2375,'⚙️ Pengaturan'!$E$2:$E3237,'⚙️ Pengaturan'!$F$2:$F3237),"")</f>
        <v>250000</v>
      </c>
      <c r="Q2375" s="147">
        <f t="shared" si="67"/>
        <v>0</v>
      </c>
      <c r="R2375" s="41" t="s">
        <v>37</v>
      </c>
      <c r="S2375" s="69" t="s">
        <v>1679</v>
      </c>
      <c r="T2375" s="51" t="b">
        <v>1</v>
      </c>
      <c r="U2375" s="94"/>
    </row>
    <row r="2376" ht="30.0" customHeight="1">
      <c r="A2376" s="39"/>
      <c r="B2376" s="164">
        <v>4417.0</v>
      </c>
      <c r="C2376" s="41" t="s">
        <v>22</v>
      </c>
      <c r="D2376" s="86">
        <v>46214.0</v>
      </c>
      <c r="E2376" s="43" t="str">
        <f t="shared" si="68"/>
        <v>2026</v>
      </c>
      <c r="F2376" s="43" t="str">
        <f t="shared" si="69"/>
        <v>07 Jul</v>
      </c>
      <c r="G2376" s="45" t="s">
        <v>173</v>
      </c>
      <c r="H2376" s="45" t="s">
        <v>162</v>
      </c>
      <c r="I2376" s="45" t="s">
        <v>1680</v>
      </c>
      <c r="J2376" s="143" t="s">
        <v>28</v>
      </c>
      <c r="K2376" s="43" t="str">
        <f t="array" ref="K2376">IF(J2376="","", XLOOKUP(J2376,'⚙️ Pengaturan'!$E$2:$E3237,'⚙️ Pengaturan'!$G$2:$G3237))</f>
        <v>KLINIK FT TA</v>
      </c>
      <c r="L2376" s="43" t="str">
        <f t="shared" si="66"/>
        <v>BARU</v>
      </c>
      <c r="M2376" s="144" t="s">
        <v>31</v>
      </c>
      <c r="N2376" s="145">
        <v>250000.0</v>
      </c>
      <c r="O2376" s="146">
        <v>0.0</v>
      </c>
      <c r="P2376" s="48">
        <f t="array" ref="P2376">IFNA(XLOOKUP(J2376,'⚙️ Pengaturan'!$E$2:$E3237,'⚙️ Pengaturan'!$F$2:$F3237),"")</f>
        <v>250000</v>
      </c>
      <c r="Q2376" s="147">
        <f t="shared" si="67"/>
        <v>0</v>
      </c>
      <c r="R2376" s="41" t="s">
        <v>32</v>
      </c>
      <c r="S2376" s="76" t="s">
        <v>33</v>
      </c>
      <c r="T2376" s="51" t="b">
        <v>1</v>
      </c>
      <c r="U2376" s="94"/>
    </row>
    <row r="2377" ht="30.0" customHeight="1">
      <c r="A2377" s="39"/>
      <c r="B2377" s="40">
        <v>4418.0</v>
      </c>
      <c r="C2377" s="41" t="s">
        <v>22</v>
      </c>
      <c r="D2377" s="86">
        <v>46214.0</v>
      </c>
      <c r="E2377" s="43" t="str">
        <f t="shared" si="68"/>
        <v>2026</v>
      </c>
      <c r="F2377" s="43" t="str">
        <f t="shared" si="69"/>
        <v>07 Jul</v>
      </c>
      <c r="G2377" s="45" t="s">
        <v>190</v>
      </c>
      <c r="H2377" s="45" t="s">
        <v>26</v>
      </c>
      <c r="I2377" s="45" t="s">
        <v>1681</v>
      </c>
      <c r="J2377" s="143" t="s">
        <v>28</v>
      </c>
      <c r="K2377" s="43" t="str">
        <f t="array" ref="K2377">IF(J2377="","", XLOOKUP(J2377,'⚙️ Pengaturan'!$E$2:$E3237,'⚙️ Pengaturan'!$G$2:$G3237))</f>
        <v>KLINIK FT TA</v>
      </c>
      <c r="L2377" s="43" t="str">
        <f t="shared" si="66"/>
        <v>BARU</v>
      </c>
      <c r="M2377" s="144" t="s">
        <v>31</v>
      </c>
      <c r="N2377" s="145">
        <v>250000.0</v>
      </c>
      <c r="O2377" s="146">
        <v>0.0</v>
      </c>
      <c r="P2377" s="48">
        <f t="array" ref="P2377">IFNA(XLOOKUP(J2377,'⚙️ Pengaturan'!$E$2:$E3237,'⚙️ Pengaturan'!$F$2:$F3237),"")</f>
        <v>250000</v>
      </c>
      <c r="Q2377" s="147">
        <f t="shared" si="67"/>
        <v>0</v>
      </c>
      <c r="R2377" s="41" t="s">
        <v>37</v>
      </c>
      <c r="S2377" s="76" t="s">
        <v>1681</v>
      </c>
      <c r="T2377" s="51" t="b">
        <v>1</v>
      </c>
      <c r="U2377" s="94"/>
    </row>
    <row r="2378" ht="30.0" customHeight="1">
      <c r="A2378" s="39"/>
      <c r="B2378" s="164">
        <v>4419.0</v>
      </c>
      <c r="C2378" s="41" t="s">
        <v>79</v>
      </c>
      <c r="D2378" s="86">
        <v>46215.0</v>
      </c>
      <c r="E2378" s="43" t="str">
        <f t="shared" si="68"/>
        <v>2026</v>
      </c>
      <c r="F2378" s="43" t="str">
        <f t="shared" si="69"/>
        <v>07 Jul</v>
      </c>
      <c r="G2378" s="45" t="s">
        <v>195</v>
      </c>
      <c r="H2378" s="45" t="s">
        <v>150</v>
      </c>
      <c r="I2378" s="45" t="s">
        <v>502</v>
      </c>
      <c r="J2378" s="143" t="s">
        <v>120</v>
      </c>
      <c r="K2378" s="43" t="s">
        <v>52</v>
      </c>
      <c r="L2378" s="43" t="s">
        <v>1682</v>
      </c>
      <c r="M2378" s="144" t="s">
        <v>31</v>
      </c>
      <c r="N2378" s="145">
        <v>180000.0</v>
      </c>
      <c r="O2378" s="146">
        <v>0.0</v>
      </c>
      <c r="P2378" s="48">
        <v>180000.0</v>
      </c>
      <c r="Q2378" s="147">
        <v>0.0</v>
      </c>
      <c r="R2378" s="41" t="s">
        <v>118</v>
      </c>
      <c r="S2378" s="69" t="s">
        <v>502</v>
      </c>
      <c r="T2378" s="51" t="b">
        <v>1</v>
      </c>
      <c r="U2378" s="94"/>
    </row>
    <row r="2379" ht="30.0" customHeight="1">
      <c r="A2379" s="39"/>
      <c r="B2379" s="40">
        <v>4420.0</v>
      </c>
      <c r="C2379" s="41" t="s">
        <v>79</v>
      </c>
      <c r="D2379" s="86">
        <v>46215.0</v>
      </c>
      <c r="E2379" s="43" t="str">
        <f t="shared" si="68"/>
        <v>2026</v>
      </c>
      <c r="F2379" s="43" t="str">
        <f t="shared" si="69"/>
        <v>07 Jul</v>
      </c>
      <c r="G2379" s="45" t="s">
        <v>195</v>
      </c>
      <c r="H2379" s="45" t="s">
        <v>166</v>
      </c>
      <c r="I2379" s="45" t="s">
        <v>844</v>
      </c>
      <c r="J2379" s="143" t="s">
        <v>28</v>
      </c>
      <c r="K2379" s="43" t="s">
        <v>29</v>
      </c>
      <c r="L2379" s="43" t="s">
        <v>30</v>
      </c>
      <c r="M2379" s="144" t="s">
        <v>31</v>
      </c>
      <c r="N2379" s="145">
        <v>250000.0</v>
      </c>
      <c r="O2379" s="146">
        <v>0.0</v>
      </c>
      <c r="P2379" s="48">
        <v>250000.0</v>
      </c>
      <c r="Q2379" s="147">
        <v>0.0</v>
      </c>
      <c r="R2379" s="41" t="s">
        <v>37</v>
      </c>
      <c r="S2379" s="69" t="s">
        <v>844</v>
      </c>
      <c r="T2379" s="51" t="b">
        <v>1</v>
      </c>
      <c r="U2379" s="94"/>
    </row>
    <row r="2380" ht="30.0" customHeight="1">
      <c r="A2380" s="39"/>
      <c r="B2380" s="164">
        <v>4421.0</v>
      </c>
      <c r="C2380" s="41" t="s">
        <v>79</v>
      </c>
      <c r="D2380" s="86">
        <v>46215.0</v>
      </c>
      <c r="E2380" s="43" t="str">
        <f t="shared" si="68"/>
        <v>2026</v>
      </c>
      <c r="F2380" s="43" t="str">
        <f t="shared" si="69"/>
        <v>07 Jul</v>
      </c>
      <c r="G2380" s="45" t="s">
        <v>25</v>
      </c>
      <c r="H2380" s="45" t="s">
        <v>156</v>
      </c>
      <c r="I2380" s="45" t="s">
        <v>600</v>
      </c>
      <c r="J2380" s="143" t="s">
        <v>92</v>
      </c>
      <c r="K2380" s="43" t="str">
        <f t="array" ref="K2380">IF(J2380="","", XLOOKUP(J2380,'⚙️ Pengaturan'!$E$2:$E3237,'⚙️ Pengaturan'!$G$2:$G3237))</f>
        <v>KLINIK FT PAKET</v>
      </c>
      <c r="L2380" s="43" t="str">
        <f t="shared" ref="L2380:L2381" si="70">if(I2380="","",if(countifs($J$5:J2380,J2380,$I$5:I2380,I2380)=1,"BARU","LANJUTAN"))</f>
        <v>LANJUTAN</v>
      </c>
      <c r="M2380" s="144" t="s">
        <v>31</v>
      </c>
      <c r="N2380" s="145">
        <v>1200000.0</v>
      </c>
      <c r="O2380" s="146">
        <v>0.0</v>
      </c>
      <c r="P2380" s="48">
        <f t="array" ref="P2380">IFNA(XLOOKUP(J2380,'⚙️ Pengaturan'!$E$2:$E3237,'⚙️ Pengaturan'!$F$2:$F3237),"")</f>
        <v>1200000</v>
      </c>
      <c r="Q2380" s="147">
        <f t="shared" ref="Q2380:Q2381" si="71">IF(I2380="","",(N2380+O2380)-P2380)</f>
        <v>0</v>
      </c>
      <c r="R2380" s="41" t="s">
        <v>37</v>
      </c>
      <c r="S2380" s="69" t="s">
        <v>600</v>
      </c>
      <c r="T2380" s="51" t="b">
        <v>1</v>
      </c>
      <c r="U2380" s="94"/>
    </row>
    <row r="2381" ht="30.0" customHeight="1">
      <c r="A2381" s="39"/>
      <c r="B2381" s="40">
        <v>4422.0</v>
      </c>
      <c r="C2381" s="41" t="s">
        <v>79</v>
      </c>
      <c r="D2381" s="86">
        <v>46215.0</v>
      </c>
      <c r="E2381" s="43" t="str">
        <f t="shared" si="68"/>
        <v>2026</v>
      </c>
      <c r="F2381" s="43" t="str">
        <f t="shared" si="69"/>
        <v>07 Jul</v>
      </c>
      <c r="G2381" s="45" t="s">
        <v>69</v>
      </c>
      <c r="H2381" s="45" t="s">
        <v>26</v>
      </c>
      <c r="I2381" s="45" t="s">
        <v>1676</v>
      </c>
      <c r="J2381" s="143" t="s">
        <v>138</v>
      </c>
      <c r="K2381" s="43" t="str">
        <f t="array" ref="K2381">IF(J2381="","", XLOOKUP(J2381,'⚙️ Pengaturan'!$E$2:$E3237,'⚙️ Pengaturan'!$G$2:$G3237))</f>
        <v>VISIT FT PAKET</v>
      </c>
      <c r="L2381" s="43" t="str">
        <f t="shared" si="70"/>
        <v>BARU</v>
      </c>
      <c r="M2381" s="144" t="s">
        <v>31</v>
      </c>
      <c r="N2381" s="145">
        <v>1800000.0</v>
      </c>
      <c r="O2381" s="146">
        <v>0.0</v>
      </c>
      <c r="P2381" s="48">
        <f t="array" ref="P2381">IFNA(XLOOKUP(J2381,'⚙️ Pengaturan'!$E$2:$E3237,'⚙️ Pengaturan'!$F$2:$F3237),"")</f>
        <v>1800000</v>
      </c>
      <c r="Q2381" s="147">
        <f t="shared" si="71"/>
        <v>0</v>
      </c>
      <c r="R2381" s="41" t="s">
        <v>37</v>
      </c>
      <c r="S2381" s="69" t="s">
        <v>1676</v>
      </c>
      <c r="T2381" s="51" t="b">
        <v>1</v>
      </c>
      <c r="U2381" s="94"/>
    </row>
    <row r="2382" ht="30.0" customHeight="1">
      <c r="A2382" s="39"/>
      <c r="B2382" s="164">
        <v>4423.0</v>
      </c>
      <c r="C2382" s="41" t="s">
        <v>79</v>
      </c>
      <c r="D2382" s="86">
        <v>46215.0</v>
      </c>
      <c r="E2382" s="43" t="str">
        <f t="shared" si="68"/>
        <v>2026</v>
      </c>
      <c r="F2382" s="43" t="str">
        <f t="shared" si="69"/>
        <v>07 Jul</v>
      </c>
      <c r="G2382" s="45" t="s">
        <v>206</v>
      </c>
      <c r="H2382" s="45" t="s">
        <v>166</v>
      </c>
      <c r="I2382" s="45" t="s">
        <v>1683</v>
      </c>
      <c r="J2382" s="143" t="s">
        <v>28</v>
      </c>
      <c r="K2382" s="43" t="s">
        <v>29</v>
      </c>
      <c r="L2382" s="43" t="s">
        <v>30</v>
      </c>
      <c r="M2382" s="144" t="s">
        <v>31</v>
      </c>
      <c r="N2382" s="145">
        <v>250000.0</v>
      </c>
      <c r="O2382" s="146">
        <v>0.0</v>
      </c>
      <c r="P2382" s="48">
        <v>250000.0</v>
      </c>
      <c r="Q2382" s="147">
        <v>0.0</v>
      </c>
      <c r="R2382" s="41" t="s">
        <v>118</v>
      </c>
      <c r="S2382" s="69" t="s">
        <v>1683</v>
      </c>
      <c r="T2382" s="51" t="b">
        <v>1</v>
      </c>
      <c r="U2382" s="94"/>
    </row>
    <row r="2383" ht="30.0" customHeight="1">
      <c r="A2383" s="39"/>
      <c r="B2383" s="40">
        <v>4424.0</v>
      </c>
      <c r="C2383" s="41" t="s">
        <v>79</v>
      </c>
      <c r="D2383" s="86">
        <v>46215.0</v>
      </c>
      <c r="E2383" s="43" t="s">
        <v>23</v>
      </c>
      <c r="F2383" s="43" t="s">
        <v>24</v>
      </c>
      <c r="G2383" s="45" t="s">
        <v>161</v>
      </c>
      <c r="H2383" s="45" t="s">
        <v>166</v>
      </c>
      <c r="I2383" s="45" t="s">
        <v>1684</v>
      </c>
      <c r="J2383" s="143" t="s">
        <v>28</v>
      </c>
      <c r="K2383" s="43" t="s">
        <v>29</v>
      </c>
      <c r="L2383" s="43" t="s">
        <v>30</v>
      </c>
      <c r="M2383" s="144" t="s">
        <v>31</v>
      </c>
      <c r="N2383" s="145">
        <v>250000.0</v>
      </c>
      <c r="O2383" s="146">
        <v>0.0</v>
      </c>
      <c r="P2383" s="48">
        <v>250000.0</v>
      </c>
      <c r="Q2383" s="147">
        <v>0.0</v>
      </c>
      <c r="R2383" s="41" t="s">
        <v>118</v>
      </c>
      <c r="S2383" s="76" t="s">
        <v>1685</v>
      </c>
      <c r="T2383" s="51" t="b">
        <v>1</v>
      </c>
      <c r="U2383" s="94"/>
    </row>
    <row r="2384" ht="30.0" customHeight="1">
      <c r="A2384" s="39"/>
      <c r="B2384" s="164">
        <v>4425.0</v>
      </c>
      <c r="C2384" s="41" t="s">
        <v>79</v>
      </c>
      <c r="D2384" s="86">
        <v>46215.0</v>
      </c>
      <c r="E2384" s="43" t="s">
        <v>23</v>
      </c>
      <c r="F2384" s="43" t="s">
        <v>24</v>
      </c>
      <c r="G2384" s="45" t="s">
        <v>206</v>
      </c>
      <c r="H2384" s="45" t="s">
        <v>166</v>
      </c>
      <c r="I2384" s="45" t="s">
        <v>1684</v>
      </c>
      <c r="J2384" s="143" t="s">
        <v>119</v>
      </c>
      <c r="K2384" s="43" t="str">
        <f t="array" ref="K2384">IF(J2384="","", XLOOKUP(J2384,'⚙️ Pengaturan'!$E$2:$E3237,'⚙️ Pengaturan'!$G$2:$G3237))</f>
        <v>KLINIK FT PAKET</v>
      </c>
      <c r="L2384" s="43" t="str">
        <f t="shared" ref="L2384:L2464" si="72">if(I2384="","",if(countifs($J$5:J2384,J2384,$I$5:I2384,I2384)=1,"BARU","LANJUTAN"))</f>
        <v>BARU</v>
      </c>
      <c r="M2384" s="144" t="s">
        <v>60</v>
      </c>
      <c r="N2384" s="145">
        <v>300000.0</v>
      </c>
      <c r="O2384" s="146">
        <v>0.0</v>
      </c>
      <c r="P2384" s="48">
        <f t="array" ref="P2384">IFNA(XLOOKUP(J2384,'⚙️ Pengaturan'!$E$2:$E3237,'⚙️ Pengaturan'!$F$2:$F3237),"")</f>
        <v>750000</v>
      </c>
      <c r="Q2384" s="147">
        <f t="shared" ref="Q2384:Q2464" si="73">IF(I2384="","",(N2384+O2384)-P2384)</f>
        <v>-450000</v>
      </c>
      <c r="R2384" s="41" t="s">
        <v>118</v>
      </c>
      <c r="S2384" s="76" t="s">
        <v>1685</v>
      </c>
      <c r="T2384" s="51" t="b">
        <v>1</v>
      </c>
      <c r="U2384" s="94"/>
    </row>
    <row r="2385" ht="30.0" customHeight="1">
      <c r="A2385" s="39"/>
      <c r="B2385" s="40">
        <v>4426.0</v>
      </c>
      <c r="C2385" s="41" t="s">
        <v>79</v>
      </c>
      <c r="D2385" s="86">
        <v>46215.0</v>
      </c>
      <c r="E2385" s="43" t="str">
        <f t="shared" ref="E2385:E2470" si="74">if(D2385="","",text(D2385,"YYY"))</f>
        <v>2026</v>
      </c>
      <c r="F2385" s="43" t="str">
        <f t="shared" ref="F2385:F2470" si="75">if(D2385="","",text(D2385,"MM")&amp;" "&amp;text(D2385,"MMM"))</f>
        <v>07 Jul</v>
      </c>
      <c r="G2385" s="45" t="s">
        <v>161</v>
      </c>
      <c r="H2385" s="45" t="s">
        <v>162</v>
      </c>
      <c r="I2385" s="45" t="s">
        <v>646</v>
      </c>
      <c r="J2385" s="143" t="s">
        <v>119</v>
      </c>
      <c r="K2385" s="43" t="str">
        <f t="array" ref="K2385">IF(J2385="","", XLOOKUP(J2385,'⚙️ Pengaturan'!$E$2:$E3237,'⚙️ Pengaturan'!$G$2:$G3237))</f>
        <v>KLINIK FT PAKET</v>
      </c>
      <c r="L2385" s="43" t="str">
        <f t="shared" si="72"/>
        <v>LANJUTAN</v>
      </c>
      <c r="M2385" s="144" t="s">
        <v>164</v>
      </c>
      <c r="N2385" s="145">
        <v>450000.0</v>
      </c>
      <c r="O2385" s="146">
        <v>300000.0</v>
      </c>
      <c r="P2385" s="48">
        <f t="array" ref="P2385">IFNA(XLOOKUP(J2385,'⚙️ Pengaturan'!$E$2:$E3237,'⚙️ Pengaturan'!$F$2:$F3237),"")</f>
        <v>750000</v>
      </c>
      <c r="Q2385" s="147">
        <f t="shared" si="73"/>
        <v>0</v>
      </c>
      <c r="R2385" s="41" t="s">
        <v>32</v>
      </c>
      <c r="S2385" s="76" t="s">
        <v>33</v>
      </c>
      <c r="T2385" s="51" t="b">
        <v>1</v>
      </c>
      <c r="U2385" s="94"/>
    </row>
    <row r="2386" ht="30.0" customHeight="1">
      <c r="A2386" s="39"/>
      <c r="B2386" s="164">
        <v>4427.0</v>
      </c>
      <c r="C2386" s="41" t="s">
        <v>79</v>
      </c>
      <c r="D2386" s="86">
        <v>46215.0</v>
      </c>
      <c r="E2386" s="43" t="str">
        <f t="shared" si="74"/>
        <v>2026</v>
      </c>
      <c r="F2386" s="43" t="str">
        <f t="shared" si="75"/>
        <v>07 Jul</v>
      </c>
      <c r="G2386" s="45" t="s">
        <v>161</v>
      </c>
      <c r="H2386" s="45" t="s">
        <v>150</v>
      </c>
      <c r="I2386" s="45" t="s">
        <v>1663</v>
      </c>
      <c r="J2386" s="143" t="s">
        <v>119</v>
      </c>
      <c r="K2386" s="43" t="str">
        <f t="array" ref="K2386">IF(J2386="","", XLOOKUP(J2386,'⚙️ Pengaturan'!$E$2:$E3237,'⚙️ Pengaturan'!$G$2:$G3237))</f>
        <v>KLINIK FT PAKET</v>
      </c>
      <c r="L2386" s="43" t="str">
        <f t="shared" si="72"/>
        <v>LANJUTAN</v>
      </c>
      <c r="M2386" s="144" t="s">
        <v>164</v>
      </c>
      <c r="N2386" s="145">
        <v>500000.0</v>
      </c>
      <c r="O2386" s="146">
        <v>250000.0</v>
      </c>
      <c r="P2386" s="48">
        <f t="array" ref="P2386">IFNA(XLOOKUP(J2386,'⚙️ Pengaturan'!$E$2:$E3237,'⚙️ Pengaturan'!$F$2:$F3237),"")</f>
        <v>750000</v>
      </c>
      <c r="Q2386" s="147">
        <f t="shared" si="73"/>
        <v>0</v>
      </c>
      <c r="R2386" s="41" t="s">
        <v>32</v>
      </c>
      <c r="S2386" s="76" t="s">
        <v>33</v>
      </c>
      <c r="T2386" s="51" t="b">
        <v>1</v>
      </c>
      <c r="U2386" s="94"/>
    </row>
    <row r="2387" ht="30.0" customHeight="1">
      <c r="A2387" s="39"/>
      <c r="B2387" s="40">
        <v>4428.0</v>
      </c>
      <c r="C2387" s="41" t="s">
        <v>79</v>
      </c>
      <c r="D2387" s="86">
        <v>46215.0</v>
      </c>
      <c r="E2387" s="43" t="str">
        <f t="shared" si="74"/>
        <v>2026</v>
      </c>
      <c r="F2387" s="43" t="str">
        <f t="shared" si="75"/>
        <v>07 Jul</v>
      </c>
      <c r="G2387" s="45" t="s">
        <v>35</v>
      </c>
      <c r="H2387" s="45" t="s">
        <v>162</v>
      </c>
      <c r="I2387" s="45" t="s">
        <v>1686</v>
      </c>
      <c r="J2387" s="143" t="s">
        <v>28</v>
      </c>
      <c r="K2387" s="43" t="str">
        <f t="array" ref="K2387">IF(J2387="","", XLOOKUP(J2387,'⚙️ Pengaturan'!$E$2:$E3237,'⚙️ Pengaturan'!$G$2:$G3237))</f>
        <v>KLINIK FT TA</v>
      </c>
      <c r="L2387" s="43" t="str">
        <f t="shared" si="72"/>
        <v>BARU</v>
      </c>
      <c r="M2387" s="144" t="s">
        <v>31</v>
      </c>
      <c r="N2387" s="145">
        <v>250000.0</v>
      </c>
      <c r="O2387" s="146">
        <v>0.0</v>
      </c>
      <c r="P2387" s="48">
        <f t="array" ref="P2387">IFNA(XLOOKUP(J2387,'⚙️ Pengaturan'!$E$2:$E3237,'⚙️ Pengaturan'!$F$2:$F3237),"")</f>
        <v>250000</v>
      </c>
      <c r="Q2387" s="147">
        <f t="shared" si="73"/>
        <v>0</v>
      </c>
      <c r="R2387" s="41" t="s">
        <v>32</v>
      </c>
      <c r="S2387" s="76" t="s">
        <v>33</v>
      </c>
      <c r="T2387" s="51" t="b">
        <v>1</v>
      </c>
      <c r="U2387" s="94"/>
    </row>
    <row r="2388" ht="30.0" customHeight="1">
      <c r="A2388" s="39"/>
      <c r="B2388" s="164">
        <v>4429.0</v>
      </c>
      <c r="C2388" s="41" t="s">
        <v>39</v>
      </c>
      <c r="D2388" s="86">
        <v>46215.0</v>
      </c>
      <c r="E2388" s="43" t="str">
        <f t="shared" si="74"/>
        <v>2026</v>
      </c>
      <c r="F2388" s="43" t="str">
        <f t="shared" si="75"/>
        <v>07 Jul</v>
      </c>
      <c r="G2388" s="45" t="s">
        <v>43</v>
      </c>
      <c r="H2388" s="45" t="s">
        <v>41</v>
      </c>
      <c r="I2388" s="45" t="s">
        <v>1687</v>
      </c>
      <c r="J2388" s="143" t="s">
        <v>28</v>
      </c>
      <c r="K2388" s="43" t="str">
        <f t="array" ref="K2388">IF(J2388="","", XLOOKUP(J2388,'⚙️ Pengaturan'!$E$2:$E3237,'⚙️ Pengaturan'!$G$2:$G3237))</f>
        <v>KLINIK FT TA</v>
      </c>
      <c r="L2388" s="43" t="str">
        <f t="shared" si="72"/>
        <v>BARU</v>
      </c>
      <c r="M2388" s="144" t="s">
        <v>31</v>
      </c>
      <c r="N2388" s="145">
        <v>250000.0</v>
      </c>
      <c r="O2388" s="146">
        <v>0.0</v>
      </c>
      <c r="P2388" s="48">
        <f t="array" ref="P2388">IFNA(XLOOKUP(J2388,'⚙️ Pengaturan'!$E$2:$E3237,'⚙️ Pengaturan'!$F$2:$F3237),"")</f>
        <v>250000</v>
      </c>
      <c r="Q2388" s="147">
        <f t="shared" si="73"/>
        <v>0</v>
      </c>
      <c r="R2388" s="41" t="s">
        <v>32</v>
      </c>
      <c r="S2388" s="76" t="s">
        <v>33</v>
      </c>
      <c r="T2388" s="51" t="b">
        <v>1</v>
      </c>
      <c r="U2388" s="94"/>
    </row>
    <row r="2389" ht="30.0" customHeight="1">
      <c r="A2389" s="39"/>
      <c r="B2389" s="40">
        <v>4430.0</v>
      </c>
      <c r="C2389" s="41" t="s">
        <v>39</v>
      </c>
      <c r="D2389" s="86">
        <v>46215.0</v>
      </c>
      <c r="E2389" s="43" t="str">
        <f t="shared" si="74"/>
        <v>2026</v>
      </c>
      <c r="F2389" s="43" t="str">
        <f t="shared" si="75"/>
        <v>07 Jul</v>
      </c>
      <c r="G2389" s="45" t="s">
        <v>43</v>
      </c>
      <c r="H2389" s="45" t="s">
        <v>359</v>
      </c>
      <c r="I2389" s="45" t="s">
        <v>699</v>
      </c>
      <c r="J2389" s="143" t="s">
        <v>1547</v>
      </c>
      <c r="K2389" s="43" t="str">
        <f t="array" ref="K2389">IF(J2389="","", XLOOKUP(J2389,'⚙️ Pengaturan'!$E$2:$E3237,'⚙️ Pengaturan'!$G$2:$G3237))</f>
        <v>KLINIK SM SESI</v>
      </c>
      <c r="L2389" s="43" t="str">
        <f t="shared" si="72"/>
        <v>BARU</v>
      </c>
      <c r="M2389" s="144" t="s">
        <v>31</v>
      </c>
      <c r="N2389" s="145">
        <v>195000.0</v>
      </c>
      <c r="O2389" s="146">
        <v>0.0</v>
      </c>
      <c r="P2389" s="48">
        <f t="array" ref="P2389">IFNA(XLOOKUP(J2389,'⚙️ Pengaturan'!$E$2:$E3237,'⚙️ Pengaturan'!$F$2:$F3237),"")</f>
        <v>195000</v>
      </c>
      <c r="Q2389" s="147">
        <f t="shared" si="73"/>
        <v>0</v>
      </c>
      <c r="R2389" s="41" t="s">
        <v>37</v>
      </c>
      <c r="S2389" s="69" t="s">
        <v>699</v>
      </c>
      <c r="T2389" s="51" t="b">
        <v>1</v>
      </c>
      <c r="U2389" s="94"/>
    </row>
    <row r="2390" ht="30.0" customHeight="1">
      <c r="A2390" s="39"/>
      <c r="B2390" s="164">
        <v>4431.0</v>
      </c>
      <c r="C2390" s="41" t="s">
        <v>39</v>
      </c>
      <c r="D2390" s="86">
        <v>46215.0</v>
      </c>
      <c r="E2390" s="43" t="str">
        <f t="shared" si="74"/>
        <v>2026</v>
      </c>
      <c r="F2390" s="43" t="str">
        <f t="shared" si="75"/>
        <v>07 Jul</v>
      </c>
      <c r="G2390" s="45" t="s">
        <v>173</v>
      </c>
      <c r="H2390" s="45" t="s">
        <v>166</v>
      </c>
      <c r="I2390" s="45" t="s">
        <v>980</v>
      </c>
      <c r="J2390" s="143" t="s">
        <v>364</v>
      </c>
      <c r="K2390" s="43" t="str">
        <f t="array" ref="K2390">IF(J2390="","", XLOOKUP(J2390,'⚙️ Pengaturan'!$E$2:$E3237,'⚙️ Pengaturan'!$G$2:$G3237))</f>
        <v>VISIT FT PAKET</v>
      </c>
      <c r="L2390" s="43" t="str">
        <f t="shared" si="72"/>
        <v>LANJUTAN</v>
      </c>
      <c r="M2390" s="144" t="s">
        <v>31</v>
      </c>
      <c r="N2390" s="145">
        <v>2300000.0</v>
      </c>
      <c r="O2390" s="146">
        <v>0.0</v>
      </c>
      <c r="P2390" s="48">
        <f t="array" ref="P2390">IFNA(XLOOKUP(J2390,'⚙️ Pengaturan'!$E$2:$E3237,'⚙️ Pengaturan'!$F$2:$F3237),"")</f>
        <v>2300000</v>
      </c>
      <c r="Q2390" s="147">
        <f t="shared" si="73"/>
        <v>0</v>
      </c>
      <c r="R2390" s="41" t="s">
        <v>37</v>
      </c>
      <c r="S2390" s="76" t="s">
        <v>980</v>
      </c>
      <c r="T2390" s="51" t="b">
        <v>1</v>
      </c>
      <c r="U2390" s="94"/>
    </row>
    <row r="2391" ht="30.0" customHeight="1">
      <c r="A2391" s="39"/>
      <c r="B2391" s="40">
        <v>4432.0</v>
      </c>
      <c r="C2391" s="41" t="s">
        <v>39</v>
      </c>
      <c r="D2391" s="86">
        <v>46215.0</v>
      </c>
      <c r="E2391" s="43" t="str">
        <f t="shared" si="74"/>
        <v>2026</v>
      </c>
      <c r="F2391" s="43" t="str">
        <f t="shared" si="75"/>
        <v>07 Jul</v>
      </c>
      <c r="G2391" s="45" t="s">
        <v>173</v>
      </c>
      <c r="H2391" s="45" t="s">
        <v>41</v>
      </c>
      <c r="I2391" s="45" t="s">
        <v>1688</v>
      </c>
      <c r="J2391" s="143" t="s">
        <v>28</v>
      </c>
      <c r="K2391" s="43" t="str">
        <f t="array" ref="K2391">IF(J2391="","", XLOOKUP(J2391,'⚙️ Pengaturan'!$E$2:$E3237,'⚙️ Pengaturan'!$G$2:$G3237))</f>
        <v>KLINIK FT TA</v>
      </c>
      <c r="L2391" s="43" t="str">
        <f t="shared" si="72"/>
        <v>BARU</v>
      </c>
      <c r="M2391" s="144" t="s">
        <v>31</v>
      </c>
      <c r="N2391" s="145">
        <v>250000.0</v>
      </c>
      <c r="O2391" s="146">
        <v>0.0</v>
      </c>
      <c r="P2391" s="48">
        <f t="array" ref="P2391">IFNA(XLOOKUP(J2391,'⚙️ Pengaturan'!$E$2:$E3237,'⚙️ Pengaturan'!$F$2:$F3237),"")</f>
        <v>250000</v>
      </c>
      <c r="Q2391" s="147">
        <f t="shared" si="73"/>
        <v>0</v>
      </c>
      <c r="R2391" s="41" t="s">
        <v>118</v>
      </c>
      <c r="S2391" s="69" t="s">
        <v>1688</v>
      </c>
      <c r="T2391" s="51" t="b">
        <v>1</v>
      </c>
      <c r="U2391" s="94"/>
    </row>
    <row r="2392" ht="30.0" customHeight="1">
      <c r="A2392" s="39"/>
      <c r="B2392" s="164">
        <v>4433.0</v>
      </c>
      <c r="C2392" s="41" t="s">
        <v>39</v>
      </c>
      <c r="D2392" s="86">
        <v>46215.0</v>
      </c>
      <c r="E2392" s="43" t="str">
        <f t="shared" si="74"/>
        <v>2026</v>
      </c>
      <c r="F2392" s="43" t="str">
        <f t="shared" si="75"/>
        <v>07 Jul</v>
      </c>
      <c r="G2392" s="45" t="s">
        <v>155</v>
      </c>
      <c r="H2392" s="45" t="s">
        <v>41</v>
      </c>
      <c r="I2392" s="45" t="s">
        <v>1689</v>
      </c>
      <c r="J2392" s="143" t="s">
        <v>28</v>
      </c>
      <c r="K2392" s="43" t="str">
        <f t="array" ref="K2392">IF(J2392="","", XLOOKUP(J2392,'⚙️ Pengaturan'!$E$2:$E3237,'⚙️ Pengaturan'!$G$2:$G3237))</f>
        <v>KLINIK FT TA</v>
      </c>
      <c r="L2392" s="43" t="str">
        <f t="shared" si="72"/>
        <v>BARU</v>
      </c>
      <c r="M2392" s="144" t="s">
        <v>31</v>
      </c>
      <c r="N2392" s="145">
        <v>250000.0</v>
      </c>
      <c r="O2392" s="146">
        <v>0.0</v>
      </c>
      <c r="P2392" s="48">
        <f t="array" ref="P2392">IFNA(XLOOKUP(J2392,'⚙️ Pengaturan'!$E$2:$E3237,'⚙️ Pengaturan'!$F$2:$F3237),"")</f>
        <v>250000</v>
      </c>
      <c r="Q2392" s="147">
        <f t="shared" si="73"/>
        <v>0</v>
      </c>
      <c r="R2392" s="41" t="s">
        <v>37</v>
      </c>
      <c r="S2392" s="69" t="s">
        <v>1689</v>
      </c>
      <c r="T2392" s="51" t="b">
        <v>1</v>
      </c>
      <c r="U2392" s="94"/>
    </row>
    <row r="2393" ht="30.0" customHeight="1">
      <c r="A2393" s="39"/>
      <c r="B2393" s="40">
        <v>4434.0</v>
      </c>
      <c r="C2393" s="41" t="s">
        <v>39</v>
      </c>
      <c r="D2393" s="86">
        <v>46215.0</v>
      </c>
      <c r="E2393" s="43" t="str">
        <f t="shared" si="74"/>
        <v>2026</v>
      </c>
      <c r="F2393" s="43" t="str">
        <f t="shared" si="75"/>
        <v>07 Jul</v>
      </c>
      <c r="G2393" s="45" t="s">
        <v>155</v>
      </c>
      <c r="H2393" s="45" t="s">
        <v>359</v>
      </c>
      <c r="I2393" s="45" t="s">
        <v>1604</v>
      </c>
      <c r="J2393" s="143" t="s">
        <v>1545</v>
      </c>
      <c r="K2393" s="43" t="str">
        <f t="array" ref="K2393">IF(J2393="","", XLOOKUP(J2393,'⚙️ Pengaturan'!$E$2:$E3237,'⚙️ Pengaturan'!$G$2:$G3237))</f>
        <v>KLINIK SM SESI</v>
      </c>
      <c r="L2393" s="43" t="str">
        <f t="shared" si="72"/>
        <v>BARU</v>
      </c>
      <c r="M2393" s="144" t="s">
        <v>31</v>
      </c>
      <c r="N2393" s="145">
        <v>250000.0</v>
      </c>
      <c r="O2393" s="146">
        <v>0.0</v>
      </c>
      <c r="P2393" s="48">
        <f t="array" ref="P2393">IFNA(XLOOKUP(J2393,'⚙️ Pengaturan'!$E$2:$E3237,'⚙️ Pengaturan'!$F$2:$F3237),"")</f>
        <v>125000</v>
      </c>
      <c r="Q2393" s="147">
        <f t="shared" si="73"/>
        <v>125000</v>
      </c>
      <c r="R2393" s="41" t="s">
        <v>37</v>
      </c>
      <c r="S2393" s="69" t="s">
        <v>1689</v>
      </c>
      <c r="T2393" s="51" t="b">
        <v>1</v>
      </c>
      <c r="U2393" s="94"/>
    </row>
    <row r="2394" ht="30.0" customHeight="1">
      <c r="A2394" s="39"/>
      <c r="B2394" s="164">
        <v>4435.0</v>
      </c>
      <c r="C2394" s="41" t="s">
        <v>22</v>
      </c>
      <c r="D2394" s="86">
        <v>46216.0</v>
      </c>
      <c r="E2394" s="43" t="str">
        <f t="shared" si="74"/>
        <v>2026</v>
      </c>
      <c r="F2394" s="43" t="str">
        <f t="shared" si="75"/>
        <v>07 Jul</v>
      </c>
      <c r="G2394" s="45" t="s">
        <v>195</v>
      </c>
      <c r="H2394" s="45" t="s">
        <v>166</v>
      </c>
      <c r="I2394" s="45" t="s">
        <v>1690</v>
      </c>
      <c r="J2394" s="143" t="s">
        <v>28</v>
      </c>
      <c r="K2394" s="43" t="str">
        <f t="array" ref="K2394">IF(J2394="","", XLOOKUP(J2394,'⚙️ Pengaturan'!$E$2:$E3237,'⚙️ Pengaturan'!$G$2:$G3237))</f>
        <v>KLINIK FT TA</v>
      </c>
      <c r="L2394" s="43" t="str">
        <f t="shared" si="72"/>
        <v>BARU</v>
      </c>
      <c r="M2394" s="144" t="s">
        <v>31</v>
      </c>
      <c r="N2394" s="145">
        <v>250000.0</v>
      </c>
      <c r="O2394" s="146">
        <v>0.0</v>
      </c>
      <c r="P2394" s="48">
        <f t="array" ref="P2394">IFNA(XLOOKUP(J2394,'⚙️ Pengaturan'!$E$2:$E3237,'⚙️ Pengaturan'!$F$2:$F3237),"")</f>
        <v>250000</v>
      </c>
      <c r="Q2394" s="147">
        <f t="shared" si="73"/>
        <v>0</v>
      </c>
      <c r="R2394" s="41" t="s">
        <v>32</v>
      </c>
      <c r="S2394" s="76" t="s">
        <v>33</v>
      </c>
      <c r="T2394" s="51" t="b">
        <v>1</v>
      </c>
      <c r="U2394" s="94"/>
    </row>
    <row r="2395" ht="30.0" customHeight="1">
      <c r="A2395" s="39"/>
      <c r="B2395" s="40">
        <v>4436.0</v>
      </c>
      <c r="C2395" s="41" t="s">
        <v>22</v>
      </c>
      <c r="D2395" s="86">
        <v>46216.0</v>
      </c>
      <c r="E2395" s="43" t="str">
        <f t="shared" si="74"/>
        <v>2026</v>
      </c>
      <c r="F2395" s="43" t="str">
        <f t="shared" si="75"/>
        <v>07 Jul</v>
      </c>
      <c r="G2395" s="45" t="s">
        <v>206</v>
      </c>
      <c r="H2395" s="45" t="s">
        <v>26</v>
      </c>
      <c r="I2395" s="45" t="s">
        <v>176</v>
      </c>
      <c r="J2395" s="143" t="s">
        <v>28</v>
      </c>
      <c r="K2395" s="43" t="str">
        <f t="array" ref="K2395">IF(J2395="","", XLOOKUP(J2395,'⚙️ Pengaturan'!$E$2:$E3237,'⚙️ Pengaturan'!$G$2:$G3237))</f>
        <v>KLINIK FT TA</v>
      </c>
      <c r="L2395" s="43" t="str">
        <f t="shared" si="72"/>
        <v>LANJUTAN</v>
      </c>
      <c r="M2395" s="144" t="s">
        <v>31</v>
      </c>
      <c r="N2395" s="145">
        <v>250000.0</v>
      </c>
      <c r="O2395" s="146">
        <v>0.0</v>
      </c>
      <c r="P2395" s="48">
        <f t="array" ref="P2395">IFNA(XLOOKUP(J2395,'⚙️ Pengaturan'!$E$2:$E3237,'⚙️ Pengaturan'!$F$2:$F3237),"")</f>
        <v>250000</v>
      </c>
      <c r="Q2395" s="147">
        <f t="shared" si="73"/>
        <v>0</v>
      </c>
      <c r="R2395" s="41" t="s">
        <v>37</v>
      </c>
      <c r="S2395" s="76" t="s">
        <v>176</v>
      </c>
      <c r="T2395" s="51" t="b">
        <v>1</v>
      </c>
      <c r="U2395" s="94"/>
    </row>
    <row r="2396" ht="30.0" customHeight="1">
      <c r="A2396" s="39"/>
      <c r="B2396" s="164">
        <v>4437.0</v>
      </c>
      <c r="C2396" s="41" t="s">
        <v>22</v>
      </c>
      <c r="D2396" s="86">
        <v>46216.0</v>
      </c>
      <c r="E2396" s="43" t="str">
        <f t="shared" si="74"/>
        <v>2026</v>
      </c>
      <c r="F2396" s="43" t="str">
        <f t="shared" si="75"/>
        <v>07 Jul</v>
      </c>
      <c r="G2396" s="45" t="s">
        <v>206</v>
      </c>
      <c r="H2396" s="45" t="s">
        <v>162</v>
      </c>
      <c r="I2396" s="45" t="s">
        <v>1242</v>
      </c>
      <c r="J2396" s="143" t="s">
        <v>28</v>
      </c>
      <c r="K2396" s="43" t="str">
        <f t="array" ref="K2396">IF(J2396="","", XLOOKUP(J2396,'⚙️ Pengaturan'!$E$2:$E3237,'⚙️ Pengaturan'!$G$2:$G3237))</f>
        <v>KLINIK FT TA</v>
      </c>
      <c r="L2396" s="43" t="str">
        <f t="shared" si="72"/>
        <v>LANJUTAN</v>
      </c>
      <c r="M2396" s="144" t="s">
        <v>31</v>
      </c>
      <c r="N2396" s="145">
        <v>250000.0</v>
      </c>
      <c r="O2396" s="146">
        <v>0.0</v>
      </c>
      <c r="P2396" s="48">
        <f t="array" ref="P2396">IFNA(XLOOKUP(J2396,'⚙️ Pengaturan'!$E$2:$E3237,'⚙️ Pengaturan'!$F$2:$F3237),"")</f>
        <v>250000</v>
      </c>
      <c r="Q2396" s="147">
        <f t="shared" si="73"/>
        <v>0</v>
      </c>
      <c r="R2396" s="41" t="s">
        <v>37</v>
      </c>
      <c r="S2396" s="76" t="s">
        <v>176</v>
      </c>
      <c r="T2396" s="51" t="b">
        <v>1</v>
      </c>
      <c r="U2396" s="94"/>
    </row>
    <row r="2397" ht="30.0" customHeight="1">
      <c r="A2397" s="39"/>
      <c r="B2397" s="40">
        <v>4438.0</v>
      </c>
      <c r="C2397" s="41" t="s">
        <v>22</v>
      </c>
      <c r="D2397" s="86">
        <v>46216.0</v>
      </c>
      <c r="E2397" s="43" t="str">
        <f t="shared" si="74"/>
        <v>2026</v>
      </c>
      <c r="F2397" s="43" t="str">
        <f t="shared" si="75"/>
        <v>07 Jul</v>
      </c>
      <c r="G2397" s="45" t="s">
        <v>241</v>
      </c>
      <c r="H2397" s="45" t="s">
        <v>162</v>
      </c>
      <c r="I2397" s="45" t="s">
        <v>1133</v>
      </c>
      <c r="J2397" s="143" t="s">
        <v>120</v>
      </c>
      <c r="K2397" s="43" t="str">
        <f t="array" ref="K2397">IF(J2397="","", XLOOKUP(J2397,'⚙️ Pengaturan'!$E$2:$E3237,'⚙️ Pengaturan'!$G$2:$G3237))</f>
        <v>KLINIK FT SESI</v>
      </c>
      <c r="L2397" s="43" t="str">
        <f t="shared" si="72"/>
        <v>LANJUTAN</v>
      </c>
      <c r="M2397" s="144" t="s">
        <v>31</v>
      </c>
      <c r="N2397" s="145">
        <v>180000.0</v>
      </c>
      <c r="O2397" s="146">
        <v>0.0</v>
      </c>
      <c r="P2397" s="48">
        <f t="array" ref="P2397">IFNA(XLOOKUP(J2397,'⚙️ Pengaturan'!$E$2:$E3237,'⚙️ Pengaturan'!$F$2:$F3237),"")</f>
        <v>180000</v>
      </c>
      <c r="Q2397" s="147">
        <f t="shared" si="73"/>
        <v>0</v>
      </c>
      <c r="R2397" s="41" t="s">
        <v>37</v>
      </c>
      <c r="S2397" s="76" t="s">
        <v>1133</v>
      </c>
      <c r="T2397" s="51" t="b">
        <v>1</v>
      </c>
      <c r="U2397" s="94"/>
    </row>
    <row r="2398" ht="30.0" customHeight="1">
      <c r="A2398" s="39"/>
      <c r="B2398" s="164">
        <v>4439.0</v>
      </c>
      <c r="C2398" s="41" t="s">
        <v>22</v>
      </c>
      <c r="D2398" s="86">
        <v>46216.0</v>
      </c>
      <c r="E2398" s="43" t="str">
        <f t="shared" si="74"/>
        <v>2026</v>
      </c>
      <c r="F2398" s="43" t="str">
        <f t="shared" si="75"/>
        <v>07 Jul</v>
      </c>
      <c r="G2398" s="45" t="s">
        <v>241</v>
      </c>
      <c r="H2398" s="45" t="s">
        <v>162</v>
      </c>
      <c r="I2398" s="45" t="s">
        <v>1691</v>
      </c>
      <c r="J2398" s="143" t="s">
        <v>121</v>
      </c>
      <c r="K2398" s="43" t="str">
        <f t="array" ref="K2398">IF(J2398="","", XLOOKUP(J2398,'⚙️ Pengaturan'!$E$2:$E3237,'⚙️ Pengaturan'!$G$2:$G3237))</f>
        <v>VISIT FT TA</v>
      </c>
      <c r="L2398" s="43" t="str">
        <f t="shared" si="72"/>
        <v>BARU</v>
      </c>
      <c r="M2398" s="144" t="s">
        <v>31</v>
      </c>
      <c r="N2398" s="145">
        <v>300000.0</v>
      </c>
      <c r="O2398" s="146">
        <v>0.0</v>
      </c>
      <c r="P2398" s="48">
        <f t="array" ref="P2398">IFNA(XLOOKUP(J2398,'⚙️ Pengaturan'!$E$2:$E3237,'⚙️ Pengaturan'!$F$2:$F3237),"")</f>
        <v>300000</v>
      </c>
      <c r="Q2398" s="147">
        <f t="shared" si="73"/>
        <v>0</v>
      </c>
      <c r="R2398" s="41" t="s">
        <v>32</v>
      </c>
      <c r="S2398" s="76" t="s">
        <v>33</v>
      </c>
      <c r="T2398" s="51" t="b">
        <v>1</v>
      </c>
      <c r="U2398" s="94"/>
    </row>
    <row r="2399" ht="30.0" customHeight="1">
      <c r="A2399" s="39"/>
      <c r="B2399" s="40">
        <v>4440.0</v>
      </c>
      <c r="C2399" s="41" t="s">
        <v>22</v>
      </c>
      <c r="D2399" s="86">
        <v>46216.0</v>
      </c>
      <c r="E2399" s="43" t="str">
        <f t="shared" si="74"/>
        <v>2026</v>
      </c>
      <c r="F2399" s="43" t="str">
        <f t="shared" si="75"/>
        <v>07 Jul</v>
      </c>
      <c r="G2399" s="45" t="s">
        <v>161</v>
      </c>
      <c r="H2399" s="45" t="s">
        <v>150</v>
      </c>
      <c r="I2399" s="45" t="s">
        <v>1679</v>
      </c>
      <c r="J2399" s="143" t="s">
        <v>120</v>
      </c>
      <c r="K2399" s="43" t="str">
        <f t="array" ref="K2399">IF(J2399="","", XLOOKUP(J2399,'⚙️ Pengaturan'!$E$2:$E3237,'⚙️ Pengaturan'!$G$2:$G3237))</f>
        <v>KLINIK FT SESI</v>
      </c>
      <c r="L2399" s="43" t="str">
        <f t="shared" si="72"/>
        <v>BARU</v>
      </c>
      <c r="M2399" s="144" t="s">
        <v>31</v>
      </c>
      <c r="N2399" s="145">
        <v>180000.0</v>
      </c>
      <c r="O2399" s="146">
        <v>0.0</v>
      </c>
      <c r="P2399" s="48">
        <f t="array" ref="P2399">IFNA(XLOOKUP(J2399,'⚙️ Pengaturan'!$E$2:$E3237,'⚙️ Pengaturan'!$F$2:$F3237),"")</f>
        <v>180000</v>
      </c>
      <c r="Q2399" s="147">
        <f t="shared" si="73"/>
        <v>0</v>
      </c>
      <c r="R2399" s="41" t="s">
        <v>37</v>
      </c>
      <c r="S2399" s="76" t="s">
        <v>1679</v>
      </c>
      <c r="T2399" s="51" t="b">
        <v>1</v>
      </c>
      <c r="U2399" s="94"/>
    </row>
    <row r="2400" ht="30.0" customHeight="1">
      <c r="A2400" s="39"/>
      <c r="B2400" s="164">
        <v>4441.0</v>
      </c>
      <c r="C2400" s="41" t="s">
        <v>22</v>
      </c>
      <c r="D2400" s="86">
        <v>46216.0</v>
      </c>
      <c r="E2400" s="43" t="str">
        <f t="shared" si="74"/>
        <v>2026</v>
      </c>
      <c r="F2400" s="43" t="str">
        <f t="shared" si="75"/>
        <v>07 Jul</v>
      </c>
      <c r="G2400" s="45" t="s">
        <v>161</v>
      </c>
      <c r="H2400" s="45" t="s">
        <v>166</v>
      </c>
      <c r="I2400" s="45" t="s">
        <v>1684</v>
      </c>
      <c r="J2400" s="143" t="s">
        <v>119</v>
      </c>
      <c r="K2400" s="43" t="str">
        <f t="array" ref="K2400">IF(J2400="","", XLOOKUP(J2400,'⚙️ Pengaturan'!$E$2:$E3237,'⚙️ Pengaturan'!$G$2:$G3237))</f>
        <v>KLINIK FT PAKET</v>
      </c>
      <c r="L2400" s="43" t="str">
        <f t="shared" si="72"/>
        <v>LANJUTAN</v>
      </c>
      <c r="M2400" s="144" t="s">
        <v>164</v>
      </c>
      <c r="N2400" s="145">
        <v>450000.0</v>
      </c>
      <c r="O2400" s="146">
        <v>300000.0</v>
      </c>
      <c r="P2400" s="48">
        <f t="array" ref="P2400">IFNA(XLOOKUP(J2400,'⚙️ Pengaturan'!$E$2:$E3237,'⚙️ Pengaturan'!$F$2:$F3237),"")</f>
        <v>750000</v>
      </c>
      <c r="Q2400" s="147">
        <f t="shared" si="73"/>
        <v>0</v>
      </c>
      <c r="R2400" s="41" t="s">
        <v>37</v>
      </c>
      <c r="S2400" s="76" t="s">
        <v>1692</v>
      </c>
      <c r="T2400" s="51" t="b">
        <v>1</v>
      </c>
      <c r="U2400" s="94"/>
    </row>
    <row r="2401" ht="30.0" customHeight="1">
      <c r="A2401" s="39"/>
      <c r="B2401" s="40">
        <v>4442.0</v>
      </c>
      <c r="C2401" s="41" t="s">
        <v>22</v>
      </c>
      <c r="D2401" s="86">
        <v>46216.0</v>
      </c>
      <c r="E2401" s="43" t="str">
        <f t="shared" si="74"/>
        <v>2026</v>
      </c>
      <c r="F2401" s="43" t="str">
        <f t="shared" si="75"/>
        <v>07 Jul</v>
      </c>
      <c r="G2401" s="45" t="s">
        <v>161</v>
      </c>
      <c r="H2401" s="45" t="s">
        <v>41</v>
      </c>
      <c r="I2401" s="45" t="s">
        <v>1693</v>
      </c>
      <c r="J2401" s="143" t="s">
        <v>121</v>
      </c>
      <c r="K2401" s="43" t="str">
        <f t="array" ref="K2401">IF(J2401="","", XLOOKUP(J2401,'⚙️ Pengaturan'!$E$2:$E3237,'⚙️ Pengaturan'!$G$2:$G3237))</f>
        <v>VISIT FT TA</v>
      </c>
      <c r="L2401" s="43" t="str">
        <f t="shared" si="72"/>
        <v>BARU</v>
      </c>
      <c r="M2401" s="144" t="s">
        <v>31</v>
      </c>
      <c r="N2401" s="145">
        <v>300000.0</v>
      </c>
      <c r="O2401" s="146">
        <v>0.0</v>
      </c>
      <c r="P2401" s="48">
        <f t="array" ref="P2401">IFNA(XLOOKUP(J2401,'⚙️ Pengaturan'!$E$2:$E3237,'⚙️ Pengaturan'!$F$2:$F3237),"")</f>
        <v>300000</v>
      </c>
      <c r="Q2401" s="147">
        <f t="shared" si="73"/>
        <v>0</v>
      </c>
      <c r="R2401" s="41" t="s">
        <v>32</v>
      </c>
      <c r="S2401" s="76" t="s">
        <v>33</v>
      </c>
      <c r="T2401" s="51" t="b">
        <v>1</v>
      </c>
      <c r="U2401" s="94"/>
    </row>
    <row r="2402" ht="30.0" customHeight="1">
      <c r="A2402" s="39"/>
      <c r="B2402" s="164">
        <v>4443.0</v>
      </c>
      <c r="C2402" s="41" t="s">
        <v>39</v>
      </c>
      <c r="D2402" s="86">
        <v>46216.0</v>
      </c>
      <c r="E2402" s="43" t="str">
        <f t="shared" si="74"/>
        <v>2026</v>
      </c>
      <c r="F2402" s="43" t="str">
        <f t="shared" si="75"/>
        <v>07 Jul</v>
      </c>
      <c r="G2402" s="45" t="s">
        <v>69</v>
      </c>
      <c r="H2402" s="45" t="s">
        <v>156</v>
      </c>
      <c r="I2402" s="45" t="s">
        <v>1272</v>
      </c>
      <c r="J2402" s="143" t="s">
        <v>119</v>
      </c>
      <c r="K2402" s="43" t="str">
        <f t="array" ref="K2402">IF(J2402="","", XLOOKUP(J2402,'⚙️ Pengaturan'!$E$2:$E3237,'⚙️ Pengaturan'!$G$2:$G3237))</f>
        <v>KLINIK FT PAKET</v>
      </c>
      <c r="L2402" s="43" t="str">
        <f t="shared" si="72"/>
        <v>LANJUTAN</v>
      </c>
      <c r="M2402" s="144" t="s">
        <v>31</v>
      </c>
      <c r="N2402" s="145">
        <v>750000.0</v>
      </c>
      <c r="O2402" s="146">
        <v>0.0</v>
      </c>
      <c r="P2402" s="48">
        <f t="array" ref="P2402">IFNA(XLOOKUP(J2402,'⚙️ Pengaturan'!$E$2:$E3237,'⚙️ Pengaturan'!$F$2:$F3237),"")</f>
        <v>750000</v>
      </c>
      <c r="Q2402" s="147">
        <f t="shared" si="73"/>
        <v>0</v>
      </c>
      <c r="R2402" s="41" t="s">
        <v>118</v>
      </c>
      <c r="S2402" s="76" t="s">
        <v>1272</v>
      </c>
      <c r="T2402" s="51" t="b">
        <v>1</v>
      </c>
      <c r="U2402" s="94"/>
    </row>
    <row r="2403" ht="30.0" customHeight="1">
      <c r="A2403" s="39"/>
      <c r="B2403" s="40">
        <v>4444.0</v>
      </c>
      <c r="C2403" s="41" t="s">
        <v>22</v>
      </c>
      <c r="D2403" s="86">
        <v>46216.0</v>
      </c>
      <c r="E2403" s="43" t="str">
        <f t="shared" si="74"/>
        <v>2026</v>
      </c>
      <c r="F2403" s="43" t="str">
        <f t="shared" si="75"/>
        <v>07 Jul</v>
      </c>
      <c r="G2403" s="45" t="s">
        <v>69</v>
      </c>
      <c r="H2403" s="45" t="s">
        <v>149</v>
      </c>
      <c r="I2403" s="45" t="s">
        <v>1628</v>
      </c>
      <c r="J2403" s="143" t="s">
        <v>323</v>
      </c>
      <c r="K2403" s="43" t="str">
        <f t="array" ref="K2403">IF(J2403="","", XLOOKUP(J2403,'⚙️ Pengaturan'!$E$2:$E3237,'⚙️ Pengaturan'!$G$2:$G3237))</f>
        <v>VISIT FT SESI</v>
      </c>
      <c r="L2403" s="43" t="str">
        <f t="shared" si="72"/>
        <v>LANJUTAN</v>
      </c>
      <c r="M2403" s="144" t="s">
        <v>31</v>
      </c>
      <c r="N2403" s="145">
        <v>200000.0</v>
      </c>
      <c r="O2403" s="146">
        <v>0.0</v>
      </c>
      <c r="P2403" s="48">
        <f t="array" ref="P2403">IFNA(XLOOKUP(J2403,'⚙️ Pengaturan'!$E$2:$E3237,'⚙️ Pengaturan'!$F$2:$F3237),"")</f>
        <v>200000</v>
      </c>
      <c r="Q2403" s="147">
        <f t="shared" si="73"/>
        <v>0</v>
      </c>
      <c r="R2403" s="41" t="s">
        <v>32</v>
      </c>
      <c r="S2403" s="76" t="s">
        <v>33</v>
      </c>
      <c r="T2403" s="51" t="b">
        <v>1</v>
      </c>
      <c r="U2403" s="94"/>
    </row>
    <row r="2404" ht="30.0" customHeight="1">
      <c r="A2404" s="39"/>
      <c r="B2404" s="164">
        <v>4445.0</v>
      </c>
      <c r="C2404" s="41" t="s">
        <v>39</v>
      </c>
      <c r="D2404" s="86">
        <v>46216.0</v>
      </c>
      <c r="E2404" s="43" t="str">
        <f t="shared" si="74"/>
        <v>2026</v>
      </c>
      <c r="F2404" s="43" t="str">
        <f t="shared" si="75"/>
        <v>07 Jul</v>
      </c>
      <c r="G2404" s="45" t="s">
        <v>43</v>
      </c>
      <c r="H2404" s="45" t="s">
        <v>149</v>
      </c>
      <c r="I2404" s="45" t="s">
        <v>1694</v>
      </c>
      <c r="J2404" s="143" t="s">
        <v>28</v>
      </c>
      <c r="K2404" s="43" t="str">
        <f t="array" ref="K2404">IF(J2404="","", XLOOKUP(J2404,'⚙️ Pengaturan'!$E$2:$E3237,'⚙️ Pengaturan'!$G$2:$G3237))</f>
        <v>KLINIK FT TA</v>
      </c>
      <c r="L2404" s="43" t="str">
        <f t="shared" si="72"/>
        <v>BARU</v>
      </c>
      <c r="M2404" s="144" t="s">
        <v>31</v>
      </c>
      <c r="N2404" s="145">
        <v>250000.0</v>
      </c>
      <c r="O2404" s="146">
        <v>0.0</v>
      </c>
      <c r="P2404" s="48">
        <f t="array" ref="P2404">IFNA(XLOOKUP(J2404,'⚙️ Pengaturan'!$E$2:$E3237,'⚙️ Pengaturan'!$F$2:$F3237),"")</f>
        <v>250000</v>
      </c>
      <c r="Q2404" s="147">
        <f t="shared" si="73"/>
        <v>0</v>
      </c>
      <c r="R2404" s="41" t="s">
        <v>93</v>
      </c>
      <c r="S2404" s="76" t="s">
        <v>33</v>
      </c>
      <c r="T2404" s="51" t="b">
        <v>1</v>
      </c>
      <c r="U2404" s="94"/>
    </row>
    <row r="2405" ht="30.0" customHeight="1">
      <c r="A2405" s="39"/>
      <c r="B2405" s="40">
        <v>4446.0</v>
      </c>
      <c r="C2405" s="41" t="s">
        <v>39</v>
      </c>
      <c r="D2405" s="86">
        <v>46216.0</v>
      </c>
      <c r="E2405" s="43" t="str">
        <f t="shared" si="74"/>
        <v>2026</v>
      </c>
      <c r="F2405" s="43" t="str">
        <f t="shared" si="75"/>
        <v>07 Jul</v>
      </c>
      <c r="G2405" s="45" t="s">
        <v>43</v>
      </c>
      <c r="H2405" s="45" t="s">
        <v>359</v>
      </c>
      <c r="I2405" s="45" t="s">
        <v>1664</v>
      </c>
      <c r="J2405" s="143" t="s">
        <v>1547</v>
      </c>
      <c r="K2405" s="43" t="str">
        <f t="array" ref="K2405">IF(J2405="","", XLOOKUP(J2405,'⚙️ Pengaturan'!$E$2:$E3237,'⚙️ Pengaturan'!$G$2:$G3237))</f>
        <v>KLINIK SM SESI</v>
      </c>
      <c r="L2405" s="43" t="str">
        <f t="shared" si="72"/>
        <v>BARU</v>
      </c>
      <c r="M2405" s="144" t="s">
        <v>31</v>
      </c>
      <c r="N2405" s="145">
        <v>195000.0</v>
      </c>
      <c r="O2405" s="146">
        <v>0.0</v>
      </c>
      <c r="P2405" s="48">
        <f t="array" ref="P2405">IFNA(XLOOKUP(J2405,'⚙️ Pengaturan'!$E$2:$E3237,'⚙️ Pengaturan'!$F$2:$F3237),"")</f>
        <v>195000</v>
      </c>
      <c r="Q2405" s="147">
        <f t="shared" si="73"/>
        <v>0</v>
      </c>
      <c r="R2405" s="41" t="s">
        <v>93</v>
      </c>
      <c r="S2405" s="76" t="s">
        <v>33</v>
      </c>
      <c r="T2405" s="51" t="b">
        <v>1</v>
      </c>
      <c r="U2405" s="94"/>
    </row>
    <row r="2406" ht="30.0" customHeight="1">
      <c r="A2406" s="39"/>
      <c r="B2406" s="164">
        <v>4447.0</v>
      </c>
      <c r="C2406" s="41" t="s">
        <v>39</v>
      </c>
      <c r="D2406" s="86">
        <v>46216.0</v>
      </c>
      <c r="E2406" s="43" t="str">
        <f t="shared" si="74"/>
        <v>2026</v>
      </c>
      <c r="F2406" s="43" t="str">
        <f t="shared" si="75"/>
        <v>07 Jul</v>
      </c>
      <c r="G2406" s="45" t="s">
        <v>173</v>
      </c>
      <c r="H2406" s="45" t="s">
        <v>149</v>
      </c>
      <c r="I2406" s="45" t="s">
        <v>1695</v>
      </c>
      <c r="J2406" s="143" t="s">
        <v>28</v>
      </c>
      <c r="K2406" s="43" t="str">
        <f t="array" ref="K2406">IF(J2406="","", XLOOKUP(J2406,'⚙️ Pengaturan'!$E$2:$E3237,'⚙️ Pengaturan'!$G$2:$G3237))</f>
        <v>KLINIK FT TA</v>
      </c>
      <c r="L2406" s="43" t="str">
        <f t="shared" si="72"/>
        <v>BARU</v>
      </c>
      <c r="M2406" s="144" t="s">
        <v>31</v>
      </c>
      <c r="N2406" s="145">
        <v>250000.0</v>
      </c>
      <c r="O2406" s="146">
        <v>0.0</v>
      </c>
      <c r="P2406" s="48">
        <f t="array" ref="P2406">IFNA(XLOOKUP(J2406,'⚙️ Pengaturan'!$E$2:$E3237,'⚙️ Pengaturan'!$F$2:$F3237),"")</f>
        <v>250000</v>
      </c>
      <c r="Q2406" s="147">
        <f t="shared" si="73"/>
        <v>0</v>
      </c>
      <c r="R2406" s="41" t="s">
        <v>37</v>
      </c>
      <c r="S2406" s="69" t="s">
        <v>1695</v>
      </c>
      <c r="T2406" s="51" t="b">
        <v>1</v>
      </c>
      <c r="U2406" s="94"/>
    </row>
    <row r="2407" ht="30.0" customHeight="1">
      <c r="A2407" s="39"/>
      <c r="B2407" s="40">
        <v>4448.0</v>
      </c>
      <c r="C2407" s="41" t="s">
        <v>39</v>
      </c>
      <c r="D2407" s="86">
        <v>46216.0</v>
      </c>
      <c r="E2407" s="43" t="str">
        <f t="shared" si="74"/>
        <v>2026</v>
      </c>
      <c r="F2407" s="43" t="str">
        <f t="shared" si="75"/>
        <v>07 Jul</v>
      </c>
      <c r="G2407" s="45" t="s">
        <v>173</v>
      </c>
      <c r="H2407" s="45" t="s">
        <v>41</v>
      </c>
      <c r="I2407" s="45" t="s">
        <v>967</v>
      </c>
      <c r="J2407" s="143" t="s">
        <v>120</v>
      </c>
      <c r="K2407" s="43" t="str">
        <f t="array" ref="K2407">IF(J2407="","", XLOOKUP(J2407,'⚙️ Pengaturan'!$E$2:$E3237,'⚙️ Pengaturan'!$G$2:$G3237))</f>
        <v>KLINIK FT SESI</v>
      </c>
      <c r="L2407" s="43" t="str">
        <f t="shared" si="72"/>
        <v>LANJUTAN</v>
      </c>
      <c r="M2407" s="144" t="s">
        <v>31</v>
      </c>
      <c r="N2407" s="145">
        <v>50000.0</v>
      </c>
      <c r="O2407" s="146">
        <v>130000.0</v>
      </c>
      <c r="P2407" s="48">
        <f t="array" ref="P2407">IFNA(XLOOKUP(J2407,'⚙️ Pengaturan'!$E$2:$E3237,'⚙️ Pengaturan'!$F$2:$F3237),"")</f>
        <v>180000</v>
      </c>
      <c r="Q2407" s="147">
        <f t="shared" si="73"/>
        <v>0</v>
      </c>
      <c r="R2407" s="41" t="s">
        <v>32</v>
      </c>
      <c r="S2407" s="76" t="s">
        <v>33</v>
      </c>
      <c r="T2407" s="51" t="b">
        <v>1</v>
      </c>
      <c r="U2407" s="94"/>
    </row>
    <row r="2408" ht="30.0" customHeight="1">
      <c r="A2408" s="39"/>
      <c r="B2408" s="164">
        <v>4449.0</v>
      </c>
      <c r="C2408" s="41" t="s">
        <v>39</v>
      </c>
      <c r="D2408" s="86">
        <v>46216.0</v>
      </c>
      <c r="E2408" s="43" t="str">
        <f t="shared" si="74"/>
        <v>2026</v>
      </c>
      <c r="F2408" s="43" t="str">
        <f t="shared" si="75"/>
        <v>07 Jul</v>
      </c>
      <c r="G2408" s="45" t="s">
        <v>155</v>
      </c>
      <c r="H2408" s="45" t="s">
        <v>41</v>
      </c>
      <c r="I2408" s="45" t="s">
        <v>1601</v>
      </c>
      <c r="J2408" s="143" t="s">
        <v>119</v>
      </c>
      <c r="K2408" s="43" t="str">
        <f t="array" ref="K2408">IF(J2408="","", XLOOKUP(J2408,'⚙️ Pengaturan'!$E$2:$E3237,'⚙️ Pengaturan'!$G$2:$G3237))</f>
        <v>KLINIK FT PAKET</v>
      </c>
      <c r="L2408" s="43" t="str">
        <f t="shared" si="72"/>
        <v>LANJUTAN</v>
      </c>
      <c r="M2408" s="144" t="s">
        <v>31</v>
      </c>
      <c r="N2408" s="145">
        <v>750000.0</v>
      </c>
      <c r="O2408" s="146">
        <v>0.0</v>
      </c>
      <c r="P2408" s="48">
        <f t="array" ref="P2408">IFNA(XLOOKUP(J2408,'⚙️ Pengaturan'!$E$2:$E3237,'⚙️ Pengaturan'!$F$2:$F3237),"")</f>
        <v>750000</v>
      </c>
      <c r="Q2408" s="147">
        <f t="shared" si="73"/>
        <v>0</v>
      </c>
      <c r="R2408" s="41" t="s">
        <v>37</v>
      </c>
      <c r="S2408" s="76" t="s">
        <v>1601</v>
      </c>
      <c r="T2408" s="51" t="b">
        <v>1</v>
      </c>
      <c r="U2408" s="94"/>
    </row>
    <row r="2409" ht="30.0" customHeight="1">
      <c r="A2409" s="39"/>
      <c r="B2409" s="40">
        <v>4450.0</v>
      </c>
      <c r="C2409" s="41" t="s">
        <v>39</v>
      </c>
      <c r="D2409" s="86">
        <v>46216.0</v>
      </c>
      <c r="E2409" s="43" t="str">
        <f t="shared" si="74"/>
        <v>2026</v>
      </c>
      <c r="F2409" s="43" t="str">
        <f t="shared" si="75"/>
        <v>07 Jul</v>
      </c>
      <c r="G2409" s="45" t="s">
        <v>190</v>
      </c>
      <c r="H2409" s="45" t="s">
        <v>47</v>
      </c>
      <c r="I2409" s="45" t="s">
        <v>49</v>
      </c>
      <c r="J2409" s="143" t="s">
        <v>120</v>
      </c>
      <c r="K2409" s="43" t="str">
        <f t="array" ref="K2409">IF(J2409="","", XLOOKUP(J2409,'⚙️ Pengaturan'!$E$2:$E3237,'⚙️ Pengaturan'!$G$2:$G3237))</f>
        <v>KLINIK FT SESI</v>
      </c>
      <c r="L2409" s="43" t="str">
        <f t="shared" si="72"/>
        <v>BARU</v>
      </c>
      <c r="M2409" s="144" t="s">
        <v>31</v>
      </c>
      <c r="N2409" s="145">
        <v>180000.0</v>
      </c>
      <c r="O2409" s="146">
        <v>0.0</v>
      </c>
      <c r="P2409" s="48">
        <f t="array" ref="P2409">IFNA(XLOOKUP(J2409,'⚙️ Pengaturan'!$E$2:$E3237,'⚙️ Pengaturan'!$F$2:$F3237),"")</f>
        <v>180000</v>
      </c>
      <c r="Q2409" s="147">
        <f t="shared" si="73"/>
        <v>0</v>
      </c>
      <c r="R2409" s="41" t="s">
        <v>37</v>
      </c>
      <c r="S2409" s="69" t="s">
        <v>49</v>
      </c>
      <c r="T2409" s="51" t="b">
        <v>1</v>
      </c>
      <c r="U2409" s="94"/>
    </row>
    <row r="2410" ht="30.0" customHeight="1">
      <c r="A2410" s="39"/>
      <c r="B2410" s="164">
        <v>4451.0</v>
      </c>
      <c r="C2410" s="41" t="s">
        <v>22</v>
      </c>
      <c r="D2410" s="86">
        <v>46217.0</v>
      </c>
      <c r="E2410" s="43" t="str">
        <f t="shared" si="74"/>
        <v>2026</v>
      </c>
      <c r="F2410" s="43" t="str">
        <f t="shared" si="75"/>
        <v>07 Jul</v>
      </c>
      <c r="G2410" s="45" t="s">
        <v>195</v>
      </c>
      <c r="H2410" s="45" t="s">
        <v>156</v>
      </c>
      <c r="I2410" s="45" t="s">
        <v>1680</v>
      </c>
      <c r="J2410" s="143" t="s">
        <v>347</v>
      </c>
      <c r="K2410" s="43" t="str">
        <f t="array" ref="K2410">IF(J2410="","", XLOOKUP(J2410,'⚙️ Pengaturan'!$E$2:$E3237,'⚙️ Pengaturan'!$G$2:$G3237))</f>
        <v>KLINIK FT PAKET</v>
      </c>
      <c r="L2410" s="43" t="str">
        <f t="shared" si="72"/>
        <v>BARU</v>
      </c>
      <c r="M2410" s="144" t="s">
        <v>31</v>
      </c>
      <c r="N2410" s="145">
        <v>1300000.0</v>
      </c>
      <c r="O2410" s="146">
        <v>0.0</v>
      </c>
      <c r="P2410" s="48">
        <f t="array" ref="P2410">IFNA(XLOOKUP(J2410,'⚙️ Pengaturan'!$E$2:$E3237,'⚙️ Pengaturan'!$F$2:$F3237),"")</f>
        <v>1300000</v>
      </c>
      <c r="Q2410" s="147">
        <f t="shared" si="73"/>
        <v>0</v>
      </c>
      <c r="R2410" s="41" t="s">
        <v>32</v>
      </c>
      <c r="S2410" s="76" t="s">
        <v>33</v>
      </c>
      <c r="T2410" s="51" t="b">
        <v>1</v>
      </c>
      <c r="U2410" s="94"/>
    </row>
    <row r="2411" ht="30.0" customHeight="1">
      <c r="A2411" s="39"/>
      <c r="B2411" s="40">
        <v>4452.0</v>
      </c>
      <c r="C2411" s="41" t="s">
        <v>22</v>
      </c>
      <c r="D2411" s="86">
        <v>46217.0</v>
      </c>
      <c r="E2411" s="43" t="str">
        <f t="shared" si="74"/>
        <v>2026</v>
      </c>
      <c r="F2411" s="43" t="str">
        <f t="shared" si="75"/>
        <v>07 Jul</v>
      </c>
      <c r="G2411" s="45" t="s">
        <v>195</v>
      </c>
      <c r="H2411" s="45" t="s">
        <v>41</v>
      </c>
      <c r="I2411" s="45" t="s">
        <v>967</v>
      </c>
      <c r="J2411" s="143" t="s">
        <v>120</v>
      </c>
      <c r="K2411" s="43" t="str">
        <f t="array" ref="K2411">IF(J2411="","", XLOOKUP(J2411,'⚙️ Pengaturan'!$E$2:$E3237,'⚙️ Pengaturan'!$G$2:$G3237))</f>
        <v>KLINIK FT SESI</v>
      </c>
      <c r="L2411" s="43" t="str">
        <f t="shared" si="72"/>
        <v>LANJUTAN</v>
      </c>
      <c r="M2411" s="144" t="s">
        <v>31</v>
      </c>
      <c r="N2411" s="145">
        <v>50000.0</v>
      </c>
      <c r="O2411" s="146">
        <v>130000.0</v>
      </c>
      <c r="P2411" s="48">
        <f t="array" ref="P2411">IFNA(XLOOKUP(J2411,'⚙️ Pengaturan'!$E$2:$E3237,'⚙️ Pengaturan'!$F$2:$F3237),"")</f>
        <v>180000</v>
      </c>
      <c r="Q2411" s="147">
        <f t="shared" si="73"/>
        <v>0</v>
      </c>
      <c r="R2411" s="41" t="s">
        <v>32</v>
      </c>
      <c r="S2411" s="76" t="s">
        <v>33</v>
      </c>
      <c r="T2411" s="51" t="b">
        <v>1</v>
      </c>
      <c r="U2411" s="94"/>
    </row>
    <row r="2412" ht="30.0" customHeight="1">
      <c r="A2412" s="39"/>
      <c r="B2412" s="164">
        <v>4453.0</v>
      </c>
      <c r="C2412" s="41" t="s">
        <v>22</v>
      </c>
      <c r="D2412" s="86">
        <v>46217.0</v>
      </c>
      <c r="E2412" s="43" t="str">
        <f t="shared" si="74"/>
        <v>2026</v>
      </c>
      <c r="F2412" s="43" t="str">
        <f t="shared" si="75"/>
        <v>07 Jul</v>
      </c>
      <c r="G2412" s="45" t="s">
        <v>195</v>
      </c>
      <c r="H2412" s="45" t="s">
        <v>149</v>
      </c>
      <c r="I2412" s="45" t="s">
        <v>1551</v>
      </c>
      <c r="J2412" s="143" t="s">
        <v>119</v>
      </c>
      <c r="K2412" s="43" t="str">
        <f t="array" ref="K2412">IF(J2412="","", XLOOKUP(J2412,'⚙️ Pengaturan'!$E$2:$E3237,'⚙️ Pengaturan'!$G$2:$G3237))</f>
        <v>KLINIK FT PAKET</v>
      </c>
      <c r="L2412" s="43" t="str">
        <f t="shared" si="72"/>
        <v>BARU</v>
      </c>
      <c r="M2412" s="144" t="s">
        <v>60</v>
      </c>
      <c r="N2412" s="145">
        <v>300000.0</v>
      </c>
      <c r="O2412" s="146">
        <v>0.0</v>
      </c>
      <c r="P2412" s="48">
        <f t="array" ref="P2412">IFNA(XLOOKUP(J2412,'⚙️ Pengaturan'!$E$2:$E3237,'⚙️ Pengaturan'!$F$2:$F3237),"")</f>
        <v>750000</v>
      </c>
      <c r="Q2412" s="147">
        <f t="shared" si="73"/>
        <v>-450000</v>
      </c>
      <c r="R2412" s="41" t="s">
        <v>37</v>
      </c>
      <c r="S2412" s="76" t="s">
        <v>1551</v>
      </c>
      <c r="T2412" s="51" t="b">
        <v>1</v>
      </c>
      <c r="U2412" s="94"/>
    </row>
    <row r="2413" ht="30.0" customHeight="1">
      <c r="A2413" s="39"/>
      <c r="B2413" s="40">
        <v>4454.0</v>
      </c>
      <c r="C2413" s="41" t="s">
        <v>22</v>
      </c>
      <c r="D2413" s="86">
        <v>46217.0</v>
      </c>
      <c r="E2413" s="43" t="str">
        <f t="shared" si="74"/>
        <v>2026</v>
      </c>
      <c r="F2413" s="43" t="str">
        <f t="shared" si="75"/>
        <v>07 Jul</v>
      </c>
      <c r="G2413" s="45" t="s">
        <v>25</v>
      </c>
      <c r="H2413" s="45" t="s">
        <v>41</v>
      </c>
      <c r="I2413" s="45" t="s">
        <v>1696</v>
      </c>
      <c r="J2413" s="143" t="s">
        <v>28</v>
      </c>
      <c r="K2413" s="43" t="str">
        <f t="array" ref="K2413">IF(J2413="","", XLOOKUP(J2413,'⚙️ Pengaturan'!$E$2:$E3237,'⚙️ Pengaturan'!$G$2:$G3237))</f>
        <v>KLINIK FT TA</v>
      </c>
      <c r="L2413" s="43" t="str">
        <f t="shared" si="72"/>
        <v>BARU</v>
      </c>
      <c r="M2413" s="144" t="s">
        <v>31</v>
      </c>
      <c r="N2413" s="145">
        <v>250000.0</v>
      </c>
      <c r="O2413" s="146">
        <v>0.0</v>
      </c>
      <c r="P2413" s="48">
        <f t="array" ref="P2413">IFNA(XLOOKUP(J2413,'⚙️ Pengaturan'!$E$2:$E3237,'⚙️ Pengaturan'!$F$2:$F3237),"")</f>
        <v>250000</v>
      </c>
      <c r="Q2413" s="147">
        <f t="shared" si="73"/>
        <v>0</v>
      </c>
      <c r="R2413" s="41" t="s">
        <v>32</v>
      </c>
      <c r="S2413" s="76" t="s">
        <v>33</v>
      </c>
      <c r="T2413" s="51" t="b">
        <v>1</v>
      </c>
      <c r="U2413" s="94"/>
    </row>
    <row r="2414" ht="30.0" customHeight="1">
      <c r="A2414" s="39"/>
      <c r="B2414" s="164">
        <v>4455.0</v>
      </c>
      <c r="C2414" s="41" t="s">
        <v>22</v>
      </c>
      <c r="D2414" s="86">
        <v>46217.0</v>
      </c>
      <c r="E2414" s="43" t="str">
        <f t="shared" si="74"/>
        <v>2026</v>
      </c>
      <c r="F2414" s="43" t="str">
        <f t="shared" si="75"/>
        <v>07 Jul</v>
      </c>
      <c r="G2414" s="45" t="s">
        <v>25</v>
      </c>
      <c r="H2414" s="45" t="s">
        <v>41</v>
      </c>
      <c r="I2414" s="45" t="s">
        <v>1696</v>
      </c>
      <c r="J2414" s="143" t="s">
        <v>119</v>
      </c>
      <c r="K2414" s="43" t="str">
        <f t="array" ref="K2414">IF(J2414="","", XLOOKUP(J2414,'⚙️ Pengaturan'!$E$2:$E3237,'⚙️ Pengaturan'!$G$2:$G3237))</f>
        <v>KLINIK FT PAKET</v>
      </c>
      <c r="L2414" s="43" t="str">
        <f t="shared" si="72"/>
        <v>BARU</v>
      </c>
      <c r="M2414" s="144" t="s">
        <v>31</v>
      </c>
      <c r="N2414" s="145">
        <v>750000.0</v>
      </c>
      <c r="O2414" s="146">
        <v>0.0</v>
      </c>
      <c r="P2414" s="48">
        <f t="array" ref="P2414">IFNA(XLOOKUP(J2414,'⚙️ Pengaturan'!$E$2:$E3237,'⚙️ Pengaturan'!$F$2:$F3237),"")</f>
        <v>750000</v>
      </c>
      <c r="Q2414" s="147">
        <f t="shared" si="73"/>
        <v>0</v>
      </c>
      <c r="R2414" s="41" t="s">
        <v>37</v>
      </c>
      <c r="S2414" s="69" t="s">
        <v>1696</v>
      </c>
      <c r="T2414" s="51" t="b">
        <v>1</v>
      </c>
      <c r="U2414" s="94"/>
    </row>
    <row r="2415" ht="30.0" customHeight="1">
      <c r="A2415" s="39"/>
      <c r="B2415" s="40">
        <v>4456.0</v>
      </c>
      <c r="C2415" s="41" t="s">
        <v>22</v>
      </c>
      <c r="D2415" s="86">
        <v>46217.0</v>
      </c>
      <c r="E2415" s="43" t="str">
        <f t="shared" si="74"/>
        <v>2026</v>
      </c>
      <c r="F2415" s="43" t="str">
        <f t="shared" si="75"/>
        <v>07 Jul</v>
      </c>
      <c r="G2415" s="45" t="s">
        <v>25</v>
      </c>
      <c r="H2415" s="45" t="s">
        <v>96</v>
      </c>
      <c r="I2415" s="45" t="s">
        <v>1250</v>
      </c>
      <c r="J2415" s="143" t="s">
        <v>28</v>
      </c>
      <c r="K2415" s="43" t="str">
        <f t="array" ref="K2415">IF(J2415="","", XLOOKUP(J2415,'⚙️ Pengaturan'!$E$2:$E3237,'⚙️ Pengaturan'!$G$2:$G3237))</f>
        <v>KLINIK FT TA</v>
      </c>
      <c r="L2415" s="43" t="str">
        <f t="shared" si="72"/>
        <v>LANJUTAN</v>
      </c>
      <c r="M2415" s="144" t="s">
        <v>31</v>
      </c>
      <c r="N2415" s="145">
        <v>250000.0</v>
      </c>
      <c r="O2415" s="146">
        <v>0.0</v>
      </c>
      <c r="P2415" s="48">
        <f t="array" ref="P2415">IFNA(XLOOKUP(J2415,'⚙️ Pengaturan'!$E$2:$E3237,'⚙️ Pengaturan'!$F$2:$F3237),"")</f>
        <v>250000</v>
      </c>
      <c r="Q2415" s="147">
        <f t="shared" si="73"/>
        <v>0</v>
      </c>
      <c r="R2415" s="41" t="s">
        <v>37</v>
      </c>
      <c r="S2415" s="69" t="s">
        <v>1250</v>
      </c>
      <c r="T2415" s="51" t="b">
        <v>1</v>
      </c>
      <c r="U2415" s="94"/>
    </row>
    <row r="2416" ht="30.0" customHeight="1">
      <c r="A2416" s="39"/>
      <c r="B2416" s="164">
        <v>4457.0</v>
      </c>
      <c r="C2416" s="41" t="s">
        <v>22</v>
      </c>
      <c r="D2416" s="86">
        <v>46217.0</v>
      </c>
      <c r="E2416" s="43" t="str">
        <f t="shared" si="74"/>
        <v>2026</v>
      </c>
      <c r="F2416" s="43" t="str">
        <f t="shared" si="75"/>
        <v>07 Jul</v>
      </c>
      <c r="G2416" s="45" t="s">
        <v>161</v>
      </c>
      <c r="H2416" s="45" t="s">
        <v>96</v>
      </c>
      <c r="I2416" s="45" t="s">
        <v>653</v>
      </c>
      <c r="J2416" s="143" t="s">
        <v>28</v>
      </c>
      <c r="K2416" s="43" t="str">
        <f t="array" ref="K2416">IF(J2416="","", XLOOKUP(J2416,'⚙️ Pengaturan'!$E$2:$E3237,'⚙️ Pengaturan'!$G$2:$G3237))</f>
        <v>KLINIK FT TA</v>
      </c>
      <c r="L2416" s="43" t="str">
        <f t="shared" si="72"/>
        <v>LANJUTAN</v>
      </c>
      <c r="M2416" s="144" t="s">
        <v>31</v>
      </c>
      <c r="N2416" s="145">
        <v>250000.0</v>
      </c>
      <c r="O2416" s="146">
        <v>0.0</v>
      </c>
      <c r="P2416" s="48">
        <f t="array" ref="P2416">IFNA(XLOOKUP(J2416,'⚙️ Pengaturan'!$E$2:$E3237,'⚙️ Pengaturan'!$F$2:$F3237),"")</f>
        <v>250000</v>
      </c>
      <c r="Q2416" s="147">
        <f t="shared" si="73"/>
        <v>0</v>
      </c>
      <c r="R2416" s="41" t="s">
        <v>37</v>
      </c>
      <c r="S2416" s="76" t="s">
        <v>654</v>
      </c>
      <c r="T2416" s="51" t="b">
        <v>1</v>
      </c>
      <c r="U2416" s="94"/>
    </row>
    <row r="2417" ht="30.0" customHeight="1">
      <c r="A2417" s="39"/>
      <c r="B2417" s="40">
        <v>4458.0</v>
      </c>
      <c r="C2417" s="41" t="s">
        <v>22</v>
      </c>
      <c r="D2417" s="86">
        <v>46217.0</v>
      </c>
      <c r="E2417" s="43" t="str">
        <f t="shared" si="74"/>
        <v>2026</v>
      </c>
      <c r="F2417" s="43" t="str">
        <f t="shared" si="75"/>
        <v>07 Jul</v>
      </c>
      <c r="G2417" s="45" t="s">
        <v>35</v>
      </c>
      <c r="H2417" s="45" t="s">
        <v>103</v>
      </c>
      <c r="I2417" s="45" t="s">
        <v>1697</v>
      </c>
      <c r="J2417" s="143" t="s">
        <v>28</v>
      </c>
      <c r="K2417" s="43" t="str">
        <f t="array" ref="K2417">IF(J2417="","", XLOOKUP(J2417,'⚙️ Pengaturan'!$E$2:$E3237,'⚙️ Pengaturan'!$G$2:$G3237))</f>
        <v>KLINIK FT TA</v>
      </c>
      <c r="L2417" s="43" t="str">
        <f t="shared" si="72"/>
        <v>BARU</v>
      </c>
      <c r="M2417" s="144" t="s">
        <v>31</v>
      </c>
      <c r="N2417" s="145">
        <v>0.0</v>
      </c>
      <c r="O2417" s="146">
        <v>250000.0</v>
      </c>
      <c r="P2417" s="48">
        <f t="array" ref="P2417">IFNA(XLOOKUP(J2417,'⚙️ Pengaturan'!$E$2:$E3237,'⚙️ Pengaturan'!$F$2:$F3237),"")</f>
        <v>250000</v>
      </c>
      <c r="Q2417" s="147">
        <f t="shared" si="73"/>
        <v>0</v>
      </c>
      <c r="R2417" s="41" t="s">
        <v>32</v>
      </c>
      <c r="S2417" s="76" t="s">
        <v>33</v>
      </c>
      <c r="T2417" s="51" t="b">
        <v>1</v>
      </c>
      <c r="U2417" s="94"/>
    </row>
    <row r="2418" ht="30.0" customHeight="1">
      <c r="A2418" s="39"/>
      <c r="B2418" s="164">
        <v>4459.0</v>
      </c>
      <c r="C2418" s="41" t="s">
        <v>39</v>
      </c>
      <c r="D2418" s="86">
        <v>46217.0</v>
      </c>
      <c r="E2418" s="43" t="str">
        <f t="shared" si="74"/>
        <v>2026</v>
      </c>
      <c r="F2418" s="43" t="str">
        <f t="shared" si="75"/>
        <v>07 Jul</v>
      </c>
      <c r="G2418" s="45" t="s">
        <v>43</v>
      </c>
      <c r="H2418" s="45" t="s">
        <v>150</v>
      </c>
      <c r="I2418" s="45" t="s">
        <v>1698</v>
      </c>
      <c r="J2418" s="143" t="s">
        <v>28</v>
      </c>
      <c r="K2418" s="43" t="str">
        <f t="array" ref="K2418">IF(J2418="","", XLOOKUP(J2418,'⚙️ Pengaturan'!$E$2:$E3237,'⚙️ Pengaturan'!$G$2:$G3237))</f>
        <v>KLINIK FT TA</v>
      </c>
      <c r="L2418" s="43" t="str">
        <f t="shared" si="72"/>
        <v>BARU</v>
      </c>
      <c r="M2418" s="144" t="s">
        <v>31</v>
      </c>
      <c r="N2418" s="145">
        <v>250000.0</v>
      </c>
      <c r="O2418" s="146">
        <v>0.0</v>
      </c>
      <c r="P2418" s="48">
        <f t="array" ref="P2418">IFNA(XLOOKUP(J2418,'⚙️ Pengaturan'!$E$2:$E3237,'⚙️ Pengaturan'!$F$2:$F3237),"")</f>
        <v>250000</v>
      </c>
      <c r="Q2418" s="147">
        <f t="shared" si="73"/>
        <v>0</v>
      </c>
      <c r="R2418" s="41" t="s">
        <v>32</v>
      </c>
      <c r="S2418" s="76" t="s">
        <v>33</v>
      </c>
      <c r="T2418" s="51" t="b">
        <v>1</v>
      </c>
      <c r="U2418" s="94"/>
    </row>
    <row r="2419" ht="30.0" customHeight="1">
      <c r="A2419" s="39"/>
      <c r="B2419" s="40">
        <v>4460.0</v>
      </c>
      <c r="C2419" s="41" t="s">
        <v>39</v>
      </c>
      <c r="D2419" s="86">
        <v>46217.0</v>
      </c>
      <c r="E2419" s="43" t="str">
        <f t="shared" si="74"/>
        <v>2026</v>
      </c>
      <c r="F2419" s="43" t="str">
        <f t="shared" si="75"/>
        <v>07 Jul</v>
      </c>
      <c r="G2419" s="45" t="s">
        <v>43</v>
      </c>
      <c r="H2419" s="45" t="s">
        <v>162</v>
      </c>
      <c r="I2419" s="45" t="s">
        <v>1699</v>
      </c>
      <c r="J2419" s="143" t="s">
        <v>28</v>
      </c>
      <c r="K2419" s="43" t="str">
        <f t="array" ref="K2419">IF(J2419="","", XLOOKUP(J2419,'⚙️ Pengaturan'!$E$2:$E3237,'⚙️ Pengaturan'!$G$2:$G3237))</f>
        <v>KLINIK FT TA</v>
      </c>
      <c r="L2419" s="43" t="str">
        <f t="shared" si="72"/>
        <v>BARU</v>
      </c>
      <c r="M2419" s="144" t="s">
        <v>31</v>
      </c>
      <c r="N2419" s="145">
        <v>250000.0</v>
      </c>
      <c r="O2419" s="146">
        <v>0.0</v>
      </c>
      <c r="P2419" s="48">
        <f t="array" ref="P2419">IFNA(XLOOKUP(J2419,'⚙️ Pengaturan'!$E$2:$E3237,'⚙️ Pengaturan'!$F$2:$F3237),"")</f>
        <v>250000</v>
      </c>
      <c r="Q2419" s="147">
        <f t="shared" si="73"/>
        <v>0</v>
      </c>
      <c r="R2419" s="41" t="s">
        <v>32</v>
      </c>
      <c r="S2419" s="76" t="s">
        <v>33</v>
      </c>
      <c r="T2419" s="51" t="b">
        <v>1</v>
      </c>
      <c r="U2419" s="94"/>
    </row>
    <row r="2420" ht="30.0" customHeight="1">
      <c r="A2420" s="39"/>
      <c r="B2420" s="164">
        <v>4461.0</v>
      </c>
      <c r="C2420" s="41" t="s">
        <v>39</v>
      </c>
      <c r="D2420" s="86">
        <v>46217.0</v>
      </c>
      <c r="E2420" s="43" t="str">
        <f t="shared" si="74"/>
        <v>2026</v>
      </c>
      <c r="F2420" s="43" t="str">
        <f t="shared" si="75"/>
        <v>07 Jul</v>
      </c>
      <c r="G2420" s="45" t="s">
        <v>173</v>
      </c>
      <c r="H2420" s="45" t="s">
        <v>150</v>
      </c>
      <c r="I2420" s="45" t="s">
        <v>1688</v>
      </c>
      <c r="J2420" s="143" t="s">
        <v>119</v>
      </c>
      <c r="K2420" s="43" t="str">
        <f t="array" ref="K2420">IF(J2420="","", XLOOKUP(J2420,'⚙️ Pengaturan'!$E$2:$E3237,'⚙️ Pengaturan'!$G$2:$G3237))</f>
        <v>KLINIK FT PAKET</v>
      </c>
      <c r="L2420" s="43" t="str">
        <f t="shared" si="72"/>
        <v>BARU</v>
      </c>
      <c r="M2420" s="144" t="s">
        <v>31</v>
      </c>
      <c r="N2420" s="145">
        <v>750000.0</v>
      </c>
      <c r="O2420" s="146">
        <v>0.0</v>
      </c>
      <c r="P2420" s="48">
        <f t="array" ref="P2420">IFNA(XLOOKUP(J2420,'⚙️ Pengaturan'!$E$2:$E3237,'⚙️ Pengaturan'!$F$2:$F3237),"")</f>
        <v>750000</v>
      </c>
      <c r="Q2420" s="147">
        <f t="shared" si="73"/>
        <v>0</v>
      </c>
      <c r="R2420" s="41" t="s">
        <v>118</v>
      </c>
      <c r="S2420" s="69" t="s">
        <v>1688</v>
      </c>
      <c r="T2420" s="51" t="b">
        <v>1</v>
      </c>
      <c r="U2420" s="94"/>
    </row>
    <row r="2421" ht="30.0" customHeight="1">
      <c r="A2421" s="39"/>
      <c r="B2421" s="40">
        <v>4462.0</v>
      </c>
      <c r="C2421" s="41" t="s">
        <v>39</v>
      </c>
      <c r="D2421" s="86">
        <v>46217.0</v>
      </c>
      <c r="E2421" s="43" t="str">
        <f t="shared" si="74"/>
        <v>2026</v>
      </c>
      <c r="F2421" s="43" t="str">
        <f t="shared" si="75"/>
        <v>07 Jul</v>
      </c>
      <c r="G2421" s="45" t="s">
        <v>69</v>
      </c>
      <c r="H2421" s="45" t="s">
        <v>166</v>
      </c>
      <c r="I2421" s="45" t="s">
        <v>494</v>
      </c>
      <c r="J2421" s="143" t="s">
        <v>92</v>
      </c>
      <c r="K2421" s="43" t="str">
        <f t="array" ref="K2421">IF(J2421="","", XLOOKUP(J2421,'⚙️ Pengaturan'!$E$2:$E3237,'⚙️ Pengaturan'!$G$2:$G3237))</f>
        <v>KLINIK FT PAKET</v>
      </c>
      <c r="L2421" s="43" t="str">
        <f t="shared" si="72"/>
        <v>LANJUTAN</v>
      </c>
      <c r="M2421" s="144" t="s">
        <v>60</v>
      </c>
      <c r="N2421" s="145">
        <v>700000.0</v>
      </c>
      <c r="O2421" s="146">
        <v>0.0</v>
      </c>
      <c r="P2421" s="48">
        <f t="array" ref="P2421">IFNA(XLOOKUP(J2421,'⚙️ Pengaturan'!$E$2:$E3237,'⚙️ Pengaturan'!$F$2:$F3237),"")</f>
        <v>1200000</v>
      </c>
      <c r="Q2421" s="147">
        <f t="shared" si="73"/>
        <v>-500000</v>
      </c>
      <c r="R2421" s="41" t="s">
        <v>118</v>
      </c>
      <c r="S2421" s="69" t="s">
        <v>494</v>
      </c>
      <c r="T2421" s="51" t="b">
        <v>1</v>
      </c>
      <c r="U2421" s="94"/>
    </row>
    <row r="2422" ht="30.0" customHeight="1">
      <c r="A2422" s="39"/>
      <c r="B2422" s="164">
        <v>4463.0</v>
      </c>
      <c r="C2422" s="41" t="s">
        <v>39</v>
      </c>
      <c r="D2422" s="86">
        <v>46217.0</v>
      </c>
      <c r="E2422" s="43" t="str">
        <f t="shared" si="74"/>
        <v>2026</v>
      </c>
      <c r="F2422" s="43" t="str">
        <f t="shared" si="75"/>
        <v>07 Jul</v>
      </c>
      <c r="G2422" s="45" t="s">
        <v>35</v>
      </c>
      <c r="H2422" s="45" t="s">
        <v>359</v>
      </c>
      <c r="I2422" s="45" t="s">
        <v>1664</v>
      </c>
      <c r="J2422" s="143" t="s">
        <v>1545</v>
      </c>
      <c r="K2422" s="43" t="str">
        <f t="array" ref="K2422">IF(J2422="","", XLOOKUP(J2422,'⚙️ Pengaturan'!$E$2:$E3237,'⚙️ Pengaturan'!$G$2:$G3237))</f>
        <v>KLINIK SM SESI</v>
      </c>
      <c r="L2422" s="43" t="str">
        <f t="shared" si="72"/>
        <v>BARU</v>
      </c>
      <c r="M2422" s="144" t="s">
        <v>31</v>
      </c>
      <c r="N2422" s="145">
        <v>125000.0</v>
      </c>
      <c r="O2422" s="146">
        <v>0.0</v>
      </c>
      <c r="P2422" s="48">
        <f t="array" ref="P2422">IFNA(XLOOKUP(J2422,'⚙️ Pengaturan'!$E$2:$E3237,'⚙️ Pengaturan'!$F$2:$F3237),"")</f>
        <v>125000</v>
      </c>
      <c r="Q2422" s="147">
        <f t="shared" si="73"/>
        <v>0</v>
      </c>
      <c r="R2422" s="41" t="s">
        <v>93</v>
      </c>
      <c r="S2422" s="76" t="s">
        <v>33</v>
      </c>
      <c r="T2422" s="51" t="b">
        <v>1</v>
      </c>
      <c r="U2422" s="94"/>
    </row>
    <row r="2423" ht="30.0" customHeight="1">
      <c r="A2423" s="39"/>
      <c r="B2423" s="40">
        <v>4464.0</v>
      </c>
      <c r="C2423" s="41" t="s">
        <v>39</v>
      </c>
      <c r="D2423" s="86">
        <v>46217.0</v>
      </c>
      <c r="E2423" s="43" t="str">
        <f t="shared" si="74"/>
        <v>2026</v>
      </c>
      <c r="F2423" s="43" t="str">
        <f t="shared" si="75"/>
        <v>07 Jul</v>
      </c>
      <c r="G2423" s="45" t="s">
        <v>40</v>
      </c>
      <c r="H2423" s="45" t="s">
        <v>359</v>
      </c>
      <c r="I2423" s="45" t="s">
        <v>245</v>
      </c>
      <c r="J2423" s="143" t="s">
        <v>1547</v>
      </c>
      <c r="K2423" s="43" t="str">
        <f t="array" ref="K2423">IF(J2423="","", XLOOKUP(J2423,'⚙️ Pengaturan'!$E$2:$E3237,'⚙️ Pengaturan'!$G$2:$G3237))</f>
        <v>KLINIK SM SESI</v>
      </c>
      <c r="L2423" s="43" t="str">
        <f t="shared" si="72"/>
        <v>LANJUTAN</v>
      </c>
      <c r="M2423" s="144" t="s">
        <v>31</v>
      </c>
      <c r="N2423" s="145">
        <v>195000.0</v>
      </c>
      <c r="O2423" s="146">
        <v>0.0</v>
      </c>
      <c r="P2423" s="48">
        <f t="array" ref="P2423">IFNA(XLOOKUP(J2423,'⚙️ Pengaturan'!$E$2:$E3237,'⚙️ Pengaturan'!$F$2:$F3237),"")</f>
        <v>195000</v>
      </c>
      <c r="Q2423" s="147">
        <f t="shared" si="73"/>
        <v>0</v>
      </c>
      <c r="R2423" s="41" t="s">
        <v>37</v>
      </c>
      <c r="S2423" s="76" t="s">
        <v>245</v>
      </c>
      <c r="T2423" s="51" t="b">
        <v>1</v>
      </c>
      <c r="U2423" s="94"/>
    </row>
    <row r="2424" ht="30.0" customHeight="1">
      <c r="A2424" s="39"/>
      <c r="B2424" s="164">
        <v>4465.0</v>
      </c>
      <c r="C2424" s="41" t="s">
        <v>39</v>
      </c>
      <c r="D2424" s="86">
        <v>46217.0</v>
      </c>
      <c r="E2424" s="43" t="str">
        <f t="shared" si="74"/>
        <v>2026</v>
      </c>
      <c r="F2424" s="43" t="str">
        <f t="shared" si="75"/>
        <v>07 Jul</v>
      </c>
      <c r="G2424" s="45" t="s">
        <v>155</v>
      </c>
      <c r="H2424" s="45" t="s">
        <v>26</v>
      </c>
      <c r="I2424" s="45" t="s">
        <v>1681</v>
      </c>
      <c r="J2424" s="143" t="s">
        <v>119</v>
      </c>
      <c r="K2424" s="43" t="str">
        <f t="array" ref="K2424">IF(J2424="","", XLOOKUP(J2424,'⚙️ Pengaturan'!$E$2:$E3237,'⚙️ Pengaturan'!$G$2:$G3237))</f>
        <v>KLINIK FT PAKET</v>
      </c>
      <c r="L2424" s="43" t="str">
        <f t="shared" si="72"/>
        <v>BARU</v>
      </c>
      <c r="M2424" s="144" t="s">
        <v>31</v>
      </c>
      <c r="N2424" s="145">
        <v>750000.0</v>
      </c>
      <c r="O2424" s="146">
        <v>0.0</v>
      </c>
      <c r="P2424" s="48">
        <f t="array" ref="P2424">IFNA(XLOOKUP(J2424,'⚙️ Pengaturan'!$E$2:$E3237,'⚙️ Pengaturan'!$F$2:$F3237),"")</f>
        <v>750000</v>
      </c>
      <c r="Q2424" s="147">
        <f t="shared" si="73"/>
        <v>0</v>
      </c>
      <c r="R2424" s="41" t="s">
        <v>37</v>
      </c>
      <c r="S2424" s="69" t="s">
        <v>1681</v>
      </c>
      <c r="T2424" s="51" t="b">
        <v>1</v>
      </c>
      <c r="U2424" s="94"/>
    </row>
    <row r="2425" ht="30.0" customHeight="1">
      <c r="A2425" s="39"/>
      <c r="B2425" s="40">
        <v>4466.0</v>
      </c>
      <c r="C2425" s="41" t="s">
        <v>39</v>
      </c>
      <c r="D2425" s="86">
        <v>46217.0</v>
      </c>
      <c r="E2425" s="43" t="str">
        <f t="shared" si="74"/>
        <v>2026</v>
      </c>
      <c r="F2425" s="43" t="str">
        <f t="shared" si="75"/>
        <v>07 Jul</v>
      </c>
      <c r="G2425" s="45" t="s">
        <v>155</v>
      </c>
      <c r="H2425" s="45" t="s">
        <v>162</v>
      </c>
      <c r="I2425" s="45" t="s">
        <v>1700</v>
      </c>
      <c r="J2425" s="143" t="s">
        <v>28</v>
      </c>
      <c r="K2425" s="43" t="str">
        <f t="array" ref="K2425">IF(J2425="","", XLOOKUP(J2425,'⚙️ Pengaturan'!$E$2:$E3237,'⚙️ Pengaturan'!$G$2:$G3237))</f>
        <v>KLINIK FT TA</v>
      </c>
      <c r="L2425" s="43" t="str">
        <f t="shared" si="72"/>
        <v>BARU</v>
      </c>
      <c r="M2425" s="144" t="s">
        <v>31</v>
      </c>
      <c r="N2425" s="145">
        <v>250000.0</v>
      </c>
      <c r="O2425" s="146">
        <v>0.0</v>
      </c>
      <c r="P2425" s="48">
        <f t="array" ref="P2425">IFNA(XLOOKUP(J2425,'⚙️ Pengaturan'!$E$2:$E3237,'⚙️ Pengaturan'!$F$2:$F3237),"")</f>
        <v>250000</v>
      </c>
      <c r="Q2425" s="147">
        <f t="shared" si="73"/>
        <v>0</v>
      </c>
      <c r="R2425" s="41" t="s">
        <v>32</v>
      </c>
      <c r="S2425" s="76" t="s">
        <v>33</v>
      </c>
      <c r="T2425" s="51" t="b">
        <v>1</v>
      </c>
      <c r="U2425" s="94"/>
    </row>
    <row r="2426" ht="30.0" customHeight="1">
      <c r="A2426" s="39"/>
      <c r="B2426" s="164">
        <v>4467.0</v>
      </c>
      <c r="C2426" s="41" t="s">
        <v>39</v>
      </c>
      <c r="D2426" s="86">
        <v>46217.0</v>
      </c>
      <c r="E2426" s="43" t="str">
        <f t="shared" si="74"/>
        <v>2026</v>
      </c>
      <c r="F2426" s="43" t="str">
        <f t="shared" si="75"/>
        <v>07 Jul</v>
      </c>
      <c r="G2426" s="45" t="s">
        <v>190</v>
      </c>
      <c r="H2426" s="45" t="s">
        <v>359</v>
      </c>
      <c r="I2426" s="45" t="s">
        <v>1701</v>
      </c>
      <c r="J2426" s="143" t="s">
        <v>1547</v>
      </c>
      <c r="K2426" s="43" t="str">
        <f t="array" ref="K2426">IF(J2426="","", XLOOKUP(J2426,'⚙️ Pengaturan'!$E$2:$E3237,'⚙️ Pengaturan'!$G$2:$G3237))</f>
        <v>KLINIK SM SESI</v>
      </c>
      <c r="L2426" s="43" t="str">
        <f t="shared" si="72"/>
        <v>BARU</v>
      </c>
      <c r="M2426" s="144" t="s">
        <v>31</v>
      </c>
      <c r="N2426" s="145">
        <v>195000.0</v>
      </c>
      <c r="O2426" s="146">
        <v>0.0</v>
      </c>
      <c r="P2426" s="48">
        <f t="array" ref="P2426">IFNA(XLOOKUP(J2426,'⚙️ Pengaturan'!$E$2:$E3237,'⚙️ Pengaturan'!$F$2:$F3237),"")</f>
        <v>195000</v>
      </c>
      <c r="Q2426" s="147">
        <f t="shared" si="73"/>
        <v>0</v>
      </c>
      <c r="R2426" s="41" t="s">
        <v>37</v>
      </c>
      <c r="S2426" s="69" t="s">
        <v>1701</v>
      </c>
      <c r="T2426" s="51" t="b">
        <v>1</v>
      </c>
      <c r="U2426" s="94"/>
    </row>
    <row r="2427" ht="30.0" customHeight="1">
      <c r="A2427" s="39"/>
      <c r="B2427" s="40">
        <v>4468.0</v>
      </c>
      <c r="C2427" s="41" t="s">
        <v>39</v>
      </c>
      <c r="D2427" s="86">
        <v>46217.0</v>
      </c>
      <c r="E2427" s="43" t="str">
        <f t="shared" si="74"/>
        <v>2026</v>
      </c>
      <c r="F2427" s="43" t="str">
        <f t="shared" si="75"/>
        <v>07 Jul</v>
      </c>
      <c r="G2427" s="45" t="s">
        <v>190</v>
      </c>
      <c r="H2427" s="45" t="s">
        <v>166</v>
      </c>
      <c r="I2427" s="45" t="s">
        <v>1683</v>
      </c>
      <c r="J2427" s="143" t="s">
        <v>347</v>
      </c>
      <c r="K2427" s="43" t="str">
        <f t="array" ref="K2427">IF(J2427="","", XLOOKUP(J2427,'⚙️ Pengaturan'!$E$2:$E3237,'⚙️ Pengaturan'!$G$2:$G3237))</f>
        <v>KLINIK FT PAKET</v>
      </c>
      <c r="L2427" s="43" t="str">
        <f t="shared" si="72"/>
        <v>BARU</v>
      </c>
      <c r="M2427" s="144" t="s">
        <v>31</v>
      </c>
      <c r="N2427" s="145">
        <v>1300000.0</v>
      </c>
      <c r="O2427" s="146">
        <v>0.0</v>
      </c>
      <c r="P2427" s="48">
        <f t="array" ref="P2427">IFNA(XLOOKUP(J2427,'⚙️ Pengaturan'!$E$2:$E3237,'⚙️ Pengaturan'!$F$2:$F3237),"")</f>
        <v>1300000</v>
      </c>
      <c r="Q2427" s="147">
        <f t="shared" si="73"/>
        <v>0</v>
      </c>
      <c r="R2427" s="41" t="s">
        <v>37</v>
      </c>
      <c r="S2427" s="69" t="s">
        <v>1683</v>
      </c>
      <c r="T2427" s="51" t="b">
        <v>1</v>
      </c>
      <c r="U2427" s="94"/>
    </row>
    <row r="2428" ht="30.0" customHeight="1">
      <c r="A2428" s="39"/>
      <c r="B2428" s="164">
        <v>4469.0</v>
      </c>
      <c r="C2428" s="41" t="s">
        <v>39</v>
      </c>
      <c r="D2428" s="86">
        <v>46217.0</v>
      </c>
      <c r="E2428" s="43" t="str">
        <f t="shared" si="74"/>
        <v>2026</v>
      </c>
      <c r="F2428" s="43" t="str">
        <f t="shared" si="75"/>
        <v>07 Jul</v>
      </c>
      <c r="G2428" s="45" t="s">
        <v>190</v>
      </c>
      <c r="H2428" s="45" t="s">
        <v>150</v>
      </c>
      <c r="I2428" s="45" t="s">
        <v>1702</v>
      </c>
      <c r="J2428" s="143" t="s">
        <v>28</v>
      </c>
      <c r="K2428" s="43" t="str">
        <f t="array" ref="K2428">IF(J2428="","", XLOOKUP(J2428,'⚙️ Pengaturan'!$E$2:$E3237,'⚙️ Pengaturan'!$G$2:$G3237))</f>
        <v>KLINIK FT TA</v>
      </c>
      <c r="L2428" s="43" t="str">
        <f t="shared" si="72"/>
        <v>BARU</v>
      </c>
      <c r="M2428" s="144" t="s">
        <v>31</v>
      </c>
      <c r="N2428" s="145">
        <v>250000.0</v>
      </c>
      <c r="O2428" s="146">
        <v>0.0</v>
      </c>
      <c r="P2428" s="48">
        <f t="array" ref="P2428">IFNA(XLOOKUP(J2428,'⚙️ Pengaturan'!$E$2:$E3237,'⚙️ Pengaturan'!$F$2:$F3237),"")</f>
        <v>250000</v>
      </c>
      <c r="Q2428" s="147">
        <f t="shared" si="73"/>
        <v>0</v>
      </c>
      <c r="R2428" s="41" t="s">
        <v>37</v>
      </c>
      <c r="S2428" s="69" t="s">
        <v>1702</v>
      </c>
      <c r="T2428" s="51" t="b">
        <v>1</v>
      </c>
      <c r="U2428" s="94"/>
    </row>
    <row r="2429" ht="30.0" customHeight="1">
      <c r="A2429" s="39"/>
      <c r="B2429" s="40">
        <v>4470.0</v>
      </c>
      <c r="C2429" s="41" t="s">
        <v>22</v>
      </c>
      <c r="D2429" s="86">
        <v>46218.0</v>
      </c>
      <c r="E2429" s="43" t="str">
        <f t="shared" si="74"/>
        <v>2026</v>
      </c>
      <c r="F2429" s="43" t="str">
        <f t="shared" si="75"/>
        <v>07 Jul</v>
      </c>
      <c r="G2429" s="45" t="s">
        <v>25</v>
      </c>
      <c r="H2429" s="45" t="s">
        <v>76</v>
      </c>
      <c r="I2429" s="45" t="s">
        <v>1376</v>
      </c>
      <c r="J2429" s="143" t="s">
        <v>347</v>
      </c>
      <c r="K2429" s="43" t="str">
        <f t="array" ref="K2429">IF(J2429="","", XLOOKUP(J2429,'⚙️ Pengaturan'!$E$2:$E3237,'⚙️ Pengaturan'!$G$2:$G3237))</f>
        <v>KLINIK FT PAKET</v>
      </c>
      <c r="L2429" s="43" t="str">
        <f t="shared" si="72"/>
        <v>BARU</v>
      </c>
      <c r="M2429" s="144" t="s">
        <v>31</v>
      </c>
      <c r="N2429" s="145">
        <v>1300000.0</v>
      </c>
      <c r="O2429" s="146">
        <v>0.0</v>
      </c>
      <c r="P2429" s="48">
        <f t="array" ref="P2429">IFNA(XLOOKUP(J2429,'⚙️ Pengaturan'!$E$2:$E3237,'⚙️ Pengaturan'!$F$2:$F3237),"")</f>
        <v>1300000</v>
      </c>
      <c r="Q2429" s="147">
        <f t="shared" si="73"/>
        <v>0</v>
      </c>
      <c r="R2429" s="41" t="s">
        <v>37</v>
      </c>
      <c r="S2429" s="76" t="s">
        <v>1376</v>
      </c>
      <c r="T2429" s="51" t="b">
        <v>1</v>
      </c>
      <c r="U2429" s="94"/>
    </row>
    <row r="2430" ht="30.0" customHeight="1">
      <c r="A2430" s="39"/>
      <c r="B2430" s="164">
        <v>4471.0</v>
      </c>
      <c r="C2430" s="41" t="s">
        <v>22</v>
      </c>
      <c r="D2430" s="86">
        <v>46218.0</v>
      </c>
      <c r="E2430" s="43" t="str">
        <f t="shared" si="74"/>
        <v>2026</v>
      </c>
      <c r="F2430" s="43" t="str">
        <f t="shared" si="75"/>
        <v>07 Jul</v>
      </c>
      <c r="G2430" s="45" t="s">
        <v>25</v>
      </c>
      <c r="H2430" s="45" t="s">
        <v>47</v>
      </c>
      <c r="I2430" s="45" t="s">
        <v>1432</v>
      </c>
      <c r="J2430" s="143" t="s">
        <v>347</v>
      </c>
      <c r="K2430" s="43" t="str">
        <f t="array" ref="K2430">IF(J2430="","", XLOOKUP(J2430,'⚙️ Pengaturan'!$E$2:$E3237,'⚙️ Pengaturan'!$G$2:$G3237))</f>
        <v>KLINIK FT PAKET</v>
      </c>
      <c r="L2430" s="43" t="str">
        <f t="shared" si="72"/>
        <v>LANJUTAN</v>
      </c>
      <c r="M2430" s="144" t="s">
        <v>164</v>
      </c>
      <c r="N2430" s="145">
        <v>700000.0</v>
      </c>
      <c r="O2430" s="146">
        <v>600000.0</v>
      </c>
      <c r="P2430" s="48">
        <f t="array" ref="P2430">IFNA(XLOOKUP(J2430,'⚙️ Pengaturan'!$E$2:$E3237,'⚙️ Pengaturan'!$F$2:$F3237),"")</f>
        <v>1300000</v>
      </c>
      <c r="Q2430" s="147">
        <f t="shared" si="73"/>
        <v>0</v>
      </c>
      <c r="R2430" s="41" t="s">
        <v>37</v>
      </c>
      <c r="S2430" s="76" t="s">
        <v>1433</v>
      </c>
      <c r="T2430" s="51" t="b">
        <v>1</v>
      </c>
      <c r="U2430" s="94"/>
    </row>
    <row r="2431" ht="30.0" customHeight="1">
      <c r="A2431" s="39"/>
      <c r="B2431" s="40">
        <v>4472.0</v>
      </c>
      <c r="C2431" s="41" t="s">
        <v>22</v>
      </c>
      <c r="D2431" s="86">
        <v>46218.0</v>
      </c>
      <c r="E2431" s="43" t="str">
        <f t="shared" si="74"/>
        <v>2026</v>
      </c>
      <c r="F2431" s="43" t="str">
        <f t="shared" si="75"/>
        <v>07 Jul</v>
      </c>
      <c r="G2431" s="45" t="s">
        <v>25</v>
      </c>
      <c r="H2431" s="45" t="s">
        <v>156</v>
      </c>
      <c r="I2431" s="45" t="s">
        <v>1669</v>
      </c>
      <c r="J2431" s="143" t="s">
        <v>347</v>
      </c>
      <c r="K2431" s="43" t="str">
        <f t="array" ref="K2431">IF(J2431="","", XLOOKUP(J2431,'⚙️ Pengaturan'!$E$2:$E3237,'⚙️ Pengaturan'!$G$2:$G3237))</f>
        <v>KLINIK FT PAKET</v>
      </c>
      <c r="L2431" s="43" t="str">
        <f t="shared" si="72"/>
        <v>LANJUTAN</v>
      </c>
      <c r="M2431" s="144" t="s">
        <v>81</v>
      </c>
      <c r="N2431" s="145">
        <v>300000.0</v>
      </c>
      <c r="O2431" s="146">
        <v>300000.0</v>
      </c>
      <c r="P2431" s="48">
        <f t="array" ref="P2431">IFNA(XLOOKUP(J2431,'⚙️ Pengaturan'!$E$2:$E3237,'⚙️ Pengaturan'!$F$2:$F3237),"")</f>
        <v>1300000</v>
      </c>
      <c r="Q2431" s="147">
        <f t="shared" si="73"/>
        <v>-700000</v>
      </c>
      <c r="R2431" s="41" t="s">
        <v>32</v>
      </c>
      <c r="S2431" s="76" t="s">
        <v>33</v>
      </c>
      <c r="T2431" s="51" t="b">
        <v>1</v>
      </c>
      <c r="U2431" s="94"/>
    </row>
    <row r="2432" ht="30.0" customHeight="1">
      <c r="A2432" s="39"/>
      <c r="B2432" s="164">
        <v>4473.0</v>
      </c>
      <c r="C2432" s="41" t="s">
        <v>22</v>
      </c>
      <c r="D2432" s="86">
        <v>46218.0</v>
      </c>
      <c r="E2432" s="43" t="str">
        <f t="shared" si="74"/>
        <v>2026</v>
      </c>
      <c r="F2432" s="43" t="str">
        <f t="shared" si="75"/>
        <v>07 Jul</v>
      </c>
      <c r="G2432" s="45" t="s">
        <v>241</v>
      </c>
      <c r="H2432" s="45" t="s">
        <v>149</v>
      </c>
      <c r="I2432" s="45" t="s">
        <v>1703</v>
      </c>
      <c r="J2432" s="143" t="s">
        <v>28</v>
      </c>
      <c r="K2432" s="43" t="str">
        <f t="array" ref="K2432">IF(J2432="","", XLOOKUP(J2432,'⚙️ Pengaturan'!$E$2:$E3237,'⚙️ Pengaturan'!$G$2:$G3237))</f>
        <v>KLINIK FT TA</v>
      </c>
      <c r="L2432" s="43" t="str">
        <f t="shared" si="72"/>
        <v>BARU</v>
      </c>
      <c r="M2432" s="144" t="s">
        <v>31</v>
      </c>
      <c r="N2432" s="145">
        <v>250000.0</v>
      </c>
      <c r="O2432" s="146">
        <v>0.0</v>
      </c>
      <c r="P2432" s="48">
        <f t="array" ref="P2432">IFNA(XLOOKUP(J2432,'⚙️ Pengaturan'!$E$2:$E3237,'⚙️ Pengaturan'!$F$2:$F3237),"")</f>
        <v>250000</v>
      </c>
      <c r="Q2432" s="147">
        <f t="shared" si="73"/>
        <v>0</v>
      </c>
      <c r="R2432" s="41" t="s">
        <v>37</v>
      </c>
      <c r="S2432" s="69" t="s">
        <v>1703</v>
      </c>
      <c r="T2432" s="51" t="b">
        <v>1</v>
      </c>
      <c r="U2432" s="94"/>
    </row>
    <row r="2433" ht="30.0" customHeight="1">
      <c r="A2433" s="39"/>
      <c r="B2433" s="40">
        <v>4474.0</v>
      </c>
      <c r="C2433" s="41" t="s">
        <v>22</v>
      </c>
      <c r="D2433" s="86">
        <v>46218.0</v>
      </c>
      <c r="E2433" s="43" t="str">
        <f t="shared" si="74"/>
        <v>2026</v>
      </c>
      <c r="F2433" s="43" t="str">
        <f t="shared" si="75"/>
        <v>07 Jul</v>
      </c>
      <c r="G2433" s="45" t="s">
        <v>161</v>
      </c>
      <c r="H2433" s="45" t="s">
        <v>41</v>
      </c>
      <c r="I2433" s="45" t="s">
        <v>1687</v>
      </c>
      <c r="J2433" s="143" t="s">
        <v>120</v>
      </c>
      <c r="K2433" s="43" t="str">
        <f t="array" ref="K2433">IF(J2433="","", XLOOKUP(J2433,'⚙️ Pengaturan'!$E$2:$E3237,'⚙️ Pengaturan'!$G$2:$G3237))</f>
        <v>KLINIK FT SESI</v>
      </c>
      <c r="L2433" s="43" t="str">
        <f t="shared" si="72"/>
        <v>BARU</v>
      </c>
      <c r="M2433" s="144" t="s">
        <v>31</v>
      </c>
      <c r="N2433" s="145">
        <v>180000.0</v>
      </c>
      <c r="O2433" s="146">
        <v>0.0</v>
      </c>
      <c r="P2433" s="48">
        <f t="array" ref="P2433">IFNA(XLOOKUP(J2433,'⚙️ Pengaturan'!$E$2:$E3237,'⚙️ Pengaturan'!$F$2:$F3237),"")</f>
        <v>180000</v>
      </c>
      <c r="Q2433" s="147">
        <f t="shared" si="73"/>
        <v>0</v>
      </c>
      <c r="R2433" s="41" t="s">
        <v>118</v>
      </c>
      <c r="S2433" s="69" t="s">
        <v>1687</v>
      </c>
      <c r="T2433" s="51" t="b">
        <v>1</v>
      </c>
      <c r="U2433" s="94"/>
    </row>
    <row r="2434" ht="30.0" customHeight="1">
      <c r="A2434" s="39"/>
      <c r="B2434" s="164">
        <v>4475.0</v>
      </c>
      <c r="C2434" s="41" t="s">
        <v>22</v>
      </c>
      <c r="D2434" s="86">
        <v>46218.0</v>
      </c>
      <c r="E2434" s="43" t="str">
        <f t="shared" si="74"/>
        <v>2026</v>
      </c>
      <c r="F2434" s="43" t="str">
        <f t="shared" si="75"/>
        <v>07 Jul</v>
      </c>
      <c r="G2434" s="45" t="s">
        <v>35</v>
      </c>
      <c r="H2434" s="45" t="s">
        <v>47</v>
      </c>
      <c r="I2434" s="45" t="s">
        <v>1704</v>
      </c>
      <c r="J2434" s="143" t="s">
        <v>28</v>
      </c>
      <c r="K2434" s="43" t="str">
        <f t="array" ref="K2434">IF(J2434="","", XLOOKUP(J2434,'⚙️ Pengaturan'!$E$2:$E3237,'⚙️ Pengaturan'!$G$2:$G3237))</f>
        <v>KLINIK FT TA</v>
      </c>
      <c r="L2434" s="43" t="str">
        <f t="shared" si="72"/>
        <v>BARU</v>
      </c>
      <c r="M2434" s="144" t="s">
        <v>31</v>
      </c>
      <c r="N2434" s="145">
        <v>250000.0</v>
      </c>
      <c r="O2434" s="146">
        <v>0.0</v>
      </c>
      <c r="P2434" s="48">
        <f t="array" ref="P2434">IFNA(XLOOKUP(J2434,'⚙️ Pengaturan'!$E$2:$E3237,'⚙️ Pengaturan'!$F$2:$F3237),"")</f>
        <v>250000</v>
      </c>
      <c r="Q2434" s="147">
        <f t="shared" si="73"/>
        <v>0</v>
      </c>
      <c r="R2434" s="41" t="s">
        <v>32</v>
      </c>
      <c r="S2434" s="76" t="s">
        <v>33</v>
      </c>
      <c r="T2434" s="51" t="b">
        <v>1</v>
      </c>
      <c r="U2434" s="94"/>
    </row>
    <row r="2435" ht="30.0" customHeight="1">
      <c r="A2435" s="39"/>
      <c r="B2435" s="40">
        <v>4476.0</v>
      </c>
      <c r="C2435" s="41" t="s">
        <v>22</v>
      </c>
      <c r="D2435" s="86">
        <v>46218.0</v>
      </c>
      <c r="E2435" s="43" t="str">
        <f t="shared" si="74"/>
        <v>2026</v>
      </c>
      <c r="F2435" s="43" t="str">
        <f t="shared" si="75"/>
        <v>07 Jul</v>
      </c>
      <c r="G2435" s="45" t="s">
        <v>35</v>
      </c>
      <c r="H2435" s="45" t="s">
        <v>149</v>
      </c>
      <c r="I2435" s="45" t="s">
        <v>1705</v>
      </c>
      <c r="J2435" s="143" t="s">
        <v>28</v>
      </c>
      <c r="K2435" s="43" t="str">
        <f t="array" ref="K2435">IF(J2435="","", XLOOKUP(J2435,'⚙️ Pengaturan'!$E$2:$E3237,'⚙️ Pengaturan'!$G$2:$G3237))</f>
        <v>KLINIK FT TA</v>
      </c>
      <c r="L2435" s="43" t="str">
        <f t="shared" si="72"/>
        <v>BARU</v>
      </c>
      <c r="M2435" s="144" t="s">
        <v>31</v>
      </c>
      <c r="N2435" s="145">
        <v>250000.0</v>
      </c>
      <c r="O2435" s="146">
        <v>0.0</v>
      </c>
      <c r="P2435" s="48">
        <f t="array" ref="P2435">IFNA(XLOOKUP(J2435,'⚙️ Pengaturan'!$E$2:$E3237,'⚙️ Pengaturan'!$F$2:$F3237),"")</f>
        <v>250000</v>
      </c>
      <c r="Q2435" s="147">
        <f t="shared" si="73"/>
        <v>0</v>
      </c>
      <c r="R2435" s="41" t="s">
        <v>37</v>
      </c>
      <c r="S2435" s="69" t="s">
        <v>1705</v>
      </c>
      <c r="T2435" s="51" t="b">
        <v>1</v>
      </c>
      <c r="U2435" s="94"/>
    </row>
    <row r="2436" ht="30.0" customHeight="1">
      <c r="A2436" s="39"/>
      <c r="B2436" s="164">
        <v>4477.0</v>
      </c>
      <c r="C2436" s="41" t="s">
        <v>22</v>
      </c>
      <c r="D2436" s="86">
        <v>46218.0</v>
      </c>
      <c r="E2436" s="43" t="str">
        <f t="shared" si="74"/>
        <v>2026</v>
      </c>
      <c r="F2436" s="43" t="str">
        <f t="shared" si="75"/>
        <v>07 Jul</v>
      </c>
      <c r="G2436" s="45" t="s">
        <v>35</v>
      </c>
      <c r="H2436" s="45" t="s">
        <v>47</v>
      </c>
      <c r="I2436" s="45" t="s">
        <v>1704</v>
      </c>
      <c r="J2436" s="143" t="s">
        <v>119</v>
      </c>
      <c r="K2436" s="43" t="str">
        <f t="array" ref="K2436">IF(J2436="","", XLOOKUP(J2436,'⚙️ Pengaturan'!$E$2:$E3237,'⚙️ Pengaturan'!$G$2:$G3237))</f>
        <v>KLINIK FT PAKET</v>
      </c>
      <c r="L2436" s="43" t="str">
        <f t="shared" si="72"/>
        <v>BARU</v>
      </c>
      <c r="M2436" s="144" t="s">
        <v>60</v>
      </c>
      <c r="N2436" s="145">
        <v>300000.0</v>
      </c>
      <c r="O2436" s="146">
        <v>0.0</v>
      </c>
      <c r="P2436" s="48">
        <f t="array" ref="P2436">IFNA(XLOOKUP(J2436,'⚙️ Pengaturan'!$E$2:$E3237,'⚙️ Pengaturan'!$F$2:$F3237),"")</f>
        <v>750000</v>
      </c>
      <c r="Q2436" s="147">
        <f t="shared" si="73"/>
        <v>-450000</v>
      </c>
      <c r="R2436" s="41" t="s">
        <v>32</v>
      </c>
      <c r="S2436" s="76" t="s">
        <v>33</v>
      </c>
      <c r="T2436" s="51" t="b">
        <v>1</v>
      </c>
      <c r="U2436" s="94"/>
    </row>
    <row r="2437" ht="30.0" customHeight="1">
      <c r="A2437" s="39"/>
      <c r="B2437" s="40">
        <v>4478.0</v>
      </c>
      <c r="C2437" s="41" t="s">
        <v>22</v>
      </c>
      <c r="D2437" s="86">
        <v>46218.0</v>
      </c>
      <c r="E2437" s="43" t="str">
        <f t="shared" si="74"/>
        <v>2026</v>
      </c>
      <c r="F2437" s="43" t="str">
        <f t="shared" si="75"/>
        <v>07 Jul</v>
      </c>
      <c r="G2437" s="45" t="s">
        <v>35</v>
      </c>
      <c r="H2437" s="45" t="s">
        <v>149</v>
      </c>
      <c r="I2437" s="45" t="s">
        <v>1706</v>
      </c>
      <c r="J2437" s="143" t="s">
        <v>28</v>
      </c>
      <c r="K2437" s="43" t="str">
        <f t="array" ref="K2437">IF(J2437="","", XLOOKUP(J2437,'⚙️ Pengaturan'!$E$2:$E3237,'⚙️ Pengaturan'!$G$2:$G3237))</f>
        <v>KLINIK FT TA</v>
      </c>
      <c r="L2437" s="43" t="str">
        <f t="shared" si="72"/>
        <v>BARU</v>
      </c>
      <c r="M2437" s="144" t="s">
        <v>31</v>
      </c>
      <c r="N2437" s="145">
        <v>0.0</v>
      </c>
      <c r="O2437" s="146">
        <v>250000.0</v>
      </c>
      <c r="P2437" s="48">
        <f t="array" ref="P2437">IFNA(XLOOKUP(J2437,'⚙️ Pengaturan'!$E$2:$E3237,'⚙️ Pengaturan'!$F$2:$F3237),"")</f>
        <v>250000</v>
      </c>
      <c r="Q2437" s="147">
        <f t="shared" si="73"/>
        <v>0</v>
      </c>
      <c r="R2437" s="41" t="s">
        <v>32</v>
      </c>
      <c r="S2437" s="76" t="s">
        <v>33</v>
      </c>
      <c r="T2437" s="51" t="b">
        <v>1</v>
      </c>
      <c r="U2437" s="94"/>
    </row>
    <row r="2438" ht="30.0" customHeight="1">
      <c r="A2438" s="39"/>
      <c r="B2438" s="164">
        <v>4479.0</v>
      </c>
      <c r="C2438" s="41" t="s">
        <v>39</v>
      </c>
      <c r="D2438" s="86">
        <v>46218.0</v>
      </c>
      <c r="E2438" s="43" t="str">
        <f t="shared" si="74"/>
        <v>2026</v>
      </c>
      <c r="F2438" s="43" t="str">
        <f t="shared" si="75"/>
        <v>07 Jul</v>
      </c>
      <c r="G2438" s="45" t="s">
        <v>35</v>
      </c>
      <c r="H2438" s="45" t="s">
        <v>359</v>
      </c>
      <c r="I2438" s="45" t="s">
        <v>888</v>
      </c>
      <c r="J2438" s="143" t="s">
        <v>1545</v>
      </c>
      <c r="K2438" s="43" t="str">
        <f t="array" ref="K2438">IF(J2438="","", XLOOKUP(J2438,'⚙️ Pengaturan'!$E$2:$E3237,'⚙️ Pengaturan'!$G$2:$G3237))</f>
        <v>KLINIK SM SESI</v>
      </c>
      <c r="L2438" s="43" t="str">
        <f t="shared" si="72"/>
        <v>BARU</v>
      </c>
      <c r="M2438" s="144" t="s">
        <v>31</v>
      </c>
      <c r="N2438" s="145">
        <v>125000.0</v>
      </c>
      <c r="O2438" s="146">
        <v>0.0</v>
      </c>
      <c r="P2438" s="48">
        <f t="array" ref="P2438">IFNA(XLOOKUP(J2438,'⚙️ Pengaturan'!$E$2:$E3237,'⚙️ Pengaturan'!$F$2:$F3237),"")</f>
        <v>125000</v>
      </c>
      <c r="Q2438" s="147">
        <f t="shared" si="73"/>
        <v>0</v>
      </c>
      <c r="R2438" s="41" t="s">
        <v>32</v>
      </c>
      <c r="S2438" s="76" t="s">
        <v>33</v>
      </c>
      <c r="T2438" s="51" t="b">
        <v>1</v>
      </c>
      <c r="U2438" s="94"/>
    </row>
    <row r="2439" ht="30.0" customHeight="1">
      <c r="A2439" s="39"/>
      <c r="B2439" s="40">
        <v>4480.0</v>
      </c>
      <c r="C2439" s="41" t="s">
        <v>39</v>
      </c>
      <c r="D2439" s="86">
        <v>46218.0</v>
      </c>
      <c r="E2439" s="43" t="str">
        <f t="shared" si="74"/>
        <v>2026</v>
      </c>
      <c r="F2439" s="43" t="str">
        <f t="shared" si="75"/>
        <v>07 Jul</v>
      </c>
      <c r="G2439" s="45" t="s">
        <v>40</v>
      </c>
      <c r="H2439" s="45" t="s">
        <v>359</v>
      </c>
      <c r="I2439" s="45" t="s">
        <v>470</v>
      </c>
      <c r="J2439" s="143" t="s">
        <v>1545</v>
      </c>
      <c r="K2439" s="43" t="str">
        <f t="array" ref="K2439">IF(J2439="","", XLOOKUP(J2439,'⚙️ Pengaturan'!$E$2:$E3237,'⚙️ Pengaturan'!$G$2:$G3237))</f>
        <v>KLINIK SM SESI</v>
      </c>
      <c r="L2439" s="43" t="str">
        <f t="shared" si="72"/>
        <v>BARU</v>
      </c>
      <c r="M2439" s="144" t="s">
        <v>31</v>
      </c>
      <c r="N2439" s="145">
        <v>125000.0</v>
      </c>
      <c r="O2439" s="146">
        <v>0.0</v>
      </c>
      <c r="P2439" s="48">
        <f t="array" ref="P2439">IFNA(XLOOKUP(J2439,'⚙️ Pengaturan'!$E$2:$E3237,'⚙️ Pengaturan'!$F$2:$F3237),"")</f>
        <v>125000</v>
      </c>
      <c r="Q2439" s="147">
        <f t="shared" si="73"/>
        <v>0</v>
      </c>
      <c r="R2439" s="41" t="s">
        <v>93</v>
      </c>
      <c r="S2439" s="76" t="s">
        <v>33</v>
      </c>
      <c r="T2439" s="51" t="b">
        <v>1</v>
      </c>
      <c r="U2439" s="94"/>
    </row>
    <row r="2440" ht="30.0" customHeight="1">
      <c r="A2440" s="39"/>
      <c r="B2440" s="164">
        <v>4481.0</v>
      </c>
      <c r="C2440" s="41" t="s">
        <v>39</v>
      </c>
      <c r="D2440" s="86">
        <v>46218.0</v>
      </c>
      <c r="E2440" s="43" t="str">
        <f t="shared" si="74"/>
        <v>2026</v>
      </c>
      <c r="F2440" s="43" t="str">
        <f t="shared" si="75"/>
        <v>07 Jul</v>
      </c>
      <c r="G2440" s="45" t="s">
        <v>173</v>
      </c>
      <c r="H2440" s="45" t="s">
        <v>150</v>
      </c>
      <c r="I2440" s="45" t="s">
        <v>1707</v>
      </c>
      <c r="J2440" s="143" t="s">
        <v>28</v>
      </c>
      <c r="K2440" s="43" t="str">
        <f t="array" ref="K2440">IF(J2440="","", XLOOKUP(J2440,'⚙️ Pengaturan'!$E$2:$E3237,'⚙️ Pengaturan'!$G$2:$G3237))</f>
        <v>KLINIK FT TA</v>
      </c>
      <c r="L2440" s="43" t="str">
        <f t="shared" si="72"/>
        <v>BARU</v>
      </c>
      <c r="M2440" s="144" t="s">
        <v>31</v>
      </c>
      <c r="N2440" s="145">
        <v>250000.0</v>
      </c>
      <c r="O2440" s="146">
        <v>0.0</v>
      </c>
      <c r="P2440" s="48">
        <f t="array" ref="P2440">IFNA(XLOOKUP(J2440,'⚙️ Pengaturan'!$E$2:$E3237,'⚙️ Pengaturan'!$F$2:$F3237),"")</f>
        <v>250000</v>
      </c>
      <c r="Q2440" s="147">
        <f t="shared" si="73"/>
        <v>0</v>
      </c>
      <c r="R2440" s="41" t="s">
        <v>93</v>
      </c>
      <c r="S2440" s="76" t="s">
        <v>33</v>
      </c>
      <c r="T2440" s="51" t="b">
        <v>1</v>
      </c>
      <c r="U2440" s="94"/>
    </row>
    <row r="2441" ht="30.0" customHeight="1">
      <c r="A2441" s="39"/>
      <c r="B2441" s="40">
        <v>4482.0</v>
      </c>
      <c r="C2441" s="41" t="s">
        <v>39</v>
      </c>
      <c r="D2441" s="86">
        <v>46218.0</v>
      </c>
      <c r="E2441" s="43" t="str">
        <f t="shared" si="74"/>
        <v>2026</v>
      </c>
      <c r="F2441" s="43" t="str">
        <f t="shared" si="75"/>
        <v>07 Jul</v>
      </c>
      <c r="G2441" s="45" t="s">
        <v>46</v>
      </c>
      <c r="H2441" s="45" t="s">
        <v>162</v>
      </c>
      <c r="I2441" s="45" t="s">
        <v>1133</v>
      </c>
      <c r="J2441" s="143" t="s">
        <v>120</v>
      </c>
      <c r="K2441" s="43" t="str">
        <f t="array" ref="K2441">IF(J2441="","", XLOOKUP(J2441,'⚙️ Pengaturan'!$E$2:$E3237,'⚙️ Pengaturan'!$G$2:$G3237))</f>
        <v>KLINIK FT SESI</v>
      </c>
      <c r="L2441" s="43" t="str">
        <f t="shared" si="72"/>
        <v>LANJUTAN</v>
      </c>
      <c r="M2441" s="144" t="s">
        <v>31</v>
      </c>
      <c r="N2441" s="145">
        <v>180000.0</v>
      </c>
      <c r="O2441" s="146">
        <v>0.0</v>
      </c>
      <c r="P2441" s="48">
        <f t="array" ref="P2441">IFNA(XLOOKUP(J2441,'⚙️ Pengaturan'!$E$2:$E3237,'⚙️ Pengaturan'!$F$2:$F3237),"")</f>
        <v>180000</v>
      </c>
      <c r="Q2441" s="147">
        <f t="shared" si="73"/>
        <v>0</v>
      </c>
      <c r="R2441" s="41" t="s">
        <v>37</v>
      </c>
      <c r="S2441" s="76" t="s">
        <v>33</v>
      </c>
      <c r="T2441" s="51" t="b">
        <v>1</v>
      </c>
      <c r="U2441" s="94"/>
    </row>
    <row r="2442" ht="30.0" customHeight="1">
      <c r="A2442" s="39"/>
      <c r="B2442" s="164">
        <v>4483.0</v>
      </c>
      <c r="C2442" s="41" t="s">
        <v>39</v>
      </c>
      <c r="D2442" s="86">
        <v>46218.0</v>
      </c>
      <c r="E2442" s="43" t="str">
        <f t="shared" si="74"/>
        <v>2026</v>
      </c>
      <c r="F2442" s="43" t="str">
        <f t="shared" si="75"/>
        <v>07 Jul</v>
      </c>
      <c r="G2442" s="45" t="s">
        <v>155</v>
      </c>
      <c r="H2442" s="45" t="s">
        <v>150</v>
      </c>
      <c r="I2442" s="45" t="s">
        <v>1708</v>
      </c>
      <c r="J2442" s="143" t="s">
        <v>28</v>
      </c>
      <c r="K2442" s="43" t="str">
        <f t="array" ref="K2442">IF(J2442="","", XLOOKUP(J2442,'⚙️ Pengaturan'!$E$2:$E3237,'⚙️ Pengaturan'!$G$2:$G3237))</f>
        <v>KLINIK FT TA</v>
      </c>
      <c r="L2442" s="43" t="str">
        <f t="shared" si="72"/>
        <v>BARU</v>
      </c>
      <c r="M2442" s="144" t="s">
        <v>31</v>
      </c>
      <c r="N2442" s="145">
        <v>250000.0</v>
      </c>
      <c r="O2442" s="146">
        <v>0.0</v>
      </c>
      <c r="P2442" s="48">
        <f t="array" ref="P2442">IFNA(XLOOKUP(J2442,'⚙️ Pengaturan'!$E$2:$E3237,'⚙️ Pengaturan'!$F$2:$F3237),"")</f>
        <v>250000</v>
      </c>
      <c r="Q2442" s="147">
        <f t="shared" si="73"/>
        <v>0</v>
      </c>
      <c r="R2442" s="41" t="s">
        <v>37</v>
      </c>
      <c r="S2442" s="69" t="s">
        <v>1708</v>
      </c>
      <c r="T2442" s="51" t="b">
        <v>1</v>
      </c>
      <c r="U2442" s="94"/>
    </row>
    <row r="2443" ht="30.0" customHeight="1">
      <c r="A2443" s="39"/>
      <c r="B2443" s="40">
        <v>4484.0</v>
      </c>
      <c r="C2443" s="41" t="s">
        <v>39</v>
      </c>
      <c r="D2443" s="86">
        <v>46218.0</v>
      </c>
      <c r="E2443" s="43" t="str">
        <f t="shared" si="74"/>
        <v>2026</v>
      </c>
      <c r="F2443" s="43" t="str">
        <f t="shared" si="75"/>
        <v>07 Jul</v>
      </c>
      <c r="G2443" s="45" t="s">
        <v>190</v>
      </c>
      <c r="H2443" s="45" t="s">
        <v>26</v>
      </c>
      <c r="I2443" s="45" t="s">
        <v>1709</v>
      </c>
      <c r="J2443" s="143" t="s">
        <v>28</v>
      </c>
      <c r="K2443" s="43" t="str">
        <f t="array" ref="K2443">IF(J2443="","", XLOOKUP(J2443,'⚙️ Pengaturan'!$E$2:$E3237,'⚙️ Pengaturan'!$G$2:$G3237))</f>
        <v>KLINIK FT TA</v>
      </c>
      <c r="L2443" s="43" t="str">
        <f t="shared" si="72"/>
        <v>BARU</v>
      </c>
      <c r="M2443" s="144" t="s">
        <v>31</v>
      </c>
      <c r="N2443" s="145">
        <v>250000.0</v>
      </c>
      <c r="O2443" s="146">
        <v>0.0</v>
      </c>
      <c r="P2443" s="48">
        <f t="array" ref="P2443">IFNA(XLOOKUP(J2443,'⚙️ Pengaturan'!$E$2:$E3237,'⚙️ Pengaturan'!$F$2:$F3237),"")</f>
        <v>250000</v>
      </c>
      <c r="Q2443" s="147">
        <f t="shared" si="73"/>
        <v>0</v>
      </c>
      <c r="R2443" s="41" t="s">
        <v>37</v>
      </c>
      <c r="S2443" s="69" t="s">
        <v>1709</v>
      </c>
      <c r="T2443" s="51" t="b">
        <v>1</v>
      </c>
      <c r="U2443" s="94"/>
    </row>
    <row r="2444" ht="30.0" customHeight="1">
      <c r="A2444" s="39"/>
      <c r="B2444" s="164">
        <v>4485.0</v>
      </c>
      <c r="C2444" s="41" t="s">
        <v>39</v>
      </c>
      <c r="D2444" s="86">
        <v>46218.0</v>
      </c>
      <c r="E2444" s="43" t="str">
        <f t="shared" si="74"/>
        <v>2026</v>
      </c>
      <c r="F2444" s="43" t="str">
        <f t="shared" si="75"/>
        <v>07 Jul</v>
      </c>
      <c r="G2444" s="45" t="s">
        <v>190</v>
      </c>
      <c r="H2444" s="45" t="s">
        <v>26</v>
      </c>
      <c r="I2444" s="45" t="s">
        <v>1709</v>
      </c>
      <c r="J2444" s="143" t="s">
        <v>119</v>
      </c>
      <c r="K2444" s="43" t="str">
        <f t="array" ref="K2444">IF(J2444="","", XLOOKUP(J2444,'⚙️ Pengaturan'!$E$2:$E3237,'⚙️ Pengaturan'!$G$2:$G3237))</f>
        <v>KLINIK FT PAKET</v>
      </c>
      <c r="L2444" s="43" t="str">
        <f t="shared" si="72"/>
        <v>BARU</v>
      </c>
      <c r="M2444" s="144" t="s">
        <v>31</v>
      </c>
      <c r="N2444" s="145">
        <v>750000.0</v>
      </c>
      <c r="O2444" s="146">
        <v>0.0</v>
      </c>
      <c r="P2444" s="48">
        <f t="array" ref="P2444">IFNA(XLOOKUP(J2444,'⚙️ Pengaturan'!$E$2:$E3237,'⚙️ Pengaturan'!$F$2:$F3237),"")</f>
        <v>750000</v>
      </c>
      <c r="Q2444" s="147">
        <f t="shared" si="73"/>
        <v>0</v>
      </c>
      <c r="R2444" s="41" t="s">
        <v>37</v>
      </c>
      <c r="S2444" s="69" t="s">
        <v>1709</v>
      </c>
      <c r="T2444" s="51" t="b">
        <v>1</v>
      </c>
      <c r="U2444" s="94"/>
    </row>
    <row r="2445" ht="30.0" customHeight="1">
      <c r="A2445" s="39"/>
      <c r="B2445" s="40">
        <v>4486.0</v>
      </c>
      <c r="C2445" s="41" t="s">
        <v>22</v>
      </c>
      <c r="D2445" s="86">
        <v>46219.0</v>
      </c>
      <c r="E2445" s="43" t="str">
        <f t="shared" si="74"/>
        <v>2026</v>
      </c>
      <c r="F2445" s="43" t="str">
        <f t="shared" si="75"/>
        <v>07 Jul</v>
      </c>
      <c r="G2445" s="45" t="s">
        <v>195</v>
      </c>
      <c r="H2445" s="45" t="s">
        <v>162</v>
      </c>
      <c r="I2445" s="45" t="s">
        <v>1710</v>
      </c>
      <c r="J2445" s="143" t="s">
        <v>28</v>
      </c>
      <c r="K2445" s="43" t="str">
        <f t="array" ref="K2445">IF(J2445="","", XLOOKUP(J2445,'⚙️ Pengaturan'!$E$2:$E3237,'⚙️ Pengaturan'!$G$2:$G3237))</f>
        <v>KLINIK FT TA</v>
      </c>
      <c r="L2445" s="43" t="str">
        <f t="shared" si="72"/>
        <v>BARU</v>
      </c>
      <c r="M2445" s="144" t="s">
        <v>31</v>
      </c>
      <c r="N2445" s="145">
        <v>250000.0</v>
      </c>
      <c r="O2445" s="146">
        <v>0.0</v>
      </c>
      <c r="P2445" s="48">
        <f t="array" ref="P2445">IFNA(XLOOKUP(J2445,'⚙️ Pengaturan'!$E$2:$E3237,'⚙️ Pengaturan'!$F$2:$F3237),"")</f>
        <v>250000</v>
      </c>
      <c r="Q2445" s="147">
        <f t="shared" si="73"/>
        <v>0</v>
      </c>
      <c r="R2445" s="41" t="s">
        <v>37</v>
      </c>
      <c r="S2445" s="76" t="s">
        <v>1711</v>
      </c>
      <c r="T2445" s="51" t="b">
        <v>1</v>
      </c>
      <c r="U2445" s="94"/>
    </row>
    <row r="2446" ht="30.0" customHeight="1">
      <c r="A2446" s="39"/>
      <c r="B2446" s="164">
        <v>4487.0</v>
      </c>
      <c r="C2446" s="41" t="s">
        <v>22</v>
      </c>
      <c r="D2446" s="86">
        <v>46219.0</v>
      </c>
      <c r="E2446" s="43" t="str">
        <f t="shared" si="74"/>
        <v>2026</v>
      </c>
      <c r="F2446" s="43" t="str">
        <f t="shared" si="75"/>
        <v>07 Jul</v>
      </c>
      <c r="G2446" s="45" t="s">
        <v>195</v>
      </c>
      <c r="H2446" s="45" t="s">
        <v>166</v>
      </c>
      <c r="I2446" s="45" t="s">
        <v>1690</v>
      </c>
      <c r="J2446" s="143" t="s">
        <v>120</v>
      </c>
      <c r="K2446" s="43" t="str">
        <f t="array" ref="K2446">IF(J2446="","", XLOOKUP(J2446,'⚙️ Pengaturan'!$E$2:$E3237,'⚙️ Pengaturan'!$G$2:$G3237))</f>
        <v>KLINIK FT SESI</v>
      </c>
      <c r="L2446" s="43" t="str">
        <f t="shared" si="72"/>
        <v>BARU</v>
      </c>
      <c r="M2446" s="144" t="s">
        <v>31</v>
      </c>
      <c r="N2446" s="145">
        <v>180000.0</v>
      </c>
      <c r="O2446" s="146">
        <v>0.0</v>
      </c>
      <c r="P2446" s="48">
        <f t="array" ref="P2446">IFNA(XLOOKUP(J2446,'⚙️ Pengaturan'!$E$2:$E3237,'⚙️ Pengaturan'!$F$2:$F3237),"")</f>
        <v>180000</v>
      </c>
      <c r="Q2446" s="147">
        <f t="shared" si="73"/>
        <v>0</v>
      </c>
      <c r="R2446" s="41" t="s">
        <v>32</v>
      </c>
      <c r="S2446" s="76" t="s">
        <v>33</v>
      </c>
      <c r="T2446" s="51" t="b">
        <v>1</v>
      </c>
      <c r="U2446" s="94"/>
    </row>
    <row r="2447" ht="30.0" customHeight="1">
      <c r="A2447" s="39"/>
      <c r="B2447" s="40">
        <v>4488.0</v>
      </c>
      <c r="C2447" s="41" t="s">
        <v>22</v>
      </c>
      <c r="D2447" s="86">
        <v>46219.0</v>
      </c>
      <c r="E2447" s="43" t="str">
        <f t="shared" si="74"/>
        <v>2026</v>
      </c>
      <c r="F2447" s="43" t="str">
        <f t="shared" si="75"/>
        <v>07 Jul</v>
      </c>
      <c r="G2447" s="45" t="s">
        <v>195</v>
      </c>
      <c r="H2447" s="45" t="s">
        <v>162</v>
      </c>
      <c r="I2447" s="45" t="s">
        <v>1710</v>
      </c>
      <c r="J2447" s="143" t="s">
        <v>120</v>
      </c>
      <c r="K2447" s="43" t="str">
        <f t="array" ref="K2447">IF(J2447="","", XLOOKUP(J2447,'⚙️ Pengaturan'!$E$2:$E3237,'⚙️ Pengaturan'!$G$2:$G3237))</f>
        <v>KLINIK FT SESI</v>
      </c>
      <c r="L2447" s="43" t="str">
        <f t="shared" si="72"/>
        <v>BARU</v>
      </c>
      <c r="M2447" s="144" t="s">
        <v>31</v>
      </c>
      <c r="N2447" s="145">
        <v>180000.0</v>
      </c>
      <c r="O2447" s="146">
        <v>0.0</v>
      </c>
      <c r="P2447" s="48">
        <f t="array" ref="P2447">IFNA(XLOOKUP(J2447,'⚙️ Pengaturan'!$E$2:$E3237,'⚙️ Pengaturan'!$F$2:$F3237),"")</f>
        <v>180000</v>
      </c>
      <c r="Q2447" s="147">
        <f t="shared" si="73"/>
        <v>0</v>
      </c>
      <c r="R2447" s="41" t="s">
        <v>37</v>
      </c>
      <c r="S2447" s="76" t="s">
        <v>1711</v>
      </c>
      <c r="T2447" s="51" t="b">
        <v>1</v>
      </c>
      <c r="U2447" s="94"/>
    </row>
    <row r="2448" ht="30.0" customHeight="1">
      <c r="A2448" s="39"/>
      <c r="B2448" s="164">
        <v>4489.0</v>
      </c>
      <c r="C2448" s="41" t="s">
        <v>22</v>
      </c>
      <c r="D2448" s="86">
        <v>46219.0</v>
      </c>
      <c r="E2448" s="43" t="str">
        <f t="shared" si="74"/>
        <v>2026</v>
      </c>
      <c r="F2448" s="43" t="str">
        <f t="shared" si="75"/>
        <v>07 Jul</v>
      </c>
      <c r="G2448" s="45" t="s">
        <v>195</v>
      </c>
      <c r="H2448" s="45" t="s">
        <v>162</v>
      </c>
      <c r="I2448" s="45" t="s">
        <v>1710</v>
      </c>
      <c r="J2448" s="143" t="s">
        <v>120</v>
      </c>
      <c r="K2448" s="43" t="str">
        <f t="array" ref="K2448">IF(J2448="","", XLOOKUP(J2448,'⚙️ Pengaturan'!$E$2:$E3237,'⚙️ Pengaturan'!$G$2:$G3237))</f>
        <v>KLINIK FT SESI</v>
      </c>
      <c r="L2448" s="43" t="str">
        <f t="shared" si="72"/>
        <v>LANJUTAN</v>
      </c>
      <c r="M2448" s="144" t="s">
        <v>31</v>
      </c>
      <c r="N2448" s="145">
        <v>180000.0</v>
      </c>
      <c r="O2448" s="146">
        <v>0.0</v>
      </c>
      <c r="P2448" s="48">
        <f t="array" ref="P2448">IFNA(XLOOKUP(J2448,'⚙️ Pengaturan'!$E$2:$E3237,'⚙️ Pengaturan'!$F$2:$F3237),"")</f>
        <v>180000</v>
      </c>
      <c r="Q2448" s="147">
        <f t="shared" si="73"/>
        <v>0</v>
      </c>
      <c r="R2448" s="41" t="s">
        <v>37</v>
      </c>
      <c r="S2448" s="76" t="s">
        <v>1711</v>
      </c>
      <c r="T2448" s="51" t="b">
        <v>1</v>
      </c>
      <c r="U2448" s="94"/>
    </row>
    <row r="2449" ht="30.0" customHeight="1">
      <c r="A2449" s="39"/>
      <c r="B2449" s="40">
        <v>4490.0</v>
      </c>
      <c r="C2449" s="41" t="s">
        <v>22</v>
      </c>
      <c r="D2449" s="86">
        <v>46219.0</v>
      </c>
      <c r="E2449" s="43" t="str">
        <f t="shared" si="74"/>
        <v>2026</v>
      </c>
      <c r="F2449" s="43" t="str">
        <f t="shared" si="75"/>
        <v>07 Jul</v>
      </c>
      <c r="G2449" s="45" t="s">
        <v>195</v>
      </c>
      <c r="H2449" s="45" t="s">
        <v>162</v>
      </c>
      <c r="I2449" s="45" t="s">
        <v>1710</v>
      </c>
      <c r="J2449" s="143" t="s">
        <v>120</v>
      </c>
      <c r="K2449" s="43" t="str">
        <f t="array" ref="K2449">IF(J2449="","", XLOOKUP(J2449,'⚙️ Pengaturan'!$E$2:$E3237,'⚙️ Pengaturan'!$G$2:$G3237))</f>
        <v>KLINIK FT SESI</v>
      </c>
      <c r="L2449" s="43" t="str">
        <f t="shared" si="72"/>
        <v>LANJUTAN</v>
      </c>
      <c r="M2449" s="144" t="s">
        <v>31</v>
      </c>
      <c r="N2449" s="145">
        <v>180000.0</v>
      </c>
      <c r="O2449" s="146">
        <v>0.0</v>
      </c>
      <c r="P2449" s="48">
        <f t="array" ref="P2449">IFNA(XLOOKUP(J2449,'⚙️ Pengaturan'!$E$2:$E3237,'⚙️ Pengaturan'!$F$2:$F3237),"")</f>
        <v>180000</v>
      </c>
      <c r="Q2449" s="147">
        <f t="shared" si="73"/>
        <v>0</v>
      </c>
      <c r="R2449" s="41" t="s">
        <v>37</v>
      </c>
      <c r="S2449" s="76" t="s">
        <v>1711</v>
      </c>
      <c r="T2449" s="51" t="b">
        <v>1</v>
      </c>
      <c r="U2449" s="94"/>
    </row>
    <row r="2450" ht="30.0" customHeight="1">
      <c r="A2450" s="39"/>
      <c r="B2450" s="164">
        <v>4491.0</v>
      </c>
      <c r="C2450" s="41" t="s">
        <v>22</v>
      </c>
      <c r="D2450" s="86">
        <v>46219.0</v>
      </c>
      <c r="E2450" s="43" t="str">
        <f t="shared" si="74"/>
        <v>2026</v>
      </c>
      <c r="F2450" s="43" t="str">
        <f t="shared" si="75"/>
        <v>07 Jul</v>
      </c>
      <c r="G2450" s="45" t="s">
        <v>195</v>
      </c>
      <c r="H2450" s="45" t="s">
        <v>166</v>
      </c>
      <c r="I2450" s="45" t="s">
        <v>1712</v>
      </c>
      <c r="J2450" s="143" t="s">
        <v>28</v>
      </c>
      <c r="K2450" s="43" t="str">
        <f t="array" ref="K2450">IF(J2450="","", XLOOKUP(J2450,'⚙️ Pengaturan'!$E$2:$E3237,'⚙️ Pengaturan'!$G$2:$G3237))</f>
        <v>KLINIK FT TA</v>
      </c>
      <c r="L2450" s="43" t="str">
        <f t="shared" si="72"/>
        <v>BARU</v>
      </c>
      <c r="M2450" s="144" t="s">
        <v>31</v>
      </c>
      <c r="N2450" s="145">
        <v>250000.0</v>
      </c>
      <c r="O2450" s="146">
        <v>0.0</v>
      </c>
      <c r="P2450" s="48">
        <f t="array" ref="P2450">IFNA(XLOOKUP(J2450,'⚙️ Pengaturan'!$E$2:$E3237,'⚙️ Pengaturan'!$F$2:$F3237),"")</f>
        <v>250000</v>
      </c>
      <c r="Q2450" s="147">
        <f t="shared" si="73"/>
        <v>0</v>
      </c>
      <c r="R2450" s="41" t="s">
        <v>37</v>
      </c>
      <c r="S2450" s="69" t="s">
        <v>1712</v>
      </c>
      <c r="T2450" s="51" t="b">
        <v>1</v>
      </c>
      <c r="U2450" s="94"/>
    </row>
    <row r="2451" ht="30.0" customHeight="1">
      <c r="A2451" s="39"/>
      <c r="B2451" s="40">
        <v>4492.0</v>
      </c>
      <c r="C2451" s="41" t="s">
        <v>22</v>
      </c>
      <c r="D2451" s="86">
        <v>46219.0</v>
      </c>
      <c r="E2451" s="43" t="str">
        <f t="shared" si="74"/>
        <v>2026</v>
      </c>
      <c r="F2451" s="43" t="str">
        <f t="shared" si="75"/>
        <v>07 Jul</v>
      </c>
      <c r="G2451" s="45" t="s">
        <v>195</v>
      </c>
      <c r="H2451" s="45" t="s">
        <v>166</v>
      </c>
      <c r="I2451" s="45" t="s">
        <v>1712</v>
      </c>
      <c r="J2451" s="143" t="s">
        <v>119</v>
      </c>
      <c r="K2451" s="43" t="str">
        <f t="array" ref="K2451">IF(J2451="","", XLOOKUP(J2451,'⚙️ Pengaturan'!$E$2:$E3237,'⚙️ Pengaturan'!$G$2:$G3237))</f>
        <v>KLINIK FT PAKET</v>
      </c>
      <c r="L2451" s="43" t="str">
        <f t="shared" si="72"/>
        <v>BARU</v>
      </c>
      <c r="M2451" s="144" t="s">
        <v>31</v>
      </c>
      <c r="N2451" s="145">
        <v>750000.0</v>
      </c>
      <c r="O2451" s="146">
        <v>0.0</v>
      </c>
      <c r="P2451" s="48">
        <f t="array" ref="P2451">IFNA(XLOOKUP(J2451,'⚙️ Pengaturan'!$E$2:$E3237,'⚙️ Pengaturan'!$F$2:$F3237),"")</f>
        <v>750000</v>
      </c>
      <c r="Q2451" s="147">
        <f t="shared" si="73"/>
        <v>0</v>
      </c>
      <c r="R2451" s="41" t="s">
        <v>37</v>
      </c>
      <c r="S2451" s="69" t="s">
        <v>1712</v>
      </c>
      <c r="T2451" s="51" t="b">
        <v>1</v>
      </c>
      <c r="U2451" s="94"/>
    </row>
    <row r="2452" ht="30.0" customHeight="1">
      <c r="A2452" s="39"/>
      <c r="B2452" s="164">
        <v>4493.0</v>
      </c>
      <c r="C2452" s="41" t="s">
        <v>22</v>
      </c>
      <c r="D2452" s="86">
        <v>46219.0</v>
      </c>
      <c r="E2452" s="43" t="str">
        <f t="shared" si="74"/>
        <v>2026</v>
      </c>
      <c r="F2452" s="43" t="str">
        <f t="shared" si="75"/>
        <v>07 Jul</v>
      </c>
      <c r="G2452" s="45" t="s">
        <v>161</v>
      </c>
      <c r="H2452" s="45" t="s">
        <v>26</v>
      </c>
      <c r="I2452" s="45" t="s">
        <v>1713</v>
      </c>
      <c r="J2452" s="143" t="s">
        <v>28</v>
      </c>
      <c r="K2452" s="43" t="str">
        <f t="array" ref="K2452">IF(J2452="","", XLOOKUP(J2452,'⚙️ Pengaturan'!$E$2:$E3237,'⚙️ Pengaturan'!$G$2:$G3237))</f>
        <v>KLINIK FT TA</v>
      </c>
      <c r="L2452" s="43" t="str">
        <f t="shared" si="72"/>
        <v>BARU</v>
      </c>
      <c r="M2452" s="144" t="s">
        <v>31</v>
      </c>
      <c r="N2452" s="145">
        <v>250000.0</v>
      </c>
      <c r="O2452" s="146">
        <v>0.0</v>
      </c>
      <c r="P2452" s="48">
        <f t="array" ref="P2452">IFNA(XLOOKUP(J2452,'⚙️ Pengaturan'!$E$2:$E3237,'⚙️ Pengaturan'!$F$2:$F3237),"")</f>
        <v>250000</v>
      </c>
      <c r="Q2452" s="147">
        <f t="shared" si="73"/>
        <v>0</v>
      </c>
      <c r="R2452" s="41" t="s">
        <v>32</v>
      </c>
      <c r="S2452" s="76" t="s">
        <v>33</v>
      </c>
      <c r="T2452" s="51" t="b">
        <v>1</v>
      </c>
      <c r="U2452" s="94"/>
    </row>
    <row r="2453" ht="30.0" customHeight="1">
      <c r="A2453" s="39"/>
      <c r="B2453" s="40">
        <v>4494.0</v>
      </c>
      <c r="C2453" s="41" t="s">
        <v>22</v>
      </c>
      <c r="D2453" s="86">
        <v>46219.0</v>
      </c>
      <c r="E2453" s="43" t="str">
        <f t="shared" si="74"/>
        <v>2026</v>
      </c>
      <c r="F2453" s="43" t="str">
        <f t="shared" si="75"/>
        <v>07 Jul</v>
      </c>
      <c r="G2453" s="45" t="s">
        <v>35</v>
      </c>
      <c r="H2453" s="45" t="s">
        <v>150</v>
      </c>
      <c r="I2453" s="45" t="s">
        <v>1698</v>
      </c>
      <c r="J2453" s="143" t="s">
        <v>120</v>
      </c>
      <c r="K2453" s="43" t="str">
        <f t="array" ref="K2453">IF(J2453="","", XLOOKUP(J2453,'⚙️ Pengaturan'!$E$2:$E3237,'⚙️ Pengaturan'!$G$2:$G3237))</f>
        <v>KLINIK FT SESI</v>
      </c>
      <c r="L2453" s="43" t="str">
        <f t="shared" si="72"/>
        <v>BARU</v>
      </c>
      <c r="M2453" s="144" t="s">
        <v>31</v>
      </c>
      <c r="N2453" s="145">
        <v>180000.0</v>
      </c>
      <c r="O2453" s="146">
        <v>0.0</v>
      </c>
      <c r="P2453" s="48">
        <f t="array" ref="P2453">IFNA(XLOOKUP(J2453,'⚙️ Pengaturan'!$E$2:$E3237,'⚙️ Pengaturan'!$F$2:$F3237),"")</f>
        <v>180000</v>
      </c>
      <c r="Q2453" s="147">
        <f t="shared" si="73"/>
        <v>0</v>
      </c>
      <c r="R2453" s="41" t="s">
        <v>32</v>
      </c>
      <c r="S2453" s="76" t="s">
        <v>33</v>
      </c>
      <c r="T2453" s="51" t="b">
        <v>1</v>
      </c>
      <c r="U2453" s="94"/>
    </row>
    <row r="2454" ht="30.0" customHeight="1">
      <c r="A2454" s="39"/>
      <c r="B2454" s="164">
        <v>4495.0</v>
      </c>
      <c r="C2454" s="41" t="s">
        <v>39</v>
      </c>
      <c r="D2454" s="86">
        <v>46219.0</v>
      </c>
      <c r="E2454" s="43" t="str">
        <f t="shared" si="74"/>
        <v>2026</v>
      </c>
      <c r="F2454" s="43" t="str">
        <f t="shared" si="75"/>
        <v>07 Jul</v>
      </c>
      <c r="G2454" s="45" t="s">
        <v>43</v>
      </c>
      <c r="H2454" s="45" t="s">
        <v>149</v>
      </c>
      <c r="I2454" s="45" t="s">
        <v>174</v>
      </c>
      <c r="J2454" s="143" t="s">
        <v>92</v>
      </c>
      <c r="K2454" s="43" t="str">
        <f t="array" ref="K2454">IF(J2454="","", XLOOKUP(J2454,'⚙️ Pengaturan'!$E$2:$E3237,'⚙️ Pengaturan'!$G$2:$G3237))</f>
        <v>KLINIK FT PAKET</v>
      </c>
      <c r="L2454" s="43" t="str">
        <f t="shared" si="72"/>
        <v>BARU</v>
      </c>
      <c r="M2454" s="144" t="s">
        <v>31</v>
      </c>
      <c r="N2454" s="145">
        <v>1200000.0</v>
      </c>
      <c r="O2454" s="146">
        <v>0.0</v>
      </c>
      <c r="P2454" s="48">
        <f t="array" ref="P2454">IFNA(XLOOKUP(J2454,'⚙️ Pengaturan'!$E$2:$E3237,'⚙️ Pengaturan'!$F$2:$F3237),"")</f>
        <v>1200000</v>
      </c>
      <c r="Q2454" s="147">
        <f t="shared" si="73"/>
        <v>0</v>
      </c>
      <c r="R2454" s="41" t="s">
        <v>37</v>
      </c>
      <c r="S2454" s="69" t="s">
        <v>174</v>
      </c>
      <c r="T2454" s="51" t="b">
        <v>1</v>
      </c>
      <c r="U2454" s="94"/>
    </row>
    <row r="2455" ht="30.0" customHeight="1">
      <c r="A2455" s="39"/>
      <c r="B2455" s="40">
        <v>4496.0</v>
      </c>
      <c r="C2455" s="41" t="s">
        <v>39</v>
      </c>
      <c r="D2455" s="86">
        <v>46219.0</v>
      </c>
      <c r="E2455" s="43" t="str">
        <f t="shared" si="74"/>
        <v>2026</v>
      </c>
      <c r="F2455" s="43" t="str">
        <f t="shared" si="75"/>
        <v>07 Jul</v>
      </c>
      <c r="G2455" s="45" t="s">
        <v>43</v>
      </c>
      <c r="H2455" s="45" t="s">
        <v>149</v>
      </c>
      <c r="I2455" s="45" t="s">
        <v>1695</v>
      </c>
      <c r="J2455" s="143" t="s">
        <v>119</v>
      </c>
      <c r="K2455" s="43" t="str">
        <f t="array" ref="K2455">IF(J2455="","", XLOOKUP(J2455,'⚙️ Pengaturan'!$E$2:$E3237,'⚙️ Pengaturan'!$G$2:$G3237))</f>
        <v>KLINIK FT PAKET</v>
      </c>
      <c r="L2455" s="43" t="str">
        <f t="shared" si="72"/>
        <v>BARU</v>
      </c>
      <c r="M2455" s="144" t="s">
        <v>31</v>
      </c>
      <c r="N2455" s="145">
        <v>750000.0</v>
      </c>
      <c r="O2455" s="146">
        <v>0.0</v>
      </c>
      <c r="P2455" s="48">
        <f t="array" ref="P2455">IFNA(XLOOKUP(J2455,'⚙️ Pengaturan'!$E$2:$E3237,'⚙️ Pengaturan'!$F$2:$F3237),"")</f>
        <v>750000</v>
      </c>
      <c r="Q2455" s="147">
        <f t="shared" si="73"/>
        <v>0</v>
      </c>
      <c r="R2455" s="41" t="s">
        <v>37</v>
      </c>
      <c r="S2455" s="69" t="s">
        <v>1695</v>
      </c>
      <c r="T2455" s="51" t="b">
        <v>1</v>
      </c>
      <c r="U2455" s="94"/>
    </row>
    <row r="2456" ht="30.0" customHeight="1">
      <c r="A2456" s="39"/>
      <c r="B2456" s="164">
        <v>4497.0</v>
      </c>
      <c r="C2456" s="41" t="s">
        <v>39</v>
      </c>
      <c r="D2456" s="86">
        <v>46219.0</v>
      </c>
      <c r="E2456" s="43" t="str">
        <f t="shared" si="74"/>
        <v>2026</v>
      </c>
      <c r="F2456" s="43" t="str">
        <f t="shared" si="75"/>
        <v>07 Jul</v>
      </c>
      <c r="G2456" s="45" t="s">
        <v>46</v>
      </c>
      <c r="H2456" s="45" t="s">
        <v>96</v>
      </c>
      <c r="I2456" s="45" t="s">
        <v>1030</v>
      </c>
      <c r="J2456" s="143" t="s">
        <v>347</v>
      </c>
      <c r="K2456" s="43" t="str">
        <f t="array" ref="K2456">IF(J2456="","", XLOOKUP(J2456,'⚙️ Pengaturan'!$E$2:$E3237,'⚙️ Pengaturan'!$G$2:$G3237))</f>
        <v>KLINIK FT PAKET</v>
      </c>
      <c r="L2456" s="43" t="str">
        <f t="shared" si="72"/>
        <v>LANJUTAN</v>
      </c>
      <c r="M2456" s="144" t="s">
        <v>31</v>
      </c>
      <c r="N2456" s="145">
        <v>1300000.0</v>
      </c>
      <c r="O2456" s="146">
        <v>0.0</v>
      </c>
      <c r="P2456" s="48">
        <f t="array" ref="P2456">IFNA(XLOOKUP(J2456,'⚙️ Pengaturan'!$E$2:$E3237,'⚙️ Pengaturan'!$F$2:$F3237),"")</f>
        <v>1300000</v>
      </c>
      <c r="Q2456" s="147">
        <f t="shared" si="73"/>
        <v>0</v>
      </c>
      <c r="R2456" s="41" t="s">
        <v>93</v>
      </c>
      <c r="S2456" s="76" t="s">
        <v>33</v>
      </c>
      <c r="T2456" s="51" t="b">
        <v>1</v>
      </c>
      <c r="U2456" s="94"/>
    </row>
    <row r="2457" ht="30.0" customHeight="1">
      <c r="A2457" s="39"/>
      <c r="B2457" s="40">
        <v>4498.0</v>
      </c>
      <c r="C2457" s="41" t="s">
        <v>39</v>
      </c>
      <c r="D2457" s="86">
        <v>46219.0</v>
      </c>
      <c r="E2457" s="43" t="str">
        <f t="shared" si="74"/>
        <v>2026</v>
      </c>
      <c r="F2457" s="43" t="str">
        <f t="shared" si="75"/>
        <v>07 Jul</v>
      </c>
      <c r="G2457" s="45" t="s">
        <v>155</v>
      </c>
      <c r="H2457" s="45" t="s">
        <v>47</v>
      </c>
      <c r="I2457" s="45" t="s">
        <v>1610</v>
      </c>
      <c r="J2457" s="143" t="s">
        <v>119</v>
      </c>
      <c r="K2457" s="43" t="str">
        <f t="array" ref="K2457">IF(J2457="","", XLOOKUP(J2457,'⚙️ Pengaturan'!$E$2:$E3237,'⚙️ Pengaturan'!$G$2:$G3237))</f>
        <v>KLINIK FT PAKET</v>
      </c>
      <c r="L2457" s="43" t="str">
        <f t="shared" si="72"/>
        <v>LANJUTAN</v>
      </c>
      <c r="M2457" s="144" t="s">
        <v>31</v>
      </c>
      <c r="N2457" s="145">
        <v>750000.0</v>
      </c>
      <c r="O2457" s="146">
        <v>0.0</v>
      </c>
      <c r="P2457" s="48">
        <f t="array" ref="P2457">IFNA(XLOOKUP(J2457,'⚙️ Pengaturan'!$E$2:$E3237,'⚙️ Pengaturan'!$F$2:$F3237),"")</f>
        <v>750000</v>
      </c>
      <c r="Q2457" s="147">
        <f t="shared" si="73"/>
        <v>0</v>
      </c>
      <c r="R2457" s="41" t="s">
        <v>37</v>
      </c>
      <c r="S2457" s="69" t="s">
        <v>1610</v>
      </c>
      <c r="T2457" s="51" t="b">
        <v>1</v>
      </c>
      <c r="U2457" s="94"/>
    </row>
    <row r="2458" ht="30.0" customHeight="1">
      <c r="A2458" s="39"/>
      <c r="B2458" s="164">
        <v>4499.0</v>
      </c>
      <c r="C2458" s="41" t="s">
        <v>39</v>
      </c>
      <c r="D2458" s="86">
        <v>46219.0</v>
      </c>
      <c r="E2458" s="43" t="str">
        <f t="shared" si="74"/>
        <v>2026</v>
      </c>
      <c r="F2458" s="43" t="str">
        <f t="shared" si="75"/>
        <v>07 Jul</v>
      </c>
      <c r="G2458" s="45" t="s">
        <v>190</v>
      </c>
      <c r="H2458" s="45" t="s">
        <v>359</v>
      </c>
      <c r="I2458" s="45" t="s">
        <v>1411</v>
      </c>
      <c r="J2458" s="143" t="s">
        <v>1547</v>
      </c>
      <c r="K2458" s="43" t="str">
        <f t="array" ref="K2458">IF(J2458="","", XLOOKUP(J2458,'⚙️ Pengaturan'!$E$2:$E3237,'⚙️ Pengaturan'!$G$2:$G3237))</f>
        <v>KLINIK SM SESI</v>
      </c>
      <c r="L2458" s="43" t="str">
        <f t="shared" si="72"/>
        <v>BARU</v>
      </c>
      <c r="M2458" s="144" t="s">
        <v>31</v>
      </c>
      <c r="N2458" s="145">
        <v>195000.0</v>
      </c>
      <c r="O2458" s="146">
        <v>0.0</v>
      </c>
      <c r="P2458" s="48">
        <f t="array" ref="P2458">IFNA(XLOOKUP(J2458,'⚙️ Pengaturan'!$E$2:$E3237,'⚙️ Pengaturan'!$F$2:$F3237),"")</f>
        <v>195000</v>
      </c>
      <c r="Q2458" s="147">
        <f t="shared" si="73"/>
        <v>0</v>
      </c>
      <c r="R2458" s="41" t="s">
        <v>37</v>
      </c>
      <c r="S2458" s="69" t="s">
        <v>1411</v>
      </c>
      <c r="T2458" s="51" t="b">
        <v>1</v>
      </c>
      <c r="U2458" s="94"/>
    </row>
    <row r="2459" ht="30.0" customHeight="1">
      <c r="A2459" s="39"/>
      <c r="B2459" s="40">
        <v>4500.0</v>
      </c>
      <c r="C2459" s="41" t="s">
        <v>39</v>
      </c>
      <c r="D2459" s="86">
        <v>46221.0</v>
      </c>
      <c r="E2459" s="43" t="str">
        <f t="shared" si="74"/>
        <v>2026</v>
      </c>
      <c r="F2459" s="43" t="str">
        <f t="shared" si="75"/>
        <v>07 Jul</v>
      </c>
      <c r="G2459" s="45" t="s">
        <v>195</v>
      </c>
      <c r="H2459" s="45" t="s">
        <v>76</v>
      </c>
      <c r="I2459" s="45" t="s">
        <v>785</v>
      </c>
      <c r="J2459" s="143" t="s">
        <v>119</v>
      </c>
      <c r="K2459" s="43" t="str">
        <f t="array" ref="K2459">IF(J2459="","", XLOOKUP(J2459,'⚙️ Pengaturan'!$E$2:$E3237,'⚙️ Pengaturan'!$G$2:$G3237))</f>
        <v>KLINIK FT PAKET</v>
      </c>
      <c r="L2459" s="43" t="str">
        <f t="shared" si="72"/>
        <v>LANJUTAN</v>
      </c>
      <c r="M2459" s="144" t="s">
        <v>31</v>
      </c>
      <c r="N2459" s="145">
        <v>750000.0</v>
      </c>
      <c r="O2459" s="146">
        <v>0.0</v>
      </c>
      <c r="P2459" s="48">
        <f t="array" ref="P2459">IFNA(XLOOKUP(J2459,'⚙️ Pengaturan'!$E$2:$E3237,'⚙️ Pengaturan'!$F$2:$F3237),"")</f>
        <v>750000</v>
      </c>
      <c r="Q2459" s="147">
        <f t="shared" si="73"/>
        <v>0</v>
      </c>
      <c r="R2459" s="41" t="s">
        <v>32</v>
      </c>
      <c r="S2459" s="76" t="s">
        <v>33</v>
      </c>
      <c r="T2459" s="51" t="b">
        <v>1</v>
      </c>
      <c r="U2459" s="94"/>
    </row>
    <row r="2460" ht="30.0" customHeight="1">
      <c r="A2460" s="39"/>
      <c r="B2460" s="164">
        <v>4501.0</v>
      </c>
      <c r="C2460" s="41" t="s">
        <v>22</v>
      </c>
      <c r="D2460" s="86">
        <v>46220.0</v>
      </c>
      <c r="E2460" s="43" t="str">
        <f t="shared" si="74"/>
        <v>2026</v>
      </c>
      <c r="F2460" s="43" t="str">
        <f t="shared" si="75"/>
        <v>07 Jul</v>
      </c>
      <c r="G2460" s="45" t="s">
        <v>25</v>
      </c>
      <c r="H2460" s="45" t="s">
        <v>41</v>
      </c>
      <c r="I2460" s="45" t="s">
        <v>1714</v>
      </c>
      <c r="J2460" s="143" t="s">
        <v>121</v>
      </c>
      <c r="K2460" s="43" t="str">
        <f t="array" ref="K2460">IF(J2460="","", XLOOKUP(J2460,'⚙️ Pengaturan'!$E$2:$E3237,'⚙️ Pengaturan'!$G$2:$G3237))</f>
        <v>VISIT FT TA</v>
      </c>
      <c r="L2460" s="43" t="str">
        <f t="shared" si="72"/>
        <v>BARU</v>
      </c>
      <c r="M2460" s="144" t="s">
        <v>31</v>
      </c>
      <c r="N2460" s="145">
        <v>300000.0</v>
      </c>
      <c r="O2460" s="146">
        <v>0.0</v>
      </c>
      <c r="P2460" s="48">
        <f t="array" ref="P2460">IFNA(XLOOKUP(J2460,'⚙️ Pengaturan'!$E$2:$E3237,'⚙️ Pengaturan'!$F$2:$F3237),"")</f>
        <v>300000</v>
      </c>
      <c r="Q2460" s="147">
        <f t="shared" si="73"/>
        <v>0</v>
      </c>
      <c r="R2460" s="41" t="s">
        <v>37</v>
      </c>
      <c r="S2460" s="69" t="s">
        <v>1714</v>
      </c>
      <c r="T2460" s="51" t="b">
        <v>1</v>
      </c>
      <c r="U2460" s="94"/>
    </row>
    <row r="2461" ht="30.0" customHeight="1">
      <c r="A2461" s="39"/>
      <c r="B2461" s="40">
        <v>4502.0</v>
      </c>
      <c r="C2461" s="41" t="s">
        <v>39</v>
      </c>
      <c r="D2461" s="86">
        <v>46220.0</v>
      </c>
      <c r="E2461" s="43" t="str">
        <f t="shared" si="74"/>
        <v>2026</v>
      </c>
      <c r="F2461" s="43" t="str">
        <f t="shared" si="75"/>
        <v>07 Jul</v>
      </c>
      <c r="G2461" s="45" t="s">
        <v>35</v>
      </c>
      <c r="H2461" s="45" t="s">
        <v>149</v>
      </c>
      <c r="I2461" s="45" t="s">
        <v>1284</v>
      </c>
      <c r="J2461" s="143" t="s">
        <v>119</v>
      </c>
      <c r="K2461" s="43" t="str">
        <f t="array" ref="K2461">IF(J2461="","", XLOOKUP(J2461,'⚙️ Pengaturan'!$E$2:$E3237,'⚙️ Pengaturan'!$G$2:$G3237))</f>
        <v>KLINIK FT PAKET</v>
      </c>
      <c r="L2461" s="43" t="str">
        <f t="shared" si="72"/>
        <v>LANJUTAN</v>
      </c>
      <c r="M2461" s="144" t="s">
        <v>31</v>
      </c>
      <c r="N2461" s="145">
        <v>750000.0</v>
      </c>
      <c r="O2461" s="146">
        <v>0.0</v>
      </c>
      <c r="P2461" s="48">
        <f t="array" ref="P2461">IFNA(XLOOKUP(J2461,'⚙️ Pengaturan'!$E$2:$E3237,'⚙️ Pengaturan'!$F$2:$F3237),"")</f>
        <v>750000</v>
      </c>
      <c r="Q2461" s="147">
        <f t="shared" si="73"/>
        <v>0</v>
      </c>
      <c r="R2461" s="41" t="s">
        <v>37</v>
      </c>
      <c r="S2461" s="76" t="s">
        <v>1284</v>
      </c>
      <c r="T2461" s="51" t="b">
        <v>1</v>
      </c>
      <c r="U2461" s="94"/>
    </row>
    <row r="2462" ht="30.0" customHeight="1">
      <c r="A2462" s="39"/>
      <c r="B2462" s="164">
        <v>4503.0</v>
      </c>
      <c r="C2462" s="41" t="s">
        <v>39</v>
      </c>
      <c r="D2462" s="86">
        <v>46220.0</v>
      </c>
      <c r="E2462" s="43" t="str">
        <f t="shared" si="74"/>
        <v>2026</v>
      </c>
      <c r="F2462" s="43" t="str">
        <f t="shared" si="75"/>
        <v>07 Jul</v>
      </c>
      <c r="G2462" s="45" t="s">
        <v>43</v>
      </c>
      <c r="H2462" s="45" t="s">
        <v>96</v>
      </c>
      <c r="I2462" s="45" t="s">
        <v>1715</v>
      </c>
      <c r="J2462" s="143" t="s">
        <v>28</v>
      </c>
      <c r="K2462" s="43" t="str">
        <f t="array" ref="K2462">IF(J2462="","", XLOOKUP(J2462,'⚙️ Pengaturan'!$E$2:$E3237,'⚙️ Pengaturan'!$G$2:$G3237))</f>
        <v>KLINIK FT TA</v>
      </c>
      <c r="L2462" s="43" t="str">
        <f t="shared" si="72"/>
        <v>BARU</v>
      </c>
      <c r="M2462" s="144" t="s">
        <v>31</v>
      </c>
      <c r="N2462" s="145">
        <v>250000.0</v>
      </c>
      <c r="O2462" s="146">
        <v>0.0</v>
      </c>
      <c r="P2462" s="48">
        <f t="array" ref="P2462">IFNA(XLOOKUP(J2462,'⚙️ Pengaturan'!$E$2:$E3237,'⚙️ Pengaturan'!$F$2:$F3237),"")</f>
        <v>250000</v>
      </c>
      <c r="Q2462" s="147">
        <f t="shared" si="73"/>
        <v>0</v>
      </c>
      <c r="R2462" s="41" t="s">
        <v>32</v>
      </c>
      <c r="S2462" s="76" t="s">
        <v>33</v>
      </c>
      <c r="T2462" s="51" t="b">
        <v>1</v>
      </c>
      <c r="U2462" s="94"/>
    </row>
    <row r="2463" ht="30.0" customHeight="1">
      <c r="A2463" s="39"/>
      <c r="B2463" s="40">
        <v>4504.0</v>
      </c>
      <c r="C2463" s="41" t="s">
        <v>39</v>
      </c>
      <c r="D2463" s="86">
        <v>46220.0</v>
      </c>
      <c r="E2463" s="43" t="str">
        <f t="shared" si="74"/>
        <v>2026</v>
      </c>
      <c r="F2463" s="43" t="str">
        <f t="shared" si="75"/>
        <v>07 Jul</v>
      </c>
      <c r="G2463" s="45" t="s">
        <v>43</v>
      </c>
      <c r="H2463" s="45" t="s">
        <v>149</v>
      </c>
      <c r="I2463" s="45" t="s">
        <v>1705</v>
      </c>
      <c r="J2463" s="143" t="s">
        <v>119</v>
      </c>
      <c r="K2463" s="43" t="str">
        <f t="array" ref="K2463">IF(J2463="","", XLOOKUP(J2463,'⚙️ Pengaturan'!$E$2:$E3237,'⚙️ Pengaturan'!$G$2:$G3237))</f>
        <v>KLINIK FT PAKET</v>
      </c>
      <c r="L2463" s="43" t="str">
        <f t="shared" si="72"/>
        <v>BARU</v>
      </c>
      <c r="M2463" s="144" t="s">
        <v>31</v>
      </c>
      <c r="N2463" s="145">
        <v>750000.0</v>
      </c>
      <c r="O2463" s="146">
        <v>0.0</v>
      </c>
      <c r="P2463" s="48">
        <f t="array" ref="P2463">IFNA(XLOOKUP(J2463,'⚙️ Pengaturan'!$E$2:$E3237,'⚙️ Pengaturan'!$F$2:$F3237),"")</f>
        <v>750000</v>
      </c>
      <c r="Q2463" s="147">
        <f t="shared" si="73"/>
        <v>0</v>
      </c>
      <c r="R2463" s="41" t="s">
        <v>37</v>
      </c>
      <c r="S2463" s="69" t="s">
        <v>1705</v>
      </c>
      <c r="T2463" s="51" t="b">
        <v>1</v>
      </c>
      <c r="U2463" s="94"/>
    </row>
    <row r="2464" ht="30.0" customHeight="1">
      <c r="A2464" s="39"/>
      <c r="B2464" s="164">
        <v>4505.0</v>
      </c>
      <c r="C2464" s="41" t="s">
        <v>39</v>
      </c>
      <c r="D2464" s="86">
        <v>46220.0</v>
      </c>
      <c r="E2464" s="43" t="str">
        <f t="shared" si="74"/>
        <v>2026</v>
      </c>
      <c r="F2464" s="43" t="str">
        <f t="shared" si="75"/>
        <v>07 Jul</v>
      </c>
      <c r="G2464" s="45" t="s">
        <v>173</v>
      </c>
      <c r="H2464" s="45" t="s">
        <v>149</v>
      </c>
      <c r="I2464" s="45" t="s">
        <v>1713</v>
      </c>
      <c r="J2464" s="143" t="s">
        <v>120</v>
      </c>
      <c r="K2464" s="43" t="str">
        <f t="array" ref="K2464">IF(J2464="","", XLOOKUP(J2464,'⚙️ Pengaturan'!$E$2:$E3237,'⚙️ Pengaturan'!$G$2:$G3237))</f>
        <v>KLINIK FT SESI</v>
      </c>
      <c r="L2464" s="43" t="str">
        <f t="shared" si="72"/>
        <v>BARU</v>
      </c>
      <c r="M2464" s="144" t="s">
        <v>31</v>
      </c>
      <c r="N2464" s="145">
        <v>180000.0</v>
      </c>
      <c r="O2464" s="146">
        <v>0.0</v>
      </c>
      <c r="P2464" s="48">
        <f t="array" ref="P2464">IFNA(XLOOKUP(J2464,'⚙️ Pengaturan'!$E$2:$E3237,'⚙️ Pengaturan'!$F$2:$F3237),"")</f>
        <v>180000</v>
      </c>
      <c r="Q2464" s="147">
        <f t="shared" si="73"/>
        <v>0</v>
      </c>
      <c r="R2464" s="41" t="s">
        <v>32</v>
      </c>
      <c r="S2464" s="76" t="s">
        <v>33</v>
      </c>
      <c r="T2464" s="51" t="b">
        <v>1</v>
      </c>
      <c r="U2464" s="94"/>
    </row>
    <row r="2465" ht="30.0" customHeight="1">
      <c r="A2465" s="39"/>
      <c r="B2465" s="40">
        <v>4506.0</v>
      </c>
      <c r="C2465" s="41" t="s">
        <v>79</v>
      </c>
      <c r="D2465" s="86">
        <v>46221.0</v>
      </c>
      <c r="E2465" s="43" t="str">
        <f t="shared" si="74"/>
        <v>2026</v>
      </c>
      <c r="F2465" s="43" t="str">
        <f t="shared" si="75"/>
        <v>07 Jul</v>
      </c>
      <c r="G2465" s="45" t="s">
        <v>195</v>
      </c>
      <c r="H2465" s="45" t="s">
        <v>166</v>
      </c>
      <c r="I2465" s="45" t="s">
        <v>1716</v>
      </c>
      <c r="J2465" s="143" t="s">
        <v>28</v>
      </c>
      <c r="K2465" s="43" t="s">
        <v>29</v>
      </c>
      <c r="L2465" s="43" t="s">
        <v>30</v>
      </c>
      <c r="M2465" s="144" t="s">
        <v>31</v>
      </c>
      <c r="N2465" s="145">
        <v>250000.0</v>
      </c>
      <c r="O2465" s="146">
        <v>0.0</v>
      </c>
      <c r="P2465" s="48">
        <v>250000.0</v>
      </c>
      <c r="Q2465" s="147">
        <v>0.0</v>
      </c>
      <c r="R2465" s="41" t="s">
        <v>37</v>
      </c>
      <c r="S2465" s="69" t="s">
        <v>1716</v>
      </c>
      <c r="T2465" s="51" t="b">
        <v>1</v>
      </c>
      <c r="U2465" s="94"/>
    </row>
    <row r="2466" ht="30.0" customHeight="1">
      <c r="A2466" s="39"/>
      <c r="B2466" s="164">
        <v>4507.0</v>
      </c>
      <c r="C2466" s="41" t="s">
        <v>79</v>
      </c>
      <c r="D2466" s="86">
        <v>46221.0</v>
      </c>
      <c r="E2466" s="43" t="str">
        <f t="shared" si="74"/>
        <v>2026</v>
      </c>
      <c r="F2466" s="43" t="str">
        <f t="shared" si="75"/>
        <v>07 Jul</v>
      </c>
      <c r="G2466" s="45" t="s">
        <v>195</v>
      </c>
      <c r="H2466" s="45" t="s">
        <v>166</v>
      </c>
      <c r="I2466" s="45" t="s">
        <v>1716</v>
      </c>
      <c r="J2466" s="143" t="s">
        <v>349</v>
      </c>
      <c r="K2466" s="43" t="str">
        <f t="array" ref="K2466">IF(J2466="","", XLOOKUP(J2466,'⚙️ Pengaturan'!$E$2:$E3237,'⚙️ Pengaturan'!$G$2:$G3237))</f>
        <v>KLINIK FT PAKET</v>
      </c>
      <c r="L2466" s="43" t="str">
        <f>if(I2466="","",if(countifs($J$5:J2466,J2466,$I$5:I2466,I2466)=1,"BARU","LANJUTAN"))</f>
        <v>BARU</v>
      </c>
      <c r="M2466" s="144" t="s">
        <v>31</v>
      </c>
      <c r="N2466" s="145">
        <v>2400000.0</v>
      </c>
      <c r="O2466" s="146">
        <v>0.0</v>
      </c>
      <c r="P2466" s="48">
        <f t="array" ref="P2466">IFNA(XLOOKUP(J2466,'⚙️ Pengaturan'!$E$2:$E3237,'⚙️ Pengaturan'!$F$2:$F3237),"")</f>
        <v>2400000</v>
      </c>
      <c r="Q2466" s="147">
        <f>IF(I2466="","",(N2466+O2466)-P2466)</f>
        <v>0</v>
      </c>
      <c r="R2466" s="41" t="s">
        <v>37</v>
      </c>
      <c r="S2466" s="69" t="s">
        <v>1716</v>
      </c>
      <c r="T2466" s="51" t="b">
        <v>1</v>
      </c>
      <c r="U2466" s="94"/>
    </row>
    <row r="2467" ht="30.0" customHeight="1">
      <c r="A2467" s="39"/>
      <c r="B2467" s="40">
        <v>4508.0</v>
      </c>
      <c r="C2467" s="41" t="s">
        <v>79</v>
      </c>
      <c r="D2467" s="86">
        <v>46221.0</v>
      </c>
      <c r="E2467" s="43" t="str">
        <f t="shared" si="74"/>
        <v>2026</v>
      </c>
      <c r="F2467" s="43" t="str">
        <f t="shared" si="75"/>
        <v>07 Jul</v>
      </c>
      <c r="G2467" s="45" t="s">
        <v>206</v>
      </c>
      <c r="H2467" s="45" t="s">
        <v>26</v>
      </c>
      <c r="I2467" s="45" t="s">
        <v>1672</v>
      </c>
      <c r="J2467" s="143" t="s">
        <v>119</v>
      </c>
      <c r="K2467" s="43" t="s">
        <v>51</v>
      </c>
      <c r="L2467" s="43" t="s">
        <v>30</v>
      </c>
      <c r="M2467" s="144" t="s">
        <v>31</v>
      </c>
      <c r="N2467" s="145">
        <v>750000.0</v>
      </c>
      <c r="O2467" s="146">
        <v>0.0</v>
      </c>
      <c r="P2467" s="48">
        <v>750000.0</v>
      </c>
      <c r="Q2467" s="147">
        <v>0.0</v>
      </c>
      <c r="R2467" s="41" t="s">
        <v>32</v>
      </c>
      <c r="S2467" s="76" t="s">
        <v>33</v>
      </c>
      <c r="T2467" s="51" t="b">
        <v>1</v>
      </c>
      <c r="U2467" s="94"/>
    </row>
    <row r="2468" ht="30.0" customHeight="1">
      <c r="A2468" s="39"/>
      <c r="B2468" s="164">
        <v>4509.0</v>
      </c>
      <c r="C2468" s="41" t="s">
        <v>79</v>
      </c>
      <c r="D2468" s="86">
        <v>46221.0</v>
      </c>
      <c r="E2468" s="43" t="str">
        <f t="shared" si="74"/>
        <v>2026</v>
      </c>
      <c r="F2468" s="43" t="str">
        <f t="shared" si="75"/>
        <v>07 Jul</v>
      </c>
      <c r="G2468" s="45" t="s">
        <v>206</v>
      </c>
      <c r="H2468" s="45" t="s">
        <v>150</v>
      </c>
      <c r="I2468" s="45" t="s">
        <v>1707</v>
      </c>
      <c r="J2468" s="143" t="s">
        <v>119</v>
      </c>
      <c r="K2468" s="43" t="s">
        <v>51</v>
      </c>
      <c r="L2468" s="43" t="s">
        <v>30</v>
      </c>
      <c r="M2468" s="144" t="s">
        <v>31</v>
      </c>
      <c r="N2468" s="145">
        <v>750000.0</v>
      </c>
      <c r="O2468" s="146">
        <v>0.0</v>
      </c>
      <c r="P2468" s="48">
        <v>750000.0</v>
      </c>
      <c r="Q2468" s="147">
        <v>0.0</v>
      </c>
      <c r="R2468" s="41" t="s">
        <v>93</v>
      </c>
      <c r="S2468" s="69" t="s">
        <v>1707</v>
      </c>
      <c r="T2468" s="51" t="b">
        <v>1</v>
      </c>
      <c r="U2468" s="94"/>
    </row>
    <row r="2469" ht="30.0" customHeight="1">
      <c r="A2469" s="39"/>
      <c r="B2469" s="40">
        <v>4510.0</v>
      </c>
      <c r="C2469" s="41" t="s">
        <v>79</v>
      </c>
      <c r="D2469" s="86">
        <v>46221.0</v>
      </c>
      <c r="E2469" s="43" t="str">
        <f t="shared" si="74"/>
        <v>2026</v>
      </c>
      <c r="F2469" s="43" t="str">
        <f t="shared" si="75"/>
        <v>07 Jul</v>
      </c>
      <c r="G2469" s="45" t="s">
        <v>206</v>
      </c>
      <c r="H2469" s="45" t="s">
        <v>150</v>
      </c>
      <c r="I2469" s="45" t="s">
        <v>1717</v>
      </c>
      <c r="J2469" s="143" t="s">
        <v>28</v>
      </c>
      <c r="K2469" s="43" t="s">
        <v>29</v>
      </c>
      <c r="L2469" s="43" t="s">
        <v>30</v>
      </c>
      <c r="M2469" s="144" t="s">
        <v>31</v>
      </c>
      <c r="N2469" s="145">
        <v>250000.0</v>
      </c>
      <c r="O2469" s="146">
        <v>0.0</v>
      </c>
      <c r="P2469" s="48">
        <v>250000.0</v>
      </c>
      <c r="Q2469" s="147">
        <v>0.0</v>
      </c>
      <c r="R2469" s="41" t="s">
        <v>32</v>
      </c>
      <c r="S2469" s="76" t="s">
        <v>33</v>
      </c>
      <c r="T2469" s="51" t="b">
        <v>1</v>
      </c>
      <c r="U2469" s="94"/>
    </row>
    <row r="2470" ht="30.0" customHeight="1">
      <c r="A2470" s="39"/>
      <c r="B2470" s="164">
        <v>4511.0</v>
      </c>
      <c r="C2470" s="41" t="s">
        <v>79</v>
      </c>
      <c r="D2470" s="86">
        <v>46221.0</v>
      </c>
      <c r="E2470" s="43" t="str">
        <f t="shared" si="74"/>
        <v>2026</v>
      </c>
      <c r="F2470" s="43" t="str">
        <f t="shared" si="75"/>
        <v>07 Jul</v>
      </c>
      <c r="G2470" s="45" t="s">
        <v>161</v>
      </c>
      <c r="H2470" s="45" t="s">
        <v>162</v>
      </c>
      <c r="I2470" s="45" t="s">
        <v>1133</v>
      </c>
      <c r="J2470" s="143" t="s">
        <v>120</v>
      </c>
      <c r="K2470" s="43" t="s">
        <v>52</v>
      </c>
      <c r="L2470" s="43" t="s">
        <v>30</v>
      </c>
      <c r="M2470" s="144" t="s">
        <v>31</v>
      </c>
      <c r="N2470" s="145">
        <v>180000.0</v>
      </c>
      <c r="O2470" s="146">
        <v>0.0</v>
      </c>
      <c r="P2470" s="48">
        <v>180000.0</v>
      </c>
      <c r="Q2470" s="147">
        <v>0.0</v>
      </c>
      <c r="R2470" s="41" t="s">
        <v>37</v>
      </c>
      <c r="S2470" s="76" t="s">
        <v>33</v>
      </c>
      <c r="T2470" s="51" t="b">
        <v>1</v>
      </c>
      <c r="U2470" s="94"/>
    </row>
    <row r="2471" ht="30.0" customHeight="1">
      <c r="A2471" s="39"/>
      <c r="B2471" s="40">
        <v>4512.0</v>
      </c>
      <c r="C2471" s="41" t="s">
        <v>79</v>
      </c>
      <c r="D2471" s="86">
        <v>46221.0</v>
      </c>
      <c r="E2471" s="43" t="s">
        <v>23</v>
      </c>
      <c r="F2471" s="43" t="s">
        <v>24</v>
      </c>
      <c r="G2471" s="45" t="s">
        <v>161</v>
      </c>
      <c r="H2471" s="45" t="s">
        <v>156</v>
      </c>
      <c r="I2471" s="45" t="s">
        <v>1718</v>
      </c>
      <c r="J2471" s="143" t="s">
        <v>28</v>
      </c>
      <c r="K2471" s="43" t="s">
        <v>29</v>
      </c>
      <c r="L2471" s="43" t="s">
        <v>30</v>
      </c>
      <c r="M2471" s="144" t="s">
        <v>31</v>
      </c>
      <c r="N2471" s="145">
        <v>250000.0</v>
      </c>
      <c r="O2471" s="146">
        <v>0.0</v>
      </c>
      <c r="P2471" s="48">
        <v>250000.0</v>
      </c>
      <c r="Q2471" s="147">
        <v>0.0</v>
      </c>
      <c r="R2471" s="41" t="s">
        <v>32</v>
      </c>
      <c r="S2471" s="76" t="s">
        <v>33</v>
      </c>
      <c r="T2471" s="51" t="b">
        <v>1</v>
      </c>
      <c r="U2471" s="94"/>
    </row>
    <row r="2472" ht="30.0" customHeight="1">
      <c r="A2472" s="39"/>
      <c r="B2472" s="164">
        <v>4513.0</v>
      </c>
      <c r="C2472" s="41" t="s">
        <v>39</v>
      </c>
      <c r="D2472" s="86">
        <v>46221.0</v>
      </c>
      <c r="E2472" s="43" t="str">
        <f t="shared" ref="E2472:E2512" si="76">if(D2472="","",text(D2472,"YYY"))</f>
        <v>2026</v>
      </c>
      <c r="F2472" s="43" t="str">
        <f t="shared" ref="F2472:F2512" si="77">if(D2472="","",text(D2472,"MM")&amp;" "&amp;text(D2472,"MMM"))</f>
        <v>07 Jul</v>
      </c>
      <c r="G2472" s="45" t="s">
        <v>35</v>
      </c>
      <c r="H2472" s="45" t="s">
        <v>150</v>
      </c>
      <c r="I2472" s="45" t="s">
        <v>1719</v>
      </c>
      <c r="J2472" s="143" t="s">
        <v>28</v>
      </c>
      <c r="K2472" s="43" t="str">
        <f t="array" ref="K2472">IF(J2472="","", XLOOKUP(J2472,'⚙️ Pengaturan'!$E$2:$E3237,'⚙️ Pengaturan'!$G$2:$G3237))</f>
        <v>KLINIK FT TA</v>
      </c>
      <c r="L2472" s="43" t="str">
        <f t="shared" ref="L2472:L2481" si="78">if(I2472="","",if(countifs($J$5:J2472,J2472,$I$5:I2472,I2472)=1,"BARU","LANJUTAN"))</f>
        <v>BARU</v>
      </c>
      <c r="M2472" s="144" t="s">
        <v>31</v>
      </c>
      <c r="N2472" s="145">
        <v>250000.0</v>
      </c>
      <c r="O2472" s="146">
        <v>0.0</v>
      </c>
      <c r="P2472" s="48">
        <f t="array" ref="P2472">IFNA(XLOOKUP(J2472,'⚙️ Pengaturan'!$E$2:$E3237,'⚙️ Pengaturan'!$F$2:$F3237),"")</f>
        <v>250000</v>
      </c>
      <c r="Q2472" s="147">
        <f t="shared" ref="Q2472:Q2481" si="79">IF(I2472="","",(N2472+O2472)-P2472)</f>
        <v>0</v>
      </c>
      <c r="R2472" s="41" t="s">
        <v>32</v>
      </c>
      <c r="S2472" s="76" t="s">
        <v>33</v>
      </c>
      <c r="T2472" s="51" t="b">
        <v>1</v>
      </c>
      <c r="U2472" s="94"/>
    </row>
    <row r="2473" ht="30.0" customHeight="1">
      <c r="A2473" s="39"/>
      <c r="B2473" s="40">
        <v>4514.0</v>
      </c>
      <c r="C2473" s="41" t="s">
        <v>39</v>
      </c>
      <c r="D2473" s="86">
        <v>46223.0</v>
      </c>
      <c r="E2473" s="43" t="str">
        <f t="shared" si="76"/>
        <v>2026</v>
      </c>
      <c r="F2473" s="43" t="str">
        <f t="shared" si="77"/>
        <v>07 Jul</v>
      </c>
      <c r="G2473" s="45" t="s">
        <v>69</v>
      </c>
      <c r="H2473" s="45" t="s">
        <v>47</v>
      </c>
      <c r="I2473" s="45" t="s">
        <v>1719</v>
      </c>
      <c r="J2473" s="143" t="s">
        <v>347</v>
      </c>
      <c r="K2473" s="43" t="str">
        <f t="array" ref="K2473">IF(J2473="","", XLOOKUP(J2473,'⚙️ Pengaturan'!$E$2:$E3237,'⚙️ Pengaturan'!$G$2:$G3237))</f>
        <v>KLINIK FT PAKET</v>
      </c>
      <c r="L2473" s="43" t="str">
        <f t="shared" si="78"/>
        <v>BARU</v>
      </c>
      <c r="M2473" s="144" t="s">
        <v>31</v>
      </c>
      <c r="N2473" s="145">
        <v>1300000.0</v>
      </c>
      <c r="O2473" s="146">
        <v>0.0</v>
      </c>
      <c r="P2473" s="48">
        <f t="array" ref="P2473">IFNA(XLOOKUP(J2473,'⚙️ Pengaturan'!$E$2:$E3237,'⚙️ Pengaturan'!$F$2:$F3237),"")</f>
        <v>1300000</v>
      </c>
      <c r="Q2473" s="147">
        <f t="shared" si="79"/>
        <v>0</v>
      </c>
      <c r="R2473" s="41" t="s">
        <v>32</v>
      </c>
      <c r="S2473" s="76" t="s">
        <v>33</v>
      </c>
      <c r="T2473" s="51" t="b">
        <v>1</v>
      </c>
      <c r="U2473" s="94"/>
    </row>
    <row r="2474" ht="30.0" customHeight="1">
      <c r="A2474" s="39"/>
      <c r="B2474" s="164">
        <v>4515.0</v>
      </c>
      <c r="C2474" s="41" t="s">
        <v>39</v>
      </c>
      <c r="D2474" s="86">
        <v>46221.0</v>
      </c>
      <c r="E2474" s="43" t="str">
        <f t="shared" si="76"/>
        <v>2026</v>
      </c>
      <c r="F2474" s="43" t="str">
        <f t="shared" si="77"/>
        <v>07 Jul</v>
      </c>
      <c r="G2474" s="45" t="s">
        <v>35</v>
      </c>
      <c r="H2474" s="45" t="s">
        <v>41</v>
      </c>
      <c r="I2474" s="45" t="s">
        <v>1720</v>
      </c>
      <c r="J2474" s="143" t="s">
        <v>323</v>
      </c>
      <c r="K2474" s="43" t="str">
        <f t="array" ref="K2474">IF(J2474="","", XLOOKUP(J2474,'⚙️ Pengaturan'!$E$2:$E3237,'⚙️ Pengaturan'!$G$2:$G3237))</f>
        <v>VISIT FT SESI</v>
      </c>
      <c r="L2474" s="43" t="str">
        <f t="shared" si="78"/>
        <v>BARU</v>
      </c>
      <c r="M2474" s="144" t="s">
        <v>31</v>
      </c>
      <c r="N2474" s="145">
        <v>200000.0</v>
      </c>
      <c r="O2474" s="146">
        <v>0.0</v>
      </c>
      <c r="P2474" s="48">
        <f t="array" ref="P2474">IFNA(XLOOKUP(J2474,'⚙️ Pengaturan'!$E$2:$E3237,'⚙️ Pengaturan'!$F$2:$F3237),"")</f>
        <v>200000</v>
      </c>
      <c r="Q2474" s="147">
        <f t="shared" si="79"/>
        <v>0</v>
      </c>
      <c r="R2474" s="41" t="s">
        <v>32</v>
      </c>
      <c r="S2474" s="76" t="s">
        <v>33</v>
      </c>
      <c r="T2474" s="51" t="b">
        <v>1</v>
      </c>
      <c r="U2474" s="94"/>
    </row>
    <row r="2475" ht="30.0" customHeight="1">
      <c r="A2475" s="39"/>
      <c r="B2475" s="40">
        <v>4516.0</v>
      </c>
      <c r="C2475" s="41" t="s">
        <v>39</v>
      </c>
      <c r="D2475" s="86">
        <v>46221.0</v>
      </c>
      <c r="E2475" s="43" t="str">
        <f t="shared" si="76"/>
        <v>2026</v>
      </c>
      <c r="F2475" s="43" t="str">
        <f t="shared" si="77"/>
        <v>07 Jul</v>
      </c>
      <c r="G2475" s="45" t="s">
        <v>40</v>
      </c>
      <c r="H2475" s="45" t="s">
        <v>76</v>
      </c>
      <c r="I2475" s="45" t="s">
        <v>1721</v>
      </c>
      <c r="J2475" s="143" t="s">
        <v>28</v>
      </c>
      <c r="K2475" s="43" t="str">
        <f t="array" ref="K2475">IF(J2475="","", XLOOKUP(J2475,'⚙️ Pengaturan'!$E$2:$E3237,'⚙️ Pengaturan'!$G$2:$G3237))</f>
        <v>KLINIK FT TA</v>
      </c>
      <c r="L2475" s="43" t="str">
        <f t="shared" si="78"/>
        <v>BARU</v>
      </c>
      <c r="M2475" s="144" t="s">
        <v>31</v>
      </c>
      <c r="N2475" s="145">
        <v>250000.0</v>
      </c>
      <c r="O2475" s="146">
        <v>0.0</v>
      </c>
      <c r="P2475" s="48">
        <f t="array" ref="P2475">IFNA(XLOOKUP(J2475,'⚙️ Pengaturan'!$E$2:$E3237,'⚙️ Pengaturan'!$F$2:$F3237),"")</f>
        <v>250000</v>
      </c>
      <c r="Q2475" s="147">
        <f t="shared" si="79"/>
        <v>0</v>
      </c>
      <c r="R2475" s="41" t="s">
        <v>37</v>
      </c>
      <c r="S2475" s="69" t="s">
        <v>1721</v>
      </c>
      <c r="T2475" s="51" t="b">
        <v>1</v>
      </c>
      <c r="U2475" s="69" t="s">
        <v>1721</v>
      </c>
    </row>
    <row r="2476" ht="30.0" customHeight="1">
      <c r="A2476" s="39"/>
      <c r="B2476" s="164">
        <v>4517.0</v>
      </c>
      <c r="C2476" s="41" t="s">
        <v>39</v>
      </c>
      <c r="D2476" s="86">
        <v>46221.0</v>
      </c>
      <c r="E2476" s="43" t="str">
        <f t="shared" si="76"/>
        <v>2026</v>
      </c>
      <c r="F2476" s="43" t="str">
        <f t="shared" si="77"/>
        <v>07 Jul</v>
      </c>
      <c r="G2476" s="45" t="s">
        <v>155</v>
      </c>
      <c r="H2476" s="45" t="s">
        <v>41</v>
      </c>
      <c r="I2476" s="45" t="s">
        <v>1722</v>
      </c>
      <c r="J2476" s="143" t="s">
        <v>28</v>
      </c>
      <c r="K2476" s="43" t="str">
        <f t="array" ref="K2476">IF(J2476="","", XLOOKUP(J2476,'⚙️ Pengaturan'!$E$2:$E3237,'⚙️ Pengaturan'!$G$2:$G3237))</f>
        <v>KLINIK FT TA</v>
      </c>
      <c r="L2476" s="43" t="str">
        <f t="shared" si="78"/>
        <v>BARU</v>
      </c>
      <c r="M2476" s="144" t="s">
        <v>31</v>
      </c>
      <c r="N2476" s="145">
        <v>250000.0</v>
      </c>
      <c r="O2476" s="146">
        <v>0.0</v>
      </c>
      <c r="P2476" s="48">
        <f t="array" ref="P2476">IFNA(XLOOKUP(J2476,'⚙️ Pengaturan'!$E$2:$E3237,'⚙️ Pengaturan'!$F$2:$F3237),"")</f>
        <v>250000</v>
      </c>
      <c r="Q2476" s="147">
        <f t="shared" si="79"/>
        <v>0</v>
      </c>
      <c r="R2476" s="41" t="s">
        <v>32</v>
      </c>
      <c r="S2476" s="76" t="s">
        <v>33</v>
      </c>
      <c r="T2476" s="51" t="b">
        <v>1</v>
      </c>
      <c r="U2476" s="94"/>
    </row>
    <row r="2477" ht="30.0" customHeight="1">
      <c r="A2477" s="39"/>
      <c r="B2477" s="40">
        <v>4518.0</v>
      </c>
      <c r="C2477" s="41" t="s">
        <v>39</v>
      </c>
      <c r="D2477" s="86">
        <v>46221.0</v>
      </c>
      <c r="E2477" s="43" t="str">
        <f t="shared" si="76"/>
        <v>2026</v>
      </c>
      <c r="F2477" s="43" t="str">
        <f t="shared" si="77"/>
        <v>07 Jul</v>
      </c>
      <c r="G2477" s="45" t="s">
        <v>155</v>
      </c>
      <c r="H2477" s="45" t="s">
        <v>359</v>
      </c>
      <c r="I2477" s="45" t="s">
        <v>1604</v>
      </c>
      <c r="J2477" s="143" t="s">
        <v>180</v>
      </c>
      <c r="K2477" s="43" t="str">
        <f t="array" ref="K2477">IF(J2477="","", XLOOKUP(J2477,'⚙️ Pengaturan'!$E$2:$E3237,'⚙️ Pengaturan'!$G$2:$G3237))</f>
        <v>KLINIK FT SESI</v>
      </c>
      <c r="L2477" s="43" t="str">
        <f t="shared" si="78"/>
        <v>BARU</v>
      </c>
      <c r="M2477" s="144" t="s">
        <v>31</v>
      </c>
      <c r="N2477" s="145">
        <v>125000.0</v>
      </c>
      <c r="O2477" s="146">
        <v>0.0</v>
      </c>
      <c r="P2477" s="48">
        <f t="array" ref="P2477">IFNA(XLOOKUP(J2477,'⚙️ Pengaturan'!$E$2:$E3237,'⚙️ Pengaturan'!$F$2:$F3237),"")</f>
        <v>150000</v>
      </c>
      <c r="Q2477" s="147">
        <f t="shared" si="79"/>
        <v>-25000</v>
      </c>
      <c r="R2477" s="41" t="s">
        <v>37</v>
      </c>
      <c r="S2477" s="69" t="s">
        <v>1604</v>
      </c>
      <c r="T2477" s="51" t="b">
        <v>1</v>
      </c>
      <c r="U2477" s="94"/>
    </row>
    <row r="2478" ht="30.0" customHeight="1">
      <c r="A2478" s="39"/>
      <c r="B2478" s="164">
        <v>4519.0</v>
      </c>
      <c r="C2478" s="41" t="s">
        <v>39</v>
      </c>
      <c r="D2478" s="86">
        <v>46221.0</v>
      </c>
      <c r="E2478" s="43" t="str">
        <f t="shared" si="76"/>
        <v>2026</v>
      </c>
      <c r="F2478" s="43" t="str">
        <f t="shared" si="77"/>
        <v>07 Jul</v>
      </c>
      <c r="G2478" s="45" t="s">
        <v>190</v>
      </c>
      <c r="H2478" s="45" t="s">
        <v>47</v>
      </c>
      <c r="I2478" s="45" t="s">
        <v>1723</v>
      </c>
      <c r="J2478" s="143" t="s">
        <v>28</v>
      </c>
      <c r="K2478" s="43" t="str">
        <f t="array" ref="K2478">IF(J2478="","", XLOOKUP(J2478,'⚙️ Pengaturan'!$E$2:$E3237,'⚙️ Pengaturan'!$G$2:$G3237))</f>
        <v>KLINIK FT TA</v>
      </c>
      <c r="L2478" s="43" t="str">
        <f t="shared" si="78"/>
        <v>BARU</v>
      </c>
      <c r="M2478" s="144" t="s">
        <v>31</v>
      </c>
      <c r="N2478" s="145">
        <v>250000.0</v>
      </c>
      <c r="O2478" s="146">
        <v>0.0</v>
      </c>
      <c r="P2478" s="48">
        <f t="array" ref="P2478">IFNA(XLOOKUP(J2478,'⚙️ Pengaturan'!$E$2:$E3237,'⚙️ Pengaturan'!$F$2:$F3237),"")</f>
        <v>250000</v>
      </c>
      <c r="Q2478" s="147">
        <f t="shared" si="79"/>
        <v>0</v>
      </c>
      <c r="R2478" s="41" t="s">
        <v>37</v>
      </c>
      <c r="S2478" s="69" t="s">
        <v>1723</v>
      </c>
      <c r="T2478" s="51" t="b">
        <v>1</v>
      </c>
      <c r="U2478" s="94"/>
    </row>
    <row r="2479" ht="30.0" customHeight="1">
      <c r="A2479" s="39"/>
      <c r="B2479" s="40">
        <v>4520.0</v>
      </c>
      <c r="C2479" s="41" t="s">
        <v>39</v>
      </c>
      <c r="D2479" s="86">
        <v>46221.0</v>
      </c>
      <c r="E2479" s="43" t="str">
        <f t="shared" si="76"/>
        <v>2026</v>
      </c>
      <c r="F2479" s="43" t="str">
        <f t="shared" si="77"/>
        <v>07 Jul</v>
      </c>
      <c r="G2479" s="45" t="s">
        <v>190</v>
      </c>
      <c r="H2479" s="45" t="s">
        <v>76</v>
      </c>
      <c r="I2479" s="45" t="s">
        <v>1724</v>
      </c>
      <c r="J2479" s="143" t="s">
        <v>28</v>
      </c>
      <c r="K2479" s="43" t="str">
        <f t="array" ref="K2479">IF(J2479="","", XLOOKUP(J2479,'⚙️ Pengaturan'!$E$2:$E3237,'⚙️ Pengaturan'!$G$2:$G3237))</f>
        <v>KLINIK FT TA</v>
      </c>
      <c r="L2479" s="43" t="str">
        <f t="shared" si="78"/>
        <v>BARU</v>
      </c>
      <c r="M2479" s="144" t="s">
        <v>31</v>
      </c>
      <c r="N2479" s="145">
        <v>250000.0</v>
      </c>
      <c r="O2479" s="146">
        <v>0.0</v>
      </c>
      <c r="P2479" s="48">
        <f t="array" ref="P2479">IFNA(XLOOKUP(J2479,'⚙️ Pengaturan'!$E$2:$E3237,'⚙️ Pengaturan'!$F$2:$F3237),"")</f>
        <v>250000</v>
      </c>
      <c r="Q2479" s="147">
        <f t="shared" si="79"/>
        <v>0</v>
      </c>
      <c r="R2479" s="41" t="s">
        <v>37</v>
      </c>
      <c r="S2479" s="69" t="s">
        <v>1724</v>
      </c>
      <c r="T2479" s="51" t="b">
        <v>1</v>
      </c>
      <c r="U2479" s="94"/>
    </row>
    <row r="2480" ht="30.0" customHeight="1">
      <c r="A2480" s="39"/>
      <c r="B2480" s="164">
        <v>4521.0</v>
      </c>
      <c r="C2480" s="41" t="s">
        <v>39</v>
      </c>
      <c r="D2480" s="86">
        <v>46221.0</v>
      </c>
      <c r="E2480" s="43" t="str">
        <f t="shared" si="76"/>
        <v>2026</v>
      </c>
      <c r="F2480" s="43" t="str">
        <f t="shared" si="77"/>
        <v>07 Jul</v>
      </c>
      <c r="G2480" s="45" t="s">
        <v>40</v>
      </c>
      <c r="H2480" s="45" t="s">
        <v>359</v>
      </c>
      <c r="I2480" s="45" t="s">
        <v>1133</v>
      </c>
      <c r="J2480" s="143" t="s">
        <v>1545</v>
      </c>
      <c r="K2480" s="43" t="str">
        <f t="array" ref="K2480">IF(J2480="","", XLOOKUP(J2480,'⚙️ Pengaturan'!$E$2:$E3237,'⚙️ Pengaturan'!$G$2:$G3237))</f>
        <v>KLINIK SM SESI</v>
      </c>
      <c r="L2480" s="43" t="str">
        <f t="shared" si="78"/>
        <v>BARU</v>
      </c>
      <c r="M2480" s="144" t="s">
        <v>31</v>
      </c>
      <c r="N2480" s="145">
        <v>125000.0</v>
      </c>
      <c r="O2480" s="146">
        <v>0.0</v>
      </c>
      <c r="P2480" s="48">
        <f t="array" ref="P2480">IFNA(XLOOKUP(J2480,'⚙️ Pengaturan'!$E$2:$E3237,'⚙️ Pengaturan'!$F$2:$F3237),"")</f>
        <v>125000</v>
      </c>
      <c r="Q2480" s="147">
        <f t="shared" si="79"/>
        <v>0</v>
      </c>
      <c r="R2480" s="41" t="s">
        <v>37</v>
      </c>
      <c r="S2480" s="69" t="s">
        <v>1133</v>
      </c>
      <c r="T2480" s="51" t="b">
        <v>1</v>
      </c>
      <c r="U2480" s="94"/>
    </row>
    <row r="2481" ht="30.0" customHeight="1">
      <c r="A2481" s="39"/>
      <c r="B2481" s="40">
        <v>4522.0</v>
      </c>
      <c r="C2481" s="41" t="s">
        <v>39</v>
      </c>
      <c r="D2481" s="86">
        <v>46221.0</v>
      </c>
      <c r="E2481" s="43" t="str">
        <f t="shared" si="76"/>
        <v>2026</v>
      </c>
      <c r="F2481" s="43" t="str">
        <f t="shared" si="77"/>
        <v>07 Jul</v>
      </c>
      <c r="G2481" s="45" t="s">
        <v>190</v>
      </c>
      <c r="H2481" s="45" t="s">
        <v>41</v>
      </c>
      <c r="I2481" s="45" t="s">
        <v>435</v>
      </c>
      <c r="J2481" s="143" t="s">
        <v>180</v>
      </c>
      <c r="K2481" s="43" t="str">
        <f t="array" ref="K2481">IF(J2481="","", XLOOKUP(J2481,'⚙️ Pengaturan'!$E$2:$E3237,'⚙️ Pengaturan'!$G$2:$G3237))</f>
        <v>KLINIK FT SESI</v>
      </c>
      <c r="L2481" s="43" t="str">
        <f t="shared" si="78"/>
        <v>BARU</v>
      </c>
      <c r="M2481" s="144" t="s">
        <v>31</v>
      </c>
      <c r="N2481" s="145">
        <v>150000.0</v>
      </c>
      <c r="O2481" s="146">
        <v>0.0</v>
      </c>
      <c r="P2481" s="48">
        <f t="array" ref="P2481">IFNA(XLOOKUP(J2481,'⚙️ Pengaturan'!$E$2:$E3237,'⚙️ Pengaturan'!$F$2:$F3237),"")</f>
        <v>150000</v>
      </c>
      <c r="Q2481" s="147">
        <f t="shared" si="79"/>
        <v>0</v>
      </c>
      <c r="R2481" s="41" t="s">
        <v>37</v>
      </c>
      <c r="S2481" s="69" t="s">
        <v>435</v>
      </c>
      <c r="T2481" s="51" t="b">
        <v>1</v>
      </c>
      <c r="U2481" s="94"/>
    </row>
    <row r="2482" ht="30.0" customHeight="1">
      <c r="A2482" s="39"/>
      <c r="B2482" s="164">
        <v>4523.0</v>
      </c>
      <c r="C2482" s="41" t="s">
        <v>79</v>
      </c>
      <c r="D2482" s="86">
        <v>46222.0</v>
      </c>
      <c r="E2482" s="43" t="str">
        <f t="shared" si="76"/>
        <v>2026</v>
      </c>
      <c r="F2482" s="43" t="str">
        <f t="shared" si="77"/>
        <v>07 Jul</v>
      </c>
      <c r="G2482" s="45" t="s">
        <v>195</v>
      </c>
      <c r="H2482" s="45" t="s">
        <v>41</v>
      </c>
      <c r="I2482" s="45" t="s">
        <v>1725</v>
      </c>
      <c r="J2482" s="143" t="s">
        <v>28</v>
      </c>
      <c r="K2482" s="43" t="s">
        <v>29</v>
      </c>
      <c r="L2482" s="43" t="s">
        <v>30</v>
      </c>
      <c r="M2482" s="144" t="s">
        <v>31</v>
      </c>
      <c r="N2482" s="145">
        <v>250000.0</v>
      </c>
      <c r="O2482" s="146">
        <v>0.0</v>
      </c>
      <c r="P2482" s="48">
        <v>250000.0</v>
      </c>
      <c r="Q2482" s="147">
        <v>0.0</v>
      </c>
      <c r="R2482" s="41" t="s">
        <v>32</v>
      </c>
      <c r="S2482" s="76" t="s">
        <v>33</v>
      </c>
      <c r="T2482" s="51" t="b">
        <v>1</v>
      </c>
      <c r="U2482" s="94"/>
    </row>
    <row r="2483" ht="30.0" customHeight="1">
      <c r="A2483" s="39"/>
      <c r="B2483" s="40">
        <v>4524.0</v>
      </c>
      <c r="C2483" s="41" t="s">
        <v>79</v>
      </c>
      <c r="D2483" s="86">
        <v>46222.0</v>
      </c>
      <c r="E2483" s="43" t="str">
        <f t="shared" si="76"/>
        <v>2026</v>
      </c>
      <c r="F2483" s="43" t="str">
        <f t="shared" si="77"/>
        <v>07 Jul</v>
      </c>
      <c r="G2483" s="45" t="s">
        <v>195</v>
      </c>
      <c r="H2483" s="45" t="s">
        <v>41</v>
      </c>
      <c r="I2483" s="45" t="s">
        <v>1551</v>
      </c>
      <c r="J2483" s="143" t="s">
        <v>119</v>
      </c>
      <c r="K2483" s="43" t="str">
        <f t="array" ref="K2483">IF(J2483="","", XLOOKUP(J2483,'⚙️ Pengaturan'!$E$2:$E3237,'⚙️ Pengaturan'!$G$2:$G3237))</f>
        <v>KLINIK FT PAKET</v>
      </c>
      <c r="L2483" s="43" t="str">
        <f>if(I2483="","",if(countifs($J$5:J2483,J2483,$I$5:I2483,I2483)=1,"BARU","LANJUTAN"))</f>
        <v>LANJUTAN</v>
      </c>
      <c r="M2483" s="144" t="s">
        <v>164</v>
      </c>
      <c r="N2483" s="145">
        <v>450000.0</v>
      </c>
      <c r="O2483" s="146">
        <v>300000.0</v>
      </c>
      <c r="P2483" s="48">
        <f t="array" ref="P2483">IFNA(XLOOKUP(J2483,'⚙️ Pengaturan'!$E$2:$E3237,'⚙️ Pengaturan'!$F$2:$F3237),"")</f>
        <v>750000</v>
      </c>
      <c r="Q2483" s="147">
        <f>IF(I2483="","",(N2483+O2483)-P2483)</f>
        <v>0</v>
      </c>
      <c r="R2483" s="41" t="s">
        <v>37</v>
      </c>
      <c r="S2483" s="69" t="s">
        <v>1551</v>
      </c>
      <c r="T2483" s="51" t="b">
        <v>1</v>
      </c>
      <c r="U2483" s="94"/>
    </row>
    <row r="2484" ht="30.0" customHeight="1">
      <c r="A2484" s="39"/>
      <c r="B2484" s="164">
        <v>4525.0</v>
      </c>
      <c r="C2484" s="41" t="s">
        <v>79</v>
      </c>
      <c r="D2484" s="86">
        <v>46222.0</v>
      </c>
      <c r="E2484" s="43" t="str">
        <f t="shared" si="76"/>
        <v>2026</v>
      </c>
      <c r="F2484" s="43" t="str">
        <f t="shared" si="77"/>
        <v>07 Jul</v>
      </c>
      <c r="G2484" s="45" t="s">
        <v>25</v>
      </c>
      <c r="H2484" s="45" t="s">
        <v>41</v>
      </c>
      <c r="I2484" s="45" t="s">
        <v>1726</v>
      </c>
      <c r="J2484" s="169" t="s">
        <v>28</v>
      </c>
      <c r="K2484" s="170" t="s">
        <v>29</v>
      </c>
      <c r="L2484" s="170" t="s">
        <v>30</v>
      </c>
      <c r="M2484" s="148" t="s">
        <v>31</v>
      </c>
      <c r="N2484" s="149">
        <v>250000.0</v>
      </c>
      <c r="O2484" s="150">
        <v>0.0</v>
      </c>
      <c r="P2484" s="151">
        <v>250000.0</v>
      </c>
      <c r="Q2484" s="147">
        <v>0.0</v>
      </c>
      <c r="R2484" s="171" t="s">
        <v>37</v>
      </c>
      <c r="S2484" s="69" t="s">
        <v>1726</v>
      </c>
      <c r="T2484" s="51" t="b">
        <v>1</v>
      </c>
      <c r="U2484" s="94"/>
    </row>
    <row r="2485" ht="30.0" customHeight="1">
      <c r="A2485" s="39"/>
      <c r="B2485" s="40">
        <v>4526.0</v>
      </c>
      <c r="C2485" s="41" t="s">
        <v>79</v>
      </c>
      <c r="D2485" s="86">
        <v>46222.0</v>
      </c>
      <c r="E2485" s="43" t="str">
        <f t="shared" si="76"/>
        <v>2026</v>
      </c>
      <c r="F2485" s="43" t="str">
        <f t="shared" si="77"/>
        <v>07 Jul</v>
      </c>
      <c r="G2485" s="45" t="s">
        <v>206</v>
      </c>
      <c r="H2485" s="45" t="s">
        <v>96</v>
      </c>
      <c r="I2485" s="45" t="s">
        <v>1727</v>
      </c>
      <c r="J2485" s="169" t="s">
        <v>28</v>
      </c>
      <c r="K2485" s="170" t="s">
        <v>29</v>
      </c>
      <c r="L2485" s="170" t="s">
        <v>30</v>
      </c>
      <c r="M2485" s="148" t="s">
        <v>31</v>
      </c>
      <c r="N2485" s="149">
        <v>250000.0</v>
      </c>
      <c r="O2485" s="150">
        <v>0.0</v>
      </c>
      <c r="P2485" s="151">
        <v>250000.0</v>
      </c>
      <c r="Q2485" s="147">
        <v>0.0</v>
      </c>
      <c r="R2485" s="171" t="s">
        <v>37</v>
      </c>
      <c r="S2485" s="69" t="s">
        <v>1727</v>
      </c>
      <c r="T2485" s="51" t="b">
        <v>1</v>
      </c>
      <c r="U2485" s="94"/>
    </row>
    <row r="2486" ht="30.0" customHeight="1">
      <c r="A2486" s="39"/>
      <c r="B2486" s="164">
        <v>4527.0</v>
      </c>
      <c r="C2486" s="41" t="s">
        <v>79</v>
      </c>
      <c r="D2486" s="86">
        <v>46222.0</v>
      </c>
      <c r="E2486" s="43" t="str">
        <f t="shared" si="76"/>
        <v>2026</v>
      </c>
      <c r="F2486" s="43" t="str">
        <f t="shared" si="77"/>
        <v>07 Jul</v>
      </c>
      <c r="G2486" s="45" t="s">
        <v>206</v>
      </c>
      <c r="H2486" s="45" t="s">
        <v>41</v>
      </c>
      <c r="I2486" s="45" t="s">
        <v>1728</v>
      </c>
      <c r="J2486" s="169" t="s">
        <v>28</v>
      </c>
      <c r="K2486" s="170" t="s">
        <v>29</v>
      </c>
      <c r="L2486" s="170" t="s">
        <v>30</v>
      </c>
      <c r="M2486" s="148" t="s">
        <v>31</v>
      </c>
      <c r="N2486" s="149">
        <v>250000.0</v>
      </c>
      <c r="O2486" s="150">
        <v>0.0</v>
      </c>
      <c r="P2486" s="151">
        <v>250000.0</v>
      </c>
      <c r="Q2486" s="147">
        <v>0.0</v>
      </c>
      <c r="R2486" s="133" t="s">
        <v>37</v>
      </c>
      <c r="S2486" s="69" t="s">
        <v>1728</v>
      </c>
      <c r="T2486" s="51" t="b">
        <v>1</v>
      </c>
      <c r="U2486" s="94"/>
    </row>
    <row r="2487" ht="30.0" customHeight="1">
      <c r="A2487" s="39"/>
      <c r="B2487" s="40">
        <v>4528.0</v>
      </c>
      <c r="C2487" s="41" t="s">
        <v>79</v>
      </c>
      <c r="D2487" s="86">
        <v>46222.0</v>
      </c>
      <c r="E2487" s="43" t="str">
        <f t="shared" si="76"/>
        <v>2026</v>
      </c>
      <c r="F2487" s="43" t="str">
        <f t="shared" si="77"/>
        <v>07 Jul</v>
      </c>
      <c r="G2487" s="45" t="s">
        <v>206</v>
      </c>
      <c r="H2487" s="45" t="s">
        <v>96</v>
      </c>
      <c r="I2487" s="45" t="s">
        <v>1715</v>
      </c>
      <c r="J2487" s="143" t="s">
        <v>120</v>
      </c>
      <c r="K2487" s="43" t="str">
        <f t="array" ref="K2487">IF(J2487="","", XLOOKUP(J2487,'⚙️ Pengaturan'!$E$2:$E3237,'⚙️ Pengaturan'!$G$2:$G3237))</f>
        <v>KLINIK FT SESI</v>
      </c>
      <c r="L2487" s="43" t="str">
        <f>if(I2487="","",if(countifs($J$5:J2487,J2487,$I$5:I2487,I2487)=1,"BARU","LANJUTAN"))</f>
        <v>BARU</v>
      </c>
      <c r="M2487" s="144" t="s">
        <v>31</v>
      </c>
      <c r="N2487" s="145">
        <v>180000.0</v>
      </c>
      <c r="O2487" s="146">
        <v>0.0</v>
      </c>
      <c r="P2487" s="48">
        <f t="array" ref="P2487">IFNA(XLOOKUP(J2487,'⚙️ Pengaturan'!$E$2:$E3237,'⚙️ Pengaturan'!$F$2:$F3237),"")</f>
        <v>180000</v>
      </c>
      <c r="Q2487" s="147">
        <f>IF(I2487="","",(N2487+O2487)-P2487)</f>
        <v>0</v>
      </c>
      <c r="R2487" s="41" t="s">
        <v>32</v>
      </c>
      <c r="S2487" s="76" t="s">
        <v>33</v>
      </c>
      <c r="T2487" s="51" t="b">
        <v>1</v>
      </c>
      <c r="U2487" s="94"/>
    </row>
    <row r="2488" ht="30.0" customHeight="1">
      <c r="A2488" s="39"/>
      <c r="B2488" s="164">
        <v>4529.0</v>
      </c>
      <c r="C2488" s="41" t="s">
        <v>79</v>
      </c>
      <c r="D2488" s="86">
        <v>46222.0</v>
      </c>
      <c r="E2488" s="43" t="str">
        <f t="shared" si="76"/>
        <v>2026</v>
      </c>
      <c r="F2488" s="43" t="str">
        <f t="shared" si="77"/>
        <v>07 Jul</v>
      </c>
      <c r="G2488" s="45" t="s">
        <v>35</v>
      </c>
      <c r="H2488" s="45" t="s">
        <v>149</v>
      </c>
      <c r="I2488" s="45" t="s">
        <v>1729</v>
      </c>
      <c r="J2488" s="169" t="s">
        <v>28</v>
      </c>
      <c r="K2488" s="172" t="s">
        <v>29</v>
      </c>
      <c r="L2488" s="172" t="s">
        <v>30</v>
      </c>
      <c r="M2488" s="148" t="s">
        <v>31</v>
      </c>
      <c r="N2488" s="149">
        <v>250000.0</v>
      </c>
      <c r="O2488" s="150">
        <v>0.0</v>
      </c>
      <c r="P2488" s="48">
        <v>250000.0</v>
      </c>
      <c r="Q2488" s="147">
        <v>0.0</v>
      </c>
      <c r="R2488" s="41" t="s">
        <v>37</v>
      </c>
      <c r="S2488" s="69" t="s">
        <v>1729</v>
      </c>
      <c r="T2488" s="51" t="b">
        <v>1</v>
      </c>
      <c r="U2488" s="94"/>
    </row>
    <row r="2489" ht="30.0" customHeight="1">
      <c r="A2489" s="39"/>
      <c r="B2489" s="40">
        <v>4530.0</v>
      </c>
      <c r="C2489" s="41" t="s">
        <v>79</v>
      </c>
      <c r="D2489" s="86">
        <v>46222.0</v>
      </c>
      <c r="E2489" s="43" t="str">
        <f t="shared" si="76"/>
        <v>2026</v>
      </c>
      <c r="F2489" s="43" t="str">
        <f t="shared" si="77"/>
        <v>07 Jul</v>
      </c>
      <c r="G2489" s="45" t="s">
        <v>35</v>
      </c>
      <c r="H2489" s="45" t="s">
        <v>96</v>
      </c>
      <c r="I2489" s="45" t="s">
        <v>1730</v>
      </c>
      <c r="J2489" s="169" t="s">
        <v>28</v>
      </c>
      <c r="K2489" s="172" t="s">
        <v>29</v>
      </c>
      <c r="L2489" s="172" t="s">
        <v>30</v>
      </c>
      <c r="M2489" s="148" t="s">
        <v>31</v>
      </c>
      <c r="N2489" s="149">
        <v>250000.0</v>
      </c>
      <c r="O2489" s="150">
        <v>0.0</v>
      </c>
      <c r="P2489" s="48">
        <v>250000.0</v>
      </c>
      <c r="Q2489" s="147">
        <v>0.0</v>
      </c>
      <c r="R2489" s="41" t="s">
        <v>118</v>
      </c>
      <c r="S2489" s="69" t="s">
        <v>118</v>
      </c>
      <c r="T2489" s="51" t="b">
        <v>1</v>
      </c>
      <c r="U2489" s="94"/>
    </row>
    <row r="2490" ht="30.0" customHeight="1">
      <c r="A2490" s="39"/>
      <c r="B2490" s="164">
        <v>4531.0</v>
      </c>
      <c r="C2490" s="41" t="s">
        <v>79</v>
      </c>
      <c r="D2490" s="86">
        <v>46222.0</v>
      </c>
      <c r="E2490" s="43" t="str">
        <f t="shared" si="76"/>
        <v>2026</v>
      </c>
      <c r="F2490" s="43" t="str">
        <f t="shared" si="77"/>
        <v>07 Jul</v>
      </c>
      <c r="G2490" s="45" t="s">
        <v>35</v>
      </c>
      <c r="H2490" s="45" t="s">
        <v>96</v>
      </c>
      <c r="I2490" s="45" t="s">
        <v>1730</v>
      </c>
      <c r="J2490" s="143" t="s">
        <v>347</v>
      </c>
      <c r="K2490" s="43" t="s">
        <v>51</v>
      </c>
      <c r="L2490" s="43" t="s">
        <v>30</v>
      </c>
      <c r="M2490" s="144" t="s">
        <v>31</v>
      </c>
      <c r="N2490" s="145">
        <v>1300000.0</v>
      </c>
      <c r="O2490" s="146">
        <v>0.0</v>
      </c>
      <c r="P2490" s="48">
        <v>1300000.0</v>
      </c>
      <c r="Q2490" s="147">
        <v>0.0</v>
      </c>
      <c r="R2490" s="41" t="s">
        <v>118</v>
      </c>
      <c r="S2490" s="69" t="s">
        <v>118</v>
      </c>
      <c r="T2490" s="51" t="b">
        <v>1</v>
      </c>
      <c r="U2490" s="94"/>
    </row>
    <row r="2491" ht="30.0" customHeight="1">
      <c r="A2491" s="39"/>
      <c r="B2491" s="40">
        <v>4532.0</v>
      </c>
      <c r="C2491" s="41" t="s">
        <v>22</v>
      </c>
      <c r="D2491" s="86">
        <v>46222.0</v>
      </c>
      <c r="E2491" s="43" t="str">
        <f t="shared" si="76"/>
        <v>2026</v>
      </c>
      <c r="F2491" s="43" t="str">
        <f t="shared" si="77"/>
        <v>07 Jul</v>
      </c>
      <c r="G2491" s="45" t="s">
        <v>43</v>
      </c>
      <c r="H2491" s="45" t="s">
        <v>359</v>
      </c>
      <c r="I2491" s="45" t="s">
        <v>963</v>
      </c>
      <c r="J2491" s="143" t="s">
        <v>1545</v>
      </c>
      <c r="K2491" s="43" t="str">
        <f t="array" ref="K2491">IF(J2491="","", XLOOKUP(J2491,'⚙️ Pengaturan'!$E$2:$E3237,'⚙️ Pengaturan'!$G$2:$G3237))</f>
        <v>KLINIK SM SESI</v>
      </c>
      <c r="L2491" s="43" t="str">
        <f t="shared" ref="L2491:L2556" si="80">if(I2491="","",if(countifs($J$5:J2491,J2491,$I$5:I2491,I2491)=1,"BARU","LANJUTAN"))</f>
        <v>BARU</v>
      </c>
      <c r="M2491" s="144" t="s">
        <v>31</v>
      </c>
      <c r="N2491" s="145">
        <v>125000.0</v>
      </c>
      <c r="O2491" s="146">
        <v>0.0</v>
      </c>
      <c r="P2491" s="48">
        <f t="array" ref="P2491">IFNA(XLOOKUP(J2491,'⚙️ Pengaturan'!$E$2:$E3237,'⚙️ Pengaturan'!$F$2:$F3237),"")</f>
        <v>125000</v>
      </c>
      <c r="Q2491" s="147">
        <f t="shared" ref="Q2491:Q2556" si="81">IF(I2491="","",(N2491+O2491)-P2491)</f>
        <v>0</v>
      </c>
      <c r="R2491" s="41" t="s">
        <v>32</v>
      </c>
      <c r="S2491" s="76" t="s">
        <v>33</v>
      </c>
      <c r="T2491" s="51" t="b">
        <v>1</v>
      </c>
      <c r="U2491" s="94"/>
    </row>
    <row r="2492" ht="30.0" customHeight="1">
      <c r="A2492" s="39"/>
      <c r="B2492" s="164">
        <v>4533.0</v>
      </c>
      <c r="C2492" s="41" t="s">
        <v>22</v>
      </c>
      <c r="D2492" s="86">
        <v>46222.0</v>
      </c>
      <c r="E2492" s="43" t="str">
        <f t="shared" si="76"/>
        <v>2026</v>
      </c>
      <c r="F2492" s="43" t="str">
        <f t="shared" si="77"/>
        <v>07 Jul</v>
      </c>
      <c r="G2492" s="45" t="s">
        <v>43</v>
      </c>
      <c r="H2492" s="45" t="s">
        <v>166</v>
      </c>
      <c r="I2492" s="45" t="s">
        <v>1731</v>
      </c>
      <c r="J2492" s="143" t="s">
        <v>28</v>
      </c>
      <c r="K2492" s="43" t="str">
        <f t="array" ref="K2492">IF(J2492="","", XLOOKUP(J2492,'⚙️ Pengaturan'!$E$2:$E3237,'⚙️ Pengaturan'!$G$2:$G3237))</f>
        <v>KLINIK FT TA</v>
      </c>
      <c r="L2492" s="43" t="str">
        <f t="shared" si="80"/>
        <v>BARU</v>
      </c>
      <c r="M2492" s="144" t="s">
        <v>31</v>
      </c>
      <c r="N2492" s="145">
        <v>250000.0</v>
      </c>
      <c r="O2492" s="146">
        <v>0.0</v>
      </c>
      <c r="P2492" s="48">
        <f t="array" ref="P2492">IFNA(XLOOKUP(J2492,'⚙️ Pengaturan'!$E$2:$E3237,'⚙️ Pengaturan'!$F$2:$F3237),"")</f>
        <v>250000</v>
      </c>
      <c r="Q2492" s="147">
        <f t="shared" si="81"/>
        <v>0</v>
      </c>
      <c r="R2492" s="41" t="s">
        <v>32</v>
      </c>
      <c r="S2492" s="76" t="s">
        <v>33</v>
      </c>
      <c r="T2492" s="51" t="b">
        <v>1</v>
      </c>
      <c r="U2492" s="94"/>
    </row>
    <row r="2493" ht="30.0" customHeight="1">
      <c r="A2493" s="39"/>
      <c r="B2493" s="40">
        <v>4534.0</v>
      </c>
      <c r="C2493" s="41" t="s">
        <v>22</v>
      </c>
      <c r="D2493" s="86">
        <v>46222.0</v>
      </c>
      <c r="E2493" s="43" t="str">
        <f t="shared" si="76"/>
        <v>2026</v>
      </c>
      <c r="F2493" s="43" t="str">
        <f t="shared" si="77"/>
        <v>07 Jul</v>
      </c>
      <c r="G2493" s="45" t="s">
        <v>46</v>
      </c>
      <c r="H2493" s="45" t="s">
        <v>359</v>
      </c>
      <c r="I2493" s="45" t="s">
        <v>1684</v>
      </c>
      <c r="J2493" s="143" t="s">
        <v>1547</v>
      </c>
      <c r="K2493" s="43" t="str">
        <f t="array" ref="K2493">IF(J2493="","", XLOOKUP(J2493,'⚙️ Pengaturan'!$E$2:$E3237,'⚙️ Pengaturan'!$G$2:$G3237))</f>
        <v>KLINIK SM SESI</v>
      </c>
      <c r="L2493" s="43" t="str">
        <f t="shared" si="80"/>
        <v>BARU</v>
      </c>
      <c r="M2493" s="144" t="s">
        <v>31</v>
      </c>
      <c r="N2493" s="145">
        <v>195000.0</v>
      </c>
      <c r="O2493" s="146">
        <v>0.0</v>
      </c>
      <c r="P2493" s="48">
        <f t="array" ref="P2493">IFNA(XLOOKUP(J2493,'⚙️ Pengaturan'!$E$2:$E3237,'⚙️ Pengaturan'!$F$2:$F3237),"")</f>
        <v>195000</v>
      </c>
      <c r="Q2493" s="147">
        <f t="shared" si="81"/>
        <v>0</v>
      </c>
      <c r="R2493" s="41" t="s">
        <v>32</v>
      </c>
      <c r="S2493" s="76" t="s">
        <v>33</v>
      </c>
      <c r="T2493" s="51" t="b">
        <v>1</v>
      </c>
      <c r="U2493" s="94"/>
    </row>
    <row r="2494" ht="30.0" customHeight="1">
      <c r="A2494" s="39"/>
      <c r="B2494" s="164">
        <v>4535.0</v>
      </c>
      <c r="C2494" s="41" t="s">
        <v>39</v>
      </c>
      <c r="D2494" s="86">
        <v>46223.0</v>
      </c>
      <c r="E2494" s="43" t="str">
        <f t="shared" si="76"/>
        <v>2026</v>
      </c>
      <c r="F2494" s="43" t="str">
        <f t="shared" si="77"/>
        <v>07 Jul</v>
      </c>
      <c r="G2494" s="45" t="s">
        <v>206</v>
      </c>
      <c r="H2494" s="45" t="s">
        <v>150</v>
      </c>
      <c r="I2494" s="45" t="s">
        <v>1717</v>
      </c>
      <c r="J2494" s="143" t="s">
        <v>119</v>
      </c>
      <c r="K2494" s="43" t="str">
        <f t="array" ref="K2494">IF(J2494="","", XLOOKUP(J2494,'⚙️ Pengaturan'!$E$2:$E3237,'⚙️ Pengaturan'!$G$2:$G3237))</f>
        <v>KLINIK FT PAKET</v>
      </c>
      <c r="L2494" s="43" t="str">
        <f t="shared" si="80"/>
        <v>BARU</v>
      </c>
      <c r="M2494" s="144" t="s">
        <v>31</v>
      </c>
      <c r="N2494" s="145">
        <v>750000.0</v>
      </c>
      <c r="O2494" s="146">
        <v>0.0</v>
      </c>
      <c r="P2494" s="48">
        <f t="array" ref="P2494">IFNA(XLOOKUP(J2494,'⚙️ Pengaturan'!$E$2:$E3237,'⚙️ Pengaturan'!$F$2:$F3237),"")</f>
        <v>750000</v>
      </c>
      <c r="Q2494" s="147">
        <f t="shared" si="81"/>
        <v>0</v>
      </c>
      <c r="R2494" s="41" t="s">
        <v>32</v>
      </c>
      <c r="S2494" s="76" t="s">
        <v>33</v>
      </c>
      <c r="T2494" s="51" t="b">
        <v>1</v>
      </c>
      <c r="U2494" s="94"/>
    </row>
    <row r="2495" ht="30.0" customHeight="1">
      <c r="A2495" s="39"/>
      <c r="B2495" s="40">
        <v>4536.0</v>
      </c>
      <c r="C2495" s="41" t="s">
        <v>39</v>
      </c>
      <c r="D2495" s="86">
        <v>46223.0</v>
      </c>
      <c r="E2495" s="43" t="str">
        <f t="shared" si="76"/>
        <v>2026</v>
      </c>
      <c r="F2495" s="43" t="str">
        <f t="shared" si="77"/>
        <v>07 Jul</v>
      </c>
      <c r="G2495" s="45" t="s">
        <v>69</v>
      </c>
      <c r="H2495" s="45" t="s">
        <v>47</v>
      </c>
      <c r="I2495" s="45" t="s">
        <v>1732</v>
      </c>
      <c r="J2495" s="143" t="s">
        <v>121</v>
      </c>
      <c r="K2495" s="43" t="str">
        <f t="array" ref="K2495">IF(J2495="","", XLOOKUP(J2495,'⚙️ Pengaturan'!$E$2:$E3237,'⚙️ Pengaturan'!$G$2:$G3237))</f>
        <v>VISIT FT TA</v>
      </c>
      <c r="L2495" s="43" t="str">
        <f t="shared" si="80"/>
        <v>BARU</v>
      </c>
      <c r="M2495" s="144" t="s">
        <v>31</v>
      </c>
      <c r="N2495" s="145">
        <v>300000.0</v>
      </c>
      <c r="O2495" s="146">
        <v>0.0</v>
      </c>
      <c r="P2495" s="48">
        <f t="array" ref="P2495">IFNA(XLOOKUP(J2495,'⚙️ Pengaturan'!$E$2:$E3237,'⚙️ Pengaturan'!$F$2:$F3237),"")</f>
        <v>300000</v>
      </c>
      <c r="Q2495" s="147">
        <f t="shared" si="81"/>
        <v>0</v>
      </c>
      <c r="R2495" s="41" t="s">
        <v>32</v>
      </c>
      <c r="S2495" s="76" t="s">
        <v>33</v>
      </c>
      <c r="T2495" s="51" t="b">
        <v>1</v>
      </c>
      <c r="U2495" s="94"/>
    </row>
    <row r="2496" ht="30.0" customHeight="1">
      <c r="A2496" s="39"/>
      <c r="B2496" s="164">
        <v>4537.0</v>
      </c>
      <c r="C2496" s="41" t="s">
        <v>39</v>
      </c>
      <c r="D2496" s="86">
        <v>46223.0</v>
      </c>
      <c r="E2496" s="43" t="str">
        <f t="shared" si="76"/>
        <v>2026</v>
      </c>
      <c r="F2496" s="43" t="str">
        <f t="shared" si="77"/>
        <v>07 Jul</v>
      </c>
      <c r="G2496" s="45" t="s">
        <v>69</v>
      </c>
      <c r="H2496" s="45" t="s">
        <v>149</v>
      </c>
      <c r="I2496" s="45" t="s">
        <v>1628</v>
      </c>
      <c r="J2496" s="143" t="s">
        <v>323</v>
      </c>
      <c r="K2496" s="43" t="str">
        <f t="array" ref="K2496">IF(J2496="","", XLOOKUP(J2496,'⚙️ Pengaturan'!$E$2:$E3237,'⚙️ Pengaturan'!$G$2:$G3237))</f>
        <v>VISIT FT SESI</v>
      </c>
      <c r="L2496" s="43" t="str">
        <f t="shared" si="80"/>
        <v>LANJUTAN</v>
      </c>
      <c r="M2496" s="144" t="s">
        <v>31</v>
      </c>
      <c r="N2496" s="145">
        <v>200000.0</v>
      </c>
      <c r="O2496" s="146">
        <v>0.0</v>
      </c>
      <c r="P2496" s="48">
        <f t="array" ref="P2496">IFNA(XLOOKUP(J2496,'⚙️ Pengaturan'!$E$2:$E3237,'⚙️ Pengaturan'!$F$2:$F3237),"")</f>
        <v>200000</v>
      </c>
      <c r="Q2496" s="147">
        <f t="shared" si="81"/>
        <v>0</v>
      </c>
      <c r="R2496" s="41" t="s">
        <v>32</v>
      </c>
      <c r="S2496" s="76" t="s">
        <v>33</v>
      </c>
      <c r="T2496" s="51" t="b">
        <v>1</v>
      </c>
      <c r="U2496" s="94"/>
    </row>
    <row r="2497" ht="30.0" customHeight="1">
      <c r="A2497" s="39"/>
      <c r="B2497" s="40">
        <v>4538.0</v>
      </c>
      <c r="C2497" s="41" t="s">
        <v>22</v>
      </c>
      <c r="D2497" s="86">
        <v>46223.0</v>
      </c>
      <c r="E2497" s="43" t="str">
        <f t="shared" si="76"/>
        <v>2026</v>
      </c>
      <c r="F2497" s="43" t="str">
        <f t="shared" si="77"/>
        <v>07 Jul</v>
      </c>
      <c r="G2497" s="45" t="s">
        <v>40</v>
      </c>
      <c r="H2497" s="45" t="s">
        <v>41</v>
      </c>
      <c r="I2497" s="45" t="s">
        <v>1733</v>
      </c>
      <c r="J2497" s="143" t="s">
        <v>28</v>
      </c>
      <c r="K2497" s="43" t="str">
        <f t="array" ref="K2497">IF(J2497="","", XLOOKUP(J2497,'⚙️ Pengaturan'!$E$2:$E3237,'⚙️ Pengaturan'!$G$2:$G3237))</f>
        <v>KLINIK FT TA</v>
      </c>
      <c r="L2497" s="43" t="str">
        <f t="shared" si="80"/>
        <v>BARU</v>
      </c>
      <c r="M2497" s="144" t="s">
        <v>31</v>
      </c>
      <c r="N2497" s="145">
        <v>250000.0</v>
      </c>
      <c r="O2497" s="146">
        <v>0.0</v>
      </c>
      <c r="P2497" s="48">
        <f t="array" ref="P2497">IFNA(XLOOKUP(J2497,'⚙️ Pengaturan'!$E$2:$E3237,'⚙️ Pengaturan'!$F$2:$F3237),"")</f>
        <v>250000</v>
      </c>
      <c r="Q2497" s="147">
        <f t="shared" si="81"/>
        <v>0</v>
      </c>
      <c r="R2497" s="41" t="s">
        <v>32</v>
      </c>
      <c r="S2497" s="76" t="s">
        <v>33</v>
      </c>
      <c r="T2497" s="51" t="b">
        <v>1</v>
      </c>
      <c r="U2497" s="94"/>
    </row>
    <row r="2498" ht="30.0" customHeight="1">
      <c r="A2498" s="39"/>
      <c r="B2498" s="164">
        <v>4539.0</v>
      </c>
      <c r="C2498" s="41" t="s">
        <v>22</v>
      </c>
      <c r="D2498" s="86">
        <v>46223.0</v>
      </c>
      <c r="E2498" s="43" t="str">
        <f t="shared" si="76"/>
        <v>2026</v>
      </c>
      <c r="F2498" s="43" t="str">
        <f t="shared" si="77"/>
        <v>07 Jul</v>
      </c>
      <c r="G2498" s="45" t="s">
        <v>43</v>
      </c>
      <c r="H2498" s="45" t="s">
        <v>103</v>
      </c>
      <c r="I2498" s="45" t="s">
        <v>1734</v>
      </c>
      <c r="J2498" s="143" t="s">
        <v>28</v>
      </c>
      <c r="K2498" s="43" t="str">
        <f t="array" ref="K2498">IF(J2498="","", XLOOKUP(J2498,'⚙️ Pengaturan'!$E$2:$E3237,'⚙️ Pengaturan'!$G$2:$G3237))</f>
        <v>KLINIK FT TA</v>
      </c>
      <c r="L2498" s="43" t="str">
        <f t="shared" si="80"/>
        <v>BARU</v>
      </c>
      <c r="M2498" s="144" t="s">
        <v>31</v>
      </c>
      <c r="N2498" s="145">
        <v>0.0</v>
      </c>
      <c r="O2498" s="146">
        <v>250000.0</v>
      </c>
      <c r="P2498" s="48">
        <f t="array" ref="P2498">IFNA(XLOOKUP(J2498,'⚙️ Pengaturan'!$E$2:$E3237,'⚙️ Pengaturan'!$F$2:$F3237),"")</f>
        <v>250000</v>
      </c>
      <c r="Q2498" s="147">
        <f t="shared" si="81"/>
        <v>0</v>
      </c>
      <c r="R2498" s="41" t="s">
        <v>32</v>
      </c>
      <c r="S2498" s="76" t="s">
        <v>33</v>
      </c>
      <c r="T2498" s="51" t="b">
        <v>1</v>
      </c>
      <c r="U2498" s="94"/>
    </row>
    <row r="2499" ht="30.0" customHeight="1">
      <c r="A2499" s="39"/>
      <c r="B2499" s="40">
        <v>4540.0</v>
      </c>
      <c r="C2499" s="41" t="s">
        <v>22</v>
      </c>
      <c r="D2499" s="86">
        <v>46223.0</v>
      </c>
      <c r="E2499" s="43" t="str">
        <f t="shared" si="76"/>
        <v>2026</v>
      </c>
      <c r="F2499" s="43" t="str">
        <f t="shared" si="77"/>
        <v>07 Jul</v>
      </c>
      <c r="G2499" s="45" t="s">
        <v>155</v>
      </c>
      <c r="H2499" s="45" t="s">
        <v>359</v>
      </c>
      <c r="I2499" s="45" t="s">
        <v>1735</v>
      </c>
      <c r="J2499" s="143" t="s">
        <v>1590</v>
      </c>
      <c r="K2499" s="43" t="str">
        <f t="array" ref="K2499">IF(J2499="","", XLOOKUP(J2499,'⚙️ Pengaturan'!$E$2:$E3237,'⚙️ Pengaturan'!$G$2:$G3237))</f>
        <v>KLINIK SM PAKET</v>
      </c>
      <c r="L2499" s="43" t="str">
        <f t="shared" si="80"/>
        <v>BARU</v>
      </c>
      <c r="M2499" s="144" t="s">
        <v>31</v>
      </c>
      <c r="N2499" s="145">
        <v>525000.0</v>
      </c>
      <c r="O2499" s="146">
        <v>0.0</v>
      </c>
      <c r="P2499" s="48">
        <f t="array" ref="P2499">IFNA(XLOOKUP(J2499,'⚙️ Pengaturan'!$E$2:$E3237,'⚙️ Pengaturan'!$F$2:$F3237),"")</f>
        <v>525000</v>
      </c>
      <c r="Q2499" s="147">
        <f t="shared" si="81"/>
        <v>0</v>
      </c>
      <c r="R2499" s="41" t="s">
        <v>37</v>
      </c>
      <c r="S2499" s="69" t="s">
        <v>1735</v>
      </c>
      <c r="T2499" s="51" t="b">
        <v>1</v>
      </c>
      <c r="U2499" s="94"/>
    </row>
    <row r="2500" ht="30.0" customHeight="1">
      <c r="A2500" s="39"/>
      <c r="B2500" s="164">
        <v>4541.0</v>
      </c>
      <c r="C2500" s="41" t="s">
        <v>22</v>
      </c>
      <c r="D2500" s="86">
        <v>46223.0</v>
      </c>
      <c r="E2500" s="43" t="str">
        <f t="shared" si="76"/>
        <v>2026</v>
      </c>
      <c r="F2500" s="43" t="str">
        <f t="shared" si="77"/>
        <v>07 Jul</v>
      </c>
      <c r="G2500" s="45" t="s">
        <v>155</v>
      </c>
      <c r="H2500" s="45" t="s">
        <v>149</v>
      </c>
      <c r="I2500" s="45" t="s">
        <v>1540</v>
      </c>
      <c r="J2500" s="143" t="s">
        <v>119</v>
      </c>
      <c r="K2500" s="43" t="str">
        <f t="array" ref="K2500">IF(J2500="","", XLOOKUP(J2500,'⚙️ Pengaturan'!$E$2:$E3237,'⚙️ Pengaturan'!$G$2:$G3237))</f>
        <v>KLINIK FT PAKET</v>
      </c>
      <c r="L2500" s="43" t="str">
        <f t="shared" si="80"/>
        <v>LANJUTAN</v>
      </c>
      <c r="M2500" s="144" t="s">
        <v>31</v>
      </c>
      <c r="N2500" s="145">
        <v>300000.0</v>
      </c>
      <c r="O2500" s="146">
        <v>0.0</v>
      </c>
      <c r="P2500" s="48">
        <f t="array" ref="P2500">IFNA(XLOOKUP(J2500,'⚙️ Pengaturan'!$E$2:$E3237,'⚙️ Pengaturan'!$F$2:$F3237),"")</f>
        <v>750000</v>
      </c>
      <c r="Q2500" s="147">
        <f t="shared" si="81"/>
        <v>-450000</v>
      </c>
      <c r="R2500" s="41" t="s">
        <v>32</v>
      </c>
      <c r="S2500" s="76" t="s">
        <v>33</v>
      </c>
      <c r="T2500" s="51" t="b">
        <v>1</v>
      </c>
      <c r="U2500" s="94"/>
    </row>
    <row r="2501" ht="30.0" customHeight="1">
      <c r="A2501" s="39"/>
      <c r="B2501" s="40">
        <v>4542.0</v>
      </c>
      <c r="C2501" s="41" t="s">
        <v>39</v>
      </c>
      <c r="D2501" s="86">
        <v>46217.0</v>
      </c>
      <c r="E2501" s="43" t="str">
        <f t="shared" si="76"/>
        <v>2026</v>
      </c>
      <c r="F2501" s="43" t="str">
        <f t="shared" si="77"/>
        <v>07 Jul</v>
      </c>
      <c r="G2501" s="45" t="s">
        <v>195</v>
      </c>
      <c r="H2501" s="45" t="s">
        <v>156</v>
      </c>
      <c r="I2501" s="45" t="s">
        <v>1736</v>
      </c>
      <c r="J2501" s="143" t="s">
        <v>28</v>
      </c>
      <c r="K2501" s="43" t="str">
        <f t="array" ref="K2501">IF(J2501="","", XLOOKUP(J2501,'⚙️ Pengaturan'!$E$2:$E3237,'⚙️ Pengaturan'!$G$2:$G3237))</f>
        <v>KLINIK FT TA</v>
      </c>
      <c r="L2501" s="43" t="str">
        <f t="shared" si="80"/>
        <v>BARU</v>
      </c>
      <c r="M2501" s="144" t="s">
        <v>31</v>
      </c>
      <c r="N2501" s="145">
        <v>250000.0</v>
      </c>
      <c r="O2501" s="146">
        <v>0.0</v>
      </c>
      <c r="P2501" s="48">
        <f t="array" ref="P2501">IFNA(XLOOKUP(J2501,'⚙️ Pengaturan'!$E$2:$E3237,'⚙️ Pengaturan'!$F$2:$F3237),"")</f>
        <v>250000</v>
      </c>
      <c r="Q2501" s="147">
        <f t="shared" si="81"/>
        <v>0</v>
      </c>
      <c r="R2501" s="41" t="s">
        <v>37</v>
      </c>
      <c r="S2501" s="69" t="s">
        <v>1736</v>
      </c>
      <c r="T2501" s="51" t="b">
        <v>1</v>
      </c>
      <c r="U2501" s="94"/>
    </row>
    <row r="2502" ht="30.0" customHeight="1">
      <c r="A2502" s="39"/>
      <c r="B2502" s="164">
        <v>4543.0</v>
      </c>
      <c r="C2502" s="41" t="s">
        <v>39</v>
      </c>
      <c r="D2502" s="86">
        <v>46224.0</v>
      </c>
      <c r="E2502" s="43" t="str">
        <f t="shared" si="76"/>
        <v>2026</v>
      </c>
      <c r="F2502" s="43" t="str">
        <f t="shared" si="77"/>
        <v>07 Jul</v>
      </c>
      <c r="G2502" s="45" t="s">
        <v>25</v>
      </c>
      <c r="H2502" s="45" t="s">
        <v>149</v>
      </c>
      <c r="I2502" s="45" t="s">
        <v>1737</v>
      </c>
      <c r="J2502" s="143" t="s">
        <v>120</v>
      </c>
      <c r="K2502" s="43" t="str">
        <f t="array" ref="K2502">IF(J2502="","", XLOOKUP(J2502,'⚙️ Pengaturan'!$E$2:$E3237,'⚙️ Pengaturan'!$G$2:$G3237))</f>
        <v>KLINIK FT SESI</v>
      </c>
      <c r="L2502" s="43" t="str">
        <f t="shared" si="80"/>
        <v>BARU</v>
      </c>
      <c r="M2502" s="144" t="s">
        <v>31</v>
      </c>
      <c r="N2502" s="145">
        <v>180000.0</v>
      </c>
      <c r="O2502" s="146">
        <v>0.0</v>
      </c>
      <c r="P2502" s="48">
        <f t="array" ref="P2502">IFNA(XLOOKUP(J2502,'⚙️ Pengaturan'!$E$2:$E3237,'⚙️ Pengaturan'!$F$2:$F3237),"")</f>
        <v>180000</v>
      </c>
      <c r="Q2502" s="147">
        <f t="shared" si="81"/>
        <v>0</v>
      </c>
      <c r="R2502" s="41" t="s">
        <v>37</v>
      </c>
      <c r="S2502" s="69" t="s">
        <v>1737</v>
      </c>
      <c r="T2502" s="51" t="b">
        <v>1</v>
      </c>
      <c r="U2502" s="94"/>
    </row>
    <row r="2503" ht="30.0" customHeight="1">
      <c r="A2503" s="39"/>
      <c r="B2503" s="40">
        <v>4544.0</v>
      </c>
      <c r="C2503" s="41" t="s">
        <v>39</v>
      </c>
      <c r="D2503" s="86">
        <v>46224.0</v>
      </c>
      <c r="E2503" s="43" t="str">
        <f t="shared" si="76"/>
        <v>2026</v>
      </c>
      <c r="F2503" s="43" t="str">
        <f t="shared" si="77"/>
        <v>07 Jul</v>
      </c>
      <c r="G2503" s="45" t="s">
        <v>35</v>
      </c>
      <c r="H2503" s="45" t="s">
        <v>41</v>
      </c>
      <c r="I2503" s="45" t="s">
        <v>1651</v>
      </c>
      <c r="J2503" s="143" t="s">
        <v>119</v>
      </c>
      <c r="K2503" s="43" t="str">
        <f t="array" ref="K2503">IF(J2503="","", XLOOKUP(J2503,'⚙️ Pengaturan'!$E$2:$E3237,'⚙️ Pengaturan'!$G$2:$G3237))</f>
        <v>KLINIK FT PAKET</v>
      </c>
      <c r="L2503" s="43" t="str">
        <f t="shared" si="80"/>
        <v>LANJUTAN</v>
      </c>
      <c r="M2503" s="144" t="s">
        <v>31</v>
      </c>
      <c r="N2503" s="145">
        <v>750000.0</v>
      </c>
      <c r="O2503" s="146">
        <v>0.0</v>
      </c>
      <c r="P2503" s="48">
        <f t="array" ref="P2503">IFNA(XLOOKUP(J2503,'⚙️ Pengaturan'!$E$2:$E3237,'⚙️ Pengaturan'!$F$2:$F3237),"")</f>
        <v>750000</v>
      </c>
      <c r="Q2503" s="147">
        <f t="shared" si="81"/>
        <v>0</v>
      </c>
      <c r="R2503" s="41" t="s">
        <v>37</v>
      </c>
      <c r="S2503" s="69" t="s">
        <v>1651</v>
      </c>
      <c r="T2503" s="51" t="b">
        <v>1</v>
      </c>
      <c r="U2503" s="94"/>
    </row>
    <row r="2504" ht="30.0" customHeight="1">
      <c r="A2504" s="39"/>
      <c r="B2504" s="164">
        <v>4545.0</v>
      </c>
      <c r="C2504" s="41" t="s">
        <v>22</v>
      </c>
      <c r="D2504" s="86">
        <v>46224.0</v>
      </c>
      <c r="E2504" s="43" t="str">
        <f t="shared" si="76"/>
        <v>2026</v>
      </c>
      <c r="F2504" s="43" t="str">
        <f t="shared" si="77"/>
        <v>07 Jul</v>
      </c>
      <c r="G2504" s="45" t="s">
        <v>35</v>
      </c>
      <c r="H2504" s="45" t="s">
        <v>162</v>
      </c>
      <c r="I2504" s="45" t="s">
        <v>1738</v>
      </c>
      <c r="J2504" s="143" t="s">
        <v>291</v>
      </c>
      <c r="K2504" s="43" t="str">
        <f t="array" ref="K2504">IF(J2504="","", XLOOKUP(J2504,'⚙️ Pengaturan'!$E$2:$E3237,'⚙️ Pengaturan'!$G$2:$G3237))</f>
        <v>VISIT FT TA</v>
      </c>
      <c r="L2504" s="43" t="str">
        <f t="shared" si="80"/>
        <v>BARU</v>
      </c>
      <c r="M2504" s="144" t="s">
        <v>31</v>
      </c>
      <c r="N2504" s="145">
        <v>350000.0</v>
      </c>
      <c r="O2504" s="146">
        <v>0.0</v>
      </c>
      <c r="P2504" s="48">
        <f t="array" ref="P2504">IFNA(XLOOKUP(J2504,'⚙️ Pengaturan'!$E$2:$E3237,'⚙️ Pengaturan'!$F$2:$F3237),"")</f>
        <v>350000</v>
      </c>
      <c r="Q2504" s="147">
        <f t="shared" si="81"/>
        <v>0</v>
      </c>
      <c r="R2504" s="41" t="s">
        <v>37</v>
      </c>
      <c r="S2504" s="69" t="s">
        <v>1738</v>
      </c>
      <c r="T2504" s="51" t="b">
        <v>1</v>
      </c>
      <c r="U2504" s="94"/>
    </row>
    <row r="2505" ht="30.0" customHeight="1">
      <c r="A2505" s="39"/>
      <c r="B2505" s="40">
        <v>4546.0</v>
      </c>
      <c r="C2505" s="41" t="s">
        <v>22</v>
      </c>
      <c r="D2505" s="86">
        <v>46224.0</v>
      </c>
      <c r="E2505" s="43" t="str">
        <f t="shared" si="76"/>
        <v>2026</v>
      </c>
      <c r="F2505" s="43" t="str">
        <f t="shared" si="77"/>
        <v>07 Jul</v>
      </c>
      <c r="G2505" s="45" t="s">
        <v>40</v>
      </c>
      <c r="H2505" s="45" t="s">
        <v>166</v>
      </c>
      <c r="I2505" s="45" t="s">
        <v>1579</v>
      </c>
      <c r="J2505" s="143" t="s">
        <v>120</v>
      </c>
      <c r="K2505" s="43" t="str">
        <f t="array" ref="K2505">IF(J2505="","", XLOOKUP(J2505,'⚙️ Pengaturan'!$E$2:$E3237,'⚙️ Pengaturan'!$G$2:$G3237))</f>
        <v>KLINIK FT SESI</v>
      </c>
      <c r="L2505" s="43" t="str">
        <f t="shared" si="80"/>
        <v>LANJUTAN</v>
      </c>
      <c r="M2505" s="144" t="s">
        <v>31</v>
      </c>
      <c r="N2505" s="145">
        <v>180000.0</v>
      </c>
      <c r="O2505" s="146">
        <v>0.0</v>
      </c>
      <c r="P2505" s="48">
        <f t="array" ref="P2505">IFNA(XLOOKUP(J2505,'⚙️ Pengaturan'!$E$2:$E3237,'⚙️ Pengaturan'!$F$2:$F3237),"")</f>
        <v>180000</v>
      </c>
      <c r="Q2505" s="147">
        <f t="shared" si="81"/>
        <v>0</v>
      </c>
      <c r="R2505" s="41" t="s">
        <v>32</v>
      </c>
      <c r="S2505" s="76" t="s">
        <v>33</v>
      </c>
      <c r="T2505" s="51" t="b">
        <v>1</v>
      </c>
      <c r="U2505" s="94"/>
    </row>
    <row r="2506" ht="30.0" customHeight="1">
      <c r="A2506" s="39"/>
      <c r="B2506" s="164">
        <v>4547.0</v>
      </c>
      <c r="C2506" s="41" t="s">
        <v>22</v>
      </c>
      <c r="D2506" s="86">
        <v>46224.0</v>
      </c>
      <c r="E2506" s="43" t="str">
        <f t="shared" si="76"/>
        <v>2026</v>
      </c>
      <c r="F2506" s="43" t="str">
        <f t="shared" si="77"/>
        <v>07 Jul</v>
      </c>
      <c r="G2506" s="45" t="s">
        <v>40</v>
      </c>
      <c r="H2506" s="45" t="s">
        <v>162</v>
      </c>
      <c r="I2506" s="45" t="s">
        <v>1726</v>
      </c>
      <c r="J2506" s="143" t="s">
        <v>120</v>
      </c>
      <c r="K2506" s="43" t="str">
        <f t="array" ref="K2506">IF(J2506="","", XLOOKUP(J2506,'⚙️ Pengaturan'!$E$2:$E3237,'⚙️ Pengaturan'!$G$2:$G3237))</f>
        <v>KLINIK FT SESI</v>
      </c>
      <c r="L2506" s="43" t="str">
        <f t="shared" si="80"/>
        <v>BARU</v>
      </c>
      <c r="M2506" s="144" t="s">
        <v>31</v>
      </c>
      <c r="N2506" s="145">
        <v>180000.0</v>
      </c>
      <c r="O2506" s="146">
        <v>0.0</v>
      </c>
      <c r="P2506" s="48">
        <f t="array" ref="P2506">IFNA(XLOOKUP(J2506,'⚙️ Pengaturan'!$E$2:$E3237,'⚙️ Pengaturan'!$F$2:$F3237),"")</f>
        <v>180000</v>
      </c>
      <c r="Q2506" s="147">
        <f t="shared" si="81"/>
        <v>0</v>
      </c>
      <c r="R2506" s="41" t="s">
        <v>37</v>
      </c>
      <c r="S2506" s="69" t="s">
        <v>1726</v>
      </c>
      <c r="T2506" s="51" t="b">
        <v>1</v>
      </c>
      <c r="U2506" s="94"/>
    </row>
    <row r="2507" ht="30.0" customHeight="1">
      <c r="A2507" s="39"/>
      <c r="B2507" s="40">
        <v>4548.0</v>
      </c>
      <c r="C2507" s="41" t="s">
        <v>22</v>
      </c>
      <c r="D2507" s="86">
        <v>46224.0</v>
      </c>
      <c r="E2507" s="43" t="str">
        <f t="shared" si="76"/>
        <v>2026</v>
      </c>
      <c r="F2507" s="43" t="str">
        <f t="shared" si="77"/>
        <v>07 Jul</v>
      </c>
      <c r="G2507" s="45" t="s">
        <v>173</v>
      </c>
      <c r="H2507" s="45" t="s">
        <v>359</v>
      </c>
      <c r="I2507" s="45" t="s">
        <v>1739</v>
      </c>
      <c r="J2507" s="143" t="s">
        <v>1545</v>
      </c>
      <c r="K2507" s="43" t="str">
        <f t="array" ref="K2507">IF(J2507="","", XLOOKUP(J2507,'⚙️ Pengaturan'!$E$2:$E3237,'⚙️ Pengaturan'!$G$2:$G3237))</f>
        <v>KLINIK SM SESI</v>
      </c>
      <c r="L2507" s="43" t="str">
        <f t="shared" si="80"/>
        <v>BARU</v>
      </c>
      <c r="M2507" s="144" t="s">
        <v>31</v>
      </c>
      <c r="N2507" s="145">
        <v>125000.0</v>
      </c>
      <c r="O2507" s="146">
        <v>0.0</v>
      </c>
      <c r="P2507" s="48">
        <f t="array" ref="P2507">IFNA(XLOOKUP(J2507,'⚙️ Pengaturan'!$E$2:$E3237,'⚙️ Pengaturan'!$F$2:$F3237),"")</f>
        <v>125000</v>
      </c>
      <c r="Q2507" s="147">
        <f t="shared" si="81"/>
        <v>0</v>
      </c>
      <c r="R2507" s="41" t="s">
        <v>32</v>
      </c>
      <c r="S2507" s="76" t="s">
        <v>33</v>
      </c>
      <c r="T2507" s="51" t="b">
        <v>1</v>
      </c>
      <c r="U2507" s="94"/>
    </row>
    <row r="2508" ht="30.0" customHeight="1">
      <c r="A2508" s="39"/>
      <c r="B2508" s="164">
        <v>4549.0</v>
      </c>
      <c r="C2508" s="41" t="s">
        <v>22</v>
      </c>
      <c r="D2508" s="86">
        <v>46224.0</v>
      </c>
      <c r="E2508" s="43" t="str">
        <f t="shared" si="76"/>
        <v>2026</v>
      </c>
      <c r="F2508" s="43" t="str">
        <f t="shared" si="77"/>
        <v>07 Jul</v>
      </c>
      <c r="G2508" s="45" t="s">
        <v>173</v>
      </c>
      <c r="H2508" s="45" t="s">
        <v>150</v>
      </c>
      <c r="I2508" s="45" t="s">
        <v>1722</v>
      </c>
      <c r="J2508" s="143" t="s">
        <v>120</v>
      </c>
      <c r="K2508" s="43" t="str">
        <f t="array" ref="K2508">IF(J2508="","", XLOOKUP(J2508,'⚙️ Pengaturan'!$E$2:$E3237,'⚙️ Pengaturan'!$G$2:$G3237))</f>
        <v>KLINIK FT SESI</v>
      </c>
      <c r="L2508" s="43" t="str">
        <f t="shared" si="80"/>
        <v>BARU</v>
      </c>
      <c r="M2508" s="144" t="s">
        <v>31</v>
      </c>
      <c r="N2508" s="145">
        <v>180000.0</v>
      </c>
      <c r="O2508" s="146">
        <v>0.0</v>
      </c>
      <c r="P2508" s="48">
        <f t="array" ref="P2508">IFNA(XLOOKUP(J2508,'⚙️ Pengaturan'!$E$2:$E3237,'⚙️ Pengaturan'!$F$2:$F3237),"")</f>
        <v>180000</v>
      </c>
      <c r="Q2508" s="147">
        <f t="shared" si="81"/>
        <v>0</v>
      </c>
      <c r="R2508" s="41" t="s">
        <v>32</v>
      </c>
      <c r="S2508" s="76" t="s">
        <v>33</v>
      </c>
      <c r="T2508" s="51" t="b">
        <v>1</v>
      </c>
      <c r="U2508" s="94"/>
    </row>
    <row r="2509" ht="30.0" customHeight="1">
      <c r="A2509" s="39"/>
      <c r="B2509" s="40">
        <v>4550.0</v>
      </c>
      <c r="C2509" s="41" t="s">
        <v>22</v>
      </c>
      <c r="D2509" s="86">
        <v>46224.0</v>
      </c>
      <c r="E2509" s="43" t="str">
        <f t="shared" si="76"/>
        <v>2026</v>
      </c>
      <c r="F2509" s="43" t="str">
        <f t="shared" si="77"/>
        <v>07 Jul</v>
      </c>
      <c r="G2509" s="45" t="s">
        <v>173</v>
      </c>
      <c r="H2509" s="45" t="s">
        <v>26</v>
      </c>
      <c r="I2509" s="45" t="s">
        <v>1740</v>
      </c>
      <c r="J2509" s="143" t="s">
        <v>28</v>
      </c>
      <c r="K2509" s="43" t="str">
        <f t="array" ref="K2509">IF(J2509="","", XLOOKUP(J2509,'⚙️ Pengaturan'!$E$2:$E3237,'⚙️ Pengaturan'!$G$2:$G3237))</f>
        <v>KLINIK FT TA</v>
      </c>
      <c r="L2509" s="43" t="str">
        <f t="shared" si="80"/>
        <v>BARU</v>
      </c>
      <c r="M2509" s="144" t="s">
        <v>31</v>
      </c>
      <c r="N2509" s="145">
        <v>250000.0</v>
      </c>
      <c r="O2509" s="146">
        <v>0.0</v>
      </c>
      <c r="P2509" s="48">
        <f t="array" ref="P2509">IFNA(XLOOKUP(J2509,'⚙️ Pengaturan'!$E$2:$E3237,'⚙️ Pengaturan'!$F$2:$F3237),"")</f>
        <v>250000</v>
      </c>
      <c r="Q2509" s="147">
        <f t="shared" si="81"/>
        <v>0</v>
      </c>
      <c r="R2509" s="41" t="s">
        <v>32</v>
      </c>
      <c r="S2509" s="76" t="s">
        <v>33</v>
      </c>
      <c r="T2509" s="51" t="b">
        <v>1</v>
      </c>
      <c r="U2509" s="94"/>
    </row>
    <row r="2510" ht="30.0" customHeight="1">
      <c r="A2510" s="39"/>
      <c r="B2510" s="164">
        <v>4551.0</v>
      </c>
      <c r="C2510" s="41" t="s">
        <v>22</v>
      </c>
      <c r="D2510" s="86">
        <v>46224.0</v>
      </c>
      <c r="E2510" s="43" t="str">
        <f t="shared" si="76"/>
        <v>2026</v>
      </c>
      <c r="F2510" s="43" t="str">
        <f t="shared" si="77"/>
        <v>07 Jul</v>
      </c>
      <c r="G2510" s="45" t="s">
        <v>173</v>
      </c>
      <c r="H2510" s="45" t="s">
        <v>166</v>
      </c>
      <c r="I2510" s="45" t="s">
        <v>1741</v>
      </c>
      <c r="J2510" s="143" t="s">
        <v>28</v>
      </c>
      <c r="K2510" s="43" t="str">
        <f t="array" ref="K2510">IF(J2510="","", XLOOKUP(J2510,'⚙️ Pengaturan'!$E$2:$E3237,'⚙️ Pengaturan'!$G$2:$G3237))</f>
        <v>KLINIK FT TA</v>
      </c>
      <c r="L2510" s="43" t="str">
        <f t="shared" si="80"/>
        <v>BARU</v>
      </c>
      <c r="M2510" s="144" t="s">
        <v>31</v>
      </c>
      <c r="N2510" s="145">
        <v>250000.0</v>
      </c>
      <c r="O2510" s="146">
        <v>0.0</v>
      </c>
      <c r="P2510" s="48">
        <f t="array" ref="P2510">IFNA(XLOOKUP(J2510,'⚙️ Pengaturan'!$E$2:$E3237,'⚙️ Pengaturan'!$F$2:$F3237),"")</f>
        <v>250000</v>
      </c>
      <c r="Q2510" s="147">
        <f t="shared" si="81"/>
        <v>0</v>
      </c>
      <c r="R2510" s="41" t="s">
        <v>37</v>
      </c>
      <c r="S2510" s="69" t="s">
        <v>1741</v>
      </c>
      <c r="T2510" s="51" t="b">
        <v>1</v>
      </c>
      <c r="U2510" s="94"/>
    </row>
    <row r="2511" ht="30.0" customHeight="1">
      <c r="A2511" s="39"/>
      <c r="B2511" s="40">
        <v>4552.0</v>
      </c>
      <c r="C2511" s="41" t="s">
        <v>22</v>
      </c>
      <c r="D2511" s="86">
        <v>46224.0</v>
      </c>
      <c r="E2511" s="43" t="str">
        <f t="shared" si="76"/>
        <v>2026</v>
      </c>
      <c r="F2511" s="43" t="str">
        <f t="shared" si="77"/>
        <v>07 Jul</v>
      </c>
      <c r="G2511" s="45" t="s">
        <v>173</v>
      </c>
      <c r="H2511" s="45" t="s">
        <v>166</v>
      </c>
      <c r="I2511" s="45" t="s">
        <v>1741</v>
      </c>
      <c r="J2511" s="143" t="s">
        <v>119</v>
      </c>
      <c r="K2511" s="43" t="str">
        <f t="array" ref="K2511">IF(J2511="","", XLOOKUP(J2511,'⚙️ Pengaturan'!$E$2:$E3237,'⚙️ Pengaturan'!$G$2:$G3237))</f>
        <v>KLINIK FT PAKET</v>
      </c>
      <c r="L2511" s="43" t="str">
        <f t="shared" si="80"/>
        <v>BARU</v>
      </c>
      <c r="M2511" s="144" t="s">
        <v>31</v>
      </c>
      <c r="N2511" s="145">
        <v>750000.0</v>
      </c>
      <c r="O2511" s="146">
        <v>0.0</v>
      </c>
      <c r="P2511" s="48">
        <f t="array" ref="P2511">IFNA(XLOOKUP(J2511,'⚙️ Pengaturan'!$E$2:$E3237,'⚙️ Pengaturan'!$F$2:$F3237),"")</f>
        <v>750000</v>
      </c>
      <c r="Q2511" s="147">
        <f t="shared" si="81"/>
        <v>0</v>
      </c>
      <c r="R2511" s="41" t="s">
        <v>37</v>
      </c>
      <c r="S2511" s="69" t="s">
        <v>1741</v>
      </c>
      <c r="T2511" s="51" t="b">
        <v>1</v>
      </c>
      <c r="U2511" s="94"/>
    </row>
    <row r="2512" ht="30.0" customHeight="1">
      <c r="A2512" s="39"/>
      <c r="B2512" s="164">
        <v>4553.0</v>
      </c>
      <c r="C2512" s="41" t="s">
        <v>22</v>
      </c>
      <c r="D2512" s="86">
        <v>46224.0</v>
      </c>
      <c r="E2512" s="43" t="str">
        <f t="shared" si="76"/>
        <v>2026</v>
      </c>
      <c r="F2512" s="43" t="str">
        <f t="shared" si="77"/>
        <v>07 Jul</v>
      </c>
      <c r="G2512" s="45" t="s">
        <v>43</v>
      </c>
      <c r="H2512" s="45" t="s">
        <v>162</v>
      </c>
      <c r="I2512" s="45" t="s">
        <v>1742</v>
      </c>
      <c r="J2512" s="143" t="s">
        <v>28</v>
      </c>
      <c r="K2512" s="43" t="str">
        <f t="array" ref="K2512">IF(J2512="","", XLOOKUP(J2512,'⚙️ Pengaturan'!$E$2:$E3237,'⚙️ Pengaturan'!$G$2:$G3237))</f>
        <v>KLINIK FT TA</v>
      </c>
      <c r="L2512" s="43" t="str">
        <f t="shared" si="80"/>
        <v>BARU</v>
      </c>
      <c r="M2512" s="144" t="s">
        <v>31</v>
      </c>
      <c r="N2512" s="145">
        <v>250000.0</v>
      </c>
      <c r="O2512" s="146">
        <v>0.0</v>
      </c>
      <c r="P2512" s="48">
        <f t="array" ref="P2512">IFNA(XLOOKUP(J2512,'⚙️ Pengaturan'!$E$2:$E3237,'⚙️ Pengaturan'!$F$2:$F3237),"")</f>
        <v>250000</v>
      </c>
      <c r="Q2512" s="147">
        <f t="shared" si="81"/>
        <v>0</v>
      </c>
      <c r="R2512" s="41" t="s">
        <v>32</v>
      </c>
      <c r="S2512" s="76" t="s">
        <v>33</v>
      </c>
      <c r="T2512" s="51" t="b">
        <v>1</v>
      </c>
      <c r="U2512" s="94"/>
    </row>
    <row r="2513" ht="30.0" customHeight="1">
      <c r="A2513" s="39"/>
      <c r="B2513" s="40">
        <v>4554.0</v>
      </c>
      <c r="C2513" s="41" t="s">
        <v>22</v>
      </c>
      <c r="D2513" s="86">
        <v>46224.0</v>
      </c>
      <c r="E2513" s="43"/>
      <c r="F2513" s="43"/>
      <c r="G2513" s="45" t="s">
        <v>155</v>
      </c>
      <c r="H2513" s="45" t="s">
        <v>359</v>
      </c>
      <c r="I2513" s="45" t="s">
        <v>641</v>
      </c>
      <c r="J2513" s="143" t="s">
        <v>1547</v>
      </c>
      <c r="K2513" s="43" t="str">
        <f t="array" ref="K2513">IF(J2513="","", XLOOKUP(J2513,'⚙️ Pengaturan'!$E$2:$E3237,'⚙️ Pengaturan'!$G$2:$G3237))</f>
        <v>KLINIK SM SESI</v>
      </c>
      <c r="L2513" s="43" t="str">
        <f t="shared" si="80"/>
        <v>BARU</v>
      </c>
      <c r="M2513" s="144" t="s">
        <v>31</v>
      </c>
      <c r="N2513" s="145">
        <v>195000.0</v>
      </c>
      <c r="O2513" s="146">
        <v>0.0</v>
      </c>
      <c r="P2513" s="48">
        <f t="array" ref="P2513">IFNA(XLOOKUP(J2513,'⚙️ Pengaturan'!$E$2:$E3237,'⚙️ Pengaturan'!$F$2:$F3237),"")</f>
        <v>195000</v>
      </c>
      <c r="Q2513" s="147">
        <f t="shared" si="81"/>
        <v>0</v>
      </c>
      <c r="R2513" s="41" t="s">
        <v>37</v>
      </c>
      <c r="S2513" s="69" t="s">
        <v>641</v>
      </c>
      <c r="T2513" s="51" t="b">
        <v>1</v>
      </c>
      <c r="U2513" s="94"/>
    </row>
    <row r="2514" ht="30.0" customHeight="1">
      <c r="A2514" s="39"/>
      <c r="B2514" s="164">
        <v>4555.0</v>
      </c>
      <c r="C2514" s="41" t="s">
        <v>22</v>
      </c>
      <c r="D2514" s="86">
        <v>46224.0</v>
      </c>
      <c r="E2514" s="43" t="str">
        <f t="shared" ref="E2514:E3237" si="82">if(D2514="","",text(D2514,"YYY"))</f>
        <v>2026</v>
      </c>
      <c r="F2514" s="43" t="str">
        <f t="shared" ref="F2514:F3237" si="83">if(D2514="","",text(D2514,"MM")&amp;" "&amp;text(D2514,"MMM"))</f>
        <v>07 Jul</v>
      </c>
      <c r="G2514" s="45" t="s">
        <v>190</v>
      </c>
      <c r="H2514" s="45" t="s">
        <v>26</v>
      </c>
      <c r="I2514" s="45" t="s">
        <v>999</v>
      </c>
      <c r="J2514" s="143" t="s">
        <v>28</v>
      </c>
      <c r="K2514" s="43" t="str">
        <f t="array" ref="K2514">IF(J2514="","", XLOOKUP(J2514,'⚙️ Pengaturan'!$E$2:$E3237,'⚙️ Pengaturan'!$G$2:$G3237))</f>
        <v>KLINIK FT TA</v>
      </c>
      <c r="L2514" s="43" t="str">
        <f t="shared" si="80"/>
        <v>LANJUTAN</v>
      </c>
      <c r="M2514" s="144" t="s">
        <v>31</v>
      </c>
      <c r="N2514" s="145">
        <v>250000.0</v>
      </c>
      <c r="O2514" s="146">
        <v>0.0</v>
      </c>
      <c r="P2514" s="48">
        <f t="array" ref="P2514">IFNA(XLOOKUP(J2514,'⚙️ Pengaturan'!$E$2:$E3237,'⚙️ Pengaturan'!$F$2:$F3237),"")</f>
        <v>250000</v>
      </c>
      <c r="Q2514" s="147">
        <f t="shared" si="81"/>
        <v>0</v>
      </c>
      <c r="R2514" s="41" t="s">
        <v>32</v>
      </c>
      <c r="S2514" s="76" t="s">
        <v>33</v>
      </c>
      <c r="T2514" s="51" t="b">
        <v>1</v>
      </c>
      <c r="U2514" s="94"/>
    </row>
    <row r="2515" ht="30.0" customHeight="1">
      <c r="A2515" s="39"/>
      <c r="B2515" s="40">
        <v>4556.0</v>
      </c>
      <c r="C2515" s="41" t="s">
        <v>22</v>
      </c>
      <c r="D2515" s="86">
        <v>46224.0</v>
      </c>
      <c r="E2515" s="43" t="str">
        <f t="shared" si="82"/>
        <v>2026</v>
      </c>
      <c r="F2515" s="43" t="str">
        <f t="shared" si="83"/>
        <v>07 Jul</v>
      </c>
      <c r="G2515" s="45" t="s">
        <v>190</v>
      </c>
      <c r="H2515" s="45" t="s">
        <v>150</v>
      </c>
      <c r="I2515" s="45" t="s">
        <v>1728</v>
      </c>
      <c r="J2515" s="143" t="s">
        <v>120</v>
      </c>
      <c r="K2515" s="43" t="str">
        <f t="array" ref="K2515">IF(J2515="","", XLOOKUP(J2515,'⚙️ Pengaturan'!$E$2:$E3237,'⚙️ Pengaturan'!$G$2:$G3237))</f>
        <v>KLINIK FT SESI</v>
      </c>
      <c r="L2515" s="43" t="str">
        <f t="shared" si="80"/>
        <v>BARU</v>
      </c>
      <c r="M2515" s="144" t="s">
        <v>31</v>
      </c>
      <c r="N2515" s="145">
        <v>180000.0</v>
      </c>
      <c r="O2515" s="146">
        <v>0.0</v>
      </c>
      <c r="P2515" s="48">
        <f t="array" ref="P2515">IFNA(XLOOKUP(J2515,'⚙️ Pengaturan'!$E$2:$E3237,'⚙️ Pengaturan'!$F$2:$F3237),"")</f>
        <v>180000</v>
      </c>
      <c r="Q2515" s="147">
        <f t="shared" si="81"/>
        <v>0</v>
      </c>
      <c r="R2515" s="41" t="s">
        <v>37</v>
      </c>
      <c r="S2515" s="69" t="s">
        <v>1728</v>
      </c>
      <c r="T2515" s="51" t="b">
        <v>1</v>
      </c>
      <c r="U2515" s="94"/>
    </row>
    <row r="2516" ht="30.0" customHeight="1">
      <c r="A2516" s="39"/>
      <c r="B2516" s="164">
        <v>4557.0</v>
      </c>
      <c r="C2516" s="41" t="s">
        <v>39</v>
      </c>
      <c r="D2516" s="86">
        <v>46225.0</v>
      </c>
      <c r="E2516" s="43" t="str">
        <f t="shared" si="82"/>
        <v>2026</v>
      </c>
      <c r="F2516" s="43" t="str">
        <f t="shared" si="83"/>
        <v>07 Jul</v>
      </c>
      <c r="G2516" s="45" t="s">
        <v>195</v>
      </c>
      <c r="H2516" s="45" t="s">
        <v>41</v>
      </c>
      <c r="I2516" s="45" t="s">
        <v>1725</v>
      </c>
      <c r="J2516" s="143" t="s">
        <v>119</v>
      </c>
      <c r="K2516" s="43" t="str">
        <f t="array" ref="K2516">IF(J2516="","", XLOOKUP(J2516,'⚙️ Pengaturan'!$E$2:$E3237,'⚙️ Pengaturan'!$G$2:$G3237))</f>
        <v>KLINIK FT PAKET</v>
      </c>
      <c r="L2516" s="43" t="str">
        <f t="shared" si="80"/>
        <v>BARU</v>
      </c>
      <c r="M2516" s="144" t="s">
        <v>60</v>
      </c>
      <c r="N2516" s="145">
        <v>300000.0</v>
      </c>
      <c r="O2516" s="146">
        <v>0.0</v>
      </c>
      <c r="P2516" s="48">
        <f t="array" ref="P2516">IFNA(XLOOKUP(J2516,'⚙️ Pengaturan'!$E$2:$E3237,'⚙️ Pengaturan'!$F$2:$F3237),"")</f>
        <v>750000</v>
      </c>
      <c r="Q2516" s="147">
        <f t="shared" si="81"/>
        <v>-450000</v>
      </c>
      <c r="R2516" s="41" t="s">
        <v>32</v>
      </c>
      <c r="S2516" s="76" t="s">
        <v>33</v>
      </c>
      <c r="T2516" s="51" t="b">
        <v>1</v>
      </c>
      <c r="U2516" s="94"/>
    </row>
    <row r="2517" ht="30.0" customHeight="1">
      <c r="A2517" s="39"/>
      <c r="B2517" s="40">
        <v>4558.0</v>
      </c>
      <c r="C2517" s="41" t="s">
        <v>39</v>
      </c>
      <c r="D2517" s="86">
        <v>46225.0</v>
      </c>
      <c r="E2517" s="43" t="str">
        <f t="shared" si="82"/>
        <v>2026</v>
      </c>
      <c r="F2517" s="43" t="str">
        <f t="shared" si="83"/>
        <v>07 Jul</v>
      </c>
      <c r="G2517" s="45" t="s">
        <v>195</v>
      </c>
      <c r="H2517" s="45" t="s">
        <v>47</v>
      </c>
      <c r="I2517" s="45" t="s">
        <v>1743</v>
      </c>
      <c r="J2517" s="143" t="s">
        <v>28</v>
      </c>
      <c r="K2517" s="43" t="str">
        <f t="array" ref="K2517">IF(J2517="","", XLOOKUP(J2517,'⚙️ Pengaturan'!$E$2:$E3237,'⚙️ Pengaturan'!$G$2:$G3237))</f>
        <v>KLINIK FT TA</v>
      </c>
      <c r="L2517" s="43" t="str">
        <f t="shared" si="80"/>
        <v>BARU</v>
      </c>
      <c r="M2517" s="144" t="s">
        <v>31</v>
      </c>
      <c r="N2517" s="145">
        <v>250000.0</v>
      </c>
      <c r="O2517" s="146">
        <v>0.0</v>
      </c>
      <c r="P2517" s="48">
        <f t="array" ref="P2517">IFNA(XLOOKUP(J2517,'⚙️ Pengaturan'!$E$2:$E3237,'⚙️ Pengaturan'!$F$2:$F3237),"")</f>
        <v>250000</v>
      </c>
      <c r="Q2517" s="147">
        <f t="shared" si="81"/>
        <v>0</v>
      </c>
      <c r="R2517" s="41" t="s">
        <v>37</v>
      </c>
      <c r="S2517" s="69" t="s">
        <v>1743</v>
      </c>
      <c r="T2517" s="51" t="b">
        <v>1</v>
      </c>
      <c r="U2517" s="94"/>
    </row>
    <row r="2518" ht="30.0" customHeight="1">
      <c r="A2518" s="39"/>
      <c r="B2518" s="164">
        <v>4559.0</v>
      </c>
      <c r="C2518" s="41" t="s">
        <v>39</v>
      </c>
      <c r="D2518" s="86">
        <v>46225.0</v>
      </c>
      <c r="E2518" s="43" t="str">
        <f t="shared" si="82"/>
        <v>2026</v>
      </c>
      <c r="F2518" s="43" t="str">
        <f t="shared" si="83"/>
        <v>07 Jul</v>
      </c>
      <c r="G2518" s="45" t="s">
        <v>69</v>
      </c>
      <c r="H2518" s="45" t="s">
        <v>76</v>
      </c>
      <c r="I2518" s="45" t="s">
        <v>1243</v>
      </c>
      <c r="J2518" s="143" t="s">
        <v>349</v>
      </c>
      <c r="K2518" s="43" t="str">
        <f t="array" ref="K2518">IF(J2518="","", XLOOKUP(J2518,'⚙️ Pengaturan'!$E$2:$E3237,'⚙️ Pengaturan'!$G$2:$G3237))</f>
        <v>KLINIK FT PAKET</v>
      </c>
      <c r="L2518" s="43" t="str">
        <f t="shared" si="80"/>
        <v>LANJUTAN</v>
      </c>
      <c r="M2518" s="144" t="s">
        <v>31</v>
      </c>
      <c r="N2518" s="145">
        <v>2400000.0</v>
      </c>
      <c r="O2518" s="146">
        <v>0.0</v>
      </c>
      <c r="P2518" s="48">
        <f t="array" ref="P2518">IFNA(XLOOKUP(J2518,'⚙️ Pengaturan'!$E$2:$E3237,'⚙️ Pengaturan'!$F$2:$F3237),"")</f>
        <v>2400000</v>
      </c>
      <c r="Q2518" s="147">
        <f t="shared" si="81"/>
        <v>0</v>
      </c>
      <c r="R2518" s="41" t="s">
        <v>37</v>
      </c>
      <c r="S2518" s="69" t="s">
        <v>1243</v>
      </c>
      <c r="T2518" s="51" t="b">
        <v>1</v>
      </c>
      <c r="U2518" s="94"/>
    </row>
    <row r="2519" ht="30.0" customHeight="1">
      <c r="A2519" s="39"/>
      <c r="B2519" s="40">
        <v>4560.0</v>
      </c>
      <c r="C2519" s="41" t="s">
        <v>39</v>
      </c>
      <c r="D2519" s="86">
        <v>46225.0</v>
      </c>
      <c r="E2519" s="43" t="str">
        <f t="shared" si="82"/>
        <v>2026</v>
      </c>
      <c r="F2519" s="43" t="str">
        <f t="shared" si="83"/>
        <v>07 Jul</v>
      </c>
      <c r="G2519" s="45" t="s">
        <v>69</v>
      </c>
      <c r="H2519" s="45" t="s">
        <v>26</v>
      </c>
      <c r="I2519" s="45" t="s">
        <v>1489</v>
      </c>
      <c r="J2519" s="143" t="s">
        <v>347</v>
      </c>
      <c r="K2519" s="43" t="str">
        <f t="array" ref="K2519">IF(J2519="","", XLOOKUP(J2519,'⚙️ Pengaturan'!$E$2:$E3237,'⚙️ Pengaturan'!$G$2:$G3237))</f>
        <v>KLINIK FT PAKET</v>
      </c>
      <c r="L2519" s="43" t="str">
        <f t="shared" si="80"/>
        <v>LANJUTAN</v>
      </c>
      <c r="M2519" s="144" t="s">
        <v>60</v>
      </c>
      <c r="N2519" s="145">
        <v>650000.0</v>
      </c>
      <c r="O2519" s="146">
        <v>0.0</v>
      </c>
      <c r="P2519" s="48">
        <f t="array" ref="P2519">IFNA(XLOOKUP(J2519,'⚙️ Pengaturan'!$E$2:$E3237,'⚙️ Pengaturan'!$F$2:$F3237),"")</f>
        <v>1300000</v>
      </c>
      <c r="Q2519" s="147">
        <f t="shared" si="81"/>
        <v>-650000</v>
      </c>
      <c r="R2519" s="41" t="s">
        <v>37</v>
      </c>
      <c r="S2519" s="69" t="s">
        <v>1489</v>
      </c>
      <c r="T2519" s="51" t="b">
        <v>1</v>
      </c>
      <c r="U2519" s="94"/>
    </row>
    <row r="2520" ht="30.0" customHeight="1">
      <c r="A2520" s="39"/>
      <c r="B2520" s="164">
        <v>4561.0</v>
      </c>
      <c r="C2520" s="41" t="s">
        <v>39</v>
      </c>
      <c r="D2520" s="86">
        <v>46225.0</v>
      </c>
      <c r="E2520" s="43" t="str">
        <f t="shared" si="82"/>
        <v>2026</v>
      </c>
      <c r="F2520" s="43" t="str">
        <f t="shared" si="83"/>
        <v>07 Jul</v>
      </c>
      <c r="G2520" s="45" t="s">
        <v>25</v>
      </c>
      <c r="H2520" s="45" t="s">
        <v>103</v>
      </c>
      <c r="I2520" s="45" t="s">
        <v>620</v>
      </c>
      <c r="J2520" s="143" t="s">
        <v>28</v>
      </c>
      <c r="K2520" s="43" t="str">
        <f t="array" ref="K2520">IF(J2520="","", XLOOKUP(J2520,'⚙️ Pengaturan'!$E$2:$E3237,'⚙️ Pengaturan'!$G$2:$G3237))</f>
        <v>KLINIK FT TA</v>
      </c>
      <c r="L2520" s="43" t="str">
        <f t="shared" si="80"/>
        <v>BARU</v>
      </c>
      <c r="M2520" s="144" t="s">
        <v>31</v>
      </c>
      <c r="N2520" s="145">
        <v>180000.0</v>
      </c>
      <c r="O2520" s="146">
        <v>70000.0</v>
      </c>
      <c r="P2520" s="48">
        <f t="array" ref="P2520">IFNA(XLOOKUP(J2520,'⚙️ Pengaturan'!$E$2:$E3237,'⚙️ Pengaturan'!$F$2:$F3237),"")</f>
        <v>250000</v>
      </c>
      <c r="Q2520" s="147">
        <f t="shared" si="81"/>
        <v>0</v>
      </c>
      <c r="R2520" s="41" t="s">
        <v>118</v>
      </c>
      <c r="S2520" s="69" t="s">
        <v>620</v>
      </c>
      <c r="T2520" s="51" t="b">
        <v>1</v>
      </c>
      <c r="U2520" s="94"/>
    </row>
    <row r="2521" ht="30.0" customHeight="1">
      <c r="A2521" s="39"/>
      <c r="B2521" s="40">
        <v>4562.0</v>
      </c>
      <c r="C2521" s="41" t="s">
        <v>39</v>
      </c>
      <c r="D2521" s="86">
        <v>46225.0</v>
      </c>
      <c r="E2521" s="43" t="str">
        <f t="shared" si="82"/>
        <v>2026</v>
      </c>
      <c r="F2521" s="43" t="str">
        <f t="shared" si="83"/>
        <v>07 Jul</v>
      </c>
      <c r="G2521" s="45" t="s">
        <v>206</v>
      </c>
      <c r="H2521" s="45" t="s">
        <v>96</v>
      </c>
      <c r="I2521" s="45" t="s">
        <v>1744</v>
      </c>
      <c r="J2521" s="143" t="s">
        <v>28</v>
      </c>
      <c r="K2521" s="43" t="str">
        <f t="array" ref="K2521">IF(J2521="","", XLOOKUP(J2521,'⚙️ Pengaturan'!$E$2:$E3237,'⚙️ Pengaturan'!$G$2:$G3237))</f>
        <v>KLINIK FT TA</v>
      </c>
      <c r="L2521" s="43" t="str">
        <f t="shared" si="80"/>
        <v>BARU</v>
      </c>
      <c r="M2521" s="144" t="s">
        <v>31</v>
      </c>
      <c r="N2521" s="145">
        <v>250000.0</v>
      </c>
      <c r="O2521" s="146">
        <v>0.0</v>
      </c>
      <c r="P2521" s="48">
        <f t="array" ref="P2521">IFNA(XLOOKUP(J2521,'⚙️ Pengaturan'!$E$2:$E3237,'⚙️ Pengaturan'!$F$2:$F3237),"")</f>
        <v>250000</v>
      </c>
      <c r="Q2521" s="147">
        <f t="shared" si="81"/>
        <v>0</v>
      </c>
      <c r="R2521" s="41" t="s">
        <v>93</v>
      </c>
      <c r="S2521" s="76" t="s">
        <v>33</v>
      </c>
      <c r="T2521" s="51" t="b">
        <v>1</v>
      </c>
      <c r="U2521" s="94"/>
    </row>
    <row r="2522" ht="30.0" customHeight="1">
      <c r="A2522" s="39"/>
      <c r="B2522" s="164">
        <v>4563.0</v>
      </c>
      <c r="C2522" s="41" t="s">
        <v>39</v>
      </c>
      <c r="D2522" s="86">
        <v>46225.0</v>
      </c>
      <c r="E2522" s="43" t="str">
        <f t="shared" si="82"/>
        <v>2026</v>
      </c>
      <c r="F2522" s="43" t="str">
        <f t="shared" si="83"/>
        <v>07 Jul</v>
      </c>
      <c r="G2522" s="45" t="s">
        <v>206</v>
      </c>
      <c r="H2522" s="45" t="s">
        <v>96</v>
      </c>
      <c r="I2522" s="45" t="s">
        <v>1744</v>
      </c>
      <c r="J2522" s="143" t="s">
        <v>355</v>
      </c>
      <c r="K2522" s="43" t="str">
        <f t="array" ref="K2522">IF(J2522="","", XLOOKUP(J2522,'⚙️ Pengaturan'!$E$2:$E3237,'⚙️ Pengaturan'!$G$2:$G3237))</f>
        <v>STORE  </v>
      </c>
      <c r="L2522" s="43" t="str">
        <f t="shared" si="80"/>
        <v>BARU</v>
      </c>
      <c r="M2522" s="144" t="s">
        <v>31</v>
      </c>
      <c r="N2522" s="145">
        <v>50000.0</v>
      </c>
      <c r="O2522" s="146">
        <v>0.0</v>
      </c>
      <c r="P2522" s="48">
        <f t="array" ref="P2522">IFNA(XLOOKUP(J2522,'⚙️ Pengaturan'!$E$2:$E3237,'⚙️ Pengaturan'!$F$2:$F3237),"")</f>
        <v>50000</v>
      </c>
      <c r="Q2522" s="147">
        <f t="shared" si="81"/>
        <v>0</v>
      </c>
      <c r="R2522" s="41" t="s">
        <v>93</v>
      </c>
      <c r="S2522" s="76" t="s">
        <v>33</v>
      </c>
      <c r="T2522" s="51" t="b">
        <v>1</v>
      </c>
      <c r="U2522" s="94"/>
    </row>
    <row r="2523" ht="30.0" customHeight="1">
      <c r="A2523" s="39"/>
      <c r="B2523" s="40">
        <v>4564.0</v>
      </c>
      <c r="C2523" s="41" t="s">
        <v>39</v>
      </c>
      <c r="D2523" s="86">
        <v>46225.0</v>
      </c>
      <c r="E2523" s="43" t="str">
        <f t="shared" si="82"/>
        <v>2026</v>
      </c>
      <c r="F2523" s="43" t="str">
        <f t="shared" si="83"/>
        <v>07 Jul</v>
      </c>
      <c r="G2523" s="45" t="s">
        <v>206</v>
      </c>
      <c r="H2523" s="45" t="s">
        <v>76</v>
      </c>
      <c r="I2523" s="45" t="s">
        <v>1334</v>
      </c>
      <c r="J2523" s="143" t="s">
        <v>355</v>
      </c>
      <c r="K2523" s="43" t="str">
        <f t="array" ref="K2523">IF(J2523="","", XLOOKUP(J2523,'⚙️ Pengaturan'!$E$2:$E3237,'⚙️ Pengaturan'!$G$2:$G3237))</f>
        <v>STORE  </v>
      </c>
      <c r="L2523" s="43" t="str">
        <f t="shared" si="80"/>
        <v>BARU</v>
      </c>
      <c r="M2523" s="144" t="s">
        <v>31</v>
      </c>
      <c r="N2523" s="145">
        <v>50000.0</v>
      </c>
      <c r="O2523" s="146">
        <v>0.0</v>
      </c>
      <c r="P2523" s="48">
        <f t="array" ref="P2523">IFNA(XLOOKUP(J2523,'⚙️ Pengaturan'!$E$2:$E3237,'⚙️ Pengaturan'!$F$2:$F3237),"")</f>
        <v>50000</v>
      </c>
      <c r="Q2523" s="147">
        <f t="shared" si="81"/>
        <v>0</v>
      </c>
      <c r="R2523" s="41" t="s">
        <v>32</v>
      </c>
      <c r="S2523" s="76" t="s">
        <v>33</v>
      </c>
      <c r="T2523" s="51" t="b">
        <v>1</v>
      </c>
      <c r="U2523" s="94"/>
    </row>
    <row r="2524" ht="30.0" customHeight="1">
      <c r="A2524" s="39"/>
      <c r="B2524" s="164">
        <v>4565.0</v>
      </c>
      <c r="C2524" s="41" t="s">
        <v>39</v>
      </c>
      <c r="D2524" s="86">
        <v>46225.0</v>
      </c>
      <c r="E2524" s="43" t="str">
        <f t="shared" si="82"/>
        <v>2026</v>
      </c>
      <c r="F2524" s="43" t="str">
        <f t="shared" si="83"/>
        <v>07 Jul</v>
      </c>
      <c r="G2524" s="45" t="s">
        <v>161</v>
      </c>
      <c r="H2524" s="45" t="s">
        <v>47</v>
      </c>
      <c r="I2524" s="45" t="s">
        <v>1745</v>
      </c>
      <c r="J2524" s="143" t="s">
        <v>28</v>
      </c>
      <c r="K2524" s="43" t="str">
        <f t="array" ref="K2524">IF(J2524="","", XLOOKUP(J2524,'⚙️ Pengaturan'!$E$2:$E3237,'⚙️ Pengaturan'!$G$2:$G3237))</f>
        <v>KLINIK FT TA</v>
      </c>
      <c r="L2524" s="43" t="str">
        <f t="shared" si="80"/>
        <v>BARU</v>
      </c>
      <c r="M2524" s="144" t="s">
        <v>31</v>
      </c>
      <c r="N2524" s="145">
        <v>250000.0</v>
      </c>
      <c r="O2524" s="146">
        <v>0.0</v>
      </c>
      <c r="P2524" s="48">
        <f t="array" ref="P2524">IFNA(XLOOKUP(J2524,'⚙️ Pengaturan'!$E$2:$E3237,'⚙️ Pengaturan'!$F$2:$F3237),"")</f>
        <v>250000</v>
      </c>
      <c r="Q2524" s="147">
        <f t="shared" si="81"/>
        <v>0</v>
      </c>
      <c r="R2524" s="41" t="s">
        <v>32</v>
      </c>
      <c r="S2524" s="76" t="s">
        <v>33</v>
      </c>
      <c r="T2524" s="51" t="b">
        <v>1</v>
      </c>
      <c r="U2524" s="94"/>
    </row>
    <row r="2525" ht="30.0" customHeight="1">
      <c r="A2525" s="39"/>
      <c r="B2525" s="40">
        <v>4566.0</v>
      </c>
      <c r="C2525" s="41" t="s">
        <v>39</v>
      </c>
      <c r="D2525" s="86">
        <v>46225.0</v>
      </c>
      <c r="E2525" s="43" t="str">
        <f t="shared" si="82"/>
        <v>2026</v>
      </c>
      <c r="F2525" s="43" t="str">
        <f t="shared" si="83"/>
        <v>07 Jul</v>
      </c>
      <c r="G2525" s="45" t="s">
        <v>69</v>
      </c>
      <c r="H2525" s="45" t="s">
        <v>162</v>
      </c>
      <c r="I2525" s="45" t="s">
        <v>1554</v>
      </c>
      <c r="J2525" s="143" t="s">
        <v>347</v>
      </c>
      <c r="K2525" s="43" t="str">
        <f t="array" ref="K2525">IF(J2525="","", XLOOKUP(J2525,'⚙️ Pengaturan'!$E$2:$E3237,'⚙️ Pengaturan'!$G$2:$G3237))</f>
        <v>KLINIK FT PAKET</v>
      </c>
      <c r="L2525" s="43" t="str">
        <f t="shared" si="80"/>
        <v>LANJUTAN</v>
      </c>
      <c r="M2525" s="144" t="s">
        <v>31</v>
      </c>
      <c r="N2525" s="145">
        <v>1300000.0</v>
      </c>
      <c r="O2525" s="146">
        <v>0.0</v>
      </c>
      <c r="P2525" s="48">
        <f t="array" ref="P2525">IFNA(XLOOKUP(J2525,'⚙️ Pengaturan'!$E$2:$E3237,'⚙️ Pengaturan'!$F$2:$F3237),"")</f>
        <v>1300000</v>
      </c>
      <c r="Q2525" s="147">
        <f t="shared" si="81"/>
        <v>0</v>
      </c>
      <c r="R2525" s="41" t="s">
        <v>37</v>
      </c>
      <c r="S2525" s="76" t="s">
        <v>1363</v>
      </c>
      <c r="T2525" s="51" t="b">
        <v>1</v>
      </c>
      <c r="U2525" s="94"/>
    </row>
    <row r="2526" ht="30.0" customHeight="1">
      <c r="A2526" s="39"/>
      <c r="B2526" s="164">
        <v>4567.0</v>
      </c>
      <c r="C2526" s="41" t="s">
        <v>22</v>
      </c>
      <c r="D2526" s="86">
        <v>46225.0</v>
      </c>
      <c r="E2526" s="43" t="str">
        <f t="shared" si="82"/>
        <v>2026</v>
      </c>
      <c r="F2526" s="43" t="str">
        <f t="shared" si="83"/>
        <v>07 Jul</v>
      </c>
      <c r="G2526" s="45" t="s">
        <v>40</v>
      </c>
      <c r="H2526" s="45" t="s">
        <v>26</v>
      </c>
      <c r="I2526" s="45" t="s">
        <v>426</v>
      </c>
      <c r="J2526" s="143" t="s">
        <v>56</v>
      </c>
      <c r="K2526" s="43" t="str">
        <f t="array" ref="K2526">IF(J2526="","", XLOOKUP(J2526,'⚙️ Pengaturan'!$E$2:$E3237,'⚙️ Pengaturan'!$G$2:$G3237))</f>
        <v>KLINIK FT PAKET</v>
      </c>
      <c r="L2526" s="43" t="str">
        <f t="shared" si="80"/>
        <v>LANJUTAN</v>
      </c>
      <c r="M2526" s="144" t="s">
        <v>31</v>
      </c>
      <c r="N2526" s="145">
        <v>650000.0</v>
      </c>
      <c r="O2526" s="146">
        <v>0.0</v>
      </c>
      <c r="P2526" s="48">
        <f t="array" ref="P2526">IFNA(XLOOKUP(J2526,'⚙️ Pengaturan'!$E$2:$E3237,'⚙️ Pengaturan'!$F$2:$F3237),"")</f>
        <v>650000</v>
      </c>
      <c r="Q2526" s="147">
        <f t="shared" si="81"/>
        <v>0</v>
      </c>
      <c r="R2526" s="41" t="s">
        <v>37</v>
      </c>
      <c r="S2526" s="69" t="s">
        <v>426</v>
      </c>
      <c r="T2526" s="51" t="b">
        <v>1</v>
      </c>
      <c r="U2526" s="94"/>
    </row>
    <row r="2527" ht="30.0" customHeight="1">
      <c r="A2527" s="39"/>
      <c r="B2527" s="40">
        <v>4568.0</v>
      </c>
      <c r="C2527" s="41" t="s">
        <v>22</v>
      </c>
      <c r="D2527" s="86">
        <v>46225.0</v>
      </c>
      <c r="E2527" s="43" t="str">
        <f t="shared" si="82"/>
        <v>2026</v>
      </c>
      <c r="F2527" s="43" t="str">
        <f t="shared" si="83"/>
        <v>07 Jul</v>
      </c>
      <c r="G2527" s="45" t="s">
        <v>40</v>
      </c>
      <c r="H2527" s="45" t="s">
        <v>162</v>
      </c>
      <c r="I2527" s="45" t="s">
        <v>1746</v>
      </c>
      <c r="J2527" s="143" t="s">
        <v>28</v>
      </c>
      <c r="K2527" s="43" t="str">
        <f t="array" ref="K2527">IF(J2527="","", XLOOKUP(J2527,'⚙️ Pengaturan'!$E$2:$E3237,'⚙️ Pengaturan'!$G$2:$G3237))</f>
        <v>KLINIK FT TA</v>
      </c>
      <c r="L2527" s="43" t="str">
        <f t="shared" si="80"/>
        <v>BARU</v>
      </c>
      <c r="M2527" s="144" t="s">
        <v>31</v>
      </c>
      <c r="N2527" s="145">
        <v>250000.0</v>
      </c>
      <c r="O2527" s="146">
        <v>0.0</v>
      </c>
      <c r="P2527" s="48">
        <f t="array" ref="P2527">IFNA(XLOOKUP(J2527,'⚙️ Pengaturan'!$E$2:$E3237,'⚙️ Pengaturan'!$F$2:$F3237),"")</f>
        <v>250000</v>
      </c>
      <c r="Q2527" s="147">
        <f t="shared" si="81"/>
        <v>0</v>
      </c>
      <c r="R2527" s="41" t="s">
        <v>37</v>
      </c>
      <c r="S2527" s="69" t="s">
        <v>1746</v>
      </c>
      <c r="T2527" s="51" t="b">
        <v>1</v>
      </c>
      <c r="U2527" s="94"/>
    </row>
    <row r="2528" ht="30.0" customHeight="1">
      <c r="A2528" s="39"/>
      <c r="B2528" s="164">
        <v>4569.0</v>
      </c>
      <c r="C2528" s="41" t="s">
        <v>39</v>
      </c>
      <c r="D2528" s="86">
        <v>46225.0</v>
      </c>
      <c r="E2528" s="43" t="str">
        <f t="shared" si="82"/>
        <v>2026</v>
      </c>
      <c r="F2528" s="43" t="str">
        <f t="shared" si="83"/>
        <v>07 Jul</v>
      </c>
      <c r="G2528" s="45" t="s">
        <v>35</v>
      </c>
      <c r="H2528" s="45" t="s">
        <v>149</v>
      </c>
      <c r="I2528" s="45" t="s">
        <v>1729</v>
      </c>
      <c r="J2528" s="143" t="s">
        <v>120</v>
      </c>
      <c r="K2528" s="43" t="str">
        <f t="array" ref="K2528">IF(J2528="","", XLOOKUP(J2528,'⚙️ Pengaturan'!$E$2:$E3237,'⚙️ Pengaturan'!$G$2:$G3237))</f>
        <v>KLINIK FT SESI</v>
      </c>
      <c r="L2528" s="43" t="str">
        <f t="shared" si="80"/>
        <v>BARU</v>
      </c>
      <c r="M2528" s="144" t="s">
        <v>31</v>
      </c>
      <c r="N2528" s="145">
        <v>180000.0</v>
      </c>
      <c r="O2528" s="146">
        <v>0.0</v>
      </c>
      <c r="P2528" s="48">
        <f t="array" ref="P2528">IFNA(XLOOKUP(J2528,'⚙️ Pengaturan'!$E$2:$E3237,'⚙️ Pengaturan'!$F$2:$F3237),"")</f>
        <v>180000</v>
      </c>
      <c r="Q2528" s="147">
        <f t="shared" si="81"/>
        <v>0</v>
      </c>
      <c r="R2528" s="41" t="s">
        <v>32</v>
      </c>
      <c r="S2528" s="76" t="s">
        <v>33</v>
      </c>
      <c r="T2528" s="51" t="b">
        <v>1</v>
      </c>
      <c r="U2528" s="94"/>
    </row>
    <row r="2529" ht="30.0" customHeight="1">
      <c r="A2529" s="39"/>
      <c r="B2529" s="40">
        <v>4570.0</v>
      </c>
      <c r="C2529" s="41" t="s">
        <v>22</v>
      </c>
      <c r="D2529" s="86">
        <v>46225.0</v>
      </c>
      <c r="E2529" s="43" t="str">
        <f t="shared" si="82"/>
        <v>2026</v>
      </c>
      <c r="F2529" s="43" t="str">
        <f t="shared" si="83"/>
        <v>07 Jul</v>
      </c>
      <c r="G2529" s="45" t="s">
        <v>173</v>
      </c>
      <c r="H2529" s="45" t="s">
        <v>162</v>
      </c>
      <c r="I2529" s="45" t="s">
        <v>1747</v>
      </c>
      <c r="J2529" s="143" t="s">
        <v>28</v>
      </c>
      <c r="K2529" s="43" t="str">
        <f t="array" ref="K2529">IF(J2529="","", XLOOKUP(J2529,'⚙️ Pengaturan'!$E$2:$E3237,'⚙️ Pengaturan'!$G$2:$G3237))</f>
        <v>KLINIK FT TA</v>
      </c>
      <c r="L2529" s="43" t="str">
        <f t="shared" si="80"/>
        <v>BARU</v>
      </c>
      <c r="M2529" s="144" t="s">
        <v>31</v>
      </c>
      <c r="N2529" s="145">
        <v>250000.0</v>
      </c>
      <c r="O2529" s="146">
        <v>0.0</v>
      </c>
      <c r="P2529" s="48">
        <f t="array" ref="P2529">IFNA(XLOOKUP(J2529,'⚙️ Pengaturan'!$E$2:$E3237,'⚙️ Pengaturan'!$F$2:$F3237),"")</f>
        <v>250000</v>
      </c>
      <c r="Q2529" s="147">
        <f t="shared" si="81"/>
        <v>0</v>
      </c>
      <c r="R2529" s="41" t="s">
        <v>37</v>
      </c>
      <c r="S2529" s="76" t="s">
        <v>1737</v>
      </c>
      <c r="T2529" s="51" t="b">
        <v>1</v>
      </c>
      <c r="U2529" s="94"/>
    </row>
    <row r="2530" ht="30.0" customHeight="1">
      <c r="A2530" s="39"/>
      <c r="B2530" s="164">
        <v>4571.0</v>
      </c>
      <c r="C2530" s="41" t="s">
        <v>22</v>
      </c>
      <c r="D2530" s="86">
        <v>46225.0</v>
      </c>
      <c r="E2530" s="43" t="str">
        <f t="shared" si="82"/>
        <v>2026</v>
      </c>
      <c r="F2530" s="43" t="str">
        <f t="shared" si="83"/>
        <v>07 Jul</v>
      </c>
      <c r="G2530" s="45" t="s">
        <v>46</v>
      </c>
      <c r="H2530" s="45" t="s">
        <v>359</v>
      </c>
      <c r="I2530" s="45" t="s">
        <v>1684</v>
      </c>
      <c r="J2530" s="143" t="s">
        <v>1547</v>
      </c>
      <c r="K2530" s="43" t="str">
        <f t="array" ref="K2530">IF(J2530="","", XLOOKUP(J2530,'⚙️ Pengaturan'!$E$2:$E3237,'⚙️ Pengaturan'!$G$2:$G3237))</f>
        <v>KLINIK SM SESI</v>
      </c>
      <c r="L2530" s="43" t="str">
        <f t="shared" si="80"/>
        <v>LANJUTAN</v>
      </c>
      <c r="M2530" s="144" t="s">
        <v>31</v>
      </c>
      <c r="N2530" s="145">
        <v>195000.0</v>
      </c>
      <c r="O2530" s="146">
        <v>0.0</v>
      </c>
      <c r="P2530" s="48">
        <f t="array" ref="P2530">IFNA(XLOOKUP(J2530,'⚙️ Pengaturan'!$E$2:$E3237,'⚙️ Pengaturan'!$F$2:$F3237),"")</f>
        <v>195000</v>
      </c>
      <c r="Q2530" s="147">
        <f t="shared" si="81"/>
        <v>0</v>
      </c>
      <c r="R2530" s="41" t="s">
        <v>32</v>
      </c>
      <c r="S2530" s="76" t="s">
        <v>33</v>
      </c>
      <c r="T2530" s="51" t="b">
        <v>1</v>
      </c>
      <c r="U2530" s="94"/>
    </row>
    <row r="2531" ht="30.0" customHeight="1">
      <c r="A2531" s="39"/>
      <c r="B2531" s="40">
        <v>4572.0</v>
      </c>
      <c r="C2531" s="41" t="s">
        <v>22</v>
      </c>
      <c r="D2531" s="86">
        <v>46225.0</v>
      </c>
      <c r="E2531" s="43" t="str">
        <f t="shared" si="82"/>
        <v>2026</v>
      </c>
      <c r="F2531" s="43" t="str">
        <f t="shared" si="83"/>
        <v>07 Jul</v>
      </c>
      <c r="G2531" s="45" t="s">
        <v>155</v>
      </c>
      <c r="H2531" s="45" t="s">
        <v>162</v>
      </c>
      <c r="I2531" s="45" t="s">
        <v>1748</v>
      </c>
      <c r="J2531" s="143" t="s">
        <v>28</v>
      </c>
      <c r="K2531" s="43" t="str">
        <f t="array" ref="K2531">IF(J2531="","", XLOOKUP(J2531,'⚙️ Pengaturan'!$E$2:$E3237,'⚙️ Pengaturan'!$G$2:$G3237))</f>
        <v>KLINIK FT TA</v>
      </c>
      <c r="L2531" s="43" t="str">
        <f t="shared" si="80"/>
        <v>BARU</v>
      </c>
      <c r="M2531" s="144" t="s">
        <v>31</v>
      </c>
      <c r="N2531" s="145">
        <v>250000.0</v>
      </c>
      <c r="O2531" s="146">
        <v>0.0</v>
      </c>
      <c r="P2531" s="48">
        <f t="array" ref="P2531">IFNA(XLOOKUP(J2531,'⚙️ Pengaturan'!$E$2:$E3237,'⚙️ Pengaturan'!$F$2:$F3237),"")</f>
        <v>250000</v>
      </c>
      <c r="Q2531" s="147">
        <f t="shared" si="81"/>
        <v>0</v>
      </c>
      <c r="R2531" s="41" t="s">
        <v>37</v>
      </c>
      <c r="S2531" s="69" t="s">
        <v>1748</v>
      </c>
      <c r="T2531" s="51" t="b">
        <v>1</v>
      </c>
      <c r="U2531" s="94"/>
    </row>
    <row r="2532" ht="30.0" customHeight="1">
      <c r="A2532" s="39"/>
      <c r="B2532" s="164">
        <v>4573.0</v>
      </c>
      <c r="C2532" s="41" t="s">
        <v>22</v>
      </c>
      <c r="D2532" s="86">
        <v>46225.0</v>
      </c>
      <c r="E2532" s="43" t="str">
        <f t="shared" si="82"/>
        <v>2026</v>
      </c>
      <c r="F2532" s="43" t="str">
        <f t="shared" si="83"/>
        <v>07 Jul</v>
      </c>
      <c r="G2532" s="45" t="s">
        <v>155</v>
      </c>
      <c r="H2532" s="45" t="s">
        <v>166</v>
      </c>
      <c r="I2532" s="45" t="s">
        <v>1749</v>
      </c>
      <c r="J2532" s="143" t="s">
        <v>28</v>
      </c>
      <c r="K2532" s="43" t="str">
        <f t="array" ref="K2532">IF(J2532="","", XLOOKUP(J2532,'⚙️ Pengaturan'!$E$2:$E3237,'⚙️ Pengaturan'!$G$2:$G3237))</f>
        <v>KLINIK FT TA</v>
      </c>
      <c r="L2532" s="43" t="str">
        <f t="shared" si="80"/>
        <v>BARU</v>
      </c>
      <c r="M2532" s="144" t="s">
        <v>31</v>
      </c>
      <c r="N2532" s="145">
        <v>250000.0</v>
      </c>
      <c r="O2532" s="146">
        <v>0.0</v>
      </c>
      <c r="P2532" s="48">
        <f t="array" ref="P2532">IFNA(XLOOKUP(J2532,'⚙️ Pengaturan'!$E$2:$E3237,'⚙️ Pengaturan'!$F$2:$F3237),"")</f>
        <v>250000</v>
      </c>
      <c r="Q2532" s="147">
        <f t="shared" si="81"/>
        <v>0</v>
      </c>
      <c r="R2532" s="41" t="s">
        <v>37</v>
      </c>
      <c r="S2532" s="69" t="s">
        <v>1748</v>
      </c>
      <c r="T2532" s="51" t="b">
        <v>1</v>
      </c>
      <c r="U2532" s="94"/>
    </row>
    <row r="2533" ht="30.0" customHeight="1">
      <c r="A2533" s="39"/>
      <c r="B2533" s="40">
        <v>4574.0</v>
      </c>
      <c r="C2533" s="41" t="s">
        <v>22</v>
      </c>
      <c r="D2533" s="86">
        <v>46225.0</v>
      </c>
      <c r="E2533" s="43" t="str">
        <f t="shared" si="82"/>
        <v>2026</v>
      </c>
      <c r="F2533" s="43" t="str">
        <f t="shared" si="83"/>
        <v>07 Jul</v>
      </c>
      <c r="G2533" s="45" t="s">
        <v>155</v>
      </c>
      <c r="H2533" s="45" t="s">
        <v>150</v>
      </c>
      <c r="I2533" s="45" t="s">
        <v>1750</v>
      </c>
      <c r="J2533" s="143" t="s">
        <v>28</v>
      </c>
      <c r="K2533" s="43" t="str">
        <f t="array" ref="K2533">IF(J2533="","", XLOOKUP(J2533,'⚙️ Pengaturan'!$E$2:$E3237,'⚙️ Pengaturan'!$G$2:$G3237))</f>
        <v>KLINIK FT TA</v>
      </c>
      <c r="L2533" s="43" t="str">
        <f t="shared" si="80"/>
        <v>BARU</v>
      </c>
      <c r="M2533" s="144" t="s">
        <v>31</v>
      </c>
      <c r="N2533" s="145">
        <v>250000.0</v>
      </c>
      <c r="O2533" s="146">
        <v>0.0</v>
      </c>
      <c r="P2533" s="48">
        <f t="array" ref="P2533">IFNA(XLOOKUP(J2533,'⚙️ Pengaturan'!$E$2:$E3237,'⚙️ Pengaturan'!$F$2:$F3237),"")</f>
        <v>250000</v>
      </c>
      <c r="Q2533" s="147">
        <f t="shared" si="81"/>
        <v>0</v>
      </c>
      <c r="R2533" s="41" t="s">
        <v>37</v>
      </c>
      <c r="S2533" s="69" t="s">
        <v>1748</v>
      </c>
      <c r="T2533" s="51" t="b">
        <v>1</v>
      </c>
      <c r="U2533" s="94"/>
    </row>
    <row r="2534" ht="30.0" customHeight="1">
      <c r="A2534" s="39"/>
      <c r="B2534" s="164">
        <v>4575.0</v>
      </c>
      <c r="C2534" s="41" t="s">
        <v>22</v>
      </c>
      <c r="D2534" s="86">
        <v>46225.0</v>
      </c>
      <c r="E2534" s="43" t="str">
        <f t="shared" si="82"/>
        <v>2026</v>
      </c>
      <c r="F2534" s="43" t="str">
        <f t="shared" si="83"/>
        <v>07 Jul</v>
      </c>
      <c r="G2534" s="45" t="s">
        <v>155</v>
      </c>
      <c r="H2534" s="45" t="s">
        <v>26</v>
      </c>
      <c r="I2534" s="45" t="s">
        <v>435</v>
      </c>
      <c r="J2534" s="143" t="s">
        <v>56</v>
      </c>
      <c r="K2534" s="43" t="str">
        <f t="array" ref="K2534">IF(J2534="","", XLOOKUP(J2534,'⚙️ Pengaturan'!$E$2:$E3237,'⚙️ Pengaturan'!$G$2:$G3237))</f>
        <v>KLINIK FT PAKET</v>
      </c>
      <c r="L2534" s="43" t="str">
        <f t="shared" si="80"/>
        <v>LANJUTAN</v>
      </c>
      <c r="M2534" s="144" t="s">
        <v>31</v>
      </c>
      <c r="N2534" s="145">
        <v>650000.0</v>
      </c>
      <c r="O2534" s="146">
        <v>0.0</v>
      </c>
      <c r="P2534" s="48">
        <f t="array" ref="P2534">IFNA(XLOOKUP(J2534,'⚙️ Pengaturan'!$E$2:$E3237,'⚙️ Pengaturan'!$F$2:$F3237),"")</f>
        <v>650000</v>
      </c>
      <c r="Q2534" s="147">
        <f t="shared" si="81"/>
        <v>0</v>
      </c>
      <c r="R2534" s="41" t="s">
        <v>37</v>
      </c>
      <c r="S2534" s="76" t="s">
        <v>426</v>
      </c>
      <c r="T2534" s="51" t="b">
        <v>1</v>
      </c>
      <c r="U2534" s="94"/>
    </row>
    <row r="2535" ht="30.0" customHeight="1">
      <c r="A2535" s="39"/>
      <c r="B2535" s="40">
        <v>4576.0</v>
      </c>
      <c r="C2535" s="41" t="s">
        <v>22</v>
      </c>
      <c r="D2535" s="86">
        <v>46225.0</v>
      </c>
      <c r="E2535" s="43" t="str">
        <f t="shared" si="82"/>
        <v>2026</v>
      </c>
      <c r="F2535" s="43" t="str">
        <f t="shared" si="83"/>
        <v>07 Jul</v>
      </c>
      <c r="G2535" s="45" t="s">
        <v>190</v>
      </c>
      <c r="H2535" s="45" t="s">
        <v>150</v>
      </c>
      <c r="I2535" s="45" t="s">
        <v>1751</v>
      </c>
      <c r="J2535" s="143" t="s">
        <v>28</v>
      </c>
      <c r="K2535" s="43" t="str">
        <f t="array" ref="K2535">IF(J2535="","", XLOOKUP(J2535,'⚙️ Pengaturan'!$E$2:$E3237,'⚙️ Pengaturan'!$G$2:$G3237))</f>
        <v>KLINIK FT TA</v>
      </c>
      <c r="L2535" s="43" t="str">
        <f t="shared" si="80"/>
        <v>BARU</v>
      </c>
      <c r="M2535" s="144" t="s">
        <v>31</v>
      </c>
      <c r="N2535" s="145">
        <v>250000.0</v>
      </c>
      <c r="O2535" s="146">
        <v>0.0</v>
      </c>
      <c r="P2535" s="48">
        <f t="array" ref="P2535">IFNA(XLOOKUP(J2535,'⚙️ Pengaturan'!$E$2:$E3237,'⚙️ Pengaturan'!$F$2:$F3237),"")</f>
        <v>250000</v>
      </c>
      <c r="Q2535" s="147">
        <f t="shared" si="81"/>
        <v>0</v>
      </c>
      <c r="R2535" s="41" t="s">
        <v>37</v>
      </c>
      <c r="S2535" s="69" t="s">
        <v>1751</v>
      </c>
      <c r="T2535" s="51" t="b">
        <v>1</v>
      </c>
      <c r="U2535" s="94"/>
    </row>
    <row r="2536" ht="30.0" customHeight="1">
      <c r="A2536" s="39"/>
      <c r="B2536" s="164">
        <v>4577.0</v>
      </c>
      <c r="C2536" s="41" t="s">
        <v>22</v>
      </c>
      <c r="D2536" s="86">
        <v>46225.0</v>
      </c>
      <c r="E2536" s="43" t="str">
        <f t="shared" si="82"/>
        <v>2026</v>
      </c>
      <c r="F2536" s="43" t="str">
        <f t="shared" si="83"/>
        <v>07 Jul</v>
      </c>
      <c r="G2536" s="45" t="s">
        <v>155</v>
      </c>
      <c r="H2536" s="45" t="s">
        <v>26</v>
      </c>
      <c r="I2536" s="45" t="s">
        <v>1752</v>
      </c>
      <c r="J2536" s="143" t="s">
        <v>28</v>
      </c>
      <c r="K2536" s="43" t="str">
        <f t="array" ref="K2536">IF(J2536="","", XLOOKUP(J2536,'⚙️ Pengaturan'!$E$2:$E3237,'⚙️ Pengaturan'!$G$2:$G3237))</f>
        <v>KLINIK FT TA</v>
      </c>
      <c r="L2536" s="43" t="str">
        <f t="shared" si="80"/>
        <v>BARU</v>
      </c>
      <c r="M2536" s="144" t="s">
        <v>31</v>
      </c>
      <c r="N2536" s="145">
        <v>50000.0</v>
      </c>
      <c r="O2536" s="146">
        <v>200000.0</v>
      </c>
      <c r="P2536" s="48">
        <f t="array" ref="P2536">IFNA(XLOOKUP(J2536,'⚙️ Pengaturan'!$E$2:$E3237,'⚙️ Pengaturan'!$F$2:$F3237),"")</f>
        <v>250000</v>
      </c>
      <c r="Q2536" s="147">
        <f t="shared" si="81"/>
        <v>0</v>
      </c>
      <c r="R2536" s="41" t="s">
        <v>32</v>
      </c>
      <c r="S2536" s="76" t="s">
        <v>33</v>
      </c>
      <c r="T2536" s="51" t="b">
        <v>1</v>
      </c>
      <c r="U2536" s="94"/>
    </row>
    <row r="2537" ht="30.0" customHeight="1">
      <c r="A2537" s="39"/>
      <c r="B2537" s="40">
        <v>4578.0</v>
      </c>
      <c r="C2537" s="41" t="s">
        <v>22</v>
      </c>
      <c r="D2537" s="86">
        <v>46225.0</v>
      </c>
      <c r="E2537" s="43" t="str">
        <f t="shared" si="82"/>
        <v>2026</v>
      </c>
      <c r="F2537" s="43" t="str">
        <f t="shared" si="83"/>
        <v>07 Jul</v>
      </c>
      <c r="G2537" s="45" t="s">
        <v>155</v>
      </c>
      <c r="H2537" s="45" t="s">
        <v>166</v>
      </c>
      <c r="I2537" s="45" t="s">
        <v>1536</v>
      </c>
      <c r="J2537" s="143" t="s">
        <v>28</v>
      </c>
      <c r="K2537" s="43" t="str">
        <f t="array" ref="K2537">IF(J2537="","", XLOOKUP(J2537,'⚙️ Pengaturan'!$E$2:$E3237,'⚙️ Pengaturan'!$G$2:$G3237))</f>
        <v>KLINIK FT TA</v>
      </c>
      <c r="L2537" s="43" t="str">
        <f t="shared" si="80"/>
        <v>BARU</v>
      </c>
      <c r="M2537" s="144" t="s">
        <v>31</v>
      </c>
      <c r="N2537" s="145">
        <v>250000.0</v>
      </c>
      <c r="O2537" s="146">
        <v>0.0</v>
      </c>
      <c r="P2537" s="48">
        <f t="array" ref="P2537">IFNA(XLOOKUP(J2537,'⚙️ Pengaturan'!$E$2:$E3237,'⚙️ Pengaturan'!$F$2:$F3237),"")</f>
        <v>250000</v>
      </c>
      <c r="Q2537" s="147">
        <f t="shared" si="81"/>
        <v>0</v>
      </c>
      <c r="R2537" s="41" t="s">
        <v>32</v>
      </c>
      <c r="S2537" s="76" t="s">
        <v>33</v>
      </c>
      <c r="T2537" s="51" t="b">
        <v>1</v>
      </c>
      <c r="U2537" s="94"/>
    </row>
    <row r="2538" ht="30.0" customHeight="1">
      <c r="A2538" s="39"/>
      <c r="B2538" s="164">
        <v>4579.0</v>
      </c>
      <c r="C2538" s="41" t="s">
        <v>39</v>
      </c>
      <c r="D2538" s="86">
        <v>46226.0</v>
      </c>
      <c r="E2538" s="43" t="str">
        <f t="shared" si="82"/>
        <v>2026</v>
      </c>
      <c r="F2538" s="43" t="str">
        <f t="shared" si="83"/>
        <v>07 Jul</v>
      </c>
      <c r="G2538" s="45" t="s">
        <v>206</v>
      </c>
      <c r="H2538" s="45" t="s">
        <v>150</v>
      </c>
      <c r="I2538" s="45" t="s">
        <v>1753</v>
      </c>
      <c r="J2538" s="143" t="s">
        <v>28</v>
      </c>
      <c r="K2538" s="43" t="str">
        <f t="array" ref="K2538">IF(J2538="","", XLOOKUP(J2538,'⚙️ Pengaturan'!$E$2:$E3237,'⚙️ Pengaturan'!$G$2:$G3237))</f>
        <v>KLINIK FT TA</v>
      </c>
      <c r="L2538" s="43" t="str">
        <f t="shared" si="80"/>
        <v>BARU</v>
      </c>
      <c r="M2538" s="144" t="s">
        <v>31</v>
      </c>
      <c r="N2538" s="145">
        <v>250000.0</v>
      </c>
      <c r="O2538" s="146">
        <v>0.0</v>
      </c>
      <c r="P2538" s="48">
        <f t="array" ref="P2538">IFNA(XLOOKUP(J2538,'⚙️ Pengaturan'!$E$2:$E3237,'⚙️ Pengaturan'!$F$2:$F3237),"")</f>
        <v>250000</v>
      </c>
      <c r="Q2538" s="147">
        <f t="shared" si="81"/>
        <v>0</v>
      </c>
      <c r="R2538" s="41" t="s">
        <v>118</v>
      </c>
      <c r="S2538" s="76" t="s">
        <v>1754</v>
      </c>
      <c r="T2538" s="51" t="b">
        <v>1</v>
      </c>
      <c r="U2538" s="94"/>
    </row>
    <row r="2539" ht="30.0" customHeight="1">
      <c r="A2539" s="39"/>
      <c r="B2539" s="40">
        <v>4580.0</v>
      </c>
      <c r="C2539" s="41" t="s">
        <v>39</v>
      </c>
      <c r="D2539" s="86">
        <v>46226.0</v>
      </c>
      <c r="E2539" s="43" t="str">
        <f t="shared" si="82"/>
        <v>2026</v>
      </c>
      <c r="F2539" s="43" t="str">
        <f t="shared" si="83"/>
        <v>07 Jul</v>
      </c>
      <c r="G2539" s="45" t="s">
        <v>161</v>
      </c>
      <c r="H2539" s="45" t="s">
        <v>166</v>
      </c>
      <c r="I2539" s="45" t="s">
        <v>1749</v>
      </c>
      <c r="J2539" s="143" t="s">
        <v>120</v>
      </c>
      <c r="K2539" s="43" t="str">
        <f t="array" ref="K2539">IF(J2539="","", XLOOKUP(J2539,'⚙️ Pengaturan'!$E$2:$E3237,'⚙️ Pengaturan'!$G$2:$G3237))</f>
        <v>KLINIK FT SESI</v>
      </c>
      <c r="L2539" s="43" t="str">
        <f t="shared" si="80"/>
        <v>BARU</v>
      </c>
      <c r="M2539" s="144" t="s">
        <v>31</v>
      </c>
      <c r="N2539" s="145">
        <v>180000.0</v>
      </c>
      <c r="O2539" s="146">
        <v>0.0</v>
      </c>
      <c r="P2539" s="48">
        <f t="array" ref="P2539">IFNA(XLOOKUP(J2539,'⚙️ Pengaturan'!$E$2:$E3237,'⚙️ Pengaturan'!$F$2:$F3237),"")</f>
        <v>180000</v>
      </c>
      <c r="Q2539" s="147">
        <f t="shared" si="81"/>
        <v>0</v>
      </c>
      <c r="R2539" s="41" t="s">
        <v>32</v>
      </c>
      <c r="S2539" s="76" t="s">
        <v>33</v>
      </c>
      <c r="T2539" s="51" t="b">
        <v>1</v>
      </c>
      <c r="U2539" s="94"/>
    </row>
    <row r="2540" ht="30.0" customHeight="1">
      <c r="A2540" s="39"/>
      <c r="B2540" s="164">
        <v>4581.0</v>
      </c>
      <c r="C2540" s="41" t="s">
        <v>39</v>
      </c>
      <c r="D2540" s="86">
        <v>46226.0</v>
      </c>
      <c r="E2540" s="43" t="str">
        <f t="shared" si="82"/>
        <v>2026</v>
      </c>
      <c r="F2540" s="43" t="str">
        <f t="shared" si="83"/>
        <v>07 Jul</v>
      </c>
      <c r="G2540" s="45" t="s">
        <v>35</v>
      </c>
      <c r="H2540" s="45" t="s">
        <v>26</v>
      </c>
      <c r="I2540" s="45" t="s">
        <v>1755</v>
      </c>
      <c r="J2540" s="143" t="s">
        <v>28</v>
      </c>
      <c r="K2540" s="43" t="str">
        <f t="array" ref="K2540">IF(J2540="","", XLOOKUP(J2540,'⚙️ Pengaturan'!$E$2:$E3237,'⚙️ Pengaturan'!$G$2:$G3237))</f>
        <v>KLINIK FT TA</v>
      </c>
      <c r="L2540" s="43" t="str">
        <f t="shared" si="80"/>
        <v>BARU</v>
      </c>
      <c r="M2540" s="144" t="s">
        <v>31</v>
      </c>
      <c r="N2540" s="145">
        <v>250000.0</v>
      </c>
      <c r="O2540" s="146">
        <v>0.0</v>
      </c>
      <c r="P2540" s="48">
        <f t="array" ref="P2540">IFNA(XLOOKUP(J2540,'⚙️ Pengaturan'!$E$2:$E3237,'⚙️ Pengaturan'!$F$2:$F3237),"")</f>
        <v>250000</v>
      </c>
      <c r="Q2540" s="147">
        <f t="shared" si="81"/>
        <v>0</v>
      </c>
      <c r="R2540" s="41" t="s">
        <v>32</v>
      </c>
      <c r="S2540" s="76" t="s">
        <v>33</v>
      </c>
      <c r="T2540" s="51" t="b">
        <v>1</v>
      </c>
      <c r="U2540" s="94"/>
    </row>
    <row r="2541" ht="30.0" customHeight="1">
      <c r="A2541" s="39"/>
      <c r="B2541" s="40">
        <v>4582.0</v>
      </c>
      <c r="C2541" s="41" t="s">
        <v>39</v>
      </c>
      <c r="D2541" s="86">
        <v>46226.0</v>
      </c>
      <c r="E2541" s="43" t="str">
        <f t="shared" si="82"/>
        <v>2026</v>
      </c>
      <c r="F2541" s="43" t="str">
        <f t="shared" si="83"/>
        <v>07 Jul</v>
      </c>
      <c r="G2541" s="45" t="s">
        <v>35</v>
      </c>
      <c r="H2541" s="45" t="s">
        <v>150</v>
      </c>
      <c r="I2541" s="45" t="s">
        <v>1756</v>
      </c>
      <c r="J2541" s="143" t="s">
        <v>28</v>
      </c>
      <c r="K2541" s="43" t="str">
        <f t="array" ref="K2541">IF(J2541="","", XLOOKUP(J2541,'⚙️ Pengaturan'!$E$2:$E3237,'⚙️ Pengaturan'!$G$2:$G3237))</f>
        <v>KLINIK FT TA</v>
      </c>
      <c r="L2541" s="43" t="str">
        <f t="shared" si="80"/>
        <v>BARU</v>
      </c>
      <c r="M2541" s="144" t="s">
        <v>31</v>
      </c>
      <c r="N2541" s="145">
        <v>250000.0</v>
      </c>
      <c r="O2541" s="146">
        <v>0.0</v>
      </c>
      <c r="P2541" s="48">
        <f t="array" ref="P2541">IFNA(XLOOKUP(J2541,'⚙️ Pengaturan'!$E$2:$E3237,'⚙️ Pengaturan'!$F$2:$F3237),"")</f>
        <v>250000</v>
      </c>
      <c r="Q2541" s="147">
        <f t="shared" si="81"/>
        <v>0</v>
      </c>
      <c r="R2541" s="41" t="s">
        <v>37</v>
      </c>
      <c r="S2541" s="69" t="s">
        <v>1756</v>
      </c>
      <c r="T2541" s="51" t="b">
        <v>1</v>
      </c>
      <c r="U2541" s="94"/>
    </row>
    <row r="2542" ht="30.0" customHeight="1">
      <c r="A2542" s="39"/>
      <c r="B2542" s="164">
        <v>4583.0</v>
      </c>
      <c r="C2542" s="41" t="s">
        <v>22</v>
      </c>
      <c r="D2542" s="86">
        <v>46226.0</v>
      </c>
      <c r="E2542" s="43" t="str">
        <f t="shared" si="82"/>
        <v>2026</v>
      </c>
      <c r="F2542" s="43" t="str">
        <f t="shared" si="83"/>
        <v>07 Jul</v>
      </c>
      <c r="G2542" s="45" t="s">
        <v>40</v>
      </c>
      <c r="H2542" s="45" t="s">
        <v>162</v>
      </c>
      <c r="I2542" s="45" t="s">
        <v>1133</v>
      </c>
      <c r="J2542" s="143" t="s">
        <v>120</v>
      </c>
      <c r="K2542" s="43" t="str">
        <f t="array" ref="K2542">IF(J2542="","", XLOOKUP(J2542,'⚙️ Pengaturan'!$E$2:$E3237,'⚙️ Pengaturan'!$G$2:$G3237))</f>
        <v>KLINIK FT SESI</v>
      </c>
      <c r="L2542" s="43" t="str">
        <f t="shared" si="80"/>
        <v>LANJUTAN</v>
      </c>
      <c r="M2542" s="144" t="s">
        <v>31</v>
      </c>
      <c r="N2542" s="145">
        <v>180000.0</v>
      </c>
      <c r="O2542" s="146">
        <v>0.0</v>
      </c>
      <c r="P2542" s="48">
        <f t="array" ref="P2542">IFNA(XLOOKUP(J2542,'⚙️ Pengaturan'!$E$2:$E3237,'⚙️ Pengaturan'!$F$2:$F3237),"")</f>
        <v>180000</v>
      </c>
      <c r="Q2542" s="147">
        <f t="shared" si="81"/>
        <v>0</v>
      </c>
      <c r="R2542" s="41" t="s">
        <v>37</v>
      </c>
      <c r="S2542" s="69" t="s">
        <v>1133</v>
      </c>
      <c r="T2542" s="51" t="b">
        <v>1</v>
      </c>
      <c r="U2542" s="94"/>
    </row>
    <row r="2543" ht="30.0" customHeight="1">
      <c r="A2543" s="39"/>
      <c r="B2543" s="40">
        <v>4584.0</v>
      </c>
      <c r="C2543" s="41" t="s">
        <v>22</v>
      </c>
      <c r="D2543" s="86">
        <v>46226.0</v>
      </c>
      <c r="E2543" s="43" t="str">
        <f t="shared" si="82"/>
        <v>2026</v>
      </c>
      <c r="F2543" s="43" t="str">
        <f t="shared" si="83"/>
        <v>07 Jul</v>
      </c>
      <c r="G2543" s="45" t="s">
        <v>40</v>
      </c>
      <c r="H2543" s="45" t="s">
        <v>359</v>
      </c>
      <c r="I2543" s="45" t="s">
        <v>1133</v>
      </c>
      <c r="J2543" s="143" t="s">
        <v>1545</v>
      </c>
      <c r="K2543" s="43" t="str">
        <f t="array" ref="K2543">IF(J2543="","", XLOOKUP(J2543,'⚙️ Pengaturan'!$E$2:$E3237,'⚙️ Pengaturan'!$G$2:$G3237))</f>
        <v>KLINIK SM SESI</v>
      </c>
      <c r="L2543" s="43" t="str">
        <f t="shared" si="80"/>
        <v>LANJUTAN</v>
      </c>
      <c r="M2543" s="144" t="s">
        <v>31</v>
      </c>
      <c r="N2543" s="145">
        <v>125000.0</v>
      </c>
      <c r="O2543" s="146">
        <v>0.0</v>
      </c>
      <c r="P2543" s="48">
        <f t="array" ref="P2543">IFNA(XLOOKUP(J2543,'⚙️ Pengaturan'!$E$2:$E3237,'⚙️ Pengaturan'!$F$2:$F3237),"")</f>
        <v>125000</v>
      </c>
      <c r="Q2543" s="147">
        <f t="shared" si="81"/>
        <v>0</v>
      </c>
      <c r="R2543" s="41" t="s">
        <v>37</v>
      </c>
      <c r="S2543" s="69" t="s">
        <v>1133</v>
      </c>
      <c r="T2543" s="51" t="b">
        <v>1</v>
      </c>
      <c r="U2543" s="94"/>
    </row>
    <row r="2544" ht="30.0" customHeight="1">
      <c r="A2544" s="39"/>
      <c r="B2544" s="164">
        <v>4585.0</v>
      </c>
      <c r="C2544" s="41" t="s">
        <v>39</v>
      </c>
      <c r="D2544" s="86">
        <v>46226.0</v>
      </c>
      <c r="E2544" s="43" t="str">
        <f t="shared" si="82"/>
        <v>2026</v>
      </c>
      <c r="F2544" s="43" t="str">
        <f t="shared" si="83"/>
        <v>07 Jul</v>
      </c>
      <c r="G2544" s="45" t="s">
        <v>69</v>
      </c>
      <c r="H2544" s="45" t="s">
        <v>96</v>
      </c>
      <c r="I2544" s="45" t="s">
        <v>1757</v>
      </c>
      <c r="J2544" s="143" t="s">
        <v>138</v>
      </c>
      <c r="K2544" s="43" t="str">
        <f t="array" ref="K2544">IF(J2544="","", XLOOKUP(J2544,'⚙️ Pengaturan'!$E$2:$E3237,'⚙️ Pengaturan'!$G$2:$G3237))</f>
        <v>VISIT FT PAKET</v>
      </c>
      <c r="L2544" s="43" t="str">
        <f t="shared" si="80"/>
        <v>BARU</v>
      </c>
      <c r="M2544" s="144" t="s">
        <v>164</v>
      </c>
      <c r="N2544" s="145">
        <v>800000.0</v>
      </c>
      <c r="O2544" s="146">
        <v>0.0</v>
      </c>
      <c r="P2544" s="48">
        <f t="array" ref="P2544">IFNA(XLOOKUP(J2544,'⚙️ Pengaturan'!$E$2:$E3237,'⚙️ Pengaturan'!$F$2:$F3237),"")</f>
        <v>1800000</v>
      </c>
      <c r="Q2544" s="147">
        <f t="shared" si="81"/>
        <v>-1000000</v>
      </c>
      <c r="R2544" s="41" t="s">
        <v>32</v>
      </c>
      <c r="S2544" s="76" t="s">
        <v>33</v>
      </c>
      <c r="T2544" s="51" t="b">
        <v>1</v>
      </c>
      <c r="U2544" s="94"/>
    </row>
    <row r="2545" ht="30.0" customHeight="1">
      <c r="A2545" s="39"/>
      <c r="B2545" s="40">
        <v>4586.0</v>
      </c>
      <c r="C2545" s="41" t="s">
        <v>22</v>
      </c>
      <c r="D2545" s="86">
        <v>46226.0</v>
      </c>
      <c r="E2545" s="43" t="str">
        <f t="shared" si="82"/>
        <v>2026</v>
      </c>
      <c r="F2545" s="43" t="str">
        <f t="shared" si="83"/>
        <v>07 Jul</v>
      </c>
      <c r="G2545" s="45" t="s">
        <v>43</v>
      </c>
      <c r="H2545" s="45" t="s">
        <v>96</v>
      </c>
      <c r="I2545" s="45" t="s">
        <v>1727</v>
      </c>
      <c r="J2545" s="143" t="s">
        <v>119</v>
      </c>
      <c r="K2545" s="43" t="str">
        <f t="array" ref="K2545">IF(J2545="","", XLOOKUP(J2545,'⚙️ Pengaturan'!$E$2:$E3237,'⚙️ Pengaturan'!$G$2:$G3237))</f>
        <v>KLINIK FT PAKET</v>
      </c>
      <c r="L2545" s="43" t="str">
        <f t="shared" si="80"/>
        <v>BARU</v>
      </c>
      <c r="M2545" s="144" t="s">
        <v>60</v>
      </c>
      <c r="N2545" s="145">
        <v>300000.0</v>
      </c>
      <c r="O2545" s="146">
        <v>0.0</v>
      </c>
      <c r="P2545" s="48">
        <f t="array" ref="P2545">IFNA(XLOOKUP(J2545,'⚙️ Pengaturan'!$E$2:$E3237,'⚙️ Pengaturan'!$F$2:$F3237),"")</f>
        <v>750000</v>
      </c>
      <c r="Q2545" s="147">
        <f t="shared" si="81"/>
        <v>-450000</v>
      </c>
      <c r="R2545" s="41" t="s">
        <v>37</v>
      </c>
      <c r="S2545" s="69" t="s">
        <v>1727</v>
      </c>
      <c r="T2545" s="51" t="b">
        <v>1</v>
      </c>
      <c r="U2545" s="94"/>
    </row>
    <row r="2546" ht="30.0" customHeight="1">
      <c r="A2546" s="39"/>
      <c r="B2546" s="164">
        <v>4587.0</v>
      </c>
      <c r="C2546" s="41" t="s">
        <v>22</v>
      </c>
      <c r="D2546" s="86">
        <v>46226.0</v>
      </c>
      <c r="E2546" s="43" t="str">
        <f t="shared" si="82"/>
        <v>2026</v>
      </c>
      <c r="F2546" s="43" t="str">
        <f t="shared" si="83"/>
        <v>07 Jul</v>
      </c>
      <c r="G2546" s="45" t="s">
        <v>173</v>
      </c>
      <c r="H2546" s="45" t="s">
        <v>47</v>
      </c>
      <c r="I2546" s="45" t="s">
        <v>1758</v>
      </c>
      <c r="J2546" s="143" t="s">
        <v>28</v>
      </c>
      <c r="K2546" s="43" t="str">
        <f t="array" ref="K2546">IF(J2546="","", XLOOKUP(J2546,'⚙️ Pengaturan'!$E$2:$E3237,'⚙️ Pengaturan'!$G$2:$G3237))</f>
        <v>KLINIK FT TA</v>
      </c>
      <c r="L2546" s="43" t="str">
        <f t="shared" si="80"/>
        <v>BARU</v>
      </c>
      <c r="M2546" s="144" t="s">
        <v>31</v>
      </c>
      <c r="N2546" s="145">
        <v>250000.0</v>
      </c>
      <c r="O2546" s="146">
        <v>0.0</v>
      </c>
      <c r="P2546" s="48">
        <f t="array" ref="P2546">IFNA(XLOOKUP(J2546,'⚙️ Pengaturan'!$E$2:$E3237,'⚙️ Pengaturan'!$F$2:$F3237),"")</f>
        <v>250000</v>
      </c>
      <c r="Q2546" s="147">
        <f t="shared" si="81"/>
        <v>0</v>
      </c>
      <c r="R2546" s="41" t="s">
        <v>37</v>
      </c>
      <c r="S2546" s="76" t="s">
        <v>1759</v>
      </c>
      <c r="T2546" s="51" t="b">
        <v>1</v>
      </c>
      <c r="U2546" s="94"/>
    </row>
    <row r="2547" ht="30.0" customHeight="1">
      <c r="A2547" s="39"/>
      <c r="B2547" s="40">
        <v>4588.0</v>
      </c>
      <c r="C2547" s="41" t="s">
        <v>22</v>
      </c>
      <c r="D2547" s="86">
        <v>46226.0</v>
      </c>
      <c r="E2547" s="43" t="str">
        <f t="shared" si="82"/>
        <v>2026</v>
      </c>
      <c r="F2547" s="43" t="str">
        <f t="shared" si="83"/>
        <v>07 Jul</v>
      </c>
      <c r="G2547" s="45" t="s">
        <v>190</v>
      </c>
      <c r="H2547" s="45" t="s">
        <v>149</v>
      </c>
      <c r="I2547" s="45" t="s">
        <v>1729</v>
      </c>
      <c r="J2547" s="143" t="s">
        <v>120</v>
      </c>
      <c r="K2547" s="43" t="str">
        <f t="array" ref="K2547">IF(J2547="","", XLOOKUP(J2547,'⚙️ Pengaturan'!$E$2:$E3237,'⚙️ Pengaturan'!$G$2:$G3237))</f>
        <v>KLINIK FT SESI</v>
      </c>
      <c r="L2547" s="43" t="str">
        <f t="shared" si="80"/>
        <v>LANJUTAN</v>
      </c>
      <c r="M2547" s="144" t="s">
        <v>31</v>
      </c>
      <c r="N2547" s="145">
        <v>180000.0</v>
      </c>
      <c r="O2547" s="146">
        <v>0.0</v>
      </c>
      <c r="P2547" s="48">
        <f t="array" ref="P2547">IFNA(XLOOKUP(J2547,'⚙️ Pengaturan'!$E$2:$E3237,'⚙️ Pengaturan'!$F$2:$F3237),"")</f>
        <v>180000</v>
      </c>
      <c r="Q2547" s="147">
        <f t="shared" si="81"/>
        <v>0</v>
      </c>
      <c r="R2547" s="41" t="s">
        <v>37</v>
      </c>
      <c r="S2547" s="69" t="s">
        <v>1729</v>
      </c>
      <c r="T2547" s="51" t="b">
        <v>1</v>
      </c>
      <c r="U2547" s="94"/>
    </row>
    <row r="2548" ht="30.0" customHeight="1">
      <c r="A2548" s="39"/>
      <c r="B2548" s="164">
        <v>4589.0</v>
      </c>
      <c r="C2548" s="41" t="s">
        <v>22</v>
      </c>
      <c r="D2548" s="86">
        <v>46226.0</v>
      </c>
      <c r="E2548" s="43" t="str">
        <f t="shared" si="82"/>
        <v>2026</v>
      </c>
      <c r="F2548" s="43" t="str">
        <f t="shared" si="83"/>
        <v>07 Jul</v>
      </c>
      <c r="G2548" s="45" t="s">
        <v>190</v>
      </c>
      <c r="H2548" s="45" t="s">
        <v>359</v>
      </c>
      <c r="I2548" s="45" t="s">
        <v>1729</v>
      </c>
      <c r="J2548" s="143" t="s">
        <v>1545</v>
      </c>
      <c r="K2548" s="43" t="str">
        <f t="array" ref="K2548">IF(J2548="","", XLOOKUP(J2548,'⚙️ Pengaturan'!$E$2:$E3237,'⚙️ Pengaturan'!$G$2:$G3237))</f>
        <v>KLINIK SM SESI</v>
      </c>
      <c r="L2548" s="43" t="str">
        <f t="shared" si="80"/>
        <v>BARU</v>
      </c>
      <c r="M2548" s="144" t="s">
        <v>31</v>
      </c>
      <c r="N2548" s="145">
        <v>125000.0</v>
      </c>
      <c r="O2548" s="146">
        <v>0.0</v>
      </c>
      <c r="P2548" s="48">
        <f t="array" ref="P2548">IFNA(XLOOKUP(J2548,'⚙️ Pengaturan'!$E$2:$E3237,'⚙️ Pengaturan'!$F$2:$F3237),"")</f>
        <v>125000</v>
      </c>
      <c r="Q2548" s="147">
        <f t="shared" si="81"/>
        <v>0</v>
      </c>
      <c r="R2548" s="41" t="s">
        <v>37</v>
      </c>
      <c r="S2548" s="69" t="s">
        <v>1729</v>
      </c>
      <c r="T2548" s="51" t="b">
        <v>1</v>
      </c>
      <c r="U2548" s="94"/>
    </row>
    <row r="2549" ht="30.0" customHeight="1">
      <c r="A2549" s="39"/>
      <c r="B2549" s="40">
        <v>4590.0</v>
      </c>
      <c r="C2549" s="41" t="s">
        <v>22</v>
      </c>
      <c r="D2549" s="86">
        <v>46227.0</v>
      </c>
      <c r="E2549" s="43" t="str">
        <f t="shared" si="82"/>
        <v>2026</v>
      </c>
      <c r="F2549" s="43" t="str">
        <f t="shared" si="83"/>
        <v>07 Jul</v>
      </c>
      <c r="G2549" s="45" t="s">
        <v>161</v>
      </c>
      <c r="H2549" s="45" t="s">
        <v>166</v>
      </c>
      <c r="I2549" s="45" t="s">
        <v>1760</v>
      </c>
      <c r="J2549" s="143" t="s">
        <v>28</v>
      </c>
      <c r="K2549" s="43" t="str">
        <f t="array" ref="K2549">IF(J2549="","", XLOOKUP(J2549,'⚙️ Pengaturan'!$E$2:$E3237,'⚙️ Pengaturan'!$G$2:$G3237))</f>
        <v>KLINIK FT TA</v>
      </c>
      <c r="L2549" s="43" t="str">
        <f t="shared" si="80"/>
        <v>BARU</v>
      </c>
      <c r="M2549" s="144" t="s">
        <v>31</v>
      </c>
      <c r="N2549" s="145">
        <v>250000.0</v>
      </c>
      <c r="O2549" s="146">
        <v>0.0</v>
      </c>
      <c r="P2549" s="48">
        <f t="array" ref="P2549">IFNA(XLOOKUP(J2549,'⚙️ Pengaturan'!$E$2:$E3237,'⚙️ Pengaturan'!$F$2:$F3237),"")</f>
        <v>250000</v>
      </c>
      <c r="Q2549" s="147">
        <f t="shared" si="81"/>
        <v>0</v>
      </c>
      <c r="R2549" s="41" t="s">
        <v>32</v>
      </c>
      <c r="S2549" s="76" t="s">
        <v>33</v>
      </c>
      <c r="T2549" s="51" t="b">
        <v>1</v>
      </c>
      <c r="U2549" s="94"/>
    </row>
    <row r="2550" ht="30.0" customHeight="1">
      <c r="A2550" s="39"/>
      <c r="B2550" s="164">
        <v>4591.0</v>
      </c>
      <c r="C2550" s="41" t="s">
        <v>39</v>
      </c>
      <c r="D2550" s="86">
        <v>46227.0</v>
      </c>
      <c r="E2550" s="43" t="str">
        <f t="shared" si="82"/>
        <v>2026</v>
      </c>
      <c r="F2550" s="43" t="str">
        <f t="shared" si="83"/>
        <v>07 Jul</v>
      </c>
      <c r="G2550" s="45" t="s">
        <v>40</v>
      </c>
      <c r="H2550" s="45" t="s">
        <v>149</v>
      </c>
      <c r="I2550" s="45" t="s">
        <v>1729</v>
      </c>
      <c r="J2550" s="143" t="s">
        <v>120</v>
      </c>
      <c r="K2550" s="43" t="str">
        <f t="array" ref="K2550">IF(J2550="","", XLOOKUP(J2550,'⚙️ Pengaturan'!$E$2:$E3237,'⚙️ Pengaturan'!$G$2:$G3237))</f>
        <v>KLINIK FT SESI</v>
      </c>
      <c r="L2550" s="43" t="str">
        <f t="shared" si="80"/>
        <v>LANJUTAN</v>
      </c>
      <c r="M2550" s="144" t="s">
        <v>31</v>
      </c>
      <c r="N2550" s="145">
        <v>180000.0</v>
      </c>
      <c r="O2550" s="146">
        <v>0.0</v>
      </c>
      <c r="P2550" s="48">
        <f t="array" ref="P2550">IFNA(XLOOKUP(J2550,'⚙️ Pengaturan'!$E$2:$E3237,'⚙️ Pengaturan'!$F$2:$F3237),"")</f>
        <v>180000</v>
      </c>
      <c r="Q2550" s="147">
        <f t="shared" si="81"/>
        <v>0</v>
      </c>
      <c r="R2550" s="41" t="s">
        <v>37</v>
      </c>
      <c r="S2550" s="69" t="s">
        <v>1729</v>
      </c>
      <c r="T2550" s="51" t="b">
        <v>1</v>
      </c>
      <c r="U2550" s="94"/>
    </row>
    <row r="2551" ht="30.0" customHeight="1">
      <c r="A2551" s="39"/>
      <c r="B2551" s="40">
        <v>4592.0</v>
      </c>
      <c r="C2551" s="41" t="s">
        <v>39</v>
      </c>
      <c r="D2551" s="86">
        <v>46227.0</v>
      </c>
      <c r="E2551" s="43" t="str">
        <f t="shared" si="82"/>
        <v>2026</v>
      </c>
      <c r="F2551" s="43" t="str">
        <f t="shared" si="83"/>
        <v>07 Jul</v>
      </c>
      <c r="G2551" s="45" t="s">
        <v>40</v>
      </c>
      <c r="H2551" s="45" t="s">
        <v>162</v>
      </c>
      <c r="I2551" s="45" t="s">
        <v>1747</v>
      </c>
      <c r="J2551" s="143" t="s">
        <v>120</v>
      </c>
      <c r="K2551" s="43" t="str">
        <f t="array" ref="K2551">IF(J2551="","", XLOOKUP(J2551,'⚙️ Pengaturan'!$E$2:$E3237,'⚙️ Pengaturan'!$G$2:$G3237))</f>
        <v>KLINIK FT SESI</v>
      </c>
      <c r="L2551" s="43" t="str">
        <f t="shared" si="80"/>
        <v>BARU</v>
      </c>
      <c r="M2551" s="144" t="s">
        <v>31</v>
      </c>
      <c r="N2551" s="145">
        <v>180000.0</v>
      </c>
      <c r="O2551" s="146">
        <v>0.0</v>
      </c>
      <c r="P2551" s="48">
        <f t="array" ref="P2551">IFNA(XLOOKUP(J2551,'⚙️ Pengaturan'!$E$2:$E3237,'⚙️ Pengaturan'!$F$2:$F3237),"")</f>
        <v>180000</v>
      </c>
      <c r="Q2551" s="147">
        <f t="shared" si="81"/>
        <v>0</v>
      </c>
      <c r="R2551" s="41" t="s">
        <v>37</v>
      </c>
      <c r="S2551" s="69" t="s">
        <v>1737</v>
      </c>
      <c r="T2551" s="51" t="b">
        <v>1</v>
      </c>
      <c r="U2551" s="94"/>
    </row>
    <row r="2552" ht="30.0" customHeight="1">
      <c r="A2552" s="39"/>
      <c r="B2552" s="164">
        <v>4593.0</v>
      </c>
      <c r="C2552" s="41" t="s">
        <v>39</v>
      </c>
      <c r="D2552" s="86">
        <v>46227.0</v>
      </c>
      <c r="E2552" s="43" t="str">
        <f t="shared" si="82"/>
        <v>2026</v>
      </c>
      <c r="F2552" s="43" t="str">
        <f t="shared" si="83"/>
        <v>07 Jul</v>
      </c>
      <c r="G2552" s="45" t="s">
        <v>40</v>
      </c>
      <c r="H2552" s="45" t="s">
        <v>149</v>
      </c>
      <c r="I2552" s="45" t="s">
        <v>1737</v>
      </c>
      <c r="J2552" s="143" t="s">
        <v>120</v>
      </c>
      <c r="K2552" s="43" t="str">
        <f t="array" ref="K2552">IF(J2552="","", XLOOKUP(J2552,'⚙️ Pengaturan'!$E$2:$E3237,'⚙️ Pengaturan'!$G$2:$G3237))</f>
        <v>KLINIK FT SESI</v>
      </c>
      <c r="L2552" s="43" t="str">
        <f t="shared" si="80"/>
        <v>LANJUTAN</v>
      </c>
      <c r="M2552" s="144" t="s">
        <v>31</v>
      </c>
      <c r="N2552" s="145">
        <v>180000.0</v>
      </c>
      <c r="O2552" s="146">
        <v>0.0</v>
      </c>
      <c r="P2552" s="48">
        <f t="array" ref="P2552">IFNA(XLOOKUP(J2552,'⚙️ Pengaturan'!$E$2:$E3237,'⚙️ Pengaturan'!$F$2:$F3237),"")</f>
        <v>180000</v>
      </c>
      <c r="Q2552" s="147">
        <f t="shared" si="81"/>
        <v>0</v>
      </c>
      <c r="R2552" s="41" t="s">
        <v>37</v>
      </c>
      <c r="S2552" s="69" t="s">
        <v>1737</v>
      </c>
      <c r="T2552" s="51" t="b">
        <v>1</v>
      </c>
      <c r="U2552" s="94"/>
    </row>
    <row r="2553" ht="30.0" customHeight="1">
      <c r="A2553" s="39"/>
      <c r="B2553" s="40">
        <v>4594.0</v>
      </c>
      <c r="C2553" s="41" t="s">
        <v>39</v>
      </c>
      <c r="D2553" s="86">
        <v>46227.0</v>
      </c>
      <c r="E2553" s="43" t="str">
        <f t="shared" si="82"/>
        <v>2026</v>
      </c>
      <c r="F2553" s="43" t="str">
        <f t="shared" si="83"/>
        <v>07 Jul</v>
      </c>
      <c r="G2553" s="45" t="s">
        <v>43</v>
      </c>
      <c r="H2553" s="45" t="s">
        <v>162</v>
      </c>
      <c r="I2553" s="45" t="s">
        <v>1761</v>
      </c>
      <c r="J2553" s="143" t="s">
        <v>28</v>
      </c>
      <c r="K2553" s="43" t="str">
        <f t="array" ref="K2553">IF(J2553="","", XLOOKUP(J2553,'⚙️ Pengaturan'!$E$2:$E3237,'⚙️ Pengaturan'!$G$2:$G3237))</f>
        <v>KLINIK FT TA</v>
      </c>
      <c r="L2553" s="43" t="str">
        <f t="shared" si="80"/>
        <v>BARU</v>
      </c>
      <c r="M2553" s="144" t="s">
        <v>31</v>
      </c>
      <c r="N2553" s="145">
        <v>250000.0</v>
      </c>
      <c r="O2553" s="146">
        <v>0.0</v>
      </c>
      <c r="P2553" s="48">
        <f t="array" ref="P2553">IFNA(XLOOKUP(J2553,'⚙️ Pengaturan'!$E$2:$E3237,'⚙️ Pengaturan'!$F$2:$F3237),"")</f>
        <v>250000</v>
      </c>
      <c r="Q2553" s="147">
        <f t="shared" si="81"/>
        <v>0</v>
      </c>
      <c r="R2553" s="41" t="s">
        <v>32</v>
      </c>
      <c r="S2553" s="76" t="s">
        <v>33</v>
      </c>
      <c r="T2553" s="51" t="b">
        <v>1</v>
      </c>
      <c r="U2553" s="94"/>
    </row>
    <row r="2554" ht="30.0" customHeight="1">
      <c r="A2554" s="39"/>
      <c r="B2554" s="164">
        <v>4595.0</v>
      </c>
      <c r="C2554" s="41" t="s">
        <v>39</v>
      </c>
      <c r="D2554" s="86">
        <v>46227.0</v>
      </c>
      <c r="E2554" s="43" t="str">
        <f t="shared" si="82"/>
        <v>2026</v>
      </c>
      <c r="F2554" s="43" t="str">
        <f t="shared" si="83"/>
        <v>07 Jul</v>
      </c>
      <c r="G2554" s="45" t="s">
        <v>173</v>
      </c>
      <c r="H2554" s="45" t="s">
        <v>162</v>
      </c>
      <c r="I2554" s="45" t="s">
        <v>1762</v>
      </c>
      <c r="J2554" s="143" t="s">
        <v>28</v>
      </c>
      <c r="K2554" s="43" t="str">
        <f t="array" ref="K2554">IF(J2554="","", XLOOKUP(J2554,'⚙️ Pengaturan'!$E$2:$E3237,'⚙️ Pengaturan'!$G$2:$G3237))</f>
        <v>KLINIK FT TA</v>
      </c>
      <c r="L2554" s="43" t="str">
        <f t="shared" si="80"/>
        <v>BARU</v>
      </c>
      <c r="M2554" s="144" t="s">
        <v>31</v>
      </c>
      <c r="N2554" s="145">
        <v>250000.0</v>
      </c>
      <c r="O2554" s="146">
        <v>0.0</v>
      </c>
      <c r="P2554" s="48">
        <f t="array" ref="P2554">IFNA(XLOOKUP(J2554,'⚙️ Pengaturan'!$E$2:$E3237,'⚙️ Pengaturan'!$F$2:$F3237),"")</f>
        <v>250000</v>
      </c>
      <c r="Q2554" s="147">
        <f t="shared" si="81"/>
        <v>0</v>
      </c>
      <c r="R2554" s="41" t="s">
        <v>118</v>
      </c>
      <c r="S2554" s="76" t="s">
        <v>1763</v>
      </c>
      <c r="T2554" s="51" t="b">
        <v>1</v>
      </c>
      <c r="U2554" s="94"/>
    </row>
    <row r="2555" ht="30.0" customHeight="1">
      <c r="A2555" s="39"/>
      <c r="B2555" s="40">
        <v>4596.0</v>
      </c>
      <c r="C2555" s="41" t="s">
        <v>39</v>
      </c>
      <c r="D2555" s="86">
        <v>46227.0</v>
      </c>
      <c r="E2555" s="43" t="str">
        <f t="shared" si="82"/>
        <v>2026</v>
      </c>
      <c r="F2555" s="43" t="str">
        <f t="shared" si="83"/>
        <v>07 Jul</v>
      </c>
      <c r="G2555" s="45" t="s">
        <v>155</v>
      </c>
      <c r="H2555" s="45" t="s">
        <v>162</v>
      </c>
      <c r="I2555" s="45" t="s">
        <v>1738</v>
      </c>
      <c r="J2555" s="143" t="s">
        <v>120</v>
      </c>
      <c r="K2555" s="43" t="str">
        <f t="array" ref="K2555">IF(J2555="","", XLOOKUP(J2555,'⚙️ Pengaturan'!$E$2:$E3237,'⚙️ Pengaturan'!$G$2:$G3237))</f>
        <v>KLINIK FT SESI</v>
      </c>
      <c r="L2555" s="43" t="str">
        <f t="shared" si="80"/>
        <v>BARU</v>
      </c>
      <c r="M2555" s="144" t="s">
        <v>31</v>
      </c>
      <c r="N2555" s="145">
        <v>180000.0</v>
      </c>
      <c r="O2555" s="146">
        <v>0.0</v>
      </c>
      <c r="P2555" s="48">
        <f t="array" ref="P2555">IFNA(XLOOKUP(J2555,'⚙️ Pengaturan'!$E$2:$E3237,'⚙️ Pengaturan'!$F$2:$F3237),"")</f>
        <v>180000</v>
      </c>
      <c r="Q2555" s="147">
        <f t="shared" si="81"/>
        <v>0</v>
      </c>
      <c r="R2555" s="41" t="s">
        <v>37</v>
      </c>
      <c r="S2555" s="69" t="s">
        <v>1738</v>
      </c>
      <c r="T2555" s="51" t="b">
        <v>1</v>
      </c>
      <c r="U2555" s="94"/>
    </row>
    <row r="2556" ht="30.0" customHeight="1">
      <c r="A2556" s="39"/>
      <c r="B2556" s="164">
        <v>4597.0</v>
      </c>
      <c r="C2556" s="41" t="s">
        <v>79</v>
      </c>
      <c r="D2556" s="86">
        <v>46228.0</v>
      </c>
      <c r="E2556" s="43" t="str">
        <f t="shared" si="82"/>
        <v>2026</v>
      </c>
      <c r="F2556" s="43" t="str">
        <f t="shared" si="83"/>
        <v>07 Jul</v>
      </c>
      <c r="G2556" s="45" t="s">
        <v>69</v>
      </c>
      <c r="H2556" s="45" t="s">
        <v>166</v>
      </c>
      <c r="I2556" s="45" t="s">
        <v>1764</v>
      </c>
      <c r="J2556" s="143" t="s">
        <v>121</v>
      </c>
      <c r="K2556" s="43" t="str">
        <f t="array" ref="K2556">IF(J2556="","", XLOOKUP(J2556,'⚙️ Pengaturan'!$E$2:$E3237,'⚙️ Pengaturan'!$G$2:$G3237))</f>
        <v>VISIT FT TA</v>
      </c>
      <c r="L2556" s="43" t="str">
        <f t="shared" si="80"/>
        <v>BARU</v>
      </c>
      <c r="M2556" s="144" t="s">
        <v>31</v>
      </c>
      <c r="N2556" s="145">
        <v>300000.0</v>
      </c>
      <c r="O2556" s="146">
        <v>0.0</v>
      </c>
      <c r="P2556" s="48">
        <f t="array" ref="P2556">IFNA(XLOOKUP(J2556,'⚙️ Pengaturan'!$E$2:$E3237,'⚙️ Pengaturan'!$F$2:$F3237),"")</f>
        <v>300000</v>
      </c>
      <c r="Q2556" s="147">
        <f t="shared" si="81"/>
        <v>0</v>
      </c>
      <c r="R2556" s="41" t="s">
        <v>32</v>
      </c>
      <c r="S2556" s="76"/>
      <c r="T2556" s="51" t="b">
        <v>0</v>
      </c>
      <c r="U2556" s="94"/>
    </row>
    <row r="2557" ht="30.0" customHeight="1">
      <c r="A2557" s="39"/>
      <c r="B2557" s="40">
        <v>4598.0</v>
      </c>
      <c r="C2557" s="41" t="s">
        <v>79</v>
      </c>
      <c r="D2557" s="86">
        <v>46228.0</v>
      </c>
      <c r="E2557" s="43" t="str">
        <f t="shared" si="82"/>
        <v>2026</v>
      </c>
      <c r="F2557" s="43" t="str">
        <f t="shared" si="83"/>
        <v>07 Jul</v>
      </c>
      <c r="G2557" s="45" t="s">
        <v>195</v>
      </c>
      <c r="H2557" s="45" t="s">
        <v>26</v>
      </c>
      <c r="I2557" s="45" t="s">
        <v>1765</v>
      </c>
      <c r="J2557" s="143" t="s">
        <v>28</v>
      </c>
      <c r="K2557" s="43" t="s">
        <v>29</v>
      </c>
      <c r="L2557" s="43" t="s">
        <v>30</v>
      </c>
      <c r="M2557" s="144" t="s">
        <v>31</v>
      </c>
      <c r="N2557" s="145">
        <v>250000.0</v>
      </c>
      <c r="O2557" s="146">
        <v>0.0</v>
      </c>
      <c r="P2557" s="48">
        <v>250000.0</v>
      </c>
      <c r="Q2557" s="147">
        <v>0.0</v>
      </c>
      <c r="R2557" s="41" t="s">
        <v>32</v>
      </c>
      <c r="S2557" s="76"/>
      <c r="T2557" s="51" t="b">
        <v>0</v>
      </c>
      <c r="U2557" s="94"/>
    </row>
    <row r="2558" ht="30.0" customHeight="1">
      <c r="A2558" s="39"/>
      <c r="B2558" s="164">
        <v>4599.0</v>
      </c>
      <c r="C2558" s="41" t="s">
        <v>79</v>
      </c>
      <c r="D2558" s="86">
        <v>46228.0</v>
      </c>
      <c r="E2558" s="43" t="str">
        <f t="shared" si="82"/>
        <v>2026</v>
      </c>
      <c r="F2558" s="43" t="str">
        <f t="shared" si="83"/>
        <v>07 Jul</v>
      </c>
      <c r="G2558" s="45" t="s">
        <v>195</v>
      </c>
      <c r="H2558" s="45" t="s">
        <v>150</v>
      </c>
      <c r="I2558" s="45" t="s">
        <v>502</v>
      </c>
      <c r="J2558" s="143" t="s">
        <v>120</v>
      </c>
      <c r="K2558" s="43" t="s">
        <v>52</v>
      </c>
      <c r="L2558" s="43" t="s">
        <v>30</v>
      </c>
      <c r="M2558" s="144" t="s">
        <v>31</v>
      </c>
      <c r="N2558" s="145">
        <v>180000.0</v>
      </c>
      <c r="O2558" s="146">
        <v>0.0</v>
      </c>
      <c r="P2558" s="48">
        <v>180000.0</v>
      </c>
      <c r="Q2558" s="147">
        <v>0.0</v>
      </c>
      <c r="R2558" s="41" t="s">
        <v>118</v>
      </c>
      <c r="S2558" s="76"/>
      <c r="T2558" s="51" t="b">
        <v>0</v>
      </c>
      <c r="U2558" s="94"/>
    </row>
    <row r="2559" ht="30.0" customHeight="1">
      <c r="A2559" s="39"/>
      <c r="B2559" s="40">
        <v>4600.0</v>
      </c>
      <c r="C2559" s="41" t="s">
        <v>79</v>
      </c>
      <c r="D2559" s="86">
        <v>46228.0</v>
      </c>
      <c r="E2559" s="43" t="str">
        <f t="shared" si="82"/>
        <v>2026</v>
      </c>
      <c r="F2559" s="43" t="str">
        <f t="shared" si="83"/>
        <v>07 Jul</v>
      </c>
      <c r="G2559" s="45" t="s">
        <v>206</v>
      </c>
      <c r="H2559" s="45" t="s">
        <v>166</v>
      </c>
      <c r="I2559" s="45" t="s">
        <v>1766</v>
      </c>
      <c r="J2559" s="143" t="s">
        <v>28</v>
      </c>
      <c r="K2559" s="43" t="s">
        <v>29</v>
      </c>
      <c r="L2559" s="43" t="s">
        <v>30</v>
      </c>
      <c r="M2559" s="144" t="s">
        <v>31</v>
      </c>
      <c r="N2559" s="145">
        <v>250000.0</v>
      </c>
      <c r="O2559" s="146">
        <v>0.0</v>
      </c>
      <c r="P2559" s="48">
        <v>250000.0</v>
      </c>
      <c r="Q2559" s="147">
        <v>0.0</v>
      </c>
      <c r="R2559" s="41" t="s">
        <v>32</v>
      </c>
      <c r="S2559" s="76"/>
      <c r="T2559" s="51" t="b">
        <v>0</v>
      </c>
      <c r="U2559" s="94"/>
    </row>
    <row r="2560" ht="30.0" customHeight="1">
      <c r="A2560" s="39"/>
      <c r="B2560" s="164">
        <v>4601.0</v>
      </c>
      <c r="C2560" s="41" t="s">
        <v>79</v>
      </c>
      <c r="D2560" s="86">
        <v>46228.0</v>
      </c>
      <c r="E2560" s="43" t="str">
        <f t="shared" si="82"/>
        <v>2026</v>
      </c>
      <c r="F2560" s="43" t="str">
        <f t="shared" si="83"/>
        <v>07 Jul</v>
      </c>
      <c r="G2560" s="45" t="s">
        <v>206</v>
      </c>
      <c r="H2560" s="45" t="s">
        <v>166</v>
      </c>
      <c r="I2560" s="45" t="s">
        <v>1766</v>
      </c>
      <c r="J2560" s="143" t="s">
        <v>119</v>
      </c>
      <c r="K2560" s="43" t="s">
        <v>51</v>
      </c>
      <c r="L2560" s="43" t="s">
        <v>30</v>
      </c>
      <c r="M2560" s="144" t="s">
        <v>60</v>
      </c>
      <c r="N2560" s="145">
        <v>200000.0</v>
      </c>
      <c r="O2560" s="146">
        <v>0.0</v>
      </c>
      <c r="P2560" s="48">
        <v>750000.0</v>
      </c>
      <c r="Q2560" s="147">
        <v>-450000.0</v>
      </c>
      <c r="R2560" s="41" t="s">
        <v>32</v>
      </c>
      <c r="S2560" s="76"/>
      <c r="T2560" s="51" t="b">
        <v>0</v>
      </c>
      <c r="U2560" s="94"/>
    </row>
    <row r="2561" ht="30.0" customHeight="1">
      <c r="A2561" s="39"/>
      <c r="B2561" s="40">
        <v>4602.0</v>
      </c>
      <c r="C2561" s="173"/>
      <c r="D2561" s="86"/>
      <c r="E2561" s="43" t="str">
        <f t="shared" si="82"/>
        <v/>
      </c>
      <c r="F2561" s="43" t="str">
        <f t="shared" si="83"/>
        <v/>
      </c>
      <c r="G2561" s="44"/>
      <c r="H2561" s="44"/>
      <c r="I2561" s="44"/>
      <c r="J2561" s="174"/>
      <c r="K2561" s="175"/>
      <c r="L2561" s="175"/>
      <c r="M2561" s="174"/>
      <c r="N2561" s="156"/>
      <c r="O2561" s="175"/>
      <c r="P2561" s="175"/>
      <c r="Q2561" s="175"/>
      <c r="R2561" s="173"/>
      <c r="S2561" s="76"/>
      <c r="T2561" s="51" t="b">
        <v>0</v>
      </c>
      <c r="U2561" s="94"/>
    </row>
    <row r="2562" ht="30.0" customHeight="1">
      <c r="A2562" s="39"/>
      <c r="B2562" s="164">
        <v>4603.0</v>
      </c>
      <c r="C2562" s="173"/>
      <c r="D2562" s="86"/>
      <c r="E2562" s="43" t="str">
        <f t="shared" si="82"/>
        <v/>
      </c>
      <c r="F2562" s="43" t="str">
        <f t="shared" si="83"/>
        <v/>
      </c>
      <c r="G2562" s="44"/>
      <c r="H2562" s="44"/>
      <c r="I2562" s="44"/>
      <c r="J2562" s="176"/>
      <c r="K2562" s="43" t="str">
        <f t="array" ref="K2562">IF(J2562="","", XLOOKUP(J2562,'⚙️ Pengaturan'!$E$2:$E3237,'⚙️ Pengaturan'!$G$2:$G3237))</f>
        <v/>
      </c>
      <c r="L2562" s="43" t="str">
        <f t="shared" ref="L2562:L3237" si="84">if(I2562="","",if(countifs($J$5:J2562,J2562,$I$5:I2562,I2562)=1,"BARU","LANJUTAN"))</f>
        <v/>
      </c>
      <c r="M2562" s="177"/>
      <c r="N2562" s="145"/>
      <c r="O2562" s="146"/>
      <c r="P2562" s="48" t="str">
        <f t="array" ref="P2562">IFNA(XLOOKUP(J2562,'⚙️ Pengaturan'!$E$2:$E3237,'⚙️ Pengaturan'!$F$2:$F3237),"")</f>
        <v/>
      </c>
      <c r="Q2562" s="147" t="str">
        <f t="shared" ref="Q2562:Q3237" si="85">IF(I2562="","",(N2562+O2562)-P2562)</f>
        <v/>
      </c>
      <c r="R2562" s="173"/>
      <c r="S2562" s="76"/>
      <c r="T2562" s="51" t="b">
        <v>0</v>
      </c>
      <c r="U2562" s="94"/>
    </row>
    <row r="2563" ht="30.0" customHeight="1">
      <c r="A2563" s="39"/>
      <c r="B2563" s="40">
        <v>4604.0</v>
      </c>
      <c r="C2563" s="173"/>
      <c r="D2563" s="86"/>
      <c r="E2563" s="43" t="str">
        <f t="shared" si="82"/>
        <v/>
      </c>
      <c r="F2563" s="43" t="str">
        <f t="shared" si="83"/>
        <v/>
      </c>
      <c r="G2563" s="44"/>
      <c r="H2563" s="44"/>
      <c r="I2563" s="44"/>
      <c r="J2563" s="176"/>
      <c r="K2563" s="43" t="str">
        <f t="array" ref="K2563">IF(J2563="","", XLOOKUP(J2563,'⚙️ Pengaturan'!$E$2:$E3237,'⚙️ Pengaturan'!$G$2:$G3237))</f>
        <v/>
      </c>
      <c r="L2563" s="43" t="str">
        <f t="shared" si="84"/>
        <v/>
      </c>
      <c r="M2563" s="177"/>
      <c r="N2563" s="145"/>
      <c r="O2563" s="146"/>
      <c r="P2563" s="48" t="str">
        <f t="array" ref="P2563">IFNA(XLOOKUP(J2563,'⚙️ Pengaturan'!$E$2:$E3237,'⚙️ Pengaturan'!$F$2:$F3237),"")</f>
        <v/>
      </c>
      <c r="Q2563" s="147" t="str">
        <f t="shared" si="85"/>
        <v/>
      </c>
      <c r="R2563" s="173"/>
      <c r="S2563" s="76"/>
      <c r="T2563" s="51" t="b">
        <v>0</v>
      </c>
      <c r="U2563" s="94"/>
    </row>
    <row r="2564" ht="30.0" customHeight="1">
      <c r="A2564" s="39"/>
      <c r="B2564" s="164">
        <v>4605.0</v>
      </c>
      <c r="C2564" s="173"/>
      <c r="D2564" s="86"/>
      <c r="E2564" s="43" t="str">
        <f t="shared" si="82"/>
        <v/>
      </c>
      <c r="F2564" s="43" t="str">
        <f t="shared" si="83"/>
        <v/>
      </c>
      <c r="G2564" s="44"/>
      <c r="H2564" s="44"/>
      <c r="I2564" s="44"/>
      <c r="J2564" s="176"/>
      <c r="K2564" s="43" t="str">
        <f t="array" ref="K2564">IF(J2564="","", XLOOKUP(J2564,'⚙️ Pengaturan'!$E$2:$E3237,'⚙️ Pengaturan'!$G$2:$G3237))</f>
        <v/>
      </c>
      <c r="L2564" s="43" t="str">
        <f t="shared" si="84"/>
        <v/>
      </c>
      <c r="M2564" s="177"/>
      <c r="N2564" s="145"/>
      <c r="O2564" s="146"/>
      <c r="P2564" s="48" t="str">
        <f t="array" ref="P2564">IFNA(XLOOKUP(J2564,'⚙️ Pengaturan'!$E$2:$E3237,'⚙️ Pengaturan'!$F$2:$F3237),"")</f>
        <v/>
      </c>
      <c r="Q2564" s="147" t="str">
        <f t="shared" si="85"/>
        <v/>
      </c>
      <c r="R2564" s="173"/>
      <c r="S2564" s="76"/>
      <c r="T2564" s="51" t="b">
        <v>0</v>
      </c>
      <c r="U2564" s="94"/>
    </row>
    <row r="2565" ht="30.0" customHeight="1">
      <c r="A2565" s="39"/>
      <c r="B2565" s="40">
        <v>4606.0</v>
      </c>
      <c r="C2565" s="173"/>
      <c r="D2565" s="86"/>
      <c r="E2565" s="43" t="str">
        <f t="shared" si="82"/>
        <v/>
      </c>
      <c r="F2565" s="43" t="str">
        <f t="shared" si="83"/>
        <v/>
      </c>
      <c r="G2565" s="44"/>
      <c r="H2565" s="44"/>
      <c r="I2565" s="44"/>
      <c r="J2565" s="176"/>
      <c r="K2565" s="43" t="str">
        <f t="array" ref="K2565">IF(J2565="","", XLOOKUP(J2565,'⚙️ Pengaturan'!$E$2:$E3237,'⚙️ Pengaturan'!$G$2:$G3237))</f>
        <v/>
      </c>
      <c r="L2565" s="43" t="str">
        <f t="shared" si="84"/>
        <v/>
      </c>
      <c r="M2565" s="177"/>
      <c r="N2565" s="145"/>
      <c r="O2565" s="146"/>
      <c r="P2565" s="48" t="str">
        <f t="array" ref="P2565">IFNA(XLOOKUP(J2565,'⚙️ Pengaturan'!$E$2:$E3237,'⚙️ Pengaturan'!$F$2:$F3237),"")</f>
        <v/>
      </c>
      <c r="Q2565" s="147" t="str">
        <f t="shared" si="85"/>
        <v/>
      </c>
      <c r="R2565" s="173"/>
      <c r="S2565" s="76"/>
      <c r="T2565" s="51" t="b">
        <v>0</v>
      </c>
      <c r="U2565" s="94"/>
    </row>
    <row r="2566" ht="30.0" customHeight="1">
      <c r="A2566" s="39"/>
      <c r="B2566" s="164">
        <v>4607.0</v>
      </c>
      <c r="C2566" s="173"/>
      <c r="D2566" s="86"/>
      <c r="E2566" s="43" t="str">
        <f t="shared" si="82"/>
        <v/>
      </c>
      <c r="F2566" s="43" t="str">
        <f t="shared" si="83"/>
        <v/>
      </c>
      <c r="G2566" s="44"/>
      <c r="H2566" s="44"/>
      <c r="I2566" s="44"/>
      <c r="J2566" s="176"/>
      <c r="K2566" s="43" t="str">
        <f t="array" ref="K2566">IF(J2566="","", XLOOKUP(J2566,'⚙️ Pengaturan'!$E$2:$E3237,'⚙️ Pengaturan'!$G$2:$G3237))</f>
        <v/>
      </c>
      <c r="L2566" s="43" t="str">
        <f t="shared" si="84"/>
        <v/>
      </c>
      <c r="M2566" s="177"/>
      <c r="N2566" s="145"/>
      <c r="O2566" s="146"/>
      <c r="P2566" s="48" t="str">
        <f t="array" ref="P2566">IFNA(XLOOKUP(J2566,'⚙️ Pengaturan'!$E$2:$E3237,'⚙️ Pengaturan'!$F$2:$F3237),"")</f>
        <v/>
      </c>
      <c r="Q2566" s="147" t="str">
        <f t="shared" si="85"/>
        <v/>
      </c>
      <c r="R2566" s="173"/>
      <c r="S2566" s="76"/>
      <c r="T2566" s="51" t="b">
        <v>0</v>
      </c>
      <c r="U2566" s="94"/>
    </row>
    <row r="2567" ht="30.0" customHeight="1">
      <c r="A2567" s="39"/>
      <c r="B2567" s="40">
        <v>4608.0</v>
      </c>
      <c r="C2567" s="173"/>
      <c r="D2567" s="86"/>
      <c r="E2567" s="43" t="str">
        <f t="shared" si="82"/>
        <v/>
      </c>
      <c r="F2567" s="43" t="str">
        <f t="shared" si="83"/>
        <v/>
      </c>
      <c r="G2567" s="44"/>
      <c r="H2567" s="44"/>
      <c r="I2567" s="44"/>
      <c r="J2567" s="176"/>
      <c r="K2567" s="43" t="str">
        <f t="array" ref="K2567">IF(J2567="","", XLOOKUP(J2567,'⚙️ Pengaturan'!$E$2:$E3237,'⚙️ Pengaturan'!$G$2:$G3237))</f>
        <v/>
      </c>
      <c r="L2567" s="43" t="str">
        <f t="shared" si="84"/>
        <v/>
      </c>
      <c r="M2567" s="177"/>
      <c r="N2567" s="145"/>
      <c r="O2567" s="146"/>
      <c r="P2567" s="48" t="str">
        <f t="array" ref="P2567">IFNA(XLOOKUP(J2567,'⚙️ Pengaturan'!$E$2:$E3237,'⚙️ Pengaturan'!$F$2:$F3237),"")</f>
        <v/>
      </c>
      <c r="Q2567" s="147" t="str">
        <f t="shared" si="85"/>
        <v/>
      </c>
      <c r="R2567" s="173"/>
      <c r="S2567" s="76"/>
      <c r="T2567" s="51" t="b">
        <v>0</v>
      </c>
      <c r="U2567" s="94"/>
    </row>
    <row r="2568" ht="30.0" customHeight="1">
      <c r="A2568" s="39"/>
      <c r="B2568" s="164">
        <v>4609.0</v>
      </c>
      <c r="C2568" s="173"/>
      <c r="D2568" s="86"/>
      <c r="E2568" s="43" t="str">
        <f t="shared" si="82"/>
        <v/>
      </c>
      <c r="F2568" s="43" t="str">
        <f t="shared" si="83"/>
        <v/>
      </c>
      <c r="G2568" s="44"/>
      <c r="H2568" s="44"/>
      <c r="I2568" s="44"/>
      <c r="J2568" s="176"/>
      <c r="K2568" s="43" t="str">
        <f t="array" ref="K2568">IF(J2568="","", XLOOKUP(J2568,'⚙️ Pengaturan'!$E$2:$E3237,'⚙️ Pengaturan'!$G$2:$G3237))</f>
        <v/>
      </c>
      <c r="L2568" s="43" t="str">
        <f t="shared" si="84"/>
        <v/>
      </c>
      <c r="M2568" s="177"/>
      <c r="N2568" s="145"/>
      <c r="O2568" s="146"/>
      <c r="P2568" s="48" t="str">
        <f t="array" ref="P2568">IFNA(XLOOKUP(J2568,'⚙️ Pengaturan'!$E$2:$E3237,'⚙️ Pengaturan'!$F$2:$F3237),"")</f>
        <v/>
      </c>
      <c r="Q2568" s="147" t="str">
        <f t="shared" si="85"/>
        <v/>
      </c>
      <c r="R2568" s="173"/>
      <c r="S2568" s="76"/>
      <c r="T2568" s="51" t="b">
        <v>0</v>
      </c>
      <c r="U2568" s="94"/>
    </row>
    <row r="2569" ht="30.0" customHeight="1">
      <c r="A2569" s="39"/>
      <c r="B2569" s="40">
        <v>4610.0</v>
      </c>
      <c r="C2569" s="173"/>
      <c r="D2569" s="86"/>
      <c r="E2569" s="43" t="str">
        <f t="shared" si="82"/>
        <v/>
      </c>
      <c r="F2569" s="43" t="str">
        <f t="shared" si="83"/>
        <v/>
      </c>
      <c r="G2569" s="44"/>
      <c r="H2569" s="44"/>
      <c r="I2569" s="44"/>
      <c r="J2569" s="176"/>
      <c r="K2569" s="43" t="str">
        <f t="array" ref="K2569">IF(J2569="","", XLOOKUP(J2569,'⚙️ Pengaturan'!$E$2:$E3237,'⚙️ Pengaturan'!$G$2:$G3237))</f>
        <v/>
      </c>
      <c r="L2569" s="43" t="str">
        <f t="shared" si="84"/>
        <v/>
      </c>
      <c r="M2569" s="177"/>
      <c r="N2569" s="145"/>
      <c r="O2569" s="146"/>
      <c r="P2569" s="48" t="str">
        <f t="array" ref="P2569">IFNA(XLOOKUP(J2569,'⚙️ Pengaturan'!$E$2:$E3237,'⚙️ Pengaturan'!$F$2:$F3237),"")</f>
        <v/>
      </c>
      <c r="Q2569" s="147" t="str">
        <f t="shared" si="85"/>
        <v/>
      </c>
      <c r="R2569" s="173"/>
      <c r="S2569" s="76"/>
      <c r="T2569" s="51" t="b">
        <v>0</v>
      </c>
      <c r="U2569" s="94"/>
    </row>
    <row r="2570" ht="30.0" customHeight="1">
      <c r="A2570" s="39"/>
      <c r="B2570" s="164">
        <v>4611.0</v>
      </c>
      <c r="C2570" s="173"/>
      <c r="D2570" s="86"/>
      <c r="E2570" s="43" t="str">
        <f t="shared" si="82"/>
        <v/>
      </c>
      <c r="F2570" s="43" t="str">
        <f t="shared" si="83"/>
        <v/>
      </c>
      <c r="G2570" s="44"/>
      <c r="H2570" s="44"/>
      <c r="I2570" s="44"/>
      <c r="J2570" s="176"/>
      <c r="K2570" s="43" t="str">
        <f t="array" ref="K2570">IF(J2570="","", XLOOKUP(J2570,'⚙️ Pengaturan'!$E$2:$E3237,'⚙️ Pengaturan'!$G$2:$G3237))</f>
        <v/>
      </c>
      <c r="L2570" s="43" t="str">
        <f t="shared" si="84"/>
        <v/>
      </c>
      <c r="M2570" s="177"/>
      <c r="N2570" s="145"/>
      <c r="O2570" s="146"/>
      <c r="P2570" s="48" t="str">
        <f t="array" ref="P2570">IFNA(XLOOKUP(J2570,'⚙️ Pengaturan'!$E$2:$E3237,'⚙️ Pengaturan'!$F$2:$F3237),"")</f>
        <v/>
      </c>
      <c r="Q2570" s="147" t="str">
        <f t="shared" si="85"/>
        <v/>
      </c>
      <c r="R2570" s="173"/>
      <c r="S2570" s="76"/>
      <c r="T2570" s="51" t="b">
        <v>0</v>
      </c>
      <c r="U2570" s="94"/>
    </row>
    <row r="2571" ht="30.0" customHeight="1">
      <c r="A2571" s="39"/>
      <c r="B2571" s="40">
        <v>4612.0</v>
      </c>
      <c r="C2571" s="173"/>
      <c r="D2571" s="86"/>
      <c r="E2571" s="43" t="str">
        <f t="shared" si="82"/>
        <v/>
      </c>
      <c r="F2571" s="43" t="str">
        <f t="shared" si="83"/>
        <v/>
      </c>
      <c r="G2571" s="44"/>
      <c r="H2571" s="44"/>
      <c r="I2571" s="44"/>
      <c r="J2571" s="176"/>
      <c r="K2571" s="43" t="str">
        <f t="array" ref="K2571">IF(J2571="","", XLOOKUP(J2571,'⚙️ Pengaturan'!$E$2:$E3237,'⚙️ Pengaturan'!$G$2:$G3237))</f>
        <v/>
      </c>
      <c r="L2571" s="43" t="str">
        <f t="shared" si="84"/>
        <v/>
      </c>
      <c r="M2571" s="177"/>
      <c r="N2571" s="145"/>
      <c r="O2571" s="146"/>
      <c r="P2571" s="48" t="str">
        <f t="array" ref="P2571">IFNA(XLOOKUP(J2571,'⚙️ Pengaturan'!$E$2:$E3237,'⚙️ Pengaturan'!$F$2:$F3237),"")</f>
        <v/>
      </c>
      <c r="Q2571" s="147" t="str">
        <f t="shared" si="85"/>
        <v/>
      </c>
      <c r="R2571" s="173"/>
      <c r="S2571" s="76"/>
      <c r="T2571" s="51" t="b">
        <v>0</v>
      </c>
      <c r="U2571" s="94"/>
    </row>
    <row r="2572" ht="30.0" customHeight="1">
      <c r="A2572" s="39"/>
      <c r="B2572" s="164">
        <v>4613.0</v>
      </c>
      <c r="C2572" s="173"/>
      <c r="D2572" s="86"/>
      <c r="E2572" s="43" t="str">
        <f t="shared" si="82"/>
        <v/>
      </c>
      <c r="F2572" s="43" t="str">
        <f t="shared" si="83"/>
        <v/>
      </c>
      <c r="G2572" s="44"/>
      <c r="H2572" s="44"/>
      <c r="I2572" s="44"/>
      <c r="J2572" s="176"/>
      <c r="K2572" s="43" t="str">
        <f t="array" ref="K2572">IF(J2572="","", XLOOKUP(J2572,'⚙️ Pengaturan'!$E$2:$E3237,'⚙️ Pengaturan'!$G$2:$G3237))</f>
        <v/>
      </c>
      <c r="L2572" s="43" t="str">
        <f t="shared" si="84"/>
        <v/>
      </c>
      <c r="M2572" s="177"/>
      <c r="N2572" s="145"/>
      <c r="O2572" s="146"/>
      <c r="P2572" s="48" t="str">
        <f t="array" ref="P2572">IFNA(XLOOKUP(J2572,'⚙️ Pengaturan'!$E$2:$E3237,'⚙️ Pengaturan'!$F$2:$F3237),"")</f>
        <v/>
      </c>
      <c r="Q2572" s="147" t="str">
        <f t="shared" si="85"/>
        <v/>
      </c>
      <c r="R2572" s="173"/>
      <c r="S2572" s="76"/>
      <c r="T2572" s="51" t="b">
        <v>0</v>
      </c>
      <c r="U2572" s="94"/>
    </row>
    <row r="2573" ht="30.0" customHeight="1">
      <c r="A2573" s="39"/>
      <c r="B2573" s="40">
        <v>4614.0</v>
      </c>
      <c r="C2573" s="173"/>
      <c r="D2573" s="86"/>
      <c r="E2573" s="43" t="str">
        <f t="shared" si="82"/>
        <v/>
      </c>
      <c r="F2573" s="43" t="str">
        <f t="shared" si="83"/>
        <v/>
      </c>
      <c r="G2573" s="44"/>
      <c r="H2573" s="44"/>
      <c r="I2573" s="44"/>
      <c r="J2573" s="176"/>
      <c r="K2573" s="43" t="str">
        <f t="array" ref="K2573">IF(J2573="","", XLOOKUP(J2573,'⚙️ Pengaturan'!$E$2:$E3237,'⚙️ Pengaturan'!$G$2:$G3237))</f>
        <v/>
      </c>
      <c r="L2573" s="43" t="str">
        <f t="shared" si="84"/>
        <v/>
      </c>
      <c r="M2573" s="177"/>
      <c r="N2573" s="145"/>
      <c r="O2573" s="146"/>
      <c r="P2573" s="48" t="str">
        <f t="array" ref="P2573">IFNA(XLOOKUP(J2573,'⚙️ Pengaturan'!$E$2:$E3237,'⚙️ Pengaturan'!$F$2:$F3237),"")</f>
        <v/>
      </c>
      <c r="Q2573" s="147" t="str">
        <f t="shared" si="85"/>
        <v/>
      </c>
      <c r="R2573" s="173"/>
      <c r="S2573" s="76"/>
      <c r="T2573" s="51" t="b">
        <v>0</v>
      </c>
      <c r="U2573" s="94"/>
    </row>
    <row r="2574" ht="30.0" customHeight="1">
      <c r="A2574" s="39"/>
      <c r="B2574" s="164">
        <v>4615.0</v>
      </c>
      <c r="C2574" s="173"/>
      <c r="D2574" s="86"/>
      <c r="E2574" s="43" t="str">
        <f t="shared" si="82"/>
        <v/>
      </c>
      <c r="F2574" s="43" t="str">
        <f t="shared" si="83"/>
        <v/>
      </c>
      <c r="G2574" s="44"/>
      <c r="H2574" s="44"/>
      <c r="I2574" s="44"/>
      <c r="J2574" s="176"/>
      <c r="K2574" s="43" t="str">
        <f t="array" ref="K2574">IF(J2574="","", XLOOKUP(J2574,'⚙️ Pengaturan'!$E$2:$E3237,'⚙️ Pengaturan'!$G$2:$G3237))</f>
        <v/>
      </c>
      <c r="L2574" s="43" t="str">
        <f t="shared" si="84"/>
        <v/>
      </c>
      <c r="M2574" s="177"/>
      <c r="N2574" s="145"/>
      <c r="O2574" s="146"/>
      <c r="P2574" s="48" t="str">
        <f t="array" ref="P2574">IFNA(XLOOKUP(J2574,'⚙️ Pengaturan'!$E$2:$E3237,'⚙️ Pengaturan'!$F$2:$F3237),"")</f>
        <v/>
      </c>
      <c r="Q2574" s="147" t="str">
        <f t="shared" si="85"/>
        <v/>
      </c>
      <c r="R2574" s="173"/>
      <c r="S2574" s="76"/>
      <c r="T2574" s="51" t="b">
        <v>0</v>
      </c>
      <c r="U2574" s="94"/>
    </row>
    <row r="2575" ht="30.0" customHeight="1">
      <c r="A2575" s="39"/>
      <c r="B2575" s="40">
        <v>4616.0</v>
      </c>
      <c r="C2575" s="173"/>
      <c r="D2575" s="86"/>
      <c r="E2575" s="43" t="str">
        <f t="shared" si="82"/>
        <v/>
      </c>
      <c r="F2575" s="43" t="str">
        <f t="shared" si="83"/>
        <v/>
      </c>
      <c r="G2575" s="44"/>
      <c r="H2575" s="44"/>
      <c r="I2575" s="44"/>
      <c r="J2575" s="176"/>
      <c r="K2575" s="43" t="str">
        <f t="array" ref="K2575">IF(J2575="","", XLOOKUP(J2575,'⚙️ Pengaturan'!$E$2:$E3237,'⚙️ Pengaturan'!$G$2:$G3237))</f>
        <v/>
      </c>
      <c r="L2575" s="43" t="str">
        <f t="shared" si="84"/>
        <v/>
      </c>
      <c r="M2575" s="177"/>
      <c r="N2575" s="145"/>
      <c r="O2575" s="146"/>
      <c r="P2575" s="48" t="str">
        <f t="array" ref="P2575">IFNA(XLOOKUP(J2575,'⚙️ Pengaturan'!$E$2:$E3237,'⚙️ Pengaturan'!$F$2:$F3237),"")</f>
        <v/>
      </c>
      <c r="Q2575" s="147" t="str">
        <f t="shared" si="85"/>
        <v/>
      </c>
      <c r="R2575" s="173"/>
      <c r="S2575" s="76"/>
      <c r="T2575" s="51" t="b">
        <v>0</v>
      </c>
      <c r="U2575" s="94"/>
    </row>
    <row r="2576" ht="30.0" customHeight="1">
      <c r="A2576" s="39"/>
      <c r="B2576" s="164">
        <v>4617.0</v>
      </c>
      <c r="C2576" s="173"/>
      <c r="D2576" s="86"/>
      <c r="E2576" s="43" t="str">
        <f t="shared" si="82"/>
        <v/>
      </c>
      <c r="F2576" s="43" t="str">
        <f t="shared" si="83"/>
        <v/>
      </c>
      <c r="G2576" s="44"/>
      <c r="H2576" s="44"/>
      <c r="I2576" s="44"/>
      <c r="J2576" s="176"/>
      <c r="K2576" s="43" t="str">
        <f t="array" ref="K2576">IF(J2576="","", XLOOKUP(J2576,'⚙️ Pengaturan'!$E$2:$E3237,'⚙️ Pengaturan'!$G$2:$G3237))</f>
        <v/>
      </c>
      <c r="L2576" s="43" t="str">
        <f t="shared" si="84"/>
        <v/>
      </c>
      <c r="M2576" s="177"/>
      <c r="N2576" s="145"/>
      <c r="O2576" s="146"/>
      <c r="P2576" s="48" t="str">
        <f t="array" ref="P2576">IFNA(XLOOKUP(J2576,'⚙️ Pengaturan'!$E$2:$E3237,'⚙️ Pengaturan'!$F$2:$F3237),"")</f>
        <v/>
      </c>
      <c r="Q2576" s="147" t="str">
        <f t="shared" si="85"/>
        <v/>
      </c>
      <c r="R2576" s="173"/>
      <c r="S2576" s="76"/>
      <c r="T2576" s="51" t="b">
        <v>0</v>
      </c>
      <c r="U2576" s="94"/>
    </row>
    <row r="2577" ht="30.0" customHeight="1">
      <c r="A2577" s="39"/>
      <c r="B2577" s="40">
        <v>4618.0</v>
      </c>
      <c r="C2577" s="173"/>
      <c r="D2577" s="86"/>
      <c r="E2577" s="43" t="str">
        <f t="shared" si="82"/>
        <v/>
      </c>
      <c r="F2577" s="43" t="str">
        <f t="shared" si="83"/>
        <v/>
      </c>
      <c r="G2577" s="44"/>
      <c r="H2577" s="44"/>
      <c r="I2577" s="44"/>
      <c r="J2577" s="176"/>
      <c r="K2577" s="43" t="str">
        <f t="array" ref="K2577">IF(J2577="","", XLOOKUP(J2577,'⚙️ Pengaturan'!$E$2:$E3237,'⚙️ Pengaturan'!$G$2:$G3237))</f>
        <v/>
      </c>
      <c r="L2577" s="43" t="str">
        <f t="shared" si="84"/>
        <v/>
      </c>
      <c r="M2577" s="177"/>
      <c r="N2577" s="145"/>
      <c r="O2577" s="146"/>
      <c r="P2577" s="48" t="str">
        <f t="array" ref="P2577">IFNA(XLOOKUP(J2577,'⚙️ Pengaturan'!$E$2:$E3237,'⚙️ Pengaturan'!$F$2:$F3237),"")</f>
        <v/>
      </c>
      <c r="Q2577" s="147" t="str">
        <f t="shared" si="85"/>
        <v/>
      </c>
      <c r="R2577" s="173"/>
      <c r="S2577" s="76"/>
      <c r="T2577" s="51" t="b">
        <v>0</v>
      </c>
      <c r="U2577" s="94"/>
    </row>
    <row r="2578" ht="30.0" customHeight="1">
      <c r="A2578" s="39"/>
      <c r="B2578" s="40"/>
      <c r="C2578" s="173"/>
      <c r="D2578" s="86"/>
      <c r="E2578" s="43" t="str">
        <f t="shared" si="82"/>
        <v/>
      </c>
      <c r="F2578" s="43" t="str">
        <f t="shared" si="83"/>
        <v/>
      </c>
      <c r="G2578" s="44"/>
      <c r="H2578" s="44"/>
      <c r="I2578" s="44"/>
      <c r="J2578" s="176"/>
      <c r="K2578" s="43" t="str">
        <f t="array" ref="K2578">IF(J2578="","", XLOOKUP(J2578,'⚙️ Pengaturan'!$E$2:$E3237,'⚙️ Pengaturan'!$G$2:$G3237))</f>
        <v/>
      </c>
      <c r="L2578" s="43" t="str">
        <f t="shared" si="84"/>
        <v/>
      </c>
      <c r="M2578" s="177"/>
      <c r="N2578" s="145"/>
      <c r="O2578" s="146"/>
      <c r="P2578" s="48" t="str">
        <f t="array" ref="P2578">IFNA(XLOOKUP(J2578,'⚙️ Pengaturan'!$E$2:$E3237,'⚙️ Pengaturan'!$F$2:$F3237),"")</f>
        <v/>
      </c>
      <c r="Q2578" s="147" t="str">
        <f t="shared" si="85"/>
        <v/>
      </c>
      <c r="R2578" s="173"/>
      <c r="S2578" s="76"/>
      <c r="T2578" s="51" t="b">
        <v>0</v>
      </c>
      <c r="U2578" s="94"/>
    </row>
    <row r="2579" ht="30.0" customHeight="1">
      <c r="A2579" s="39"/>
      <c r="B2579" s="40"/>
      <c r="C2579" s="173"/>
      <c r="D2579" s="86"/>
      <c r="E2579" s="43" t="str">
        <f t="shared" si="82"/>
        <v/>
      </c>
      <c r="F2579" s="43" t="str">
        <f t="shared" si="83"/>
        <v/>
      </c>
      <c r="G2579" s="44"/>
      <c r="H2579" s="44"/>
      <c r="I2579" s="44"/>
      <c r="J2579" s="176"/>
      <c r="K2579" s="43" t="str">
        <f t="array" ref="K2579">IF(J2579="","", XLOOKUP(J2579,'⚙️ Pengaturan'!$E$2:$E3237,'⚙️ Pengaturan'!$G$2:$G3237))</f>
        <v/>
      </c>
      <c r="L2579" s="43" t="str">
        <f t="shared" si="84"/>
        <v/>
      </c>
      <c r="M2579" s="177"/>
      <c r="N2579" s="145"/>
      <c r="O2579" s="146"/>
      <c r="P2579" s="48" t="str">
        <f t="array" ref="P2579">IFNA(XLOOKUP(J2579,'⚙️ Pengaturan'!$E$2:$E3237,'⚙️ Pengaturan'!$F$2:$F3237),"")</f>
        <v/>
      </c>
      <c r="Q2579" s="147" t="str">
        <f t="shared" si="85"/>
        <v/>
      </c>
      <c r="R2579" s="173"/>
      <c r="S2579" s="76"/>
      <c r="T2579" s="51" t="b">
        <v>0</v>
      </c>
      <c r="U2579" s="94"/>
    </row>
    <row r="2580" ht="30.0" customHeight="1">
      <c r="A2580" s="39"/>
      <c r="B2580" s="40"/>
      <c r="C2580" s="173"/>
      <c r="D2580" s="86"/>
      <c r="E2580" s="43" t="str">
        <f t="shared" si="82"/>
        <v/>
      </c>
      <c r="F2580" s="43" t="str">
        <f t="shared" si="83"/>
        <v/>
      </c>
      <c r="G2580" s="44"/>
      <c r="H2580" s="44"/>
      <c r="I2580" s="44"/>
      <c r="J2580" s="176"/>
      <c r="K2580" s="43" t="str">
        <f t="array" ref="K2580">IF(J2580="","", XLOOKUP(J2580,'⚙️ Pengaturan'!$E$2:$E3237,'⚙️ Pengaturan'!$G$2:$G3237))</f>
        <v/>
      </c>
      <c r="L2580" s="43" t="str">
        <f t="shared" si="84"/>
        <v/>
      </c>
      <c r="M2580" s="177"/>
      <c r="N2580" s="145"/>
      <c r="O2580" s="146"/>
      <c r="P2580" s="48" t="str">
        <f t="array" ref="P2580">IFNA(XLOOKUP(J2580,'⚙️ Pengaturan'!$E$2:$E3237,'⚙️ Pengaturan'!$F$2:$F3237),"")</f>
        <v/>
      </c>
      <c r="Q2580" s="147" t="str">
        <f t="shared" si="85"/>
        <v/>
      </c>
      <c r="R2580" s="173"/>
      <c r="S2580" s="76"/>
      <c r="T2580" s="51" t="b">
        <v>0</v>
      </c>
      <c r="U2580" s="94"/>
    </row>
    <row r="2581" ht="30.0" customHeight="1">
      <c r="A2581" s="39"/>
      <c r="B2581" s="40"/>
      <c r="C2581" s="173"/>
      <c r="D2581" s="86"/>
      <c r="E2581" s="43" t="str">
        <f t="shared" si="82"/>
        <v/>
      </c>
      <c r="F2581" s="43" t="str">
        <f t="shared" si="83"/>
        <v/>
      </c>
      <c r="G2581" s="44"/>
      <c r="H2581" s="44"/>
      <c r="I2581" s="44"/>
      <c r="J2581" s="176"/>
      <c r="K2581" s="43" t="str">
        <f t="array" ref="K2581">IF(J2581="","", XLOOKUP(J2581,'⚙️ Pengaturan'!$E$2:$E3237,'⚙️ Pengaturan'!$G$2:$G3237))</f>
        <v/>
      </c>
      <c r="L2581" s="43" t="str">
        <f t="shared" si="84"/>
        <v/>
      </c>
      <c r="M2581" s="177"/>
      <c r="N2581" s="145"/>
      <c r="O2581" s="146"/>
      <c r="P2581" s="48" t="str">
        <f t="array" ref="P2581">IFNA(XLOOKUP(J2581,'⚙️ Pengaturan'!$E$2:$E3237,'⚙️ Pengaturan'!$F$2:$F3237),"")</f>
        <v/>
      </c>
      <c r="Q2581" s="147" t="str">
        <f t="shared" si="85"/>
        <v/>
      </c>
      <c r="R2581" s="173"/>
      <c r="S2581" s="76"/>
      <c r="T2581" s="51" t="b">
        <v>0</v>
      </c>
      <c r="U2581" s="94"/>
    </row>
    <row r="2582" ht="30.0" customHeight="1">
      <c r="A2582" s="39"/>
      <c r="B2582" s="40"/>
      <c r="C2582" s="173"/>
      <c r="D2582" s="86"/>
      <c r="E2582" s="43" t="str">
        <f t="shared" si="82"/>
        <v/>
      </c>
      <c r="F2582" s="43" t="str">
        <f t="shared" si="83"/>
        <v/>
      </c>
      <c r="G2582" s="44"/>
      <c r="H2582" s="44"/>
      <c r="I2582" s="44"/>
      <c r="J2582" s="176"/>
      <c r="K2582" s="43" t="str">
        <f t="array" ref="K2582">IF(J2582="","", XLOOKUP(J2582,'⚙️ Pengaturan'!$E$2:$E3237,'⚙️ Pengaturan'!$G$2:$G3237))</f>
        <v/>
      </c>
      <c r="L2582" s="43" t="str">
        <f t="shared" si="84"/>
        <v/>
      </c>
      <c r="M2582" s="177"/>
      <c r="N2582" s="145"/>
      <c r="O2582" s="146"/>
      <c r="P2582" s="48" t="str">
        <f t="array" ref="P2582">IFNA(XLOOKUP(J2582,'⚙️ Pengaturan'!$E$2:$E3237,'⚙️ Pengaturan'!$F$2:$F3237),"")</f>
        <v/>
      </c>
      <c r="Q2582" s="147" t="str">
        <f t="shared" si="85"/>
        <v/>
      </c>
      <c r="R2582" s="173"/>
      <c r="S2582" s="76"/>
      <c r="T2582" s="51" t="b">
        <v>0</v>
      </c>
      <c r="U2582" s="94"/>
    </row>
    <row r="2583" ht="30.0" customHeight="1">
      <c r="A2583" s="39"/>
      <c r="B2583" s="40"/>
      <c r="C2583" s="173"/>
      <c r="D2583" s="86"/>
      <c r="E2583" s="43" t="str">
        <f t="shared" si="82"/>
        <v/>
      </c>
      <c r="F2583" s="43" t="str">
        <f t="shared" si="83"/>
        <v/>
      </c>
      <c r="G2583" s="44"/>
      <c r="H2583" s="44"/>
      <c r="I2583" s="44"/>
      <c r="J2583" s="176"/>
      <c r="K2583" s="43" t="str">
        <f t="array" ref="K2583">IF(J2583="","", XLOOKUP(J2583,'⚙️ Pengaturan'!$E$2:$E3237,'⚙️ Pengaturan'!$G$2:$G3237))</f>
        <v/>
      </c>
      <c r="L2583" s="43" t="str">
        <f t="shared" si="84"/>
        <v/>
      </c>
      <c r="M2583" s="177"/>
      <c r="N2583" s="145"/>
      <c r="O2583" s="146"/>
      <c r="P2583" s="48" t="str">
        <f t="array" ref="P2583">IFNA(XLOOKUP(J2583,'⚙️ Pengaturan'!$E$2:$E3237,'⚙️ Pengaturan'!$F$2:$F3237),"")</f>
        <v/>
      </c>
      <c r="Q2583" s="147" t="str">
        <f t="shared" si="85"/>
        <v/>
      </c>
      <c r="R2583" s="173"/>
      <c r="S2583" s="76"/>
      <c r="T2583" s="51" t="b">
        <v>0</v>
      </c>
      <c r="U2583" s="94"/>
    </row>
    <row r="2584" ht="30.0" customHeight="1">
      <c r="A2584" s="39"/>
      <c r="B2584" s="40"/>
      <c r="C2584" s="173"/>
      <c r="D2584" s="86"/>
      <c r="E2584" s="43" t="str">
        <f t="shared" si="82"/>
        <v/>
      </c>
      <c r="F2584" s="43" t="str">
        <f t="shared" si="83"/>
        <v/>
      </c>
      <c r="G2584" s="44"/>
      <c r="H2584" s="44"/>
      <c r="I2584" s="44"/>
      <c r="J2584" s="176"/>
      <c r="K2584" s="43" t="str">
        <f t="array" ref="K2584">IF(J2584="","", XLOOKUP(J2584,'⚙️ Pengaturan'!$E$2:$E3237,'⚙️ Pengaturan'!$G$2:$G3237))</f>
        <v/>
      </c>
      <c r="L2584" s="43" t="str">
        <f t="shared" si="84"/>
        <v/>
      </c>
      <c r="M2584" s="177"/>
      <c r="N2584" s="145"/>
      <c r="O2584" s="146"/>
      <c r="P2584" s="48" t="str">
        <f t="array" ref="P2584">IFNA(XLOOKUP(J2584,'⚙️ Pengaturan'!$E$2:$E3237,'⚙️ Pengaturan'!$F$2:$F3237),"")</f>
        <v/>
      </c>
      <c r="Q2584" s="147" t="str">
        <f t="shared" si="85"/>
        <v/>
      </c>
      <c r="R2584" s="173"/>
      <c r="S2584" s="76"/>
      <c r="T2584" s="51" t="b">
        <v>0</v>
      </c>
      <c r="U2584" s="94"/>
    </row>
    <row r="2585" ht="30.0" customHeight="1">
      <c r="A2585" s="39"/>
      <c r="B2585" s="40"/>
      <c r="C2585" s="173"/>
      <c r="D2585" s="86"/>
      <c r="E2585" s="43" t="str">
        <f t="shared" si="82"/>
        <v/>
      </c>
      <c r="F2585" s="43" t="str">
        <f t="shared" si="83"/>
        <v/>
      </c>
      <c r="G2585" s="44"/>
      <c r="H2585" s="44"/>
      <c r="I2585" s="44"/>
      <c r="J2585" s="176"/>
      <c r="K2585" s="43" t="str">
        <f t="array" ref="K2585">IF(J2585="","", XLOOKUP(J2585,'⚙️ Pengaturan'!$E$2:$E3237,'⚙️ Pengaturan'!$G$2:$G3237))</f>
        <v/>
      </c>
      <c r="L2585" s="43" t="str">
        <f t="shared" si="84"/>
        <v/>
      </c>
      <c r="M2585" s="177"/>
      <c r="N2585" s="145"/>
      <c r="O2585" s="146"/>
      <c r="P2585" s="48" t="str">
        <f t="array" ref="P2585">IFNA(XLOOKUP(J2585,'⚙️ Pengaturan'!$E$2:$E3237,'⚙️ Pengaturan'!$F$2:$F3237),"")</f>
        <v/>
      </c>
      <c r="Q2585" s="147" t="str">
        <f t="shared" si="85"/>
        <v/>
      </c>
      <c r="R2585" s="173"/>
      <c r="S2585" s="76"/>
      <c r="T2585" s="51" t="b">
        <v>0</v>
      </c>
      <c r="U2585" s="94"/>
    </row>
    <row r="2586" ht="30.0" customHeight="1">
      <c r="A2586" s="39"/>
      <c r="B2586" s="40"/>
      <c r="C2586" s="173"/>
      <c r="D2586" s="86"/>
      <c r="E2586" s="43" t="str">
        <f t="shared" si="82"/>
        <v/>
      </c>
      <c r="F2586" s="43" t="str">
        <f t="shared" si="83"/>
        <v/>
      </c>
      <c r="G2586" s="44"/>
      <c r="H2586" s="44"/>
      <c r="I2586" s="44"/>
      <c r="J2586" s="176"/>
      <c r="K2586" s="43" t="str">
        <f t="array" ref="K2586">IF(J2586="","", XLOOKUP(J2586,'⚙️ Pengaturan'!$E$2:$E3237,'⚙️ Pengaturan'!$G$2:$G3237))</f>
        <v/>
      </c>
      <c r="L2586" s="43" t="str">
        <f t="shared" si="84"/>
        <v/>
      </c>
      <c r="M2586" s="177"/>
      <c r="N2586" s="145"/>
      <c r="O2586" s="146"/>
      <c r="P2586" s="48" t="str">
        <f t="array" ref="P2586">IFNA(XLOOKUP(J2586,'⚙️ Pengaturan'!$E$2:$E3237,'⚙️ Pengaturan'!$F$2:$F3237),"")</f>
        <v/>
      </c>
      <c r="Q2586" s="147" t="str">
        <f t="shared" si="85"/>
        <v/>
      </c>
      <c r="R2586" s="173"/>
      <c r="S2586" s="76"/>
      <c r="T2586" s="51" t="b">
        <v>0</v>
      </c>
      <c r="U2586" s="94"/>
    </row>
    <row r="2587" ht="30.0" customHeight="1">
      <c r="A2587" s="39"/>
      <c r="B2587" s="40"/>
      <c r="C2587" s="173"/>
      <c r="D2587" s="86"/>
      <c r="E2587" s="43" t="str">
        <f t="shared" si="82"/>
        <v/>
      </c>
      <c r="F2587" s="43" t="str">
        <f t="shared" si="83"/>
        <v/>
      </c>
      <c r="G2587" s="44"/>
      <c r="H2587" s="44"/>
      <c r="I2587" s="44"/>
      <c r="J2587" s="176"/>
      <c r="K2587" s="43" t="str">
        <f t="array" ref="K2587">IF(J2587="","", XLOOKUP(J2587,'⚙️ Pengaturan'!$E$2:$E3237,'⚙️ Pengaturan'!$G$2:$G3237))</f>
        <v/>
      </c>
      <c r="L2587" s="43" t="str">
        <f t="shared" si="84"/>
        <v/>
      </c>
      <c r="M2587" s="177"/>
      <c r="N2587" s="145"/>
      <c r="O2587" s="146"/>
      <c r="P2587" s="48" t="str">
        <f t="array" ref="P2587">IFNA(XLOOKUP(J2587,'⚙️ Pengaturan'!$E$2:$E3237,'⚙️ Pengaturan'!$F$2:$F3237),"")</f>
        <v/>
      </c>
      <c r="Q2587" s="147" t="str">
        <f t="shared" si="85"/>
        <v/>
      </c>
      <c r="R2587" s="173"/>
      <c r="S2587" s="76"/>
      <c r="T2587" s="51" t="b">
        <v>0</v>
      </c>
      <c r="U2587" s="94"/>
    </row>
    <row r="2588" ht="30.0" customHeight="1">
      <c r="A2588" s="39"/>
      <c r="B2588" s="40"/>
      <c r="C2588" s="173"/>
      <c r="D2588" s="86"/>
      <c r="E2588" s="43" t="str">
        <f t="shared" si="82"/>
        <v/>
      </c>
      <c r="F2588" s="43" t="str">
        <f t="shared" si="83"/>
        <v/>
      </c>
      <c r="G2588" s="44"/>
      <c r="H2588" s="44"/>
      <c r="I2588" s="44"/>
      <c r="J2588" s="176"/>
      <c r="K2588" s="43" t="str">
        <f t="array" ref="K2588">IF(J2588="","", XLOOKUP(J2588,'⚙️ Pengaturan'!$E$2:$E3237,'⚙️ Pengaturan'!$G$2:$G3237))</f>
        <v/>
      </c>
      <c r="L2588" s="43" t="str">
        <f t="shared" si="84"/>
        <v/>
      </c>
      <c r="M2588" s="177"/>
      <c r="N2588" s="145"/>
      <c r="O2588" s="146"/>
      <c r="P2588" s="48" t="str">
        <f t="array" ref="P2588">IFNA(XLOOKUP(J2588,'⚙️ Pengaturan'!$E$2:$E3237,'⚙️ Pengaturan'!$F$2:$F3237),"")</f>
        <v/>
      </c>
      <c r="Q2588" s="147" t="str">
        <f t="shared" si="85"/>
        <v/>
      </c>
      <c r="R2588" s="173"/>
      <c r="S2588" s="76"/>
      <c r="T2588" s="51" t="b">
        <v>0</v>
      </c>
      <c r="U2588" s="94"/>
    </row>
    <row r="2589" ht="30.0" customHeight="1">
      <c r="A2589" s="39"/>
      <c r="B2589" s="40"/>
      <c r="C2589" s="173"/>
      <c r="D2589" s="86"/>
      <c r="E2589" s="43" t="str">
        <f t="shared" si="82"/>
        <v/>
      </c>
      <c r="F2589" s="43" t="str">
        <f t="shared" si="83"/>
        <v/>
      </c>
      <c r="G2589" s="44"/>
      <c r="H2589" s="44"/>
      <c r="I2589" s="44"/>
      <c r="J2589" s="176"/>
      <c r="K2589" s="43" t="str">
        <f t="array" ref="K2589">IF(J2589="","", XLOOKUP(J2589,'⚙️ Pengaturan'!$E$2:$E3237,'⚙️ Pengaturan'!$G$2:$G3237))</f>
        <v/>
      </c>
      <c r="L2589" s="43" t="str">
        <f t="shared" si="84"/>
        <v/>
      </c>
      <c r="M2589" s="177"/>
      <c r="N2589" s="145"/>
      <c r="O2589" s="146"/>
      <c r="P2589" s="48" t="str">
        <f t="array" ref="P2589">IFNA(XLOOKUP(J2589,'⚙️ Pengaturan'!$E$2:$E3237,'⚙️ Pengaturan'!$F$2:$F3237),"")</f>
        <v/>
      </c>
      <c r="Q2589" s="147" t="str">
        <f t="shared" si="85"/>
        <v/>
      </c>
      <c r="R2589" s="173"/>
      <c r="S2589" s="76"/>
      <c r="T2589" s="51" t="b">
        <v>0</v>
      </c>
      <c r="U2589" s="94"/>
    </row>
    <row r="2590" ht="30.0" customHeight="1">
      <c r="A2590" s="39"/>
      <c r="B2590" s="40"/>
      <c r="C2590" s="173"/>
      <c r="D2590" s="86"/>
      <c r="E2590" s="43" t="str">
        <f t="shared" si="82"/>
        <v/>
      </c>
      <c r="F2590" s="43" t="str">
        <f t="shared" si="83"/>
        <v/>
      </c>
      <c r="G2590" s="44"/>
      <c r="H2590" s="44"/>
      <c r="I2590" s="44"/>
      <c r="J2590" s="176"/>
      <c r="K2590" s="43" t="str">
        <f t="array" ref="K2590">IF(J2590="","", XLOOKUP(J2590,'⚙️ Pengaturan'!$E$2:$E3237,'⚙️ Pengaturan'!$G$2:$G3237))</f>
        <v/>
      </c>
      <c r="L2590" s="43" t="str">
        <f t="shared" si="84"/>
        <v/>
      </c>
      <c r="M2590" s="177"/>
      <c r="N2590" s="145"/>
      <c r="O2590" s="146"/>
      <c r="P2590" s="48" t="str">
        <f t="array" ref="P2590">IFNA(XLOOKUP(J2590,'⚙️ Pengaturan'!$E$2:$E3237,'⚙️ Pengaturan'!$F$2:$F3237),"")</f>
        <v/>
      </c>
      <c r="Q2590" s="147" t="str">
        <f t="shared" si="85"/>
        <v/>
      </c>
      <c r="R2590" s="173"/>
      <c r="S2590" s="76"/>
      <c r="T2590" s="51" t="b">
        <v>0</v>
      </c>
      <c r="U2590" s="94"/>
    </row>
    <row r="2591" ht="30.0" customHeight="1">
      <c r="A2591" s="39"/>
      <c r="B2591" s="40"/>
      <c r="C2591" s="173"/>
      <c r="D2591" s="86"/>
      <c r="E2591" s="43" t="str">
        <f t="shared" si="82"/>
        <v/>
      </c>
      <c r="F2591" s="43" t="str">
        <f t="shared" si="83"/>
        <v/>
      </c>
      <c r="G2591" s="44"/>
      <c r="H2591" s="44"/>
      <c r="I2591" s="44"/>
      <c r="J2591" s="176"/>
      <c r="K2591" s="43" t="str">
        <f t="array" ref="K2591">IF(J2591="","", XLOOKUP(J2591,'⚙️ Pengaturan'!$E$2:$E3237,'⚙️ Pengaturan'!$G$2:$G3237))</f>
        <v/>
      </c>
      <c r="L2591" s="43" t="str">
        <f t="shared" si="84"/>
        <v/>
      </c>
      <c r="M2591" s="177"/>
      <c r="N2591" s="145"/>
      <c r="O2591" s="146"/>
      <c r="P2591" s="48" t="str">
        <f t="array" ref="P2591">IFNA(XLOOKUP(J2591,'⚙️ Pengaturan'!$E$2:$E3237,'⚙️ Pengaturan'!$F$2:$F3237),"")</f>
        <v/>
      </c>
      <c r="Q2591" s="147" t="str">
        <f t="shared" si="85"/>
        <v/>
      </c>
      <c r="R2591" s="173"/>
      <c r="S2591" s="76"/>
      <c r="T2591" s="51" t="b">
        <v>0</v>
      </c>
      <c r="U2591" s="94"/>
    </row>
    <row r="2592" ht="30.0" customHeight="1">
      <c r="A2592" s="39"/>
      <c r="B2592" s="40"/>
      <c r="C2592" s="173"/>
      <c r="D2592" s="86"/>
      <c r="E2592" s="43" t="str">
        <f t="shared" si="82"/>
        <v/>
      </c>
      <c r="F2592" s="43" t="str">
        <f t="shared" si="83"/>
        <v/>
      </c>
      <c r="G2592" s="44"/>
      <c r="H2592" s="44"/>
      <c r="I2592" s="44"/>
      <c r="J2592" s="176"/>
      <c r="K2592" s="43" t="str">
        <f t="array" ref="K2592">IF(J2592="","", XLOOKUP(J2592,'⚙️ Pengaturan'!$E$2:$E3237,'⚙️ Pengaturan'!$G$2:$G3237))</f>
        <v/>
      </c>
      <c r="L2592" s="43" t="str">
        <f t="shared" si="84"/>
        <v/>
      </c>
      <c r="M2592" s="177"/>
      <c r="N2592" s="145"/>
      <c r="O2592" s="146"/>
      <c r="P2592" s="48" t="str">
        <f t="array" ref="P2592">IFNA(XLOOKUP(J2592,'⚙️ Pengaturan'!$E$2:$E3237,'⚙️ Pengaturan'!$F$2:$F3237),"")</f>
        <v/>
      </c>
      <c r="Q2592" s="147" t="str">
        <f t="shared" si="85"/>
        <v/>
      </c>
      <c r="R2592" s="173"/>
      <c r="S2592" s="76"/>
      <c r="T2592" s="51" t="b">
        <v>0</v>
      </c>
      <c r="U2592" s="94"/>
    </row>
    <row r="2593" ht="30.0" customHeight="1">
      <c r="A2593" s="39"/>
      <c r="B2593" s="40"/>
      <c r="C2593" s="173"/>
      <c r="D2593" s="86"/>
      <c r="E2593" s="43" t="str">
        <f t="shared" si="82"/>
        <v/>
      </c>
      <c r="F2593" s="43" t="str">
        <f t="shared" si="83"/>
        <v/>
      </c>
      <c r="G2593" s="44"/>
      <c r="H2593" s="44"/>
      <c r="I2593" s="44"/>
      <c r="J2593" s="176"/>
      <c r="K2593" s="43" t="str">
        <f t="array" ref="K2593">IF(J2593="","", XLOOKUP(J2593,'⚙️ Pengaturan'!$E$2:$E3237,'⚙️ Pengaturan'!$G$2:$G3237))</f>
        <v/>
      </c>
      <c r="L2593" s="43" t="str">
        <f t="shared" si="84"/>
        <v/>
      </c>
      <c r="M2593" s="177"/>
      <c r="N2593" s="145"/>
      <c r="O2593" s="146"/>
      <c r="P2593" s="48" t="str">
        <f t="array" ref="P2593">IFNA(XLOOKUP(J2593,'⚙️ Pengaturan'!$E$2:$E3237,'⚙️ Pengaturan'!$F$2:$F3237),"")</f>
        <v/>
      </c>
      <c r="Q2593" s="147" t="str">
        <f t="shared" si="85"/>
        <v/>
      </c>
      <c r="R2593" s="173"/>
      <c r="S2593" s="76"/>
      <c r="T2593" s="51" t="b">
        <v>0</v>
      </c>
      <c r="U2593" s="94"/>
    </row>
    <row r="2594" ht="30.0" customHeight="1">
      <c r="A2594" s="39"/>
      <c r="B2594" s="40"/>
      <c r="C2594" s="173"/>
      <c r="D2594" s="86"/>
      <c r="E2594" s="43" t="str">
        <f t="shared" si="82"/>
        <v/>
      </c>
      <c r="F2594" s="43" t="str">
        <f t="shared" si="83"/>
        <v/>
      </c>
      <c r="G2594" s="44"/>
      <c r="H2594" s="44"/>
      <c r="I2594" s="44"/>
      <c r="J2594" s="176"/>
      <c r="K2594" s="43" t="str">
        <f t="array" ref="K2594">IF(J2594="","", XLOOKUP(J2594,'⚙️ Pengaturan'!$E$2:$E3237,'⚙️ Pengaturan'!$G$2:$G3237))</f>
        <v/>
      </c>
      <c r="L2594" s="43" t="str">
        <f t="shared" si="84"/>
        <v/>
      </c>
      <c r="M2594" s="177"/>
      <c r="N2594" s="145"/>
      <c r="O2594" s="146"/>
      <c r="P2594" s="48" t="str">
        <f t="array" ref="P2594">IFNA(XLOOKUP(J2594,'⚙️ Pengaturan'!$E$2:$E3237,'⚙️ Pengaturan'!$F$2:$F3237),"")</f>
        <v/>
      </c>
      <c r="Q2594" s="147" t="str">
        <f t="shared" si="85"/>
        <v/>
      </c>
      <c r="R2594" s="173"/>
      <c r="S2594" s="76"/>
      <c r="T2594" s="51" t="b">
        <v>0</v>
      </c>
      <c r="U2594" s="94"/>
    </row>
    <row r="2595" ht="30.0" customHeight="1">
      <c r="A2595" s="39"/>
      <c r="B2595" s="40"/>
      <c r="C2595" s="173"/>
      <c r="D2595" s="86"/>
      <c r="E2595" s="43" t="str">
        <f t="shared" si="82"/>
        <v/>
      </c>
      <c r="F2595" s="43" t="str">
        <f t="shared" si="83"/>
        <v/>
      </c>
      <c r="G2595" s="44"/>
      <c r="H2595" s="44"/>
      <c r="I2595" s="44"/>
      <c r="J2595" s="176"/>
      <c r="K2595" s="43" t="str">
        <f t="array" ref="K2595">IF(J2595="","", XLOOKUP(J2595,'⚙️ Pengaturan'!$E$2:$E3237,'⚙️ Pengaturan'!$G$2:$G3237))</f>
        <v/>
      </c>
      <c r="L2595" s="43" t="str">
        <f t="shared" si="84"/>
        <v/>
      </c>
      <c r="M2595" s="177"/>
      <c r="N2595" s="145"/>
      <c r="O2595" s="146"/>
      <c r="P2595" s="48" t="str">
        <f t="array" ref="P2595">IFNA(XLOOKUP(J2595,'⚙️ Pengaturan'!$E$2:$E3237,'⚙️ Pengaturan'!$F$2:$F3237),"")</f>
        <v/>
      </c>
      <c r="Q2595" s="147" t="str">
        <f t="shared" si="85"/>
        <v/>
      </c>
      <c r="R2595" s="173"/>
      <c r="S2595" s="76"/>
      <c r="T2595" s="51" t="b">
        <v>0</v>
      </c>
      <c r="U2595" s="94"/>
    </row>
    <row r="2596" ht="30.0" customHeight="1">
      <c r="A2596" s="39"/>
      <c r="B2596" s="40"/>
      <c r="C2596" s="173"/>
      <c r="D2596" s="86"/>
      <c r="E2596" s="43" t="str">
        <f t="shared" si="82"/>
        <v/>
      </c>
      <c r="F2596" s="43" t="str">
        <f t="shared" si="83"/>
        <v/>
      </c>
      <c r="G2596" s="44"/>
      <c r="H2596" s="44"/>
      <c r="I2596" s="44"/>
      <c r="J2596" s="176"/>
      <c r="K2596" s="43" t="str">
        <f t="array" ref="K2596">IF(J2596="","", XLOOKUP(J2596,'⚙️ Pengaturan'!$E$2:$E3237,'⚙️ Pengaturan'!$G$2:$G3237))</f>
        <v/>
      </c>
      <c r="L2596" s="43" t="str">
        <f t="shared" si="84"/>
        <v/>
      </c>
      <c r="M2596" s="177"/>
      <c r="N2596" s="145"/>
      <c r="O2596" s="146"/>
      <c r="P2596" s="48" t="str">
        <f t="array" ref="P2596">IFNA(XLOOKUP(J2596,'⚙️ Pengaturan'!$E$2:$E3237,'⚙️ Pengaturan'!$F$2:$F3237),"")</f>
        <v/>
      </c>
      <c r="Q2596" s="147" t="str">
        <f t="shared" si="85"/>
        <v/>
      </c>
      <c r="R2596" s="173"/>
      <c r="S2596" s="76"/>
      <c r="T2596" s="51" t="b">
        <v>0</v>
      </c>
      <c r="U2596" s="94"/>
    </row>
    <row r="2597" ht="30.0" customHeight="1">
      <c r="A2597" s="39"/>
      <c r="B2597" s="40"/>
      <c r="C2597" s="173"/>
      <c r="D2597" s="86"/>
      <c r="E2597" s="43" t="str">
        <f t="shared" si="82"/>
        <v/>
      </c>
      <c r="F2597" s="43" t="str">
        <f t="shared" si="83"/>
        <v/>
      </c>
      <c r="G2597" s="44"/>
      <c r="H2597" s="44"/>
      <c r="I2597" s="44"/>
      <c r="J2597" s="176"/>
      <c r="K2597" s="43" t="str">
        <f t="array" ref="K2597">IF(J2597="","", XLOOKUP(J2597,'⚙️ Pengaturan'!$E$2:$E3237,'⚙️ Pengaturan'!$G$2:$G3237))</f>
        <v/>
      </c>
      <c r="L2597" s="43" t="str">
        <f t="shared" si="84"/>
        <v/>
      </c>
      <c r="M2597" s="177"/>
      <c r="N2597" s="145"/>
      <c r="O2597" s="146"/>
      <c r="P2597" s="48" t="str">
        <f t="array" ref="P2597">IFNA(XLOOKUP(J2597,'⚙️ Pengaturan'!$E$2:$E3237,'⚙️ Pengaturan'!$F$2:$F3237),"")</f>
        <v/>
      </c>
      <c r="Q2597" s="147" t="str">
        <f t="shared" si="85"/>
        <v/>
      </c>
      <c r="R2597" s="173"/>
      <c r="S2597" s="76"/>
      <c r="T2597" s="51" t="b">
        <v>0</v>
      </c>
      <c r="U2597" s="94"/>
    </row>
    <row r="2598" ht="30.0" customHeight="1">
      <c r="A2598" s="39"/>
      <c r="B2598" s="40"/>
      <c r="C2598" s="173"/>
      <c r="D2598" s="86"/>
      <c r="E2598" s="43" t="str">
        <f t="shared" si="82"/>
        <v/>
      </c>
      <c r="F2598" s="43" t="str">
        <f t="shared" si="83"/>
        <v/>
      </c>
      <c r="G2598" s="44"/>
      <c r="H2598" s="44"/>
      <c r="I2598" s="44"/>
      <c r="J2598" s="176"/>
      <c r="K2598" s="43" t="str">
        <f t="array" ref="K2598">IF(J2598="","", XLOOKUP(J2598,'⚙️ Pengaturan'!$E$2:$E3237,'⚙️ Pengaturan'!$G$2:$G3237))</f>
        <v/>
      </c>
      <c r="L2598" s="43" t="str">
        <f t="shared" si="84"/>
        <v/>
      </c>
      <c r="M2598" s="177"/>
      <c r="N2598" s="145"/>
      <c r="O2598" s="146"/>
      <c r="P2598" s="48" t="str">
        <f t="array" ref="P2598">IFNA(XLOOKUP(J2598,'⚙️ Pengaturan'!$E$2:$E3237,'⚙️ Pengaturan'!$F$2:$F3237),"")</f>
        <v/>
      </c>
      <c r="Q2598" s="147" t="str">
        <f t="shared" si="85"/>
        <v/>
      </c>
      <c r="R2598" s="173"/>
      <c r="S2598" s="76"/>
      <c r="T2598" s="51" t="b">
        <v>0</v>
      </c>
      <c r="U2598" s="94"/>
    </row>
    <row r="2599" ht="30.0" customHeight="1">
      <c r="A2599" s="39"/>
      <c r="B2599" s="40"/>
      <c r="C2599" s="173"/>
      <c r="D2599" s="86"/>
      <c r="E2599" s="43" t="str">
        <f t="shared" si="82"/>
        <v/>
      </c>
      <c r="F2599" s="43" t="str">
        <f t="shared" si="83"/>
        <v/>
      </c>
      <c r="G2599" s="44"/>
      <c r="H2599" s="44"/>
      <c r="I2599" s="44"/>
      <c r="J2599" s="176"/>
      <c r="K2599" s="43" t="str">
        <f t="array" ref="K2599">IF(J2599="","", XLOOKUP(J2599,'⚙️ Pengaturan'!$E$2:$E3237,'⚙️ Pengaturan'!$G$2:$G3237))</f>
        <v/>
      </c>
      <c r="L2599" s="43" t="str">
        <f t="shared" si="84"/>
        <v/>
      </c>
      <c r="M2599" s="177"/>
      <c r="N2599" s="145"/>
      <c r="O2599" s="146"/>
      <c r="P2599" s="48" t="str">
        <f t="array" ref="P2599">IFNA(XLOOKUP(J2599,'⚙️ Pengaturan'!$E$2:$E3237,'⚙️ Pengaturan'!$F$2:$F3237),"")</f>
        <v/>
      </c>
      <c r="Q2599" s="147" t="str">
        <f t="shared" si="85"/>
        <v/>
      </c>
      <c r="R2599" s="173"/>
      <c r="S2599" s="76"/>
      <c r="T2599" s="51" t="b">
        <v>0</v>
      </c>
      <c r="U2599" s="94"/>
    </row>
    <row r="2600" ht="30.0" customHeight="1">
      <c r="A2600" s="39"/>
      <c r="B2600" s="40"/>
      <c r="C2600" s="173"/>
      <c r="D2600" s="86"/>
      <c r="E2600" s="43" t="str">
        <f t="shared" si="82"/>
        <v/>
      </c>
      <c r="F2600" s="43" t="str">
        <f t="shared" si="83"/>
        <v/>
      </c>
      <c r="G2600" s="44"/>
      <c r="H2600" s="44"/>
      <c r="I2600" s="44"/>
      <c r="J2600" s="176"/>
      <c r="K2600" s="43" t="str">
        <f t="array" ref="K2600">IF(J2600="","", XLOOKUP(J2600,'⚙️ Pengaturan'!$E$2:$E3237,'⚙️ Pengaturan'!$G$2:$G3237))</f>
        <v/>
      </c>
      <c r="L2600" s="43" t="str">
        <f t="shared" si="84"/>
        <v/>
      </c>
      <c r="M2600" s="177"/>
      <c r="N2600" s="145"/>
      <c r="O2600" s="146"/>
      <c r="P2600" s="48" t="str">
        <f t="array" ref="P2600">IFNA(XLOOKUP(J2600,'⚙️ Pengaturan'!$E$2:$E3237,'⚙️ Pengaturan'!$F$2:$F3237),"")</f>
        <v/>
      </c>
      <c r="Q2600" s="147" t="str">
        <f t="shared" si="85"/>
        <v/>
      </c>
      <c r="R2600" s="173"/>
      <c r="S2600" s="76"/>
      <c r="T2600" s="51" t="b">
        <v>0</v>
      </c>
      <c r="U2600" s="94"/>
    </row>
    <row r="2601" ht="30.0" customHeight="1">
      <c r="A2601" s="39"/>
      <c r="B2601" s="40"/>
      <c r="C2601" s="173"/>
      <c r="D2601" s="86"/>
      <c r="E2601" s="43" t="str">
        <f t="shared" si="82"/>
        <v/>
      </c>
      <c r="F2601" s="43" t="str">
        <f t="shared" si="83"/>
        <v/>
      </c>
      <c r="G2601" s="44"/>
      <c r="H2601" s="44"/>
      <c r="I2601" s="44"/>
      <c r="J2601" s="176"/>
      <c r="K2601" s="43" t="str">
        <f t="array" ref="K2601">IF(J2601="","", XLOOKUP(J2601,'⚙️ Pengaturan'!$E$2:$E3237,'⚙️ Pengaturan'!$G$2:$G3237))</f>
        <v/>
      </c>
      <c r="L2601" s="43" t="str">
        <f t="shared" si="84"/>
        <v/>
      </c>
      <c r="M2601" s="177"/>
      <c r="N2601" s="145"/>
      <c r="O2601" s="146"/>
      <c r="P2601" s="48" t="str">
        <f t="array" ref="P2601">IFNA(XLOOKUP(J2601,'⚙️ Pengaturan'!$E$2:$E3237,'⚙️ Pengaturan'!$F$2:$F3237),"")</f>
        <v/>
      </c>
      <c r="Q2601" s="147" t="str">
        <f t="shared" si="85"/>
        <v/>
      </c>
      <c r="R2601" s="173"/>
      <c r="S2601" s="76"/>
      <c r="T2601" s="51" t="b">
        <v>0</v>
      </c>
      <c r="U2601" s="94"/>
    </row>
    <row r="2602" ht="30.0" customHeight="1">
      <c r="A2602" s="39"/>
      <c r="B2602" s="40"/>
      <c r="C2602" s="173"/>
      <c r="D2602" s="86"/>
      <c r="E2602" s="43" t="str">
        <f t="shared" si="82"/>
        <v/>
      </c>
      <c r="F2602" s="43" t="str">
        <f t="shared" si="83"/>
        <v/>
      </c>
      <c r="G2602" s="44"/>
      <c r="H2602" s="44"/>
      <c r="I2602" s="44"/>
      <c r="J2602" s="176"/>
      <c r="K2602" s="43" t="str">
        <f t="array" ref="K2602">IF(J2602="","", XLOOKUP(J2602,'⚙️ Pengaturan'!$E$2:$E3237,'⚙️ Pengaturan'!$G$2:$G3237))</f>
        <v/>
      </c>
      <c r="L2602" s="43" t="str">
        <f t="shared" si="84"/>
        <v/>
      </c>
      <c r="M2602" s="177"/>
      <c r="N2602" s="145"/>
      <c r="O2602" s="146"/>
      <c r="P2602" s="48" t="str">
        <f t="array" ref="P2602">IFNA(XLOOKUP(J2602,'⚙️ Pengaturan'!$E$2:$E3237,'⚙️ Pengaturan'!$F$2:$F3237),"")</f>
        <v/>
      </c>
      <c r="Q2602" s="147" t="str">
        <f t="shared" si="85"/>
        <v/>
      </c>
      <c r="R2602" s="173"/>
      <c r="S2602" s="76"/>
      <c r="T2602" s="51" t="b">
        <v>0</v>
      </c>
      <c r="U2602" s="94"/>
    </row>
    <row r="2603" ht="30.0" customHeight="1">
      <c r="A2603" s="39"/>
      <c r="B2603" s="40"/>
      <c r="C2603" s="173"/>
      <c r="D2603" s="86"/>
      <c r="E2603" s="43" t="str">
        <f t="shared" si="82"/>
        <v/>
      </c>
      <c r="F2603" s="43" t="str">
        <f t="shared" si="83"/>
        <v/>
      </c>
      <c r="G2603" s="44"/>
      <c r="H2603" s="44"/>
      <c r="I2603" s="44"/>
      <c r="J2603" s="176"/>
      <c r="K2603" s="43" t="str">
        <f t="array" ref="K2603">IF(J2603="","", XLOOKUP(J2603,'⚙️ Pengaturan'!$E$2:$E3237,'⚙️ Pengaturan'!$G$2:$G3237))</f>
        <v/>
      </c>
      <c r="L2603" s="43" t="str">
        <f t="shared" si="84"/>
        <v/>
      </c>
      <c r="M2603" s="177"/>
      <c r="N2603" s="145"/>
      <c r="O2603" s="146"/>
      <c r="P2603" s="48" t="str">
        <f t="array" ref="P2603">IFNA(XLOOKUP(J2603,'⚙️ Pengaturan'!$E$2:$E3237,'⚙️ Pengaturan'!$F$2:$F3237),"")</f>
        <v/>
      </c>
      <c r="Q2603" s="147" t="str">
        <f t="shared" si="85"/>
        <v/>
      </c>
      <c r="R2603" s="173"/>
      <c r="S2603" s="76"/>
      <c r="T2603" s="51" t="b">
        <v>0</v>
      </c>
      <c r="U2603" s="94"/>
    </row>
    <row r="2604" ht="30.0" customHeight="1">
      <c r="A2604" s="39"/>
      <c r="B2604" s="40"/>
      <c r="C2604" s="173"/>
      <c r="D2604" s="86"/>
      <c r="E2604" s="43" t="str">
        <f t="shared" si="82"/>
        <v/>
      </c>
      <c r="F2604" s="43" t="str">
        <f t="shared" si="83"/>
        <v/>
      </c>
      <c r="G2604" s="44"/>
      <c r="H2604" s="44"/>
      <c r="I2604" s="44"/>
      <c r="J2604" s="176"/>
      <c r="K2604" s="43" t="str">
        <f t="array" ref="K2604">IF(J2604="","", XLOOKUP(J2604,'⚙️ Pengaturan'!$E$2:$E3237,'⚙️ Pengaturan'!$G$2:$G3237))</f>
        <v/>
      </c>
      <c r="L2604" s="43" t="str">
        <f t="shared" si="84"/>
        <v/>
      </c>
      <c r="M2604" s="177"/>
      <c r="N2604" s="145"/>
      <c r="O2604" s="146"/>
      <c r="P2604" s="48" t="str">
        <f t="array" ref="P2604">IFNA(XLOOKUP(J2604,'⚙️ Pengaturan'!$E$2:$E3237,'⚙️ Pengaturan'!$F$2:$F3237),"")</f>
        <v/>
      </c>
      <c r="Q2604" s="147" t="str">
        <f t="shared" si="85"/>
        <v/>
      </c>
      <c r="R2604" s="173"/>
      <c r="S2604" s="76"/>
      <c r="T2604" s="51" t="b">
        <v>0</v>
      </c>
      <c r="U2604" s="94"/>
    </row>
    <row r="2605" ht="30.0" customHeight="1">
      <c r="A2605" s="39"/>
      <c r="B2605" s="40"/>
      <c r="C2605" s="173"/>
      <c r="D2605" s="86"/>
      <c r="E2605" s="43" t="str">
        <f t="shared" si="82"/>
        <v/>
      </c>
      <c r="F2605" s="43" t="str">
        <f t="shared" si="83"/>
        <v/>
      </c>
      <c r="G2605" s="44"/>
      <c r="H2605" s="44"/>
      <c r="I2605" s="44"/>
      <c r="J2605" s="176"/>
      <c r="K2605" s="43" t="str">
        <f t="array" ref="K2605">IF(J2605="","", XLOOKUP(J2605,'⚙️ Pengaturan'!$E$2:$E3237,'⚙️ Pengaturan'!$G$2:$G3237))</f>
        <v/>
      </c>
      <c r="L2605" s="43" t="str">
        <f t="shared" si="84"/>
        <v/>
      </c>
      <c r="M2605" s="177"/>
      <c r="N2605" s="145"/>
      <c r="O2605" s="146"/>
      <c r="P2605" s="48" t="str">
        <f t="array" ref="P2605">IFNA(XLOOKUP(J2605,'⚙️ Pengaturan'!$E$2:$E3237,'⚙️ Pengaturan'!$F$2:$F3237),"")</f>
        <v/>
      </c>
      <c r="Q2605" s="147" t="str">
        <f t="shared" si="85"/>
        <v/>
      </c>
      <c r="R2605" s="173"/>
      <c r="S2605" s="76"/>
      <c r="T2605" s="51" t="b">
        <v>0</v>
      </c>
      <c r="U2605" s="94"/>
    </row>
    <row r="2606" ht="30.0" customHeight="1">
      <c r="A2606" s="39"/>
      <c r="B2606" s="40"/>
      <c r="C2606" s="173"/>
      <c r="D2606" s="86"/>
      <c r="E2606" s="43" t="str">
        <f t="shared" si="82"/>
        <v/>
      </c>
      <c r="F2606" s="43" t="str">
        <f t="shared" si="83"/>
        <v/>
      </c>
      <c r="G2606" s="44"/>
      <c r="H2606" s="44"/>
      <c r="I2606" s="44"/>
      <c r="J2606" s="176"/>
      <c r="K2606" s="43" t="str">
        <f t="array" ref="K2606">IF(J2606="","", XLOOKUP(J2606,'⚙️ Pengaturan'!$E$2:$E3237,'⚙️ Pengaturan'!$G$2:$G3237))</f>
        <v/>
      </c>
      <c r="L2606" s="43" t="str">
        <f t="shared" si="84"/>
        <v/>
      </c>
      <c r="M2606" s="177"/>
      <c r="N2606" s="145"/>
      <c r="O2606" s="146"/>
      <c r="P2606" s="48" t="str">
        <f t="array" ref="P2606">IFNA(XLOOKUP(J2606,'⚙️ Pengaturan'!$E$2:$E3237,'⚙️ Pengaturan'!$F$2:$F3237),"")</f>
        <v/>
      </c>
      <c r="Q2606" s="147" t="str">
        <f t="shared" si="85"/>
        <v/>
      </c>
      <c r="R2606" s="173"/>
      <c r="S2606" s="76"/>
      <c r="T2606" s="51" t="b">
        <v>0</v>
      </c>
      <c r="U2606" s="94"/>
    </row>
    <row r="2607" ht="30.0" customHeight="1">
      <c r="A2607" s="39"/>
      <c r="B2607" s="40"/>
      <c r="C2607" s="173"/>
      <c r="D2607" s="86"/>
      <c r="E2607" s="43" t="str">
        <f t="shared" si="82"/>
        <v/>
      </c>
      <c r="F2607" s="43" t="str">
        <f t="shared" si="83"/>
        <v/>
      </c>
      <c r="G2607" s="44"/>
      <c r="H2607" s="44"/>
      <c r="I2607" s="44"/>
      <c r="J2607" s="176"/>
      <c r="K2607" s="43" t="str">
        <f t="array" ref="K2607">IF(J2607="","", XLOOKUP(J2607,'⚙️ Pengaturan'!$E$2:$E3237,'⚙️ Pengaturan'!$G$2:$G3237))</f>
        <v/>
      </c>
      <c r="L2607" s="43" t="str">
        <f t="shared" si="84"/>
        <v/>
      </c>
      <c r="M2607" s="177"/>
      <c r="N2607" s="145"/>
      <c r="O2607" s="146"/>
      <c r="P2607" s="48" t="str">
        <f t="array" ref="P2607">IFNA(XLOOKUP(J2607,'⚙️ Pengaturan'!$E$2:$E3237,'⚙️ Pengaturan'!$F$2:$F3237),"")</f>
        <v/>
      </c>
      <c r="Q2607" s="147" t="str">
        <f t="shared" si="85"/>
        <v/>
      </c>
      <c r="R2607" s="173"/>
      <c r="S2607" s="76"/>
      <c r="T2607" s="51" t="b">
        <v>0</v>
      </c>
      <c r="U2607" s="94"/>
    </row>
    <row r="2608" ht="30.0" customHeight="1">
      <c r="A2608" s="39"/>
      <c r="B2608" s="40"/>
      <c r="C2608" s="173"/>
      <c r="D2608" s="86"/>
      <c r="E2608" s="43" t="str">
        <f t="shared" si="82"/>
        <v/>
      </c>
      <c r="F2608" s="43" t="str">
        <f t="shared" si="83"/>
        <v/>
      </c>
      <c r="G2608" s="44"/>
      <c r="H2608" s="44"/>
      <c r="I2608" s="44"/>
      <c r="J2608" s="176"/>
      <c r="K2608" s="43" t="str">
        <f t="array" ref="K2608">IF(J2608="","", XLOOKUP(J2608,'⚙️ Pengaturan'!$E$2:$E3237,'⚙️ Pengaturan'!$G$2:$G3237))</f>
        <v/>
      </c>
      <c r="L2608" s="43" t="str">
        <f t="shared" si="84"/>
        <v/>
      </c>
      <c r="M2608" s="177"/>
      <c r="N2608" s="145"/>
      <c r="O2608" s="146"/>
      <c r="P2608" s="48" t="str">
        <f t="array" ref="P2608">IFNA(XLOOKUP(J2608,'⚙️ Pengaturan'!$E$2:$E3237,'⚙️ Pengaturan'!$F$2:$F3237),"")</f>
        <v/>
      </c>
      <c r="Q2608" s="147" t="str">
        <f t="shared" si="85"/>
        <v/>
      </c>
      <c r="R2608" s="173"/>
      <c r="S2608" s="76"/>
      <c r="T2608" s="51" t="b">
        <v>0</v>
      </c>
      <c r="U2608" s="94"/>
    </row>
    <row r="2609" ht="30.0" customHeight="1">
      <c r="A2609" s="39"/>
      <c r="B2609" s="40"/>
      <c r="C2609" s="173"/>
      <c r="D2609" s="86"/>
      <c r="E2609" s="43" t="str">
        <f t="shared" si="82"/>
        <v/>
      </c>
      <c r="F2609" s="43" t="str">
        <f t="shared" si="83"/>
        <v/>
      </c>
      <c r="G2609" s="44"/>
      <c r="H2609" s="44"/>
      <c r="I2609" s="44"/>
      <c r="J2609" s="176"/>
      <c r="K2609" s="43" t="str">
        <f t="array" ref="K2609">IF(J2609="","", XLOOKUP(J2609,'⚙️ Pengaturan'!$E$2:$E3237,'⚙️ Pengaturan'!$G$2:$G3237))</f>
        <v/>
      </c>
      <c r="L2609" s="43" t="str">
        <f t="shared" si="84"/>
        <v/>
      </c>
      <c r="M2609" s="177"/>
      <c r="N2609" s="145"/>
      <c r="O2609" s="146"/>
      <c r="P2609" s="48" t="str">
        <f t="array" ref="P2609">IFNA(XLOOKUP(J2609,'⚙️ Pengaturan'!$E$2:$E3237,'⚙️ Pengaturan'!$F$2:$F3237),"")</f>
        <v/>
      </c>
      <c r="Q2609" s="147" t="str">
        <f t="shared" si="85"/>
        <v/>
      </c>
      <c r="R2609" s="173"/>
      <c r="S2609" s="76"/>
      <c r="T2609" s="51" t="b">
        <v>0</v>
      </c>
      <c r="U2609" s="94"/>
    </row>
    <row r="2610" ht="30.0" customHeight="1">
      <c r="A2610" s="39"/>
      <c r="B2610" s="40"/>
      <c r="C2610" s="173"/>
      <c r="D2610" s="86"/>
      <c r="E2610" s="43" t="str">
        <f t="shared" si="82"/>
        <v/>
      </c>
      <c r="F2610" s="43" t="str">
        <f t="shared" si="83"/>
        <v/>
      </c>
      <c r="G2610" s="44"/>
      <c r="H2610" s="44"/>
      <c r="I2610" s="44"/>
      <c r="J2610" s="176"/>
      <c r="K2610" s="43" t="str">
        <f t="array" ref="K2610">IF(J2610="","", XLOOKUP(J2610,'⚙️ Pengaturan'!$E$2:$E3237,'⚙️ Pengaturan'!$G$2:$G3237))</f>
        <v/>
      </c>
      <c r="L2610" s="43" t="str">
        <f t="shared" si="84"/>
        <v/>
      </c>
      <c r="M2610" s="177"/>
      <c r="N2610" s="145"/>
      <c r="O2610" s="146"/>
      <c r="P2610" s="48" t="str">
        <f t="array" ref="P2610">IFNA(XLOOKUP(J2610,'⚙️ Pengaturan'!$E$2:$E3237,'⚙️ Pengaturan'!$F$2:$F3237),"")</f>
        <v/>
      </c>
      <c r="Q2610" s="147" t="str">
        <f t="shared" si="85"/>
        <v/>
      </c>
      <c r="R2610" s="173"/>
      <c r="S2610" s="76"/>
      <c r="T2610" s="51" t="b">
        <v>0</v>
      </c>
      <c r="U2610" s="94"/>
    </row>
    <row r="2611" ht="30.0" customHeight="1">
      <c r="A2611" s="39"/>
      <c r="B2611" s="40"/>
      <c r="C2611" s="173"/>
      <c r="D2611" s="86"/>
      <c r="E2611" s="43" t="str">
        <f t="shared" si="82"/>
        <v/>
      </c>
      <c r="F2611" s="43" t="str">
        <f t="shared" si="83"/>
        <v/>
      </c>
      <c r="G2611" s="44"/>
      <c r="H2611" s="44"/>
      <c r="I2611" s="44"/>
      <c r="J2611" s="176"/>
      <c r="K2611" s="43" t="str">
        <f t="array" ref="K2611">IF(J2611="","", XLOOKUP(J2611,'⚙️ Pengaturan'!$E$2:$E3237,'⚙️ Pengaturan'!$G$2:$G3237))</f>
        <v/>
      </c>
      <c r="L2611" s="43" t="str">
        <f t="shared" si="84"/>
        <v/>
      </c>
      <c r="M2611" s="177"/>
      <c r="N2611" s="145"/>
      <c r="O2611" s="146"/>
      <c r="P2611" s="48" t="str">
        <f t="array" ref="P2611">IFNA(XLOOKUP(J2611,'⚙️ Pengaturan'!$E$2:$E3237,'⚙️ Pengaturan'!$F$2:$F3237),"")</f>
        <v/>
      </c>
      <c r="Q2611" s="147" t="str">
        <f t="shared" si="85"/>
        <v/>
      </c>
      <c r="R2611" s="173"/>
      <c r="S2611" s="76"/>
      <c r="T2611" s="51" t="b">
        <v>0</v>
      </c>
      <c r="U2611" s="94"/>
    </row>
    <row r="2612" ht="30.0" customHeight="1">
      <c r="A2612" s="39"/>
      <c r="B2612" s="40"/>
      <c r="C2612" s="173"/>
      <c r="D2612" s="86"/>
      <c r="E2612" s="43" t="str">
        <f t="shared" si="82"/>
        <v/>
      </c>
      <c r="F2612" s="43" t="str">
        <f t="shared" si="83"/>
        <v/>
      </c>
      <c r="G2612" s="44"/>
      <c r="H2612" s="44"/>
      <c r="I2612" s="44"/>
      <c r="J2612" s="176"/>
      <c r="K2612" s="43" t="str">
        <f t="array" ref="K2612">IF(J2612="","", XLOOKUP(J2612,'⚙️ Pengaturan'!$E$2:$E3237,'⚙️ Pengaturan'!$G$2:$G3237))</f>
        <v/>
      </c>
      <c r="L2612" s="43" t="str">
        <f t="shared" si="84"/>
        <v/>
      </c>
      <c r="M2612" s="177"/>
      <c r="N2612" s="145"/>
      <c r="O2612" s="146"/>
      <c r="P2612" s="48" t="str">
        <f t="array" ref="P2612">IFNA(XLOOKUP(J2612,'⚙️ Pengaturan'!$E$2:$E3237,'⚙️ Pengaturan'!$F$2:$F3237),"")</f>
        <v/>
      </c>
      <c r="Q2612" s="147" t="str">
        <f t="shared" si="85"/>
        <v/>
      </c>
      <c r="R2612" s="173"/>
      <c r="S2612" s="76"/>
      <c r="T2612" s="51" t="b">
        <v>0</v>
      </c>
      <c r="U2612" s="94"/>
    </row>
    <row r="2613" ht="30.0" customHeight="1">
      <c r="A2613" s="39"/>
      <c r="B2613" s="40"/>
      <c r="C2613" s="173"/>
      <c r="D2613" s="86"/>
      <c r="E2613" s="43" t="str">
        <f t="shared" si="82"/>
        <v/>
      </c>
      <c r="F2613" s="43" t="str">
        <f t="shared" si="83"/>
        <v/>
      </c>
      <c r="G2613" s="44"/>
      <c r="H2613" s="44"/>
      <c r="I2613" s="44"/>
      <c r="J2613" s="176"/>
      <c r="K2613" s="43" t="str">
        <f t="array" ref="K2613">IF(J2613="","", XLOOKUP(J2613,'⚙️ Pengaturan'!$E$2:$E3237,'⚙️ Pengaturan'!$G$2:$G3237))</f>
        <v/>
      </c>
      <c r="L2613" s="43" t="str">
        <f t="shared" si="84"/>
        <v/>
      </c>
      <c r="M2613" s="177"/>
      <c r="N2613" s="145"/>
      <c r="O2613" s="146"/>
      <c r="P2613" s="48" t="str">
        <f t="array" ref="P2613">IFNA(XLOOKUP(J2613,'⚙️ Pengaturan'!$E$2:$E3237,'⚙️ Pengaturan'!$F$2:$F3237),"")</f>
        <v/>
      </c>
      <c r="Q2613" s="147" t="str">
        <f t="shared" si="85"/>
        <v/>
      </c>
      <c r="R2613" s="173"/>
      <c r="S2613" s="76"/>
      <c r="T2613" s="51" t="b">
        <v>0</v>
      </c>
      <c r="U2613" s="94"/>
    </row>
    <row r="2614" ht="30.0" customHeight="1">
      <c r="A2614" s="39"/>
      <c r="B2614" s="40"/>
      <c r="C2614" s="173"/>
      <c r="D2614" s="86"/>
      <c r="E2614" s="43" t="str">
        <f t="shared" si="82"/>
        <v/>
      </c>
      <c r="F2614" s="43" t="str">
        <f t="shared" si="83"/>
        <v/>
      </c>
      <c r="G2614" s="44"/>
      <c r="H2614" s="44"/>
      <c r="I2614" s="44"/>
      <c r="J2614" s="176"/>
      <c r="K2614" s="43" t="str">
        <f t="array" ref="K2614">IF(J2614="","", XLOOKUP(J2614,'⚙️ Pengaturan'!$E$2:$E3237,'⚙️ Pengaturan'!$G$2:$G3237))</f>
        <v/>
      </c>
      <c r="L2614" s="43" t="str">
        <f t="shared" si="84"/>
        <v/>
      </c>
      <c r="M2614" s="177"/>
      <c r="N2614" s="145"/>
      <c r="O2614" s="146"/>
      <c r="P2614" s="48" t="str">
        <f t="array" ref="P2614">IFNA(XLOOKUP(J2614,'⚙️ Pengaturan'!$E$2:$E3237,'⚙️ Pengaturan'!$F$2:$F3237),"")</f>
        <v/>
      </c>
      <c r="Q2614" s="147" t="str">
        <f t="shared" si="85"/>
        <v/>
      </c>
      <c r="R2614" s="173"/>
      <c r="S2614" s="76"/>
      <c r="T2614" s="51" t="b">
        <v>0</v>
      </c>
      <c r="U2614" s="94"/>
    </row>
    <row r="2615" ht="30.0" customHeight="1">
      <c r="A2615" s="39"/>
      <c r="B2615" s="40"/>
      <c r="C2615" s="173"/>
      <c r="D2615" s="86"/>
      <c r="E2615" s="43" t="str">
        <f t="shared" si="82"/>
        <v/>
      </c>
      <c r="F2615" s="43" t="str">
        <f t="shared" si="83"/>
        <v/>
      </c>
      <c r="G2615" s="44"/>
      <c r="H2615" s="44"/>
      <c r="I2615" s="44"/>
      <c r="J2615" s="176"/>
      <c r="K2615" s="43" t="str">
        <f t="array" ref="K2615">IF(J2615="","", XLOOKUP(J2615,'⚙️ Pengaturan'!$E$2:$E3237,'⚙️ Pengaturan'!$G$2:$G3237))</f>
        <v/>
      </c>
      <c r="L2615" s="43" t="str">
        <f t="shared" si="84"/>
        <v/>
      </c>
      <c r="M2615" s="177"/>
      <c r="N2615" s="145"/>
      <c r="O2615" s="146"/>
      <c r="P2615" s="48" t="str">
        <f t="array" ref="P2615">IFNA(XLOOKUP(J2615,'⚙️ Pengaturan'!$E$2:$E3237,'⚙️ Pengaturan'!$F$2:$F3237),"")</f>
        <v/>
      </c>
      <c r="Q2615" s="147" t="str">
        <f t="shared" si="85"/>
        <v/>
      </c>
      <c r="R2615" s="173"/>
      <c r="S2615" s="76"/>
      <c r="T2615" s="51" t="b">
        <v>0</v>
      </c>
      <c r="U2615" s="94"/>
    </row>
    <row r="2616" ht="30.0" customHeight="1">
      <c r="A2616" s="39"/>
      <c r="B2616" s="40"/>
      <c r="C2616" s="173"/>
      <c r="D2616" s="86"/>
      <c r="E2616" s="43" t="str">
        <f t="shared" si="82"/>
        <v/>
      </c>
      <c r="F2616" s="43" t="str">
        <f t="shared" si="83"/>
        <v/>
      </c>
      <c r="G2616" s="44"/>
      <c r="H2616" s="44"/>
      <c r="I2616" s="44"/>
      <c r="J2616" s="176"/>
      <c r="K2616" s="43" t="str">
        <f t="array" ref="K2616">IF(J2616="","", XLOOKUP(J2616,'⚙️ Pengaturan'!$E$2:$E3237,'⚙️ Pengaturan'!$G$2:$G3237))</f>
        <v/>
      </c>
      <c r="L2616" s="43" t="str">
        <f t="shared" si="84"/>
        <v/>
      </c>
      <c r="M2616" s="177"/>
      <c r="N2616" s="145"/>
      <c r="O2616" s="146"/>
      <c r="P2616" s="48" t="str">
        <f t="array" ref="P2616">IFNA(XLOOKUP(J2616,'⚙️ Pengaturan'!$E$2:$E3237,'⚙️ Pengaturan'!$F$2:$F3237),"")</f>
        <v/>
      </c>
      <c r="Q2616" s="147" t="str">
        <f t="shared" si="85"/>
        <v/>
      </c>
      <c r="R2616" s="173"/>
      <c r="S2616" s="76"/>
      <c r="T2616" s="51" t="b">
        <v>0</v>
      </c>
      <c r="U2616" s="94"/>
    </row>
    <row r="2617" ht="30.0" customHeight="1">
      <c r="A2617" s="39"/>
      <c r="B2617" s="40"/>
      <c r="C2617" s="173"/>
      <c r="D2617" s="86"/>
      <c r="E2617" s="43" t="str">
        <f t="shared" si="82"/>
        <v/>
      </c>
      <c r="F2617" s="43" t="str">
        <f t="shared" si="83"/>
        <v/>
      </c>
      <c r="G2617" s="44"/>
      <c r="H2617" s="44"/>
      <c r="I2617" s="44"/>
      <c r="J2617" s="176"/>
      <c r="K2617" s="43" t="str">
        <f t="array" ref="K2617">IF(J2617="","", XLOOKUP(J2617,'⚙️ Pengaturan'!$E$2:$E3237,'⚙️ Pengaturan'!$G$2:$G3237))</f>
        <v/>
      </c>
      <c r="L2617" s="43" t="str">
        <f t="shared" si="84"/>
        <v/>
      </c>
      <c r="M2617" s="177"/>
      <c r="N2617" s="145"/>
      <c r="O2617" s="146"/>
      <c r="P2617" s="48" t="str">
        <f t="array" ref="P2617">IFNA(XLOOKUP(J2617,'⚙️ Pengaturan'!$E$2:$E3237,'⚙️ Pengaturan'!$F$2:$F3237),"")</f>
        <v/>
      </c>
      <c r="Q2617" s="147" t="str">
        <f t="shared" si="85"/>
        <v/>
      </c>
      <c r="R2617" s="173"/>
      <c r="S2617" s="76"/>
      <c r="T2617" s="51" t="b">
        <v>0</v>
      </c>
      <c r="U2617" s="94"/>
    </row>
    <row r="2618" ht="30.0" customHeight="1">
      <c r="A2618" s="39"/>
      <c r="B2618" s="40"/>
      <c r="C2618" s="173"/>
      <c r="D2618" s="86"/>
      <c r="E2618" s="43" t="str">
        <f t="shared" si="82"/>
        <v/>
      </c>
      <c r="F2618" s="43" t="str">
        <f t="shared" si="83"/>
        <v/>
      </c>
      <c r="G2618" s="44"/>
      <c r="H2618" s="44"/>
      <c r="I2618" s="44"/>
      <c r="J2618" s="176"/>
      <c r="K2618" s="43" t="str">
        <f t="array" ref="K2618">IF(J2618="","", XLOOKUP(J2618,'⚙️ Pengaturan'!$E$2:$E3237,'⚙️ Pengaturan'!$G$2:$G3237))</f>
        <v/>
      </c>
      <c r="L2618" s="43" t="str">
        <f t="shared" si="84"/>
        <v/>
      </c>
      <c r="M2618" s="177"/>
      <c r="N2618" s="145"/>
      <c r="O2618" s="146"/>
      <c r="P2618" s="48" t="str">
        <f t="array" ref="P2618">IFNA(XLOOKUP(J2618,'⚙️ Pengaturan'!$E$2:$E3237,'⚙️ Pengaturan'!$F$2:$F3237),"")</f>
        <v/>
      </c>
      <c r="Q2618" s="147" t="str">
        <f t="shared" si="85"/>
        <v/>
      </c>
      <c r="R2618" s="173"/>
      <c r="S2618" s="76"/>
      <c r="T2618" s="51" t="b">
        <v>0</v>
      </c>
      <c r="U2618" s="94"/>
    </row>
    <row r="2619" ht="30.0" customHeight="1">
      <c r="A2619" s="39"/>
      <c r="B2619" s="40"/>
      <c r="C2619" s="173"/>
      <c r="D2619" s="86"/>
      <c r="E2619" s="43" t="str">
        <f t="shared" si="82"/>
        <v/>
      </c>
      <c r="F2619" s="43" t="str">
        <f t="shared" si="83"/>
        <v/>
      </c>
      <c r="G2619" s="44"/>
      <c r="H2619" s="44"/>
      <c r="I2619" s="44"/>
      <c r="J2619" s="176"/>
      <c r="K2619" s="43" t="str">
        <f t="array" ref="K2619">IF(J2619="","", XLOOKUP(J2619,'⚙️ Pengaturan'!$E$2:$E3237,'⚙️ Pengaturan'!$G$2:$G3237))</f>
        <v/>
      </c>
      <c r="L2619" s="43" t="str">
        <f t="shared" si="84"/>
        <v/>
      </c>
      <c r="M2619" s="177"/>
      <c r="N2619" s="145"/>
      <c r="O2619" s="146"/>
      <c r="P2619" s="48" t="str">
        <f t="array" ref="P2619">IFNA(XLOOKUP(J2619,'⚙️ Pengaturan'!$E$2:$E3237,'⚙️ Pengaturan'!$F$2:$F3237),"")</f>
        <v/>
      </c>
      <c r="Q2619" s="147" t="str">
        <f t="shared" si="85"/>
        <v/>
      </c>
      <c r="R2619" s="173"/>
      <c r="S2619" s="76"/>
      <c r="T2619" s="51" t="b">
        <v>0</v>
      </c>
      <c r="U2619" s="94"/>
    </row>
    <row r="2620" ht="30.0" customHeight="1">
      <c r="A2620" s="39"/>
      <c r="B2620" s="40"/>
      <c r="C2620" s="173"/>
      <c r="D2620" s="86"/>
      <c r="E2620" s="43" t="str">
        <f t="shared" si="82"/>
        <v/>
      </c>
      <c r="F2620" s="43" t="str">
        <f t="shared" si="83"/>
        <v/>
      </c>
      <c r="G2620" s="44"/>
      <c r="H2620" s="44"/>
      <c r="I2620" s="44"/>
      <c r="J2620" s="176"/>
      <c r="K2620" s="43" t="str">
        <f t="array" ref="K2620">IF(J2620="","", XLOOKUP(J2620,'⚙️ Pengaturan'!$E$2:$E3237,'⚙️ Pengaturan'!$G$2:$G3237))</f>
        <v/>
      </c>
      <c r="L2620" s="43" t="str">
        <f t="shared" si="84"/>
        <v/>
      </c>
      <c r="M2620" s="177"/>
      <c r="N2620" s="145"/>
      <c r="O2620" s="146"/>
      <c r="P2620" s="48" t="str">
        <f t="array" ref="P2620">IFNA(XLOOKUP(J2620,'⚙️ Pengaturan'!$E$2:$E3237,'⚙️ Pengaturan'!$F$2:$F3237),"")</f>
        <v/>
      </c>
      <c r="Q2620" s="147" t="str">
        <f t="shared" si="85"/>
        <v/>
      </c>
      <c r="R2620" s="173"/>
      <c r="S2620" s="76"/>
      <c r="T2620" s="51" t="b">
        <v>0</v>
      </c>
      <c r="U2620" s="94"/>
    </row>
    <row r="2621" ht="30.0" customHeight="1">
      <c r="A2621" s="39"/>
      <c r="B2621" s="40"/>
      <c r="C2621" s="173"/>
      <c r="D2621" s="86"/>
      <c r="E2621" s="43" t="str">
        <f t="shared" si="82"/>
        <v/>
      </c>
      <c r="F2621" s="43" t="str">
        <f t="shared" si="83"/>
        <v/>
      </c>
      <c r="G2621" s="44"/>
      <c r="H2621" s="44"/>
      <c r="I2621" s="44"/>
      <c r="J2621" s="176"/>
      <c r="K2621" s="43" t="str">
        <f t="array" ref="K2621">IF(J2621="","", XLOOKUP(J2621,'⚙️ Pengaturan'!$E$2:$E3237,'⚙️ Pengaturan'!$G$2:$G3237))</f>
        <v/>
      </c>
      <c r="L2621" s="43" t="str">
        <f t="shared" si="84"/>
        <v/>
      </c>
      <c r="M2621" s="177"/>
      <c r="N2621" s="145"/>
      <c r="O2621" s="146"/>
      <c r="P2621" s="48" t="str">
        <f t="array" ref="P2621">IFNA(XLOOKUP(J2621,'⚙️ Pengaturan'!$E$2:$E3237,'⚙️ Pengaturan'!$F$2:$F3237),"")</f>
        <v/>
      </c>
      <c r="Q2621" s="147" t="str">
        <f t="shared" si="85"/>
        <v/>
      </c>
      <c r="R2621" s="173"/>
      <c r="S2621" s="76"/>
      <c r="T2621" s="51" t="b">
        <v>0</v>
      </c>
      <c r="U2621" s="94"/>
    </row>
    <row r="2622" ht="30.0" customHeight="1">
      <c r="A2622" s="39"/>
      <c r="B2622" s="40"/>
      <c r="C2622" s="173"/>
      <c r="D2622" s="86"/>
      <c r="E2622" s="43" t="str">
        <f t="shared" si="82"/>
        <v/>
      </c>
      <c r="F2622" s="43" t="str">
        <f t="shared" si="83"/>
        <v/>
      </c>
      <c r="G2622" s="44"/>
      <c r="H2622" s="44"/>
      <c r="I2622" s="44"/>
      <c r="J2622" s="176"/>
      <c r="K2622" s="43" t="str">
        <f t="array" ref="K2622">IF(J2622="","", XLOOKUP(J2622,'⚙️ Pengaturan'!$E$2:$E3237,'⚙️ Pengaturan'!$G$2:$G3237))</f>
        <v/>
      </c>
      <c r="L2622" s="43" t="str">
        <f t="shared" si="84"/>
        <v/>
      </c>
      <c r="M2622" s="177"/>
      <c r="N2622" s="145"/>
      <c r="O2622" s="146"/>
      <c r="P2622" s="48" t="str">
        <f t="array" ref="P2622">IFNA(XLOOKUP(J2622,'⚙️ Pengaturan'!$E$2:$E3237,'⚙️ Pengaturan'!$F$2:$F3237),"")</f>
        <v/>
      </c>
      <c r="Q2622" s="147" t="str">
        <f t="shared" si="85"/>
        <v/>
      </c>
      <c r="R2622" s="173"/>
      <c r="S2622" s="76"/>
      <c r="T2622" s="51" t="b">
        <v>0</v>
      </c>
      <c r="U2622" s="94"/>
    </row>
    <row r="2623" ht="30.0" customHeight="1">
      <c r="A2623" s="39"/>
      <c r="B2623" s="40"/>
      <c r="C2623" s="173"/>
      <c r="D2623" s="86"/>
      <c r="E2623" s="43" t="str">
        <f t="shared" si="82"/>
        <v/>
      </c>
      <c r="F2623" s="43" t="str">
        <f t="shared" si="83"/>
        <v/>
      </c>
      <c r="G2623" s="44"/>
      <c r="H2623" s="44"/>
      <c r="I2623" s="44"/>
      <c r="J2623" s="176"/>
      <c r="K2623" s="43" t="str">
        <f t="array" ref="K2623">IF(J2623="","", XLOOKUP(J2623,'⚙️ Pengaturan'!$E$2:$E3237,'⚙️ Pengaturan'!$G$2:$G3237))</f>
        <v/>
      </c>
      <c r="L2623" s="43" t="str">
        <f t="shared" si="84"/>
        <v/>
      </c>
      <c r="M2623" s="177"/>
      <c r="N2623" s="145"/>
      <c r="O2623" s="146"/>
      <c r="P2623" s="48" t="str">
        <f t="array" ref="P2623">IFNA(XLOOKUP(J2623,'⚙️ Pengaturan'!$E$2:$E3237,'⚙️ Pengaturan'!$F$2:$F3237),"")</f>
        <v/>
      </c>
      <c r="Q2623" s="147" t="str">
        <f t="shared" si="85"/>
        <v/>
      </c>
      <c r="R2623" s="173"/>
      <c r="S2623" s="76"/>
      <c r="T2623" s="51" t="b">
        <v>0</v>
      </c>
      <c r="U2623" s="94"/>
    </row>
    <row r="2624" ht="30.0" customHeight="1">
      <c r="A2624" s="39"/>
      <c r="B2624" s="40"/>
      <c r="C2624" s="173"/>
      <c r="D2624" s="86"/>
      <c r="E2624" s="43" t="str">
        <f t="shared" si="82"/>
        <v/>
      </c>
      <c r="F2624" s="43" t="str">
        <f t="shared" si="83"/>
        <v/>
      </c>
      <c r="G2624" s="44"/>
      <c r="H2624" s="44"/>
      <c r="I2624" s="44"/>
      <c r="J2624" s="176"/>
      <c r="K2624" s="43" t="str">
        <f t="array" ref="K2624">IF(J2624="","", XLOOKUP(J2624,'⚙️ Pengaturan'!$E$2:$E3237,'⚙️ Pengaturan'!$G$2:$G3237))</f>
        <v/>
      </c>
      <c r="L2624" s="43" t="str">
        <f t="shared" si="84"/>
        <v/>
      </c>
      <c r="M2624" s="177"/>
      <c r="N2624" s="145"/>
      <c r="O2624" s="146"/>
      <c r="P2624" s="48" t="str">
        <f t="array" ref="P2624">IFNA(XLOOKUP(J2624,'⚙️ Pengaturan'!$E$2:$E3237,'⚙️ Pengaturan'!$F$2:$F3237),"")</f>
        <v/>
      </c>
      <c r="Q2624" s="147" t="str">
        <f t="shared" si="85"/>
        <v/>
      </c>
      <c r="R2624" s="173"/>
      <c r="S2624" s="76"/>
      <c r="T2624" s="51" t="b">
        <v>0</v>
      </c>
      <c r="U2624" s="94"/>
    </row>
    <row r="2625" ht="30.0" customHeight="1">
      <c r="A2625" s="39"/>
      <c r="B2625" s="40"/>
      <c r="C2625" s="173"/>
      <c r="D2625" s="86"/>
      <c r="E2625" s="43" t="str">
        <f t="shared" si="82"/>
        <v/>
      </c>
      <c r="F2625" s="43" t="str">
        <f t="shared" si="83"/>
        <v/>
      </c>
      <c r="G2625" s="44"/>
      <c r="H2625" s="44"/>
      <c r="I2625" s="44"/>
      <c r="J2625" s="176"/>
      <c r="K2625" s="43" t="str">
        <f t="array" ref="K2625">IF(J2625="","", XLOOKUP(J2625,'⚙️ Pengaturan'!$E$2:$E3237,'⚙️ Pengaturan'!$G$2:$G3237))</f>
        <v/>
      </c>
      <c r="L2625" s="43" t="str">
        <f t="shared" si="84"/>
        <v/>
      </c>
      <c r="M2625" s="177"/>
      <c r="N2625" s="145"/>
      <c r="O2625" s="146"/>
      <c r="P2625" s="48" t="str">
        <f t="array" ref="P2625">IFNA(XLOOKUP(J2625,'⚙️ Pengaturan'!$E$2:$E3237,'⚙️ Pengaturan'!$F$2:$F3237),"")</f>
        <v/>
      </c>
      <c r="Q2625" s="147" t="str">
        <f t="shared" si="85"/>
        <v/>
      </c>
      <c r="R2625" s="173"/>
      <c r="S2625" s="76"/>
      <c r="T2625" s="51" t="b">
        <v>0</v>
      </c>
      <c r="U2625" s="94"/>
    </row>
    <row r="2626" ht="30.0" customHeight="1">
      <c r="A2626" s="39"/>
      <c r="B2626" s="40"/>
      <c r="C2626" s="173"/>
      <c r="D2626" s="86"/>
      <c r="E2626" s="43" t="str">
        <f t="shared" si="82"/>
        <v/>
      </c>
      <c r="F2626" s="43" t="str">
        <f t="shared" si="83"/>
        <v/>
      </c>
      <c r="G2626" s="44"/>
      <c r="H2626" s="44"/>
      <c r="I2626" s="44"/>
      <c r="J2626" s="176"/>
      <c r="K2626" s="43" t="str">
        <f t="array" ref="K2626">IF(J2626="","", XLOOKUP(J2626,'⚙️ Pengaturan'!$E$2:$E3237,'⚙️ Pengaturan'!$G$2:$G3237))</f>
        <v/>
      </c>
      <c r="L2626" s="43" t="str">
        <f t="shared" si="84"/>
        <v/>
      </c>
      <c r="M2626" s="177"/>
      <c r="N2626" s="145"/>
      <c r="O2626" s="146"/>
      <c r="P2626" s="48" t="str">
        <f t="array" ref="P2626">IFNA(XLOOKUP(J2626,'⚙️ Pengaturan'!$E$2:$E3237,'⚙️ Pengaturan'!$F$2:$F3237),"")</f>
        <v/>
      </c>
      <c r="Q2626" s="147" t="str">
        <f t="shared" si="85"/>
        <v/>
      </c>
      <c r="R2626" s="173"/>
      <c r="S2626" s="76"/>
      <c r="T2626" s="51" t="b">
        <v>0</v>
      </c>
      <c r="U2626" s="94"/>
    </row>
    <row r="2627" ht="30.0" customHeight="1">
      <c r="A2627" s="39"/>
      <c r="B2627" s="40"/>
      <c r="C2627" s="173"/>
      <c r="D2627" s="86"/>
      <c r="E2627" s="43" t="str">
        <f t="shared" si="82"/>
        <v/>
      </c>
      <c r="F2627" s="43" t="str">
        <f t="shared" si="83"/>
        <v/>
      </c>
      <c r="G2627" s="44"/>
      <c r="H2627" s="44"/>
      <c r="I2627" s="44"/>
      <c r="J2627" s="176"/>
      <c r="K2627" s="43" t="str">
        <f t="array" ref="K2627">IF(J2627="","", XLOOKUP(J2627,'⚙️ Pengaturan'!$E$2:$E3237,'⚙️ Pengaturan'!$G$2:$G3237))</f>
        <v/>
      </c>
      <c r="L2627" s="43" t="str">
        <f t="shared" si="84"/>
        <v/>
      </c>
      <c r="M2627" s="177"/>
      <c r="N2627" s="145"/>
      <c r="O2627" s="146"/>
      <c r="P2627" s="48" t="str">
        <f t="array" ref="P2627">IFNA(XLOOKUP(J2627,'⚙️ Pengaturan'!$E$2:$E3237,'⚙️ Pengaturan'!$F$2:$F3237),"")</f>
        <v/>
      </c>
      <c r="Q2627" s="147" t="str">
        <f t="shared" si="85"/>
        <v/>
      </c>
      <c r="R2627" s="173"/>
      <c r="S2627" s="76"/>
      <c r="T2627" s="51" t="b">
        <v>0</v>
      </c>
      <c r="U2627" s="94"/>
    </row>
    <row r="2628" ht="30.0" customHeight="1">
      <c r="A2628" s="39"/>
      <c r="B2628" s="40"/>
      <c r="C2628" s="173"/>
      <c r="D2628" s="86"/>
      <c r="E2628" s="43" t="str">
        <f t="shared" si="82"/>
        <v/>
      </c>
      <c r="F2628" s="43" t="str">
        <f t="shared" si="83"/>
        <v/>
      </c>
      <c r="G2628" s="44"/>
      <c r="H2628" s="44"/>
      <c r="I2628" s="44"/>
      <c r="J2628" s="176"/>
      <c r="K2628" s="43" t="str">
        <f t="array" ref="K2628">IF(J2628="","", XLOOKUP(J2628,'⚙️ Pengaturan'!$E$2:$E3237,'⚙️ Pengaturan'!$G$2:$G3237))</f>
        <v/>
      </c>
      <c r="L2628" s="43" t="str">
        <f t="shared" si="84"/>
        <v/>
      </c>
      <c r="M2628" s="177"/>
      <c r="N2628" s="145"/>
      <c r="O2628" s="146"/>
      <c r="P2628" s="48" t="str">
        <f t="array" ref="P2628">IFNA(XLOOKUP(J2628,'⚙️ Pengaturan'!$E$2:$E3237,'⚙️ Pengaturan'!$F$2:$F3237),"")</f>
        <v/>
      </c>
      <c r="Q2628" s="147" t="str">
        <f t="shared" si="85"/>
        <v/>
      </c>
      <c r="R2628" s="173"/>
      <c r="S2628" s="76"/>
      <c r="T2628" s="51" t="b">
        <v>0</v>
      </c>
      <c r="U2628" s="94"/>
    </row>
    <row r="2629" ht="30.0" customHeight="1">
      <c r="A2629" s="39"/>
      <c r="B2629" s="40"/>
      <c r="C2629" s="173"/>
      <c r="D2629" s="86"/>
      <c r="E2629" s="43" t="str">
        <f t="shared" si="82"/>
        <v/>
      </c>
      <c r="F2629" s="43" t="str">
        <f t="shared" si="83"/>
        <v/>
      </c>
      <c r="G2629" s="44"/>
      <c r="H2629" s="44"/>
      <c r="I2629" s="44"/>
      <c r="J2629" s="176"/>
      <c r="K2629" s="43" t="str">
        <f t="array" ref="K2629">IF(J2629="","", XLOOKUP(J2629,'⚙️ Pengaturan'!$E$2:$E3237,'⚙️ Pengaturan'!$G$2:$G3237))</f>
        <v/>
      </c>
      <c r="L2629" s="43" t="str">
        <f t="shared" si="84"/>
        <v/>
      </c>
      <c r="M2629" s="177"/>
      <c r="N2629" s="145"/>
      <c r="O2629" s="146"/>
      <c r="P2629" s="48" t="str">
        <f t="array" ref="P2629">IFNA(XLOOKUP(J2629,'⚙️ Pengaturan'!$E$2:$E3237,'⚙️ Pengaturan'!$F$2:$F3237),"")</f>
        <v/>
      </c>
      <c r="Q2629" s="147" t="str">
        <f t="shared" si="85"/>
        <v/>
      </c>
      <c r="R2629" s="173"/>
      <c r="S2629" s="76"/>
      <c r="T2629" s="51" t="b">
        <v>0</v>
      </c>
      <c r="U2629" s="94"/>
    </row>
    <row r="2630" ht="30.0" customHeight="1">
      <c r="A2630" s="39"/>
      <c r="B2630" s="40"/>
      <c r="C2630" s="173"/>
      <c r="D2630" s="86"/>
      <c r="E2630" s="43" t="str">
        <f t="shared" si="82"/>
        <v/>
      </c>
      <c r="F2630" s="43" t="str">
        <f t="shared" si="83"/>
        <v/>
      </c>
      <c r="G2630" s="44"/>
      <c r="H2630" s="44"/>
      <c r="I2630" s="44"/>
      <c r="J2630" s="176"/>
      <c r="K2630" s="43" t="str">
        <f t="array" ref="K2630">IF(J2630="","", XLOOKUP(J2630,'⚙️ Pengaturan'!$E$2:$E3237,'⚙️ Pengaturan'!$G$2:$G3237))</f>
        <v/>
      </c>
      <c r="L2630" s="43" t="str">
        <f t="shared" si="84"/>
        <v/>
      </c>
      <c r="M2630" s="177"/>
      <c r="N2630" s="145"/>
      <c r="O2630" s="146"/>
      <c r="P2630" s="48" t="str">
        <f t="array" ref="P2630">IFNA(XLOOKUP(J2630,'⚙️ Pengaturan'!$E$2:$E3237,'⚙️ Pengaturan'!$F$2:$F3237),"")</f>
        <v/>
      </c>
      <c r="Q2630" s="147" t="str">
        <f t="shared" si="85"/>
        <v/>
      </c>
      <c r="R2630" s="173"/>
      <c r="S2630" s="76"/>
      <c r="T2630" s="51" t="b">
        <v>0</v>
      </c>
      <c r="U2630" s="94"/>
    </row>
    <row r="2631" ht="30.0" customHeight="1">
      <c r="A2631" s="39"/>
      <c r="B2631" s="40"/>
      <c r="C2631" s="173"/>
      <c r="D2631" s="86"/>
      <c r="E2631" s="43" t="str">
        <f t="shared" si="82"/>
        <v/>
      </c>
      <c r="F2631" s="43" t="str">
        <f t="shared" si="83"/>
        <v/>
      </c>
      <c r="G2631" s="44"/>
      <c r="H2631" s="44"/>
      <c r="I2631" s="44"/>
      <c r="J2631" s="176"/>
      <c r="K2631" s="43" t="str">
        <f t="array" ref="K2631">IF(J2631="","", XLOOKUP(J2631,'⚙️ Pengaturan'!$E$2:$E3237,'⚙️ Pengaturan'!$G$2:$G3237))</f>
        <v/>
      </c>
      <c r="L2631" s="43" t="str">
        <f t="shared" si="84"/>
        <v/>
      </c>
      <c r="M2631" s="177"/>
      <c r="N2631" s="145"/>
      <c r="O2631" s="146"/>
      <c r="P2631" s="48" t="str">
        <f t="array" ref="P2631">IFNA(XLOOKUP(J2631,'⚙️ Pengaturan'!$E$2:$E3237,'⚙️ Pengaturan'!$F$2:$F3237),"")</f>
        <v/>
      </c>
      <c r="Q2631" s="147" t="str">
        <f t="shared" si="85"/>
        <v/>
      </c>
      <c r="R2631" s="173"/>
      <c r="S2631" s="76"/>
      <c r="T2631" s="51" t="b">
        <v>0</v>
      </c>
      <c r="U2631" s="94"/>
    </row>
    <row r="2632" ht="30.0" customHeight="1">
      <c r="A2632" s="39"/>
      <c r="B2632" s="40"/>
      <c r="C2632" s="173"/>
      <c r="D2632" s="86"/>
      <c r="E2632" s="43" t="str">
        <f t="shared" si="82"/>
        <v/>
      </c>
      <c r="F2632" s="43" t="str">
        <f t="shared" si="83"/>
        <v/>
      </c>
      <c r="G2632" s="44"/>
      <c r="H2632" s="44"/>
      <c r="I2632" s="44"/>
      <c r="J2632" s="176"/>
      <c r="K2632" s="43" t="str">
        <f t="array" ref="K2632">IF(J2632="","", XLOOKUP(J2632,'⚙️ Pengaturan'!$E$2:$E3237,'⚙️ Pengaturan'!$G$2:$G3237))</f>
        <v/>
      </c>
      <c r="L2632" s="43" t="str">
        <f t="shared" si="84"/>
        <v/>
      </c>
      <c r="M2632" s="177"/>
      <c r="N2632" s="145"/>
      <c r="O2632" s="146"/>
      <c r="P2632" s="48" t="str">
        <f t="array" ref="P2632">IFNA(XLOOKUP(J2632,'⚙️ Pengaturan'!$E$2:$E3237,'⚙️ Pengaturan'!$F$2:$F3237),"")</f>
        <v/>
      </c>
      <c r="Q2632" s="147" t="str">
        <f t="shared" si="85"/>
        <v/>
      </c>
      <c r="R2632" s="173"/>
      <c r="S2632" s="76"/>
      <c r="T2632" s="51" t="b">
        <v>0</v>
      </c>
      <c r="U2632" s="94"/>
    </row>
    <row r="2633" ht="30.0" customHeight="1">
      <c r="A2633" s="39"/>
      <c r="B2633" s="40"/>
      <c r="C2633" s="173"/>
      <c r="D2633" s="86"/>
      <c r="E2633" s="43" t="str">
        <f t="shared" si="82"/>
        <v/>
      </c>
      <c r="F2633" s="43" t="str">
        <f t="shared" si="83"/>
        <v/>
      </c>
      <c r="G2633" s="44"/>
      <c r="H2633" s="44"/>
      <c r="I2633" s="44"/>
      <c r="J2633" s="176"/>
      <c r="K2633" s="43" t="str">
        <f t="array" ref="K2633">IF(J2633="","", XLOOKUP(J2633,'⚙️ Pengaturan'!$E$2:$E3237,'⚙️ Pengaturan'!$G$2:$G3237))</f>
        <v/>
      </c>
      <c r="L2633" s="43" t="str">
        <f t="shared" si="84"/>
        <v/>
      </c>
      <c r="M2633" s="177"/>
      <c r="N2633" s="145"/>
      <c r="O2633" s="146"/>
      <c r="P2633" s="48" t="str">
        <f t="array" ref="P2633">IFNA(XLOOKUP(J2633,'⚙️ Pengaturan'!$E$2:$E3237,'⚙️ Pengaturan'!$F$2:$F3237),"")</f>
        <v/>
      </c>
      <c r="Q2633" s="147" t="str">
        <f t="shared" si="85"/>
        <v/>
      </c>
      <c r="R2633" s="173"/>
      <c r="S2633" s="76"/>
      <c r="T2633" s="51" t="b">
        <v>0</v>
      </c>
      <c r="U2633" s="94"/>
    </row>
    <row r="2634" ht="30.0" customHeight="1">
      <c r="A2634" s="39"/>
      <c r="B2634" s="40"/>
      <c r="C2634" s="173"/>
      <c r="D2634" s="86"/>
      <c r="E2634" s="43" t="str">
        <f t="shared" si="82"/>
        <v/>
      </c>
      <c r="F2634" s="43" t="str">
        <f t="shared" si="83"/>
        <v/>
      </c>
      <c r="G2634" s="44"/>
      <c r="H2634" s="44"/>
      <c r="I2634" s="44"/>
      <c r="J2634" s="176"/>
      <c r="K2634" s="43" t="str">
        <f t="array" ref="K2634">IF(J2634="","", XLOOKUP(J2634,'⚙️ Pengaturan'!$E$2:$E3237,'⚙️ Pengaturan'!$G$2:$G3237))</f>
        <v/>
      </c>
      <c r="L2634" s="43" t="str">
        <f t="shared" si="84"/>
        <v/>
      </c>
      <c r="M2634" s="177"/>
      <c r="N2634" s="145"/>
      <c r="O2634" s="146"/>
      <c r="P2634" s="48" t="str">
        <f t="array" ref="P2634">IFNA(XLOOKUP(J2634,'⚙️ Pengaturan'!$E$2:$E3237,'⚙️ Pengaturan'!$F$2:$F3237),"")</f>
        <v/>
      </c>
      <c r="Q2634" s="147" t="str">
        <f t="shared" si="85"/>
        <v/>
      </c>
      <c r="R2634" s="173"/>
      <c r="S2634" s="76"/>
      <c r="T2634" s="51" t="b">
        <v>0</v>
      </c>
      <c r="U2634" s="94"/>
    </row>
    <row r="2635" ht="30.0" customHeight="1">
      <c r="A2635" s="39"/>
      <c r="B2635" s="40"/>
      <c r="C2635" s="173"/>
      <c r="D2635" s="86"/>
      <c r="E2635" s="43" t="str">
        <f t="shared" si="82"/>
        <v/>
      </c>
      <c r="F2635" s="43" t="str">
        <f t="shared" si="83"/>
        <v/>
      </c>
      <c r="G2635" s="44"/>
      <c r="H2635" s="44"/>
      <c r="I2635" s="44"/>
      <c r="J2635" s="176"/>
      <c r="K2635" s="43" t="str">
        <f t="array" ref="K2635">IF(J2635="","", XLOOKUP(J2635,'⚙️ Pengaturan'!$E$2:$E3237,'⚙️ Pengaturan'!$G$2:$G3237))</f>
        <v/>
      </c>
      <c r="L2635" s="43" t="str">
        <f t="shared" si="84"/>
        <v/>
      </c>
      <c r="M2635" s="177"/>
      <c r="N2635" s="145"/>
      <c r="O2635" s="146"/>
      <c r="P2635" s="48" t="str">
        <f t="array" ref="P2635">IFNA(XLOOKUP(J2635,'⚙️ Pengaturan'!$E$2:$E3237,'⚙️ Pengaturan'!$F$2:$F3237),"")</f>
        <v/>
      </c>
      <c r="Q2635" s="147" t="str">
        <f t="shared" si="85"/>
        <v/>
      </c>
      <c r="R2635" s="173"/>
      <c r="S2635" s="76"/>
      <c r="T2635" s="51" t="b">
        <v>0</v>
      </c>
      <c r="U2635" s="94"/>
    </row>
    <row r="2636" ht="30.0" customHeight="1">
      <c r="A2636" s="39"/>
      <c r="B2636" s="40"/>
      <c r="C2636" s="173"/>
      <c r="D2636" s="86"/>
      <c r="E2636" s="43" t="str">
        <f t="shared" si="82"/>
        <v/>
      </c>
      <c r="F2636" s="43" t="str">
        <f t="shared" si="83"/>
        <v/>
      </c>
      <c r="G2636" s="44"/>
      <c r="H2636" s="44"/>
      <c r="I2636" s="44"/>
      <c r="J2636" s="176"/>
      <c r="K2636" s="43" t="str">
        <f t="array" ref="K2636">IF(J2636="","", XLOOKUP(J2636,'⚙️ Pengaturan'!$E$2:$E3237,'⚙️ Pengaturan'!$G$2:$G3237))</f>
        <v/>
      </c>
      <c r="L2636" s="43" t="str">
        <f t="shared" si="84"/>
        <v/>
      </c>
      <c r="M2636" s="177"/>
      <c r="N2636" s="145"/>
      <c r="O2636" s="146"/>
      <c r="P2636" s="48" t="str">
        <f t="array" ref="P2636">IFNA(XLOOKUP(J2636,'⚙️ Pengaturan'!$E$2:$E3237,'⚙️ Pengaturan'!$F$2:$F3237),"")</f>
        <v/>
      </c>
      <c r="Q2636" s="147" t="str">
        <f t="shared" si="85"/>
        <v/>
      </c>
      <c r="R2636" s="173"/>
      <c r="S2636" s="76"/>
      <c r="T2636" s="51" t="b">
        <v>0</v>
      </c>
      <c r="U2636" s="94"/>
    </row>
    <row r="2637" ht="30.0" customHeight="1">
      <c r="A2637" s="39"/>
      <c r="B2637" s="40"/>
      <c r="C2637" s="173"/>
      <c r="D2637" s="86"/>
      <c r="E2637" s="43" t="str">
        <f t="shared" si="82"/>
        <v/>
      </c>
      <c r="F2637" s="43" t="str">
        <f t="shared" si="83"/>
        <v/>
      </c>
      <c r="G2637" s="44"/>
      <c r="H2637" s="44"/>
      <c r="I2637" s="44"/>
      <c r="J2637" s="176"/>
      <c r="K2637" s="43" t="str">
        <f t="array" ref="K2637">IF(J2637="","", XLOOKUP(J2637,'⚙️ Pengaturan'!$E$2:$E3237,'⚙️ Pengaturan'!$G$2:$G3237))</f>
        <v/>
      </c>
      <c r="L2637" s="43" t="str">
        <f t="shared" si="84"/>
        <v/>
      </c>
      <c r="M2637" s="177"/>
      <c r="N2637" s="145"/>
      <c r="O2637" s="146"/>
      <c r="P2637" s="48" t="str">
        <f t="array" ref="P2637">IFNA(XLOOKUP(J2637,'⚙️ Pengaturan'!$E$2:$E3237,'⚙️ Pengaturan'!$F$2:$F3237),"")</f>
        <v/>
      </c>
      <c r="Q2637" s="147" t="str">
        <f t="shared" si="85"/>
        <v/>
      </c>
      <c r="R2637" s="173"/>
      <c r="S2637" s="76"/>
      <c r="T2637" s="51" t="b">
        <v>0</v>
      </c>
      <c r="U2637" s="94"/>
    </row>
    <row r="2638" ht="30.0" customHeight="1">
      <c r="A2638" s="39"/>
      <c r="B2638" s="40"/>
      <c r="C2638" s="173"/>
      <c r="D2638" s="86"/>
      <c r="E2638" s="43" t="str">
        <f t="shared" si="82"/>
        <v/>
      </c>
      <c r="F2638" s="43" t="str">
        <f t="shared" si="83"/>
        <v/>
      </c>
      <c r="G2638" s="44"/>
      <c r="H2638" s="44"/>
      <c r="I2638" s="44"/>
      <c r="J2638" s="176"/>
      <c r="K2638" s="43" t="str">
        <f t="array" ref="K2638">IF(J2638="","", XLOOKUP(J2638,'⚙️ Pengaturan'!$E$2:$E3237,'⚙️ Pengaturan'!$G$2:$G3237))</f>
        <v/>
      </c>
      <c r="L2638" s="43" t="str">
        <f t="shared" si="84"/>
        <v/>
      </c>
      <c r="M2638" s="177"/>
      <c r="N2638" s="145"/>
      <c r="O2638" s="146"/>
      <c r="P2638" s="48" t="str">
        <f t="array" ref="P2638">IFNA(XLOOKUP(J2638,'⚙️ Pengaturan'!$E$2:$E3237,'⚙️ Pengaturan'!$F$2:$F3237),"")</f>
        <v/>
      </c>
      <c r="Q2638" s="147" t="str">
        <f t="shared" si="85"/>
        <v/>
      </c>
      <c r="R2638" s="173"/>
      <c r="S2638" s="76"/>
      <c r="T2638" s="51" t="b">
        <v>0</v>
      </c>
      <c r="U2638" s="94"/>
    </row>
    <row r="2639" ht="30.0" customHeight="1">
      <c r="A2639" s="39"/>
      <c r="B2639" s="40"/>
      <c r="C2639" s="173"/>
      <c r="D2639" s="86"/>
      <c r="E2639" s="43" t="str">
        <f t="shared" si="82"/>
        <v/>
      </c>
      <c r="F2639" s="43" t="str">
        <f t="shared" si="83"/>
        <v/>
      </c>
      <c r="G2639" s="44"/>
      <c r="H2639" s="44"/>
      <c r="I2639" s="44"/>
      <c r="J2639" s="176"/>
      <c r="K2639" s="43" t="str">
        <f t="array" ref="K2639">IF(J2639="","", XLOOKUP(J2639,'⚙️ Pengaturan'!$E$2:$E3237,'⚙️ Pengaturan'!$G$2:$G3237))</f>
        <v/>
      </c>
      <c r="L2639" s="43" t="str">
        <f t="shared" si="84"/>
        <v/>
      </c>
      <c r="M2639" s="177"/>
      <c r="N2639" s="145"/>
      <c r="O2639" s="146"/>
      <c r="P2639" s="48" t="str">
        <f t="array" ref="P2639">IFNA(XLOOKUP(J2639,'⚙️ Pengaturan'!$E$2:$E3237,'⚙️ Pengaturan'!$F$2:$F3237),"")</f>
        <v/>
      </c>
      <c r="Q2639" s="147" t="str">
        <f t="shared" si="85"/>
        <v/>
      </c>
      <c r="R2639" s="173"/>
      <c r="S2639" s="76"/>
      <c r="T2639" s="51" t="b">
        <v>0</v>
      </c>
      <c r="U2639" s="94"/>
    </row>
    <row r="2640" ht="30.0" customHeight="1">
      <c r="A2640" s="39"/>
      <c r="B2640" s="40"/>
      <c r="C2640" s="173"/>
      <c r="D2640" s="86"/>
      <c r="E2640" s="43" t="str">
        <f t="shared" si="82"/>
        <v/>
      </c>
      <c r="F2640" s="43" t="str">
        <f t="shared" si="83"/>
        <v/>
      </c>
      <c r="G2640" s="44"/>
      <c r="H2640" s="44"/>
      <c r="I2640" s="44"/>
      <c r="J2640" s="176"/>
      <c r="K2640" s="43" t="str">
        <f t="array" ref="K2640">IF(J2640="","", XLOOKUP(J2640,'⚙️ Pengaturan'!$E$2:$E3237,'⚙️ Pengaturan'!$G$2:$G3237))</f>
        <v/>
      </c>
      <c r="L2640" s="43" t="str">
        <f t="shared" si="84"/>
        <v/>
      </c>
      <c r="M2640" s="177"/>
      <c r="N2640" s="145"/>
      <c r="O2640" s="146"/>
      <c r="P2640" s="48" t="str">
        <f t="array" ref="P2640">IFNA(XLOOKUP(J2640,'⚙️ Pengaturan'!$E$2:$E3237,'⚙️ Pengaturan'!$F$2:$F3237),"")</f>
        <v/>
      </c>
      <c r="Q2640" s="147" t="str">
        <f t="shared" si="85"/>
        <v/>
      </c>
      <c r="R2640" s="173"/>
      <c r="S2640" s="76"/>
      <c r="T2640" s="51" t="b">
        <v>0</v>
      </c>
      <c r="U2640" s="94"/>
    </row>
    <row r="2641" ht="30.0" customHeight="1">
      <c r="A2641" s="39"/>
      <c r="B2641" s="40"/>
      <c r="C2641" s="173"/>
      <c r="D2641" s="86"/>
      <c r="E2641" s="43" t="str">
        <f t="shared" si="82"/>
        <v/>
      </c>
      <c r="F2641" s="43" t="str">
        <f t="shared" si="83"/>
        <v/>
      </c>
      <c r="G2641" s="44"/>
      <c r="H2641" s="44"/>
      <c r="I2641" s="44"/>
      <c r="J2641" s="176"/>
      <c r="K2641" s="43" t="str">
        <f t="array" ref="K2641">IF(J2641="","", XLOOKUP(J2641,'⚙️ Pengaturan'!$E$2:$E3237,'⚙️ Pengaturan'!$G$2:$G3237))</f>
        <v/>
      </c>
      <c r="L2641" s="43" t="str">
        <f t="shared" si="84"/>
        <v/>
      </c>
      <c r="M2641" s="177"/>
      <c r="N2641" s="145"/>
      <c r="O2641" s="146"/>
      <c r="P2641" s="48" t="str">
        <f t="array" ref="P2641">IFNA(XLOOKUP(J2641,'⚙️ Pengaturan'!$E$2:$E3237,'⚙️ Pengaturan'!$F$2:$F3237),"")</f>
        <v/>
      </c>
      <c r="Q2641" s="147" t="str">
        <f t="shared" si="85"/>
        <v/>
      </c>
      <c r="R2641" s="173"/>
      <c r="S2641" s="76"/>
      <c r="T2641" s="51" t="b">
        <v>0</v>
      </c>
      <c r="U2641" s="94"/>
    </row>
    <row r="2642" ht="30.0" customHeight="1">
      <c r="A2642" s="39"/>
      <c r="B2642" s="40"/>
      <c r="C2642" s="173"/>
      <c r="D2642" s="86"/>
      <c r="E2642" s="43" t="str">
        <f t="shared" si="82"/>
        <v/>
      </c>
      <c r="F2642" s="43" t="str">
        <f t="shared" si="83"/>
        <v/>
      </c>
      <c r="G2642" s="44"/>
      <c r="H2642" s="44"/>
      <c r="I2642" s="44"/>
      <c r="J2642" s="176"/>
      <c r="K2642" s="43" t="str">
        <f t="array" ref="K2642">IF(J2642="","", XLOOKUP(J2642,'⚙️ Pengaturan'!$E$2:$E3237,'⚙️ Pengaturan'!$G$2:$G3237))</f>
        <v/>
      </c>
      <c r="L2642" s="43" t="str">
        <f t="shared" si="84"/>
        <v/>
      </c>
      <c r="M2642" s="177"/>
      <c r="N2642" s="145"/>
      <c r="O2642" s="146"/>
      <c r="P2642" s="48" t="str">
        <f t="array" ref="P2642">IFNA(XLOOKUP(J2642,'⚙️ Pengaturan'!$E$2:$E3237,'⚙️ Pengaturan'!$F$2:$F3237),"")</f>
        <v/>
      </c>
      <c r="Q2642" s="147" t="str">
        <f t="shared" si="85"/>
        <v/>
      </c>
      <c r="R2642" s="173"/>
      <c r="S2642" s="76"/>
      <c r="T2642" s="51" t="b">
        <v>0</v>
      </c>
      <c r="U2642" s="94"/>
    </row>
    <row r="2643" ht="30.0" customHeight="1">
      <c r="A2643" s="39"/>
      <c r="B2643" s="40"/>
      <c r="C2643" s="173"/>
      <c r="D2643" s="86"/>
      <c r="E2643" s="43" t="str">
        <f t="shared" si="82"/>
        <v/>
      </c>
      <c r="F2643" s="43" t="str">
        <f t="shared" si="83"/>
        <v/>
      </c>
      <c r="G2643" s="44"/>
      <c r="H2643" s="44"/>
      <c r="I2643" s="44"/>
      <c r="J2643" s="176"/>
      <c r="K2643" s="43" t="str">
        <f t="array" ref="K2643">IF(J2643="","", XLOOKUP(J2643,'⚙️ Pengaturan'!$E$2:$E3237,'⚙️ Pengaturan'!$G$2:$G3237))</f>
        <v/>
      </c>
      <c r="L2643" s="43" t="str">
        <f t="shared" si="84"/>
        <v/>
      </c>
      <c r="M2643" s="177"/>
      <c r="N2643" s="145"/>
      <c r="O2643" s="146"/>
      <c r="P2643" s="48" t="str">
        <f t="array" ref="P2643">IFNA(XLOOKUP(J2643,'⚙️ Pengaturan'!$E$2:$E3237,'⚙️ Pengaturan'!$F$2:$F3237),"")</f>
        <v/>
      </c>
      <c r="Q2643" s="147" t="str">
        <f t="shared" si="85"/>
        <v/>
      </c>
      <c r="R2643" s="173"/>
      <c r="S2643" s="76"/>
      <c r="T2643" s="51" t="b">
        <v>0</v>
      </c>
      <c r="U2643" s="94"/>
    </row>
    <row r="2644" ht="30.0" customHeight="1">
      <c r="A2644" s="39"/>
      <c r="B2644" s="40"/>
      <c r="C2644" s="173"/>
      <c r="D2644" s="86"/>
      <c r="E2644" s="43" t="str">
        <f t="shared" si="82"/>
        <v/>
      </c>
      <c r="F2644" s="43" t="str">
        <f t="shared" si="83"/>
        <v/>
      </c>
      <c r="G2644" s="44"/>
      <c r="H2644" s="44"/>
      <c r="I2644" s="44"/>
      <c r="J2644" s="176"/>
      <c r="K2644" s="43" t="str">
        <f t="array" ref="K2644">IF(J2644="","", XLOOKUP(J2644,'⚙️ Pengaturan'!$E$2:$E3237,'⚙️ Pengaturan'!$G$2:$G3237))</f>
        <v/>
      </c>
      <c r="L2644" s="43" t="str">
        <f t="shared" si="84"/>
        <v/>
      </c>
      <c r="M2644" s="177"/>
      <c r="N2644" s="145"/>
      <c r="O2644" s="146"/>
      <c r="P2644" s="48" t="str">
        <f t="array" ref="P2644">IFNA(XLOOKUP(J2644,'⚙️ Pengaturan'!$E$2:$E3237,'⚙️ Pengaturan'!$F$2:$F3237),"")</f>
        <v/>
      </c>
      <c r="Q2644" s="147" t="str">
        <f t="shared" si="85"/>
        <v/>
      </c>
      <c r="R2644" s="173"/>
      <c r="S2644" s="76"/>
      <c r="T2644" s="51" t="b">
        <v>0</v>
      </c>
      <c r="U2644" s="94"/>
    </row>
    <row r="2645" ht="30.0" customHeight="1">
      <c r="A2645" s="39"/>
      <c r="B2645" s="40"/>
      <c r="C2645" s="173"/>
      <c r="D2645" s="86"/>
      <c r="E2645" s="43" t="str">
        <f t="shared" si="82"/>
        <v/>
      </c>
      <c r="F2645" s="43" t="str">
        <f t="shared" si="83"/>
        <v/>
      </c>
      <c r="G2645" s="44"/>
      <c r="H2645" s="44"/>
      <c r="I2645" s="44"/>
      <c r="J2645" s="176"/>
      <c r="K2645" s="43" t="str">
        <f t="array" ref="K2645">IF(J2645="","", XLOOKUP(J2645,'⚙️ Pengaturan'!$E$2:$E3237,'⚙️ Pengaturan'!$G$2:$G3237))</f>
        <v/>
      </c>
      <c r="L2645" s="43" t="str">
        <f t="shared" si="84"/>
        <v/>
      </c>
      <c r="M2645" s="177"/>
      <c r="N2645" s="145"/>
      <c r="O2645" s="146"/>
      <c r="P2645" s="48" t="str">
        <f t="array" ref="P2645">IFNA(XLOOKUP(J2645,'⚙️ Pengaturan'!$E$2:$E3237,'⚙️ Pengaturan'!$F$2:$F3237),"")</f>
        <v/>
      </c>
      <c r="Q2645" s="147" t="str">
        <f t="shared" si="85"/>
        <v/>
      </c>
      <c r="R2645" s="173"/>
      <c r="S2645" s="76"/>
      <c r="T2645" s="51" t="b">
        <v>0</v>
      </c>
      <c r="U2645" s="94"/>
    </row>
    <row r="2646" ht="30.0" customHeight="1">
      <c r="A2646" s="39"/>
      <c r="B2646" s="40"/>
      <c r="C2646" s="173"/>
      <c r="D2646" s="86"/>
      <c r="E2646" s="43" t="str">
        <f t="shared" si="82"/>
        <v/>
      </c>
      <c r="F2646" s="43" t="str">
        <f t="shared" si="83"/>
        <v/>
      </c>
      <c r="G2646" s="44"/>
      <c r="H2646" s="44"/>
      <c r="I2646" s="44"/>
      <c r="J2646" s="176"/>
      <c r="K2646" s="43" t="str">
        <f t="array" ref="K2646">IF(J2646="","", XLOOKUP(J2646,'⚙️ Pengaturan'!$E$2:$E3237,'⚙️ Pengaturan'!$G$2:$G3237))</f>
        <v/>
      </c>
      <c r="L2646" s="43" t="str">
        <f t="shared" si="84"/>
        <v/>
      </c>
      <c r="M2646" s="177"/>
      <c r="N2646" s="145"/>
      <c r="O2646" s="146"/>
      <c r="P2646" s="48" t="str">
        <f t="array" ref="P2646">IFNA(XLOOKUP(J2646,'⚙️ Pengaturan'!$E$2:$E3237,'⚙️ Pengaturan'!$F$2:$F3237),"")</f>
        <v/>
      </c>
      <c r="Q2646" s="147" t="str">
        <f t="shared" si="85"/>
        <v/>
      </c>
      <c r="R2646" s="173"/>
      <c r="S2646" s="76"/>
      <c r="T2646" s="51" t="b">
        <v>0</v>
      </c>
      <c r="U2646" s="94"/>
    </row>
    <row r="2647" ht="30.0" customHeight="1">
      <c r="A2647" s="39"/>
      <c r="B2647" s="40"/>
      <c r="C2647" s="173"/>
      <c r="D2647" s="86"/>
      <c r="E2647" s="43" t="str">
        <f t="shared" si="82"/>
        <v/>
      </c>
      <c r="F2647" s="43" t="str">
        <f t="shared" si="83"/>
        <v/>
      </c>
      <c r="G2647" s="44"/>
      <c r="H2647" s="44"/>
      <c r="I2647" s="44"/>
      <c r="J2647" s="176"/>
      <c r="K2647" s="43" t="str">
        <f t="array" ref="K2647">IF(J2647="","", XLOOKUP(J2647,'⚙️ Pengaturan'!$E$2:$E3237,'⚙️ Pengaturan'!$G$2:$G3237))</f>
        <v/>
      </c>
      <c r="L2647" s="43" t="str">
        <f t="shared" si="84"/>
        <v/>
      </c>
      <c r="M2647" s="177"/>
      <c r="N2647" s="145"/>
      <c r="O2647" s="146"/>
      <c r="P2647" s="48" t="str">
        <f t="array" ref="P2647">IFNA(XLOOKUP(J2647,'⚙️ Pengaturan'!$E$2:$E3237,'⚙️ Pengaturan'!$F$2:$F3237),"")</f>
        <v/>
      </c>
      <c r="Q2647" s="147" t="str">
        <f t="shared" si="85"/>
        <v/>
      </c>
      <c r="R2647" s="173"/>
      <c r="S2647" s="76"/>
      <c r="T2647" s="51" t="b">
        <v>0</v>
      </c>
      <c r="U2647" s="94"/>
    </row>
    <row r="2648" ht="30.0" customHeight="1">
      <c r="A2648" s="39"/>
      <c r="B2648" s="40"/>
      <c r="C2648" s="173"/>
      <c r="D2648" s="86"/>
      <c r="E2648" s="43" t="str">
        <f t="shared" si="82"/>
        <v/>
      </c>
      <c r="F2648" s="43" t="str">
        <f t="shared" si="83"/>
        <v/>
      </c>
      <c r="G2648" s="44"/>
      <c r="H2648" s="44"/>
      <c r="I2648" s="44"/>
      <c r="J2648" s="176"/>
      <c r="K2648" s="43" t="str">
        <f t="array" ref="K2648">IF(J2648="","", XLOOKUP(J2648,'⚙️ Pengaturan'!$E$2:$E3237,'⚙️ Pengaturan'!$G$2:$G3237))</f>
        <v/>
      </c>
      <c r="L2648" s="43" t="str">
        <f t="shared" si="84"/>
        <v/>
      </c>
      <c r="M2648" s="177"/>
      <c r="N2648" s="145"/>
      <c r="O2648" s="146"/>
      <c r="P2648" s="48" t="str">
        <f t="array" ref="P2648">IFNA(XLOOKUP(J2648,'⚙️ Pengaturan'!$E$2:$E3237,'⚙️ Pengaturan'!$F$2:$F3237),"")</f>
        <v/>
      </c>
      <c r="Q2648" s="147" t="str">
        <f t="shared" si="85"/>
        <v/>
      </c>
      <c r="R2648" s="173"/>
      <c r="S2648" s="76"/>
      <c r="T2648" s="51" t="b">
        <v>0</v>
      </c>
      <c r="U2648" s="94"/>
    </row>
    <row r="2649" ht="30.0" customHeight="1">
      <c r="A2649" s="39"/>
      <c r="B2649" s="40"/>
      <c r="C2649" s="173"/>
      <c r="D2649" s="86"/>
      <c r="E2649" s="43" t="str">
        <f t="shared" si="82"/>
        <v/>
      </c>
      <c r="F2649" s="43" t="str">
        <f t="shared" si="83"/>
        <v/>
      </c>
      <c r="G2649" s="44"/>
      <c r="H2649" s="44"/>
      <c r="I2649" s="44"/>
      <c r="J2649" s="176"/>
      <c r="K2649" s="43" t="str">
        <f t="array" ref="K2649">IF(J2649="","", XLOOKUP(J2649,'⚙️ Pengaturan'!$E$2:$E3237,'⚙️ Pengaturan'!$G$2:$G3237))</f>
        <v/>
      </c>
      <c r="L2649" s="43" t="str">
        <f t="shared" si="84"/>
        <v/>
      </c>
      <c r="M2649" s="177"/>
      <c r="N2649" s="145"/>
      <c r="O2649" s="146"/>
      <c r="P2649" s="48" t="str">
        <f t="array" ref="P2649">IFNA(XLOOKUP(J2649,'⚙️ Pengaturan'!$E$2:$E3237,'⚙️ Pengaturan'!$F$2:$F3237),"")</f>
        <v/>
      </c>
      <c r="Q2649" s="147" t="str">
        <f t="shared" si="85"/>
        <v/>
      </c>
      <c r="R2649" s="173"/>
      <c r="S2649" s="76"/>
      <c r="T2649" s="51" t="b">
        <v>0</v>
      </c>
      <c r="U2649" s="94"/>
    </row>
    <row r="2650" ht="30.0" customHeight="1">
      <c r="A2650" s="39"/>
      <c r="B2650" s="40"/>
      <c r="C2650" s="173"/>
      <c r="D2650" s="86"/>
      <c r="E2650" s="43" t="str">
        <f t="shared" si="82"/>
        <v/>
      </c>
      <c r="F2650" s="43" t="str">
        <f t="shared" si="83"/>
        <v/>
      </c>
      <c r="G2650" s="44"/>
      <c r="H2650" s="44"/>
      <c r="I2650" s="44"/>
      <c r="J2650" s="176"/>
      <c r="K2650" s="43" t="str">
        <f t="array" ref="K2650">IF(J2650="","", XLOOKUP(J2650,'⚙️ Pengaturan'!$E$2:$E3237,'⚙️ Pengaturan'!$G$2:$G3237))</f>
        <v/>
      </c>
      <c r="L2650" s="43" t="str">
        <f t="shared" si="84"/>
        <v/>
      </c>
      <c r="M2650" s="177"/>
      <c r="N2650" s="145"/>
      <c r="O2650" s="146"/>
      <c r="P2650" s="48" t="str">
        <f t="array" ref="P2650">IFNA(XLOOKUP(J2650,'⚙️ Pengaturan'!$E$2:$E3237,'⚙️ Pengaturan'!$F$2:$F3237),"")</f>
        <v/>
      </c>
      <c r="Q2650" s="147" t="str">
        <f t="shared" si="85"/>
        <v/>
      </c>
      <c r="R2650" s="173"/>
      <c r="S2650" s="76"/>
      <c r="T2650" s="51" t="b">
        <v>0</v>
      </c>
      <c r="U2650" s="94"/>
    </row>
    <row r="2651" ht="30.0" customHeight="1">
      <c r="A2651" s="39"/>
      <c r="B2651" s="40"/>
      <c r="C2651" s="173"/>
      <c r="D2651" s="86"/>
      <c r="E2651" s="43" t="str">
        <f t="shared" si="82"/>
        <v/>
      </c>
      <c r="F2651" s="43" t="str">
        <f t="shared" si="83"/>
        <v/>
      </c>
      <c r="G2651" s="44"/>
      <c r="H2651" s="44"/>
      <c r="I2651" s="44"/>
      <c r="J2651" s="176"/>
      <c r="K2651" s="43" t="str">
        <f t="array" ref="K2651">IF(J2651="","", XLOOKUP(J2651,'⚙️ Pengaturan'!$E$2:$E3237,'⚙️ Pengaturan'!$G$2:$G3237))</f>
        <v/>
      </c>
      <c r="L2651" s="43" t="str">
        <f t="shared" si="84"/>
        <v/>
      </c>
      <c r="M2651" s="177"/>
      <c r="N2651" s="145"/>
      <c r="O2651" s="146"/>
      <c r="P2651" s="48" t="str">
        <f t="array" ref="P2651">IFNA(XLOOKUP(J2651,'⚙️ Pengaturan'!$E$2:$E3237,'⚙️ Pengaturan'!$F$2:$F3237),"")</f>
        <v/>
      </c>
      <c r="Q2651" s="147" t="str">
        <f t="shared" si="85"/>
        <v/>
      </c>
      <c r="R2651" s="173"/>
      <c r="S2651" s="76"/>
      <c r="T2651" s="51" t="b">
        <v>0</v>
      </c>
      <c r="U2651" s="94"/>
    </row>
    <row r="2652" ht="30.0" customHeight="1">
      <c r="A2652" s="39"/>
      <c r="B2652" s="40"/>
      <c r="C2652" s="173"/>
      <c r="D2652" s="86"/>
      <c r="E2652" s="43" t="str">
        <f t="shared" si="82"/>
        <v/>
      </c>
      <c r="F2652" s="43" t="str">
        <f t="shared" si="83"/>
        <v/>
      </c>
      <c r="G2652" s="44"/>
      <c r="H2652" s="44"/>
      <c r="I2652" s="44"/>
      <c r="J2652" s="176"/>
      <c r="K2652" s="43" t="str">
        <f t="array" ref="K2652">IF(J2652="","", XLOOKUP(J2652,'⚙️ Pengaturan'!$E$2:$E3237,'⚙️ Pengaturan'!$G$2:$G3237))</f>
        <v/>
      </c>
      <c r="L2652" s="43" t="str">
        <f t="shared" si="84"/>
        <v/>
      </c>
      <c r="M2652" s="177"/>
      <c r="N2652" s="145"/>
      <c r="O2652" s="146"/>
      <c r="P2652" s="48" t="str">
        <f t="array" ref="P2652">IFNA(XLOOKUP(J2652,'⚙️ Pengaturan'!$E$2:$E3237,'⚙️ Pengaturan'!$F$2:$F3237),"")</f>
        <v/>
      </c>
      <c r="Q2652" s="147" t="str">
        <f t="shared" si="85"/>
        <v/>
      </c>
      <c r="R2652" s="173"/>
      <c r="S2652" s="76"/>
      <c r="T2652" s="51" t="b">
        <v>0</v>
      </c>
      <c r="U2652" s="94"/>
    </row>
    <row r="2653" ht="30.0" customHeight="1">
      <c r="A2653" s="39"/>
      <c r="B2653" s="40"/>
      <c r="C2653" s="173"/>
      <c r="D2653" s="86"/>
      <c r="E2653" s="43" t="str">
        <f t="shared" si="82"/>
        <v/>
      </c>
      <c r="F2653" s="43" t="str">
        <f t="shared" si="83"/>
        <v/>
      </c>
      <c r="G2653" s="44"/>
      <c r="H2653" s="44"/>
      <c r="I2653" s="44"/>
      <c r="J2653" s="176"/>
      <c r="K2653" s="43" t="str">
        <f t="array" ref="K2653">IF(J2653="","", XLOOKUP(J2653,'⚙️ Pengaturan'!$E$2:$E3237,'⚙️ Pengaturan'!$G$2:$G3237))</f>
        <v/>
      </c>
      <c r="L2653" s="43" t="str">
        <f t="shared" si="84"/>
        <v/>
      </c>
      <c r="M2653" s="177"/>
      <c r="N2653" s="145"/>
      <c r="O2653" s="146"/>
      <c r="P2653" s="48" t="str">
        <f t="array" ref="P2653">IFNA(XLOOKUP(J2653,'⚙️ Pengaturan'!$E$2:$E3237,'⚙️ Pengaturan'!$F$2:$F3237),"")</f>
        <v/>
      </c>
      <c r="Q2653" s="147" t="str">
        <f t="shared" si="85"/>
        <v/>
      </c>
      <c r="R2653" s="173"/>
      <c r="S2653" s="76"/>
      <c r="T2653" s="51" t="b">
        <v>0</v>
      </c>
      <c r="U2653" s="94"/>
    </row>
    <row r="2654" ht="30.0" customHeight="1">
      <c r="A2654" s="39"/>
      <c r="B2654" s="40"/>
      <c r="C2654" s="173"/>
      <c r="D2654" s="86"/>
      <c r="E2654" s="43" t="str">
        <f t="shared" si="82"/>
        <v/>
      </c>
      <c r="F2654" s="43" t="str">
        <f t="shared" si="83"/>
        <v/>
      </c>
      <c r="G2654" s="44"/>
      <c r="H2654" s="44"/>
      <c r="I2654" s="44"/>
      <c r="J2654" s="176"/>
      <c r="K2654" s="43" t="str">
        <f t="array" ref="K2654">IF(J2654="","", XLOOKUP(J2654,'⚙️ Pengaturan'!$E$2:$E3237,'⚙️ Pengaturan'!$G$2:$G3237))</f>
        <v/>
      </c>
      <c r="L2654" s="43" t="str">
        <f t="shared" si="84"/>
        <v/>
      </c>
      <c r="M2654" s="177"/>
      <c r="N2654" s="145"/>
      <c r="O2654" s="146"/>
      <c r="P2654" s="48" t="str">
        <f t="array" ref="P2654">IFNA(XLOOKUP(J2654,'⚙️ Pengaturan'!$E$2:$E3237,'⚙️ Pengaturan'!$F$2:$F3237),"")</f>
        <v/>
      </c>
      <c r="Q2654" s="147" t="str">
        <f t="shared" si="85"/>
        <v/>
      </c>
      <c r="R2654" s="173"/>
      <c r="S2654" s="76"/>
      <c r="T2654" s="51" t="b">
        <v>0</v>
      </c>
      <c r="U2654" s="94"/>
    </row>
    <row r="2655" ht="30.0" customHeight="1">
      <c r="A2655" s="39"/>
      <c r="B2655" s="40"/>
      <c r="C2655" s="173"/>
      <c r="D2655" s="86"/>
      <c r="E2655" s="43" t="str">
        <f t="shared" si="82"/>
        <v/>
      </c>
      <c r="F2655" s="43" t="str">
        <f t="shared" si="83"/>
        <v/>
      </c>
      <c r="G2655" s="44"/>
      <c r="H2655" s="44"/>
      <c r="I2655" s="44"/>
      <c r="J2655" s="176"/>
      <c r="K2655" s="43" t="str">
        <f t="array" ref="K2655">IF(J2655="","", XLOOKUP(J2655,'⚙️ Pengaturan'!$E$2:$E3237,'⚙️ Pengaturan'!$G$2:$G3237))</f>
        <v/>
      </c>
      <c r="L2655" s="43" t="str">
        <f t="shared" si="84"/>
        <v/>
      </c>
      <c r="M2655" s="177"/>
      <c r="N2655" s="145"/>
      <c r="O2655" s="146"/>
      <c r="P2655" s="48" t="str">
        <f t="array" ref="P2655">IFNA(XLOOKUP(J2655,'⚙️ Pengaturan'!$E$2:$E3237,'⚙️ Pengaturan'!$F$2:$F3237),"")</f>
        <v/>
      </c>
      <c r="Q2655" s="147" t="str">
        <f t="shared" si="85"/>
        <v/>
      </c>
      <c r="R2655" s="173"/>
      <c r="S2655" s="76"/>
      <c r="T2655" s="51" t="b">
        <v>0</v>
      </c>
      <c r="U2655" s="94"/>
    </row>
    <row r="2656" ht="30.0" customHeight="1">
      <c r="A2656" s="39"/>
      <c r="B2656" s="40"/>
      <c r="C2656" s="173"/>
      <c r="D2656" s="86"/>
      <c r="E2656" s="43" t="str">
        <f t="shared" si="82"/>
        <v/>
      </c>
      <c r="F2656" s="43" t="str">
        <f t="shared" si="83"/>
        <v/>
      </c>
      <c r="G2656" s="44"/>
      <c r="H2656" s="44"/>
      <c r="I2656" s="44"/>
      <c r="J2656" s="176"/>
      <c r="K2656" s="43" t="str">
        <f t="array" ref="K2656">IF(J2656="","", XLOOKUP(J2656,'⚙️ Pengaturan'!$E$2:$E3237,'⚙️ Pengaturan'!$G$2:$G3237))</f>
        <v/>
      </c>
      <c r="L2656" s="43" t="str">
        <f t="shared" si="84"/>
        <v/>
      </c>
      <c r="M2656" s="177"/>
      <c r="N2656" s="145"/>
      <c r="O2656" s="146"/>
      <c r="P2656" s="48" t="str">
        <f t="array" ref="P2656">IFNA(XLOOKUP(J2656,'⚙️ Pengaturan'!$E$2:$E3237,'⚙️ Pengaturan'!$F$2:$F3237),"")</f>
        <v/>
      </c>
      <c r="Q2656" s="147" t="str">
        <f t="shared" si="85"/>
        <v/>
      </c>
      <c r="R2656" s="173"/>
      <c r="S2656" s="76"/>
      <c r="T2656" s="51" t="b">
        <v>0</v>
      </c>
      <c r="U2656" s="94"/>
    </row>
    <row r="2657" ht="30.0" customHeight="1">
      <c r="A2657" s="39"/>
      <c r="B2657" s="40"/>
      <c r="C2657" s="173"/>
      <c r="D2657" s="86"/>
      <c r="E2657" s="43" t="str">
        <f t="shared" si="82"/>
        <v/>
      </c>
      <c r="F2657" s="43" t="str">
        <f t="shared" si="83"/>
        <v/>
      </c>
      <c r="G2657" s="44"/>
      <c r="H2657" s="44"/>
      <c r="I2657" s="44"/>
      <c r="J2657" s="176"/>
      <c r="K2657" s="43" t="str">
        <f t="array" ref="K2657">IF(J2657="","", XLOOKUP(J2657,'⚙️ Pengaturan'!$E$2:$E3237,'⚙️ Pengaturan'!$G$2:$G3237))</f>
        <v/>
      </c>
      <c r="L2657" s="43" t="str">
        <f t="shared" si="84"/>
        <v/>
      </c>
      <c r="M2657" s="177"/>
      <c r="N2657" s="145"/>
      <c r="O2657" s="146"/>
      <c r="P2657" s="48" t="str">
        <f t="array" ref="P2657">IFNA(XLOOKUP(J2657,'⚙️ Pengaturan'!$E$2:$E3237,'⚙️ Pengaturan'!$F$2:$F3237),"")</f>
        <v/>
      </c>
      <c r="Q2657" s="147" t="str">
        <f t="shared" si="85"/>
        <v/>
      </c>
      <c r="R2657" s="173"/>
      <c r="S2657" s="76"/>
      <c r="T2657" s="51" t="b">
        <v>0</v>
      </c>
      <c r="U2657" s="94"/>
    </row>
    <row r="2658" ht="30.0" customHeight="1">
      <c r="A2658" s="39"/>
      <c r="B2658" s="40"/>
      <c r="C2658" s="173"/>
      <c r="D2658" s="86"/>
      <c r="E2658" s="43" t="str">
        <f t="shared" si="82"/>
        <v/>
      </c>
      <c r="F2658" s="43" t="str">
        <f t="shared" si="83"/>
        <v/>
      </c>
      <c r="G2658" s="44"/>
      <c r="H2658" s="44"/>
      <c r="I2658" s="44"/>
      <c r="J2658" s="176"/>
      <c r="K2658" s="43" t="str">
        <f t="array" ref="K2658">IF(J2658="","", XLOOKUP(J2658,'⚙️ Pengaturan'!$E$2:$E3237,'⚙️ Pengaturan'!$G$2:$G3237))</f>
        <v/>
      </c>
      <c r="L2658" s="43" t="str">
        <f t="shared" si="84"/>
        <v/>
      </c>
      <c r="M2658" s="177"/>
      <c r="N2658" s="145"/>
      <c r="O2658" s="146"/>
      <c r="P2658" s="48" t="str">
        <f t="array" ref="P2658">IFNA(XLOOKUP(J2658,'⚙️ Pengaturan'!$E$2:$E3237,'⚙️ Pengaturan'!$F$2:$F3237),"")</f>
        <v/>
      </c>
      <c r="Q2658" s="147" t="str">
        <f t="shared" si="85"/>
        <v/>
      </c>
      <c r="R2658" s="173"/>
      <c r="S2658" s="76"/>
      <c r="T2658" s="51" t="b">
        <v>0</v>
      </c>
      <c r="U2658" s="94"/>
    </row>
    <row r="2659" ht="30.0" customHeight="1">
      <c r="A2659" s="39"/>
      <c r="B2659" s="40"/>
      <c r="C2659" s="173"/>
      <c r="D2659" s="86"/>
      <c r="E2659" s="43" t="str">
        <f t="shared" si="82"/>
        <v/>
      </c>
      <c r="F2659" s="43" t="str">
        <f t="shared" si="83"/>
        <v/>
      </c>
      <c r="G2659" s="44"/>
      <c r="H2659" s="44"/>
      <c r="I2659" s="44"/>
      <c r="J2659" s="176"/>
      <c r="K2659" s="43" t="str">
        <f t="array" ref="K2659">IF(J2659="","", XLOOKUP(J2659,'⚙️ Pengaturan'!$E$2:$E3237,'⚙️ Pengaturan'!$G$2:$G3237))</f>
        <v/>
      </c>
      <c r="L2659" s="43" t="str">
        <f t="shared" si="84"/>
        <v/>
      </c>
      <c r="M2659" s="177"/>
      <c r="N2659" s="145"/>
      <c r="O2659" s="146"/>
      <c r="P2659" s="48" t="str">
        <f t="array" ref="P2659">IFNA(XLOOKUP(J2659,'⚙️ Pengaturan'!$E$2:$E3237,'⚙️ Pengaturan'!$F$2:$F3237),"")</f>
        <v/>
      </c>
      <c r="Q2659" s="147" t="str">
        <f t="shared" si="85"/>
        <v/>
      </c>
      <c r="R2659" s="173"/>
      <c r="S2659" s="76"/>
      <c r="T2659" s="51" t="b">
        <v>0</v>
      </c>
      <c r="U2659" s="94"/>
    </row>
    <row r="2660" ht="30.0" customHeight="1">
      <c r="A2660" s="39"/>
      <c r="B2660" s="40"/>
      <c r="C2660" s="173"/>
      <c r="D2660" s="86"/>
      <c r="E2660" s="43" t="str">
        <f t="shared" si="82"/>
        <v/>
      </c>
      <c r="F2660" s="43" t="str">
        <f t="shared" si="83"/>
        <v/>
      </c>
      <c r="G2660" s="44"/>
      <c r="H2660" s="44"/>
      <c r="I2660" s="44"/>
      <c r="J2660" s="176"/>
      <c r="K2660" s="43" t="str">
        <f t="array" ref="K2660">IF(J2660="","", XLOOKUP(J2660,'⚙️ Pengaturan'!$E$2:$E3237,'⚙️ Pengaturan'!$G$2:$G3237))</f>
        <v/>
      </c>
      <c r="L2660" s="43" t="str">
        <f t="shared" si="84"/>
        <v/>
      </c>
      <c r="M2660" s="177"/>
      <c r="N2660" s="145"/>
      <c r="O2660" s="146"/>
      <c r="P2660" s="48" t="str">
        <f t="array" ref="P2660">IFNA(XLOOKUP(J2660,'⚙️ Pengaturan'!$E$2:$E3237,'⚙️ Pengaturan'!$F$2:$F3237),"")</f>
        <v/>
      </c>
      <c r="Q2660" s="147" t="str">
        <f t="shared" si="85"/>
        <v/>
      </c>
      <c r="R2660" s="173"/>
      <c r="S2660" s="76"/>
      <c r="T2660" s="51" t="b">
        <v>0</v>
      </c>
      <c r="U2660" s="94"/>
    </row>
    <row r="2661" ht="30.0" customHeight="1">
      <c r="A2661" s="39"/>
      <c r="B2661" s="40"/>
      <c r="C2661" s="173"/>
      <c r="D2661" s="86"/>
      <c r="E2661" s="43" t="str">
        <f t="shared" si="82"/>
        <v/>
      </c>
      <c r="F2661" s="43" t="str">
        <f t="shared" si="83"/>
        <v/>
      </c>
      <c r="G2661" s="44"/>
      <c r="H2661" s="44"/>
      <c r="I2661" s="44"/>
      <c r="J2661" s="176"/>
      <c r="K2661" s="43" t="str">
        <f t="array" ref="K2661">IF(J2661="","", XLOOKUP(J2661,'⚙️ Pengaturan'!$E$2:$E3237,'⚙️ Pengaturan'!$G$2:$G3237))</f>
        <v/>
      </c>
      <c r="L2661" s="43" t="str">
        <f t="shared" si="84"/>
        <v/>
      </c>
      <c r="M2661" s="177"/>
      <c r="N2661" s="145"/>
      <c r="O2661" s="146"/>
      <c r="P2661" s="48" t="str">
        <f t="array" ref="P2661">IFNA(XLOOKUP(J2661,'⚙️ Pengaturan'!$E$2:$E3237,'⚙️ Pengaturan'!$F$2:$F3237),"")</f>
        <v/>
      </c>
      <c r="Q2661" s="147" t="str">
        <f t="shared" si="85"/>
        <v/>
      </c>
      <c r="R2661" s="173"/>
      <c r="S2661" s="76"/>
      <c r="T2661" s="51" t="b">
        <v>0</v>
      </c>
      <c r="U2661" s="94"/>
    </row>
    <row r="2662" ht="30.0" customHeight="1">
      <c r="A2662" s="39"/>
      <c r="B2662" s="40"/>
      <c r="C2662" s="173"/>
      <c r="D2662" s="86"/>
      <c r="E2662" s="43" t="str">
        <f t="shared" si="82"/>
        <v/>
      </c>
      <c r="F2662" s="43" t="str">
        <f t="shared" si="83"/>
        <v/>
      </c>
      <c r="G2662" s="44"/>
      <c r="H2662" s="44"/>
      <c r="I2662" s="44"/>
      <c r="J2662" s="176"/>
      <c r="K2662" s="43" t="str">
        <f t="array" ref="K2662">IF(J2662="","", XLOOKUP(J2662,'⚙️ Pengaturan'!$E$2:$E3237,'⚙️ Pengaturan'!$G$2:$G3237))</f>
        <v/>
      </c>
      <c r="L2662" s="43" t="str">
        <f t="shared" si="84"/>
        <v/>
      </c>
      <c r="M2662" s="177"/>
      <c r="N2662" s="145"/>
      <c r="O2662" s="146"/>
      <c r="P2662" s="48" t="str">
        <f t="array" ref="P2662">IFNA(XLOOKUP(J2662,'⚙️ Pengaturan'!$E$2:$E3237,'⚙️ Pengaturan'!$F$2:$F3237),"")</f>
        <v/>
      </c>
      <c r="Q2662" s="147" t="str">
        <f t="shared" si="85"/>
        <v/>
      </c>
      <c r="R2662" s="173"/>
      <c r="S2662" s="76"/>
      <c r="T2662" s="51" t="b">
        <v>0</v>
      </c>
      <c r="U2662" s="94"/>
    </row>
    <row r="2663" ht="30.0" customHeight="1">
      <c r="A2663" s="39"/>
      <c r="B2663" s="40"/>
      <c r="C2663" s="173"/>
      <c r="D2663" s="86"/>
      <c r="E2663" s="43" t="str">
        <f t="shared" si="82"/>
        <v/>
      </c>
      <c r="F2663" s="43" t="str">
        <f t="shared" si="83"/>
        <v/>
      </c>
      <c r="G2663" s="44"/>
      <c r="H2663" s="44"/>
      <c r="I2663" s="44"/>
      <c r="J2663" s="176"/>
      <c r="K2663" s="43" t="str">
        <f t="array" ref="K2663">IF(J2663="","", XLOOKUP(J2663,'⚙️ Pengaturan'!$E$2:$E3237,'⚙️ Pengaturan'!$G$2:$G3237))</f>
        <v/>
      </c>
      <c r="L2663" s="43" t="str">
        <f t="shared" si="84"/>
        <v/>
      </c>
      <c r="M2663" s="177"/>
      <c r="N2663" s="145"/>
      <c r="O2663" s="146"/>
      <c r="P2663" s="48" t="str">
        <f t="array" ref="P2663">IFNA(XLOOKUP(J2663,'⚙️ Pengaturan'!$E$2:$E3237,'⚙️ Pengaturan'!$F$2:$F3237),"")</f>
        <v/>
      </c>
      <c r="Q2663" s="147" t="str">
        <f t="shared" si="85"/>
        <v/>
      </c>
      <c r="R2663" s="173"/>
      <c r="S2663" s="76"/>
      <c r="T2663" s="51" t="b">
        <v>0</v>
      </c>
      <c r="U2663" s="94"/>
    </row>
    <row r="2664" ht="30.0" customHeight="1">
      <c r="A2664" s="39"/>
      <c r="B2664" s="40"/>
      <c r="C2664" s="173"/>
      <c r="D2664" s="86"/>
      <c r="E2664" s="43" t="str">
        <f t="shared" si="82"/>
        <v/>
      </c>
      <c r="F2664" s="43" t="str">
        <f t="shared" si="83"/>
        <v/>
      </c>
      <c r="G2664" s="44"/>
      <c r="H2664" s="44"/>
      <c r="I2664" s="44"/>
      <c r="J2664" s="176"/>
      <c r="K2664" s="43" t="str">
        <f t="array" ref="K2664">IF(J2664="","", XLOOKUP(J2664,'⚙️ Pengaturan'!$E$2:$E3237,'⚙️ Pengaturan'!$G$2:$G3237))</f>
        <v/>
      </c>
      <c r="L2664" s="43" t="str">
        <f t="shared" si="84"/>
        <v/>
      </c>
      <c r="M2664" s="177"/>
      <c r="N2664" s="145"/>
      <c r="O2664" s="146"/>
      <c r="P2664" s="48" t="str">
        <f t="array" ref="P2664">IFNA(XLOOKUP(J2664,'⚙️ Pengaturan'!$E$2:$E3237,'⚙️ Pengaturan'!$F$2:$F3237),"")</f>
        <v/>
      </c>
      <c r="Q2664" s="147" t="str">
        <f t="shared" si="85"/>
        <v/>
      </c>
      <c r="R2664" s="173"/>
      <c r="S2664" s="76"/>
      <c r="T2664" s="51" t="b">
        <v>0</v>
      </c>
      <c r="U2664" s="94"/>
    </row>
    <row r="2665" ht="30.0" customHeight="1">
      <c r="A2665" s="39"/>
      <c r="B2665" s="40"/>
      <c r="C2665" s="173"/>
      <c r="D2665" s="86"/>
      <c r="E2665" s="43" t="str">
        <f t="shared" si="82"/>
        <v/>
      </c>
      <c r="F2665" s="43" t="str">
        <f t="shared" si="83"/>
        <v/>
      </c>
      <c r="G2665" s="44"/>
      <c r="H2665" s="44"/>
      <c r="I2665" s="44"/>
      <c r="J2665" s="176"/>
      <c r="K2665" s="43" t="str">
        <f t="array" ref="K2665">IF(J2665="","", XLOOKUP(J2665,'⚙️ Pengaturan'!$E$2:$E3237,'⚙️ Pengaturan'!$G$2:$G3237))</f>
        <v/>
      </c>
      <c r="L2665" s="43" t="str">
        <f t="shared" si="84"/>
        <v/>
      </c>
      <c r="M2665" s="177"/>
      <c r="N2665" s="145"/>
      <c r="O2665" s="146"/>
      <c r="P2665" s="48" t="str">
        <f t="array" ref="P2665">IFNA(XLOOKUP(J2665,'⚙️ Pengaturan'!$E$2:$E3237,'⚙️ Pengaturan'!$F$2:$F3237),"")</f>
        <v/>
      </c>
      <c r="Q2665" s="147" t="str">
        <f t="shared" si="85"/>
        <v/>
      </c>
      <c r="R2665" s="173"/>
      <c r="S2665" s="76"/>
      <c r="T2665" s="51" t="b">
        <v>0</v>
      </c>
      <c r="U2665" s="94"/>
    </row>
    <row r="2666" ht="30.0" customHeight="1">
      <c r="A2666" s="39"/>
      <c r="B2666" s="40"/>
      <c r="C2666" s="173"/>
      <c r="D2666" s="86"/>
      <c r="E2666" s="43" t="str">
        <f t="shared" si="82"/>
        <v/>
      </c>
      <c r="F2666" s="43" t="str">
        <f t="shared" si="83"/>
        <v/>
      </c>
      <c r="G2666" s="44"/>
      <c r="H2666" s="44"/>
      <c r="I2666" s="44"/>
      <c r="J2666" s="176"/>
      <c r="K2666" s="43" t="str">
        <f t="array" ref="K2666">IF(J2666="","", XLOOKUP(J2666,'⚙️ Pengaturan'!$E$2:$E3237,'⚙️ Pengaturan'!$G$2:$G3237))</f>
        <v/>
      </c>
      <c r="L2666" s="43" t="str">
        <f t="shared" si="84"/>
        <v/>
      </c>
      <c r="M2666" s="177"/>
      <c r="N2666" s="145"/>
      <c r="O2666" s="146"/>
      <c r="P2666" s="48" t="str">
        <f t="array" ref="P2666">IFNA(XLOOKUP(J2666,'⚙️ Pengaturan'!$E$2:$E3237,'⚙️ Pengaturan'!$F$2:$F3237),"")</f>
        <v/>
      </c>
      <c r="Q2666" s="147" t="str">
        <f t="shared" si="85"/>
        <v/>
      </c>
      <c r="R2666" s="173"/>
      <c r="S2666" s="76"/>
      <c r="T2666" s="51" t="b">
        <v>0</v>
      </c>
      <c r="U2666" s="94"/>
    </row>
    <row r="2667" ht="30.0" customHeight="1">
      <c r="A2667" s="39"/>
      <c r="B2667" s="40"/>
      <c r="C2667" s="173"/>
      <c r="D2667" s="86"/>
      <c r="E2667" s="43" t="str">
        <f t="shared" si="82"/>
        <v/>
      </c>
      <c r="F2667" s="43" t="str">
        <f t="shared" si="83"/>
        <v/>
      </c>
      <c r="G2667" s="44"/>
      <c r="H2667" s="44"/>
      <c r="I2667" s="44"/>
      <c r="J2667" s="176"/>
      <c r="K2667" s="43" t="str">
        <f t="array" ref="K2667">IF(J2667="","", XLOOKUP(J2667,'⚙️ Pengaturan'!$E$2:$E3237,'⚙️ Pengaturan'!$G$2:$G3237))</f>
        <v/>
      </c>
      <c r="L2667" s="43" t="str">
        <f t="shared" si="84"/>
        <v/>
      </c>
      <c r="M2667" s="177"/>
      <c r="N2667" s="145"/>
      <c r="O2667" s="146"/>
      <c r="P2667" s="48" t="str">
        <f t="array" ref="P2667">IFNA(XLOOKUP(J2667,'⚙️ Pengaturan'!$E$2:$E3237,'⚙️ Pengaturan'!$F$2:$F3237),"")</f>
        <v/>
      </c>
      <c r="Q2667" s="147" t="str">
        <f t="shared" si="85"/>
        <v/>
      </c>
      <c r="R2667" s="173"/>
      <c r="S2667" s="76"/>
      <c r="T2667" s="51" t="b">
        <v>0</v>
      </c>
      <c r="U2667" s="94"/>
    </row>
    <row r="2668" ht="30.0" customHeight="1">
      <c r="A2668" s="39"/>
      <c r="B2668" s="40"/>
      <c r="C2668" s="173"/>
      <c r="D2668" s="86"/>
      <c r="E2668" s="43" t="str">
        <f t="shared" si="82"/>
        <v/>
      </c>
      <c r="F2668" s="43" t="str">
        <f t="shared" si="83"/>
        <v/>
      </c>
      <c r="G2668" s="44"/>
      <c r="H2668" s="44"/>
      <c r="I2668" s="44"/>
      <c r="J2668" s="176"/>
      <c r="K2668" s="43" t="str">
        <f t="array" ref="K2668">IF(J2668="","", XLOOKUP(J2668,'⚙️ Pengaturan'!$E$2:$E3237,'⚙️ Pengaturan'!$G$2:$G3237))</f>
        <v/>
      </c>
      <c r="L2668" s="43" t="str">
        <f t="shared" si="84"/>
        <v/>
      </c>
      <c r="M2668" s="177"/>
      <c r="N2668" s="145"/>
      <c r="O2668" s="146"/>
      <c r="P2668" s="48" t="str">
        <f t="array" ref="P2668">IFNA(XLOOKUP(J2668,'⚙️ Pengaturan'!$E$2:$E3237,'⚙️ Pengaturan'!$F$2:$F3237),"")</f>
        <v/>
      </c>
      <c r="Q2668" s="147" t="str">
        <f t="shared" si="85"/>
        <v/>
      </c>
      <c r="R2668" s="173"/>
      <c r="S2668" s="76"/>
      <c r="T2668" s="51" t="b">
        <v>0</v>
      </c>
      <c r="U2668" s="94"/>
    </row>
    <row r="2669" ht="30.0" customHeight="1">
      <c r="A2669" s="39"/>
      <c r="B2669" s="40"/>
      <c r="C2669" s="173"/>
      <c r="D2669" s="86"/>
      <c r="E2669" s="43" t="str">
        <f t="shared" si="82"/>
        <v/>
      </c>
      <c r="F2669" s="43" t="str">
        <f t="shared" si="83"/>
        <v/>
      </c>
      <c r="G2669" s="44"/>
      <c r="H2669" s="44"/>
      <c r="I2669" s="44"/>
      <c r="J2669" s="176"/>
      <c r="K2669" s="43" t="str">
        <f t="array" ref="K2669">IF(J2669="","", XLOOKUP(J2669,'⚙️ Pengaturan'!$E$2:$E3237,'⚙️ Pengaturan'!$G$2:$G3237))</f>
        <v/>
      </c>
      <c r="L2669" s="43" t="str">
        <f t="shared" si="84"/>
        <v/>
      </c>
      <c r="M2669" s="177"/>
      <c r="N2669" s="145"/>
      <c r="O2669" s="146"/>
      <c r="P2669" s="48" t="str">
        <f t="array" ref="P2669">IFNA(XLOOKUP(J2669,'⚙️ Pengaturan'!$E$2:$E3237,'⚙️ Pengaturan'!$F$2:$F3237),"")</f>
        <v/>
      </c>
      <c r="Q2669" s="147" t="str">
        <f t="shared" si="85"/>
        <v/>
      </c>
      <c r="R2669" s="173"/>
      <c r="S2669" s="76"/>
      <c r="T2669" s="51" t="b">
        <v>0</v>
      </c>
      <c r="U2669" s="94"/>
    </row>
    <row r="2670" ht="30.0" customHeight="1">
      <c r="A2670" s="39"/>
      <c r="B2670" s="40"/>
      <c r="C2670" s="173"/>
      <c r="D2670" s="86"/>
      <c r="E2670" s="43" t="str">
        <f t="shared" si="82"/>
        <v/>
      </c>
      <c r="F2670" s="43" t="str">
        <f t="shared" si="83"/>
        <v/>
      </c>
      <c r="G2670" s="44"/>
      <c r="H2670" s="44"/>
      <c r="I2670" s="44"/>
      <c r="J2670" s="176"/>
      <c r="K2670" s="43" t="str">
        <f t="array" ref="K2670">IF(J2670="","", XLOOKUP(J2670,'⚙️ Pengaturan'!$E$2:$E3237,'⚙️ Pengaturan'!$G$2:$G3237))</f>
        <v/>
      </c>
      <c r="L2670" s="43" t="str">
        <f t="shared" si="84"/>
        <v/>
      </c>
      <c r="M2670" s="177"/>
      <c r="N2670" s="145"/>
      <c r="O2670" s="146"/>
      <c r="P2670" s="48" t="str">
        <f t="array" ref="P2670">IFNA(XLOOKUP(J2670,'⚙️ Pengaturan'!$E$2:$E3237,'⚙️ Pengaturan'!$F$2:$F3237),"")</f>
        <v/>
      </c>
      <c r="Q2670" s="147" t="str">
        <f t="shared" si="85"/>
        <v/>
      </c>
      <c r="R2670" s="173"/>
      <c r="S2670" s="76"/>
      <c r="T2670" s="51" t="b">
        <v>0</v>
      </c>
      <c r="U2670" s="94"/>
    </row>
    <row r="2671" ht="30.0" customHeight="1">
      <c r="A2671" s="39"/>
      <c r="B2671" s="40"/>
      <c r="C2671" s="173"/>
      <c r="D2671" s="86"/>
      <c r="E2671" s="43" t="str">
        <f t="shared" si="82"/>
        <v/>
      </c>
      <c r="F2671" s="43" t="str">
        <f t="shared" si="83"/>
        <v/>
      </c>
      <c r="G2671" s="44"/>
      <c r="H2671" s="44"/>
      <c r="I2671" s="44"/>
      <c r="J2671" s="176"/>
      <c r="K2671" s="43" t="str">
        <f t="array" ref="K2671">IF(J2671="","", XLOOKUP(J2671,'⚙️ Pengaturan'!$E$2:$E3237,'⚙️ Pengaturan'!$G$2:$G3237))</f>
        <v/>
      </c>
      <c r="L2671" s="43" t="str">
        <f t="shared" si="84"/>
        <v/>
      </c>
      <c r="M2671" s="177"/>
      <c r="N2671" s="145"/>
      <c r="O2671" s="146"/>
      <c r="P2671" s="48" t="str">
        <f t="array" ref="P2671">IFNA(XLOOKUP(J2671,'⚙️ Pengaturan'!$E$2:$E3237,'⚙️ Pengaturan'!$F$2:$F3237),"")</f>
        <v/>
      </c>
      <c r="Q2671" s="147" t="str">
        <f t="shared" si="85"/>
        <v/>
      </c>
      <c r="R2671" s="173"/>
      <c r="S2671" s="76"/>
      <c r="T2671" s="51" t="b">
        <v>0</v>
      </c>
      <c r="U2671" s="94"/>
    </row>
    <row r="2672" ht="30.0" customHeight="1">
      <c r="A2672" s="39"/>
      <c r="B2672" s="40"/>
      <c r="C2672" s="173"/>
      <c r="D2672" s="86"/>
      <c r="E2672" s="43" t="str">
        <f t="shared" si="82"/>
        <v/>
      </c>
      <c r="F2672" s="43" t="str">
        <f t="shared" si="83"/>
        <v/>
      </c>
      <c r="G2672" s="44"/>
      <c r="H2672" s="44"/>
      <c r="I2672" s="44"/>
      <c r="J2672" s="176"/>
      <c r="K2672" s="43" t="str">
        <f t="array" ref="K2672">IF(J2672="","", XLOOKUP(J2672,'⚙️ Pengaturan'!$E$2:$E3237,'⚙️ Pengaturan'!$G$2:$G3237))</f>
        <v/>
      </c>
      <c r="L2672" s="43" t="str">
        <f t="shared" si="84"/>
        <v/>
      </c>
      <c r="M2672" s="177"/>
      <c r="N2672" s="145"/>
      <c r="O2672" s="146"/>
      <c r="P2672" s="48" t="str">
        <f t="array" ref="P2672">IFNA(XLOOKUP(J2672,'⚙️ Pengaturan'!$E$2:$E3237,'⚙️ Pengaturan'!$F$2:$F3237),"")</f>
        <v/>
      </c>
      <c r="Q2672" s="147" t="str">
        <f t="shared" si="85"/>
        <v/>
      </c>
      <c r="R2672" s="173"/>
      <c r="S2672" s="76"/>
      <c r="T2672" s="51" t="b">
        <v>0</v>
      </c>
      <c r="U2672" s="94"/>
    </row>
    <row r="2673" ht="30.0" customHeight="1">
      <c r="A2673" s="39"/>
      <c r="B2673" s="40"/>
      <c r="C2673" s="173"/>
      <c r="D2673" s="86"/>
      <c r="E2673" s="43" t="str">
        <f t="shared" si="82"/>
        <v/>
      </c>
      <c r="F2673" s="43" t="str">
        <f t="shared" si="83"/>
        <v/>
      </c>
      <c r="G2673" s="44"/>
      <c r="H2673" s="44"/>
      <c r="I2673" s="44"/>
      <c r="J2673" s="176"/>
      <c r="K2673" s="43" t="str">
        <f t="array" ref="K2673">IF(J2673="","", XLOOKUP(J2673,'⚙️ Pengaturan'!$E$2:$E3237,'⚙️ Pengaturan'!$G$2:$G3237))</f>
        <v/>
      </c>
      <c r="L2673" s="43" t="str">
        <f t="shared" si="84"/>
        <v/>
      </c>
      <c r="M2673" s="177"/>
      <c r="N2673" s="145"/>
      <c r="O2673" s="146"/>
      <c r="P2673" s="48" t="str">
        <f t="array" ref="P2673">IFNA(XLOOKUP(J2673,'⚙️ Pengaturan'!$E$2:$E3237,'⚙️ Pengaturan'!$F$2:$F3237),"")</f>
        <v/>
      </c>
      <c r="Q2673" s="147" t="str">
        <f t="shared" si="85"/>
        <v/>
      </c>
      <c r="R2673" s="173"/>
      <c r="S2673" s="76"/>
      <c r="T2673" s="51" t="b">
        <v>0</v>
      </c>
      <c r="U2673" s="94"/>
    </row>
    <row r="2674" ht="30.0" customHeight="1">
      <c r="A2674" s="39"/>
      <c r="B2674" s="40"/>
      <c r="C2674" s="173"/>
      <c r="D2674" s="86"/>
      <c r="E2674" s="43" t="str">
        <f t="shared" si="82"/>
        <v/>
      </c>
      <c r="F2674" s="43" t="str">
        <f t="shared" si="83"/>
        <v/>
      </c>
      <c r="G2674" s="44"/>
      <c r="H2674" s="44"/>
      <c r="I2674" s="44"/>
      <c r="J2674" s="176"/>
      <c r="K2674" s="43" t="str">
        <f t="array" ref="K2674">IF(J2674="","", XLOOKUP(J2674,'⚙️ Pengaturan'!$E$2:$E3237,'⚙️ Pengaturan'!$G$2:$G3237))</f>
        <v/>
      </c>
      <c r="L2674" s="43" t="str">
        <f t="shared" si="84"/>
        <v/>
      </c>
      <c r="M2674" s="177"/>
      <c r="N2674" s="145"/>
      <c r="O2674" s="146"/>
      <c r="P2674" s="48" t="str">
        <f t="array" ref="P2674">IFNA(XLOOKUP(J2674,'⚙️ Pengaturan'!$E$2:$E3237,'⚙️ Pengaturan'!$F$2:$F3237),"")</f>
        <v/>
      </c>
      <c r="Q2674" s="147" t="str">
        <f t="shared" si="85"/>
        <v/>
      </c>
      <c r="R2674" s="173"/>
      <c r="S2674" s="76"/>
      <c r="T2674" s="51" t="b">
        <v>0</v>
      </c>
      <c r="U2674" s="94"/>
    </row>
    <row r="2675" ht="30.0" customHeight="1">
      <c r="A2675" s="39"/>
      <c r="B2675" s="40"/>
      <c r="C2675" s="173"/>
      <c r="D2675" s="86"/>
      <c r="E2675" s="43" t="str">
        <f t="shared" si="82"/>
        <v/>
      </c>
      <c r="F2675" s="43" t="str">
        <f t="shared" si="83"/>
        <v/>
      </c>
      <c r="G2675" s="44"/>
      <c r="H2675" s="44"/>
      <c r="I2675" s="44"/>
      <c r="J2675" s="176"/>
      <c r="K2675" s="43" t="str">
        <f t="array" ref="K2675">IF(J2675="","", XLOOKUP(J2675,'⚙️ Pengaturan'!$E$2:$E3237,'⚙️ Pengaturan'!$G$2:$G3237))</f>
        <v/>
      </c>
      <c r="L2675" s="43" t="str">
        <f t="shared" si="84"/>
        <v/>
      </c>
      <c r="M2675" s="177"/>
      <c r="N2675" s="145"/>
      <c r="O2675" s="146"/>
      <c r="P2675" s="48" t="str">
        <f t="array" ref="P2675">IFNA(XLOOKUP(J2675,'⚙️ Pengaturan'!$E$2:$E3237,'⚙️ Pengaturan'!$F$2:$F3237),"")</f>
        <v/>
      </c>
      <c r="Q2675" s="147" t="str">
        <f t="shared" si="85"/>
        <v/>
      </c>
      <c r="R2675" s="173"/>
      <c r="S2675" s="76"/>
      <c r="T2675" s="51" t="b">
        <v>0</v>
      </c>
      <c r="U2675" s="94"/>
    </row>
    <row r="2676" ht="30.0" customHeight="1">
      <c r="A2676" s="39"/>
      <c r="B2676" s="40"/>
      <c r="C2676" s="173"/>
      <c r="D2676" s="86"/>
      <c r="E2676" s="43" t="str">
        <f t="shared" si="82"/>
        <v/>
      </c>
      <c r="F2676" s="43" t="str">
        <f t="shared" si="83"/>
        <v/>
      </c>
      <c r="G2676" s="44"/>
      <c r="H2676" s="44"/>
      <c r="I2676" s="44"/>
      <c r="J2676" s="176"/>
      <c r="K2676" s="43" t="str">
        <f t="array" ref="K2676">IF(J2676="","", XLOOKUP(J2676,'⚙️ Pengaturan'!$E$2:$E3237,'⚙️ Pengaturan'!$G$2:$G3237))</f>
        <v/>
      </c>
      <c r="L2676" s="43" t="str">
        <f t="shared" si="84"/>
        <v/>
      </c>
      <c r="M2676" s="177"/>
      <c r="N2676" s="145"/>
      <c r="O2676" s="146"/>
      <c r="P2676" s="48" t="str">
        <f t="array" ref="P2676">IFNA(XLOOKUP(J2676,'⚙️ Pengaturan'!$E$2:$E3237,'⚙️ Pengaturan'!$F$2:$F3237),"")</f>
        <v/>
      </c>
      <c r="Q2676" s="147" t="str">
        <f t="shared" si="85"/>
        <v/>
      </c>
      <c r="R2676" s="173"/>
      <c r="S2676" s="76"/>
      <c r="T2676" s="51" t="b">
        <v>0</v>
      </c>
      <c r="U2676" s="94"/>
    </row>
    <row r="2677" ht="30.0" customHeight="1">
      <c r="A2677" s="39"/>
      <c r="B2677" s="40"/>
      <c r="C2677" s="173"/>
      <c r="D2677" s="86"/>
      <c r="E2677" s="43" t="str">
        <f t="shared" si="82"/>
        <v/>
      </c>
      <c r="F2677" s="43" t="str">
        <f t="shared" si="83"/>
        <v/>
      </c>
      <c r="G2677" s="44"/>
      <c r="H2677" s="44"/>
      <c r="I2677" s="44"/>
      <c r="J2677" s="176"/>
      <c r="K2677" s="43" t="str">
        <f t="array" ref="K2677">IF(J2677="","", XLOOKUP(J2677,'⚙️ Pengaturan'!$E$2:$E3237,'⚙️ Pengaturan'!$G$2:$G3237))</f>
        <v/>
      </c>
      <c r="L2677" s="43" t="str">
        <f t="shared" si="84"/>
        <v/>
      </c>
      <c r="M2677" s="177"/>
      <c r="N2677" s="145"/>
      <c r="O2677" s="146"/>
      <c r="P2677" s="48" t="str">
        <f t="array" ref="P2677">IFNA(XLOOKUP(J2677,'⚙️ Pengaturan'!$E$2:$E3237,'⚙️ Pengaturan'!$F$2:$F3237),"")</f>
        <v/>
      </c>
      <c r="Q2677" s="147" t="str">
        <f t="shared" si="85"/>
        <v/>
      </c>
      <c r="R2677" s="173"/>
      <c r="S2677" s="76"/>
      <c r="T2677" s="51" t="b">
        <v>0</v>
      </c>
      <c r="U2677" s="94"/>
    </row>
    <row r="2678" ht="30.0" customHeight="1">
      <c r="A2678" s="39"/>
      <c r="B2678" s="40"/>
      <c r="C2678" s="173"/>
      <c r="D2678" s="86"/>
      <c r="E2678" s="43" t="str">
        <f t="shared" si="82"/>
        <v/>
      </c>
      <c r="F2678" s="43" t="str">
        <f t="shared" si="83"/>
        <v/>
      </c>
      <c r="G2678" s="44"/>
      <c r="H2678" s="44"/>
      <c r="I2678" s="44"/>
      <c r="J2678" s="176"/>
      <c r="K2678" s="43" t="str">
        <f t="array" ref="K2678">IF(J2678="","", XLOOKUP(J2678,'⚙️ Pengaturan'!$E$2:$E3237,'⚙️ Pengaturan'!$G$2:$G3237))</f>
        <v/>
      </c>
      <c r="L2678" s="43" t="str">
        <f t="shared" si="84"/>
        <v/>
      </c>
      <c r="M2678" s="177"/>
      <c r="N2678" s="145"/>
      <c r="O2678" s="146"/>
      <c r="P2678" s="48" t="str">
        <f t="array" ref="P2678">IFNA(XLOOKUP(J2678,'⚙️ Pengaturan'!$E$2:$E3237,'⚙️ Pengaturan'!$F$2:$F3237),"")</f>
        <v/>
      </c>
      <c r="Q2678" s="147" t="str">
        <f t="shared" si="85"/>
        <v/>
      </c>
      <c r="R2678" s="173"/>
      <c r="S2678" s="76"/>
      <c r="T2678" s="51" t="b">
        <v>0</v>
      </c>
      <c r="U2678" s="94"/>
    </row>
    <row r="2679" ht="30.0" customHeight="1">
      <c r="A2679" s="39"/>
      <c r="B2679" s="40"/>
      <c r="C2679" s="173"/>
      <c r="D2679" s="86"/>
      <c r="E2679" s="43" t="str">
        <f t="shared" si="82"/>
        <v/>
      </c>
      <c r="F2679" s="43" t="str">
        <f t="shared" si="83"/>
        <v/>
      </c>
      <c r="G2679" s="44"/>
      <c r="H2679" s="44"/>
      <c r="I2679" s="44"/>
      <c r="J2679" s="176"/>
      <c r="K2679" s="43" t="str">
        <f t="array" ref="K2679">IF(J2679="","", XLOOKUP(J2679,'⚙️ Pengaturan'!$E$2:$E3237,'⚙️ Pengaturan'!$G$2:$G3237))</f>
        <v/>
      </c>
      <c r="L2679" s="43" t="str">
        <f t="shared" si="84"/>
        <v/>
      </c>
      <c r="M2679" s="177"/>
      <c r="N2679" s="145"/>
      <c r="O2679" s="146"/>
      <c r="P2679" s="48" t="str">
        <f t="array" ref="P2679">IFNA(XLOOKUP(J2679,'⚙️ Pengaturan'!$E$2:$E3237,'⚙️ Pengaturan'!$F$2:$F3237),"")</f>
        <v/>
      </c>
      <c r="Q2679" s="147" t="str">
        <f t="shared" si="85"/>
        <v/>
      </c>
      <c r="R2679" s="173"/>
      <c r="S2679" s="76"/>
      <c r="T2679" s="51" t="b">
        <v>0</v>
      </c>
      <c r="U2679" s="94"/>
    </row>
    <row r="2680" ht="30.0" customHeight="1">
      <c r="A2680" s="39"/>
      <c r="B2680" s="40"/>
      <c r="C2680" s="173"/>
      <c r="D2680" s="86"/>
      <c r="E2680" s="43" t="str">
        <f t="shared" si="82"/>
        <v/>
      </c>
      <c r="F2680" s="43" t="str">
        <f t="shared" si="83"/>
        <v/>
      </c>
      <c r="G2680" s="44"/>
      <c r="H2680" s="44"/>
      <c r="I2680" s="44"/>
      <c r="J2680" s="176"/>
      <c r="K2680" s="43" t="str">
        <f t="array" ref="K2680">IF(J2680="","", XLOOKUP(J2680,'⚙️ Pengaturan'!$E$2:$E3237,'⚙️ Pengaturan'!$G$2:$G3237))</f>
        <v/>
      </c>
      <c r="L2680" s="43" t="str">
        <f t="shared" si="84"/>
        <v/>
      </c>
      <c r="M2680" s="177"/>
      <c r="N2680" s="145"/>
      <c r="O2680" s="146"/>
      <c r="P2680" s="48" t="str">
        <f t="array" ref="P2680">IFNA(XLOOKUP(J2680,'⚙️ Pengaturan'!$E$2:$E3237,'⚙️ Pengaturan'!$F$2:$F3237),"")</f>
        <v/>
      </c>
      <c r="Q2680" s="147" t="str">
        <f t="shared" si="85"/>
        <v/>
      </c>
      <c r="R2680" s="173"/>
      <c r="S2680" s="76"/>
      <c r="T2680" s="51" t="b">
        <v>0</v>
      </c>
      <c r="U2680" s="94"/>
    </row>
    <row r="2681" ht="30.0" customHeight="1">
      <c r="A2681" s="39"/>
      <c r="B2681" s="40"/>
      <c r="C2681" s="173"/>
      <c r="D2681" s="86"/>
      <c r="E2681" s="43" t="str">
        <f t="shared" si="82"/>
        <v/>
      </c>
      <c r="F2681" s="43" t="str">
        <f t="shared" si="83"/>
        <v/>
      </c>
      <c r="G2681" s="44"/>
      <c r="H2681" s="44"/>
      <c r="I2681" s="44"/>
      <c r="J2681" s="176"/>
      <c r="K2681" s="43" t="str">
        <f t="array" ref="K2681">IF(J2681="","", XLOOKUP(J2681,'⚙️ Pengaturan'!$E$2:$E3237,'⚙️ Pengaturan'!$G$2:$G3237))</f>
        <v/>
      </c>
      <c r="L2681" s="43" t="str">
        <f t="shared" si="84"/>
        <v/>
      </c>
      <c r="M2681" s="177"/>
      <c r="N2681" s="145"/>
      <c r="O2681" s="146"/>
      <c r="P2681" s="48" t="str">
        <f t="array" ref="P2681">IFNA(XLOOKUP(J2681,'⚙️ Pengaturan'!$E$2:$E3237,'⚙️ Pengaturan'!$F$2:$F3237),"")</f>
        <v/>
      </c>
      <c r="Q2681" s="147" t="str">
        <f t="shared" si="85"/>
        <v/>
      </c>
      <c r="R2681" s="173"/>
      <c r="S2681" s="76"/>
      <c r="T2681" s="51" t="b">
        <v>0</v>
      </c>
      <c r="U2681" s="94"/>
    </row>
    <row r="2682" ht="30.0" customHeight="1">
      <c r="A2682" s="39"/>
      <c r="B2682" s="40"/>
      <c r="C2682" s="173"/>
      <c r="D2682" s="86"/>
      <c r="E2682" s="43" t="str">
        <f t="shared" si="82"/>
        <v/>
      </c>
      <c r="F2682" s="43" t="str">
        <f t="shared" si="83"/>
        <v/>
      </c>
      <c r="G2682" s="44"/>
      <c r="H2682" s="44"/>
      <c r="I2682" s="44"/>
      <c r="J2682" s="176"/>
      <c r="K2682" s="43" t="str">
        <f t="array" ref="K2682">IF(J2682="","", XLOOKUP(J2682,'⚙️ Pengaturan'!$E$2:$E3237,'⚙️ Pengaturan'!$G$2:$G3237))</f>
        <v/>
      </c>
      <c r="L2682" s="43" t="str">
        <f t="shared" si="84"/>
        <v/>
      </c>
      <c r="M2682" s="177"/>
      <c r="N2682" s="145"/>
      <c r="O2682" s="146"/>
      <c r="P2682" s="48" t="str">
        <f t="array" ref="P2682">IFNA(XLOOKUP(J2682,'⚙️ Pengaturan'!$E$2:$E3237,'⚙️ Pengaturan'!$F$2:$F3237),"")</f>
        <v/>
      </c>
      <c r="Q2682" s="147" t="str">
        <f t="shared" si="85"/>
        <v/>
      </c>
      <c r="R2682" s="173"/>
      <c r="S2682" s="76"/>
      <c r="T2682" s="51" t="b">
        <v>0</v>
      </c>
      <c r="U2682" s="94"/>
    </row>
    <row r="2683" ht="30.0" customHeight="1">
      <c r="A2683" s="39"/>
      <c r="B2683" s="40"/>
      <c r="C2683" s="173"/>
      <c r="D2683" s="86"/>
      <c r="E2683" s="43" t="str">
        <f t="shared" si="82"/>
        <v/>
      </c>
      <c r="F2683" s="43" t="str">
        <f t="shared" si="83"/>
        <v/>
      </c>
      <c r="G2683" s="44"/>
      <c r="H2683" s="44"/>
      <c r="I2683" s="44"/>
      <c r="J2683" s="176"/>
      <c r="K2683" s="43" t="str">
        <f t="array" ref="K2683">IF(J2683="","", XLOOKUP(J2683,'⚙️ Pengaturan'!$E$2:$E3237,'⚙️ Pengaturan'!$G$2:$G3237))</f>
        <v/>
      </c>
      <c r="L2683" s="43" t="str">
        <f t="shared" si="84"/>
        <v/>
      </c>
      <c r="M2683" s="177"/>
      <c r="N2683" s="145"/>
      <c r="O2683" s="146"/>
      <c r="P2683" s="48" t="str">
        <f t="array" ref="P2683">IFNA(XLOOKUP(J2683,'⚙️ Pengaturan'!$E$2:$E3237,'⚙️ Pengaturan'!$F$2:$F3237),"")</f>
        <v/>
      </c>
      <c r="Q2683" s="147" t="str">
        <f t="shared" si="85"/>
        <v/>
      </c>
      <c r="R2683" s="173"/>
      <c r="S2683" s="76"/>
      <c r="T2683" s="51" t="b">
        <v>0</v>
      </c>
      <c r="U2683" s="94"/>
    </row>
    <row r="2684" ht="30.0" customHeight="1">
      <c r="A2684" s="39"/>
      <c r="B2684" s="40"/>
      <c r="C2684" s="173"/>
      <c r="D2684" s="86"/>
      <c r="E2684" s="43" t="str">
        <f t="shared" si="82"/>
        <v/>
      </c>
      <c r="F2684" s="43" t="str">
        <f t="shared" si="83"/>
        <v/>
      </c>
      <c r="G2684" s="44"/>
      <c r="H2684" s="44"/>
      <c r="I2684" s="44"/>
      <c r="J2684" s="176"/>
      <c r="K2684" s="43" t="str">
        <f t="array" ref="K2684">IF(J2684="","", XLOOKUP(J2684,'⚙️ Pengaturan'!$E$2:$E3237,'⚙️ Pengaturan'!$G$2:$G3237))</f>
        <v/>
      </c>
      <c r="L2684" s="43" t="str">
        <f t="shared" si="84"/>
        <v/>
      </c>
      <c r="M2684" s="177"/>
      <c r="N2684" s="145"/>
      <c r="O2684" s="146"/>
      <c r="P2684" s="48" t="str">
        <f t="array" ref="P2684">IFNA(XLOOKUP(J2684,'⚙️ Pengaturan'!$E$2:$E3237,'⚙️ Pengaturan'!$F$2:$F3237),"")</f>
        <v/>
      </c>
      <c r="Q2684" s="147" t="str">
        <f t="shared" si="85"/>
        <v/>
      </c>
      <c r="R2684" s="173"/>
      <c r="S2684" s="76"/>
      <c r="T2684" s="51" t="b">
        <v>0</v>
      </c>
      <c r="U2684" s="94"/>
    </row>
    <row r="2685" ht="30.0" customHeight="1">
      <c r="A2685" s="39"/>
      <c r="B2685" s="40"/>
      <c r="C2685" s="173"/>
      <c r="D2685" s="86"/>
      <c r="E2685" s="43" t="str">
        <f t="shared" si="82"/>
        <v/>
      </c>
      <c r="F2685" s="43" t="str">
        <f t="shared" si="83"/>
        <v/>
      </c>
      <c r="G2685" s="44"/>
      <c r="H2685" s="44"/>
      <c r="I2685" s="44"/>
      <c r="J2685" s="176"/>
      <c r="K2685" s="43" t="str">
        <f t="array" ref="K2685">IF(J2685="","", XLOOKUP(J2685,'⚙️ Pengaturan'!$E$2:$E3237,'⚙️ Pengaturan'!$G$2:$G3237))</f>
        <v/>
      </c>
      <c r="L2685" s="43" t="str">
        <f t="shared" si="84"/>
        <v/>
      </c>
      <c r="M2685" s="177"/>
      <c r="N2685" s="145"/>
      <c r="O2685" s="146"/>
      <c r="P2685" s="48" t="str">
        <f t="array" ref="P2685">IFNA(XLOOKUP(J2685,'⚙️ Pengaturan'!$E$2:$E3237,'⚙️ Pengaturan'!$F$2:$F3237),"")</f>
        <v/>
      </c>
      <c r="Q2685" s="147" t="str">
        <f t="shared" si="85"/>
        <v/>
      </c>
      <c r="R2685" s="173"/>
      <c r="S2685" s="76"/>
      <c r="T2685" s="51" t="b">
        <v>0</v>
      </c>
      <c r="U2685" s="94"/>
    </row>
    <row r="2686" ht="30.0" customHeight="1">
      <c r="A2686" s="39"/>
      <c r="B2686" s="40"/>
      <c r="C2686" s="173"/>
      <c r="D2686" s="86"/>
      <c r="E2686" s="43" t="str">
        <f t="shared" si="82"/>
        <v/>
      </c>
      <c r="F2686" s="43" t="str">
        <f t="shared" si="83"/>
        <v/>
      </c>
      <c r="G2686" s="44"/>
      <c r="H2686" s="44"/>
      <c r="I2686" s="44"/>
      <c r="J2686" s="176"/>
      <c r="K2686" s="43" t="str">
        <f t="array" ref="K2686">IF(J2686="","", XLOOKUP(J2686,'⚙️ Pengaturan'!$E$2:$E3237,'⚙️ Pengaturan'!$G$2:$G3237))</f>
        <v/>
      </c>
      <c r="L2686" s="43" t="str">
        <f t="shared" si="84"/>
        <v/>
      </c>
      <c r="M2686" s="177"/>
      <c r="N2686" s="145"/>
      <c r="O2686" s="146"/>
      <c r="P2686" s="48" t="str">
        <f t="array" ref="P2686">IFNA(XLOOKUP(J2686,'⚙️ Pengaturan'!$E$2:$E3237,'⚙️ Pengaturan'!$F$2:$F3237),"")</f>
        <v/>
      </c>
      <c r="Q2686" s="147" t="str">
        <f t="shared" si="85"/>
        <v/>
      </c>
      <c r="R2686" s="173"/>
      <c r="S2686" s="76"/>
      <c r="T2686" s="51" t="b">
        <v>0</v>
      </c>
      <c r="U2686" s="94"/>
    </row>
    <row r="2687" ht="30.0" customHeight="1">
      <c r="A2687" s="39"/>
      <c r="B2687" s="40"/>
      <c r="C2687" s="173"/>
      <c r="D2687" s="86"/>
      <c r="E2687" s="43" t="str">
        <f t="shared" si="82"/>
        <v/>
      </c>
      <c r="F2687" s="43" t="str">
        <f t="shared" si="83"/>
        <v/>
      </c>
      <c r="G2687" s="44"/>
      <c r="H2687" s="44"/>
      <c r="I2687" s="44"/>
      <c r="J2687" s="176"/>
      <c r="K2687" s="43" t="str">
        <f t="array" ref="K2687">IF(J2687="","", XLOOKUP(J2687,'⚙️ Pengaturan'!$E$2:$E3237,'⚙️ Pengaturan'!$G$2:$G3237))</f>
        <v/>
      </c>
      <c r="L2687" s="43" t="str">
        <f t="shared" si="84"/>
        <v/>
      </c>
      <c r="M2687" s="177"/>
      <c r="N2687" s="145"/>
      <c r="O2687" s="146"/>
      <c r="P2687" s="48" t="str">
        <f t="array" ref="P2687">IFNA(XLOOKUP(J2687,'⚙️ Pengaturan'!$E$2:$E3237,'⚙️ Pengaturan'!$F$2:$F3237),"")</f>
        <v/>
      </c>
      <c r="Q2687" s="147" t="str">
        <f t="shared" si="85"/>
        <v/>
      </c>
      <c r="R2687" s="173"/>
      <c r="S2687" s="76"/>
      <c r="T2687" s="51" t="b">
        <v>0</v>
      </c>
      <c r="U2687" s="94"/>
    </row>
    <row r="2688" ht="30.0" customHeight="1">
      <c r="A2688" s="39"/>
      <c r="B2688" s="40"/>
      <c r="C2688" s="173"/>
      <c r="D2688" s="86"/>
      <c r="E2688" s="43" t="str">
        <f t="shared" si="82"/>
        <v/>
      </c>
      <c r="F2688" s="43" t="str">
        <f t="shared" si="83"/>
        <v/>
      </c>
      <c r="G2688" s="44"/>
      <c r="H2688" s="44"/>
      <c r="I2688" s="44"/>
      <c r="J2688" s="176"/>
      <c r="K2688" s="43" t="str">
        <f t="array" ref="K2688">IF(J2688="","", XLOOKUP(J2688,'⚙️ Pengaturan'!$E$2:$E3237,'⚙️ Pengaturan'!$G$2:$G3237))</f>
        <v/>
      </c>
      <c r="L2688" s="43" t="str">
        <f t="shared" si="84"/>
        <v/>
      </c>
      <c r="M2688" s="177"/>
      <c r="N2688" s="145"/>
      <c r="O2688" s="146"/>
      <c r="P2688" s="48" t="str">
        <f t="array" ref="P2688">IFNA(XLOOKUP(J2688,'⚙️ Pengaturan'!$E$2:$E3237,'⚙️ Pengaturan'!$F$2:$F3237),"")</f>
        <v/>
      </c>
      <c r="Q2688" s="147" t="str">
        <f t="shared" si="85"/>
        <v/>
      </c>
      <c r="R2688" s="173"/>
      <c r="S2688" s="76"/>
      <c r="T2688" s="51" t="b">
        <v>0</v>
      </c>
      <c r="U2688" s="94"/>
    </row>
    <row r="2689" ht="30.0" customHeight="1">
      <c r="A2689" s="39"/>
      <c r="B2689" s="40"/>
      <c r="C2689" s="173"/>
      <c r="D2689" s="86"/>
      <c r="E2689" s="43" t="str">
        <f t="shared" si="82"/>
        <v/>
      </c>
      <c r="F2689" s="43" t="str">
        <f t="shared" si="83"/>
        <v/>
      </c>
      <c r="G2689" s="44"/>
      <c r="H2689" s="44"/>
      <c r="I2689" s="44"/>
      <c r="J2689" s="176"/>
      <c r="K2689" s="43" t="str">
        <f t="array" ref="K2689">IF(J2689="","", XLOOKUP(J2689,'⚙️ Pengaturan'!$E$2:$E3237,'⚙️ Pengaturan'!$G$2:$G3237))</f>
        <v/>
      </c>
      <c r="L2689" s="43" t="str">
        <f t="shared" si="84"/>
        <v/>
      </c>
      <c r="M2689" s="177"/>
      <c r="N2689" s="145"/>
      <c r="O2689" s="146"/>
      <c r="P2689" s="48" t="str">
        <f t="array" ref="P2689">IFNA(XLOOKUP(J2689,'⚙️ Pengaturan'!$E$2:$E3237,'⚙️ Pengaturan'!$F$2:$F3237),"")</f>
        <v/>
      </c>
      <c r="Q2689" s="147" t="str">
        <f t="shared" si="85"/>
        <v/>
      </c>
      <c r="R2689" s="173"/>
      <c r="S2689" s="76"/>
      <c r="T2689" s="51" t="b">
        <v>0</v>
      </c>
      <c r="U2689" s="94"/>
    </row>
    <row r="2690" ht="30.0" customHeight="1">
      <c r="A2690" s="39"/>
      <c r="B2690" s="40"/>
      <c r="C2690" s="173"/>
      <c r="D2690" s="86"/>
      <c r="E2690" s="43" t="str">
        <f t="shared" si="82"/>
        <v/>
      </c>
      <c r="F2690" s="43" t="str">
        <f t="shared" si="83"/>
        <v/>
      </c>
      <c r="G2690" s="44"/>
      <c r="H2690" s="44"/>
      <c r="I2690" s="44"/>
      <c r="J2690" s="176"/>
      <c r="K2690" s="43" t="str">
        <f t="array" ref="K2690">IF(J2690="","", XLOOKUP(J2690,'⚙️ Pengaturan'!$E$2:$E3237,'⚙️ Pengaturan'!$G$2:$G3237))</f>
        <v/>
      </c>
      <c r="L2690" s="43" t="str">
        <f t="shared" si="84"/>
        <v/>
      </c>
      <c r="M2690" s="177"/>
      <c r="N2690" s="145"/>
      <c r="O2690" s="146"/>
      <c r="P2690" s="48" t="str">
        <f t="array" ref="P2690">IFNA(XLOOKUP(J2690,'⚙️ Pengaturan'!$E$2:$E3237,'⚙️ Pengaturan'!$F$2:$F3237),"")</f>
        <v/>
      </c>
      <c r="Q2690" s="147" t="str">
        <f t="shared" si="85"/>
        <v/>
      </c>
      <c r="R2690" s="173"/>
      <c r="S2690" s="76"/>
      <c r="T2690" s="51" t="b">
        <v>0</v>
      </c>
      <c r="U2690" s="94"/>
    </row>
    <row r="2691" ht="30.0" customHeight="1">
      <c r="A2691" s="39"/>
      <c r="B2691" s="40"/>
      <c r="C2691" s="173"/>
      <c r="D2691" s="86"/>
      <c r="E2691" s="43" t="str">
        <f t="shared" si="82"/>
        <v/>
      </c>
      <c r="F2691" s="43" t="str">
        <f t="shared" si="83"/>
        <v/>
      </c>
      <c r="G2691" s="44"/>
      <c r="H2691" s="44"/>
      <c r="I2691" s="44"/>
      <c r="J2691" s="176"/>
      <c r="K2691" s="43" t="str">
        <f t="array" ref="K2691">IF(J2691="","", XLOOKUP(J2691,'⚙️ Pengaturan'!$E$2:$E3237,'⚙️ Pengaturan'!$G$2:$G3237))</f>
        <v/>
      </c>
      <c r="L2691" s="43" t="str">
        <f t="shared" si="84"/>
        <v/>
      </c>
      <c r="M2691" s="177"/>
      <c r="N2691" s="145"/>
      <c r="O2691" s="146"/>
      <c r="P2691" s="48" t="str">
        <f t="array" ref="P2691">IFNA(XLOOKUP(J2691,'⚙️ Pengaturan'!$E$2:$E3237,'⚙️ Pengaturan'!$F$2:$F3237),"")</f>
        <v/>
      </c>
      <c r="Q2691" s="147" t="str">
        <f t="shared" si="85"/>
        <v/>
      </c>
      <c r="R2691" s="173"/>
      <c r="S2691" s="76"/>
      <c r="T2691" s="51" t="b">
        <v>0</v>
      </c>
      <c r="U2691" s="94"/>
    </row>
    <row r="2692" ht="30.0" customHeight="1">
      <c r="A2692" s="39"/>
      <c r="B2692" s="40"/>
      <c r="C2692" s="173"/>
      <c r="D2692" s="86"/>
      <c r="E2692" s="43" t="str">
        <f t="shared" si="82"/>
        <v/>
      </c>
      <c r="F2692" s="43" t="str">
        <f t="shared" si="83"/>
        <v/>
      </c>
      <c r="G2692" s="44"/>
      <c r="H2692" s="44"/>
      <c r="I2692" s="44"/>
      <c r="J2692" s="176"/>
      <c r="K2692" s="43" t="str">
        <f t="array" ref="K2692">IF(J2692="","", XLOOKUP(J2692,'⚙️ Pengaturan'!$E$2:$E3237,'⚙️ Pengaturan'!$G$2:$G3237))</f>
        <v/>
      </c>
      <c r="L2692" s="43" t="str">
        <f t="shared" si="84"/>
        <v/>
      </c>
      <c r="M2692" s="177"/>
      <c r="N2692" s="145"/>
      <c r="O2692" s="146"/>
      <c r="P2692" s="48" t="str">
        <f t="array" ref="P2692">IFNA(XLOOKUP(J2692,'⚙️ Pengaturan'!$E$2:$E3237,'⚙️ Pengaturan'!$F$2:$F3237),"")</f>
        <v/>
      </c>
      <c r="Q2692" s="147" t="str">
        <f t="shared" si="85"/>
        <v/>
      </c>
      <c r="R2692" s="173"/>
      <c r="S2692" s="76"/>
      <c r="T2692" s="51" t="b">
        <v>0</v>
      </c>
      <c r="U2692" s="94"/>
    </row>
    <row r="2693" ht="30.0" customHeight="1">
      <c r="A2693" s="39"/>
      <c r="B2693" s="40"/>
      <c r="C2693" s="173"/>
      <c r="D2693" s="86"/>
      <c r="E2693" s="43" t="str">
        <f t="shared" si="82"/>
        <v/>
      </c>
      <c r="F2693" s="43" t="str">
        <f t="shared" si="83"/>
        <v/>
      </c>
      <c r="G2693" s="44"/>
      <c r="H2693" s="44"/>
      <c r="I2693" s="44"/>
      <c r="J2693" s="176"/>
      <c r="K2693" s="43" t="str">
        <f t="array" ref="K2693">IF(J2693="","", XLOOKUP(J2693,'⚙️ Pengaturan'!$E$2:$E3237,'⚙️ Pengaturan'!$G$2:$G3237))</f>
        <v/>
      </c>
      <c r="L2693" s="43" t="str">
        <f t="shared" si="84"/>
        <v/>
      </c>
      <c r="M2693" s="177"/>
      <c r="N2693" s="145"/>
      <c r="O2693" s="146"/>
      <c r="P2693" s="48" t="str">
        <f t="array" ref="P2693">IFNA(XLOOKUP(J2693,'⚙️ Pengaturan'!$E$2:$E3237,'⚙️ Pengaturan'!$F$2:$F3237),"")</f>
        <v/>
      </c>
      <c r="Q2693" s="147" t="str">
        <f t="shared" si="85"/>
        <v/>
      </c>
      <c r="R2693" s="173"/>
      <c r="S2693" s="76"/>
      <c r="T2693" s="51" t="b">
        <v>0</v>
      </c>
      <c r="U2693" s="94"/>
    </row>
    <row r="2694" ht="30.0" customHeight="1">
      <c r="A2694" s="39"/>
      <c r="B2694" s="40"/>
      <c r="C2694" s="173"/>
      <c r="D2694" s="86"/>
      <c r="E2694" s="43" t="str">
        <f t="shared" si="82"/>
        <v/>
      </c>
      <c r="F2694" s="43" t="str">
        <f t="shared" si="83"/>
        <v/>
      </c>
      <c r="G2694" s="44"/>
      <c r="H2694" s="44"/>
      <c r="I2694" s="44"/>
      <c r="J2694" s="176"/>
      <c r="K2694" s="43" t="str">
        <f t="array" ref="K2694">IF(J2694="","", XLOOKUP(J2694,'⚙️ Pengaturan'!$E$2:$E3237,'⚙️ Pengaturan'!$G$2:$G3237))</f>
        <v/>
      </c>
      <c r="L2694" s="43" t="str">
        <f t="shared" si="84"/>
        <v/>
      </c>
      <c r="M2694" s="177"/>
      <c r="N2694" s="145"/>
      <c r="O2694" s="146"/>
      <c r="P2694" s="48" t="str">
        <f t="array" ref="P2694">IFNA(XLOOKUP(J2694,'⚙️ Pengaturan'!$E$2:$E3237,'⚙️ Pengaturan'!$F$2:$F3237),"")</f>
        <v/>
      </c>
      <c r="Q2694" s="147" t="str">
        <f t="shared" si="85"/>
        <v/>
      </c>
      <c r="R2694" s="173"/>
      <c r="S2694" s="76"/>
      <c r="T2694" s="51" t="b">
        <v>0</v>
      </c>
      <c r="U2694" s="94"/>
    </row>
    <row r="2695" ht="30.0" customHeight="1">
      <c r="A2695" s="39"/>
      <c r="B2695" s="40"/>
      <c r="C2695" s="173"/>
      <c r="D2695" s="86"/>
      <c r="E2695" s="43" t="str">
        <f t="shared" si="82"/>
        <v/>
      </c>
      <c r="F2695" s="43" t="str">
        <f t="shared" si="83"/>
        <v/>
      </c>
      <c r="G2695" s="44"/>
      <c r="H2695" s="44"/>
      <c r="I2695" s="44"/>
      <c r="J2695" s="176"/>
      <c r="K2695" s="43" t="str">
        <f t="array" ref="K2695">IF(J2695="","", XLOOKUP(J2695,'⚙️ Pengaturan'!$E$2:$E3237,'⚙️ Pengaturan'!$G$2:$G3237))</f>
        <v/>
      </c>
      <c r="L2695" s="43" t="str">
        <f t="shared" si="84"/>
        <v/>
      </c>
      <c r="M2695" s="177"/>
      <c r="N2695" s="145"/>
      <c r="O2695" s="146"/>
      <c r="P2695" s="48" t="str">
        <f t="array" ref="P2695">IFNA(XLOOKUP(J2695,'⚙️ Pengaturan'!$E$2:$E3237,'⚙️ Pengaturan'!$F$2:$F3237),"")</f>
        <v/>
      </c>
      <c r="Q2695" s="147" t="str">
        <f t="shared" si="85"/>
        <v/>
      </c>
      <c r="R2695" s="173"/>
      <c r="S2695" s="76"/>
      <c r="T2695" s="51" t="b">
        <v>0</v>
      </c>
      <c r="U2695" s="94"/>
    </row>
    <row r="2696" ht="30.0" customHeight="1">
      <c r="A2696" s="39"/>
      <c r="B2696" s="40"/>
      <c r="C2696" s="173"/>
      <c r="D2696" s="86"/>
      <c r="E2696" s="43" t="str">
        <f t="shared" si="82"/>
        <v/>
      </c>
      <c r="F2696" s="43" t="str">
        <f t="shared" si="83"/>
        <v/>
      </c>
      <c r="G2696" s="44"/>
      <c r="H2696" s="44"/>
      <c r="I2696" s="44"/>
      <c r="J2696" s="176"/>
      <c r="K2696" s="43" t="str">
        <f t="array" ref="K2696">IF(J2696="","", XLOOKUP(J2696,'⚙️ Pengaturan'!$E$2:$E3237,'⚙️ Pengaturan'!$G$2:$G3237))</f>
        <v/>
      </c>
      <c r="L2696" s="43" t="str">
        <f t="shared" si="84"/>
        <v/>
      </c>
      <c r="M2696" s="177"/>
      <c r="N2696" s="145"/>
      <c r="O2696" s="146"/>
      <c r="P2696" s="48" t="str">
        <f t="array" ref="P2696">IFNA(XLOOKUP(J2696,'⚙️ Pengaturan'!$E$2:$E3237,'⚙️ Pengaturan'!$F$2:$F3237),"")</f>
        <v/>
      </c>
      <c r="Q2696" s="147" t="str">
        <f t="shared" si="85"/>
        <v/>
      </c>
      <c r="R2696" s="173"/>
      <c r="S2696" s="76"/>
      <c r="T2696" s="51" t="b">
        <v>0</v>
      </c>
      <c r="U2696" s="94"/>
    </row>
    <row r="2697" ht="30.0" customHeight="1">
      <c r="A2697" s="39"/>
      <c r="B2697" s="40"/>
      <c r="C2697" s="173"/>
      <c r="D2697" s="86"/>
      <c r="E2697" s="43" t="str">
        <f t="shared" si="82"/>
        <v/>
      </c>
      <c r="F2697" s="43" t="str">
        <f t="shared" si="83"/>
        <v/>
      </c>
      <c r="G2697" s="44"/>
      <c r="H2697" s="44"/>
      <c r="I2697" s="44"/>
      <c r="J2697" s="176"/>
      <c r="K2697" s="43" t="str">
        <f t="array" ref="K2697">IF(J2697="","", XLOOKUP(J2697,'⚙️ Pengaturan'!$E$2:$E3237,'⚙️ Pengaturan'!$G$2:$G3237))</f>
        <v/>
      </c>
      <c r="L2697" s="43" t="str">
        <f t="shared" si="84"/>
        <v/>
      </c>
      <c r="M2697" s="177"/>
      <c r="N2697" s="145"/>
      <c r="O2697" s="146"/>
      <c r="P2697" s="48" t="str">
        <f t="array" ref="P2697">IFNA(XLOOKUP(J2697,'⚙️ Pengaturan'!$E$2:$E3237,'⚙️ Pengaturan'!$F$2:$F3237),"")</f>
        <v/>
      </c>
      <c r="Q2697" s="147" t="str">
        <f t="shared" si="85"/>
        <v/>
      </c>
      <c r="R2697" s="173"/>
      <c r="S2697" s="76"/>
      <c r="T2697" s="51" t="b">
        <v>0</v>
      </c>
      <c r="U2697" s="94"/>
    </row>
    <row r="2698" ht="30.0" customHeight="1">
      <c r="A2698" s="39"/>
      <c r="B2698" s="40"/>
      <c r="C2698" s="173"/>
      <c r="D2698" s="86"/>
      <c r="E2698" s="43" t="str">
        <f t="shared" si="82"/>
        <v/>
      </c>
      <c r="F2698" s="43" t="str">
        <f t="shared" si="83"/>
        <v/>
      </c>
      <c r="G2698" s="44"/>
      <c r="H2698" s="44"/>
      <c r="I2698" s="44"/>
      <c r="J2698" s="176"/>
      <c r="K2698" s="43" t="str">
        <f t="array" ref="K2698">IF(J2698="","", XLOOKUP(J2698,'⚙️ Pengaturan'!$E$2:$E3237,'⚙️ Pengaturan'!$G$2:$G3237))</f>
        <v/>
      </c>
      <c r="L2698" s="43" t="str">
        <f t="shared" si="84"/>
        <v/>
      </c>
      <c r="M2698" s="177"/>
      <c r="N2698" s="145"/>
      <c r="O2698" s="146"/>
      <c r="P2698" s="48" t="str">
        <f t="array" ref="P2698">IFNA(XLOOKUP(J2698,'⚙️ Pengaturan'!$E$2:$E3237,'⚙️ Pengaturan'!$F$2:$F3237),"")</f>
        <v/>
      </c>
      <c r="Q2698" s="147" t="str">
        <f t="shared" si="85"/>
        <v/>
      </c>
      <c r="R2698" s="173"/>
      <c r="S2698" s="76"/>
      <c r="T2698" s="51" t="b">
        <v>0</v>
      </c>
      <c r="U2698" s="94"/>
    </row>
    <row r="2699" ht="30.0" customHeight="1">
      <c r="A2699" s="39"/>
      <c r="B2699" s="40"/>
      <c r="C2699" s="173"/>
      <c r="D2699" s="86"/>
      <c r="E2699" s="43" t="str">
        <f t="shared" si="82"/>
        <v/>
      </c>
      <c r="F2699" s="43" t="str">
        <f t="shared" si="83"/>
        <v/>
      </c>
      <c r="G2699" s="44"/>
      <c r="H2699" s="44"/>
      <c r="I2699" s="44"/>
      <c r="J2699" s="176"/>
      <c r="K2699" s="43" t="str">
        <f t="array" ref="K2699">IF(J2699="","", XLOOKUP(J2699,'⚙️ Pengaturan'!$E$2:$E3237,'⚙️ Pengaturan'!$G$2:$G3237))</f>
        <v/>
      </c>
      <c r="L2699" s="43" t="str">
        <f t="shared" si="84"/>
        <v/>
      </c>
      <c r="M2699" s="177"/>
      <c r="N2699" s="145"/>
      <c r="O2699" s="146"/>
      <c r="P2699" s="48" t="str">
        <f t="array" ref="P2699">IFNA(XLOOKUP(J2699,'⚙️ Pengaturan'!$E$2:$E3237,'⚙️ Pengaturan'!$F$2:$F3237),"")</f>
        <v/>
      </c>
      <c r="Q2699" s="147" t="str">
        <f t="shared" si="85"/>
        <v/>
      </c>
      <c r="R2699" s="173"/>
      <c r="S2699" s="76"/>
      <c r="T2699" s="51" t="b">
        <v>0</v>
      </c>
      <c r="U2699" s="94"/>
    </row>
    <row r="2700" ht="30.0" customHeight="1">
      <c r="A2700" s="39"/>
      <c r="B2700" s="40"/>
      <c r="C2700" s="173"/>
      <c r="D2700" s="86"/>
      <c r="E2700" s="43" t="str">
        <f t="shared" si="82"/>
        <v/>
      </c>
      <c r="F2700" s="43" t="str">
        <f t="shared" si="83"/>
        <v/>
      </c>
      <c r="G2700" s="44"/>
      <c r="H2700" s="44"/>
      <c r="I2700" s="44"/>
      <c r="J2700" s="176"/>
      <c r="K2700" s="43" t="str">
        <f t="array" ref="K2700">IF(J2700="","", XLOOKUP(J2700,'⚙️ Pengaturan'!$E$2:$E3237,'⚙️ Pengaturan'!$G$2:$G3237))</f>
        <v/>
      </c>
      <c r="L2700" s="43" t="str">
        <f t="shared" si="84"/>
        <v/>
      </c>
      <c r="M2700" s="177"/>
      <c r="N2700" s="145"/>
      <c r="O2700" s="146"/>
      <c r="P2700" s="48" t="str">
        <f t="array" ref="P2700">IFNA(XLOOKUP(J2700,'⚙️ Pengaturan'!$E$2:$E3237,'⚙️ Pengaturan'!$F$2:$F3237),"")</f>
        <v/>
      </c>
      <c r="Q2700" s="147" t="str">
        <f t="shared" si="85"/>
        <v/>
      </c>
      <c r="R2700" s="173"/>
      <c r="S2700" s="76"/>
      <c r="T2700" s="51" t="b">
        <v>0</v>
      </c>
      <c r="U2700" s="94"/>
    </row>
    <row r="2701" ht="30.0" customHeight="1">
      <c r="A2701" s="39"/>
      <c r="B2701" s="40"/>
      <c r="C2701" s="173"/>
      <c r="D2701" s="86"/>
      <c r="E2701" s="43" t="str">
        <f t="shared" si="82"/>
        <v/>
      </c>
      <c r="F2701" s="43" t="str">
        <f t="shared" si="83"/>
        <v/>
      </c>
      <c r="G2701" s="44"/>
      <c r="H2701" s="44"/>
      <c r="I2701" s="44"/>
      <c r="J2701" s="176"/>
      <c r="K2701" s="43" t="str">
        <f t="array" ref="K2701">IF(J2701="","", XLOOKUP(J2701,'⚙️ Pengaturan'!$E$2:$E3237,'⚙️ Pengaturan'!$G$2:$G3237))</f>
        <v/>
      </c>
      <c r="L2701" s="43" t="str">
        <f t="shared" si="84"/>
        <v/>
      </c>
      <c r="M2701" s="177"/>
      <c r="N2701" s="145"/>
      <c r="O2701" s="146"/>
      <c r="P2701" s="48" t="str">
        <f t="array" ref="P2701">IFNA(XLOOKUP(J2701,'⚙️ Pengaturan'!$E$2:$E3237,'⚙️ Pengaturan'!$F$2:$F3237),"")</f>
        <v/>
      </c>
      <c r="Q2701" s="147" t="str">
        <f t="shared" si="85"/>
        <v/>
      </c>
      <c r="R2701" s="173"/>
      <c r="S2701" s="76"/>
      <c r="T2701" s="51" t="b">
        <v>0</v>
      </c>
      <c r="U2701" s="94"/>
    </row>
    <row r="2702" ht="30.0" customHeight="1">
      <c r="A2702" s="39"/>
      <c r="B2702" s="40"/>
      <c r="C2702" s="173"/>
      <c r="D2702" s="86"/>
      <c r="E2702" s="43" t="str">
        <f t="shared" si="82"/>
        <v/>
      </c>
      <c r="F2702" s="43" t="str">
        <f t="shared" si="83"/>
        <v/>
      </c>
      <c r="G2702" s="44"/>
      <c r="H2702" s="44"/>
      <c r="I2702" s="44"/>
      <c r="J2702" s="176"/>
      <c r="K2702" s="43" t="str">
        <f t="array" ref="K2702">IF(J2702="","", XLOOKUP(J2702,'⚙️ Pengaturan'!$E$2:$E3237,'⚙️ Pengaturan'!$G$2:$G3237))</f>
        <v/>
      </c>
      <c r="L2702" s="43" t="str">
        <f t="shared" si="84"/>
        <v/>
      </c>
      <c r="M2702" s="177"/>
      <c r="N2702" s="145"/>
      <c r="O2702" s="146"/>
      <c r="P2702" s="48" t="str">
        <f t="array" ref="P2702">IFNA(XLOOKUP(J2702,'⚙️ Pengaturan'!$E$2:$E3237,'⚙️ Pengaturan'!$F$2:$F3237),"")</f>
        <v/>
      </c>
      <c r="Q2702" s="147" t="str">
        <f t="shared" si="85"/>
        <v/>
      </c>
      <c r="R2702" s="173"/>
      <c r="S2702" s="76"/>
      <c r="T2702" s="51" t="b">
        <v>0</v>
      </c>
      <c r="U2702" s="94"/>
    </row>
    <row r="2703" ht="30.0" customHeight="1">
      <c r="A2703" s="39"/>
      <c r="B2703" s="40"/>
      <c r="C2703" s="173"/>
      <c r="D2703" s="86"/>
      <c r="E2703" s="43" t="str">
        <f t="shared" si="82"/>
        <v/>
      </c>
      <c r="F2703" s="43" t="str">
        <f t="shared" si="83"/>
        <v/>
      </c>
      <c r="G2703" s="44"/>
      <c r="H2703" s="44"/>
      <c r="I2703" s="44"/>
      <c r="J2703" s="176"/>
      <c r="K2703" s="43" t="str">
        <f t="array" ref="K2703">IF(J2703="","", XLOOKUP(J2703,'⚙️ Pengaturan'!$E$2:$E3237,'⚙️ Pengaturan'!$G$2:$G3237))</f>
        <v/>
      </c>
      <c r="L2703" s="43" t="str">
        <f t="shared" si="84"/>
        <v/>
      </c>
      <c r="M2703" s="177"/>
      <c r="N2703" s="145"/>
      <c r="O2703" s="146"/>
      <c r="P2703" s="48" t="str">
        <f t="array" ref="P2703">IFNA(XLOOKUP(J2703,'⚙️ Pengaturan'!$E$2:$E3237,'⚙️ Pengaturan'!$F$2:$F3237),"")</f>
        <v/>
      </c>
      <c r="Q2703" s="147" t="str">
        <f t="shared" si="85"/>
        <v/>
      </c>
      <c r="R2703" s="173"/>
      <c r="S2703" s="76"/>
      <c r="T2703" s="51" t="b">
        <v>0</v>
      </c>
      <c r="U2703" s="94"/>
    </row>
    <row r="2704" ht="30.0" customHeight="1">
      <c r="A2704" s="39"/>
      <c r="B2704" s="40"/>
      <c r="C2704" s="173"/>
      <c r="D2704" s="86"/>
      <c r="E2704" s="43" t="str">
        <f t="shared" si="82"/>
        <v/>
      </c>
      <c r="F2704" s="43" t="str">
        <f t="shared" si="83"/>
        <v/>
      </c>
      <c r="G2704" s="44"/>
      <c r="H2704" s="44"/>
      <c r="I2704" s="44"/>
      <c r="J2704" s="176"/>
      <c r="K2704" s="43" t="str">
        <f t="array" ref="K2704">IF(J2704="","", XLOOKUP(J2704,'⚙️ Pengaturan'!$E$2:$E3237,'⚙️ Pengaturan'!$G$2:$G3237))</f>
        <v/>
      </c>
      <c r="L2704" s="43" t="str">
        <f t="shared" si="84"/>
        <v/>
      </c>
      <c r="M2704" s="177"/>
      <c r="N2704" s="145"/>
      <c r="O2704" s="146"/>
      <c r="P2704" s="48" t="str">
        <f t="array" ref="P2704">IFNA(XLOOKUP(J2704,'⚙️ Pengaturan'!$E$2:$E3237,'⚙️ Pengaturan'!$F$2:$F3237),"")</f>
        <v/>
      </c>
      <c r="Q2704" s="147" t="str">
        <f t="shared" si="85"/>
        <v/>
      </c>
      <c r="R2704" s="173"/>
      <c r="S2704" s="76"/>
      <c r="T2704" s="51" t="b">
        <v>0</v>
      </c>
      <c r="U2704" s="94"/>
    </row>
    <row r="2705" ht="30.0" customHeight="1">
      <c r="A2705" s="39"/>
      <c r="B2705" s="40"/>
      <c r="C2705" s="173"/>
      <c r="D2705" s="86"/>
      <c r="E2705" s="43" t="str">
        <f t="shared" si="82"/>
        <v/>
      </c>
      <c r="F2705" s="43" t="str">
        <f t="shared" si="83"/>
        <v/>
      </c>
      <c r="G2705" s="44"/>
      <c r="H2705" s="44"/>
      <c r="I2705" s="44"/>
      <c r="J2705" s="176"/>
      <c r="K2705" s="43" t="str">
        <f t="array" ref="K2705">IF(J2705="","", XLOOKUP(J2705,'⚙️ Pengaturan'!$E$2:$E3237,'⚙️ Pengaturan'!$G$2:$G3237))</f>
        <v/>
      </c>
      <c r="L2705" s="43" t="str">
        <f t="shared" si="84"/>
        <v/>
      </c>
      <c r="M2705" s="177"/>
      <c r="N2705" s="145"/>
      <c r="O2705" s="146"/>
      <c r="P2705" s="48" t="str">
        <f t="array" ref="P2705">IFNA(XLOOKUP(J2705,'⚙️ Pengaturan'!$E$2:$E3237,'⚙️ Pengaturan'!$F$2:$F3237),"")</f>
        <v/>
      </c>
      <c r="Q2705" s="147" t="str">
        <f t="shared" si="85"/>
        <v/>
      </c>
      <c r="R2705" s="173"/>
      <c r="S2705" s="76"/>
      <c r="T2705" s="51" t="b">
        <v>0</v>
      </c>
      <c r="U2705" s="94"/>
    </row>
    <row r="2706" ht="30.0" customHeight="1">
      <c r="A2706" s="39"/>
      <c r="B2706" s="40"/>
      <c r="C2706" s="173"/>
      <c r="D2706" s="86"/>
      <c r="E2706" s="43" t="str">
        <f t="shared" si="82"/>
        <v/>
      </c>
      <c r="F2706" s="43" t="str">
        <f t="shared" si="83"/>
        <v/>
      </c>
      <c r="G2706" s="44"/>
      <c r="H2706" s="44"/>
      <c r="I2706" s="44"/>
      <c r="J2706" s="176"/>
      <c r="K2706" s="43" t="str">
        <f t="array" ref="K2706">IF(J2706="","", XLOOKUP(J2706,'⚙️ Pengaturan'!$E$2:$E3237,'⚙️ Pengaturan'!$G$2:$G3237))</f>
        <v/>
      </c>
      <c r="L2706" s="43" t="str">
        <f t="shared" si="84"/>
        <v/>
      </c>
      <c r="M2706" s="177"/>
      <c r="N2706" s="145"/>
      <c r="O2706" s="146"/>
      <c r="P2706" s="48" t="str">
        <f t="array" ref="P2706">IFNA(XLOOKUP(J2706,'⚙️ Pengaturan'!$E$2:$E3237,'⚙️ Pengaturan'!$F$2:$F3237),"")</f>
        <v/>
      </c>
      <c r="Q2706" s="147" t="str">
        <f t="shared" si="85"/>
        <v/>
      </c>
      <c r="R2706" s="173"/>
      <c r="S2706" s="76"/>
      <c r="T2706" s="51" t="b">
        <v>0</v>
      </c>
      <c r="U2706" s="94"/>
    </row>
    <row r="2707" ht="30.0" customHeight="1">
      <c r="A2707" s="39"/>
      <c r="B2707" s="40"/>
      <c r="C2707" s="173"/>
      <c r="D2707" s="86"/>
      <c r="E2707" s="43" t="str">
        <f t="shared" si="82"/>
        <v/>
      </c>
      <c r="F2707" s="43" t="str">
        <f t="shared" si="83"/>
        <v/>
      </c>
      <c r="G2707" s="44"/>
      <c r="H2707" s="44"/>
      <c r="I2707" s="44"/>
      <c r="J2707" s="176"/>
      <c r="K2707" s="43" t="str">
        <f t="array" ref="K2707">IF(J2707="","", XLOOKUP(J2707,'⚙️ Pengaturan'!$E$2:$E3237,'⚙️ Pengaturan'!$G$2:$G3237))</f>
        <v/>
      </c>
      <c r="L2707" s="43" t="str">
        <f t="shared" si="84"/>
        <v/>
      </c>
      <c r="M2707" s="177"/>
      <c r="N2707" s="145"/>
      <c r="O2707" s="146"/>
      <c r="P2707" s="48" t="str">
        <f t="array" ref="P2707">IFNA(XLOOKUP(J2707,'⚙️ Pengaturan'!$E$2:$E3237,'⚙️ Pengaturan'!$F$2:$F3237),"")</f>
        <v/>
      </c>
      <c r="Q2707" s="147" t="str">
        <f t="shared" si="85"/>
        <v/>
      </c>
      <c r="R2707" s="173"/>
      <c r="S2707" s="76"/>
      <c r="T2707" s="51" t="b">
        <v>0</v>
      </c>
      <c r="U2707" s="94"/>
    </row>
    <row r="2708" ht="30.0" customHeight="1">
      <c r="A2708" s="39"/>
      <c r="B2708" s="40"/>
      <c r="C2708" s="173"/>
      <c r="D2708" s="86"/>
      <c r="E2708" s="43" t="str">
        <f t="shared" si="82"/>
        <v/>
      </c>
      <c r="F2708" s="43" t="str">
        <f t="shared" si="83"/>
        <v/>
      </c>
      <c r="G2708" s="44"/>
      <c r="H2708" s="44"/>
      <c r="I2708" s="44"/>
      <c r="J2708" s="176"/>
      <c r="K2708" s="43" t="str">
        <f t="array" ref="K2708">IF(J2708="","", XLOOKUP(J2708,'⚙️ Pengaturan'!$E$2:$E3237,'⚙️ Pengaturan'!$G$2:$G3237))</f>
        <v/>
      </c>
      <c r="L2708" s="43" t="str">
        <f t="shared" si="84"/>
        <v/>
      </c>
      <c r="M2708" s="177"/>
      <c r="N2708" s="145"/>
      <c r="O2708" s="146"/>
      <c r="P2708" s="48" t="str">
        <f t="array" ref="P2708">IFNA(XLOOKUP(J2708,'⚙️ Pengaturan'!$E$2:$E3237,'⚙️ Pengaturan'!$F$2:$F3237),"")</f>
        <v/>
      </c>
      <c r="Q2708" s="147" t="str">
        <f t="shared" si="85"/>
        <v/>
      </c>
      <c r="R2708" s="173"/>
      <c r="S2708" s="76"/>
      <c r="T2708" s="51" t="b">
        <v>0</v>
      </c>
      <c r="U2708" s="94"/>
    </row>
    <row r="2709" ht="30.0" customHeight="1">
      <c r="A2709" s="39"/>
      <c r="B2709" s="40"/>
      <c r="C2709" s="173"/>
      <c r="D2709" s="86"/>
      <c r="E2709" s="43" t="str">
        <f t="shared" si="82"/>
        <v/>
      </c>
      <c r="F2709" s="43" t="str">
        <f t="shared" si="83"/>
        <v/>
      </c>
      <c r="G2709" s="44"/>
      <c r="H2709" s="44"/>
      <c r="I2709" s="44"/>
      <c r="J2709" s="176"/>
      <c r="K2709" s="43" t="str">
        <f t="array" ref="K2709">IF(J2709="","", XLOOKUP(J2709,'⚙️ Pengaturan'!$E$2:$E3237,'⚙️ Pengaturan'!$G$2:$G3237))</f>
        <v/>
      </c>
      <c r="L2709" s="43" t="str">
        <f t="shared" si="84"/>
        <v/>
      </c>
      <c r="M2709" s="177"/>
      <c r="N2709" s="145"/>
      <c r="O2709" s="146"/>
      <c r="P2709" s="48" t="str">
        <f t="array" ref="P2709">IFNA(XLOOKUP(J2709,'⚙️ Pengaturan'!$E$2:$E3237,'⚙️ Pengaturan'!$F$2:$F3237),"")</f>
        <v/>
      </c>
      <c r="Q2709" s="147" t="str">
        <f t="shared" si="85"/>
        <v/>
      </c>
      <c r="R2709" s="173"/>
      <c r="S2709" s="76"/>
      <c r="T2709" s="51" t="b">
        <v>0</v>
      </c>
      <c r="U2709" s="94"/>
    </row>
    <row r="2710" ht="30.0" customHeight="1">
      <c r="A2710" s="39"/>
      <c r="B2710" s="40"/>
      <c r="C2710" s="173"/>
      <c r="D2710" s="86"/>
      <c r="E2710" s="43" t="str">
        <f t="shared" si="82"/>
        <v/>
      </c>
      <c r="F2710" s="43" t="str">
        <f t="shared" si="83"/>
        <v/>
      </c>
      <c r="G2710" s="44"/>
      <c r="H2710" s="44"/>
      <c r="I2710" s="44"/>
      <c r="J2710" s="176"/>
      <c r="K2710" s="43" t="str">
        <f t="array" ref="K2710">IF(J2710="","", XLOOKUP(J2710,'⚙️ Pengaturan'!$E$2:$E3237,'⚙️ Pengaturan'!$G$2:$G3237))</f>
        <v/>
      </c>
      <c r="L2710" s="43" t="str">
        <f t="shared" si="84"/>
        <v/>
      </c>
      <c r="M2710" s="177"/>
      <c r="N2710" s="145"/>
      <c r="O2710" s="146"/>
      <c r="P2710" s="48" t="str">
        <f t="array" ref="P2710">IFNA(XLOOKUP(J2710,'⚙️ Pengaturan'!$E$2:$E3237,'⚙️ Pengaturan'!$F$2:$F3237),"")</f>
        <v/>
      </c>
      <c r="Q2710" s="147" t="str">
        <f t="shared" si="85"/>
        <v/>
      </c>
      <c r="R2710" s="173"/>
      <c r="S2710" s="76"/>
      <c r="T2710" s="51" t="b">
        <v>0</v>
      </c>
      <c r="U2710" s="94"/>
    </row>
    <row r="2711" ht="30.0" customHeight="1">
      <c r="A2711" s="39"/>
      <c r="B2711" s="40"/>
      <c r="C2711" s="173"/>
      <c r="D2711" s="86"/>
      <c r="E2711" s="43" t="str">
        <f t="shared" si="82"/>
        <v/>
      </c>
      <c r="F2711" s="43" t="str">
        <f t="shared" si="83"/>
        <v/>
      </c>
      <c r="G2711" s="44"/>
      <c r="H2711" s="44"/>
      <c r="I2711" s="44"/>
      <c r="J2711" s="176"/>
      <c r="K2711" s="43" t="str">
        <f t="array" ref="K2711">IF(J2711="","", XLOOKUP(J2711,'⚙️ Pengaturan'!$E$2:$E3237,'⚙️ Pengaturan'!$G$2:$G3237))</f>
        <v/>
      </c>
      <c r="L2711" s="43" t="str">
        <f t="shared" si="84"/>
        <v/>
      </c>
      <c r="M2711" s="177"/>
      <c r="N2711" s="145"/>
      <c r="O2711" s="146"/>
      <c r="P2711" s="48" t="str">
        <f t="array" ref="P2711">IFNA(XLOOKUP(J2711,'⚙️ Pengaturan'!$E$2:$E3237,'⚙️ Pengaturan'!$F$2:$F3237),"")</f>
        <v/>
      </c>
      <c r="Q2711" s="147" t="str">
        <f t="shared" si="85"/>
        <v/>
      </c>
      <c r="R2711" s="173"/>
      <c r="S2711" s="76"/>
      <c r="T2711" s="51" t="b">
        <v>0</v>
      </c>
      <c r="U2711" s="94"/>
    </row>
    <row r="2712" ht="30.0" customHeight="1">
      <c r="A2712" s="39"/>
      <c r="B2712" s="40"/>
      <c r="C2712" s="173"/>
      <c r="D2712" s="86"/>
      <c r="E2712" s="43" t="str">
        <f t="shared" si="82"/>
        <v/>
      </c>
      <c r="F2712" s="43" t="str">
        <f t="shared" si="83"/>
        <v/>
      </c>
      <c r="G2712" s="44"/>
      <c r="H2712" s="44"/>
      <c r="I2712" s="44"/>
      <c r="J2712" s="176"/>
      <c r="K2712" s="43" t="str">
        <f t="array" ref="K2712">IF(J2712="","", XLOOKUP(J2712,'⚙️ Pengaturan'!$E$2:$E3237,'⚙️ Pengaturan'!$G$2:$G3237))</f>
        <v/>
      </c>
      <c r="L2712" s="43" t="str">
        <f t="shared" si="84"/>
        <v/>
      </c>
      <c r="M2712" s="177"/>
      <c r="N2712" s="145"/>
      <c r="O2712" s="146"/>
      <c r="P2712" s="48" t="str">
        <f t="array" ref="P2712">IFNA(XLOOKUP(J2712,'⚙️ Pengaturan'!$E$2:$E3237,'⚙️ Pengaturan'!$F$2:$F3237),"")</f>
        <v/>
      </c>
      <c r="Q2712" s="147" t="str">
        <f t="shared" si="85"/>
        <v/>
      </c>
      <c r="R2712" s="173"/>
      <c r="S2712" s="76"/>
      <c r="T2712" s="51" t="b">
        <v>0</v>
      </c>
      <c r="U2712" s="94"/>
    </row>
    <row r="2713" ht="30.0" customHeight="1">
      <c r="A2713" s="39"/>
      <c r="B2713" s="40"/>
      <c r="C2713" s="173"/>
      <c r="D2713" s="86"/>
      <c r="E2713" s="43" t="str">
        <f t="shared" si="82"/>
        <v/>
      </c>
      <c r="F2713" s="43" t="str">
        <f t="shared" si="83"/>
        <v/>
      </c>
      <c r="G2713" s="44"/>
      <c r="H2713" s="44"/>
      <c r="I2713" s="44"/>
      <c r="J2713" s="176"/>
      <c r="K2713" s="43" t="str">
        <f t="array" ref="K2713">IF(J2713="","", XLOOKUP(J2713,'⚙️ Pengaturan'!$E$2:$E3237,'⚙️ Pengaturan'!$G$2:$G3237))</f>
        <v/>
      </c>
      <c r="L2713" s="43" t="str">
        <f t="shared" si="84"/>
        <v/>
      </c>
      <c r="M2713" s="177"/>
      <c r="N2713" s="145"/>
      <c r="O2713" s="146"/>
      <c r="P2713" s="48" t="str">
        <f t="array" ref="P2713">IFNA(XLOOKUP(J2713,'⚙️ Pengaturan'!$E$2:$E3237,'⚙️ Pengaturan'!$F$2:$F3237),"")</f>
        <v/>
      </c>
      <c r="Q2713" s="147" t="str">
        <f t="shared" si="85"/>
        <v/>
      </c>
      <c r="R2713" s="173"/>
      <c r="S2713" s="76"/>
      <c r="T2713" s="51" t="b">
        <v>0</v>
      </c>
      <c r="U2713" s="94"/>
    </row>
    <row r="2714" ht="30.0" customHeight="1">
      <c r="A2714" s="39"/>
      <c r="B2714" s="40"/>
      <c r="C2714" s="173"/>
      <c r="D2714" s="86"/>
      <c r="E2714" s="43" t="str">
        <f t="shared" si="82"/>
        <v/>
      </c>
      <c r="F2714" s="43" t="str">
        <f t="shared" si="83"/>
        <v/>
      </c>
      <c r="G2714" s="44"/>
      <c r="H2714" s="44"/>
      <c r="I2714" s="44"/>
      <c r="J2714" s="176"/>
      <c r="K2714" s="43" t="str">
        <f t="array" ref="K2714">IF(J2714="","", XLOOKUP(J2714,'⚙️ Pengaturan'!$E$2:$E3237,'⚙️ Pengaturan'!$G$2:$G3237))</f>
        <v/>
      </c>
      <c r="L2714" s="43" t="str">
        <f t="shared" si="84"/>
        <v/>
      </c>
      <c r="M2714" s="177"/>
      <c r="N2714" s="145"/>
      <c r="O2714" s="146"/>
      <c r="P2714" s="48" t="str">
        <f t="array" ref="P2714">IFNA(XLOOKUP(J2714,'⚙️ Pengaturan'!$E$2:$E3237,'⚙️ Pengaturan'!$F$2:$F3237),"")</f>
        <v/>
      </c>
      <c r="Q2714" s="147" t="str">
        <f t="shared" si="85"/>
        <v/>
      </c>
      <c r="R2714" s="173"/>
      <c r="S2714" s="76"/>
      <c r="T2714" s="51" t="b">
        <v>0</v>
      </c>
      <c r="U2714" s="94"/>
    </row>
    <row r="2715" ht="30.0" customHeight="1">
      <c r="A2715" s="39"/>
      <c r="B2715" s="40"/>
      <c r="C2715" s="173"/>
      <c r="D2715" s="86"/>
      <c r="E2715" s="43" t="str">
        <f t="shared" si="82"/>
        <v/>
      </c>
      <c r="F2715" s="43" t="str">
        <f t="shared" si="83"/>
        <v/>
      </c>
      <c r="G2715" s="44"/>
      <c r="H2715" s="44"/>
      <c r="I2715" s="44"/>
      <c r="J2715" s="176"/>
      <c r="K2715" s="43" t="str">
        <f t="array" ref="K2715">IF(J2715="","", XLOOKUP(J2715,'⚙️ Pengaturan'!$E$2:$E3237,'⚙️ Pengaturan'!$G$2:$G3237))</f>
        <v/>
      </c>
      <c r="L2715" s="43" t="str">
        <f t="shared" si="84"/>
        <v/>
      </c>
      <c r="M2715" s="177"/>
      <c r="N2715" s="145"/>
      <c r="O2715" s="146"/>
      <c r="P2715" s="48" t="str">
        <f t="array" ref="P2715">IFNA(XLOOKUP(J2715,'⚙️ Pengaturan'!$E$2:$E3237,'⚙️ Pengaturan'!$F$2:$F3237),"")</f>
        <v/>
      </c>
      <c r="Q2715" s="147" t="str">
        <f t="shared" si="85"/>
        <v/>
      </c>
      <c r="R2715" s="173"/>
      <c r="S2715" s="76"/>
      <c r="T2715" s="51" t="b">
        <v>0</v>
      </c>
      <c r="U2715" s="94"/>
    </row>
    <row r="2716" ht="30.0" customHeight="1">
      <c r="A2716" s="39"/>
      <c r="B2716" s="40"/>
      <c r="C2716" s="173"/>
      <c r="D2716" s="86"/>
      <c r="E2716" s="43" t="str">
        <f t="shared" si="82"/>
        <v/>
      </c>
      <c r="F2716" s="43" t="str">
        <f t="shared" si="83"/>
        <v/>
      </c>
      <c r="G2716" s="44"/>
      <c r="H2716" s="44"/>
      <c r="I2716" s="44"/>
      <c r="J2716" s="176"/>
      <c r="K2716" s="43" t="str">
        <f t="array" ref="K2716">IF(J2716="","", XLOOKUP(J2716,'⚙️ Pengaturan'!$E$2:$E3237,'⚙️ Pengaturan'!$G$2:$G3237))</f>
        <v/>
      </c>
      <c r="L2716" s="43" t="str">
        <f t="shared" si="84"/>
        <v/>
      </c>
      <c r="M2716" s="177"/>
      <c r="N2716" s="145"/>
      <c r="O2716" s="146"/>
      <c r="P2716" s="48" t="str">
        <f t="array" ref="P2716">IFNA(XLOOKUP(J2716,'⚙️ Pengaturan'!$E$2:$E3237,'⚙️ Pengaturan'!$F$2:$F3237),"")</f>
        <v/>
      </c>
      <c r="Q2716" s="147" t="str">
        <f t="shared" si="85"/>
        <v/>
      </c>
      <c r="R2716" s="173"/>
      <c r="S2716" s="76"/>
      <c r="T2716" s="51" t="b">
        <v>0</v>
      </c>
      <c r="U2716" s="94"/>
    </row>
    <row r="2717" ht="30.0" customHeight="1">
      <c r="A2717" s="39"/>
      <c r="B2717" s="40"/>
      <c r="C2717" s="173"/>
      <c r="D2717" s="86"/>
      <c r="E2717" s="43" t="str">
        <f t="shared" si="82"/>
        <v/>
      </c>
      <c r="F2717" s="43" t="str">
        <f t="shared" si="83"/>
        <v/>
      </c>
      <c r="G2717" s="44"/>
      <c r="H2717" s="44"/>
      <c r="I2717" s="44"/>
      <c r="J2717" s="176"/>
      <c r="K2717" s="43" t="str">
        <f t="array" ref="K2717">IF(J2717="","", XLOOKUP(J2717,'⚙️ Pengaturan'!$E$2:$E3237,'⚙️ Pengaturan'!$G$2:$G3237))</f>
        <v/>
      </c>
      <c r="L2717" s="43" t="str">
        <f t="shared" si="84"/>
        <v/>
      </c>
      <c r="M2717" s="177"/>
      <c r="N2717" s="145"/>
      <c r="O2717" s="146"/>
      <c r="P2717" s="48" t="str">
        <f t="array" ref="P2717">IFNA(XLOOKUP(J2717,'⚙️ Pengaturan'!$E$2:$E3237,'⚙️ Pengaturan'!$F$2:$F3237),"")</f>
        <v/>
      </c>
      <c r="Q2717" s="147" t="str">
        <f t="shared" si="85"/>
        <v/>
      </c>
      <c r="R2717" s="173"/>
      <c r="S2717" s="76"/>
      <c r="T2717" s="51" t="b">
        <v>0</v>
      </c>
      <c r="U2717" s="94"/>
    </row>
    <row r="2718" ht="30.0" customHeight="1">
      <c r="A2718" s="39"/>
      <c r="B2718" s="40"/>
      <c r="C2718" s="173"/>
      <c r="D2718" s="86"/>
      <c r="E2718" s="43" t="str">
        <f t="shared" si="82"/>
        <v/>
      </c>
      <c r="F2718" s="43" t="str">
        <f t="shared" si="83"/>
        <v/>
      </c>
      <c r="G2718" s="44"/>
      <c r="H2718" s="44"/>
      <c r="I2718" s="44"/>
      <c r="J2718" s="176"/>
      <c r="K2718" s="43" t="str">
        <f t="array" ref="K2718">IF(J2718="","", XLOOKUP(J2718,'⚙️ Pengaturan'!$E$2:$E3237,'⚙️ Pengaturan'!$G$2:$G3237))</f>
        <v/>
      </c>
      <c r="L2718" s="43" t="str">
        <f t="shared" si="84"/>
        <v/>
      </c>
      <c r="M2718" s="177"/>
      <c r="N2718" s="145"/>
      <c r="O2718" s="146"/>
      <c r="P2718" s="48" t="str">
        <f t="array" ref="P2718">IFNA(XLOOKUP(J2718,'⚙️ Pengaturan'!$E$2:$E3237,'⚙️ Pengaturan'!$F$2:$F3237),"")</f>
        <v/>
      </c>
      <c r="Q2718" s="147" t="str">
        <f t="shared" si="85"/>
        <v/>
      </c>
      <c r="R2718" s="173"/>
      <c r="S2718" s="76"/>
      <c r="T2718" s="51" t="b">
        <v>0</v>
      </c>
      <c r="U2718" s="94"/>
    </row>
    <row r="2719" ht="30.0" customHeight="1">
      <c r="A2719" s="39"/>
      <c r="B2719" s="40"/>
      <c r="C2719" s="173"/>
      <c r="D2719" s="86"/>
      <c r="E2719" s="43" t="str">
        <f t="shared" si="82"/>
        <v/>
      </c>
      <c r="F2719" s="43" t="str">
        <f t="shared" si="83"/>
        <v/>
      </c>
      <c r="G2719" s="44"/>
      <c r="H2719" s="44"/>
      <c r="I2719" s="44"/>
      <c r="J2719" s="176"/>
      <c r="K2719" s="43" t="str">
        <f t="array" ref="K2719">IF(J2719="","", XLOOKUP(J2719,'⚙️ Pengaturan'!$E$2:$E3237,'⚙️ Pengaturan'!$G$2:$G3237))</f>
        <v/>
      </c>
      <c r="L2719" s="43" t="str">
        <f t="shared" si="84"/>
        <v/>
      </c>
      <c r="M2719" s="177"/>
      <c r="N2719" s="145"/>
      <c r="O2719" s="146"/>
      <c r="P2719" s="48" t="str">
        <f t="array" ref="P2719">IFNA(XLOOKUP(J2719,'⚙️ Pengaturan'!$E$2:$E3237,'⚙️ Pengaturan'!$F$2:$F3237),"")</f>
        <v/>
      </c>
      <c r="Q2719" s="147" t="str">
        <f t="shared" si="85"/>
        <v/>
      </c>
      <c r="R2719" s="173"/>
      <c r="S2719" s="76"/>
      <c r="T2719" s="51" t="b">
        <v>0</v>
      </c>
      <c r="U2719" s="94"/>
    </row>
    <row r="2720" ht="30.0" customHeight="1">
      <c r="A2720" s="39"/>
      <c r="B2720" s="40"/>
      <c r="C2720" s="173"/>
      <c r="D2720" s="86"/>
      <c r="E2720" s="43" t="str">
        <f t="shared" si="82"/>
        <v/>
      </c>
      <c r="F2720" s="43" t="str">
        <f t="shared" si="83"/>
        <v/>
      </c>
      <c r="G2720" s="44"/>
      <c r="H2720" s="44"/>
      <c r="I2720" s="44"/>
      <c r="J2720" s="176"/>
      <c r="K2720" s="43" t="str">
        <f t="array" ref="K2720">IF(J2720="","", XLOOKUP(J2720,'⚙️ Pengaturan'!$E$2:$E3237,'⚙️ Pengaturan'!$G$2:$G3237))</f>
        <v/>
      </c>
      <c r="L2720" s="43" t="str">
        <f t="shared" si="84"/>
        <v/>
      </c>
      <c r="M2720" s="177"/>
      <c r="N2720" s="145"/>
      <c r="O2720" s="146"/>
      <c r="P2720" s="48" t="str">
        <f t="array" ref="P2720">IFNA(XLOOKUP(J2720,'⚙️ Pengaturan'!$E$2:$E3237,'⚙️ Pengaturan'!$F$2:$F3237),"")</f>
        <v/>
      </c>
      <c r="Q2720" s="147" t="str">
        <f t="shared" si="85"/>
        <v/>
      </c>
      <c r="R2720" s="173"/>
      <c r="S2720" s="76"/>
      <c r="T2720" s="51" t="b">
        <v>0</v>
      </c>
      <c r="U2720" s="94"/>
    </row>
    <row r="2721" ht="30.0" customHeight="1">
      <c r="A2721" s="39"/>
      <c r="B2721" s="40"/>
      <c r="C2721" s="173"/>
      <c r="D2721" s="86"/>
      <c r="E2721" s="43" t="str">
        <f t="shared" si="82"/>
        <v/>
      </c>
      <c r="F2721" s="43" t="str">
        <f t="shared" si="83"/>
        <v/>
      </c>
      <c r="G2721" s="44"/>
      <c r="H2721" s="44"/>
      <c r="I2721" s="44"/>
      <c r="J2721" s="176"/>
      <c r="K2721" s="43" t="str">
        <f t="array" ref="K2721">IF(J2721="","", XLOOKUP(J2721,'⚙️ Pengaturan'!$E$2:$E3237,'⚙️ Pengaturan'!$G$2:$G3237))</f>
        <v/>
      </c>
      <c r="L2721" s="43" t="str">
        <f t="shared" si="84"/>
        <v/>
      </c>
      <c r="M2721" s="177"/>
      <c r="N2721" s="145"/>
      <c r="O2721" s="146"/>
      <c r="P2721" s="48" t="str">
        <f t="array" ref="P2721">IFNA(XLOOKUP(J2721,'⚙️ Pengaturan'!$E$2:$E3237,'⚙️ Pengaturan'!$F$2:$F3237),"")</f>
        <v/>
      </c>
      <c r="Q2721" s="147" t="str">
        <f t="shared" si="85"/>
        <v/>
      </c>
      <c r="R2721" s="173"/>
      <c r="S2721" s="76"/>
      <c r="T2721" s="51" t="b">
        <v>0</v>
      </c>
      <c r="U2721" s="94"/>
    </row>
    <row r="2722" ht="30.0" customHeight="1">
      <c r="A2722" s="39"/>
      <c r="B2722" s="40"/>
      <c r="C2722" s="173"/>
      <c r="D2722" s="86"/>
      <c r="E2722" s="43" t="str">
        <f t="shared" si="82"/>
        <v/>
      </c>
      <c r="F2722" s="43" t="str">
        <f t="shared" si="83"/>
        <v/>
      </c>
      <c r="G2722" s="44"/>
      <c r="H2722" s="44"/>
      <c r="I2722" s="44"/>
      <c r="J2722" s="176"/>
      <c r="K2722" s="43" t="str">
        <f t="array" ref="K2722">IF(J2722="","", XLOOKUP(J2722,'⚙️ Pengaturan'!$E$2:$E3237,'⚙️ Pengaturan'!$G$2:$G3237))</f>
        <v/>
      </c>
      <c r="L2722" s="43" t="str">
        <f t="shared" si="84"/>
        <v/>
      </c>
      <c r="M2722" s="177"/>
      <c r="N2722" s="145"/>
      <c r="O2722" s="146"/>
      <c r="P2722" s="48" t="str">
        <f t="array" ref="P2722">IFNA(XLOOKUP(J2722,'⚙️ Pengaturan'!$E$2:$E3237,'⚙️ Pengaturan'!$F$2:$F3237),"")</f>
        <v/>
      </c>
      <c r="Q2722" s="147" t="str">
        <f t="shared" si="85"/>
        <v/>
      </c>
      <c r="R2722" s="173"/>
      <c r="S2722" s="76"/>
      <c r="T2722" s="51" t="b">
        <v>0</v>
      </c>
      <c r="U2722" s="94"/>
    </row>
    <row r="2723" ht="30.0" customHeight="1">
      <c r="A2723" s="39"/>
      <c r="B2723" s="40"/>
      <c r="C2723" s="173"/>
      <c r="D2723" s="86"/>
      <c r="E2723" s="43" t="str">
        <f t="shared" si="82"/>
        <v/>
      </c>
      <c r="F2723" s="43" t="str">
        <f t="shared" si="83"/>
        <v/>
      </c>
      <c r="G2723" s="44"/>
      <c r="H2723" s="44"/>
      <c r="I2723" s="44"/>
      <c r="J2723" s="176"/>
      <c r="K2723" s="43" t="str">
        <f t="array" ref="K2723">IF(J2723="","", XLOOKUP(J2723,'⚙️ Pengaturan'!$E$2:$E3237,'⚙️ Pengaturan'!$G$2:$G3237))</f>
        <v/>
      </c>
      <c r="L2723" s="43" t="str">
        <f t="shared" si="84"/>
        <v/>
      </c>
      <c r="M2723" s="177"/>
      <c r="N2723" s="145"/>
      <c r="O2723" s="146"/>
      <c r="P2723" s="48" t="str">
        <f t="array" ref="P2723">IFNA(XLOOKUP(J2723,'⚙️ Pengaturan'!$E$2:$E3237,'⚙️ Pengaturan'!$F$2:$F3237),"")</f>
        <v/>
      </c>
      <c r="Q2723" s="147" t="str">
        <f t="shared" si="85"/>
        <v/>
      </c>
      <c r="R2723" s="173"/>
      <c r="S2723" s="76"/>
      <c r="T2723" s="51" t="b">
        <v>0</v>
      </c>
      <c r="U2723" s="94"/>
    </row>
    <row r="2724" ht="30.0" customHeight="1">
      <c r="A2724" s="39"/>
      <c r="B2724" s="40"/>
      <c r="C2724" s="173"/>
      <c r="D2724" s="86"/>
      <c r="E2724" s="43" t="str">
        <f t="shared" si="82"/>
        <v/>
      </c>
      <c r="F2724" s="43" t="str">
        <f t="shared" si="83"/>
        <v/>
      </c>
      <c r="G2724" s="44"/>
      <c r="H2724" s="44"/>
      <c r="I2724" s="44"/>
      <c r="J2724" s="176"/>
      <c r="K2724" s="43" t="str">
        <f t="array" ref="K2724">IF(J2724="","", XLOOKUP(J2724,'⚙️ Pengaturan'!$E$2:$E3237,'⚙️ Pengaturan'!$G$2:$G3237))</f>
        <v/>
      </c>
      <c r="L2724" s="43" t="str">
        <f t="shared" si="84"/>
        <v/>
      </c>
      <c r="M2724" s="177"/>
      <c r="N2724" s="145"/>
      <c r="O2724" s="146"/>
      <c r="P2724" s="48" t="str">
        <f t="array" ref="P2724">IFNA(XLOOKUP(J2724,'⚙️ Pengaturan'!$E$2:$E3237,'⚙️ Pengaturan'!$F$2:$F3237),"")</f>
        <v/>
      </c>
      <c r="Q2724" s="147" t="str">
        <f t="shared" si="85"/>
        <v/>
      </c>
      <c r="R2724" s="173"/>
      <c r="S2724" s="76"/>
      <c r="T2724" s="51" t="b">
        <v>0</v>
      </c>
      <c r="U2724" s="94"/>
    </row>
    <row r="2725" ht="30.0" customHeight="1">
      <c r="A2725" s="39"/>
      <c r="B2725" s="40"/>
      <c r="C2725" s="173"/>
      <c r="D2725" s="86"/>
      <c r="E2725" s="43" t="str">
        <f t="shared" si="82"/>
        <v/>
      </c>
      <c r="F2725" s="43" t="str">
        <f t="shared" si="83"/>
        <v/>
      </c>
      <c r="G2725" s="44"/>
      <c r="H2725" s="44"/>
      <c r="I2725" s="44"/>
      <c r="J2725" s="176"/>
      <c r="K2725" s="43" t="str">
        <f t="array" ref="K2725">IF(J2725="","", XLOOKUP(J2725,'⚙️ Pengaturan'!$E$2:$E3237,'⚙️ Pengaturan'!$G$2:$G3237))</f>
        <v/>
      </c>
      <c r="L2725" s="43" t="str">
        <f t="shared" si="84"/>
        <v/>
      </c>
      <c r="M2725" s="177"/>
      <c r="N2725" s="145"/>
      <c r="O2725" s="146"/>
      <c r="P2725" s="48" t="str">
        <f t="array" ref="P2725">IFNA(XLOOKUP(J2725,'⚙️ Pengaturan'!$E$2:$E3237,'⚙️ Pengaturan'!$F$2:$F3237),"")</f>
        <v/>
      </c>
      <c r="Q2725" s="147" t="str">
        <f t="shared" si="85"/>
        <v/>
      </c>
      <c r="R2725" s="173"/>
      <c r="S2725" s="76"/>
      <c r="T2725" s="51" t="b">
        <v>0</v>
      </c>
      <c r="U2725" s="94"/>
    </row>
    <row r="2726" ht="30.0" customHeight="1">
      <c r="A2726" s="39"/>
      <c r="B2726" s="40"/>
      <c r="C2726" s="173"/>
      <c r="D2726" s="86"/>
      <c r="E2726" s="43" t="str">
        <f t="shared" si="82"/>
        <v/>
      </c>
      <c r="F2726" s="43" t="str">
        <f t="shared" si="83"/>
        <v/>
      </c>
      <c r="G2726" s="44"/>
      <c r="H2726" s="44"/>
      <c r="I2726" s="44"/>
      <c r="J2726" s="176"/>
      <c r="K2726" s="43" t="str">
        <f t="array" ref="K2726">IF(J2726="","", XLOOKUP(J2726,'⚙️ Pengaturan'!$E$2:$E3237,'⚙️ Pengaturan'!$G$2:$G3237))</f>
        <v/>
      </c>
      <c r="L2726" s="43" t="str">
        <f t="shared" si="84"/>
        <v/>
      </c>
      <c r="M2726" s="177"/>
      <c r="N2726" s="145"/>
      <c r="O2726" s="146"/>
      <c r="P2726" s="48" t="str">
        <f t="array" ref="P2726">IFNA(XLOOKUP(J2726,'⚙️ Pengaturan'!$E$2:$E3237,'⚙️ Pengaturan'!$F$2:$F3237),"")</f>
        <v/>
      </c>
      <c r="Q2726" s="147" t="str">
        <f t="shared" si="85"/>
        <v/>
      </c>
      <c r="R2726" s="173"/>
      <c r="S2726" s="76"/>
      <c r="T2726" s="51" t="b">
        <v>0</v>
      </c>
      <c r="U2726" s="94"/>
    </row>
    <row r="2727" ht="30.0" customHeight="1">
      <c r="A2727" s="39"/>
      <c r="B2727" s="40"/>
      <c r="C2727" s="173"/>
      <c r="D2727" s="86"/>
      <c r="E2727" s="43" t="str">
        <f t="shared" si="82"/>
        <v/>
      </c>
      <c r="F2727" s="43" t="str">
        <f t="shared" si="83"/>
        <v/>
      </c>
      <c r="G2727" s="44"/>
      <c r="H2727" s="44"/>
      <c r="I2727" s="44"/>
      <c r="J2727" s="176"/>
      <c r="K2727" s="43" t="str">
        <f t="array" ref="K2727">IF(J2727="","", XLOOKUP(J2727,'⚙️ Pengaturan'!$E$2:$E3237,'⚙️ Pengaturan'!$G$2:$G3237))</f>
        <v/>
      </c>
      <c r="L2727" s="43" t="str">
        <f t="shared" si="84"/>
        <v/>
      </c>
      <c r="M2727" s="177"/>
      <c r="N2727" s="145"/>
      <c r="O2727" s="146"/>
      <c r="P2727" s="48" t="str">
        <f t="array" ref="P2727">IFNA(XLOOKUP(J2727,'⚙️ Pengaturan'!$E$2:$E3237,'⚙️ Pengaturan'!$F$2:$F3237),"")</f>
        <v/>
      </c>
      <c r="Q2727" s="147" t="str">
        <f t="shared" si="85"/>
        <v/>
      </c>
      <c r="R2727" s="173"/>
      <c r="S2727" s="76"/>
      <c r="T2727" s="51" t="b">
        <v>0</v>
      </c>
      <c r="U2727" s="94"/>
    </row>
    <row r="2728" ht="30.0" customHeight="1">
      <c r="A2728" s="39"/>
      <c r="B2728" s="40"/>
      <c r="C2728" s="173"/>
      <c r="D2728" s="86"/>
      <c r="E2728" s="43" t="str">
        <f t="shared" si="82"/>
        <v/>
      </c>
      <c r="F2728" s="43" t="str">
        <f t="shared" si="83"/>
        <v/>
      </c>
      <c r="G2728" s="44"/>
      <c r="H2728" s="44"/>
      <c r="I2728" s="44"/>
      <c r="J2728" s="176"/>
      <c r="K2728" s="43" t="str">
        <f t="array" ref="K2728">IF(J2728="","", XLOOKUP(J2728,'⚙️ Pengaturan'!$E$2:$E3237,'⚙️ Pengaturan'!$G$2:$G3237))</f>
        <v/>
      </c>
      <c r="L2728" s="43" t="str">
        <f t="shared" si="84"/>
        <v/>
      </c>
      <c r="M2728" s="177"/>
      <c r="N2728" s="145"/>
      <c r="O2728" s="146"/>
      <c r="P2728" s="48" t="str">
        <f t="array" ref="P2728">IFNA(XLOOKUP(J2728,'⚙️ Pengaturan'!$E$2:$E3237,'⚙️ Pengaturan'!$F$2:$F3237),"")</f>
        <v/>
      </c>
      <c r="Q2728" s="147" t="str">
        <f t="shared" si="85"/>
        <v/>
      </c>
      <c r="R2728" s="173"/>
      <c r="S2728" s="76"/>
      <c r="T2728" s="51" t="b">
        <v>0</v>
      </c>
      <c r="U2728" s="94"/>
    </row>
    <row r="2729" ht="30.0" customHeight="1">
      <c r="A2729" s="39"/>
      <c r="B2729" s="40"/>
      <c r="C2729" s="173"/>
      <c r="D2729" s="86"/>
      <c r="E2729" s="43" t="str">
        <f t="shared" si="82"/>
        <v/>
      </c>
      <c r="F2729" s="43" t="str">
        <f t="shared" si="83"/>
        <v/>
      </c>
      <c r="G2729" s="44"/>
      <c r="H2729" s="44"/>
      <c r="I2729" s="44"/>
      <c r="J2729" s="176"/>
      <c r="K2729" s="43" t="str">
        <f t="array" ref="K2729">IF(J2729="","", XLOOKUP(J2729,'⚙️ Pengaturan'!$E$2:$E3237,'⚙️ Pengaturan'!$G$2:$G3237))</f>
        <v/>
      </c>
      <c r="L2729" s="43" t="str">
        <f t="shared" si="84"/>
        <v/>
      </c>
      <c r="M2729" s="177"/>
      <c r="N2729" s="145"/>
      <c r="O2729" s="146"/>
      <c r="P2729" s="48" t="str">
        <f t="array" ref="P2729">IFNA(XLOOKUP(J2729,'⚙️ Pengaturan'!$E$2:$E3237,'⚙️ Pengaturan'!$F$2:$F3237),"")</f>
        <v/>
      </c>
      <c r="Q2729" s="147" t="str">
        <f t="shared" si="85"/>
        <v/>
      </c>
      <c r="R2729" s="173"/>
      <c r="S2729" s="76"/>
      <c r="T2729" s="51" t="b">
        <v>0</v>
      </c>
      <c r="U2729" s="94"/>
    </row>
    <row r="2730" ht="30.0" customHeight="1">
      <c r="A2730" s="39"/>
      <c r="B2730" s="40"/>
      <c r="C2730" s="173"/>
      <c r="D2730" s="86"/>
      <c r="E2730" s="43" t="str">
        <f t="shared" si="82"/>
        <v/>
      </c>
      <c r="F2730" s="43" t="str">
        <f t="shared" si="83"/>
        <v/>
      </c>
      <c r="G2730" s="44"/>
      <c r="H2730" s="44"/>
      <c r="I2730" s="44"/>
      <c r="J2730" s="176"/>
      <c r="K2730" s="43" t="str">
        <f t="array" ref="K2730">IF(J2730="","", XLOOKUP(J2730,'⚙️ Pengaturan'!$E$2:$E3237,'⚙️ Pengaturan'!$G$2:$G3237))</f>
        <v/>
      </c>
      <c r="L2730" s="43" t="str">
        <f t="shared" si="84"/>
        <v/>
      </c>
      <c r="M2730" s="177"/>
      <c r="N2730" s="145"/>
      <c r="O2730" s="146"/>
      <c r="P2730" s="48" t="str">
        <f t="array" ref="P2730">IFNA(XLOOKUP(J2730,'⚙️ Pengaturan'!$E$2:$E3237,'⚙️ Pengaturan'!$F$2:$F3237),"")</f>
        <v/>
      </c>
      <c r="Q2730" s="147" t="str">
        <f t="shared" si="85"/>
        <v/>
      </c>
      <c r="R2730" s="173"/>
      <c r="S2730" s="76"/>
      <c r="T2730" s="51" t="b">
        <v>0</v>
      </c>
      <c r="U2730" s="94"/>
    </row>
    <row r="2731" ht="30.0" customHeight="1">
      <c r="A2731" s="39"/>
      <c r="B2731" s="40"/>
      <c r="C2731" s="173"/>
      <c r="D2731" s="86"/>
      <c r="E2731" s="43" t="str">
        <f t="shared" si="82"/>
        <v/>
      </c>
      <c r="F2731" s="43" t="str">
        <f t="shared" si="83"/>
        <v/>
      </c>
      <c r="G2731" s="44"/>
      <c r="H2731" s="44"/>
      <c r="I2731" s="44"/>
      <c r="J2731" s="176"/>
      <c r="K2731" s="43" t="str">
        <f t="array" ref="K2731">IF(J2731="","", XLOOKUP(J2731,'⚙️ Pengaturan'!$E$2:$E3237,'⚙️ Pengaturan'!$G$2:$G3237))</f>
        <v/>
      </c>
      <c r="L2731" s="43" t="str">
        <f t="shared" si="84"/>
        <v/>
      </c>
      <c r="M2731" s="177"/>
      <c r="N2731" s="145"/>
      <c r="O2731" s="146"/>
      <c r="P2731" s="48" t="str">
        <f t="array" ref="P2731">IFNA(XLOOKUP(J2731,'⚙️ Pengaturan'!$E$2:$E3237,'⚙️ Pengaturan'!$F$2:$F3237),"")</f>
        <v/>
      </c>
      <c r="Q2731" s="147" t="str">
        <f t="shared" si="85"/>
        <v/>
      </c>
      <c r="R2731" s="173"/>
      <c r="S2731" s="76"/>
      <c r="T2731" s="51" t="b">
        <v>0</v>
      </c>
      <c r="U2731" s="94"/>
    </row>
    <row r="2732" ht="30.0" customHeight="1">
      <c r="A2732" s="39"/>
      <c r="B2732" s="40"/>
      <c r="C2732" s="173"/>
      <c r="D2732" s="86"/>
      <c r="E2732" s="43" t="str">
        <f t="shared" si="82"/>
        <v/>
      </c>
      <c r="F2732" s="43" t="str">
        <f t="shared" si="83"/>
        <v/>
      </c>
      <c r="G2732" s="44"/>
      <c r="H2732" s="44"/>
      <c r="I2732" s="44"/>
      <c r="J2732" s="176"/>
      <c r="K2732" s="43" t="str">
        <f t="array" ref="K2732">IF(J2732="","", XLOOKUP(J2732,'⚙️ Pengaturan'!$E$2:$E3237,'⚙️ Pengaturan'!$G$2:$G3237))</f>
        <v/>
      </c>
      <c r="L2732" s="43" t="str">
        <f t="shared" si="84"/>
        <v/>
      </c>
      <c r="M2732" s="177"/>
      <c r="N2732" s="145"/>
      <c r="O2732" s="146"/>
      <c r="P2732" s="48" t="str">
        <f t="array" ref="P2732">IFNA(XLOOKUP(J2732,'⚙️ Pengaturan'!$E$2:$E3237,'⚙️ Pengaturan'!$F$2:$F3237),"")</f>
        <v/>
      </c>
      <c r="Q2732" s="147" t="str">
        <f t="shared" si="85"/>
        <v/>
      </c>
      <c r="R2732" s="173"/>
      <c r="S2732" s="76"/>
      <c r="T2732" s="51" t="b">
        <v>0</v>
      </c>
      <c r="U2732" s="94"/>
    </row>
    <row r="2733" ht="30.0" customHeight="1">
      <c r="A2733" s="39"/>
      <c r="B2733" s="40"/>
      <c r="C2733" s="173"/>
      <c r="D2733" s="86"/>
      <c r="E2733" s="43" t="str">
        <f t="shared" si="82"/>
        <v/>
      </c>
      <c r="F2733" s="43" t="str">
        <f t="shared" si="83"/>
        <v/>
      </c>
      <c r="G2733" s="44"/>
      <c r="H2733" s="44"/>
      <c r="I2733" s="44"/>
      <c r="J2733" s="176"/>
      <c r="K2733" s="43" t="str">
        <f t="array" ref="K2733">IF(J2733="","", XLOOKUP(J2733,'⚙️ Pengaturan'!$E$2:$E3237,'⚙️ Pengaturan'!$G$2:$G3237))</f>
        <v/>
      </c>
      <c r="L2733" s="43" t="str">
        <f t="shared" si="84"/>
        <v/>
      </c>
      <c r="M2733" s="177"/>
      <c r="N2733" s="145"/>
      <c r="O2733" s="146"/>
      <c r="P2733" s="48" t="str">
        <f t="array" ref="P2733">IFNA(XLOOKUP(J2733,'⚙️ Pengaturan'!$E$2:$E3237,'⚙️ Pengaturan'!$F$2:$F3237),"")</f>
        <v/>
      </c>
      <c r="Q2733" s="147" t="str">
        <f t="shared" si="85"/>
        <v/>
      </c>
      <c r="R2733" s="173"/>
      <c r="S2733" s="76"/>
      <c r="T2733" s="51" t="b">
        <v>0</v>
      </c>
      <c r="U2733" s="94"/>
    </row>
    <row r="2734" ht="30.0" customHeight="1">
      <c r="A2734" s="39"/>
      <c r="B2734" s="40"/>
      <c r="C2734" s="173"/>
      <c r="D2734" s="86"/>
      <c r="E2734" s="43" t="str">
        <f t="shared" si="82"/>
        <v/>
      </c>
      <c r="F2734" s="43" t="str">
        <f t="shared" si="83"/>
        <v/>
      </c>
      <c r="G2734" s="44"/>
      <c r="H2734" s="44"/>
      <c r="I2734" s="44"/>
      <c r="J2734" s="176"/>
      <c r="K2734" s="43" t="str">
        <f t="array" ref="K2734">IF(J2734="","", XLOOKUP(J2734,'⚙️ Pengaturan'!$E$2:$E3237,'⚙️ Pengaturan'!$G$2:$G3237))</f>
        <v/>
      </c>
      <c r="L2734" s="43" t="str">
        <f t="shared" si="84"/>
        <v/>
      </c>
      <c r="M2734" s="177"/>
      <c r="N2734" s="145"/>
      <c r="O2734" s="146"/>
      <c r="P2734" s="48" t="str">
        <f t="array" ref="P2734">IFNA(XLOOKUP(J2734,'⚙️ Pengaturan'!$E$2:$E3237,'⚙️ Pengaturan'!$F$2:$F3237),"")</f>
        <v/>
      </c>
      <c r="Q2734" s="147" t="str">
        <f t="shared" si="85"/>
        <v/>
      </c>
      <c r="R2734" s="173"/>
      <c r="S2734" s="76"/>
      <c r="T2734" s="51" t="b">
        <v>0</v>
      </c>
      <c r="U2734" s="94"/>
    </row>
    <row r="2735" ht="30.0" customHeight="1">
      <c r="A2735" s="39"/>
      <c r="B2735" s="40"/>
      <c r="C2735" s="173"/>
      <c r="D2735" s="86"/>
      <c r="E2735" s="43" t="str">
        <f t="shared" si="82"/>
        <v/>
      </c>
      <c r="F2735" s="43" t="str">
        <f t="shared" si="83"/>
        <v/>
      </c>
      <c r="G2735" s="44"/>
      <c r="H2735" s="44"/>
      <c r="I2735" s="44"/>
      <c r="J2735" s="176"/>
      <c r="K2735" s="43" t="str">
        <f t="array" ref="K2735">IF(J2735="","", XLOOKUP(J2735,'⚙️ Pengaturan'!$E$2:$E3237,'⚙️ Pengaturan'!$G$2:$G3237))</f>
        <v/>
      </c>
      <c r="L2735" s="43" t="str">
        <f t="shared" si="84"/>
        <v/>
      </c>
      <c r="M2735" s="177"/>
      <c r="N2735" s="145"/>
      <c r="O2735" s="146"/>
      <c r="P2735" s="48" t="str">
        <f t="array" ref="P2735">IFNA(XLOOKUP(J2735,'⚙️ Pengaturan'!$E$2:$E3237,'⚙️ Pengaturan'!$F$2:$F3237),"")</f>
        <v/>
      </c>
      <c r="Q2735" s="147" t="str">
        <f t="shared" si="85"/>
        <v/>
      </c>
      <c r="R2735" s="173"/>
      <c r="S2735" s="76"/>
      <c r="T2735" s="51" t="b">
        <v>0</v>
      </c>
      <c r="U2735" s="94"/>
    </row>
    <row r="2736" ht="30.0" customHeight="1">
      <c r="A2736" s="39"/>
      <c r="B2736" s="40"/>
      <c r="C2736" s="173"/>
      <c r="D2736" s="86"/>
      <c r="E2736" s="43" t="str">
        <f t="shared" si="82"/>
        <v/>
      </c>
      <c r="F2736" s="43" t="str">
        <f t="shared" si="83"/>
        <v/>
      </c>
      <c r="G2736" s="44"/>
      <c r="H2736" s="44"/>
      <c r="I2736" s="44"/>
      <c r="J2736" s="176"/>
      <c r="K2736" s="43" t="str">
        <f t="array" ref="K2736">IF(J2736="","", XLOOKUP(J2736,'⚙️ Pengaturan'!$E$2:$E3237,'⚙️ Pengaturan'!$G$2:$G3237))</f>
        <v/>
      </c>
      <c r="L2736" s="43" t="str">
        <f t="shared" si="84"/>
        <v/>
      </c>
      <c r="M2736" s="177"/>
      <c r="N2736" s="145"/>
      <c r="O2736" s="146"/>
      <c r="P2736" s="48" t="str">
        <f t="array" ref="P2736">IFNA(XLOOKUP(J2736,'⚙️ Pengaturan'!$E$2:$E3237,'⚙️ Pengaturan'!$F$2:$F3237),"")</f>
        <v/>
      </c>
      <c r="Q2736" s="147" t="str">
        <f t="shared" si="85"/>
        <v/>
      </c>
      <c r="R2736" s="173"/>
      <c r="S2736" s="76"/>
      <c r="T2736" s="51" t="b">
        <v>0</v>
      </c>
      <c r="U2736" s="94"/>
    </row>
    <row r="2737" ht="30.0" customHeight="1">
      <c r="A2737" s="39"/>
      <c r="B2737" s="40"/>
      <c r="C2737" s="173"/>
      <c r="D2737" s="86"/>
      <c r="E2737" s="43" t="str">
        <f t="shared" si="82"/>
        <v/>
      </c>
      <c r="F2737" s="43" t="str">
        <f t="shared" si="83"/>
        <v/>
      </c>
      <c r="G2737" s="44"/>
      <c r="H2737" s="44"/>
      <c r="I2737" s="44"/>
      <c r="J2737" s="176"/>
      <c r="K2737" s="43" t="str">
        <f t="array" ref="K2737">IF(J2737="","", XLOOKUP(J2737,'⚙️ Pengaturan'!$E$2:$E3237,'⚙️ Pengaturan'!$G$2:$G3237))</f>
        <v/>
      </c>
      <c r="L2737" s="43" t="str">
        <f t="shared" si="84"/>
        <v/>
      </c>
      <c r="M2737" s="177"/>
      <c r="N2737" s="145"/>
      <c r="O2737" s="146"/>
      <c r="P2737" s="48" t="str">
        <f t="array" ref="P2737">IFNA(XLOOKUP(J2737,'⚙️ Pengaturan'!$E$2:$E3237,'⚙️ Pengaturan'!$F$2:$F3237),"")</f>
        <v/>
      </c>
      <c r="Q2737" s="147" t="str">
        <f t="shared" si="85"/>
        <v/>
      </c>
      <c r="R2737" s="173"/>
      <c r="S2737" s="76"/>
      <c r="T2737" s="51" t="b">
        <v>0</v>
      </c>
      <c r="U2737" s="94"/>
    </row>
    <row r="2738" ht="30.0" customHeight="1">
      <c r="A2738" s="39"/>
      <c r="B2738" s="40"/>
      <c r="C2738" s="173"/>
      <c r="D2738" s="86"/>
      <c r="E2738" s="43" t="str">
        <f t="shared" si="82"/>
        <v/>
      </c>
      <c r="F2738" s="43" t="str">
        <f t="shared" si="83"/>
        <v/>
      </c>
      <c r="G2738" s="44"/>
      <c r="H2738" s="44"/>
      <c r="I2738" s="44"/>
      <c r="J2738" s="176"/>
      <c r="K2738" s="43" t="str">
        <f t="array" ref="K2738">IF(J2738="","", XLOOKUP(J2738,'⚙️ Pengaturan'!$E$2:$E3237,'⚙️ Pengaturan'!$G$2:$G3237))</f>
        <v/>
      </c>
      <c r="L2738" s="43" t="str">
        <f t="shared" si="84"/>
        <v/>
      </c>
      <c r="M2738" s="177"/>
      <c r="N2738" s="145"/>
      <c r="O2738" s="146"/>
      <c r="P2738" s="48" t="str">
        <f t="array" ref="P2738">IFNA(XLOOKUP(J2738,'⚙️ Pengaturan'!$E$2:$E3237,'⚙️ Pengaturan'!$F$2:$F3237),"")</f>
        <v/>
      </c>
      <c r="Q2738" s="147" t="str">
        <f t="shared" si="85"/>
        <v/>
      </c>
      <c r="R2738" s="173"/>
      <c r="S2738" s="76"/>
      <c r="T2738" s="51" t="b">
        <v>0</v>
      </c>
      <c r="U2738" s="94"/>
    </row>
    <row r="2739" ht="30.0" customHeight="1">
      <c r="A2739" s="39"/>
      <c r="B2739" s="40"/>
      <c r="C2739" s="173"/>
      <c r="D2739" s="86"/>
      <c r="E2739" s="43" t="str">
        <f t="shared" si="82"/>
        <v/>
      </c>
      <c r="F2739" s="43" t="str">
        <f t="shared" si="83"/>
        <v/>
      </c>
      <c r="G2739" s="44"/>
      <c r="H2739" s="44"/>
      <c r="I2739" s="44"/>
      <c r="J2739" s="176"/>
      <c r="K2739" s="43" t="str">
        <f t="array" ref="K2739">IF(J2739="","", XLOOKUP(J2739,'⚙️ Pengaturan'!$E$2:$E3237,'⚙️ Pengaturan'!$G$2:$G3237))</f>
        <v/>
      </c>
      <c r="L2739" s="43" t="str">
        <f t="shared" si="84"/>
        <v/>
      </c>
      <c r="M2739" s="177"/>
      <c r="N2739" s="145"/>
      <c r="O2739" s="146"/>
      <c r="P2739" s="48" t="str">
        <f t="array" ref="P2739">IFNA(XLOOKUP(J2739,'⚙️ Pengaturan'!$E$2:$E3237,'⚙️ Pengaturan'!$F$2:$F3237),"")</f>
        <v/>
      </c>
      <c r="Q2739" s="147" t="str">
        <f t="shared" si="85"/>
        <v/>
      </c>
      <c r="R2739" s="173"/>
      <c r="S2739" s="76"/>
      <c r="T2739" s="51" t="b">
        <v>0</v>
      </c>
      <c r="U2739" s="94"/>
    </row>
    <row r="2740" ht="30.0" customHeight="1">
      <c r="A2740" s="39"/>
      <c r="B2740" s="40"/>
      <c r="C2740" s="173"/>
      <c r="D2740" s="86"/>
      <c r="E2740" s="43" t="str">
        <f t="shared" si="82"/>
        <v/>
      </c>
      <c r="F2740" s="43" t="str">
        <f t="shared" si="83"/>
        <v/>
      </c>
      <c r="G2740" s="44"/>
      <c r="H2740" s="44"/>
      <c r="I2740" s="44"/>
      <c r="J2740" s="176"/>
      <c r="K2740" s="43" t="str">
        <f t="array" ref="K2740">IF(J2740="","", XLOOKUP(J2740,'⚙️ Pengaturan'!$E$2:$E3237,'⚙️ Pengaturan'!$G$2:$G3237))</f>
        <v/>
      </c>
      <c r="L2740" s="43" t="str">
        <f t="shared" si="84"/>
        <v/>
      </c>
      <c r="M2740" s="177"/>
      <c r="N2740" s="145"/>
      <c r="O2740" s="146"/>
      <c r="P2740" s="48" t="str">
        <f t="array" ref="P2740">IFNA(XLOOKUP(J2740,'⚙️ Pengaturan'!$E$2:$E3237,'⚙️ Pengaturan'!$F$2:$F3237),"")</f>
        <v/>
      </c>
      <c r="Q2740" s="147" t="str">
        <f t="shared" si="85"/>
        <v/>
      </c>
      <c r="R2740" s="173"/>
      <c r="S2740" s="76"/>
      <c r="T2740" s="51" t="b">
        <v>0</v>
      </c>
      <c r="U2740" s="94"/>
    </row>
    <row r="2741" ht="30.0" customHeight="1">
      <c r="A2741" s="39"/>
      <c r="B2741" s="40"/>
      <c r="C2741" s="173"/>
      <c r="D2741" s="86"/>
      <c r="E2741" s="43" t="str">
        <f t="shared" si="82"/>
        <v/>
      </c>
      <c r="F2741" s="43" t="str">
        <f t="shared" si="83"/>
        <v/>
      </c>
      <c r="G2741" s="44"/>
      <c r="H2741" s="44"/>
      <c r="I2741" s="44"/>
      <c r="J2741" s="176"/>
      <c r="K2741" s="43" t="str">
        <f t="array" ref="K2741">IF(J2741="","", XLOOKUP(J2741,'⚙️ Pengaturan'!$E$2:$E3237,'⚙️ Pengaturan'!$G$2:$G3237))</f>
        <v/>
      </c>
      <c r="L2741" s="43" t="str">
        <f t="shared" si="84"/>
        <v/>
      </c>
      <c r="M2741" s="177"/>
      <c r="N2741" s="145"/>
      <c r="O2741" s="146"/>
      <c r="P2741" s="48" t="str">
        <f t="array" ref="P2741">IFNA(XLOOKUP(J2741,'⚙️ Pengaturan'!$E$2:$E3237,'⚙️ Pengaturan'!$F$2:$F3237),"")</f>
        <v/>
      </c>
      <c r="Q2741" s="147" t="str">
        <f t="shared" si="85"/>
        <v/>
      </c>
      <c r="R2741" s="173"/>
      <c r="S2741" s="76"/>
      <c r="T2741" s="51" t="b">
        <v>0</v>
      </c>
      <c r="U2741" s="94"/>
    </row>
    <row r="2742" ht="30.0" customHeight="1">
      <c r="A2742" s="39"/>
      <c r="B2742" s="40"/>
      <c r="C2742" s="173"/>
      <c r="D2742" s="86"/>
      <c r="E2742" s="43" t="str">
        <f t="shared" si="82"/>
        <v/>
      </c>
      <c r="F2742" s="43" t="str">
        <f t="shared" si="83"/>
        <v/>
      </c>
      <c r="G2742" s="44"/>
      <c r="H2742" s="44"/>
      <c r="I2742" s="44"/>
      <c r="J2742" s="176"/>
      <c r="K2742" s="43" t="str">
        <f t="array" ref="K2742">IF(J2742="","", XLOOKUP(J2742,'⚙️ Pengaturan'!$E$2:$E3237,'⚙️ Pengaturan'!$G$2:$G3237))</f>
        <v/>
      </c>
      <c r="L2742" s="43" t="str">
        <f t="shared" si="84"/>
        <v/>
      </c>
      <c r="M2742" s="177"/>
      <c r="N2742" s="145"/>
      <c r="O2742" s="146"/>
      <c r="P2742" s="48" t="str">
        <f t="array" ref="P2742">IFNA(XLOOKUP(J2742,'⚙️ Pengaturan'!$E$2:$E3237,'⚙️ Pengaturan'!$F$2:$F3237),"")</f>
        <v/>
      </c>
      <c r="Q2742" s="147" t="str">
        <f t="shared" si="85"/>
        <v/>
      </c>
      <c r="R2742" s="173"/>
      <c r="S2742" s="76"/>
      <c r="T2742" s="51" t="b">
        <v>0</v>
      </c>
      <c r="U2742" s="94"/>
    </row>
    <row r="2743" ht="30.0" customHeight="1">
      <c r="A2743" s="39"/>
      <c r="B2743" s="40"/>
      <c r="C2743" s="173"/>
      <c r="D2743" s="86"/>
      <c r="E2743" s="43" t="str">
        <f t="shared" si="82"/>
        <v/>
      </c>
      <c r="F2743" s="43" t="str">
        <f t="shared" si="83"/>
        <v/>
      </c>
      <c r="G2743" s="44"/>
      <c r="H2743" s="44"/>
      <c r="I2743" s="44"/>
      <c r="J2743" s="176"/>
      <c r="K2743" s="43" t="str">
        <f t="array" ref="K2743">IF(J2743="","", XLOOKUP(J2743,'⚙️ Pengaturan'!$E$2:$E3237,'⚙️ Pengaturan'!$G$2:$G3237))</f>
        <v/>
      </c>
      <c r="L2743" s="43" t="str">
        <f t="shared" si="84"/>
        <v/>
      </c>
      <c r="M2743" s="177"/>
      <c r="N2743" s="145"/>
      <c r="O2743" s="146"/>
      <c r="P2743" s="48" t="str">
        <f t="array" ref="P2743">IFNA(XLOOKUP(J2743,'⚙️ Pengaturan'!$E$2:$E3237,'⚙️ Pengaturan'!$F$2:$F3237),"")</f>
        <v/>
      </c>
      <c r="Q2743" s="147" t="str">
        <f t="shared" si="85"/>
        <v/>
      </c>
      <c r="R2743" s="173"/>
      <c r="S2743" s="76"/>
      <c r="T2743" s="51" t="b">
        <v>0</v>
      </c>
      <c r="U2743" s="94"/>
    </row>
    <row r="2744" ht="30.0" customHeight="1">
      <c r="A2744" s="39"/>
      <c r="B2744" s="40"/>
      <c r="C2744" s="173"/>
      <c r="D2744" s="86"/>
      <c r="E2744" s="43" t="str">
        <f t="shared" si="82"/>
        <v/>
      </c>
      <c r="F2744" s="43" t="str">
        <f t="shared" si="83"/>
        <v/>
      </c>
      <c r="G2744" s="44"/>
      <c r="H2744" s="44"/>
      <c r="I2744" s="44"/>
      <c r="J2744" s="176"/>
      <c r="K2744" s="43" t="str">
        <f t="array" ref="K2744">IF(J2744="","", XLOOKUP(J2744,'⚙️ Pengaturan'!$E$2:$E3237,'⚙️ Pengaturan'!$G$2:$G3237))</f>
        <v/>
      </c>
      <c r="L2744" s="43" t="str">
        <f t="shared" si="84"/>
        <v/>
      </c>
      <c r="M2744" s="177"/>
      <c r="N2744" s="145"/>
      <c r="O2744" s="146"/>
      <c r="P2744" s="48" t="str">
        <f t="array" ref="P2744">IFNA(XLOOKUP(J2744,'⚙️ Pengaturan'!$E$2:$E3237,'⚙️ Pengaturan'!$F$2:$F3237),"")</f>
        <v/>
      </c>
      <c r="Q2744" s="147" t="str">
        <f t="shared" si="85"/>
        <v/>
      </c>
      <c r="R2744" s="173"/>
      <c r="S2744" s="76"/>
      <c r="T2744" s="51" t="b">
        <v>0</v>
      </c>
      <c r="U2744" s="94"/>
    </row>
    <row r="2745" ht="30.0" customHeight="1">
      <c r="A2745" s="39"/>
      <c r="B2745" s="40"/>
      <c r="C2745" s="173"/>
      <c r="D2745" s="86"/>
      <c r="E2745" s="43" t="str">
        <f t="shared" si="82"/>
        <v/>
      </c>
      <c r="F2745" s="43" t="str">
        <f t="shared" si="83"/>
        <v/>
      </c>
      <c r="G2745" s="44"/>
      <c r="H2745" s="44"/>
      <c r="I2745" s="44"/>
      <c r="J2745" s="176"/>
      <c r="K2745" s="43" t="str">
        <f t="array" ref="K2745">IF(J2745="","", XLOOKUP(J2745,'⚙️ Pengaturan'!$E$2:$E3237,'⚙️ Pengaturan'!$G$2:$G3237))</f>
        <v/>
      </c>
      <c r="L2745" s="43" t="str">
        <f t="shared" si="84"/>
        <v/>
      </c>
      <c r="M2745" s="177"/>
      <c r="N2745" s="145"/>
      <c r="O2745" s="146"/>
      <c r="P2745" s="48" t="str">
        <f t="array" ref="P2745">IFNA(XLOOKUP(J2745,'⚙️ Pengaturan'!$E$2:$E3237,'⚙️ Pengaturan'!$F$2:$F3237),"")</f>
        <v/>
      </c>
      <c r="Q2745" s="147" t="str">
        <f t="shared" si="85"/>
        <v/>
      </c>
      <c r="R2745" s="173"/>
      <c r="S2745" s="76"/>
      <c r="T2745" s="51" t="b">
        <v>0</v>
      </c>
      <c r="U2745" s="94"/>
    </row>
    <row r="2746" ht="30.0" customHeight="1">
      <c r="A2746" s="39"/>
      <c r="B2746" s="40"/>
      <c r="C2746" s="173"/>
      <c r="D2746" s="86"/>
      <c r="E2746" s="43" t="str">
        <f t="shared" si="82"/>
        <v/>
      </c>
      <c r="F2746" s="43" t="str">
        <f t="shared" si="83"/>
        <v/>
      </c>
      <c r="G2746" s="44"/>
      <c r="H2746" s="44"/>
      <c r="I2746" s="44"/>
      <c r="J2746" s="176"/>
      <c r="K2746" s="43" t="str">
        <f t="array" ref="K2746">IF(J2746="","", XLOOKUP(J2746,'⚙️ Pengaturan'!$E$2:$E3237,'⚙️ Pengaturan'!$G$2:$G3237))</f>
        <v/>
      </c>
      <c r="L2746" s="43" t="str">
        <f t="shared" si="84"/>
        <v/>
      </c>
      <c r="M2746" s="177"/>
      <c r="N2746" s="145"/>
      <c r="O2746" s="146"/>
      <c r="P2746" s="48" t="str">
        <f t="array" ref="P2746">IFNA(XLOOKUP(J2746,'⚙️ Pengaturan'!$E$2:$E3237,'⚙️ Pengaturan'!$F$2:$F3237),"")</f>
        <v/>
      </c>
      <c r="Q2746" s="147" t="str">
        <f t="shared" si="85"/>
        <v/>
      </c>
      <c r="R2746" s="173"/>
      <c r="S2746" s="76"/>
      <c r="T2746" s="51" t="b">
        <v>0</v>
      </c>
      <c r="U2746" s="94"/>
    </row>
    <row r="2747" ht="30.0" customHeight="1">
      <c r="A2747" s="39"/>
      <c r="B2747" s="40"/>
      <c r="C2747" s="173"/>
      <c r="D2747" s="86"/>
      <c r="E2747" s="43" t="str">
        <f t="shared" si="82"/>
        <v/>
      </c>
      <c r="F2747" s="43" t="str">
        <f t="shared" si="83"/>
        <v/>
      </c>
      <c r="G2747" s="44"/>
      <c r="H2747" s="44"/>
      <c r="I2747" s="44"/>
      <c r="J2747" s="176"/>
      <c r="K2747" s="43" t="str">
        <f t="array" ref="K2747">IF(J2747="","", XLOOKUP(J2747,'⚙️ Pengaturan'!$E$2:$E3237,'⚙️ Pengaturan'!$G$2:$G3237))</f>
        <v/>
      </c>
      <c r="L2747" s="43" t="str">
        <f t="shared" si="84"/>
        <v/>
      </c>
      <c r="M2747" s="177"/>
      <c r="N2747" s="145"/>
      <c r="O2747" s="146"/>
      <c r="P2747" s="48" t="str">
        <f t="array" ref="P2747">IFNA(XLOOKUP(J2747,'⚙️ Pengaturan'!$E$2:$E3237,'⚙️ Pengaturan'!$F$2:$F3237),"")</f>
        <v/>
      </c>
      <c r="Q2747" s="147" t="str">
        <f t="shared" si="85"/>
        <v/>
      </c>
      <c r="R2747" s="173"/>
      <c r="S2747" s="76"/>
      <c r="T2747" s="51" t="b">
        <v>0</v>
      </c>
      <c r="U2747" s="94"/>
    </row>
    <row r="2748" ht="30.0" customHeight="1">
      <c r="A2748" s="39"/>
      <c r="B2748" s="40"/>
      <c r="C2748" s="173"/>
      <c r="D2748" s="86"/>
      <c r="E2748" s="43" t="str">
        <f t="shared" si="82"/>
        <v/>
      </c>
      <c r="F2748" s="43" t="str">
        <f t="shared" si="83"/>
        <v/>
      </c>
      <c r="G2748" s="44"/>
      <c r="H2748" s="44"/>
      <c r="I2748" s="44"/>
      <c r="J2748" s="176"/>
      <c r="K2748" s="43" t="str">
        <f t="array" ref="K2748">IF(J2748="","", XLOOKUP(J2748,'⚙️ Pengaturan'!$E$2:$E3237,'⚙️ Pengaturan'!$G$2:$G3237))</f>
        <v/>
      </c>
      <c r="L2748" s="43" t="str">
        <f t="shared" si="84"/>
        <v/>
      </c>
      <c r="M2748" s="177"/>
      <c r="N2748" s="145"/>
      <c r="O2748" s="146"/>
      <c r="P2748" s="48" t="str">
        <f t="array" ref="P2748">IFNA(XLOOKUP(J2748,'⚙️ Pengaturan'!$E$2:$E3237,'⚙️ Pengaturan'!$F$2:$F3237),"")</f>
        <v/>
      </c>
      <c r="Q2748" s="147" t="str">
        <f t="shared" si="85"/>
        <v/>
      </c>
      <c r="R2748" s="173"/>
      <c r="S2748" s="76"/>
      <c r="T2748" s="51" t="b">
        <v>0</v>
      </c>
      <c r="U2748" s="94"/>
    </row>
    <row r="2749" ht="30.0" customHeight="1">
      <c r="A2749" s="39"/>
      <c r="B2749" s="40"/>
      <c r="C2749" s="173"/>
      <c r="D2749" s="86"/>
      <c r="E2749" s="43" t="str">
        <f t="shared" si="82"/>
        <v/>
      </c>
      <c r="F2749" s="43" t="str">
        <f t="shared" si="83"/>
        <v/>
      </c>
      <c r="G2749" s="44"/>
      <c r="H2749" s="44"/>
      <c r="I2749" s="44"/>
      <c r="J2749" s="176"/>
      <c r="K2749" s="43" t="str">
        <f t="array" ref="K2749">IF(J2749="","", XLOOKUP(J2749,'⚙️ Pengaturan'!$E$2:$E3237,'⚙️ Pengaturan'!$G$2:$G3237))</f>
        <v/>
      </c>
      <c r="L2749" s="43" t="str">
        <f t="shared" si="84"/>
        <v/>
      </c>
      <c r="M2749" s="177"/>
      <c r="N2749" s="145"/>
      <c r="O2749" s="146"/>
      <c r="P2749" s="48" t="str">
        <f t="array" ref="P2749">IFNA(XLOOKUP(J2749,'⚙️ Pengaturan'!$E$2:$E3237,'⚙️ Pengaturan'!$F$2:$F3237),"")</f>
        <v/>
      </c>
      <c r="Q2749" s="147" t="str">
        <f t="shared" si="85"/>
        <v/>
      </c>
      <c r="R2749" s="173"/>
      <c r="S2749" s="76"/>
      <c r="T2749" s="51" t="b">
        <v>0</v>
      </c>
      <c r="U2749" s="94"/>
    </row>
    <row r="2750" ht="30.0" customHeight="1">
      <c r="A2750" s="39"/>
      <c r="B2750" s="40"/>
      <c r="C2750" s="173"/>
      <c r="D2750" s="86"/>
      <c r="E2750" s="43" t="str">
        <f t="shared" si="82"/>
        <v/>
      </c>
      <c r="F2750" s="43" t="str">
        <f t="shared" si="83"/>
        <v/>
      </c>
      <c r="G2750" s="44"/>
      <c r="H2750" s="44"/>
      <c r="I2750" s="44"/>
      <c r="J2750" s="176"/>
      <c r="K2750" s="43" t="str">
        <f t="array" ref="K2750">IF(J2750="","", XLOOKUP(J2750,'⚙️ Pengaturan'!$E$2:$E3237,'⚙️ Pengaturan'!$G$2:$G3237))</f>
        <v/>
      </c>
      <c r="L2750" s="43" t="str">
        <f t="shared" si="84"/>
        <v/>
      </c>
      <c r="M2750" s="177"/>
      <c r="N2750" s="145"/>
      <c r="O2750" s="146"/>
      <c r="P2750" s="48" t="str">
        <f t="array" ref="P2750">IFNA(XLOOKUP(J2750,'⚙️ Pengaturan'!$E$2:$E3237,'⚙️ Pengaturan'!$F$2:$F3237),"")</f>
        <v/>
      </c>
      <c r="Q2750" s="147" t="str">
        <f t="shared" si="85"/>
        <v/>
      </c>
      <c r="R2750" s="173"/>
      <c r="S2750" s="76"/>
      <c r="T2750" s="51" t="b">
        <v>0</v>
      </c>
      <c r="U2750" s="94"/>
    </row>
    <row r="2751" ht="30.0" customHeight="1">
      <c r="A2751" s="39"/>
      <c r="B2751" s="40"/>
      <c r="C2751" s="173"/>
      <c r="D2751" s="86"/>
      <c r="E2751" s="43" t="str">
        <f t="shared" si="82"/>
        <v/>
      </c>
      <c r="F2751" s="43" t="str">
        <f t="shared" si="83"/>
        <v/>
      </c>
      <c r="G2751" s="44"/>
      <c r="H2751" s="44"/>
      <c r="I2751" s="44"/>
      <c r="J2751" s="176"/>
      <c r="K2751" s="43" t="str">
        <f t="array" ref="K2751">IF(J2751="","", XLOOKUP(J2751,'⚙️ Pengaturan'!$E$2:$E3237,'⚙️ Pengaturan'!$G$2:$G3237))</f>
        <v/>
      </c>
      <c r="L2751" s="43" t="str">
        <f t="shared" si="84"/>
        <v/>
      </c>
      <c r="M2751" s="177"/>
      <c r="N2751" s="145"/>
      <c r="O2751" s="146"/>
      <c r="P2751" s="48" t="str">
        <f t="array" ref="P2751">IFNA(XLOOKUP(J2751,'⚙️ Pengaturan'!$E$2:$E3237,'⚙️ Pengaturan'!$F$2:$F3237),"")</f>
        <v/>
      </c>
      <c r="Q2751" s="147" t="str">
        <f t="shared" si="85"/>
        <v/>
      </c>
      <c r="R2751" s="173"/>
      <c r="S2751" s="76"/>
      <c r="T2751" s="51" t="b">
        <v>0</v>
      </c>
      <c r="U2751" s="94"/>
    </row>
    <row r="2752" ht="30.0" customHeight="1">
      <c r="A2752" s="39"/>
      <c r="B2752" s="40"/>
      <c r="C2752" s="173"/>
      <c r="D2752" s="86"/>
      <c r="E2752" s="43" t="str">
        <f t="shared" si="82"/>
        <v/>
      </c>
      <c r="F2752" s="43" t="str">
        <f t="shared" si="83"/>
        <v/>
      </c>
      <c r="G2752" s="44"/>
      <c r="H2752" s="44"/>
      <c r="I2752" s="44"/>
      <c r="J2752" s="176"/>
      <c r="K2752" s="43" t="str">
        <f t="array" ref="K2752">IF(J2752="","", XLOOKUP(J2752,'⚙️ Pengaturan'!$E$2:$E3237,'⚙️ Pengaturan'!$G$2:$G3237))</f>
        <v/>
      </c>
      <c r="L2752" s="43" t="str">
        <f t="shared" si="84"/>
        <v/>
      </c>
      <c r="M2752" s="177"/>
      <c r="N2752" s="145"/>
      <c r="O2752" s="146"/>
      <c r="P2752" s="48" t="str">
        <f t="array" ref="P2752">IFNA(XLOOKUP(J2752,'⚙️ Pengaturan'!$E$2:$E3237,'⚙️ Pengaturan'!$F$2:$F3237),"")</f>
        <v/>
      </c>
      <c r="Q2752" s="147" t="str">
        <f t="shared" si="85"/>
        <v/>
      </c>
      <c r="R2752" s="173"/>
      <c r="S2752" s="76"/>
      <c r="T2752" s="51" t="b">
        <v>0</v>
      </c>
      <c r="U2752" s="94"/>
    </row>
    <row r="2753" ht="30.0" customHeight="1">
      <c r="A2753" s="39"/>
      <c r="B2753" s="40"/>
      <c r="C2753" s="173"/>
      <c r="D2753" s="86"/>
      <c r="E2753" s="43" t="str">
        <f t="shared" si="82"/>
        <v/>
      </c>
      <c r="F2753" s="43" t="str">
        <f t="shared" si="83"/>
        <v/>
      </c>
      <c r="G2753" s="44"/>
      <c r="H2753" s="44"/>
      <c r="I2753" s="44"/>
      <c r="J2753" s="176"/>
      <c r="K2753" s="43" t="str">
        <f t="array" ref="K2753">IF(J2753="","", XLOOKUP(J2753,'⚙️ Pengaturan'!$E$2:$E3237,'⚙️ Pengaturan'!$G$2:$G3237))</f>
        <v/>
      </c>
      <c r="L2753" s="43" t="str">
        <f t="shared" si="84"/>
        <v/>
      </c>
      <c r="M2753" s="177"/>
      <c r="N2753" s="145"/>
      <c r="O2753" s="146"/>
      <c r="P2753" s="48" t="str">
        <f t="array" ref="P2753">IFNA(XLOOKUP(J2753,'⚙️ Pengaturan'!$E$2:$E3237,'⚙️ Pengaturan'!$F$2:$F3237),"")</f>
        <v/>
      </c>
      <c r="Q2753" s="147" t="str">
        <f t="shared" si="85"/>
        <v/>
      </c>
      <c r="R2753" s="173"/>
      <c r="S2753" s="76"/>
      <c r="T2753" s="51" t="b">
        <v>0</v>
      </c>
      <c r="U2753" s="94"/>
    </row>
    <row r="2754" ht="30.0" customHeight="1">
      <c r="A2754" s="39"/>
      <c r="B2754" s="40"/>
      <c r="C2754" s="173"/>
      <c r="D2754" s="86"/>
      <c r="E2754" s="43" t="str">
        <f t="shared" si="82"/>
        <v/>
      </c>
      <c r="F2754" s="43" t="str">
        <f t="shared" si="83"/>
        <v/>
      </c>
      <c r="G2754" s="44"/>
      <c r="H2754" s="44"/>
      <c r="I2754" s="44"/>
      <c r="J2754" s="176"/>
      <c r="K2754" s="43" t="str">
        <f t="array" ref="K2754">IF(J2754="","", XLOOKUP(J2754,'⚙️ Pengaturan'!$E$2:$E3237,'⚙️ Pengaturan'!$G$2:$G3237))</f>
        <v/>
      </c>
      <c r="L2754" s="43" t="str">
        <f t="shared" si="84"/>
        <v/>
      </c>
      <c r="M2754" s="177"/>
      <c r="N2754" s="145"/>
      <c r="O2754" s="146"/>
      <c r="P2754" s="48" t="str">
        <f t="array" ref="P2754">IFNA(XLOOKUP(J2754,'⚙️ Pengaturan'!$E$2:$E3237,'⚙️ Pengaturan'!$F$2:$F3237),"")</f>
        <v/>
      </c>
      <c r="Q2754" s="147" t="str">
        <f t="shared" si="85"/>
        <v/>
      </c>
      <c r="R2754" s="173"/>
      <c r="S2754" s="76"/>
      <c r="T2754" s="51" t="b">
        <v>0</v>
      </c>
      <c r="U2754" s="94"/>
    </row>
    <row r="2755" ht="30.0" customHeight="1">
      <c r="A2755" s="39"/>
      <c r="B2755" s="40"/>
      <c r="C2755" s="173"/>
      <c r="D2755" s="86"/>
      <c r="E2755" s="43" t="str">
        <f t="shared" si="82"/>
        <v/>
      </c>
      <c r="F2755" s="43" t="str">
        <f t="shared" si="83"/>
        <v/>
      </c>
      <c r="G2755" s="44"/>
      <c r="H2755" s="44"/>
      <c r="I2755" s="44"/>
      <c r="J2755" s="176"/>
      <c r="K2755" s="43" t="str">
        <f t="array" ref="K2755">IF(J2755="","", XLOOKUP(J2755,'⚙️ Pengaturan'!$E$2:$E3237,'⚙️ Pengaturan'!$G$2:$G3237))</f>
        <v/>
      </c>
      <c r="L2755" s="43" t="str">
        <f t="shared" si="84"/>
        <v/>
      </c>
      <c r="M2755" s="177"/>
      <c r="N2755" s="145"/>
      <c r="O2755" s="146"/>
      <c r="P2755" s="48" t="str">
        <f t="array" ref="P2755">IFNA(XLOOKUP(J2755,'⚙️ Pengaturan'!$E$2:$E3237,'⚙️ Pengaturan'!$F$2:$F3237),"")</f>
        <v/>
      </c>
      <c r="Q2755" s="147" t="str">
        <f t="shared" si="85"/>
        <v/>
      </c>
      <c r="R2755" s="173"/>
      <c r="S2755" s="76"/>
      <c r="T2755" s="51" t="b">
        <v>0</v>
      </c>
      <c r="U2755" s="94"/>
    </row>
    <row r="2756" ht="30.0" customHeight="1">
      <c r="A2756" s="39"/>
      <c r="B2756" s="40"/>
      <c r="C2756" s="173"/>
      <c r="D2756" s="86"/>
      <c r="E2756" s="43" t="str">
        <f t="shared" si="82"/>
        <v/>
      </c>
      <c r="F2756" s="43" t="str">
        <f t="shared" si="83"/>
        <v/>
      </c>
      <c r="G2756" s="44"/>
      <c r="H2756" s="44"/>
      <c r="I2756" s="44"/>
      <c r="J2756" s="176"/>
      <c r="K2756" s="43" t="str">
        <f t="array" ref="K2756">IF(J2756="","", XLOOKUP(J2756,'⚙️ Pengaturan'!$E$2:$E3237,'⚙️ Pengaturan'!$G$2:$G3237))</f>
        <v/>
      </c>
      <c r="L2756" s="43" t="str">
        <f t="shared" si="84"/>
        <v/>
      </c>
      <c r="M2756" s="177"/>
      <c r="N2756" s="145"/>
      <c r="O2756" s="146"/>
      <c r="P2756" s="48" t="str">
        <f t="array" ref="P2756">IFNA(XLOOKUP(J2756,'⚙️ Pengaturan'!$E$2:$E3237,'⚙️ Pengaturan'!$F$2:$F3237),"")</f>
        <v/>
      </c>
      <c r="Q2756" s="147" t="str">
        <f t="shared" si="85"/>
        <v/>
      </c>
      <c r="R2756" s="173"/>
      <c r="S2756" s="76"/>
      <c r="T2756" s="51" t="b">
        <v>0</v>
      </c>
      <c r="U2756" s="94"/>
    </row>
    <row r="2757" ht="30.0" customHeight="1">
      <c r="A2757" s="39"/>
      <c r="B2757" s="40"/>
      <c r="C2757" s="173"/>
      <c r="D2757" s="86"/>
      <c r="E2757" s="43" t="str">
        <f t="shared" si="82"/>
        <v/>
      </c>
      <c r="F2757" s="43" t="str">
        <f t="shared" si="83"/>
        <v/>
      </c>
      <c r="G2757" s="44"/>
      <c r="H2757" s="44"/>
      <c r="I2757" s="44"/>
      <c r="J2757" s="176"/>
      <c r="K2757" s="43" t="str">
        <f t="array" ref="K2757">IF(J2757="","", XLOOKUP(J2757,'⚙️ Pengaturan'!$E$2:$E3237,'⚙️ Pengaturan'!$G$2:$G3237))</f>
        <v/>
      </c>
      <c r="L2757" s="43" t="str">
        <f t="shared" si="84"/>
        <v/>
      </c>
      <c r="M2757" s="177"/>
      <c r="N2757" s="145"/>
      <c r="O2757" s="146"/>
      <c r="P2757" s="48" t="str">
        <f t="array" ref="P2757">IFNA(XLOOKUP(J2757,'⚙️ Pengaturan'!$E$2:$E3237,'⚙️ Pengaturan'!$F$2:$F3237),"")</f>
        <v/>
      </c>
      <c r="Q2757" s="147" t="str">
        <f t="shared" si="85"/>
        <v/>
      </c>
      <c r="R2757" s="173"/>
      <c r="S2757" s="76"/>
      <c r="T2757" s="51" t="b">
        <v>0</v>
      </c>
      <c r="U2757" s="94"/>
    </row>
    <row r="2758" ht="30.0" customHeight="1">
      <c r="A2758" s="39"/>
      <c r="B2758" s="40"/>
      <c r="C2758" s="173"/>
      <c r="D2758" s="86"/>
      <c r="E2758" s="43" t="str">
        <f t="shared" si="82"/>
        <v/>
      </c>
      <c r="F2758" s="43" t="str">
        <f t="shared" si="83"/>
        <v/>
      </c>
      <c r="G2758" s="44"/>
      <c r="H2758" s="44"/>
      <c r="I2758" s="44"/>
      <c r="J2758" s="176"/>
      <c r="K2758" s="43" t="str">
        <f t="array" ref="K2758">IF(J2758="","", XLOOKUP(J2758,'⚙️ Pengaturan'!$E$2:$E3237,'⚙️ Pengaturan'!$G$2:$G3237))</f>
        <v/>
      </c>
      <c r="L2758" s="43" t="str">
        <f t="shared" si="84"/>
        <v/>
      </c>
      <c r="M2758" s="177"/>
      <c r="N2758" s="145"/>
      <c r="O2758" s="146"/>
      <c r="P2758" s="48" t="str">
        <f t="array" ref="P2758">IFNA(XLOOKUP(J2758,'⚙️ Pengaturan'!$E$2:$E3237,'⚙️ Pengaturan'!$F$2:$F3237),"")</f>
        <v/>
      </c>
      <c r="Q2758" s="147" t="str">
        <f t="shared" si="85"/>
        <v/>
      </c>
      <c r="R2758" s="173"/>
      <c r="S2758" s="76"/>
      <c r="T2758" s="51" t="b">
        <v>0</v>
      </c>
      <c r="U2758" s="94"/>
    </row>
    <row r="2759" ht="30.0" customHeight="1">
      <c r="A2759" s="39"/>
      <c r="B2759" s="40"/>
      <c r="C2759" s="173"/>
      <c r="D2759" s="86"/>
      <c r="E2759" s="43" t="str">
        <f t="shared" si="82"/>
        <v/>
      </c>
      <c r="F2759" s="43" t="str">
        <f t="shared" si="83"/>
        <v/>
      </c>
      <c r="G2759" s="44"/>
      <c r="H2759" s="44"/>
      <c r="I2759" s="44"/>
      <c r="J2759" s="176"/>
      <c r="K2759" s="43" t="str">
        <f t="array" ref="K2759">IF(J2759="","", XLOOKUP(J2759,'⚙️ Pengaturan'!$E$2:$E3237,'⚙️ Pengaturan'!$G$2:$G3237))</f>
        <v/>
      </c>
      <c r="L2759" s="43" t="str">
        <f t="shared" si="84"/>
        <v/>
      </c>
      <c r="M2759" s="177"/>
      <c r="N2759" s="145"/>
      <c r="O2759" s="146"/>
      <c r="P2759" s="48" t="str">
        <f t="array" ref="P2759">IFNA(XLOOKUP(J2759,'⚙️ Pengaturan'!$E$2:$E3237,'⚙️ Pengaturan'!$F$2:$F3237),"")</f>
        <v/>
      </c>
      <c r="Q2759" s="147" t="str">
        <f t="shared" si="85"/>
        <v/>
      </c>
      <c r="R2759" s="173"/>
      <c r="S2759" s="76"/>
      <c r="T2759" s="51" t="b">
        <v>0</v>
      </c>
      <c r="U2759" s="94"/>
    </row>
    <row r="2760" ht="30.0" customHeight="1">
      <c r="A2760" s="39"/>
      <c r="B2760" s="40"/>
      <c r="C2760" s="173"/>
      <c r="D2760" s="86"/>
      <c r="E2760" s="43" t="str">
        <f t="shared" si="82"/>
        <v/>
      </c>
      <c r="F2760" s="43" t="str">
        <f t="shared" si="83"/>
        <v/>
      </c>
      <c r="G2760" s="44"/>
      <c r="H2760" s="44"/>
      <c r="I2760" s="44"/>
      <c r="J2760" s="176"/>
      <c r="K2760" s="43" t="str">
        <f t="array" ref="K2760">IF(J2760="","", XLOOKUP(J2760,'⚙️ Pengaturan'!$E$2:$E3237,'⚙️ Pengaturan'!$G$2:$G3237))</f>
        <v/>
      </c>
      <c r="L2760" s="43" t="str">
        <f t="shared" si="84"/>
        <v/>
      </c>
      <c r="M2760" s="177"/>
      <c r="N2760" s="145"/>
      <c r="O2760" s="146"/>
      <c r="P2760" s="48" t="str">
        <f t="array" ref="P2760">IFNA(XLOOKUP(J2760,'⚙️ Pengaturan'!$E$2:$E3237,'⚙️ Pengaturan'!$F$2:$F3237),"")</f>
        <v/>
      </c>
      <c r="Q2760" s="147" t="str">
        <f t="shared" si="85"/>
        <v/>
      </c>
      <c r="R2760" s="173"/>
      <c r="S2760" s="76"/>
      <c r="T2760" s="51" t="b">
        <v>0</v>
      </c>
      <c r="U2760" s="94"/>
    </row>
    <row r="2761" ht="30.0" customHeight="1">
      <c r="A2761" s="39"/>
      <c r="B2761" s="40"/>
      <c r="C2761" s="173"/>
      <c r="D2761" s="86"/>
      <c r="E2761" s="43" t="str">
        <f t="shared" si="82"/>
        <v/>
      </c>
      <c r="F2761" s="43" t="str">
        <f t="shared" si="83"/>
        <v/>
      </c>
      <c r="G2761" s="44"/>
      <c r="H2761" s="44"/>
      <c r="I2761" s="44"/>
      <c r="J2761" s="176"/>
      <c r="K2761" s="43" t="str">
        <f t="array" ref="K2761">IF(J2761="","", XLOOKUP(J2761,'⚙️ Pengaturan'!$E$2:$E3237,'⚙️ Pengaturan'!$G$2:$G3237))</f>
        <v/>
      </c>
      <c r="L2761" s="43" t="str">
        <f t="shared" si="84"/>
        <v/>
      </c>
      <c r="M2761" s="177"/>
      <c r="N2761" s="145"/>
      <c r="O2761" s="146"/>
      <c r="P2761" s="48" t="str">
        <f t="array" ref="P2761">IFNA(XLOOKUP(J2761,'⚙️ Pengaturan'!$E$2:$E3237,'⚙️ Pengaturan'!$F$2:$F3237),"")</f>
        <v/>
      </c>
      <c r="Q2761" s="147" t="str">
        <f t="shared" si="85"/>
        <v/>
      </c>
      <c r="R2761" s="173"/>
      <c r="S2761" s="76"/>
      <c r="T2761" s="51" t="b">
        <v>0</v>
      </c>
      <c r="U2761" s="94"/>
    </row>
    <row r="2762" ht="30.0" customHeight="1">
      <c r="A2762" s="39"/>
      <c r="B2762" s="40"/>
      <c r="C2762" s="173"/>
      <c r="D2762" s="86"/>
      <c r="E2762" s="43" t="str">
        <f t="shared" si="82"/>
        <v/>
      </c>
      <c r="F2762" s="43" t="str">
        <f t="shared" si="83"/>
        <v/>
      </c>
      <c r="G2762" s="44"/>
      <c r="H2762" s="44"/>
      <c r="I2762" s="44"/>
      <c r="J2762" s="176"/>
      <c r="K2762" s="43" t="str">
        <f t="array" ref="K2762">IF(J2762="","", XLOOKUP(J2762,'⚙️ Pengaturan'!$E$2:$E3237,'⚙️ Pengaturan'!$G$2:$G3237))</f>
        <v/>
      </c>
      <c r="L2762" s="43" t="str">
        <f t="shared" si="84"/>
        <v/>
      </c>
      <c r="M2762" s="177"/>
      <c r="N2762" s="145"/>
      <c r="O2762" s="146"/>
      <c r="P2762" s="48" t="str">
        <f t="array" ref="P2762">IFNA(XLOOKUP(J2762,'⚙️ Pengaturan'!$E$2:$E3237,'⚙️ Pengaturan'!$F$2:$F3237),"")</f>
        <v/>
      </c>
      <c r="Q2762" s="147" t="str">
        <f t="shared" si="85"/>
        <v/>
      </c>
      <c r="R2762" s="173"/>
      <c r="S2762" s="76"/>
      <c r="T2762" s="51" t="b">
        <v>0</v>
      </c>
      <c r="U2762" s="94"/>
    </row>
    <row r="2763" ht="30.0" customHeight="1">
      <c r="A2763" s="39"/>
      <c r="B2763" s="40"/>
      <c r="C2763" s="173"/>
      <c r="D2763" s="86"/>
      <c r="E2763" s="43" t="str">
        <f t="shared" si="82"/>
        <v/>
      </c>
      <c r="F2763" s="43" t="str">
        <f t="shared" si="83"/>
        <v/>
      </c>
      <c r="G2763" s="44"/>
      <c r="H2763" s="44"/>
      <c r="I2763" s="44"/>
      <c r="J2763" s="176"/>
      <c r="K2763" s="43" t="str">
        <f t="array" ref="K2763">IF(J2763="","", XLOOKUP(J2763,'⚙️ Pengaturan'!$E$2:$E3237,'⚙️ Pengaturan'!$G$2:$G3237))</f>
        <v/>
      </c>
      <c r="L2763" s="43" t="str">
        <f t="shared" si="84"/>
        <v/>
      </c>
      <c r="M2763" s="177"/>
      <c r="N2763" s="145"/>
      <c r="O2763" s="146"/>
      <c r="P2763" s="48" t="str">
        <f t="array" ref="P2763">IFNA(XLOOKUP(J2763,'⚙️ Pengaturan'!$E$2:$E3237,'⚙️ Pengaturan'!$F$2:$F3237),"")</f>
        <v/>
      </c>
      <c r="Q2763" s="147" t="str">
        <f t="shared" si="85"/>
        <v/>
      </c>
      <c r="R2763" s="173"/>
      <c r="S2763" s="76"/>
      <c r="T2763" s="51" t="b">
        <v>0</v>
      </c>
      <c r="U2763" s="94"/>
    </row>
    <row r="2764" ht="30.0" customHeight="1">
      <c r="A2764" s="39"/>
      <c r="B2764" s="40"/>
      <c r="C2764" s="173"/>
      <c r="D2764" s="86"/>
      <c r="E2764" s="43" t="str">
        <f t="shared" si="82"/>
        <v/>
      </c>
      <c r="F2764" s="43" t="str">
        <f t="shared" si="83"/>
        <v/>
      </c>
      <c r="G2764" s="44"/>
      <c r="H2764" s="44"/>
      <c r="I2764" s="44"/>
      <c r="J2764" s="176"/>
      <c r="K2764" s="43" t="str">
        <f t="array" ref="K2764">IF(J2764="","", XLOOKUP(J2764,'⚙️ Pengaturan'!$E$2:$E3237,'⚙️ Pengaturan'!$G$2:$G3237))</f>
        <v/>
      </c>
      <c r="L2764" s="43" t="str">
        <f t="shared" si="84"/>
        <v/>
      </c>
      <c r="M2764" s="177"/>
      <c r="N2764" s="145"/>
      <c r="O2764" s="146"/>
      <c r="P2764" s="48" t="str">
        <f t="array" ref="P2764">IFNA(XLOOKUP(J2764,'⚙️ Pengaturan'!$E$2:$E3237,'⚙️ Pengaturan'!$F$2:$F3237),"")</f>
        <v/>
      </c>
      <c r="Q2764" s="147" t="str">
        <f t="shared" si="85"/>
        <v/>
      </c>
      <c r="R2764" s="173"/>
      <c r="S2764" s="76"/>
      <c r="T2764" s="51" t="b">
        <v>0</v>
      </c>
      <c r="U2764" s="94"/>
    </row>
    <row r="2765" ht="30.0" customHeight="1">
      <c r="A2765" s="39"/>
      <c r="B2765" s="40"/>
      <c r="C2765" s="173"/>
      <c r="D2765" s="86"/>
      <c r="E2765" s="43" t="str">
        <f t="shared" si="82"/>
        <v/>
      </c>
      <c r="F2765" s="43" t="str">
        <f t="shared" si="83"/>
        <v/>
      </c>
      <c r="G2765" s="44"/>
      <c r="H2765" s="44"/>
      <c r="I2765" s="44"/>
      <c r="J2765" s="176"/>
      <c r="K2765" s="43" t="str">
        <f t="array" ref="K2765">IF(J2765="","", XLOOKUP(J2765,'⚙️ Pengaturan'!$E$2:$E3237,'⚙️ Pengaturan'!$G$2:$G3237))</f>
        <v/>
      </c>
      <c r="L2765" s="43" t="str">
        <f t="shared" si="84"/>
        <v/>
      </c>
      <c r="M2765" s="177"/>
      <c r="N2765" s="145"/>
      <c r="O2765" s="146"/>
      <c r="P2765" s="48" t="str">
        <f t="array" ref="P2765">IFNA(XLOOKUP(J2765,'⚙️ Pengaturan'!$E$2:$E3237,'⚙️ Pengaturan'!$F$2:$F3237),"")</f>
        <v/>
      </c>
      <c r="Q2765" s="147" t="str">
        <f t="shared" si="85"/>
        <v/>
      </c>
      <c r="R2765" s="173"/>
      <c r="S2765" s="76"/>
      <c r="T2765" s="51" t="b">
        <v>0</v>
      </c>
      <c r="U2765" s="94"/>
    </row>
    <row r="2766" ht="30.0" customHeight="1">
      <c r="A2766" s="39"/>
      <c r="B2766" s="40"/>
      <c r="C2766" s="173"/>
      <c r="D2766" s="86"/>
      <c r="E2766" s="43" t="str">
        <f t="shared" si="82"/>
        <v/>
      </c>
      <c r="F2766" s="43" t="str">
        <f t="shared" si="83"/>
        <v/>
      </c>
      <c r="G2766" s="44"/>
      <c r="H2766" s="44"/>
      <c r="I2766" s="44"/>
      <c r="J2766" s="176"/>
      <c r="K2766" s="43" t="str">
        <f t="array" ref="K2766">IF(J2766="","", XLOOKUP(J2766,'⚙️ Pengaturan'!$E$2:$E3237,'⚙️ Pengaturan'!$G$2:$G3237))</f>
        <v/>
      </c>
      <c r="L2766" s="43" t="str">
        <f t="shared" si="84"/>
        <v/>
      </c>
      <c r="M2766" s="177"/>
      <c r="N2766" s="145"/>
      <c r="O2766" s="146"/>
      <c r="P2766" s="48" t="str">
        <f t="array" ref="P2766">IFNA(XLOOKUP(J2766,'⚙️ Pengaturan'!$E$2:$E3237,'⚙️ Pengaturan'!$F$2:$F3237),"")</f>
        <v/>
      </c>
      <c r="Q2766" s="147" t="str">
        <f t="shared" si="85"/>
        <v/>
      </c>
      <c r="R2766" s="173"/>
      <c r="S2766" s="76"/>
      <c r="T2766" s="51" t="b">
        <v>0</v>
      </c>
      <c r="U2766" s="94"/>
    </row>
    <row r="2767" ht="30.0" customHeight="1">
      <c r="A2767" s="39"/>
      <c r="B2767" s="40"/>
      <c r="C2767" s="173"/>
      <c r="D2767" s="86"/>
      <c r="E2767" s="43" t="str">
        <f t="shared" si="82"/>
        <v/>
      </c>
      <c r="F2767" s="43" t="str">
        <f t="shared" si="83"/>
        <v/>
      </c>
      <c r="G2767" s="44"/>
      <c r="H2767" s="44"/>
      <c r="I2767" s="44"/>
      <c r="J2767" s="176"/>
      <c r="K2767" s="43" t="str">
        <f t="array" ref="K2767">IF(J2767="","", XLOOKUP(J2767,'⚙️ Pengaturan'!$E$2:$E3237,'⚙️ Pengaturan'!$G$2:$G3237))</f>
        <v/>
      </c>
      <c r="L2767" s="43" t="str">
        <f t="shared" si="84"/>
        <v/>
      </c>
      <c r="M2767" s="177"/>
      <c r="N2767" s="145"/>
      <c r="O2767" s="146"/>
      <c r="P2767" s="48" t="str">
        <f t="array" ref="P2767">IFNA(XLOOKUP(J2767,'⚙️ Pengaturan'!$E$2:$E3237,'⚙️ Pengaturan'!$F$2:$F3237),"")</f>
        <v/>
      </c>
      <c r="Q2767" s="147" t="str">
        <f t="shared" si="85"/>
        <v/>
      </c>
      <c r="R2767" s="173"/>
      <c r="S2767" s="76"/>
      <c r="T2767" s="51" t="b">
        <v>0</v>
      </c>
      <c r="U2767" s="94"/>
    </row>
    <row r="2768" ht="30.0" customHeight="1">
      <c r="A2768" s="39"/>
      <c r="B2768" s="40"/>
      <c r="C2768" s="173"/>
      <c r="D2768" s="86"/>
      <c r="E2768" s="43" t="str">
        <f t="shared" si="82"/>
        <v/>
      </c>
      <c r="F2768" s="43" t="str">
        <f t="shared" si="83"/>
        <v/>
      </c>
      <c r="G2768" s="44"/>
      <c r="H2768" s="44"/>
      <c r="I2768" s="44"/>
      <c r="J2768" s="176"/>
      <c r="K2768" s="43" t="str">
        <f t="array" ref="K2768">IF(J2768="","", XLOOKUP(J2768,'⚙️ Pengaturan'!$E$2:$E3237,'⚙️ Pengaturan'!$G$2:$G3237))</f>
        <v/>
      </c>
      <c r="L2768" s="43" t="str">
        <f t="shared" si="84"/>
        <v/>
      </c>
      <c r="M2768" s="177"/>
      <c r="N2768" s="145"/>
      <c r="O2768" s="146"/>
      <c r="P2768" s="48" t="str">
        <f t="array" ref="P2768">IFNA(XLOOKUP(J2768,'⚙️ Pengaturan'!$E$2:$E3237,'⚙️ Pengaturan'!$F$2:$F3237),"")</f>
        <v/>
      </c>
      <c r="Q2768" s="147" t="str">
        <f t="shared" si="85"/>
        <v/>
      </c>
      <c r="R2768" s="173"/>
      <c r="S2768" s="76"/>
      <c r="T2768" s="51" t="b">
        <v>0</v>
      </c>
      <c r="U2768" s="94"/>
    </row>
    <row r="2769" ht="30.0" customHeight="1">
      <c r="A2769" s="39"/>
      <c r="B2769" s="40"/>
      <c r="C2769" s="173"/>
      <c r="D2769" s="86"/>
      <c r="E2769" s="43" t="str">
        <f t="shared" si="82"/>
        <v/>
      </c>
      <c r="F2769" s="43" t="str">
        <f t="shared" si="83"/>
        <v/>
      </c>
      <c r="G2769" s="44"/>
      <c r="H2769" s="44"/>
      <c r="I2769" s="44"/>
      <c r="J2769" s="176"/>
      <c r="K2769" s="43" t="str">
        <f t="array" ref="K2769">IF(J2769="","", XLOOKUP(J2769,'⚙️ Pengaturan'!$E$2:$E3237,'⚙️ Pengaturan'!$G$2:$G3237))</f>
        <v/>
      </c>
      <c r="L2769" s="43" t="str">
        <f t="shared" si="84"/>
        <v/>
      </c>
      <c r="M2769" s="177"/>
      <c r="N2769" s="145"/>
      <c r="O2769" s="146"/>
      <c r="P2769" s="48" t="str">
        <f t="array" ref="P2769">IFNA(XLOOKUP(J2769,'⚙️ Pengaturan'!$E$2:$E3237,'⚙️ Pengaturan'!$F$2:$F3237),"")</f>
        <v/>
      </c>
      <c r="Q2769" s="147" t="str">
        <f t="shared" si="85"/>
        <v/>
      </c>
      <c r="R2769" s="173"/>
      <c r="S2769" s="76"/>
      <c r="T2769" s="51" t="b">
        <v>0</v>
      </c>
      <c r="U2769" s="94"/>
    </row>
    <row r="2770" ht="30.0" customHeight="1">
      <c r="A2770" s="39"/>
      <c r="B2770" s="40"/>
      <c r="C2770" s="173"/>
      <c r="D2770" s="86"/>
      <c r="E2770" s="43" t="str">
        <f t="shared" si="82"/>
        <v/>
      </c>
      <c r="F2770" s="43" t="str">
        <f t="shared" si="83"/>
        <v/>
      </c>
      <c r="G2770" s="44"/>
      <c r="H2770" s="44"/>
      <c r="I2770" s="44"/>
      <c r="J2770" s="176"/>
      <c r="K2770" s="43" t="str">
        <f t="array" ref="K2770">IF(J2770="","", XLOOKUP(J2770,'⚙️ Pengaturan'!$E$2:$E3237,'⚙️ Pengaturan'!$G$2:$G3237))</f>
        <v/>
      </c>
      <c r="L2770" s="43" t="str">
        <f t="shared" si="84"/>
        <v/>
      </c>
      <c r="M2770" s="177"/>
      <c r="N2770" s="145"/>
      <c r="O2770" s="146"/>
      <c r="P2770" s="48" t="str">
        <f t="array" ref="P2770">IFNA(XLOOKUP(J2770,'⚙️ Pengaturan'!$E$2:$E3237,'⚙️ Pengaturan'!$F$2:$F3237),"")</f>
        <v/>
      </c>
      <c r="Q2770" s="147" t="str">
        <f t="shared" si="85"/>
        <v/>
      </c>
      <c r="R2770" s="173"/>
      <c r="S2770" s="76"/>
      <c r="T2770" s="51" t="b">
        <v>0</v>
      </c>
      <c r="U2770" s="94"/>
    </row>
    <row r="2771" ht="30.0" customHeight="1">
      <c r="A2771" s="39"/>
      <c r="B2771" s="40"/>
      <c r="C2771" s="173"/>
      <c r="D2771" s="86"/>
      <c r="E2771" s="43" t="str">
        <f t="shared" si="82"/>
        <v/>
      </c>
      <c r="F2771" s="43" t="str">
        <f t="shared" si="83"/>
        <v/>
      </c>
      <c r="G2771" s="44"/>
      <c r="H2771" s="44"/>
      <c r="I2771" s="44"/>
      <c r="J2771" s="176"/>
      <c r="K2771" s="43" t="str">
        <f t="array" ref="K2771">IF(J2771="","", XLOOKUP(J2771,'⚙️ Pengaturan'!$E$2:$E3237,'⚙️ Pengaturan'!$G$2:$G3237))</f>
        <v/>
      </c>
      <c r="L2771" s="43" t="str">
        <f t="shared" si="84"/>
        <v/>
      </c>
      <c r="M2771" s="177"/>
      <c r="N2771" s="145"/>
      <c r="O2771" s="146"/>
      <c r="P2771" s="48" t="str">
        <f t="array" ref="P2771">IFNA(XLOOKUP(J2771,'⚙️ Pengaturan'!$E$2:$E3237,'⚙️ Pengaturan'!$F$2:$F3237),"")</f>
        <v/>
      </c>
      <c r="Q2771" s="147" t="str">
        <f t="shared" si="85"/>
        <v/>
      </c>
      <c r="R2771" s="173"/>
      <c r="S2771" s="76"/>
      <c r="T2771" s="51" t="b">
        <v>0</v>
      </c>
      <c r="U2771" s="94"/>
    </row>
    <row r="2772" ht="30.0" customHeight="1">
      <c r="A2772" s="39"/>
      <c r="B2772" s="40"/>
      <c r="C2772" s="173"/>
      <c r="D2772" s="86"/>
      <c r="E2772" s="43" t="str">
        <f t="shared" si="82"/>
        <v/>
      </c>
      <c r="F2772" s="43" t="str">
        <f t="shared" si="83"/>
        <v/>
      </c>
      <c r="G2772" s="44"/>
      <c r="H2772" s="44"/>
      <c r="I2772" s="44"/>
      <c r="J2772" s="176"/>
      <c r="K2772" s="43" t="str">
        <f t="array" ref="K2772">IF(J2772="","", XLOOKUP(J2772,'⚙️ Pengaturan'!$E$2:$E3237,'⚙️ Pengaturan'!$G$2:$G3237))</f>
        <v/>
      </c>
      <c r="L2772" s="43" t="str">
        <f t="shared" si="84"/>
        <v/>
      </c>
      <c r="M2772" s="177"/>
      <c r="N2772" s="145"/>
      <c r="O2772" s="146"/>
      <c r="P2772" s="48" t="str">
        <f t="array" ref="P2772">IFNA(XLOOKUP(J2772,'⚙️ Pengaturan'!$E$2:$E3237,'⚙️ Pengaturan'!$F$2:$F3237),"")</f>
        <v/>
      </c>
      <c r="Q2772" s="147" t="str">
        <f t="shared" si="85"/>
        <v/>
      </c>
      <c r="R2772" s="173"/>
      <c r="S2772" s="76"/>
      <c r="T2772" s="51" t="b">
        <v>0</v>
      </c>
      <c r="U2772" s="94"/>
    </row>
    <row r="2773" ht="30.0" customHeight="1">
      <c r="A2773" s="39"/>
      <c r="B2773" s="40"/>
      <c r="C2773" s="173"/>
      <c r="D2773" s="86"/>
      <c r="E2773" s="43" t="str">
        <f t="shared" si="82"/>
        <v/>
      </c>
      <c r="F2773" s="43" t="str">
        <f t="shared" si="83"/>
        <v/>
      </c>
      <c r="G2773" s="44"/>
      <c r="H2773" s="44"/>
      <c r="I2773" s="44"/>
      <c r="J2773" s="176"/>
      <c r="K2773" s="43" t="str">
        <f t="array" ref="K2773">IF(J2773="","", XLOOKUP(J2773,'⚙️ Pengaturan'!$E$2:$E3237,'⚙️ Pengaturan'!$G$2:$G3237))</f>
        <v/>
      </c>
      <c r="L2773" s="43" t="str">
        <f t="shared" si="84"/>
        <v/>
      </c>
      <c r="M2773" s="177"/>
      <c r="N2773" s="145"/>
      <c r="O2773" s="146"/>
      <c r="P2773" s="48" t="str">
        <f t="array" ref="P2773">IFNA(XLOOKUP(J2773,'⚙️ Pengaturan'!$E$2:$E3237,'⚙️ Pengaturan'!$F$2:$F3237),"")</f>
        <v/>
      </c>
      <c r="Q2773" s="147" t="str">
        <f t="shared" si="85"/>
        <v/>
      </c>
      <c r="R2773" s="173"/>
      <c r="S2773" s="76"/>
      <c r="T2773" s="51" t="b">
        <v>0</v>
      </c>
      <c r="U2773" s="94"/>
    </row>
    <row r="2774" ht="30.0" customHeight="1">
      <c r="A2774" s="39"/>
      <c r="B2774" s="40"/>
      <c r="C2774" s="173"/>
      <c r="D2774" s="86"/>
      <c r="E2774" s="43" t="str">
        <f t="shared" si="82"/>
        <v/>
      </c>
      <c r="F2774" s="43" t="str">
        <f t="shared" si="83"/>
        <v/>
      </c>
      <c r="G2774" s="44"/>
      <c r="H2774" s="44"/>
      <c r="I2774" s="44"/>
      <c r="J2774" s="176"/>
      <c r="K2774" s="43" t="str">
        <f t="array" ref="K2774">IF(J2774="","", XLOOKUP(J2774,'⚙️ Pengaturan'!$E$2:$E3237,'⚙️ Pengaturan'!$G$2:$G3237))</f>
        <v/>
      </c>
      <c r="L2774" s="43" t="str">
        <f t="shared" si="84"/>
        <v/>
      </c>
      <c r="M2774" s="177"/>
      <c r="N2774" s="145"/>
      <c r="O2774" s="146"/>
      <c r="P2774" s="48" t="str">
        <f t="array" ref="P2774">IFNA(XLOOKUP(J2774,'⚙️ Pengaturan'!$E$2:$E3237,'⚙️ Pengaturan'!$F$2:$F3237),"")</f>
        <v/>
      </c>
      <c r="Q2774" s="147" t="str">
        <f t="shared" si="85"/>
        <v/>
      </c>
      <c r="R2774" s="173"/>
      <c r="S2774" s="76"/>
      <c r="T2774" s="51" t="b">
        <v>0</v>
      </c>
      <c r="U2774" s="94"/>
    </row>
    <row r="2775" ht="30.0" customHeight="1">
      <c r="A2775" s="39"/>
      <c r="B2775" s="40"/>
      <c r="C2775" s="173"/>
      <c r="D2775" s="86"/>
      <c r="E2775" s="43" t="str">
        <f t="shared" si="82"/>
        <v/>
      </c>
      <c r="F2775" s="43" t="str">
        <f t="shared" si="83"/>
        <v/>
      </c>
      <c r="G2775" s="44"/>
      <c r="H2775" s="44"/>
      <c r="I2775" s="44"/>
      <c r="J2775" s="176"/>
      <c r="K2775" s="43" t="str">
        <f t="array" ref="K2775">IF(J2775="","", XLOOKUP(J2775,'⚙️ Pengaturan'!$E$2:$E3237,'⚙️ Pengaturan'!$G$2:$G3237))</f>
        <v/>
      </c>
      <c r="L2775" s="43" t="str">
        <f t="shared" si="84"/>
        <v/>
      </c>
      <c r="M2775" s="177"/>
      <c r="N2775" s="145"/>
      <c r="O2775" s="146"/>
      <c r="P2775" s="48" t="str">
        <f t="array" ref="P2775">IFNA(XLOOKUP(J2775,'⚙️ Pengaturan'!$E$2:$E3237,'⚙️ Pengaturan'!$F$2:$F3237),"")</f>
        <v/>
      </c>
      <c r="Q2775" s="147" t="str">
        <f t="shared" si="85"/>
        <v/>
      </c>
      <c r="R2775" s="173"/>
      <c r="S2775" s="76"/>
      <c r="T2775" s="51" t="b">
        <v>0</v>
      </c>
      <c r="U2775" s="94"/>
    </row>
    <row r="2776" ht="30.0" customHeight="1">
      <c r="A2776" s="39"/>
      <c r="B2776" s="40"/>
      <c r="C2776" s="173"/>
      <c r="D2776" s="86"/>
      <c r="E2776" s="43" t="str">
        <f t="shared" si="82"/>
        <v/>
      </c>
      <c r="F2776" s="43" t="str">
        <f t="shared" si="83"/>
        <v/>
      </c>
      <c r="G2776" s="44"/>
      <c r="H2776" s="44"/>
      <c r="I2776" s="44"/>
      <c r="J2776" s="176"/>
      <c r="K2776" s="43" t="str">
        <f t="array" ref="K2776">IF(J2776="","", XLOOKUP(J2776,'⚙️ Pengaturan'!$E$2:$E3237,'⚙️ Pengaturan'!$G$2:$G3237))</f>
        <v/>
      </c>
      <c r="L2776" s="43" t="str">
        <f t="shared" si="84"/>
        <v/>
      </c>
      <c r="M2776" s="177"/>
      <c r="N2776" s="145"/>
      <c r="O2776" s="146"/>
      <c r="P2776" s="48" t="str">
        <f t="array" ref="P2776">IFNA(XLOOKUP(J2776,'⚙️ Pengaturan'!$E$2:$E3237,'⚙️ Pengaturan'!$F$2:$F3237),"")</f>
        <v/>
      </c>
      <c r="Q2776" s="147" t="str">
        <f t="shared" si="85"/>
        <v/>
      </c>
      <c r="R2776" s="173"/>
      <c r="S2776" s="76"/>
      <c r="T2776" s="51" t="b">
        <v>0</v>
      </c>
      <c r="U2776" s="94"/>
    </row>
    <row r="2777" ht="30.0" customHeight="1">
      <c r="A2777" s="39"/>
      <c r="B2777" s="40"/>
      <c r="C2777" s="173"/>
      <c r="D2777" s="86"/>
      <c r="E2777" s="43" t="str">
        <f t="shared" si="82"/>
        <v/>
      </c>
      <c r="F2777" s="43" t="str">
        <f t="shared" si="83"/>
        <v/>
      </c>
      <c r="G2777" s="44"/>
      <c r="H2777" s="44"/>
      <c r="I2777" s="44"/>
      <c r="J2777" s="176"/>
      <c r="K2777" s="43" t="str">
        <f t="array" ref="K2777">IF(J2777="","", XLOOKUP(J2777,'⚙️ Pengaturan'!$E$2:$E3237,'⚙️ Pengaturan'!$G$2:$G3237))</f>
        <v/>
      </c>
      <c r="L2777" s="43" t="str">
        <f t="shared" si="84"/>
        <v/>
      </c>
      <c r="M2777" s="177"/>
      <c r="N2777" s="145"/>
      <c r="O2777" s="146"/>
      <c r="P2777" s="48" t="str">
        <f t="array" ref="P2777">IFNA(XLOOKUP(J2777,'⚙️ Pengaturan'!$E$2:$E3237,'⚙️ Pengaturan'!$F$2:$F3237),"")</f>
        <v/>
      </c>
      <c r="Q2777" s="147" t="str">
        <f t="shared" si="85"/>
        <v/>
      </c>
      <c r="R2777" s="173"/>
      <c r="S2777" s="76"/>
      <c r="T2777" s="51" t="b">
        <v>0</v>
      </c>
      <c r="U2777" s="94"/>
    </row>
    <row r="2778" ht="30.0" customHeight="1">
      <c r="A2778" s="39"/>
      <c r="B2778" s="40"/>
      <c r="C2778" s="173"/>
      <c r="D2778" s="86"/>
      <c r="E2778" s="43" t="str">
        <f t="shared" si="82"/>
        <v/>
      </c>
      <c r="F2778" s="43" t="str">
        <f t="shared" si="83"/>
        <v/>
      </c>
      <c r="G2778" s="44"/>
      <c r="H2778" s="44"/>
      <c r="I2778" s="44"/>
      <c r="J2778" s="176"/>
      <c r="K2778" s="43" t="str">
        <f t="array" ref="K2778">IF(J2778="","", XLOOKUP(J2778,'⚙️ Pengaturan'!$E$2:$E3237,'⚙️ Pengaturan'!$G$2:$G3237))</f>
        <v/>
      </c>
      <c r="L2778" s="43" t="str">
        <f t="shared" si="84"/>
        <v/>
      </c>
      <c r="M2778" s="177"/>
      <c r="N2778" s="145"/>
      <c r="O2778" s="146"/>
      <c r="P2778" s="48" t="str">
        <f t="array" ref="P2778">IFNA(XLOOKUP(J2778,'⚙️ Pengaturan'!$E$2:$E3237,'⚙️ Pengaturan'!$F$2:$F3237),"")</f>
        <v/>
      </c>
      <c r="Q2778" s="147" t="str">
        <f t="shared" si="85"/>
        <v/>
      </c>
      <c r="R2778" s="173"/>
      <c r="S2778" s="76"/>
      <c r="T2778" s="51" t="b">
        <v>0</v>
      </c>
      <c r="U2778" s="94"/>
    </row>
    <row r="2779" ht="30.0" customHeight="1">
      <c r="A2779" s="39"/>
      <c r="B2779" s="40"/>
      <c r="C2779" s="173"/>
      <c r="D2779" s="86"/>
      <c r="E2779" s="43" t="str">
        <f t="shared" si="82"/>
        <v/>
      </c>
      <c r="F2779" s="43" t="str">
        <f t="shared" si="83"/>
        <v/>
      </c>
      <c r="G2779" s="44"/>
      <c r="H2779" s="44"/>
      <c r="I2779" s="44"/>
      <c r="J2779" s="176"/>
      <c r="K2779" s="43" t="str">
        <f t="array" ref="K2779">IF(J2779="","", XLOOKUP(J2779,'⚙️ Pengaturan'!$E$2:$E3237,'⚙️ Pengaturan'!$G$2:$G3237))</f>
        <v/>
      </c>
      <c r="L2779" s="43" t="str">
        <f t="shared" si="84"/>
        <v/>
      </c>
      <c r="M2779" s="177"/>
      <c r="N2779" s="145"/>
      <c r="O2779" s="146"/>
      <c r="P2779" s="48" t="str">
        <f t="array" ref="P2779">IFNA(XLOOKUP(J2779,'⚙️ Pengaturan'!$E$2:$E3237,'⚙️ Pengaturan'!$F$2:$F3237),"")</f>
        <v/>
      </c>
      <c r="Q2779" s="147" t="str">
        <f t="shared" si="85"/>
        <v/>
      </c>
      <c r="R2779" s="173"/>
      <c r="S2779" s="76"/>
      <c r="T2779" s="51" t="b">
        <v>0</v>
      </c>
      <c r="U2779" s="94"/>
    </row>
    <row r="2780" ht="30.0" customHeight="1">
      <c r="A2780" s="39"/>
      <c r="B2780" s="40"/>
      <c r="C2780" s="173"/>
      <c r="D2780" s="86"/>
      <c r="E2780" s="43" t="str">
        <f t="shared" si="82"/>
        <v/>
      </c>
      <c r="F2780" s="43" t="str">
        <f t="shared" si="83"/>
        <v/>
      </c>
      <c r="G2780" s="44"/>
      <c r="H2780" s="44"/>
      <c r="I2780" s="44"/>
      <c r="J2780" s="176"/>
      <c r="K2780" s="43" t="str">
        <f t="array" ref="K2780">IF(J2780="","", XLOOKUP(J2780,'⚙️ Pengaturan'!$E$2:$E3237,'⚙️ Pengaturan'!$G$2:$G3237))</f>
        <v/>
      </c>
      <c r="L2780" s="43" t="str">
        <f t="shared" si="84"/>
        <v/>
      </c>
      <c r="M2780" s="177"/>
      <c r="N2780" s="145"/>
      <c r="O2780" s="146"/>
      <c r="P2780" s="48" t="str">
        <f t="array" ref="P2780">IFNA(XLOOKUP(J2780,'⚙️ Pengaturan'!$E$2:$E3237,'⚙️ Pengaturan'!$F$2:$F3237),"")</f>
        <v/>
      </c>
      <c r="Q2780" s="147" t="str">
        <f t="shared" si="85"/>
        <v/>
      </c>
      <c r="R2780" s="173"/>
      <c r="S2780" s="76"/>
      <c r="T2780" s="51" t="b">
        <v>0</v>
      </c>
      <c r="U2780" s="94"/>
    </row>
    <row r="2781" ht="30.0" customHeight="1">
      <c r="A2781" s="39"/>
      <c r="B2781" s="40"/>
      <c r="C2781" s="173"/>
      <c r="D2781" s="86"/>
      <c r="E2781" s="43" t="str">
        <f t="shared" si="82"/>
        <v/>
      </c>
      <c r="F2781" s="43" t="str">
        <f t="shared" si="83"/>
        <v/>
      </c>
      <c r="G2781" s="44"/>
      <c r="H2781" s="44"/>
      <c r="I2781" s="44"/>
      <c r="J2781" s="176"/>
      <c r="K2781" s="43" t="str">
        <f t="array" ref="K2781">IF(J2781="","", XLOOKUP(J2781,'⚙️ Pengaturan'!$E$2:$E3237,'⚙️ Pengaturan'!$G$2:$G3237))</f>
        <v/>
      </c>
      <c r="L2781" s="43" t="str">
        <f t="shared" si="84"/>
        <v/>
      </c>
      <c r="M2781" s="177"/>
      <c r="N2781" s="145"/>
      <c r="O2781" s="146"/>
      <c r="P2781" s="48" t="str">
        <f t="array" ref="P2781">IFNA(XLOOKUP(J2781,'⚙️ Pengaturan'!$E$2:$E3237,'⚙️ Pengaturan'!$F$2:$F3237),"")</f>
        <v/>
      </c>
      <c r="Q2781" s="147" t="str">
        <f t="shared" si="85"/>
        <v/>
      </c>
      <c r="R2781" s="173"/>
      <c r="S2781" s="76"/>
      <c r="T2781" s="51" t="b">
        <v>0</v>
      </c>
      <c r="U2781" s="94"/>
    </row>
    <row r="2782" ht="30.0" customHeight="1">
      <c r="A2782" s="39"/>
      <c r="B2782" s="40"/>
      <c r="C2782" s="173"/>
      <c r="D2782" s="86"/>
      <c r="E2782" s="43" t="str">
        <f t="shared" si="82"/>
        <v/>
      </c>
      <c r="F2782" s="43" t="str">
        <f t="shared" si="83"/>
        <v/>
      </c>
      <c r="G2782" s="44"/>
      <c r="H2782" s="44"/>
      <c r="I2782" s="44"/>
      <c r="J2782" s="176"/>
      <c r="K2782" s="43" t="str">
        <f t="array" ref="K2782">IF(J2782="","", XLOOKUP(J2782,'⚙️ Pengaturan'!$E$2:$E3237,'⚙️ Pengaturan'!$G$2:$G3237))</f>
        <v/>
      </c>
      <c r="L2782" s="43" t="str">
        <f t="shared" si="84"/>
        <v/>
      </c>
      <c r="M2782" s="177"/>
      <c r="N2782" s="145"/>
      <c r="O2782" s="146"/>
      <c r="P2782" s="48" t="str">
        <f t="array" ref="P2782">IFNA(XLOOKUP(J2782,'⚙️ Pengaturan'!$E$2:$E3237,'⚙️ Pengaturan'!$F$2:$F3237),"")</f>
        <v/>
      </c>
      <c r="Q2782" s="147" t="str">
        <f t="shared" si="85"/>
        <v/>
      </c>
      <c r="R2782" s="173"/>
      <c r="S2782" s="76"/>
      <c r="T2782" s="51" t="b">
        <v>0</v>
      </c>
      <c r="U2782" s="94"/>
    </row>
    <row r="2783" ht="30.0" customHeight="1">
      <c r="A2783" s="39"/>
      <c r="B2783" s="40"/>
      <c r="C2783" s="173"/>
      <c r="D2783" s="86"/>
      <c r="E2783" s="43" t="str">
        <f t="shared" si="82"/>
        <v/>
      </c>
      <c r="F2783" s="43" t="str">
        <f t="shared" si="83"/>
        <v/>
      </c>
      <c r="G2783" s="44"/>
      <c r="H2783" s="44"/>
      <c r="I2783" s="44"/>
      <c r="J2783" s="176"/>
      <c r="K2783" s="43" t="str">
        <f t="array" ref="K2783">IF(J2783="","", XLOOKUP(J2783,'⚙️ Pengaturan'!$E$2:$E3237,'⚙️ Pengaturan'!$G$2:$G3237))</f>
        <v/>
      </c>
      <c r="L2783" s="43" t="str">
        <f t="shared" si="84"/>
        <v/>
      </c>
      <c r="M2783" s="177"/>
      <c r="N2783" s="145"/>
      <c r="O2783" s="146"/>
      <c r="P2783" s="48" t="str">
        <f t="array" ref="P2783">IFNA(XLOOKUP(J2783,'⚙️ Pengaturan'!$E$2:$E3237,'⚙️ Pengaturan'!$F$2:$F3237),"")</f>
        <v/>
      </c>
      <c r="Q2783" s="147" t="str">
        <f t="shared" si="85"/>
        <v/>
      </c>
      <c r="R2783" s="173"/>
      <c r="S2783" s="76"/>
      <c r="T2783" s="51" t="b">
        <v>0</v>
      </c>
      <c r="U2783" s="94"/>
    </row>
    <row r="2784" ht="30.0" customHeight="1">
      <c r="A2784" s="39"/>
      <c r="B2784" s="40"/>
      <c r="C2784" s="173"/>
      <c r="D2784" s="86"/>
      <c r="E2784" s="43" t="str">
        <f t="shared" si="82"/>
        <v/>
      </c>
      <c r="F2784" s="43" t="str">
        <f t="shared" si="83"/>
        <v/>
      </c>
      <c r="G2784" s="44"/>
      <c r="H2784" s="44"/>
      <c r="I2784" s="44"/>
      <c r="J2784" s="176"/>
      <c r="K2784" s="43" t="str">
        <f t="array" ref="K2784">IF(J2784="","", XLOOKUP(J2784,'⚙️ Pengaturan'!$E$2:$E3237,'⚙️ Pengaturan'!$G$2:$G3237))</f>
        <v/>
      </c>
      <c r="L2784" s="43" t="str">
        <f t="shared" si="84"/>
        <v/>
      </c>
      <c r="M2784" s="177"/>
      <c r="N2784" s="145"/>
      <c r="O2784" s="146"/>
      <c r="P2784" s="48" t="str">
        <f t="array" ref="P2784">IFNA(XLOOKUP(J2784,'⚙️ Pengaturan'!$E$2:$E3237,'⚙️ Pengaturan'!$F$2:$F3237),"")</f>
        <v/>
      </c>
      <c r="Q2784" s="147" t="str">
        <f t="shared" si="85"/>
        <v/>
      </c>
      <c r="R2784" s="173"/>
      <c r="S2784" s="76"/>
      <c r="T2784" s="51" t="b">
        <v>0</v>
      </c>
      <c r="U2784" s="94"/>
    </row>
    <row r="2785" ht="30.0" customHeight="1">
      <c r="A2785" s="39"/>
      <c r="B2785" s="40"/>
      <c r="C2785" s="173"/>
      <c r="D2785" s="86"/>
      <c r="E2785" s="43" t="str">
        <f t="shared" si="82"/>
        <v/>
      </c>
      <c r="F2785" s="43" t="str">
        <f t="shared" si="83"/>
        <v/>
      </c>
      <c r="G2785" s="44"/>
      <c r="H2785" s="44"/>
      <c r="I2785" s="44"/>
      <c r="J2785" s="176"/>
      <c r="K2785" s="43" t="str">
        <f t="array" ref="K2785">IF(J2785="","", XLOOKUP(J2785,'⚙️ Pengaturan'!$E$2:$E3237,'⚙️ Pengaturan'!$G$2:$G3237))</f>
        <v/>
      </c>
      <c r="L2785" s="43" t="str">
        <f t="shared" si="84"/>
        <v/>
      </c>
      <c r="M2785" s="177"/>
      <c r="N2785" s="145"/>
      <c r="O2785" s="146"/>
      <c r="P2785" s="48" t="str">
        <f t="array" ref="P2785">IFNA(XLOOKUP(J2785,'⚙️ Pengaturan'!$E$2:$E3237,'⚙️ Pengaturan'!$F$2:$F3237),"")</f>
        <v/>
      </c>
      <c r="Q2785" s="147" t="str">
        <f t="shared" si="85"/>
        <v/>
      </c>
      <c r="R2785" s="173"/>
      <c r="S2785" s="76"/>
      <c r="T2785" s="51" t="b">
        <v>0</v>
      </c>
      <c r="U2785" s="94"/>
    </row>
    <row r="2786" ht="30.0" customHeight="1">
      <c r="A2786" s="39"/>
      <c r="B2786" s="40"/>
      <c r="C2786" s="173"/>
      <c r="D2786" s="86"/>
      <c r="E2786" s="43" t="str">
        <f t="shared" si="82"/>
        <v/>
      </c>
      <c r="F2786" s="43" t="str">
        <f t="shared" si="83"/>
        <v/>
      </c>
      <c r="G2786" s="44"/>
      <c r="H2786" s="44"/>
      <c r="I2786" s="44"/>
      <c r="J2786" s="176"/>
      <c r="K2786" s="43" t="str">
        <f t="array" ref="K2786">IF(J2786="","", XLOOKUP(J2786,'⚙️ Pengaturan'!$E$2:$E3237,'⚙️ Pengaturan'!$G$2:$G3237))</f>
        <v/>
      </c>
      <c r="L2786" s="43" t="str">
        <f t="shared" si="84"/>
        <v/>
      </c>
      <c r="M2786" s="177"/>
      <c r="N2786" s="145"/>
      <c r="O2786" s="146"/>
      <c r="P2786" s="48" t="str">
        <f t="array" ref="P2786">IFNA(XLOOKUP(J2786,'⚙️ Pengaturan'!$E$2:$E3237,'⚙️ Pengaturan'!$F$2:$F3237),"")</f>
        <v/>
      </c>
      <c r="Q2786" s="147" t="str">
        <f t="shared" si="85"/>
        <v/>
      </c>
      <c r="R2786" s="173"/>
      <c r="S2786" s="76"/>
      <c r="T2786" s="51" t="b">
        <v>0</v>
      </c>
      <c r="U2786" s="94"/>
    </row>
    <row r="2787" ht="30.0" customHeight="1">
      <c r="A2787" s="39"/>
      <c r="B2787" s="40"/>
      <c r="C2787" s="173"/>
      <c r="D2787" s="86"/>
      <c r="E2787" s="43" t="str">
        <f t="shared" si="82"/>
        <v/>
      </c>
      <c r="F2787" s="43" t="str">
        <f t="shared" si="83"/>
        <v/>
      </c>
      <c r="G2787" s="44"/>
      <c r="H2787" s="44"/>
      <c r="I2787" s="44"/>
      <c r="J2787" s="176"/>
      <c r="K2787" s="43" t="str">
        <f t="array" ref="K2787">IF(J2787="","", XLOOKUP(J2787,'⚙️ Pengaturan'!$E$2:$E3237,'⚙️ Pengaturan'!$G$2:$G3237))</f>
        <v/>
      </c>
      <c r="L2787" s="43" t="str">
        <f t="shared" si="84"/>
        <v/>
      </c>
      <c r="M2787" s="177"/>
      <c r="N2787" s="145"/>
      <c r="O2787" s="146"/>
      <c r="P2787" s="48" t="str">
        <f t="array" ref="P2787">IFNA(XLOOKUP(J2787,'⚙️ Pengaturan'!$E$2:$E3237,'⚙️ Pengaturan'!$F$2:$F3237),"")</f>
        <v/>
      </c>
      <c r="Q2787" s="147" t="str">
        <f t="shared" si="85"/>
        <v/>
      </c>
      <c r="R2787" s="173"/>
      <c r="S2787" s="76"/>
      <c r="T2787" s="51" t="b">
        <v>0</v>
      </c>
      <c r="U2787" s="94"/>
    </row>
    <row r="2788" ht="30.0" customHeight="1">
      <c r="A2788" s="39"/>
      <c r="B2788" s="40"/>
      <c r="C2788" s="173"/>
      <c r="D2788" s="86"/>
      <c r="E2788" s="43" t="str">
        <f t="shared" si="82"/>
        <v/>
      </c>
      <c r="F2788" s="43" t="str">
        <f t="shared" si="83"/>
        <v/>
      </c>
      <c r="G2788" s="44"/>
      <c r="H2788" s="44"/>
      <c r="I2788" s="44"/>
      <c r="J2788" s="176"/>
      <c r="K2788" s="43" t="str">
        <f t="array" ref="K2788">IF(J2788="","", XLOOKUP(J2788,'⚙️ Pengaturan'!$E$2:$E3237,'⚙️ Pengaturan'!$G$2:$G3237))</f>
        <v/>
      </c>
      <c r="L2788" s="43" t="str">
        <f t="shared" si="84"/>
        <v/>
      </c>
      <c r="M2788" s="177"/>
      <c r="N2788" s="145"/>
      <c r="O2788" s="146"/>
      <c r="P2788" s="48" t="str">
        <f t="array" ref="P2788">IFNA(XLOOKUP(J2788,'⚙️ Pengaturan'!$E$2:$E3237,'⚙️ Pengaturan'!$F$2:$F3237),"")</f>
        <v/>
      </c>
      <c r="Q2788" s="147" t="str">
        <f t="shared" si="85"/>
        <v/>
      </c>
      <c r="R2788" s="173"/>
      <c r="S2788" s="76"/>
      <c r="T2788" s="51" t="b">
        <v>0</v>
      </c>
      <c r="U2788" s="94"/>
    </row>
    <row r="2789" ht="30.0" customHeight="1">
      <c r="A2789" s="39"/>
      <c r="B2789" s="40"/>
      <c r="C2789" s="173"/>
      <c r="D2789" s="86"/>
      <c r="E2789" s="43" t="str">
        <f t="shared" si="82"/>
        <v/>
      </c>
      <c r="F2789" s="43" t="str">
        <f t="shared" si="83"/>
        <v/>
      </c>
      <c r="G2789" s="44"/>
      <c r="H2789" s="44"/>
      <c r="I2789" s="44"/>
      <c r="J2789" s="176"/>
      <c r="K2789" s="43" t="str">
        <f t="array" ref="K2789">IF(J2789="","", XLOOKUP(J2789,'⚙️ Pengaturan'!$E$2:$E3237,'⚙️ Pengaturan'!$G$2:$G3237))</f>
        <v/>
      </c>
      <c r="L2789" s="43" t="str">
        <f t="shared" si="84"/>
        <v/>
      </c>
      <c r="M2789" s="177"/>
      <c r="N2789" s="145"/>
      <c r="O2789" s="146"/>
      <c r="P2789" s="48" t="str">
        <f t="array" ref="P2789">IFNA(XLOOKUP(J2789,'⚙️ Pengaturan'!$E$2:$E3237,'⚙️ Pengaturan'!$F$2:$F3237),"")</f>
        <v/>
      </c>
      <c r="Q2789" s="147" t="str">
        <f t="shared" si="85"/>
        <v/>
      </c>
      <c r="R2789" s="173"/>
      <c r="S2789" s="76"/>
      <c r="T2789" s="51" t="b">
        <v>0</v>
      </c>
      <c r="U2789" s="94"/>
    </row>
    <row r="2790" ht="30.0" customHeight="1">
      <c r="A2790" s="39"/>
      <c r="B2790" s="40"/>
      <c r="C2790" s="173"/>
      <c r="D2790" s="86"/>
      <c r="E2790" s="43" t="str">
        <f t="shared" si="82"/>
        <v/>
      </c>
      <c r="F2790" s="43" t="str">
        <f t="shared" si="83"/>
        <v/>
      </c>
      <c r="G2790" s="44"/>
      <c r="H2790" s="44"/>
      <c r="I2790" s="44"/>
      <c r="J2790" s="176"/>
      <c r="K2790" s="43" t="str">
        <f t="array" ref="K2790">IF(J2790="","", XLOOKUP(J2790,'⚙️ Pengaturan'!$E$2:$E3237,'⚙️ Pengaturan'!$G$2:$G3237))</f>
        <v/>
      </c>
      <c r="L2790" s="43" t="str">
        <f t="shared" si="84"/>
        <v/>
      </c>
      <c r="M2790" s="177"/>
      <c r="N2790" s="145"/>
      <c r="O2790" s="146"/>
      <c r="P2790" s="48" t="str">
        <f t="array" ref="P2790">IFNA(XLOOKUP(J2790,'⚙️ Pengaturan'!$E$2:$E3237,'⚙️ Pengaturan'!$F$2:$F3237),"")</f>
        <v/>
      </c>
      <c r="Q2790" s="147" t="str">
        <f t="shared" si="85"/>
        <v/>
      </c>
      <c r="R2790" s="173"/>
      <c r="S2790" s="76"/>
      <c r="T2790" s="51" t="b">
        <v>0</v>
      </c>
      <c r="U2790" s="94"/>
    </row>
    <row r="2791" ht="30.0" customHeight="1">
      <c r="A2791" s="39"/>
      <c r="B2791" s="40"/>
      <c r="C2791" s="173"/>
      <c r="D2791" s="86"/>
      <c r="E2791" s="43" t="str">
        <f t="shared" si="82"/>
        <v/>
      </c>
      <c r="F2791" s="43" t="str">
        <f t="shared" si="83"/>
        <v/>
      </c>
      <c r="G2791" s="44"/>
      <c r="H2791" s="44"/>
      <c r="I2791" s="44"/>
      <c r="J2791" s="176"/>
      <c r="K2791" s="43" t="str">
        <f t="array" ref="K2791">IF(J2791="","", XLOOKUP(J2791,'⚙️ Pengaturan'!$E$2:$E3237,'⚙️ Pengaturan'!$G$2:$G3237))</f>
        <v/>
      </c>
      <c r="L2791" s="43" t="str">
        <f t="shared" si="84"/>
        <v/>
      </c>
      <c r="M2791" s="177"/>
      <c r="N2791" s="145"/>
      <c r="O2791" s="146"/>
      <c r="P2791" s="48" t="str">
        <f t="array" ref="P2791">IFNA(XLOOKUP(J2791,'⚙️ Pengaturan'!$E$2:$E3237,'⚙️ Pengaturan'!$F$2:$F3237),"")</f>
        <v/>
      </c>
      <c r="Q2791" s="147" t="str">
        <f t="shared" si="85"/>
        <v/>
      </c>
      <c r="R2791" s="173"/>
      <c r="S2791" s="76"/>
      <c r="T2791" s="51" t="b">
        <v>0</v>
      </c>
      <c r="U2791" s="94"/>
    </row>
    <row r="2792" ht="30.0" customHeight="1">
      <c r="A2792" s="39"/>
      <c r="B2792" s="40"/>
      <c r="C2792" s="173"/>
      <c r="D2792" s="86"/>
      <c r="E2792" s="43" t="str">
        <f t="shared" si="82"/>
        <v/>
      </c>
      <c r="F2792" s="43" t="str">
        <f t="shared" si="83"/>
        <v/>
      </c>
      <c r="G2792" s="44"/>
      <c r="H2792" s="44"/>
      <c r="I2792" s="44"/>
      <c r="J2792" s="176"/>
      <c r="K2792" s="43" t="str">
        <f t="array" ref="K2792">IF(J2792="","", XLOOKUP(J2792,'⚙️ Pengaturan'!$E$2:$E3237,'⚙️ Pengaturan'!$G$2:$G3237))</f>
        <v/>
      </c>
      <c r="L2792" s="43" t="str">
        <f t="shared" si="84"/>
        <v/>
      </c>
      <c r="M2792" s="177"/>
      <c r="N2792" s="145"/>
      <c r="O2792" s="146"/>
      <c r="P2792" s="48" t="str">
        <f t="array" ref="P2792">IFNA(XLOOKUP(J2792,'⚙️ Pengaturan'!$E$2:$E3237,'⚙️ Pengaturan'!$F$2:$F3237),"")</f>
        <v/>
      </c>
      <c r="Q2792" s="147" t="str">
        <f t="shared" si="85"/>
        <v/>
      </c>
      <c r="R2792" s="173"/>
      <c r="S2792" s="76"/>
      <c r="T2792" s="51" t="b">
        <v>0</v>
      </c>
      <c r="U2792" s="94"/>
    </row>
    <row r="2793" ht="30.0" customHeight="1">
      <c r="A2793" s="39"/>
      <c r="B2793" s="40"/>
      <c r="C2793" s="173"/>
      <c r="D2793" s="86"/>
      <c r="E2793" s="43" t="str">
        <f t="shared" si="82"/>
        <v/>
      </c>
      <c r="F2793" s="43" t="str">
        <f t="shared" si="83"/>
        <v/>
      </c>
      <c r="G2793" s="44"/>
      <c r="H2793" s="44"/>
      <c r="I2793" s="44"/>
      <c r="J2793" s="176"/>
      <c r="K2793" s="43" t="str">
        <f t="array" ref="K2793">IF(J2793="","", XLOOKUP(J2793,'⚙️ Pengaturan'!$E$2:$E3237,'⚙️ Pengaturan'!$G$2:$G3237))</f>
        <v/>
      </c>
      <c r="L2793" s="43" t="str">
        <f t="shared" si="84"/>
        <v/>
      </c>
      <c r="M2793" s="177"/>
      <c r="N2793" s="145"/>
      <c r="O2793" s="146"/>
      <c r="P2793" s="48" t="str">
        <f t="array" ref="P2793">IFNA(XLOOKUP(J2793,'⚙️ Pengaturan'!$E$2:$E3237,'⚙️ Pengaturan'!$F$2:$F3237),"")</f>
        <v/>
      </c>
      <c r="Q2793" s="147" t="str">
        <f t="shared" si="85"/>
        <v/>
      </c>
      <c r="R2793" s="173"/>
      <c r="S2793" s="76"/>
      <c r="T2793" s="51" t="b">
        <v>0</v>
      </c>
      <c r="U2793" s="94"/>
    </row>
    <row r="2794" ht="30.0" customHeight="1">
      <c r="A2794" s="39"/>
      <c r="B2794" s="40"/>
      <c r="C2794" s="173"/>
      <c r="D2794" s="86"/>
      <c r="E2794" s="43" t="str">
        <f t="shared" si="82"/>
        <v/>
      </c>
      <c r="F2794" s="43" t="str">
        <f t="shared" si="83"/>
        <v/>
      </c>
      <c r="G2794" s="44"/>
      <c r="H2794" s="44"/>
      <c r="I2794" s="44"/>
      <c r="J2794" s="176"/>
      <c r="K2794" s="43" t="str">
        <f t="array" ref="K2794">IF(J2794="","", XLOOKUP(J2794,'⚙️ Pengaturan'!$E$2:$E3237,'⚙️ Pengaturan'!$G$2:$G3237))</f>
        <v/>
      </c>
      <c r="L2794" s="43" t="str">
        <f t="shared" si="84"/>
        <v/>
      </c>
      <c r="M2794" s="177"/>
      <c r="N2794" s="145"/>
      <c r="O2794" s="146"/>
      <c r="P2794" s="48" t="str">
        <f t="array" ref="P2794">IFNA(XLOOKUP(J2794,'⚙️ Pengaturan'!$E$2:$E3237,'⚙️ Pengaturan'!$F$2:$F3237),"")</f>
        <v/>
      </c>
      <c r="Q2794" s="147" t="str">
        <f t="shared" si="85"/>
        <v/>
      </c>
      <c r="R2794" s="173"/>
      <c r="S2794" s="76"/>
      <c r="T2794" s="51" t="b">
        <v>0</v>
      </c>
      <c r="U2794" s="94"/>
    </row>
    <row r="2795" ht="30.0" customHeight="1">
      <c r="A2795" s="39"/>
      <c r="B2795" s="40"/>
      <c r="C2795" s="173"/>
      <c r="D2795" s="86"/>
      <c r="E2795" s="43" t="str">
        <f t="shared" si="82"/>
        <v/>
      </c>
      <c r="F2795" s="43" t="str">
        <f t="shared" si="83"/>
        <v/>
      </c>
      <c r="G2795" s="44"/>
      <c r="H2795" s="44"/>
      <c r="I2795" s="44"/>
      <c r="J2795" s="176"/>
      <c r="K2795" s="43" t="str">
        <f t="array" ref="K2795">IF(J2795="","", XLOOKUP(J2795,'⚙️ Pengaturan'!$E$2:$E3237,'⚙️ Pengaturan'!$G$2:$G3237))</f>
        <v/>
      </c>
      <c r="L2795" s="43" t="str">
        <f t="shared" si="84"/>
        <v/>
      </c>
      <c r="M2795" s="177"/>
      <c r="N2795" s="145"/>
      <c r="O2795" s="146"/>
      <c r="P2795" s="48" t="str">
        <f t="array" ref="P2795">IFNA(XLOOKUP(J2795,'⚙️ Pengaturan'!$E$2:$E3237,'⚙️ Pengaturan'!$F$2:$F3237),"")</f>
        <v/>
      </c>
      <c r="Q2795" s="147" t="str">
        <f t="shared" si="85"/>
        <v/>
      </c>
      <c r="R2795" s="173"/>
      <c r="S2795" s="76"/>
      <c r="T2795" s="51" t="b">
        <v>0</v>
      </c>
      <c r="U2795" s="94"/>
    </row>
    <row r="2796" ht="30.0" customHeight="1">
      <c r="A2796" s="39"/>
      <c r="B2796" s="40"/>
      <c r="C2796" s="173"/>
      <c r="D2796" s="86"/>
      <c r="E2796" s="43" t="str">
        <f t="shared" si="82"/>
        <v/>
      </c>
      <c r="F2796" s="43" t="str">
        <f t="shared" si="83"/>
        <v/>
      </c>
      <c r="G2796" s="44"/>
      <c r="H2796" s="44"/>
      <c r="I2796" s="44"/>
      <c r="J2796" s="176"/>
      <c r="K2796" s="43" t="str">
        <f t="array" ref="K2796">IF(J2796="","", XLOOKUP(J2796,'⚙️ Pengaturan'!$E$2:$E3237,'⚙️ Pengaturan'!$G$2:$G3237))</f>
        <v/>
      </c>
      <c r="L2796" s="43" t="str">
        <f t="shared" si="84"/>
        <v/>
      </c>
      <c r="M2796" s="177"/>
      <c r="N2796" s="145"/>
      <c r="O2796" s="146"/>
      <c r="P2796" s="48" t="str">
        <f t="array" ref="P2796">IFNA(XLOOKUP(J2796,'⚙️ Pengaturan'!$E$2:$E3237,'⚙️ Pengaturan'!$F$2:$F3237),"")</f>
        <v/>
      </c>
      <c r="Q2796" s="147" t="str">
        <f t="shared" si="85"/>
        <v/>
      </c>
      <c r="R2796" s="173"/>
      <c r="S2796" s="76"/>
      <c r="T2796" s="51" t="b">
        <v>0</v>
      </c>
      <c r="U2796" s="94"/>
    </row>
    <row r="2797" ht="30.0" customHeight="1">
      <c r="A2797" s="39"/>
      <c r="B2797" s="40"/>
      <c r="C2797" s="173"/>
      <c r="D2797" s="86"/>
      <c r="E2797" s="43" t="str">
        <f t="shared" si="82"/>
        <v/>
      </c>
      <c r="F2797" s="43" t="str">
        <f t="shared" si="83"/>
        <v/>
      </c>
      <c r="G2797" s="44"/>
      <c r="H2797" s="44"/>
      <c r="I2797" s="44"/>
      <c r="J2797" s="176"/>
      <c r="K2797" s="43" t="str">
        <f t="array" ref="K2797">IF(J2797="","", XLOOKUP(J2797,'⚙️ Pengaturan'!$E$2:$E3237,'⚙️ Pengaturan'!$G$2:$G3237))</f>
        <v/>
      </c>
      <c r="L2797" s="43" t="str">
        <f t="shared" si="84"/>
        <v/>
      </c>
      <c r="M2797" s="177"/>
      <c r="N2797" s="145"/>
      <c r="O2797" s="146"/>
      <c r="P2797" s="48" t="str">
        <f t="array" ref="P2797">IFNA(XLOOKUP(J2797,'⚙️ Pengaturan'!$E$2:$E3237,'⚙️ Pengaturan'!$F$2:$F3237),"")</f>
        <v/>
      </c>
      <c r="Q2797" s="147" t="str">
        <f t="shared" si="85"/>
        <v/>
      </c>
      <c r="R2797" s="173"/>
      <c r="S2797" s="76"/>
      <c r="T2797" s="51" t="b">
        <v>0</v>
      </c>
      <c r="U2797" s="94"/>
    </row>
    <row r="2798" ht="30.0" customHeight="1">
      <c r="A2798" s="39"/>
      <c r="B2798" s="40"/>
      <c r="C2798" s="173"/>
      <c r="D2798" s="86"/>
      <c r="E2798" s="43" t="str">
        <f t="shared" si="82"/>
        <v/>
      </c>
      <c r="F2798" s="43" t="str">
        <f t="shared" si="83"/>
        <v/>
      </c>
      <c r="G2798" s="44"/>
      <c r="H2798" s="44"/>
      <c r="I2798" s="44"/>
      <c r="J2798" s="176"/>
      <c r="K2798" s="43" t="str">
        <f t="array" ref="K2798">IF(J2798="","", XLOOKUP(J2798,'⚙️ Pengaturan'!$E$2:$E3237,'⚙️ Pengaturan'!$G$2:$G3237))</f>
        <v/>
      </c>
      <c r="L2798" s="43" t="str">
        <f t="shared" si="84"/>
        <v/>
      </c>
      <c r="M2798" s="177"/>
      <c r="N2798" s="145"/>
      <c r="O2798" s="146"/>
      <c r="P2798" s="48" t="str">
        <f t="array" ref="P2798">IFNA(XLOOKUP(J2798,'⚙️ Pengaturan'!$E$2:$E3237,'⚙️ Pengaturan'!$F$2:$F3237),"")</f>
        <v/>
      </c>
      <c r="Q2798" s="147" t="str">
        <f t="shared" si="85"/>
        <v/>
      </c>
      <c r="R2798" s="173"/>
      <c r="S2798" s="76"/>
      <c r="T2798" s="51" t="b">
        <v>0</v>
      </c>
      <c r="U2798" s="94"/>
    </row>
    <row r="2799" ht="30.0" customHeight="1">
      <c r="A2799" s="39"/>
      <c r="B2799" s="40"/>
      <c r="C2799" s="173"/>
      <c r="D2799" s="86"/>
      <c r="E2799" s="43" t="str">
        <f t="shared" si="82"/>
        <v/>
      </c>
      <c r="F2799" s="43" t="str">
        <f t="shared" si="83"/>
        <v/>
      </c>
      <c r="G2799" s="44"/>
      <c r="H2799" s="44"/>
      <c r="I2799" s="44"/>
      <c r="J2799" s="176"/>
      <c r="K2799" s="43" t="str">
        <f t="array" ref="K2799">IF(J2799="","", XLOOKUP(J2799,'⚙️ Pengaturan'!$E$2:$E3237,'⚙️ Pengaturan'!$G$2:$G3237))</f>
        <v/>
      </c>
      <c r="L2799" s="43" t="str">
        <f t="shared" si="84"/>
        <v/>
      </c>
      <c r="M2799" s="177"/>
      <c r="N2799" s="145"/>
      <c r="O2799" s="146"/>
      <c r="P2799" s="48" t="str">
        <f t="array" ref="P2799">IFNA(XLOOKUP(J2799,'⚙️ Pengaturan'!$E$2:$E3237,'⚙️ Pengaturan'!$F$2:$F3237),"")</f>
        <v/>
      </c>
      <c r="Q2799" s="147" t="str">
        <f t="shared" si="85"/>
        <v/>
      </c>
      <c r="R2799" s="173"/>
      <c r="S2799" s="76"/>
      <c r="T2799" s="51" t="b">
        <v>0</v>
      </c>
      <c r="U2799" s="94"/>
    </row>
    <row r="2800" ht="30.0" customHeight="1">
      <c r="A2800" s="39"/>
      <c r="B2800" s="40"/>
      <c r="C2800" s="173"/>
      <c r="D2800" s="86"/>
      <c r="E2800" s="43" t="str">
        <f t="shared" si="82"/>
        <v/>
      </c>
      <c r="F2800" s="43" t="str">
        <f t="shared" si="83"/>
        <v/>
      </c>
      <c r="G2800" s="44"/>
      <c r="H2800" s="44"/>
      <c r="I2800" s="44"/>
      <c r="J2800" s="176"/>
      <c r="K2800" s="43" t="str">
        <f t="array" ref="K2800">IF(J2800="","", XLOOKUP(J2800,'⚙️ Pengaturan'!$E$2:$E3237,'⚙️ Pengaturan'!$G$2:$G3237))</f>
        <v/>
      </c>
      <c r="L2800" s="43" t="str">
        <f t="shared" si="84"/>
        <v/>
      </c>
      <c r="M2800" s="177"/>
      <c r="N2800" s="145"/>
      <c r="O2800" s="146"/>
      <c r="P2800" s="48" t="str">
        <f t="array" ref="P2800">IFNA(XLOOKUP(J2800,'⚙️ Pengaturan'!$E$2:$E3237,'⚙️ Pengaturan'!$F$2:$F3237),"")</f>
        <v/>
      </c>
      <c r="Q2800" s="147" t="str">
        <f t="shared" si="85"/>
        <v/>
      </c>
      <c r="R2800" s="173"/>
      <c r="S2800" s="76"/>
      <c r="T2800" s="51" t="b">
        <v>0</v>
      </c>
      <c r="U2800" s="94"/>
    </row>
    <row r="2801" ht="30.0" customHeight="1">
      <c r="A2801" s="39"/>
      <c r="B2801" s="40"/>
      <c r="C2801" s="173"/>
      <c r="D2801" s="86"/>
      <c r="E2801" s="43" t="str">
        <f t="shared" si="82"/>
        <v/>
      </c>
      <c r="F2801" s="43" t="str">
        <f t="shared" si="83"/>
        <v/>
      </c>
      <c r="G2801" s="44"/>
      <c r="H2801" s="44"/>
      <c r="I2801" s="44"/>
      <c r="J2801" s="176"/>
      <c r="K2801" s="43" t="str">
        <f t="array" ref="K2801">IF(J2801="","", XLOOKUP(J2801,'⚙️ Pengaturan'!$E$2:$E3237,'⚙️ Pengaturan'!$G$2:$G3237))</f>
        <v/>
      </c>
      <c r="L2801" s="43" t="str">
        <f t="shared" si="84"/>
        <v/>
      </c>
      <c r="M2801" s="177"/>
      <c r="N2801" s="145"/>
      <c r="O2801" s="146"/>
      <c r="P2801" s="48" t="str">
        <f t="array" ref="P2801">IFNA(XLOOKUP(J2801,'⚙️ Pengaturan'!$E$2:$E3237,'⚙️ Pengaturan'!$F$2:$F3237),"")</f>
        <v/>
      </c>
      <c r="Q2801" s="147" t="str">
        <f t="shared" si="85"/>
        <v/>
      </c>
      <c r="R2801" s="173"/>
      <c r="S2801" s="76"/>
      <c r="T2801" s="51" t="b">
        <v>0</v>
      </c>
      <c r="U2801" s="94"/>
    </row>
    <row r="2802" ht="30.0" customHeight="1">
      <c r="A2802" s="39"/>
      <c r="B2802" s="40"/>
      <c r="C2802" s="173"/>
      <c r="D2802" s="86"/>
      <c r="E2802" s="43" t="str">
        <f t="shared" si="82"/>
        <v/>
      </c>
      <c r="F2802" s="43" t="str">
        <f t="shared" si="83"/>
        <v/>
      </c>
      <c r="G2802" s="44"/>
      <c r="H2802" s="44"/>
      <c r="I2802" s="44"/>
      <c r="J2802" s="176"/>
      <c r="K2802" s="43" t="str">
        <f t="array" ref="K2802">IF(J2802="","", XLOOKUP(J2802,'⚙️ Pengaturan'!$E$2:$E3237,'⚙️ Pengaturan'!$G$2:$G3237))</f>
        <v/>
      </c>
      <c r="L2802" s="43" t="str">
        <f t="shared" si="84"/>
        <v/>
      </c>
      <c r="M2802" s="177"/>
      <c r="N2802" s="145"/>
      <c r="O2802" s="146"/>
      <c r="P2802" s="48" t="str">
        <f t="array" ref="P2802">IFNA(XLOOKUP(J2802,'⚙️ Pengaturan'!$E$2:$E3237,'⚙️ Pengaturan'!$F$2:$F3237),"")</f>
        <v/>
      </c>
      <c r="Q2802" s="147" t="str">
        <f t="shared" si="85"/>
        <v/>
      </c>
      <c r="R2802" s="173"/>
      <c r="S2802" s="76"/>
      <c r="T2802" s="51" t="b">
        <v>0</v>
      </c>
      <c r="U2802" s="94"/>
    </row>
    <row r="2803" ht="30.0" customHeight="1">
      <c r="A2803" s="39"/>
      <c r="B2803" s="40"/>
      <c r="C2803" s="173"/>
      <c r="D2803" s="86"/>
      <c r="E2803" s="43" t="str">
        <f t="shared" si="82"/>
        <v/>
      </c>
      <c r="F2803" s="43" t="str">
        <f t="shared" si="83"/>
        <v/>
      </c>
      <c r="G2803" s="44"/>
      <c r="H2803" s="44"/>
      <c r="I2803" s="44"/>
      <c r="J2803" s="176"/>
      <c r="K2803" s="43" t="str">
        <f t="array" ref="K2803">IF(J2803="","", XLOOKUP(J2803,'⚙️ Pengaturan'!$E$2:$E3237,'⚙️ Pengaturan'!$G$2:$G3237))</f>
        <v/>
      </c>
      <c r="L2803" s="43" t="str">
        <f t="shared" si="84"/>
        <v/>
      </c>
      <c r="M2803" s="177"/>
      <c r="N2803" s="145"/>
      <c r="O2803" s="146"/>
      <c r="P2803" s="48" t="str">
        <f t="array" ref="P2803">IFNA(XLOOKUP(J2803,'⚙️ Pengaturan'!$E$2:$E3237,'⚙️ Pengaturan'!$F$2:$F3237),"")</f>
        <v/>
      </c>
      <c r="Q2803" s="147" t="str">
        <f t="shared" si="85"/>
        <v/>
      </c>
      <c r="R2803" s="173"/>
      <c r="S2803" s="76"/>
      <c r="T2803" s="51" t="b">
        <v>0</v>
      </c>
      <c r="U2803" s="94"/>
    </row>
    <row r="2804" ht="30.0" customHeight="1">
      <c r="A2804" s="39"/>
      <c r="B2804" s="40"/>
      <c r="C2804" s="173"/>
      <c r="D2804" s="86"/>
      <c r="E2804" s="43" t="str">
        <f t="shared" si="82"/>
        <v/>
      </c>
      <c r="F2804" s="43" t="str">
        <f t="shared" si="83"/>
        <v/>
      </c>
      <c r="G2804" s="44"/>
      <c r="H2804" s="44"/>
      <c r="I2804" s="44"/>
      <c r="J2804" s="176"/>
      <c r="K2804" s="43" t="str">
        <f t="array" ref="K2804">IF(J2804="","", XLOOKUP(J2804,'⚙️ Pengaturan'!$E$2:$E3237,'⚙️ Pengaturan'!$G$2:$G3237))</f>
        <v/>
      </c>
      <c r="L2804" s="43" t="str">
        <f t="shared" si="84"/>
        <v/>
      </c>
      <c r="M2804" s="177"/>
      <c r="N2804" s="145"/>
      <c r="O2804" s="146"/>
      <c r="P2804" s="48" t="str">
        <f t="array" ref="P2804">IFNA(XLOOKUP(J2804,'⚙️ Pengaturan'!$E$2:$E3237,'⚙️ Pengaturan'!$F$2:$F3237),"")</f>
        <v/>
      </c>
      <c r="Q2804" s="147" t="str">
        <f t="shared" si="85"/>
        <v/>
      </c>
      <c r="R2804" s="173"/>
      <c r="S2804" s="76"/>
      <c r="T2804" s="51" t="b">
        <v>0</v>
      </c>
      <c r="U2804" s="94"/>
    </row>
    <row r="2805" ht="30.0" customHeight="1">
      <c r="A2805" s="39"/>
      <c r="B2805" s="40"/>
      <c r="C2805" s="173"/>
      <c r="D2805" s="86"/>
      <c r="E2805" s="43" t="str">
        <f t="shared" si="82"/>
        <v/>
      </c>
      <c r="F2805" s="43" t="str">
        <f t="shared" si="83"/>
        <v/>
      </c>
      <c r="G2805" s="44"/>
      <c r="H2805" s="44"/>
      <c r="I2805" s="44"/>
      <c r="J2805" s="176"/>
      <c r="K2805" s="43" t="str">
        <f t="array" ref="K2805">IF(J2805="","", XLOOKUP(J2805,'⚙️ Pengaturan'!$E$2:$E3237,'⚙️ Pengaturan'!$G$2:$G3237))</f>
        <v/>
      </c>
      <c r="L2805" s="43" t="str">
        <f t="shared" si="84"/>
        <v/>
      </c>
      <c r="M2805" s="177"/>
      <c r="N2805" s="145"/>
      <c r="O2805" s="146"/>
      <c r="P2805" s="48" t="str">
        <f t="array" ref="P2805">IFNA(XLOOKUP(J2805,'⚙️ Pengaturan'!$E$2:$E3237,'⚙️ Pengaturan'!$F$2:$F3237),"")</f>
        <v/>
      </c>
      <c r="Q2805" s="147" t="str">
        <f t="shared" si="85"/>
        <v/>
      </c>
      <c r="R2805" s="173"/>
      <c r="S2805" s="76"/>
      <c r="T2805" s="51" t="b">
        <v>0</v>
      </c>
      <c r="U2805" s="94"/>
    </row>
    <row r="2806" ht="30.0" customHeight="1">
      <c r="A2806" s="39"/>
      <c r="B2806" s="40"/>
      <c r="C2806" s="173"/>
      <c r="D2806" s="86"/>
      <c r="E2806" s="43" t="str">
        <f t="shared" si="82"/>
        <v/>
      </c>
      <c r="F2806" s="43" t="str">
        <f t="shared" si="83"/>
        <v/>
      </c>
      <c r="G2806" s="44"/>
      <c r="H2806" s="44"/>
      <c r="I2806" s="44"/>
      <c r="J2806" s="176"/>
      <c r="K2806" s="43" t="str">
        <f t="array" ref="K2806">IF(J2806="","", XLOOKUP(J2806,'⚙️ Pengaturan'!$E$2:$E3237,'⚙️ Pengaturan'!$G$2:$G3237))</f>
        <v/>
      </c>
      <c r="L2806" s="43" t="str">
        <f t="shared" si="84"/>
        <v/>
      </c>
      <c r="M2806" s="177"/>
      <c r="N2806" s="145"/>
      <c r="O2806" s="146"/>
      <c r="P2806" s="48" t="str">
        <f t="array" ref="P2806">IFNA(XLOOKUP(J2806,'⚙️ Pengaturan'!$E$2:$E3237,'⚙️ Pengaturan'!$F$2:$F3237),"")</f>
        <v/>
      </c>
      <c r="Q2806" s="147" t="str">
        <f t="shared" si="85"/>
        <v/>
      </c>
      <c r="R2806" s="173"/>
      <c r="S2806" s="76"/>
      <c r="T2806" s="51" t="b">
        <v>0</v>
      </c>
      <c r="U2806" s="94"/>
    </row>
    <row r="2807" ht="30.0" customHeight="1">
      <c r="A2807" s="39"/>
      <c r="B2807" s="40"/>
      <c r="C2807" s="173"/>
      <c r="D2807" s="86"/>
      <c r="E2807" s="43" t="str">
        <f t="shared" si="82"/>
        <v/>
      </c>
      <c r="F2807" s="43" t="str">
        <f t="shared" si="83"/>
        <v/>
      </c>
      <c r="G2807" s="44"/>
      <c r="H2807" s="44"/>
      <c r="I2807" s="44"/>
      <c r="J2807" s="176"/>
      <c r="K2807" s="43" t="str">
        <f t="array" ref="K2807">IF(J2807="","", XLOOKUP(J2807,'⚙️ Pengaturan'!$E$2:$E3237,'⚙️ Pengaturan'!$G$2:$G3237))</f>
        <v/>
      </c>
      <c r="L2807" s="43" t="str">
        <f t="shared" si="84"/>
        <v/>
      </c>
      <c r="M2807" s="177"/>
      <c r="N2807" s="145"/>
      <c r="O2807" s="146"/>
      <c r="P2807" s="48" t="str">
        <f t="array" ref="P2807">IFNA(XLOOKUP(J2807,'⚙️ Pengaturan'!$E$2:$E3237,'⚙️ Pengaturan'!$F$2:$F3237),"")</f>
        <v/>
      </c>
      <c r="Q2807" s="147" t="str">
        <f t="shared" si="85"/>
        <v/>
      </c>
      <c r="R2807" s="173"/>
      <c r="S2807" s="76"/>
      <c r="T2807" s="51" t="b">
        <v>0</v>
      </c>
      <c r="U2807" s="94"/>
    </row>
    <row r="2808" ht="30.0" customHeight="1">
      <c r="A2808" s="39"/>
      <c r="B2808" s="40"/>
      <c r="C2808" s="173"/>
      <c r="D2808" s="86"/>
      <c r="E2808" s="43" t="str">
        <f t="shared" si="82"/>
        <v/>
      </c>
      <c r="F2808" s="43" t="str">
        <f t="shared" si="83"/>
        <v/>
      </c>
      <c r="G2808" s="44"/>
      <c r="H2808" s="44"/>
      <c r="I2808" s="44"/>
      <c r="J2808" s="176"/>
      <c r="K2808" s="43" t="str">
        <f t="array" ref="K2808">IF(J2808="","", XLOOKUP(J2808,'⚙️ Pengaturan'!$E$2:$E3237,'⚙️ Pengaturan'!$G$2:$G3237))</f>
        <v/>
      </c>
      <c r="L2808" s="43" t="str">
        <f t="shared" si="84"/>
        <v/>
      </c>
      <c r="M2808" s="177"/>
      <c r="N2808" s="145"/>
      <c r="O2808" s="146"/>
      <c r="P2808" s="48" t="str">
        <f t="array" ref="P2808">IFNA(XLOOKUP(J2808,'⚙️ Pengaturan'!$E$2:$E3237,'⚙️ Pengaturan'!$F$2:$F3237),"")</f>
        <v/>
      </c>
      <c r="Q2808" s="147" t="str">
        <f t="shared" si="85"/>
        <v/>
      </c>
      <c r="R2808" s="173"/>
      <c r="S2808" s="76"/>
      <c r="T2808" s="51" t="b">
        <v>0</v>
      </c>
      <c r="U2808" s="94"/>
    </row>
    <row r="2809" ht="30.0" customHeight="1">
      <c r="A2809" s="39"/>
      <c r="B2809" s="40"/>
      <c r="C2809" s="173"/>
      <c r="D2809" s="86"/>
      <c r="E2809" s="43" t="str">
        <f t="shared" si="82"/>
        <v/>
      </c>
      <c r="F2809" s="43" t="str">
        <f t="shared" si="83"/>
        <v/>
      </c>
      <c r="G2809" s="44"/>
      <c r="H2809" s="44"/>
      <c r="I2809" s="44"/>
      <c r="J2809" s="176"/>
      <c r="K2809" s="43" t="str">
        <f t="array" ref="K2809">IF(J2809="","", XLOOKUP(J2809,'⚙️ Pengaturan'!$E$2:$E3237,'⚙️ Pengaturan'!$G$2:$G3237))</f>
        <v/>
      </c>
      <c r="L2809" s="43" t="str">
        <f t="shared" si="84"/>
        <v/>
      </c>
      <c r="M2809" s="177"/>
      <c r="N2809" s="145"/>
      <c r="O2809" s="146"/>
      <c r="P2809" s="48" t="str">
        <f t="array" ref="P2809">IFNA(XLOOKUP(J2809,'⚙️ Pengaturan'!$E$2:$E3237,'⚙️ Pengaturan'!$F$2:$F3237),"")</f>
        <v/>
      </c>
      <c r="Q2809" s="147" t="str">
        <f t="shared" si="85"/>
        <v/>
      </c>
      <c r="R2809" s="173"/>
      <c r="S2809" s="76"/>
      <c r="T2809" s="51" t="b">
        <v>0</v>
      </c>
      <c r="U2809" s="94"/>
    </row>
    <row r="2810" ht="30.0" customHeight="1">
      <c r="A2810" s="39"/>
      <c r="B2810" s="40"/>
      <c r="C2810" s="173"/>
      <c r="D2810" s="86"/>
      <c r="E2810" s="43" t="str">
        <f t="shared" si="82"/>
        <v/>
      </c>
      <c r="F2810" s="43" t="str">
        <f t="shared" si="83"/>
        <v/>
      </c>
      <c r="G2810" s="44"/>
      <c r="H2810" s="44"/>
      <c r="I2810" s="44"/>
      <c r="J2810" s="176"/>
      <c r="K2810" s="43" t="str">
        <f t="array" ref="K2810">IF(J2810="","", XLOOKUP(J2810,'⚙️ Pengaturan'!$E$2:$E3237,'⚙️ Pengaturan'!$G$2:$G3237))</f>
        <v/>
      </c>
      <c r="L2810" s="43" t="str">
        <f t="shared" si="84"/>
        <v/>
      </c>
      <c r="M2810" s="177"/>
      <c r="N2810" s="145"/>
      <c r="O2810" s="146"/>
      <c r="P2810" s="48" t="str">
        <f t="array" ref="P2810">IFNA(XLOOKUP(J2810,'⚙️ Pengaturan'!$E$2:$E3237,'⚙️ Pengaturan'!$F$2:$F3237),"")</f>
        <v/>
      </c>
      <c r="Q2810" s="147" t="str">
        <f t="shared" si="85"/>
        <v/>
      </c>
      <c r="R2810" s="173"/>
      <c r="S2810" s="76"/>
      <c r="T2810" s="51" t="b">
        <v>0</v>
      </c>
      <c r="U2810" s="94"/>
    </row>
    <row r="2811" ht="30.0" customHeight="1">
      <c r="A2811" s="39"/>
      <c r="B2811" s="40"/>
      <c r="C2811" s="173"/>
      <c r="D2811" s="86"/>
      <c r="E2811" s="43" t="str">
        <f t="shared" si="82"/>
        <v/>
      </c>
      <c r="F2811" s="43" t="str">
        <f t="shared" si="83"/>
        <v/>
      </c>
      <c r="G2811" s="44"/>
      <c r="H2811" s="44"/>
      <c r="I2811" s="44"/>
      <c r="J2811" s="176"/>
      <c r="K2811" s="43" t="str">
        <f t="array" ref="K2811">IF(J2811="","", XLOOKUP(J2811,'⚙️ Pengaturan'!$E$2:$E3237,'⚙️ Pengaturan'!$G$2:$G3237))</f>
        <v/>
      </c>
      <c r="L2811" s="43" t="str">
        <f t="shared" si="84"/>
        <v/>
      </c>
      <c r="M2811" s="177"/>
      <c r="N2811" s="145"/>
      <c r="O2811" s="146"/>
      <c r="P2811" s="48" t="str">
        <f t="array" ref="P2811">IFNA(XLOOKUP(J2811,'⚙️ Pengaturan'!$E$2:$E3237,'⚙️ Pengaturan'!$F$2:$F3237),"")</f>
        <v/>
      </c>
      <c r="Q2811" s="147" t="str">
        <f t="shared" si="85"/>
        <v/>
      </c>
      <c r="R2811" s="173"/>
      <c r="S2811" s="76"/>
      <c r="T2811" s="51" t="b">
        <v>0</v>
      </c>
      <c r="U2811" s="94"/>
    </row>
    <row r="2812" ht="30.0" customHeight="1">
      <c r="A2812" s="39"/>
      <c r="B2812" s="40"/>
      <c r="C2812" s="173"/>
      <c r="D2812" s="86"/>
      <c r="E2812" s="43" t="str">
        <f t="shared" si="82"/>
        <v/>
      </c>
      <c r="F2812" s="43" t="str">
        <f t="shared" si="83"/>
        <v/>
      </c>
      <c r="G2812" s="44"/>
      <c r="H2812" s="44"/>
      <c r="I2812" s="44"/>
      <c r="J2812" s="176"/>
      <c r="K2812" s="43" t="str">
        <f t="array" ref="K2812">IF(J2812="","", XLOOKUP(J2812,'⚙️ Pengaturan'!$E$2:$E3237,'⚙️ Pengaturan'!$G$2:$G3237))</f>
        <v/>
      </c>
      <c r="L2812" s="43" t="str">
        <f t="shared" si="84"/>
        <v/>
      </c>
      <c r="M2812" s="177"/>
      <c r="N2812" s="145"/>
      <c r="O2812" s="146"/>
      <c r="P2812" s="48" t="str">
        <f t="array" ref="P2812">IFNA(XLOOKUP(J2812,'⚙️ Pengaturan'!$E$2:$E3237,'⚙️ Pengaturan'!$F$2:$F3237),"")</f>
        <v/>
      </c>
      <c r="Q2812" s="147" t="str">
        <f t="shared" si="85"/>
        <v/>
      </c>
      <c r="R2812" s="173"/>
      <c r="S2812" s="76"/>
      <c r="T2812" s="51" t="b">
        <v>0</v>
      </c>
      <c r="U2812" s="94"/>
    </row>
    <row r="2813" ht="30.0" customHeight="1">
      <c r="A2813" s="39"/>
      <c r="B2813" s="40"/>
      <c r="C2813" s="173"/>
      <c r="D2813" s="86"/>
      <c r="E2813" s="43" t="str">
        <f t="shared" si="82"/>
        <v/>
      </c>
      <c r="F2813" s="43" t="str">
        <f t="shared" si="83"/>
        <v/>
      </c>
      <c r="G2813" s="44"/>
      <c r="H2813" s="44"/>
      <c r="I2813" s="44"/>
      <c r="J2813" s="176"/>
      <c r="K2813" s="43" t="str">
        <f t="array" ref="K2813">IF(J2813="","", XLOOKUP(J2813,'⚙️ Pengaturan'!$E$2:$E3237,'⚙️ Pengaturan'!$G$2:$G3237))</f>
        <v/>
      </c>
      <c r="L2813" s="43" t="str">
        <f t="shared" si="84"/>
        <v/>
      </c>
      <c r="M2813" s="177"/>
      <c r="N2813" s="145"/>
      <c r="O2813" s="146"/>
      <c r="P2813" s="48" t="str">
        <f t="array" ref="P2813">IFNA(XLOOKUP(J2813,'⚙️ Pengaturan'!$E$2:$E3237,'⚙️ Pengaturan'!$F$2:$F3237),"")</f>
        <v/>
      </c>
      <c r="Q2813" s="147" t="str">
        <f t="shared" si="85"/>
        <v/>
      </c>
      <c r="R2813" s="173"/>
      <c r="S2813" s="76"/>
      <c r="T2813" s="51" t="b">
        <v>0</v>
      </c>
      <c r="U2813" s="94"/>
    </row>
    <row r="2814" ht="30.0" customHeight="1">
      <c r="A2814" s="39"/>
      <c r="B2814" s="40"/>
      <c r="C2814" s="173"/>
      <c r="D2814" s="86"/>
      <c r="E2814" s="43" t="str">
        <f t="shared" si="82"/>
        <v/>
      </c>
      <c r="F2814" s="43" t="str">
        <f t="shared" si="83"/>
        <v/>
      </c>
      <c r="G2814" s="44"/>
      <c r="H2814" s="44"/>
      <c r="I2814" s="44"/>
      <c r="J2814" s="176"/>
      <c r="K2814" s="43" t="str">
        <f t="array" ref="K2814">IF(J2814="","", XLOOKUP(J2814,'⚙️ Pengaturan'!$E$2:$E3237,'⚙️ Pengaturan'!$G$2:$G3237))</f>
        <v/>
      </c>
      <c r="L2814" s="43" t="str">
        <f t="shared" si="84"/>
        <v/>
      </c>
      <c r="M2814" s="177"/>
      <c r="N2814" s="145"/>
      <c r="O2814" s="146"/>
      <c r="P2814" s="48" t="str">
        <f t="array" ref="P2814">IFNA(XLOOKUP(J2814,'⚙️ Pengaturan'!$E$2:$E3237,'⚙️ Pengaturan'!$F$2:$F3237),"")</f>
        <v/>
      </c>
      <c r="Q2814" s="147" t="str">
        <f t="shared" si="85"/>
        <v/>
      </c>
      <c r="R2814" s="173"/>
      <c r="S2814" s="76"/>
      <c r="T2814" s="51" t="b">
        <v>0</v>
      </c>
      <c r="U2814" s="94"/>
    </row>
    <row r="2815" ht="30.0" customHeight="1">
      <c r="A2815" s="39"/>
      <c r="B2815" s="40"/>
      <c r="C2815" s="173"/>
      <c r="D2815" s="86"/>
      <c r="E2815" s="43" t="str">
        <f t="shared" si="82"/>
        <v/>
      </c>
      <c r="F2815" s="43" t="str">
        <f t="shared" si="83"/>
        <v/>
      </c>
      <c r="G2815" s="44"/>
      <c r="H2815" s="44"/>
      <c r="I2815" s="44"/>
      <c r="J2815" s="176"/>
      <c r="K2815" s="43" t="str">
        <f t="array" ref="K2815">IF(J2815="","", XLOOKUP(J2815,'⚙️ Pengaturan'!$E$2:$E3237,'⚙️ Pengaturan'!$G$2:$G3237))</f>
        <v/>
      </c>
      <c r="L2815" s="43" t="str">
        <f t="shared" si="84"/>
        <v/>
      </c>
      <c r="M2815" s="177"/>
      <c r="N2815" s="145"/>
      <c r="O2815" s="146"/>
      <c r="P2815" s="48" t="str">
        <f t="array" ref="P2815">IFNA(XLOOKUP(J2815,'⚙️ Pengaturan'!$E$2:$E3237,'⚙️ Pengaturan'!$F$2:$F3237),"")</f>
        <v/>
      </c>
      <c r="Q2815" s="147" t="str">
        <f t="shared" si="85"/>
        <v/>
      </c>
      <c r="R2815" s="173"/>
      <c r="S2815" s="76"/>
      <c r="T2815" s="51" t="b">
        <v>0</v>
      </c>
      <c r="U2815" s="94"/>
    </row>
    <row r="2816" ht="30.0" customHeight="1">
      <c r="A2816" s="39"/>
      <c r="B2816" s="40"/>
      <c r="C2816" s="173"/>
      <c r="D2816" s="86"/>
      <c r="E2816" s="43" t="str">
        <f t="shared" si="82"/>
        <v/>
      </c>
      <c r="F2816" s="43" t="str">
        <f t="shared" si="83"/>
        <v/>
      </c>
      <c r="G2816" s="44"/>
      <c r="H2816" s="44"/>
      <c r="I2816" s="44"/>
      <c r="J2816" s="176"/>
      <c r="K2816" s="43" t="str">
        <f t="array" ref="K2816">IF(J2816="","", XLOOKUP(J2816,'⚙️ Pengaturan'!$E$2:$E3237,'⚙️ Pengaturan'!$G$2:$G3237))</f>
        <v/>
      </c>
      <c r="L2816" s="43" t="str">
        <f t="shared" si="84"/>
        <v/>
      </c>
      <c r="M2816" s="177"/>
      <c r="N2816" s="145"/>
      <c r="O2816" s="146"/>
      <c r="P2816" s="48" t="str">
        <f t="array" ref="P2816">IFNA(XLOOKUP(J2816,'⚙️ Pengaturan'!$E$2:$E3237,'⚙️ Pengaturan'!$F$2:$F3237),"")</f>
        <v/>
      </c>
      <c r="Q2816" s="147" t="str">
        <f t="shared" si="85"/>
        <v/>
      </c>
      <c r="R2816" s="173"/>
      <c r="S2816" s="76"/>
      <c r="T2816" s="51" t="b">
        <v>0</v>
      </c>
      <c r="U2816" s="94"/>
    </row>
    <row r="2817" ht="30.0" customHeight="1">
      <c r="A2817" s="39"/>
      <c r="B2817" s="40"/>
      <c r="C2817" s="173"/>
      <c r="D2817" s="86"/>
      <c r="E2817" s="43" t="str">
        <f t="shared" si="82"/>
        <v/>
      </c>
      <c r="F2817" s="43" t="str">
        <f t="shared" si="83"/>
        <v/>
      </c>
      <c r="G2817" s="44"/>
      <c r="H2817" s="44"/>
      <c r="I2817" s="44"/>
      <c r="J2817" s="176"/>
      <c r="K2817" s="43" t="str">
        <f t="array" ref="K2817">IF(J2817="","", XLOOKUP(J2817,'⚙️ Pengaturan'!$E$2:$E3237,'⚙️ Pengaturan'!$G$2:$G3237))</f>
        <v/>
      </c>
      <c r="L2817" s="43" t="str">
        <f t="shared" si="84"/>
        <v/>
      </c>
      <c r="M2817" s="177"/>
      <c r="N2817" s="145"/>
      <c r="O2817" s="146"/>
      <c r="P2817" s="48" t="str">
        <f t="array" ref="P2817">IFNA(XLOOKUP(J2817,'⚙️ Pengaturan'!$E$2:$E3237,'⚙️ Pengaturan'!$F$2:$F3237),"")</f>
        <v/>
      </c>
      <c r="Q2817" s="147" t="str">
        <f t="shared" si="85"/>
        <v/>
      </c>
      <c r="R2817" s="173"/>
      <c r="S2817" s="76"/>
      <c r="T2817" s="51" t="b">
        <v>0</v>
      </c>
      <c r="U2817" s="94"/>
    </row>
    <row r="2818" ht="30.0" customHeight="1">
      <c r="A2818" s="39"/>
      <c r="B2818" s="40"/>
      <c r="C2818" s="173"/>
      <c r="D2818" s="86"/>
      <c r="E2818" s="43" t="str">
        <f t="shared" si="82"/>
        <v/>
      </c>
      <c r="F2818" s="43" t="str">
        <f t="shared" si="83"/>
        <v/>
      </c>
      <c r="G2818" s="44"/>
      <c r="H2818" s="44"/>
      <c r="I2818" s="44"/>
      <c r="J2818" s="176"/>
      <c r="K2818" s="43" t="str">
        <f t="array" ref="K2818">IF(J2818="","", XLOOKUP(J2818,'⚙️ Pengaturan'!$E$2:$E3237,'⚙️ Pengaturan'!$G$2:$G3237))</f>
        <v/>
      </c>
      <c r="L2818" s="43" t="str">
        <f t="shared" si="84"/>
        <v/>
      </c>
      <c r="M2818" s="177"/>
      <c r="N2818" s="145"/>
      <c r="O2818" s="146"/>
      <c r="P2818" s="48" t="str">
        <f t="array" ref="P2818">IFNA(XLOOKUP(J2818,'⚙️ Pengaturan'!$E$2:$E3237,'⚙️ Pengaturan'!$F$2:$F3237),"")</f>
        <v/>
      </c>
      <c r="Q2818" s="147" t="str">
        <f t="shared" si="85"/>
        <v/>
      </c>
      <c r="R2818" s="173"/>
      <c r="S2818" s="76"/>
      <c r="T2818" s="51" t="b">
        <v>0</v>
      </c>
      <c r="U2818" s="94"/>
    </row>
    <row r="2819" ht="30.0" customHeight="1">
      <c r="A2819" s="39"/>
      <c r="B2819" s="40"/>
      <c r="C2819" s="173"/>
      <c r="D2819" s="86"/>
      <c r="E2819" s="43" t="str">
        <f t="shared" si="82"/>
        <v/>
      </c>
      <c r="F2819" s="43" t="str">
        <f t="shared" si="83"/>
        <v/>
      </c>
      <c r="G2819" s="44"/>
      <c r="H2819" s="44"/>
      <c r="I2819" s="44"/>
      <c r="J2819" s="176"/>
      <c r="K2819" s="43" t="str">
        <f t="array" ref="K2819">IF(J2819="","", XLOOKUP(J2819,'⚙️ Pengaturan'!$E$2:$E3237,'⚙️ Pengaturan'!$G$2:$G3237))</f>
        <v/>
      </c>
      <c r="L2819" s="43" t="str">
        <f t="shared" si="84"/>
        <v/>
      </c>
      <c r="M2819" s="177"/>
      <c r="N2819" s="145"/>
      <c r="O2819" s="146"/>
      <c r="P2819" s="48" t="str">
        <f t="array" ref="P2819">IFNA(XLOOKUP(J2819,'⚙️ Pengaturan'!$E$2:$E3237,'⚙️ Pengaturan'!$F$2:$F3237),"")</f>
        <v/>
      </c>
      <c r="Q2819" s="147" t="str">
        <f t="shared" si="85"/>
        <v/>
      </c>
      <c r="R2819" s="173"/>
      <c r="S2819" s="76"/>
      <c r="T2819" s="51" t="b">
        <v>0</v>
      </c>
      <c r="U2819" s="94"/>
    </row>
    <row r="2820" ht="30.0" customHeight="1">
      <c r="A2820" s="39"/>
      <c r="B2820" s="40"/>
      <c r="C2820" s="173"/>
      <c r="D2820" s="86"/>
      <c r="E2820" s="43" t="str">
        <f t="shared" si="82"/>
        <v/>
      </c>
      <c r="F2820" s="43" t="str">
        <f t="shared" si="83"/>
        <v/>
      </c>
      <c r="G2820" s="44"/>
      <c r="H2820" s="44"/>
      <c r="I2820" s="44"/>
      <c r="J2820" s="176"/>
      <c r="K2820" s="43" t="str">
        <f t="array" ref="K2820">IF(J2820="","", XLOOKUP(J2820,'⚙️ Pengaturan'!$E$2:$E3237,'⚙️ Pengaturan'!$G$2:$G3237))</f>
        <v/>
      </c>
      <c r="L2820" s="43" t="str">
        <f t="shared" si="84"/>
        <v/>
      </c>
      <c r="M2820" s="177"/>
      <c r="N2820" s="145"/>
      <c r="O2820" s="146"/>
      <c r="P2820" s="48" t="str">
        <f t="array" ref="P2820">IFNA(XLOOKUP(J2820,'⚙️ Pengaturan'!$E$2:$E3237,'⚙️ Pengaturan'!$F$2:$F3237),"")</f>
        <v/>
      </c>
      <c r="Q2820" s="147" t="str">
        <f t="shared" si="85"/>
        <v/>
      </c>
      <c r="R2820" s="173"/>
      <c r="S2820" s="76"/>
      <c r="T2820" s="51" t="b">
        <v>0</v>
      </c>
      <c r="U2820" s="94"/>
    </row>
    <row r="2821" ht="30.0" customHeight="1">
      <c r="A2821" s="39"/>
      <c r="B2821" s="40"/>
      <c r="C2821" s="173"/>
      <c r="D2821" s="86"/>
      <c r="E2821" s="43" t="str">
        <f t="shared" si="82"/>
        <v/>
      </c>
      <c r="F2821" s="43" t="str">
        <f t="shared" si="83"/>
        <v/>
      </c>
      <c r="G2821" s="44"/>
      <c r="H2821" s="44"/>
      <c r="I2821" s="44"/>
      <c r="J2821" s="176"/>
      <c r="K2821" s="43" t="str">
        <f t="array" ref="K2821">IF(J2821="","", XLOOKUP(J2821,'⚙️ Pengaturan'!$E$2:$E3237,'⚙️ Pengaturan'!$G$2:$G3237))</f>
        <v/>
      </c>
      <c r="L2821" s="43" t="str">
        <f t="shared" si="84"/>
        <v/>
      </c>
      <c r="M2821" s="177"/>
      <c r="N2821" s="145"/>
      <c r="O2821" s="146"/>
      <c r="P2821" s="48" t="str">
        <f t="array" ref="P2821">IFNA(XLOOKUP(J2821,'⚙️ Pengaturan'!$E$2:$E3237,'⚙️ Pengaturan'!$F$2:$F3237),"")</f>
        <v/>
      </c>
      <c r="Q2821" s="147" t="str">
        <f t="shared" si="85"/>
        <v/>
      </c>
      <c r="R2821" s="173"/>
      <c r="S2821" s="76"/>
      <c r="T2821" s="51" t="b">
        <v>0</v>
      </c>
      <c r="U2821" s="94"/>
    </row>
    <row r="2822" ht="30.0" customHeight="1">
      <c r="A2822" s="39"/>
      <c r="B2822" s="40"/>
      <c r="C2822" s="173"/>
      <c r="D2822" s="86"/>
      <c r="E2822" s="43" t="str">
        <f t="shared" si="82"/>
        <v/>
      </c>
      <c r="F2822" s="43" t="str">
        <f t="shared" si="83"/>
        <v/>
      </c>
      <c r="G2822" s="44"/>
      <c r="H2822" s="44"/>
      <c r="I2822" s="44"/>
      <c r="J2822" s="176"/>
      <c r="K2822" s="43" t="str">
        <f t="array" ref="K2822">IF(J2822="","", XLOOKUP(J2822,'⚙️ Pengaturan'!$E$2:$E3237,'⚙️ Pengaturan'!$G$2:$G3237))</f>
        <v/>
      </c>
      <c r="L2822" s="43" t="str">
        <f t="shared" si="84"/>
        <v/>
      </c>
      <c r="M2822" s="177"/>
      <c r="N2822" s="145"/>
      <c r="O2822" s="146"/>
      <c r="P2822" s="48" t="str">
        <f t="array" ref="P2822">IFNA(XLOOKUP(J2822,'⚙️ Pengaturan'!$E$2:$E3237,'⚙️ Pengaturan'!$F$2:$F3237),"")</f>
        <v/>
      </c>
      <c r="Q2822" s="147" t="str">
        <f t="shared" si="85"/>
        <v/>
      </c>
      <c r="R2822" s="173"/>
      <c r="S2822" s="76"/>
      <c r="T2822" s="51" t="b">
        <v>0</v>
      </c>
      <c r="U2822" s="94"/>
    </row>
    <row r="2823" ht="30.0" customHeight="1">
      <c r="A2823" s="39"/>
      <c r="B2823" s="40"/>
      <c r="C2823" s="173"/>
      <c r="D2823" s="86"/>
      <c r="E2823" s="43" t="str">
        <f t="shared" si="82"/>
        <v/>
      </c>
      <c r="F2823" s="43" t="str">
        <f t="shared" si="83"/>
        <v/>
      </c>
      <c r="G2823" s="44"/>
      <c r="H2823" s="44"/>
      <c r="I2823" s="44"/>
      <c r="J2823" s="176"/>
      <c r="K2823" s="43" t="str">
        <f t="array" ref="K2823">IF(J2823="","", XLOOKUP(J2823,'⚙️ Pengaturan'!$E$2:$E3237,'⚙️ Pengaturan'!$G$2:$G3237))</f>
        <v/>
      </c>
      <c r="L2823" s="43" t="str">
        <f t="shared" si="84"/>
        <v/>
      </c>
      <c r="M2823" s="177"/>
      <c r="N2823" s="145"/>
      <c r="O2823" s="146"/>
      <c r="P2823" s="48" t="str">
        <f t="array" ref="P2823">IFNA(XLOOKUP(J2823,'⚙️ Pengaturan'!$E$2:$E3237,'⚙️ Pengaturan'!$F$2:$F3237),"")</f>
        <v/>
      </c>
      <c r="Q2823" s="147" t="str">
        <f t="shared" si="85"/>
        <v/>
      </c>
      <c r="R2823" s="173"/>
      <c r="S2823" s="76"/>
      <c r="T2823" s="51" t="b">
        <v>0</v>
      </c>
      <c r="U2823" s="94"/>
    </row>
    <row r="2824" ht="30.0" customHeight="1">
      <c r="A2824" s="39"/>
      <c r="B2824" s="40"/>
      <c r="C2824" s="173"/>
      <c r="D2824" s="86"/>
      <c r="E2824" s="43" t="str">
        <f t="shared" si="82"/>
        <v/>
      </c>
      <c r="F2824" s="43" t="str">
        <f t="shared" si="83"/>
        <v/>
      </c>
      <c r="G2824" s="44"/>
      <c r="H2824" s="44"/>
      <c r="I2824" s="44"/>
      <c r="J2824" s="176"/>
      <c r="K2824" s="43" t="str">
        <f t="array" ref="K2824">IF(J2824="","", XLOOKUP(J2824,'⚙️ Pengaturan'!$E$2:$E3237,'⚙️ Pengaturan'!$G$2:$G3237))</f>
        <v/>
      </c>
      <c r="L2824" s="43" t="str">
        <f t="shared" si="84"/>
        <v/>
      </c>
      <c r="M2824" s="177"/>
      <c r="N2824" s="145"/>
      <c r="O2824" s="146"/>
      <c r="P2824" s="48" t="str">
        <f t="array" ref="P2824">IFNA(XLOOKUP(J2824,'⚙️ Pengaturan'!$E$2:$E3237,'⚙️ Pengaturan'!$F$2:$F3237),"")</f>
        <v/>
      </c>
      <c r="Q2824" s="147" t="str">
        <f t="shared" si="85"/>
        <v/>
      </c>
      <c r="R2824" s="173"/>
      <c r="S2824" s="76"/>
      <c r="T2824" s="51" t="b">
        <v>0</v>
      </c>
      <c r="U2824" s="94"/>
    </row>
    <row r="2825" ht="30.0" customHeight="1">
      <c r="A2825" s="39"/>
      <c r="B2825" s="40"/>
      <c r="C2825" s="173"/>
      <c r="D2825" s="86"/>
      <c r="E2825" s="43" t="str">
        <f t="shared" si="82"/>
        <v/>
      </c>
      <c r="F2825" s="43" t="str">
        <f t="shared" si="83"/>
        <v/>
      </c>
      <c r="G2825" s="44"/>
      <c r="H2825" s="44"/>
      <c r="I2825" s="44"/>
      <c r="J2825" s="176"/>
      <c r="K2825" s="43" t="str">
        <f t="array" ref="K2825">IF(J2825="","", XLOOKUP(J2825,'⚙️ Pengaturan'!$E$2:$E3237,'⚙️ Pengaturan'!$G$2:$G3237))</f>
        <v/>
      </c>
      <c r="L2825" s="43" t="str">
        <f t="shared" si="84"/>
        <v/>
      </c>
      <c r="M2825" s="177"/>
      <c r="N2825" s="145"/>
      <c r="O2825" s="146"/>
      <c r="P2825" s="48" t="str">
        <f t="array" ref="P2825">IFNA(XLOOKUP(J2825,'⚙️ Pengaturan'!$E$2:$E3237,'⚙️ Pengaturan'!$F$2:$F3237),"")</f>
        <v/>
      </c>
      <c r="Q2825" s="147" t="str">
        <f t="shared" si="85"/>
        <v/>
      </c>
      <c r="R2825" s="173"/>
      <c r="S2825" s="76"/>
      <c r="T2825" s="51" t="b">
        <v>0</v>
      </c>
      <c r="U2825" s="94"/>
    </row>
    <row r="2826" ht="30.0" customHeight="1">
      <c r="A2826" s="39"/>
      <c r="B2826" s="40"/>
      <c r="C2826" s="173"/>
      <c r="D2826" s="86"/>
      <c r="E2826" s="43" t="str">
        <f t="shared" si="82"/>
        <v/>
      </c>
      <c r="F2826" s="43" t="str">
        <f t="shared" si="83"/>
        <v/>
      </c>
      <c r="G2826" s="44"/>
      <c r="H2826" s="44"/>
      <c r="I2826" s="44"/>
      <c r="J2826" s="176"/>
      <c r="K2826" s="43" t="str">
        <f t="array" ref="K2826">IF(J2826="","", XLOOKUP(J2826,'⚙️ Pengaturan'!$E$2:$E3237,'⚙️ Pengaturan'!$G$2:$G3237))</f>
        <v/>
      </c>
      <c r="L2826" s="43" t="str">
        <f t="shared" si="84"/>
        <v/>
      </c>
      <c r="M2826" s="177"/>
      <c r="N2826" s="145"/>
      <c r="O2826" s="146"/>
      <c r="P2826" s="48" t="str">
        <f t="array" ref="P2826">IFNA(XLOOKUP(J2826,'⚙️ Pengaturan'!$E$2:$E3237,'⚙️ Pengaturan'!$F$2:$F3237),"")</f>
        <v/>
      </c>
      <c r="Q2826" s="147" t="str">
        <f t="shared" si="85"/>
        <v/>
      </c>
      <c r="R2826" s="173"/>
      <c r="S2826" s="76"/>
      <c r="T2826" s="51" t="b">
        <v>0</v>
      </c>
      <c r="U2826" s="94"/>
    </row>
    <row r="2827" ht="30.0" customHeight="1">
      <c r="A2827" s="39"/>
      <c r="B2827" s="40"/>
      <c r="C2827" s="173"/>
      <c r="D2827" s="86"/>
      <c r="E2827" s="43" t="str">
        <f t="shared" si="82"/>
        <v/>
      </c>
      <c r="F2827" s="43" t="str">
        <f t="shared" si="83"/>
        <v/>
      </c>
      <c r="G2827" s="44"/>
      <c r="H2827" s="44"/>
      <c r="I2827" s="44"/>
      <c r="J2827" s="176"/>
      <c r="K2827" s="43" t="str">
        <f t="array" ref="K2827">IF(J2827="","", XLOOKUP(J2827,'⚙️ Pengaturan'!$E$2:$E3237,'⚙️ Pengaturan'!$G$2:$G3237))</f>
        <v/>
      </c>
      <c r="L2827" s="43" t="str">
        <f t="shared" si="84"/>
        <v/>
      </c>
      <c r="M2827" s="177"/>
      <c r="N2827" s="145"/>
      <c r="O2827" s="146"/>
      <c r="P2827" s="48" t="str">
        <f t="array" ref="P2827">IFNA(XLOOKUP(J2827,'⚙️ Pengaturan'!$E$2:$E3237,'⚙️ Pengaturan'!$F$2:$F3237),"")</f>
        <v/>
      </c>
      <c r="Q2827" s="147" t="str">
        <f t="shared" si="85"/>
        <v/>
      </c>
      <c r="R2827" s="173"/>
      <c r="S2827" s="76"/>
      <c r="T2827" s="51" t="b">
        <v>0</v>
      </c>
      <c r="U2827" s="94"/>
    </row>
    <row r="2828" ht="30.0" customHeight="1">
      <c r="A2828" s="39"/>
      <c r="B2828" s="40"/>
      <c r="C2828" s="173"/>
      <c r="D2828" s="86"/>
      <c r="E2828" s="43" t="str">
        <f t="shared" si="82"/>
        <v/>
      </c>
      <c r="F2828" s="43" t="str">
        <f t="shared" si="83"/>
        <v/>
      </c>
      <c r="G2828" s="44"/>
      <c r="H2828" s="44"/>
      <c r="I2828" s="44"/>
      <c r="J2828" s="176"/>
      <c r="K2828" s="43" t="str">
        <f t="array" ref="K2828">IF(J2828="","", XLOOKUP(J2828,'⚙️ Pengaturan'!$E$2:$E3237,'⚙️ Pengaturan'!$G$2:$G3237))</f>
        <v/>
      </c>
      <c r="L2828" s="43" t="str">
        <f t="shared" si="84"/>
        <v/>
      </c>
      <c r="M2828" s="177"/>
      <c r="N2828" s="145"/>
      <c r="O2828" s="146"/>
      <c r="P2828" s="48" t="str">
        <f t="array" ref="P2828">IFNA(XLOOKUP(J2828,'⚙️ Pengaturan'!$E$2:$E3237,'⚙️ Pengaturan'!$F$2:$F3237),"")</f>
        <v/>
      </c>
      <c r="Q2828" s="147" t="str">
        <f t="shared" si="85"/>
        <v/>
      </c>
      <c r="R2828" s="173"/>
      <c r="S2828" s="76"/>
      <c r="T2828" s="51" t="b">
        <v>0</v>
      </c>
      <c r="U2828" s="94"/>
    </row>
    <row r="2829" ht="30.0" customHeight="1">
      <c r="A2829" s="39"/>
      <c r="B2829" s="40"/>
      <c r="C2829" s="173"/>
      <c r="D2829" s="86"/>
      <c r="E2829" s="43" t="str">
        <f t="shared" si="82"/>
        <v/>
      </c>
      <c r="F2829" s="43" t="str">
        <f t="shared" si="83"/>
        <v/>
      </c>
      <c r="G2829" s="44"/>
      <c r="H2829" s="44"/>
      <c r="I2829" s="44"/>
      <c r="J2829" s="176"/>
      <c r="K2829" s="43" t="str">
        <f t="array" ref="K2829">IF(J2829="","", XLOOKUP(J2829,'⚙️ Pengaturan'!$E$2:$E3237,'⚙️ Pengaturan'!$G$2:$G3237))</f>
        <v/>
      </c>
      <c r="L2829" s="43" t="str">
        <f t="shared" si="84"/>
        <v/>
      </c>
      <c r="M2829" s="177"/>
      <c r="N2829" s="145"/>
      <c r="O2829" s="146"/>
      <c r="P2829" s="48" t="str">
        <f t="array" ref="P2829">IFNA(XLOOKUP(J2829,'⚙️ Pengaturan'!$E$2:$E3237,'⚙️ Pengaturan'!$F$2:$F3237),"")</f>
        <v/>
      </c>
      <c r="Q2829" s="147" t="str">
        <f t="shared" si="85"/>
        <v/>
      </c>
      <c r="R2829" s="173"/>
      <c r="S2829" s="76"/>
      <c r="T2829" s="51" t="b">
        <v>0</v>
      </c>
      <c r="U2829" s="94"/>
    </row>
    <row r="2830" ht="30.0" customHeight="1">
      <c r="A2830" s="39"/>
      <c r="B2830" s="40"/>
      <c r="C2830" s="173"/>
      <c r="D2830" s="86"/>
      <c r="E2830" s="43" t="str">
        <f t="shared" si="82"/>
        <v/>
      </c>
      <c r="F2830" s="43" t="str">
        <f t="shared" si="83"/>
        <v/>
      </c>
      <c r="G2830" s="44"/>
      <c r="H2830" s="44"/>
      <c r="I2830" s="44"/>
      <c r="J2830" s="176"/>
      <c r="K2830" s="43" t="str">
        <f t="array" ref="K2830">IF(J2830="","", XLOOKUP(J2830,'⚙️ Pengaturan'!$E$2:$E3237,'⚙️ Pengaturan'!$G$2:$G3237))</f>
        <v/>
      </c>
      <c r="L2830" s="43" t="str">
        <f t="shared" si="84"/>
        <v/>
      </c>
      <c r="M2830" s="177"/>
      <c r="N2830" s="145"/>
      <c r="O2830" s="146"/>
      <c r="P2830" s="48" t="str">
        <f t="array" ref="P2830">IFNA(XLOOKUP(J2830,'⚙️ Pengaturan'!$E$2:$E3237,'⚙️ Pengaturan'!$F$2:$F3237),"")</f>
        <v/>
      </c>
      <c r="Q2830" s="147" t="str">
        <f t="shared" si="85"/>
        <v/>
      </c>
      <c r="R2830" s="173"/>
      <c r="S2830" s="76"/>
      <c r="T2830" s="51" t="b">
        <v>0</v>
      </c>
      <c r="U2830" s="94"/>
    </row>
    <row r="2831" ht="30.0" customHeight="1">
      <c r="A2831" s="39"/>
      <c r="B2831" s="40"/>
      <c r="C2831" s="173"/>
      <c r="D2831" s="86"/>
      <c r="E2831" s="43" t="str">
        <f t="shared" si="82"/>
        <v/>
      </c>
      <c r="F2831" s="43" t="str">
        <f t="shared" si="83"/>
        <v/>
      </c>
      <c r="G2831" s="44"/>
      <c r="H2831" s="44"/>
      <c r="I2831" s="44"/>
      <c r="J2831" s="176"/>
      <c r="K2831" s="43" t="str">
        <f t="array" ref="K2831">IF(J2831="","", XLOOKUP(J2831,'⚙️ Pengaturan'!$E$2:$E3237,'⚙️ Pengaturan'!$G$2:$G3237))</f>
        <v/>
      </c>
      <c r="L2831" s="43" t="str">
        <f t="shared" si="84"/>
        <v/>
      </c>
      <c r="M2831" s="177"/>
      <c r="N2831" s="145"/>
      <c r="O2831" s="146"/>
      <c r="P2831" s="48" t="str">
        <f t="array" ref="P2831">IFNA(XLOOKUP(J2831,'⚙️ Pengaturan'!$E$2:$E3237,'⚙️ Pengaturan'!$F$2:$F3237),"")</f>
        <v/>
      </c>
      <c r="Q2831" s="147" t="str">
        <f t="shared" si="85"/>
        <v/>
      </c>
      <c r="R2831" s="173"/>
      <c r="S2831" s="76"/>
      <c r="T2831" s="51" t="b">
        <v>0</v>
      </c>
      <c r="U2831" s="94"/>
    </row>
    <row r="2832" ht="30.0" customHeight="1">
      <c r="A2832" s="39"/>
      <c r="B2832" s="40"/>
      <c r="C2832" s="173"/>
      <c r="D2832" s="86"/>
      <c r="E2832" s="43" t="str">
        <f t="shared" si="82"/>
        <v/>
      </c>
      <c r="F2832" s="43" t="str">
        <f t="shared" si="83"/>
        <v/>
      </c>
      <c r="G2832" s="44"/>
      <c r="H2832" s="44"/>
      <c r="I2832" s="44"/>
      <c r="J2832" s="176"/>
      <c r="K2832" s="43" t="str">
        <f t="array" ref="K2832">IF(J2832="","", XLOOKUP(J2832,'⚙️ Pengaturan'!$E$2:$E3237,'⚙️ Pengaturan'!$G$2:$G3237))</f>
        <v/>
      </c>
      <c r="L2832" s="43" t="str">
        <f t="shared" si="84"/>
        <v/>
      </c>
      <c r="M2832" s="177"/>
      <c r="N2832" s="145"/>
      <c r="O2832" s="146"/>
      <c r="P2832" s="48" t="str">
        <f t="array" ref="P2832">IFNA(XLOOKUP(J2832,'⚙️ Pengaturan'!$E$2:$E3237,'⚙️ Pengaturan'!$F$2:$F3237),"")</f>
        <v/>
      </c>
      <c r="Q2832" s="147" t="str">
        <f t="shared" si="85"/>
        <v/>
      </c>
      <c r="R2832" s="173"/>
      <c r="S2832" s="76"/>
      <c r="T2832" s="51" t="b">
        <v>0</v>
      </c>
      <c r="U2832" s="94"/>
    </row>
    <row r="2833" ht="30.0" customHeight="1">
      <c r="A2833" s="39"/>
      <c r="B2833" s="40"/>
      <c r="C2833" s="173"/>
      <c r="D2833" s="86"/>
      <c r="E2833" s="43" t="str">
        <f t="shared" si="82"/>
        <v/>
      </c>
      <c r="F2833" s="43" t="str">
        <f t="shared" si="83"/>
        <v/>
      </c>
      <c r="G2833" s="44"/>
      <c r="H2833" s="44"/>
      <c r="I2833" s="44"/>
      <c r="J2833" s="176"/>
      <c r="K2833" s="43" t="str">
        <f t="array" ref="K2833">IF(J2833="","", XLOOKUP(J2833,'⚙️ Pengaturan'!$E$2:$E3237,'⚙️ Pengaturan'!$G$2:$G3237))</f>
        <v/>
      </c>
      <c r="L2833" s="43" t="str">
        <f t="shared" si="84"/>
        <v/>
      </c>
      <c r="M2833" s="177"/>
      <c r="N2833" s="145"/>
      <c r="O2833" s="146"/>
      <c r="P2833" s="48" t="str">
        <f t="array" ref="P2833">IFNA(XLOOKUP(J2833,'⚙️ Pengaturan'!$E$2:$E3237,'⚙️ Pengaturan'!$F$2:$F3237),"")</f>
        <v/>
      </c>
      <c r="Q2833" s="147" t="str">
        <f t="shared" si="85"/>
        <v/>
      </c>
      <c r="R2833" s="173"/>
      <c r="S2833" s="76"/>
      <c r="T2833" s="51" t="b">
        <v>0</v>
      </c>
      <c r="U2833" s="94"/>
    </row>
    <row r="2834" ht="30.0" customHeight="1">
      <c r="A2834" s="39"/>
      <c r="B2834" s="40"/>
      <c r="C2834" s="173"/>
      <c r="D2834" s="86"/>
      <c r="E2834" s="43" t="str">
        <f t="shared" si="82"/>
        <v/>
      </c>
      <c r="F2834" s="43" t="str">
        <f t="shared" si="83"/>
        <v/>
      </c>
      <c r="G2834" s="44"/>
      <c r="H2834" s="44"/>
      <c r="I2834" s="44"/>
      <c r="J2834" s="176"/>
      <c r="K2834" s="43" t="str">
        <f t="array" ref="K2834">IF(J2834="","", XLOOKUP(J2834,'⚙️ Pengaturan'!$E$2:$E3237,'⚙️ Pengaturan'!$G$2:$G3237))</f>
        <v/>
      </c>
      <c r="L2834" s="43" t="str">
        <f t="shared" si="84"/>
        <v/>
      </c>
      <c r="M2834" s="177"/>
      <c r="N2834" s="145"/>
      <c r="O2834" s="146"/>
      <c r="P2834" s="48" t="str">
        <f t="array" ref="P2834">IFNA(XLOOKUP(J2834,'⚙️ Pengaturan'!$E$2:$E3237,'⚙️ Pengaturan'!$F$2:$F3237),"")</f>
        <v/>
      </c>
      <c r="Q2834" s="147" t="str">
        <f t="shared" si="85"/>
        <v/>
      </c>
      <c r="R2834" s="173"/>
      <c r="S2834" s="76"/>
      <c r="T2834" s="51" t="b">
        <v>0</v>
      </c>
      <c r="U2834" s="94"/>
    </row>
    <row r="2835" ht="30.0" customHeight="1">
      <c r="A2835" s="39"/>
      <c r="B2835" s="40"/>
      <c r="C2835" s="173"/>
      <c r="D2835" s="86"/>
      <c r="E2835" s="43" t="str">
        <f t="shared" si="82"/>
        <v/>
      </c>
      <c r="F2835" s="43" t="str">
        <f t="shared" si="83"/>
        <v/>
      </c>
      <c r="G2835" s="44"/>
      <c r="H2835" s="44"/>
      <c r="I2835" s="44"/>
      <c r="J2835" s="176"/>
      <c r="K2835" s="43" t="str">
        <f t="array" ref="K2835">IF(J2835="","", XLOOKUP(J2835,'⚙️ Pengaturan'!$E$2:$E3237,'⚙️ Pengaturan'!$G$2:$G3237))</f>
        <v/>
      </c>
      <c r="L2835" s="43" t="str">
        <f t="shared" si="84"/>
        <v/>
      </c>
      <c r="M2835" s="177"/>
      <c r="N2835" s="145"/>
      <c r="O2835" s="146"/>
      <c r="P2835" s="48" t="str">
        <f t="array" ref="P2835">IFNA(XLOOKUP(J2835,'⚙️ Pengaturan'!$E$2:$E3237,'⚙️ Pengaturan'!$F$2:$F3237),"")</f>
        <v/>
      </c>
      <c r="Q2835" s="147" t="str">
        <f t="shared" si="85"/>
        <v/>
      </c>
      <c r="R2835" s="173"/>
      <c r="S2835" s="76"/>
      <c r="T2835" s="51" t="b">
        <v>0</v>
      </c>
      <c r="U2835" s="94"/>
    </row>
    <row r="2836" ht="30.0" customHeight="1">
      <c r="A2836" s="39"/>
      <c r="B2836" s="40"/>
      <c r="C2836" s="173"/>
      <c r="D2836" s="86"/>
      <c r="E2836" s="43" t="str">
        <f t="shared" si="82"/>
        <v/>
      </c>
      <c r="F2836" s="43" t="str">
        <f t="shared" si="83"/>
        <v/>
      </c>
      <c r="G2836" s="44"/>
      <c r="H2836" s="44"/>
      <c r="I2836" s="44"/>
      <c r="J2836" s="176"/>
      <c r="K2836" s="43" t="str">
        <f t="array" ref="K2836">IF(J2836="","", XLOOKUP(J2836,'⚙️ Pengaturan'!$E$2:$E3237,'⚙️ Pengaturan'!$G$2:$G3237))</f>
        <v/>
      </c>
      <c r="L2836" s="43" t="str">
        <f t="shared" si="84"/>
        <v/>
      </c>
      <c r="M2836" s="177"/>
      <c r="N2836" s="145"/>
      <c r="O2836" s="146"/>
      <c r="P2836" s="48" t="str">
        <f t="array" ref="P2836">IFNA(XLOOKUP(J2836,'⚙️ Pengaturan'!$E$2:$E3237,'⚙️ Pengaturan'!$F$2:$F3237),"")</f>
        <v/>
      </c>
      <c r="Q2836" s="147" t="str">
        <f t="shared" si="85"/>
        <v/>
      </c>
      <c r="R2836" s="173"/>
      <c r="S2836" s="76"/>
      <c r="T2836" s="51" t="b">
        <v>0</v>
      </c>
      <c r="U2836" s="94"/>
    </row>
    <row r="2837" ht="30.0" customHeight="1">
      <c r="A2837" s="39"/>
      <c r="B2837" s="40"/>
      <c r="C2837" s="173"/>
      <c r="D2837" s="86"/>
      <c r="E2837" s="43" t="str">
        <f t="shared" si="82"/>
        <v/>
      </c>
      <c r="F2837" s="43" t="str">
        <f t="shared" si="83"/>
        <v/>
      </c>
      <c r="G2837" s="44"/>
      <c r="H2837" s="44"/>
      <c r="I2837" s="44"/>
      <c r="J2837" s="176"/>
      <c r="K2837" s="43" t="str">
        <f t="array" ref="K2837">IF(J2837="","", XLOOKUP(J2837,'⚙️ Pengaturan'!$E$2:$E3237,'⚙️ Pengaturan'!$G$2:$G3237))</f>
        <v/>
      </c>
      <c r="L2837" s="43" t="str">
        <f t="shared" si="84"/>
        <v/>
      </c>
      <c r="M2837" s="177"/>
      <c r="N2837" s="145"/>
      <c r="O2837" s="146"/>
      <c r="P2837" s="48" t="str">
        <f t="array" ref="P2837">IFNA(XLOOKUP(J2837,'⚙️ Pengaturan'!$E$2:$E3237,'⚙️ Pengaturan'!$F$2:$F3237),"")</f>
        <v/>
      </c>
      <c r="Q2837" s="147" t="str">
        <f t="shared" si="85"/>
        <v/>
      </c>
      <c r="R2837" s="173"/>
      <c r="S2837" s="76"/>
      <c r="T2837" s="51" t="b">
        <v>0</v>
      </c>
      <c r="U2837" s="94"/>
    </row>
    <row r="2838" ht="30.0" customHeight="1">
      <c r="A2838" s="39"/>
      <c r="B2838" s="40"/>
      <c r="C2838" s="173"/>
      <c r="D2838" s="86"/>
      <c r="E2838" s="43" t="str">
        <f t="shared" si="82"/>
        <v/>
      </c>
      <c r="F2838" s="43" t="str">
        <f t="shared" si="83"/>
        <v/>
      </c>
      <c r="G2838" s="44"/>
      <c r="H2838" s="44"/>
      <c r="I2838" s="44"/>
      <c r="J2838" s="176"/>
      <c r="K2838" s="43" t="str">
        <f t="array" ref="K2838">IF(J2838="","", XLOOKUP(J2838,'⚙️ Pengaturan'!$E$2:$E3237,'⚙️ Pengaturan'!$G$2:$G3237))</f>
        <v/>
      </c>
      <c r="L2838" s="43" t="str">
        <f t="shared" si="84"/>
        <v/>
      </c>
      <c r="M2838" s="177"/>
      <c r="N2838" s="145"/>
      <c r="O2838" s="146"/>
      <c r="P2838" s="48" t="str">
        <f t="array" ref="P2838">IFNA(XLOOKUP(J2838,'⚙️ Pengaturan'!$E$2:$E3237,'⚙️ Pengaturan'!$F$2:$F3237),"")</f>
        <v/>
      </c>
      <c r="Q2838" s="147" t="str">
        <f t="shared" si="85"/>
        <v/>
      </c>
      <c r="R2838" s="173"/>
      <c r="S2838" s="76"/>
      <c r="T2838" s="51" t="b">
        <v>0</v>
      </c>
      <c r="U2838" s="94"/>
    </row>
    <row r="2839" ht="30.0" customHeight="1">
      <c r="A2839" s="39"/>
      <c r="B2839" s="40"/>
      <c r="C2839" s="173"/>
      <c r="D2839" s="86"/>
      <c r="E2839" s="43" t="str">
        <f t="shared" si="82"/>
        <v/>
      </c>
      <c r="F2839" s="43" t="str">
        <f t="shared" si="83"/>
        <v/>
      </c>
      <c r="G2839" s="44"/>
      <c r="H2839" s="44"/>
      <c r="I2839" s="44"/>
      <c r="J2839" s="176"/>
      <c r="K2839" s="43" t="str">
        <f t="array" ref="K2839">IF(J2839="","", XLOOKUP(J2839,'⚙️ Pengaturan'!$E$2:$E3237,'⚙️ Pengaturan'!$G$2:$G3237))</f>
        <v/>
      </c>
      <c r="L2839" s="43" t="str">
        <f t="shared" si="84"/>
        <v/>
      </c>
      <c r="M2839" s="177"/>
      <c r="N2839" s="145"/>
      <c r="O2839" s="146"/>
      <c r="P2839" s="48" t="str">
        <f t="array" ref="P2839">IFNA(XLOOKUP(J2839,'⚙️ Pengaturan'!$E$2:$E3237,'⚙️ Pengaturan'!$F$2:$F3237),"")</f>
        <v/>
      </c>
      <c r="Q2839" s="147" t="str">
        <f t="shared" si="85"/>
        <v/>
      </c>
      <c r="R2839" s="173"/>
      <c r="S2839" s="76"/>
      <c r="T2839" s="51" t="b">
        <v>0</v>
      </c>
      <c r="U2839" s="94"/>
    </row>
    <row r="2840" ht="30.0" customHeight="1">
      <c r="A2840" s="39"/>
      <c r="B2840" s="40"/>
      <c r="C2840" s="173"/>
      <c r="D2840" s="86"/>
      <c r="E2840" s="43" t="str">
        <f t="shared" si="82"/>
        <v/>
      </c>
      <c r="F2840" s="43" t="str">
        <f t="shared" si="83"/>
        <v/>
      </c>
      <c r="G2840" s="44"/>
      <c r="H2840" s="44"/>
      <c r="I2840" s="44"/>
      <c r="J2840" s="176"/>
      <c r="K2840" s="43" t="str">
        <f t="array" ref="K2840">IF(J2840="","", XLOOKUP(J2840,'⚙️ Pengaturan'!$E$2:$E3237,'⚙️ Pengaturan'!$G$2:$G3237))</f>
        <v/>
      </c>
      <c r="L2840" s="43" t="str">
        <f t="shared" si="84"/>
        <v/>
      </c>
      <c r="M2840" s="177"/>
      <c r="N2840" s="145"/>
      <c r="O2840" s="146"/>
      <c r="P2840" s="48" t="str">
        <f t="array" ref="P2840">IFNA(XLOOKUP(J2840,'⚙️ Pengaturan'!$E$2:$E3237,'⚙️ Pengaturan'!$F$2:$F3237),"")</f>
        <v/>
      </c>
      <c r="Q2840" s="147" t="str">
        <f t="shared" si="85"/>
        <v/>
      </c>
      <c r="R2840" s="173"/>
      <c r="S2840" s="76"/>
      <c r="T2840" s="51" t="b">
        <v>0</v>
      </c>
      <c r="U2840" s="94"/>
    </row>
    <row r="2841" ht="30.0" customHeight="1">
      <c r="A2841" s="39"/>
      <c r="B2841" s="40"/>
      <c r="C2841" s="173"/>
      <c r="D2841" s="86"/>
      <c r="E2841" s="43" t="str">
        <f t="shared" si="82"/>
        <v/>
      </c>
      <c r="F2841" s="43" t="str">
        <f t="shared" si="83"/>
        <v/>
      </c>
      <c r="G2841" s="44"/>
      <c r="H2841" s="44"/>
      <c r="I2841" s="44"/>
      <c r="J2841" s="176"/>
      <c r="K2841" s="43" t="str">
        <f t="array" ref="K2841">IF(J2841="","", XLOOKUP(J2841,'⚙️ Pengaturan'!$E$2:$E3237,'⚙️ Pengaturan'!$G$2:$G3237))</f>
        <v/>
      </c>
      <c r="L2841" s="43" t="str">
        <f t="shared" si="84"/>
        <v/>
      </c>
      <c r="M2841" s="177"/>
      <c r="N2841" s="145"/>
      <c r="O2841" s="146"/>
      <c r="P2841" s="48" t="str">
        <f t="array" ref="P2841">IFNA(XLOOKUP(J2841,'⚙️ Pengaturan'!$E$2:$E3237,'⚙️ Pengaturan'!$F$2:$F3237),"")</f>
        <v/>
      </c>
      <c r="Q2841" s="147" t="str">
        <f t="shared" si="85"/>
        <v/>
      </c>
      <c r="R2841" s="173"/>
      <c r="S2841" s="76"/>
      <c r="T2841" s="51" t="b">
        <v>0</v>
      </c>
      <c r="U2841" s="94"/>
    </row>
    <row r="2842" ht="30.0" customHeight="1">
      <c r="A2842" s="39"/>
      <c r="B2842" s="40"/>
      <c r="C2842" s="173"/>
      <c r="D2842" s="86"/>
      <c r="E2842" s="43" t="str">
        <f t="shared" si="82"/>
        <v/>
      </c>
      <c r="F2842" s="43" t="str">
        <f t="shared" si="83"/>
        <v/>
      </c>
      <c r="G2842" s="44"/>
      <c r="H2842" s="44"/>
      <c r="I2842" s="44"/>
      <c r="J2842" s="176"/>
      <c r="K2842" s="43" t="str">
        <f t="array" ref="K2842">IF(J2842="","", XLOOKUP(J2842,'⚙️ Pengaturan'!$E$2:$E3237,'⚙️ Pengaturan'!$G$2:$G3237))</f>
        <v/>
      </c>
      <c r="L2842" s="43" t="str">
        <f t="shared" si="84"/>
        <v/>
      </c>
      <c r="M2842" s="177"/>
      <c r="N2842" s="145"/>
      <c r="O2842" s="146"/>
      <c r="P2842" s="48" t="str">
        <f t="array" ref="P2842">IFNA(XLOOKUP(J2842,'⚙️ Pengaturan'!$E$2:$E3237,'⚙️ Pengaturan'!$F$2:$F3237),"")</f>
        <v/>
      </c>
      <c r="Q2842" s="147" t="str">
        <f t="shared" si="85"/>
        <v/>
      </c>
      <c r="R2842" s="173"/>
      <c r="S2842" s="76"/>
      <c r="T2842" s="51" t="b">
        <v>0</v>
      </c>
      <c r="U2842" s="94"/>
    </row>
    <row r="2843" ht="30.0" customHeight="1">
      <c r="A2843" s="39"/>
      <c r="B2843" s="40"/>
      <c r="C2843" s="173"/>
      <c r="D2843" s="86"/>
      <c r="E2843" s="43" t="str">
        <f t="shared" si="82"/>
        <v/>
      </c>
      <c r="F2843" s="43" t="str">
        <f t="shared" si="83"/>
        <v/>
      </c>
      <c r="G2843" s="44"/>
      <c r="H2843" s="44"/>
      <c r="I2843" s="44"/>
      <c r="J2843" s="176"/>
      <c r="K2843" s="43" t="str">
        <f t="array" ref="K2843">IF(J2843="","", XLOOKUP(J2843,'⚙️ Pengaturan'!$E$2:$E3237,'⚙️ Pengaturan'!$G$2:$G3237))</f>
        <v/>
      </c>
      <c r="L2843" s="43" t="str">
        <f t="shared" si="84"/>
        <v/>
      </c>
      <c r="M2843" s="177"/>
      <c r="N2843" s="145"/>
      <c r="O2843" s="146"/>
      <c r="P2843" s="48" t="str">
        <f t="array" ref="P2843">IFNA(XLOOKUP(J2843,'⚙️ Pengaturan'!$E$2:$E3237,'⚙️ Pengaturan'!$F$2:$F3237),"")</f>
        <v/>
      </c>
      <c r="Q2843" s="147" t="str">
        <f t="shared" si="85"/>
        <v/>
      </c>
      <c r="R2843" s="173"/>
      <c r="S2843" s="76"/>
      <c r="T2843" s="51" t="b">
        <v>0</v>
      </c>
      <c r="U2843" s="94"/>
    </row>
    <row r="2844" ht="30.0" customHeight="1">
      <c r="A2844" s="39"/>
      <c r="B2844" s="40"/>
      <c r="C2844" s="173"/>
      <c r="D2844" s="86"/>
      <c r="E2844" s="43" t="str">
        <f t="shared" si="82"/>
        <v/>
      </c>
      <c r="F2844" s="43" t="str">
        <f t="shared" si="83"/>
        <v/>
      </c>
      <c r="G2844" s="44"/>
      <c r="H2844" s="44"/>
      <c r="I2844" s="44"/>
      <c r="J2844" s="176"/>
      <c r="K2844" s="43" t="str">
        <f t="array" ref="K2844">IF(J2844="","", XLOOKUP(J2844,'⚙️ Pengaturan'!$E$2:$E3237,'⚙️ Pengaturan'!$G$2:$G3237))</f>
        <v/>
      </c>
      <c r="L2844" s="43" t="str">
        <f t="shared" si="84"/>
        <v/>
      </c>
      <c r="M2844" s="177"/>
      <c r="N2844" s="145"/>
      <c r="O2844" s="146"/>
      <c r="P2844" s="48" t="str">
        <f t="array" ref="P2844">IFNA(XLOOKUP(J2844,'⚙️ Pengaturan'!$E$2:$E3237,'⚙️ Pengaturan'!$F$2:$F3237),"")</f>
        <v/>
      </c>
      <c r="Q2844" s="147" t="str">
        <f t="shared" si="85"/>
        <v/>
      </c>
      <c r="R2844" s="173"/>
      <c r="S2844" s="76"/>
      <c r="T2844" s="51" t="b">
        <v>0</v>
      </c>
      <c r="U2844" s="94"/>
    </row>
    <row r="2845" ht="30.0" customHeight="1">
      <c r="A2845" s="39"/>
      <c r="B2845" s="40"/>
      <c r="C2845" s="173"/>
      <c r="D2845" s="86"/>
      <c r="E2845" s="43" t="str">
        <f t="shared" si="82"/>
        <v/>
      </c>
      <c r="F2845" s="43" t="str">
        <f t="shared" si="83"/>
        <v/>
      </c>
      <c r="G2845" s="44"/>
      <c r="H2845" s="44"/>
      <c r="I2845" s="44"/>
      <c r="J2845" s="176"/>
      <c r="K2845" s="43" t="str">
        <f t="array" ref="K2845">IF(J2845="","", XLOOKUP(J2845,'⚙️ Pengaturan'!$E$2:$E3237,'⚙️ Pengaturan'!$G$2:$G3237))</f>
        <v/>
      </c>
      <c r="L2845" s="43" t="str">
        <f t="shared" si="84"/>
        <v/>
      </c>
      <c r="M2845" s="177"/>
      <c r="N2845" s="145"/>
      <c r="O2845" s="146"/>
      <c r="P2845" s="48" t="str">
        <f t="array" ref="P2845">IFNA(XLOOKUP(J2845,'⚙️ Pengaturan'!$E$2:$E3237,'⚙️ Pengaturan'!$F$2:$F3237),"")</f>
        <v/>
      </c>
      <c r="Q2845" s="147" t="str">
        <f t="shared" si="85"/>
        <v/>
      </c>
      <c r="R2845" s="173"/>
      <c r="S2845" s="76"/>
      <c r="T2845" s="51" t="b">
        <v>0</v>
      </c>
      <c r="U2845" s="94"/>
    </row>
    <row r="2846" ht="30.0" customHeight="1">
      <c r="A2846" s="39"/>
      <c r="B2846" s="40"/>
      <c r="C2846" s="173"/>
      <c r="D2846" s="86"/>
      <c r="E2846" s="43" t="str">
        <f t="shared" si="82"/>
        <v/>
      </c>
      <c r="F2846" s="43" t="str">
        <f t="shared" si="83"/>
        <v/>
      </c>
      <c r="G2846" s="44"/>
      <c r="H2846" s="44"/>
      <c r="I2846" s="44"/>
      <c r="J2846" s="176"/>
      <c r="K2846" s="43" t="str">
        <f t="array" ref="K2846">IF(J2846="","", XLOOKUP(J2846,'⚙️ Pengaturan'!$E$2:$E3237,'⚙️ Pengaturan'!$G$2:$G3237))</f>
        <v/>
      </c>
      <c r="L2846" s="43" t="str">
        <f t="shared" si="84"/>
        <v/>
      </c>
      <c r="M2846" s="177"/>
      <c r="N2846" s="145"/>
      <c r="O2846" s="146"/>
      <c r="P2846" s="48" t="str">
        <f t="array" ref="P2846">IFNA(XLOOKUP(J2846,'⚙️ Pengaturan'!$E$2:$E3237,'⚙️ Pengaturan'!$F$2:$F3237),"")</f>
        <v/>
      </c>
      <c r="Q2846" s="147" t="str">
        <f t="shared" si="85"/>
        <v/>
      </c>
      <c r="R2846" s="173"/>
      <c r="S2846" s="76"/>
      <c r="T2846" s="51" t="b">
        <v>0</v>
      </c>
      <c r="U2846" s="94"/>
    </row>
    <row r="2847" ht="30.0" customHeight="1">
      <c r="A2847" s="39"/>
      <c r="B2847" s="40"/>
      <c r="C2847" s="173"/>
      <c r="D2847" s="86"/>
      <c r="E2847" s="43" t="str">
        <f t="shared" si="82"/>
        <v/>
      </c>
      <c r="F2847" s="43" t="str">
        <f t="shared" si="83"/>
        <v/>
      </c>
      <c r="G2847" s="44"/>
      <c r="H2847" s="44"/>
      <c r="I2847" s="44"/>
      <c r="J2847" s="176"/>
      <c r="K2847" s="43" t="str">
        <f t="array" ref="K2847">IF(J2847="","", XLOOKUP(J2847,'⚙️ Pengaturan'!$E$2:$E3237,'⚙️ Pengaturan'!$G$2:$G3237))</f>
        <v/>
      </c>
      <c r="L2847" s="43" t="str">
        <f t="shared" si="84"/>
        <v/>
      </c>
      <c r="M2847" s="177"/>
      <c r="N2847" s="145"/>
      <c r="O2847" s="146"/>
      <c r="P2847" s="48" t="str">
        <f t="array" ref="P2847">IFNA(XLOOKUP(J2847,'⚙️ Pengaturan'!$E$2:$E3237,'⚙️ Pengaturan'!$F$2:$F3237),"")</f>
        <v/>
      </c>
      <c r="Q2847" s="147" t="str">
        <f t="shared" si="85"/>
        <v/>
      </c>
      <c r="R2847" s="173"/>
      <c r="S2847" s="76"/>
      <c r="T2847" s="51" t="b">
        <v>0</v>
      </c>
      <c r="U2847" s="94"/>
    </row>
    <row r="2848" ht="30.0" customHeight="1">
      <c r="A2848" s="39"/>
      <c r="B2848" s="40"/>
      <c r="C2848" s="173"/>
      <c r="D2848" s="86"/>
      <c r="E2848" s="43" t="str">
        <f t="shared" si="82"/>
        <v/>
      </c>
      <c r="F2848" s="43" t="str">
        <f t="shared" si="83"/>
        <v/>
      </c>
      <c r="G2848" s="44"/>
      <c r="H2848" s="44"/>
      <c r="I2848" s="44"/>
      <c r="J2848" s="176"/>
      <c r="K2848" s="43" t="str">
        <f t="array" ref="K2848">IF(J2848="","", XLOOKUP(J2848,'⚙️ Pengaturan'!$E$2:$E3237,'⚙️ Pengaturan'!$G$2:$G3237))</f>
        <v/>
      </c>
      <c r="L2848" s="43" t="str">
        <f t="shared" si="84"/>
        <v/>
      </c>
      <c r="M2848" s="177"/>
      <c r="N2848" s="145"/>
      <c r="O2848" s="146"/>
      <c r="P2848" s="48" t="str">
        <f t="array" ref="P2848">IFNA(XLOOKUP(J2848,'⚙️ Pengaturan'!$E$2:$E3237,'⚙️ Pengaturan'!$F$2:$F3237),"")</f>
        <v/>
      </c>
      <c r="Q2848" s="147" t="str">
        <f t="shared" si="85"/>
        <v/>
      </c>
      <c r="R2848" s="173"/>
      <c r="S2848" s="76"/>
      <c r="T2848" s="51" t="b">
        <v>0</v>
      </c>
      <c r="U2848" s="94"/>
    </row>
    <row r="2849" ht="30.0" customHeight="1">
      <c r="A2849" s="39"/>
      <c r="B2849" s="40"/>
      <c r="C2849" s="173"/>
      <c r="D2849" s="86"/>
      <c r="E2849" s="43" t="str">
        <f t="shared" si="82"/>
        <v/>
      </c>
      <c r="F2849" s="43" t="str">
        <f t="shared" si="83"/>
        <v/>
      </c>
      <c r="G2849" s="44"/>
      <c r="H2849" s="44"/>
      <c r="I2849" s="44"/>
      <c r="J2849" s="176"/>
      <c r="K2849" s="43" t="str">
        <f t="array" ref="K2849">IF(J2849="","", XLOOKUP(J2849,'⚙️ Pengaturan'!$E$2:$E3237,'⚙️ Pengaturan'!$G$2:$G3237))</f>
        <v/>
      </c>
      <c r="L2849" s="43" t="str">
        <f t="shared" si="84"/>
        <v/>
      </c>
      <c r="M2849" s="177"/>
      <c r="N2849" s="145"/>
      <c r="O2849" s="146"/>
      <c r="P2849" s="48" t="str">
        <f t="array" ref="P2849">IFNA(XLOOKUP(J2849,'⚙️ Pengaturan'!$E$2:$E3237,'⚙️ Pengaturan'!$F$2:$F3237),"")</f>
        <v/>
      </c>
      <c r="Q2849" s="147" t="str">
        <f t="shared" si="85"/>
        <v/>
      </c>
      <c r="R2849" s="173"/>
      <c r="S2849" s="76"/>
      <c r="T2849" s="51" t="b">
        <v>0</v>
      </c>
      <c r="U2849" s="94"/>
    </row>
    <row r="2850" ht="30.0" customHeight="1">
      <c r="A2850" s="39"/>
      <c r="B2850" s="40"/>
      <c r="C2850" s="173"/>
      <c r="D2850" s="86"/>
      <c r="E2850" s="43" t="str">
        <f t="shared" si="82"/>
        <v/>
      </c>
      <c r="F2850" s="43" t="str">
        <f t="shared" si="83"/>
        <v/>
      </c>
      <c r="G2850" s="44"/>
      <c r="H2850" s="44"/>
      <c r="I2850" s="44"/>
      <c r="J2850" s="176"/>
      <c r="K2850" s="43" t="str">
        <f t="array" ref="K2850">IF(J2850="","", XLOOKUP(J2850,'⚙️ Pengaturan'!$E$2:$E3237,'⚙️ Pengaturan'!$G$2:$G3237))</f>
        <v/>
      </c>
      <c r="L2850" s="43" t="str">
        <f t="shared" si="84"/>
        <v/>
      </c>
      <c r="M2850" s="177"/>
      <c r="N2850" s="145"/>
      <c r="O2850" s="146"/>
      <c r="P2850" s="48" t="str">
        <f t="array" ref="P2850">IFNA(XLOOKUP(J2850,'⚙️ Pengaturan'!$E$2:$E3237,'⚙️ Pengaturan'!$F$2:$F3237),"")</f>
        <v/>
      </c>
      <c r="Q2850" s="147" t="str">
        <f t="shared" si="85"/>
        <v/>
      </c>
      <c r="R2850" s="173"/>
      <c r="S2850" s="76"/>
      <c r="T2850" s="51" t="b">
        <v>0</v>
      </c>
      <c r="U2850" s="94"/>
    </row>
    <row r="2851" ht="30.0" customHeight="1">
      <c r="A2851" s="39"/>
      <c r="B2851" s="40"/>
      <c r="C2851" s="173"/>
      <c r="D2851" s="86"/>
      <c r="E2851" s="43" t="str">
        <f t="shared" si="82"/>
        <v/>
      </c>
      <c r="F2851" s="43" t="str">
        <f t="shared" si="83"/>
        <v/>
      </c>
      <c r="G2851" s="44"/>
      <c r="H2851" s="44"/>
      <c r="I2851" s="44"/>
      <c r="J2851" s="176"/>
      <c r="K2851" s="43" t="str">
        <f t="array" ref="K2851">IF(J2851="","", XLOOKUP(J2851,'⚙️ Pengaturan'!$E$2:$E3237,'⚙️ Pengaturan'!$G$2:$G3237))</f>
        <v/>
      </c>
      <c r="L2851" s="43" t="str">
        <f t="shared" si="84"/>
        <v/>
      </c>
      <c r="M2851" s="177"/>
      <c r="N2851" s="145"/>
      <c r="O2851" s="146"/>
      <c r="P2851" s="48" t="str">
        <f t="array" ref="P2851">IFNA(XLOOKUP(J2851,'⚙️ Pengaturan'!$E$2:$E3237,'⚙️ Pengaturan'!$F$2:$F3237),"")</f>
        <v/>
      </c>
      <c r="Q2851" s="147" t="str">
        <f t="shared" si="85"/>
        <v/>
      </c>
      <c r="R2851" s="173"/>
      <c r="S2851" s="76"/>
      <c r="T2851" s="51" t="b">
        <v>0</v>
      </c>
      <c r="U2851" s="94"/>
    </row>
    <row r="2852" ht="30.0" customHeight="1">
      <c r="A2852" s="39"/>
      <c r="B2852" s="40"/>
      <c r="C2852" s="173"/>
      <c r="D2852" s="86"/>
      <c r="E2852" s="43" t="str">
        <f t="shared" si="82"/>
        <v/>
      </c>
      <c r="F2852" s="43" t="str">
        <f t="shared" si="83"/>
        <v/>
      </c>
      <c r="G2852" s="44"/>
      <c r="H2852" s="44"/>
      <c r="I2852" s="44"/>
      <c r="J2852" s="176"/>
      <c r="K2852" s="43" t="str">
        <f t="array" ref="K2852">IF(J2852="","", XLOOKUP(J2852,'⚙️ Pengaturan'!$E$2:$E3237,'⚙️ Pengaturan'!$G$2:$G3237))</f>
        <v/>
      </c>
      <c r="L2852" s="43" t="str">
        <f t="shared" si="84"/>
        <v/>
      </c>
      <c r="M2852" s="177"/>
      <c r="N2852" s="145"/>
      <c r="O2852" s="146"/>
      <c r="P2852" s="48" t="str">
        <f t="array" ref="P2852">IFNA(XLOOKUP(J2852,'⚙️ Pengaturan'!$E$2:$E3237,'⚙️ Pengaturan'!$F$2:$F3237),"")</f>
        <v/>
      </c>
      <c r="Q2852" s="147" t="str">
        <f t="shared" si="85"/>
        <v/>
      </c>
      <c r="R2852" s="173"/>
      <c r="S2852" s="76"/>
      <c r="T2852" s="51" t="b">
        <v>0</v>
      </c>
      <c r="U2852" s="94"/>
    </row>
    <row r="2853" ht="30.0" customHeight="1">
      <c r="A2853" s="39"/>
      <c r="B2853" s="40"/>
      <c r="C2853" s="173"/>
      <c r="D2853" s="86"/>
      <c r="E2853" s="43" t="str">
        <f t="shared" si="82"/>
        <v/>
      </c>
      <c r="F2853" s="43" t="str">
        <f t="shared" si="83"/>
        <v/>
      </c>
      <c r="G2853" s="44"/>
      <c r="H2853" s="44"/>
      <c r="I2853" s="44"/>
      <c r="J2853" s="176"/>
      <c r="K2853" s="43" t="str">
        <f t="array" ref="K2853">IF(J2853="","", XLOOKUP(J2853,'⚙️ Pengaturan'!$E$2:$E3237,'⚙️ Pengaturan'!$G$2:$G3237))</f>
        <v/>
      </c>
      <c r="L2853" s="43" t="str">
        <f t="shared" si="84"/>
        <v/>
      </c>
      <c r="M2853" s="177"/>
      <c r="N2853" s="145"/>
      <c r="O2853" s="146"/>
      <c r="P2853" s="48" t="str">
        <f t="array" ref="P2853">IFNA(XLOOKUP(J2853,'⚙️ Pengaturan'!$E$2:$E3237,'⚙️ Pengaturan'!$F$2:$F3237),"")</f>
        <v/>
      </c>
      <c r="Q2853" s="147" t="str">
        <f t="shared" si="85"/>
        <v/>
      </c>
      <c r="R2853" s="173"/>
      <c r="S2853" s="76"/>
      <c r="T2853" s="51" t="b">
        <v>0</v>
      </c>
      <c r="U2853" s="94"/>
    </row>
    <row r="2854" ht="30.0" customHeight="1">
      <c r="A2854" s="39"/>
      <c r="B2854" s="40"/>
      <c r="C2854" s="173"/>
      <c r="D2854" s="86"/>
      <c r="E2854" s="43" t="str">
        <f t="shared" si="82"/>
        <v/>
      </c>
      <c r="F2854" s="43" t="str">
        <f t="shared" si="83"/>
        <v/>
      </c>
      <c r="G2854" s="44"/>
      <c r="H2854" s="44"/>
      <c r="I2854" s="44"/>
      <c r="J2854" s="176"/>
      <c r="K2854" s="43" t="str">
        <f t="array" ref="K2854">IF(J2854="","", XLOOKUP(J2854,'⚙️ Pengaturan'!$E$2:$E3237,'⚙️ Pengaturan'!$G$2:$G3237))</f>
        <v/>
      </c>
      <c r="L2854" s="43" t="str">
        <f t="shared" si="84"/>
        <v/>
      </c>
      <c r="M2854" s="177"/>
      <c r="N2854" s="145"/>
      <c r="O2854" s="146"/>
      <c r="P2854" s="48" t="str">
        <f t="array" ref="P2854">IFNA(XLOOKUP(J2854,'⚙️ Pengaturan'!$E$2:$E3237,'⚙️ Pengaturan'!$F$2:$F3237),"")</f>
        <v/>
      </c>
      <c r="Q2854" s="147" t="str">
        <f t="shared" si="85"/>
        <v/>
      </c>
      <c r="R2854" s="173"/>
      <c r="S2854" s="76"/>
      <c r="T2854" s="51" t="b">
        <v>0</v>
      </c>
      <c r="U2854" s="94"/>
    </row>
    <row r="2855" ht="30.0" customHeight="1">
      <c r="A2855" s="39"/>
      <c r="B2855" s="40"/>
      <c r="C2855" s="173"/>
      <c r="D2855" s="86"/>
      <c r="E2855" s="43" t="str">
        <f t="shared" si="82"/>
        <v/>
      </c>
      <c r="F2855" s="43" t="str">
        <f t="shared" si="83"/>
        <v/>
      </c>
      <c r="G2855" s="44"/>
      <c r="H2855" s="44"/>
      <c r="I2855" s="44"/>
      <c r="J2855" s="176"/>
      <c r="K2855" s="43" t="str">
        <f t="array" ref="K2855">IF(J2855="","", XLOOKUP(J2855,'⚙️ Pengaturan'!$E$2:$E3237,'⚙️ Pengaturan'!$G$2:$G3237))</f>
        <v/>
      </c>
      <c r="L2855" s="43" t="str">
        <f t="shared" si="84"/>
        <v/>
      </c>
      <c r="M2855" s="177"/>
      <c r="N2855" s="145"/>
      <c r="O2855" s="146"/>
      <c r="P2855" s="48" t="str">
        <f t="array" ref="P2855">IFNA(XLOOKUP(J2855,'⚙️ Pengaturan'!$E$2:$E3237,'⚙️ Pengaturan'!$F$2:$F3237),"")</f>
        <v/>
      </c>
      <c r="Q2855" s="147" t="str">
        <f t="shared" si="85"/>
        <v/>
      </c>
      <c r="R2855" s="173"/>
      <c r="S2855" s="76"/>
      <c r="T2855" s="51" t="b">
        <v>0</v>
      </c>
      <c r="U2855" s="94"/>
    </row>
    <row r="2856" ht="30.0" customHeight="1">
      <c r="A2856" s="39"/>
      <c r="B2856" s="40"/>
      <c r="C2856" s="173"/>
      <c r="D2856" s="86"/>
      <c r="E2856" s="43" t="str">
        <f t="shared" si="82"/>
        <v/>
      </c>
      <c r="F2856" s="43" t="str">
        <f t="shared" si="83"/>
        <v/>
      </c>
      <c r="G2856" s="44"/>
      <c r="H2856" s="44"/>
      <c r="I2856" s="44"/>
      <c r="J2856" s="176"/>
      <c r="K2856" s="43" t="str">
        <f t="array" ref="K2856">IF(J2856="","", XLOOKUP(J2856,'⚙️ Pengaturan'!$E$2:$E3237,'⚙️ Pengaturan'!$G$2:$G3237))</f>
        <v/>
      </c>
      <c r="L2856" s="43" t="str">
        <f t="shared" si="84"/>
        <v/>
      </c>
      <c r="M2856" s="177"/>
      <c r="N2856" s="145"/>
      <c r="O2856" s="146"/>
      <c r="P2856" s="48" t="str">
        <f t="array" ref="P2856">IFNA(XLOOKUP(J2856,'⚙️ Pengaturan'!$E$2:$E3237,'⚙️ Pengaturan'!$F$2:$F3237),"")</f>
        <v/>
      </c>
      <c r="Q2856" s="147" t="str">
        <f t="shared" si="85"/>
        <v/>
      </c>
      <c r="R2856" s="173"/>
      <c r="S2856" s="76"/>
      <c r="T2856" s="51" t="b">
        <v>0</v>
      </c>
      <c r="U2856" s="94"/>
    </row>
    <row r="2857" ht="30.0" customHeight="1">
      <c r="A2857" s="39"/>
      <c r="B2857" s="40"/>
      <c r="C2857" s="173"/>
      <c r="D2857" s="86"/>
      <c r="E2857" s="43" t="str">
        <f t="shared" si="82"/>
        <v/>
      </c>
      <c r="F2857" s="43" t="str">
        <f t="shared" si="83"/>
        <v/>
      </c>
      <c r="G2857" s="44"/>
      <c r="H2857" s="44"/>
      <c r="I2857" s="44"/>
      <c r="J2857" s="176"/>
      <c r="K2857" s="43" t="str">
        <f t="array" ref="K2857">IF(J2857="","", XLOOKUP(J2857,'⚙️ Pengaturan'!$E$2:$E3237,'⚙️ Pengaturan'!$G$2:$G3237))</f>
        <v/>
      </c>
      <c r="L2857" s="43" t="str">
        <f t="shared" si="84"/>
        <v/>
      </c>
      <c r="M2857" s="177"/>
      <c r="N2857" s="145"/>
      <c r="O2857" s="146"/>
      <c r="P2857" s="48" t="str">
        <f t="array" ref="P2857">IFNA(XLOOKUP(J2857,'⚙️ Pengaturan'!$E$2:$E3237,'⚙️ Pengaturan'!$F$2:$F3237),"")</f>
        <v/>
      </c>
      <c r="Q2857" s="147" t="str">
        <f t="shared" si="85"/>
        <v/>
      </c>
      <c r="R2857" s="173"/>
      <c r="S2857" s="76"/>
      <c r="T2857" s="51" t="b">
        <v>0</v>
      </c>
      <c r="U2857" s="94"/>
    </row>
    <row r="2858" ht="30.0" customHeight="1">
      <c r="A2858" s="39"/>
      <c r="B2858" s="40"/>
      <c r="C2858" s="173"/>
      <c r="D2858" s="86"/>
      <c r="E2858" s="43" t="str">
        <f t="shared" si="82"/>
        <v/>
      </c>
      <c r="F2858" s="43" t="str">
        <f t="shared" si="83"/>
        <v/>
      </c>
      <c r="G2858" s="44"/>
      <c r="H2858" s="44"/>
      <c r="I2858" s="44"/>
      <c r="J2858" s="176"/>
      <c r="K2858" s="43" t="str">
        <f t="array" ref="K2858">IF(J2858="","", XLOOKUP(J2858,'⚙️ Pengaturan'!$E$2:$E3237,'⚙️ Pengaturan'!$G$2:$G3237))</f>
        <v/>
      </c>
      <c r="L2858" s="43" t="str">
        <f t="shared" si="84"/>
        <v/>
      </c>
      <c r="M2858" s="177"/>
      <c r="N2858" s="145"/>
      <c r="O2858" s="146"/>
      <c r="P2858" s="48" t="str">
        <f t="array" ref="P2858">IFNA(XLOOKUP(J2858,'⚙️ Pengaturan'!$E$2:$E3237,'⚙️ Pengaturan'!$F$2:$F3237),"")</f>
        <v/>
      </c>
      <c r="Q2858" s="147" t="str">
        <f t="shared" si="85"/>
        <v/>
      </c>
      <c r="R2858" s="173"/>
      <c r="S2858" s="76"/>
      <c r="T2858" s="51" t="b">
        <v>0</v>
      </c>
      <c r="U2858" s="94"/>
    </row>
    <row r="2859" ht="30.0" customHeight="1">
      <c r="A2859" s="39"/>
      <c r="B2859" s="40"/>
      <c r="C2859" s="173"/>
      <c r="D2859" s="86"/>
      <c r="E2859" s="43" t="str">
        <f t="shared" si="82"/>
        <v/>
      </c>
      <c r="F2859" s="43" t="str">
        <f t="shared" si="83"/>
        <v/>
      </c>
      <c r="G2859" s="44"/>
      <c r="H2859" s="44"/>
      <c r="I2859" s="44"/>
      <c r="J2859" s="176"/>
      <c r="K2859" s="43" t="str">
        <f t="array" ref="K2859">IF(J2859="","", XLOOKUP(J2859,'⚙️ Pengaturan'!$E$2:$E3237,'⚙️ Pengaturan'!$G$2:$G3237))</f>
        <v/>
      </c>
      <c r="L2859" s="43" t="str">
        <f t="shared" si="84"/>
        <v/>
      </c>
      <c r="M2859" s="177"/>
      <c r="N2859" s="145"/>
      <c r="O2859" s="146"/>
      <c r="P2859" s="48" t="str">
        <f t="array" ref="P2859">IFNA(XLOOKUP(J2859,'⚙️ Pengaturan'!$E$2:$E3237,'⚙️ Pengaturan'!$F$2:$F3237),"")</f>
        <v/>
      </c>
      <c r="Q2859" s="147" t="str">
        <f t="shared" si="85"/>
        <v/>
      </c>
      <c r="R2859" s="173"/>
      <c r="S2859" s="76"/>
      <c r="T2859" s="51" t="b">
        <v>0</v>
      </c>
      <c r="U2859" s="94"/>
    </row>
    <row r="2860" ht="30.0" customHeight="1">
      <c r="A2860" s="39"/>
      <c r="B2860" s="40"/>
      <c r="C2860" s="173"/>
      <c r="D2860" s="86"/>
      <c r="E2860" s="43" t="str">
        <f t="shared" si="82"/>
        <v/>
      </c>
      <c r="F2860" s="43" t="str">
        <f t="shared" si="83"/>
        <v/>
      </c>
      <c r="G2860" s="44"/>
      <c r="H2860" s="44"/>
      <c r="I2860" s="44"/>
      <c r="J2860" s="176"/>
      <c r="K2860" s="43" t="str">
        <f t="array" ref="K2860">IF(J2860="","", XLOOKUP(J2860,'⚙️ Pengaturan'!$E$2:$E3237,'⚙️ Pengaturan'!$G$2:$G3237))</f>
        <v/>
      </c>
      <c r="L2860" s="43" t="str">
        <f t="shared" si="84"/>
        <v/>
      </c>
      <c r="M2860" s="177"/>
      <c r="N2860" s="145"/>
      <c r="O2860" s="146"/>
      <c r="P2860" s="48" t="str">
        <f t="array" ref="P2860">IFNA(XLOOKUP(J2860,'⚙️ Pengaturan'!$E$2:$E3237,'⚙️ Pengaturan'!$F$2:$F3237),"")</f>
        <v/>
      </c>
      <c r="Q2860" s="147" t="str">
        <f t="shared" si="85"/>
        <v/>
      </c>
      <c r="R2860" s="173"/>
      <c r="S2860" s="76"/>
      <c r="T2860" s="51" t="b">
        <v>0</v>
      </c>
      <c r="U2860" s="94"/>
    </row>
    <row r="2861" ht="30.0" customHeight="1">
      <c r="A2861" s="39"/>
      <c r="B2861" s="40"/>
      <c r="C2861" s="173"/>
      <c r="D2861" s="86"/>
      <c r="E2861" s="43" t="str">
        <f t="shared" si="82"/>
        <v/>
      </c>
      <c r="F2861" s="43" t="str">
        <f t="shared" si="83"/>
        <v/>
      </c>
      <c r="G2861" s="44"/>
      <c r="H2861" s="44"/>
      <c r="I2861" s="44"/>
      <c r="J2861" s="176"/>
      <c r="K2861" s="43" t="str">
        <f t="array" ref="K2861">IF(J2861="","", XLOOKUP(J2861,'⚙️ Pengaturan'!$E$2:$E3237,'⚙️ Pengaturan'!$G$2:$G3237))</f>
        <v/>
      </c>
      <c r="L2861" s="43" t="str">
        <f t="shared" si="84"/>
        <v/>
      </c>
      <c r="M2861" s="177"/>
      <c r="N2861" s="145"/>
      <c r="O2861" s="146"/>
      <c r="P2861" s="48" t="str">
        <f t="array" ref="P2861">IFNA(XLOOKUP(J2861,'⚙️ Pengaturan'!$E$2:$E3237,'⚙️ Pengaturan'!$F$2:$F3237),"")</f>
        <v/>
      </c>
      <c r="Q2861" s="147" t="str">
        <f t="shared" si="85"/>
        <v/>
      </c>
      <c r="R2861" s="173"/>
      <c r="S2861" s="76"/>
      <c r="T2861" s="51" t="b">
        <v>0</v>
      </c>
      <c r="U2861" s="94"/>
    </row>
    <row r="2862" ht="30.0" customHeight="1">
      <c r="A2862" s="39"/>
      <c r="B2862" s="40"/>
      <c r="C2862" s="173"/>
      <c r="D2862" s="86"/>
      <c r="E2862" s="43" t="str">
        <f t="shared" si="82"/>
        <v/>
      </c>
      <c r="F2862" s="43" t="str">
        <f t="shared" si="83"/>
        <v/>
      </c>
      <c r="G2862" s="44"/>
      <c r="H2862" s="44"/>
      <c r="I2862" s="44"/>
      <c r="J2862" s="176"/>
      <c r="K2862" s="43" t="str">
        <f t="array" ref="K2862">IF(J2862="","", XLOOKUP(J2862,'⚙️ Pengaturan'!$E$2:$E3237,'⚙️ Pengaturan'!$G$2:$G3237))</f>
        <v/>
      </c>
      <c r="L2862" s="43" t="str">
        <f t="shared" si="84"/>
        <v/>
      </c>
      <c r="M2862" s="177"/>
      <c r="N2862" s="145"/>
      <c r="O2862" s="146"/>
      <c r="P2862" s="48" t="str">
        <f t="array" ref="P2862">IFNA(XLOOKUP(J2862,'⚙️ Pengaturan'!$E$2:$E3237,'⚙️ Pengaturan'!$F$2:$F3237),"")</f>
        <v/>
      </c>
      <c r="Q2862" s="147" t="str">
        <f t="shared" si="85"/>
        <v/>
      </c>
      <c r="R2862" s="173"/>
      <c r="S2862" s="76"/>
      <c r="T2862" s="51" t="b">
        <v>0</v>
      </c>
      <c r="U2862" s="94"/>
    </row>
    <row r="2863" ht="30.0" customHeight="1">
      <c r="A2863" s="39"/>
      <c r="B2863" s="40"/>
      <c r="C2863" s="173"/>
      <c r="D2863" s="86"/>
      <c r="E2863" s="43" t="str">
        <f t="shared" si="82"/>
        <v/>
      </c>
      <c r="F2863" s="43" t="str">
        <f t="shared" si="83"/>
        <v/>
      </c>
      <c r="G2863" s="44"/>
      <c r="H2863" s="44"/>
      <c r="I2863" s="44"/>
      <c r="J2863" s="176"/>
      <c r="K2863" s="43" t="str">
        <f t="array" ref="K2863">IF(J2863="","", XLOOKUP(J2863,'⚙️ Pengaturan'!$E$2:$E3237,'⚙️ Pengaturan'!$G$2:$G3237))</f>
        <v/>
      </c>
      <c r="L2863" s="43" t="str">
        <f t="shared" si="84"/>
        <v/>
      </c>
      <c r="M2863" s="177"/>
      <c r="N2863" s="145"/>
      <c r="O2863" s="146"/>
      <c r="P2863" s="48" t="str">
        <f t="array" ref="P2863">IFNA(XLOOKUP(J2863,'⚙️ Pengaturan'!$E$2:$E3237,'⚙️ Pengaturan'!$F$2:$F3237),"")</f>
        <v/>
      </c>
      <c r="Q2863" s="147" t="str">
        <f t="shared" si="85"/>
        <v/>
      </c>
      <c r="R2863" s="173"/>
      <c r="S2863" s="76"/>
      <c r="T2863" s="51" t="b">
        <v>0</v>
      </c>
      <c r="U2863" s="94"/>
    </row>
    <row r="2864" ht="30.0" customHeight="1">
      <c r="A2864" s="39"/>
      <c r="B2864" s="40"/>
      <c r="C2864" s="173"/>
      <c r="D2864" s="86"/>
      <c r="E2864" s="43" t="str">
        <f t="shared" si="82"/>
        <v/>
      </c>
      <c r="F2864" s="43" t="str">
        <f t="shared" si="83"/>
        <v/>
      </c>
      <c r="G2864" s="44"/>
      <c r="H2864" s="44"/>
      <c r="I2864" s="44"/>
      <c r="J2864" s="176"/>
      <c r="K2864" s="43" t="str">
        <f t="array" ref="K2864">IF(J2864="","", XLOOKUP(J2864,'⚙️ Pengaturan'!$E$2:$E3237,'⚙️ Pengaturan'!$G$2:$G3237))</f>
        <v/>
      </c>
      <c r="L2864" s="43" t="str">
        <f t="shared" si="84"/>
        <v/>
      </c>
      <c r="M2864" s="177"/>
      <c r="N2864" s="145"/>
      <c r="O2864" s="146"/>
      <c r="P2864" s="48" t="str">
        <f t="array" ref="P2864">IFNA(XLOOKUP(J2864,'⚙️ Pengaturan'!$E$2:$E3237,'⚙️ Pengaturan'!$F$2:$F3237),"")</f>
        <v/>
      </c>
      <c r="Q2864" s="147" t="str">
        <f t="shared" si="85"/>
        <v/>
      </c>
      <c r="R2864" s="173"/>
      <c r="S2864" s="76"/>
      <c r="T2864" s="51" t="b">
        <v>0</v>
      </c>
      <c r="U2864" s="94"/>
    </row>
    <row r="2865" ht="30.0" customHeight="1">
      <c r="A2865" s="39"/>
      <c r="B2865" s="40"/>
      <c r="C2865" s="173"/>
      <c r="D2865" s="86"/>
      <c r="E2865" s="43" t="str">
        <f t="shared" si="82"/>
        <v/>
      </c>
      <c r="F2865" s="43" t="str">
        <f t="shared" si="83"/>
        <v/>
      </c>
      <c r="G2865" s="44"/>
      <c r="H2865" s="44"/>
      <c r="I2865" s="44"/>
      <c r="J2865" s="176"/>
      <c r="K2865" s="43" t="str">
        <f t="array" ref="K2865">IF(J2865="","", XLOOKUP(J2865,'⚙️ Pengaturan'!$E$2:$E3237,'⚙️ Pengaturan'!$G$2:$G3237))</f>
        <v/>
      </c>
      <c r="L2865" s="43" t="str">
        <f t="shared" si="84"/>
        <v/>
      </c>
      <c r="M2865" s="177"/>
      <c r="N2865" s="145"/>
      <c r="O2865" s="146"/>
      <c r="P2865" s="48" t="str">
        <f t="array" ref="P2865">IFNA(XLOOKUP(J2865,'⚙️ Pengaturan'!$E$2:$E3237,'⚙️ Pengaturan'!$F$2:$F3237),"")</f>
        <v/>
      </c>
      <c r="Q2865" s="147" t="str">
        <f t="shared" si="85"/>
        <v/>
      </c>
      <c r="R2865" s="173"/>
      <c r="S2865" s="76"/>
      <c r="T2865" s="51" t="b">
        <v>0</v>
      </c>
      <c r="U2865" s="94"/>
    </row>
    <row r="2866" ht="30.0" customHeight="1">
      <c r="A2866" s="39"/>
      <c r="B2866" s="40"/>
      <c r="C2866" s="173"/>
      <c r="D2866" s="86"/>
      <c r="E2866" s="43" t="str">
        <f t="shared" si="82"/>
        <v/>
      </c>
      <c r="F2866" s="43" t="str">
        <f t="shared" si="83"/>
        <v/>
      </c>
      <c r="G2866" s="44"/>
      <c r="H2866" s="44"/>
      <c r="I2866" s="44"/>
      <c r="J2866" s="176"/>
      <c r="K2866" s="43" t="str">
        <f t="array" ref="K2866">IF(J2866="","", XLOOKUP(J2866,'⚙️ Pengaturan'!$E$2:$E3237,'⚙️ Pengaturan'!$G$2:$G3237))</f>
        <v/>
      </c>
      <c r="L2866" s="43" t="str">
        <f t="shared" si="84"/>
        <v/>
      </c>
      <c r="M2866" s="177"/>
      <c r="N2866" s="145"/>
      <c r="O2866" s="146"/>
      <c r="P2866" s="48" t="str">
        <f t="array" ref="P2866">IFNA(XLOOKUP(J2866,'⚙️ Pengaturan'!$E$2:$E3237,'⚙️ Pengaturan'!$F$2:$F3237),"")</f>
        <v/>
      </c>
      <c r="Q2866" s="147" t="str">
        <f t="shared" si="85"/>
        <v/>
      </c>
      <c r="R2866" s="173"/>
      <c r="S2866" s="76"/>
      <c r="T2866" s="51" t="b">
        <v>0</v>
      </c>
      <c r="U2866" s="94"/>
    </row>
    <row r="2867" ht="30.0" customHeight="1">
      <c r="A2867" s="39"/>
      <c r="B2867" s="40"/>
      <c r="C2867" s="173"/>
      <c r="D2867" s="86"/>
      <c r="E2867" s="43" t="str">
        <f t="shared" si="82"/>
        <v/>
      </c>
      <c r="F2867" s="43" t="str">
        <f t="shared" si="83"/>
        <v/>
      </c>
      <c r="G2867" s="44"/>
      <c r="H2867" s="44"/>
      <c r="I2867" s="44"/>
      <c r="J2867" s="176"/>
      <c r="K2867" s="43" t="str">
        <f t="array" ref="K2867">IF(J2867="","", XLOOKUP(J2867,'⚙️ Pengaturan'!$E$2:$E3237,'⚙️ Pengaturan'!$G$2:$G3237))</f>
        <v/>
      </c>
      <c r="L2867" s="43" t="str">
        <f t="shared" si="84"/>
        <v/>
      </c>
      <c r="M2867" s="177"/>
      <c r="N2867" s="145"/>
      <c r="O2867" s="146"/>
      <c r="P2867" s="48" t="str">
        <f t="array" ref="P2867">IFNA(XLOOKUP(J2867,'⚙️ Pengaturan'!$E$2:$E3237,'⚙️ Pengaturan'!$F$2:$F3237),"")</f>
        <v/>
      </c>
      <c r="Q2867" s="147" t="str">
        <f t="shared" si="85"/>
        <v/>
      </c>
      <c r="R2867" s="173"/>
      <c r="S2867" s="76"/>
      <c r="T2867" s="51" t="b">
        <v>0</v>
      </c>
      <c r="U2867" s="94"/>
    </row>
    <row r="2868" ht="30.0" customHeight="1">
      <c r="A2868" s="39"/>
      <c r="B2868" s="40"/>
      <c r="C2868" s="173"/>
      <c r="D2868" s="86"/>
      <c r="E2868" s="43" t="str">
        <f t="shared" si="82"/>
        <v/>
      </c>
      <c r="F2868" s="43" t="str">
        <f t="shared" si="83"/>
        <v/>
      </c>
      <c r="G2868" s="44"/>
      <c r="H2868" s="44"/>
      <c r="I2868" s="44"/>
      <c r="J2868" s="176"/>
      <c r="K2868" s="43" t="str">
        <f t="array" ref="K2868">IF(J2868="","", XLOOKUP(J2868,'⚙️ Pengaturan'!$E$2:$E3237,'⚙️ Pengaturan'!$G$2:$G3237))</f>
        <v/>
      </c>
      <c r="L2868" s="43" t="str">
        <f t="shared" si="84"/>
        <v/>
      </c>
      <c r="M2868" s="177"/>
      <c r="N2868" s="145"/>
      <c r="O2868" s="146"/>
      <c r="P2868" s="48" t="str">
        <f t="array" ref="P2868">IFNA(XLOOKUP(J2868,'⚙️ Pengaturan'!$E$2:$E3237,'⚙️ Pengaturan'!$F$2:$F3237),"")</f>
        <v/>
      </c>
      <c r="Q2868" s="147" t="str">
        <f t="shared" si="85"/>
        <v/>
      </c>
      <c r="R2868" s="173"/>
      <c r="S2868" s="76"/>
      <c r="T2868" s="51" t="b">
        <v>0</v>
      </c>
      <c r="U2868" s="94"/>
    </row>
    <row r="2869" ht="30.0" customHeight="1">
      <c r="A2869" s="39"/>
      <c r="B2869" s="40"/>
      <c r="C2869" s="173"/>
      <c r="D2869" s="86"/>
      <c r="E2869" s="43" t="str">
        <f t="shared" si="82"/>
        <v/>
      </c>
      <c r="F2869" s="43" t="str">
        <f t="shared" si="83"/>
        <v/>
      </c>
      <c r="G2869" s="44"/>
      <c r="H2869" s="44"/>
      <c r="I2869" s="44"/>
      <c r="J2869" s="176"/>
      <c r="K2869" s="43" t="str">
        <f t="array" ref="K2869">IF(J2869="","", XLOOKUP(J2869,'⚙️ Pengaturan'!$E$2:$E3237,'⚙️ Pengaturan'!$G$2:$G3237))</f>
        <v/>
      </c>
      <c r="L2869" s="43" t="str">
        <f t="shared" si="84"/>
        <v/>
      </c>
      <c r="M2869" s="177"/>
      <c r="N2869" s="145"/>
      <c r="O2869" s="146"/>
      <c r="P2869" s="48" t="str">
        <f t="array" ref="P2869">IFNA(XLOOKUP(J2869,'⚙️ Pengaturan'!$E$2:$E3237,'⚙️ Pengaturan'!$F$2:$F3237),"")</f>
        <v/>
      </c>
      <c r="Q2869" s="147" t="str">
        <f t="shared" si="85"/>
        <v/>
      </c>
      <c r="R2869" s="173"/>
      <c r="S2869" s="76"/>
      <c r="T2869" s="51" t="b">
        <v>0</v>
      </c>
      <c r="U2869" s="94"/>
    </row>
    <row r="2870" ht="30.0" customHeight="1">
      <c r="A2870" s="39"/>
      <c r="B2870" s="40"/>
      <c r="C2870" s="173"/>
      <c r="D2870" s="86"/>
      <c r="E2870" s="43" t="str">
        <f t="shared" si="82"/>
        <v/>
      </c>
      <c r="F2870" s="43" t="str">
        <f t="shared" si="83"/>
        <v/>
      </c>
      <c r="G2870" s="44"/>
      <c r="H2870" s="44"/>
      <c r="I2870" s="44"/>
      <c r="J2870" s="176"/>
      <c r="K2870" s="43" t="str">
        <f t="array" ref="K2870">IF(J2870="","", XLOOKUP(J2870,'⚙️ Pengaturan'!$E$2:$E3237,'⚙️ Pengaturan'!$G$2:$G3237))</f>
        <v/>
      </c>
      <c r="L2870" s="43" t="str">
        <f t="shared" si="84"/>
        <v/>
      </c>
      <c r="M2870" s="177"/>
      <c r="N2870" s="145"/>
      <c r="O2870" s="146"/>
      <c r="P2870" s="48" t="str">
        <f t="array" ref="P2870">IFNA(XLOOKUP(J2870,'⚙️ Pengaturan'!$E$2:$E3237,'⚙️ Pengaturan'!$F$2:$F3237),"")</f>
        <v/>
      </c>
      <c r="Q2870" s="147" t="str">
        <f t="shared" si="85"/>
        <v/>
      </c>
      <c r="R2870" s="173"/>
      <c r="S2870" s="76"/>
      <c r="T2870" s="51" t="b">
        <v>0</v>
      </c>
      <c r="U2870" s="94"/>
    </row>
    <row r="2871" ht="30.0" customHeight="1">
      <c r="A2871" s="39"/>
      <c r="B2871" s="40"/>
      <c r="C2871" s="173"/>
      <c r="D2871" s="86"/>
      <c r="E2871" s="43" t="str">
        <f t="shared" si="82"/>
        <v/>
      </c>
      <c r="F2871" s="43" t="str">
        <f t="shared" si="83"/>
        <v/>
      </c>
      <c r="G2871" s="44"/>
      <c r="H2871" s="44"/>
      <c r="I2871" s="44"/>
      <c r="J2871" s="176"/>
      <c r="K2871" s="43" t="str">
        <f t="array" ref="K2871">IF(J2871="","", XLOOKUP(J2871,'⚙️ Pengaturan'!$E$2:$E3237,'⚙️ Pengaturan'!$G$2:$G3237))</f>
        <v/>
      </c>
      <c r="L2871" s="43" t="str">
        <f t="shared" si="84"/>
        <v/>
      </c>
      <c r="M2871" s="177"/>
      <c r="N2871" s="145"/>
      <c r="O2871" s="146"/>
      <c r="P2871" s="48" t="str">
        <f t="array" ref="P2871">IFNA(XLOOKUP(J2871,'⚙️ Pengaturan'!$E$2:$E3237,'⚙️ Pengaturan'!$F$2:$F3237),"")</f>
        <v/>
      </c>
      <c r="Q2871" s="147" t="str">
        <f t="shared" si="85"/>
        <v/>
      </c>
      <c r="R2871" s="173"/>
      <c r="S2871" s="76"/>
      <c r="T2871" s="51" t="b">
        <v>0</v>
      </c>
      <c r="U2871" s="94"/>
    </row>
    <row r="2872" ht="30.0" customHeight="1">
      <c r="A2872" s="39"/>
      <c r="B2872" s="40"/>
      <c r="C2872" s="173"/>
      <c r="D2872" s="86"/>
      <c r="E2872" s="43" t="str">
        <f t="shared" si="82"/>
        <v/>
      </c>
      <c r="F2872" s="43" t="str">
        <f t="shared" si="83"/>
        <v/>
      </c>
      <c r="G2872" s="44"/>
      <c r="H2872" s="44"/>
      <c r="I2872" s="44"/>
      <c r="J2872" s="176"/>
      <c r="K2872" s="43" t="str">
        <f t="array" ref="K2872">IF(J2872="","", XLOOKUP(J2872,'⚙️ Pengaturan'!$E$2:$E3237,'⚙️ Pengaturan'!$G$2:$G3237))</f>
        <v/>
      </c>
      <c r="L2872" s="43" t="str">
        <f t="shared" si="84"/>
        <v/>
      </c>
      <c r="M2872" s="177"/>
      <c r="N2872" s="145"/>
      <c r="O2872" s="146"/>
      <c r="P2872" s="48" t="str">
        <f t="array" ref="P2872">IFNA(XLOOKUP(J2872,'⚙️ Pengaturan'!$E$2:$E3237,'⚙️ Pengaturan'!$F$2:$F3237),"")</f>
        <v/>
      </c>
      <c r="Q2872" s="147" t="str">
        <f t="shared" si="85"/>
        <v/>
      </c>
      <c r="R2872" s="173"/>
      <c r="S2872" s="76"/>
      <c r="T2872" s="51" t="b">
        <v>0</v>
      </c>
      <c r="U2872" s="94"/>
    </row>
    <row r="2873" ht="30.0" customHeight="1">
      <c r="A2873" s="39"/>
      <c r="B2873" s="40"/>
      <c r="C2873" s="173"/>
      <c r="D2873" s="86"/>
      <c r="E2873" s="43" t="str">
        <f t="shared" si="82"/>
        <v/>
      </c>
      <c r="F2873" s="43" t="str">
        <f t="shared" si="83"/>
        <v/>
      </c>
      <c r="G2873" s="44"/>
      <c r="H2873" s="44"/>
      <c r="I2873" s="44"/>
      <c r="J2873" s="176"/>
      <c r="K2873" s="43" t="str">
        <f t="array" ref="K2873">IF(J2873="","", XLOOKUP(J2873,'⚙️ Pengaturan'!$E$2:$E3237,'⚙️ Pengaturan'!$G$2:$G3237))</f>
        <v/>
      </c>
      <c r="L2873" s="43" t="str">
        <f t="shared" si="84"/>
        <v/>
      </c>
      <c r="M2873" s="177"/>
      <c r="N2873" s="145"/>
      <c r="O2873" s="146"/>
      <c r="P2873" s="48" t="str">
        <f t="array" ref="P2873">IFNA(XLOOKUP(J2873,'⚙️ Pengaturan'!$E$2:$E3237,'⚙️ Pengaturan'!$F$2:$F3237),"")</f>
        <v/>
      </c>
      <c r="Q2873" s="147" t="str">
        <f t="shared" si="85"/>
        <v/>
      </c>
      <c r="R2873" s="173"/>
      <c r="S2873" s="76"/>
      <c r="T2873" s="51" t="b">
        <v>0</v>
      </c>
      <c r="U2873" s="94"/>
    </row>
    <row r="2874" ht="30.0" customHeight="1">
      <c r="A2874" s="39"/>
      <c r="B2874" s="40"/>
      <c r="C2874" s="173"/>
      <c r="D2874" s="86"/>
      <c r="E2874" s="43" t="str">
        <f t="shared" si="82"/>
        <v/>
      </c>
      <c r="F2874" s="43" t="str">
        <f t="shared" si="83"/>
        <v/>
      </c>
      <c r="G2874" s="44"/>
      <c r="H2874" s="44"/>
      <c r="I2874" s="44"/>
      <c r="J2874" s="176"/>
      <c r="K2874" s="43" t="str">
        <f t="array" ref="K2874">IF(J2874="","", XLOOKUP(J2874,'⚙️ Pengaturan'!$E$2:$E3237,'⚙️ Pengaturan'!$G$2:$G3237))</f>
        <v/>
      </c>
      <c r="L2874" s="43" t="str">
        <f t="shared" si="84"/>
        <v/>
      </c>
      <c r="M2874" s="177"/>
      <c r="N2874" s="145"/>
      <c r="O2874" s="146"/>
      <c r="P2874" s="48" t="str">
        <f t="array" ref="P2874">IFNA(XLOOKUP(J2874,'⚙️ Pengaturan'!$E$2:$E3237,'⚙️ Pengaturan'!$F$2:$F3237),"")</f>
        <v/>
      </c>
      <c r="Q2874" s="147" t="str">
        <f t="shared" si="85"/>
        <v/>
      </c>
      <c r="R2874" s="173"/>
      <c r="S2874" s="76"/>
      <c r="T2874" s="51" t="b">
        <v>0</v>
      </c>
      <c r="U2874" s="94"/>
    </row>
    <row r="2875" ht="30.0" customHeight="1">
      <c r="A2875" s="39"/>
      <c r="B2875" s="40"/>
      <c r="C2875" s="173"/>
      <c r="D2875" s="86"/>
      <c r="E2875" s="43" t="str">
        <f t="shared" si="82"/>
        <v/>
      </c>
      <c r="F2875" s="43" t="str">
        <f t="shared" si="83"/>
        <v/>
      </c>
      <c r="G2875" s="44"/>
      <c r="H2875" s="44"/>
      <c r="I2875" s="44"/>
      <c r="J2875" s="176"/>
      <c r="K2875" s="43" t="str">
        <f t="array" ref="K2875">IF(J2875="","", XLOOKUP(J2875,'⚙️ Pengaturan'!$E$2:$E3237,'⚙️ Pengaturan'!$G$2:$G3237))</f>
        <v/>
      </c>
      <c r="L2875" s="43" t="str">
        <f t="shared" si="84"/>
        <v/>
      </c>
      <c r="M2875" s="177"/>
      <c r="N2875" s="145"/>
      <c r="O2875" s="146"/>
      <c r="P2875" s="48" t="str">
        <f t="array" ref="P2875">IFNA(XLOOKUP(J2875,'⚙️ Pengaturan'!$E$2:$E3237,'⚙️ Pengaturan'!$F$2:$F3237),"")</f>
        <v/>
      </c>
      <c r="Q2875" s="147" t="str">
        <f t="shared" si="85"/>
        <v/>
      </c>
      <c r="R2875" s="173"/>
      <c r="S2875" s="76"/>
      <c r="T2875" s="51" t="b">
        <v>0</v>
      </c>
      <c r="U2875" s="94"/>
    </row>
    <row r="2876" ht="30.0" customHeight="1">
      <c r="A2876" s="39"/>
      <c r="B2876" s="40"/>
      <c r="C2876" s="173"/>
      <c r="D2876" s="86"/>
      <c r="E2876" s="43" t="str">
        <f t="shared" si="82"/>
        <v/>
      </c>
      <c r="F2876" s="43" t="str">
        <f t="shared" si="83"/>
        <v/>
      </c>
      <c r="G2876" s="44"/>
      <c r="H2876" s="44"/>
      <c r="I2876" s="44"/>
      <c r="J2876" s="176"/>
      <c r="K2876" s="43" t="str">
        <f t="array" ref="K2876">IF(J2876="","", XLOOKUP(J2876,'⚙️ Pengaturan'!$E$2:$E3237,'⚙️ Pengaturan'!$G$2:$G3237))</f>
        <v/>
      </c>
      <c r="L2876" s="43" t="str">
        <f t="shared" si="84"/>
        <v/>
      </c>
      <c r="M2876" s="177"/>
      <c r="N2876" s="145"/>
      <c r="O2876" s="146"/>
      <c r="P2876" s="48" t="str">
        <f t="array" ref="P2876">IFNA(XLOOKUP(J2876,'⚙️ Pengaturan'!$E$2:$E3237,'⚙️ Pengaturan'!$F$2:$F3237),"")</f>
        <v/>
      </c>
      <c r="Q2876" s="147" t="str">
        <f t="shared" si="85"/>
        <v/>
      </c>
      <c r="R2876" s="173"/>
      <c r="S2876" s="76"/>
      <c r="T2876" s="51" t="b">
        <v>0</v>
      </c>
      <c r="U2876" s="94"/>
    </row>
    <row r="2877" ht="30.0" customHeight="1">
      <c r="A2877" s="39"/>
      <c r="B2877" s="40"/>
      <c r="C2877" s="173"/>
      <c r="D2877" s="86"/>
      <c r="E2877" s="43" t="str">
        <f t="shared" si="82"/>
        <v/>
      </c>
      <c r="F2877" s="43" t="str">
        <f t="shared" si="83"/>
        <v/>
      </c>
      <c r="G2877" s="44"/>
      <c r="H2877" s="44"/>
      <c r="I2877" s="44"/>
      <c r="J2877" s="176"/>
      <c r="K2877" s="43" t="str">
        <f t="array" ref="K2877">IF(J2877="","", XLOOKUP(J2877,'⚙️ Pengaturan'!$E$2:$E3237,'⚙️ Pengaturan'!$G$2:$G3237))</f>
        <v/>
      </c>
      <c r="L2877" s="43" t="str">
        <f t="shared" si="84"/>
        <v/>
      </c>
      <c r="M2877" s="177"/>
      <c r="N2877" s="145"/>
      <c r="O2877" s="146"/>
      <c r="P2877" s="48" t="str">
        <f t="array" ref="P2877">IFNA(XLOOKUP(J2877,'⚙️ Pengaturan'!$E$2:$E3237,'⚙️ Pengaturan'!$F$2:$F3237),"")</f>
        <v/>
      </c>
      <c r="Q2877" s="147" t="str">
        <f t="shared" si="85"/>
        <v/>
      </c>
      <c r="R2877" s="173"/>
      <c r="S2877" s="76"/>
      <c r="T2877" s="51" t="b">
        <v>0</v>
      </c>
      <c r="U2877" s="94"/>
    </row>
    <row r="2878" ht="30.0" customHeight="1">
      <c r="A2878" s="39"/>
      <c r="B2878" s="40"/>
      <c r="C2878" s="173"/>
      <c r="D2878" s="86"/>
      <c r="E2878" s="43" t="str">
        <f t="shared" si="82"/>
        <v/>
      </c>
      <c r="F2878" s="43" t="str">
        <f t="shared" si="83"/>
        <v/>
      </c>
      <c r="G2878" s="44"/>
      <c r="H2878" s="44"/>
      <c r="I2878" s="44"/>
      <c r="J2878" s="176"/>
      <c r="K2878" s="43" t="str">
        <f t="array" ref="K2878">IF(J2878="","", XLOOKUP(J2878,'⚙️ Pengaturan'!$E$2:$E3237,'⚙️ Pengaturan'!$G$2:$G3237))</f>
        <v/>
      </c>
      <c r="L2878" s="43" t="str">
        <f t="shared" si="84"/>
        <v/>
      </c>
      <c r="M2878" s="177"/>
      <c r="N2878" s="145"/>
      <c r="O2878" s="146"/>
      <c r="P2878" s="48" t="str">
        <f t="array" ref="P2878">IFNA(XLOOKUP(J2878,'⚙️ Pengaturan'!$E$2:$E3237,'⚙️ Pengaturan'!$F$2:$F3237),"")</f>
        <v/>
      </c>
      <c r="Q2878" s="147" t="str">
        <f t="shared" si="85"/>
        <v/>
      </c>
      <c r="R2878" s="173"/>
      <c r="S2878" s="76"/>
      <c r="T2878" s="51" t="b">
        <v>0</v>
      </c>
      <c r="U2878" s="94"/>
    </row>
    <row r="2879" ht="30.0" customHeight="1">
      <c r="A2879" s="39"/>
      <c r="B2879" s="40"/>
      <c r="C2879" s="173"/>
      <c r="D2879" s="86"/>
      <c r="E2879" s="43" t="str">
        <f t="shared" si="82"/>
        <v/>
      </c>
      <c r="F2879" s="43" t="str">
        <f t="shared" si="83"/>
        <v/>
      </c>
      <c r="G2879" s="44"/>
      <c r="H2879" s="44"/>
      <c r="I2879" s="44"/>
      <c r="J2879" s="176"/>
      <c r="K2879" s="43" t="str">
        <f t="array" ref="K2879">IF(J2879="","", XLOOKUP(J2879,'⚙️ Pengaturan'!$E$2:$E3237,'⚙️ Pengaturan'!$G$2:$G3237))</f>
        <v/>
      </c>
      <c r="L2879" s="43" t="str">
        <f t="shared" si="84"/>
        <v/>
      </c>
      <c r="M2879" s="177"/>
      <c r="N2879" s="145"/>
      <c r="O2879" s="146"/>
      <c r="P2879" s="48" t="str">
        <f t="array" ref="P2879">IFNA(XLOOKUP(J2879,'⚙️ Pengaturan'!$E$2:$E3237,'⚙️ Pengaturan'!$F$2:$F3237),"")</f>
        <v/>
      </c>
      <c r="Q2879" s="147" t="str">
        <f t="shared" si="85"/>
        <v/>
      </c>
      <c r="R2879" s="173"/>
      <c r="S2879" s="76"/>
      <c r="T2879" s="51" t="b">
        <v>0</v>
      </c>
      <c r="U2879" s="94"/>
    </row>
    <row r="2880" ht="30.0" customHeight="1">
      <c r="A2880" s="39"/>
      <c r="B2880" s="40"/>
      <c r="C2880" s="173"/>
      <c r="D2880" s="86"/>
      <c r="E2880" s="43" t="str">
        <f t="shared" si="82"/>
        <v/>
      </c>
      <c r="F2880" s="43" t="str">
        <f t="shared" si="83"/>
        <v/>
      </c>
      <c r="G2880" s="44"/>
      <c r="H2880" s="44"/>
      <c r="I2880" s="44"/>
      <c r="J2880" s="176"/>
      <c r="K2880" s="43" t="str">
        <f t="array" ref="K2880">IF(J2880="","", XLOOKUP(J2880,'⚙️ Pengaturan'!$E$2:$E3237,'⚙️ Pengaturan'!$G$2:$G3237))</f>
        <v/>
      </c>
      <c r="L2880" s="43" t="str">
        <f t="shared" si="84"/>
        <v/>
      </c>
      <c r="M2880" s="177"/>
      <c r="N2880" s="145"/>
      <c r="O2880" s="146"/>
      <c r="P2880" s="48" t="str">
        <f t="array" ref="P2880">IFNA(XLOOKUP(J2880,'⚙️ Pengaturan'!$E$2:$E3237,'⚙️ Pengaturan'!$F$2:$F3237),"")</f>
        <v/>
      </c>
      <c r="Q2880" s="147" t="str">
        <f t="shared" si="85"/>
        <v/>
      </c>
      <c r="R2880" s="173"/>
      <c r="S2880" s="76"/>
      <c r="T2880" s="51" t="b">
        <v>0</v>
      </c>
      <c r="U2880" s="94"/>
    </row>
    <row r="2881" ht="30.0" customHeight="1">
      <c r="A2881" s="39"/>
      <c r="B2881" s="40"/>
      <c r="C2881" s="173"/>
      <c r="D2881" s="86"/>
      <c r="E2881" s="43" t="str">
        <f t="shared" si="82"/>
        <v/>
      </c>
      <c r="F2881" s="43" t="str">
        <f t="shared" si="83"/>
        <v/>
      </c>
      <c r="G2881" s="44"/>
      <c r="H2881" s="44"/>
      <c r="I2881" s="44"/>
      <c r="J2881" s="176"/>
      <c r="K2881" s="43" t="str">
        <f t="array" ref="K2881">IF(J2881="","", XLOOKUP(J2881,'⚙️ Pengaturan'!$E$2:$E3237,'⚙️ Pengaturan'!$G$2:$G3237))</f>
        <v/>
      </c>
      <c r="L2881" s="43" t="str">
        <f t="shared" si="84"/>
        <v/>
      </c>
      <c r="M2881" s="177"/>
      <c r="N2881" s="145"/>
      <c r="O2881" s="146"/>
      <c r="P2881" s="48" t="str">
        <f t="array" ref="P2881">IFNA(XLOOKUP(J2881,'⚙️ Pengaturan'!$E$2:$E3237,'⚙️ Pengaturan'!$F$2:$F3237),"")</f>
        <v/>
      </c>
      <c r="Q2881" s="147" t="str">
        <f t="shared" si="85"/>
        <v/>
      </c>
      <c r="R2881" s="173"/>
      <c r="S2881" s="76"/>
      <c r="T2881" s="51" t="b">
        <v>0</v>
      </c>
      <c r="U2881" s="94"/>
    </row>
    <row r="2882" ht="30.0" customHeight="1">
      <c r="A2882" s="39"/>
      <c r="B2882" s="40"/>
      <c r="C2882" s="173"/>
      <c r="D2882" s="86"/>
      <c r="E2882" s="43" t="str">
        <f t="shared" si="82"/>
        <v/>
      </c>
      <c r="F2882" s="43" t="str">
        <f t="shared" si="83"/>
        <v/>
      </c>
      <c r="G2882" s="44"/>
      <c r="H2882" s="44"/>
      <c r="I2882" s="44"/>
      <c r="J2882" s="176"/>
      <c r="K2882" s="43" t="str">
        <f t="array" ref="K2882">IF(J2882="","", XLOOKUP(J2882,'⚙️ Pengaturan'!$E$2:$E3237,'⚙️ Pengaturan'!$G$2:$G3237))</f>
        <v/>
      </c>
      <c r="L2882" s="43" t="str">
        <f t="shared" si="84"/>
        <v/>
      </c>
      <c r="M2882" s="177"/>
      <c r="N2882" s="145"/>
      <c r="O2882" s="146"/>
      <c r="P2882" s="48" t="str">
        <f t="array" ref="P2882">IFNA(XLOOKUP(J2882,'⚙️ Pengaturan'!$E$2:$E3237,'⚙️ Pengaturan'!$F$2:$F3237),"")</f>
        <v/>
      </c>
      <c r="Q2882" s="147" t="str">
        <f t="shared" si="85"/>
        <v/>
      </c>
      <c r="R2882" s="173"/>
      <c r="S2882" s="76"/>
      <c r="T2882" s="51" t="b">
        <v>0</v>
      </c>
      <c r="U2882" s="94"/>
    </row>
    <row r="2883" ht="30.0" customHeight="1">
      <c r="A2883" s="39"/>
      <c r="B2883" s="40"/>
      <c r="C2883" s="173"/>
      <c r="D2883" s="86"/>
      <c r="E2883" s="43" t="str">
        <f t="shared" si="82"/>
        <v/>
      </c>
      <c r="F2883" s="43" t="str">
        <f t="shared" si="83"/>
        <v/>
      </c>
      <c r="G2883" s="44"/>
      <c r="H2883" s="44"/>
      <c r="I2883" s="44"/>
      <c r="J2883" s="176"/>
      <c r="K2883" s="43" t="str">
        <f t="array" ref="K2883">IF(J2883="","", XLOOKUP(J2883,'⚙️ Pengaturan'!$E$2:$E3237,'⚙️ Pengaturan'!$G$2:$G3237))</f>
        <v/>
      </c>
      <c r="L2883" s="43" t="str">
        <f t="shared" si="84"/>
        <v/>
      </c>
      <c r="M2883" s="177"/>
      <c r="N2883" s="145"/>
      <c r="O2883" s="146"/>
      <c r="P2883" s="48" t="str">
        <f t="array" ref="P2883">IFNA(XLOOKUP(J2883,'⚙️ Pengaturan'!$E$2:$E3237,'⚙️ Pengaturan'!$F$2:$F3237),"")</f>
        <v/>
      </c>
      <c r="Q2883" s="147" t="str">
        <f t="shared" si="85"/>
        <v/>
      </c>
      <c r="R2883" s="173"/>
      <c r="S2883" s="76"/>
      <c r="T2883" s="51" t="b">
        <v>0</v>
      </c>
      <c r="U2883" s="94"/>
    </row>
    <row r="2884" ht="30.0" customHeight="1">
      <c r="A2884" s="39"/>
      <c r="B2884" s="40"/>
      <c r="C2884" s="173"/>
      <c r="D2884" s="86"/>
      <c r="E2884" s="43" t="str">
        <f t="shared" si="82"/>
        <v/>
      </c>
      <c r="F2884" s="43" t="str">
        <f t="shared" si="83"/>
        <v/>
      </c>
      <c r="G2884" s="44"/>
      <c r="H2884" s="44"/>
      <c r="I2884" s="44"/>
      <c r="J2884" s="176"/>
      <c r="K2884" s="43" t="str">
        <f t="array" ref="K2884">IF(J2884="","", XLOOKUP(J2884,'⚙️ Pengaturan'!$E$2:$E3237,'⚙️ Pengaturan'!$G$2:$G3237))</f>
        <v/>
      </c>
      <c r="L2884" s="43" t="str">
        <f t="shared" si="84"/>
        <v/>
      </c>
      <c r="M2884" s="177"/>
      <c r="N2884" s="145"/>
      <c r="O2884" s="146"/>
      <c r="P2884" s="48" t="str">
        <f t="array" ref="P2884">IFNA(XLOOKUP(J2884,'⚙️ Pengaturan'!$E$2:$E3237,'⚙️ Pengaturan'!$F$2:$F3237),"")</f>
        <v/>
      </c>
      <c r="Q2884" s="147" t="str">
        <f t="shared" si="85"/>
        <v/>
      </c>
      <c r="R2884" s="173"/>
      <c r="S2884" s="76"/>
      <c r="T2884" s="51" t="b">
        <v>0</v>
      </c>
      <c r="U2884" s="94"/>
    </row>
    <row r="2885" ht="30.0" customHeight="1">
      <c r="A2885" s="39"/>
      <c r="B2885" s="40"/>
      <c r="C2885" s="173"/>
      <c r="D2885" s="86"/>
      <c r="E2885" s="43" t="str">
        <f t="shared" si="82"/>
        <v/>
      </c>
      <c r="F2885" s="43" t="str">
        <f t="shared" si="83"/>
        <v/>
      </c>
      <c r="G2885" s="44"/>
      <c r="H2885" s="44"/>
      <c r="I2885" s="44"/>
      <c r="J2885" s="176"/>
      <c r="K2885" s="43" t="str">
        <f t="array" ref="K2885">IF(J2885="","", XLOOKUP(J2885,'⚙️ Pengaturan'!$E$2:$E3237,'⚙️ Pengaturan'!$G$2:$G3237))</f>
        <v/>
      </c>
      <c r="L2885" s="43" t="str">
        <f t="shared" si="84"/>
        <v/>
      </c>
      <c r="M2885" s="177"/>
      <c r="N2885" s="145"/>
      <c r="O2885" s="146"/>
      <c r="P2885" s="48" t="str">
        <f t="array" ref="P2885">IFNA(XLOOKUP(J2885,'⚙️ Pengaturan'!$E$2:$E3237,'⚙️ Pengaturan'!$F$2:$F3237),"")</f>
        <v/>
      </c>
      <c r="Q2885" s="147" t="str">
        <f t="shared" si="85"/>
        <v/>
      </c>
      <c r="R2885" s="173"/>
      <c r="S2885" s="76"/>
      <c r="T2885" s="51" t="b">
        <v>0</v>
      </c>
      <c r="U2885" s="94"/>
    </row>
    <row r="2886" ht="30.0" customHeight="1">
      <c r="A2886" s="39"/>
      <c r="B2886" s="40"/>
      <c r="C2886" s="173"/>
      <c r="D2886" s="86"/>
      <c r="E2886" s="43" t="str">
        <f t="shared" si="82"/>
        <v/>
      </c>
      <c r="F2886" s="43" t="str">
        <f t="shared" si="83"/>
        <v/>
      </c>
      <c r="G2886" s="44"/>
      <c r="H2886" s="44"/>
      <c r="I2886" s="44"/>
      <c r="J2886" s="176"/>
      <c r="K2886" s="43" t="str">
        <f t="array" ref="K2886">IF(J2886="","", XLOOKUP(J2886,'⚙️ Pengaturan'!$E$2:$E3237,'⚙️ Pengaturan'!$G$2:$G3237))</f>
        <v/>
      </c>
      <c r="L2886" s="43" t="str">
        <f t="shared" si="84"/>
        <v/>
      </c>
      <c r="M2886" s="177"/>
      <c r="N2886" s="145"/>
      <c r="O2886" s="146"/>
      <c r="P2886" s="48" t="str">
        <f t="array" ref="P2886">IFNA(XLOOKUP(J2886,'⚙️ Pengaturan'!$E$2:$E3237,'⚙️ Pengaturan'!$F$2:$F3237),"")</f>
        <v/>
      </c>
      <c r="Q2886" s="147" t="str">
        <f t="shared" si="85"/>
        <v/>
      </c>
      <c r="R2886" s="173"/>
      <c r="S2886" s="76"/>
      <c r="T2886" s="51" t="b">
        <v>0</v>
      </c>
      <c r="U2886" s="94"/>
    </row>
    <row r="2887" ht="30.0" customHeight="1">
      <c r="A2887" s="39"/>
      <c r="B2887" s="40"/>
      <c r="C2887" s="173"/>
      <c r="D2887" s="86"/>
      <c r="E2887" s="43" t="str">
        <f t="shared" si="82"/>
        <v/>
      </c>
      <c r="F2887" s="43" t="str">
        <f t="shared" si="83"/>
        <v/>
      </c>
      <c r="G2887" s="44"/>
      <c r="H2887" s="44"/>
      <c r="I2887" s="44"/>
      <c r="J2887" s="176"/>
      <c r="K2887" s="43" t="str">
        <f t="array" ref="K2887">IF(J2887="","", XLOOKUP(J2887,'⚙️ Pengaturan'!$E$2:$E3237,'⚙️ Pengaturan'!$G$2:$G3237))</f>
        <v/>
      </c>
      <c r="L2887" s="43" t="str">
        <f t="shared" si="84"/>
        <v/>
      </c>
      <c r="M2887" s="177"/>
      <c r="N2887" s="145"/>
      <c r="O2887" s="146"/>
      <c r="P2887" s="48" t="str">
        <f t="array" ref="P2887">IFNA(XLOOKUP(J2887,'⚙️ Pengaturan'!$E$2:$E3237,'⚙️ Pengaturan'!$F$2:$F3237),"")</f>
        <v/>
      </c>
      <c r="Q2887" s="147" t="str">
        <f t="shared" si="85"/>
        <v/>
      </c>
      <c r="R2887" s="173"/>
      <c r="S2887" s="76"/>
      <c r="T2887" s="51" t="b">
        <v>0</v>
      </c>
      <c r="U2887" s="94"/>
    </row>
    <row r="2888" ht="30.0" customHeight="1">
      <c r="A2888" s="39"/>
      <c r="B2888" s="40"/>
      <c r="C2888" s="173"/>
      <c r="D2888" s="86"/>
      <c r="E2888" s="43" t="str">
        <f t="shared" si="82"/>
        <v/>
      </c>
      <c r="F2888" s="43" t="str">
        <f t="shared" si="83"/>
        <v/>
      </c>
      <c r="G2888" s="44"/>
      <c r="H2888" s="44"/>
      <c r="I2888" s="44"/>
      <c r="J2888" s="176"/>
      <c r="K2888" s="43" t="str">
        <f t="array" ref="K2888">IF(J2888="","", XLOOKUP(J2888,'⚙️ Pengaturan'!$E$2:$E3237,'⚙️ Pengaturan'!$G$2:$G3237))</f>
        <v/>
      </c>
      <c r="L2888" s="43" t="str">
        <f t="shared" si="84"/>
        <v/>
      </c>
      <c r="M2888" s="177"/>
      <c r="N2888" s="145"/>
      <c r="O2888" s="146"/>
      <c r="P2888" s="48" t="str">
        <f t="array" ref="P2888">IFNA(XLOOKUP(J2888,'⚙️ Pengaturan'!$E$2:$E3237,'⚙️ Pengaturan'!$F$2:$F3237),"")</f>
        <v/>
      </c>
      <c r="Q2888" s="147" t="str">
        <f t="shared" si="85"/>
        <v/>
      </c>
      <c r="R2888" s="173"/>
      <c r="S2888" s="76"/>
      <c r="T2888" s="51" t="b">
        <v>0</v>
      </c>
      <c r="U2888" s="94"/>
    </row>
    <row r="2889" ht="30.0" customHeight="1">
      <c r="A2889" s="39"/>
      <c r="B2889" s="40"/>
      <c r="C2889" s="173"/>
      <c r="D2889" s="86"/>
      <c r="E2889" s="43" t="str">
        <f t="shared" si="82"/>
        <v/>
      </c>
      <c r="F2889" s="43" t="str">
        <f t="shared" si="83"/>
        <v/>
      </c>
      <c r="G2889" s="44"/>
      <c r="H2889" s="44"/>
      <c r="I2889" s="44"/>
      <c r="J2889" s="176"/>
      <c r="K2889" s="43" t="str">
        <f t="array" ref="K2889">IF(J2889="","", XLOOKUP(J2889,'⚙️ Pengaturan'!$E$2:$E3237,'⚙️ Pengaturan'!$G$2:$G3237))</f>
        <v/>
      </c>
      <c r="L2889" s="43" t="str">
        <f t="shared" si="84"/>
        <v/>
      </c>
      <c r="M2889" s="177"/>
      <c r="N2889" s="145"/>
      <c r="O2889" s="146"/>
      <c r="P2889" s="48" t="str">
        <f t="array" ref="P2889">IFNA(XLOOKUP(J2889,'⚙️ Pengaturan'!$E$2:$E3237,'⚙️ Pengaturan'!$F$2:$F3237),"")</f>
        <v/>
      </c>
      <c r="Q2889" s="147" t="str">
        <f t="shared" si="85"/>
        <v/>
      </c>
      <c r="R2889" s="173"/>
      <c r="S2889" s="76"/>
      <c r="T2889" s="51" t="b">
        <v>0</v>
      </c>
      <c r="U2889" s="94"/>
    </row>
    <row r="2890" ht="30.0" customHeight="1">
      <c r="A2890" s="39"/>
      <c r="B2890" s="40"/>
      <c r="C2890" s="173"/>
      <c r="D2890" s="86"/>
      <c r="E2890" s="43" t="str">
        <f t="shared" si="82"/>
        <v/>
      </c>
      <c r="F2890" s="43" t="str">
        <f t="shared" si="83"/>
        <v/>
      </c>
      <c r="G2890" s="44"/>
      <c r="H2890" s="44"/>
      <c r="I2890" s="44"/>
      <c r="J2890" s="176"/>
      <c r="K2890" s="43" t="str">
        <f t="array" ref="K2890">IF(J2890="","", XLOOKUP(J2890,'⚙️ Pengaturan'!$E$2:$E3237,'⚙️ Pengaturan'!$G$2:$G3237))</f>
        <v/>
      </c>
      <c r="L2890" s="43" t="str">
        <f t="shared" si="84"/>
        <v/>
      </c>
      <c r="M2890" s="177"/>
      <c r="N2890" s="145"/>
      <c r="O2890" s="146"/>
      <c r="P2890" s="48" t="str">
        <f t="array" ref="P2890">IFNA(XLOOKUP(J2890,'⚙️ Pengaturan'!$E$2:$E3237,'⚙️ Pengaturan'!$F$2:$F3237),"")</f>
        <v/>
      </c>
      <c r="Q2890" s="147" t="str">
        <f t="shared" si="85"/>
        <v/>
      </c>
      <c r="R2890" s="173"/>
      <c r="S2890" s="76"/>
      <c r="T2890" s="51" t="b">
        <v>0</v>
      </c>
      <c r="U2890" s="94"/>
    </row>
    <row r="2891" ht="30.0" customHeight="1">
      <c r="A2891" s="39"/>
      <c r="B2891" s="40"/>
      <c r="C2891" s="173"/>
      <c r="D2891" s="86"/>
      <c r="E2891" s="43" t="str">
        <f t="shared" si="82"/>
        <v/>
      </c>
      <c r="F2891" s="43" t="str">
        <f t="shared" si="83"/>
        <v/>
      </c>
      <c r="G2891" s="44"/>
      <c r="H2891" s="44"/>
      <c r="I2891" s="44"/>
      <c r="J2891" s="176"/>
      <c r="K2891" s="43" t="str">
        <f t="array" ref="K2891">IF(J2891="","", XLOOKUP(J2891,'⚙️ Pengaturan'!$E$2:$E3237,'⚙️ Pengaturan'!$G$2:$G3237))</f>
        <v/>
      </c>
      <c r="L2891" s="43" t="str">
        <f t="shared" si="84"/>
        <v/>
      </c>
      <c r="M2891" s="177"/>
      <c r="N2891" s="145"/>
      <c r="O2891" s="146"/>
      <c r="P2891" s="48" t="str">
        <f t="array" ref="P2891">IFNA(XLOOKUP(J2891,'⚙️ Pengaturan'!$E$2:$E3237,'⚙️ Pengaturan'!$F$2:$F3237),"")</f>
        <v/>
      </c>
      <c r="Q2891" s="147" t="str">
        <f t="shared" si="85"/>
        <v/>
      </c>
      <c r="R2891" s="173"/>
      <c r="S2891" s="76"/>
      <c r="T2891" s="51" t="b">
        <v>0</v>
      </c>
      <c r="U2891" s="94"/>
    </row>
    <row r="2892" ht="30.0" customHeight="1">
      <c r="A2892" s="39"/>
      <c r="B2892" s="40"/>
      <c r="C2892" s="173"/>
      <c r="D2892" s="86"/>
      <c r="E2892" s="43" t="str">
        <f t="shared" si="82"/>
        <v/>
      </c>
      <c r="F2892" s="43" t="str">
        <f t="shared" si="83"/>
        <v/>
      </c>
      <c r="G2892" s="44"/>
      <c r="H2892" s="44"/>
      <c r="I2892" s="44"/>
      <c r="J2892" s="176"/>
      <c r="K2892" s="43" t="str">
        <f t="array" ref="K2892">IF(J2892="","", XLOOKUP(J2892,'⚙️ Pengaturan'!$E$2:$E3237,'⚙️ Pengaturan'!$G$2:$G3237))</f>
        <v/>
      </c>
      <c r="L2892" s="43" t="str">
        <f t="shared" si="84"/>
        <v/>
      </c>
      <c r="M2892" s="177"/>
      <c r="N2892" s="145"/>
      <c r="O2892" s="146"/>
      <c r="P2892" s="48" t="str">
        <f t="array" ref="P2892">IFNA(XLOOKUP(J2892,'⚙️ Pengaturan'!$E$2:$E3237,'⚙️ Pengaturan'!$F$2:$F3237),"")</f>
        <v/>
      </c>
      <c r="Q2892" s="147" t="str">
        <f t="shared" si="85"/>
        <v/>
      </c>
      <c r="R2892" s="173"/>
      <c r="S2892" s="76"/>
      <c r="T2892" s="51" t="b">
        <v>0</v>
      </c>
      <c r="U2892" s="94"/>
    </row>
    <row r="2893" ht="30.0" customHeight="1">
      <c r="A2893" s="39"/>
      <c r="B2893" s="40"/>
      <c r="C2893" s="173"/>
      <c r="D2893" s="86"/>
      <c r="E2893" s="43" t="str">
        <f t="shared" si="82"/>
        <v/>
      </c>
      <c r="F2893" s="43" t="str">
        <f t="shared" si="83"/>
        <v/>
      </c>
      <c r="G2893" s="44"/>
      <c r="H2893" s="44"/>
      <c r="I2893" s="44"/>
      <c r="J2893" s="176"/>
      <c r="K2893" s="43" t="str">
        <f t="array" ref="K2893">IF(J2893="","", XLOOKUP(J2893,'⚙️ Pengaturan'!$E$2:$E3237,'⚙️ Pengaturan'!$G$2:$G3237))</f>
        <v/>
      </c>
      <c r="L2893" s="43" t="str">
        <f t="shared" si="84"/>
        <v/>
      </c>
      <c r="M2893" s="177"/>
      <c r="N2893" s="145"/>
      <c r="O2893" s="146"/>
      <c r="P2893" s="48" t="str">
        <f t="array" ref="P2893">IFNA(XLOOKUP(J2893,'⚙️ Pengaturan'!$E$2:$E3237,'⚙️ Pengaturan'!$F$2:$F3237),"")</f>
        <v/>
      </c>
      <c r="Q2893" s="147" t="str">
        <f t="shared" si="85"/>
        <v/>
      </c>
      <c r="R2893" s="173"/>
      <c r="S2893" s="76"/>
      <c r="T2893" s="51" t="b">
        <v>0</v>
      </c>
      <c r="U2893" s="94"/>
    </row>
    <row r="2894" ht="30.0" customHeight="1">
      <c r="A2894" s="39"/>
      <c r="B2894" s="40"/>
      <c r="C2894" s="173"/>
      <c r="D2894" s="86"/>
      <c r="E2894" s="43" t="str">
        <f t="shared" si="82"/>
        <v/>
      </c>
      <c r="F2894" s="43" t="str">
        <f t="shared" si="83"/>
        <v/>
      </c>
      <c r="G2894" s="44"/>
      <c r="H2894" s="44"/>
      <c r="I2894" s="44"/>
      <c r="J2894" s="176"/>
      <c r="K2894" s="43" t="str">
        <f t="array" ref="K2894">IF(J2894="","", XLOOKUP(J2894,'⚙️ Pengaturan'!$E$2:$E3237,'⚙️ Pengaturan'!$G$2:$G3237))</f>
        <v/>
      </c>
      <c r="L2894" s="43" t="str">
        <f t="shared" si="84"/>
        <v/>
      </c>
      <c r="M2894" s="177"/>
      <c r="N2894" s="145"/>
      <c r="O2894" s="146"/>
      <c r="P2894" s="48" t="str">
        <f t="array" ref="P2894">IFNA(XLOOKUP(J2894,'⚙️ Pengaturan'!$E$2:$E3237,'⚙️ Pengaturan'!$F$2:$F3237),"")</f>
        <v/>
      </c>
      <c r="Q2894" s="147" t="str">
        <f t="shared" si="85"/>
        <v/>
      </c>
      <c r="R2894" s="173"/>
      <c r="S2894" s="76"/>
      <c r="T2894" s="51" t="b">
        <v>0</v>
      </c>
      <c r="U2894" s="94"/>
    </row>
    <row r="2895" ht="30.0" customHeight="1">
      <c r="A2895" s="39"/>
      <c r="B2895" s="40"/>
      <c r="C2895" s="173"/>
      <c r="D2895" s="86"/>
      <c r="E2895" s="43" t="str">
        <f t="shared" si="82"/>
        <v/>
      </c>
      <c r="F2895" s="43" t="str">
        <f t="shared" si="83"/>
        <v/>
      </c>
      <c r="G2895" s="44"/>
      <c r="H2895" s="44"/>
      <c r="I2895" s="44"/>
      <c r="J2895" s="176"/>
      <c r="K2895" s="43" t="str">
        <f t="array" ref="K2895">IF(J2895="","", XLOOKUP(J2895,'⚙️ Pengaturan'!$E$2:$E3237,'⚙️ Pengaturan'!$G$2:$G3237))</f>
        <v/>
      </c>
      <c r="L2895" s="43" t="str">
        <f t="shared" si="84"/>
        <v/>
      </c>
      <c r="M2895" s="177"/>
      <c r="N2895" s="145"/>
      <c r="O2895" s="146"/>
      <c r="P2895" s="48" t="str">
        <f t="array" ref="P2895">IFNA(XLOOKUP(J2895,'⚙️ Pengaturan'!$E$2:$E3237,'⚙️ Pengaturan'!$F$2:$F3237),"")</f>
        <v/>
      </c>
      <c r="Q2895" s="147" t="str">
        <f t="shared" si="85"/>
        <v/>
      </c>
      <c r="R2895" s="173"/>
      <c r="S2895" s="76"/>
      <c r="T2895" s="51" t="b">
        <v>0</v>
      </c>
      <c r="U2895" s="94"/>
    </row>
    <row r="2896" ht="30.0" customHeight="1">
      <c r="A2896" s="39"/>
      <c r="B2896" s="40"/>
      <c r="C2896" s="173"/>
      <c r="D2896" s="86"/>
      <c r="E2896" s="43" t="str">
        <f t="shared" si="82"/>
        <v/>
      </c>
      <c r="F2896" s="43" t="str">
        <f t="shared" si="83"/>
        <v/>
      </c>
      <c r="G2896" s="44"/>
      <c r="H2896" s="44"/>
      <c r="I2896" s="44"/>
      <c r="J2896" s="176"/>
      <c r="K2896" s="43" t="str">
        <f t="array" ref="K2896">IF(J2896="","", XLOOKUP(J2896,'⚙️ Pengaturan'!$E$2:$E3237,'⚙️ Pengaturan'!$G$2:$G3237))</f>
        <v/>
      </c>
      <c r="L2896" s="43" t="str">
        <f t="shared" si="84"/>
        <v/>
      </c>
      <c r="M2896" s="177"/>
      <c r="N2896" s="145"/>
      <c r="O2896" s="146"/>
      <c r="P2896" s="48" t="str">
        <f t="array" ref="P2896">IFNA(XLOOKUP(J2896,'⚙️ Pengaturan'!$E$2:$E3237,'⚙️ Pengaturan'!$F$2:$F3237),"")</f>
        <v/>
      </c>
      <c r="Q2896" s="147" t="str">
        <f t="shared" si="85"/>
        <v/>
      </c>
      <c r="R2896" s="173"/>
      <c r="S2896" s="76"/>
      <c r="T2896" s="51" t="b">
        <v>0</v>
      </c>
      <c r="U2896" s="94"/>
    </row>
    <row r="2897" ht="30.0" customHeight="1">
      <c r="A2897" s="39"/>
      <c r="B2897" s="40"/>
      <c r="C2897" s="173"/>
      <c r="D2897" s="86"/>
      <c r="E2897" s="43" t="str">
        <f t="shared" si="82"/>
        <v/>
      </c>
      <c r="F2897" s="43" t="str">
        <f t="shared" si="83"/>
        <v/>
      </c>
      <c r="G2897" s="44"/>
      <c r="H2897" s="44"/>
      <c r="I2897" s="44"/>
      <c r="J2897" s="176"/>
      <c r="K2897" s="43" t="str">
        <f t="array" ref="K2897">IF(J2897="","", XLOOKUP(J2897,'⚙️ Pengaturan'!$E$2:$E3237,'⚙️ Pengaturan'!$G$2:$G3237))</f>
        <v/>
      </c>
      <c r="L2897" s="43" t="str">
        <f t="shared" si="84"/>
        <v/>
      </c>
      <c r="M2897" s="177"/>
      <c r="N2897" s="145"/>
      <c r="O2897" s="146"/>
      <c r="P2897" s="48" t="str">
        <f t="array" ref="P2897">IFNA(XLOOKUP(J2897,'⚙️ Pengaturan'!$E$2:$E3237,'⚙️ Pengaturan'!$F$2:$F3237),"")</f>
        <v/>
      </c>
      <c r="Q2897" s="147" t="str">
        <f t="shared" si="85"/>
        <v/>
      </c>
      <c r="R2897" s="173"/>
      <c r="S2897" s="76"/>
      <c r="T2897" s="51" t="b">
        <v>0</v>
      </c>
      <c r="U2897" s="94"/>
    </row>
    <row r="2898" ht="30.0" customHeight="1">
      <c r="A2898" s="39"/>
      <c r="B2898" s="40"/>
      <c r="C2898" s="173"/>
      <c r="D2898" s="86"/>
      <c r="E2898" s="43" t="str">
        <f t="shared" si="82"/>
        <v/>
      </c>
      <c r="F2898" s="43" t="str">
        <f t="shared" si="83"/>
        <v/>
      </c>
      <c r="G2898" s="44"/>
      <c r="H2898" s="44"/>
      <c r="I2898" s="44"/>
      <c r="J2898" s="176"/>
      <c r="K2898" s="43" t="str">
        <f t="array" ref="K2898">IF(J2898="","", XLOOKUP(J2898,'⚙️ Pengaturan'!$E$2:$E3237,'⚙️ Pengaturan'!$G$2:$G3237))</f>
        <v/>
      </c>
      <c r="L2898" s="43" t="str">
        <f t="shared" si="84"/>
        <v/>
      </c>
      <c r="M2898" s="177"/>
      <c r="N2898" s="145"/>
      <c r="O2898" s="146"/>
      <c r="P2898" s="48" t="str">
        <f t="array" ref="P2898">IFNA(XLOOKUP(J2898,'⚙️ Pengaturan'!$E$2:$E3237,'⚙️ Pengaturan'!$F$2:$F3237),"")</f>
        <v/>
      </c>
      <c r="Q2898" s="147" t="str">
        <f t="shared" si="85"/>
        <v/>
      </c>
      <c r="R2898" s="173"/>
      <c r="S2898" s="76"/>
      <c r="T2898" s="51" t="b">
        <v>0</v>
      </c>
      <c r="U2898" s="94"/>
    </row>
    <row r="2899" ht="30.0" customHeight="1">
      <c r="A2899" s="39"/>
      <c r="B2899" s="40"/>
      <c r="C2899" s="173"/>
      <c r="D2899" s="86"/>
      <c r="E2899" s="43" t="str">
        <f t="shared" si="82"/>
        <v/>
      </c>
      <c r="F2899" s="43" t="str">
        <f t="shared" si="83"/>
        <v/>
      </c>
      <c r="G2899" s="44"/>
      <c r="H2899" s="44"/>
      <c r="I2899" s="44"/>
      <c r="J2899" s="176"/>
      <c r="K2899" s="43" t="str">
        <f t="array" ref="K2899">IF(J2899="","", XLOOKUP(J2899,'⚙️ Pengaturan'!$E$2:$E3237,'⚙️ Pengaturan'!$G$2:$G3237))</f>
        <v/>
      </c>
      <c r="L2899" s="43" t="str">
        <f t="shared" si="84"/>
        <v/>
      </c>
      <c r="M2899" s="177"/>
      <c r="N2899" s="145"/>
      <c r="O2899" s="146"/>
      <c r="P2899" s="48" t="str">
        <f t="array" ref="P2899">IFNA(XLOOKUP(J2899,'⚙️ Pengaturan'!$E$2:$E3237,'⚙️ Pengaturan'!$F$2:$F3237),"")</f>
        <v/>
      </c>
      <c r="Q2899" s="147" t="str">
        <f t="shared" si="85"/>
        <v/>
      </c>
      <c r="R2899" s="173"/>
      <c r="S2899" s="76"/>
      <c r="T2899" s="51" t="b">
        <v>0</v>
      </c>
      <c r="U2899" s="94"/>
    </row>
    <row r="2900" ht="30.0" customHeight="1">
      <c r="A2900" s="39"/>
      <c r="B2900" s="40"/>
      <c r="C2900" s="173"/>
      <c r="D2900" s="86"/>
      <c r="E2900" s="43" t="str">
        <f t="shared" si="82"/>
        <v/>
      </c>
      <c r="F2900" s="43" t="str">
        <f t="shared" si="83"/>
        <v/>
      </c>
      <c r="G2900" s="44"/>
      <c r="H2900" s="44"/>
      <c r="I2900" s="44"/>
      <c r="J2900" s="176"/>
      <c r="K2900" s="43" t="str">
        <f t="array" ref="K2900">IF(J2900="","", XLOOKUP(J2900,'⚙️ Pengaturan'!$E$2:$E3237,'⚙️ Pengaturan'!$G$2:$G3237))</f>
        <v/>
      </c>
      <c r="L2900" s="43" t="str">
        <f t="shared" si="84"/>
        <v/>
      </c>
      <c r="M2900" s="177"/>
      <c r="N2900" s="145"/>
      <c r="O2900" s="146"/>
      <c r="P2900" s="48" t="str">
        <f t="array" ref="P2900">IFNA(XLOOKUP(J2900,'⚙️ Pengaturan'!$E$2:$E3237,'⚙️ Pengaturan'!$F$2:$F3237),"")</f>
        <v/>
      </c>
      <c r="Q2900" s="147" t="str">
        <f t="shared" si="85"/>
        <v/>
      </c>
      <c r="R2900" s="173"/>
      <c r="S2900" s="76"/>
      <c r="T2900" s="51" t="b">
        <v>0</v>
      </c>
      <c r="U2900" s="94"/>
    </row>
    <row r="2901" ht="30.0" customHeight="1">
      <c r="A2901" s="39"/>
      <c r="B2901" s="40"/>
      <c r="C2901" s="173"/>
      <c r="D2901" s="86"/>
      <c r="E2901" s="43" t="str">
        <f t="shared" si="82"/>
        <v/>
      </c>
      <c r="F2901" s="43" t="str">
        <f t="shared" si="83"/>
        <v/>
      </c>
      <c r="G2901" s="44"/>
      <c r="H2901" s="44"/>
      <c r="I2901" s="44"/>
      <c r="J2901" s="176"/>
      <c r="K2901" s="43" t="str">
        <f t="array" ref="K2901">IF(J2901="","", XLOOKUP(J2901,'⚙️ Pengaturan'!$E$2:$E3237,'⚙️ Pengaturan'!$G$2:$G3237))</f>
        <v/>
      </c>
      <c r="L2901" s="43" t="str">
        <f t="shared" si="84"/>
        <v/>
      </c>
      <c r="M2901" s="177"/>
      <c r="N2901" s="145"/>
      <c r="O2901" s="146"/>
      <c r="P2901" s="48" t="str">
        <f t="array" ref="P2901">IFNA(XLOOKUP(J2901,'⚙️ Pengaturan'!$E$2:$E3237,'⚙️ Pengaturan'!$F$2:$F3237),"")</f>
        <v/>
      </c>
      <c r="Q2901" s="147" t="str">
        <f t="shared" si="85"/>
        <v/>
      </c>
      <c r="R2901" s="173"/>
      <c r="S2901" s="76"/>
      <c r="T2901" s="51" t="b">
        <v>0</v>
      </c>
      <c r="U2901" s="94"/>
    </row>
    <row r="2902" ht="30.0" customHeight="1">
      <c r="A2902" s="39"/>
      <c r="B2902" s="40"/>
      <c r="C2902" s="173"/>
      <c r="D2902" s="86"/>
      <c r="E2902" s="43" t="str">
        <f t="shared" si="82"/>
        <v/>
      </c>
      <c r="F2902" s="43" t="str">
        <f t="shared" si="83"/>
        <v/>
      </c>
      <c r="G2902" s="44"/>
      <c r="H2902" s="44"/>
      <c r="I2902" s="44"/>
      <c r="J2902" s="176"/>
      <c r="K2902" s="43" t="str">
        <f t="array" ref="K2902">IF(J2902="","", XLOOKUP(J2902,'⚙️ Pengaturan'!$E$2:$E3237,'⚙️ Pengaturan'!$G$2:$G3237))</f>
        <v/>
      </c>
      <c r="L2902" s="43" t="str">
        <f t="shared" si="84"/>
        <v/>
      </c>
      <c r="M2902" s="177"/>
      <c r="N2902" s="145"/>
      <c r="O2902" s="146"/>
      <c r="P2902" s="48" t="str">
        <f t="array" ref="P2902">IFNA(XLOOKUP(J2902,'⚙️ Pengaturan'!$E$2:$E3237,'⚙️ Pengaturan'!$F$2:$F3237),"")</f>
        <v/>
      </c>
      <c r="Q2902" s="147" t="str">
        <f t="shared" si="85"/>
        <v/>
      </c>
      <c r="R2902" s="173"/>
      <c r="S2902" s="76"/>
      <c r="T2902" s="51" t="b">
        <v>0</v>
      </c>
      <c r="U2902" s="94"/>
    </row>
    <row r="2903" ht="30.0" customHeight="1">
      <c r="A2903" s="39"/>
      <c r="B2903" s="40"/>
      <c r="C2903" s="173"/>
      <c r="D2903" s="86"/>
      <c r="E2903" s="43" t="str">
        <f t="shared" si="82"/>
        <v/>
      </c>
      <c r="F2903" s="43" t="str">
        <f t="shared" si="83"/>
        <v/>
      </c>
      <c r="G2903" s="44"/>
      <c r="H2903" s="44"/>
      <c r="I2903" s="44"/>
      <c r="J2903" s="176"/>
      <c r="K2903" s="43" t="str">
        <f t="array" ref="K2903">IF(J2903="","", XLOOKUP(J2903,'⚙️ Pengaturan'!$E$2:$E3237,'⚙️ Pengaturan'!$G$2:$G3237))</f>
        <v/>
      </c>
      <c r="L2903" s="43" t="str">
        <f t="shared" si="84"/>
        <v/>
      </c>
      <c r="M2903" s="177"/>
      <c r="N2903" s="145"/>
      <c r="O2903" s="146"/>
      <c r="P2903" s="48" t="str">
        <f t="array" ref="P2903">IFNA(XLOOKUP(J2903,'⚙️ Pengaturan'!$E$2:$E3237,'⚙️ Pengaturan'!$F$2:$F3237),"")</f>
        <v/>
      </c>
      <c r="Q2903" s="147" t="str">
        <f t="shared" si="85"/>
        <v/>
      </c>
      <c r="R2903" s="173"/>
      <c r="S2903" s="76"/>
      <c r="T2903" s="51" t="b">
        <v>0</v>
      </c>
      <c r="U2903" s="94"/>
    </row>
    <row r="2904" ht="30.0" customHeight="1">
      <c r="A2904" s="39"/>
      <c r="B2904" s="40"/>
      <c r="C2904" s="173"/>
      <c r="D2904" s="86"/>
      <c r="E2904" s="43" t="str">
        <f t="shared" si="82"/>
        <v/>
      </c>
      <c r="F2904" s="43" t="str">
        <f t="shared" si="83"/>
        <v/>
      </c>
      <c r="G2904" s="44"/>
      <c r="H2904" s="44"/>
      <c r="I2904" s="44"/>
      <c r="J2904" s="176"/>
      <c r="K2904" s="43" t="str">
        <f t="array" ref="K2904">IF(J2904="","", XLOOKUP(J2904,'⚙️ Pengaturan'!$E$2:$E3237,'⚙️ Pengaturan'!$G$2:$G3237))</f>
        <v/>
      </c>
      <c r="L2904" s="43" t="str">
        <f t="shared" si="84"/>
        <v/>
      </c>
      <c r="M2904" s="177"/>
      <c r="N2904" s="145"/>
      <c r="O2904" s="146"/>
      <c r="P2904" s="48" t="str">
        <f t="array" ref="P2904">IFNA(XLOOKUP(J2904,'⚙️ Pengaturan'!$E$2:$E3237,'⚙️ Pengaturan'!$F$2:$F3237),"")</f>
        <v/>
      </c>
      <c r="Q2904" s="147" t="str">
        <f t="shared" si="85"/>
        <v/>
      </c>
      <c r="R2904" s="173"/>
      <c r="S2904" s="76"/>
      <c r="T2904" s="51" t="b">
        <v>0</v>
      </c>
      <c r="U2904" s="94"/>
    </row>
    <row r="2905" ht="30.0" customHeight="1">
      <c r="A2905" s="39"/>
      <c r="B2905" s="40"/>
      <c r="C2905" s="173"/>
      <c r="D2905" s="86"/>
      <c r="E2905" s="43" t="str">
        <f t="shared" si="82"/>
        <v/>
      </c>
      <c r="F2905" s="43" t="str">
        <f t="shared" si="83"/>
        <v/>
      </c>
      <c r="G2905" s="44"/>
      <c r="H2905" s="44"/>
      <c r="I2905" s="44"/>
      <c r="J2905" s="176"/>
      <c r="K2905" s="43" t="str">
        <f t="array" ref="K2905">IF(J2905="","", XLOOKUP(J2905,'⚙️ Pengaturan'!$E$2:$E3237,'⚙️ Pengaturan'!$G$2:$G3237))</f>
        <v/>
      </c>
      <c r="L2905" s="43" t="str">
        <f t="shared" si="84"/>
        <v/>
      </c>
      <c r="M2905" s="177"/>
      <c r="N2905" s="145"/>
      <c r="O2905" s="146"/>
      <c r="P2905" s="48" t="str">
        <f t="array" ref="P2905">IFNA(XLOOKUP(J2905,'⚙️ Pengaturan'!$E$2:$E3237,'⚙️ Pengaturan'!$F$2:$F3237),"")</f>
        <v/>
      </c>
      <c r="Q2905" s="147" t="str">
        <f t="shared" si="85"/>
        <v/>
      </c>
      <c r="R2905" s="173"/>
      <c r="S2905" s="76"/>
      <c r="T2905" s="51" t="b">
        <v>0</v>
      </c>
      <c r="U2905" s="94"/>
    </row>
    <row r="2906" ht="30.0" customHeight="1">
      <c r="A2906" s="39"/>
      <c r="B2906" s="40"/>
      <c r="C2906" s="173"/>
      <c r="D2906" s="86"/>
      <c r="E2906" s="43" t="str">
        <f t="shared" si="82"/>
        <v/>
      </c>
      <c r="F2906" s="43" t="str">
        <f t="shared" si="83"/>
        <v/>
      </c>
      <c r="G2906" s="44"/>
      <c r="H2906" s="44"/>
      <c r="I2906" s="44"/>
      <c r="J2906" s="176"/>
      <c r="K2906" s="43" t="str">
        <f t="array" ref="K2906">IF(J2906="","", XLOOKUP(J2906,'⚙️ Pengaturan'!$E$2:$E3237,'⚙️ Pengaturan'!$G$2:$G3237))</f>
        <v/>
      </c>
      <c r="L2906" s="43" t="str">
        <f t="shared" si="84"/>
        <v/>
      </c>
      <c r="M2906" s="177"/>
      <c r="N2906" s="145"/>
      <c r="O2906" s="146"/>
      <c r="P2906" s="48" t="str">
        <f t="array" ref="P2906">IFNA(XLOOKUP(J2906,'⚙️ Pengaturan'!$E$2:$E3237,'⚙️ Pengaturan'!$F$2:$F3237),"")</f>
        <v/>
      </c>
      <c r="Q2906" s="147" t="str">
        <f t="shared" si="85"/>
        <v/>
      </c>
      <c r="R2906" s="173"/>
      <c r="S2906" s="76"/>
      <c r="T2906" s="51" t="b">
        <v>0</v>
      </c>
      <c r="U2906" s="94"/>
    </row>
    <row r="2907" ht="30.0" customHeight="1">
      <c r="A2907" s="39"/>
      <c r="B2907" s="40"/>
      <c r="C2907" s="173"/>
      <c r="D2907" s="86"/>
      <c r="E2907" s="43" t="str">
        <f t="shared" si="82"/>
        <v/>
      </c>
      <c r="F2907" s="43" t="str">
        <f t="shared" si="83"/>
        <v/>
      </c>
      <c r="G2907" s="44"/>
      <c r="H2907" s="44"/>
      <c r="I2907" s="44"/>
      <c r="J2907" s="176"/>
      <c r="K2907" s="43" t="str">
        <f t="array" ref="K2907">IF(J2907="","", XLOOKUP(J2907,'⚙️ Pengaturan'!$E$2:$E3237,'⚙️ Pengaturan'!$G$2:$G3237))</f>
        <v/>
      </c>
      <c r="L2907" s="43" t="str">
        <f t="shared" si="84"/>
        <v/>
      </c>
      <c r="M2907" s="177"/>
      <c r="N2907" s="145"/>
      <c r="O2907" s="146"/>
      <c r="P2907" s="48" t="str">
        <f t="array" ref="P2907">IFNA(XLOOKUP(J2907,'⚙️ Pengaturan'!$E$2:$E3237,'⚙️ Pengaturan'!$F$2:$F3237),"")</f>
        <v/>
      </c>
      <c r="Q2907" s="147" t="str">
        <f t="shared" si="85"/>
        <v/>
      </c>
      <c r="R2907" s="173"/>
      <c r="S2907" s="76"/>
      <c r="T2907" s="51" t="b">
        <v>0</v>
      </c>
      <c r="U2907" s="94"/>
    </row>
    <row r="2908" ht="30.0" customHeight="1">
      <c r="A2908" s="39"/>
      <c r="B2908" s="40"/>
      <c r="C2908" s="173"/>
      <c r="D2908" s="86"/>
      <c r="E2908" s="43" t="str">
        <f t="shared" si="82"/>
        <v/>
      </c>
      <c r="F2908" s="43" t="str">
        <f t="shared" si="83"/>
        <v/>
      </c>
      <c r="G2908" s="44"/>
      <c r="H2908" s="44"/>
      <c r="I2908" s="44"/>
      <c r="J2908" s="176"/>
      <c r="K2908" s="43" t="str">
        <f t="array" ref="K2908">IF(J2908="","", XLOOKUP(J2908,'⚙️ Pengaturan'!$E$2:$E3237,'⚙️ Pengaturan'!$G$2:$G3237))</f>
        <v/>
      </c>
      <c r="L2908" s="43" t="str">
        <f t="shared" si="84"/>
        <v/>
      </c>
      <c r="M2908" s="177"/>
      <c r="N2908" s="145"/>
      <c r="O2908" s="146"/>
      <c r="P2908" s="48" t="str">
        <f t="array" ref="P2908">IFNA(XLOOKUP(J2908,'⚙️ Pengaturan'!$E$2:$E3237,'⚙️ Pengaturan'!$F$2:$F3237),"")</f>
        <v/>
      </c>
      <c r="Q2908" s="147" t="str">
        <f t="shared" si="85"/>
        <v/>
      </c>
      <c r="R2908" s="173"/>
      <c r="S2908" s="76"/>
      <c r="T2908" s="51" t="b">
        <v>0</v>
      </c>
      <c r="U2908" s="94"/>
    </row>
    <row r="2909" ht="30.0" customHeight="1">
      <c r="A2909" s="39"/>
      <c r="B2909" s="40"/>
      <c r="C2909" s="173"/>
      <c r="D2909" s="86"/>
      <c r="E2909" s="43" t="str">
        <f t="shared" si="82"/>
        <v/>
      </c>
      <c r="F2909" s="43" t="str">
        <f t="shared" si="83"/>
        <v/>
      </c>
      <c r="G2909" s="44"/>
      <c r="H2909" s="44"/>
      <c r="I2909" s="44"/>
      <c r="J2909" s="176"/>
      <c r="K2909" s="43" t="str">
        <f t="array" ref="K2909">IF(J2909="","", XLOOKUP(J2909,'⚙️ Pengaturan'!$E$2:$E3237,'⚙️ Pengaturan'!$G$2:$G3237))</f>
        <v/>
      </c>
      <c r="L2909" s="43" t="str">
        <f t="shared" si="84"/>
        <v/>
      </c>
      <c r="M2909" s="177"/>
      <c r="N2909" s="145"/>
      <c r="O2909" s="146"/>
      <c r="P2909" s="48" t="str">
        <f t="array" ref="P2909">IFNA(XLOOKUP(J2909,'⚙️ Pengaturan'!$E$2:$E3237,'⚙️ Pengaturan'!$F$2:$F3237),"")</f>
        <v/>
      </c>
      <c r="Q2909" s="147" t="str">
        <f t="shared" si="85"/>
        <v/>
      </c>
      <c r="R2909" s="173"/>
      <c r="S2909" s="76"/>
      <c r="T2909" s="51" t="b">
        <v>0</v>
      </c>
      <c r="U2909" s="94"/>
    </row>
    <row r="2910" ht="30.0" customHeight="1">
      <c r="A2910" s="39"/>
      <c r="B2910" s="40"/>
      <c r="C2910" s="173"/>
      <c r="D2910" s="86"/>
      <c r="E2910" s="43" t="str">
        <f t="shared" si="82"/>
        <v/>
      </c>
      <c r="F2910" s="43" t="str">
        <f t="shared" si="83"/>
        <v/>
      </c>
      <c r="G2910" s="44"/>
      <c r="H2910" s="44"/>
      <c r="I2910" s="44"/>
      <c r="J2910" s="176"/>
      <c r="K2910" s="43" t="str">
        <f t="array" ref="K2910">IF(J2910="","", XLOOKUP(J2910,'⚙️ Pengaturan'!$E$2:$E3237,'⚙️ Pengaturan'!$G$2:$G3237))</f>
        <v/>
      </c>
      <c r="L2910" s="43" t="str">
        <f t="shared" si="84"/>
        <v/>
      </c>
      <c r="M2910" s="177"/>
      <c r="N2910" s="145"/>
      <c r="O2910" s="146"/>
      <c r="P2910" s="48" t="str">
        <f t="array" ref="P2910">IFNA(XLOOKUP(J2910,'⚙️ Pengaturan'!$E$2:$E3237,'⚙️ Pengaturan'!$F$2:$F3237),"")</f>
        <v/>
      </c>
      <c r="Q2910" s="147" t="str">
        <f t="shared" si="85"/>
        <v/>
      </c>
      <c r="R2910" s="173"/>
      <c r="S2910" s="76"/>
      <c r="T2910" s="51" t="b">
        <v>0</v>
      </c>
      <c r="U2910" s="94"/>
    </row>
    <row r="2911" ht="30.0" customHeight="1">
      <c r="A2911" s="39"/>
      <c r="B2911" s="40"/>
      <c r="C2911" s="173"/>
      <c r="D2911" s="86"/>
      <c r="E2911" s="43" t="str">
        <f t="shared" si="82"/>
        <v/>
      </c>
      <c r="F2911" s="43" t="str">
        <f t="shared" si="83"/>
        <v/>
      </c>
      <c r="G2911" s="44"/>
      <c r="H2911" s="44"/>
      <c r="I2911" s="44"/>
      <c r="J2911" s="176"/>
      <c r="K2911" s="43" t="str">
        <f t="array" ref="K2911">IF(J2911="","", XLOOKUP(J2911,'⚙️ Pengaturan'!$E$2:$E3237,'⚙️ Pengaturan'!$G$2:$G3237))</f>
        <v/>
      </c>
      <c r="L2911" s="43" t="str">
        <f t="shared" si="84"/>
        <v/>
      </c>
      <c r="M2911" s="177"/>
      <c r="N2911" s="145"/>
      <c r="O2911" s="146"/>
      <c r="P2911" s="48" t="str">
        <f t="array" ref="P2911">IFNA(XLOOKUP(J2911,'⚙️ Pengaturan'!$E$2:$E3237,'⚙️ Pengaturan'!$F$2:$F3237),"")</f>
        <v/>
      </c>
      <c r="Q2911" s="147" t="str">
        <f t="shared" si="85"/>
        <v/>
      </c>
      <c r="R2911" s="173"/>
      <c r="S2911" s="76"/>
      <c r="T2911" s="51" t="b">
        <v>0</v>
      </c>
      <c r="U2911" s="94"/>
    </row>
    <row r="2912" ht="30.0" customHeight="1">
      <c r="A2912" s="39"/>
      <c r="B2912" s="40"/>
      <c r="C2912" s="173"/>
      <c r="D2912" s="86"/>
      <c r="E2912" s="43" t="str">
        <f t="shared" si="82"/>
        <v/>
      </c>
      <c r="F2912" s="43" t="str">
        <f t="shared" si="83"/>
        <v/>
      </c>
      <c r="G2912" s="44"/>
      <c r="H2912" s="44"/>
      <c r="I2912" s="44"/>
      <c r="J2912" s="176"/>
      <c r="K2912" s="43" t="str">
        <f t="array" ref="K2912">IF(J2912="","", XLOOKUP(J2912,'⚙️ Pengaturan'!$E$2:$E3237,'⚙️ Pengaturan'!$G$2:$G3237))</f>
        <v/>
      </c>
      <c r="L2912" s="43" t="str">
        <f t="shared" si="84"/>
        <v/>
      </c>
      <c r="M2912" s="177"/>
      <c r="N2912" s="145"/>
      <c r="O2912" s="146"/>
      <c r="P2912" s="48" t="str">
        <f t="array" ref="P2912">IFNA(XLOOKUP(J2912,'⚙️ Pengaturan'!$E$2:$E3237,'⚙️ Pengaturan'!$F$2:$F3237),"")</f>
        <v/>
      </c>
      <c r="Q2912" s="147" t="str">
        <f t="shared" si="85"/>
        <v/>
      </c>
      <c r="R2912" s="173"/>
      <c r="S2912" s="76"/>
      <c r="T2912" s="51" t="b">
        <v>0</v>
      </c>
      <c r="U2912" s="94"/>
    </row>
    <row r="2913" ht="30.0" customHeight="1">
      <c r="A2913" s="39"/>
      <c r="B2913" s="40"/>
      <c r="C2913" s="173"/>
      <c r="D2913" s="86"/>
      <c r="E2913" s="43" t="str">
        <f t="shared" si="82"/>
        <v/>
      </c>
      <c r="F2913" s="43" t="str">
        <f t="shared" si="83"/>
        <v/>
      </c>
      <c r="G2913" s="44"/>
      <c r="H2913" s="44"/>
      <c r="I2913" s="44"/>
      <c r="J2913" s="176"/>
      <c r="K2913" s="43" t="str">
        <f t="array" ref="K2913">IF(J2913="","", XLOOKUP(J2913,'⚙️ Pengaturan'!$E$2:$E3237,'⚙️ Pengaturan'!$G$2:$G3237))</f>
        <v/>
      </c>
      <c r="L2913" s="43" t="str">
        <f t="shared" si="84"/>
        <v/>
      </c>
      <c r="M2913" s="177"/>
      <c r="N2913" s="145"/>
      <c r="O2913" s="146"/>
      <c r="P2913" s="48" t="str">
        <f t="array" ref="P2913">IFNA(XLOOKUP(J2913,'⚙️ Pengaturan'!$E$2:$E3237,'⚙️ Pengaturan'!$F$2:$F3237),"")</f>
        <v/>
      </c>
      <c r="Q2913" s="147" t="str">
        <f t="shared" si="85"/>
        <v/>
      </c>
      <c r="R2913" s="173"/>
      <c r="S2913" s="76"/>
      <c r="T2913" s="51" t="b">
        <v>0</v>
      </c>
      <c r="U2913" s="94"/>
    </row>
    <row r="2914" ht="30.0" customHeight="1">
      <c r="A2914" s="39"/>
      <c r="B2914" s="40"/>
      <c r="C2914" s="173"/>
      <c r="D2914" s="86"/>
      <c r="E2914" s="43" t="str">
        <f t="shared" si="82"/>
        <v/>
      </c>
      <c r="F2914" s="43" t="str">
        <f t="shared" si="83"/>
        <v/>
      </c>
      <c r="G2914" s="44"/>
      <c r="H2914" s="44"/>
      <c r="I2914" s="44"/>
      <c r="J2914" s="176"/>
      <c r="K2914" s="43" t="str">
        <f t="array" ref="K2914">IF(J2914="","", XLOOKUP(J2914,'⚙️ Pengaturan'!$E$2:$E3237,'⚙️ Pengaturan'!$G$2:$G3237))</f>
        <v/>
      </c>
      <c r="L2914" s="43" t="str">
        <f t="shared" si="84"/>
        <v/>
      </c>
      <c r="M2914" s="177"/>
      <c r="N2914" s="145"/>
      <c r="O2914" s="146"/>
      <c r="P2914" s="48" t="str">
        <f t="array" ref="P2914">IFNA(XLOOKUP(J2914,'⚙️ Pengaturan'!$E$2:$E3237,'⚙️ Pengaturan'!$F$2:$F3237),"")</f>
        <v/>
      </c>
      <c r="Q2914" s="147" t="str">
        <f t="shared" si="85"/>
        <v/>
      </c>
      <c r="R2914" s="173"/>
      <c r="S2914" s="76"/>
      <c r="T2914" s="51" t="b">
        <v>0</v>
      </c>
      <c r="U2914" s="94"/>
    </row>
    <row r="2915" ht="30.0" customHeight="1">
      <c r="A2915" s="39"/>
      <c r="B2915" s="40"/>
      <c r="C2915" s="173"/>
      <c r="D2915" s="86"/>
      <c r="E2915" s="43" t="str">
        <f t="shared" si="82"/>
        <v/>
      </c>
      <c r="F2915" s="43" t="str">
        <f t="shared" si="83"/>
        <v/>
      </c>
      <c r="G2915" s="44"/>
      <c r="H2915" s="44"/>
      <c r="I2915" s="44"/>
      <c r="J2915" s="176"/>
      <c r="K2915" s="43" t="str">
        <f t="array" ref="K2915">IF(J2915="","", XLOOKUP(J2915,'⚙️ Pengaturan'!$E$2:$E3237,'⚙️ Pengaturan'!$G$2:$G3237))</f>
        <v/>
      </c>
      <c r="L2915" s="43" t="str">
        <f t="shared" si="84"/>
        <v/>
      </c>
      <c r="M2915" s="177"/>
      <c r="N2915" s="145"/>
      <c r="O2915" s="146"/>
      <c r="P2915" s="48" t="str">
        <f t="array" ref="P2915">IFNA(XLOOKUP(J2915,'⚙️ Pengaturan'!$E$2:$E3237,'⚙️ Pengaturan'!$F$2:$F3237),"")</f>
        <v/>
      </c>
      <c r="Q2915" s="147" t="str">
        <f t="shared" si="85"/>
        <v/>
      </c>
      <c r="R2915" s="173"/>
      <c r="S2915" s="76"/>
      <c r="T2915" s="51" t="b">
        <v>0</v>
      </c>
      <c r="U2915" s="94"/>
    </row>
    <row r="2916" ht="30.0" customHeight="1">
      <c r="A2916" s="39"/>
      <c r="B2916" s="40"/>
      <c r="C2916" s="173"/>
      <c r="D2916" s="86"/>
      <c r="E2916" s="43" t="str">
        <f t="shared" si="82"/>
        <v/>
      </c>
      <c r="F2916" s="43" t="str">
        <f t="shared" si="83"/>
        <v/>
      </c>
      <c r="G2916" s="44"/>
      <c r="H2916" s="44"/>
      <c r="I2916" s="44"/>
      <c r="J2916" s="176"/>
      <c r="K2916" s="43" t="str">
        <f t="array" ref="K2916">IF(J2916="","", XLOOKUP(J2916,'⚙️ Pengaturan'!$E$2:$E3237,'⚙️ Pengaturan'!$G$2:$G3237))</f>
        <v/>
      </c>
      <c r="L2916" s="43" t="str">
        <f t="shared" si="84"/>
        <v/>
      </c>
      <c r="M2916" s="177"/>
      <c r="N2916" s="145"/>
      <c r="O2916" s="146"/>
      <c r="P2916" s="48" t="str">
        <f t="array" ref="P2916">IFNA(XLOOKUP(J2916,'⚙️ Pengaturan'!$E$2:$E3237,'⚙️ Pengaturan'!$F$2:$F3237),"")</f>
        <v/>
      </c>
      <c r="Q2916" s="147" t="str">
        <f t="shared" si="85"/>
        <v/>
      </c>
      <c r="R2916" s="173"/>
      <c r="S2916" s="76"/>
      <c r="T2916" s="51" t="b">
        <v>0</v>
      </c>
      <c r="U2916" s="94"/>
    </row>
    <row r="2917" ht="30.0" customHeight="1">
      <c r="A2917" s="39"/>
      <c r="B2917" s="40"/>
      <c r="C2917" s="173"/>
      <c r="D2917" s="86"/>
      <c r="E2917" s="43" t="str">
        <f t="shared" si="82"/>
        <v/>
      </c>
      <c r="F2917" s="43" t="str">
        <f t="shared" si="83"/>
        <v/>
      </c>
      <c r="G2917" s="44"/>
      <c r="H2917" s="44"/>
      <c r="I2917" s="44"/>
      <c r="J2917" s="176"/>
      <c r="K2917" s="43" t="str">
        <f t="array" ref="K2917">IF(J2917="","", XLOOKUP(J2917,'⚙️ Pengaturan'!$E$2:$E3237,'⚙️ Pengaturan'!$G$2:$G3237))</f>
        <v/>
      </c>
      <c r="L2917" s="43" t="str">
        <f t="shared" si="84"/>
        <v/>
      </c>
      <c r="M2917" s="177"/>
      <c r="N2917" s="145"/>
      <c r="O2917" s="146"/>
      <c r="P2917" s="48" t="str">
        <f t="array" ref="P2917">IFNA(XLOOKUP(J2917,'⚙️ Pengaturan'!$E$2:$E3237,'⚙️ Pengaturan'!$F$2:$F3237),"")</f>
        <v/>
      </c>
      <c r="Q2917" s="147" t="str">
        <f t="shared" si="85"/>
        <v/>
      </c>
      <c r="R2917" s="173"/>
      <c r="S2917" s="76"/>
      <c r="T2917" s="51" t="b">
        <v>0</v>
      </c>
      <c r="U2917" s="94"/>
    </row>
    <row r="2918" ht="30.0" customHeight="1">
      <c r="A2918" s="39"/>
      <c r="B2918" s="40"/>
      <c r="C2918" s="173"/>
      <c r="D2918" s="86"/>
      <c r="E2918" s="43" t="str">
        <f t="shared" si="82"/>
        <v/>
      </c>
      <c r="F2918" s="43" t="str">
        <f t="shared" si="83"/>
        <v/>
      </c>
      <c r="G2918" s="44"/>
      <c r="H2918" s="44"/>
      <c r="I2918" s="44"/>
      <c r="J2918" s="176"/>
      <c r="K2918" s="43" t="str">
        <f t="array" ref="K2918">IF(J2918="","", XLOOKUP(J2918,'⚙️ Pengaturan'!$E$2:$E3237,'⚙️ Pengaturan'!$G$2:$G3237))</f>
        <v/>
      </c>
      <c r="L2918" s="43" t="str">
        <f t="shared" si="84"/>
        <v/>
      </c>
      <c r="M2918" s="177"/>
      <c r="N2918" s="145"/>
      <c r="O2918" s="146"/>
      <c r="P2918" s="48" t="str">
        <f t="array" ref="P2918">IFNA(XLOOKUP(J2918,'⚙️ Pengaturan'!$E$2:$E3237,'⚙️ Pengaturan'!$F$2:$F3237),"")</f>
        <v/>
      </c>
      <c r="Q2918" s="147" t="str">
        <f t="shared" si="85"/>
        <v/>
      </c>
      <c r="R2918" s="173"/>
      <c r="S2918" s="76"/>
      <c r="T2918" s="51" t="b">
        <v>0</v>
      </c>
      <c r="U2918" s="94"/>
    </row>
    <row r="2919" ht="30.0" customHeight="1">
      <c r="A2919" s="39"/>
      <c r="B2919" s="40"/>
      <c r="C2919" s="173"/>
      <c r="D2919" s="86"/>
      <c r="E2919" s="43" t="str">
        <f t="shared" si="82"/>
        <v/>
      </c>
      <c r="F2919" s="43" t="str">
        <f t="shared" si="83"/>
        <v/>
      </c>
      <c r="G2919" s="44"/>
      <c r="H2919" s="44"/>
      <c r="I2919" s="44"/>
      <c r="J2919" s="176"/>
      <c r="K2919" s="43" t="str">
        <f t="array" ref="K2919">IF(J2919="","", XLOOKUP(J2919,'⚙️ Pengaturan'!$E$2:$E3237,'⚙️ Pengaturan'!$G$2:$G3237))</f>
        <v/>
      </c>
      <c r="L2919" s="43" t="str">
        <f t="shared" si="84"/>
        <v/>
      </c>
      <c r="M2919" s="177"/>
      <c r="N2919" s="145"/>
      <c r="O2919" s="146"/>
      <c r="P2919" s="48" t="str">
        <f t="array" ref="P2919">IFNA(XLOOKUP(J2919,'⚙️ Pengaturan'!$E$2:$E3237,'⚙️ Pengaturan'!$F$2:$F3237),"")</f>
        <v/>
      </c>
      <c r="Q2919" s="147" t="str">
        <f t="shared" si="85"/>
        <v/>
      </c>
      <c r="R2919" s="173"/>
      <c r="S2919" s="76"/>
      <c r="T2919" s="51" t="b">
        <v>0</v>
      </c>
      <c r="U2919" s="94"/>
    </row>
    <row r="2920" ht="30.0" customHeight="1">
      <c r="A2920" s="39"/>
      <c r="B2920" s="40"/>
      <c r="C2920" s="173"/>
      <c r="D2920" s="86"/>
      <c r="E2920" s="43" t="str">
        <f t="shared" si="82"/>
        <v/>
      </c>
      <c r="F2920" s="43" t="str">
        <f t="shared" si="83"/>
        <v/>
      </c>
      <c r="G2920" s="44"/>
      <c r="H2920" s="44"/>
      <c r="I2920" s="44"/>
      <c r="J2920" s="176"/>
      <c r="K2920" s="43" t="str">
        <f t="array" ref="K2920">IF(J2920="","", XLOOKUP(J2920,'⚙️ Pengaturan'!$E$2:$E3237,'⚙️ Pengaturan'!$G$2:$G3237))</f>
        <v/>
      </c>
      <c r="L2920" s="43" t="str">
        <f t="shared" si="84"/>
        <v/>
      </c>
      <c r="M2920" s="177"/>
      <c r="N2920" s="145"/>
      <c r="O2920" s="146"/>
      <c r="P2920" s="48" t="str">
        <f t="array" ref="P2920">IFNA(XLOOKUP(J2920,'⚙️ Pengaturan'!$E$2:$E3237,'⚙️ Pengaturan'!$F$2:$F3237),"")</f>
        <v/>
      </c>
      <c r="Q2920" s="147" t="str">
        <f t="shared" si="85"/>
        <v/>
      </c>
      <c r="R2920" s="173"/>
      <c r="S2920" s="76"/>
      <c r="T2920" s="51" t="b">
        <v>0</v>
      </c>
      <c r="U2920" s="94"/>
    </row>
    <row r="2921" ht="30.0" customHeight="1">
      <c r="A2921" s="39"/>
      <c r="B2921" s="40"/>
      <c r="C2921" s="173"/>
      <c r="D2921" s="86"/>
      <c r="E2921" s="43" t="str">
        <f t="shared" si="82"/>
        <v/>
      </c>
      <c r="F2921" s="43" t="str">
        <f t="shared" si="83"/>
        <v/>
      </c>
      <c r="G2921" s="44"/>
      <c r="H2921" s="44"/>
      <c r="I2921" s="44"/>
      <c r="J2921" s="176"/>
      <c r="K2921" s="43" t="str">
        <f t="array" ref="K2921">IF(J2921="","", XLOOKUP(J2921,'⚙️ Pengaturan'!$E$2:$E3237,'⚙️ Pengaturan'!$G$2:$G3237))</f>
        <v/>
      </c>
      <c r="L2921" s="43" t="str">
        <f t="shared" si="84"/>
        <v/>
      </c>
      <c r="M2921" s="177"/>
      <c r="N2921" s="145"/>
      <c r="O2921" s="146"/>
      <c r="P2921" s="48" t="str">
        <f t="array" ref="P2921">IFNA(XLOOKUP(J2921,'⚙️ Pengaturan'!$E$2:$E3237,'⚙️ Pengaturan'!$F$2:$F3237),"")</f>
        <v/>
      </c>
      <c r="Q2921" s="147" t="str">
        <f t="shared" si="85"/>
        <v/>
      </c>
      <c r="R2921" s="173"/>
      <c r="S2921" s="76"/>
      <c r="T2921" s="51" t="b">
        <v>0</v>
      </c>
      <c r="U2921" s="94"/>
    </row>
    <row r="2922" ht="30.0" customHeight="1">
      <c r="A2922" s="39"/>
      <c r="B2922" s="40"/>
      <c r="C2922" s="173"/>
      <c r="D2922" s="86"/>
      <c r="E2922" s="43" t="str">
        <f t="shared" si="82"/>
        <v/>
      </c>
      <c r="F2922" s="43" t="str">
        <f t="shared" si="83"/>
        <v/>
      </c>
      <c r="G2922" s="44"/>
      <c r="H2922" s="44"/>
      <c r="I2922" s="44"/>
      <c r="J2922" s="176"/>
      <c r="K2922" s="43" t="str">
        <f t="array" ref="K2922">IF(J2922="","", XLOOKUP(J2922,'⚙️ Pengaturan'!$E$2:$E3237,'⚙️ Pengaturan'!$G$2:$G3237))</f>
        <v/>
      </c>
      <c r="L2922" s="43" t="str">
        <f t="shared" si="84"/>
        <v/>
      </c>
      <c r="M2922" s="177"/>
      <c r="N2922" s="145"/>
      <c r="O2922" s="146"/>
      <c r="P2922" s="48" t="str">
        <f t="array" ref="P2922">IFNA(XLOOKUP(J2922,'⚙️ Pengaturan'!$E$2:$E3237,'⚙️ Pengaturan'!$F$2:$F3237),"")</f>
        <v/>
      </c>
      <c r="Q2922" s="147" t="str">
        <f t="shared" si="85"/>
        <v/>
      </c>
      <c r="R2922" s="173"/>
      <c r="S2922" s="76"/>
      <c r="T2922" s="51" t="b">
        <v>0</v>
      </c>
      <c r="U2922" s="94"/>
    </row>
    <row r="2923" ht="30.0" customHeight="1">
      <c r="A2923" s="39"/>
      <c r="B2923" s="40"/>
      <c r="C2923" s="173"/>
      <c r="D2923" s="86"/>
      <c r="E2923" s="43" t="str">
        <f t="shared" si="82"/>
        <v/>
      </c>
      <c r="F2923" s="43" t="str">
        <f t="shared" si="83"/>
        <v/>
      </c>
      <c r="G2923" s="44"/>
      <c r="H2923" s="44"/>
      <c r="I2923" s="44"/>
      <c r="J2923" s="176"/>
      <c r="K2923" s="43" t="str">
        <f t="array" ref="K2923">IF(J2923="","", XLOOKUP(J2923,'⚙️ Pengaturan'!$E$2:$E3237,'⚙️ Pengaturan'!$G$2:$G3237))</f>
        <v/>
      </c>
      <c r="L2923" s="43" t="str">
        <f t="shared" si="84"/>
        <v/>
      </c>
      <c r="M2923" s="177"/>
      <c r="N2923" s="145"/>
      <c r="O2923" s="146"/>
      <c r="P2923" s="48" t="str">
        <f t="array" ref="P2923">IFNA(XLOOKUP(J2923,'⚙️ Pengaturan'!$E$2:$E3237,'⚙️ Pengaturan'!$F$2:$F3237),"")</f>
        <v/>
      </c>
      <c r="Q2923" s="147" t="str">
        <f t="shared" si="85"/>
        <v/>
      </c>
      <c r="R2923" s="173"/>
      <c r="S2923" s="76"/>
      <c r="T2923" s="51" t="b">
        <v>0</v>
      </c>
      <c r="U2923" s="94"/>
    </row>
    <row r="2924" ht="30.0" customHeight="1">
      <c r="A2924" s="39"/>
      <c r="B2924" s="40"/>
      <c r="C2924" s="173"/>
      <c r="D2924" s="86"/>
      <c r="E2924" s="43" t="str">
        <f t="shared" si="82"/>
        <v/>
      </c>
      <c r="F2924" s="43" t="str">
        <f t="shared" si="83"/>
        <v/>
      </c>
      <c r="G2924" s="44"/>
      <c r="H2924" s="44"/>
      <c r="I2924" s="44"/>
      <c r="J2924" s="176"/>
      <c r="K2924" s="43" t="str">
        <f t="array" ref="K2924">IF(J2924="","", XLOOKUP(J2924,'⚙️ Pengaturan'!$E$2:$E3237,'⚙️ Pengaturan'!$G$2:$G3237))</f>
        <v/>
      </c>
      <c r="L2924" s="43" t="str">
        <f t="shared" si="84"/>
        <v/>
      </c>
      <c r="M2924" s="177"/>
      <c r="N2924" s="145"/>
      <c r="O2924" s="146"/>
      <c r="P2924" s="48" t="str">
        <f t="array" ref="P2924">IFNA(XLOOKUP(J2924,'⚙️ Pengaturan'!$E$2:$E3237,'⚙️ Pengaturan'!$F$2:$F3237),"")</f>
        <v/>
      </c>
      <c r="Q2924" s="147" t="str">
        <f t="shared" si="85"/>
        <v/>
      </c>
      <c r="R2924" s="173"/>
      <c r="S2924" s="76"/>
      <c r="T2924" s="51" t="b">
        <v>0</v>
      </c>
      <c r="U2924" s="94"/>
    </row>
    <row r="2925" ht="30.0" customHeight="1">
      <c r="A2925" s="39"/>
      <c r="B2925" s="40"/>
      <c r="C2925" s="173"/>
      <c r="D2925" s="86"/>
      <c r="E2925" s="43" t="str">
        <f t="shared" si="82"/>
        <v/>
      </c>
      <c r="F2925" s="43" t="str">
        <f t="shared" si="83"/>
        <v/>
      </c>
      <c r="G2925" s="44"/>
      <c r="H2925" s="44"/>
      <c r="I2925" s="44"/>
      <c r="J2925" s="176"/>
      <c r="K2925" s="43" t="str">
        <f t="array" ref="K2925">IF(J2925="","", XLOOKUP(J2925,'⚙️ Pengaturan'!$E$2:$E3237,'⚙️ Pengaturan'!$G$2:$G3237))</f>
        <v/>
      </c>
      <c r="L2925" s="43" t="str">
        <f t="shared" si="84"/>
        <v/>
      </c>
      <c r="M2925" s="177"/>
      <c r="N2925" s="145"/>
      <c r="O2925" s="146"/>
      <c r="P2925" s="48" t="str">
        <f t="array" ref="P2925">IFNA(XLOOKUP(J2925,'⚙️ Pengaturan'!$E$2:$E3237,'⚙️ Pengaturan'!$F$2:$F3237),"")</f>
        <v/>
      </c>
      <c r="Q2925" s="147" t="str">
        <f t="shared" si="85"/>
        <v/>
      </c>
      <c r="R2925" s="173"/>
      <c r="S2925" s="76"/>
      <c r="T2925" s="51" t="b">
        <v>0</v>
      </c>
      <c r="U2925" s="94"/>
    </row>
    <row r="2926" ht="30.0" customHeight="1">
      <c r="A2926" s="39"/>
      <c r="B2926" s="40"/>
      <c r="C2926" s="173"/>
      <c r="D2926" s="86"/>
      <c r="E2926" s="43" t="str">
        <f t="shared" si="82"/>
        <v/>
      </c>
      <c r="F2926" s="43" t="str">
        <f t="shared" si="83"/>
        <v/>
      </c>
      <c r="G2926" s="44"/>
      <c r="H2926" s="44"/>
      <c r="I2926" s="44"/>
      <c r="J2926" s="176"/>
      <c r="K2926" s="43" t="str">
        <f t="array" ref="K2926">IF(J2926="","", XLOOKUP(J2926,'⚙️ Pengaturan'!$E$2:$E3237,'⚙️ Pengaturan'!$G$2:$G3237))</f>
        <v/>
      </c>
      <c r="L2926" s="43" t="str">
        <f t="shared" si="84"/>
        <v/>
      </c>
      <c r="M2926" s="177"/>
      <c r="N2926" s="145"/>
      <c r="O2926" s="146"/>
      <c r="P2926" s="48" t="str">
        <f t="array" ref="P2926">IFNA(XLOOKUP(J2926,'⚙️ Pengaturan'!$E$2:$E3237,'⚙️ Pengaturan'!$F$2:$F3237),"")</f>
        <v/>
      </c>
      <c r="Q2926" s="147" t="str">
        <f t="shared" si="85"/>
        <v/>
      </c>
      <c r="R2926" s="173"/>
      <c r="S2926" s="76"/>
      <c r="T2926" s="51" t="b">
        <v>0</v>
      </c>
      <c r="U2926" s="94"/>
    </row>
    <row r="2927" ht="30.0" customHeight="1">
      <c r="A2927" s="39"/>
      <c r="B2927" s="40"/>
      <c r="C2927" s="173"/>
      <c r="D2927" s="86"/>
      <c r="E2927" s="43" t="str">
        <f t="shared" si="82"/>
        <v/>
      </c>
      <c r="F2927" s="43" t="str">
        <f t="shared" si="83"/>
        <v/>
      </c>
      <c r="G2927" s="44"/>
      <c r="H2927" s="44"/>
      <c r="I2927" s="44"/>
      <c r="J2927" s="176"/>
      <c r="K2927" s="43" t="str">
        <f t="array" ref="K2927">IF(J2927="","", XLOOKUP(J2927,'⚙️ Pengaturan'!$E$2:$E3237,'⚙️ Pengaturan'!$G$2:$G3237))</f>
        <v/>
      </c>
      <c r="L2927" s="43" t="str">
        <f t="shared" si="84"/>
        <v/>
      </c>
      <c r="M2927" s="177"/>
      <c r="N2927" s="145"/>
      <c r="O2927" s="146"/>
      <c r="P2927" s="48" t="str">
        <f t="array" ref="P2927">IFNA(XLOOKUP(J2927,'⚙️ Pengaturan'!$E$2:$E3237,'⚙️ Pengaturan'!$F$2:$F3237),"")</f>
        <v/>
      </c>
      <c r="Q2927" s="147" t="str">
        <f t="shared" si="85"/>
        <v/>
      </c>
      <c r="R2927" s="173"/>
      <c r="S2927" s="76"/>
      <c r="T2927" s="51" t="b">
        <v>0</v>
      </c>
      <c r="U2927" s="94"/>
    </row>
    <row r="2928" ht="30.0" customHeight="1">
      <c r="A2928" s="39"/>
      <c r="B2928" s="40"/>
      <c r="C2928" s="173"/>
      <c r="D2928" s="86"/>
      <c r="E2928" s="43" t="str">
        <f t="shared" si="82"/>
        <v/>
      </c>
      <c r="F2928" s="43" t="str">
        <f t="shared" si="83"/>
        <v/>
      </c>
      <c r="G2928" s="44"/>
      <c r="H2928" s="44"/>
      <c r="I2928" s="44"/>
      <c r="J2928" s="176"/>
      <c r="K2928" s="43" t="str">
        <f t="array" ref="K2928">IF(J2928="","", XLOOKUP(J2928,'⚙️ Pengaturan'!$E$2:$E3237,'⚙️ Pengaturan'!$G$2:$G3237))</f>
        <v/>
      </c>
      <c r="L2928" s="43" t="str">
        <f t="shared" si="84"/>
        <v/>
      </c>
      <c r="M2928" s="177"/>
      <c r="N2928" s="145"/>
      <c r="O2928" s="146"/>
      <c r="P2928" s="48" t="str">
        <f t="array" ref="P2928">IFNA(XLOOKUP(J2928,'⚙️ Pengaturan'!$E$2:$E3237,'⚙️ Pengaturan'!$F$2:$F3237),"")</f>
        <v/>
      </c>
      <c r="Q2928" s="147" t="str">
        <f t="shared" si="85"/>
        <v/>
      </c>
      <c r="R2928" s="173"/>
      <c r="S2928" s="76"/>
      <c r="T2928" s="51" t="b">
        <v>0</v>
      </c>
      <c r="U2928" s="94"/>
    </row>
    <row r="2929" ht="30.0" customHeight="1">
      <c r="A2929" s="39"/>
      <c r="B2929" s="40"/>
      <c r="C2929" s="173"/>
      <c r="D2929" s="86"/>
      <c r="E2929" s="43" t="str">
        <f t="shared" si="82"/>
        <v/>
      </c>
      <c r="F2929" s="43" t="str">
        <f t="shared" si="83"/>
        <v/>
      </c>
      <c r="G2929" s="44"/>
      <c r="H2929" s="44"/>
      <c r="I2929" s="44"/>
      <c r="J2929" s="176"/>
      <c r="K2929" s="43" t="str">
        <f t="array" ref="K2929">IF(J2929="","", XLOOKUP(J2929,'⚙️ Pengaturan'!$E$2:$E3237,'⚙️ Pengaturan'!$G$2:$G3237))</f>
        <v/>
      </c>
      <c r="L2929" s="43" t="str">
        <f t="shared" si="84"/>
        <v/>
      </c>
      <c r="M2929" s="177"/>
      <c r="N2929" s="145"/>
      <c r="O2929" s="146"/>
      <c r="P2929" s="48" t="str">
        <f t="array" ref="P2929">IFNA(XLOOKUP(J2929,'⚙️ Pengaturan'!$E$2:$E3237,'⚙️ Pengaturan'!$F$2:$F3237),"")</f>
        <v/>
      </c>
      <c r="Q2929" s="147" t="str">
        <f t="shared" si="85"/>
        <v/>
      </c>
      <c r="R2929" s="173"/>
      <c r="S2929" s="76"/>
      <c r="T2929" s="51" t="b">
        <v>0</v>
      </c>
      <c r="U2929" s="94"/>
    </row>
    <row r="2930" ht="30.0" customHeight="1">
      <c r="A2930" s="39"/>
      <c r="B2930" s="40"/>
      <c r="C2930" s="173"/>
      <c r="D2930" s="86"/>
      <c r="E2930" s="43" t="str">
        <f t="shared" si="82"/>
        <v/>
      </c>
      <c r="F2930" s="43" t="str">
        <f t="shared" si="83"/>
        <v/>
      </c>
      <c r="G2930" s="44"/>
      <c r="H2930" s="44"/>
      <c r="I2930" s="44"/>
      <c r="J2930" s="176"/>
      <c r="K2930" s="43" t="str">
        <f t="array" ref="K2930">IF(J2930="","", XLOOKUP(J2930,'⚙️ Pengaturan'!$E$2:$E3237,'⚙️ Pengaturan'!$G$2:$G3237))</f>
        <v/>
      </c>
      <c r="L2930" s="43" t="str">
        <f t="shared" si="84"/>
        <v/>
      </c>
      <c r="M2930" s="177"/>
      <c r="N2930" s="145"/>
      <c r="O2930" s="146"/>
      <c r="P2930" s="48" t="str">
        <f t="array" ref="P2930">IFNA(XLOOKUP(J2930,'⚙️ Pengaturan'!$E$2:$E3237,'⚙️ Pengaturan'!$F$2:$F3237),"")</f>
        <v/>
      </c>
      <c r="Q2930" s="147" t="str">
        <f t="shared" si="85"/>
        <v/>
      </c>
      <c r="R2930" s="173"/>
      <c r="S2930" s="76"/>
      <c r="T2930" s="51" t="b">
        <v>0</v>
      </c>
      <c r="U2930" s="94"/>
    </row>
    <row r="2931" ht="30.0" customHeight="1">
      <c r="A2931" s="39"/>
      <c r="B2931" s="40"/>
      <c r="C2931" s="173"/>
      <c r="D2931" s="86"/>
      <c r="E2931" s="43" t="str">
        <f t="shared" si="82"/>
        <v/>
      </c>
      <c r="F2931" s="43" t="str">
        <f t="shared" si="83"/>
        <v/>
      </c>
      <c r="G2931" s="44"/>
      <c r="H2931" s="44"/>
      <c r="I2931" s="44"/>
      <c r="J2931" s="176"/>
      <c r="K2931" s="43" t="str">
        <f t="array" ref="K2931">IF(J2931="","", XLOOKUP(J2931,'⚙️ Pengaturan'!$E$2:$E3237,'⚙️ Pengaturan'!$G$2:$G3237))</f>
        <v/>
      </c>
      <c r="L2931" s="43" t="str">
        <f t="shared" si="84"/>
        <v/>
      </c>
      <c r="M2931" s="177"/>
      <c r="N2931" s="145"/>
      <c r="O2931" s="146"/>
      <c r="P2931" s="48" t="str">
        <f t="array" ref="P2931">IFNA(XLOOKUP(J2931,'⚙️ Pengaturan'!$E$2:$E3237,'⚙️ Pengaturan'!$F$2:$F3237),"")</f>
        <v/>
      </c>
      <c r="Q2931" s="147" t="str">
        <f t="shared" si="85"/>
        <v/>
      </c>
      <c r="R2931" s="173"/>
      <c r="S2931" s="76"/>
      <c r="T2931" s="51" t="b">
        <v>0</v>
      </c>
      <c r="U2931" s="94"/>
    </row>
    <row r="2932" ht="30.0" customHeight="1">
      <c r="A2932" s="39"/>
      <c r="B2932" s="40"/>
      <c r="C2932" s="173"/>
      <c r="D2932" s="86"/>
      <c r="E2932" s="43" t="str">
        <f t="shared" si="82"/>
        <v/>
      </c>
      <c r="F2932" s="43" t="str">
        <f t="shared" si="83"/>
        <v/>
      </c>
      <c r="G2932" s="44"/>
      <c r="H2932" s="44"/>
      <c r="I2932" s="44"/>
      <c r="J2932" s="176"/>
      <c r="K2932" s="43" t="str">
        <f t="array" ref="K2932">IF(J2932="","", XLOOKUP(J2932,'⚙️ Pengaturan'!$E$2:$E3237,'⚙️ Pengaturan'!$G$2:$G3237))</f>
        <v/>
      </c>
      <c r="L2932" s="43" t="str">
        <f t="shared" si="84"/>
        <v/>
      </c>
      <c r="M2932" s="177"/>
      <c r="N2932" s="145"/>
      <c r="O2932" s="146"/>
      <c r="P2932" s="48" t="str">
        <f t="array" ref="P2932">IFNA(XLOOKUP(J2932,'⚙️ Pengaturan'!$E$2:$E3237,'⚙️ Pengaturan'!$F$2:$F3237),"")</f>
        <v/>
      </c>
      <c r="Q2932" s="147" t="str">
        <f t="shared" si="85"/>
        <v/>
      </c>
      <c r="R2932" s="173"/>
      <c r="S2932" s="76"/>
      <c r="T2932" s="51" t="b">
        <v>0</v>
      </c>
      <c r="U2932" s="94"/>
    </row>
    <row r="2933" ht="30.0" customHeight="1">
      <c r="A2933" s="39"/>
      <c r="B2933" s="40"/>
      <c r="C2933" s="173"/>
      <c r="D2933" s="86"/>
      <c r="E2933" s="43" t="str">
        <f t="shared" si="82"/>
        <v/>
      </c>
      <c r="F2933" s="43" t="str">
        <f t="shared" si="83"/>
        <v/>
      </c>
      <c r="G2933" s="44"/>
      <c r="H2933" s="44"/>
      <c r="I2933" s="44"/>
      <c r="J2933" s="176"/>
      <c r="K2933" s="43" t="str">
        <f t="array" ref="K2933">IF(J2933="","", XLOOKUP(J2933,'⚙️ Pengaturan'!$E$2:$E3237,'⚙️ Pengaturan'!$G$2:$G3237))</f>
        <v/>
      </c>
      <c r="L2933" s="43" t="str">
        <f t="shared" si="84"/>
        <v/>
      </c>
      <c r="M2933" s="177"/>
      <c r="N2933" s="145"/>
      <c r="O2933" s="146"/>
      <c r="P2933" s="48" t="str">
        <f t="array" ref="P2933">IFNA(XLOOKUP(J2933,'⚙️ Pengaturan'!$E$2:$E3237,'⚙️ Pengaturan'!$F$2:$F3237),"")</f>
        <v/>
      </c>
      <c r="Q2933" s="147" t="str">
        <f t="shared" si="85"/>
        <v/>
      </c>
      <c r="R2933" s="173"/>
      <c r="S2933" s="76"/>
      <c r="T2933" s="51" t="b">
        <v>0</v>
      </c>
      <c r="U2933" s="94"/>
    </row>
    <row r="2934" ht="30.0" customHeight="1">
      <c r="A2934" s="39"/>
      <c r="B2934" s="40"/>
      <c r="C2934" s="173"/>
      <c r="D2934" s="86"/>
      <c r="E2934" s="43" t="str">
        <f t="shared" si="82"/>
        <v/>
      </c>
      <c r="F2934" s="43" t="str">
        <f t="shared" si="83"/>
        <v/>
      </c>
      <c r="G2934" s="44"/>
      <c r="H2934" s="44"/>
      <c r="I2934" s="44"/>
      <c r="J2934" s="176"/>
      <c r="K2934" s="43" t="str">
        <f t="array" ref="K2934">IF(J2934="","", XLOOKUP(J2934,'⚙️ Pengaturan'!$E$2:$E3237,'⚙️ Pengaturan'!$G$2:$G3237))</f>
        <v/>
      </c>
      <c r="L2934" s="43" t="str">
        <f t="shared" si="84"/>
        <v/>
      </c>
      <c r="M2934" s="177"/>
      <c r="N2934" s="145"/>
      <c r="O2934" s="146"/>
      <c r="P2934" s="48" t="str">
        <f t="array" ref="P2934">IFNA(XLOOKUP(J2934,'⚙️ Pengaturan'!$E$2:$E3237,'⚙️ Pengaturan'!$F$2:$F3237),"")</f>
        <v/>
      </c>
      <c r="Q2934" s="147" t="str">
        <f t="shared" si="85"/>
        <v/>
      </c>
      <c r="R2934" s="173"/>
      <c r="S2934" s="76"/>
      <c r="T2934" s="51" t="b">
        <v>0</v>
      </c>
      <c r="U2934" s="94"/>
    </row>
    <row r="2935" ht="30.0" customHeight="1">
      <c r="A2935" s="39"/>
      <c r="B2935" s="40"/>
      <c r="C2935" s="173"/>
      <c r="D2935" s="86"/>
      <c r="E2935" s="43" t="str">
        <f t="shared" si="82"/>
        <v/>
      </c>
      <c r="F2935" s="43" t="str">
        <f t="shared" si="83"/>
        <v/>
      </c>
      <c r="G2935" s="44"/>
      <c r="H2935" s="44"/>
      <c r="I2935" s="44"/>
      <c r="J2935" s="176"/>
      <c r="K2935" s="43" t="str">
        <f t="array" ref="K2935">IF(J2935="","", XLOOKUP(J2935,'⚙️ Pengaturan'!$E$2:$E3237,'⚙️ Pengaturan'!$G$2:$G3237))</f>
        <v/>
      </c>
      <c r="L2935" s="43" t="str">
        <f t="shared" si="84"/>
        <v/>
      </c>
      <c r="M2935" s="177"/>
      <c r="N2935" s="145"/>
      <c r="O2935" s="146"/>
      <c r="P2935" s="48" t="str">
        <f t="array" ref="P2935">IFNA(XLOOKUP(J2935,'⚙️ Pengaturan'!$E$2:$E3237,'⚙️ Pengaturan'!$F$2:$F3237),"")</f>
        <v/>
      </c>
      <c r="Q2935" s="147" t="str">
        <f t="shared" si="85"/>
        <v/>
      </c>
      <c r="R2935" s="173"/>
      <c r="S2935" s="76"/>
      <c r="T2935" s="51" t="b">
        <v>0</v>
      </c>
      <c r="U2935" s="94"/>
    </row>
    <row r="2936" ht="30.0" customHeight="1">
      <c r="A2936" s="39"/>
      <c r="B2936" s="40"/>
      <c r="C2936" s="173"/>
      <c r="D2936" s="86"/>
      <c r="E2936" s="43" t="str">
        <f t="shared" si="82"/>
        <v/>
      </c>
      <c r="F2936" s="43" t="str">
        <f t="shared" si="83"/>
        <v/>
      </c>
      <c r="G2936" s="44"/>
      <c r="H2936" s="44"/>
      <c r="I2936" s="44"/>
      <c r="J2936" s="176"/>
      <c r="K2936" s="43" t="str">
        <f t="array" ref="K2936">IF(J2936="","", XLOOKUP(J2936,'⚙️ Pengaturan'!$E$2:$E3237,'⚙️ Pengaturan'!$G$2:$G3237))</f>
        <v/>
      </c>
      <c r="L2936" s="43" t="str">
        <f t="shared" si="84"/>
        <v/>
      </c>
      <c r="M2936" s="177"/>
      <c r="N2936" s="145"/>
      <c r="O2936" s="146"/>
      <c r="P2936" s="48" t="str">
        <f t="array" ref="P2936">IFNA(XLOOKUP(J2936,'⚙️ Pengaturan'!$E$2:$E3237,'⚙️ Pengaturan'!$F$2:$F3237),"")</f>
        <v/>
      </c>
      <c r="Q2936" s="147" t="str">
        <f t="shared" si="85"/>
        <v/>
      </c>
      <c r="R2936" s="173"/>
      <c r="S2936" s="76"/>
      <c r="T2936" s="51" t="b">
        <v>0</v>
      </c>
      <c r="U2936" s="94"/>
    </row>
    <row r="2937" ht="30.0" customHeight="1">
      <c r="A2937" s="39"/>
      <c r="B2937" s="40"/>
      <c r="C2937" s="173"/>
      <c r="D2937" s="86"/>
      <c r="E2937" s="43" t="str">
        <f t="shared" si="82"/>
        <v/>
      </c>
      <c r="F2937" s="43" t="str">
        <f t="shared" si="83"/>
        <v/>
      </c>
      <c r="G2937" s="44"/>
      <c r="H2937" s="44"/>
      <c r="I2937" s="44"/>
      <c r="J2937" s="176"/>
      <c r="K2937" s="43" t="str">
        <f t="array" ref="K2937">IF(J2937="","", XLOOKUP(J2937,'⚙️ Pengaturan'!$E$2:$E3237,'⚙️ Pengaturan'!$G$2:$G3237))</f>
        <v/>
      </c>
      <c r="L2937" s="43" t="str">
        <f t="shared" si="84"/>
        <v/>
      </c>
      <c r="M2937" s="177"/>
      <c r="N2937" s="145"/>
      <c r="O2937" s="146"/>
      <c r="P2937" s="48" t="str">
        <f t="array" ref="P2937">IFNA(XLOOKUP(J2937,'⚙️ Pengaturan'!$E$2:$E3237,'⚙️ Pengaturan'!$F$2:$F3237),"")</f>
        <v/>
      </c>
      <c r="Q2937" s="147" t="str">
        <f t="shared" si="85"/>
        <v/>
      </c>
      <c r="R2937" s="173"/>
      <c r="S2937" s="76"/>
      <c r="T2937" s="51" t="b">
        <v>0</v>
      </c>
      <c r="U2937" s="94"/>
    </row>
    <row r="2938" ht="30.0" customHeight="1">
      <c r="A2938" s="39"/>
      <c r="B2938" s="40"/>
      <c r="C2938" s="173"/>
      <c r="D2938" s="86"/>
      <c r="E2938" s="43" t="str">
        <f t="shared" si="82"/>
        <v/>
      </c>
      <c r="F2938" s="43" t="str">
        <f t="shared" si="83"/>
        <v/>
      </c>
      <c r="G2938" s="44"/>
      <c r="H2938" s="44"/>
      <c r="I2938" s="44"/>
      <c r="J2938" s="176"/>
      <c r="K2938" s="43" t="str">
        <f t="array" ref="K2938">IF(J2938="","", XLOOKUP(J2938,'⚙️ Pengaturan'!$E$2:$E3237,'⚙️ Pengaturan'!$G$2:$G3237))</f>
        <v/>
      </c>
      <c r="L2938" s="43" t="str">
        <f t="shared" si="84"/>
        <v/>
      </c>
      <c r="M2938" s="177"/>
      <c r="N2938" s="145"/>
      <c r="O2938" s="146"/>
      <c r="P2938" s="48" t="str">
        <f t="array" ref="P2938">IFNA(XLOOKUP(J2938,'⚙️ Pengaturan'!$E$2:$E3237,'⚙️ Pengaturan'!$F$2:$F3237),"")</f>
        <v/>
      </c>
      <c r="Q2938" s="147" t="str">
        <f t="shared" si="85"/>
        <v/>
      </c>
      <c r="R2938" s="173"/>
      <c r="S2938" s="76"/>
      <c r="T2938" s="51" t="b">
        <v>0</v>
      </c>
      <c r="U2938" s="94"/>
    </row>
    <row r="2939" ht="30.0" customHeight="1">
      <c r="A2939" s="39"/>
      <c r="B2939" s="40"/>
      <c r="C2939" s="173"/>
      <c r="D2939" s="86"/>
      <c r="E2939" s="43" t="str">
        <f t="shared" si="82"/>
        <v/>
      </c>
      <c r="F2939" s="43" t="str">
        <f t="shared" si="83"/>
        <v/>
      </c>
      <c r="G2939" s="44"/>
      <c r="H2939" s="44"/>
      <c r="I2939" s="44"/>
      <c r="J2939" s="176"/>
      <c r="K2939" s="43" t="str">
        <f t="array" ref="K2939">IF(J2939="","", XLOOKUP(J2939,'⚙️ Pengaturan'!$E$2:$E3237,'⚙️ Pengaturan'!$G$2:$G3237))</f>
        <v/>
      </c>
      <c r="L2939" s="43" t="str">
        <f t="shared" si="84"/>
        <v/>
      </c>
      <c r="M2939" s="177"/>
      <c r="N2939" s="145"/>
      <c r="O2939" s="146"/>
      <c r="P2939" s="48" t="str">
        <f t="array" ref="P2939">IFNA(XLOOKUP(J2939,'⚙️ Pengaturan'!$E$2:$E3237,'⚙️ Pengaturan'!$F$2:$F3237),"")</f>
        <v/>
      </c>
      <c r="Q2939" s="147" t="str">
        <f t="shared" si="85"/>
        <v/>
      </c>
      <c r="R2939" s="173"/>
      <c r="S2939" s="76"/>
      <c r="T2939" s="51" t="b">
        <v>0</v>
      </c>
      <c r="U2939" s="94"/>
    </row>
    <row r="2940" ht="30.0" customHeight="1">
      <c r="A2940" s="39"/>
      <c r="B2940" s="40"/>
      <c r="C2940" s="173"/>
      <c r="D2940" s="86"/>
      <c r="E2940" s="43" t="str">
        <f t="shared" si="82"/>
        <v/>
      </c>
      <c r="F2940" s="43" t="str">
        <f t="shared" si="83"/>
        <v/>
      </c>
      <c r="G2940" s="44"/>
      <c r="H2940" s="44"/>
      <c r="I2940" s="44"/>
      <c r="J2940" s="176"/>
      <c r="K2940" s="43" t="str">
        <f t="array" ref="K2940">IF(J2940="","", XLOOKUP(J2940,'⚙️ Pengaturan'!$E$2:$E3237,'⚙️ Pengaturan'!$G$2:$G3237))</f>
        <v/>
      </c>
      <c r="L2940" s="43" t="str">
        <f t="shared" si="84"/>
        <v/>
      </c>
      <c r="M2940" s="177"/>
      <c r="N2940" s="145"/>
      <c r="O2940" s="146"/>
      <c r="P2940" s="48" t="str">
        <f t="array" ref="P2940">IFNA(XLOOKUP(J2940,'⚙️ Pengaturan'!$E$2:$E3237,'⚙️ Pengaturan'!$F$2:$F3237),"")</f>
        <v/>
      </c>
      <c r="Q2940" s="147" t="str">
        <f t="shared" si="85"/>
        <v/>
      </c>
      <c r="R2940" s="173"/>
      <c r="S2940" s="76"/>
      <c r="T2940" s="51" t="b">
        <v>0</v>
      </c>
      <c r="U2940" s="94"/>
    </row>
    <row r="2941" ht="30.0" customHeight="1">
      <c r="A2941" s="39"/>
      <c r="B2941" s="40"/>
      <c r="C2941" s="173"/>
      <c r="D2941" s="86"/>
      <c r="E2941" s="43" t="str">
        <f t="shared" si="82"/>
        <v/>
      </c>
      <c r="F2941" s="43" t="str">
        <f t="shared" si="83"/>
        <v/>
      </c>
      <c r="G2941" s="44"/>
      <c r="H2941" s="44"/>
      <c r="I2941" s="44"/>
      <c r="J2941" s="176"/>
      <c r="K2941" s="43" t="str">
        <f t="array" ref="K2941">IF(J2941="","", XLOOKUP(J2941,'⚙️ Pengaturan'!$E$2:$E3237,'⚙️ Pengaturan'!$G$2:$G3237))</f>
        <v/>
      </c>
      <c r="L2941" s="43" t="str">
        <f t="shared" si="84"/>
        <v/>
      </c>
      <c r="M2941" s="177"/>
      <c r="N2941" s="145"/>
      <c r="O2941" s="146"/>
      <c r="P2941" s="48" t="str">
        <f t="array" ref="P2941">IFNA(XLOOKUP(J2941,'⚙️ Pengaturan'!$E$2:$E3237,'⚙️ Pengaturan'!$F$2:$F3237),"")</f>
        <v/>
      </c>
      <c r="Q2941" s="147" t="str">
        <f t="shared" si="85"/>
        <v/>
      </c>
      <c r="R2941" s="173"/>
      <c r="S2941" s="76"/>
      <c r="T2941" s="51" t="b">
        <v>0</v>
      </c>
      <c r="U2941" s="94"/>
    </row>
    <row r="2942" ht="30.0" customHeight="1">
      <c r="A2942" s="39"/>
      <c r="B2942" s="40"/>
      <c r="C2942" s="173"/>
      <c r="D2942" s="86"/>
      <c r="E2942" s="43" t="str">
        <f t="shared" si="82"/>
        <v/>
      </c>
      <c r="F2942" s="43" t="str">
        <f t="shared" si="83"/>
        <v/>
      </c>
      <c r="G2942" s="44"/>
      <c r="H2942" s="44"/>
      <c r="I2942" s="44"/>
      <c r="J2942" s="176"/>
      <c r="K2942" s="43" t="str">
        <f t="array" ref="K2942">IF(J2942="","", XLOOKUP(J2942,'⚙️ Pengaturan'!$E$2:$E3237,'⚙️ Pengaturan'!$G$2:$G3237))</f>
        <v/>
      </c>
      <c r="L2942" s="43" t="str">
        <f t="shared" si="84"/>
        <v/>
      </c>
      <c r="M2942" s="177"/>
      <c r="N2942" s="145"/>
      <c r="O2942" s="146"/>
      <c r="P2942" s="48" t="str">
        <f t="array" ref="P2942">IFNA(XLOOKUP(J2942,'⚙️ Pengaturan'!$E$2:$E3237,'⚙️ Pengaturan'!$F$2:$F3237),"")</f>
        <v/>
      </c>
      <c r="Q2942" s="147" t="str">
        <f t="shared" si="85"/>
        <v/>
      </c>
      <c r="R2942" s="173"/>
      <c r="S2942" s="76"/>
      <c r="T2942" s="51" t="b">
        <v>0</v>
      </c>
      <c r="U2942" s="94"/>
    </row>
    <row r="2943" ht="30.0" customHeight="1">
      <c r="A2943" s="39"/>
      <c r="B2943" s="40"/>
      <c r="C2943" s="173"/>
      <c r="D2943" s="86"/>
      <c r="E2943" s="43" t="str">
        <f t="shared" si="82"/>
        <v/>
      </c>
      <c r="F2943" s="43" t="str">
        <f t="shared" si="83"/>
        <v/>
      </c>
      <c r="G2943" s="44"/>
      <c r="H2943" s="44"/>
      <c r="I2943" s="44"/>
      <c r="J2943" s="176"/>
      <c r="K2943" s="43" t="str">
        <f t="array" ref="K2943">IF(J2943="","", XLOOKUP(J2943,'⚙️ Pengaturan'!$E$2:$E3237,'⚙️ Pengaturan'!$G$2:$G3237))</f>
        <v/>
      </c>
      <c r="L2943" s="43" t="str">
        <f t="shared" si="84"/>
        <v/>
      </c>
      <c r="M2943" s="177"/>
      <c r="N2943" s="145"/>
      <c r="O2943" s="146"/>
      <c r="P2943" s="48" t="str">
        <f t="array" ref="P2943">IFNA(XLOOKUP(J2943,'⚙️ Pengaturan'!$E$2:$E3237,'⚙️ Pengaturan'!$F$2:$F3237),"")</f>
        <v/>
      </c>
      <c r="Q2943" s="147" t="str">
        <f t="shared" si="85"/>
        <v/>
      </c>
      <c r="R2943" s="173"/>
      <c r="S2943" s="76"/>
      <c r="T2943" s="51" t="b">
        <v>0</v>
      </c>
      <c r="U2943" s="94"/>
    </row>
    <row r="2944" ht="30.0" customHeight="1">
      <c r="A2944" s="39"/>
      <c r="B2944" s="40"/>
      <c r="C2944" s="173"/>
      <c r="D2944" s="86"/>
      <c r="E2944" s="43" t="str">
        <f t="shared" si="82"/>
        <v/>
      </c>
      <c r="F2944" s="43" t="str">
        <f t="shared" si="83"/>
        <v/>
      </c>
      <c r="G2944" s="44"/>
      <c r="H2944" s="44"/>
      <c r="I2944" s="44"/>
      <c r="J2944" s="176"/>
      <c r="K2944" s="43" t="str">
        <f t="array" ref="K2944">IF(J2944="","", XLOOKUP(J2944,'⚙️ Pengaturan'!$E$2:$E3237,'⚙️ Pengaturan'!$G$2:$G3237))</f>
        <v/>
      </c>
      <c r="L2944" s="43" t="str">
        <f t="shared" si="84"/>
        <v/>
      </c>
      <c r="M2944" s="177"/>
      <c r="N2944" s="145"/>
      <c r="O2944" s="146"/>
      <c r="P2944" s="48" t="str">
        <f t="array" ref="P2944">IFNA(XLOOKUP(J2944,'⚙️ Pengaturan'!$E$2:$E3237,'⚙️ Pengaturan'!$F$2:$F3237),"")</f>
        <v/>
      </c>
      <c r="Q2944" s="147" t="str">
        <f t="shared" si="85"/>
        <v/>
      </c>
      <c r="R2944" s="173"/>
      <c r="S2944" s="76"/>
      <c r="T2944" s="51" t="b">
        <v>0</v>
      </c>
      <c r="U2944" s="94"/>
    </row>
    <row r="2945" ht="30.0" customHeight="1">
      <c r="A2945" s="39"/>
      <c r="B2945" s="40"/>
      <c r="C2945" s="173"/>
      <c r="D2945" s="86"/>
      <c r="E2945" s="43" t="str">
        <f t="shared" si="82"/>
        <v/>
      </c>
      <c r="F2945" s="43" t="str">
        <f t="shared" si="83"/>
        <v/>
      </c>
      <c r="G2945" s="44"/>
      <c r="H2945" s="44"/>
      <c r="I2945" s="44"/>
      <c r="J2945" s="176"/>
      <c r="K2945" s="43" t="str">
        <f t="array" ref="K2945">IF(J2945="","", XLOOKUP(J2945,'⚙️ Pengaturan'!$E$2:$E3237,'⚙️ Pengaturan'!$G$2:$G3237))</f>
        <v/>
      </c>
      <c r="L2945" s="43" t="str">
        <f t="shared" si="84"/>
        <v/>
      </c>
      <c r="M2945" s="177"/>
      <c r="N2945" s="145"/>
      <c r="O2945" s="146"/>
      <c r="P2945" s="48" t="str">
        <f t="array" ref="P2945">IFNA(XLOOKUP(J2945,'⚙️ Pengaturan'!$E$2:$E3237,'⚙️ Pengaturan'!$F$2:$F3237),"")</f>
        <v/>
      </c>
      <c r="Q2945" s="147" t="str">
        <f t="shared" si="85"/>
        <v/>
      </c>
      <c r="R2945" s="173"/>
      <c r="S2945" s="76"/>
      <c r="T2945" s="51" t="b">
        <v>0</v>
      </c>
      <c r="U2945" s="94"/>
    </row>
    <row r="2946" ht="30.0" customHeight="1">
      <c r="A2946" s="39"/>
      <c r="B2946" s="40"/>
      <c r="C2946" s="173"/>
      <c r="D2946" s="86"/>
      <c r="E2946" s="43" t="str">
        <f t="shared" si="82"/>
        <v/>
      </c>
      <c r="F2946" s="43" t="str">
        <f t="shared" si="83"/>
        <v/>
      </c>
      <c r="G2946" s="44"/>
      <c r="H2946" s="44"/>
      <c r="I2946" s="44"/>
      <c r="J2946" s="176"/>
      <c r="K2946" s="43" t="str">
        <f t="array" ref="K2946">IF(J2946="","", XLOOKUP(J2946,'⚙️ Pengaturan'!$E$2:$E3237,'⚙️ Pengaturan'!$G$2:$G3237))</f>
        <v/>
      </c>
      <c r="L2946" s="43" t="str">
        <f t="shared" si="84"/>
        <v/>
      </c>
      <c r="M2946" s="177"/>
      <c r="N2946" s="145"/>
      <c r="O2946" s="146"/>
      <c r="P2946" s="48" t="str">
        <f t="array" ref="P2946">IFNA(XLOOKUP(J2946,'⚙️ Pengaturan'!$E$2:$E3237,'⚙️ Pengaturan'!$F$2:$F3237),"")</f>
        <v/>
      </c>
      <c r="Q2946" s="147" t="str">
        <f t="shared" si="85"/>
        <v/>
      </c>
      <c r="R2946" s="173"/>
      <c r="S2946" s="76"/>
      <c r="T2946" s="51" t="b">
        <v>0</v>
      </c>
      <c r="U2946" s="94"/>
    </row>
    <row r="2947" ht="30.0" customHeight="1">
      <c r="A2947" s="39"/>
      <c r="B2947" s="40"/>
      <c r="C2947" s="173"/>
      <c r="D2947" s="86"/>
      <c r="E2947" s="43" t="str">
        <f t="shared" si="82"/>
        <v/>
      </c>
      <c r="F2947" s="43" t="str">
        <f t="shared" si="83"/>
        <v/>
      </c>
      <c r="G2947" s="44"/>
      <c r="H2947" s="44"/>
      <c r="I2947" s="44"/>
      <c r="J2947" s="176"/>
      <c r="K2947" s="43" t="str">
        <f t="array" ref="K2947">IF(J2947="","", XLOOKUP(J2947,'⚙️ Pengaturan'!$E$2:$E3237,'⚙️ Pengaturan'!$G$2:$G3237))</f>
        <v/>
      </c>
      <c r="L2947" s="43" t="str">
        <f t="shared" si="84"/>
        <v/>
      </c>
      <c r="M2947" s="177"/>
      <c r="N2947" s="145"/>
      <c r="O2947" s="146"/>
      <c r="P2947" s="48" t="str">
        <f t="array" ref="P2947">IFNA(XLOOKUP(J2947,'⚙️ Pengaturan'!$E$2:$E3237,'⚙️ Pengaturan'!$F$2:$F3237),"")</f>
        <v/>
      </c>
      <c r="Q2947" s="147" t="str">
        <f t="shared" si="85"/>
        <v/>
      </c>
      <c r="R2947" s="173"/>
      <c r="S2947" s="76"/>
      <c r="T2947" s="51" t="b">
        <v>0</v>
      </c>
      <c r="U2947" s="94"/>
    </row>
    <row r="2948" ht="30.0" customHeight="1">
      <c r="A2948" s="39"/>
      <c r="B2948" s="40"/>
      <c r="C2948" s="173"/>
      <c r="D2948" s="86"/>
      <c r="E2948" s="43" t="str">
        <f t="shared" si="82"/>
        <v/>
      </c>
      <c r="F2948" s="43" t="str">
        <f t="shared" si="83"/>
        <v/>
      </c>
      <c r="G2948" s="44"/>
      <c r="H2948" s="44"/>
      <c r="I2948" s="44"/>
      <c r="J2948" s="176"/>
      <c r="K2948" s="43" t="str">
        <f t="array" ref="K2948">IF(J2948="","", XLOOKUP(J2948,'⚙️ Pengaturan'!$E$2:$E3237,'⚙️ Pengaturan'!$G$2:$G3237))</f>
        <v/>
      </c>
      <c r="L2948" s="43" t="str">
        <f t="shared" si="84"/>
        <v/>
      </c>
      <c r="M2948" s="177"/>
      <c r="N2948" s="145"/>
      <c r="O2948" s="146"/>
      <c r="P2948" s="48" t="str">
        <f t="array" ref="P2948">IFNA(XLOOKUP(J2948,'⚙️ Pengaturan'!$E$2:$E3237,'⚙️ Pengaturan'!$F$2:$F3237),"")</f>
        <v/>
      </c>
      <c r="Q2948" s="147" t="str">
        <f t="shared" si="85"/>
        <v/>
      </c>
      <c r="R2948" s="173"/>
      <c r="S2948" s="76"/>
      <c r="T2948" s="51" t="b">
        <v>0</v>
      </c>
      <c r="U2948" s="94"/>
    </row>
    <row r="2949" ht="30.0" customHeight="1">
      <c r="A2949" s="39"/>
      <c r="B2949" s="40"/>
      <c r="C2949" s="173"/>
      <c r="D2949" s="86"/>
      <c r="E2949" s="43" t="str">
        <f t="shared" si="82"/>
        <v/>
      </c>
      <c r="F2949" s="43" t="str">
        <f t="shared" si="83"/>
        <v/>
      </c>
      <c r="G2949" s="44"/>
      <c r="H2949" s="44"/>
      <c r="I2949" s="44"/>
      <c r="J2949" s="176"/>
      <c r="K2949" s="43" t="str">
        <f t="array" ref="K2949">IF(J2949="","", XLOOKUP(J2949,'⚙️ Pengaturan'!$E$2:$E3237,'⚙️ Pengaturan'!$G$2:$G3237))</f>
        <v/>
      </c>
      <c r="L2949" s="43" t="str">
        <f t="shared" si="84"/>
        <v/>
      </c>
      <c r="M2949" s="177"/>
      <c r="N2949" s="145"/>
      <c r="O2949" s="146"/>
      <c r="P2949" s="48" t="str">
        <f t="array" ref="P2949">IFNA(XLOOKUP(J2949,'⚙️ Pengaturan'!$E$2:$E3237,'⚙️ Pengaturan'!$F$2:$F3237),"")</f>
        <v/>
      </c>
      <c r="Q2949" s="147" t="str">
        <f t="shared" si="85"/>
        <v/>
      </c>
      <c r="R2949" s="173"/>
      <c r="S2949" s="76"/>
      <c r="T2949" s="51" t="b">
        <v>0</v>
      </c>
      <c r="U2949" s="94"/>
    </row>
    <row r="2950" ht="30.0" customHeight="1">
      <c r="A2950" s="39"/>
      <c r="B2950" s="40"/>
      <c r="C2950" s="173"/>
      <c r="D2950" s="86"/>
      <c r="E2950" s="43" t="str">
        <f t="shared" si="82"/>
        <v/>
      </c>
      <c r="F2950" s="43" t="str">
        <f t="shared" si="83"/>
        <v/>
      </c>
      <c r="G2950" s="44"/>
      <c r="H2950" s="44"/>
      <c r="I2950" s="44"/>
      <c r="J2950" s="176"/>
      <c r="K2950" s="43" t="str">
        <f t="array" ref="K2950">IF(J2950="","", XLOOKUP(J2950,'⚙️ Pengaturan'!$E$2:$E3237,'⚙️ Pengaturan'!$G$2:$G3237))</f>
        <v/>
      </c>
      <c r="L2950" s="43" t="str">
        <f t="shared" si="84"/>
        <v/>
      </c>
      <c r="M2950" s="177"/>
      <c r="N2950" s="145"/>
      <c r="O2950" s="146"/>
      <c r="P2950" s="48" t="str">
        <f t="array" ref="P2950">IFNA(XLOOKUP(J2950,'⚙️ Pengaturan'!$E$2:$E3237,'⚙️ Pengaturan'!$F$2:$F3237),"")</f>
        <v/>
      </c>
      <c r="Q2950" s="147" t="str">
        <f t="shared" si="85"/>
        <v/>
      </c>
      <c r="R2950" s="173"/>
      <c r="S2950" s="76"/>
      <c r="T2950" s="51" t="b">
        <v>0</v>
      </c>
      <c r="U2950" s="94"/>
    </row>
    <row r="2951" ht="30.0" customHeight="1">
      <c r="A2951" s="39"/>
      <c r="B2951" s="40"/>
      <c r="C2951" s="173"/>
      <c r="D2951" s="86"/>
      <c r="E2951" s="43" t="str">
        <f t="shared" si="82"/>
        <v/>
      </c>
      <c r="F2951" s="43" t="str">
        <f t="shared" si="83"/>
        <v/>
      </c>
      <c r="G2951" s="44"/>
      <c r="H2951" s="44"/>
      <c r="I2951" s="44"/>
      <c r="J2951" s="176"/>
      <c r="K2951" s="43" t="str">
        <f t="array" ref="K2951">IF(J2951="","", XLOOKUP(J2951,'⚙️ Pengaturan'!$E$2:$E3237,'⚙️ Pengaturan'!$G$2:$G3237))</f>
        <v/>
      </c>
      <c r="L2951" s="43" t="str">
        <f t="shared" si="84"/>
        <v/>
      </c>
      <c r="M2951" s="177"/>
      <c r="N2951" s="145"/>
      <c r="O2951" s="146"/>
      <c r="P2951" s="48" t="str">
        <f t="array" ref="P2951">IFNA(XLOOKUP(J2951,'⚙️ Pengaturan'!$E$2:$E3237,'⚙️ Pengaturan'!$F$2:$F3237),"")</f>
        <v/>
      </c>
      <c r="Q2951" s="147" t="str">
        <f t="shared" si="85"/>
        <v/>
      </c>
      <c r="R2951" s="173"/>
      <c r="S2951" s="76"/>
      <c r="T2951" s="51" t="b">
        <v>0</v>
      </c>
      <c r="U2951" s="94"/>
    </row>
    <row r="2952" ht="30.0" customHeight="1">
      <c r="A2952" s="39"/>
      <c r="B2952" s="40"/>
      <c r="C2952" s="173"/>
      <c r="D2952" s="86"/>
      <c r="E2952" s="43" t="str">
        <f t="shared" si="82"/>
        <v/>
      </c>
      <c r="F2952" s="43" t="str">
        <f t="shared" si="83"/>
        <v/>
      </c>
      <c r="G2952" s="44"/>
      <c r="H2952" s="44"/>
      <c r="I2952" s="44"/>
      <c r="J2952" s="176"/>
      <c r="K2952" s="43" t="str">
        <f t="array" ref="K2952">IF(J2952="","", XLOOKUP(J2952,'⚙️ Pengaturan'!$E$2:$E3237,'⚙️ Pengaturan'!$G$2:$G3237))</f>
        <v/>
      </c>
      <c r="L2952" s="43" t="str">
        <f t="shared" si="84"/>
        <v/>
      </c>
      <c r="M2952" s="177"/>
      <c r="N2952" s="145"/>
      <c r="O2952" s="146"/>
      <c r="P2952" s="48" t="str">
        <f t="array" ref="P2952">IFNA(XLOOKUP(J2952,'⚙️ Pengaturan'!$E$2:$E3237,'⚙️ Pengaturan'!$F$2:$F3237),"")</f>
        <v/>
      </c>
      <c r="Q2952" s="147" t="str">
        <f t="shared" si="85"/>
        <v/>
      </c>
      <c r="R2952" s="173"/>
      <c r="S2952" s="76"/>
      <c r="T2952" s="51" t="b">
        <v>0</v>
      </c>
      <c r="U2952" s="94"/>
    </row>
    <row r="2953" ht="30.0" customHeight="1">
      <c r="A2953" s="39"/>
      <c r="B2953" s="40"/>
      <c r="C2953" s="173"/>
      <c r="D2953" s="86"/>
      <c r="E2953" s="43" t="str">
        <f t="shared" si="82"/>
        <v/>
      </c>
      <c r="F2953" s="43" t="str">
        <f t="shared" si="83"/>
        <v/>
      </c>
      <c r="G2953" s="44"/>
      <c r="H2953" s="44"/>
      <c r="I2953" s="44"/>
      <c r="J2953" s="176"/>
      <c r="K2953" s="43" t="str">
        <f t="array" ref="K2953">IF(J2953="","", XLOOKUP(J2953,'⚙️ Pengaturan'!$E$2:$E3237,'⚙️ Pengaturan'!$G$2:$G3237))</f>
        <v/>
      </c>
      <c r="L2953" s="43" t="str">
        <f t="shared" si="84"/>
        <v/>
      </c>
      <c r="M2953" s="177"/>
      <c r="N2953" s="145"/>
      <c r="O2953" s="146"/>
      <c r="P2953" s="48" t="str">
        <f t="array" ref="P2953">IFNA(XLOOKUP(J2953,'⚙️ Pengaturan'!$E$2:$E3237,'⚙️ Pengaturan'!$F$2:$F3237),"")</f>
        <v/>
      </c>
      <c r="Q2953" s="147" t="str">
        <f t="shared" si="85"/>
        <v/>
      </c>
      <c r="R2953" s="173"/>
      <c r="S2953" s="76"/>
      <c r="T2953" s="51" t="b">
        <v>0</v>
      </c>
      <c r="U2953" s="94"/>
    </row>
    <row r="2954" ht="30.0" customHeight="1">
      <c r="A2954" s="39"/>
      <c r="B2954" s="40"/>
      <c r="C2954" s="173"/>
      <c r="D2954" s="86"/>
      <c r="E2954" s="43" t="str">
        <f t="shared" si="82"/>
        <v/>
      </c>
      <c r="F2954" s="43" t="str">
        <f t="shared" si="83"/>
        <v/>
      </c>
      <c r="G2954" s="44"/>
      <c r="H2954" s="44"/>
      <c r="I2954" s="44"/>
      <c r="J2954" s="176"/>
      <c r="K2954" s="43" t="str">
        <f t="array" ref="K2954">IF(J2954="","", XLOOKUP(J2954,'⚙️ Pengaturan'!$E$2:$E3237,'⚙️ Pengaturan'!$G$2:$G3237))</f>
        <v/>
      </c>
      <c r="L2954" s="43" t="str">
        <f t="shared" si="84"/>
        <v/>
      </c>
      <c r="M2954" s="177"/>
      <c r="N2954" s="145"/>
      <c r="O2954" s="146"/>
      <c r="P2954" s="48" t="str">
        <f t="array" ref="P2954">IFNA(XLOOKUP(J2954,'⚙️ Pengaturan'!$E$2:$E3237,'⚙️ Pengaturan'!$F$2:$F3237),"")</f>
        <v/>
      </c>
      <c r="Q2954" s="147" t="str">
        <f t="shared" si="85"/>
        <v/>
      </c>
      <c r="R2954" s="173"/>
      <c r="S2954" s="76"/>
      <c r="T2954" s="51" t="b">
        <v>0</v>
      </c>
      <c r="U2954" s="94"/>
    </row>
    <row r="2955" ht="30.0" customHeight="1">
      <c r="A2955" s="39"/>
      <c r="B2955" s="40"/>
      <c r="C2955" s="173"/>
      <c r="D2955" s="86"/>
      <c r="E2955" s="43" t="str">
        <f t="shared" si="82"/>
        <v/>
      </c>
      <c r="F2955" s="43" t="str">
        <f t="shared" si="83"/>
        <v/>
      </c>
      <c r="G2955" s="44"/>
      <c r="H2955" s="44"/>
      <c r="I2955" s="44"/>
      <c r="J2955" s="176"/>
      <c r="K2955" s="43" t="str">
        <f t="array" ref="K2955">IF(J2955="","", XLOOKUP(J2955,'⚙️ Pengaturan'!$E$2:$E3237,'⚙️ Pengaturan'!$G$2:$G3237))</f>
        <v/>
      </c>
      <c r="L2955" s="43" t="str">
        <f t="shared" si="84"/>
        <v/>
      </c>
      <c r="M2955" s="177"/>
      <c r="N2955" s="145"/>
      <c r="O2955" s="146"/>
      <c r="P2955" s="48" t="str">
        <f t="array" ref="P2955">IFNA(XLOOKUP(J2955,'⚙️ Pengaturan'!$E$2:$E3237,'⚙️ Pengaturan'!$F$2:$F3237),"")</f>
        <v/>
      </c>
      <c r="Q2955" s="147" t="str">
        <f t="shared" si="85"/>
        <v/>
      </c>
      <c r="R2955" s="173"/>
      <c r="S2955" s="76"/>
      <c r="T2955" s="51" t="b">
        <v>0</v>
      </c>
      <c r="U2955" s="94"/>
    </row>
    <row r="2956" ht="30.0" customHeight="1">
      <c r="A2956" s="39"/>
      <c r="B2956" s="40"/>
      <c r="C2956" s="173"/>
      <c r="D2956" s="86"/>
      <c r="E2956" s="43" t="str">
        <f t="shared" si="82"/>
        <v/>
      </c>
      <c r="F2956" s="43" t="str">
        <f t="shared" si="83"/>
        <v/>
      </c>
      <c r="G2956" s="44"/>
      <c r="H2956" s="44"/>
      <c r="I2956" s="44"/>
      <c r="J2956" s="176"/>
      <c r="K2956" s="43" t="str">
        <f t="array" ref="K2956">IF(J2956="","", XLOOKUP(J2956,'⚙️ Pengaturan'!$E$2:$E3237,'⚙️ Pengaturan'!$G$2:$G3237))</f>
        <v/>
      </c>
      <c r="L2956" s="43" t="str">
        <f t="shared" si="84"/>
        <v/>
      </c>
      <c r="M2956" s="177"/>
      <c r="N2956" s="145"/>
      <c r="O2956" s="146"/>
      <c r="P2956" s="48" t="str">
        <f t="array" ref="P2956">IFNA(XLOOKUP(J2956,'⚙️ Pengaturan'!$E$2:$E3237,'⚙️ Pengaturan'!$F$2:$F3237),"")</f>
        <v/>
      </c>
      <c r="Q2956" s="147" t="str">
        <f t="shared" si="85"/>
        <v/>
      </c>
      <c r="R2956" s="173"/>
      <c r="S2956" s="76"/>
      <c r="T2956" s="51" t="b">
        <v>0</v>
      </c>
      <c r="U2956" s="94"/>
    </row>
    <row r="2957" ht="30.0" customHeight="1">
      <c r="A2957" s="39"/>
      <c r="B2957" s="40"/>
      <c r="C2957" s="173"/>
      <c r="D2957" s="86"/>
      <c r="E2957" s="43" t="str">
        <f t="shared" si="82"/>
        <v/>
      </c>
      <c r="F2957" s="43" t="str">
        <f t="shared" si="83"/>
        <v/>
      </c>
      <c r="G2957" s="44"/>
      <c r="H2957" s="44"/>
      <c r="I2957" s="44"/>
      <c r="J2957" s="176"/>
      <c r="K2957" s="43" t="str">
        <f t="array" ref="K2957">IF(J2957="","", XLOOKUP(J2957,'⚙️ Pengaturan'!$E$2:$E3237,'⚙️ Pengaturan'!$G$2:$G3237))</f>
        <v/>
      </c>
      <c r="L2957" s="43" t="str">
        <f t="shared" si="84"/>
        <v/>
      </c>
      <c r="M2957" s="177"/>
      <c r="N2957" s="145"/>
      <c r="O2957" s="146"/>
      <c r="P2957" s="48" t="str">
        <f t="array" ref="P2957">IFNA(XLOOKUP(J2957,'⚙️ Pengaturan'!$E$2:$E3237,'⚙️ Pengaturan'!$F$2:$F3237),"")</f>
        <v/>
      </c>
      <c r="Q2957" s="147" t="str">
        <f t="shared" si="85"/>
        <v/>
      </c>
      <c r="R2957" s="173"/>
      <c r="S2957" s="76"/>
      <c r="T2957" s="51" t="b">
        <v>0</v>
      </c>
      <c r="U2957" s="94"/>
    </row>
    <row r="2958" ht="30.0" customHeight="1">
      <c r="A2958" s="39"/>
      <c r="B2958" s="40"/>
      <c r="C2958" s="173"/>
      <c r="D2958" s="86"/>
      <c r="E2958" s="43" t="str">
        <f t="shared" si="82"/>
        <v/>
      </c>
      <c r="F2958" s="43" t="str">
        <f t="shared" si="83"/>
        <v/>
      </c>
      <c r="G2958" s="44"/>
      <c r="H2958" s="44"/>
      <c r="I2958" s="44"/>
      <c r="J2958" s="176"/>
      <c r="K2958" s="43" t="str">
        <f t="array" ref="K2958">IF(J2958="","", XLOOKUP(J2958,'⚙️ Pengaturan'!$E$2:$E3237,'⚙️ Pengaturan'!$G$2:$G3237))</f>
        <v/>
      </c>
      <c r="L2958" s="43" t="str">
        <f t="shared" si="84"/>
        <v/>
      </c>
      <c r="M2958" s="177"/>
      <c r="N2958" s="145"/>
      <c r="O2958" s="146"/>
      <c r="P2958" s="48" t="str">
        <f t="array" ref="P2958">IFNA(XLOOKUP(J2958,'⚙️ Pengaturan'!$E$2:$E3237,'⚙️ Pengaturan'!$F$2:$F3237),"")</f>
        <v/>
      </c>
      <c r="Q2958" s="147" t="str">
        <f t="shared" si="85"/>
        <v/>
      </c>
      <c r="R2958" s="173"/>
      <c r="S2958" s="76"/>
      <c r="T2958" s="51" t="b">
        <v>0</v>
      </c>
      <c r="U2958" s="94"/>
    </row>
    <row r="2959" ht="30.0" customHeight="1">
      <c r="A2959" s="39"/>
      <c r="B2959" s="40"/>
      <c r="C2959" s="173"/>
      <c r="D2959" s="86"/>
      <c r="E2959" s="43" t="str">
        <f t="shared" si="82"/>
        <v/>
      </c>
      <c r="F2959" s="43" t="str">
        <f t="shared" si="83"/>
        <v/>
      </c>
      <c r="G2959" s="44"/>
      <c r="H2959" s="44"/>
      <c r="I2959" s="44"/>
      <c r="J2959" s="176"/>
      <c r="K2959" s="43" t="str">
        <f t="array" ref="K2959">IF(J2959="","", XLOOKUP(J2959,'⚙️ Pengaturan'!$E$2:$E3237,'⚙️ Pengaturan'!$G$2:$G3237))</f>
        <v/>
      </c>
      <c r="L2959" s="43" t="str">
        <f t="shared" si="84"/>
        <v/>
      </c>
      <c r="M2959" s="177"/>
      <c r="N2959" s="145"/>
      <c r="O2959" s="146"/>
      <c r="P2959" s="48" t="str">
        <f t="array" ref="P2959">IFNA(XLOOKUP(J2959,'⚙️ Pengaturan'!$E$2:$E3237,'⚙️ Pengaturan'!$F$2:$F3237),"")</f>
        <v/>
      </c>
      <c r="Q2959" s="147" t="str">
        <f t="shared" si="85"/>
        <v/>
      </c>
      <c r="R2959" s="173"/>
      <c r="S2959" s="76"/>
      <c r="T2959" s="51" t="b">
        <v>0</v>
      </c>
      <c r="U2959" s="94"/>
    </row>
    <row r="2960" ht="30.0" customHeight="1">
      <c r="A2960" s="39"/>
      <c r="B2960" s="40"/>
      <c r="C2960" s="173"/>
      <c r="D2960" s="86"/>
      <c r="E2960" s="43" t="str">
        <f t="shared" si="82"/>
        <v/>
      </c>
      <c r="F2960" s="43" t="str">
        <f t="shared" si="83"/>
        <v/>
      </c>
      <c r="G2960" s="44"/>
      <c r="H2960" s="44"/>
      <c r="I2960" s="44"/>
      <c r="J2960" s="176"/>
      <c r="K2960" s="43" t="str">
        <f t="array" ref="K2960">IF(J2960="","", XLOOKUP(J2960,'⚙️ Pengaturan'!$E$2:$E3237,'⚙️ Pengaturan'!$G$2:$G3237))</f>
        <v/>
      </c>
      <c r="L2960" s="43" t="str">
        <f t="shared" si="84"/>
        <v/>
      </c>
      <c r="M2960" s="177"/>
      <c r="N2960" s="145"/>
      <c r="O2960" s="146"/>
      <c r="P2960" s="48" t="str">
        <f t="array" ref="P2960">IFNA(XLOOKUP(J2960,'⚙️ Pengaturan'!$E$2:$E3237,'⚙️ Pengaturan'!$F$2:$F3237),"")</f>
        <v/>
      </c>
      <c r="Q2960" s="147" t="str">
        <f t="shared" si="85"/>
        <v/>
      </c>
      <c r="R2960" s="173"/>
      <c r="S2960" s="76"/>
      <c r="T2960" s="51" t="b">
        <v>0</v>
      </c>
      <c r="U2960" s="94"/>
    </row>
    <row r="2961" ht="30.0" customHeight="1">
      <c r="A2961" s="39"/>
      <c r="B2961" s="40"/>
      <c r="C2961" s="173"/>
      <c r="D2961" s="86"/>
      <c r="E2961" s="43" t="str">
        <f t="shared" si="82"/>
        <v/>
      </c>
      <c r="F2961" s="43" t="str">
        <f t="shared" si="83"/>
        <v/>
      </c>
      <c r="G2961" s="44"/>
      <c r="H2961" s="44"/>
      <c r="I2961" s="44"/>
      <c r="J2961" s="176"/>
      <c r="K2961" s="43" t="str">
        <f t="array" ref="K2961">IF(J2961="","", XLOOKUP(J2961,'⚙️ Pengaturan'!$E$2:$E3237,'⚙️ Pengaturan'!$G$2:$G3237))</f>
        <v/>
      </c>
      <c r="L2961" s="43" t="str">
        <f t="shared" si="84"/>
        <v/>
      </c>
      <c r="M2961" s="177"/>
      <c r="N2961" s="145"/>
      <c r="O2961" s="146"/>
      <c r="P2961" s="48" t="str">
        <f t="array" ref="P2961">IFNA(XLOOKUP(J2961,'⚙️ Pengaturan'!$E$2:$E3237,'⚙️ Pengaturan'!$F$2:$F3237),"")</f>
        <v/>
      </c>
      <c r="Q2961" s="147" t="str">
        <f t="shared" si="85"/>
        <v/>
      </c>
      <c r="R2961" s="173"/>
      <c r="S2961" s="76"/>
      <c r="T2961" s="51" t="b">
        <v>0</v>
      </c>
      <c r="U2961" s="94"/>
    </row>
    <row r="2962" ht="30.0" customHeight="1">
      <c r="A2962" s="39"/>
      <c r="B2962" s="40"/>
      <c r="C2962" s="173"/>
      <c r="D2962" s="86"/>
      <c r="E2962" s="43" t="str">
        <f t="shared" si="82"/>
        <v/>
      </c>
      <c r="F2962" s="43" t="str">
        <f t="shared" si="83"/>
        <v/>
      </c>
      <c r="G2962" s="44"/>
      <c r="H2962" s="44"/>
      <c r="I2962" s="44"/>
      <c r="J2962" s="176"/>
      <c r="K2962" s="43" t="str">
        <f t="array" ref="K2962">IF(J2962="","", XLOOKUP(J2962,'⚙️ Pengaturan'!$E$2:$E3237,'⚙️ Pengaturan'!$G$2:$G3237))</f>
        <v/>
      </c>
      <c r="L2962" s="43" t="str">
        <f t="shared" si="84"/>
        <v/>
      </c>
      <c r="M2962" s="177"/>
      <c r="N2962" s="145"/>
      <c r="O2962" s="146"/>
      <c r="P2962" s="48" t="str">
        <f t="array" ref="P2962">IFNA(XLOOKUP(J2962,'⚙️ Pengaturan'!$E$2:$E3237,'⚙️ Pengaturan'!$F$2:$F3237),"")</f>
        <v/>
      </c>
      <c r="Q2962" s="147" t="str">
        <f t="shared" si="85"/>
        <v/>
      </c>
      <c r="R2962" s="173"/>
      <c r="S2962" s="76"/>
      <c r="T2962" s="51" t="b">
        <v>0</v>
      </c>
      <c r="U2962" s="94"/>
    </row>
    <row r="2963" ht="30.0" customHeight="1">
      <c r="A2963" s="39"/>
      <c r="B2963" s="40"/>
      <c r="C2963" s="173"/>
      <c r="D2963" s="86"/>
      <c r="E2963" s="43" t="str">
        <f t="shared" si="82"/>
        <v/>
      </c>
      <c r="F2963" s="43" t="str">
        <f t="shared" si="83"/>
        <v/>
      </c>
      <c r="G2963" s="44"/>
      <c r="H2963" s="44"/>
      <c r="I2963" s="44"/>
      <c r="J2963" s="176"/>
      <c r="K2963" s="43" t="str">
        <f t="array" ref="K2963">IF(J2963="","", XLOOKUP(J2963,'⚙️ Pengaturan'!$E$2:$E3237,'⚙️ Pengaturan'!$G$2:$G3237))</f>
        <v/>
      </c>
      <c r="L2963" s="43" t="str">
        <f t="shared" si="84"/>
        <v/>
      </c>
      <c r="M2963" s="177"/>
      <c r="N2963" s="145"/>
      <c r="O2963" s="146"/>
      <c r="P2963" s="48" t="str">
        <f t="array" ref="P2963">IFNA(XLOOKUP(J2963,'⚙️ Pengaturan'!$E$2:$E3237,'⚙️ Pengaturan'!$F$2:$F3237),"")</f>
        <v/>
      </c>
      <c r="Q2963" s="147" t="str">
        <f t="shared" si="85"/>
        <v/>
      </c>
      <c r="R2963" s="173"/>
      <c r="S2963" s="76"/>
      <c r="T2963" s="51" t="b">
        <v>0</v>
      </c>
      <c r="U2963" s="94"/>
    </row>
    <row r="2964" ht="30.0" customHeight="1">
      <c r="A2964" s="39"/>
      <c r="B2964" s="40"/>
      <c r="C2964" s="173"/>
      <c r="D2964" s="86"/>
      <c r="E2964" s="43" t="str">
        <f t="shared" si="82"/>
        <v/>
      </c>
      <c r="F2964" s="43" t="str">
        <f t="shared" si="83"/>
        <v/>
      </c>
      <c r="G2964" s="44"/>
      <c r="H2964" s="44"/>
      <c r="I2964" s="44"/>
      <c r="J2964" s="176"/>
      <c r="K2964" s="43" t="str">
        <f t="array" ref="K2964">IF(J2964="","", XLOOKUP(J2964,'⚙️ Pengaturan'!$E$2:$E3237,'⚙️ Pengaturan'!$G$2:$G3237))</f>
        <v/>
      </c>
      <c r="L2964" s="43" t="str">
        <f t="shared" si="84"/>
        <v/>
      </c>
      <c r="M2964" s="177"/>
      <c r="N2964" s="145"/>
      <c r="O2964" s="146"/>
      <c r="P2964" s="48" t="str">
        <f t="array" ref="P2964">IFNA(XLOOKUP(J2964,'⚙️ Pengaturan'!$E$2:$E3237,'⚙️ Pengaturan'!$F$2:$F3237),"")</f>
        <v/>
      </c>
      <c r="Q2964" s="147" t="str">
        <f t="shared" si="85"/>
        <v/>
      </c>
      <c r="R2964" s="173"/>
      <c r="S2964" s="76"/>
      <c r="T2964" s="51" t="b">
        <v>0</v>
      </c>
      <c r="U2964" s="94"/>
    </row>
    <row r="2965" ht="30.0" customHeight="1">
      <c r="A2965" s="39"/>
      <c r="B2965" s="40"/>
      <c r="C2965" s="173"/>
      <c r="D2965" s="86"/>
      <c r="E2965" s="43" t="str">
        <f t="shared" si="82"/>
        <v/>
      </c>
      <c r="F2965" s="43" t="str">
        <f t="shared" si="83"/>
        <v/>
      </c>
      <c r="G2965" s="44"/>
      <c r="H2965" s="44"/>
      <c r="I2965" s="44"/>
      <c r="J2965" s="176"/>
      <c r="K2965" s="43" t="str">
        <f t="array" ref="K2965">IF(J2965="","", XLOOKUP(J2965,'⚙️ Pengaturan'!$E$2:$E3237,'⚙️ Pengaturan'!$G$2:$G3237))</f>
        <v/>
      </c>
      <c r="L2965" s="43" t="str">
        <f t="shared" si="84"/>
        <v/>
      </c>
      <c r="M2965" s="177"/>
      <c r="N2965" s="145"/>
      <c r="O2965" s="146"/>
      <c r="P2965" s="48" t="str">
        <f t="array" ref="P2965">IFNA(XLOOKUP(J2965,'⚙️ Pengaturan'!$E$2:$E3237,'⚙️ Pengaturan'!$F$2:$F3237),"")</f>
        <v/>
      </c>
      <c r="Q2965" s="147" t="str">
        <f t="shared" si="85"/>
        <v/>
      </c>
      <c r="R2965" s="173"/>
      <c r="S2965" s="76"/>
      <c r="T2965" s="51" t="b">
        <v>0</v>
      </c>
      <c r="U2965" s="94"/>
    </row>
    <row r="2966" ht="30.0" customHeight="1">
      <c r="A2966" s="39"/>
      <c r="B2966" s="40"/>
      <c r="C2966" s="173"/>
      <c r="D2966" s="86"/>
      <c r="E2966" s="43" t="str">
        <f t="shared" si="82"/>
        <v/>
      </c>
      <c r="F2966" s="43" t="str">
        <f t="shared" si="83"/>
        <v/>
      </c>
      <c r="G2966" s="44"/>
      <c r="H2966" s="44"/>
      <c r="I2966" s="44"/>
      <c r="J2966" s="176"/>
      <c r="K2966" s="43" t="str">
        <f t="array" ref="K2966">IF(J2966="","", XLOOKUP(J2966,'⚙️ Pengaturan'!$E$2:$E3237,'⚙️ Pengaturan'!$G$2:$G3237))</f>
        <v/>
      </c>
      <c r="L2966" s="43" t="str">
        <f t="shared" si="84"/>
        <v/>
      </c>
      <c r="M2966" s="177"/>
      <c r="N2966" s="145"/>
      <c r="O2966" s="146"/>
      <c r="P2966" s="48" t="str">
        <f t="array" ref="P2966">IFNA(XLOOKUP(J2966,'⚙️ Pengaturan'!$E$2:$E3237,'⚙️ Pengaturan'!$F$2:$F3237),"")</f>
        <v/>
      </c>
      <c r="Q2966" s="147" t="str">
        <f t="shared" si="85"/>
        <v/>
      </c>
      <c r="R2966" s="173"/>
      <c r="S2966" s="76"/>
      <c r="T2966" s="51" t="b">
        <v>0</v>
      </c>
      <c r="U2966" s="94"/>
    </row>
    <row r="2967" ht="30.0" customHeight="1">
      <c r="A2967" s="39"/>
      <c r="B2967" s="40"/>
      <c r="C2967" s="173"/>
      <c r="D2967" s="86"/>
      <c r="E2967" s="43" t="str">
        <f t="shared" si="82"/>
        <v/>
      </c>
      <c r="F2967" s="43" t="str">
        <f t="shared" si="83"/>
        <v/>
      </c>
      <c r="G2967" s="44"/>
      <c r="H2967" s="44"/>
      <c r="I2967" s="44"/>
      <c r="J2967" s="176"/>
      <c r="K2967" s="43" t="str">
        <f t="array" ref="K2967">IF(J2967="","", XLOOKUP(J2967,'⚙️ Pengaturan'!$E$2:$E3237,'⚙️ Pengaturan'!$G$2:$G3237))</f>
        <v/>
      </c>
      <c r="L2967" s="43" t="str">
        <f t="shared" si="84"/>
        <v/>
      </c>
      <c r="M2967" s="177"/>
      <c r="N2967" s="145"/>
      <c r="O2967" s="146"/>
      <c r="P2967" s="48" t="str">
        <f t="array" ref="P2967">IFNA(XLOOKUP(J2967,'⚙️ Pengaturan'!$E$2:$E3237,'⚙️ Pengaturan'!$F$2:$F3237),"")</f>
        <v/>
      </c>
      <c r="Q2967" s="147" t="str">
        <f t="shared" si="85"/>
        <v/>
      </c>
      <c r="R2967" s="173"/>
      <c r="S2967" s="76"/>
      <c r="T2967" s="51" t="b">
        <v>0</v>
      </c>
      <c r="U2967" s="94"/>
    </row>
    <row r="2968" ht="30.0" customHeight="1">
      <c r="A2968" s="39"/>
      <c r="B2968" s="40"/>
      <c r="C2968" s="173"/>
      <c r="D2968" s="86"/>
      <c r="E2968" s="43" t="str">
        <f t="shared" si="82"/>
        <v/>
      </c>
      <c r="F2968" s="43" t="str">
        <f t="shared" si="83"/>
        <v/>
      </c>
      <c r="G2968" s="44"/>
      <c r="H2968" s="44"/>
      <c r="I2968" s="44"/>
      <c r="J2968" s="176"/>
      <c r="K2968" s="43" t="str">
        <f t="array" ref="K2968">IF(J2968="","", XLOOKUP(J2968,'⚙️ Pengaturan'!$E$2:$E3237,'⚙️ Pengaturan'!$G$2:$G3237))</f>
        <v/>
      </c>
      <c r="L2968" s="43" t="str">
        <f t="shared" si="84"/>
        <v/>
      </c>
      <c r="M2968" s="177"/>
      <c r="N2968" s="145"/>
      <c r="O2968" s="146"/>
      <c r="P2968" s="48" t="str">
        <f t="array" ref="P2968">IFNA(XLOOKUP(J2968,'⚙️ Pengaturan'!$E$2:$E3237,'⚙️ Pengaturan'!$F$2:$F3237),"")</f>
        <v/>
      </c>
      <c r="Q2968" s="147" t="str">
        <f t="shared" si="85"/>
        <v/>
      </c>
      <c r="R2968" s="173"/>
      <c r="S2968" s="76"/>
      <c r="T2968" s="51" t="b">
        <v>0</v>
      </c>
      <c r="U2968" s="94"/>
    </row>
    <row r="2969" ht="30.0" customHeight="1">
      <c r="A2969" s="39"/>
      <c r="B2969" s="40"/>
      <c r="C2969" s="173"/>
      <c r="D2969" s="86"/>
      <c r="E2969" s="43" t="str">
        <f t="shared" si="82"/>
        <v/>
      </c>
      <c r="F2969" s="43" t="str">
        <f t="shared" si="83"/>
        <v/>
      </c>
      <c r="G2969" s="44"/>
      <c r="H2969" s="44"/>
      <c r="I2969" s="44"/>
      <c r="J2969" s="176"/>
      <c r="K2969" s="43" t="str">
        <f t="array" ref="K2969">IF(J2969="","", XLOOKUP(J2969,'⚙️ Pengaturan'!$E$2:$E3237,'⚙️ Pengaturan'!$G$2:$G3237))</f>
        <v/>
      </c>
      <c r="L2969" s="43" t="str">
        <f t="shared" si="84"/>
        <v/>
      </c>
      <c r="M2969" s="177"/>
      <c r="N2969" s="145"/>
      <c r="O2969" s="146"/>
      <c r="P2969" s="48" t="str">
        <f t="array" ref="P2969">IFNA(XLOOKUP(J2969,'⚙️ Pengaturan'!$E$2:$E3237,'⚙️ Pengaturan'!$F$2:$F3237),"")</f>
        <v/>
      </c>
      <c r="Q2969" s="147" t="str">
        <f t="shared" si="85"/>
        <v/>
      </c>
      <c r="R2969" s="173"/>
      <c r="S2969" s="76"/>
      <c r="T2969" s="51" t="b">
        <v>0</v>
      </c>
      <c r="U2969" s="94"/>
    </row>
    <row r="2970" ht="30.0" customHeight="1">
      <c r="A2970" s="39"/>
      <c r="B2970" s="40"/>
      <c r="C2970" s="173"/>
      <c r="D2970" s="86"/>
      <c r="E2970" s="43" t="str">
        <f t="shared" si="82"/>
        <v/>
      </c>
      <c r="F2970" s="43" t="str">
        <f t="shared" si="83"/>
        <v/>
      </c>
      <c r="G2970" s="44"/>
      <c r="H2970" s="44"/>
      <c r="I2970" s="44"/>
      <c r="J2970" s="176"/>
      <c r="K2970" s="43" t="str">
        <f t="array" ref="K2970">IF(J2970="","", XLOOKUP(J2970,'⚙️ Pengaturan'!$E$2:$E3237,'⚙️ Pengaturan'!$G$2:$G3237))</f>
        <v/>
      </c>
      <c r="L2970" s="43" t="str">
        <f t="shared" si="84"/>
        <v/>
      </c>
      <c r="M2970" s="177"/>
      <c r="N2970" s="145"/>
      <c r="O2970" s="146"/>
      <c r="P2970" s="48" t="str">
        <f t="array" ref="P2970">IFNA(XLOOKUP(J2970,'⚙️ Pengaturan'!$E$2:$E3237,'⚙️ Pengaturan'!$F$2:$F3237),"")</f>
        <v/>
      </c>
      <c r="Q2970" s="147" t="str">
        <f t="shared" si="85"/>
        <v/>
      </c>
      <c r="R2970" s="173"/>
      <c r="S2970" s="76"/>
      <c r="T2970" s="51" t="b">
        <v>0</v>
      </c>
      <c r="U2970" s="94"/>
    </row>
    <row r="2971" ht="30.0" customHeight="1">
      <c r="A2971" s="39"/>
      <c r="B2971" s="40"/>
      <c r="C2971" s="173"/>
      <c r="D2971" s="86"/>
      <c r="E2971" s="43" t="str">
        <f t="shared" si="82"/>
        <v/>
      </c>
      <c r="F2971" s="43" t="str">
        <f t="shared" si="83"/>
        <v/>
      </c>
      <c r="G2971" s="44"/>
      <c r="H2971" s="44"/>
      <c r="I2971" s="44"/>
      <c r="J2971" s="176"/>
      <c r="K2971" s="43" t="str">
        <f t="array" ref="K2971">IF(J2971="","", XLOOKUP(J2971,'⚙️ Pengaturan'!$E$2:$E3237,'⚙️ Pengaturan'!$G$2:$G3237))</f>
        <v/>
      </c>
      <c r="L2971" s="43" t="str">
        <f t="shared" si="84"/>
        <v/>
      </c>
      <c r="M2971" s="177"/>
      <c r="N2971" s="145"/>
      <c r="O2971" s="146"/>
      <c r="P2971" s="48" t="str">
        <f t="array" ref="P2971">IFNA(XLOOKUP(J2971,'⚙️ Pengaturan'!$E$2:$E3237,'⚙️ Pengaturan'!$F$2:$F3237),"")</f>
        <v/>
      </c>
      <c r="Q2971" s="147" t="str">
        <f t="shared" si="85"/>
        <v/>
      </c>
      <c r="R2971" s="173"/>
      <c r="S2971" s="76"/>
      <c r="T2971" s="51" t="b">
        <v>0</v>
      </c>
      <c r="U2971" s="94"/>
    </row>
    <row r="2972" ht="30.0" customHeight="1">
      <c r="A2972" s="39"/>
      <c r="B2972" s="40"/>
      <c r="C2972" s="173"/>
      <c r="D2972" s="86"/>
      <c r="E2972" s="43" t="str">
        <f t="shared" si="82"/>
        <v/>
      </c>
      <c r="F2972" s="43" t="str">
        <f t="shared" si="83"/>
        <v/>
      </c>
      <c r="G2972" s="44"/>
      <c r="H2972" s="44"/>
      <c r="I2972" s="44"/>
      <c r="J2972" s="176"/>
      <c r="K2972" s="43" t="str">
        <f t="array" ref="K2972">IF(J2972="","", XLOOKUP(J2972,'⚙️ Pengaturan'!$E$2:$E3237,'⚙️ Pengaturan'!$G$2:$G3237))</f>
        <v/>
      </c>
      <c r="L2972" s="43" t="str">
        <f t="shared" si="84"/>
        <v/>
      </c>
      <c r="M2972" s="177"/>
      <c r="N2972" s="145"/>
      <c r="O2972" s="146"/>
      <c r="P2972" s="48" t="str">
        <f t="array" ref="P2972">IFNA(XLOOKUP(J2972,'⚙️ Pengaturan'!$E$2:$E3237,'⚙️ Pengaturan'!$F$2:$F3237),"")</f>
        <v/>
      </c>
      <c r="Q2972" s="147" t="str">
        <f t="shared" si="85"/>
        <v/>
      </c>
      <c r="R2972" s="173"/>
      <c r="S2972" s="76"/>
      <c r="T2972" s="51" t="b">
        <v>0</v>
      </c>
      <c r="U2972" s="94"/>
    </row>
    <row r="2973" ht="30.0" customHeight="1">
      <c r="A2973" s="39"/>
      <c r="B2973" s="40"/>
      <c r="C2973" s="173"/>
      <c r="D2973" s="86"/>
      <c r="E2973" s="43" t="str">
        <f t="shared" si="82"/>
        <v/>
      </c>
      <c r="F2973" s="43" t="str">
        <f t="shared" si="83"/>
        <v/>
      </c>
      <c r="G2973" s="44"/>
      <c r="H2973" s="44"/>
      <c r="I2973" s="44"/>
      <c r="J2973" s="176"/>
      <c r="K2973" s="43" t="str">
        <f t="array" ref="K2973">IF(J2973="","", XLOOKUP(J2973,'⚙️ Pengaturan'!$E$2:$E3237,'⚙️ Pengaturan'!$G$2:$G3237))</f>
        <v/>
      </c>
      <c r="L2973" s="43" t="str">
        <f t="shared" si="84"/>
        <v/>
      </c>
      <c r="M2973" s="177"/>
      <c r="N2973" s="145"/>
      <c r="O2973" s="146"/>
      <c r="P2973" s="48" t="str">
        <f t="array" ref="P2973">IFNA(XLOOKUP(J2973,'⚙️ Pengaturan'!$E$2:$E3237,'⚙️ Pengaturan'!$F$2:$F3237),"")</f>
        <v/>
      </c>
      <c r="Q2973" s="147" t="str">
        <f t="shared" si="85"/>
        <v/>
      </c>
      <c r="R2973" s="173"/>
      <c r="S2973" s="76"/>
      <c r="T2973" s="51" t="b">
        <v>0</v>
      </c>
      <c r="U2973" s="94"/>
    </row>
    <row r="2974" ht="30.0" customHeight="1">
      <c r="A2974" s="39"/>
      <c r="B2974" s="40"/>
      <c r="C2974" s="173"/>
      <c r="D2974" s="86"/>
      <c r="E2974" s="43" t="str">
        <f t="shared" si="82"/>
        <v/>
      </c>
      <c r="F2974" s="43" t="str">
        <f t="shared" si="83"/>
        <v/>
      </c>
      <c r="G2974" s="44"/>
      <c r="H2974" s="44"/>
      <c r="I2974" s="44"/>
      <c r="J2974" s="176"/>
      <c r="K2974" s="43" t="str">
        <f t="array" ref="K2974">IF(J2974="","", XLOOKUP(J2974,'⚙️ Pengaturan'!$E$2:$E3237,'⚙️ Pengaturan'!$G$2:$G3237))</f>
        <v/>
      </c>
      <c r="L2974" s="43" t="str">
        <f t="shared" si="84"/>
        <v/>
      </c>
      <c r="M2974" s="177"/>
      <c r="N2974" s="145"/>
      <c r="O2974" s="146"/>
      <c r="P2974" s="48" t="str">
        <f t="array" ref="P2974">IFNA(XLOOKUP(J2974,'⚙️ Pengaturan'!$E$2:$E3237,'⚙️ Pengaturan'!$F$2:$F3237),"")</f>
        <v/>
      </c>
      <c r="Q2974" s="147" t="str">
        <f t="shared" si="85"/>
        <v/>
      </c>
      <c r="R2974" s="173"/>
      <c r="S2974" s="76"/>
      <c r="T2974" s="51" t="b">
        <v>0</v>
      </c>
      <c r="U2974" s="94"/>
    </row>
    <row r="2975" ht="30.0" customHeight="1">
      <c r="A2975" s="39"/>
      <c r="B2975" s="40"/>
      <c r="C2975" s="173"/>
      <c r="D2975" s="86"/>
      <c r="E2975" s="43" t="str">
        <f t="shared" si="82"/>
        <v/>
      </c>
      <c r="F2975" s="43" t="str">
        <f t="shared" si="83"/>
        <v/>
      </c>
      <c r="G2975" s="44"/>
      <c r="H2975" s="44"/>
      <c r="I2975" s="44"/>
      <c r="J2975" s="176"/>
      <c r="K2975" s="43" t="str">
        <f t="array" ref="K2975">IF(J2975="","", XLOOKUP(J2975,'⚙️ Pengaturan'!$E$2:$E3237,'⚙️ Pengaturan'!$G$2:$G3237))</f>
        <v/>
      </c>
      <c r="L2975" s="43" t="str">
        <f t="shared" si="84"/>
        <v/>
      </c>
      <c r="M2975" s="177"/>
      <c r="N2975" s="145"/>
      <c r="O2975" s="146"/>
      <c r="P2975" s="48" t="str">
        <f t="array" ref="P2975">IFNA(XLOOKUP(J2975,'⚙️ Pengaturan'!$E$2:$E3237,'⚙️ Pengaturan'!$F$2:$F3237),"")</f>
        <v/>
      </c>
      <c r="Q2975" s="147" t="str">
        <f t="shared" si="85"/>
        <v/>
      </c>
      <c r="R2975" s="173"/>
      <c r="S2975" s="76"/>
      <c r="T2975" s="51" t="b">
        <v>0</v>
      </c>
      <c r="U2975" s="94"/>
    </row>
    <row r="2976" ht="30.0" customHeight="1">
      <c r="A2976" s="39"/>
      <c r="B2976" s="40"/>
      <c r="C2976" s="173"/>
      <c r="D2976" s="86"/>
      <c r="E2976" s="43" t="str">
        <f t="shared" si="82"/>
        <v/>
      </c>
      <c r="F2976" s="43" t="str">
        <f t="shared" si="83"/>
        <v/>
      </c>
      <c r="G2976" s="44"/>
      <c r="H2976" s="44"/>
      <c r="I2976" s="44"/>
      <c r="J2976" s="176"/>
      <c r="K2976" s="43" t="str">
        <f t="array" ref="K2976">IF(J2976="","", XLOOKUP(J2976,'⚙️ Pengaturan'!$E$2:$E3237,'⚙️ Pengaturan'!$G$2:$G3237))</f>
        <v/>
      </c>
      <c r="L2976" s="43" t="str">
        <f t="shared" si="84"/>
        <v/>
      </c>
      <c r="M2976" s="177"/>
      <c r="N2976" s="145"/>
      <c r="O2976" s="146"/>
      <c r="P2976" s="48" t="str">
        <f t="array" ref="P2976">IFNA(XLOOKUP(J2976,'⚙️ Pengaturan'!$E$2:$E3237,'⚙️ Pengaturan'!$F$2:$F3237),"")</f>
        <v/>
      </c>
      <c r="Q2976" s="147" t="str">
        <f t="shared" si="85"/>
        <v/>
      </c>
      <c r="R2976" s="173"/>
      <c r="S2976" s="76"/>
      <c r="T2976" s="51" t="b">
        <v>0</v>
      </c>
      <c r="U2976" s="94"/>
    </row>
    <row r="2977" ht="30.0" customHeight="1">
      <c r="A2977" s="39"/>
      <c r="B2977" s="40"/>
      <c r="C2977" s="173"/>
      <c r="D2977" s="86"/>
      <c r="E2977" s="43" t="str">
        <f t="shared" si="82"/>
        <v/>
      </c>
      <c r="F2977" s="43" t="str">
        <f t="shared" si="83"/>
        <v/>
      </c>
      <c r="G2977" s="44"/>
      <c r="H2977" s="44"/>
      <c r="I2977" s="44"/>
      <c r="J2977" s="176"/>
      <c r="K2977" s="43" t="str">
        <f t="array" ref="K2977">IF(J2977="","", XLOOKUP(J2977,'⚙️ Pengaturan'!$E$2:$E3237,'⚙️ Pengaturan'!$G$2:$G3237))</f>
        <v/>
      </c>
      <c r="L2977" s="43" t="str">
        <f t="shared" si="84"/>
        <v/>
      </c>
      <c r="M2977" s="177"/>
      <c r="N2977" s="145"/>
      <c r="O2977" s="146"/>
      <c r="P2977" s="48" t="str">
        <f t="array" ref="P2977">IFNA(XLOOKUP(J2977,'⚙️ Pengaturan'!$E$2:$E3237,'⚙️ Pengaturan'!$F$2:$F3237),"")</f>
        <v/>
      </c>
      <c r="Q2977" s="147" t="str">
        <f t="shared" si="85"/>
        <v/>
      </c>
      <c r="R2977" s="173"/>
      <c r="S2977" s="76"/>
      <c r="T2977" s="51" t="b">
        <v>0</v>
      </c>
      <c r="U2977" s="94"/>
    </row>
    <row r="2978" ht="30.0" customHeight="1">
      <c r="A2978" s="39"/>
      <c r="B2978" s="40"/>
      <c r="C2978" s="173"/>
      <c r="D2978" s="86"/>
      <c r="E2978" s="43" t="str">
        <f t="shared" si="82"/>
        <v/>
      </c>
      <c r="F2978" s="43" t="str">
        <f t="shared" si="83"/>
        <v/>
      </c>
      <c r="G2978" s="44"/>
      <c r="H2978" s="44"/>
      <c r="I2978" s="44"/>
      <c r="J2978" s="176"/>
      <c r="K2978" s="43" t="str">
        <f t="array" ref="K2978">IF(J2978="","", XLOOKUP(J2978,'⚙️ Pengaturan'!$E$2:$E3237,'⚙️ Pengaturan'!$G$2:$G3237))</f>
        <v/>
      </c>
      <c r="L2978" s="43" t="str">
        <f t="shared" si="84"/>
        <v/>
      </c>
      <c r="M2978" s="177"/>
      <c r="N2978" s="145"/>
      <c r="O2978" s="146"/>
      <c r="P2978" s="48" t="str">
        <f t="array" ref="P2978">IFNA(XLOOKUP(J2978,'⚙️ Pengaturan'!$E$2:$E3237,'⚙️ Pengaturan'!$F$2:$F3237),"")</f>
        <v/>
      </c>
      <c r="Q2978" s="147" t="str">
        <f t="shared" si="85"/>
        <v/>
      </c>
      <c r="R2978" s="173"/>
      <c r="S2978" s="76"/>
      <c r="T2978" s="51" t="b">
        <v>0</v>
      </c>
      <c r="U2978" s="94"/>
    </row>
    <row r="2979" ht="30.0" customHeight="1">
      <c r="A2979" s="39"/>
      <c r="B2979" s="40"/>
      <c r="C2979" s="173"/>
      <c r="D2979" s="86"/>
      <c r="E2979" s="43" t="str">
        <f t="shared" si="82"/>
        <v/>
      </c>
      <c r="F2979" s="43" t="str">
        <f t="shared" si="83"/>
        <v/>
      </c>
      <c r="G2979" s="44"/>
      <c r="H2979" s="44"/>
      <c r="I2979" s="44"/>
      <c r="J2979" s="176"/>
      <c r="K2979" s="43" t="str">
        <f t="array" ref="K2979">IF(J2979="","", XLOOKUP(J2979,'⚙️ Pengaturan'!$E$2:$E3237,'⚙️ Pengaturan'!$G$2:$G3237))</f>
        <v/>
      </c>
      <c r="L2979" s="43" t="str">
        <f t="shared" si="84"/>
        <v/>
      </c>
      <c r="M2979" s="177"/>
      <c r="N2979" s="145"/>
      <c r="O2979" s="146"/>
      <c r="P2979" s="48" t="str">
        <f t="array" ref="P2979">IFNA(XLOOKUP(J2979,'⚙️ Pengaturan'!$E$2:$E3237,'⚙️ Pengaturan'!$F$2:$F3237),"")</f>
        <v/>
      </c>
      <c r="Q2979" s="147" t="str">
        <f t="shared" si="85"/>
        <v/>
      </c>
      <c r="R2979" s="173"/>
      <c r="S2979" s="76"/>
      <c r="T2979" s="51" t="b">
        <v>0</v>
      </c>
      <c r="U2979" s="94"/>
    </row>
    <row r="2980" ht="30.0" customHeight="1">
      <c r="A2980" s="39"/>
      <c r="B2980" s="40"/>
      <c r="C2980" s="173"/>
      <c r="D2980" s="86"/>
      <c r="E2980" s="43" t="str">
        <f t="shared" si="82"/>
        <v/>
      </c>
      <c r="F2980" s="43" t="str">
        <f t="shared" si="83"/>
        <v/>
      </c>
      <c r="G2980" s="44"/>
      <c r="H2980" s="44"/>
      <c r="I2980" s="44"/>
      <c r="J2980" s="176"/>
      <c r="K2980" s="43" t="str">
        <f t="array" ref="K2980">IF(J2980="","", XLOOKUP(J2980,'⚙️ Pengaturan'!$E$2:$E3237,'⚙️ Pengaturan'!$G$2:$G3237))</f>
        <v/>
      </c>
      <c r="L2980" s="43" t="str">
        <f t="shared" si="84"/>
        <v/>
      </c>
      <c r="M2980" s="177"/>
      <c r="N2980" s="145"/>
      <c r="O2980" s="146"/>
      <c r="P2980" s="48" t="str">
        <f t="array" ref="P2980">IFNA(XLOOKUP(J2980,'⚙️ Pengaturan'!$E$2:$E3237,'⚙️ Pengaturan'!$F$2:$F3237),"")</f>
        <v/>
      </c>
      <c r="Q2980" s="147" t="str">
        <f t="shared" si="85"/>
        <v/>
      </c>
      <c r="R2980" s="173"/>
      <c r="S2980" s="76"/>
      <c r="T2980" s="51" t="b">
        <v>0</v>
      </c>
      <c r="U2980" s="94"/>
    </row>
    <row r="2981" ht="30.0" customHeight="1">
      <c r="A2981" s="39"/>
      <c r="B2981" s="40"/>
      <c r="C2981" s="173"/>
      <c r="D2981" s="86"/>
      <c r="E2981" s="43" t="str">
        <f t="shared" si="82"/>
        <v/>
      </c>
      <c r="F2981" s="43" t="str">
        <f t="shared" si="83"/>
        <v/>
      </c>
      <c r="G2981" s="44"/>
      <c r="H2981" s="44"/>
      <c r="I2981" s="44"/>
      <c r="J2981" s="176"/>
      <c r="K2981" s="43" t="str">
        <f t="array" ref="K2981">IF(J2981="","", XLOOKUP(J2981,'⚙️ Pengaturan'!$E$2:$E3237,'⚙️ Pengaturan'!$G$2:$G3237))</f>
        <v/>
      </c>
      <c r="L2981" s="43" t="str">
        <f t="shared" si="84"/>
        <v/>
      </c>
      <c r="M2981" s="177"/>
      <c r="N2981" s="145"/>
      <c r="O2981" s="146"/>
      <c r="P2981" s="48" t="str">
        <f t="array" ref="P2981">IFNA(XLOOKUP(J2981,'⚙️ Pengaturan'!$E$2:$E3237,'⚙️ Pengaturan'!$F$2:$F3237),"")</f>
        <v/>
      </c>
      <c r="Q2981" s="147" t="str">
        <f t="shared" si="85"/>
        <v/>
      </c>
      <c r="R2981" s="173"/>
      <c r="S2981" s="76"/>
      <c r="T2981" s="51" t="b">
        <v>0</v>
      </c>
      <c r="U2981" s="94"/>
    </row>
    <row r="2982" ht="30.0" customHeight="1">
      <c r="A2982" s="39"/>
      <c r="B2982" s="40"/>
      <c r="C2982" s="173"/>
      <c r="D2982" s="86"/>
      <c r="E2982" s="43" t="str">
        <f t="shared" si="82"/>
        <v/>
      </c>
      <c r="F2982" s="43" t="str">
        <f t="shared" si="83"/>
        <v/>
      </c>
      <c r="G2982" s="44"/>
      <c r="H2982" s="44"/>
      <c r="I2982" s="44"/>
      <c r="J2982" s="176"/>
      <c r="K2982" s="43" t="str">
        <f t="array" ref="K2982">IF(J2982="","", XLOOKUP(J2982,'⚙️ Pengaturan'!$E$2:$E3237,'⚙️ Pengaturan'!$G$2:$G3237))</f>
        <v/>
      </c>
      <c r="L2982" s="43" t="str">
        <f t="shared" si="84"/>
        <v/>
      </c>
      <c r="M2982" s="177"/>
      <c r="N2982" s="145"/>
      <c r="O2982" s="146"/>
      <c r="P2982" s="48" t="str">
        <f t="array" ref="P2982">IFNA(XLOOKUP(J2982,'⚙️ Pengaturan'!$E$2:$E3237,'⚙️ Pengaturan'!$F$2:$F3237),"")</f>
        <v/>
      </c>
      <c r="Q2982" s="147" t="str">
        <f t="shared" si="85"/>
        <v/>
      </c>
      <c r="R2982" s="173"/>
      <c r="S2982" s="76"/>
      <c r="T2982" s="51" t="b">
        <v>0</v>
      </c>
      <c r="U2982" s="94"/>
    </row>
    <row r="2983" ht="30.0" customHeight="1">
      <c r="A2983" s="39"/>
      <c r="B2983" s="40"/>
      <c r="C2983" s="173"/>
      <c r="D2983" s="86"/>
      <c r="E2983" s="43" t="str">
        <f t="shared" si="82"/>
        <v/>
      </c>
      <c r="F2983" s="43" t="str">
        <f t="shared" si="83"/>
        <v/>
      </c>
      <c r="G2983" s="44"/>
      <c r="H2983" s="44"/>
      <c r="I2983" s="44"/>
      <c r="J2983" s="176"/>
      <c r="K2983" s="43" t="str">
        <f t="array" ref="K2983">IF(J2983="","", XLOOKUP(J2983,'⚙️ Pengaturan'!$E$2:$E3237,'⚙️ Pengaturan'!$G$2:$G3237))</f>
        <v/>
      </c>
      <c r="L2983" s="43" t="str">
        <f t="shared" si="84"/>
        <v/>
      </c>
      <c r="M2983" s="177"/>
      <c r="N2983" s="145"/>
      <c r="O2983" s="146"/>
      <c r="P2983" s="48" t="str">
        <f t="array" ref="P2983">IFNA(XLOOKUP(J2983,'⚙️ Pengaturan'!$E$2:$E3237,'⚙️ Pengaturan'!$F$2:$F3237),"")</f>
        <v/>
      </c>
      <c r="Q2983" s="147" t="str">
        <f t="shared" si="85"/>
        <v/>
      </c>
      <c r="R2983" s="173"/>
      <c r="S2983" s="76"/>
      <c r="T2983" s="51" t="b">
        <v>0</v>
      </c>
      <c r="U2983" s="94"/>
    </row>
    <row r="2984" ht="30.0" customHeight="1">
      <c r="A2984" s="39"/>
      <c r="B2984" s="40"/>
      <c r="C2984" s="173"/>
      <c r="D2984" s="86"/>
      <c r="E2984" s="43" t="str">
        <f t="shared" si="82"/>
        <v/>
      </c>
      <c r="F2984" s="43" t="str">
        <f t="shared" si="83"/>
        <v/>
      </c>
      <c r="G2984" s="44"/>
      <c r="H2984" s="44"/>
      <c r="I2984" s="44"/>
      <c r="J2984" s="176"/>
      <c r="K2984" s="43" t="str">
        <f t="array" ref="K2984">IF(J2984="","", XLOOKUP(J2984,'⚙️ Pengaturan'!$E$2:$E3237,'⚙️ Pengaturan'!$G$2:$G3237))</f>
        <v/>
      </c>
      <c r="L2984" s="43" t="str">
        <f t="shared" si="84"/>
        <v/>
      </c>
      <c r="M2984" s="177"/>
      <c r="N2984" s="145"/>
      <c r="O2984" s="146"/>
      <c r="P2984" s="48" t="str">
        <f t="array" ref="P2984">IFNA(XLOOKUP(J2984,'⚙️ Pengaturan'!$E$2:$E3237,'⚙️ Pengaturan'!$F$2:$F3237),"")</f>
        <v/>
      </c>
      <c r="Q2984" s="147" t="str">
        <f t="shared" si="85"/>
        <v/>
      </c>
      <c r="R2984" s="173"/>
      <c r="S2984" s="76"/>
      <c r="T2984" s="51" t="b">
        <v>0</v>
      </c>
      <c r="U2984" s="94"/>
    </row>
    <row r="2985" ht="30.0" customHeight="1">
      <c r="A2985" s="39"/>
      <c r="B2985" s="40"/>
      <c r="C2985" s="173"/>
      <c r="D2985" s="86"/>
      <c r="E2985" s="43" t="str">
        <f t="shared" si="82"/>
        <v/>
      </c>
      <c r="F2985" s="43" t="str">
        <f t="shared" si="83"/>
        <v/>
      </c>
      <c r="G2985" s="44"/>
      <c r="H2985" s="44"/>
      <c r="I2985" s="44"/>
      <c r="J2985" s="176"/>
      <c r="K2985" s="43" t="str">
        <f t="array" ref="K2985">IF(J2985="","", XLOOKUP(J2985,'⚙️ Pengaturan'!$E$2:$E3237,'⚙️ Pengaturan'!$G$2:$G3237))</f>
        <v/>
      </c>
      <c r="L2985" s="43" t="str">
        <f t="shared" si="84"/>
        <v/>
      </c>
      <c r="M2985" s="177"/>
      <c r="N2985" s="145"/>
      <c r="O2985" s="146"/>
      <c r="P2985" s="48" t="str">
        <f t="array" ref="P2985">IFNA(XLOOKUP(J2985,'⚙️ Pengaturan'!$E$2:$E3237,'⚙️ Pengaturan'!$F$2:$F3237),"")</f>
        <v/>
      </c>
      <c r="Q2985" s="147" t="str">
        <f t="shared" si="85"/>
        <v/>
      </c>
      <c r="R2985" s="173"/>
      <c r="S2985" s="76"/>
      <c r="T2985" s="51" t="b">
        <v>0</v>
      </c>
      <c r="U2985" s="94"/>
    </row>
    <row r="2986" ht="30.0" customHeight="1">
      <c r="A2986" s="39"/>
      <c r="B2986" s="40"/>
      <c r="C2986" s="173"/>
      <c r="D2986" s="86"/>
      <c r="E2986" s="43" t="str">
        <f t="shared" si="82"/>
        <v/>
      </c>
      <c r="F2986" s="43" t="str">
        <f t="shared" si="83"/>
        <v/>
      </c>
      <c r="G2986" s="44"/>
      <c r="H2986" s="44"/>
      <c r="I2986" s="44"/>
      <c r="J2986" s="176"/>
      <c r="K2986" s="43" t="str">
        <f t="array" ref="K2986">IF(J2986="","", XLOOKUP(J2986,'⚙️ Pengaturan'!$E$2:$E3237,'⚙️ Pengaturan'!$G$2:$G3237))</f>
        <v/>
      </c>
      <c r="L2986" s="43" t="str">
        <f t="shared" si="84"/>
        <v/>
      </c>
      <c r="M2986" s="177"/>
      <c r="N2986" s="145"/>
      <c r="O2986" s="146"/>
      <c r="P2986" s="48" t="str">
        <f t="array" ref="P2986">IFNA(XLOOKUP(J2986,'⚙️ Pengaturan'!$E$2:$E3237,'⚙️ Pengaturan'!$F$2:$F3237),"")</f>
        <v/>
      </c>
      <c r="Q2986" s="147" t="str">
        <f t="shared" si="85"/>
        <v/>
      </c>
      <c r="R2986" s="173"/>
      <c r="S2986" s="76"/>
      <c r="T2986" s="51" t="b">
        <v>0</v>
      </c>
      <c r="U2986" s="94"/>
    </row>
    <row r="2987" ht="30.0" customHeight="1">
      <c r="A2987" s="39"/>
      <c r="B2987" s="40"/>
      <c r="C2987" s="173"/>
      <c r="D2987" s="86"/>
      <c r="E2987" s="43" t="str">
        <f t="shared" si="82"/>
        <v/>
      </c>
      <c r="F2987" s="43" t="str">
        <f t="shared" si="83"/>
        <v/>
      </c>
      <c r="G2987" s="44"/>
      <c r="H2987" s="44"/>
      <c r="I2987" s="44"/>
      <c r="J2987" s="176"/>
      <c r="K2987" s="43" t="str">
        <f t="array" ref="K2987">IF(J2987="","", XLOOKUP(J2987,'⚙️ Pengaturan'!$E$2:$E3237,'⚙️ Pengaturan'!$G$2:$G3237))</f>
        <v/>
      </c>
      <c r="L2987" s="43" t="str">
        <f t="shared" si="84"/>
        <v/>
      </c>
      <c r="M2987" s="177"/>
      <c r="N2987" s="145"/>
      <c r="O2987" s="146"/>
      <c r="P2987" s="48" t="str">
        <f t="array" ref="P2987">IFNA(XLOOKUP(J2987,'⚙️ Pengaturan'!$E$2:$E3237,'⚙️ Pengaturan'!$F$2:$F3237),"")</f>
        <v/>
      </c>
      <c r="Q2987" s="147" t="str">
        <f t="shared" si="85"/>
        <v/>
      </c>
      <c r="R2987" s="173"/>
      <c r="S2987" s="76"/>
      <c r="T2987" s="51" t="b">
        <v>0</v>
      </c>
      <c r="U2987" s="94"/>
    </row>
    <row r="2988" ht="30.0" customHeight="1">
      <c r="A2988" s="39"/>
      <c r="B2988" s="40"/>
      <c r="C2988" s="173"/>
      <c r="D2988" s="86"/>
      <c r="E2988" s="43" t="str">
        <f t="shared" si="82"/>
        <v/>
      </c>
      <c r="F2988" s="43" t="str">
        <f t="shared" si="83"/>
        <v/>
      </c>
      <c r="G2988" s="44"/>
      <c r="H2988" s="44"/>
      <c r="I2988" s="44"/>
      <c r="J2988" s="176"/>
      <c r="K2988" s="43" t="str">
        <f t="array" ref="K2988">IF(J2988="","", XLOOKUP(J2988,'⚙️ Pengaturan'!$E$2:$E3237,'⚙️ Pengaturan'!$G$2:$G3237))</f>
        <v/>
      </c>
      <c r="L2988" s="43" t="str">
        <f t="shared" si="84"/>
        <v/>
      </c>
      <c r="M2988" s="177"/>
      <c r="N2988" s="145"/>
      <c r="O2988" s="146"/>
      <c r="P2988" s="48" t="str">
        <f t="array" ref="P2988">IFNA(XLOOKUP(J2988,'⚙️ Pengaturan'!$E$2:$E3237,'⚙️ Pengaturan'!$F$2:$F3237),"")</f>
        <v/>
      </c>
      <c r="Q2988" s="147" t="str">
        <f t="shared" si="85"/>
        <v/>
      </c>
      <c r="R2988" s="173"/>
      <c r="S2988" s="76"/>
      <c r="T2988" s="51" t="b">
        <v>0</v>
      </c>
      <c r="U2988" s="94"/>
    </row>
    <row r="2989" ht="30.0" customHeight="1">
      <c r="A2989" s="39"/>
      <c r="B2989" s="40"/>
      <c r="C2989" s="173"/>
      <c r="D2989" s="86"/>
      <c r="E2989" s="43" t="str">
        <f t="shared" si="82"/>
        <v/>
      </c>
      <c r="F2989" s="43" t="str">
        <f t="shared" si="83"/>
        <v/>
      </c>
      <c r="G2989" s="44"/>
      <c r="H2989" s="44"/>
      <c r="I2989" s="44"/>
      <c r="J2989" s="176"/>
      <c r="K2989" s="43" t="str">
        <f t="array" ref="K2989">IF(J2989="","", XLOOKUP(J2989,'⚙️ Pengaturan'!$E$2:$E3237,'⚙️ Pengaturan'!$G$2:$G3237))</f>
        <v/>
      </c>
      <c r="L2989" s="43" t="str">
        <f t="shared" si="84"/>
        <v/>
      </c>
      <c r="M2989" s="177"/>
      <c r="N2989" s="145"/>
      <c r="O2989" s="146"/>
      <c r="P2989" s="48" t="str">
        <f t="array" ref="P2989">IFNA(XLOOKUP(J2989,'⚙️ Pengaturan'!$E$2:$E3237,'⚙️ Pengaturan'!$F$2:$F3237),"")</f>
        <v/>
      </c>
      <c r="Q2989" s="147" t="str">
        <f t="shared" si="85"/>
        <v/>
      </c>
      <c r="R2989" s="173"/>
      <c r="S2989" s="76"/>
      <c r="T2989" s="51" t="b">
        <v>0</v>
      </c>
      <c r="U2989" s="94"/>
    </row>
    <row r="2990" ht="30.0" customHeight="1">
      <c r="A2990" s="39"/>
      <c r="B2990" s="40"/>
      <c r="C2990" s="173"/>
      <c r="D2990" s="86"/>
      <c r="E2990" s="43" t="str">
        <f t="shared" si="82"/>
        <v/>
      </c>
      <c r="F2990" s="43" t="str">
        <f t="shared" si="83"/>
        <v/>
      </c>
      <c r="G2990" s="44"/>
      <c r="H2990" s="44"/>
      <c r="I2990" s="44"/>
      <c r="J2990" s="176"/>
      <c r="K2990" s="43" t="str">
        <f t="array" ref="K2990">IF(J2990="","", XLOOKUP(J2990,'⚙️ Pengaturan'!$E$2:$E3237,'⚙️ Pengaturan'!$G$2:$G3237))</f>
        <v/>
      </c>
      <c r="L2990" s="43" t="str">
        <f t="shared" si="84"/>
        <v/>
      </c>
      <c r="M2990" s="177"/>
      <c r="N2990" s="145"/>
      <c r="O2990" s="146"/>
      <c r="P2990" s="48" t="str">
        <f t="array" ref="P2990">IFNA(XLOOKUP(J2990,'⚙️ Pengaturan'!$E$2:$E3237,'⚙️ Pengaturan'!$F$2:$F3237),"")</f>
        <v/>
      </c>
      <c r="Q2990" s="147" t="str">
        <f t="shared" si="85"/>
        <v/>
      </c>
      <c r="R2990" s="173"/>
      <c r="S2990" s="76"/>
      <c r="T2990" s="51" t="b">
        <v>0</v>
      </c>
      <c r="U2990" s="94"/>
    </row>
    <row r="2991" ht="30.0" customHeight="1">
      <c r="A2991" s="39"/>
      <c r="B2991" s="40"/>
      <c r="C2991" s="173"/>
      <c r="D2991" s="86"/>
      <c r="E2991" s="43" t="str">
        <f t="shared" si="82"/>
        <v/>
      </c>
      <c r="F2991" s="43" t="str">
        <f t="shared" si="83"/>
        <v/>
      </c>
      <c r="G2991" s="44"/>
      <c r="H2991" s="44"/>
      <c r="I2991" s="44"/>
      <c r="J2991" s="176"/>
      <c r="K2991" s="43" t="str">
        <f t="array" ref="K2991">IF(J2991="","", XLOOKUP(J2991,'⚙️ Pengaturan'!$E$2:$E3237,'⚙️ Pengaturan'!$G$2:$G3237))</f>
        <v/>
      </c>
      <c r="L2991" s="43" t="str">
        <f t="shared" si="84"/>
        <v/>
      </c>
      <c r="M2991" s="177"/>
      <c r="N2991" s="145"/>
      <c r="O2991" s="146"/>
      <c r="P2991" s="48" t="str">
        <f t="array" ref="P2991">IFNA(XLOOKUP(J2991,'⚙️ Pengaturan'!$E$2:$E3237,'⚙️ Pengaturan'!$F$2:$F3237),"")</f>
        <v/>
      </c>
      <c r="Q2991" s="147" t="str">
        <f t="shared" si="85"/>
        <v/>
      </c>
      <c r="R2991" s="173"/>
      <c r="S2991" s="76"/>
      <c r="T2991" s="51" t="b">
        <v>0</v>
      </c>
      <c r="U2991" s="94"/>
    </row>
    <row r="2992" ht="30.0" customHeight="1">
      <c r="A2992" s="39"/>
      <c r="B2992" s="40"/>
      <c r="C2992" s="173"/>
      <c r="D2992" s="86"/>
      <c r="E2992" s="43" t="str">
        <f t="shared" si="82"/>
        <v/>
      </c>
      <c r="F2992" s="43" t="str">
        <f t="shared" si="83"/>
        <v/>
      </c>
      <c r="G2992" s="44"/>
      <c r="H2992" s="44"/>
      <c r="I2992" s="44"/>
      <c r="J2992" s="176"/>
      <c r="K2992" s="43" t="str">
        <f t="array" ref="K2992">IF(J2992="","", XLOOKUP(J2992,'⚙️ Pengaturan'!$E$2:$E3237,'⚙️ Pengaturan'!$G$2:$G3237))</f>
        <v/>
      </c>
      <c r="L2992" s="43" t="str">
        <f t="shared" si="84"/>
        <v/>
      </c>
      <c r="M2992" s="177"/>
      <c r="N2992" s="145"/>
      <c r="O2992" s="146"/>
      <c r="P2992" s="48" t="str">
        <f t="array" ref="P2992">IFNA(XLOOKUP(J2992,'⚙️ Pengaturan'!$E$2:$E3237,'⚙️ Pengaturan'!$F$2:$F3237),"")</f>
        <v/>
      </c>
      <c r="Q2992" s="147" t="str">
        <f t="shared" si="85"/>
        <v/>
      </c>
      <c r="R2992" s="173"/>
      <c r="S2992" s="76"/>
      <c r="T2992" s="51" t="b">
        <v>0</v>
      </c>
      <c r="U2992" s="94"/>
    </row>
    <row r="2993" ht="30.0" customHeight="1">
      <c r="A2993" s="39"/>
      <c r="B2993" s="40"/>
      <c r="C2993" s="173"/>
      <c r="D2993" s="86"/>
      <c r="E2993" s="43" t="str">
        <f t="shared" si="82"/>
        <v/>
      </c>
      <c r="F2993" s="43" t="str">
        <f t="shared" si="83"/>
        <v/>
      </c>
      <c r="G2993" s="44"/>
      <c r="H2993" s="44"/>
      <c r="I2993" s="44"/>
      <c r="J2993" s="176"/>
      <c r="K2993" s="43" t="str">
        <f t="array" ref="K2993">IF(J2993="","", XLOOKUP(J2993,'⚙️ Pengaturan'!$E$2:$E3237,'⚙️ Pengaturan'!$G$2:$G3237))</f>
        <v/>
      </c>
      <c r="L2993" s="43" t="str">
        <f t="shared" si="84"/>
        <v/>
      </c>
      <c r="M2993" s="177"/>
      <c r="N2993" s="145"/>
      <c r="O2993" s="146"/>
      <c r="P2993" s="48" t="str">
        <f t="array" ref="P2993">IFNA(XLOOKUP(J2993,'⚙️ Pengaturan'!$E$2:$E3237,'⚙️ Pengaturan'!$F$2:$F3237),"")</f>
        <v/>
      </c>
      <c r="Q2993" s="147" t="str">
        <f t="shared" si="85"/>
        <v/>
      </c>
      <c r="R2993" s="173"/>
      <c r="S2993" s="76"/>
      <c r="T2993" s="51" t="b">
        <v>0</v>
      </c>
      <c r="U2993" s="94"/>
    </row>
    <row r="2994" ht="30.0" customHeight="1">
      <c r="A2994" s="39"/>
      <c r="B2994" s="40"/>
      <c r="C2994" s="173"/>
      <c r="D2994" s="86"/>
      <c r="E2994" s="43" t="str">
        <f t="shared" si="82"/>
        <v/>
      </c>
      <c r="F2994" s="43" t="str">
        <f t="shared" si="83"/>
        <v/>
      </c>
      <c r="G2994" s="44"/>
      <c r="H2994" s="44"/>
      <c r="I2994" s="44"/>
      <c r="J2994" s="176"/>
      <c r="K2994" s="43" t="str">
        <f t="array" ref="K2994">IF(J2994="","", XLOOKUP(J2994,'⚙️ Pengaturan'!$E$2:$E3237,'⚙️ Pengaturan'!$G$2:$G3237))</f>
        <v/>
      </c>
      <c r="L2994" s="43" t="str">
        <f t="shared" si="84"/>
        <v/>
      </c>
      <c r="M2994" s="177"/>
      <c r="N2994" s="145"/>
      <c r="O2994" s="146"/>
      <c r="P2994" s="48" t="str">
        <f t="array" ref="P2994">IFNA(XLOOKUP(J2994,'⚙️ Pengaturan'!$E$2:$E3237,'⚙️ Pengaturan'!$F$2:$F3237),"")</f>
        <v/>
      </c>
      <c r="Q2994" s="147" t="str">
        <f t="shared" si="85"/>
        <v/>
      </c>
      <c r="R2994" s="173"/>
      <c r="S2994" s="76"/>
      <c r="T2994" s="51" t="b">
        <v>0</v>
      </c>
      <c r="U2994" s="94"/>
    </row>
    <row r="2995" ht="30.0" customHeight="1">
      <c r="A2995" s="39"/>
      <c r="B2995" s="40"/>
      <c r="C2995" s="173"/>
      <c r="D2995" s="86"/>
      <c r="E2995" s="43" t="str">
        <f t="shared" si="82"/>
        <v/>
      </c>
      <c r="F2995" s="43" t="str">
        <f t="shared" si="83"/>
        <v/>
      </c>
      <c r="G2995" s="44"/>
      <c r="H2995" s="44"/>
      <c r="I2995" s="44"/>
      <c r="J2995" s="176"/>
      <c r="K2995" s="43" t="str">
        <f t="array" ref="K2995">IF(J2995="","", XLOOKUP(J2995,'⚙️ Pengaturan'!$E$2:$E3237,'⚙️ Pengaturan'!$G$2:$G3237))</f>
        <v/>
      </c>
      <c r="L2995" s="43" t="str">
        <f t="shared" si="84"/>
        <v/>
      </c>
      <c r="M2995" s="177"/>
      <c r="N2995" s="145"/>
      <c r="O2995" s="146"/>
      <c r="P2995" s="48" t="str">
        <f t="array" ref="P2995">IFNA(XLOOKUP(J2995,'⚙️ Pengaturan'!$E$2:$E3237,'⚙️ Pengaturan'!$F$2:$F3237),"")</f>
        <v/>
      </c>
      <c r="Q2995" s="147" t="str">
        <f t="shared" si="85"/>
        <v/>
      </c>
      <c r="R2995" s="173"/>
      <c r="S2995" s="76"/>
      <c r="T2995" s="51" t="b">
        <v>0</v>
      </c>
      <c r="U2995" s="94"/>
    </row>
    <row r="2996" ht="30.0" customHeight="1">
      <c r="A2996" s="39"/>
      <c r="B2996" s="40"/>
      <c r="C2996" s="173"/>
      <c r="D2996" s="86"/>
      <c r="E2996" s="43" t="str">
        <f t="shared" si="82"/>
        <v/>
      </c>
      <c r="F2996" s="43" t="str">
        <f t="shared" si="83"/>
        <v/>
      </c>
      <c r="G2996" s="44"/>
      <c r="H2996" s="44"/>
      <c r="I2996" s="44"/>
      <c r="J2996" s="176"/>
      <c r="K2996" s="43" t="str">
        <f t="array" ref="K2996">IF(J2996="","", XLOOKUP(J2996,'⚙️ Pengaturan'!$E$2:$E3237,'⚙️ Pengaturan'!$G$2:$G3237))</f>
        <v/>
      </c>
      <c r="L2996" s="43" t="str">
        <f t="shared" si="84"/>
        <v/>
      </c>
      <c r="M2996" s="177"/>
      <c r="N2996" s="145"/>
      <c r="O2996" s="146"/>
      <c r="P2996" s="48" t="str">
        <f t="array" ref="P2996">IFNA(XLOOKUP(J2996,'⚙️ Pengaturan'!$E$2:$E3237,'⚙️ Pengaturan'!$F$2:$F3237),"")</f>
        <v/>
      </c>
      <c r="Q2996" s="147" t="str">
        <f t="shared" si="85"/>
        <v/>
      </c>
      <c r="R2996" s="173"/>
      <c r="S2996" s="76"/>
      <c r="T2996" s="51" t="b">
        <v>0</v>
      </c>
      <c r="U2996" s="94"/>
    </row>
    <row r="2997" ht="30.0" customHeight="1">
      <c r="A2997" s="39"/>
      <c r="B2997" s="40"/>
      <c r="C2997" s="173"/>
      <c r="D2997" s="86"/>
      <c r="E2997" s="43" t="str">
        <f t="shared" si="82"/>
        <v/>
      </c>
      <c r="F2997" s="43" t="str">
        <f t="shared" si="83"/>
        <v/>
      </c>
      <c r="G2997" s="44"/>
      <c r="H2997" s="44"/>
      <c r="I2997" s="44"/>
      <c r="J2997" s="176"/>
      <c r="K2997" s="43" t="str">
        <f t="array" ref="K2997">IF(J2997="","", XLOOKUP(J2997,'⚙️ Pengaturan'!$E$2:$E3237,'⚙️ Pengaturan'!$G$2:$G3237))</f>
        <v/>
      </c>
      <c r="L2997" s="43" t="str">
        <f t="shared" si="84"/>
        <v/>
      </c>
      <c r="M2997" s="177"/>
      <c r="N2997" s="145"/>
      <c r="O2997" s="146"/>
      <c r="P2997" s="48" t="str">
        <f t="array" ref="P2997">IFNA(XLOOKUP(J2997,'⚙️ Pengaturan'!$E$2:$E3237,'⚙️ Pengaturan'!$F$2:$F3237),"")</f>
        <v/>
      </c>
      <c r="Q2997" s="147" t="str">
        <f t="shared" si="85"/>
        <v/>
      </c>
      <c r="R2997" s="173"/>
      <c r="S2997" s="76"/>
      <c r="T2997" s="51" t="b">
        <v>0</v>
      </c>
      <c r="U2997" s="94"/>
    </row>
    <row r="2998" ht="30.0" customHeight="1">
      <c r="A2998" s="39"/>
      <c r="B2998" s="40"/>
      <c r="C2998" s="173"/>
      <c r="D2998" s="86"/>
      <c r="E2998" s="43" t="str">
        <f t="shared" si="82"/>
        <v/>
      </c>
      <c r="F2998" s="43" t="str">
        <f t="shared" si="83"/>
        <v/>
      </c>
      <c r="G2998" s="44"/>
      <c r="H2998" s="44"/>
      <c r="I2998" s="44"/>
      <c r="J2998" s="176"/>
      <c r="K2998" s="43" t="str">
        <f t="array" ref="K2998">IF(J2998="","", XLOOKUP(J2998,'⚙️ Pengaturan'!$E$2:$E3237,'⚙️ Pengaturan'!$G$2:$G3237))</f>
        <v/>
      </c>
      <c r="L2998" s="43" t="str">
        <f t="shared" si="84"/>
        <v/>
      </c>
      <c r="M2998" s="177"/>
      <c r="N2998" s="145"/>
      <c r="O2998" s="146"/>
      <c r="P2998" s="48" t="str">
        <f t="array" ref="P2998">IFNA(XLOOKUP(J2998,'⚙️ Pengaturan'!$E$2:$E3237,'⚙️ Pengaturan'!$F$2:$F3237),"")</f>
        <v/>
      </c>
      <c r="Q2998" s="147" t="str">
        <f t="shared" si="85"/>
        <v/>
      </c>
      <c r="R2998" s="173"/>
      <c r="S2998" s="76"/>
      <c r="T2998" s="51" t="b">
        <v>0</v>
      </c>
      <c r="U2998" s="94"/>
    </row>
    <row r="2999" ht="30.0" customHeight="1">
      <c r="A2999" s="39"/>
      <c r="B2999" s="40"/>
      <c r="C2999" s="173"/>
      <c r="D2999" s="86"/>
      <c r="E2999" s="43" t="str">
        <f t="shared" si="82"/>
        <v/>
      </c>
      <c r="F2999" s="43" t="str">
        <f t="shared" si="83"/>
        <v/>
      </c>
      <c r="G2999" s="44"/>
      <c r="H2999" s="44"/>
      <c r="I2999" s="44"/>
      <c r="J2999" s="176"/>
      <c r="K2999" s="43" t="str">
        <f t="array" ref="K2999">IF(J2999="","", XLOOKUP(J2999,'⚙️ Pengaturan'!$E$2:$E3237,'⚙️ Pengaturan'!$G$2:$G3237))</f>
        <v/>
      </c>
      <c r="L2999" s="43" t="str">
        <f t="shared" si="84"/>
        <v/>
      </c>
      <c r="M2999" s="177"/>
      <c r="N2999" s="145"/>
      <c r="O2999" s="146"/>
      <c r="P2999" s="48" t="str">
        <f t="array" ref="P2999">IFNA(XLOOKUP(J2999,'⚙️ Pengaturan'!$E$2:$E3237,'⚙️ Pengaturan'!$F$2:$F3237),"")</f>
        <v/>
      </c>
      <c r="Q2999" s="147" t="str">
        <f t="shared" si="85"/>
        <v/>
      </c>
      <c r="R2999" s="173"/>
      <c r="S2999" s="76"/>
      <c r="T2999" s="51" t="b">
        <v>0</v>
      </c>
      <c r="U2999" s="94"/>
    </row>
    <row r="3000" ht="30.0" customHeight="1">
      <c r="A3000" s="39"/>
      <c r="B3000" s="40"/>
      <c r="C3000" s="173"/>
      <c r="D3000" s="86"/>
      <c r="E3000" s="43" t="str">
        <f t="shared" si="82"/>
        <v/>
      </c>
      <c r="F3000" s="43" t="str">
        <f t="shared" si="83"/>
        <v/>
      </c>
      <c r="G3000" s="44"/>
      <c r="H3000" s="44"/>
      <c r="I3000" s="44"/>
      <c r="J3000" s="176"/>
      <c r="K3000" s="43" t="str">
        <f t="array" ref="K3000">IF(J3000="","", XLOOKUP(J3000,'⚙️ Pengaturan'!$E$2:$E3237,'⚙️ Pengaturan'!$G$2:$G3237))</f>
        <v/>
      </c>
      <c r="L3000" s="43" t="str">
        <f t="shared" si="84"/>
        <v/>
      </c>
      <c r="M3000" s="177"/>
      <c r="N3000" s="145"/>
      <c r="O3000" s="146"/>
      <c r="P3000" s="48" t="str">
        <f t="array" ref="P3000">IFNA(XLOOKUP(J3000,'⚙️ Pengaturan'!$E$2:$E3237,'⚙️ Pengaturan'!$F$2:$F3237),"")</f>
        <v/>
      </c>
      <c r="Q3000" s="147" t="str">
        <f t="shared" si="85"/>
        <v/>
      </c>
      <c r="R3000" s="173"/>
      <c r="S3000" s="76"/>
      <c r="T3000" s="51" t="b">
        <v>0</v>
      </c>
      <c r="U3000" s="94"/>
    </row>
    <row r="3001" ht="30.0" customHeight="1">
      <c r="A3001" s="39"/>
      <c r="B3001" s="40"/>
      <c r="C3001" s="173"/>
      <c r="D3001" s="86"/>
      <c r="E3001" s="43" t="str">
        <f t="shared" si="82"/>
        <v/>
      </c>
      <c r="F3001" s="43" t="str">
        <f t="shared" si="83"/>
        <v/>
      </c>
      <c r="G3001" s="44"/>
      <c r="H3001" s="44"/>
      <c r="I3001" s="44"/>
      <c r="J3001" s="176"/>
      <c r="K3001" s="43" t="str">
        <f t="array" ref="K3001">IF(J3001="","", XLOOKUP(J3001,'⚙️ Pengaturan'!$E$2:$E3237,'⚙️ Pengaturan'!$G$2:$G3237))</f>
        <v/>
      </c>
      <c r="L3001" s="43" t="str">
        <f t="shared" si="84"/>
        <v/>
      </c>
      <c r="M3001" s="177"/>
      <c r="N3001" s="145"/>
      <c r="O3001" s="146"/>
      <c r="P3001" s="48" t="str">
        <f t="array" ref="P3001">IFNA(XLOOKUP(J3001,'⚙️ Pengaturan'!$E$2:$E3237,'⚙️ Pengaturan'!$F$2:$F3237),"")</f>
        <v/>
      </c>
      <c r="Q3001" s="147" t="str">
        <f t="shared" si="85"/>
        <v/>
      </c>
      <c r="R3001" s="173"/>
      <c r="S3001" s="76"/>
      <c r="T3001" s="51" t="b">
        <v>0</v>
      </c>
      <c r="U3001" s="94"/>
    </row>
    <row r="3002" ht="30.0" customHeight="1">
      <c r="A3002" s="39"/>
      <c r="B3002" s="40"/>
      <c r="C3002" s="173"/>
      <c r="D3002" s="86"/>
      <c r="E3002" s="43" t="str">
        <f t="shared" si="82"/>
        <v/>
      </c>
      <c r="F3002" s="43" t="str">
        <f t="shared" si="83"/>
        <v/>
      </c>
      <c r="G3002" s="44"/>
      <c r="H3002" s="44"/>
      <c r="I3002" s="44"/>
      <c r="J3002" s="176"/>
      <c r="K3002" s="43" t="str">
        <f t="array" ref="K3002">IF(J3002="","", XLOOKUP(J3002,'⚙️ Pengaturan'!$E$2:$E3237,'⚙️ Pengaturan'!$G$2:$G3237))</f>
        <v/>
      </c>
      <c r="L3002" s="43" t="str">
        <f t="shared" si="84"/>
        <v/>
      </c>
      <c r="M3002" s="177"/>
      <c r="N3002" s="145"/>
      <c r="O3002" s="146"/>
      <c r="P3002" s="48" t="str">
        <f t="array" ref="P3002">IFNA(XLOOKUP(J3002,'⚙️ Pengaturan'!$E$2:$E3237,'⚙️ Pengaturan'!$F$2:$F3237),"")</f>
        <v/>
      </c>
      <c r="Q3002" s="147" t="str">
        <f t="shared" si="85"/>
        <v/>
      </c>
      <c r="R3002" s="173"/>
      <c r="S3002" s="76"/>
      <c r="T3002" s="51" t="b">
        <v>0</v>
      </c>
      <c r="U3002" s="94"/>
    </row>
    <row r="3003" ht="30.0" customHeight="1">
      <c r="A3003" s="39"/>
      <c r="B3003" s="40"/>
      <c r="C3003" s="173"/>
      <c r="D3003" s="86"/>
      <c r="E3003" s="43" t="str">
        <f t="shared" si="82"/>
        <v/>
      </c>
      <c r="F3003" s="43" t="str">
        <f t="shared" si="83"/>
        <v/>
      </c>
      <c r="G3003" s="44"/>
      <c r="H3003" s="44"/>
      <c r="I3003" s="44"/>
      <c r="J3003" s="176"/>
      <c r="K3003" s="43" t="str">
        <f t="array" ref="K3003">IF(J3003="","", XLOOKUP(J3003,'⚙️ Pengaturan'!$E$2:$E3237,'⚙️ Pengaturan'!$G$2:$G3237))</f>
        <v/>
      </c>
      <c r="L3003" s="43" t="str">
        <f t="shared" si="84"/>
        <v/>
      </c>
      <c r="M3003" s="177"/>
      <c r="N3003" s="145"/>
      <c r="O3003" s="146"/>
      <c r="P3003" s="48" t="str">
        <f t="array" ref="P3003">IFNA(XLOOKUP(J3003,'⚙️ Pengaturan'!$E$2:$E3237,'⚙️ Pengaturan'!$F$2:$F3237),"")</f>
        <v/>
      </c>
      <c r="Q3003" s="147" t="str">
        <f t="shared" si="85"/>
        <v/>
      </c>
      <c r="R3003" s="173"/>
      <c r="S3003" s="76"/>
      <c r="T3003" s="51" t="b">
        <v>0</v>
      </c>
      <c r="U3003" s="94"/>
    </row>
    <row r="3004" ht="30.0" customHeight="1">
      <c r="A3004" s="39"/>
      <c r="B3004" s="40"/>
      <c r="C3004" s="173"/>
      <c r="D3004" s="86"/>
      <c r="E3004" s="43" t="str">
        <f t="shared" si="82"/>
        <v/>
      </c>
      <c r="F3004" s="43" t="str">
        <f t="shared" si="83"/>
        <v/>
      </c>
      <c r="G3004" s="44"/>
      <c r="H3004" s="44"/>
      <c r="I3004" s="44"/>
      <c r="J3004" s="176"/>
      <c r="K3004" s="43" t="str">
        <f t="array" ref="K3004">IF(J3004="","", XLOOKUP(J3004,'⚙️ Pengaturan'!$E$2:$E3237,'⚙️ Pengaturan'!$G$2:$G3237))</f>
        <v/>
      </c>
      <c r="L3004" s="43" t="str">
        <f t="shared" si="84"/>
        <v/>
      </c>
      <c r="M3004" s="177"/>
      <c r="N3004" s="145"/>
      <c r="O3004" s="146"/>
      <c r="P3004" s="48" t="str">
        <f t="array" ref="P3004">IFNA(XLOOKUP(J3004,'⚙️ Pengaturan'!$E$2:$E3237,'⚙️ Pengaturan'!$F$2:$F3237),"")</f>
        <v/>
      </c>
      <c r="Q3004" s="147" t="str">
        <f t="shared" si="85"/>
        <v/>
      </c>
      <c r="R3004" s="173"/>
      <c r="S3004" s="76"/>
      <c r="T3004" s="51" t="b">
        <v>0</v>
      </c>
      <c r="U3004" s="94"/>
    </row>
    <row r="3005" ht="30.0" customHeight="1">
      <c r="A3005" s="39"/>
      <c r="B3005" s="40"/>
      <c r="C3005" s="173"/>
      <c r="D3005" s="86"/>
      <c r="E3005" s="43" t="str">
        <f t="shared" si="82"/>
        <v/>
      </c>
      <c r="F3005" s="43" t="str">
        <f t="shared" si="83"/>
        <v/>
      </c>
      <c r="G3005" s="44"/>
      <c r="H3005" s="44"/>
      <c r="I3005" s="44"/>
      <c r="J3005" s="176"/>
      <c r="K3005" s="43" t="str">
        <f t="array" ref="K3005">IF(J3005="","", XLOOKUP(J3005,'⚙️ Pengaturan'!$E$2:$E3237,'⚙️ Pengaturan'!$G$2:$G3237))</f>
        <v/>
      </c>
      <c r="L3005" s="43" t="str">
        <f t="shared" si="84"/>
        <v/>
      </c>
      <c r="M3005" s="177"/>
      <c r="N3005" s="145"/>
      <c r="O3005" s="146"/>
      <c r="P3005" s="48" t="str">
        <f t="array" ref="P3005">IFNA(XLOOKUP(J3005,'⚙️ Pengaturan'!$E$2:$E3237,'⚙️ Pengaturan'!$F$2:$F3237),"")</f>
        <v/>
      </c>
      <c r="Q3005" s="147" t="str">
        <f t="shared" si="85"/>
        <v/>
      </c>
      <c r="R3005" s="173"/>
      <c r="S3005" s="76"/>
      <c r="T3005" s="51" t="b">
        <v>0</v>
      </c>
      <c r="U3005" s="94"/>
    </row>
    <row r="3006" ht="30.0" customHeight="1">
      <c r="A3006" s="39"/>
      <c r="B3006" s="40"/>
      <c r="C3006" s="173"/>
      <c r="D3006" s="86"/>
      <c r="E3006" s="43" t="str">
        <f t="shared" si="82"/>
        <v/>
      </c>
      <c r="F3006" s="43" t="str">
        <f t="shared" si="83"/>
        <v/>
      </c>
      <c r="G3006" s="44"/>
      <c r="H3006" s="44"/>
      <c r="I3006" s="44"/>
      <c r="J3006" s="176"/>
      <c r="K3006" s="43" t="str">
        <f t="array" ref="K3006">IF(J3006="","", XLOOKUP(J3006,'⚙️ Pengaturan'!$E$2:$E3237,'⚙️ Pengaturan'!$G$2:$G3237))</f>
        <v/>
      </c>
      <c r="L3006" s="43" t="str">
        <f t="shared" si="84"/>
        <v/>
      </c>
      <c r="M3006" s="177"/>
      <c r="N3006" s="145"/>
      <c r="O3006" s="146"/>
      <c r="P3006" s="48" t="str">
        <f t="array" ref="P3006">IFNA(XLOOKUP(J3006,'⚙️ Pengaturan'!$E$2:$E3237,'⚙️ Pengaturan'!$F$2:$F3237),"")</f>
        <v/>
      </c>
      <c r="Q3006" s="147" t="str">
        <f t="shared" si="85"/>
        <v/>
      </c>
      <c r="R3006" s="173"/>
      <c r="S3006" s="76"/>
      <c r="T3006" s="51" t="b">
        <v>0</v>
      </c>
      <c r="U3006" s="94"/>
    </row>
    <row r="3007" ht="30.0" customHeight="1">
      <c r="A3007" s="39"/>
      <c r="B3007" s="40"/>
      <c r="C3007" s="173"/>
      <c r="D3007" s="86"/>
      <c r="E3007" s="43" t="str">
        <f t="shared" si="82"/>
        <v/>
      </c>
      <c r="F3007" s="43" t="str">
        <f t="shared" si="83"/>
        <v/>
      </c>
      <c r="G3007" s="44"/>
      <c r="H3007" s="44"/>
      <c r="I3007" s="44"/>
      <c r="J3007" s="176"/>
      <c r="K3007" s="43" t="str">
        <f t="array" ref="K3007">IF(J3007="","", XLOOKUP(J3007,'⚙️ Pengaturan'!$E$2:$E3237,'⚙️ Pengaturan'!$G$2:$G3237))</f>
        <v/>
      </c>
      <c r="L3007" s="43" t="str">
        <f t="shared" si="84"/>
        <v/>
      </c>
      <c r="M3007" s="177"/>
      <c r="N3007" s="145"/>
      <c r="O3007" s="146"/>
      <c r="P3007" s="48" t="str">
        <f t="array" ref="P3007">IFNA(XLOOKUP(J3007,'⚙️ Pengaturan'!$E$2:$E3237,'⚙️ Pengaturan'!$F$2:$F3237),"")</f>
        <v/>
      </c>
      <c r="Q3007" s="147" t="str">
        <f t="shared" si="85"/>
        <v/>
      </c>
      <c r="R3007" s="173"/>
      <c r="S3007" s="76"/>
      <c r="T3007" s="51" t="b">
        <v>0</v>
      </c>
      <c r="U3007" s="94"/>
    </row>
    <row r="3008" ht="30.0" customHeight="1">
      <c r="A3008" s="39"/>
      <c r="B3008" s="40"/>
      <c r="C3008" s="173"/>
      <c r="D3008" s="86"/>
      <c r="E3008" s="43" t="str">
        <f t="shared" si="82"/>
        <v/>
      </c>
      <c r="F3008" s="43" t="str">
        <f t="shared" si="83"/>
        <v/>
      </c>
      <c r="G3008" s="44"/>
      <c r="H3008" s="44"/>
      <c r="I3008" s="44"/>
      <c r="J3008" s="176"/>
      <c r="K3008" s="43" t="str">
        <f t="array" ref="K3008">IF(J3008="","", XLOOKUP(J3008,'⚙️ Pengaturan'!$E$2:$E3237,'⚙️ Pengaturan'!$G$2:$G3237))</f>
        <v/>
      </c>
      <c r="L3008" s="43" t="str">
        <f t="shared" si="84"/>
        <v/>
      </c>
      <c r="M3008" s="177"/>
      <c r="N3008" s="145"/>
      <c r="O3008" s="146"/>
      <c r="P3008" s="48" t="str">
        <f t="array" ref="P3008">IFNA(XLOOKUP(J3008,'⚙️ Pengaturan'!$E$2:$E3237,'⚙️ Pengaturan'!$F$2:$F3237),"")</f>
        <v/>
      </c>
      <c r="Q3008" s="147" t="str">
        <f t="shared" si="85"/>
        <v/>
      </c>
      <c r="R3008" s="173"/>
      <c r="S3008" s="76"/>
      <c r="T3008" s="51" t="b">
        <v>0</v>
      </c>
      <c r="U3008" s="94"/>
    </row>
    <row r="3009" ht="30.0" customHeight="1">
      <c r="A3009" s="39"/>
      <c r="B3009" s="40"/>
      <c r="C3009" s="173"/>
      <c r="D3009" s="86"/>
      <c r="E3009" s="43" t="str">
        <f t="shared" si="82"/>
        <v/>
      </c>
      <c r="F3009" s="43" t="str">
        <f t="shared" si="83"/>
        <v/>
      </c>
      <c r="G3009" s="44"/>
      <c r="H3009" s="44"/>
      <c r="I3009" s="44"/>
      <c r="J3009" s="176"/>
      <c r="K3009" s="43" t="str">
        <f t="array" ref="K3009">IF(J3009="","", XLOOKUP(J3009,'⚙️ Pengaturan'!$E$2:$E3237,'⚙️ Pengaturan'!$G$2:$G3237))</f>
        <v/>
      </c>
      <c r="L3009" s="43" t="str">
        <f t="shared" si="84"/>
        <v/>
      </c>
      <c r="M3009" s="177"/>
      <c r="N3009" s="145"/>
      <c r="O3009" s="146"/>
      <c r="P3009" s="48" t="str">
        <f t="array" ref="P3009">IFNA(XLOOKUP(J3009,'⚙️ Pengaturan'!$E$2:$E3237,'⚙️ Pengaturan'!$F$2:$F3237),"")</f>
        <v/>
      </c>
      <c r="Q3009" s="147" t="str">
        <f t="shared" si="85"/>
        <v/>
      </c>
      <c r="R3009" s="173"/>
      <c r="S3009" s="76"/>
      <c r="T3009" s="51" t="b">
        <v>0</v>
      </c>
      <c r="U3009" s="94"/>
    </row>
    <row r="3010" ht="30.0" customHeight="1">
      <c r="A3010" s="39"/>
      <c r="B3010" s="40"/>
      <c r="C3010" s="173"/>
      <c r="D3010" s="86"/>
      <c r="E3010" s="43" t="str">
        <f t="shared" si="82"/>
        <v/>
      </c>
      <c r="F3010" s="43" t="str">
        <f t="shared" si="83"/>
        <v/>
      </c>
      <c r="G3010" s="44"/>
      <c r="H3010" s="44"/>
      <c r="I3010" s="44"/>
      <c r="J3010" s="176"/>
      <c r="K3010" s="43" t="str">
        <f t="array" ref="K3010">IF(J3010="","", XLOOKUP(J3010,'⚙️ Pengaturan'!$E$2:$E3237,'⚙️ Pengaturan'!$G$2:$G3237))</f>
        <v/>
      </c>
      <c r="L3010" s="43" t="str">
        <f t="shared" si="84"/>
        <v/>
      </c>
      <c r="M3010" s="177"/>
      <c r="N3010" s="145"/>
      <c r="O3010" s="146"/>
      <c r="P3010" s="48" t="str">
        <f t="array" ref="P3010">IFNA(XLOOKUP(J3010,'⚙️ Pengaturan'!$E$2:$E3237,'⚙️ Pengaturan'!$F$2:$F3237),"")</f>
        <v/>
      </c>
      <c r="Q3010" s="147" t="str">
        <f t="shared" si="85"/>
        <v/>
      </c>
      <c r="R3010" s="173"/>
      <c r="S3010" s="76"/>
      <c r="T3010" s="51" t="b">
        <v>0</v>
      </c>
      <c r="U3010" s="94"/>
    </row>
    <row r="3011" ht="30.0" customHeight="1">
      <c r="A3011" s="39"/>
      <c r="B3011" s="40"/>
      <c r="C3011" s="173"/>
      <c r="D3011" s="86"/>
      <c r="E3011" s="43" t="str">
        <f t="shared" si="82"/>
        <v/>
      </c>
      <c r="F3011" s="43" t="str">
        <f t="shared" si="83"/>
        <v/>
      </c>
      <c r="G3011" s="44"/>
      <c r="H3011" s="44"/>
      <c r="I3011" s="44"/>
      <c r="J3011" s="176"/>
      <c r="K3011" s="43" t="str">
        <f t="array" ref="K3011">IF(J3011="","", XLOOKUP(J3011,'⚙️ Pengaturan'!$E$2:$E3237,'⚙️ Pengaturan'!$G$2:$G3237))</f>
        <v/>
      </c>
      <c r="L3011" s="43" t="str">
        <f t="shared" si="84"/>
        <v/>
      </c>
      <c r="M3011" s="177"/>
      <c r="N3011" s="145"/>
      <c r="O3011" s="146"/>
      <c r="P3011" s="48" t="str">
        <f t="array" ref="P3011">IFNA(XLOOKUP(J3011,'⚙️ Pengaturan'!$E$2:$E3237,'⚙️ Pengaturan'!$F$2:$F3237),"")</f>
        <v/>
      </c>
      <c r="Q3011" s="147" t="str">
        <f t="shared" si="85"/>
        <v/>
      </c>
      <c r="R3011" s="173"/>
      <c r="S3011" s="76"/>
      <c r="T3011" s="51" t="b">
        <v>0</v>
      </c>
      <c r="U3011" s="94"/>
    </row>
    <row r="3012" ht="30.0" customHeight="1">
      <c r="A3012" s="39"/>
      <c r="B3012" s="40"/>
      <c r="C3012" s="173"/>
      <c r="D3012" s="86"/>
      <c r="E3012" s="43" t="str">
        <f t="shared" si="82"/>
        <v/>
      </c>
      <c r="F3012" s="43" t="str">
        <f t="shared" si="83"/>
        <v/>
      </c>
      <c r="G3012" s="44"/>
      <c r="H3012" s="44"/>
      <c r="I3012" s="44"/>
      <c r="J3012" s="176"/>
      <c r="K3012" s="43" t="str">
        <f t="array" ref="K3012">IF(J3012="","", XLOOKUP(J3012,'⚙️ Pengaturan'!$E$2:$E3237,'⚙️ Pengaturan'!$G$2:$G3237))</f>
        <v/>
      </c>
      <c r="L3012" s="43" t="str">
        <f t="shared" si="84"/>
        <v/>
      </c>
      <c r="M3012" s="177"/>
      <c r="N3012" s="145"/>
      <c r="O3012" s="146"/>
      <c r="P3012" s="48" t="str">
        <f t="array" ref="P3012">IFNA(XLOOKUP(J3012,'⚙️ Pengaturan'!$E$2:$E3237,'⚙️ Pengaturan'!$F$2:$F3237),"")</f>
        <v/>
      </c>
      <c r="Q3012" s="147" t="str">
        <f t="shared" si="85"/>
        <v/>
      </c>
      <c r="R3012" s="173"/>
      <c r="S3012" s="76"/>
      <c r="T3012" s="51" t="b">
        <v>0</v>
      </c>
      <c r="U3012" s="94"/>
    </row>
    <row r="3013" ht="30.0" customHeight="1">
      <c r="A3013" s="39"/>
      <c r="B3013" s="40"/>
      <c r="C3013" s="173"/>
      <c r="D3013" s="86"/>
      <c r="E3013" s="43" t="str">
        <f t="shared" si="82"/>
        <v/>
      </c>
      <c r="F3013" s="43" t="str">
        <f t="shared" si="83"/>
        <v/>
      </c>
      <c r="G3013" s="44"/>
      <c r="H3013" s="44"/>
      <c r="I3013" s="44"/>
      <c r="J3013" s="176"/>
      <c r="K3013" s="43" t="str">
        <f t="array" ref="K3013">IF(J3013="","", XLOOKUP(J3013,'⚙️ Pengaturan'!$E$2:$E3237,'⚙️ Pengaturan'!$G$2:$G3237))</f>
        <v/>
      </c>
      <c r="L3013" s="43" t="str">
        <f t="shared" si="84"/>
        <v/>
      </c>
      <c r="M3013" s="177"/>
      <c r="N3013" s="145"/>
      <c r="O3013" s="146"/>
      <c r="P3013" s="48" t="str">
        <f t="array" ref="P3013">IFNA(XLOOKUP(J3013,'⚙️ Pengaturan'!$E$2:$E3237,'⚙️ Pengaturan'!$F$2:$F3237),"")</f>
        <v/>
      </c>
      <c r="Q3013" s="147" t="str">
        <f t="shared" si="85"/>
        <v/>
      </c>
      <c r="R3013" s="173"/>
      <c r="S3013" s="76"/>
      <c r="T3013" s="51" t="b">
        <v>0</v>
      </c>
      <c r="U3013" s="94"/>
    </row>
    <row r="3014" ht="30.0" customHeight="1">
      <c r="A3014" s="39"/>
      <c r="B3014" s="40"/>
      <c r="C3014" s="173"/>
      <c r="D3014" s="86"/>
      <c r="E3014" s="43" t="str">
        <f t="shared" si="82"/>
        <v/>
      </c>
      <c r="F3014" s="43" t="str">
        <f t="shared" si="83"/>
        <v/>
      </c>
      <c r="G3014" s="44"/>
      <c r="H3014" s="44"/>
      <c r="I3014" s="44"/>
      <c r="J3014" s="176"/>
      <c r="K3014" s="43" t="str">
        <f t="array" ref="K3014">IF(J3014="","", XLOOKUP(J3014,'⚙️ Pengaturan'!$E$2:$E3237,'⚙️ Pengaturan'!$G$2:$G3237))</f>
        <v/>
      </c>
      <c r="L3014" s="43" t="str">
        <f t="shared" si="84"/>
        <v/>
      </c>
      <c r="M3014" s="177"/>
      <c r="N3014" s="145"/>
      <c r="O3014" s="146"/>
      <c r="P3014" s="48" t="str">
        <f t="array" ref="P3014">IFNA(XLOOKUP(J3014,'⚙️ Pengaturan'!$E$2:$E3237,'⚙️ Pengaturan'!$F$2:$F3237),"")</f>
        <v/>
      </c>
      <c r="Q3014" s="147" t="str">
        <f t="shared" si="85"/>
        <v/>
      </c>
      <c r="R3014" s="173"/>
      <c r="S3014" s="76"/>
      <c r="T3014" s="51" t="b">
        <v>0</v>
      </c>
      <c r="U3014" s="94"/>
    </row>
    <row r="3015" ht="30.0" customHeight="1">
      <c r="A3015" s="39"/>
      <c r="B3015" s="40"/>
      <c r="C3015" s="173"/>
      <c r="D3015" s="86"/>
      <c r="E3015" s="43" t="str">
        <f t="shared" si="82"/>
        <v/>
      </c>
      <c r="F3015" s="43" t="str">
        <f t="shared" si="83"/>
        <v/>
      </c>
      <c r="G3015" s="44"/>
      <c r="H3015" s="44"/>
      <c r="I3015" s="44"/>
      <c r="J3015" s="176"/>
      <c r="K3015" s="43" t="str">
        <f t="array" ref="K3015">IF(J3015="","", XLOOKUP(J3015,'⚙️ Pengaturan'!$E$2:$E3237,'⚙️ Pengaturan'!$G$2:$G3237))</f>
        <v/>
      </c>
      <c r="L3015" s="43" t="str">
        <f t="shared" si="84"/>
        <v/>
      </c>
      <c r="M3015" s="177"/>
      <c r="N3015" s="145"/>
      <c r="O3015" s="146"/>
      <c r="P3015" s="48" t="str">
        <f t="array" ref="P3015">IFNA(XLOOKUP(J3015,'⚙️ Pengaturan'!$E$2:$E3237,'⚙️ Pengaturan'!$F$2:$F3237),"")</f>
        <v/>
      </c>
      <c r="Q3015" s="147" t="str">
        <f t="shared" si="85"/>
        <v/>
      </c>
      <c r="R3015" s="173"/>
      <c r="S3015" s="76"/>
      <c r="T3015" s="51" t="b">
        <v>0</v>
      </c>
      <c r="U3015" s="94"/>
    </row>
    <row r="3016" ht="30.0" customHeight="1">
      <c r="A3016" s="39"/>
      <c r="B3016" s="40"/>
      <c r="C3016" s="173"/>
      <c r="D3016" s="86"/>
      <c r="E3016" s="43" t="str">
        <f t="shared" si="82"/>
        <v/>
      </c>
      <c r="F3016" s="43" t="str">
        <f t="shared" si="83"/>
        <v/>
      </c>
      <c r="G3016" s="44"/>
      <c r="H3016" s="44"/>
      <c r="I3016" s="44"/>
      <c r="J3016" s="176"/>
      <c r="K3016" s="43" t="str">
        <f t="array" ref="K3016">IF(J3016="","", XLOOKUP(J3016,'⚙️ Pengaturan'!$E$2:$E3237,'⚙️ Pengaturan'!$G$2:$G3237))</f>
        <v/>
      </c>
      <c r="L3016" s="43" t="str">
        <f t="shared" si="84"/>
        <v/>
      </c>
      <c r="M3016" s="177"/>
      <c r="N3016" s="145"/>
      <c r="O3016" s="146"/>
      <c r="P3016" s="48" t="str">
        <f t="array" ref="P3016">IFNA(XLOOKUP(J3016,'⚙️ Pengaturan'!$E$2:$E3237,'⚙️ Pengaturan'!$F$2:$F3237),"")</f>
        <v/>
      </c>
      <c r="Q3016" s="147" t="str">
        <f t="shared" si="85"/>
        <v/>
      </c>
      <c r="R3016" s="173"/>
      <c r="S3016" s="76"/>
      <c r="T3016" s="51" t="b">
        <v>0</v>
      </c>
      <c r="U3016" s="94"/>
    </row>
    <row r="3017" ht="30.0" customHeight="1">
      <c r="A3017" s="39"/>
      <c r="B3017" s="40"/>
      <c r="C3017" s="173"/>
      <c r="D3017" s="86"/>
      <c r="E3017" s="43" t="str">
        <f t="shared" si="82"/>
        <v/>
      </c>
      <c r="F3017" s="43" t="str">
        <f t="shared" si="83"/>
        <v/>
      </c>
      <c r="G3017" s="44"/>
      <c r="H3017" s="44"/>
      <c r="I3017" s="44"/>
      <c r="J3017" s="176"/>
      <c r="K3017" s="43" t="str">
        <f t="array" ref="K3017">IF(J3017="","", XLOOKUP(J3017,'⚙️ Pengaturan'!$E$2:$E3237,'⚙️ Pengaturan'!$G$2:$G3237))</f>
        <v/>
      </c>
      <c r="L3017" s="43" t="str">
        <f t="shared" si="84"/>
        <v/>
      </c>
      <c r="M3017" s="177"/>
      <c r="N3017" s="145"/>
      <c r="O3017" s="146"/>
      <c r="P3017" s="48" t="str">
        <f t="array" ref="P3017">IFNA(XLOOKUP(J3017,'⚙️ Pengaturan'!$E$2:$E3237,'⚙️ Pengaturan'!$F$2:$F3237),"")</f>
        <v/>
      </c>
      <c r="Q3017" s="147" t="str">
        <f t="shared" si="85"/>
        <v/>
      </c>
      <c r="R3017" s="173"/>
      <c r="S3017" s="76"/>
      <c r="T3017" s="51" t="b">
        <v>0</v>
      </c>
      <c r="U3017" s="94"/>
    </row>
    <row r="3018" ht="30.0" customHeight="1">
      <c r="A3018" s="39"/>
      <c r="B3018" s="40"/>
      <c r="C3018" s="173"/>
      <c r="D3018" s="86"/>
      <c r="E3018" s="43" t="str">
        <f t="shared" si="82"/>
        <v/>
      </c>
      <c r="F3018" s="43" t="str">
        <f t="shared" si="83"/>
        <v/>
      </c>
      <c r="G3018" s="44"/>
      <c r="H3018" s="44"/>
      <c r="I3018" s="44"/>
      <c r="J3018" s="176"/>
      <c r="K3018" s="43" t="str">
        <f t="array" ref="K3018">IF(J3018="","", XLOOKUP(J3018,'⚙️ Pengaturan'!$E$2:$E3237,'⚙️ Pengaturan'!$G$2:$G3237))</f>
        <v/>
      </c>
      <c r="L3018" s="43" t="str">
        <f t="shared" si="84"/>
        <v/>
      </c>
      <c r="M3018" s="177"/>
      <c r="N3018" s="145"/>
      <c r="O3018" s="146"/>
      <c r="P3018" s="48" t="str">
        <f t="array" ref="P3018">IFNA(XLOOKUP(J3018,'⚙️ Pengaturan'!$E$2:$E3237,'⚙️ Pengaturan'!$F$2:$F3237),"")</f>
        <v/>
      </c>
      <c r="Q3018" s="147" t="str">
        <f t="shared" si="85"/>
        <v/>
      </c>
      <c r="R3018" s="173"/>
      <c r="S3018" s="76"/>
      <c r="T3018" s="51" t="b">
        <v>0</v>
      </c>
      <c r="U3018" s="94"/>
    </row>
    <row r="3019" ht="30.0" customHeight="1">
      <c r="A3019" s="39"/>
      <c r="B3019" s="40"/>
      <c r="C3019" s="173"/>
      <c r="D3019" s="86"/>
      <c r="E3019" s="43" t="str">
        <f t="shared" si="82"/>
        <v/>
      </c>
      <c r="F3019" s="43" t="str">
        <f t="shared" si="83"/>
        <v/>
      </c>
      <c r="G3019" s="44"/>
      <c r="H3019" s="44"/>
      <c r="I3019" s="44"/>
      <c r="J3019" s="176"/>
      <c r="K3019" s="43" t="str">
        <f t="array" ref="K3019">IF(J3019="","", XLOOKUP(J3019,'⚙️ Pengaturan'!$E$2:$E3237,'⚙️ Pengaturan'!$G$2:$G3237))</f>
        <v/>
      </c>
      <c r="L3019" s="43" t="str">
        <f t="shared" si="84"/>
        <v/>
      </c>
      <c r="M3019" s="177"/>
      <c r="N3019" s="145"/>
      <c r="O3019" s="146"/>
      <c r="P3019" s="48" t="str">
        <f t="array" ref="P3019">IFNA(XLOOKUP(J3019,'⚙️ Pengaturan'!$E$2:$E3237,'⚙️ Pengaturan'!$F$2:$F3237),"")</f>
        <v/>
      </c>
      <c r="Q3019" s="147" t="str">
        <f t="shared" si="85"/>
        <v/>
      </c>
      <c r="R3019" s="173"/>
      <c r="S3019" s="76"/>
      <c r="T3019" s="51" t="b">
        <v>0</v>
      </c>
      <c r="U3019" s="94"/>
    </row>
    <row r="3020" ht="30.0" customHeight="1">
      <c r="A3020" s="39"/>
      <c r="B3020" s="40"/>
      <c r="C3020" s="173"/>
      <c r="D3020" s="86"/>
      <c r="E3020" s="43" t="str">
        <f t="shared" si="82"/>
        <v/>
      </c>
      <c r="F3020" s="43" t="str">
        <f t="shared" si="83"/>
        <v/>
      </c>
      <c r="G3020" s="44"/>
      <c r="H3020" s="44"/>
      <c r="I3020" s="44"/>
      <c r="J3020" s="176"/>
      <c r="K3020" s="43" t="str">
        <f t="array" ref="K3020">IF(J3020="","", XLOOKUP(J3020,'⚙️ Pengaturan'!$E$2:$E3237,'⚙️ Pengaturan'!$G$2:$G3237))</f>
        <v/>
      </c>
      <c r="L3020" s="43" t="str">
        <f t="shared" si="84"/>
        <v/>
      </c>
      <c r="M3020" s="177"/>
      <c r="N3020" s="145"/>
      <c r="O3020" s="146"/>
      <c r="P3020" s="48" t="str">
        <f t="array" ref="P3020">IFNA(XLOOKUP(J3020,'⚙️ Pengaturan'!$E$2:$E3237,'⚙️ Pengaturan'!$F$2:$F3237),"")</f>
        <v/>
      </c>
      <c r="Q3020" s="147" t="str">
        <f t="shared" si="85"/>
        <v/>
      </c>
      <c r="R3020" s="173"/>
      <c r="S3020" s="76"/>
      <c r="T3020" s="51" t="b">
        <v>0</v>
      </c>
      <c r="U3020" s="94"/>
    </row>
    <row r="3021" ht="30.0" customHeight="1">
      <c r="A3021" s="39"/>
      <c r="B3021" s="40"/>
      <c r="C3021" s="173"/>
      <c r="D3021" s="86"/>
      <c r="E3021" s="43" t="str">
        <f t="shared" si="82"/>
        <v/>
      </c>
      <c r="F3021" s="43" t="str">
        <f t="shared" si="83"/>
        <v/>
      </c>
      <c r="G3021" s="44"/>
      <c r="H3021" s="44"/>
      <c r="I3021" s="44"/>
      <c r="J3021" s="176"/>
      <c r="K3021" s="43" t="str">
        <f t="array" ref="K3021">IF(J3021="","", XLOOKUP(J3021,'⚙️ Pengaturan'!$E$2:$E3237,'⚙️ Pengaturan'!$G$2:$G3237))</f>
        <v/>
      </c>
      <c r="L3021" s="43" t="str">
        <f t="shared" si="84"/>
        <v/>
      </c>
      <c r="M3021" s="177"/>
      <c r="N3021" s="145"/>
      <c r="O3021" s="146"/>
      <c r="P3021" s="48" t="str">
        <f t="array" ref="P3021">IFNA(XLOOKUP(J3021,'⚙️ Pengaturan'!$E$2:$E3237,'⚙️ Pengaturan'!$F$2:$F3237),"")</f>
        <v/>
      </c>
      <c r="Q3021" s="147" t="str">
        <f t="shared" si="85"/>
        <v/>
      </c>
      <c r="R3021" s="173"/>
      <c r="S3021" s="76"/>
      <c r="T3021" s="51" t="b">
        <v>0</v>
      </c>
      <c r="U3021" s="94"/>
    </row>
    <row r="3022" ht="30.0" customHeight="1">
      <c r="A3022" s="39"/>
      <c r="B3022" s="40"/>
      <c r="C3022" s="173"/>
      <c r="D3022" s="86"/>
      <c r="E3022" s="43" t="str">
        <f t="shared" si="82"/>
        <v/>
      </c>
      <c r="F3022" s="43" t="str">
        <f t="shared" si="83"/>
        <v/>
      </c>
      <c r="G3022" s="44"/>
      <c r="H3022" s="44"/>
      <c r="I3022" s="44"/>
      <c r="J3022" s="176"/>
      <c r="K3022" s="43" t="str">
        <f t="array" ref="K3022">IF(J3022="","", XLOOKUP(J3022,'⚙️ Pengaturan'!$E$2:$E3237,'⚙️ Pengaturan'!$G$2:$G3237))</f>
        <v/>
      </c>
      <c r="L3022" s="43" t="str">
        <f t="shared" si="84"/>
        <v/>
      </c>
      <c r="M3022" s="177"/>
      <c r="N3022" s="145"/>
      <c r="O3022" s="146"/>
      <c r="P3022" s="48" t="str">
        <f t="array" ref="P3022">IFNA(XLOOKUP(J3022,'⚙️ Pengaturan'!$E$2:$E3237,'⚙️ Pengaturan'!$F$2:$F3237),"")</f>
        <v/>
      </c>
      <c r="Q3022" s="147" t="str">
        <f t="shared" si="85"/>
        <v/>
      </c>
      <c r="R3022" s="173"/>
      <c r="S3022" s="76"/>
      <c r="T3022" s="51" t="b">
        <v>0</v>
      </c>
      <c r="U3022" s="94"/>
    </row>
    <row r="3023" ht="30.0" customHeight="1">
      <c r="A3023" s="39"/>
      <c r="B3023" s="40"/>
      <c r="C3023" s="173"/>
      <c r="D3023" s="86"/>
      <c r="E3023" s="43" t="str">
        <f t="shared" si="82"/>
        <v/>
      </c>
      <c r="F3023" s="43" t="str">
        <f t="shared" si="83"/>
        <v/>
      </c>
      <c r="G3023" s="44"/>
      <c r="H3023" s="44"/>
      <c r="I3023" s="44"/>
      <c r="J3023" s="176"/>
      <c r="K3023" s="43" t="str">
        <f t="array" ref="K3023">IF(J3023="","", XLOOKUP(J3023,'⚙️ Pengaturan'!$E$2:$E3237,'⚙️ Pengaturan'!$G$2:$G3237))</f>
        <v/>
      </c>
      <c r="L3023" s="43" t="str">
        <f t="shared" si="84"/>
        <v/>
      </c>
      <c r="M3023" s="177"/>
      <c r="N3023" s="145"/>
      <c r="O3023" s="146"/>
      <c r="P3023" s="48" t="str">
        <f t="array" ref="P3023">IFNA(XLOOKUP(J3023,'⚙️ Pengaturan'!$E$2:$E3237,'⚙️ Pengaturan'!$F$2:$F3237),"")</f>
        <v/>
      </c>
      <c r="Q3023" s="147" t="str">
        <f t="shared" si="85"/>
        <v/>
      </c>
      <c r="R3023" s="173"/>
      <c r="S3023" s="76"/>
      <c r="T3023" s="51" t="b">
        <v>0</v>
      </c>
      <c r="U3023" s="94"/>
    </row>
    <row r="3024" ht="30.0" customHeight="1">
      <c r="A3024" s="39"/>
      <c r="B3024" s="40"/>
      <c r="C3024" s="173"/>
      <c r="D3024" s="86"/>
      <c r="E3024" s="43" t="str">
        <f t="shared" si="82"/>
        <v/>
      </c>
      <c r="F3024" s="43" t="str">
        <f t="shared" si="83"/>
        <v/>
      </c>
      <c r="G3024" s="44"/>
      <c r="H3024" s="44"/>
      <c r="I3024" s="44"/>
      <c r="J3024" s="176"/>
      <c r="K3024" s="43" t="str">
        <f t="array" ref="K3024">IF(J3024="","", XLOOKUP(J3024,'⚙️ Pengaturan'!$E$2:$E3237,'⚙️ Pengaturan'!$G$2:$G3237))</f>
        <v/>
      </c>
      <c r="L3024" s="43" t="str">
        <f t="shared" si="84"/>
        <v/>
      </c>
      <c r="M3024" s="177"/>
      <c r="N3024" s="145"/>
      <c r="O3024" s="146"/>
      <c r="P3024" s="48" t="str">
        <f t="array" ref="P3024">IFNA(XLOOKUP(J3024,'⚙️ Pengaturan'!$E$2:$E3237,'⚙️ Pengaturan'!$F$2:$F3237),"")</f>
        <v/>
      </c>
      <c r="Q3024" s="147" t="str">
        <f t="shared" si="85"/>
        <v/>
      </c>
      <c r="R3024" s="173"/>
      <c r="S3024" s="76"/>
      <c r="T3024" s="51" t="b">
        <v>0</v>
      </c>
      <c r="U3024" s="94"/>
    </row>
    <row r="3025" ht="30.0" customHeight="1">
      <c r="A3025" s="39"/>
      <c r="B3025" s="40"/>
      <c r="C3025" s="173"/>
      <c r="D3025" s="86"/>
      <c r="E3025" s="43" t="str">
        <f t="shared" si="82"/>
        <v/>
      </c>
      <c r="F3025" s="43" t="str">
        <f t="shared" si="83"/>
        <v/>
      </c>
      <c r="G3025" s="44"/>
      <c r="H3025" s="44"/>
      <c r="I3025" s="44"/>
      <c r="J3025" s="176"/>
      <c r="K3025" s="43" t="str">
        <f t="array" ref="K3025">IF(J3025="","", XLOOKUP(J3025,'⚙️ Pengaturan'!$E$2:$E3237,'⚙️ Pengaturan'!$G$2:$G3237))</f>
        <v/>
      </c>
      <c r="L3025" s="43" t="str">
        <f t="shared" si="84"/>
        <v/>
      </c>
      <c r="M3025" s="177"/>
      <c r="N3025" s="145"/>
      <c r="O3025" s="146"/>
      <c r="P3025" s="48" t="str">
        <f t="array" ref="P3025">IFNA(XLOOKUP(J3025,'⚙️ Pengaturan'!$E$2:$E3237,'⚙️ Pengaturan'!$F$2:$F3237),"")</f>
        <v/>
      </c>
      <c r="Q3025" s="147" t="str">
        <f t="shared" si="85"/>
        <v/>
      </c>
      <c r="R3025" s="173"/>
      <c r="S3025" s="76"/>
      <c r="T3025" s="51" t="b">
        <v>0</v>
      </c>
      <c r="U3025" s="94"/>
    </row>
    <row r="3026" ht="30.0" customHeight="1">
      <c r="A3026" s="39"/>
      <c r="B3026" s="40"/>
      <c r="C3026" s="173"/>
      <c r="D3026" s="86"/>
      <c r="E3026" s="43" t="str">
        <f t="shared" si="82"/>
        <v/>
      </c>
      <c r="F3026" s="43" t="str">
        <f t="shared" si="83"/>
        <v/>
      </c>
      <c r="G3026" s="44"/>
      <c r="H3026" s="44"/>
      <c r="I3026" s="44"/>
      <c r="J3026" s="176"/>
      <c r="K3026" s="43" t="str">
        <f t="array" ref="K3026">IF(J3026="","", XLOOKUP(J3026,'⚙️ Pengaturan'!$E$2:$E3237,'⚙️ Pengaturan'!$G$2:$G3237))</f>
        <v/>
      </c>
      <c r="L3026" s="43" t="str">
        <f t="shared" si="84"/>
        <v/>
      </c>
      <c r="M3026" s="177"/>
      <c r="N3026" s="145"/>
      <c r="O3026" s="146"/>
      <c r="P3026" s="48" t="str">
        <f t="array" ref="P3026">IFNA(XLOOKUP(J3026,'⚙️ Pengaturan'!$E$2:$E3237,'⚙️ Pengaturan'!$F$2:$F3237),"")</f>
        <v/>
      </c>
      <c r="Q3026" s="147" t="str">
        <f t="shared" si="85"/>
        <v/>
      </c>
      <c r="R3026" s="173"/>
      <c r="S3026" s="76"/>
      <c r="T3026" s="51" t="b">
        <v>0</v>
      </c>
      <c r="U3026" s="94"/>
    </row>
    <row r="3027" ht="30.0" customHeight="1">
      <c r="A3027" s="39"/>
      <c r="B3027" s="40"/>
      <c r="C3027" s="173"/>
      <c r="D3027" s="86"/>
      <c r="E3027" s="43" t="str">
        <f t="shared" si="82"/>
        <v/>
      </c>
      <c r="F3027" s="43" t="str">
        <f t="shared" si="83"/>
        <v/>
      </c>
      <c r="G3027" s="44"/>
      <c r="H3027" s="44"/>
      <c r="I3027" s="44"/>
      <c r="J3027" s="176"/>
      <c r="K3027" s="43" t="str">
        <f t="array" ref="K3027">IF(J3027="","", XLOOKUP(J3027,'⚙️ Pengaturan'!$E$2:$E3237,'⚙️ Pengaturan'!$G$2:$G3237))</f>
        <v/>
      </c>
      <c r="L3027" s="43" t="str">
        <f t="shared" si="84"/>
        <v/>
      </c>
      <c r="M3027" s="177"/>
      <c r="N3027" s="145"/>
      <c r="O3027" s="146"/>
      <c r="P3027" s="48" t="str">
        <f t="array" ref="P3027">IFNA(XLOOKUP(J3027,'⚙️ Pengaturan'!$E$2:$E3237,'⚙️ Pengaturan'!$F$2:$F3237),"")</f>
        <v/>
      </c>
      <c r="Q3027" s="147" t="str">
        <f t="shared" si="85"/>
        <v/>
      </c>
      <c r="R3027" s="173"/>
      <c r="S3027" s="76"/>
      <c r="T3027" s="51" t="b">
        <v>0</v>
      </c>
      <c r="U3027" s="94"/>
    </row>
    <row r="3028" ht="30.0" customHeight="1">
      <c r="A3028" s="39"/>
      <c r="B3028" s="40"/>
      <c r="C3028" s="173"/>
      <c r="D3028" s="86"/>
      <c r="E3028" s="43" t="str">
        <f t="shared" si="82"/>
        <v/>
      </c>
      <c r="F3028" s="43" t="str">
        <f t="shared" si="83"/>
        <v/>
      </c>
      <c r="G3028" s="44"/>
      <c r="H3028" s="44"/>
      <c r="I3028" s="44"/>
      <c r="J3028" s="176"/>
      <c r="K3028" s="43" t="str">
        <f t="array" ref="K3028">IF(J3028="","", XLOOKUP(J3028,'⚙️ Pengaturan'!$E$2:$E3237,'⚙️ Pengaturan'!$G$2:$G3237))</f>
        <v/>
      </c>
      <c r="L3028" s="43" t="str">
        <f t="shared" si="84"/>
        <v/>
      </c>
      <c r="M3028" s="177"/>
      <c r="N3028" s="145"/>
      <c r="O3028" s="146"/>
      <c r="P3028" s="48" t="str">
        <f t="array" ref="P3028">IFNA(XLOOKUP(J3028,'⚙️ Pengaturan'!$E$2:$E3237,'⚙️ Pengaturan'!$F$2:$F3237),"")</f>
        <v/>
      </c>
      <c r="Q3028" s="147" t="str">
        <f t="shared" si="85"/>
        <v/>
      </c>
      <c r="R3028" s="173"/>
      <c r="S3028" s="76"/>
      <c r="T3028" s="51" t="b">
        <v>0</v>
      </c>
      <c r="U3028" s="94"/>
    </row>
    <row r="3029" ht="30.0" customHeight="1">
      <c r="A3029" s="39"/>
      <c r="B3029" s="40"/>
      <c r="C3029" s="173"/>
      <c r="D3029" s="86"/>
      <c r="E3029" s="43" t="str">
        <f t="shared" si="82"/>
        <v/>
      </c>
      <c r="F3029" s="43" t="str">
        <f t="shared" si="83"/>
        <v/>
      </c>
      <c r="G3029" s="44"/>
      <c r="H3029" s="44"/>
      <c r="I3029" s="44"/>
      <c r="J3029" s="176"/>
      <c r="K3029" s="43" t="str">
        <f t="array" ref="K3029">IF(J3029="","", XLOOKUP(J3029,'⚙️ Pengaturan'!$E$2:$E3237,'⚙️ Pengaturan'!$G$2:$G3237))</f>
        <v/>
      </c>
      <c r="L3029" s="43" t="str">
        <f t="shared" si="84"/>
        <v/>
      </c>
      <c r="M3029" s="177"/>
      <c r="N3029" s="145"/>
      <c r="O3029" s="146"/>
      <c r="P3029" s="48" t="str">
        <f t="array" ref="P3029">IFNA(XLOOKUP(J3029,'⚙️ Pengaturan'!$E$2:$E3237,'⚙️ Pengaturan'!$F$2:$F3237),"")</f>
        <v/>
      </c>
      <c r="Q3029" s="147" t="str">
        <f t="shared" si="85"/>
        <v/>
      </c>
      <c r="R3029" s="173"/>
      <c r="S3029" s="76"/>
      <c r="T3029" s="51" t="b">
        <v>0</v>
      </c>
      <c r="U3029" s="94"/>
    </row>
    <row r="3030" ht="30.0" customHeight="1">
      <c r="A3030" s="39"/>
      <c r="B3030" s="40"/>
      <c r="C3030" s="173"/>
      <c r="D3030" s="86"/>
      <c r="E3030" s="43" t="str">
        <f t="shared" si="82"/>
        <v/>
      </c>
      <c r="F3030" s="43" t="str">
        <f t="shared" si="83"/>
        <v/>
      </c>
      <c r="G3030" s="44"/>
      <c r="H3030" s="44"/>
      <c r="I3030" s="44"/>
      <c r="J3030" s="176"/>
      <c r="K3030" s="43" t="str">
        <f t="array" ref="K3030">IF(J3030="","", XLOOKUP(J3030,'⚙️ Pengaturan'!$E$2:$E3237,'⚙️ Pengaturan'!$G$2:$G3237))</f>
        <v/>
      </c>
      <c r="L3030" s="43" t="str">
        <f t="shared" si="84"/>
        <v/>
      </c>
      <c r="M3030" s="177"/>
      <c r="N3030" s="145"/>
      <c r="O3030" s="146"/>
      <c r="P3030" s="48" t="str">
        <f t="array" ref="P3030">IFNA(XLOOKUP(J3030,'⚙️ Pengaturan'!$E$2:$E3237,'⚙️ Pengaturan'!$F$2:$F3237),"")</f>
        <v/>
      </c>
      <c r="Q3030" s="147" t="str">
        <f t="shared" si="85"/>
        <v/>
      </c>
      <c r="R3030" s="173"/>
      <c r="S3030" s="76"/>
      <c r="T3030" s="51" t="b">
        <v>0</v>
      </c>
      <c r="U3030" s="94"/>
    </row>
    <row r="3031" ht="30.0" customHeight="1">
      <c r="A3031" s="39"/>
      <c r="B3031" s="40"/>
      <c r="C3031" s="173"/>
      <c r="D3031" s="86"/>
      <c r="E3031" s="43" t="str">
        <f t="shared" si="82"/>
        <v/>
      </c>
      <c r="F3031" s="43" t="str">
        <f t="shared" si="83"/>
        <v/>
      </c>
      <c r="G3031" s="44"/>
      <c r="H3031" s="44"/>
      <c r="I3031" s="44"/>
      <c r="J3031" s="176"/>
      <c r="K3031" s="43" t="str">
        <f t="array" ref="K3031">IF(J3031="","", XLOOKUP(J3031,'⚙️ Pengaturan'!$E$2:$E3237,'⚙️ Pengaturan'!$G$2:$G3237))</f>
        <v/>
      </c>
      <c r="L3031" s="43" t="str">
        <f t="shared" si="84"/>
        <v/>
      </c>
      <c r="M3031" s="177"/>
      <c r="N3031" s="145"/>
      <c r="O3031" s="146"/>
      <c r="P3031" s="48" t="str">
        <f t="array" ref="P3031">IFNA(XLOOKUP(J3031,'⚙️ Pengaturan'!$E$2:$E3237,'⚙️ Pengaturan'!$F$2:$F3237),"")</f>
        <v/>
      </c>
      <c r="Q3031" s="147" t="str">
        <f t="shared" si="85"/>
        <v/>
      </c>
      <c r="R3031" s="173"/>
      <c r="S3031" s="76"/>
      <c r="T3031" s="51" t="b">
        <v>0</v>
      </c>
      <c r="U3031" s="94"/>
    </row>
    <row r="3032" ht="30.0" customHeight="1">
      <c r="A3032" s="39"/>
      <c r="B3032" s="40"/>
      <c r="C3032" s="173"/>
      <c r="D3032" s="86"/>
      <c r="E3032" s="43" t="str">
        <f t="shared" si="82"/>
        <v/>
      </c>
      <c r="F3032" s="43" t="str">
        <f t="shared" si="83"/>
        <v/>
      </c>
      <c r="G3032" s="44"/>
      <c r="H3032" s="44"/>
      <c r="I3032" s="44"/>
      <c r="J3032" s="176"/>
      <c r="K3032" s="43" t="str">
        <f t="array" ref="K3032">IF(J3032="","", XLOOKUP(J3032,'⚙️ Pengaturan'!$E$2:$E3237,'⚙️ Pengaturan'!$G$2:$G3237))</f>
        <v/>
      </c>
      <c r="L3032" s="43" t="str">
        <f t="shared" si="84"/>
        <v/>
      </c>
      <c r="M3032" s="177"/>
      <c r="N3032" s="145"/>
      <c r="O3032" s="146"/>
      <c r="P3032" s="48" t="str">
        <f t="array" ref="P3032">IFNA(XLOOKUP(J3032,'⚙️ Pengaturan'!$E$2:$E3237,'⚙️ Pengaturan'!$F$2:$F3237),"")</f>
        <v/>
      </c>
      <c r="Q3032" s="147" t="str">
        <f t="shared" si="85"/>
        <v/>
      </c>
      <c r="R3032" s="173"/>
      <c r="S3032" s="76"/>
      <c r="T3032" s="51" t="b">
        <v>0</v>
      </c>
      <c r="U3032" s="94"/>
    </row>
    <row r="3033" ht="30.0" customHeight="1">
      <c r="A3033" s="39"/>
      <c r="B3033" s="40"/>
      <c r="C3033" s="173"/>
      <c r="D3033" s="86"/>
      <c r="E3033" s="43" t="str">
        <f t="shared" si="82"/>
        <v/>
      </c>
      <c r="F3033" s="43" t="str">
        <f t="shared" si="83"/>
        <v/>
      </c>
      <c r="G3033" s="44"/>
      <c r="H3033" s="44"/>
      <c r="I3033" s="44"/>
      <c r="J3033" s="176"/>
      <c r="K3033" s="43" t="str">
        <f t="array" ref="K3033">IF(J3033="","", XLOOKUP(J3033,'⚙️ Pengaturan'!$E$2:$E3237,'⚙️ Pengaturan'!$G$2:$G3237))</f>
        <v/>
      </c>
      <c r="L3033" s="43" t="str">
        <f t="shared" si="84"/>
        <v/>
      </c>
      <c r="M3033" s="177"/>
      <c r="N3033" s="145"/>
      <c r="O3033" s="146"/>
      <c r="P3033" s="48" t="str">
        <f t="array" ref="P3033">IFNA(XLOOKUP(J3033,'⚙️ Pengaturan'!$E$2:$E3237,'⚙️ Pengaturan'!$F$2:$F3237),"")</f>
        <v/>
      </c>
      <c r="Q3033" s="147" t="str">
        <f t="shared" si="85"/>
        <v/>
      </c>
      <c r="R3033" s="173"/>
      <c r="S3033" s="76"/>
      <c r="T3033" s="51" t="b">
        <v>0</v>
      </c>
      <c r="U3033" s="94"/>
    </row>
    <row r="3034" ht="30.0" customHeight="1">
      <c r="A3034" s="39"/>
      <c r="B3034" s="40"/>
      <c r="C3034" s="173"/>
      <c r="D3034" s="86"/>
      <c r="E3034" s="43" t="str">
        <f t="shared" si="82"/>
        <v/>
      </c>
      <c r="F3034" s="43" t="str">
        <f t="shared" si="83"/>
        <v/>
      </c>
      <c r="G3034" s="44"/>
      <c r="H3034" s="44"/>
      <c r="I3034" s="44"/>
      <c r="J3034" s="176"/>
      <c r="K3034" s="43" t="str">
        <f t="array" ref="K3034">IF(J3034="","", XLOOKUP(J3034,'⚙️ Pengaturan'!$E$2:$E3237,'⚙️ Pengaturan'!$G$2:$G3237))</f>
        <v/>
      </c>
      <c r="L3034" s="43" t="str">
        <f t="shared" si="84"/>
        <v/>
      </c>
      <c r="M3034" s="177"/>
      <c r="N3034" s="145"/>
      <c r="O3034" s="146"/>
      <c r="P3034" s="48" t="str">
        <f t="array" ref="P3034">IFNA(XLOOKUP(J3034,'⚙️ Pengaturan'!$E$2:$E3237,'⚙️ Pengaturan'!$F$2:$F3237),"")</f>
        <v/>
      </c>
      <c r="Q3034" s="147" t="str">
        <f t="shared" si="85"/>
        <v/>
      </c>
      <c r="R3034" s="173"/>
      <c r="S3034" s="76"/>
      <c r="T3034" s="51" t="b">
        <v>0</v>
      </c>
      <c r="U3034" s="94"/>
    </row>
    <row r="3035" ht="30.0" customHeight="1">
      <c r="A3035" s="39"/>
      <c r="B3035" s="40"/>
      <c r="C3035" s="173"/>
      <c r="D3035" s="86"/>
      <c r="E3035" s="43" t="str">
        <f t="shared" si="82"/>
        <v/>
      </c>
      <c r="F3035" s="43" t="str">
        <f t="shared" si="83"/>
        <v/>
      </c>
      <c r="G3035" s="44"/>
      <c r="H3035" s="44"/>
      <c r="I3035" s="44"/>
      <c r="J3035" s="176"/>
      <c r="K3035" s="43" t="str">
        <f t="array" ref="K3035">IF(J3035="","", XLOOKUP(J3035,'⚙️ Pengaturan'!$E$2:$E3237,'⚙️ Pengaturan'!$G$2:$G3237))</f>
        <v/>
      </c>
      <c r="L3035" s="43" t="str">
        <f t="shared" si="84"/>
        <v/>
      </c>
      <c r="M3035" s="177"/>
      <c r="N3035" s="145"/>
      <c r="O3035" s="146"/>
      <c r="P3035" s="48" t="str">
        <f t="array" ref="P3035">IFNA(XLOOKUP(J3035,'⚙️ Pengaturan'!$E$2:$E3237,'⚙️ Pengaturan'!$F$2:$F3237),"")</f>
        <v/>
      </c>
      <c r="Q3035" s="147" t="str">
        <f t="shared" si="85"/>
        <v/>
      </c>
      <c r="R3035" s="173"/>
      <c r="S3035" s="76"/>
      <c r="T3035" s="51" t="b">
        <v>0</v>
      </c>
      <c r="U3035" s="94"/>
    </row>
    <row r="3036" ht="30.0" customHeight="1">
      <c r="A3036" s="39"/>
      <c r="B3036" s="40"/>
      <c r="C3036" s="173"/>
      <c r="D3036" s="86"/>
      <c r="E3036" s="43" t="str">
        <f t="shared" si="82"/>
        <v/>
      </c>
      <c r="F3036" s="43" t="str">
        <f t="shared" si="83"/>
        <v/>
      </c>
      <c r="G3036" s="44"/>
      <c r="H3036" s="44"/>
      <c r="I3036" s="44"/>
      <c r="J3036" s="176"/>
      <c r="K3036" s="43" t="str">
        <f t="array" ref="K3036">IF(J3036="","", XLOOKUP(J3036,'⚙️ Pengaturan'!$E$2:$E3237,'⚙️ Pengaturan'!$G$2:$G3237))</f>
        <v/>
      </c>
      <c r="L3036" s="43" t="str">
        <f t="shared" si="84"/>
        <v/>
      </c>
      <c r="M3036" s="177"/>
      <c r="N3036" s="145"/>
      <c r="O3036" s="146"/>
      <c r="P3036" s="48" t="str">
        <f t="array" ref="P3036">IFNA(XLOOKUP(J3036,'⚙️ Pengaturan'!$E$2:$E3237,'⚙️ Pengaturan'!$F$2:$F3237),"")</f>
        <v/>
      </c>
      <c r="Q3036" s="147" t="str">
        <f t="shared" si="85"/>
        <v/>
      </c>
      <c r="R3036" s="173"/>
      <c r="S3036" s="76"/>
      <c r="T3036" s="51" t="b">
        <v>0</v>
      </c>
      <c r="U3036" s="94"/>
    </row>
    <row r="3037" ht="30.0" customHeight="1">
      <c r="A3037" s="39"/>
      <c r="B3037" s="40"/>
      <c r="C3037" s="173"/>
      <c r="D3037" s="86"/>
      <c r="E3037" s="43" t="str">
        <f t="shared" si="82"/>
        <v/>
      </c>
      <c r="F3037" s="43" t="str">
        <f t="shared" si="83"/>
        <v/>
      </c>
      <c r="G3037" s="44"/>
      <c r="H3037" s="44"/>
      <c r="I3037" s="44"/>
      <c r="J3037" s="176"/>
      <c r="K3037" s="43" t="str">
        <f t="array" ref="K3037">IF(J3037="","", XLOOKUP(J3037,'⚙️ Pengaturan'!$E$2:$E3237,'⚙️ Pengaturan'!$G$2:$G3237))</f>
        <v/>
      </c>
      <c r="L3037" s="43" t="str">
        <f t="shared" si="84"/>
        <v/>
      </c>
      <c r="M3037" s="177"/>
      <c r="N3037" s="145"/>
      <c r="O3037" s="146"/>
      <c r="P3037" s="48" t="str">
        <f t="array" ref="P3037">IFNA(XLOOKUP(J3037,'⚙️ Pengaturan'!$E$2:$E3237,'⚙️ Pengaturan'!$F$2:$F3237),"")</f>
        <v/>
      </c>
      <c r="Q3037" s="147" t="str">
        <f t="shared" si="85"/>
        <v/>
      </c>
      <c r="R3037" s="173"/>
      <c r="S3037" s="76"/>
      <c r="T3037" s="51" t="b">
        <v>0</v>
      </c>
      <c r="U3037" s="94"/>
    </row>
    <row r="3038" ht="30.0" customHeight="1">
      <c r="A3038" s="39"/>
      <c r="B3038" s="40"/>
      <c r="C3038" s="173"/>
      <c r="D3038" s="86"/>
      <c r="E3038" s="43" t="str">
        <f t="shared" si="82"/>
        <v/>
      </c>
      <c r="F3038" s="43" t="str">
        <f t="shared" si="83"/>
        <v/>
      </c>
      <c r="G3038" s="44"/>
      <c r="H3038" s="44"/>
      <c r="I3038" s="44"/>
      <c r="J3038" s="176"/>
      <c r="K3038" s="43" t="str">
        <f t="array" ref="K3038">IF(J3038="","", XLOOKUP(J3038,'⚙️ Pengaturan'!$E$2:$E3237,'⚙️ Pengaturan'!$G$2:$G3237))</f>
        <v/>
      </c>
      <c r="L3038" s="43" t="str">
        <f t="shared" si="84"/>
        <v/>
      </c>
      <c r="M3038" s="177"/>
      <c r="N3038" s="145"/>
      <c r="O3038" s="146"/>
      <c r="P3038" s="48" t="str">
        <f t="array" ref="P3038">IFNA(XLOOKUP(J3038,'⚙️ Pengaturan'!$E$2:$E3237,'⚙️ Pengaturan'!$F$2:$F3237),"")</f>
        <v/>
      </c>
      <c r="Q3038" s="147" t="str">
        <f t="shared" si="85"/>
        <v/>
      </c>
      <c r="R3038" s="173"/>
      <c r="S3038" s="76"/>
      <c r="T3038" s="51" t="b">
        <v>0</v>
      </c>
      <c r="U3038" s="94"/>
    </row>
    <row r="3039" ht="30.0" customHeight="1">
      <c r="A3039" s="39"/>
      <c r="B3039" s="40"/>
      <c r="C3039" s="173"/>
      <c r="D3039" s="86"/>
      <c r="E3039" s="43" t="str">
        <f t="shared" si="82"/>
        <v/>
      </c>
      <c r="F3039" s="43" t="str">
        <f t="shared" si="83"/>
        <v/>
      </c>
      <c r="G3039" s="44"/>
      <c r="H3039" s="44"/>
      <c r="I3039" s="44"/>
      <c r="J3039" s="176"/>
      <c r="K3039" s="43" t="str">
        <f t="array" ref="K3039">IF(J3039="","", XLOOKUP(J3039,'⚙️ Pengaturan'!$E$2:$E3237,'⚙️ Pengaturan'!$G$2:$G3237))</f>
        <v/>
      </c>
      <c r="L3039" s="43" t="str">
        <f t="shared" si="84"/>
        <v/>
      </c>
      <c r="M3039" s="177"/>
      <c r="N3039" s="145"/>
      <c r="O3039" s="146"/>
      <c r="P3039" s="48" t="str">
        <f t="array" ref="P3039">IFNA(XLOOKUP(J3039,'⚙️ Pengaturan'!$E$2:$E3237,'⚙️ Pengaturan'!$F$2:$F3237),"")</f>
        <v/>
      </c>
      <c r="Q3039" s="147" t="str">
        <f t="shared" si="85"/>
        <v/>
      </c>
      <c r="R3039" s="173"/>
      <c r="S3039" s="76"/>
      <c r="T3039" s="51" t="b">
        <v>0</v>
      </c>
      <c r="U3039" s="94"/>
    </row>
    <row r="3040" ht="30.0" customHeight="1">
      <c r="A3040" s="39"/>
      <c r="B3040" s="40"/>
      <c r="C3040" s="173"/>
      <c r="D3040" s="86"/>
      <c r="E3040" s="43" t="str">
        <f t="shared" si="82"/>
        <v/>
      </c>
      <c r="F3040" s="43" t="str">
        <f t="shared" si="83"/>
        <v/>
      </c>
      <c r="G3040" s="44"/>
      <c r="H3040" s="44"/>
      <c r="I3040" s="44"/>
      <c r="J3040" s="176"/>
      <c r="K3040" s="43" t="str">
        <f t="array" ref="K3040">IF(J3040="","", XLOOKUP(J3040,'⚙️ Pengaturan'!$E$2:$E3237,'⚙️ Pengaturan'!$G$2:$G3237))</f>
        <v/>
      </c>
      <c r="L3040" s="43" t="str">
        <f t="shared" si="84"/>
        <v/>
      </c>
      <c r="M3040" s="177"/>
      <c r="N3040" s="145"/>
      <c r="O3040" s="146"/>
      <c r="P3040" s="48" t="str">
        <f t="array" ref="P3040">IFNA(XLOOKUP(J3040,'⚙️ Pengaturan'!$E$2:$E3237,'⚙️ Pengaturan'!$F$2:$F3237),"")</f>
        <v/>
      </c>
      <c r="Q3040" s="147" t="str">
        <f t="shared" si="85"/>
        <v/>
      </c>
      <c r="R3040" s="173"/>
      <c r="S3040" s="76"/>
      <c r="T3040" s="51" t="b">
        <v>0</v>
      </c>
      <c r="U3040" s="94"/>
    </row>
    <row r="3041" ht="30.0" customHeight="1">
      <c r="A3041" s="39"/>
      <c r="B3041" s="40"/>
      <c r="C3041" s="173"/>
      <c r="D3041" s="86"/>
      <c r="E3041" s="43" t="str">
        <f t="shared" si="82"/>
        <v/>
      </c>
      <c r="F3041" s="43" t="str">
        <f t="shared" si="83"/>
        <v/>
      </c>
      <c r="G3041" s="44"/>
      <c r="H3041" s="44"/>
      <c r="I3041" s="44"/>
      <c r="J3041" s="176"/>
      <c r="K3041" s="43" t="str">
        <f t="array" ref="K3041">IF(J3041="","", XLOOKUP(J3041,'⚙️ Pengaturan'!$E$2:$E3237,'⚙️ Pengaturan'!$G$2:$G3237))</f>
        <v/>
      </c>
      <c r="L3041" s="43" t="str">
        <f t="shared" si="84"/>
        <v/>
      </c>
      <c r="M3041" s="177"/>
      <c r="N3041" s="145"/>
      <c r="O3041" s="146"/>
      <c r="P3041" s="48" t="str">
        <f t="array" ref="P3041">IFNA(XLOOKUP(J3041,'⚙️ Pengaturan'!$E$2:$E3237,'⚙️ Pengaturan'!$F$2:$F3237),"")</f>
        <v/>
      </c>
      <c r="Q3041" s="147" t="str">
        <f t="shared" si="85"/>
        <v/>
      </c>
      <c r="R3041" s="173"/>
      <c r="S3041" s="76"/>
      <c r="T3041" s="51" t="b">
        <v>0</v>
      </c>
      <c r="U3041" s="94"/>
    </row>
    <row r="3042" ht="30.0" customHeight="1">
      <c r="A3042" s="39"/>
      <c r="B3042" s="40"/>
      <c r="C3042" s="173"/>
      <c r="D3042" s="86"/>
      <c r="E3042" s="43" t="str">
        <f t="shared" si="82"/>
        <v/>
      </c>
      <c r="F3042" s="43" t="str">
        <f t="shared" si="83"/>
        <v/>
      </c>
      <c r="G3042" s="44"/>
      <c r="H3042" s="44"/>
      <c r="I3042" s="44"/>
      <c r="J3042" s="176"/>
      <c r="K3042" s="43" t="str">
        <f t="array" ref="K3042">IF(J3042="","", XLOOKUP(J3042,'⚙️ Pengaturan'!$E$2:$E3237,'⚙️ Pengaturan'!$G$2:$G3237))</f>
        <v/>
      </c>
      <c r="L3042" s="43" t="str">
        <f t="shared" si="84"/>
        <v/>
      </c>
      <c r="M3042" s="177"/>
      <c r="N3042" s="145"/>
      <c r="O3042" s="146"/>
      <c r="P3042" s="48" t="str">
        <f t="array" ref="P3042">IFNA(XLOOKUP(J3042,'⚙️ Pengaturan'!$E$2:$E3237,'⚙️ Pengaturan'!$F$2:$F3237),"")</f>
        <v/>
      </c>
      <c r="Q3042" s="147" t="str">
        <f t="shared" si="85"/>
        <v/>
      </c>
      <c r="R3042" s="173"/>
      <c r="S3042" s="76"/>
      <c r="T3042" s="51" t="b">
        <v>0</v>
      </c>
      <c r="U3042" s="94"/>
    </row>
    <row r="3043" ht="30.0" customHeight="1">
      <c r="A3043" s="39"/>
      <c r="B3043" s="40"/>
      <c r="C3043" s="173"/>
      <c r="D3043" s="86"/>
      <c r="E3043" s="43" t="str">
        <f t="shared" si="82"/>
        <v/>
      </c>
      <c r="F3043" s="43" t="str">
        <f t="shared" si="83"/>
        <v/>
      </c>
      <c r="G3043" s="44"/>
      <c r="H3043" s="44"/>
      <c r="I3043" s="44"/>
      <c r="J3043" s="176"/>
      <c r="K3043" s="43" t="str">
        <f t="array" ref="K3043">IF(J3043="","", XLOOKUP(J3043,'⚙️ Pengaturan'!$E$2:$E3237,'⚙️ Pengaturan'!$G$2:$G3237))</f>
        <v/>
      </c>
      <c r="L3043" s="43" t="str">
        <f t="shared" si="84"/>
        <v/>
      </c>
      <c r="M3043" s="177"/>
      <c r="N3043" s="145"/>
      <c r="O3043" s="146"/>
      <c r="P3043" s="48" t="str">
        <f t="array" ref="P3043">IFNA(XLOOKUP(J3043,'⚙️ Pengaturan'!$E$2:$E3237,'⚙️ Pengaturan'!$F$2:$F3237),"")</f>
        <v/>
      </c>
      <c r="Q3043" s="147" t="str">
        <f t="shared" si="85"/>
        <v/>
      </c>
      <c r="R3043" s="173"/>
      <c r="S3043" s="76"/>
      <c r="T3043" s="51" t="b">
        <v>0</v>
      </c>
      <c r="U3043" s="94"/>
    </row>
    <row r="3044" ht="30.0" customHeight="1">
      <c r="A3044" s="39"/>
      <c r="B3044" s="40"/>
      <c r="C3044" s="173"/>
      <c r="D3044" s="86"/>
      <c r="E3044" s="43" t="str">
        <f t="shared" si="82"/>
        <v/>
      </c>
      <c r="F3044" s="43" t="str">
        <f t="shared" si="83"/>
        <v/>
      </c>
      <c r="G3044" s="44"/>
      <c r="H3044" s="44"/>
      <c r="I3044" s="44"/>
      <c r="J3044" s="176"/>
      <c r="K3044" s="43" t="str">
        <f t="array" ref="K3044">IF(J3044="","", XLOOKUP(J3044,'⚙️ Pengaturan'!$E$2:$E3237,'⚙️ Pengaturan'!$G$2:$G3237))</f>
        <v/>
      </c>
      <c r="L3044" s="43" t="str">
        <f t="shared" si="84"/>
        <v/>
      </c>
      <c r="M3044" s="177"/>
      <c r="N3044" s="145"/>
      <c r="O3044" s="146"/>
      <c r="P3044" s="48" t="str">
        <f t="array" ref="P3044">IFNA(XLOOKUP(J3044,'⚙️ Pengaturan'!$E$2:$E3237,'⚙️ Pengaturan'!$F$2:$F3237),"")</f>
        <v/>
      </c>
      <c r="Q3044" s="147" t="str">
        <f t="shared" si="85"/>
        <v/>
      </c>
      <c r="R3044" s="173"/>
      <c r="S3044" s="76"/>
      <c r="T3044" s="51" t="b">
        <v>0</v>
      </c>
      <c r="U3044" s="94"/>
    </row>
    <row r="3045" ht="30.0" customHeight="1">
      <c r="A3045" s="39"/>
      <c r="B3045" s="40"/>
      <c r="C3045" s="173"/>
      <c r="D3045" s="86"/>
      <c r="E3045" s="43" t="str">
        <f t="shared" si="82"/>
        <v/>
      </c>
      <c r="F3045" s="43" t="str">
        <f t="shared" si="83"/>
        <v/>
      </c>
      <c r="G3045" s="44"/>
      <c r="H3045" s="44"/>
      <c r="I3045" s="44"/>
      <c r="J3045" s="176"/>
      <c r="K3045" s="43" t="str">
        <f t="array" ref="K3045">IF(J3045="","", XLOOKUP(J3045,'⚙️ Pengaturan'!$E$2:$E3237,'⚙️ Pengaturan'!$G$2:$G3237))</f>
        <v/>
      </c>
      <c r="L3045" s="43" t="str">
        <f t="shared" si="84"/>
        <v/>
      </c>
      <c r="M3045" s="177"/>
      <c r="N3045" s="145"/>
      <c r="O3045" s="146"/>
      <c r="P3045" s="48" t="str">
        <f t="array" ref="P3045">IFNA(XLOOKUP(J3045,'⚙️ Pengaturan'!$E$2:$E3237,'⚙️ Pengaturan'!$F$2:$F3237),"")</f>
        <v/>
      </c>
      <c r="Q3045" s="147" t="str">
        <f t="shared" si="85"/>
        <v/>
      </c>
      <c r="R3045" s="173"/>
      <c r="S3045" s="76"/>
      <c r="T3045" s="51" t="b">
        <v>0</v>
      </c>
      <c r="U3045" s="94"/>
    </row>
    <row r="3046" ht="30.0" customHeight="1">
      <c r="A3046" s="39"/>
      <c r="B3046" s="40"/>
      <c r="C3046" s="173"/>
      <c r="D3046" s="86"/>
      <c r="E3046" s="43" t="str">
        <f t="shared" si="82"/>
        <v/>
      </c>
      <c r="F3046" s="43" t="str">
        <f t="shared" si="83"/>
        <v/>
      </c>
      <c r="G3046" s="44"/>
      <c r="H3046" s="44"/>
      <c r="I3046" s="44"/>
      <c r="J3046" s="176"/>
      <c r="K3046" s="43" t="str">
        <f t="array" ref="K3046">IF(J3046="","", XLOOKUP(J3046,'⚙️ Pengaturan'!$E$2:$E3237,'⚙️ Pengaturan'!$G$2:$G3237))</f>
        <v/>
      </c>
      <c r="L3046" s="43" t="str">
        <f t="shared" si="84"/>
        <v/>
      </c>
      <c r="M3046" s="177"/>
      <c r="N3046" s="145"/>
      <c r="O3046" s="146"/>
      <c r="P3046" s="48" t="str">
        <f t="array" ref="P3046">IFNA(XLOOKUP(J3046,'⚙️ Pengaturan'!$E$2:$E3237,'⚙️ Pengaturan'!$F$2:$F3237),"")</f>
        <v/>
      </c>
      <c r="Q3046" s="147" t="str">
        <f t="shared" si="85"/>
        <v/>
      </c>
      <c r="R3046" s="173"/>
      <c r="S3046" s="76"/>
      <c r="T3046" s="51" t="b">
        <v>0</v>
      </c>
      <c r="U3046" s="94"/>
    </row>
    <row r="3047" ht="30.0" customHeight="1">
      <c r="A3047" s="39"/>
      <c r="B3047" s="40"/>
      <c r="C3047" s="173"/>
      <c r="D3047" s="86"/>
      <c r="E3047" s="43" t="str">
        <f t="shared" si="82"/>
        <v/>
      </c>
      <c r="F3047" s="43" t="str">
        <f t="shared" si="83"/>
        <v/>
      </c>
      <c r="G3047" s="44"/>
      <c r="H3047" s="44"/>
      <c r="I3047" s="44"/>
      <c r="J3047" s="176"/>
      <c r="K3047" s="43" t="str">
        <f t="array" ref="K3047">IF(J3047="","", XLOOKUP(J3047,'⚙️ Pengaturan'!$E$2:$E3237,'⚙️ Pengaturan'!$G$2:$G3237))</f>
        <v/>
      </c>
      <c r="L3047" s="43" t="str">
        <f t="shared" si="84"/>
        <v/>
      </c>
      <c r="M3047" s="177"/>
      <c r="N3047" s="145"/>
      <c r="O3047" s="146"/>
      <c r="P3047" s="48" t="str">
        <f t="array" ref="P3047">IFNA(XLOOKUP(J3047,'⚙️ Pengaturan'!$E$2:$E3237,'⚙️ Pengaturan'!$F$2:$F3237),"")</f>
        <v/>
      </c>
      <c r="Q3047" s="147" t="str">
        <f t="shared" si="85"/>
        <v/>
      </c>
      <c r="R3047" s="173"/>
      <c r="S3047" s="76"/>
      <c r="T3047" s="51" t="b">
        <v>0</v>
      </c>
      <c r="U3047" s="94"/>
    </row>
    <row r="3048" ht="30.0" customHeight="1">
      <c r="A3048" s="39"/>
      <c r="B3048" s="40"/>
      <c r="C3048" s="173"/>
      <c r="D3048" s="86"/>
      <c r="E3048" s="43" t="str">
        <f t="shared" si="82"/>
        <v/>
      </c>
      <c r="F3048" s="43" t="str">
        <f t="shared" si="83"/>
        <v/>
      </c>
      <c r="G3048" s="44"/>
      <c r="H3048" s="44"/>
      <c r="I3048" s="44"/>
      <c r="J3048" s="176"/>
      <c r="K3048" s="43" t="str">
        <f t="array" ref="K3048">IF(J3048="","", XLOOKUP(J3048,'⚙️ Pengaturan'!$E$2:$E3237,'⚙️ Pengaturan'!$G$2:$G3237))</f>
        <v/>
      </c>
      <c r="L3048" s="43" t="str">
        <f t="shared" si="84"/>
        <v/>
      </c>
      <c r="M3048" s="177"/>
      <c r="N3048" s="145"/>
      <c r="O3048" s="146"/>
      <c r="P3048" s="48" t="str">
        <f t="array" ref="P3048">IFNA(XLOOKUP(J3048,'⚙️ Pengaturan'!$E$2:$E3237,'⚙️ Pengaturan'!$F$2:$F3237),"")</f>
        <v/>
      </c>
      <c r="Q3048" s="147" t="str">
        <f t="shared" si="85"/>
        <v/>
      </c>
      <c r="R3048" s="173"/>
      <c r="S3048" s="76"/>
      <c r="T3048" s="51" t="b">
        <v>0</v>
      </c>
      <c r="U3048" s="94"/>
    </row>
    <row r="3049" ht="30.0" customHeight="1">
      <c r="A3049" s="39"/>
      <c r="B3049" s="40"/>
      <c r="C3049" s="173"/>
      <c r="D3049" s="86"/>
      <c r="E3049" s="43" t="str">
        <f t="shared" si="82"/>
        <v/>
      </c>
      <c r="F3049" s="43" t="str">
        <f t="shared" si="83"/>
        <v/>
      </c>
      <c r="G3049" s="44"/>
      <c r="H3049" s="44"/>
      <c r="I3049" s="44"/>
      <c r="J3049" s="176"/>
      <c r="K3049" s="43" t="str">
        <f t="array" ref="K3049">IF(J3049="","", XLOOKUP(J3049,'⚙️ Pengaturan'!$E$2:$E3237,'⚙️ Pengaturan'!$G$2:$G3237))</f>
        <v/>
      </c>
      <c r="L3049" s="43" t="str">
        <f t="shared" si="84"/>
        <v/>
      </c>
      <c r="M3049" s="177"/>
      <c r="N3049" s="145"/>
      <c r="O3049" s="146"/>
      <c r="P3049" s="48" t="str">
        <f t="array" ref="P3049">IFNA(XLOOKUP(J3049,'⚙️ Pengaturan'!$E$2:$E3237,'⚙️ Pengaturan'!$F$2:$F3237),"")</f>
        <v/>
      </c>
      <c r="Q3049" s="147" t="str">
        <f t="shared" si="85"/>
        <v/>
      </c>
      <c r="R3049" s="173"/>
      <c r="S3049" s="76"/>
      <c r="T3049" s="51" t="b">
        <v>0</v>
      </c>
      <c r="U3049" s="94"/>
    </row>
    <row r="3050" ht="30.0" customHeight="1">
      <c r="A3050" s="39"/>
      <c r="B3050" s="40"/>
      <c r="C3050" s="173"/>
      <c r="D3050" s="86"/>
      <c r="E3050" s="43" t="str">
        <f t="shared" si="82"/>
        <v/>
      </c>
      <c r="F3050" s="43" t="str">
        <f t="shared" si="83"/>
        <v/>
      </c>
      <c r="G3050" s="44"/>
      <c r="H3050" s="44"/>
      <c r="I3050" s="44"/>
      <c r="J3050" s="176"/>
      <c r="K3050" s="43" t="str">
        <f t="array" ref="K3050">IF(J3050="","", XLOOKUP(J3050,'⚙️ Pengaturan'!$E$2:$E3237,'⚙️ Pengaturan'!$G$2:$G3237))</f>
        <v/>
      </c>
      <c r="L3050" s="43" t="str">
        <f t="shared" si="84"/>
        <v/>
      </c>
      <c r="M3050" s="177"/>
      <c r="N3050" s="145"/>
      <c r="O3050" s="146"/>
      <c r="P3050" s="48" t="str">
        <f t="array" ref="P3050">IFNA(XLOOKUP(J3050,'⚙️ Pengaturan'!$E$2:$E3237,'⚙️ Pengaturan'!$F$2:$F3237),"")</f>
        <v/>
      </c>
      <c r="Q3050" s="147" t="str">
        <f t="shared" si="85"/>
        <v/>
      </c>
      <c r="R3050" s="173"/>
      <c r="S3050" s="76"/>
      <c r="T3050" s="51" t="b">
        <v>0</v>
      </c>
      <c r="U3050" s="94"/>
    </row>
    <row r="3051" ht="30.0" customHeight="1">
      <c r="A3051" s="39"/>
      <c r="B3051" s="40"/>
      <c r="C3051" s="173"/>
      <c r="D3051" s="86"/>
      <c r="E3051" s="43" t="str">
        <f t="shared" si="82"/>
        <v/>
      </c>
      <c r="F3051" s="43" t="str">
        <f t="shared" si="83"/>
        <v/>
      </c>
      <c r="G3051" s="44"/>
      <c r="H3051" s="44"/>
      <c r="I3051" s="44"/>
      <c r="J3051" s="176"/>
      <c r="K3051" s="43" t="str">
        <f t="array" ref="K3051">IF(J3051="","", XLOOKUP(J3051,'⚙️ Pengaturan'!$E$2:$E3237,'⚙️ Pengaturan'!$G$2:$G3237))</f>
        <v/>
      </c>
      <c r="L3051" s="43" t="str">
        <f t="shared" si="84"/>
        <v/>
      </c>
      <c r="M3051" s="177"/>
      <c r="N3051" s="145"/>
      <c r="O3051" s="146"/>
      <c r="P3051" s="48" t="str">
        <f t="array" ref="P3051">IFNA(XLOOKUP(J3051,'⚙️ Pengaturan'!$E$2:$E3237,'⚙️ Pengaturan'!$F$2:$F3237),"")</f>
        <v/>
      </c>
      <c r="Q3051" s="147" t="str">
        <f t="shared" si="85"/>
        <v/>
      </c>
      <c r="R3051" s="173"/>
      <c r="S3051" s="76"/>
      <c r="T3051" s="51" t="b">
        <v>0</v>
      </c>
      <c r="U3051" s="94"/>
    </row>
    <row r="3052" ht="30.0" customHeight="1">
      <c r="A3052" s="39"/>
      <c r="B3052" s="40"/>
      <c r="C3052" s="173"/>
      <c r="D3052" s="86"/>
      <c r="E3052" s="43" t="str">
        <f t="shared" si="82"/>
        <v/>
      </c>
      <c r="F3052" s="43" t="str">
        <f t="shared" si="83"/>
        <v/>
      </c>
      <c r="G3052" s="44"/>
      <c r="H3052" s="44"/>
      <c r="I3052" s="44"/>
      <c r="J3052" s="176"/>
      <c r="K3052" s="43" t="str">
        <f t="array" ref="K3052">IF(J3052="","", XLOOKUP(J3052,'⚙️ Pengaturan'!$E$2:$E3237,'⚙️ Pengaturan'!$G$2:$G3237))</f>
        <v/>
      </c>
      <c r="L3052" s="43" t="str">
        <f t="shared" si="84"/>
        <v/>
      </c>
      <c r="M3052" s="177"/>
      <c r="N3052" s="145"/>
      <c r="O3052" s="146"/>
      <c r="P3052" s="48" t="str">
        <f t="array" ref="P3052">IFNA(XLOOKUP(J3052,'⚙️ Pengaturan'!$E$2:$E3237,'⚙️ Pengaturan'!$F$2:$F3237),"")</f>
        <v/>
      </c>
      <c r="Q3052" s="147" t="str">
        <f t="shared" si="85"/>
        <v/>
      </c>
      <c r="R3052" s="173"/>
      <c r="S3052" s="76"/>
      <c r="T3052" s="51" t="b">
        <v>0</v>
      </c>
      <c r="U3052" s="94"/>
    </row>
    <row r="3053" ht="30.0" customHeight="1">
      <c r="A3053" s="39"/>
      <c r="B3053" s="40"/>
      <c r="C3053" s="173"/>
      <c r="D3053" s="86"/>
      <c r="E3053" s="43" t="str">
        <f t="shared" si="82"/>
        <v/>
      </c>
      <c r="F3053" s="43" t="str">
        <f t="shared" si="83"/>
        <v/>
      </c>
      <c r="G3053" s="44"/>
      <c r="H3053" s="44"/>
      <c r="I3053" s="44"/>
      <c r="J3053" s="176"/>
      <c r="K3053" s="43" t="str">
        <f t="array" ref="K3053">IF(J3053="","", XLOOKUP(J3053,'⚙️ Pengaturan'!$E$2:$E3237,'⚙️ Pengaturan'!$G$2:$G3237))</f>
        <v/>
      </c>
      <c r="L3053" s="43" t="str">
        <f t="shared" si="84"/>
        <v/>
      </c>
      <c r="M3053" s="177"/>
      <c r="N3053" s="145"/>
      <c r="O3053" s="146"/>
      <c r="P3053" s="48" t="str">
        <f t="array" ref="P3053">IFNA(XLOOKUP(J3053,'⚙️ Pengaturan'!$E$2:$E3237,'⚙️ Pengaturan'!$F$2:$F3237),"")</f>
        <v/>
      </c>
      <c r="Q3053" s="147" t="str">
        <f t="shared" si="85"/>
        <v/>
      </c>
      <c r="R3053" s="173"/>
      <c r="S3053" s="76"/>
      <c r="T3053" s="51" t="b">
        <v>0</v>
      </c>
      <c r="U3053" s="94"/>
    </row>
    <row r="3054" ht="30.0" customHeight="1">
      <c r="A3054" s="39"/>
      <c r="B3054" s="40"/>
      <c r="C3054" s="173"/>
      <c r="D3054" s="86"/>
      <c r="E3054" s="43" t="str">
        <f t="shared" si="82"/>
        <v/>
      </c>
      <c r="F3054" s="43" t="str">
        <f t="shared" si="83"/>
        <v/>
      </c>
      <c r="G3054" s="44"/>
      <c r="H3054" s="44"/>
      <c r="I3054" s="44"/>
      <c r="J3054" s="176"/>
      <c r="K3054" s="43" t="str">
        <f t="array" ref="K3054">IF(J3054="","", XLOOKUP(J3054,'⚙️ Pengaturan'!$E$2:$E3237,'⚙️ Pengaturan'!$G$2:$G3237))</f>
        <v/>
      </c>
      <c r="L3054" s="43" t="str">
        <f t="shared" si="84"/>
        <v/>
      </c>
      <c r="M3054" s="177"/>
      <c r="N3054" s="145"/>
      <c r="O3054" s="146"/>
      <c r="P3054" s="48" t="str">
        <f t="array" ref="P3054">IFNA(XLOOKUP(J3054,'⚙️ Pengaturan'!$E$2:$E3237,'⚙️ Pengaturan'!$F$2:$F3237),"")</f>
        <v/>
      </c>
      <c r="Q3054" s="147" t="str">
        <f t="shared" si="85"/>
        <v/>
      </c>
      <c r="R3054" s="173"/>
      <c r="S3054" s="76"/>
      <c r="T3054" s="51" t="b">
        <v>0</v>
      </c>
      <c r="U3054" s="94"/>
    </row>
    <row r="3055" ht="30.0" customHeight="1">
      <c r="A3055" s="39"/>
      <c r="B3055" s="40"/>
      <c r="C3055" s="173"/>
      <c r="D3055" s="86"/>
      <c r="E3055" s="43" t="str">
        <f t="shared" si="82"/>
        <v/>
      </c>
      <c r="F3055" s="43" t="str">
        <f t="shared" si="83"/>
        <v/>
      </c>
      <c r="G3055" s="44"/>
      <c r="H3055" s="44"/>
      <c r="I3055" s="44"/>
      <c r="J3055" s="176"/>
      <c r="K3055" s="43" t="str">
        <f t="array" ref="K3055">IF(J3055="","", XLOOKUP(J3055,'⚙️ Pengaturan'!$E$2:$E3237,'⚙️ Pengaturan'!$G$2:$G3237))</f>
        <v/>
      </c>
      <c r="L3055" s="43" t="str">
        <f t="shared" si="84"/>
        <v/>
      </c>
      <c r="M3055" s="177"/>
      <c r="N3055" s="145"/>
      <c r="O3055" s="146"/>
      <c r="P3055" s="48" t="str">
        <f t="array" ref="P3055">IFNA(XLOOKUP(J3055,'⚙️ Pengaturan'!$E$2:$E3237,'⚙️ Pengaturan'!$F$2:$F3237),"")</f>
        <v/>
      </c>
      <c r="Q3055" s="147" t="str">
        <f t="shared" si="85"/>
        <v/>
      </c>
      <c r="R3055" s="173"/>
      <c r="S3055" s="76"/>
      <c r="T3055" s="51" t="b">
        <v>0</v>
      </c>
      <c r="U3055" s="94"/>
    </row>
    <row r="3056" ht="30.0" customHeight="1">
      <c r="A3056" s="39"/>
      <c r="B3056" s="40"/>
      <c r="C3056" s="173"/>
      <c r="D3056" s="86"/>
      <c r="E3056" s="43" t="str">
        <f t="shared" si="82"/>
        <v/>
      </c>
      <c r="F3056" s="43" t="str">
        <f t="shared" si="83"/>
        <v/>
      </c>
      <c r="G3056" s="44"/>
      <c r="H3056" s="44"/>
      <c r="I3056" s="44"/>
      <c r="J3056" s="176"/>
      <c r="K3056" s="43" t="str">
        <f t="array" ref="K3056">IF(J3056="","", XLOOKUP(J3056,'⚙️ Pengaturan'!$E$2:$E3237,'⚙️ Pengaturan'!$G$2:$G3237))</f>
        <v/>
      </c>
      <c r="L3056" s="43" t="str">
        <f t="shared" si="84"/>
        <v/>
      </c>
      <c r="M3056" s="177"/>
      <c r="N3056" s="145"/>
      <c r="O3056" s="146"/>
      <c r="P3056" s="48" t="str">
        <f t="array" ref="P3056">IFNA(XLOOKUP(J3056,'⚙️ Pengaturan'!$E$2:$E3237,'⚙️ Pengaturan'!$F$2:$F3237),"")</f>
        <v/>
      </c>
      <c r="Q3056" s="147" t="str">
        <f t="shared" si="85"/>
        <v/>
      </c>
      <c r="R3056" s="173"/>
      <c r="S3056" s="76"/>
      <c r="T3056" s="51" t="b">
        <v>0</v>
      </c>
      <c r="U3056" s="94"/>
    </row>
    <row r="3057" ht="30.0" customHeight="1">
      <c r="A3057" s="39"/>
      <c r="B3057" s="40"/>
      <c r="C3057" s="173"/>
      <c r="D3057" s="86"/>
      <c r="E3057" s="43" t="str">
        <f t="shared" si="82"/>
        <v/>
      </c>
      <c r="F3057" s="43" t="str">
        <f t="shared" si="83"/>
        <v/>
      </c>
      <c r="G3057" s="44"/>
      <c r="H3057" s="44"/>
      <c r="I3057" s="44"/>
      <c r="J3057" s="176"/>
      <c r="K3057" s="43" t="str">
        <f t="array" ref="K3057">IF(J3057="","", XLOOKUP(J3057,'⚙️ Pengaturan'!$E$2:$E3237,'⚙️ Pengaturan'!$G$2:$G3237))</f>
        <v/>
      </c>
      <c r="L3057" s="43" t="str">
        <f t="shared" si="84"/>
        <v/>
      </c>
      <c r="M3057" s="177"/>
      <c r="N3057" s="145"/>
      <c r="O3057" s="146"/>
      <c r="P3057" s="48" t="str">
        <f t="array" ref="P3057">IFNA(XLOOKUP(J3057,'⚙️ Pengaturan'!$E$2:$E3237,'⚙️ Pengaturan'!$F$2:$F3237),"")</f>
        <v/>
      </c>
      <c r="Q3057" s="147" t="str">
        <f t="shared" si="85"/>
        <v/>
      </c>
      <c r="R3057" s="173"/>
      <c r="S3057" s="76"/>
      <c r="T3057" s="51" t="b">
        <v>0</v>
      </c>
      <c r="U3057" s="94"/>
    </row>
    <row r="3058" ht="30.0" customHeight="1">
      <c r="A3058" s="39"/>
      <c r="B3058" s="40"/>
      <c r="C3058" s="173"/>
      <c r="D3058" s="86"/>
      <c r="E3058" s="43" t="str">
        <f t="shared" si="82"/>
        <v/>
      </c>
      <c r="F3058" s="43" t="str">
        <f t="shared" si="83"/>
        <v/>
      </c>
      <c r="G3058" s="44"/>
      <c r="H3058" s="44"/>
      <c r="I3058" s="44"/>
      <c r="J3058" s="176"/>
      <c r="K3058" s="43" t="str">
        <f t="array" ref="K3058">IF(J3058="","", XLOOKUP(J3058,'⚙️ Pengaturan'!$E$2:$E3237,'⚙️ Pengaturan'!$G$2:$G3237))</f>
        <v/>
      </c>
      <c r="L3058" s="43" t="str">
        <f t="shared" si="84"/>
        <v/>
      </c>
      <c r="M3058" s="177"/>
      <c r="N3058" s="145"/>
      <c r="O3058" s="146"/>
      <c r="P3058" s="48" t="str">
        <f t="array" ref="P3058">IFNA(XLOOKUP(J3058,'⚙️ Pengaturan'!$E$2:$E3237,'⚙️ Pengaturan'!$F$2:$F3237),"")</f>
        <v/>
      </c>
      <c r="Q3058" s="147" t="str">
        <f t="shared" si="85"/>
        <v/>
      </c>
      <c r="R3058" s="173"/>
      <c r="S3058" s="76"/>
      <c r="T3058" s="51" t="b">
        <v>0</v>
      </c>
      <c r="U3058" s="94"/>
    </row>
    <row r="3059" ht="30.0" customHeight="1">
      <c r="A3059" s="39"/>
      <c r="B3059" s="40"/>
      <c r="C3059" s="173"/>
      <c r="D3059" s="86"/>
      <c r="E3059" s="43" t="str">
        <f t="shared" si="82"/>
        <v/>
      </c>
      <c r="F3059" s="43" t="str">
        <f t="shared" si="83"/>
        <v/>
      </c>
      <c r="G3059" s="44"/>
      <c r="H3059" s="44"/>
      <c r="I3059" s="44"/>
      <c r="J3059" s="176"/>
      <c r="K3059" s="43" t="str">
        <f t="array" ref="K3059">IF(J3059="","", XLOOKUP(J3059,'⚙️ Pengaturan'!$E$2:$E3237,'⚙️ Pengaturan'!$G$2:$G3237))</f>
        <v/>
      </c>
      <c r="L3059" s="43" t="str">
        <f t="shared" si="84"/>
        <v/>
      </c>
      <c r="M3059" s="177"/>
      <c r="N3059" s="145"/>
      <c r="O3059" s="146"/>
      <c r="P3059" s="48" t="str">
        <f t="array" ref="P3059">IFNA(XLOOKUP(J3059,'⚙️ Pengaturan'!$E$2:$E3237,'⚙️ Pengaturan'!$F$2:$F3237),"")</f>
        <v/>
      </c>
      <c r="Q3059" s="147" t="str">
        <f t="shared" si="85"/>
        <v/>
      </c>
      <c r="R3059" s="173"/>
      <c r="S3059" s="76"/>
      <c r="T3059" s="51" t="b">
        <v>0</v>
      </c>
      <c r="U3059" s="94"/>
    </row>
    <row r="3060" ht="30.0" customHeight="1">
      <c r="A3060" s="39"/>
      <c r="B3060" s="40"/>
      <c r="C3060" s="173"/>
      <c r="D3060" s="86"/>
      <c r="E3060" s="43" t="str">
        <f t="shared" si="82"/>
        <v/>
      </c>
      <c r="F3060" s="43" t="str">
        <f t="shared" si="83"/>
        <v/>
      </c>
      <c r="G3060" s="44"/>
      <c r="H3060" s="44"/>
      <c r="I3060" s="44"/>
      <c r="J3060" s="176"/>
      <c r="K3060" s="43" t="str">
        <f t="array" ref="K3060">IF(J3060="","", XLOOKUP(J3060,'⚙️ Pengaturan'!$E$2:$E3237,'⚙️ Pengaturan'!$G$2:$G3237))</f>
        <v/>
      </c>
      <c r="L3060" s="43" t="str">
        <f t="shared" si="84"/>
        <v/>
      </c>
      <c r="M3060" s="177"/>
      <c r="N3060" s="145"/>
      <c r="O3060" s="146"/>
      <c r="P3060" s="48" t="str">
        <f t="array" ref="P3060">IFNA(XLOOKUP(J3060,'⚙️ Pengaturan'!$E$2:$E3237,'⚙️ Pengaturan'!$F$2:$F3237),"")</f>
        <v/>
      </c>
      <c r="Q3060" s="147" t="str">
        <f t="shared" si="85"/>
        <v/>
      </c>
      <c r="R3060" s="173"/>
      <c r="S3060" s="76"/>
      <c r="T3060" s="51" t="b">
        <v>0</v>
      </c>
      <c r="U3060" s="94"/>
    </row>
    <row r="3061" ht="30.0" customHeight="1">
      <c r="A3061" s="39"/>
      <c r="B3061" s="40"/>
      <c r="C3061" s="173"/>
      <c r="D3061" s="86"/>
      <c r="E3061" s="43" t="str">
        <f t="shared" si="82"/>
        <v/>
      </c>
      <c r="F3061" s="43" t="str">
        <f t="shared" si="83"/>
        <v/>
      </c>
      <c r="G3061" s="44"/>
      <c r="H3061" s="44"/>
      <c r="I3061" s="44"/>
      <c r="J3061" s="176"/>
      <c r="K3061" s="43" t="str">
        <f t="array" ref="K3061">IF(J3061="","", XLOOKUP(J3061,'⚙️ Pengaturan'!$E$2:$E3237,'⚙️ Pengaturan'!$G$2:$G3237))</f>
        <v/>
      </c>
      <c r="L3061" s="43" t="str">
        <f t="shared" si="84"/>
        <v/>
      </c>
      <c r="M3061" s="177"/>
      <c r="N3061" s="145"/>
      <c r="O3061" s="146"/>
      <c r="P3061" s="48" t="str">
        <f t="array" ref="P3061">IFNA(XLOOKUP(J3061,'⚙️ Pengaturan'!$E$2:$E3237,'⚙️ Pengaturan'!$F$2:$F3237),"")</f>
        <v/>
      </c>
      <c r="Q3061" s="147" t="str">
        <f t="shared" si="85"/>
        <v/>
      </c>
      <c r="R3061" s="173"/>
      <c r="S3061" s="76"/>
      <c r="T3061" s="51" t="b">
        <v>0</v>
      </c>
      <c r="U3061" s="94"/>
    </row>
    <row r="3062" ht="30.0" customHeight="1">
      <c r="A3062" s="39"/>
      <c r="B3062" s="40"/>
      <c r="C3062" s="173"/>
      <c r="D3062" s="86"/>
      <c r="E3062" s="43" t="str">
        <f t="shared" si="82"/>
        <v/>
      </c>
      <c r="F3062" s="43" t="str">
        <f t="shared" si="83"/>
        <v/>
      </c>
      <c r="G3062" s="44"/>
      <c r="H3062" s="44"/>
      <c r="I3062" s="44"/>
      <c r="J3062" s="176"/>
      <c r="K3062" s="43" t="str">
        <f t="array" ref="K3062">IF(J3062="","", XLOOKUP(J3062,'⚙️ Pengaturan'!$E$2:$E3237,'⚙️ Pengaturan'!$G$2:$G3237))</f>
        <v/>
      </c>
      <c r="L3062" s="43" t="str">
        <f t="shared" si="84"/>
        <v/>
      </c>
      <c r="M3062" s="177"/>
      <c r="N3062" s="145"/>
      <c r="O3062" s="146"/>
      <c r="P3062" s="48" t="str">
        <f t="array" ref="P3062">IFNA(XLOOKUP(J3062,'⚙️ Pengaturan'!$E$2:$E3237,'⚙️ Pengaturan'!$F$2:$F3237),"")</f>
        <v/>
      </c>
      <c r="Q3062" s="147" t="str">
        <f t="shared" si="85"/>
        <v/>
      </c>
      <c r="R3062" s="173"/>
      <c r="S3062" s="76"/>
      <c r="T3062" s="51" t="b">
        <v>0</v>
      </c>
      <c r="U3062" s="94"/>
    </row>
    <row r="3063" ht="30.0" customHeight="1">
      <c r="A3063" s="39"/>
      <c r="B3063" s="40"/>
      <c r="C3063" s="173"/>
      <c r="D3063" s="86"/>
      <c r="E3063" s="43" t="str">
        <f t="shared" si="82"/>
        <v/>
      </c>
      <c r="F3063" s="43" t="str">
        <f t="shared" si="83"/>
        <v/>
      </c>
      <c r="G3063" s="44"/>
      <c r="H3063" s="44"/>
      <c r="I3063" s="44"/>
      <c r="J3063" s="176"/>
      <c r="K3063" s="43" t="str">
        <f t="array" ref="K3063">IF(J3063="","", XLOOKUP(J3063,'⚙️ Pengaturan'!$E$2:$E3237,'⚙️ Pengaturan'!$G$2:$G3237))</f>
        <v/>
      </c>
      <c r="L3063" s="43" t="str">
        <f t="shared" si="84"/>
        <v/>
      </c>
      <c r="M3063" s="177"/>
      <c r="N3063" s="145"/>
      <c r="O3063" s="146"/>
      <c r="P3063" s="48" t="str">
        <f t="array" ref="P3063">IFNA(XLOOKUP(J3063,'⚙️ Pengaturan'!$E$2:$E3237,'⚙️ Pengaturan'!$F$2:$F3237),"")</f>
        <v/>
      </c>
      <c r="Q3063" s="147" t="str">
        <f t="shared" si="85"/>
        <v/>
      </c>
      <c r="R3063" s="173"/>
      <c r="S3063" s="76"/>
      <c r="T3063" s="51" t="b">
        <v>0</v>
      </c>
      <c r="U3063" s="94"/>
    </row>
    <row r="3064" ht="30.0" customHeight="1">
      <c r="A3064" s="39"/>
      <c r="B3064" s="40"/>
      <c r="C3064" s="173"/>
      <c r="D3064" s="86"/>
      <c r="E3064" s="43" t="str">
        <f t="shared" si="82"/>
        <v/>
      </c>
      <c r="F3064" s="43" t="str">
        <f t="shared" si="83"/>
        <v/>
      </c>
      <c r="G3064" s="44"/>
      <c r="H3064" s="44"/>
      <c r="I3064" s="44"/>
      <c r="J3064" s="176"/>
      <c r="K3064" s="43" t="str">
        <f t="array" ref="K3064">IF(J3064="","", XLOOKUP(J3064,'⚙️ Pengaturan'!$E$2:$E3237,'⚙️ Pengaturan'!$G$2:$G3237))</f>
        <v/>
      </c>
      <c r="L3064" s="43" t="str">
        <f t="shared" si="84"/>
        <v/>
      </c>
      <c r="M3064" s="177"/>
      <c r="N3064" s="145"/>
      <c r="O3064" s="146"/>
      <c r="P3064" s="48" t="str">
        <f t="array" ref="P3064">IFNA(XLOOKUP(J3064,'⚙️ Pengaturan'!$E$2:$E3237,'⚙️ Pengaturan'!$F$2:$F3237),"")</f>
        <v/>
      </c>
      <c r="Q3064" s="147" t="str">
        <f t="shared" si="85"/>
        <v/>
      </c>
      <c r="R3064" s="173"/>
      <c r="S3064" s="76"/>
      <c r="T3064" s="51" t="b">
        <v>0</v>
      </c>
      <c r="U3064" s="94"/>
    </row>
    <row r="3065" ht="30.0" customHeight="1">
      <c r="A3065" s="39"/>
      <c r="B3065" s="40"/>
      <c r="C3065" s="173"/>
      <c r="D3065" s="86"/>
      <c r="E3065" s="43" t="str">
        <f t="shared" si="82"/>
        <v/>
      </c>
      <c r="F3065" s="43" t="str">
        <f t="shared" si="83"/>
        <v/>
      </c>
      <c r="G3065" s="44"/>
      <c r="H3065" s="44"/>
      <c r="I3065" s="44"/>
      <c r="J3065" s="176"/>
      <c r="K3065" s="43" t="str">
        <f t="array" ref="K3065">IF(J3065="","", XLOOKUP(J3065,'⚙️ Pengaturan'!$E$2:$E3237,'⚙️ Pengaturan'!$G$2:$G3237))</f>
        <v/>
      </c>
      <c r="L3065" s="43" t="str">
        <f t="shared" si="84"/>
        <v/>
      </c>
      <c r="M3065" s="177"/>
      <c r="N3065" s="145"/>
      <c r="O3065" s="146"/>
      <c r="P3065" s="48" t="str">
        <f t="array" ref="P3065">IFNA(XLOOKUP(J3065,'⚙️ Pengaturan'!$E$2:$E3237,'⚙️ Pengaturan'!$F$2:$F3237),"")</f>
        <v/>
      </c>
      <c r="Q3065" s="147" t="str">
        <f t="shared" si="85"/>
        <v/>
      </c>
      <c r="R3065" s="173"/>
      <c r="S3065" s="76"/>
      <c r="T3065" s="51" t="b">
        <v>0</v>
      </c>
      <c r="U3065" s="94"/>
    </row>
    <row r="3066" ht="30.0" customHeight="1">
      <c r="A3066" s="39"/>
      <c r="B3066" s="40"/>
      <c r="C3066" s="173"/>
      <c r="D3066" s="86"/>
      <c r="E3066" s="43" t="str">
        <f t="shared" si="82"/>
        <v/>
      </c>
      <c r="F3066" s="43" t="str">
        <f t="shared" si="83"/>
        <v/>
      </c>
      <c r="G3066" s="44"/>
      <c r="H3066" s="44"/>
      <c r="I3066" s="44"/>
      <c r="J3066" s="176"/>
      <c r="K3066" s="43" t="str">
        <f t="array" ref="K3066">IF(J3066="","", XLOOKUP(J3066,'⚙️ Pengaturan'!$E$2:$E3237,'⚙️ Pengaturan'!$G$2:$G3237))</f>
        <v/>
      </c>
      <c r="L3066" s="43" t="str">
        <f t="shared" si="84"/>
        <v/>
      </c>
      <c r="M3066" s="177"/>
      <c r="N3066" s="145"/>
      <c r="O3066" s="146"/>
      <c r="P3066" s="48" t="str">
        <f t="array" ref="P3066">IFNA(XLOOKUP(J3066,'⚙️ Pengaturan'!$E$2:$E3237,'⚙️ Pengaturan'!$F$2:$F3237),"")</f>
        <v/>
      </c>
      <c r="Q3066" s="147" t="str">
        <f t="shared" si="85"/>
        <v/>
      </c>
      <c r="R3066" s="173"/>
      <c r="S3066" s="76"/>
      <c r="T3066" s="51" t="b">
        <v>0</v>
      </c>
      <c r="U3066" s="94"/>
    </row>
    <row r="3067" ht="30.0" customHeight="1">
      <c r="A3067" s="39"/>
      <c r="B3067" s="40"/>
      <c r="C3067" s="173"/>
      <c r="D3067" s="86"/>
      <c r="E3067" s="43" t="str">
        <f t="shared" si="82"/>
        <v/>
      </c>
      <c r="F3067" s="43" t="str">
        <f t="shared" si="83"/>
        <v/>
      </c>
      <c r="G3067" s="44"/>
      <c r="H3067" s="44"/>
      <c r="I3067" s="44"/>
      <c r="J3067" s="176"/>
      <c r="K3067" s="43" t="str">
        <f t="array" ref="K3067">IF(J3067="","", XLOOKUP(J3067,'⚙️ Pengaturan'!$E$2:$E3237,'⚙️ Pengaturan'!$G$2:$G3237))</f>
        <v/>
      </c>
      <c r="L3067" s="43" t="str">
        <f t="shared" si="84"/>
        <v/>
      </c>
      <c r="M3067" s="177"/>
      <c r="N3067" s="145"/>
      <c r="O3067" s="146"/>
      <c r="P3067" s="48" t="str">
        <f t="array" ref="P3067">IFNA(XLOOKUP(J3067,'⚙️ Pengaturan'!$E$2:$E3237,'⚙️ Pengaturan'!$F$2:$F3237),"")</f>
        <v/>
      </c>
      <c r="Q3067" s="147" t="str">
        <f t="shared" si="85"/>
        <v/>
      </c>
      <c r="R3067" s="173"/>
      <c r="S3067" s="76"/>
      <c r="T3067" s="51" t="b">
        <v>0</v>
      </c>
      <c r="U3067" s="94"/>
    </row>
    <row r="3068" ht="30.0" customHeight="1">
      <c r="A3068" s="39"/>
      <c r="B3068" s="40"/>
      <c r="C3068" s="173"/>
      <c r="D3068" s="86"/>
      <c r="E3068" s="43" t="str">
        <f t="shared" si="82"/>
        <v/>
      </c>
      <c r="F3068" s="43" t="str">
        <f t="shared" si="83"/>
        <v/>
      </c>
      <c r="G3068" s="44"/>
      <c r="H3068" s="44"/>
      <c r="I3068" s="44"/>
      <c r="J3068" s="176"/>
      <c r="K3068" s="43" t="str">
        <f t="array" ref="K3068">IF(J3068="","", XLOOKUP(J3068,'⚙️ Pengaturan'!$E$2:$E3237,'⚙️ Pengaturan'!$G$2:$G3237))</f>
        <v/>
      </c>
      <c r="L3068" s="43" t="str">
        <f t="shared" si="84"/>
        <v/>
      </c>
      <c r="M3068" s="177"/>
      <c r="N3068" s="145"/>
      <c r="O3068" s="146"/>
      <c r="P3068" s="48" t="str">
        <f t="array" ref="P3068">IFNA(XLOOKUP(J3068,'⚙️ Pengaturan'!$E$2:$E3237,'⚙️ Pengaturan'!$F$2:$F3237),"")</f>
        <v/>
      </c>
      <c r="Q3068" s="147" t="str">
        <f t="shared" si="85"/>
        <v/>
      </c>
      <c r="R3068" s="173"/>
      <c r="S3068" s="76"/>
      <c r="T3068" s="51" t="b">
        <v>0</v>
      </c>
      <c r="U3068" s="94"/>
    </row>
    <row r="3069" ht="30.0" customHeight="1">
      <c r="A3069" s="39"/>
      <c r="B3069" s="40"/>
      <c r="C3069" s="173"/>
      <c r="D3069" s="86"/>
      <c r="E3069" s="43" t="str">
        <f t="shared" si="82"/>
        <v/>
      </c>
      <c r="F3069" s="43" t="str">
        <f t="shared" si="83"/>
        <v/>
      </c>
      <c r="G3069" s="44"/>
      <c r="H3069" s="44"/>
      <c r="I3069" s="44"/>
      <c r="J3069" s="176"/>
      <c r="K3069" s="43" t="str">
        <f t="array" ref="K3069">IF(J3069="","", XLOOKUP(J3069,'⚙️ Pengaturan'!$E$2:$E3237,'⚙️ Pengaturan'!$G$2:$G3237))</f>
        <v/>
      </c>
      <c r="L3069" s="43" t="str">
        <f t="shared" si="84"/>
        <v/>
      </c>
      <c r="M3069" s="177"/>
      <c r="N3069" s="145"/>
      <c r="O3069" s="146"/>
      <c r="P3069" s="48" t="str">
        <f t="array" ref="P3069">IFNA(XLOOKUP(J3069,'⚙️ Pengaturan'!$E$2:$E3237,'⚙️ Pengaturan'!$F$2:$F3237),"")</f>
        <v/>
      </c>
      <c r="Q3069" s="147" t="str">
        <f t="shared" si="85"/>
        <v/>
      </c>
      <c r="R3069" s="173"/>
      <c r="S3069" s="76"/>
      <c r="T3069" s="51" t="b">
        <v>0</v>
      </c>
      <c r="U3069" s="94"/>
    </row>
    <row r="3070" ht="30.0" customHeight="1">
      <c r="A3070" s="39"/>
      <c r="B3070" s="40"/>
      <c r="C3070" s="173"/>
      <c r="D3070" s="86"/>
      <c r="E3070" s="43" t="str">
        <f t="shared" si="82"/>
        <v/>
      </c>
      <c r="F3070" s="43" t="str">
        <f t="shared" si="83"/>
        <v/>
      </c>
      <c r="G3070" s="44"/>
      <c r="H3070" s="44"/>
      <c r="I3070" s="44"/>
      <c r="J3070" s="176"/>
      <c r="K3070" s="43" t="str">
        <f t="array" ref="K3070">IF(J3070="","", XLOOKUP(J3070,'⚙️ Pengaturan'!$E$2:$E3237,'⚙️ Pengaturan'!$G$2:$G3237))</f>
        <v/>
      </c>
      <c r="L3070" s="43" t="str">
        <f t="shared" si="84"/>
        <v/>
      </c>
      <c r="M3070" s="177"/>
      <c r="N3070" s="145"/>
      <c r="O3070" s="146"/>
      <c r="P3070" s="48" t="str">
        <f t="array" ref="P3070">IFNA(XLOOKUP(J3070,'⚙️ Pengaturan'!$E$2:$E3237,'⚙️ Pengaturan'!$F$2:$F3237),"")</f>
        <v/>
      </c>
      <c r="Q3070" s="147" t="str">
        <f t="shared" si="85"/>
        <v/>
      </c>
      <c r="R3070" s="173"/>
      <c r="S3070" s="76"/>
      <c r="T3070" s="51" t="b">
        <v>0</v>
      </c>
      <c r="U3070" s="94"/>
    </row>
    <row r="3071" ht="30.0" customHeight="1">
      <c r="A3071" s="39"/>
      <c r="B3071" s="40"/>
      <c r="C3071" s="173"/>
      <c r="D3071" s="86"/>
      <c r="E3071" s="43" t="str">
        <f t="shared" si="82"/>
        <v/>
      </c>
      <c r="F3071" s="43" t="str">
        <f t="shared" si="83"/>
        <v/>
      </c>
      <c r="G3071" s="44"/>
      <c r="H3071" s="44"/>
      <c r="I3071" s="44"/>
      <c r="J3071" s="176"/>
      <c r="K3071" s="43" t="str">
        <f t="array" ref="K3071">IF(J3071="","", XLOOKUP(J3071,'⚙️ Pengaturan'!$E$2:$E3237,'⚙️ Pengaturan'!$G$2:$G3237))</f>
        <v/>
      </c>
      <c r="L3071" s="43" t="str">
        <f t="shared" si="84"/>
        <v/>
      </c>
      <c r="M3071" s="177"/>
      <c r="N3071" s="145"/>
      <c r="O3071" s="146"/>
      <c r="P3071" s="48" t="str">
        <f t="array" ref="P3071">IFNA(XLOOKUP(J3071,'⚙️ Pengaturan'!$E$2:$E3237,'⚙️ Pengaturan'!$F$2:$F3237),"")</f>
        <v/>
      </c>
      <c r="Q3071" s="147" t="str">
        <f t="shared" si="85"/>
        <v/>
      </c>
      <c r="R3071" s="173"/>
      <c r="S3071" s="76"/>
      <c r="T3071" s="51" t="b">
        <v>0</v>
      </c>
      <c r="U3071" s="94"/>
    </row>
    <row r="3072" ht="30.0" customHeight="1">
      <c r="A3072" s="39"/>
      <c r="B3072" s="40"/>
      <c r="C3072" s="173"/>
      <c r="D3072" s="86"/>
      <c r="E3072" s="43" t="str">
        <f t="shared" si="82"/>
        <v/>
      </c>
      <c r="F3072" s="43" t="str">
        <f t="shared" si="83"/>
        <v/>
      </c>
      <c r="G3072" s="44"/>
      <c r="H3072" s="44"/>
      <c r="I3072" s="44"/>
      <c r="J3072" s="176"/>
      <c r="K3072" s="43" t="str">
        <f t="array" ref="K3072">IF(J3072="","", XLOOKUP(J3072,'⚙️ Pengaturan'!$E$2:$E3237,'⚙️ Pengaturan'!$G$2:$G3237))</f>
        <v/>
      </c>
      <c r="L3072" s="43" t="str">
        <f t="shared" si="84"/>
        <v/>
      </c>
      <c r="M3072" s="177"/>
      <c r="N3072" s="145"/>
      <c r="O3072" s="146"/>
      <c r="P3072" s="48" t="str">
        <f t="array" ref="P3072">IFNA(XLOOKUP(J3072,'⚙️ Pengaturan'!$E$2:$E3237,'⚙️ Pengaturan'!$F$2:$F3237),"")</f>
        <v/>
      </c>
      <c r="Q3072" s="147" t="str">
        <f t="shared" si="85"/>
        <v/>
      </c>
      <c r="R3072" s="173"/>
      <c r="S3072" s="76"/>
      <c r="T3072" s="51" t="b">
        <v>0</v>
      </c>
      <c r="U3072" s="94"/>
    </row>
    <row r="3073" ht="30.0" customHeight="1">
      <c r="A3073" s="39"/>
      <c r="B3073" s="40"/>
      <c r="C3073" s="173"/>
      <c r="D3073" s="86"/>
      <c r="E3073" s="43" t="str">
        <f t="shared" si="82"/>
        <v/>
      </c>
      <c r="F3073" s="43" t="str">
        <f t="shared" si="83"/>
        <v/>
      </c>
      <c r="G3073" s="44"/>
      <c r="H3073" s="44"/>
      <c r="I3073" s="44"/>
      <c r="J3073" s="176"/>
      <c r="K3073" s="43" t="str">
        <f t="array" ref="K3073">IF(J3073="","", XLOOKUP(J3073,'⚙️ Pengaturan'!$E$2:$E3237,'⚙️ Pengaturan'!$G$2:$G3237))</f>
        <v/>
      </c>
      <c r="L3073" s="43" t="str">
        <f t="shared" si="84"/>
        <v/>
      </c>
      <c r="M3073" s="177"/>
      <c r="N3073" s="145"/>
      <c r="O3073" s="146"/>
      <c r="P3073" s="48" t="str">
        <f t="array" ref="P3073">IFNA(XLOOKUP(J3073,'⚙️ Pengaturan'!$E$2:$E3237,'⚙️ Pengaturan'!$F$2:$F3237),"")</f>
        <v/>
      </c>
      <c r="Q3073" s="147" t="str">
        <f t="shared" si="85"/>
        <v/>
      </c>
      <c r="R3073" s="173"/>
      <c r="S3073" s="76"/>
      <c r="T3073" s="51" t="b">
        <v>0</v>
      </c>
      <c r="U3073" s="94"/>
    </row>
    <row r="3074" ht="30.0" customHeight="1">
      <c r="A3074" s="39"/>
      <c r="B3074" s="40"/>
      <c r="C3074" s="173"/>
      <c r="D3074" s="86"/>
      <c r="E3074" s="43" t="str">
        <f t="shared" si="82"/>
        <v/>
      </c>
      <c r="F3074" s="43" t="str">
        <f t="shared" si="83"/>
        <v/>
      </c>
      <c r="G3074" s="44"/>
      <c r="H3074" s="44"/>
      <c r="I3074" s="44"/>
      <c r="J3074" s="176"/>
      <c r="K3074" s="43" t="str">
        <f t="array" ref="K3074">IF(J3074="","", XLOOKUP(J3074,'⚙️ Pengaturan'!$E$2:$E3237,'⚙️ Pengaturan'!$G$2:$G3237))</f>
        <v/>
      </c>
      <c r="L3074" s="43" t="str">
        <f t="shared" si="84"/>
        <v/>
      </c>
      <c r="M3074" s="177"/>
      <c r="N3074" s="145"/>
      <c r="O3074" s="146"/>
      <c r="P3074" s="48" t="str">
        <f t="array" ref="P3074">IFNA(XLOOKUP(J3074,'⚙️ Pengaturan'!$E$2:$E3237,'⚙️ Pengaturan'!$F$2:$F3237),"")</f>
        <v/>
      </c>
      <c r="Q3074" s="147" t="str">
        <f t="shared" si="85"/>
        <v/>
      </c>
      <c r="R3074" s="173"/>
      <c r="S3074" s="76"/>
      <c r="T3074" s="51" t="b">
        <v>0</v>
      </c>
      <c r="U3074" s="94"/>
    </row>
    <row r="3075" ht="30.0" customHeight="1">
      <c r="A3075" s="39"/>
      <c r="B3075" s="40"/>
      <c r="C3075" s="173"/>
      <c r="D3075" s="86"/>
      <c r="E3075" s="43" t="str">
        <f t="shared" si="82"/>
        <v/>
      </c>
      <c r="F3075" s="43" t="str">
        <f t="shared" si="83"/>
        <v/>
      </c>
      <c r="G3075" s="44"/>
      <c r="H3075" s="44"/>
      <c r="I3075" s="44"/>
      <c r="J3075" s="176"/>
      <c r="K3075" s="43" t="str">
        <f t="array" ref="K3075">IF(J3075="","", XLOOKUP(J3075,'⚙️ Pengaturan'!$E$2:$E3237,'⚙️ Pengaturan'!$G$2:$G3237))</f>
        <v/>
      </c>
      <c r="L3075" s="43" t="str">
        <f t="shared" si="84"/>
        <v/>
      </c>
      <c r="M3075" s="177"/>
      <c r="N3075" s="145"/>
      <c r="O3075" s="146"/>
      <c r="P3075" s="48" t="str">
        <f t="array" ref="P3075">IFNA(XLOOKUP(J3075,'⚙️ Pengaturan'!$E$2:$E3237,'⚙️ Pengaturan'!$F$2:$F3237),"")</f>
        <v/>
      </c>
      <c r="Q3075" s="147" t="str">
        <f t="shared" si="85"/>
        <v/>
      </c>
      <c r="R3075" s="173"/>
      <c r="S3075" s="76"/>
      <c r="T3075" s="51" t="b">
        <v>0</v>
      </c>
      <c r="U3075" s="94"/>
    </row>
    <row r="3076" ht="30.0" customHeight="1">
      <c r="A3076" s="39"/>
      <c r="B3076" s="40"/>
      <c r="C3076" s="173"/>
      <c r="D3076" s="86"/>
      <c r="E3076" s="43" t="str">
        <f t="shared" si="82"/>
        <v/>
      </c>
      <c r="F3076" s="43" t="str">
        <f t="shared" si="83"/>
        <v/>
      </c>
      <c r="G3076" s="44"/>
      <c r="H3076" s="44"/>
      <c r="I3076" s="44"/>
      <c r="J3076" s="176"/>
      <c r="K3076" s="43" t="str">
        <f t="array" ref="K3076">IF(J3076="","", XLOOKUP(J3076,'⚙️ Pengaturan'!$E$2:$E3237,'⚙️ Pengaturan'!$G$2:$G3237))</f>
        <v/>
      </c>
      <c r="L3076" s="43" t="str">
        <f t="shared" si="84"/>
        <v/>
      </c>
      <c r="M3076" s="177"/>
      <c r="N3076" s="145"/>
      <c r="O3076" s="146"/>
      <c r="P3076" s="48" t="str">
        <f t="array" ref="P3076">IFNA(XLOOKUP(J3076,'⚙️ Pengaturan'!$E$2:$E3237,'⚙️ Pengaturan'!$F$2:$F3237),"")</f>
        <v/>
      </c>
      <c r="Q3076" s="147" t="str">
        <f t="shared" si="85"/>
        <v/>
      </c>
      <c r="R3076" s="173"/>
      <c r="S3076" s="76"/>
      <c r="T3076" s="51" t="b">
        <v>0</v>
      </c>
      <c r="U3076" s="94"/>
    </row>
    <row r="3077" ht="30.0" customHeight="1">
      <c r="A3077" s="39"/>
      <c r="B3077" s="40"/>
      <c r="C3077" s="173"/>
      <c r="D3077" s="86"/>
      <c r="E3077" s="43" t="str">
        <f t="shared" si="82"/>
        <v/>
      </c>
      <c r="F3077" s="43" t="str">
        <f t="shared" si="83"/>
        <v/>
      </c>
      <c r="G3077" s="44"/>
      <c r="H3077" s="44"/>
      <c r="I3077" s="44"/>
      <c r="J3077" s="176"/>
      <c r="K3077" s="43" t="str">
        <f t="array" ref="K3077">IF(J3077="","", XLOOKUP(J3077,'⚙️ Pengaturan'!$E$2:$E3237,'⚙️ Pengaturan'!$G$2:$G3237))</f>
        <v/>
      </c>
      <c r="L3077" s="43" t="str">
        <f t="shared" si="84"/>
        <v/>
      </c>
      <c r="M3077" s="177"/>
      <c r="N3077" s="145"/>
      <c r="O3077" s="146"/>
      <c r="P3077" s="48" t="str">
        <f t="array" ref="P3077">IFNA(XLOOKUP(J3077,'⚙️ Pengaturan'!$E$2:$E3237,'⚙️ Pengaturan'!$F$2:$F3237),"")</f>
        <v/>
      </c>
      <c r="Q3077" s="147" t="str">
        <f t="shared" si="85"/>
        <v/>
      </c>
      <c r="R3077" s="173"/>
      <c r="S3077" s="76"/>
      <c r="T3077" s="51" t="b">
        <v>0</v>
      </c>
      <c r="U3077" s="94"/>
    </row>
    <row r="3078" ht="30.0" customHeight="1">
      <c r="A3078" s="39"/>
      <c r="B3078" s="40"/>
      <c r="C3078" s="173"/>
      <c r="D3078" s="86"/>
      <c r="E3078" s="43" t="str">
        <f t="shared" si="82"/>
        <v/>
      </c>
      <c r="F3078" s="43" t="str">
        <f t="shared" si="83"/>
        <v/>
      </c>
      <c r="G3078" s="44"/>
      <c r="H3078" s="44"/>
      <c r="I3078" s="44"/>
      <c r="J3078" s="176"/>
      <c r="K3078" s="43" t="str">
        <f t="array" ref="K3078">IF(J3078="","", XLOOKUP(J3078,'⚙️ Pengaturan'!$E$2:$E3237,'⚙️ Pengaturan'!$G$2:$G3237))</f>
        <v/>
      </c>
      <c r="L3078" s="43" t="str">
        <f t="shared" si="84"/>
        <v/>
      </c>
      <c r="M3078" s="177"/>
      <c r="N3078" s="145"/>
      <c r="O3078" s="146"/>
      <c r="P3078" s="48" t="str">
        <f t="array" ref="P3078">IFNA(XLOOKUP(J3078,'⚙️ Pengaturan'!$E$2:$E3237,'⚙️ Pengaturan'!$F$2:$F3237),"")</f>
        <v/>
      </c>
      <c r="Q3078" s="147" t="str">
        <f t="shared" si="85"/>
        <v/>
      </c>
      <c r="R3078" s="173"/>
      <c r="S3078" s="76"/>
      <c r="T3078" s="51" t="b">
        <v>0</v>
      </c>
      <c r="U3078" s="94"/>
    </row>
    <row r="3079" ht="30.0" customHeight="1">
      <c r="A3079" s="39"/>
      <c r="B3079" s="40"/>
      <c r="C3079" s="173"/>
      <c r="D3079" s="86"/>
      <c r="E3079" s="43" t="str">
        <f t="shared" si="82"/>
        <v/>
      </c>
      <c r="F3079" s="43" t="str">
        <f t="shared" si="83"/>
        <v/>
      </c>
      <c r="G3079" s="44"/>
      <c r="H3079" s="44"/>
      <c r="I3079" s="44"/>
      <c r="J3079" s="176"/>
      <c r="K3079" s="43" t="str">
        <f t="array" ref="K3079">IF(J3079="","", XLOOKUP(J3079,'⚙️ Pengaturan'!$E$2:$E3237,'⚙️ Pengaturan'!$G$2:$G3237))</f>
        <v/>
      </c>
      <c r="L3079" s="43" t="str">
        <f t="shared" si="84"/>
        <v/>
      </c>
      <c r="M3079" s="177"/>
      <c r="N3079" s="145"/>
      <c r="O3079" s="146"/>
      <c r="P3079" s="48" t="str">
        <f t="array" ref="P3079">IFNA(XLOOKUP(J3079,'⚙️ Pengaturan'!$E$2:$E3237,'⚙️ Pengaturan'!$F$2:$F3237),"")</f>
        <v/>
      </c>
      <c r="Q3079" s="147" t="str">
        <f t="shared" si="85"/>
        <v/>
      </c>
      <c r="R3079" s="173"/>
      <c r="S3079" s="76"/>
      <c r="T3079" s="51" t="b">
        <v>0</v>
      </c>
      <c r="U3079" s="94"/>
    </row>
    <row r="3080" ht="30.0" customHeight="1">
      <c r="A3080" s="39"/>
      <c r="B3080" s="40"/>
      <c r="C3080" s="173"/>
      <c r="D3080" s="86"/>
      <c r="E3080" s="43" t="str">
        <f t="shared" si="82"/>
        <v/>
      </c>
      <c r="F3080" s="43" t="str">
        <f t="shared" si="83"/>
        <v/>
      </c>
      <c r="G3080" s="44"/>
      <c r="H3080" s="44"/>
      <c r="I3080" s="44"/>
      <c r="J3080" s="176"/>
      <c r="K3080" s="43" t="str">
        <f t="array" ref="K3080">IF(J3080="","", XLOOKUP(J3080,'⚙️ Pengaturan'!$E$2:$E3237,'⚙️ Pengaturan'!$G$2:$G3237))</f>
        <v/>
      </c>
      <c r="L3080" s="43" t="str">
        <f t="shared" si="84"/>
        <v/>
      </c>
      <c r="M3080" s="177"/>
      <c r="N3080" s="145"/>
      <c r="O3080" s="146"/>
      <c r="P3080" s="48" t="str">
        <f t="array" ref="P3080">IFNA(XLOOKUP(J3080,'⚙️ Pengaturan'!$E$2:$E3237,'⚙️ Pengaturan'!$F$2:$F3237),"")</f>
        <v/>
      </c>
      <c r="Q3080" s="147" t="str">
        <f t="shared" si="85"/>
        <v/>
      </c>
      <c r="R3080" s="173"/>
      <c r="S3080" s="76"/>
      <c r="T3080" s="51" t="b">
        <v>0</v>
      </c>
      <c r="U3080" s="94"/>
    </row>
    <row r="3081" ht="30.0" customHeight="1">
      <c r="A3081" s="39"/>
      <c r="B3081" s="40"/>
      <c r="C3081" s="173"/>
      <c r="D3081" s="86"/>
      <c r="E3081" s="43" t="str">
        <f t="shared" si="82"/>
        <v/>
      </c>
      <c r="F3081" s="43" t="str">
        <f t="shared" si="83"/>
        <v/>
      </c>
      <c r="G3081" s="44"/>
      <c r="H3081" s="44"/>
      <c r="I3081" s="44"/>
      <c r="J3081" s="176"/>
      <c r="K3081" s="43" t="str">
        <f t="array" ref="K3081">IF(J3081="","", XLOOKUP(J3081,'⚙️ Pengaturan'!$E$2:$E3237,'⚙️ Pengaturan'!$G$2:$G3237))</f>
        <v/>
      </c>
      <c r="L3081" s="43" t="str">
        <f t="shared" si="84"/>
        <v/>
      </c>
      <c r="M3081" s="177"/>
      <c r="N3081" s="145"/>
      <c r="O3081" s="146"/>
      <c r="P3081" s="48" t="str">
        <f t="array" ref="P3081">IFNA(XLOOKUP(J3081,'⚙️ Pengaturan'!$E$2:$E3237,'⚙️ Pengaturan'!$F$2:$F3237),"")</f>
        <v/>
      </c>
      <c r="Q3081" s="147" t="str">
        <f t="shared" si="85"/>
        <v/>
      </c>
      <c r="R3081" s="173"/>
      <c r="S3081" s="76"/>
      <c r="T3081" s="51" t="b">
        <v>0</v>
      </c>
      <c r="U3081" s="94"/>
    </row>
    <row r="3082" ht="30.0" customHeight="1">
      <c r="A3082" s="39"/>
      <c r="B3082" s="40"/>
      <c r="C3082" s="173"/>
      <c r="D3082" s="86"/>
      <c r="E3082" s="43" t="str">
        <f t="shared" si="82"/>
        <v/>
      </c>
      <c r="F3082" s="43" t="str">
        <f t="shared" si="83"/>
        <v/>
      </c>
      <c r="G3082" s="44"/>
      <c r="H3082" s="44"/>
      <c r="I3082" s="44"/>
      <c r="J3082" s="176"/>
      <c r="K3082" s="43" t="str">
        <f t="array" ref="K3082">IF(J3082="","", XLOOKUP(J3082,'⚙️ Pengaturan'!$E$2:$E3237,'⚙️ Pengaturan'!$G$2:$G3237))</f>
        <v/>
      </c>
      <c r="L3082" s="43" t="str">
        <f t="shared" si="84"/>
        <v/>
      </c>
      <c r="M3082" s="177"/>
      <c r="N3082" s="145"/>
      <c r="O3082" s="146"/>
      <c r="P3082" s="48" t="str">
        <f t="array" ref="P3082">IFNA(XLOOKUP(J3082,'⚙️ Pengaturan'!$E$2:$E3237,'⚙️ Pengaturan'!$F$2:$F3237),"")</f>
        <v/>
      </c>
      <c r="Q3082" s="147" t="str">
        <f t="shared" si="85"/>
        <v/>
      </c>
      <c r="R3082" s="173"/>
      <c r="S3082" s="76"/>
      <c r="T3082" s="51" t="b">
        <v>0</v>
      </c>
      <c r="U3082" s="94"/>
    </row>
    <row r="3083" ht="30.0" customHeight="1">
      <c r="A3083" s="39"/>
      <c r="B3083" s="40"/>
      <c r="C3083" s="173"/>
      <c r="D3083" s="86"/>
      <c r="E3083" s="43" t="str">
        <f t="shared" si="82"/>
        <v/>
      </c>
      <c r="F3083" s="43" t="str">
        <f t="shared" si="83"/>
        <v/>
      </c>
      <c r="G3083" s="44"/>
      <c r="H3083" s="44"/>
      <c r="I3083" s="44"/>
      <c r="J3083" s="176"/>
      <c r="K3083" s="43" t="str">
        <f t="array" ref="K3083">IF(J3083="","", XLOOKUP(J3083,'⚙️ Pengaturan'!$E$2:$E3237,'⚙️ Pengaturan'!$G$2:$G3237))</f>
        <v/>
      </c>
      <c r="L3083" s="43" t="str">
        <f t="shared" si="84"/>
        <v/>
      </c>
      <c r="M3083" s="177"/>
      <c r="N3083" s="145"/>
      <c r="O3083" s="146"/>
      <c r="P3083" s="48" t="str">
        <f t="array" ref="P3083">IFNA(XLOOKUP(J3083,'⚙️ Pengaturan'!$E$2:$E3237,'⚙️ Pengaturan'!$F$2:$F3237),"")</f>
        <v/>
      </c>
      <c r="Q3083" s="147" t="str">
        <f t="shared" si="85"/>
        <v/>
      </c>
      <c r="R3083" s="173"/>
      <c r="S3083" s="76"/>
      <c r="T3083" s="51" t="b">
        <v>0</v>
      </c>
      <c r="U3083" s="94"/>
    </row>
    <row r="3084" ht="30.0" customHeight="1">
      <c r="A3084" s="39"/>
      <c r="B3084" s="40"/>
      <c r="C3084" s="173"/>
      <c r="D3084" s="86"/>
      <c r="E3084" s="43" t="str">
        <f t="shared" si="82"/>
        <v/>
      </c>
      <c r="F3084" s="43" t="str">
        <f t="shared" si="83"/>
        <v/>
      </c>
      <c r="G3084" s="44"/>
      <c r="H3084" s="44"/>
      <c r="I3084" s="44"/>
      <c r="J3084" s="176"/>
      <c r="K3084" s="43" t="str">
        <f t="array" ref="K3084">IF(J3084="","", XLOOKUP(J3084,'⚙️ Pengaturan'!$E$2:$E3237,'⚙️ Pengaturan'!$G$2:$G3237))</f>
        <v/>
      </c>
      <c r="L3084" s="43" t="str">
        <f t="shared" si="84"/>
        <v/>
      </c>
      <c r="M3084" s="177"/>
      <c r="N3084" s="145"/>
      <c r="O3084" s="146"/>
      <c r="P3084" s="48" t="str">
        <f t="array" ref="P3084">IFNA(XLOOKUP(J3084,'⚙️ Pengaturan'!$E$2:$E3237,'⚙️ Pengaturan'!$F$2:$F3237),"")</f>
        <v/>
      </c>
      <c r="Q3084" s="147" t="str">
        <f t="shared" si="85"/>
        <v/>
      </c>
      <c r="R3084" s="173"/>
      <c r="S3084" s="76"/>
      <c r="T3084" s="51" t="b">
        <v>0</v>
      </c>
      <c r="U3084" s="94"/>
    </row>
    <row r="3085" ht="30.0" customHeight="1">
      <c r="A3085" s="39"/>
      <c r="B3085" s="40"/>
      <c r="C3085" s="173"/>
      <c r="D3085" s="86"/>
      <c r="E3085" s="43" t="str">
        <f t="shared" si="82"/>
        <v/>
      </c>
      <c r="F3085" s="43" t="str">
        <f t="shared" si="83"/>
        <v/>
      </c>
      <c r="G3085" s="44"/>
      <c r="H3085" s="44"/>
      <c r="I3085" s="44"/>
      <c r="J3085" s="176"/>
      <c r="K3085" s="43" t="str">
        <f t="array" ref="K3085">IF(J3085="","", XLOOKUP(J3085,'⚙️ Pengaturan'!$E$2:$E3237,'⚙️ Pengaturan'!$G$2:$G3237))</f>
        <v/>
      </c>
      <c r="L3085" s="43" t="str">
        <f t="shared" si="84"/>
        <v/>
      </c>
      <c r="M3085" s="177"/>
      <c r="N3085" s="145"/>
      <c r="O3085" s="146"/>
      <c r="P3085" s="48" t="str">
        <f t="array" ref="P3085">IFNA(XLOOKUP(J3085,'⚙️ Pengaturan'!$E$2:$E3237,'⚙️ Pengaturan'!$F$2:$F3237),"")</f>
        <v/>
      </c>
      <c r="Q3085" s="147" t="str">
        <f t="shared" si="85"/>
        <v/>
      </c>
      <c r="R3085" s="173"/>
      <c r="S3085" s="76"/>
      <c r="T3085" s="51" t="b">
        <v>0</v>
      </c>
      <c r="U3085" s="94"/>
    </row>
    <row r="3086" ht="30.0" customHeight="1">
      <c r="A3086" s="39"/>
      <c r="B3086" s="40"/>
      <c r="C3086" s="173"/>
      <c r="D3086" s="86"/>
      <c r="E3086" s="43" t="str">
        <f t="shared" si="82"/>
        <v/>
      </c>
      <c r="F3086" s="43" t="str">
        <f t="shared" si="83"/>
        <v/>
      </c>
      <c r="G3086" s="44"/>
      <c r="H3086" s="44"/>
      <c r="I3086" s="44"/>
      <c r="J3086" s="176"/>
      <c r="K3086" s="43" t="str">
        <f t="array" ref="K3086">IF(J3086="","", XLOOKUP(J3086,'⚙️ Pengaturan'!$E$2:$E3237,'⚙️ Pengaturan'!$G$2:$G3237))</f>
        <v/>
      </c>
      <c r="L3086" s="43" t="str">
        <f t="shared" si="84"/>
        <v/>
      </c>
      <c r="M3086" s="177"/>
      <c r="N3086" s="145"/>
      <c r="O3086" s="146"/>
      <c r="P3086" s="48" t="str">
        <f t="array" ref="P3086">IFNA(XLOOKUP(J3086,'⚙️ Pengaturan'!$E$2:$E3237,'⚙️ Pengaturan'!$F$2:$F3237),"")</f>
        <v/>
      </c>
      <c r="Q3086" s="147" t="str">
        <f t="shared" si="85"/>
        <v/>
      </c>
      <c r="R3086" s="173"/>
      <c r="S3086" s="76"/>
      <c r="T3086" s="51" t="b">
        <v>0</v>
      </c>
      <c r="U3086" s="94"/>
    </row>
    <row r="3087" ht="30.0" customHeight="1">
      <c r="A3087" s="39"/>
      <c r="B3087" s="40"/>
      <c r="C3087" s="173"/>
      <c r="D3087" s="86"/>
      <c r="E3087" s="43" t="str">
        <f t="shared" si="82"/>
        <v/>
      </c>
      <c r="F3087" s="43" t="str">
        <f t="shared" si="83"/>
        <v/>
      </c>
      <c r="G3087" s="44"/>
      <c r="H3087" s="44"/>
      <c r="I3087" s="44"/>
      <c r="J3087" s="176"/>
      <c r="K3087" s="43" t="str">
        <f t="array" ref="K3087">IF(J3087="","", XLOOKUP(J3087,'⚙️ Pengaturan'!$E$2:$E3237,'⚙️ Pengaturan'!$G$2:$G3237))</f>
        <v/>
      </c>
      <c r="L3087" s="43" t="str">
        <f t="shared" si="84"/>
        <v/>
      </c>
      <c r="M3087" s="177"/>
      <c r="N3087" s="145"/>
      <c r="O3087" s="146"/>
      <c r="P3087" s="48" t="str">
        <f t="array" ref="P3087">IFNA(XLOOKUP(J3087,'⚙️ Pengaturan'!$E$2:$E3237,'⚙️ Pengaturan'!$F$2:$F3237),"")</f>
        <v/>
      </c>
      <c r="Q3087" s="147" t="str">
        <f t="shared" si="85"/>
        <v/>
      </c>
      <c r="R3087" s="173"/>
      <c r="S3087" s="76"/>
      <c r="T3087" s="51" t="b">
        <v>0</v>
      </c>
      <c r="U3087" s="94"/>
    </row>
    <row r="3088" ht="30.0" customHeight="1">
      <c r="A3088" s="39"/>
      <c r="B3088" s="40"/>
      <c r="C3088" s="173"/>
      <c r="D3088" s="86"/>
      <c r="E3088" s="43" t="str">
        <f t="shared" si="82"/>
        <v/>
      </c>
      <c r="F3088" s="43" t="str">
        <f t="shared" si="83"/>
        <v/>
      </c>
      <c r="G3088" s="44"/>
      <c r="H3088" s="44"/>
      <c r="I3088" s="44"/>
      <c r="J3088" s="176"/>
      <c r="K3088" s="43" t="str">
        <f t="array" ref="K3088">IF(J3088="","", XLOOKUP(J3088,'⚙️ Pengaturan'!$E$2:$E3237,'⚙️ Pengaturan'!$G$2:$G3237))</f>
        <v/>
      </c>
      <c r="L3088" s="43" t="str">
        <f t="shared" si="84"/>
        <v/>
      </c>
      <c r="M3088" s="177"/>
      <c r="N3088" s="145"/>
      <c r="O3088" s="146"/>
      <c r="P3088" s="48" t="str">
        <f t="array" ref="P3088">IFNA(XLOOKUP(J3088,'⚙️ Pengaturan'!$E$2:$E3237,'⚙️ Pengaturan'!$F$2:$F3237),"")</f>
        <v/>
      </c>
      <c r="Q3088" s="147" t="str">
        <f t="shared" si="85"/>
        <v/>
      </c>
      <c r="R3088" s="173"/>
      <c r="S3088" s="76"/>
      <c r="T3088" s="51" t="b">
        <v>0</v>
      </c>
      <c r="U3088" s="94"/>
    </row>
    <row r="3089" ht="30.0" customHeight="1">
      <c r="A3089" s="39"/>
      <c r="B3089" s="40"/>
      <c r="C3089" s="173"/>
      <c r="D3089" s="86"/>
      <c r="E3089" s="43" t="str">
        <f t="shared" si="82"/>
        <v/>
      </c>
      <c r="F3089" s="43" t="str">
        <f t="shared" si="83"/>
        <v/>
      </c>
      <c r="G3089" s="44"/>
      <c r="H3089" s="44"/>
      <c r="I3089" s="44"/>
      <c r="J3089" s="176"/>
      <c r="K3089" s="43" t="str">
        <f t="array" ref="K3089">IF(J3089="","", XLOOKUP(J3089,'⚙️ Pengaturan'!$E$2:$E3237,'⚙️ Pengaturan'!$G$2:$G3237))</f>
        <v/>
      </c>
      <c r="L3089" s="43" t="str">
        <f t="shared" si="84"/>
        <v/>
      </c>
      <c r="M3089" s="177"/>
      <c r="N3089" s="145"/>
      <c r="O3089" s="146"/>
      <c r="P3089" s="48" t="str">
        <f t="array" ref="P3089">IFNA(XLOOKUP(J3089,'⚙️ Pengaturan'!$E$2:$E3237,'⚙️ Pengaturan'!$F$2:$F3237),"")</f>
        <v/>
      </c>
      <c r="Q3089" s="147" t="str">
        <f t="shared" si="85"/>
        <v/>
      </c>
      <c r="R3089" s="173"/>
      <c r="S3089" s="76"/>
      <c r="T3089" s="51" t="b">
        <v>0</v>
      </c>
      <c r="U3089" s="94"/>
    </row>
    <row r="3090" ht="30.0" customHeight="1">
      <c r="A3090" s="39"/>
      <c r="B3090" s="40"/>
      <c r="C3090" s="173"/>
      <c r="D3090" s="86"/>
      <c r="E3090" s="43" t="str">
        <f t="shared" si="82"/>
        <v/>
      </c>
      <c r="F3090" s="43" t="str">
        <f t="shared" si="83"/>
        <v/>
      </c>
      <c r="G3090" s="44"/>
      <c r="H3090" s="44"/>
      <c r="I3090" s="44"/>
      <c r="J3090" s="176"/>
      <c r="K3090" s="43" t="str">
        <f t="array" ref="K3090">IF(J3090="","", XLOOKUP(J3090,'⚙️ Pengaturan'!$E$2:$E3237,'⚙️ Pengaturan'!$G$2:$G3237))</f>
        <v/>
      </c>
      <c r="L3090" s="43" t="str">
        <f t="shared" si="84"/>
        <v/>
      </c>
      <c r="M3090" s="177"/>
      <c r="N3090" s="145"/>
      <c r="O3090" s="146"/>
      <c r="P3090" s="48" t="str">
        <f t="array" ref="P3090">IFNA(XLOOKUP(J3090,'⚙️ Pengaturan'!$E$2:$E3237,'⚙️ Pengaturan'!$F$2:$F3237),"")</f>
        <v/>
      </c>
      <c r="Q3090" s="147" t="str">
        <f t="shared" si="85"/>
        <v/>
      </c>
      <c r="R3090" s="173"/>
      <c r="S3090" s="76"/>
      <c r="T3090" s="51" t="b">
        <v>0</v>
      </c>
      <c r="U3090" s="94"/>
    </row>
    <row r="3091" ht="30.0" customHeight="1">
      <c r="A3091" s="39"/>
      <c r="B3091" s="40"/>
      <c r="C3091" s="173"/>
      <c r="D3091" s="86"/>
      <c r="E3091" s="43" t="str">
        <f t="shared" si="82"/>
        <v/>
      </c>
      <c r="F3091" s="43" t="str">
        <f t="shared" si="83"/>
        <v/>
      </c>
      <c r="G3091" s="44"/>
      <c r="H3091" s="44"/>
      <c r="I3091" s="44"/>
      <c r="J3091" s="176"/>
      <c r="K3091" s="43" t="str">
        <f t="array" ref="K3091">IF(J3091="","", XLOOKUP(J3091,'⚙️ Pengaturan'!$E$2:$E3237,'⚙️ Pengaturan'!$G$2:$G3237))</f>
        <v/>
      </c>
      <c r="L3091" s="43" t="str">
        <f t="shared" si="84"/>
        <v/>
      </c>
      <c r="M3091" s="177"/>
      <c r="N3091" s="145"/>
      <c r="O3091" s="146"/>
      <c r="P3091" s="48" t="str">
        <f t="array" ref="P3091">IFNA(XLOOKUP(J3091,'⚙️ Pengaturan'!$E$2:$E3237,'⚙️ Pengaturan'!$F$2:$F3237),"")</f>
        <v/>
      </c>
      <c r="Q3091" s="147" t="str">
        <f t="shared" si="85"/>
        <v/>
      </c>
      <c r="R3091" s="173"/>
      <c r="S3091" s="76"/>
      <c r="T3091" s="51" t="b">
        <v>0</v>
      </c>
      <c r="U3091" s="94"/>
    </row>
    <row r="3092" ht="30.0" customHeight="1">
      <c r="A3092" s="39"/>
      <c r="B3092" s="40"/>
      <c r="C3092" s="173"/>
      <c r="D3092" s="86"/>
      <c r="E3092" s="43" t="str">
        <f t="shared" si="82"/>
        <v/>
      </c>
      <c r="F3092" s="43" t="str">
        <f t="shared" si="83"/>
        <v/>
      </c>
      <c r="G3092" s="44"/>
      <c r="H3092" s="44"/>
      <c r="I3092" s="44"/>
      <c r="J3092" s="176"/>
      <c r="K3092" s="43" t="str">
        <f t="array" ref="K3092">IF(J3092="","", XLOOKUP(J3092,'⚙️ Pengaturan'!$E$2:$E3237,'⚙️ Pengaturan'!$G$2:$G3237))</f>
        <v/>
      </c>
      <c r="L3092" s="43" t="str">
        <f t="shared" si="84"/>
        <v/>
      </c>
      <c r="M3092" s="177"/>
      <c r="N3092" s="145"/>
      <c r="O3092" s="146"/>
      <c r="P3092" s="48" t="str">
        <f t="array" ref="P3092">IFNA(XLOOKUP(J3092,'⚙️ Pengaturan'!$E$2:$E3237,'⚙️ Pengaturan'!$F$2:$F3237),"")</f>
        <v/>
      </c>
      <c r="Q3092" s="147" t="str">
        <f t="shared" si="85"/>
        <v/>
      </c>
      <c r="R3092" s="173"/>
      <c r="S3092" s="76"/>
      <c r="T3092" s="51" t="b">
        <v>0</v>
      </c>
      <c r="U3092" s="94"/>
    </row>
    <row r="3093" ht="30.0" customHeight="1">
      <c r="A3093" s="39"/>
      <c r="B3093" s="40"/>
      <c r="C3093" s="173"/>
      <c r="D3093" s="86"/>
      <c r="E3093" s="43" t="str">
        <f t="shared" si="82"/>
        <v/>
      </c>
      <c r="F3093" s="43" t="str">
        <f t="shared" si="83"/>
        <v/>
      </c>
      <c r="G3093" s="44"/>
      <c r="H3093" s="44"/>
      <c r="I3093" s="44"/>
      <c r="J3093" s="176"/>
      <c r="K3093" s="43" t="str">
        <f t="array" ref="K3093">IF(J3093="","", XLOOKUP(J3093,'⚙️ Pengaturan'!$E$2:$E3237,'⚙️ Pengaturan'!$G$2:$G3237))</f>
        <v/>
      </c>
      <c r="L3093" s="43" t="str">
        <f t="shared" si="84"/>
        <v/>
      </c>
      <c r="M3093" s="177"/>
      <c r="N3093" s="145"/>
      <c r="O3093" s="146"/>
      <c r="P3093" s="48" t="str">
        <f t="array" ref="P3093">IFNA(XLOOKUP(J3093,'⚙️ Pengaturan'!$E$2:$E3237,'⚙️ Pengaturan'!$F$2:$F3237),"")</f>
        <v/>
      </c>
      <c r="Q3093" s="147" t="str">
        <f t="shared" si="85"/>
        <v/>
      </c>
      <c r="R3093" s="173"/>
      <c r="S3093" s="76"/>
      <c r="T3093" s="51" t="b">
        <v>0</v>
      </c>
      <c r="U3093" s="94"/>
    </row>
    <row r="3094" ht="30.0" customHeight="1">
      <c r="A3094" s="39"/>
      <c r="B3094" s="40"/>
      <c r="C3094" s="173"/>
      <c r="D3094" s="86"/>
      <c r="E3094" s="43" t="str">
        <f t="shared" si="82"/>
        <v/>
      </c>
      <c r="F3094" s="43" t="str">
        <f t="shared" si="83"/>
        <v/>
      </c>
      <c r="G3094" s="44"/>
      <c r="H3094" s="44"/>
      <c r="I3094" s="44"/>
      <c r="J3094" s="176"/>
      <c r="K3094" s="43" t="str">
        <f t="array" ref="K3094">IF(J3094="","", XLOOKUP(J3094,'⚙️ Pengaturan'!$E$2:$E3237,'⚙️ Pengaturan'!$G$2:$G3237))</f>
        <v/>
      </c>
      <c r="L3094" s="43" t="str">
        <f t="shared" si="84"/>
        <v/>
      </c>
      <c r="M3094" s="177"/>
      <c r="N3094" s="145"/>
      <c r="O3094" s="146"/>
      <c r="P3094" s="48" t="str">
        <f t="array" ref="P3094">IFNA(XLOOKUP(J3094,'⚙️ Pengaturan'!$E$2:$E3237,'⚙️ Pengaturan'!$F$2:$F3237),"")</f>
        <v/>
      </c>
      <c r="Q3094" s="147" t="str">
        <f t="shared" si="85"/>
        <v/>
      </c>
      <c r="R3094" s="173"/>
      <c r="S3094" s="76"/>
      <c r="T3094" s="51" t="b">
        <v>0</v>
      </c>
      <c r="U3094" s="94"/>
    </row>
    <row r="3095" ht="30.0" customHeight="1">
      <c r="A3095" s="39"/>
      <c r="B3095" s="40"/>
      <c r="C3095" s="173"/>
      <c r="D3095" s="86"/>
      <c r="E3095" s="43" t="str">
        <f t="shared" si="82"/>
        <v/>
      </c>
      <c r="F3095" s="43" t="str">
        <f t="shared" si="83"/>
        <v/>
      </c>
      <c r="G3095" s="44"/>
      <c r="H3095" s="44"/>
      <c r="I3095" s="44"/>
      <c r="J3095" s="176"/>
      <c r="K3095" s="43" t="str">
        <f t="array" ref="K3095">IF(J3095="","", XLOOKUP(J3095,'⚙️ Pengaturan'!$E$2:$E3237,'⚙️ Pengaturan'!$G$2:$G3237))</f>
        <v/>
      </c>
      <c r="L3095" s="43" t="str">
        <f t="shared" si="84"/>
        <v/>
      </c>
      <c r="M3095" s="177"/>
      <c r="N3095" s="145"/>
      <c r="O3095" s="146"/>
      <c r="P3095" s="48" t="str">
        <f t="array" ref="P3095">IFNA(XLOOKUP(J3095,'⚙️ Pengaturan'!$E$2:$E3237,'⚙️ Pengaturan'!$F$2:$F3237),"")</f>
        <v/>
      </c>
      <c r="Q3095" s="147" t="str">
        <f t="shared" si="85"/>
        <v/>
      </c>
      <c r="R3095" s="173"/>
      <c r="S3095" s="76"/>
      <c r="T3095" s="51" t="b">
        <v>0</v>
      </c>
      <c r="U3095" s="94"/>
    </row>
    <row r="3096" ht="30.0" customHeight="1">
      <c r="A3096" s="39"/>
      <c r="B3096" s="40"/>
      <c r="C3096" s="173"/>
      <c r="D3096" s="86"/>
      <c r="E3096" s="43" t="str">
        <f t="shared" si="82"/>
        <v/>
      </c>
      <c r="F3096" s="43" t="str">
        <f t="shared" si="83"/>
        <v/>
      </c>
      <c r="G3096" s="44"/>
      <c r="H3096" s="44"/>
      <c r="I3096" s="44"/>
      <c r="J3096" s="176"/>
      <c r="K3096" s="43" t="str">
        <f t="array" ref="K3096">IF(J3096="","", XLOOKUP(J3096,'⚙️ Pengaturan'!$E$2:$E3237,'⚙️ Pengaturan'!$G$2:$G3237))</f>
        <v/>
      </c>
      <c r="L3096" s="43" t="str">
        <f t="shared" si="84"/>
        <v/>
      </c>
      <c r="M3096" s="177"/>
      <c r="N3096" s="145"/>
      <c r="O3096" s="146"/>
      <c r="P3096" s="48" t="str">
        <f t="array" ref="P3096">IFNA(XLOOKUP(J3096,'⚙️ Pengaturan'!$E$2:$E3237,'⚙️ Pengaturan'!$F$2:$F3237),"")</f>
        <v/>
      </c>
      <c r="Q3096" s="147" t="str">
        <f t="shared" si="85"/>
        <v/>
      </c>
      <c r="R3096" s="173"/>
      <c r="S3096" s="76"/>
      <c r="T3096" s="51" t="b">
        <v>0</v>
      </c>
      <c r="U3096" s="94"/>
    </row>
    <row r="3097" ht="30.0" customHeight="1">
      <c r="A3097" s="39"/>
      <c r="B3097" s="40"/>
      <c r="C3097" s="173"/>
      <c r="D3097" s="86"/>
      <c r="E3097" s="43" t="str">
        <f t="shared" si="82"/>
        <v/>
      </c>
      <c r="F3097" s="43" t="str">
        <f t="shared" si="83"/>
        <v/>
      </c>
      <c r="G3097" s="44"/>
      <c r="H3097" s="44"/>
      <c r="I3097" s="44"/>
      <c r="J3097" s="176"/>
      <c r="K3097" s="43" t="str">
        <f t="array" ref="K3097">IF(J3097="","", XLOOKUP(J3097,'⚙️ Pengaturan'!$E$2:$E3237,'⚙️ Pengaturan'!$G$2:$G3237))</f>
        <v/>
      </c>
      <c r="L3097" s="43" t="str">
        <f t="shared" si="84"/>
        <v/>
      </c>
      <c r="M3097" s="177"/>
      <c r="N3097" s="145"/>
      <c r="O3097" s="146"/>
      <c r="P3097" s="48" t="str">
        <f t="array" ref="P3097">IFNA(XLOOKUP(J3097,'⚙️ Pengaturan'!$E$2:$E3237,'⚙️ Pengaturan'!$F$2:$F3237),"")</f>
        <v/>
      </c>
      <c r="Q3097" s="147" t="str">
        <f t="shared" si="85"/>
        <v/>
      </c>
      <c r="R3097" s="173"/>
      <c r="S3097" s="76"/>
      <c r="T3097" s="51" t="b">
        <v>0</v>
      </c>
      <c r="U3097" s="94"/>
    </row>
    <row r="3098" ht="30.0" customHeight="1">
      <c r="A3098" s="39"/>
      <c r="B3098" s="40"/>
      <c r="C3098" s="173"/>
      <c r="D3098" s="86"/>
      <c r="E3098" s="43" t="str">
        <f t="shared" si="82"/>
        <v/>
      </c>
      <c r="F3098" s="43" t="str">
        <f t="shared" si="83"/>
        <v/>
      </c>
      <c r="G3098" s="44"/>
      <c r="H3098" s="44"/>
      <c r="I3098" s="44"/>
      <c r="J3098" s="176"/>
      <c r="K3098" s="43" t="str">
        <f t="array" ref="K3098">IF(J3098="","", XLOOKUP(J3098,'⚙️ Pengaturan'!$E$2:$E3237,'⚙️ Pengaturan'!$G$2:$G3237))</f>
        <v/>
      </c>
      <c r="L3098" s="43" t="str">
        <f t="shared" si="84"/>
        <v/>
      </c>
      <c r="M3098" s="177"/>
      <c r="N3098" s="145"/>
      <c r="O3098" s="146"/>
      <c r="P3098" s="48" t="str">
        <f t="array" ref="P3098">IFNA(XLOOKUP(J3098,'⚙️ Pengaturan'!$E$2:$E3237,'⚙️ Pengaturan'!$F$2:$F3237),"")</f>
        <v/>
      </c>
      <c r="Q3098" s="147" t="str">
        <f t="shared" si="85"/>
        <v/>
      </c>
      <c r="R3098" s="173"/>
      <c r="S3098" s="76"/>
      <c r="T3098" s="51" t="b">
        <v>0</v>
      </c>
      <c r="U3098" s="94"/>
    </row>
    <row r="3099" ht="30.0" customHeight="1">
      <c r="A3099" s="39"/>
      <c r="B3099" s="40"/>
      <c r="C3099" s="173"/>
      <c r="D3099" s="86"/>
      <c r="E3099" s="43" t="str">
        <f t="shared" si="82"/>
        <v/>
      </c>
      <c r="F3099" s="43" t="str">
        <f t="shared" si="83"/>
        <v/>
      </c>
      <c r="G3099" s="44"/>
      <c r="H3099" s="44"/>
      <c r="I3099" s="44"/>
      <c r="J3099" s="176"/>
      <c r="K3099" s="43" t="str">
        <f t="array" ref="K3099">IF(J3099="","", XLOOKUP(J3099,'⚙️ Pengaturan'!$E$2:$E3237,'⚙️ Pengaturan'!$G$2:$G3237))</f>
        <v/>
      </c>
      <c r="L3099" s="43" t="str">
        <f t="shared" si="84"/>
        <v/>
      </c>
      <c r="M3099" s="177"/>
      <c r="N3099" s="145"/>
      <c r="O3099" s="146"/>
      <c r="P3099" s="48" t="str">
        <f t="array" ref="P3099">IFNA(XLOOKUP(J3099,'⚙️ Pengaturan'!$E$2:$E3237,'⚙️ Pengaturan'!$F$2:$F3237),"")</f>
        <v/>
      </c>
      <c r="Q3099" s="147" t="str">
        <f t="shared" si="85"/>
        <v/>
      </c>
      <c r="R3099" s="173"/>
      <c r="S3099" s="76"/>
      <c r="T3099" s="51" t="b">
        <v>0</v>
      </c>
      <c r="U3099" s="94"/>
    </row>
    <row r="3100" ht="30.0" customHeight="1">
      <c r="A3100" s="39"/>
      <c r="B3100" s="40"/>
      <c r="C3100" s="173"/>
      <c r="D3100" s="86"/>
      <c r="E3100" s="43" t="str">
        <f t="shared" si="82"/>
        <v/>
      </c>
      <c r="F3100" s="43" t="str">
        <f t="shared" si="83"/>
        <v/>
      </c>
      <c r="G3100" s="44"/>
      <c r="H3100" s="44"/>
      <c r="I3100" s="44"/>
      <c r="J3100" s="176"/>
      <c r="K3100" s="43" t="str">
        <f t="array" ref="K3100">IF(J3100="","", XLOOKUP(J3100,'⚙️ Pengaturan'!$E$2:$E3237,'⚙️ Pengaturan'!$G$2:$G3237))</f>
        <v/>
      </c>
      <c r="L3100" s="43" t="str">
        <f t="shared" si="84"/>
        <v/>
      </c>
      <c r="M3100" s="177"/>
      <c r="N3100" s="145"/>
      <c r="O3100" s="146"/>
      <c r="P3100" s="48" t="str">
        <f t="array" ref="P3100">IFNA(XLOOKUP(J3100,'⚙️ Pengaturan'!$E$2:$E3237,'⚙️ Pengaturan'!$F$2:$F3237),"")</f>
        <v/>
      </c>
      <c r="Q3100" s="147" t="str">
        <f t="shared" si="85"/>
        <v/>
      </c>
      <c r="R3100" s="173"/>
      <c r="S3100" s="76"/>
      <c r="T3100" s="51" t="b">
        <v>0</v>
      </c>
      <c r="U3100" s="94"/>
    </row>
    <row r="3101" ht="30.0" customHeight="1">
      <c r="A3101" s="39"/>
      <c r="B3101" s="40"/>
      <c r="C3101" s="173"/>
      <c r="D3101" s="86"/>
      <c r="E3101" s="43" t="str">
        <f t="shared" si="82"/>
        <v/>
      </c>
      <c r="F3101" s="43" t="str">
        <f t="shared" si="83"/>
        <v/>
      </c>
      <c r="G3101" s="44"/>
      <c r="H3101" s="44"/>
      <c r="I3101" s="44"/>
      <c r="J3101" s="176"/>
      <c r="K3101" s="43" t="str">
        <f t="array" ref="K3101">IF(J3101="","", XLOOKUP(J3101,'⚙️ Pengaturan'!$E$2:$E3237,'⚙️ Pengaturan'!$G$2:$G3237))</f>
        <v/>
      </c>
      <c r="L3101" s="43" t="str">
        <f t="shared" si="84"/>
        <v/>
      </c>
      <c r="M3101" s="177"/>
      <c r="N3101" s="145"/>
      <c r="O3101" s="146"/>
      <c r="P3101" s="48" t="str">
        <f t="array" ref="P3101">IFNA(XLOOKUP(J3101,'⚙️ Pengaturan'!$E$2:$E3237,'⚙️ Pengaturan'!$F$2:$F3237),"")</f>
        <v/>
      </c>
      <c r="Q3101" s="147" t="str">
        <f t="shared" si="85"/>
        <v/>
      </c>
      <c r="R3101" s="173"/>
      <c r="S3101" s="76"/>
      <c r="T3101" s="51" t="b">
        <v>0</v>
      </c>
      <c r="U3101" s="94"/>
    </row>
    <row r="3102" ht="30.0" customHeight="1">
      <c r="A3102" s="39"/>
      <c r="B3102" s="40"/>
      <c r="C3102" s="173"/>
      <c r="D3102" s="86"/>
      <c r="E3102" s="43" t="str">
        <f t="shared" si="82"/>
        <v/>
      </c>
      <c r="F3102" s="43" t="str">
        <f t="shared" si="83"/>
        <v/>
      </c>
      <c r="G3102" s="44"/>
      <c r="H3102" s="44"/>
      <c r="I3102" s="44"/>
      <c r="J3102" s="176"/>
      <c r="K3102" s="43" t="str">
        <f t="array" ref="K3102">IF(J3102="","", XLOOKUP(J3102,'⚙️ Pengaturan'!$E$2:$E3237,'⚙️ Pengaturan'!$G$2:$G3237))</f>
        <v/>
      </c>
      <c r="L3102" s="43" t="str">
        <f t="shared" si="84"/>
        <v/>
      </c>
      <c r="M3102" s="177"/>
      <c r="N3102" s="145"/>
      <c r="O3102" s="146"/>
      <c r="P3102" s="48" t="str">
        <f t="array" ref="P3102">IFNA(XLOOKUP(J3102,'⚙️ Pengaturan'!$E$2:$E3237,'⚙️ Pengaturan'!$F$2:$F3237),"")</f>
        <v/>
      </c>
      <c r="Q3102" s="147" t="str">
        <f t="shared" si="85"/>
        <v/>
      </c>
      <c r="R3102" s="173"/>
      <c r="S3102" s="76"/>
      <c r="T3102" s="51" t="b">
        <v>0</v>
      </c>
      <c r="U3102" s="94"/>
    </row>
    <row r="3103" ht="30.0" customHeight="1">
      <c r="A3103" s="39"/>
      <c r="B3103" s="40"/>
      <c r="C3103" s="173"/>
      <c r="D3103" s="86"/>
      <c r="E3103" s="43" t="str">
        <f t="shared" si="82"/>
        <v/>
      </c>
      <c r="F3103" s="43" t="str">
        <f t="shared" si="83"/>
        <v/>
      </c>
      <c r="G3103" s="44"/>
      <c r="H3103" s="44"/>
      <c r="I3103" s="44"/>
      <c r="J3103" s="176"/>
      <c r="K3103" s="43" t="str">
        <f t="array" ref="K3103">IF(J3103="","", XLOOKUP(J3103,'⚙️ Pengaturan'!$E$2:$E3237,'⚙️ Pengaturan'!$G$2:$G3237))</f>
        <v/>
      </c>
      <c r="L3103" s="43" t="str">
        <f t="shared" si="84"/>
        <v/>
      </c>
      <c r="M3103" s="177"/>
      <c r="N3103" s="145"/>
      <c r="O3103" s="146"/>
      <c r="P3103" s="48" t="str">
        <f t="array" ref="P3103">IFNA(XLOOKUP(J3103,'⚙️ Pengaturan'!$E$2:$E3237,'⚙️ Pengaturan'!$F$2:$F3237),"")</f>
        <v/>
      </c>
      <c r="Q3103" s="147" t="str">
        <f t="shared" si="85"/>
        <v/>
      </c>
      <c r="R3103" s="173"/>
      <c r="S3103" s="76"/>
      <c r="T3103" s="51" t="b">
        <v>0</v>
      </c>
      <c r="U3103" s="94"/>
    </row>
    <row r="3104" ht="30.0" customHeight="1">
      <c r="A3104" s="39"/>
      <c r="B3104" s="40"/>
      <c r="C3104" s="173"/>
      <c r="D3104" s="86"/>
      <c r="E3104" s="43" t="str">
        <f t="shared" si="82"/>
        <v/>
      </c>
      <c r="F3104" s="43" t="str">
        <f t="shared" si="83"/>
        <v/>
      </c>
      <c r="G3104" s="44"/>
      <c r="H3104" s="44"/>
      <c r="I3104" s="44"/>
      <c r="J3104" s="176"/>
      <c r="K3104" s="43" t="str">
        <f t="array" ref="K3104">IF(J3104="","", XLOOKUP(J3104,'⚙️ Pengaturan'!$E$2:$E3237,'⚙️ Pengaturan'!$G$2:$G3237))</f>
        <v/>
      </c>
      <c r="L3104" s="43" t="str">
        <f t="shared" si="84"/>
        <v/>
      </c>
      <c r="M3104" s="177"/>
      <c r="N3104" s="145"/>
      <c r="O3104" s="146"/>
      <c r="P3104" s="48" t="str">
        <f t="array" ref="P3104">IFNA(XLOOKUP(J3104,'⚙️ Pengaturan'!$E$2:$E3237,'⚙️ Pengaturan'!$F$2:$F3237),"")</f>
        <v/>
      </c>
      <c r="Q3104" s="147" t="str">
        <f t="shared" si="85"/>
        <v/>
      </c>
      <c r="R3104" s="173"/>
      <c r="S3104" s="76"/>
      <c r="T3104" s="51" t="b">
        <v>0</v>
      </c>
      <c r="U3104" s="94"/>
    </row>
    <row r="3105" ht="30.0" customHeight="1">
      <c r="A3105" s="39"/>
      <c r="B3105" s="40"/>
      <c r="C3105" s="173"/>
      <c r="D3105" s="86"/>
      <c r="E3105" s="43" t="str">
        <f t="shared" si="82"/>
        <v/>
      </c>
      <c r="F3105" s="43" t="str">
        <f t="shared" si="83"/>
        <v/>
      </c>
      <c r="G3105" s="44"/>
      <c r="H3105" s="44"/>
      <c r="I3105" s="44"/>
      <c r="J3105" s="176"/>
      <c r="K3105" s="43" t="str">
        <f t="array" ref="K3105">IF(J3105="","", XLOOKUP(J3105,'⚙️ Pengaturan'!$E$2:$E3237,'⚙️ Pengaturan'!$G$2:$G3237))</f>
        <v/>
      </c>
      <c r="L3105" s="43" t="str">
        <f t="shared" si="84"/>
        <v/>
      </c>
      <c r="M3105" s="177"/>
      <c r="N3105" s="145"/>
      <c r="O3105" s="146"/>
      <c r="P3105" s="48" t="str">
        <f t="array" ref="P3105">IFNA(XLOOKUP(J3105,'⚙️ Pengaturan'!$E$2:$E3237,'⚙️ Pengaturan'!$F$2:$F3237),"")</f>
        <v/>
      </c>
      <c r="Q3105" s="147" t="str">
        <f t="shared" si="85"/>
        <v/>
      </c>
      <c r="R3105" s="173"/>
      <c r="S3105" s="76"/>
      <c r="T3105" s="51" t="b">
        <v>0</v>
      </c>
      <c r="U3105" s="94"/>
    </row>
    <row r="3106" ht="30.0" customHeight="1">
      <c r="A3106" s="39"/>
      <c r="B3106" s="40"/>
      <c r="C3106" s="173"/>
      <c r="D3106" s="86"/>
      <c r="E3106" s="43" t="str">
        <f t="shared" si="82"/>
        <v/>
      </c>
      <c r="F3106" s="43" t="str">
        <f t="shared" si="83"/>
        <v/>
      </c>
      <c r="G3106" s="44"/>
      <c r="H3106" s="44"/>
      <c r="I3106" s="44"/>
      <c r="J3106" s="176"/>
      <c r="K3106" s="43" t="str">
        <f t="array" ref="K3106">IF(J3106="","", XLOOKUP(J3106,'⚙️ Pengaturan'!$E$2:$E3237,'⚙️ Pengaturan'!$G$2:$G3237))</f>
        <v/>
      </c>
      <c r="L3106" s="43" t="str">
        <f t="shared" si="84"/>
        <v/>
      </c>
      <c r="M3106" s="177"/>
      <c r="N3106" s="145"/>
      <c r="O3106" s="146"/>
      <c r="P3106" s="48" t="str">
        <f t="array" ref="P3106">IFNA(XLOOKUP(J3106,'⚙️ Pengaturan'!$E$2:$E3237,'⚙️ Pengaturan'!$F$2:$F3237),"")</f>
        <v/>
      </c>
      <c r="Q3106" s="147" t="str">
        <f t="shared" si="85"/>
        <v/>
      </c>
      <c r="R3106" s="173"/>
      <c r="S3106" s="76"/>
      <c r="T3106" s="51" t="b">
        <v>0</v>
      </c>
      <c r="U3106" s="94"/>
    </row>
    <row r="3107" ht="30.0" customHeight="1">
      <c r="A3107" s="39"/>
      <c r="B3107" s="40"/>
      <c r="C3107" s="173"/>
      <c r="D3107" s="86"/>
      <c r="E3107" s="43" t="str">
        <f t="shared" si="82"/>
        <v/>
      </c>
      <c r="F3107" s="43" t="str">
        <f t="shared" si="83"/>
        <v/>
      </c>
      <c r="G3107" s="44"/>
      <c r="H3107" s="44"/>
      <c r="I3107" s="44"/>
      <c r="J3107" s="176"/>
      <c r="K3107" s="43" t="str">
        <f t="array" ref="K3107">IF(J3107="","", XLOOKUP(J3107,'⚙️ Pengaturan'!$E$2:$E3237,'⚙️ Pengaturan'!$G$2:$G3237))</f>
        <v/>
      </c>
      <c r="L3107" s="43" t="str">
        <f t="shared" si="84"/>
        <v/>
      </c>
      <c r="M3107" s="177"/>
      <c r="N3107" s="145"/>
      <c r="O3107" s="146"/>
      <c r="P3107" s="48" t="str">
        <f t="array" ref="P3107">IFNA(XLOOKUP(J3107,'⚙️ Pengaturan'!$E$2:$E3237,'⚙️ Pengaturan'!$F$2:$F3237),"")</f>
        <v/>
      </c>
      <c r="Q3107" s="147" t="str">
        <f t="shared" si="85"/>
        <v/>
      </c>
      <c r="R3107" s="173"/>
      <c r="S3107" s="76"/>
      <c r="T3107" s="51" t="b">
        <v>0</v>
      </c>
      <c r="U3107" s="94"/>
    </row>
    <row r="3108" ht="30.0" customHeight="1">
      <c r="A3108" s="39"/>
      <c r="B3108" s="40"/>
      <c r="C3108" s="173"/>
      <c r="D3108" s="86"/>
      <c r="E3108" s="43" t="str">
        <f t="shared" si="82"/>
        <v/>
      </c>
      <c r="F3108" s="43" t="str">
        <f t="shared" si="83"/>
        <v/>
      </c>
      <c r="G3108" s="44"/>
      <c r="H3108" s="44"/>
      <c r="I3108" s="44"/>
      <c r="J3108" s="176"/>
      <c r="K3108" s="43" t="str">
        <f t="array" ref="K3108">IF(J3108="","", XLOOKUP(J3108,'⚙️ Pengaturan'!$E$2:$E3237,'⚙️ Pengaturan'!$G$2:$G3237))</f>
        <v/>
      </c>
      <c r="L3108" s="43" t="str">
        <f t="shared" si="84"/>
        <v/>
      </c>
      <c r="M3108" s="177"/>
      <c r="N3108" s="145"/>
      <c r="O3108" s="146"/>
      <c r="P3108" s="48" t="str">
        <f t="array" ref="P3108">IFNA(XLOOKUP(J3108,'⚙️ Pengaturan'!$E$2:$E3237,'⚙️ Pengaturan'!$F$2:$F3237),"")</f>
        <v/>
      </c>
      <c r="Q3108" s="147" t="str">
        <f t="shared" si="85"/>
        <v/>
      </c>
      <c r="R3108" s="173"/>
      <c r="S3108" s="76"/>
      <c r="T3108" s="51" t="b">
        <v>0</v>
      </c>
      <c r="U3108" s="94"/>
    </row>
    <row r="3109" ht="30.0" customHeight="1">
      <c r="A3109" s="39"/>
      <c r="B3109" s="40"/>
      <c r="C3109" s="173"/>
      <c r="D3109" s="86"/>
      <c r="E3109" s="43" t="str">
        <f t="shared" si="82"/>
        <v/>
      </c>
      <c r="F3109" s="43" t="str">
        <f t="shared" si="83"/>
        <v/>
      </c>
      <c r="G3109" s="44"/>
      <c r="H3109" s="44"/>
      <c r="I3109" s="44"/>
      <c r="J3109" s="176"/>
      <c r="K3109" s="43" t="str">
        <f t="array" ref="K3109">IF(J3109="","", XLOOKUP(J3109,'⚙️ Pengaturan'!$E$2:$E3237,'⚙️ Pengaturan'!$G$2:$G3237))</f>
        <v/>
      </c>
      <c r="L3109" s="43" t="str">
        <f t="shared" si="84"/>
        <v/>
      </c>
      <c r="M3109" s="177"/>
      <c r="N3109" s="145"/>
      <c r="O3109" s="146"/>
      <c r="P3109" s="48" t="str">
        <f t="array" ref="P3109">IFNA(XLOOKUP(J3109,'⚙️ Pengaturan'!$E$2:$E3237,'⚙️ Pengaturan'!$F$2:$F3237),"")</f>
        <v/>
      </c>
      <c r="Q3109" s="147" t="str">
        <f t="shared" si="85"/>
        <v/>
      </c>
      <c r="R3109" s="173"/>
      <c r="S3109" s="76"/>
      <c r="T3109" s="51" t="b">
        <v>0</v>
      </c>
      <c r="U3109" s="94"/>
    </row>
    <row r="3110" ht="30.0" customHeight="1">
      <c r="A3110" s="39"/>
      <c r="B3110" s="40"/>
      <c r="C3110" s="173"/>
      <c r="D3110" s="86"/>
      <c r="E3110" s="43" t="str">
        <f t="shared" si="82"/>
        <v/>
      </c>
      <c r="F3110" s="43" t="str">
        <f t="shared" si="83"/>
        <v/>
      </c>
      <c r="G3110" s="44"/>
      <c r="H3110" s="44"/>
      <c r="I3110" s="44"/>
      <c r="J3110" s="176"/>
      <c r="K3110" s="43" t="str">
        <f t="array" ref="K3110">IF(J3110="","", XLOOKUP(J3110,'⚙️ Pengaturan'!$E$2:$E3237,'⚙️ Pengaturan'!$G$2:$G3237))</f>
        <v/>
      </c>
      <c r="L3110" s="43" t="str">
        <f t="shared" si="84"/>
        <v/>
      </c>
      <c r="M3110" s="177"/>
      <c r="N3110" s="145"/>
      <c r="O3110" s="146"/>
      <c r="P3110" s="48" t="str">
        <f t="array" ref="P3110">IFNA(XLOOKUP(J3110,'⚙️ Pengaturan'!$E$2:$E3237,'⚙️ Pengaturan'!$F$2:$F3237),"")</f>
        <v/>
      </c>
      <c r="Q3110" s="147" t="str">
        <f t="shared" si="85"/>
        <v/>
      </c>
      <c r="R3110" s="173"/>
      <c r="S3110" s="76"/>
      <c r="T3110" s="51" t="b">
        <v>0</v>
      </c>
      <c r="U3110" s="94"/>
    </row>
    <row r="3111" ht="30.0" customHeight="1">
      <c r="A3111" s="39"/>
      <c r="B3111" s="40"/>
      <c r="C3111" s="173"/>
      <c r="D3111" s="86"/>
      <c r="E3111" s="43" t="str">
        <f t="shared" si="82"/>
        <v/>
      </c>
      <c r="F3111" s="43" t="str">
        <f t="shared" si="83"/>
        <v/>
      </c>
      <c r="G3111" s="44"/>
      <c r="H3111" s="44"/>
      <c r="I3111" s="44"/>
      <c r="J3111" s="176"/>
      <c r="K3111" s="43" t="str">
        <f t="array" ref="K3111">IF(J3111="","", XLOOKUP(J3111,'⚙️ Pengaturan'!$E$2:$E3237,'⚙️ Pengaturan'!$G$2:$G3237))</f>
        <v/>
      </c>
      <c r="L3111" s="43" t="str">
        <f t="shared" si="84"/>
        <v/>
      </c>
      <c r="M3111" s="177"/>
      <c r="N3111" s="145"/>
      <c r="O3111" s="146"/>
      <c r="P3111" s="48" t="str">
        <f t="array" ref="P3111">IFNA(XLOOKUP(J3111,'⚙️ Pengaturan'!$E$2:$E3237,'⚙️ Pengaturan'!$F$2:$F3237),"")</f>
        <v/>
      </c>
      <c r="Q3111" s="147" t="str">
        <f t="shared" si="85"/>
        <v/>
      </c>
      <c r="R3111" s="173"/>
      <c r="S3111" s="76"/>
      <c r="T3111" s="51" t="b">
        <v>0</v>
      </c>
      <c r="U3111" s="94"/>
    </row>
    <row r="3112" ht="30.0" customHeight="1">
      <c r="A3112" s="39"/>
      <c r="B3112" s="40"/>
      <c r="C3112" s="173"/>
      <c r="D3112" s="86"/>
      <c r="E3112" s="43" t="str">
        <f t="shared" si="82"/>
        <v/>
      </c>
      <c r="F3112" s="43" t="str">
        <f t="shared" si="83"/>
        <v/>
      </c>
      <c r="G3112" s="44"/>
      <c r="H3112" s="44"/>
      <c r="I3112" s="44"/>
      <c r="J3112" s="176"/>
      <c r="K3112" s="43" t="str">
        <f t="array" ref="K3112">IF(J3112="","", XLOOKUP(J3112,'⚙️ Pengaturan'!$E$2:$E3237,'⚙️ Pengaturan'!$G$2:$G3237))</f>
        <v/>
      </c>
      <c r="L3112" s="43" t="str">
        <f t="shared" si="84"/>
        <v/>
      </c>
      <c r="M3112" s="177"/>
      <c r="N3112" s="145"/>
      <c r="O3112" s="146"/>
      <c r="P3112" s="48" t="str">
        <f t="array" ref="P3112">IFNA(XLOOKUP(J3112,'⚙️ Pengaturan'!$E$2:$E3237,'⚙️ Pengaturan'!$F$2:$F3237),"")</f>
        <v/>
      </c>
      <c r="Q3112" s="147" t="str">
        <f t="shared" si="85"/>
        <v/>
      </c>
      <c r="R3112" s="173"/>
      <c r="S3112" s="76"/>
      <c r="T3112" s="51" t="b">
        <v>0</v>
      </c>
      <c r="U3112" s="94"/>
    </row>
    <row r="3113" ht="30.0" customHeight="1">
      <c r="A3113" s="39"/>
      <c r="B3113" s="40"/>
      <c r="C3113" s="173"/>
      <c r="D3113" s="86"/>
      <c r="E3113" s="43" t="str">
        <f t="shared" si="82"/>
        <v/>
      </c>
      <c r="F3113" s="43" t="str">
        <f t="shared" si="83"/>
        <v/>
      </c>
      <c r="G3113" s="44"/>
      <c r="H3113" s="44"/>
      <c r="I3113" s="44"/>
      <c r="J3113" s="176"/>
      <c r="K3113" s="43" t="str">
        <f t="array" ref="K3113">IF(J3113="","", XLOOKUP(J3113,'⚙️ Pengaturan'!$E$2:$E3237,'⚙️ Pengaturan'!$G$2:$G3237))</f>
        <v/>
      </c>
      <c r="L3113" s="43" t="str">
        <f t="shared" si="84"/>
        <v/>
      </c>
      <c r="M3113" s="177"/>
      <c r="N3113" s="145"/>
      <c r="O3113" s="146"/>
      <c r="P3113" s="48" t="str">
        <f t="array" ref="P3113">IFNA(XLOOKUP(J3113,'⚙️ Pengaturan'!$E$2:$E3237,'⚙️ Pengaturan'!$F$2:$F3237),"")</f>
        <v/>
      </c>
      <c r="Q3113" s="147" t="str">
        <f t="shared" si="85"/>
        <v/>
      </c>
      <c r="R3113" s="173"/>
      <c r="S3113" s="76"/>
      <c r="T3113" s="51" t="b">
        <v>0</v>
      </c>
      <c r="U3113" s="94"/>
    </row>
    <row r="3114" ht="30.0" customHeight="1">
      <c r="A3114" s="39"/>
      <c r="B3114" s="40"/>
      <c r="C3114" s="173"/>
      <c r="D3114" s="86"/>
      <c r="E3114" s="43" t="str">
        <f t="shared" si="82"/>
        <v/>
      </c>
      <c r="F3114" s="43" t="str">
        <f t="shared" si="83"/>
        <v/>
      </c>
      <c r="G3114" s="44"/>
      <c r="H3114" s="44"/>
      <c r="I3114" s="44"/>
      <c r="J3114" s="176"/>
      <c r="K3114" s="43" t="str">
        <f t="array" ref="K3114">IF(J3114="","", XLOOKUP(J3114,'⚙️ Pengaturan'!$E$2:$E3237,'⚙️ Pengaturan'!$G$2:$G3237))</f>
        <v/>
      </c>
      <c r="L3114" s="43" t="str">
        <f t="shared" si="84"/>
        <v/>
      </c>
      <c r="M3114" s="177"/>
      <c r="N3114" s="145"/>
      <c r="O3114" s="146"/>
      <c r="P3114" s="48" t="str">
        <f t="array" ref="P3114">IFNA(XLOOKUP(J3114,'⚙️ Pengaturan'!$E$2:$E3237,'⚙️ Pengaturan'!$F$2:$F3237),"")</f>
        <v/>
      </c>
      <c r="Q3114" s="147" t="str">
        <f t="shared" si="85"/>
        <v/>
      </c>
      <c r="R3114" s="173"/>
      <c r="S3114" s="76"/>
      <c r="T3114" s="51" t="b">
        <v>0</v>
      </c>
      <c r="U3114" s="94"/>
    </row>
    <row r="3115" ht="30.0" customHeight="1">
      <c r="A3115" s="39"/>
      <c r="B3115" s="40"/>
      <c r="C3115" s="173"/>
      <c r="D3115" s="86"/>
      <c r="E3115" s="43" t="str">
        <f t="shared" si="82"/>
        <v/>
      </c>
      <c r="F3115" s="43" t="str">
        <f t="shared" si="83"/>
        <v/>
      </c>
      <c r="G3115" s="44"/>
      <c r="H3115" s="44"/>
      <c r="I3115" s="44"/>
      <c r="J3115" s="176"/>
      <c r="K3115" s="43" t="str">
        <f t="array" ref="K3115">IF(J3115="","", XLOOKUP(J3115,'⚙️ Pengaturan'!$E$2:$E3237,'⚙️ Pengaturan'!$G$2:$G3237))</f>
        <v/>
      </c>
      <c r="L3115" s="43" t="str">
        <f t="shared" si="84"/>
        <v/>
      </c>
      <c r="M3115" s="177"/>
      <c r="N3115" s="145"/>
      <c r="O3115" s="146"/>
      <c r="P3115" s="48" t="str">
        <f t="array" ref="P3115">IFNA(XLOOKUP(J3115,'⚙️ Pengaturan'!$E$2:$E3237,'⚙️ Pengaturan'!$F$2:$F3237),"")</f>
        <v/>
      </c>
      <c r="Q3115" s="147" t="str">
        <f t="shared" si="85"/>
        <v/>
      </c>
      <c r="R3115" s="173"/>
      <c r="S3115" s="76"/>
      <c r="T3115" s="51" t="b">
        <v>0</v>
      </c>
      <c r="U3115" s="94"/>
    </row>
    <row r="3116" ht="30.0" customHeight="1">
      <c r="A3116" s="39"/>
      <c r="B3116" s="40"/>
      <c r="C3116" s="173"/>
      <c r="D3116" s="86"/>
      <c r="E3116" s="43" t="str">
        <f t="shared" si="82"/>
        <v/>
      </c>
      <c r="F3116" s="43" t="str">
        <f t="shared" si="83"/>
        <v/>
      </c>
      <c r="G3116" s="44"/>
      <c r="H3116" s="44"/>
      <c r="I3116" s="44"/>
      <c r="J3116" s="176"/>
      <c r="K3116" s="43" t="str">
        <f t="array" ref="K3116">IF(J3116="","", XLOOKUP(J3116,'⚙️ Pengaturan'!$E$2:$E3237,'⚙️ Pengaturan'!$G$2:$G3237))</f>
        <v/>
      </c>
      <c r="L3116" s="43" t="str">
        <f t="shared" si="84"/>
        <v/>
      </c>
      <c r="M3116" s="177"/>
      <c r="N3116" s="145"/>
      <c r="O3116" s="146"/>
      <c r="P3116" s="48" t="str">
        <f t="array" ref="P3116">IFNA(XLOOKUP(J3116,'⚙️ Pengaturan'!$E$2:$E3237,'⚙️ Pengaturan'!$F$2:$F3237),"")</f>
        <v/>
      </c>
      <c r="Q3116" s="147" t="str">
        <f t="shared" si="85"/>
        <v/>
      </c>
      <c r="R3116" s="173"/>
      <c r="S3116" s="76"/>
      <c r="T3116" s="51" t="b">
        <v>0</v>
      </c>
      <c r="U3116" s="94"/>
    </row>
    <row r="3117" ht="30.0" customHeight="1">
      <c r="A3117" s="39"/>
      <c r="B3117" s="40"/>
      <c r="C3117" s="173"/>
      <c r="D3117" s="86"/>
      <c r="E3117" s="43" t="str">
        <f t="shared" si="82"/>
        <v/>
      </c>
      <c r="F3117" s="43" t="str">
        <f t="shared" si="83"/>
        <v/>
      </c>
      <c r="G3117" s="44"/>
      <c r="H3117" s="44"/>
      <c r="I3117" s="44"/>
      <c r="J3117" s="176"/>
      <c r="K3117" s="43" t="str">
        <f t="array" ref="K3117">IF(J3117="","", XLOOKUP(J3117,'⚙️ Pengaturan'!$E$2:$E3237,'⚙️ Pengaturan'!$G$2:$G3237))</f>
        <v/>
      </c>
      <c r="L3117" s="43" t="str">
        <f t="shared" si="84"/>
        <v/>
      </c>
      <c r="M3117" s="177"/>
      <c r="N3117" s="145"/>
      <c r="O3117" s="146"/>
      <c r="P3117" s="48" t="str">
        <f t="array" ref="P3117">IFNA(XLOOKUP(J3117,'⚙️ Pengaturan'!$E$2:$E3237,'⚙️ Pengaturan'!$F$2:$F3237),"")</f>
        <v/>
      </c>
      <c r="Q3117" s="147" t="str">
        <f t="shared" si="85"/>
        <v/>
      </c>
      <c r="R3117" s="173"/>
      <c r="S3117" s="76"/>
      <c r="T3117" s="51" t="b">
        <v>0</v>
      </c>
      <c r="U3117" s="94"/>
    </row>
    <row r="3118" ht="30.0" customHeight="1">
      <c r="A3118" s="39"/>
      <c r="B3118" s="40"/>
      <c r="C3118" s="173"/>
      <c r="D3118" s="86"/>
      <c r="E3118" s="43" t="str">
        <f t="shared" si="82"/>
        <v/>
      </c>
      <c r="F3118" s="43" t="str">
        <f t="shared" si="83"/>
        <v/>
      </c>
      <c r="G3118" s="44"/>
      <c r="H3118" s="44"/>
      <c r="I3118" s="44"/>
      <c r="J3118" s="176"/>
      <c r="K3118" s="43" t="str">
        <f t="array" ref="K3118">IF(J3118="","", XLOOKUP(J3118,'⚙️ Pengaturan'!$E$2:$E3237,'⚙️ Pengaturan'!$G$2:$G3237))</f>
        <v/>
      </c>
      <c r="L3118" s="43" t="str">
        <f t="shared" si="84"/>
        <v/>
      </c>
      <c r="M3118" s="177"/>
      <c r="N3118" s="145"/>
      <c r="O3118" s="146"/>
      <c r="P3118" s="48" t="str">
        <f t="array" ref="P3118">IFNA(XLOOKUP(J3118,'⚙️ Pengaturan'!$E$2:$E3237,'⚙️ Pengaturan'!$F$2:$F3237),"")</f>
        <v/>
      </c>
      <c r="Q3118" s="147" t="str">
        <f t="shared" si="85"/>
        <v/>
      </c>
      <c r="R3118" s="173"/>
      <c r="S3118" s="76"/>
      <c r="T3118" s="51" t="b">
        <v>0</v>
      </c>
      <c r="U3118" s="94"/>
    </row>
    <row r="3119" ht="30.0" customHeight="1">
      <c r="A3119" s="39"/>
      <c r="B3119" s="40"/>
      <c r="C3119" s="173"/>
      <c r="D3119" s="86"/>
      <c r="E3119" s="43" t="str">
        <f t="shared" si="82"/>
        <v/>
      </c>
      <c r="F3119" s="43" t="str">
        <f t="shared" si="83"/>
        <v/>
      </c>
      <c r="G3119" s="44"/>
      <c r="H3119" s="44"/>
      <c r="I3119" s="44"/>
      <c r="J3119" s="176"/>
      <c r="K3119" s="43" t="str">
        <f t="array" ref="K3119">IF(J3119="","", XLOOKUP(J3119,'⚙️ Pengaturan'!$E$2:$E3237,'⚙️ Pengaturan'!$G$2:$G3237))</f>
        <v/>
      </c>
      <c r="L3119" s="43" t="str">
        <f t="shared" si="84"/>
        <v/>
      </c>
      <c r="M3119" s="177"/>
      <c r="N3119" s="145"/>
      <c r="O3119" s="146"/>
      <c r="P3119" s="48" t="str">
        <f t="array" ref="P3119">IFNA(XLOOKUP(J3119,'⚙️ Pengaturan'!$E$2:$E3237,'⚙️ Pengaturan'!$F$2:$F3237),"")</f>
        <v/>
      </c>
      <c r="Q3119" s="147" t="str">
        <f t="shared" si="85"/>
        <v/>
      </c>
      <c r="R3119" s="173"/>
      <c r="S3119" s="76"/>
      <c r="T3119" s="51" t="b">
        <v>0</v>
      </c>
      <c r="U3119" s="94"/>
    </row>
    <row r="3120" ht="30.0" customHeight="1">
      <c r="A3120" s="39"/>
      <c r="B3120" s="40"/>
      <c r="C3120" s="173"/>
      <c r="D3120" s="86"/>
      <c r="E3120" s="43" t="str">
        <f t="shared" si="82"/>
        <v/>
      </c>
      <c r="F3120" s="43" t="str">
        <f t="shared" si="83"/>
        <v/>
      </c>
      <c r="G3120" s="44"/>
      <c r="H3120" s="44"/>
      <c r="I3120" s="44"/>
      <c r="J3120" s="176"/>
      <c r="K3120" s="43" t="str">
        <f t="array" ref="K3120">IF(J3120="","", XLOOKUP(J3120,'⚙️ Pengaturan'!$E$2:$E3237,'⚙️ Pengaturan'!$G$2:$G3237))</f>
        <v/>
      </c>
      <c r="L3120" s="43" t="str">
        <f t="shared" si="84"/>
        <v/>
      </c>
      <c r="M3120" s="177"/>
      <c r="N3120" s="145"/>
      <c r="O3120" s="146"/>
      <c r="P3120" s="48" t="str">
        <f t="array" ref="P3120">IFNA(XLOOKUP(J3120,'⚙️ Pengaturan'!$E$2:$E3237,'⚙️ Pengaturan'!$F$2:$F3237),"")</f>
        <v/>
      </c>
      <c r="Q3120" s="147" t="str">
        <f t="shared" si="85"/>
        <v/>
      </c>
      <c r="R3120" s="173"/>
      <c r="S3120" s="76"/>
      <c r="T3120" s="51" t="b">
        <v>0</v>
      </c>
      <c r="U3120" s="94"/>
    </row>
    <row r="3121" ht="30.0" customHeight="1">
      <c r="A3121" s="39"/>
      <c r="B3121" s="40"/>
      <c r="C3121" s="173"/>
      <c r="D3121" s="86"/>
      <c r="E3121" s="43" t="str">
        <f t="shared" si="82"/>
        <v/>
      </c>
      <c r="F3121" s="43" t="str">
        <f t="shared" si="83"/>
        <v/>
      </c>
      <c r="G3121" s="44"/>
      <c r="H3121" s="44"/>
      <c r="I3121" s="44"/>
      <c r="J3121" s="176"/>
      <c r="K3121" s="43" t="str">
        <f t="array" ref="K3121">IF(J3121="","", XLOOKUP(J3121,'⚙️ Pengaturan'!$E$2:$E3237,'⚙️ Pengaturan'!$G$2:$G3237))</f>
        <v/>
      </c>
      <c r="L3121" s="43" t="str">
        <f t="shared" si="84"/>
        <v/>
      </c>
      <c r="M3121" s="177"/>
      <c r="N3121" s="145"/>
      <c r="O3121" s="146"/>
      <c r="P3121" s="48" t="str">
        <f t="array" ref="P3121">IFNA(XLOOKUP(J3121,'⚙️ Pengaturan'!$E$2:$E3237,'⚙️ Pengaturan'!$F$2:$F3237),"")</f>
        <v/>
      </c>
      <c r="Q3121" s="147" t="str">
        <f t="shared" si="85"/>
        <v/>
      </c>
      <c r="R3121" s="173"/>
      <c r="S3121" s="76"/>
      <c r="T3121" s="51" t="b">
        <v>0</v>
      </c>
      <c r="U3121" s="94"/>
    </row>
    <row r="3122" ht="30.0" customHeight="1">
      <c r="A3122" s="39"/>
      <c r="B3122" s="40"/>
      <c r="C3122" s="173"/>
      <c r="D3122" s="86"/>
      <c r="E3122" s="43" t="str">
        <f t="shared" si="82"/>
        <v/>
      </c>
      <c r="F3122" s="43" t="str">
        <f t="shared" si="83"/>
        <v/>
      </c>
      <c r="G3122" s="44"/>
      <c r="H3122" s="44"/>
      <c r="I3122" s="44"/>
      <c r="J3122" s="176"/>
      <c r="K3122" s="43" t="str">
        <f t="array" ref="K3122">IF(J3122="","", XLOOKUP(J3122,'⚙️ Pengaturan'!$E$2:$E3237,'⚙️ Pengaturan'!$G$2:$G3237))</f>
        <v/>
      </c>
      <c r="L3122" s="43" t="str">
        <f t="shared" si="84"/>
        <v/>
      </c>
      <c r="M3122" s="177"/>
      <c r="N3122" s="145"/>
      <c r="O3122" s="146"/>
      <c r="P3122" s="48" t="str">
        <f t="array" ref="P3122">IFNA(XLOOKUP(J3122,'⚙️ Pengaturan'!$E$2:$E3237,'⚙️ Pengaturan'!$F$2:$F3237),"")</f>
        <v/>
      </c>
      <c r="Q3122" s="147" t="str">
        <f t="shared" si="85"/>
        <v/>
      </c>
      <c r="R3122" s="173"/>
      <c r="S3122" s="76"/>
      <c r="T3122" s="51" t="b">
        <v>0</v>
      </c>
      <c r="U3122" s="94"/>
    </row>
    <row r="3123" ht="30.0" customHeight="1">
      <c r="A3123" s="39"/>
      <c r="B3123" s="40"/>
      <c r="C3123" s="173"/>
      <c r="D3123" s="86"/>
      <c r="E3123" s="43" t="str">
        <f t="shared" si="82"/>
        <v/>
      </c>
      <c r="F3123" s="43" t="str">
        <f t="shared" si="83"/>
        <v/>
      </c>
      <c r="G3123" s="44"/>
      <c r="H3123" s="44"/>
      <c r="I3123" s="44"/>
      <c r="J3123" s="176"/>
      <c r="K3123" s="43" t="str">
        <f t="array" ref="K3123">IF(J3123="","", XLOOKUP(J3123,'⚙️ Pengaturan'!$E$2:$E3237,'⚙️ Pengaturan'!$G$2:$G3237))</f>
        <v/>
      </c>
      <c r="L3123" s="43" t="str">
        <f t="shared" si="84"/>
        <v/>
      </c>
      <c r="M3123" s="177"/>
      <c r="N3123" s="145"/>
      <c r="O3123" s="146"/>
      <c r="P3123" s="48" t="str">
        <f t="array" ref="P3123">IFNA(XLOOKUP(J3123,'⚙️ Pengaturan'!$E$2:$E3237,'⚙️ Pengaturan'!$F$2:$F3237),"")</f>
        <v/>
      </c>
      <c r="Q3123" s="147" t="str">
        <f t="shared" si="85"/>
        <v/>
      </c>
      <c r="R3123" s="173"/>
      <c r="S3123" s="76"/>
      <c r="T3123" s="51" t="b">
        <v>0</v>
      </c>
      <c r="U3123" s="94"/>
    </row>
    <row r="3124" ht="30.0" customHeight="1">
      <c r="A3124" s="39"/>
      <c r="B3124" s="40"/>
      <c r="C3124" s="173"/>
      <c r="D3124" s="86"/>
      <c r="E3124" s="43" t="str">
        <f t="shared" si="82"/>
        <v/>
      </c>
      <c r="F3124" s="43" t="str">
        <f t="shared" si="83"/>
        <v/>
      </c>
      <c r="G3124" s="44"/>
      <c r="H3124" s="44"/>
      <c r="I3124" s="44"/>
      <c r="J3124" s="176"/>
      <c r="K3124" s="43" t="str">
        <f t="array" ref="K3124">IF(J3124="","", XLOOKUP(J3124,'⚙️ Pengaturan'!$E$2:$E3237,'⚙️ Pengaturan'!$G$2:$G3237))</f>
        <v/>
      </c>
      <c r="L3124" s="43" t="str">
        <f t="shared" si="84"/>
        <v/>
      </c>
      <c r="M3124" s="177"/>
      <c r="N3124" s="145"/>
      <c r="O3124" s="146"/>
      <c r="P3124" s="48" t="str">
        <f t="array" ref="P3124">IFNA(XLOOKUP(J3124,'⚙️ Pengaturan'!$E$2:$E3237,'⚙️ Pengaturan'!$F$2:$F3237),"")</f>
        <v/>
      </c>
      <c r="Q3124" s="147" t="str">
        <f t="shared" si="85"/>
        <v/>
      </c>
      <c r="R3124" s="173"/>
      <c r="S3124" s="76"/>
      <c r="T3124" s="51" t="b">
        <v>0</v>
      </c>
      <c r="U3124" s="94"/>
    </row>
    <row r="3125" ht="30.0" customHeight="1">
      <c r="A3125" s="39"/>
      <c r="B3125" s="40"/>
      <c r="C3125" s="173"/>
      <c r="D3125" s="86"/>
      <c r="E3125" s="43" t="str">
        <f t="shared" si="82"/>
        <v/>
      </c>
      <c r="F3125" s="43" t="str">
        <f t="shared" si="83"/>
        <v/>
      </c>
      <c r="G3125" s="44"/>
      <c r="H3125" s="44"/>
      <c r="I3125" s="44"/>
      <c r="J3125" s="176"/>
      <c r="K3125" s="43" t="str">
        <f t="array" ref="K3125">IF(J3125="","", XLOOKUP(J3125,'⚙️ Pengaturan'!$E$2:$E3237,'⚙️ Pengaturan'!$G$2:$G3237))</f>
        <v/>
      </c>
      <c r="L3125" s="43" t="str">
        <f t="shared" si="84"/>
        <v/>
      </c>
      <c r="M3125" s="177"/>
      <c r="N3125" s="145"/>
      <c r="O3125" s="146"/>
      <c r="P3125" s="48" t="str">
        <f t="array" ref="P3125">IFNA(XLOOKUP(J3125,'⚙️ Pengaturan'!$E$2:$E3237,'⚙️ Pengaturan'!$F$2:$F3237),"")</f>
        <v/>
      </c>
      <c r="Q3125" s="147" t="str">
        <f t="shared" si="85"/>
        <v/>
      </c>
      <c r="R3125" s="173"/>
      <c r="S3125" s="76"/>
      <c r="T3125" s="51" t="b">
        <v>0</v>
      </c>
      <c r="U3125" s="94"/>
    </row>
    <row r="3126" ht="30.0" customHeight="1">
      <c r="A3126" s="39"/>
      <c r="B3126" s="40"/>
      <c r="C3126" s="173"/>
      <c r="D3126" s="86"/>
      <c r="E3126" s="43" t="str">
        <f t="shared" si="82"/>
        <v/>
      </c>
      <c r="F3126" s="43" t="str">
        <f t="shared" si="83"/>
        <v/>
      </c>
      <c r="G3126" s="44"/>
      <c r="H3126" s="44"/>
      <c r="I3126" s="44"/>
      <c r="J3126" s="176"/>
      <c r="K3126" s="43" t="str">
        <f t="array" ref="K3126">IF(J3126="","", XLOOKUP(J3126,'⚙️ Pengaturan'!$E$2:$E3237,'⚙️ Pengaturan'!$G$2:$G3237))</f>
        <v/>
      </c>
      <c r="L3126" s="43" t="str">
        <f t="shared" si="84"/>
        <v/>
      </c>
      <c r="M3126" s="177"/>
      <c r="N3126" s="145"/>
      <c r="O3126" s="146"/>
      <c r="P3126" s="48" t="str">
        <f t="array" ref="P3126">IFNA(XLOOKUP(J3126,'⚙️ Pengaturan'!$E$2:$E3237,'⚙️ Pengaturan'!$F$2:$F3237),"")</f>
        <v/>
      </c>
      <c r="Q3126" s="147" t="str">
        <f t="shared" si="85"/>
        <v/>
      </c>
      <c r="R3126" s="173"/>
      <c r="S3126" s="76"/>
      <c r="T3126" s="51" t="b">
        <v>0</v>
      </c>
      <c r="U3126" s="94"/>
    </row>
    <row r="3127" ht="30.0" customHeight="1">
      <c r="A3127" s="39"/>
      <c r="B3127" s="40"/>
      <c r="C3127" s="173"/>
      <c r="D3127" s="86"/>
      <c r="E3127" s="43" t="str">
        <f t="shared" si="82"/>
        <v/>
      </c>
      <c r="F3127" s="43" t="str">
        <f t="shared" si="83"/>
        <v/>
      </c>
      <c r="G3127" s="44"/>
      <c r="H3127" s="44"/>
      <c r="I3127" s="44"/>
      <c r="J3127" s="176"/>
      <c r="K3127" s="43" t="str">
        <f t="array" ref="K3127">IF(J3127="","", XLOOKUP(J3127,'⚙️ Pengaturan'!$E$2:$E3237,'⚙️ Pengaturan'!$G$2:$G3237))</f>
        <v/>
      </c>
      <c r="L3127" s="43" t="str">
        <f t="shared" si="84"/>
        <v/>
      </c>
      <c r="M3127" s="177"/>
      <c r="N3127" s="145"/>
      <c r="O3127" s="146"/>
      <c r="P3127" s="48" t="str">
        <f t="array" ref="P3127">IFNA(XLOOKUP(J3127,'⚙️ Pengaturan'!$E$2:$E3237,'⚙️ Pengaturan'!$F$2:$F3237),"")</f>
        <v/>
      </c>
      <c r="Q3127" s="147" t="str">
        <f t="shared" si="85"/>
        <v/>
      </c>
      <c r="R3127" s="173"/>
      <c r="S3127" s="76"/>
      <c r="T3127" s="51" t="b">
        <v>0</v>
      </c>
      <c r="U3127" s="94"/>
    </row>
    <row r="3128" ht="30.0" customHeight="1">
      <c r="A3128" s="39"/>
      <c r="B3128" s="40"/>
      <c r="C3128" s="173"/>
      <c r="D3128" s="86"/>
      <c r="E3128" s="43" t="str">
        <f t="shared" si="82"/>
        <v/>
      </c>
      <c r="F3128" s="43" t="str">
        <f t="shared" si="83"/>
        <v/>
      </c>
      <c r="G3128" s="44"/>
      <c r="H3128" s="44"/>
      <c r="I3128" s="44"/>
      <c r="J3128" s="176"/>
      <c r="K3128" s="43" t="str">
        <f t="array" ref="K3128">IF(J3128="","", XLOOKUP(J3128,'⚙️ Pengaturan'!$E$2:$E3237,'⚙️ Pengaturan'!$G$2:$G3237))</f>
        <v/>
      </c>
      <c r="L3128" s="43" t="str">
        <f t="shared" si="84"/>
        <v/>
      </c>
      <c r="M3128" s="177"/>
      <c r="N3128" s="145"/>
      <c r="O3128" s="146"/>
      <c r="P3128" s="48" t="str">
        <f t="array" ref="P3128">IFNA(XLOOKUP(J3128,'⚙️ Pengaturan'!$E$2:$E3237,'⚙️ Pengaturan'!$F$2:$F3237),"")</f>
        <v/>
      </c>
      <c r="Q3128" s="147" t="str">
        <f t="shared" si="85"/>
        <v/>
      </c>
      <c r="R3128" s="173"/>
      <c r="S3128" s="76"/>
      <c r="T3128" s="51" t="b">
        <v>0</v>
      </c>
      <c r="U3128" s="94"/>
    </row>
    <row r="3129" ht="30.0" customHeight="1">
      <c r="A3129" s="39"/>
      <c r="B3129" s="40"/>
      <c r="C3129" s="173"/>
      <c r="D3129" s="86"/>
      <c r="E3129" s="43" t="str">
        <f t="shared" si="82"/>
        <v/>
      </c>
      <c r="F3129" s="43" t="str">
        <f t="shared" si="83"/>
        <v/>
      </c>
      <c r="G3129" s="44"/>
      <c r="H3129" s="44"/>
      <c r="I3129" s="44"/>
      <c r="J3129" s="176"/>
      <c r="K3129" s="43" t="str">
        <f t="array" ref="K3129">IF(J3129="","", XLOOKUP(J3129,'⚙️ Pengaturan'!$E$2:$E3237,'⚙️ Pengaturan'!$G$2:$G3237))</f>
        <v/>
      </c>
      <c r="L3129" s="43" t="str">
        <f t="shared" si="84"/>
        <v/>
      </c>
      <c r="M3129" s="177"/>
      <c r="N3129" s="145"/>
      <c r="O3129" s="146"/>
      <c r="P3129" s="48" t="str">
        <f t="array" ref="P3129">IFNA(XLOOKUP(J3129,'⚙️ Pengaturan'!$E$2:$E3237,'⚙️ Pengaturan'!$F$2:$F3237),"")</f>
        <v/>
      </c>
      <c r="Q3129" s="147" t="str">
        <f t="shared" si="85"/>
        <v/>
      </c>
      <c r="R3129" s="173"/>
      <c r="S3129" s="76"/>
      <c r="T3129" s="51" t="b">
        <v>0</v>
      </c>
      <c r="U3129" s="94"/>
    </row>
    <row r="3130" ht="30.0" customHeight="1">
      <c r="A3130" s="39"/>
      <c r="B3130" s="40"/>
      <c r="C3130" s="173"/>
      <c r="D3130" s="86"/>
      <c r="E3130" s="43" t="str">
        <f t="shared" si="82"/>
        <v/>
      </c>
      <c r="F3130" s="43" t="str">
        <f t="shared" si="83"/>
        <v/>
      </c>
      <c r="G3130" s="44"/>
      <c r="H3130" s="44"/>
      <c r="I3130" s="44"/>
      <c r="J3130" s="176"/>
      <c r="K3130" s="43" t="str">
        <f t="array" ref="K3130">IF(J3130="","", XLOOKUP(J3130,'⚙️ Pengaturan'!$E$2:$E3237,'⚙️ Pengaturan'!$G$2:$G3237))</f>
        <v/>
      </c>
      <c r="L3130" s="43" t="str">
        <f t="shared" si="84"/>
        <v/>
      </c>
      <c r="M3130" s="177"/>
      <c r="N3130" s="145"/>
      <c r="O3130" s="146"/>
      <c r="P3130" s="48" t="str">
        <f t="array" ref="P3130">IFNA(XLOOKUP(J3130,'⚙️ Pengaturan'!$E$2:$E3237,'⚙️ Pengaturan'!$F$2:$F3237),"")</f>
        <v/>
      </c>
      <c r="Q3130" s="147" t="str">
        <f t="shared" si="85"/>
        <v/>
      </c>
      <c r="R3130" s="173"/>
      <c r="S3130" s="76"/>
      <c r="T3130" s="51" t="b">
        <v>0</v>
      </c>
      <c r="U3130" s="94"/>
    </row>
    <row r="3131" ht="30.0" customHeight="1">
      <c r="A3131" s="39"/>
      <c r="B3131" s="40"/>
      <c r="C3131" s="173"/>
      <c r="D3131" s="86"/>
      <c r="E3131" s="43" t="str">
        <f t="shared" si="82"/>
        <v/>
      </c>
      <c r="F3131" s="43" t="str">
        <f t="shared" si="83"/>
        <v/>
      </c>
      <c r="G3131" s="44"/>
      <c r="H3131" s="44"/>
      <c r="I3131" s="44"/>
      <c r="J3131" s="176"/>
      <c r="K3131" s="43" t="str">
        <f t="array" ref="K3131">IF(J3131="","", XLOOKUP(J3131,'⚙️ Pengaturan'!$E$2:$E3237,'⚙️ Pengaturan'!$G$2:$G3237))</f>
        <v/>
      </c>
      <c r="L3131" s="43" t="str">
        <f t="shared" si="84"/>
        <v/>
      </c>
      <c r="M3131" s="177"/>
      <c r="N3131" s="145"/>
      <c r="O3131" s="146"/>
      <c r="P3131" s="48" t="str">
        <f t="array" ref="P3131">IFNA(XLOOKUP(J3131,'⚙️ Pengaturan'!$E$2:$E3237,'⚙️ Pengaturan'!$F$2:$F3237),"")</f>
        <v/>
      </c>
      <c r="Q3131" s="147" t="str">
        <f t="shared" si="85"/>
        <v/>
      </c>
      <c r="R3131" s="173"/>
      <c r="S3131" s="76"/>
      <c r="T3131" s="51" t="b">
        <v>0</v>
      </c>
      <c r="U3131" s="94"/>
    </row>
    <row r="3132" ht="30.0" customHeight="1">
      <c r="A3132" s="39"/>
      <c r="B3132" s="40"/>
      <c r="C3132" s="173"/>
      <c r="D3132" s="86"/>
      <c r="E3132" s="43" t="str">
        <f t="shared" si="82"/>
        <v/>
      </c>
      <c r="F3132" s="43" t="str">
        <f t="shared" si="83"/>
        <v/>
      </c>
      <c r="G3132" s="44"/>
      <c r="H3132" s="44"/>
      <c r="I3132" s="44"/>
      <c r="J3132" s="176"/>
      <c r="K3132" s="43" t="str">
        <f t="array" ref="K3132">IF(J3132="","", XLOOKUP(J3132,'⚙️ Pengaturan'!$E$2:$E3237,'⚙️ Pengaturan'!$G$2:$G3237))</f>
        <v/>
      </c>
      <c r="L3132" s="43" t="str">
        <f t="shared" si="84"/>
        <v/>
      </c>
      <c r="M3132" s="177"/>
      <c r="N3132" s="145"/>
      <c r="O3132" s="146"/>
      <c r="P3132" s="48" t="str">
        <f t="array" ref="P3132">IFNA(XLOOKUP(J3132,'⚙️ Pengaturan'!$E$2:$E3237,'⚙️ Pengaturan'!$F$2:$F3237),"")</f>
        <v/>
      </c>
      <c r="Q3132" s="147" t="str">
        <f t="shared" si="85"/>
        <v/>
      </c>
      <c r="R3132" s="173"/>
      <c r="S3132" s="76"/>
      <c r="T3132" s="51" t="b">
        <v>0</v>
      </c>
      <c r="U3132" s="94"/>
    </row>
    <row r="3133" ht="30.0" customHeight="1">
      <c r="A3133" s="39"/>
      <c r="B3133" s="40"/>
      <c r="C3133" s="173"/>
      <c r="D3133" s="86"/>
      <c r="E3133" s="43" t="str">
        <f t="shared" si="82"/>
        <v/>
      </c>
      <c r="F3133" s="43" t="str">
        <f t="shared" si="83"/>
        <v/>
      </c>
      <c r="G3133" s="44"/>
      <c r="H3133" s="44"/>
      <c r="I3133" s="44"/>
      <c r="J3133" s="176"/>
      <c r="K3133" s="43" t="str">
        <f t="array" ref="K3133">IF(J3133="","", XLOOKUP(J3133,'⚙️ Pengaturan'!$E$2:$E3237,'⚙️ Pengaturan'!$G$2:$G3237))</f>
        <v/>
      </c>
      <c r="L3133" s="43" t="str">
        <f t="shared" si="84"/>
        <v/>
      </c>
      <c r="M3133" s="177"/>
      <c r="N3133" s="145"/>
      <c r="O3133" s="146"/>
      <c r="P3133" s="48" t="str">
        <f t="array" ref="P3133">IFNA(XLOOKUP(J3133,'⚙️ Pengaturan'!$E$2:$E3237,'⚙️ Pengaturan'!$F$2:$F3237),"")</f>
        <v/>
      </c>
      <c r="Q3133" s="147" t="str">
        <f t="shared" si="85"/>
        <v/>
      </c>
      <c r="R3133" s="173"/>
      <c r="S3133" s="76"/>
      <c r="T3133" s="51" t="b">
        <v>0</v>
      </c>
      <c r="U3133" s="94"/>
    </row>
    <row r="3134" ht="30.0" customHeight="1">
      <c r="A3134" s="39"/>
      <c r="B3134" s="40"/>
      <c r="C3134" s="173"/>
      <c r="D3134" s="86"/>
      <c r="E3134" s="43" t="str">
        <f t="shared" si="82"/>
        <v/>
      </c>
      <c r="F3134" s="43" t="str">
        <f t="shared" si="83"/>
        <v/>
      </c>
      <c r="G3134" s="44"/>
      <c r="H3134" s="44"/>
      <c r="I3134" s="44"/>
      <c r="J3134" s="176"/>
      <c r="K3134" s="43" t="str">
        <f t="array" ref="K3134">IF(J3134="","", XLOOKUP(J3134,'⚙️ Pengaturan'!$E$2:$E3237,'⚙️ Pengaturan'!$G$2:$G3237))</f>
        <v/>
      </c>
      <c r="L3134" s="43" t="str">
        <f t="shared" si="84"/>
        <v/>
      </c>
      <c r="M3134" s="177"/>
      <c r="N3134" s="145"/>
      <c r="O3134" s="146"/>
      <c r="P3134" s="48" t="str">
        <f t="array" ref="P3134">IFNA(XLOOKUP(J3134,'⚙️ Pengaturan'!$E$2:$E3237,'⚙️ Pengaturan'!$F$2:$F3237),"")</f>
        <v/>
      </c>
      <c r="Q3134" s="147" t="str">
        <f t="shared" si="85"/>
        <v/>
      </c>
      <c r="R3134" s="173"/>
      <c r="S3134" s="76"/>
      <c r="T3134" s="51" t="b">
        <v>0</v>
      </c>
      <c r="U3134" s="94"/>
    </row>
    <row r="3135" ht="30.0" customHeight="1">
      <c r="A3135" s="39"/>
      <c r="B3135" s="40"/>
      <c r="C3135" s="173"/>
      <c r="D3135" s="86"/>
      <c r="E3135" s="43" t="str">
        <f t="shared" si="82"/>
        <v/>
      </c>
      <c r="F3135" s="43" t="str">
        <f t="shared" si="83"/>
        <v/>
      </c>
      <c r="G3135" s="44"/>
      <c r="H3135" s="44"/>
      <c r="I3135" s="44"/>
      <c r="J3135" s="176"/>
      <c r="K3135" s="43" t="str">
        <f t="array" ref="K3135">IF(J3135="","", XLOOKUP(J3135,'⚙️ Pengaturan'!$E$2:$E3237,'⚙️ Pengaturan'!$G$2:$G3237))</f>
        <v/>
      </c>
      <c r="L3135" s="43" t="str">
        <f t="shared" si="84"/>
        <v/>
      </c>
      <c r="M3135" s="177"/>
      <c r="N3135" s="145"/>
      <c r="O3135" s="146"/>
      <c r="P3135" s="48" t="str">
        <f t="array" ref="P3135">IFNA(XLOOKUP(J3135,'⚙️ Pengaturan'!$E$2:$E3237,'⚙️ Pengaturan'!$F$2:$F3237),"")</f>
        <v/>
      </c>
      <c r="Q3135" s="147" t="str">
        <f t="shared" si="85"/>
        <v/>
      </c>
      <c r="R3135" s="173"/>
      <c r="S3135" s="76"/>
      <c r="T3135" s="51" t="b">
        <v>0</v>
      </c>
      <c r="U3135" s="94"/>
    </row>
    <row r="3136" ht="30.0" customHeight="1">
      <c r="A3136" s="39"/>
      <c r="B3136" s="40"/>
      <c r="C3136" s="173"/>
      <c r="D3136" s="86"/>
      <c r="E3136" s="43" t="str">
        <f t="shared" si="82"/>
        <v/>
      </c>
      <c r="F3136" s="43" t="str">
        <f t="shared" si="83"/>
        <v/>
      </c>
      <c r="G3136" s="44"/>
      <c r="H3136" s="44"/>
      <c r="I3136" s="44"/>
      <c r="J3136" s="176"/>
      <c r="K3136" s="43" t="str">
        <f t="array" ref="K3136">IF(J3136="","", XLOOKUP(J3136,'⚙️ Pengaturan'!$E$2:$E3237,'⚙️ Pengaturan'!$G$2:$G3237))</f>
        <v/>
      </c>
      <c r="L3136" s="43" t="str">
        <f t="shared" si="84"/>
        <v/>
      </c>
      <c r="M3136" s="177"/>
      <c r="N3136" s="145"/>
      <c r="O3136" s="146"/>
      <c r="P3136" s="48" t="str">
        <f t="array" ref="P3136">IFNA(XLOOKUP(J3136,'⚙️ Pengaturan'!$E$2:$E3237,'⚙️ Pengaturan'!$F$2:$F3237),"")</f>
        <v/>
      </c>
      <c r="Q3136" s="147" t="str">
        <f t="shared" si="85"/>
        <v/>
      </c>
      <c r="R3136" s="173"/>
      <c r="S3136" s="76"/>
      <c r="T3136" s="51" t="b">
        <v>0</v>
      </c>
      <c r="U3136" s="94"/>
    </row>
    <row r="3137" ht="30.0" customHeight="1">
      <c r="A3137" s="39"/>
      <c r="B3137" s="40"/>
      <c r="C3137" s="173"/>
      <c r="D3137" s="86"/>
      <c r="E3137" s="43" t="str">
        <f t="shared" si="82"/>
        <v/>
      </c>
      <c r="F3137" s="43" t="str">
        <f t="shared" si="83"/>
        <v/>
      </c>
      <c r="G3137" s="44"/>
      <c r="H3137" s="44"/>
      <c r="I3137" s="44"/>
      <c r="J3137" s="176"/>
      <c r="K3137" s="43" t="str">
        <f t="array" ref="K3137">IF(J3137="","", XLOOKUP(J3137,'⚙️ Pengaturan'!$E$2:$E3237,'⚙️ Pengaturan'!$G$2:$G3237))</f>
        <v/>
      </c>
      <c r="L3137" s="43" t="str">
        <f t="shared" si="84"/>
        <v/>
      </c>
      <c r="M3137" s="177"/>
      <c r="N3137" s="145"/>
      <c r="O3137" s="146"/>
      <c r="P3137" s="48" t="str">
        <f t="array" ref="P3137">IFNA(XLOOKUP(J3137,'⚙️ Pengaturan'!$E$2:$E3237,'⚙️ Pengaturan'!$F$2:$F3237),"")</f>
        <v/>
      </c>
      <c r="Q3137" s="147" t="str">
        <f t="shared" si="85"/>
        <v/>
      </c>
      <c r="R3137" s="173"/>
      <c r="S3137" s="76"/>
      <c r="T3137" s="51" t="b">
        <v>0</v>
      </c>
      <c r="U3137" s="94"/>
    </row>
    <row r="3138" ht="30.0" customHeight="1">
      <c r="A3138" s="39"/>
      <c r="B3138" s="40"/>
      <c r="C3138" s="173"/>
      <c r="D3138" s="86"/>
      <c r="E3138" s="43" t="str">
        <f t="shared" si="82"/>
        <v/>
      </c>
      <c r="F3138" s="43" t="str">
        <f t="shared" si="83"/>
        <v/>
      </c>
      <c r="G3138" s="44"/>
      <c r="H3138" s="44"/>
      <c r="I3138" s="44"/>
      <c r="J3138" s="176"/>
      <c r="K3138" s="43" t="str">
        <f t="array" ref="K3138">IF(J3138="","", XLOOKUP(J3138,'⚙️ Pengaturan'!$E$2:$E3237,'⚙️ Pengaturan'!$G$2:$G3237))</f>
        <v/>
      </c>
      <c r="L3138" s="43" t="str">
        <f t="shared" si="84"/>
        <v/>
      </c>
      <c r="M3138" s="177"/>
      <c r="N3138" s="145"/>
      <c r="O3138" s="146"/>
      <c r="P3138" s="48" t="str">
        <f t="array" ref="P3138">IFNA(XLOOKUP(J3138,'⚙️ Pengaturan'!$E$2:$E3237,'⚙️ Pengaturan'!$F$2:$F3237),"")</f>
        <v/>
      </c>
      <c r="Q3138" s="147" t="str">
        <f t="shared" si="85"/>
        <v/>
      </c>
      <c r="R3138" s="173"/>
      <c r="S3138" s="76"/>
      <c r="T3138" s="51" t="b">
        <v>0</v>
      </c>
      <c r="U3138" s="94"/>
    </row>
    <row r="3139" ht="30.0" customHeight="1">
      <c r="A3139" s="39"/>
      <c r="B3139" s="40"/>
      <c r="C3139" s="173"/>
      <c r="D3139" s="86"/>
      <c r="E3139" s="43" t="str">
        <f t="shared" si="82"/>
        <v/>
      </c>
      <c r="F3139" s="43" t="str">
        <f t="shared" si="83"/>
        <v/>
      </c>
      <c r="G3139" s="44"/>
      <c r="H3139" s="44"/>
      <c r="I3139" s="44"/>
      <c r="J3139" s="176"/>
      <c r="K3139" s="43" t="str">
        <f t="array" ref="K3139">IF(J3139="","", XLOOKUP(J3139,'⚙️ Pengaturan'!$E$2:$E3237,'⚙️ Pengaturan'!$G$2:$G3237))</f>
        <v/>
      </c>
      <c r="L3139" s="43" t="str">
        <f t="shared" si="84"/>
        <v/>
      </c>
      <c r="M3139" s="177"/>
      <c r="N3139" s="145"/>
      <c r="O3139" s="146"/>
      <c r="P3139" s="48" t="str">
        <f t="array" ref="P3139">IFNA(XLOOKUP(J3139,'⚙️ Pengaturan'!$E$2:$E3237,'⚙️ Pengaturan'!$F$2:$F3237),"")</f>
        <v/>
      </c>
      <c r="Q3139" s="147" t="str">
        <f t="shared" si="85"/>
        <v/>
      </c>
      <c r="R3139" s="173"/>
      <c r="S3139" s="76"/>
      <c r="T3139" s="51" t="b">
        <v>0</v>
      </c>
      <c r="U3139" s="94"/>
    </row>
    <row r="3140" ht="30.0" customHeight="1">
      <c r="A3140" s="39"/>
      <c r="B3140" s="40"/>
      <c r="C3140" s="173"/>
      <c r="D3140" s="86"/>
      <c r="E3140" s="43" t="str">
        <f t="shared" si="82"/>
        <v/>
      </c>
      <c r="F3140" s="43" t="str">
        <f t="shared" si="83"/>
        <v/>
      </c>
      <c r="G3140" s="44"/>
      <c r="H3140" s="44"/>
      <c r="I3140" s="44"/>
      <c r="J3140" s="176"/>
      <c r="K3140" s="43" t="str">
        <f t="array" ref="K3140">IF(J3140="","", XLOOKUP(J3140,'⚙️ Pengaturan'!$E$2:$E3237,'⚙️ Pengaturan'!$G$2:$G3237))</f>
        <v/>
      </c>
      <c r="L3140" s="43" t="str">
        <f t="shared" si="84"/>
        <v/>
      </c>
      <c r="M3140" s="177"/>
      <c r="N3140" s="145"/>
      <c r="O3140" s="146"/>
      <c r="P3140" s="48" t="str">
        <f t="array" ref="P3140">IFNA(XLOOKUP(J3140,'⚙️ Pengaturan'!$E$2:$E3237,'⚙️ Pengaturan'!$F$2:$F3237),"")</f>
        <v/>
      </c>
      <c r="Q3140" s="147" t="str">
        <f t="shared" si="85"/>
        <v/>
      </c>
      <c r="R3140" s="173"/>
      <c r="S3140" s="76"/>
      <c r="T3140" s="51" t="b">
        <v>0</v>
      </c>
      <c r="U3140" s="94"/>
    </row>
    <row r="3141" ht="30.0" customHeight="1">
      <c r="A3141" s="39"/>
      <c r="B3141" s="40"/>
      <c r="C3141" s="173"/>
      <c r="D3141" s="86"/>
      <c r="E3141" s="43" t="str">
        <f t="shared" si="82"/>
        <v/>
      </c>
      <c r="F3141" s="43" t="str">
        <f t="shared" si="83"/>
        <v/>
      </c>
      <c r="G3141" s="44"/>
      <c r="H3141" s="44"/>
      <c r="I3141" s="44"/>
      <c r="J3141" s="176"/>
      <c r="K3141" s="43" t="str">
        <f t="array" ref="K3141">IF(J3141="","", XLOOKUP(J3141,'⚙️ Pengaturan'!$E$2:$E3237,'⚙️ Pengaturan'!$G$2:$G3237))</f>
        <v/>
      </c>
      <c r="L3141" s="43" t="str">
        <f t="shared" si="84"/>
        <v/>
      </c>
      <c r="M3141" s="177"/>
      <c r="N3141" s="145"/>
      <c r="O3141" s="146"/>
      <c r="P3141" s="48" t="str">
        <f t="array" ref="P3141">IFNA(XLOOKUP(J3141,'⚙️ Pengaturan'!$E$2:$E3237,'⚙️ Pengaturan'!$F$2:$F3237),"")</f>
        <v/>
      </c>
      <c r="Q3141" s="147" t="str">
        <f t="shared" si="85"/>
        <v/>
      </c>
      <c r="R3141" s="173"/>
      <c r="S3141" s="76"/>
      <c r="T3141" s="51" t="b">
        <v>0</v>
      </c>
      <c r="U3141" s="94"/>
    </row>
    <row r="3142" ht="30.0" customHeight="1">
      <c r="A3142" s="39"/>
      <c r="B3142" s="40"/>
      <c r="C3142" s="173"/>
      <c r="D3142" s="86"/>
      <c r="E3142" s="43" t="str">
        <f t="shared" si="82"/>
        <v/>
      </c>
      <c r="F3142" s="43" t="str">
        <f t="shared" si="83"/>
        <v/>
      </c>
      <c r="G3142" s="44"/>
      <c r="H3142" s="44"/>
      <c r="I3142" s="44"/>
      <c r="J3142" s="176"/>
      <c r="K3142" s="43" t="str">
        <f t="array" ref="K3142">IF(J3142="","", XLOOKUP(J3142,'⚙️ Pengaturan'!$E$2:$E3237,'⚙️ Pengaturan'!$G$2:$G3237))</f>
        <v/>
      </c>
      <c r="L3142" s="43" t="str">
        <f t="shared" si="84"/>
        <v/>
      </c>
      <c r="M3142" s="177"/>
      <c r="N3142" s="145"/>
      <c r="O3142" s="146"/>
      <c r="P3142" s="48" t="str">
        <f t="array" ref="P3142">IFNA(XLOOKUP(J3142,'⚙️ Pengaturan'!$E$2:$E3237,'⚙️ Pengaturan'!$F$2:$F3237),"")</f>
        <v/>
      </c>
      <c r="Q3142" s="147" t="str">
        <f t="shared" si="85"/>
        <v/>
      </c>
      <c r="R3142" s="173"/>
      <c r="S3142" s="76"/>
      <c r="T3142" s="51" t="b">
        <v>0</v>
      </c>
      <c r="U3142" s="94"/>
    </row>
    <row r="3143" ht="30.0" customHeight="1">
      <c r="A3143" s="39"/>
      <c r="B3143" s="40"/>
      <c r="C3143" s="173"/>
      <c r="D3143" s="86"/>
      <c r="E3143" s="43" t="str">
        <f t="shared" si="82"/>
        <v/>
      </c>
      <c r="F3143" s="43" t="str">
        <f t="shared" si="83"/>
        <v/>
      </c>
      <c r="G3143" s="44"/>
      <c r="H3143" s="44"/>
      <c r="I3143" s="44"/>
      <c r="J3143" s="176"/>
      <c r="K3143" s="43" t="str">
        <f t="array" ref="K3143">IF(J3143="","", XLOOKUP(J3143,'⚙️ Pengaturan'!$E$2:$E3237,'⚙️ Pengaturan'!$G$2:$G3237))</f>
        <v/>
      </c>
      <c r="L3143" s="43" t="str">
        <f t="shared" si="84"/>
        <v/>
      </c>
      <c r="M3143" s="177"/>
      <c r="N3143" s="145"/>
      <c r="O3143" s="146"/>
      <c r="P3143" s="48" t="str">
        <f t="array" ref="P3143">IFNA(XLOOKUP(J3143,'⚙️ Pengaturan'!$E$2:$E3237,'⚙️ Pengaturan'!$F$2:$F3237),"")</f>
        <v/>
      </c>
      <c r="Q3143" s="147" t="str">
        <f t="shared" si="85"/>
        <v/>
      </c>
      <c r="R3143" s="173"/>
      <c r="S3143" s="76"/>
      <c r="T3143" s="51" t="b">
        <v>0</v>
      </c>
      <c r="U3143" s="94"/>
    </row>
    <row r="3144" ht="30.0" customHeight="1">
      <c r="A3144" s="39"/>
      <c r="B3144" s="40"/>
      <c r="C3144" s="173"/>
      <c r="D3144" s="86"/>
      <c r="E3144" s="43" t="str">
        <f t="shared" si="82"/>
        <v/>
      </c>
      <c r="F3144" s="43" t="str">
        <f t="shared" si="83"/>
        <v/>
      </c>
      <c r="G3144" s="44"/>
      <c r="H3144" s="44"/>
      <c r="I3144" s="44"/>
      <c r="J3144" s="176"/>
      <c r="K3144" s="43" t="str">
        <f t="array" ref="K3144">IF(J3144="","", XLOOKUP(J3144,'⚙️ Pengaturan'!$E$2:$E3237,'⚙️ Pengaturan'!$G$2:$G3237))</f>
        <v/>
      </c>
      <c r="L3144" s="43" t="str">
        <f t="shared" si="84"/>
        <v/>
      </c>
      <c r="M3144" s="177"/>
      <c r="N3144" s="145"/>
      <c r="O3144" s="146"/>
      <c r="P3144" s="48" t="str">
        <f t="array" ref="P3144">IFNA(XLOOKUP(J3144,'⚙️ Pengaturan'!$E$2:$E3237,'⚙️ Pengaturan'!$F$2:$F3237),"")</f>
        <v/>
      </c>
      <c r="Q3144" s="147" t="str">
        <f t="shared" si="85"/>
        <v/>
      </c>
      <c r="R3144" s="173"/>
      <c r="S3144" s="76"/>
      <c r="T3144" s="51" t="b">
        <v>0</v>
      </c>
      <c r="U3144" s="94"/>
    </row>
    <row r="3145" ht="30.0" customHeight="1">
      <c r="A3145" s="39"/>
      <c r="B3145" s="40"/>
      <c r="C3145" s="173"/>
      <c r="D3145" s="86"/>
      <c r="E3145" s="43" t="str">
        <f t="shared" si="82"/>
        <v/>
      </c>
      <c r="F3145" s="43" t="str">
        <f t="shared" si="83"/>
        <v/>
      </c>
      <c r="G3145" s="44"/>
      <c r="H3145" s="44"/>
      <c r="I3145" s="44"/>
      <c r="J3145" s="176"/>
      <c r="K3145" s="43" t="str">
        <f t="array" ref="K3145">IF(J3145="","", XLOOKUP(J3145,'⚙️ Pengaturan'!$E$2:$E3237,'⚙️ Pengaturan'!$G$2:$G3237))</f>
        <v/>
      </c>
      <c r="L3145" s="43" t="str">
        <f t="shared" si="84"/>
        <v/>
      </c>
      <c r="M3145" s="177"/>
      <c r="N3145" s="145"/>
      <c r="O3145" s="146"/>
      <c r="P3145" s="48" t="str">
        <f t="array" ref="P3145">IFNA(XLOOKUP(J3145,'⚙️ Pengaturan'!$E$2:$E3237,'⚙️ Pengaturan'!$F$2:$F3237),"")</f>
        <v/>
      </c>
      <c r="Q3145" s="147" t="str">
        <f t="shared" si="85"/>
        <v/>
      </c>
      <c r="R3145" s="173"/>
      <c r="S3145" s="76"/>
      <c r="T3145" s="51" t="b">
        <v>0</v>
      </c>
      <c r="U3145" s="94"/>
    </row>
    <row r="3146" ht="30.0" customHeight="1">
      <c r="A3146" s="39"/>
      <c r="B3146" s="40"/>
      <c r="C3146" s="173"/>
      <c r="D3146" s="86"/>
      <c r="E3146" s="43" t="str">
        <f t="shared" si="82"/>
        <v/>
      </c>
      <c r="F3146" s="43" t="str">
        <f t="shared" si="83"/>
        <v/>
      </c>
      <c r="G3146" s="44"/>
      <c r="H3146" s="44"/>
      <c r="I3146" s="44"/>
      <c r="J3146" s="176"/>
      <c r="K3146" s="43" t="str">
        <f t="array" ref="K3146">IF(J3146="","", XLOOKUP(J3146,'⚙️ Pengaturan'!$E$2:$E3237,'⚙️ Pengaturan'!$G$2:$G3237))</f>
        <v/>
      </c>
      <c r="L3146" s="43" t="str">
        <f t="shared" si="84"/>
        <v/>
      </c>
      <c r="M3146" s="177"/>
      <c r="N3146" s="145"/>
      <c r="O3146" s="146"/>
      <c r="P3146" s="48" t="str">
        <f t="array" ref="P3146">IFNA(XLOOKUP(J3146,'⚙️ Pengaturan'!$E$2:$E3237,'⚙️ Pengaturan'!$F$2:$F3237),"")</f>
        <v/>
      </c>
      <c r="Q3146" s="147" t="str">
        <f t="shared" si="85"/>
        <v/>
      </c>
      <c r="R3146" s="173"/>
      <c r="S3146" s="76"/>
      <c r="T3146" s="51" t="b">
        <v>0</v>
      </c>
      <c r="U3146" s="94"/>
    </row>
    <row r="3147" ht="30.0" customHeight="1">
      <c r="A3147" s="39"/>
      <c r="B3147" s="40"/>
      <c r="C3147" s="173"/>
      <c r="D3147" s="86"/>
      <c r="E3147" s="43" t="str">
        <f t="shared" si="82"/>
        <v/>
      </c>
      <c r="F3147" s="43" t="str">
        <f t="shared" si="83"/>
        <v/>
      </c>
      <c r="G3147" s="44"/>
      <c r="H3147" s="44"/>
      <c r="I3147" s="44"/>
      <c r="J3147" s="176"/>
      <c r="K3147" s="43" t="str">
        <f t="array" ref="K3147">IF(J3147="","", XLOOKUP(J3147,'⚙️ Pengaturan'!$E$2:$E3237,'⚙️ Pengaturan'!$G$2:$G3237))</f>
        <v/>
      </c>
      <c r="L3147" s="43" t="str">
        <f t="shared" si="84"/>
        <v/>
      </c>
      <c r="M3147" s="177"/>
      <c r="N3147" s="145"/>
      <c r="O3147" s="146"/>
      <c r="P3147" s="48" t="str">
        <f t="array" ref="P3147">IFNA(XLOOKUP(J3147,'⚙️ Pengaturan'!$E$2:$E3237,'⚙️ Pengaturan'!$F$2:$F3237),"")</f>
        <v/>
      </c>
      <c r="Q3147" s="147" t="str">
        <f t="shared" si="85"/>
        <v/>
      </c>
      <c r="R3147" s="173"/>
      <c r="S3147" s="76"/>
      <c r="T3147" s="51" t="b">
        <v>0</v>
      </c>
      <c r="U3147" s="94"/>
    </row>
    <row r="3148" ht="30.0" customHeight="1">
      <c r="A3148" s="39"/>
      <c r="B3148" s="40"/>
      <c r="C3148" s="173"/>
      <c r="D3148" s="86"/>
      <c r="E3148" s="43" t="str">
        <f t="shared" si="82"/>
        <v/>
      </c>
      <c r="F3148" s="43" t="str">
        <f t="shared" si="83"/>
        <v/>
      </c>
      <c r="G3148" s="44"/>
      <c r="H3148" s="44"/>
      <c r="I3148" s="44"/>
      <c r="J3148" s="176"/>
      <c r="K3148" s="43" t="str">
        <f t="array" ref="K3148">IF(J3148="","", XLOOKUP(J3148,'⚙️ Pengaturan'!$E$2:$E3237,'⚙️ Pengaturan'!$G$2:$G3237))</f>
        <v/>
      </c>
      <c r="L3148" s="43" t="str">
        <f t="shared" si="84"/>
        <v/>
      </c>
      <c r="M3148" s="177"/>
      <c r="N3148" s="145"/>
      <c r="O3148" s="146"/>
      <c r="P3148" s="48" t="str">
        <f t="array" ref="P3148">IFNA(XLOOKUP(J3148,'⚙️ Pengaturan'!$E$2:$E3237,'⚙️ Pengaturan'!$F$2:$F3237),"")</f>
        <v/>
      </c>
      <c r="Q3148" s="147" t="str">
        <f t="shared" si="85"/>
        <v/>
      </c>
      <c r="R3148" s="173"/>
      <c r="S3148" s="76"/>
      <c r="T3148" s="51" t="b">
        <v>0</v>
      </c>
      <c r="U3148" s="94"/>
    </row>
    <row r="3149" ht="30.0" customHeight="1">
      <c r="A3149" s="39"/>
      <c r="B3149" s="40"/>
      <c r="C3149" s="173"/>
      <c r="D3149" s="86"/>
      <c r="E3149" s="43" t="str">
        <f t="shared" si="82"/>
        <v/>
      </c>
      <c r="F3149" s="43" t="str">
        <f t="shared" si="83"/>
        <v/>
      </c>
      <c r="G3149" s="44"/>
      <c r="H3149" s="44"/>
      <c r="I3149" s="44"/>
      <c r="J3149" s="176"/>
      <c r="K3149" s="43" t="str">
        <f t="array" ref="K3149">IF(J3149="","", XLOOKUP(J3149,'⚙️ Pengaturan'!$E$2:$E3237,'⚙️ Pengaturan'!$G$2:$G3237))</f>
        <v/>
      </c>
      <c r="L3149" s="43" t="str">
        <f t="shared" si="84"/>
        <v/>
      </c>
      <c r="M3149" s="177"/>
      <c r="N3149" s="145"/>
      <c r="O3149" s="146"/>
      <c r="P3149" s="48" t="str">
        <f t="array" ref="P3149">IFNA(XLOOKUP(J3149,'⚙️ Pengaturan'!$E$2:$E3237,'⚙️ Pengaturan'!$F$2:$F3237),"")</f>
        <v/>
      </c>
      <c r="Q3149" s="147" t="str">
        <f t="shared" si="85"/>
        <v/>
      </c>
      <c r="R3149" s="173"/>
      <c r="S3149" s="76"/>
      <c r="T3149" s="51" t="b">
        <v>0</v>
      </c>
      <c r="U3149" s="94"/>
    </row>
    <row r="3150" ht="30.0" customHeight="1">
      <c r="A3150" s="39"/>
      <c r="B3150" s="40"/>
      <c r="C3150" s="173"/>
      <c r="D3150" s="86"/>
      <c r="E3150" s="43" t="str">
        <f t="shared" si="82"/>
        <v/>
      </c>
      <c r="F3150" s="43" t="str">
        <f t="shared" si="83"/>
        <v/>
      </c>
      <c r="G3150" s="44"/>
      <c r="H3150" s="44"/>
      <c r="I3150" s="44"/>
      <c r="J3150" s="176"/>
      <c r="K3150" s="43" t="str">
        <f t="array" ref="K3150">IF(J3150="","", XLOOKUP(J3150,'⚙️ Pengaturan'!$E$2:$E3237,'⚙️ Pengaturan'!$G$2:$G3237))</f>
        <v/>
      </c>
      <c r="L3150" s="43" t="str">
        <f t="shared" si="84"/>
        <v/>
      </c>
      <c r="M3150" s="177"/>
      <c r="N3150" s="145"/>
      <c r="O3150" s="146"/>
      <c r="P3150" s="48" t="str">
        <f t="array" ref="P3150">IFNA(XLOOKUP(J3150,'⚙️ Pengaturan'!$E$2:$E3237,'⚙️ Pengaturan'!$F$2:$F3237),"")</f>
        <v/>
      </c>
      <c r="Q3150" s="147" t="str">
        <f t="shared" si="85"/>
        <v/>
      </c>
      <c r="R3150" s="173"/>
      <c r="S3150" s="76"/>
      <c r="T3150" s="51" t="b">
        <v>0</v>
      </c>
      <c r="U3150" s="94"/>
    </row>
    <row r="3151" ht="30.0" customHeight="1">
      <c r="A3151" s="39"/>
      <c r="B3151" s="40"/>
      <c r="C3151" s="173"/>
      <c r="D3151" s="86"/>
      <c r="E3151" s="43" t="str">
        <f t="shared" si="82"/>
        <v/>
      </c>
      <c r="F3151" s="43" t="str">
        <f t="shared" si="83"/>
        <v/>
      </c>
      <c r="G3151" s="44"/>
      <c r="H3151" s="44"/>
      <c r="I3151" s="44"/>
      <c r="J3151" s="176"/>
      <c r="K3151" s="43" t="str">
        <f t="array" ref="K3151">IF(J3151="","", XLOOKUP(J3151,'⚙️ Pengaturan'!$E$2:$E3237,'⚙️ Pengaturan'!$G$2:$G3237))</f>
        <v/>
      </c>
      <c r="L3151" s="43" t="str">
        <f t="shared" si="84"/>
        <v/>
      </c>
      <c r="M3151" s="177"/>
      <c r="N3151" s="145"/>
      <c r="O3151" s="146"/>
      <c r="P3151" s="48" t="str">
        <f t="array" ref="P3151">IFNA(XLOOKUP(J3151,'⚙️ Pengaturan'!$E$2:$E3237,'⚙️ Pengaturan'!$F$2:$F3237),"")</f>
        <v/>
      </c>
      <c r="Q3151" s="147" t="str">
        <f t="shared" si="85"/>
        <v/>
      </c>
      <c r="R3151" s="173"/>
      <c r="S3151" s="76"/>
      <c r="T3151" s="51" t="b">
        <v>0</v>
      </c>
      <c r="U3151" s="94"/>
    </row>
    <row r="3152" ht="30.0" customHeight="1">
      <c r="A3152" s="39"/>
      <c r="B3152" s="40"/>
      <c r="C3152" s="173"/>
      <c r="D3152" s="86"/>
      <c r="E3152" s="43" t="str">
        <f t="shared" si="82"/>
        <v/>
      </c>
      <c r="F3152" s="43" t="str">
        <f t="shared" si="83"/>
        <v/>
      </c>
      <c r="G3152" s="44"/>
      <c r="H3152" s="44"/>
      <c r="I3152" s="44"/>
      <c r="J3152" s="176"/>
      <c r="K3152" s="43" t="str">
        <f t="array" ref="K3152">IF(J3152="","", XLOOKUP(J3152,'⚙️ Pengaturan'!$E$2:$E3237,'⚙️ Pengaturan'!$G$2:$G3237))</f>
        <v/>
      </c>
      <c r="L3152" s="43" t="str">
        <f t="shared" si="84"/>
        <v/>
      </c>
      <c r="M3152" s="177"/>
      <c r="N3152" s="145"/>
      <c r="O3152" s="146"/>
      <c r="P3152" s="48" t="str">
        <f t="array" ref="P3152">IFNA(XLOOKUP(J3152,'⚙️ Pengaturan'!$E$2:$E3237,'⚙️ Pengaturan'!$F$2:$F3237),"")</f>
        <v/>
      </c>
      <c r="Q3152" s="147" t="str">
        <f t="shared" si="85"/>
        <v/>
      </c>
      <c r="R3152" s="173"/>
      <c r="S3152" s="76"/>
      <c r="T3152" s="51" t="b">
        <v>0</v>
      </c>
      <c r="U3152" s="94"/>
    </row>
    <row r="3153" ht="30.0" customHeight="1">
      <c r="A3153" s="39"/>
      <c r="B3153" s="40"/>
      <c r="C3153" s="173"/>
      <c r="D3153" s="86"/>
      <c r="E3153" s="43" t="str">
        <f t="shared" si="82"/>
        <v/>
      </c>
      <c r="F3153" s="43" t="str">
        <f t="shared" si="83"/>
        <v/>
      </c>
      <c r="G3153" s="44"/>
      <c r="H3153" s="44"/>
      <c r="I3153" s="44"/>
      <c r="J3153" s="176"/>
      <c r="K3153" s="43" t="str">
        <f t="array" ref="K3153">IF(J3153="","", XLOOKUP(J3153,'⚙️ Pengaturan'!$E$2:$E3237,'⚙️ Pengaturan'!$G$2:$G3237))</f>
        <v/>
      </c>
      <c r="L3153" s="43" t="str">
        <f t="shared" si="84"/>
        <v/>
      </c>
      <c r="M3153" s="177"/>
      <c r="N3153" s="145"/>
      <c r="O3153" s="146"/>
      <c r="P3153" s="48" t="str">
        <f t="array" ref="P3153">IFNA(XLOOKUP(J3153,'⚙️ Pengaturan'!$E$2:$E3237,'⚙️ Pengaturan'!$F$2:$F3237),"")</f>
        <v/>
      </c>
      <c r="Q3153" s="147" t="str">
        <f t="shared" si="85"/>
        <v/>
      </c>
      <c r="R3153" s="173"/>
      <c r="S3153" s="76"/>
      <c r="T3153" s="51" t="b">
        <v>0</v>
      </c>
      <c r="U3153" s="94"/>
    </row>
    <row r="3154" ht="30.0" customHeight="1">
      <c r="A3154" s="39"/>
      <c r="B3154" s="40"/>
      <c r="C3154" s="173"/>
      <c r="D3154" s="86"/>
      <c r="E3154" s="43" t="str">
        <f t="shared" si="82"/>
        <v/>
      </c>
      <c r="F3154" s="43" t="str">
        <f t="shared" si="83"/>
        <v/>
      </c>
      <c r="G3154" s="44"/>
      <c r="H3154" s="44"/>
      <c r="I3154" s="44"/>
      <c r="J3154" s="176"/>
      <c r="K3154" s="43" t="str">
        <f t="array" ref="K3154">IF(J3154="","", XLOOKUP(J3154,'⚙️ Pengaturan'!$E$2:$E3237,'⚙️ Pengaturan'!$G$2:$G3237))</f>
        <v/>
      </c>
      <c r="L3154" s="43" t="str">
        <f t="shared" si="84"/>
        <v/>
      </c>
      <c r="M3154" s="177"/>
      <c r="N3154" s="145"/>
      <c r="O3154" s="146"/>
      <c r="P3154" s="48" t="str">
        <f t="array" ref="P3154">IFNA(XLOOKUP(J3154,'⚙️ Pengaturan'!$E$2:$E3237,'⚙️ Pengaturan'!$F$2:$F3237),"")</f>
        <v/>
      </c>
      <c r="Q3154" s="147" t="str">
        <f t="shared" si="85"/>
        <v/>
      </c>
      <c r="R3154" s="173"/>
      <c r="S3154" s="76"/>
      <c r="T3154" s="51" t="b">
        <v>0</v>
      </c>
      <c r="U3154" s="94"/>
    </row>
    <row r="3155" ht="30.0" customHeight="1">
      <c r="A3155" s="39"/>
      <c r="B3155" s="40"/>
      <c r="C3155" s="173"/>
      <c r="D3155" s="86"/>
      <c r="E3155" s="43" t="str">
        <f t="shared" si="82"/>
        <v/>
      </c>
      <c r="F3155" s="43" t="str">
        <f t="shared" si="83"/>
        <v/>
      </c>
      <c r="G3155" s="44"/>
      <c r="H3155" s="44"/>
      <c r="I3155" s="44"/>
      <c r="J3155" s="176"/>
      <c r="K3155" s="43" t="str">
        <f t="array" ref="K3155">IF(J3155="","", XLOOKUP(J3155,'⚙️ Pengaturan'!$E$2:$E3237,'⚙️ Pengaturan'!$G$2:$G3237))</f>
        <v/>
      </c>
      <c r="L3155" s="43" t="str">
        <f t="shared" si="84"/>
        <v/>
      </c>
      <c r="M3155" s="177"/>
      <c r="N3155" s="145"/>
      <c r="O3155" s="146"/>
      <c r="P3155" s="48" t="str">
        <f t="array" ref="P3155">IFNA(XLOOKUP(J3155,'⚙️ Pengaturan'!$E$2:$E3237,'⚙️ Pengaturan'!$F$2:$F3237),"")</f>
        <v/>
      </c>
      <c r="Q3155" s="147" t="str">
        <f t="shared" si="85"/>
        <v/>
      </c>
      <c r="R3155" s="173"/>
      <c r="S3155" s="76"/>
      <c r="T3155" s="51" t="b">
        <v>0</v>
      </c>
      <c r="U3155" s="94"/>
    </row>
    <row r="3156" ht="30.0" customHeight="1">
      <c r="A3156" s="39"/>
      <c r="B3156" s="40"/>
      <c r="C3156" s="173"/>
      <c r="D3156" s="86"/>
      <c r="E3156" s="43" t="str">
        <f t="shared" si="82"/>
        <v/>
      </c>
      <c r="F3156" s="43" t="str">
        <f t="shared" si="83"/>
        <v/>
      </c>
      <c r="G3156" s="44"/>
      <c r="H3156" s="44"/>
      <c r="I3156" s="44"/>
      <c r="J3156" s="176"/>
      <c r="K3156" s="43" t="str">
        <f t="array" ref="K3156">IF(J3156="","", XLOOKUP(J3156,'⚙️ Pengaturan'!$E$2:$E3237,'⚙️ Pengaturan'!$G$2:$G3237))</f>
        <v/>
      </c>
      <c r="L3156" s="43" t="str">
        <f t="shared" si="84"/>
        <v/>
      </c>
      <c r="M3156" s="177"/>
      <c r="N3156" s="145"/>
      <c r="O3156" s="146"/>
      <c r="P3156" s="48" t="str">
        <f t="array" ref="P3156">IFNA(XLOOKUP(J3156,'⚙️ Pengaturan'!$E$2:$E3237,'⚙️ Pengaturan'!$F$2:$F3237),"")</f>
        <v/>
      </c>
      <c r="Q3156" s="147" t="str">
        <f t="shared" si="85"/>
        <v/>
      </c>
      <c r="R3156" s="173"/>
      <c r="S3156" s="76"/>
      <c r="T3156" s="51" t="b">
        <v>0</v>
      </c>
      <c r="U3156" s="94"/>
    </row>
    <row r="3157" ht="30.0" customHeight="1">
      <c r="A3157" s="39"/>
      <c r="B3157" s="40"/>
      <c r="C3157" s="173"/>
      <c r="D3157" s="86"/>
      <c r="E3157" s="43" t="str">
        <f t="shared" si="82"/>
        <v/>
      </c>
      <c r="F3157" s="43" t="str">
        <f t="shared" si="83"/>
        <v/>
      </c>
      <c r="G3157" s="44"/>
      <c r="H3157" s="44"/>
      <c r="I3157" s="44"/>
      <c r="J3157" s="176"/>
      <c r="K3157" s="43" t="str">
        <f t="array" ref="K3157">IF(J3157="","", XLOOKUP(J3157,'⚙️ Pengaturan'!$E$2:$E3237,'⚙️ Pengaturan'!$G$2:$G3237))</f>
        <v/>
      </c>
      <c r="L3157" s="43" t="str">
        <f t="shared" si="84"/>
        <v/>
      </c>
      <c r="M3157" s="177"/>
      <c r="N3157" s="145"/>
      <c r="O3157" s="146"/>
      <c r="P3157" s="48" t="str">
        <f t="array" ref="P3157">IFNA(XLOOKUP(J3157,'⚙️ Pengaturan'!$E$2:$E3237,'⚙️ Pengaturan'!$F$2:$F3237),"")</f>
        <v/>
      </c>
      <c r="Q3157" s="147" t="str">
        <f t="shared" si="85"/>
        <v/>
      </c>
      <c r="R3157" s="173"/>
      <c r="S3157" s="76"/>
      <c r="T3157" s="51" t="b">
        <v>0</v>
      </c>
      <c r="U3157" s="94"/>
    </row>
    <row r="3158" ht="30.0" customHeight="1">
      <c r="A3158" s="39"/>
      <c r="B3158" s="40"/>
      <c r="C3158" s="173"/>
      <c r="D3158" s="86"/>
      <c r="E3158" s="43" t="str">
        <f t="shared" si="82"/>
        <v/>
      </c>
      <c r="F3158" s="43" t="str">
        <f t="shared" si="83"/>
        <v/>
      </c>
      <c r="G3158" s="44"/>
      <c r="H3158" s="44"/>
      <c r="I3158" s="44"/>
      <c r="J3158" s="176"/>
      <c r="K3158" s="43" t="str">
        <f t="array" ref="K3158">IF(J3158="","", XLOOKUP(J3158,'⚙️ Pengaturan'!$E$2:$E3237,'⚙️ Pengaturan'!$G$2:$G3237))</f>
        <v/>
      </c>
      <c r="L3158" s="43" t="str">
        <f t="shared" si="84"/>
        <v/>
      </c>
      <c r="M3158" s="177"/>
      <c r="N3158" s="145"/>
      <c r="O3158" s="146"/>
      <c r="P3158" s="48" t="str">
        <f t="array" ref="P3158">IFNA(XLOOKUP(J3158,'⚙️ Pengaturan'!$E$2:$E3237,'⚙️ Pengaturan'!$F$2:$F3237),"")</f>
        <v/>
      </c>
      <c r="Q3158" s="147" t="str">
        <f t="shared" si="85"/>
        <v/>
      </c>
      <c r="R3158" s="173"/>
      <c r="S3158" s="76"/>
      <c r="T3158" s="51" t="b">
        <v>0</v>
      </c>
      <c r="U3158" s="94"/>
    </row>
    <row r="3159" ht="30.0" customHeight="1">
      <c r="A3159" s="39"/>
      <c r="B3159" s="40"/>
      <c r="C3159" s="173"/>
      <c r="D3159" s="86"/>
      <c r="E3159" s="43" t="str">
        <f t="shared" si="82"/>
        <v/>
      </c>
      <c r="F3159" s="43" t="str">
        <f t="shared" si="83"/>
        <v/>
      </c>
      <c r="G3159" s="44"/>
      <c r="H3159" s="44"/>
      <c r="I3159" s="44"/>
      <c r="J3159" s="176"/>
      <c r="K3159" s="43" t="str">
        <f t="array" ref="K3159">IF(J3159="","", XLOOKUP(J3159,'⚙️ Pengaturan'!$E$2:$E3237,'⚙️ Pengaturan'!$G$2:$G3237))</f>
        <v/>
      </c>
      <c r="L3159" s="43" t="str">
        <f t="shared" si="84"/>
        <v/>
      </c>
      <c r="M3159" s="177"/>
      <c r="N3159" s="145"/>
      <c r="O3159" s="146"/>
      <c r="P3159" s="48" t="str">
        <f t="array" ref="P3159">IFNA(XLOOKUP(J3159,'⚙️ Pengaturan'!$E$2:$E3237,'⚙️ Pengaturan'!$F$2:$F3237),"")</f>
        <v/>
      </c>
      <c r="Q3159" s="147" t="str">
        <f t="shared" si="85"/>
        <v/>
      </c>
      <c r="R3159" s="173"/>
      <c r="S3159" s="76"/>
      <c r="T3159" s="51" t="b">
        <v>0</v>
      </c>
      <c r="U3159" s="94"/>
    </row>
    <row r="3160" ht="30.0" customHeight="1">
      <c r="A3160" s="39"/>
      <c r="B3160" s="40"/>
      <c r="C3160" s="173"/>
      <c r="D3160" s="86"/>
      <c r="E3160" s="43" t="str">
        <f t="shared" si="82"/>
        <v/>
      </c>
      <c r="F3160" s="43" t="str">
        <f t="shared" si="83"/>
        <v/>
      </c>
      <c r="G3160" s="44"/>
      <c r="H3160" s="44"/>
      <c r="I3160" s="44"/>
      <c r="J3160" s="176"/>
      <c r="K3160" s="43" t="str">
        <f t="array" ref="K3160">IF(J3160="","", XLOOKUP(J3160,'⚙️ Pengaturan'!$E$2:$E3237,'⚙️ Pengaturan'!$G$2:$G3237))</f>
        <v/>
      </c>
      <c r="L3160" s="43" t="str">
        <f t="shared" si="84"/>
        <v/>
      </c>
      <c r="M3160" s="177"/>
      <c r="N3160" s="145"/>
      <c r="O3160" s="146"/>
      <c r="P3160" s="48" t="str">
        <f t="array" ref="P3160">IFNA(XLOOKUP(J3160,'⚙️ Pengaturan'!$E$2:$E3237,'⚙️ Pengaturan'!$F$2:$F3237),"")</f>
        <v/>
      </c>
      <c r="Q3160" s="147" t="str">
        <f t="shared" si="85"/>
        <v/>
      </c>
      <c r="R3160" s="173"/>
      <c r="S3160" s="76"/>
      <c r="T3160" s="51" t="b">
        <v>0</v>
      </c>
      <c r="U3160" s="94"/>
    </row>
    <row r="3161" ht="30.0" customHeight="1">
      <c r="A3161" s="39"/>
      <c r="B3161" s="40"/>
      <c r="C3161" s="173"/>
      <c r="D3161" s="86"/>
      <c r="E3161" s="43" t="str">
        <f t="shared" si="82"/>
        <v/>
      </c>
      <c r="F3161" s="43" t="str">
        <f t="shared" si="83"/>
        <v/>
      </c>
      <c r="G3161" s="44"/>
      <c r="H3161" s="44"/>
      <c r="I3161" s="44"/>
      <c r="J3161" s="176"/>
      <c r="K3161" s="43" t="str">
        <f t="array" ref="K3161">IF(J3161="","", XLOOKUP(J3161,'⚙️ Pengaturan'!$E$2:$E3237,'⚙️ Pengaturan'!$G$2:$G3237))</f>
        <v/>
      </c>
      <c r="L3161" s="43" t="str">
        <f t="shared" si="84"/>
        <v/>
      </c>
      <c r="M3161" s="177"/>
      <c r="N3161" s="145"/>
      <c r="O3161" s="146"/>
      <c r="P3161" s="48" t="str">
        <f t="array" ref="P3161">IFNA(XLOOKUP(J3161,'⚙️ Pengaturan'!$E$2:$E3237,'⚙️ Pengaturan'!$F$2:$F3237),"")</f>
        <v/>
      </c>
      <c r="Q3161" s="147" t="str">
        <f t="shared" si="85"/>
        <v/>
      </c>
      <c r="R3161" s="173"/>
      <c r="S3161" s="76"/>
      <c r="T3161" s="51" t="b">
        <v>0</v>
      </c>
      <c r="U3161" s="94"/>
    </row>
    <row r="3162" ht="30.0" customHeight="1">
      <c r="A3162" s="39"/>
      <c r="B3162" s="40"/>
      <c r="C3162" s="173"/>
      <c r="D3162" s="86"/>
      <c r="E3162" s="43" t="str">
        <f t="shared" si="82"/>
        <v/>
      </c>
      <c r="F3162" s="43" t="str">
        <f t="shared" si="83"/>
        <v/>
      </c>
      <c r="G3162" s="44"/>
      <c r="H3162" s="44"/>
      <c r="I3162" s="44"/>
      <c r="J3162" s="176"/>
      <c r="K3162" s="43" t="str">
        <f t="array" ref="K3162">IF(J3162="","", XLOOKUP(J3162,'⚙️ Pengaturan'!$E$2:$E3237,'⚙️ Pengaturan'!$G$2:$G3237))</f>
        <v/>
      </c>
      <c r="L3162" s="43" t="str">
        <f t="shared" si="84"/>
        <v/>
      </c>
      <c r="M3162" s="177"/>
      <c r="N3162" s="145"/>
      <c r="O3162" s="146"/>
      <c r="P3162" s="48" t="str">
        <f t="array" ref="P3162">IFNA(XLOOKUP(J3162,'⚙️ Pengaturan'!$E$2:$E3237,'⚙️ Pengaturan'!$F$2:$F3237),"")</f>
        <v/>
      </c>
      <c r="Q3162" s="147" t="str">
        <f t="shared" si="85"/>
        <v/>
      </c>
      <c r="R3162" s="173"/>
      <c r="S3162" s="76"/>
      <c r="T3162" s="51" t="b">
        <v>0</v>
      </c>
      <c r="U3162" s="94"/>
    </row>
    <row r="3163" ht="30.0" customHeight="1">
      <c r="A3163" s="39"/>
      <c r="B3163" s="40"/>
      <c r="C3163" s="173"/>
      <c r="D3163" s="86"/>
      <c r="E3163" s="43" t="str">
        <f t="shared" si="82"/>
        <v/>
      </c>
      <c r="F3163" s="43" t="str">
        <f t="shared" si="83"/>
        <v/>
      </c>
      <c r="G3163" s="44"/>
      <c r="H3163" s="44"/>
      <c r="I3163" s="44"/>
      <c r="J3163" s="176"/>
      <c r="K3163" s="43" t="str">
        <f t="array" ref="K3163">IF(J3163="","", XLOOKUP(J3163,'⚙️ Pengaturan'!$E$2:$E3237,'⚙️ Pengaturan'!$G$2:$G3237))</f>
        <v/>
      </c>
      <c r="L3163" s="43" t="str">
        <f t="shared" si="84"/>
        <v/>
      </c>
      <c r="M3163" s="177"/>
      <c r="N3163" s="145"/>
      <c r="O3163" s="146"/>
      <c r="P3163" s="48" t="str">
        <f t="array" ref="P3163">IFNA(XLOOKUP(J3163,'⚙️ Pengaturan'!$E$2:$E3237,'⚙️ Pengaturan'!$F$2:$F3237),"")</f>
        <v/>
      </c>
      <c r="Q3163" s="147" t="str">
        <f t="shared" si="85"/>
        <v/>
      </c>
      <c r="R3163" s="173"/>
      <c r="S3163" s="76"/>
      <c r="T3163" s="51" t="b">
        <v>0</v>
      </c>
      <c r="U3163" s="94"/>
    </row>
    <row r="3164" ht="30.0" customHeight="1">
      <c r="A3164" s="39"/>
      <c r="B3164" s="40"/>
      <c r="C3164" s="173"/>
      <c r="D3164" s="86"/>
      <c r="E3164" s="43" t="str">
        <f t="shared" si="82"/>
        <v/>
      </c>
      <c r="F3164" s="43" t="str">
        <f t="shared" si="83"/>
        <v/>
      </c>
      <c r="G3164" s="44"/>
      <c r="H3164" s="44"/>
      <c r="I3164" s="44"/>
      <c r="J3164" s="176"/>
      <c r="K3164" s="43" t="str">
        <f t="array" ref="K3164">IF(J3164="","", XLOOKUP(J3164,'⚙️ Pengaturan'!$E$2:$E3237,'⚙️ Pengaturan'!$G$2:$G3237))</f>
        <v/>
      </c>
      <c r="L3164" s="43" t="str">
        <f t="shared" si="84"/>
        <v/>
      </c>
      <c r="M3164" s="177"/>
      <c r="N3164" s="145"/>
      <c r="O3164" s="146"/>
      <c r="P3164" s="48" t="str">
        <f t="array" ref="P3164">IFNA(XLOOKUP(J3164,'⚙️ Pengaturan'!$E$2:$E3237,'⚙️ Pengaturan'!$F$2:$F3237),"")</f>
        <v/>
      </c>
      <c r="Q3164" s="147" t="str">
        <f t="shared" si="85"/>
        <v/>
      </c>
      <c r="R3164" s="173"/>
      <c r="S3164" s="76"/>
      <c r="T3164" s="51" t="b">
        <v>0</v>
      </c>
      <c r="U3164" s="94"/>
    </row>
    <row r="3165" ht="30.0" customHeight="1">
      <c r="A3165" s="39"/>
      <c r="B3165" s="40"/>
      <c r="C3165" s="173"/>
      <c r="D3165" s="86"/>
      <c r="E3165" s="43" t="str">
        <f t="shared" si="82"/>
        <v/>
      </c>
      <c r="F3165" s="43" t="str">
        <f t="shared" si="83"/>
        <v/>
      </c>
      <c r="G3165" s="44"/>
      <c r="H3165" s="44"/>
      <c r="I3165" s="44"/>
      <c r="J3165" s="176"/>
      <c r="K3165" s="43" t="str">
        <f t="array" ref="K3165">IF(J3165="","", XLOOKUP(J3165,'⚙️ Pengaturan'!$E$2:$E3237,'⚙️ Pengaturan'!$G$2:$G3237))</f>
        <v/>
      </c>
      <c r="L3165" s="43" t="str">
        <f t="shared" si="84"/>
        <v/>
      </c>
      <c r="M3165" s="177"/>
      <c r="N3165" s="145"/>
      <c r="O3165" s="146"/>
      <c r="P3165" s="48" t="str">
        <f t="array" ref="P3165">IFNA(XLOOKUP(J3165,'⚙️ Pengaturan'!$E$2:$E3237,'⚙️ Pengaturan'!$F$2:$F3237),"")</f>
        <v/>
      </c>
      <c r="Q3165" s="147" t="str">
        <f t="shared" si="85"/>
        <v/>
      </c>
      <c r="R3165" s="173"/>
      <c r="S3165" s="76"/>
      <c r="T3165" s="51" t="b">
        <v>0</v>
      </c>
      <c r="U3165" s="94"/>
    </row>
    <row r="3166" ht="30.0" customHeight="1">
      <c r="A3166" s="39"/>
      <c r="B3166" s="40"/>
      <c r="C3166" s="173"/>
      <c r="D3166" s="86"/>
      <c r="E3166" s="43" t="str">
        <f t="shared" si="82"/>
        <v/>
      </c>
      <c r="F3166" s="43" t="str">
        <f t="shared" si="83"/>
        <v/>
      </c>
      <c r="G3166" s="44"/>
      <c r="H3166" s="44"/>
      <c r="I3166" s="44"/>
      <c r="J3166" s="176"/>
      <c r="K3166" s="43" t="str">
        <f t="array" ref="K3166">IF(J3166="","", XLOOKUP(J3166,'⚙️ Pengaturan'!$E$2:$E3237,'⚙️ Pengaturan'!$G$2:$G3237))</f>
        <v/>
      </c>
      <c r="L3166" s="43" t="str">
        <f t="shared" si="84"/>
        <v/>
      </c>
      <c r="M3166" s="177"/>
      <c r="N3166" s="145"/>
      <c r="O3166" s="146"/>
      <c r="P3166" s="48" t="str">
        <f t="array" ref="P3166">IFNA(XLOOKUP(J3166,'⚙️ Pengaturan'!$E$2:$E3237,'⚙️ Pengaturan'!$F$2:$F3237),"")</f>
        <v/>
      </c>
      <c r="Q3166" s="147" t="str">
        <f t="shared" si="85"/>
        <v/>
      </c>
      <c r="R3166" s="173"/>
      <c r="S3166" s="76"/>
      <c r="T3166" s="51" t="b">
        <v>0</v>
      </c>
      <c r="U3166" s="94"/>
    </row>
    <row r="3167" ht="30.0" customHeight="1">
      <c r="A3167" s="39"/>
      <c r="B3167" s="40"/>
      <c r="C3167" s="173"/>
      <c r="D3167" s="86"/>
      <c r="E3167" s="43" t="str">
        <f t="shared" si="82"/>
        <v/>
      </c>
      <c r="F3167" s="43" t="str">
        <f t="shared" si="83"/>
        <v/>
      </c>
      <c r="G3167" s="44"/>
      <c r="H3167" s="44"/>
      <c r="I3167" s="44"/>
      <c r="J3167" s="176"/>
      <c r="K3167" s="43" t="str">
        <f t="array" ref="K3167">IF(J3167="","", XLOOKUP(J3167,'⚙️ Pengaturan'!$E$2:$E3237,'⚙️ Pengaturan'!$G$2:$G3237))</f>
        <v/>
      </c>
      <c r="L3167" s="43" t="str">
        <f t="shared" si="84"/>
        <v/>
      </c>
      <c r="M3167" s="177"/>
      <c r="N3167" s="145"/>
      <c r="O3167" s="146"/>
      <c r="P3167" s="48" t="str">
        <f t="array" ref="P3167">IFNA(XLOOKUP(J3167,'⚙️ Pengaturan'!$E$2:$E3237,'⚙️ Pengaturan'!$F$2:$F3237),"")</f>
        <v/>
      </c>
      <c r="Q3167" s="147" t="str">
        <f t="shared" si="85"/>
        <v/>
      </c>
      <c r="R3167" s="173"/>
      <c r="S3167" s="76"/>
      <c r="T3167" s="51" t="b">
        <v>0</v>
      </c>
      <c r="U3167" s="94"/>
    </row>
    <row r="3168" ht="30.0" customHeight="1">
      <c r="A3168" s="39"/>
      <c r="B3168" s="40"/>
      <c r="C3168" s="173"/>
      <c r="D3168" s="86"/>
      <c r="E3168" s="43" t="str">
        <f t="shared" si="82"/>
        <v/>
      </c>
      <c r="F3168" s="43" t="str">
        <f t="shared" si="83"/>
        <v/>
      </c>
      <c r="G3168" s="44"/>
      <c r="H3168" s="44"/>
      <c r="I3168" s="44"/>
      <c r="J3168" s="176"/>
      <c r="K3168" s="43" t="str">
        <f t="array" ref="K3168">IF(J3168="","", XLOOKUP(J3168,'⚙️ Pengaturan'!$E$2:$E3237,'⚙️ Pengaturan'!$G$2:$G3237))</f>
        <v/>
      </c>
      <c r="L3168" s="43" t="str">
        <f t="shared" si="84"/>
        <v/>
      </c>
      <c r="M3168" s="177"/>
      <c r="N3168" s="145"/>
      <c r="O3168" s="146"/>
      <c r="P3168" s="48" t="str">
        <f t="array" ref="P3168">IFNA(XLOOKUP(J3168,'⚙️ Pengaturan'!$E$2:$E3237,'⚙️ Pengaturan'!$F$2:$F3237),"")</f>
        <v/>
      </c>
      <c r="Q3168" s="147" t="str">
        <f t="shared" si="85"/>
        <v/>
      </c>
      <c r="R3168" s="173"/>
      <c r="S3168" s="76"/>
      <c r="T3168" s="51" t="b">
        <v>0</v>
      </c>
      <c r="U3168" s="94"/>
    </row>
    <row r="3169" ht="30.0" customHeight="1">
      <c r="A3169" s="39"/>
      <c r="B3169" s="40"/>
      <c r="C3169" s="173"/>
      <c r="D3169" s="86"/>
      <c r="E3169" s="43" t="str">
        <f t="shared" si="82"/>
        <v/>
      </c>
      <c r="F3169" s="43" t="str">
        <f t="shared" si="83"/>
        <v/>
      </c>
      <c r="G3169" s="44"/>
      <c r="H3169" s="44"/>
      <c r="I3169" s="44"/>
      <c r="J3169" s="176"/>
      <c r="K3169" s="43" t="str">
        <f t="array" ref="K3169">IF(J3169="","", XLOOKUP(J3169,'⚙️ Pengaturan'!$E$2:$E3237,'⚙️ Pengaturan'!$G$2:$G3237))</f>
        <v/>
      </c>
      <c r="L3169" s="43" t="str">
        <f t="shared" si="84"/>
        <v/>
      </c>
      <c r="M3169" s="177"/>
      <c r="N3169" s="145"/>
      <c r="O3169" s="146"/>
      <c r="P3169" s="48" t="str">
        <f t="array" ref="P3169">IFNA(XLOOKUP(J3169,'⚙️ Pengaturan'!$E$2:$E3237,'⚙️ Pengaturan'!$F$2:$F3237),"")</f>
        <v/>
      </c>
      <c r="Q3169" s="147" t="str">
        <f t="shared" si="85"/>
        <v/>
      </c>
      <c r="R3169" s="173"/>
      <c r="S3169" s="76"/>
      <c r="T3169" s="51" t="b">
        <v>0</v>
      </c>
      <c r="U3169" s="94"/>
    </row>
    <row r="3170" ht="30.0" customHeight="1">
      <c r="A3170" s="39"/>
      <c r="B3170" s="40"/>
      <c r="C3170" s="173"/>
      <c r="D3170" s="86"/>
      <c r="E3170" s="43" t="str">
        <f t="shared" si="82"/>
        <v/>
      </c>
      <c r="F3170" s="43" t="str">
        <f t="shared" si="83"/>
        <v/>
      </c>
      <c r="G3170" s="44"/>
      <c r="H3170" s="44"/>
      <c r="I3170" s="44"/>
      <c r="J3170" s="176"/>
      <c r="K3170" s="43" t="str">
        <f t="array" ref="K3170">IF(J3170="","", XLOOKUP(J3170,'⚙️ Pengaturan'!$E$2:$E3237,'⚙️ Pengaturan'!$G$2:$G3237))</f>
        <v/>
      </c>
      <c r="L3170" s="43" t="str">
        <f t="shared" si="84"/>
        <v/>
      </c>
      <c r="M3170" s="177"/>
      <c r="N3170" s="145"/>
      <c r="O3170" s="146"/>
      <c r="P3170" s="48" t="str">
        <f t="array" ref="P3170">IFNA(XLOOKUP(J3170,'⚙️ Pengaturan'!$E$2:$E3237,'⚙️ Pengaturan'!$F$2:$F3237),"")</f>
        <v/>
      </c>
      <c r="Q3170" s="147" t="str">
        <f t="shared" si="85"/>
        <v/>
      </c>
      <c r="R3170" s="173"/>
      <c r="S3170" s="76"/>
      <c r="T3170" s="51" t="b">
        <v>0</v>
      </c>
      <c r="U3170" s="94"/>
    </row>
    <row r="3171" ht="30.0" customHeight="1">
      <c r="A3171" s="39"/>
      <c r="B3171" s="40"/>
      <c r="C3171" s="173"/>
      <c r="D3171" s="86"/>
      <c r="E3171" s="43" t="str">
        <f t="shared" si="82"/>
        <v/>
      </c>
      <c r="F3171" s="43" t="str">
        <f t="shared" si="83"/>
        <v/>
      </c>
      <c r="G3171" s="44"/>
      <c r="H3171" s="44"/>
      <c r="I3171" s="44"/>
      <c r="J3171" s="176"/>
      <c r="K3171" s="43" t="str">
        <f t="array" ref="K3171">IF(J3171="","", XLOOKUP(J3171,'⚙️ Pengaturan'!$E$2:$E3237,'⚙️ Pengaturan'!$G$2:$G3237))</f>
        <v/>
      </c>
      <c r="L3171" s="43" t="str">
        <f t="shared" si="84"/>
        <v/>
      </c>
      <c r="M3171" s="177"/>
      <c r="N3171" s="145"/>
      <c r="O3171" s="146"/>
      <c r="P3171" s="48" t="str">
        <f t="array" ref="P3171">IFNA(XLOOKUP(J3171,'⚙️ Pengaturan'!$E$2:$E3237,'⚙️ Pengaturan'!$F$2:$F3237),"")</f>
        <v/>
      </c>
      <c r="Q3171" s="147" t="str">
        <f t="shared" si="85"/>
        <v/>
      </c>
      <c r="R3171" s="173"/>
      <c r="S3171" s="76"/>
      <c r="T3171" s="51" t="b">
        <v>0</v>
      </c>
      <c r="U3171" s="94"/>
    </row>
    <row r="3172" ht="30.0" customHeight="1">
      <c r="A3172" s="39"/>
      <c r="B3172" s="40"/>
      <c r="C3172" s="173"/>
      <c r="D3172" s="86"/>
      <c r="E3172" s="43" t="str">
        <f t="shared" si="82"/>
        <v/>
      </c>
      <c r="F3172" s="43" t="str">
        <f t="shared" si="83"/>
        <v/>
      </c>
      <c r="G3172" s="44"/>
      <c r="H3172" s="44"/>
      <c r="I3172" s="44"/>
      <c r="J3172" s="176"/>
      <c r="K3172" s="43" t="str">
        <f t="array" ref="K3172">IF(J3172="","", XLOOKUP(J3172,'⚙️ Pengaturan'!$E$2:$E3237,'⚙️ Pengaturan'!$G$2:$G3237))</f>
        <v/>
      </c>
      <c r="L3172" s="43" t="str">
        <f t="shared" si="84"/>
        <v/>
      </c>
      <c r="M3172" s="177"/>
      <c r="N3172" s="145"/>
      <c r="O3172" s="146"/>
      <c r="P3172" s="48" t="str">
        <f t="array" ref="P3172">IFNA(XLOOKUP(J3172,'⚙️ Pengaturan'!$E$2:$E3237,'⚙️ Pengaturan'!$F$2:$F3237),"")</f>
        <v/>
      </c>
      <c r="Q3172" s="147" t="str">
        <f t="shared" si="85"/>
        <v/>
      </c>
      <c r="R3172" s="173"/>
      <c r="S3172" s="76"/>
      <c r="T3172" s="51" t="b">
        <v>0</v>
      </c>
      <c r="U3172" s="94"/>
    </row>
    <row r="3173" ht="30.0" customHeight="1">
      <c r="A3173" s="39"/>
      <c r="B3173" s="40"/>
      <c r="C3173" s="173"/>
      <c r="D3173" s="86"/>
      <c r="E3173" s="43" t="str">
        <f t="shared" si="82"/>
        <v/>
      </c>
      <c r="F3173" s="43" t="str">
        <f t="shared" si="83"/>
        <v/>
      </c>
      <c r="G3173" s="44"/>
      <c r="H3173" s="44"/>
      <c r="I3173" s="44"/>
      <c r="J3173" s="176"/>
      <c r="K3173" s="43" t="str">
        <f t="array" ref="K3173">IF(J3173="","", XLOOKUP(J3173,'⚙️ Pengaturan'!$E$2:$E3237,'⚙️ Pengaturan'!$G$2:$G3237))</f>
        <v/>
      </c>
      <c r="L3173" s="43" t="str">
        <f t="shared" si="84"/>
        <v/>
      </c>
      <c r="M3173" s="177"/>
      <c r="N3173" s="145"/>
      <c r="O3173" s="146"/>
      <c r="P3173" s="48" t="str">
        <f t="array" ref="P3173">IFNA(XLOOKUP(J3173,'⚙️ Pengaturan'!$E$2:$E3237,'⚙️ Pengaturan'!$F$2:$F3237),"")</f>
        <v/>
      </c>
      <c r="Q3173" s="147" t="str">
        <f t="shared" si="85"/>
        <v/>
      </c>
      <c r="R3173" s="173"/>
      <c r="S3173" s="76"/>
      <c r="T3173" s="51" t="b">
        <v>0</v>
      </c>
      <c r="U3173" s="94"/>
    </row>
    <row r="3174" ht="30.0" customHeight="1">
      <c r="A3174" s="39"/>
      <c r="B3174" s="40"/>
      <c r="C3174" s="173"/>
      <c r="D3174" s="86"/>
      <c r="E3174" s="43" t="str">
        <f t="shared" si="82"/>
        <v/>
      </c>
      <c r="F3174" s="43" t="str">
        <f t="shared" si="83"/>
        <v/>
      </c>
      <c r="G3174" s="44"/>
      <c r="H3174" s="44"/>
      <c r="I3174" s="44"/>
      <c r="J3174" s="176"/>
      <c r="K3174" s="43" t="str">
        <f t="array" ref="K3174">IF(J3174="","", XLOOKUP(J3174,'⚙️ Pengaturan'!$E$2:$E3237,'⚙️ Pengaturan'!$G$2:$G3237))</f>
        <v/>
      </c>
      <c r="L3174" s="43" t="str">
        <f t="shared" si="84"/>
        <v/>
      </c>
      <c r="M3174" s="177"/>
      <c r="N3174" s="145"/>
      <c r="O3174" s="146"/>
      <c r="P3174" s="48" t="str">
        <f t="array" ref="P3174">IFNA(XLOOKUP(J3174,'⚙️ Pengaturan'!$E$2:$E3237,'⚙️ Pengaturan'!$F$2:$F3237),"")</f>
        <v/>
      </c>
      <c r="Q3174" s="147" t="str">
        <f t="shared" si="85"/>
        <v/>
      </c>
      <c r="R3174" s="173"/>
      <c r="S3174" s="76"/>
      <c r="T3174" s="51" t="b">
        <v>0</v>
      </c>
      <c r="U3174" s="94"/>
    </row>
    <row r="3175" ht="30.0" customHeight="1">
      <c r="A3175" s="39"/>
      <c r="B3175" s="40"/>
      <c r="C3175" s="173"/>
      <c r="D3175" s="86"/>
      <c r="E3175" s="43" t="str">
        <f t="shared" si="82"/>
        <v/>
      </c>
      <c r="F3175" s="43" t="str">
        <f t="shared" si="83"/>
        <v/>
      </c>
      <c r="G3175" s="44"/>
      <c r="H3175" s="44"/>
      <c r="I3175" s="44"/>
      <c r="J3175" s="176"/>
      <c r="K3175" s="43" t="str">
        <f t="array" ref="K3175">IF(J3175="","", XLOOKUP(J3175,'⚙️ Pengaturan'!$E$2:$E3237,'⚙️ Pengaturan'!$G$2:$G3237))</f>
        <v/>
      </c>
      <c r="L3175" s="43" t="str">
        <f t="shared" si="84"/>
        <v/>
      </c>
      <c r="M3175" s="177"/>
      <c r="N3175" s="145"/>
      <c r="O3175" s="146"/>
      <c r="P3175" s="48" t="str">
        <f t="array" ref="P3175">IFNA(XLOOKUP(J3175,'⚙️ Pengaturan'!$E$2:$E3237,'⚙️ Pengaturan'!$F$2:$F3237),"")</f>
        <v/>
      </c>
      <c r="Q3175" s="147" t="str">
        <f t="shared" si="85"/>
        <v/>
      </c>
      <c r="R3175" s="173"/>
      <c r="S3175" s="76"/>
      <c r="T3175" s="51" t="b">
        <v>0</v>
      </c>
      <c r="U3175" s="94"/>
    </row>
    <row r="3176" ht="30.0" customHeight="1">
      <c r="A3176" s="39"/>
      <c r="B3176" s="40"/>
      <c r="C3176" s="173"/>
      <c r="D3176" s="86"/>
      <c r="E3176" s="43" t="str">
        <f t="shared" si="82"/>
        <v/>
      </c>
      <c r="F3176" s="43" t="str">
        <f t="shared" si="83"/>
        <v/>
      </c>
      <c r="G3176" s="44"/>
      <c r="H3176" s="44"/>
      <c r="I3176" s="44"/>
      <c r="J3176" s="176"/>
      <c r="K3176" s="43" t="str">
        <f t="array" ref="K3176">IF(J3176="","", XLOOKUP(J3176,'⚙️ Pengaturan'!$E$2:$E3237,'⚙️ Pengaturan'!$G$2:$G3237))</f>
        <v/>
      </c>
      <c r="L3176" s="43" t="str">
        <f t="shared" si="84"/>
        <v/>
      </c>
      <c r="M3176" s="177"/>
      <c r="N3176" s="145"/>
      <c r="O3176" s="146"/>
      <c r="P3176" s="48" t="str">
        <f t="array" ref="P3176">IFNA(XLOOKUP(J3176,'⚙️ Pengaturan'!$E$2:$E3237,'⚙️ Pengaturan'!$F$2:$F3237),"")</f>
        <v/>
      </c>
      <c r="Q3176" s="147" t="str">
        <f t="shared" si="85"/>
        <v/>
      </c>
      <c r="R3176" s="173"/>
      <c r="S3176" s="76"/>
      <c r="T3176" s="51" t="b">
        <v>0</v>
      </c>
      <c r="U3176" s="94"/>
    </row>
    <row r="3177" ht="30.0" customHeight="1">
      <c r="A3177" s="39"/>
      <c r="B3177" s="40"/>
      <c r="C3177" s="173"/>
      <c r="D3177" s="86"/>
      <c r="E3177" s="43" t="str">
        <f t="shared" si="82"/>
        <v/>
      </c>
      <c r="F3177" s="43" t="str">
        <f t="shared" si="83"/>
        <v/>
      </c>
      <c r="G3177" s="44"/>
      <c r="H3177" s="44"/>
      <c r="I3177" s="44"/>
      <c r="J3177" s="176"/>
      <c r="K3177" s="43" t="str">
        <f t="array" ref="K3177">IF(J3177="","", XLOOKUP(J3177,'⚙️ Pengaturan'!$E$2:$E3237,'⚙️ Pengaturan'!$G$2:$G3237))</f>
        <v/>
      </c>
      <c r="L3177" s="43" t="str">
        <f t="shared" si="84"/>
        <v/>
      </c>
      <c r="M3177" s="177"/>
      <c r="N3177" s="145"/>
      <c r="O3177" s="146"/>
      <c r="P3177" s="48" t="str">
        <f t="array" ref="P3177">IFNA(XLOOKUP(J3177,'⚙️ Pengaturan'!$E$2:$E3237,'⚙️ Pengaturan'!$F$2:$F3237),"")</f>
        <v/>
      </c>
      <c r="Q3177" s="147" t="str">
        <f t="shared" si="85"/>
        <v/>
      </c>
      <c r="R3177" s="173"/>
      <c r="S3177" s="76"/>
      <c r="T3177" s="51" t="b">
        <v>0</v>
      </c>
      <c r="U3177" s="94"/>
    </row>
    <row r="3178" ht="30.0" customHeight="1">
      <c r="A3178" s="39"/>
      <c r="B3178" s="40"/>
      <c r="C3178" s="173"/>
      <c r="D3178" s="86"/>
      <c r="E3178" s="43" t="str">
        <f t="shared" si="82"/>
        <v/>
      </c>
      <c r="F3178" s="43" t="str">
        <f t="shared" si="83"/>
        <v/>
      </c>
      <c r="G3178" s="44"/>
      <c r="H3178" s="44"/>
      <c r="I3178" s="44"/>
      <c r="J3178" s="176"/>
      <c r="K3178" s="43" t="str">
        <f t="array" ref="K3178">IF(J3178="","", XLOOKUP(J3178,'⚙️ Pengaturan'!$E$2:$E3237,'⚙️ Pengaturan'!$G$2:$G3237))</f>
        <v/>
      </c>
      <c r="L3178" s="43" t="str">
        <f t="shared" si="84"/>
        <v/>
      </c>
      <c r="M3178" s="177"/>
      <c r="N3178" s="145"/>
      <c r="O3178" s="146"/>
      <c r="P3178" s="48" t="str">
        <f t="array" ref="P3178">IFNA(XLOOKUP(J3178,'⚙️ Pengaturan'!$E$2:$E3237,'⚙️ Pengaturan'!$F$2:$F3237),"")</f>
        <v/>
      </c>
      <c r="Q3178" s="147" t="str">
        <f t="shared" si="85"/>
        <v/>
      </c>
      <c r="R3178" s="173"/>
      <c r="S3178" s="76"/>
      <c r="T3178" s="51" t="b">
        <v>0</v>
      </c>
      <c r="U3178" s="94"/>
    </row>
    <row r="3179" ht="30.0" customHeight="1">
      <c r="A3179" s="39"/>
      <c r="B3179" s="40"/>
      <c r="C3179" s="173"/>
      <c r="D3179" s="86"/>
      <c r="E3179" s="43" t="str">
        <f t="shared" si="82"/>
        <v/>
      </c>
      <c r="F3179" s="43" t="str">
        <f t="shared" si="83"/>
        <v/>
      </c>
      <c r="G3179" s="44"/>
      <c r="H3179" s="44"/>
      <c r="I3179" s="44"/>
      <c r="J3179" s="176"/>
      <c r="K3179" s="43" t="str">
        <f t="array" ref="K3179">IF(J3179="","", XLOOKUP(J3179,'⚙️ Pengaturan'!$E$2:$E3237,'⚙️ Pengaturan'!$G$2:$G3237))</f>
        <v/>
      </c>
      <c r="L3179" s="43" t="str">
        <f t="shared" si="84"/>
        <v/>
      </c>
      <c r="M3179" s="177"/>
      <c r="N3179" s="145"/>
      <c r="O3179" s="146"/>
      <c r="P3179" s="48" t="str">
        <f t="array" ref="P3179">IFNA(XLOOKUP(J3179,'⚙️ Pengaturan'!$E$2:$E3237,'⚙️ Pengaturan'!$F$2:$F3237),"")</f>
        <v/>
      </c>
      <c r="Q3179" s="147" t="str">
        <f t="shared" si="85"/>
        <v/>
      </c>
      <c r="R3179" s="173"/>
      <c r="S3179" s="76"/>
      <c r="T3179" s="51" t="b">
        <v>0</v>
      </c>
      <c r="U3179" s="94"/>
    </row>
    <row r="3180" ht="30.0" customHeight="1">
      <c r="A3180" s="39"/>
      <c r="B3180" s="40"/>
      <c r="C3180" s="173"/>
      <c r="D3180" s="86"/>
      <c r="E3180" s="43" t="str">
        <f t="shared" si="82"/>
        <v/>
      </c>
      <c r="F3180" s="43" t="str">
        <f t="shared" si="83"/>
        <v/>
      </c>
      <c r="G3180" s="44"/>
      <c r="H3180" s="44"/>
      <c r="I3180" s="44"/>
      <c r="J3180" s="176"/>
      <c r="K3180" s="43" t="str">
        <f t="array" ref="K3180">IF(J3180="","", XLOOKUP(J3180,'⚙️ Pengaturan'!$E$2:$E3237,'⚙️ Pengaturan'!$G$2:$G3237))</f>
        <v/>
      </c>
      <c r="L3180" s="43" t="str">
        <f t="shared" si="84"/>
        <v/>
      </c>
      <c r="M3180" s="177"/>
      <c r="N3180" s="145"/>
      <c r="O3180" s="146"/>
      <c r="P3180" s="48" t="str">
        <f t="array" ref="P3180">IFNA(XLOOKUP(J3180,'⚙️ Pengaturan'!$E$2:$E3237,'⚙️ Pengaturan'!$F$2:$F3237),"")</f>
        <v/>
      </c>
      <c r="Q3180" s="147" t="str">
        <f t="shared" si="85"/>
        <v/>
      </c>
      <c r="R3180" s="173"/>
      <c r="S3180" s="76"/>
      <c r="T3180" s="51" t="b">
        <v>0</v>
      </c>
      <c r="U3180" s="94"/>
    </row>
    <row r="3181" ht="30.0" customHeight="1">
      <c r="A3181" s="39"/>
      <c r="B3181" s="40"/>
      <c r="C3181" s="173"/>
      <c r="D3181" s="86"/>
      <c r="E3181" s="43" t="str">
        <f t="shared" si="82"/>
        <v/>
      </c>
      <c r="F3181" s="43" t="str">
        <f t="shared" si="83"/>
        <v/>
      </c>
      <c r="G3181" s="44"/>
      <c r="H3181" s="44"/>
      <c r="I3181" s="44"/>
      <c r="J3181" s="176"/>
      <c r="K3181" s="43" t="str">
        <f t="array" ref="K3181">IF(J3181="","", XLOOKUP(J3181,'⚙️ Pengaturan'!$E$2:$E3237,'⚙️ Pengaturan'!$G$2:$G3237))</f>
        <v/>
      </c>
      <c r="L3181" s="43" t="str">
        <f t="shared" si="84"/>
        <v/>
      </c>
      <c r="M3181" s="177"/>
      <c r="N3181" s="145"/>
      <c r="O3181" s="146"/>
      <c r="P3181" s="48" t="str">
        <f t="array" ref="P3181">IFNA(XLOOKUP(J3181,'⚙️ Pengaturan'!$E$2:$E3237,'⚙️ Pengaturan'!$F$2:$F3237),"")</f>
        <v/>
      </c>
      <c r="Q3181" s="147" t="str">
        <f t="shared" si="85"/>
        <v/>
      </c>
      <c r="R3181" s="173"/>
      <c r="S3181" s="76"/>
      <c r="T3181" s="51" t="b">
        <v>0</v>
      </c>
      <c r="U3181" s="94"/>
    </row>
    <row r="3182" ht="30.0" customHeight="1">
      <c r="A3182" s="39"/>
      <c r="B3182" s="40"/>
      <c r="C3182" s="173"/>
      <c r="D3182" s="86"/>
      <c r="E3182" s="43" t="str">
        <f t="shared" si="82"/>
        <v/>
      </c>
      <c r="F3182" s="43" t="str">
        <f t="shared" si="83"/>
        <v/>
      </c>
      <c r="G3182" s="44"/>
      <c r="H3182" s="44"/>
      <c r="I3182" s="44"/>
      <c r="J3182" s="176"/>
      <c r="K3182" s="43" t="str">
        <f t="array" ref="K3182">IF(J3182="","", XLOOKUP(J3182,'⚙️ Pengaturan'!$E$2:$E3237,'⚙️ Pengaturan'!$G$2:$G3237))</f>
        <v/>
      </c>
      <c r="L3182" s="43" t="str">
        <f t="shared" si="84"/>
        <v/>
      </c>
      <c r="M3182" s="177"/>
      <c r="N3182" s="145"/>
      <c r="O3182" s="146"/>
      <c r="P3182" s="48" t="str">
        <f t="array" ref="P3182">IFNA(XLOOKUP(J3182,'⚙️ Pengaturan'!$E$2:$E3237,'⚙️ Pengaturan'!$F$2:$F3237),"")</f>
        <v/>
      </c>
      <c r="Q3182" s="147" t="str">
        <f t="shared" si="85"/>
        <v/>
      </c>
      <c r="R3182" s="173"/>
      <c r="S3182" s="76"/>
      <c r="T3182" s="51" t="b">
        <v>0</v>
      </c>
      <c r="U3182" s="94"/>
    </row>
    <row r="3183" ht="30.0" customHeight="1">
      <c r="A3183" s="39"/>
      <c r="B3183" s="40"/>
      <c r="C3183" s="173"/>
      <c r="D3183" s="86"/>
      <c r="E3183" s="43" t="str">
        <f t="shared" si="82"/>
        <v/>
      </c>
      <c r="F3183" s="43" t="str">
        <f t="shared" si="83"/>
        <v/>
      </c>
      <c r="G3183" s="44"/>
      <c r="H3183" s="44"/>
      <c r="I3183" s="44"/>
      <c r="J3183" s="176"/>
      <c r="K3183" s="43" t="str">
        <f t="array" ref="K3183">IF(J3183="","", XLOOKUP(J3183,'⚙️ Pengaturan'!$E$2:$E3237,'⚙️ Pengaturan'!$G$2:$G3237))</f>
        <v/>
      </c>
      <c r="L3183" s="43" t="str">
        <f t="shared" si="84"/>
        <v/>
      </c>
      <c r="M3183" s="177"/>
      <c r="N3183" s="145"/>
      <c r="O3183" s="146"/>
      <c r="P3183" s="48" t="str">
        <f t="array" ref="P3183">IFNA(XLOOKUP(J3183,'⚙️ Pengaturan'!$E$2:$E3237,'⚙️ Pengaturan'!$F$2:$F3237),"")</f>
        <v/>
      </c>
      <c r="Q3183" s="147" t="str">
        <f t="shared" si="85"/>
        <v/>
      </c>
      <c r="R3183" s="173"/>
      <c r="S3183" s="76"/>
      <c r="T3183" s="51" t="b">
        <v>0</v>
      </c>
      <c r="U3183" s="94"/>
    </row>
    <row r="3184" ht="30.0" customHeight="1">
      <c r="A3184" s="39"/>
      <c r="B3184" s="40"/>
      <c r="C3184" s="173"/>
      <c r="D3184" s="86"/>
      <c r="E3184" s="43" t="str">
        <f t="shared" si="82"/>
        <v/>
      </c>
      <c r="F3184" s="43" t="str">
        <f t="shared" si="83"/>
        <v/>
      </c>
      <c r="G3184" s="44"/>
      <c r="H3184" s="44"/>
      <c r="I3184" s="44"/>
      <c r="J3184" s="176"/>
      <c r="K3184" s="43" t="str">
        <f t="array" ref="K3184">IF(J3184="","", XLOOKUP(J3184,'⚙️ Pengaturan'!$E$2:$E3237,'⚙️ Pengaturan'!$G$2:$G3237))</f>
        <v/>
      </c>
      <c r="L3184" s="43" t="str">
        <f t="shared" si="84"/>
        <v/>
      </c>
      <c r="M3184" s="177"/>
      <c r="N3184" s="145"/>
      <c r="O3184" s="146"/>
      <c r="P3184" s="48" t="str">
        <f t="array" ref="P3184">IFNA(XLOOKUP(J3184,'⚙️ Pengaturan'!$E$2:$E3237,'⚙️ Pengaturan'!$F$2:$F3237),"")</f>
        <v/>
      </c>
      <c r="Q3184" s="147" t="str">
        <f t="shared" si="85"/>
        <v/>
      </c>
      <c r="R3184" s="173"/>
      <c r="S3184" s="76"/>
      <c r="T3184" s="51" t="b">
        <v>0</v>
      </c>
      <c r="U3184" s="94"/>
    </row>
    <row r="3185" ht="30.0" customHeight="1">
      <c r="A3185" s="39"/>
      <c r="B3185" s="40"/>
      <c r="C3185" s="173"/>
      <c r="D3185" s="86"/>
      <c r="E3185" s="43" t="str">
        <f t="shared" si="82"/>
        <v/>
      </c>
      <c r="F3185" s="43" t="str">
        <f t="shared" si="83"/>
        <v/>
      </c>
      <c r="G3185" s="44"/>
      <c r="H3185" s="44"/>
      <c r="I3185" s="44"/>
      <c r="J3185" s="176"/>
      <c r="K3185" s="43" t="str">
        <f t="array" ref="K3185">IF(J3185="","", XLOOKUP(J3185,'⚙️ Pengaturan'!$E$2:$E3237,'⚙️ Pengaturan'!$G$2:$G3237))</f>
        <v/>
      </c>
      <c r="L3185" s="43" t="str">
        <f t="shared" si="84"/>
        <v/>
      </c>
      <c r="M3185" s="177"/>
      <c r="N3185" s="145"/>
      <c r="O3185" s="146"/>
      <c r="P3185" s="48" t="str">
        <f t="array" ref="P3185">IFNA(XLOOKUP(J3185,'⚙️ Pengaturan'!$E$2:$E3237,'⚙️ Pengaturan'!$F$2:$F3237),"")</f>
        <v/>
      </c>
      <c r="Q3185" s="147" t="str">
        <f t="shared" si="85"/>
        <v/>
      </c>
      <c r="R3185" s="173"/>
      <c r="S3185" s="76"/>
      <c r="T3185" s="51" t="b">
        <v>0</v>
      </c>
      <c r="U3185" s="94"/>
    </row>
    <row r="3186" ht="30.0" customHeight="1">
      <c r="A3186" s="39"/>
      <c r="B3186" s="40"/>
      <c r="C3186" s="173"/>
      <c r="D3186" s="86"/>
      <c r="E3186" s="43" t="str">
        <f t="shared" si="82"/>
        <v/>
      </c>
      <c r="F3186" s="43" t="str">
        <f t="shared" si="83"/>
        <v/>
      </c>
      <c r="G3186" s="44"/>
      <c r="H3186" s="44"/>
      <c r="I3186" s="44"/>
      <c r="J3186" s="176"/>
      <c r="K3186" s="43" t="str">
        <f t="array" ref="K3186">IF(J3186="","", XLOOKUP(J3186,'⚙️ Pengaturan'!$E$2:$E3237,'⚙️ Pengaturan'!$G$2:$G3237))</f>
        <v/>
      </c>
      <c r="L3186" s="43" t="str">
        <f t="shared" si="84"/>
        <v/>
      </c>
      <c r="M3186" s="177"/>
      <c r="N3186" s="145"/>
      <c r="O3186" s="146"/>
      <c r="P3186" s="48" t="str">
        <f t="array" ref="P3186">IFNA(XLOOKUP(J3186,'⚙️ Pengaturan'!$E$2:$E3237,'⚙️ Pengaturan'!$F$2:$F3237),"")</f>
        <v/>
      </c>
      <c r="Q3186" s="147" t="str">
        <f t="shared" si="85"/>
        <v/>
      </c>
      <c r="R3186" s="173"/>
      <c r="S3186" s="76"/>
      <c r="T3186" s="51" t="b">
        <v>0</v>
      </c>
      <c r="U3186" s="94"/>
    </row>
    <row r="3187" ht="30.0" customHeight="1">
      <c r="A3187" s="39"/>
      <c r="B3187" s="40"/>
      <c r="C3187" s="173"/>
      <c r="D3187" s="86"/>
      <c r="E3187" s="43" t="str">
        <f t="shared" si="82"/>
        <v/>
      </c>
      <c r="F3187" s="43" t="str">
        <f t="shared" si="83"/>
        <v/>
      </c>
      <c r="G3187" s="44"/>
      <c r="H3187" s="44"/>
      <c r="I3187" s="44"/>
      <c r="J3187" s="176"/>
      <c r="K3187" s="43" t="str">
        <f t="array" ref="K3187">IF(J3187="","", XLOOKUP(J3187,'⚙️ Pengaturan'!$E$2:$E3237,'⚙️ Pengaturan'!$G$2:$G3237))</f>
        <v/>
      </c>
      <c r="L3187" s="43" t="str">
        <f t="shared" si="84"/>
        <v/>
      </c>
      <c r="M3187" s="177"/>
      <c r="N3187" s="145"/>
      <c r="O3187" s="146"/>
      <c r="P3187" s="48" t="str">
        <f t="array" ref="P3187">IFNA(XLOOKUP(J3187,'⚙️ Pengaturan'!$E$2:$E3237,'⚙️ Pengaturan'!$F$2:$F3237),"")</f>
        <v/>
      </c>
      <c r="Q3187" s="147" t="str">
        <f t="shared" si="85"/>
        <v/>
      </c>
      <c r="R3187" s="173"/>
      <c r="S3187" s="76"/>
      <c r="T3187" s="51" t="b">
        <v>0</v>
      </c>
      <c r="U3187" s="94"/>
    </row>
    <row r="3188" ht="30.0" customHeight="1">
      <c r="A3188" s="39"/>
      <c r="B3188" s="40"/>
      <c r="C3188" s="173"/>
      <c r="D3188" s="86"/>
      <c r="E3188" s="43" t="str">
        <f t="shared" si="82"/>
        <v/>
      </c>
      <c r="F3188" s="43" t="str">
        <f t="shared" si="83"/>
        <v/>
      </c>
      <c r="G3188" s="44"/>
      <c r="H3188" s="44"/>
      <c r="I3188" s="44"/>
      <c r="J3188" s="176"/>
      <c r="K3188" s="43" t="str">
        <f t="array" ref="K3188">IF(J3188="","", XLOOKUP(J3188,'⚙️ Pengaturan'!$E$2:$E3237,'⚙️ Pengaturan'!$G$2:$G3237))</f>
        <v/>
      </c>
      <c r="L3188" s="43" t="str">
        <f t="shared" si="84"/>
        <v/>
      </c>
      <c r="M3188" s="177"/>
      <c r="N3188" s="145"/>
      <c r="O3188" s="146"/>
      <c r="P3188" s="48" t="str">
        <f t="array" ref="P3188">IFNA(XLOOKUP(J3188,'⚙️ Pengaturan'!$E$2:$E3237,'⚙️ Pengaturan'!$F$2:$F3237),"")</f>
        <v/>
      </c>
      <c r="Q3188" s="147" t="str">
        <f t="shared" si="85"/>
        <v/>
      </c>
      <c r="R3188" s="173"/>
      <c r="S3188" s="76"/>
      <c r="T3188" s="51" t="b">
        <v>0</v>
      </c>
      <c r="U3188" s="94"/>
    </row>
    <row r="3189" ht="30.0" customHeight="1">
      <c r="A3189" s="39"/>
      <c r="B3189" s="40"/>
      <c r="C3189" s="173"/>
      <c r="D3189" s="86"/>
      <c r="E3189" s="43" t="str">
        <f t="shared" si="82"/>
        <v/>
      </c>
      <c r="F3189" s="43" t="str">
        <f t="shared" si="83"/>
        <v/>
      </c>
      <c r="G3189" s="44"/>
      <c r="H3189" s="44"/>
      <c r="I3189" s="44"/>
      <c r="J3189" s="176"/>
      <c r="K3189" s="43" t="str">
        <f t="array" ref="K3189">IF(J3189="","", XLOOKUP(J3189,'⚙️ Pengaturan'!$E$2:$E3237,'⚙️ Pengaturan'!$G$2:$G3237))</f>
        <v/>
      </c>
      <c r="L3189" s="43" t="str">
        <f t="shared" si="84"/>
        <v/>
      </c>
      <c r="M3189" s="177"/>
      <c r="N3189" s="145"/>
      <c r="O3189" s="146"/>
      <c r="P3189" s="48" t="str">
        <f t="array" ref="P3189">IFNA(XLOOKUP(J3189,'⚙️ Pengaturan'!$E$2:$E3237,'⚙️ Pengaturan'!$F$2:$F3237),"")</f>
        <v/>
      </c>
      <c r="Q3189" s="147" t="str">
        <f t="shared" si="85"/>
        <v/>
      </c>
      <c r="R3189" s="173"/>
      <c r="S3189" s="76"/>
      <c r="T3189" s="51" t="b">
        <v>0</v>
      </c>
      <c r="U3189" s="94"/>
    </row>
    <row r="3190" ht="30.0" customHeight="1">
      <c r="A3190" s="39"/>
      <c r="B3190" s="40"/>
      <c r="C3190" s="173"/>
      <c r="D3190" s="86"/>
      <c r="E3190" s="43" t="str">
        <f t="shared" si="82"/>
        <v/>
      </c>
      <c r="F3190" s="43" t="str">
        <f t="shared" si="83"/>
        <v/>
      </c>
      <c r="G3190" s="44"/>
      <c r="H3190" s="44"/>
      <c r="I3190" s="44"/>
      <c r="J3190" s="176"/>
      <c r="K3190" s="43" t="str">
        <f t="array" ref="K3190">IF(J3190="","", XLOOKUP(J3190,'⚙️ Pengaturan'!$E$2:$E3237,'⚙️ Pengaturan'!$G$2:$G3237))</f>
        <v/>
      </c>
      <c r="L3190" s="43" t="str">
        <f t="shared" si="84"/>
        <v/>
      </c>
      <c r="M3190" s="177"/>
      <c r="N3190" s="145"/>
      <c r="O3190" s="146"/>
      <c r="P3190" s="48" t="str">
        <f t="array" ref="P3190">IFNA(XLOOKUP(J3190,'⚙️ Pengaturan'!$E$2:$E3237,'⚙️ Pengaturan'!$F$2:$F3237),"")</f>
        <v/>
      </c>
      <c r="Q3190" s="147" t="str">
        <f t="shared" si="85"/>
        <v/>
      </c>
      <c r="R3190" s="173"/>
      <c r="S3190" s="76"/>
      <c r="T3190" s="51" t="b">
        <v>0</v>
      </c>
      <c r="U3190" s="94"/>
    </row>
    <row r="3191" ht="30.0" customHeight="1">
      <c r="A3191" s="39"/>
      <c r="B3191" s="40"/>
      <c r="C3191" s="173"/>
      <c r="D3191" s="86"/>
      <c r="E3191" s="43" t="str">
        <f t="shared" si="82"/>
        <v/>
      </c>
      <c r="F3191" s="43" t="str">
        <f t="shared" si="83"/>
        <v/>
      </c>
      <c r="G3191" s="44"/>
      <c r="H3191" s="44"/>
      <c r="I3191" s="44"/>
      <c r="J3191" s="176"/>
      <c r="K3191" s="43" t="str">
        <f t="array" ref="K3191">IF(J3191="","", XLOOKUP(J3191,'⚙️ Pengaturan'!$E$2:$E3237,'⚙️ Pengaturan'!$G$2:$G3237))</f>
        <v/>
      </c>
      <c r="L3191" s="43" t="str">
        <f t="shared" si="84"/>
        <v/>
      </c>
      <c r="M3191" s="177"/>
      <c r="N3191" s="145"/>
      <c r="O3191" s="146"/>
      <c r="P3191" s="48" t="str">
        <f t="array" ref="P3191">IFNA(XLOOKUP(J3191,'⚙️ Pengaturan'!$E$2:$E3237,'⚙️ Pengaturan'!$F$2:$F3237),"")</f>
        <v/>
      </c>
      <c r="Q3191" s="147" t="str">
        <f t="shared" si="85"/>
        <v/>
      </c>
      <c r="R3191" s="173"/>
      <c r="S3191" s="76"/>
      <c r="T3191" s="51" t="b">
        <v>0</v>
      </c>
      <c r="U3191" s="94"/>
    </row>
    <row r="3192" ht="30.0" customHeight="1">
      <c r="A3192" s="39"/>
      <c r="B3192" s="40"/>
      <c r="C3192" s="173"/>
      <c r="D3192" s="86"/>
      <c r="E3192" s="43" t="str">
        <f t="shared" si="82"/>
        <v/>
      </c>
      <c r="F3192" s="43" t="str">
        <f t="shared" si="83"/>
        <v/>
      </c>
      <c r="G3192" s="44"/>
      <c r="H3192" s="44"/>
      <c r="I3192" s="44"/>
      <c r="J3192" s="176"/>
      <c r="K3192" s="43" t="str">
        <f t="array" ref="K3192">IF(J3192="","", XLOOKUP(J3192,'⚙️ Pengaturan'!$E$2:$E3237,'⚙️ Pengaturan'!$G$2:$G3237))</f>
        <v/>
      </c>
      <c r="L3192" s="43" t="str">
        <f t="shared" si="84"/>
        <v/>
      </c>
      <c r="M3192" s="177"/>
      <c r="N3192" s="145"/>
      <c r="O3192" s="146"/>
      <c r="P3192" s="48" t="str">
        <f t="array" ref="P3192">IFNA(XLOOKUP(J3192,'⚙️ Pengaturan'!$E$2:$E3237,'⚙️ Pengaturan'!$F$2:$F3237),"")</f>
        <v/>
      </c>
      <c r="Q3192" s="147" t="str">
        <f t="shared" si="85"/>
        <v/>
      </c>
      <c r="R3192" s="173"/>
      <c r="S3192" s="76"/>
      <c r="T3192" s="51" t="b">
        <v>0</v>
      </c>
      <c r="U3192" s="94"/>
    </row>
    <row r="3193" ht="30.0" customHeight="1">
      <c r="A3193" s="39"/>
      <c r="B3193" s="40"/>
      <c r="C3193" s="173"/>
      <c r="D3193" s="86"/>
      <c r="E3193" s="43" t="str">
        <f t="shared" si="82"/>
        <v/>
      </c>
      <c r="F3193" s="43" t="str">
        <f t="shared" si="83"/>
        <v/>
      </c>
      <c r="G3193" s="44"/>
      <c r="H3193" s="44"/>
      <c r="I3193" s="44"/>
      <c r="J3193" s="176"/>
      <c r="K3193" s="43" t="str">
        <f t="array" ref="K3193">IF(J3193="","", XLOOKUP(J3193,'⚙️ Pengaturan'!$E$2:$E3237,'⚙️ Pengaturan'!$G$2:$G3237))</f>
        <v/>
      </c>
      <c r="L3193" s="43" t="str">
        <f t="shared" si="84"/>
        <v/>
      </c>
      <c r="M3193" s="177"/>
      <c r="N3193" s="145"/>
      <c r="O3193" s="146"/>
      <c r="P3193" s="48" t="str">
        <f t="array" ref="P3193">IFNA(XLOOKUP(J3193,'⚙️ Pengaturan'!$E$2:$E3237,'⚙️ Pengaturan'!$F$2:$F3237),"")</f>
        <v/>
      </c>
      <c r="Q3193" s="147" t="str">
        <f t="shared" si="85"/>
        <v/>
      </c>
      <c r="R3193" s="173"/>
      <c r="S3193" s="76"/>
      <c r="T3193" s="51" t="b">
        <v>0</v>
      </c>
      <c r="U3193" s="94"/>
    </row>
    <row r="3194" ht="30.0" customHeight="1">
      <c r="A3194" s="39"/>
      <c r="B3194" s="40"/>
      <c r="C3194" s="173"/>
      <c r="D3194" s="86"/>
      <c r="E3194" s="43" t="str">
        <f t="shared" si="82"/>
        <v/>
      </c>
      <c r="F3194" s="43" t="str">
        <f t="shared" si="83"/>
        <v/>
      </c>
      <c r="G3194" s="44"/>
      <c r="H3194" s="44"/>
      <c r="I3194" s="44"/>
      <c r="J3194" s="176"/>
      <c r="K3194" s="43" t="str">
        <f t="array" ref="K3194">IF(J3194="","", XLOOKUP(J3194,'⚙️ Pengaturan'!$E$2:$E3237,'⚙️ Pengaturan'!$G$2:$G3237))</f>
        <v/>
      </c>
      <c r="L3194" s="43" t="str">
        <f t="shared" si="84"/>
        <v/>
      </c>
      <c r="M3194" s="177"/>
      <c r="N3194" s="145"/>
      <c r="O3194" s="146"/>
      <c r="P3194" s="48" t="str">
        <f t="array" ref="P3194">IFNA(XLOOKUP(J3194,'⚙️ Pengaturan'!$E$2:$E3237,'⚙️ Pengaturan'!$F$2:$F3237),"")</f>
        <v/>
      </c>
      <c r="Q3194" s="147" t="str">
        <f t="shared" si="85"/>
        <v/>
      </c>
      <c r="R3194" s="173"/>
      <c r="S3194" s="76"/>
      <c r="T3194" s="51" t="b">
        <v>0</v>
      </c>
      <c r="U3194" s="94"/>
    </row>
    <row r="3195" ht="30.0" customHeight="1">
      <c r="A3195" s="39"/>
      <c r="B3195" s="40"/>
      <c r="C3195" s="173"/>
      <c r="D3195" s="86"/>
      <c r="E3195" s="43" t="str">
        <f t="shared" si="82"/>
        <v/>
      </c>
      <c r="F3195" s="43" t="str">
        <f t="shared" si="83"/>
        <v/>
      </c>
      <c r="G3195" s="44"/>
      <c r="H3195" s="44"/>
      <c r="I3195" s="44"/>
      <c r="J3195" s="176"/>
      <c r="K3195" s="43" t="str">
        <f t="array" ref="K3195">IF(J3195="","", XLOOKUP(J3195,'⚙️ Pengaturan'!$E$2:$E3237,'⚙️ Pengaturan'!$G$2:$G3237))</f>
        <v/>
      </c>
      <c r="L3195" s="43" t="str">
        <f t="shared" si="84"/>
        <v/>
      </c>
      <c r="M3195" s="177"/>
      <c r="N3195" s="145"/>
      <c r="O3195" s="146"/>
      <c r="P3195" s="48" t="str">
        <f t="array" ref="P3195">IFNA(XLOOKUP(J3195,'⚙️ Pengaturan'!$E$2:$E3237,'⚙️ Pengaturan'!$F$2:$F3237),"")</f>
        <v/>
      </c>
      <c r="Q3195" s="147" t="str">
        <f t="shared" si="85"/>
        <v/>
      </c>
      <c r="R3195" s="173"/>
      <c r="S3195" s="76"/>
      <c r="T3195" s="51" t="b">
        <v>0</v>
      </c>
      <c r="U3195" s="94"/>
    </row>
    <row r="3196" ht="30.0" customHeight="1">
      <c r="A3196" s="39"/>
      <c r="B3196" s="40"/>
      <c r="C3196" s="173"/>
      <c r="D3196" s="86"/>
      <c r="E3196" s="43" t="str">
        <f t="shared" si="82"/>
        <v/>
      </c>
      <c r="F3196" s="43" t="str">
        <f t="shared" si="83"/>
        <v/>
      </c>
      <c r="G3196" s="44"/>
      <c r="H3196" s="44"/>
      <c r="I3196" s="44"/>
      <c r="J3196" s="176"/>
      <c r="K3196" s="43" t="str">
        <f t="array" ref="K3196">IF(J3196="","", XLOOKUP(J3196,'⚙️ Pengaturan'!$E$2:$E3237,'⚙️ Pengaturan'!$G$2:$G3237))</f>
        <v/>
      </c>
      <c r="L3196" s="43" t="str">
        <f t="shared" si="84"/>
        <v/>
      </c>
      <c r="M3196" s="177"/>
      <c r="N3196" s="145"/>
      <c r="O3196" s="146"/>
      <c r="P3196" s="48" t="str">
        <f t="array" ref="P3196">IFNA(XLOOKUP(J3196,'⚙️ Pengaturan'!$E$2:$E3237,'⚙️ Pengaturan'!$F$2:$F3237),"")</f>
        <v/>
      </c>
      <c r="Q3196" s="147" t="str">
        <f t="shared" si="85"/>
        <v/>
      </c>
      <c r="R3196" s="173"/>
      <c r="S3196" s="76"/>
      <c r="T3196" s="51" t="b">
        <v>0</v>
      </c>
      <c r="U3196" s="94"/>
    </row>
    <row r="3197" ht="30.0" customHeight="1">
      <c r="A3197" s="39"/>
      <c r="B3197" s="40"/>
      <c r="C3197" s="173"/>
      <c r="D3197" s="86"/>
      <c r="E3197" s="43" t="str">
        <f t="shared" si="82"/>
        <v/>
      </c>
      <c r="F3197" s="43" t="str">
        <f t="shared" si="83"/>
        <v/>
      </c>
      <c r="G3197" s="44"/>
      <c r="H3197" s="44"/>
      <c r="I3197" s="44"/>
      <c r="J3197" s="176"/>
      <c r="K3197" s="43" t="str">
        <f t="array" ref="K3197">IF(J3197="","", XLOOKUP(J3197,'⚙️ Pengaturan'!$E$2:$E3237,'⚙️ Pengaturan'!$G$2:$G3237))</f>
        <v/>
      </c>
      <c r="L3197" s="43" t="str">
        <f t="shared" si="84"/>
        <v/>
      </c>
      <c r="M3197" s="177"/>
      <c r="N3197" s="145"/>
      <c r="O3197" s="146"/>
      <c r="P3197" s="48" t="str">
        <f t="array" ref="P3197">IFNA(XLOOKUP(J3197,'⚙️ Pengaturan'!$E$2:$E3237,'⚙️ Pengaturan'!$F$2:$F3237),"")</f>
        <v/>
      </c>
      <c r="Q3197" s="147" t="str">
        <f t="shared" si="85"/>
        <v/>
      </c>
      <c r="R3197" s="173"/>
      <c r="S3197" s="76"/>
      <c r="T3197" s="51" t="b">
        <v>0</v>
      </c>
      <c r="U3197" s="94"/>
    </row>
    <row r="3198" ht="30.0" customHeight="1">
      <c r="A3198" s="39"/>
      <c r="B3198" s="40"/>
      <c r="C3198" s="173"/>
      <c r="D3198" s="86"/>
      <c r="E3198" s="43" t="str">
        <f t="shared" si="82"/>
        <v/>
      </c>
      <c r="F3198" s="43" t="str">
        <f t="shared" si="83"/>
        <v/>
      </c>
      <c r="G3198" s="44"/>
      <c r="H3198" s="44"/>
      <c r="I3198" s="44"/>
      <c r="J3198" s="176"/>
      <c r="K3198" s="43" t="str">
        <f t="array" ref="K3198">IF(J3198="","", XLOOKUP(J3198,'⚙️ Pengaturan'!$E$2:$E3237,'⚙️ Pengaturan'!$G$2:$G3237))</f>
        <v/>
      </c>
      <c r="L3198" s="43" t="str">
        <f t="shared" si="84"/>
        <v/>
      </c>
      <c r="M3198" s="177"/>
      <c r="N3198" s="145"/>
      <c r="O3198" s="146"/>
      <c r="P3198" s="48" t="str">
        <f t="array" ref="P3198">IFNA(XLOOKUP(J3198,'⚙️ Pengaturan'!$E$2:$E3237,'⚙️ Pengaturan'!$F$2:$F3237),"")</f>
        <v/>
      </c>
      <c r="Q3198" s="147" t="str">
        <f t="shared" si="85"/>
        <v/>
      </c>
      <c r="R3198" s="173"/>
      <c r="S3198" s="76"/>
      <c r="T3198" s="51" t="b">
        <v>0</v>
      </c>
      <c r="U3198" s="94"/>
    </row>
    <row r="3199" ht="30.0" customHeight="1">
      <c r="A3199" s="39"/>
      <c r="B3199" s="40"/>
      <c r="C3199" s="173"/>
      <c r="D3199" s="86"/>
      <c r="E3199" s="43" t="str">
        <f t="shared" si="82"/>
        <v/>
      </c>
      <c r="F3199" s="43" t="str">
        <f t="shared" si="83"/>
        <v/>
      </c>
      <c r="G3199" s="44"/>
      <c r="H3199" s="44"/>
      <c r="I3199" s="44"/>
      <c r="J3199" s="176"/>
      <c r="K3199" s="43" t="str">
        <f t="array" ref="K3199">IF(J3199="","", XLOOKUP(J3199,'⚙️ Pengaturan'!$E$2:$E3237,'⚙️ Pengaturan'!$G$2:$G3237))</f>
        <v/>
      </c>
      <c r="L3199" s="43" t="str">
        <f t="shared" si="84"/>
        <v/>
      </c>
      <c r="M3199" s="177"/>
      <c r="N3199" s="145"/>
      <c r="O3199" s="146"/>
      <c r="P3199" s="48" t="str">
        <f t="array" ref="P3199">IFNA(XLOOKUP(J3199,'⚙️ Pengaturan'!$E$2:$E3237,'⚙️ Pengaturan'!$F$2:$F3237),"")</f>
        <v/>
      </c>
      <c r="Q3199" s="147" t="str">
        <f t="shared" si="85"/>
        <v/>
      </c>
      <c r="R3199" s="173"/>
      <c r="S3199" s="76"/>
      <c r="T3199" s="51" t="b">
        <v>0</v>
      </c>
      <c r="U3199" s="94"/>
    </row>
    <row r="3200" ht="30.0" customHeight="1">
      <c r="A3200" s="39"/>
      <c r="B3200" s="40"/>
      <c r="C3200" s="173"/>
      <c r="D3200" s="86"/>
      <c r="E3200" s="43" t="str">
        <f t="shared" si="82"/>
        <v/>
      </c>
      <c r="F3200" s="43" t="str">
        <f t="shared" si="83"/>
        <v/>
      </c>
      <c r="G3200" s="44"/>
      <c r="H3200" s="44"/>
      <c r="I3200" s="44"/>
      <c r="J3200" s="176"/>
      <c r="K3200" s="43" t="str">
        <f t="array" ref="K3200">IF(J3200="","", XLOOKUP(J3200,'⚙️ Pengaturan'!$E$2:$E3237,'⚙️ Pengaturan'!$G$2:$G3237))</f>
        <v/>
      </c>
      <c r="L3200" s="43" t="str">
        <f t="shared" si="84"/>
        <v/>
      </c>
      <c r="M3200" s="177"/>
      <c r="N3200" s="145"/>
      <c r="O3200" s="146"/>
      <c r="P3200" s="48" t="str">
        <f t="array" ref="P3200">IFNA(XLOOKUP(J3200,'⚙️ Pengaturan'!$E$2:$E3237,'⚙️ Pengaturan'!$F$2:$F3237),"")</f>
        <v/>
      </c>
      <c r="Q3200" s="147" t="str">
        <f t="shared" si="85"/>
        <v/>
      </c>
      <c r="R3200" s="173"/>
      <c r="S3200" s="76"/>
      <c r="T3200" s="51" t="b">
        <v>0</v>
      </c>
      <c r="U3200" s="94"/>
    </row>
    <row r="3201" ht="30.0" customHeight="1">
      <c r="A3201" s="39"/>
      <c r="B3201" s="40"/>
      <c r="C3201" s="173"/>
      <c r="D3201" s="86"/>
      <c r="E3201" s="43" t="str">
        <f t="shared" si="82"/>
        <v/>
      </c>
      <c r="F3201" s="43" t="str">
        <f t="shared" si="83"/>
        <v/>
      </c>
      <c r="G3201" s="44"/>
      <c r="H3201" s="44"/>
      <c r="I3201" s="44"/>
      <c r="J3201" s="176"/>
      <c r="K3201" s="43" t="str">
        <f t="array" ref="K3201">IF(J3201="","", XLOOKUP(J3201,'⚙️ Pengaturan'!$E$2:$E3237,'⚙️ Pengaturan'!$G$2:$G3237))</f>
        <v/>
      </c>
      <c r="L3201" s="43" t="str">
        <f t="shared" si="84"/>
        <v/>
      </c>
      <c r="M3201" s="177"/>
      <c r="N3201" s="145"/>
      <c r="O3201" s="146"/>
      <c r="P3201" s="48" t="str">
        <f t="array" ref="P3201">IFNA(XLOOKUP(J3201,'⚙️ Pengaturan'!$E$2:$E3237,'⚙️ Pengaturan'!$F$2:$F3237),"")</f>
        <v/>
      </c>
      <c r="Q3201" s="147" t="str">
        <f t="shared" si="85"/>
        <v/>
      </c>
      <c r="R3201" s="173"/>
      <c r="S3201" s="76"/>
      <c r="T3201" s="51" t="b">
        <v>0</v>
      </c>
      <c r="U3201" s="94"/>
    </row>
    <row r="3202" ht="30.0" customHeight="1">
      <c r="A3202" s="39"/>
      <c r="B3202" s="40"/>
      <c r="C3202" s="173"/>
      <c r="D3202" s="86"/>
      <c r="E3202" s="43" t="str">
        <f t="shared" si="82"/>
        <v/>
      </c>
      <c r="F3202" s="43" t="str">
        <f t="shared" si="83"/>
        <v/>
      </c>
      <c r="G3202" s="44"/>
      <c r="H3202" s="44"/>
      <c r="I3202" s="44"/>
      <c r="J3202" s="176"/>
      <c r="K3202" s="43" t="str">
        <f t="array" ref="K3202">IF(J3202="","", XLOOKUP(J3202,'⚙️ Pengaturan'!$E$2:$E3237,'⚙️ Pengaturan'!$G$2:$G3237))</f>
        <v/>
      </c>
      <c r="L3202" s="43" t="str">
        <f t="shared" si="84"/>
        <v/>
      </c>
      <c r="M3202" s="177"/>
      <c r="N3202" s="145"/>
      <c r="O3202" s="146"/>
      <c r="P3202" s="48" t="str">
        <f t="array" ref="P3202">IFNA(XLOOKUP(J3202,'⚙️ Pengaturan'!$E$2:$E3237,'⚙️ Pengaturan'!$F$2:$F3237),"")</f>
        <v/>
      </c>
      <c r="Q3202" s="147" t="str">
        <f t="shared" si="85"/>
        <v/>
      </c>
      <c r="R3202" s="173"/>
      <c r="S3202" s="76"/>
      <c r="T3202" s="51" t="b">
        <v>0</v>
      </c>
      <c r="U3202" s="94"/>
    </row>
    <row r="3203" ht="30.0" customHeight="1">
      <c r="A3203" s="39"/>
      <c r="B3203" s="40"/>
      <c r="C3203" s="173"/>
      <c r="D3203" s="86"/>
      <c r="E3203" s="43" t="str">
        <f t="shared" si="82"/>
        <v/>
      </c>
      <c r="F3203" s="43" t="str">
        <f t="shared" si="83"/>
        <v/>
      </c>
      <c r="G3203" s="44"/>
      <c r="H3203" s="44"/>
      <c r="I3203" s="44"/>
      <c r="J3203" s="176"/>
      <c r="K3203" s="43" t="str">
        <f t="array" ref="K3203">IF(J3203="","", XLOOKUP(J3203,'⚙️ Pengaturan'!$E$2:$E3237,'⚙️ Pengaturan'!$G$2:$G3237))</f>
        <v/>
      </c>
      <c r="L3203" s="43" t="str">
        <f t="shared" si="84"/>
        <v/>
      </c>
      <c r="M3203" s="177"/>
      <c r="N3203" s="145"/>
      <c r="O3203" s="146"/>
      <c r="P3203" s="48" t="str">
        <f t="array" ref="P3203">IFNA(XLOOKUP(J3203,'⚙️ Pengaturan'!$E$2:$E3237,'⚙️ Pengaturan'!$F$2:$F3237),"")</f>
        <v/>
      </c>
      <c r="Q3203" s="147" t="str">
        <f t="shared" si="85"/>
        <v/>
      </c>
      <c r="R3203" s="173"/>
      <c r="S3203" s="76"/>
      <c r="T3203" s="51" t="b">
        <v>0</v>
      </c>
      <c r="U3203" s="94"/>
    </row>
    <row r="3204" ht="30.0" customHeight="1">
      <c r="A3204" s="39"/>
      <c r="B3204" s="40"/>
      <c r="C3204" s="173"/>
      <c r="D3204" s="86"/>
      <c r="E3204" s="43" t="str">
        <f t="shared" si="82"/>
        <v/>
      </c>
      <c r="F3204" s="43" t="str">
        <f t="shared" si="83"/>
        <v/>
      </c>
      <c r="G3204" s="44"/>
      <c r="H3204" s="44"/>
      <c r="I3204" s="44"/>
      <c r="J3204" s="176"/>
      <c r="K3204" s="43" t="str">
        <f t="array" ref="K3204">IF(J3204="","", XLOOKUP(J3204,'⚙️ Pengaturan'!$E$2:$E3237,'⚙️ Pengaturan'!$G$2:$G3237))</f>
        <v/>
      </c>
      <c r="L3204" s="43" t="str">
        <f t="shared" si="84"/>
        <v/>
      </c>
      <c r="M3204" s="177"/>
      <c r="N3204" s="145"/>
      <c r="O3204" s="146"/>
      <c r="P3204" s="48" t="str">
        <f t="array" ref="P3204">IFNA(XLOOKUP(J3204,'⚙️ Pengaturan'!$E$2:$E3237,'⚙️ Pengaturan'!$F$2:$F3237),"")</f>
        <v/>
      </c>
      <c r="Q3204" s="147" t="str">
        <f t="shared" si="85"/>
        <v/>
      </c>
      <c r="R3204" s="173"/>
      <c r="S3204" s="76"/>
      <c r="T3204" s="51" t="b">
        <v>0</v>
      </c>
      <c r="U3204" s="94"/>
    </row>
    <row r="3205" ht="30.0" customHeight="1">
      <c r="A3205" s="39"/>
      <c r="B3205" s="40"/>
      <c r="C3205" s="173"/>
      <c r="D3205" s="86"/>
      <c r="E3205" s="43" t="str">
        <f t="shared" si="82"/>
        <v/>
      </c>
      <c r="F3205" s="43" t="str">
        <f t="shared" si="83"/>
        <v/>
      </c>
      <c r="G3205" s="44"/>
      <c r="H3205" s="44"/>
      <c r="I3205" s="44"/>
      <c r="J3205" s="176"/>
      <c r="K3205" s="43" t="str">
        <f t="array" ref="K3205">IF(J3205="","", XLOOKUP(J3205,'⚙️ Pengaturan'!$E$2:$E3237,'⚙️ Pengaturan'!$G$2:$G3237))</f>
        <v/>
      </c>
      <c r="L3205" s="43" t="str">
        <f t="shared" si="84"/>
        <v/>
      </c>
      <c r="M3205" s="177"/>
      <c r="N3205" s="145"/>
      <c r="O3205" s="146"/>
      <c r="P3205" s="48" t="str">
        <f t="array" ref="P3205">IFNA(XLOOKUP(J3205,'⚙️ Pengaturan'!$E$2:$E3237,'⚙️ Pengaturan'!$F$2:$F3237),"")</f>
        <v/>
      </c>
      <c r="Q3205" s="147" t="str">
        <f t="shared" si="85"/>
        <v/>
      </c>
      <c r="R3205" s="173"/>
      <c r="S3205" s="76"/>
      <c r="T3205" s="51" t="b">
        <v>0</v>
      </c>
      <c r="U3205" s="94"/>
    </row>
    <row r="3206" ht="30.0" customHeight="1">
      <c r="A3206" s="39"/>
      <c r="B3206" s="40"/>
      <c r="C3206" s="173"/>
      <c r="D3206" s="86"/>
      <c r="E3206" s="43" t="str">
        <f t="shared" si="82"/>
        <v/>
      </c>
      <c r="F3206" s="43" t="str">
        <f t="shared" si="83"/>
        <v/>
      </c>
      <c r="G3206" s="44"/>
      <c r="H3206" s="44"/>
      <c r="I3206" s="44"/>
      <c r="J3206" s="176"/>
      <c r="K3206" s="43" t="str">
        <f t="array" ref="K3206">IF(J3206="","", XLOOKUP(J3206,'⚙️ Pengaturan'!$E$2:$E3237,'⚙️ Pengaturan'!$G$2:$G3237))</f>
        <v/>
      </c>
      <c r="L3206" s="43" t="str">
        <f t="shared" si="84"/>
        <v/>
      </c>
      <c r="M3206" s="177"/>
      <c r="N3206" s="145"/>
      <c r="O3206" s="146"/>
      <c r="P3206" s="48" t="str">
        <f t="array" ref="P3206">IFNA(XLOOKUP(J3206,'⚙️ Pengaturan'!$E$2:$E3237,'⚙️ Pengaturan'!$F$2:$F3237),"")</f>
        <v/>
      </c>
      <c r="Q3206" s="147" t="str">
        <f t="shared" si="85"/>
        <v/>
      </c>
      <c r="R3206" s="173"/>
      <c r="S3206" s="76"/>
      <c r="T3206" s="51" t="b">
        <v>0</v>
      </c>
      <c r="U3206" s="94"/>
    </row>
    <row r="3207" ht="30.0" customHeight="1">
      <c r="A3207" s="39"/>
      <c r="B3207" s="40"/>
      <c r="C3207" s="173"/>
      <c r="D3207" s="86"/>
      <c r="E3207" s="43" t="str">
        <f t="shared" si="82"/>
        <v/>
      </c>
      <c r="F3207" s="43" t="str">
        <f t="shared" si="83"/>
        <v/>
      </c>
      <c r="G3207" s="44"/>
      <c r="H3207" s="44"/>
      <c r="I3207" s="44"/>
      <c r="J3207" s="176"/>
      <c r="K3207" s="43" t="str">
        <f t="array" ref="K3207">IF(J3207="","", XLOOKUP(J3207,'⚙️ Pengaturan'!$E$2:$E3237,'⚙️ Pengaturan'!$G$2:$G3237))</f>
        <v/>
      </c>
      <c r="L3207" s="43" t="str">
        <f t="shared" si="84"/>
        <v/>
      </c>
      <c r="M3207" s="177"/>
      <c r="N3207" s="145"/>
      <c r="O3207" s="146"/>
      <c r="P3207" s="48" t="str">
        <f t="array" ref="P3207">IFNA(XLOOKUP(J3207,'⚙️ Pengaturan'!$E$2:$E3237,'⚙️ Pengaturan'!$F$2:$F3237),"")</f>
        <v/>
      </c>
      <c r="Q3207" s="147" t="str">
        <f t="shared" si="85"/>
        <v/>
      </c>
      <c r="R3207" s="173"/>
      <c r="S3207" s="76"/>
      <c r="T3207" s="51" t="b">
        <v>0</v>
      </c>
      <c r="U3207" s="94"/>
    </row>
    <row r="3208" ht="30.0" customHeight="1">
      <c r="A3208" s="39"/>
      <c r="B3208" s="40"/>
      <c r="C3208" s="173"/>
      <c r="D3208" s="86"/>
      <c r="E3208" s="43" t="str">
        <f t="shared" si="82"/>
        <v/>
      </c>
      <c r="F3208" s="43" t="str">
        <f t="shared" si="83"/>
        <v/>
      </c>
      <c r="G3208" s="44"/>
      <c r="H3208" s="44"/>
      <c r="I3208" s="44"/>
      <c r="J3208" s="176"/>
      <c r="K3208" s="43" t="str">
        <f t="array" ref="K3208">IF(J3208="","", XLOOKUP(J3208,'⚙️ Pengaturan'!$E$2:$E3237,'⚙️ Pengaturan'!$G$2:$G3237))</f>
        <v/>
      </c>
      <c r="L3208" s="43" t="str">
        <f t="shared" si="84"/>
        <v/>
      </c>
      <c r="M3208" s="177"/>
      <c r="N3208" s="145"/>
      <c r="O3208" s="146"/>
      <c r="P3208" s="48" t="str">
        <f t="array" ref="P3208">IFNA(XLOOKUP(J3208,'⚙️ Pengaturan'!$E$2:$E3237,'⚙️ Pengaturan'!$F$2:$F3237),"")</f>
        <v/>
      </c>
      <c r="Q3208" s="147" t="str">
        <f t="shared" si="85"/>
        <v/>
      </c>
      <c r="R3208" s="173"/>
      <c r="S3208" s="76"/>
      <c r="T3208" s="51" t="b">
        <v>0</v>
      </c>
      <c r="U3208" s="94"/>
    </row>
    <row r="3209" ht="30.0" customHeight="1">
      <c r="A3209" s="39"/>
      <c r="B3209" s="40"/>
      <c r="C3209" s="173"/>
      <c r="D3209" s="86"/>
      <c r="E3209" s="43" t="str">
        <f t="shared" si="82"/>
        <v/>
      </c>
      <c r="F3209" s="43" t="str">
        <f t="shared" si="83"/>
        <v/>
      </c>
      <c r="G3209" s="44"/>
      <c r="H3209" s="44"/>
      <c r="I3209" s="44"/>
      <c r="J3209" s="176"/>
      <c r="K3209" s="43" t="str">
        <f t="array" ref="K3209">IF(J3209="","", XLOOKUP(J3209,'⚙️ Pengaturan'!$E$2:$E3237,'⚙️ Pengaturan'!$G$2:$G3237))</f>
        <v/>
      </c>
      <c r="L3209" s="43" t="str">
        <f t="shared" si="84"/>
        <v/>
      </c>
      <c r="M3209" s="177"/>
      <c r="N3209" s="145"/>
      <c r="O3209" s="146"/>
      <c r="P3209" s="48" t="str">
        <f t="array" ref="P3209">IFNA(XLOOKUP(J3209,'⚙️ Pengaturan'!$E$2:$E3237,'⚙️ Pengaturan'!$F$2:$F3237),"")</f>
        <v/>
      </c>
      <c r="Q3209" s="147" t="str">
        <f t="shared" si="85"/>
        <v/>
      </c>
      <c r="R3209" s="173"/>
      <c r="S3209" s="76"/>
      <c r="T3209" s="51" t="b">
        <v>0</v>
      </c>
      <c r="U3209" s="94"/>
    </row>
    <row r="3210" ht="30.0" customHeight="1">
      <c r="A3210" s="39"/>
      <c r="B3210" s="40"/>
      <c r="C3210" s="173"/>
      <c r="D3210" s="86"/>
      <c r="E3210" s="43" t="str">
        <f t="shared" si="82"/>
        <v/>
      </c>
      <c r="F3210" s="43" t="str">
        <f t="shared" si="83"/>
        <v/>
      </c>
      <c r="G3210" s="44"/>
      <c r="H3210" s="44"/>
      <c r="I3210" s="44"/>
      <c r="J3210" s="176"/>
      <c r="K3210" s="43" t="str">
        <f t="array" ref="K3210">IF(J3210="","", XLOOKUP(J3210,'⚙️ Pengaturan'!$E$2:$E3237,'⚙️ Pengaturan'!$G$2:$G3237))</f>
        <v/>
      </c>
      <c r="L3210" s="43" t="str">
        <f t="shared" si="84"/>
        <v/>
      </c>
      <c r="M3210" s="177"/>
      <c r="N3210" s="145"/>
      <c r="O3210" s="146"/>
      <c r="P3210" s="48" t="str">
        <f t="array" ref="P3210">IFNA(XLOOKUP(J3210,'⚙️ Pengaturan'!$E$2:$E3237,'⚙️ Pengaturan'!$F$2:$F3237),"")</f>
        <v/>
      </c>
      <c r="Q3210" s="147" t="str">
        <f t="shared" si="85"/>
        <v/>
      </c>
      <c r="R3210" s="173"/>
      <c r="S3210" s="76"/>
      <c r="T3210" s="51" t="b">
        <v>0</v>
      </c>
      <c r="U3210" s="94"/>
    </row>
    <row r="3211" ht="30.0" customHeight="1">
      <c r="A3211" s="39"/>
      <c r="B3211" s="40"/>
      <c r="C3211" s="173"/>
      <c r="D3211" s="86"/>
      <c r="E3211" s="43" t="str">
        <f t="shared" si="82"/>
        <v/>
      </c>
      <c r="F3211" s="43" t="str">
        <f t="shared" si="83"/>
        <v/>
      </c>
      <c r="G3211" s="44"/>
      <c r="H3211" s="44"/>
      <c r="I3211" s="44"/>
      <c r="J3211" s="176"/>
      <c r="K3211" s="43" t="str">
        <f t="array" ref="K3211">IF(J3211="","", XLOOKUP(J3211,'⚙️ Pengaturan'!$E$2:$E3237,'⚙️ Pengaturan'!$G$2:$G3237))</f>
        <v/>
      </c>
      <c r="L3211" s="43" t="str">
        <f t="shared" si="84"/>
        <v/>
      </c>
      <c r="M3211" s="177"/>
      <c r="N3211" s="145"/>
      <c r="O3211" s="146"/>
      <c r="P3211" s="48" t="str">
        <f t="array" ref="P3211">IFNA(XLOOKUP(J3211,'⚙️ Pengaturan'!$E$2:$E3237,'⚙️ Pengaturan'!$F$2:$F3237),"")</f>
        <v/>
      </c>
      <c r="Q3211" s="147" t="str">
        <f t="shared" si="85"/>
        <v/>
      </c>
      <c r="R3211" s="173"/>
      <c r="S3211" s="76"/>
      <c r="T3211" s="51" t="b">
        <v>0</v>
      </c>
      <c r="U3211" s="94"/>
    </row>
    <row r="3212" ht="30.0" customHeight="1">
      <c r="A3212" s="39"/>
      <c r="B3212" s="40"/>
      <c r="C3212" s="173"/>
      <c r="D3212" s="86"/>
      <c r="E3212" s="43" t="str">
        <f t="shared" si="82"/>
        <v/>
      </c>
      <c r="F3212" s="43" t="str">
        <f t="shared" si="83"/>
        <v/>
      </c>
      <c r="G3212" s="44"/>
      <c r="H3212" s="44"/>
      <c r="I3212" s="44"/>
      <c r="J3212" s="176"/>
      <c r="K3212" s="43" t="str">
        <f t="array" ref="K3212">IF(J3212="","", XLOOKUP(J3212,'⚙️ Pengaturan'!$E$2:$E3237,'⚙️ Pengaturan'!$G$2:$G3237))</f>
        <v/>
      </c>
      <c r="L3212" s="43" t="str">
        <f t="shared" si="84"/>
        <v/>
      </c>
      <c r="M3212" s="177"/>
      <c r="N3212" s="145"/>
      <c r="O3212" s="146"/>
      <c r="P3212" s="48" t="str">
        <f t="array" ref="P3212">IFNA(XLOOKUP(J3212,'⚙️ Pengaturan'!$E$2:$E3237,'⚙️ Pengaturan'!$F$2:$F3237),"")</f>
        <v/>
      </c>
      <c r="Q3212" s="147" t="str">
        <f t="shared" si="85"/>
        <v/>
      </c>
      <c r="R3212" s="173"/>
      <c r="S3212" s="76"/>
      <c r="T3212" s="51" t="b">
        <v>0</v>
      </c>
      <c r="U3212" s="94"/>
    </row>
    <row r="3213" ht="30.0" customHeight="1">
      <c r="A3213" s="39"/>
      <c r="B3213" s="40"/>
      <c r="C3213" s="173"/>
      <c r="D3213" s="86"/>
      <c r="E3213" s="43" t="str">
        <f t="shared" si="82"/>
        <v/>
      </c>
      <c r="F3213" s="43" t="str">
        <f t="shared" si="83"/>
        <v/>
      </c>
      <c r="G3213" s="44"/>
      <c r="H3213" s="44"/>
      <c r="I3213" s="44"/>
      <c r="J3213" s="176"/>
      <c r="K3213" s="43" t="str">
        <f t="array" ref="K3213">IF(J3213="","", XLOOKUP(J3213,'⚙️ Pengaturan'!$E$2:$E3237,'⚙️ Pengaturan'!$G$2:$G3237))</f>
        <v/>
      </c>
      <c r="L3213" s="43" t="str">
        <f t="shared" si="84"/>
        <v/>
      </c>
      <c r="M3213" s="177"/>
      <c r="N3213" s="145"/>
      <c r="O3213" s="146"/>
      <c r="P3213" s="48" t="str">
        <f t="array" ref="P3213">IFNA(XLOOKUP(J3213,'⚙️ Pengaturan'!$E$2:$E3237,'⚙️ Pengaturan'!$F$2:$F3237),"")</f>
        <v/>
      </c>
      <c r="Q3213" s="147" t="str">
        <f t="shared" si="85"/>
        <v/>
      </c>
      <c r="R3213" s="173"/>
      <c r="S3213" s="76"/>
      <c r="T3213" s="51" t="b">
        <v>0</v>
      </c>
      <c r="U3213" s="94"/>
    </row>
    <row r="3214" ht="30.0" customHeight="1">
      <c r="A3214" s="39"/>
      <c r="B3214" s="40"/>
      <c r="C3214" s="173"/>
      <c r="D3214" s="86"/>
      <c r="E3214" s="43" t="str">
        <f t="shared" si="82"/>
        <v/>
      </c>
      <c r="F3214" s="43" t="str">
        <f t="shared" si="83"/>
        <v/>
      </c>
      <c r="G3214" s="44"/>
      <c r="H3214" s="44"/>
      <c r="I3214" s="44"/>
      <c r="J3214" s="176"/>
      <c r="K3214" s="43" t="str">
        <f t="array" ref="K3214">IF(J3214="","", XLOOKUP(J3214,'⚙️ Pengaturan'!$E$2:$E3237,'⚙️ Pengaturan'!$G$2:$G3237))</f>
        <v/>
      </c>
      <c r="L3214" s="43" t="str">
        <f t="shared" si="84"/>
        <v/>
      </c>
      <c r="M3214" s="177"/>
      <c r="N3214" s="145"/>
      <c r="O3214" s="146"/>
      <c r="P3214" s="48" t="str">
        <f t="array" ref="P3214">IFNA(XLOOKUP(J3214,'⚙️ Pengaturan'!$E$2:$E3237,'⚙️ Pengaturan'!$F$2:$F3237),"")</f>
        <v/>
      </c>
      <c r="Q3214" s="147" t="str">
        <f t="shared" si="85"/>
        <v/>
      </c>
      <c r="R3214" s="173"/>
      <c r="S3214" s="76"/>
      <c r="T3214" s="51" t="b">
        <v>0</v>
      </c>
      <c r="U3214" s="94"/>
    </row>
    <row r="3215" ht="30.0" customHeight="1">
      <c r="A3215" s="39"/>
      <c r="B3215" s="40"/>
      <c r="C3215" s="173"/>
      <c r="D3215" s="86"/>
      <c r="E3215" s="43" t="str">
        <f t="shared" si="82"/>
        <v/>
      </c>
      <c r="F3215" s="43" t="str">
        <f t="shared" si="83"/>
        <v/>
      </c>
      <c r="G3215" s="44"/>
      <c r="H3215" s="44"/>
      <c r="I3215" s="44"/>
      <c r="J3215" s="176"/>
      <c r="K3215" s="43" t="str">
        <f t="array" ref="K3215">IF(J3215="","", XLOOKUP(J3215,'⚙️ Pengaturan'!$E$2:$E3237,'⚙️ Pengaturan'!$G$2:$G3237))</f>
        <v/>
      </c>
      <c r="L3215" s="43" t="str">
        <f t="shared" si="84"/>
        <v/>
      </c>
      <c r="M3215" s="177"/>
      <c r="N3215" s="145"/>
      <c r="O3215" s="146"/>
      <c r="P3215" s="48" t="str">
        <f t="array" ref="P3215">IFNA(XLOOKUP(J3215,'⚙️ Pengaturan'!$E$2:$E3237,'⚙️ Pengaturan'!$F$2:$F3237),"")</f>
        <v/>
      </c>
      <c r="Q3215" s="147" t="str">
        <f t="shared" si="85"/>
        <v/>
      </c>
      <c r="R3215" s="173"/>
      <c r="S3215" s="76"/>
      <c r="T3215" s="51" t="b">
        <v>0</v>
      </c>
      <c r="U3215" s="94"/>
    </row>
    <row r="3216" ht="30.0" customHeight="1">
      <c r="A3216" s="39"/>
      <c r="B3216" s="40"/>
      <c r="C3216" s="173"/>
      <c r="D3216" s="86"/>
      <c r="E3216" s="43" t="str">
        <f t="shared" si="82"/>
        <v/>
      </c>
      <c r="F3216" s="43" t="str">
        <f t="shared" si="83"/>
        <v/>
      </c>
      <c r="G3216" s="44"/>
      <c r="H3216" s="44"/>
      <c r="I3216" s="44"/>
      <c r="J3216" s="176"/>
      <c r="K3216" s="43" t="str">
        <f t="array" ref="K3216">IF(J3216="","", XLOOKUP(J3216,'⚙️ Pengaturan'!$E$2:$E3237,'⚙️ Pengaturan'!$G$2:$G3237))</f>
        <v/>
      </c>
      <c r="L3216" s="43" t="str">
        <f t="shared" si="84"/>
        <v/>
      </c>
      <c r="M3216" s="177"/>
      <c r="N3216" s="145"/>
      <c r="O3216" s="146"/>
      <c r="P3216" s="48" t="str">
        <f t="array" ref="P3216">IFNA(XLOOKUP(J3216,'⚙️ Pengaturan'!$E$2:$E3237,'⚙️ Pengaturan'!$F$2:$F3237),"")</f>
        <v/>
      </c>
      <c r="Q3216" s="147" t="str">
        <f t="shared" si="85"/>
        <v/>
      </c>
      <c r="R3216" s="173"/>
      <c r="S3216" s="76"/>
      <c r="T3216" s="51" t="b">
        <v>0</v>
      </c>
      <c r="U3216" s="94"/>
    </row>
    <row r="3217" ht="30.0" customHeight="1">
      <c r="A3217" s="39"/>
      <c r="B3217" s="40"/>
      <c r="C3217" s="173"/>
      <c r="D3217" s="86"/>
      <c r="E3217" s="43" t="str">
        <f t="shared" si="82"/>
        <v/>
      </c>
      <c r="F3217" s="43" t="str">
        <f t="shared" si="83"/>
        <v/>
      </c>
      <c r="G3217" s="44"/>
      <c r="H3217" s="44"/>
      <c r="I3217" s="44"/>
      <c r="J3217" s="176"/>
      <c r="K3217" s="43" t="str">
        <f t="array" ref="K3217">IF(J3217="","", XLOOKUP(J3217,'⚙️ Pengaturan'!$E$2:$E3237,'⚙️ Pengaturan'!$G$2:$G3237))</f>
        <v/>
      </c>
      <c r="L3217" s="43" t="str">
        <f t="shared" si="84"/>
        <v/>
      </c>
      <c r="M3217" s="177"/>
      <c r="N3217" s="145"/>
      <c r="O3217" s="146"/>
      <c r="P3217" s="48" t="str">
        <f t="array" ref="P3217">IFNA(XLOOKUP(J3217,'⚙️ Pengaturan'!$E$2:$E3237,'⚙️ Pengaturan'!$F$2:$F3237),"")</f>
        <v/>
      </c>
      <c r="Q3217" s="147" t="str">
        <f t="shared" si="85"/>
        <v/>
      </c>
      <c r="R3217" s="173"/>
      <c r="S3217" s="76"/>
      <c r="T3217" s="51" t="b">
        <v>0</v>
      </c>
      <c r="U3217" s="94"/>
    </row>
    <row r="3218" ht="30.0" customHeight="1">
      <c r="A3218" s="39"/>
      <c r="B3218" s="40"/>
      <c r="C3218" s="173"/>
      <c r="D3218" s="86"/>
      <c r="E3218" s="43" t="str">
        <f t="shared" si="82"/>
        <v/>
      </c>
      <c r="F3218" s="43" t="str">
        <f t="shared" si="83"/>
        <v/>
      </c>
      <c r="G3218" s="44"/>
      <c r="H3218" s="44"/>
      <c r="I3218" s="44"/>
      <c r="J3218" s="176"/>
      <c r="K3218" s="43" t="str">
        <f t="array" ref="K3218">IF(J3218="","", XLOOKUP(J3218,'⚙️ Pengaturan'!$E$2:$E3237,'⚙️ Pengaturan'!$G$2:$G3237))</f>
        <v/>
      </c>
      <c r="L3218" s="43" t="str">
        <f t="shared" si="84"/>
        <v/>
      </c>
      <c r="M3218" s="177"/>
      <c r="N3218" s="145"/>
      <c r="O3218" s="146"/>
      <c r="P3218" s="48" t="str">
        <f t="array" ref="P3218">IFNA(XLOOKUP(J3218,'⚙️ Pengaturan'!$E$2:$E3237,'⚙️ Pengaturan'!$F$2:$F3237),"")</f>
        <v/>
      </c>
      <c r="Q3218" s="147" t="str">
        <f t="shared" si="85"/>
        <v/>
      </c>
      <c r="R3218" s="173"/>
      <c r="S3218" s="76"/>
      <c r="T3218" s="51" t="b">
        <v>0</v>
      </c>
      <c r="U3218" s="94"/>
    </row>
    <row r="3219" ht="30.0" customHeight="1">
      <c r="A3219" s="39"/>
      <c r="B3219" s="40"/>
      <c r="C3219" s="173"/>
      <c r="D3219" s="86"/>
      <c r="E3219" s="43" t="str">
        <f t="shared" si="82"/>
        <v/>
      </c>
      <c r="F3219" s="43" t="str">
        <f t="shared" si="83"/>
        <v/>
      </c>
      <c r="G3219" s="44"/>
      <c r="H3219" s="44"/>
      <c r="I3219" s="44"/>
      <c r="J3219" s="176"/>
      <c r="K3219" s="43" t="str">
        <f t="array" ref="K3219">IF(J3219="","", XLOOKUP(J3219,'⚙️ Pengaturan'!$E$2:$E3237,'⚙️ Pengaturan'!$G$2:$G3237))</f>
        <v/>
      </c>
      <c r="L3219" s="43" t="str">
        <f t="shared" si="84"/>
        <v/>
      </c>
      <c r="M3219" s="177"/>
      <c r="N3219" s="145"/>
      <c r="O3219" s="146"/>
      <c r="P3219" s="48" t="str">
        <f t="array" ref="P3219">IFNA(XLOOKUP(J3219,'⚙️ Pengaturan'!$E$2:$E3237,'⚙️ Pengaturan'!$F$2:$F3237),"")</f>
        <v/>
      </c>
      <c r="Q3219" s="147" t="str">
        <f t="shared" si="85"/>
        <v/>
      </c>
      <c r="R3219" s="173"/>
      <c r="S3219" s="76"/>
      <c r="T3219" s="51" t="b">
        <v>0</v>
      </c>
      <c r="U3219" s="94"/>
    </row>
    <row r="3220" ht="30.0" customHeight="1">
      <c r="A3220" s="39"/>
      <c r="B3220" s="40"/>
      <c r="C3220" s="173"/>
      <c r="D3220" s="86"/>
      <c r="E3220" s="43" t="str">
        <f t="shared" si="82"/>
        <v/>
      </c>
      <c r="F3220" s="43" t="str">
        <f t="shared" si="83"/>
        <v/>
      </c>
      <c r="G3220" s="44"/>
      <c r="H3220" s="44"/>
      <c r="I3220" s="44"/>
      <c r="J3220" s="176"/>
      <c r="K3220" s="43" t="str">
        <f t="array" ref="K3220">IF(J3220="","", XLOOKUP(J3220,'⚙️ Pengaturan'!$E$2:$E3237,'⚙️ Pengaturan'!$G$2:$G3237))</f>
        <v/>
      </c>
      <c r="L3220" s="43" t="str">
        <f t="shared" si="84"/>
        <v/>
      </c>
      <c r="M3220" s="177"/>
      <c r="N3220" s="145"/>
      <c r="O3220" s="146"/>
      <c r="P3220" s="48" t="str">
        <f t="array" ref="P3220">IFNA(XLOOKUP(J3220,'⚙️ Pengaturan'!$E$2:$E3237,'⚙️ Pengaturan'!$F$2:$F3237),"")</f>
        <v/>
      </c>
      <c r="Q3220" s="147" t="str">
        <f t="shared" si="85"/>
        <v/>
      </c>
      <c r="R3220" s="173"/>
      <c r="S3220" s="76"/>
      <c r="T3220" s="51" t="b">
        <v>0</v>
      </c>
      <c r="U3220" s="94"/>
    </row>
    <row r="3221" ht="30.0" customHeight="1">
      <c r="A3221" s="39"/>
      <c r="B3221" s="40"/>
      <c r="C3221" s="173"/>
      <c r="D3221" s="86"/>
      <c r="E3221" s="43" t="str">
        <f t="shared" si="82"/>
        <v/>
      </c>
      <c r="F3221" s="43" t="str">
        <f t="shared" si="83"/>
        <v/>
      </c>
      <c r="G3221" s="44"/>
      <c r="H3221" s="44"/>
      <c r="I3221" s="44"/>
      <c r="J3221" s="176"/>
      <c r="K3221" s="43" t="str">
        <f t="array" ref="K3221">IF(J3221="","", XLOOKUP(J3221,'⚙️ Pengaturan'!$E$2:$E3237,'⚙️ Pengaturan'!$G$2:$G3237))</f>
        <v/>
      </c>
      <c r="L3221" s="43" t="str">
        <f t="shared" si="84"/>
        <v/>
      </c>
      <c r="M3221" s="177"/>
      <c r="N3221" s="145"/>
      <c r="O3221" s="146"/>
      <c r="P3221" s="48" t="str">
        <f t="array" ref="P3221">IFNA(XLOOKUP(J3221,'⚙️ Pengaturan'!$E$2:$E3237,'⚙️ Pengaturan'!$F$2:$F3237),"")</f>
        <v/>
      </c>
      <c r="Q3221" s="147" t="str">
        <f t="shared" si="85"/>
        <v/>
      </c>
      <c r="R3221" s="173"/>
      <c r="S3221" s="76"/>
      <c r="T3221" s="51" t="b">
        <v>0</v>
      </c>
      <c r="U3221" s="94"/>
    </row>
    <row r="3222" ht="30.0" customHeight="1">
      <c r="A3222" s="39"/>
      <c r="B3222" s="40"/>
      <c r="C3222" s="173"/>
      <c r="D3222" s="86"/>
      <c r="E3222" s="43" t="str">
        <f t="shared" si="82"/>
        <v/>
      </c>
      <c r="F3222" s="43" t="str">
        <f t="shared" si="83"/>
        <v/>
      </c>
      <c r="G3222" s="44"/>
      <c r="H3222" s="44"/>
      <c r="I3222" s="44"/>
      <c r="J3222" s="176"/>
      <c r="K3222" s="43" t="str">
        <f t="array" ref="K3222">IF(J3222="","", XLOOKUP(J3222,'⚙️ Pengaturan'!$E$2:$E3237,'⚙️ Pengaturan'!$G$2:$G3237))</f>
        <v/>
      </c>
      <c r="L3222" s="43" t="str">
        <f t="shared" si="84"/>
        <v/>
      </c>
      <c r="M3222" s="177"/>
      <c r="N3222" s="145"/>
      <c r="O3222" s="146"/>
      <c r="P3222" s="48" t="str">
        <f t="array" ref="P3222">IFNA(XLOOKUP(J3222,'⚙️ Pengaturan'!$E$2:$E3237,'⚙️ Pengaturan'!$F$2:$F3237),"")</f>
        <v/>
      </c>
      <c r="Q3222" s="147" t="str">
        <f t="shared" si="85"/>
        <v/>
      </c>
      <c r="R3222" s="173"/>
      <c r="S3222" s="76"/>
      <c r="T3222" s="51" t="b">
        <v>0</v>
      </c>
      <c r="U3222" s="94"/>
    </row>
    <row r="3223" ht="30.0" customHeight="1">
      <c r="A3223" s="39"/>
      <c r="B3223" s="40"/>
      <c r="C3223" s="173"/>
      <c r="D3223" s="86"/>
      <c r="E3223" s="43" t="str">
        <f t="shared" si="82"/>
        <v/>
      </c>
      <c r="F3223" s="43" t="str">
        <f t="shared" si="83"/>
        <v/>
      </c>
      <c r="G3223" s="44"/>
      <c r="H3223" s="44"/>
      <c r="I3223" s="44"/>
      <c r="J3223" s="176"/>
      <c r="K3223" s="43" t="str">
        <f t="array" ref="K3223">IF(J3223="","", XLOOKUP(J3223,'⚙️ Pengaturan'!$E$2:$E3237,'⚙️ Pengaturan'!$G$2:$G3237))</f>
        <v/>
      </c>
      <c r="L3223" s="43" t="str">
        <f t="shared" si="84"/>
        <v/>
      </c>
      <c r="M3223" s="177"/>
      <c r="N3223" s="145"/>
      <c r="O3223" s="146"/>
      <c r="P3223" s="48" t="str">
        <f t="array" ref="P3223">IFNA(XLOOKUP(J3223,'⚙️ Pengaturan'!$E$2:$E3237,'⚙️ Pengaturan'!$F$2:$F3237),"")</f>
        <v/>
      </c>
      <c r="Q3223" s="147" t="str">
        <f t="shared" si="85"/>
        <v/>
      </c>
      <c r="R3223" s="173"/>
      <c r="S3223" s="76"/>
      <c r="T3223" s="51" t="b">
        <v>0</v>
      </c>
      <c r="U3223" s="94"/>
    </row>
    <row r="3224" ht="30.0" customHeight="1">
      <c r="A3224" s="39"/>
      <c r="B3224" s="40"/>
      <c r="C3224" s="173"/>
      <c r="D3224" s="86"/>
      <c r="E3224" s="43" t="str">
        <f t="shared" si="82"/>
        <v/>
      </c>
      <c r="F3224" s="43" t="str">
        <f t="shared" si="83"/>
        <v/>
      </c>
      <c r="G3224" s="44"/>
      <c r="H3224" s="44"/>
      <c r="I3224" s="44"/>
      <c r="J3224" s="176"/>
      <c r="K3224" s="43" t="str">
        <f t="array" ref="K3224">IF(J3224="","", XLOOKUP(J3224,'⚙️ Pengaturan'!$E$2:$E3237,'⚙️ Pengaturan'!$G$2:$G3237))</f>
        <v/>
      </c>
      <c r="L3224" s="43" t="str">
        <f t="shared" si="84"/>
        <v/>
      </c>
      <c r="M3224" s="177"/>
      <c r="N3224" s="145"/>
      <c r="O3224" s="146"/>
      <c r="P3224" s="48" t="str">
        <f t="array" ref="P3224">IFNA(XLOOKUP(J3224,'⚙️ Pengaturan'!$E$2:$E3237,'⚙️ Pengaturan'!$F$2:$F3237),"")</f>
        <v/>
      </c>
      <c r="Q3224" s="147" t="str">
        <f t="shared" si="85"/>
        <v/>
      </c>
      <c r="R3224" s="173"/>
      <c r="S3224" s="76"/>
      <c r="T3224" s="51" t="b">
        <v>0</v>
      </c>
      <c r="U3224" s="94"/>
    </row>
    <row r="3225" ht="30.0" customHeight="1">
      <c r="A3225" s="39"/>
      <c r="B3225" s="40"/>
      <c r="C3225" s="173"/>
      <c r="D3225" s="86"/>
      <c r="E3225" s="43" t="str">
        <f t="shared" si="82"/>
        <v/>
      </c>
      <c r="F3225" s="43" t="str">
        <f t="shared" si="83"/>
        <v/>
      </c>
      <c r="G3225" s="44"/>
      <c r="H3225" s="44"/>
      <c r="I3225" s="44"/>
      <c r="J3225" s="176"/>
      <c r="K3225" s="43" t="str">
        <f t="array" ref="K3225">IF(J3225="","", XLOOKUP(J3225,'⚙️ Pengaturan'!$E$2:$E3237,'⚙️ Pengaturan'!$G$2:$G3237))</f>
        <v/>
      </c>
      <c r="L3225" s="43" t="str">
        <f t="shared" si="84"/>
        <v/>
      </c>
      <c r="M3225" s="177"/>
      <c r="N3225" s="145"/>
      <c r="O3225" s="146"/>
      <c r="P3225" s="48" t="str">
        <f t="array" ref="P3225">IFNA(XLOOKUP(J3225,'⚙️ Pengaturan'!$E$2:$E3237,'⚙️ Pengaturan'!$F$2:$F3237),"")</f>
        <v/>
      </c>
      <c r="Q3225" s="147" t="str">
        <f t="shared" si="85"/>
        <v/>
      </c>
      <c r="R3225" s="173"/>
      <c r="S3225" s="76"/>
      <c r="T3225" s="51" t="b">
        <v>0</v>
      </c>
      <c r="U3225" s="94"/>
    </row>
    <row r="3226" ht="30.0" customHeight="1">
      <c r="A3226" s="39"/>
      <c r="B3226" s="40"/>
      <c r="C3226" s="173"/>
      <c r="D3226" s="86"/>
      <c r="E3226" s="43" t="str">
        <f t="shared" si="82"/>
        <v/>
      </c>
      <c r="F3226" s="43" t="str">
        <f t="shared" si="83"/>
        <v/>
      </c>
      <c r="G3226" s="44"/>
      <c r="H3226" s="44"/>
      <c r="I3226" s="44"/>
      <c r="J3226" s="176"/>
      <c r="K3226" s="43" t="str">
        <f t="array" ref="K3226">IF(J3226="","", XLOOKUP(J3226,'⚙️ Pengaturan'!$E$2:$E3237,'⚙️ Pengaturan'!$G$2:$G3237))</f>
        <v/>
      </c>
      <c r="L3226" s="43" t="str">
        <f t="shared" si="84"/>
        <v/>
      </c>
      <c r="M3226" s="177"/>
      <c r="N3226" s="145"/>
      <c r="O3226" s="146"/>
      <c r="P3226" s="48" t="str">
        <f t="array" ref="P3226">IFNA(XLOOKUP(J3226,'⚙️ Pengaturan'!$E$2:$E3237,'⚙️ Pengaturan'!$F$2:$F3237),"")</f>
        <v/>
      </c>
      <c r="Q3226" s="147" t="str">
        <f t="shared" si="85"/>
        <v/>
      </c>
      <c r="R3226" s="173"/>
      <c r="S3226" s="76"/>
      <c r="T3226" s="51" t="b">
        <v>0</v>
      </c>
      <c r="U3226" s="94"/>
    </row>
    <row r="3227" ht="30.0" customHeight="1">
      <c r="A3227" s="39"/>
      <c r="B3227" s="40"/>
      <c r="C3227" s="173"/>
      <c r="D3227" s="86"/>
      <c r="E3227" s="43" t="str">
        <f t="shared" si="82"/>
        <v/>
      </c>
      <c r="F3227" s="43" t="str">
        <f t="shared" si="83"/>
        <v/>
      </c>
      <c r="G3227" s="44"/>
      <c r="H3227" s="44"/>
      <c r="I3227" s="44"/>
      <c r="J3227" s="176"/>
      <c r="K3227" s="43" t="str">
        <f t="array" ref="K3227">IF(J3227="","", XLOOKUP(J3227,'⚙️ Pengaturan'!$E$2:$E3237,'⚙️ Pengaturan'!$G$2:$G3237))</f>
        <v/>
      </c>
      <c r="L3227" s="43" t="str">
        <f t="shared" si="84"/>
        <v/>
      </c>
      <c r="M3227" s="177"/>
      <c r="N3227" s="145"/>
      <c r="O3227" s="146"/>
      <c r="P3227" s="48" t="str">
        <f t="array" ref="P3227">IFNA(XLOOKUP(J3227,'⚙️ Pengaturan'!$E$2:$E3237,'⚙️ Pengaturan'!$F$2:$F3237),"")</f>
        <v/>
      </c>
      <c r="Q3227" s="147" t="str">
        <f t="shared" si="85"/>
        <v/>
      </c>
      <c r="R3227" s="173"/>
      <c r="S3227" s="76"/>
      <c r="T3227" s="51" t="b">
        <v>0</v>
      </c>
      <c r="U3227" s="94"/>
    </row>
    <row r="3228" ht="30.0" customHeight="1">
      <c r="A3228" s="39"/>
      <c r="B3228" s="40"/>
      <c r="C3228" s="173"/>
      <c r="D3228" s="86"/>
      <c r="E3228" s="43" t="str">
        <f t="shared" si="82"/>
        <v/>
      </c>
      <c r="F3228" s="43" t="str">
        <f t="shared" si="83"/>
        <v/>
      </c>
      <c r="G3228" s="44"/>
      <c r="H3228" s="44"/>
      <c r="I3228" s="44"/>
      <c r="J3228" s="176"/>
      <c r="K3228" s="43" t="str">
        <f t="array" ref="K3228">IF(J3228="","", XLOOKUP(J3228,'⚙️ Pengaturan'!$E$2:$E3237,'⚙️ Pengaturan'!$G$2:$G3237))</f>
        <v/>
      </c>
      <c r="L3228" s="43" t="str">
        <f t="shared" si="84"/>
        <v/>
      </c>
      <c r="M3228" s="177"/>
      <c r="N3228" s="145"/>
      <c r="O3228" s="146"/>
      <c r="P3228" s="48" t="str">
        <f t="array" ref="P3228">IFNA(XLOOKUP(J3228,'⚙️ Pengaturan'!$E$2:$E3237,'⚙️ Pengaturan'!$F$2:$F3237),"")</f>
        <v/>
      </c>
      <c r="Q3228" s="147" t="str">
        <f t="shared" si="85"/>
        <v/>
      </c>
      <c r="R3228" s="173"/>
      <c r="S3228" s="76"/>
      <c r="T3228" s="51" t="b">
        <v>0</v>
      </c>
      <c r="U3228" s="94"/>
    </row>
    <row r="3229" ht="30.0" customHeight="1">
      <c r="A3229" s="39"/>
      <c r="B3229" s="40"/>
      <c r="C3229" s="173"/>
      <c r="D3229" s="86"/>
      <c r="E3229" s="43" t="str">
        <f t="shared" si="82"/>
        <v/>
      </c>
      <c r="F3229" s="43" t="str">
        <f t="shared" si="83"/>
        <v/>
      </c>
      <c r="G3229" s="44"/>
      <c r="H3229" s="44"/>
      <c r="I3229" s="44"/>
      <c r="J3229" s="176"/>
      <c r="K3229" s="43" t="str">
        <f t="array" ref="K3229">IF(J3229="","", XLOOKUP(J3229,'⚙️ Pengaturan'!$E$2:$E3237,'⚙️ Pengaturan'!$G$2:$G3237))</f>
        <v/>
      </c>
      <c r="L3229" s="43" t="str">
        <f t="shared" si="84"/>
        <v/>
      </c>
      <c r="M3229" s="177"/>
      <c r="N3229" s="145"/>
      <c r="O3229" s="146"/>
      <c r="P3229" s="48" t="str">
        <f t="array" ref="P3229">IFNA(XLOOKUP(J3229,'⚙️ Pengaturan'!$E$2:$E3237,'⚙️ Pengaturan'!$F$2:$F3237),"")</f>
        <v/>
      </c>
      <c r="Q3229" s="147" t="str">
        <f t="shared" si="85"/>
        <v/>
      </c>
      <c r="R3229" s="173"/>
      <c r="S3229" s="76"/>
      <c r="T3229" s="51" t="b">
        <v>0</v>
      </c>
      <c r="U3229" s="94"/>
    </row>
    <row r="3230" ht="30.0" customHeight="1">
      <c r="A3230" s="39"/>
      <c r="B3230" s="40"/>
      <c r="C3230" s="173"/>
      <c r="D3230" s="86"/>
      <c r="E3230" s="43" t="str">
        <f t="shared" si="82"/>
        <v/>
      </c>
      <c r="F3230" s="43" t="str">
        <f t="shared" si="83"/>
        <v/>
      </c>
      <c r="G3230" s="44"/>
      <c r="H3230" s="44"/>
      <c r="I3230" s="44"/>
      <c r="J3230" s="176"/>
      <c r="K3230" s="43" t="str">
        <f t="array" ref="K3230">IF(J3230="","", XLOOKUP(J3230,'⚙️ Pengaturan'!$E$2:$E3237,'⚙️ Pengaturan'!$G$2:$G3237))</f>
        <v/>
      </c>
      <c r="L3230" s="43" t="str">
        <f t="shared" si="84"/>
        <v/>
      </c>
      <c r="M3230" s="177"/>
      <c r="N3230" s="145"/>
      <c r="O3230" s="146"/>
      <c r="P3230" s="48" t="str">
        <f t="array" ref="P3230">IFNA(XLOOKUP(J3230,'⚙️ Pengaturan'!$E$2:$E3237,'⚙️ Pengaturan'!$F$2:$F3237),"")</f>
        <v/>
      </c>
      <c r="Q3230" s="147" t="str">
        <f t="shared" si="85"/>
        <v/>
      </c>
      <c r="R3230" s="173"/>
      <c r="S3230" s="76"/>
      <c r="T3230" s="51" t="b">
        <v>0</v>
      </c>
      <c r="U3230" s="94"/>
    </row>
    <row r="3231" ht="30.0" customHeight="1">
      <c r="A3231" s="39"/>
      <c r="B3231" s="40"/>
      <c r="C3231" s="173"/>
      <c r="D3231" s="86"/>
      <c r="E3231" s="43" t="str">
        <f t="shared" si="82"/>
        <v/>
      </c>
      <c r="F3231" s="43" t="str">
        <f t="shared" si="83"/>
        <v/>
      </c>
      <c r="G3231" s="44"/>
      <c r="H3231" s="44"/>
      <c r="I3231" s="44"/>
      <c r="J3231" s="176"/>
      <c r="K3231" s="43" t="str">
        <f t="array" ref="K3231">IF(J3231="","", XLOOKUP(J3231,'⚙️ Pengaturan'!$E$2:$E3237,'⚙️ Pengaturan'!$G$2:$G3237))</f>
        <v/>
      </c>
      <c r="L3231" s="43" t="str">
        <f t="shared" si="84"/>
        <v/>
      </c>
      <c r="M3231" s="177"/>
      <c r="N3231" s="145"/>
      <c r="O3231" s="146"/>
      <c r="P3231" s="48" t="str">
        <f t="array" ref="P3231">IFNA(XLOOKUP(J3231,'⚙️ Pengaturan'!$E$2:$E3237,'⚙️ Pengaturan'!$F$2:$F3237),"")</f>
        <v/>
      </c>
      <c r="Q3231" s="147" t="str">
        <f t="shared" si="85"/>
        <v/>
      </c>
      <c r="R3231" s="173"/>
      <c r="S3231" s="76"/>
      <c r="T3231" s="51" t="b">
        <v>0</v>
      </c>
      <c r="U3231" s="94"/>
    </row>
    <row r="3232" ht="30.0" customHeight="1">
      <c r="A3232" s="39"/>
      <c r="B3232" s="40"/>
      <c r="C3232" s="173"/>
      <c r="D3232" s="86"/>
      <c r="E3232" s="43" t="str">
        <f t="shared" si="82"/>
        <v/>
      </c>
      <c r="F3232" s="43" t="str">
        <f t="shared" si="83"/>
        <v/>
      </c>
      <c r="G3232" s="44"/>
      <c r="H3232" s="44"/>
      <c r="I3232" s="44"/>
      <c r="J3232" s="176"/>
      <c r="K3232" s="43" t="str">
        <f t="array" ref="K3232">IF(J3232="","", XLOOKUP(J3232,'⚙️ Pengaturan'!$E$2:$E3237,'⚙️ Pengaturan'!$G$2:$G3237))</f>
        <v/>
      </c>
      <c r="L3232" s="43" t="str">
        <f t="shared" si="84"/>
        <v/>
      </c>
      <c r="M3232" s="177"/>
      <c r="N3232" s="145"/>
      <c r="O3232" s="146"/>
      <c r="P3232" s="48" t="str">
        <f t="array" ref="P3232">IFNA(XLOOKUP(J3232,'⚙️ Pengaturan'!$E$2:$E3237,'⚙️ Pengaturan'!$F$2:$F3237),"")</f>
        <v/>
      </c>
      <c r="Q3232" s="147" t="str">
        <f t="shared" si="85"/>
        <v/>
      </c>
      <c r="R3232" s="173"/>
      <c r="S3232" s="76"/>
      <c r="T3232" s="51" t="b">
        <v>0</v>
      </c>
      <c r="U3232" s="94"/>
    </row>
    <row r="3233" ht="30.0" customHeight="1">
      <c r="A3233" s="39"/>
      <c r="B3233" s="40"/>
      <c r="C3233" s="173"/>
      <c r="D3233" s="86"/>
      <c r="E3233" s="43" t="str">
        <f t="shared" si="82"/>
        <v/>
      </c>
      <c r="F3233" s="43" t="str">
        <f t="shared" si="83"/>
        <v/>
      </c>
      <c r="G3233" s="44"/>
      <c r="H3233" s="44"/>
      <c r="I3233" s="44"/>
      <c r="J3233" s="176"/>
      <c r="K3233" s="43" t="str">
        <f t="array" ref="K3233">IF(J3233="","", XLOOKUP(J3233,'⚙️ Pengaturan'!$E$2:$E3237,'⚙️ Pengaturan'!$G$2:$G3237))</f>
        <v/>
      </c>
      <c r="L3233" s="43" t="str">
        <f t="shared" si="84"/>
        <v/>
      </c>
      <c r="M3233" s="177"/>
      <c r="N3233" s="145"/>
      <c r="O3233" s="146"/>
      <c r="P3233" s="48" t="str">
        <f t="array" ref="P3233">IFNA(XLOOKUP(J3233,'⚙️ Pengaturan'!$E$2:$E3237,'⚙️ Pengaturan'!$F$2:$F3237),"")</f>
        <v/>
      </c>
      <c r="Q3233" s="147" t="str">
        <f t="shared" si="85"/>
        <v/>
      </c>
      <c r="R3233" s="173"/>
      <c r="S3233" s="76"/>
      <c r="T3233" s="51" t="b">
        <v>0</v>
      </c>
      <c r="U3233" s="94"/>
    </row>
    <row r="3234" ht="30.0" customHeight="1">
      <c r="A3234" s="39"/>
      <c r="B3234" s="40"/>
      <c r="C3234" s="173"/>
      <c r="D3234" s="86"/>
      <c r="E3234" s="43" t="str">
        <f t="shared" si="82"/>
        <v/>
      </c>
      <c r="F3234" s="43" t="str">
        <f t="shared" si="83"/>
        <v/>
      </c>
      <c r="G3234" s="44"/>
      <c r="H3234" s="44"/>
      <c r="I3234" s="44"/>
      <c r="J3234" s="176"/>
      <c r="K3234" s="43" t="str">
        <f t="array" ref="K3234">IF(J3234="","", XLOOKUP(J3234,'⚙️ Pengaturan'!$E$2:$E3237,'⚙️ Pengaturan'!$G$2:$G3237))</f>
        <v/>
      </c>
      <c r="L3234" s="43" t="str">
        <f t="shared" si="84"/>
        <v/>
      </c>
      <c r="M3234" s="177"/>
      <c r="N3234" s="145"/>
      <c r="O3234" s="146"/>
      <c r="P3234" s="48" t="str">
        <f t="array" ref="P3234">IFNA(XLOOKUP(J3234,'⚙️ Pengaturan'!$E$2:$E3237,'⚙️ Pengaturan'!$F$2:$F3237),"")</f>
        <v/>
      </c>
      <c r="Q3234" s="147" t="str">
        <f t="shared" si="85"/>
        <v/>
      </c>
      <c r="R3234" s="173"/>
      <c r="S3234" s="76"/>
      <c r="T3234" s="51" t="b">
        <v>0</v>
      </c>
      <c r="U3234" s="94"/>
    </row>
    <row r="3235" ht="30.0" customHeight="1">
      <c r="A3235" s="39"/>
      <c r="B3235" s="40"/>
      <c r="C3235" s="173"/>
      <c r="D3235" s="86"/>
      <c r="E3235" s="43" t="str">
        <f t="shared" si="82"/>
        <v/>
      </c>
      <c r="F3235" s="43" t="str">
        <f t="shared" si="83"/>
        <v/>
      </c>
      <c r="G3235" s="44"/>
      <c r="H3235" s="44"/>
      <c r="I3235" s="44"/>
      <c r="J3235" s="176"/>
      <c r="K3235" s="43" t="str">
        <f t="array" ref="K3235">IF(J3235="","", XLOOKUP(J3235,'⚙️ Pengaturan'!$E$2:$E3237,'⚙️ Pengaturan'!$G$2:$G3237))</f>
        <v/>
      </c>
      <c r="L3235" s="43" t="str">
        <f t="shared" si="84"/>
        <v/>
      </c>
      <c r="M3235" s="177"/>
      <c r="N3235" s="145"/>
      <c r="O3235" s="146"/>
      <c r="P3235" s="48" t="str">
        <f t="array" ref="P3235">IFNA(XLOOKUP(J3235,'⚙️ Pengaturan'!$E$2:$E3237,'⚙️ Pengaturan'!$F$2:$F3237),"")</f>
        <v/>
      </c>
      <c r="Q3235" s="147" t="str">
        <f t="shared" si="85"/>
        <v/>
      </c>
      <c r="R3235" s="173"/>
      <c r="S3235" s="76"/>
      <c r="T3235" s="51" t="b">
        <v>0</v>
      </c>
      <c r="U3235" s="94"/>
    </row>
    <row r="3236" ht="30.0" customHeight="1">
      <c r="A3236" s="39"/>
      <c r="B3236" s="40"/>
      <c r="C3236" s="173"/>
      <c r="D3236" s="86"/>
      <c r="E3236" s="43" t="str">
        <f t="shared" si="82"/>
        <v/>
      </c>
      <c r="F3236" s="43" t="str">
        <f t="shared" si="83"/>
        <v/>
      </c>
      <c r="G3236" s="44"/>
      <c r="H3236" s="44"/>
      <c r="I3236" s="44"/>
      <c r="J3236" s="176"/>
      <c r="K3236" s="43" t="str">
        <f t="array" ref="K3236">IF(J3236="","", XLOOKUP(J3236,'⚙️ Pengaturan'!$E$2:$E3237,'⚙️ Pengaturan'!$G$2:$G3237))</f>
        <v/>
      </c>
      <c r="L3236" s="43" t="str">
        <f t="shared" si="84"/>
        <v/>
      </c>
      <c r="M3236" s="177"/>
      <c r="N3236" s="145"/>
      <c r="O3236" s="146"/>
      <c r="P3236" s="48" t="str">
        <f t="array" ref="P3236">IFNA(XLOOKUP(J3236,'⚙️ Pengaturan'!$E$2:$E3237,'⚙️ Pengaturan'!$F$2:$F3237),"")</f>
        <v/>
      </c>
      <c r="Q3236" s="147" t="str">
        <f t="shared" si="85"/>
        <v/>
      </c>
      <c r="R3236" s="173"/>
      <c r="S3236" s="76"/>
      <c r="T3236" s="51" t="b">
        <v>0</v>
      </c>
      <c r="U3236" s="94"/>
    </row>
    <row r="3237" ht="30.0" customHeight="1">
      <c r="A3237" s="39"/>
      <c r="B3237" s="40"/>
      <c r="C3237" s="173"/>
      <c r="D3237" s="86"/>
      <c r="E3237" s="43" t="str">
        <f t="shared" si="82"/>
        <v/>
      </c>
      <c r="F3237" s="43" t="str">
        <f t="shared" si="83"/>
        <v/>
      </c>
      <c r="G3237" s="44"/>
      <c r="H3237" s="44"/>
      <c r="I3237" s="44"/>
      <c r="J3237" s="176"/>
      <c r="K3237" s="43" t="str">
        <f t="array" ref="K3237">IF(J3237="","", XLOOKUP(J3237,'⚙️ Pengaturan'!$E$2:$E3237,'⚙️ Pengaturan'!$G$2:$G3237))</f>
        <v/>
      </c>
      <c r="L3237" s="43" t="str">
        <f t="shared" si="84"/>
        <v/>
      </c>
      <c r="M3237" s="177"/>
      <c r="N3237" s="145"/>
      <c r="O3237" s="146"/>
      <c r="P3237" s="48" t="str">
        <f t="array" ref="P3237">IFNA(XLOOKUP(J3237,'⚙️ Pengaturan'!$E$2:$E3237,'⚙️ Pengaturan'!$F$2:$F3237),"")</f>
        <v/>
      </c>
      <c r="Q3237" s="147" t="str">
        <f t="shared" si="85"/>
        <v/>
      </c>
      <c r="R3237" s="173"/>
      <c r="S3237" s="76"/>
      <c r="T3237" s="51" t="b">
        <v>0</v>
      </c>
      <c r="U3237" s="94"/>
    </row>
  </sheetData>
  <customSheetViews>
    <customSheetView guid="{06BC0AA9-5124-4294-986D-A00D10A314E2}" filter="1" showAutoFilter="1">
      <autoFilter ref="$B$4:$U$3237">
        <filterColumn colId="2">
          <customFilters and="1">
            <customFilter operator="greaterThanOrEqual" val="17/12/2025"/>
            <customFilter operator="lessThanOrEqual" val="24/12/2025"/>
          </customFilters>
        </filterColumn>
      </autoFilter>
    </customSheetView>
  </customSheetViews>
  <conditionalFormatting sqref="Q5:Q3237">
    <cfRule type="containsText" dxfId="9" priority="1" operator="containsText" text="-">
      <formula>NOT(ISERROR(SEARCH(("-"),(Q5))))</formula>
    </cfRule>
  </conditionalFormatting>
  <conditionalFormatting sqref="Q5:Q3237">
    <cfRule type="cellIs" dxfId="12" priority="2" operator="equal">
      <formula>0</formula>
    </cfRule>
  </conditionalFormatting>
  <conditionalFormatting sqref="B5:B3237">
    <cfRule type="expression" dxfId="10" priority="3">
      <formula>COUNTIF($B$5:$B3237,B5)&gt;1</formula>
    </cfRule>
  </conditionalFormatting>
  <conditionalFormatting sqref="B5:C3237 D5:D1045 E5:M3237 N5:N1418 O5:O1891 P5:U3237 D1048:D1052 D1055:D2001 N1421:N3237 O1894:O2002 O2005:O3237 D2009:D3237">
    <cfRule type="expression" dxfId="9" priority="4">
      <formula>IF(OR($B5:$B3237="",$C5:$C3237="",$D5:$D3237="",$J5:$J3237="",$M5:$M3237="",$N5:$N3237="",$O5:$O3237="",$P5:$P3237="",$Q5:$Q3237="",$R5:$R3237="",$S5:$S3237="",$T5:$T3237=FALSE),TRUE,FALSE)</formula>
    </cfRule>
  </conditionalFormatting>
  <dataValidations>
    <dataValidation type="list" allowBlank="1" sqref="J5:J3237">
      <formula1>#REF!</formula1>
    </dataValidation>
    <dataValidation type="list" allowBlank="1" sqref="R5:R3237">
      <formula1>#REF!</formula1>
    </dataValidation>
    <dataValidation type="list" allowBlank="1" sqref="M5:M3237">
      <formula1>#REF!</formula1>
    </dataValidation>
    <dataValidation type="custom" allowBlank="1" showDropDown="1" sqref="D5:D3237">
      <formula1>OR(NOT(ISERROR(DATEVALUE(D5))), AND(ISNUMBER(D5), LEFT(CELL("format", D5))="D"))</formula1>
    </dataValidation>
    <dataValidation type="list" allowBlank="1" showDropDown="1" sqref="U413:U414 U1417 U1419 U1986 U2475">
      <formula1>'👥 Daftar Nama Pasien'!$B:$B</formula1>
    </dataValidation>
    <dataValidation type="custom" allowBlank="1" showDropDown="1" sqref="N5:N3237">
      <formula1>AND(ISNUMBER(N5),(NOT(OR(NOT(ISERROR(DATEVALUE(N5))), AND(ISNUMBER(N5), LEFT(CELL("format", N5))="D")))))</formula1>
    </dataValidation>
    <dataValidation type="list" allowBlank="1" sqref="C5:C3237">
      <formula1>#REF!</formula1>
    </dataValidation>
    <dataValidation allowBlank="1" showDropDown="1" sqref="S5:S3237"/>
    <dataValidation type="list" allowBlank="1" sqref="G5:H3237">
      <formula1>#REF!</formula1>
    </dataValidation>
    <dataValidation type="list" allowBlank="1" showDropDown="1" sqref="I5:I3237">
      <formula1>#REF!</formula1>
    </dataValidation>
  </dataValidations>
  <hyperlinks>
    <hyperlink r:id="rId4" ref="I160"/>
    <hyperlink r:id="rId5" ref="I1355"/>
    <hyperlink r:id="rId6" ref="I1412"/>
    <hyperlink r:id="rId7" ref="I1444"/>
    <hyperlink r:id="rId8" ref="I1702"/>
    <hyperlink r:id="rId9" ref="I1860"/>
    <hyperlink r:id="rId10" ref="I1968"/>
    <hyperlink r:id="rId11" ref="I1969"/>
    <hyperlink r:id="rId12" ref="I2356"/>
  </hyperlinks>
  <printOptions gridLines="1" horizontalCentered="1"/>
  <pageMargins bottom="0.75" footer="0.0" header="0.0" left="0.7" right="0.7" top="0.75"/>
  <pageSetup fitToHeight="0" paperSize="14" orientation="landscape" pageOrder="overThenDown"/>
  <drawing r:id="rId13"/>
  <legacyDrawing r:id="rId14"/>
  <tableParts count="1">
    <tablePart r:id="rId1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Col="1"/>
  <cols>
    <col customWidth="1" min="1" max="1" width="22.5"/>
    <col customWidth="1" min="2" max="25" width="7.63"/>
    <col customWidth="1" min="26" max="26" width="3.88"/>
    <col customWidth="1" min="27" max="27" width="7.63"/>
  </cols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sheetData>
    <row r="1">
      <c r="A1" s="3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10" t="s">
        <v>8</v>
      </c>
      <c r="H1" s="6" t="s">
        <v>9</v>
      </c>
      <c r="I1" s="6" t="s">
        <v>10</v>
      </c>
      <c r="J1" s="10" t="s">
        <v>11</v>
      </c>
      <c r="K1" s="10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13" t="s">
        <v>21</v>
      </c>
    </row>
    <row r="2">
      <c r="A2" s="15">
        <v>4298.0</v>
      </c>
      <c r="B2" s="17" t="s">
        <v>22</v>
      </c>
      <c r="C2" s="19">
        <v>46205.0</v>
      </c>
      <c r="D2" s="17" t="s">
        <v>23</v>
      </c>
      <c r="E2" s="17" t="s">
        <v>24</v>
      </c>
      <c r="F2" s="17" t="s">
        <v>25</v>
      </c>
      <c r="G2" s="17" t="s">
        <v>26</v>
      </c>
      <c r="H2" s="17" t="s">
        <v>27</v>
      </c>
      <c r="I2" s="17" t="s">
        <v>28</v>
      </c>
      <c r="J2" s="17" t="s">
        <v>29</v>
      </c>
      <c r="K2" s="17" t="s">
        <v>30</v>
      </c>
      <c r="L2" s="17" t="s">
        <v>31</v>
      </c>
      <c r="M2" s="22">
        <v>250000.0</v>
      </c>
      <c r="N2" s="24">
        <v>0.0</v>
      </c>
      <c r="O2" s="24">
        <v>250000.0</v>
      </c>
      <c r="P2" s="22">
        <v>0.0</v>
      </c>
      <c r="Q2" s="17" t="s">
        <v>32</v>
      </c>
      <c r="R2" s="27" t="s">
        <v>33</v>
      </c>
      <c r="S2" s="17" t="b">
        <v>1</v>
      </c>
      <c r="T2" s="29"/>
    </row>
    <row r="3">
      <c r="A3" s="15">
        <v>4300.0</v>
      </c>
      <c r="B3" s="17" t="s">
        <v>22</v>
      </c>
      <c r="C3" s="19">
        <v>46205.0</v>
      </c>
      <c r="D3" s="17" t="s">
        <v>23</v>
      </c>
      <c r="E3" s="17" t="s">
        <v>24</v>
      </c>
      <c r="F3" s="17" t="s">
        <v>35</v>
      </c>
      <c r="G3" s="17" t="s">
        <v>26</v>
      </c>
      <c r="H3" s="17" t="s">
        <v>36</v>
      </c>
      <c r="I3" s="17" t="s">
        <v>28</v>
      </c>
      <c r="J3" s="17" t="s">
        <v>29</v>
      </c>
      <c r="K3" s="17" t="s">
        <v>30</v>
      </c>
      <c r="L3" s="17" t="s">
        <v>31</v>
      </c>
      <c r="M3" s="22">
        <v>250000.0</v>
      </c>
      <c r="N3" s="24">
        <v>0.0</v>
      </c>
      <c r="O3" s="24">
        <v>250000.0</v>
      </c>
      <c r="P3" s="22">
        <v>0.0</v>
      </c>
      <c r="Q3" s="17" t="s">
        <v>37</v>
      </c>
      <c r="R3" s="27" t="s">
        <v>38</v>
      </c>
      <c r="S3" s="17" t="b">
        <v>1</v>
      </c>
      <c r="T3" s="29"/>
    </row>
    <row r="4">
      <c r="A4" s="15">
        <v>4302.0</v>
      </c>
      <c r="B4" s="17" t="s">
        <v>39</v>
      </c>
      <c r="C4" s="19">
        <v>46205.0</v>
      </c>
      <c r="D4" s="17" t="s">
        <v>23</v>
      </c>
      <c r="E4" s="17" t="s">
        <v>24</v>
      </c>
      <c r="F4" s="17" t="s">
        <v>40</v>
      </c>
      <c r="G4" s="17" t="s">
        <v>41</v>
      </c>
      <c r="H4" s="17" t="s">
        <v>42</v>
      </c>
      <c r="I4" s="17" t="s">
        <v>28</v>
      </c>
      <c r="J4" s="17" t="s">
        <v>29</v>
      </c>
      <c r="K4" s="17" t="s">
        <v>30</v>
      </c>
      <c r="L4" s="17" t="s">
        <v>31</v>
      </c>
      <c r="M4" s="22">
        <v>250000.0</v>
      </c>
      <c r="N4" s="24">
        <v>0.0</v>
      </c>
      <c r="O4" s="24">
        <v>250000.0</v>
      </c>
      <c r="P4" s="22">
        <v>0.0</v>
      </c>
      <c r="Q4" s="17" t="s">
        <v>32</v>
      </c>
      <c r="R4" s="27" t="s">
        <v>33</v>
      </c>
      <c r="S4" s="17" t="b">
        <v>1</v>
      </c>
      <c r="T4" s="29"/>
    </row>
    <row r="5">
      <c r="A5" s="15">
        <v>4306.0</v>
      </c>
      <c r="B5" s="17" t="s">
        <v>39</v>
      </c>
      <c r="C5" s="19">
        <v>46205.0</v>
      </c>
      <c r="D5" s="17" t="s">
        <v>23</v>
      </c>
      <c r="E5" s="17" t="s">
        <v>24</v>
      </c>
      <c r="F5" s="17" t="s">
        <v>43</v>
      </c>
      <c r="G5" s="17" t="s">
        <v>41</v>
      </c>
      <c r="H5" s="17" t="s">
        <v>44</v>
      </c>
      <c r="I5" s="17" t="s">
        <v>28</v>
      </c>
      <c r="J5" s="17" t="s">
        <v>29</v>
      </c>
      <c r="K5" s="17" t="s">
        <v>30</v>
      </c>
      <c r="L5" s="17" t="s">
        <v>31</v>
      </c>
      <c r="M5" s="22">
        <v>250000.0</v>
      </c>
      <c r="N5" s="24">
        <v>0.0</v>
      </c>
      <c r="O5" s="24">
        <v>250000.0</v>
      </c>
      <c r="P5" s="22">
        <v>0.0</v>
      </c>
      <c r="Q5" s="17" t="s">
        <v>37</v>
      </c>
      <c r="R5" s="17" t="s">
        <v>44</v>
      </c>
      <c r="S5" s="17" t="b">
        <v>1</v>
      </c>
      <c r="T5" s="29"/>
    </row>
    <row r="6">
      <c r="A6" s="15">
        <v>4308.0</v>
      </c>
      <c r="B6" s="17" t="s">
        <v>39</v>
      </c>
      <c r="C6" s="19">
        <v>46205.0</v>
      </c>
      <c r="D6" s="17" t="s">
        <v>23</v>
      </c>
      <c r="E6" s="17" t="s">
        <v>24</v>
      </c>
      <c r="F6" s="17" t="s">
        <v>46</v>
      </c>
      <c r="G6" s="17" t="s">
        <v>47</v>
      </c>
      <c r="H6" s="17" t="s">
        <v>49</v>
      </c>
      <c r="I6" s="17" t="s">
        <v>28</v>
      </c>
      <c r="J6" s="17" t="s">
        <v>29</v>
      </c>
      <c r="K6" s="17" t="s">
        <v>30</v>
      </c>
      <c r="L6" s="17" t="s">
        <v>31</v>
      </c>
      <c r="M6" s="22">
        <v>250000.0</v>
      </c>
      <c r="N6" s="24">
        <v>0.0</v>
      </c>
      <c r="O6" s="24">
        <v>250000.0</v>
      </c>
      <c r="P6" s="22">
        <v>0.0</v>
      </c>
      <c r="Q6" s="17" t="s">
        <v>32</v>
      </c>
      <c r="R6" s="27" t="s">
        <v>33</v>
      </c>
      <c r="S6" s="17" t="b">
        <v>1</v>
      </c>
      <c r="T6" s="29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 outlineLevelCol="1"/>
  <cols>
    <col customWidth="1" min="1" max="1" width="2.63"/>
    <col customWidth="1" min="2" max="2" width="5.13"/>
    <col customWidth="1" min="3" max="3" width="12.63"/>
    <col collapsed="1" customWidth="1" min="4" max="4" width="12.63"/>
    <col customWidth="1" hidden="1" min="5" max="6" width="10.13" outlineLevel="1"/>
    <col customWidth="1" min="7" max="7" width="12.63"/>
    <col customWidth="1" min="8" max="8" width="15.13"/>
    <col customWidth="1" min="9" max="9" width="50.13"/>
    <col customWidth="1" min="10" max="10" width="25.13"/>
    <col customWidth="1" min="11" max="11" width="2.63"/>
    <col customWidth="1" min="12" max="12" width="25.13"/>
    <col customWidth="1" min="13" max="13" width="2.63"/>
  </cols>
  <sheetData>
    <row r="1">
      <c r="A1" s="52"/>
      <c r="B1" s="54" t="s">
        <v>62</v>
      </c>
      <c r="C1" s="54"/>
      <c r="D1" s="52"/>
      <c r="E1" s="52"/>
      <c r="F1" s="52"/>
      <c r="G1" s="52"/>
      <c r="H1" s="52"/>
      <c r="I1" s="52"/>
      <c r="J1" s="52"/>
      <c r="K1" s="52"/>
      <c r="L1" s="52"/>
      <c r="M1" s="52"/>
    </row>
    <row r="2">
      <c r="A2" s="5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4" ht="22.5" customHeight="1">
      <c r="A4" s="26"/>
      <c r="B4" s="55" t="s">
        <v>63</v>
      </c>
      <c r="C4" s="55" t="s">
        <v>3</v>
      </c>
      <c r="D4" s="56" t="s">
        <v>4</v>
      </c>
      <c r="E4" s="55" t="s">
        <v>5</v>
      </c>
      <c r="F4" s="55" t="s">
        <v>6</v>
      </c>
      <c r="G4" s="56" t="s">
        <v>64</v>
      </c>
      <c r="H4" s="55" t="s">
        <v>65</v>
      </c>
      <c r="I4" s="55" t="s">
        <v>66</v>
      </c>
      <c r="J4" s="55" t="s">
        <v>67</v>
      </c>
      <c r="K4" s="57" t="s">
        <v>20</v>
      </c>
      <c r="L4" s="58" t="s">
        <v>21</v>
      </c>
      <c r="M4" s="58" t="s">
        <v>68</v>
      </c>
    </row>
    <row r="5" ht="22.5" customHeight="1">
      <c r="B5" s="59">
        <v>324.0</v>
      </c>
      <c r="C5" s="60" t="s">
        <v>50</v>
      </c>
      <c r="D5" s="61">
        <v>46018.0</v>
      </c>
      <c r="E5" s="62" t="str">
        <f t="shared" ref="E5:E41" si="1">if(D5="","",text(D5,"yyyy"))</f>
        <v>2025</v>
      </c>
      <c r="F5" s="62" t="str">
        <f t="shared" ref="F5:F41" si="2">if(D5="","",text(D5,"mm")&amp;" "&amp;text(D5,"mmm"))</f>
        <v>12 Des</v>
      </c>
      <c r="G5" s="63">
        <v>500000.0</v>
      </c>
      <c r="H5" s="60" t="s">
        <v>32</v>
      </c>
      <c r="I5" s="64" t="s">
        <v>71</v>
      </c>
      <c r="J5" s="64" t="s">
        <v>72</v>
      </c>
      <c r="K5" s="66" t="b">
        <v>1</v>
      </c>
      <c r="L5" s="66"/>
      <c r="M5" s="67"/>
    </row>
    <row r="6" ht="22.5" customHeight="1">
      <c r="B6" s="59">
        <v>325.0</v>
      </c>
      <c r="C6" s="60" t="s">
        <v>50</v>
      </c>
      <c r="D6" s="61">
        <v>46018.0</v>
      </c>
      <c r="E6" s="62" t="str">
        <f t="shared" si="1"/>
        <v>2025</v>
      </c>
      <c r="F6" s="62" t="str">
        <f t="shared" si="2"/>
        <v>12 Des</v>
      </c>
      <c r="G6" s="63">
        <v>48000.0</v>
      </c>
      <c r="H6" s="60" t="s">
        <v>32</v>
      </c>
      <c r="I6" s="64" t="s">
        <v>73</v>
      </c>
      <c r="J6" s="64" t="s">
        <v>74</v>
      </c>
      <c r="K6" s="66" t="b">
        <v>1</v>
      </c>
      <c r="L6" s="66"/>
      <c r="M6" s="67"/>
    </row>
    <row r="7" ht="22.5" customHeight="1">
      <c r="B7" s="59">
        <v>326.0</v>
      </c>
      <c r="C7" s="60" t="s">
        <v>50</v>
      </c>
      <c r="D7" s="61">
        <v>46018.0</v>
      </c>
      <c r="E7" s="62" t="str">
        <f t="shared" si="1"/>
        <v>2025</v>
      </c>
      <c r="F7" s="62" t="str">
        <f t="shared" si="2"/>
        <v>12 Des</v>
      </c>
      <c r="G7" s="63">
        <v>200000.0</v>
      </c>
      <c r="H7" s="60" t="s">
        <v>32</v>
      </c>
      <c r="I7" s="64" t="s">
        <v>76</v>
      </c>
      <c r="J7" s="64" t="s">
        <v>74</v>
      </c>
      <c r="K7" s="66" t="b">
        <v>1</v>
      </c>
      <c r="L7" s="66"/>
      <c r="M7" s="67"/>
    </row>
    <row r="8" ht="22.5" customHeight="1">
      <c r="B8" s="59">
        <v>327.0</v>
      </c>
      <c r="C8" s="60" t="s">
        <v>50</v>
      </c>
      <c r="D8" s="61">
        <v>46019.0</v>
      </c>
      <c r="E8" s="62" t="str">
        <f t="shared" si="1"/>
        <v>2025</v>
      </c>
      <c r="F8" s="62" t="str">
        <f t="shared" si="2"/>
        <v>12 Des</v>
      </c>
      <c r="G8" s="63">
        <v>20000.0</v>
      </c>
      <c r="H8" s="60" t="s">
        <v>32</v>
      </c>
      <c r="I8" s="64" t="s">
        <v>77</v>
      </c>
      <c r="J8" s="64" t="s">
        <v>78</v>
      </c>
      <c r="K8" s="66" t="b">
        <v>1</v>
      </c>
      <c r="L8" s="66"/>
      <c r="M8" s="67"/>
    </row>
    <row r="9" ht="22.5" customHeight="1">
      <c r="B9" s="59">
        <v>328.0</v>
      </c>
      <c r="C9" s="60" t="s">
        <v>79</v>
      </c>
      <c r="D9" s="61">
        <v>46019.0</v>
      </c>
      <c r="E9" s="62" t="str">
        <f t="shared" si="1"/>
        <v>2025</v>
      </c>
      <c r="F9" s="62" t="str">
        <f t="shared" si="2"/>
        <v>12 Des</v>
      </c>
      <c r="G9" s="63">
        <v>21000.0</v>
      </c>
      <c r="H9" s="60" t="s">
        <v>32</v>
      </c>
      <c r="I9" s="64" t="s">
        <v>80</v>
      </c>
      <c r="J9" s="64" t="s">
        <v>78</v>
      </c>
      <c r="K9" s="66" t="b">
        <v>1</v>
      </c>
      <c r="L9" s="66"/>
      <c r="M9" s="67"/>
    </row>
    <row r="10" ht="22.5" customHeight="1">
      <c r="B10" s="59">
        <v>329.0</v>
      </c>
      <c r="C10" s="60" t="s">
        <v>79</v>
      </c>
      <c r="D10" s="61">
        <v>46019.0</v>
      </c>
      <c r="E10" s="62" t="str">
        <f t="shared" si="1"/>
        <v>2025</v>
      </c>
      <c r="F10" s="62" t="str">
        <f t="shared" si="2"/>
        <v>12 Des</v>
      </c>
      <c r="G10" s="63">
        <v>19000.0</v>
      </c>
      <c r="H10" s="60" t="s">
        <v>32</v>
      </c>
      <c r="I10" s="64" t="s">
        <v>82</v>
      </c>
      <c r="J10" s="64" t="s">
        <v>78</v>
      </c>
      <c r="K10" s="66" t="b">
        <v>1</v>
      </c>
      <c r="L10" s="66"/>
      <c r="M10" s="67"/>
    </row>
    <row r="11" ht="22.5" customHeight="1">
      <c r="B11" s="59">
        <v>330.0</v>
      </c>
      <c r="C11" s="60" t="s">
        <v>79</v>
      </c>
      <c r="D11" s="61">
        <v>46019.0</v>
      </c>
      <c r="E11" s="62" t="str">
        <f t="shared" si="1"/>
        <v>2025</v>
      </c>
      <c r="F11" s="62" t="str">
        <f t="shared" si="2"/>
        <v>12 Des</v>
      </c>
      <c r="G11" s="63">
        <v>29000.0</v>
      </c>
      <c r="H11" s="60" t="s">
        <v>32</v>
      </c>
      <c r="I11" s="64" t="s">
        <v>83</v>
      </c>
      <c r="J11" s="64" t="s">
        <v>74</v>
      </c>
      <c r="K11" s="66" t="b">
        <v>1</v>
      </c>
      <c r="L11" s="66"/>
      <c r="M11" s="67"/>
    </row>
    <row r="12" ht="22.5" customHeight="1">
      <c r="B12" s="59">
        <v>331.0</v>
      </c>
      <c r="C12" s="60" t="s">
        <v>79</v>
      </c>
      <c r="D12" s="61">
        <v>46019.0</v>
      </c>
      <c r="E12" s="62" t="str">
        <f t="shared" si="1"/>
        <v>2025</v>
      </c>
      <c r="F12" s="62" t="str">
        <f t="shared" si="2"/>
        <v>12 Des</v>
      </c>
      <c r="G12" s="63">
        <v>50000.0</v>
      </c>
      <c r="H12" s="60" t="s">
        <v>32</v>
      </c>
      <c r="I12" s="64" t="s">
        <v>79</v>
      </c>
      <c r="J12" s="64" t="s">
        <v>74</v>
      </c>
      <c r="K12" s="66" t="b">
        <v>1</v>
      </c>
      <c r="L12" s="66"/>
      <c r="M12" s="67"/>
    </row>
    <row r="13" ht="22.5" customHeight="1">
      <c r="B13" s="59">
        <v>332.0</v>
      </c>
      <c r="C13" s="60" t="s">
        <v>50</v>
      </c>
      <c r="D13" s="61">
        <v>46020.0</v>
      </c>
      <c r="E13" s="62" t="str">
        <f t="shared" si="1"/>
        <v>2025</v>
      </c>
      <c r="F13" s="62" t="str">
        <f t="shared" si="2"/>
        <v>12 Des</v>
      </c>
      <c r="G13" s="63">
        <v>200000.0</v>
      </c>
      <c r="H13" s="60" t="s">
        <v>32</v>
      </c>
      <c r="I13" s="64" t="s">
        <v>85</v>
      </c>
      <c r="J13" s="64" t="s">
        <v>74</v>
      </c>
      <c r="K13" s="66" t="b">
        <v>1</v>
      </c>
      <c r="L13" s="66"/>
      <c r="M13" s="67"/>
    </row>
    <row r="14" ht="22.5" customHeight="1">
      <c r="B14" s="59">
        <v>333.0</v>
      </c>
      <c r="C14" s="60" t="s">
        <v>50</v>
      </c>
      <c r="D14" s="61">
        <v>46020.0</v>
      </c>
      <c r="E14" s="62" t="str">
        <f t="shared" si="1"/>
        <v>2025</v>
      </c>
      <c r="F14" s="62" t="str">
        <f t="shared" si="2"/>
        <v>12 Des</v>
      </c>
      <c r="G14" s="63">
        <v>50000.0</v>
      </c>
      <c r="H14" s="60" t="s">
        <v>32</v>
      </c>
      <c r="I14" s="64" t="s">
        <v>86</v>
      </c>
      <c r="J14" s="64" t="s">
        <v>72</v>
      </c>
      <c r="K14" s="66" t="b">
        <v>1</v>
      </c>
      <c r="L14" s="66"/>
      <c r="M14" s="67"/>
    </row>
    <row r="15" ht="22.5" customHeight="1">
      <c r="B15" s="59">
        <v>334.0</v>
      </c>
      <c r="C15" s="60" t="s">
        <v>50</v>
      </c>
      <c r="D15" s="61">
        <v>46020.0</v>
      </c>
      <c r="E15" s="62" t="str">
        <f t="shared" si="1"/>
        <v>2025</v>
      </c>
      <c r="F15" s="62" t="str">
        <f t="shared" si="2"/>
        <v>12 Des</v>
      </c>
      <c r="G15" s="63">
        <v>120000.0</v>
      </c>
      <c r="H15" s="60" t="s">
        <v>32</v>
      </c>
      <c r="I15" s="64" t="s">
        <v>87</v>
      </c>
      <c r="J15" s="64" t="s">
        <v>78</v>
      </c>
      <c r="K15" s="66" t="b">
        <v>1</v>
      </c>
      <c r="L15" s="66"/>
      <c r="M15" s="67"/>
    </row>
    <row r="16" ht="22.5" customHeight="1">
      <c r="B16" s="59">
        <v>335.0</v>
      </c>
      <c r="C16" s="60" t="s">
        <v>50</v>
      </c>
      <c r="D16" s="61">
        <v>46025.0</v>
      </c>
      <c r="E16" s="62" t="str">
        <f t="shared" si="1"/>
        <v>2026</v>
      </c>
      <c r="F16" s="62" t="str">
        <f t="shared" si="2"/>
        <v>01 Jan</v>
      </c>
      <c r="G16" s="63">
        <v>148000.0</v>
      </c>
      <c r="H16" s="60" t="s">
        <v>32</v>
      </c>
      <c r="I16" s="64" t="s">
        <v>89</v>
      </c>
      <c r="J16" s="64" t="s">
        <v>78</v>
      </c>
      <c r="K16" s="66" t="b">
        <v>1</v>
      </c>
      <c r="L16" s="66"/>
      <c r="M16" s="67"/>
    </row>
    <row r="17" ht="22.5" customHeight="1">
      <c r="B17" s="59">
        <v>336.0</v>
      </c>
      <c r="C17" s="60" t="s">
        <v>50</v>
      </c>
      <c r="D17" s="61">
        <v>46026.0</v>
      </c>
      <c r="E17" s="62" t="str">
        <f t="shared" si="1"/>
        <v>2026</v>
      </c>
      <c r="F17" s="62" t="str">
        <f t="shared" si="2"/>
        <v>01 Jan</v>
      </c>
      <c r="G17" s="63">
        <v>400000.0</v>
      </c>
      <c r="H17" s="60" t="s">
        <v>32</v>
      </c>
      <c r="I17" s="64" t="s">
        <v>85</v>
      </c>
      <c r="J17" s="64" t="s">
        <v>74</v>
      </c>
      <c r="K17" s="66" t="b">
        <v>1</v>
      </c>
      <c r="L17" s="66"/>
      <c r="M17" s="67"/>
    </row>
    <row r="18" ht="22.5" customHeight="1">
      <c r="B18" s="59">
        <v>337.0</v>
      </c>
      <c r="C18" s="60" t="s">
        <v>50</v>
      </c>
      <c r="D18" s="61">
        <v>46026.0</v>
      </c>
      <c r="E18" s="62" t="str">
        <f t="shared" si="1"/>
        <v>2026</v>
      </c>
      <c r="F18" s="62" t="str">
        <f t="shared" si="2"/>
        <v>01 Jan</v>
      </c>
      <c r="G18" s="63">
        <v>15000.0</v>
      </c>
      <c r="H18" s="60" t="s">
        <v>32</v>
      </c>
      <c r="I18" s="64" t="s">
        <v>90</v>
      </c>
      <c r="J18" s="64" t="s">
        <v>78</v>
      </c>
      <c r="K18" s="66" t="b">
        <v>1</v>
      </c>
      <c r="L18" s="66"/>
      <c r="M18" s="67"/>
    </row>
    <row r="19" ht="22.5" customHeight="1">
      <c r="B19" s="59">
        <v>338.0</v>
      </c>
      <c r="C19" s="60" t="s">
        <v>50</v>
      </c>
      <c r="D19" s="61">
        <v>46027.0</v>
      </c>
      <c r="E19" s="62" t="str">
        <f t="shared" si="1"/>
        <v>2026</v>
      </c>
      <c r="F19" s="62" t="str">
        <f t="shared" si="2"/>
        <v>01 Jan</v>
      </c>
      <c r="G19" s="63">
        <v>100000.0</v>
      </c>
      <c r="H19" s="60" t="s">
        <v>32</v>
      </c>
      <c r="I19" s="64" t="s">
        <v>79</v>
      </c>
      <c r="J19" s="64" t="s">
        <v>74</v>
      </c>
      <c r="K19" s="66" t="b">
        <v>1</v>
      </c>
      <c r="L19" s="66"/>
      <c r="M19" s="67"/>
    </row>
    <row r="20" ht="22.5" customHeight="1">
      <c r="B20" s="59">
        <v>339.0</v>
      </c>
      <c r="C20" s="60" t="s">
        <v>50</v>
      </c>
      <c r="D20" s="61">
        <v>46027.0</v>
      </c>
      <c r="E20" s="62" t="str">
        <f t="shared" si="1"/>
        <v>2026</v>
      </c>
      <c r="F20" s="62" t="str">
        <f t="shared" si="2"/>
        <v>01 Jan</v>
      </c>
      <c r="G20" s="63">
        <v>150000.0</v>
      </c>
      <c r="H20" s="60" t="s">
        <v>32</v>
      </c>
      <c r="I20" s="64" t="s">
        <v>50</v>
      </c>
      <c r="J20" s="64" t="s">
        <v>74</v>
      </c>
      <c r="K20" s="66" t="b">
        <v>1</v>
      </c>
      <c r="L20" s="66"/>
      <c r="M20" s="67"/>
    </row>
    <row r="21" ht="22.5" customHeight="1">
      <c r="B21" s="59">
        <v>340.0</v>
      </c>
      <c r="C21" s="60" t="s">
        <v>50</v>
      </c>
      <c r="D21" s="61">
        <v>46027.0</v>
      </c>
      <c r="E21" s="62" t="str">
        <f t="shared" si="1"/>
        <v>2026</v>
      </c>
      <c r="F21" s="62" t="str">
        <f t="shared" si="2"/>
        <v>01 Jan</v>
      </c>
      <c r="G21" s="63">
        <v>150000.0</v>
      </c>
      <c r="H21" s="60" t="s">
        <v>32</v>
      </c>
      <c r="I21" s="64" t="s">
        <v>95</v>
      </c>
      <c r="J21" s="64" t="s">
        <v>78</v>
      </c>
      <c r="K21" s="66" t="b">
        <v>1</v>
      </c>
      <c r="L21" s="66"/>
      <c r="M21" s="67"/>
    </row>
    <row r="22" ht="22.5" customHeight="1">
      <c r="B22" s="59">
        <v>341.0</v>
      </c>
      <c r="C22" s="60" t="s">
        <v>50</v>
      </c>
      <c r="D22" s="61">
        <v>46027.0</v>
      </c>
      <c r="E22" s="62" t="str">
        <f t="shared" si="1"/>
        <v>2026</v>
      </c>
      <c r="F22" s="62" t="str">
        <f t="shared" si="2"/>
        <v>01 Jan</v>
      </c>
      <c r="G22" s="63">
        <v>50000.0</v>
      </c>
      <c r="H22" s="60" t="s">
        <v>32</v>
      </c>
      <c r="I22" s="64" t="s">
        <v>96</v>
      </c>
      <c r="J22" s="64" t="s">
        <v>74</v>
      </c>
      <c r="K22" s="66" t="b">
        <v>1</v>
      </c>
      <c r="L22" s="66"/>
      <c r="M22" s="67"/>
    </row>
    <row r="23" ht="22.5" customHeight="1">
      <c r="B23" s="59">
        <v>342.0</v>
      </c>
      <c r="C23" s="60" t="s">
        <v>50</v>
      </c>
      <c r="D23" s="61">
        <v>46028.0</v>
      </c>
      <c r="E23" s="62" t="str">
        <f t="shared" si="1"/>
        <v>2026</v>
      </c>
      <c r="F23" s="62" t="str">
        <f t="shared" si="2"/>
        <v>01 Jan</v>
      </c>
      <c r="G23" s="63">
        <v>150000.0</v>
      </c>
      <c r="H23" s="60" t="s">
        <v>32</v>
      </c>
      <c r="I23" s="64" t="s">
        <v>98</v>
      </c>
      <c r="J23" s="64" t="s">
        <v>78</v>
      </c>
      <c r="K23" s="66" t="b">
        <v>1</v>
      </c>
      <c r="L23" s="66"/>
      <c r="M23" s="67"/>
    </row>
    <row r="24" ht="22.5" customHeight="1">
      <c r="B24" s="59">
        <v>343.0</v>
      </c>
      <c r="C24" s="60" t="s">
        <v>50</v>
      </c>
      <c r="D24" s="61">
        <v>46029.0</v>
      </c>
      <c r="E24" s="62" t="str">
        <f t="shared" si="1"/>
        <v>2026</v>
      </c>
      <c r="F24" s="62" t="str">
        <f t="shared" si="2"/>
        <v>01 Jan</v>
      </c>
      <c r="G24" s="63">
        <v>200000.0</v>
      </c>
      <c r="H24" s="60" t="s">
        <v>32</v>
      </c>
      <c r="I24" s="64" t="s">
        <v>50</v>
      </c>
      <c r="J24" s="64" t="s">
        <v>74</v>
      </c>
      <c r="K24" s="66" t="b">
        <v>1</v>
      </c>
      <c r="L24" s="66"/>
      <c r="M24" s="67"/>
    </row>
    <row r="25" ht="22.5" customHeight="1">
      <c r="B25" s="59">
        <v>344.0</v>
      </c>
      <c r="C25" s="60" t="s">
        <v>50</v>
      </c>
      <c r="D25" s="61">
        <v>46030.0</v>
      </c>
      <c r="E25" s="62" t="str">
        <f t="shared" si="1"/>
        <v>2026</v>
      </c>
      <c r="F25" s="62" t="str">
        <f t="shared" si="2"/>
        <v>01 Jan</v>
      </c>
      <c r="G25" s="63">
        <v>150000.0</v>
      </c>
      <c r="H25" s="60" t="s">
        <v>32</v>
      </c>
      <c r="I25" s="64" t="s">
        <v>103</v>
      </c>
      <c r="J25" s="64" t="s">
        <v>74</v>
      </c>
      <c r="K25" s="66" t="b">
        <v>1</v>
      </c>
      <c r="L25" s="66"/>
      <c r="M25" s="67"/>
    </row>
    <row r="26" ht="22.5" customHeight="1">
      <c r="B26" s="59">
        <v>345.0</v>
      </c>
      <c r="C26" s="60" t="s">
        <v>50</v>
      </c>
      <c r="D26" s="61">
        <v>46030.0</v>
      </c>
      <c r="E26" s="62" t="str">
        <f t="shared" si="1"/>
        <v>2026</v>
      </c>
      <c r="F26" s="62" t="str">
        <f t="shared" si="2"/>
        <v>01 Jan</v>
      </c>
      <c r="G26" s="63">
        <v>100000.0</v>
      </c>
      <c r="H26" s="60" t="s">
        <v>32</v>
      </c>
      <c r="I26" s="64" t="s">
        <v>79</v>
      </c>
      <c r="J26" s="64" t="s">
        <v>74</v>
      </c>
      <c r="K26" s="66" t="b">
        <v>1</v>
      </c>
      <c r="L26" s="66"/>
      <c r="M26" s="67"/>
    </row>
    <row r="27" ht="22.5" customHeight="1">
      <c r="B27" s="59">
        <v>346.0</v>
      </c>
      <c r="C27" s="60" t="s">
        <v>50</v>
      </c>
      <c r="D27" s="61">
        <v>46030.0</v>
      </c>
      <c r="E27" s="62" t="str">
        <f t="shared" si="1"/>
        <v>2026</v>
      </c>
      <c r="F27" s="62" t="str">
        <f t="shared" si="2"/>
        <v>01 Jan</v>
      </c>
      <c r="G27" s="63">
        <v>50000.0</v>
      </c>
      <c r="H27" s="60" t="s">
        <v>32</v>
      </c>
      <c r="I27" s="64" t="s">
        <v>50</v>
      </c>
      <c r="J27" s="64" t="s">
        <v>74</v>
      </c>
      <c r="K27" s="66" t="b">
        <v>1</v>
      </c>
      <c r="L27" s="66"/>
      <c r="M27" s="67"/>
    </row>
    <row r="28" ht="22.5" customHeight="1">
      <c r="B28" s="59">
        <v>347.0</v>
      </c>
      <c r="C28" s="60" t="s">
        <v>79</v>
      </c>
      <c r="D28" s="61">
        <v>46032.0</v>
      </c>
      <c r="E28" s="62" t="str">
        <f t="shared" si="1"/>
        <v>2026</v>
      </c>
      <c r="F28" s="62" t="str">
        <f t="shared" si="2"/>
        <v>01 Jan</v>
      </c>
      <c r="G28" s="63">
        <v>15000.0</v>
      </c>
      <c r="H28" s="60" t="s">
        <v>32</v>
      </c>
      <c r="I28" s="64" t="s">
        <v>110</v>
      </c>
      <c r="J28" s="64" t="s">
        <v>78</v>
      </c>
      <c r="K28" s="66" t="b">
        <v>1</v>
      </c>
      <c r="L28" s="66"/>
      <c r="M28" s="67"/>
    </row>
    <row r="29" ht="22.5" customHeight="1">
      <c r="B29" s="59">
        <v>348.0</v>
      </c>
      <c r="C29" s="60" t="s">
        <v>50</v>
      </c>
      <c r="D29" s="61">
        <v>46032.0</v>
      </c>
      <c r="E29" s="62" t="str">
        <f t="shared" si="1"/>
        <v>2026</v>
      </c>
      <c r="F29" s="62" t="str">
        <f t="shared" si="2"/>
        <v>01 Jan</v>
      </c>
      <c r="G29" s="63">
        <v>100000.0</v>
      </c>
      <c r="H29" s="60" t="s">
        <v>32</v>
      </c>
      <c r="I29" s="64" t="s">
        <v>96</v>
      </c>
      <c r="J29" s="64" t="s">
        <v>74</v>
      </c>
      <c r="K29" s="66" t="b">
        <v>1</v>
      </c>
      <c r="L29" s="66"/>
      <c r="M29" s="67"/>
    </row>
    <row r="30" ht="22.5" customHeight="1">
      <c r="B30" s="59">
        <v>349.0</v>
      </c>
      <c r="C30" s="60" t="s">
        <v>50</v>
      </c>
      <c r="D30" s="61">
        <v>46032.0</v>
      </c>
      <c r="E30" s="62" t="str">
        <f t="shared" si="1"/>
        <v>2026</v>
      </c>
      <c r="F30" s="62" t="str">
        <f t="shared" si="2"/>
        <v>01 Jan</v>
      </c>
      <c r="G30" s="63">
        <v>50000.0</v>
      </c>
      <c r="H30" s="60" t="s">
        <v>32</v>
      </c>
      <c r="I30" s="64" t="s">
        <v>112</v>
      </c>
      <c r="J30" s="64" t="s">
        <v>78</v>
      </c>
      <c r="K30" s="66" t="b">
        <v>1</v>
      </c>
      <c r="L30" s="66"/>
      <c r="M30" s="67"/>
    </row>
    <row r="31" ht="22.5" customHeight="1">
      <c r="B31" s="59">
        <v>350.0</v>
      </c>
      <c r="C31" s="60" t="s">
        <v>50</v>
      </c>
      <c r="D31" s="61">
        <v>46032.0</v>
      </c>
      <c r="E31" s="62" t="str">
        <f t="shared" si="1"/>
        <v>2026</v>
      </c>
      <c r="F31" s="62" t="str">
        <f t="shared" si="2"/>
        <v>01 Jan</v>
      </c>
      <c r="G31" s="63">
        <v>200000.0</v>
      </c>
      <c r="H31" s="60" t="s">
        <v>32</v>
      </c>
      <c r="I31" s="64" t="s">
        <v>50</v>
      </c>
      <c r="J31" s="64" t="s">
        <v>74</v>
      </c>
      <c r="K31" s="66" t="b">
        <v>1</v>
      </c>
      <c r="L31" s="66"/>
      <c r="M31" s="67"/>
    </row>
    <row r="32" ht="22.5" customHeight="1">
      <c r="B32" s="59">
        <v>351.0</v>
      </c>
      <c r="C32" s="60" t="s">
        <v>50</v>
      </c>
      <c r="D32" s="61">
        <v>46032.0</v>
      </c>
      <c r="E32" s="62" t="str">
        <f t="shared" si="1"/>
        <v>2026</v>
      </c>
      <c r="F32" s="62" t="str">
        <f t="shared" si="2"/>
        <v>01 Jan</v>
      </c>
      <c r="G32" s="63">
        <v>35000.0</v>
      </c>
      <c r="H32" s="60" t="s">
        <v>32</v>
      </c>
      <c r="I32" s="64" t="s">
        <v>114</v>
      </c>
      <c r="J32" s="64" t="s">
        <v>74</v>
      </c>
      <c r="K32" s="66" t="b">
        <v>1</v>
      </c>
      <c r="L32" s="66"/>
      <c r="M32" s="67"/>
    </row>
    <row r="33" ht="22.5" customHeight="1">
      <c r="B33" s="59">
        <v>352.0</v>
      </c>
      <c r="C33" s="60" t="s">
        <v>79</v>
      </c>
      <c r="D33" s="61">
        <v>46033.0</v>
      </c>
      <c r="E33" s="62" t="str">
        <f t="shared" si="1"/>
        <v>2026</v>
      </c>
      <c r="F33" s="62" t="str">
        <f t="shared" si="2"/>
        <v>01 Jan</v>
      </c>
      <c r="G33" s="63">
        <v>200000.0</v>
      </c>
      <c r="H33" s="60" t="s">
        <v>32</v>
      </c>
      <c r="I33" s="64" t="s">
        <v>116</v>
      </c>
      <c r="J33" s="64" t="s">
        <v>74</v>
      </c>
      <c r="K33" s="66" t="b">
        <v>1</v>
      </c>
      <c r="L33" s="66"/>
      <c r="M33" s="67"/>
    </row>
    <row r="34" ht="22.5" customHeight="1">
      <c r="B34" s="59">
        <v>353.0</v>
      </c>
      <c r="C34" s="60" t="s">
        <v>79</v>
      </c>
      <c r="D34" s="61">
        <v>46033.0</v>
      </c>
      <c r="E34" s="62" t="str">
        <f t="shared" si="1"/>
        <v>2026</v>
      </c>
      <c r="F34" s="62" t="str">
        <f t="shared" si="2"/>
        <v>01 Jan</v>
      </c>
      <c r="G34" s="63">
        <v>300000.0</v>
      </c>
      <c r="H34" s="60" t="s">
        <v>32</v>
      </c>
      <c r="I34" s="64" t="s">
        <v>116</v>
      </c>
      <c r="J34" s="64" t="s">
        <v>74</v>
      </c>
      <c r="K34" s="66" t="b">
        <v>1</v>
      </c>
      <c r="L34" s="66"/>
      <c r="M34" s="67"/>
    </row>
    <row r="35" ht="22.5" customHeight="1">
      <c r="B35" s="59">
        <v>354.0</v>
      </c>
      <c r="C35" s="60" t="s">
        <v>79</v>
      </c>
      <c r="D35" s="61">
        <v>46034.0</v>
      </c>
      <c r="E35" s="62" t="str">
        <f t="shared" si="1"/>
        <v>2026</v>
      </c>
      <c r="F35" s="62" t="str">
        <f t="shared" si="2"/>
        <v>01 Jan</v>
      </c>
      <c r="G35" s="63">
        <v>50000.0</v>
      </c>
      <c r="H35" s="60" t="s">
        <v>32</v>
      </c>
      <c r="I35" s="64" t="s">
        <v>122</v>
      </c>
      <c r="J35" s="64" t="s">
        <v>74</v>
      </c>
      <c r="K35" s="66" t="b">
        <v>1</v>
      </c>
      <c r="L35" s="66"/>
      <c r="M35" s="67"/>
    </row>
    <row r="36" ht="22.5" customHeight="1">
      <c r="B36" s="59">
        <v>355.0</v>
      </c>
      <c r="C36" s="60" t="s">
        <v>79</v>
      </c>
      <c r="D36" s="61">
        <v>46034.0</v>
      </c>
      <c r="E36" s="62" t="str">
        <f t="shared" si="1"/>
        <v>2026</v>
      </c>
      <c r="F36" s="62" t="str">
        <f t="shared" si="2"/>
        <v>01 Jan</v>
      </c>
      <c r="G36" s="63">
        <v>50000.0</v>
      </c>
      <c r="H36" s="60" t="s">
        <v>32</v>
      </c>
      <c r="I36" s="64" t="s">
        <v>124</v>
      </c>
      <c r="J36" s="64" t="s">
        <v>74</v>
      </c>
      <c r="K36" s="66" t="b">
        <v>1</v>
      </c>
      <c r="L36" s="66"/>
      <c r="M36" s="67"/>
    </row>
    <row r="37" ht="22.5" customHeight="1">
      <c r="B37" s="59">
        <v>356.0</v>
      </c>
      <c r="C37" s="60" t="s">
        <v>50</v>
      </c>
      <c r="D37" s="61">
        <v>46034.0</v>
      </c>
      <c r="E37" s="62" t="str">
        <f t="shared" si="1"/>
        <v>2026</v>
      </c>
      <c r="F37" s="62" t="str">
        <f t="shared" si="2"/>
        <v>01 Jan</v>
      </c>
      <c r="G37" s="63">
        <v>100000.0</v>
      </c>
      <c r="H37" s="60" t="s">
        <v>32</v>
      </c>
      <c r="I37" s="64" t="s">
        <v>79</v>
      </c>
      <c r="J37" s="64" t="s">
        <v>74</v>
      </c>
      <c r="K37" s="66" t="b">
        <v>1</v>
      </c>
      <c r="L37" s="66"/>
      <c r="M37" s="67"/>
    </row>
    <row r="38" ht="22.5" customHeight="1">
      <c r="B38" s="59">
        <v>357.0</v>
      </c>
      <c r="C38" s="60" t="s">
        <v>50</v>
      </c>
      <c r="D38" s="61">
        <v>46034.0</v>
      </c>
      <c r="E38" s="62" t="str">
        <f t="shared" si="1"/>
        <v>2026</v>
      </c>
      <c r="F38" s="62" t="str">
        <f t="shared" si="2"/>
        <v>01 Jan</v>
      </c>
      <c r="G38" s="63">
        <v>200000.0</v>
      </c>
      <c r="H38" s="60" t="s">
        <v>32</v>
      </c>
      <c r="I38" s="64" t="s">
        <v>85</v>
      </c>
      <c r="J38" s="64" t="s">
        <v>74</v>
      </c>
      <c r="K38" s="66" t="b">
        <v>1</v>
      </c>
      <c r="L38" s="66"/>
      <c r="M38" s="67"/>
    </row>
    <row r="39" ht="22.5" customHeight="1">
      <c r="B39" s="59">
        <v>358.0</v>
      </c>
      <c r="C39" s="60" t="s">
        <v>50</v>
      </c>
      <c r="D39" s="61">
        <v>46035.0</v>
      </c>
      <c r="E39" s="62" t="str">
        <f t="shared" si="1"/>
        <v>2026</v>
      </c>
      <c r="F39" s="62" t="str">
        <f t="shared" si="2"/>
        <v>01 Jan</v>
      </c>
      <c r="G39" s="63">
        <v>200000.0</v>
      </c>
      <c r="H39" s="60" t="s">
        <v>32</v>
      </c>
      <c r="I39" s="64" t="s">
        <v>103</v>
      </c>
      <c r="J39" s="64" t="s">
        <v>74</v>
      </c>
      <c r="K39" s="66" t="b">
        <v>1</v>
      </c>
      <c r="L39" s="66"/>
      <c r="M39" s="67"/>
    </row>
    <row r="40" ht="22.5" customHeight="1">
      <c r="B40" s="59">
        <v>359.0</v>
      </c>
      <c r="C40" s="60" t="s">
        <v>79</v>
      </c>
      <c r="D40" s="61">
        <v>46035.0</v>
      </c>
      <c r="E40" s="62" t="str">
        <f t="shared" si="1"/>
        <v>2026</v>
      </c>
      <c r="F40" s="62" t="str">
        <f t="shared" si="2"/>
        <v>01 Jan</v>
      </c>
      <c r="G40" s="63">
        <v>100000.0</v>
      </c>
      <c r="H40" s="60" t="s">
        <v>32</v>
      </c>
      <c r="I40" s="64" t="s">
        <v>126</v>
      </c>
      <c r="J40" s="64" t="s">
        <v>78</v>
      </c>
      <c r="K40" s="66" t="b">
        <v>1</v>
      </c>
      <c r="L40" s="66"/>
      <c r="M40" s="67"/>
    </row>
    <row r="41" ht="22.5" customHeight="1">
      <c r="B41" s="59">
        <v>360.0</v>
      </c>
      <c r="C41" s="60" t="s">
        <v>79</v>
      </c>
      <c r="D41" s="61">
        <v>46035.0</v>
      </c>
      <c r="E41" s="62" t="str">
        <f t="shared" si="1"/>
        <v>2026</v>
      </c>
      <c r="F41" s="62" t="str">
        <f t="shared" si="2"/>
        <v>01 Jan</v>
      </c>
      <c r="G41" s="63">
        <v>100000.0</v>
      </c>
      <c r="H41" s="60" t="s">
        <v>32</v>
      </c>
      <c r="I41" s="64" t="s">
        <v>127</v>
      </c>
      <c r="J41" s="64" t="s">
        <v>74</v>
      </c>
      <c r="K41" s="66" t="b">
        <v>1</v>
      </c>
      <c r="L41" s="66"/>
      <c r="M41" s="67"/>
    </row>
    <row r="42" ht="22.5" customHeight="1">
      <c r="B42" s="59">
        <v>361.0</v>
      </c>
      <c r="C42" s="60" t="s">
        <v>79</v>
      </c>
      <c r="D42" s="61">
        <v>46035.0</v>
      </c>
      <c r="E42" s="62" t="s">
        <v>23</v>
      </c>
      <c r="F42" s="62" t="s">
        <v>128</v>
      </c>
      <c r="G42" s="63">
        <v>200000.0</v>
      </c>
      <c r="H42" s="60" t="s">
        <v>32</v>
      </c>
      <c r="I42" s="64" t="s">
        <v>129</v>
      </c>
      <c r="J42" s="64" t="s">
        <v>74</v>
      </c>
      <c r="K42" s="66" t="b">
        <v>1</v>
      </c>
      <c r="L42" s="66"/>
      <c r="M42" s="67"/>
    </row>
    <row r="43" ht="22.5" customHeight="1">
      <c r="B43" s="59">
        <v>362.0</v>
      </c>
      <c r="C43" s="60" t="s">
        <v>79</v>
      </c>
      <c r="D43" s="61">
        <v>46036.0</v>
      </c>
      <c r="E43" s="62" t="str">
        <f t="shared" ref="E43:E62" si="3">if(D43="","",text(D43,"yyyy"))</f>
        <v>2026</v>
      </c>
      <c r="F43" s="62" t="str">
        <f t="shared" ref="F43:F62" si="4">if(D43="","",text(D43,"mm")&amp;" "&amp;text(D43,"mmm"))</f>
        <v>01 Jan</v>
      </c>
      <c r="G43" s="63">
        <v>50000.0</v>
      </c>
      <c r="H43" s="60" t="s">
        <v>32</v>
      </c>
      <c r="I43" s="64" t="s">
        <v>130</v>
      </c>
      <c r="J43" s="64" t="s">
        <v>78</v>
      </c>
      <c r="K43" s="66" t="b">
        <v>1</v>
      </c>
      <c r="L43" s="66"/>
      <c r="M43" s="67"/>
    </row>
    <row r="44" ht="22.5" customHeight="1">
      <c r="B44" s="59">
        <v>363.0</v>
      </c>
      <c r="C44" s="60" t="s">
        <v>50</v>
      </c>
      <c r="D44" s="61">
        <v>46036.0</v>
      </c>
      <c r="E44" s="62" t="str">
        <f t="shared" si="3"/>
        <v>2026</v>
      </c>
      <c r="F44" s="62" t="str">
        <f t="shared" si="4"/>
        <v>01 Jan</v>
      </c>
      <c r="G44" s="63">
        <v>50000.0</v>
      </c>
      <c r="H44" s="60" t="s">
        <v>32</v>
      </c>
      <c r="I44" s="64" t="s">
        <v>50</v>
      </c>
      <c r="J44" s="64" t="s">
        <v>74</v>
      </c>
      <c r="K44" s="66" t="b">
        <v>1</v>
      </c>
      <c r="L44" s="66"/>
      <c r="M44" s="67"/>
    </row>
    <row r="45" ht="22.5" customHeight="1">
      <c r="B45" s="59">
        <v>364.0</v>
      </c>
      <c r="C45" s="60" t="s">
        <v>50</v>
      </c>
      <c r="D45" s="61">
        <v>46036.0</v>
      </c>
      <c r="E45" s="62" t="str">
        <f t="shared" si="3"/>
        <v>2026</v>
      </c>
      <c r="F45" s="62" t="str">
        <f t="shared" si="4"/>
        <v>01 Jan</v>
      </c>
      <c r="G45" s="63">
        <v>200000.0</v>
      </c>
      <c r="H45" s="60" t="s">
        <v>32</v>
      </c>
      <c r="I45" s="64" t="s">
        <v>85</v>
      </c>
      <c r="J45" s="64" t="s">
        <v>74</v>
      </c>
      <c r="K45" s="66" t="b">
        <v>1</v>
      </c>
      <c r="L45" s="66"/>
      <c r="M45" s="67"/>
    </row>
    <row r="46" ht="22.5" customHeight="1">
      <c r="B46" s="59">
        <v>365.0</v>
      </c>
      <c r="C46" s="60" t="s">
        <v>50</v>
      </c>
      <c r="D46" s="61">
        <v>46037.0</v>
      </c>
      <c r="E46" s="62" t="str">
        <f t="shared" si="3"/>
        <v>2026</v>
      </c>
      <c r="F46" s="62" t="str">
        <f t="shared" si="4"/>
        <v>01 Jan</v>
      </c>
      <c r="G46" s="63">
        <v>50000.0</v>
      </c>
      <c r="H46" s="60" t="s">
        <v>32</v>
      </c>
      <c r="I46" s="64" t="s">
        <v>133</v>
      </c>
      <c r="J46" s="64" t="s">
        <v>134</v>
      </c>
      <c r="K46" s="66" t="b">
        <v>1</v>
      </c>
      <c r="L46" s="66"/>
      <c r="M46" s="67"/>
    </row>
    <row r="47" ht="22.5" customHeight="1">
      <c r="B47" s="59">
        <v>366.0</v>
      </c>
      <c r="C47" s="60" t="s">
        <v>50</v>
      </c>
      <c r="D47" s="61">
        <v>46037.0</v>
      </c>
      <c r="E47" s="62" t="str">
        <f t="shared" si="3"/>
        <v>2026</v>
      </c>
      <c r="F47" s="62" t="str">
        <f t="shared" si="4"/>
        <v>01 Jan</v>
      </c>
      <c r="G47" s="63">
        <v>100000.0</v>
      </c>
      <c r="H47" s="60" t="s">
        <v>32</v>
      </c>
      <c r="I47" s="64" t="s">
        <v>135</v>
      </c>
      <c r="J47" s="64" t="s">
        <v>134</v>
      </c>
      <c r="K47" s="66" t="b">
        <v>1</v>
      </c>
      <c r="L47" s="66"/>
      <c r="M47" s="67"/>
    </row>
    <row r="48" ht="22.5" customHeight="1">
      <c r="B48" s="59">
        <v>367.0</v>
      </c>
      <c r="C48" s="60" t="s">
        <v>50</v>
      </c>
      <c r="D48" s="61">
        <v>46037.0</v>
      </c>
      <c r="E48" s="62" t="str">
        <f t="shared" si="3"/>
        <v>2026</v>
      </c>
      <c r="F48" s="62" t="str">
        <f t="shared" si="4"/>
        <v>01 Jan</v>
      </c>
      <c r="G48" s="63">
        <v>100000.0</v>
      </c>
      <c r="H48" s="60" t="s">
        <v>32</v>
      </c>
      <c r="I48" s="64" t="s">
        <v>50</v>
      </c>
      <c r="J48" s="64" t="s">
        <v>74</v>
      </c>
      <c r="K48" s="66" t="b">
        <v>1</v>
      </c>
      <c r="L48" s="66"/>
      <c r="M48" s="67"/>
    </row>
    <row r="49" ht="22.5" customHeight="1">
      <c r="B49" s="59">
        <v>368.0</v>
      </c>
      <c r="C49" s="60" t="s">
        <v>50</v>
      </c>
      <c r="D49" s="61">
        <v>46039.0</v>
      </c>
      <c r="E49" s="62" t="str">
        <f t="shared" si="3"/>
        <v>2026</v>
      </c>
      <c r="F49" s="62" t="str">
        <f t="shared" si="4"/>
        <v>01 Jan</v>
      </c>
      <c r="G49" s="63">
        <v>15000.0</v>
      </c>
      <c r="H49" s="60" t="s">
        <v>32</v>
      </c>
      <c r="I49" s="64" t="s">
        <v>90</v>
      </c>
      <c r="J49" s="64" t="s">
        <v>78</v>
      </c>
      <c r="K49" s="66" t="b">
        <v>1</v>
      </c>
      <c r="L49" s="66"/>
      <c r="M49" s="67"/>
    </row>
    <row r="50" ht="22.5" customHeight="1">
      <c r="B50" s="59">
        <v>369.0</v>
      </c>
      <c r="C50" s="60" t="s">
        <v>50</v>
      </c>
      <c r="D50" s="61">
        <v>46039.0</v>
      </c>
      <c r="E50" s="62" t="str">
        <f t="shared" si="3"/>
        <v>2026</v>
      </c>
      <c r="F50" s="62" t="str">
        <f t="shared" si="4"/>
        <v>01 Jan</v>
      </c>
      <c r="G50" s="63">
        <v>100000.0</v>
      </c>
      <c r="H50" s="60" t="s">
        <v>32</v>
      </c>
      <c r="I50" s="64" t="s">
        <v>79</v>
      </c>
      <c r="J50" s="64" t="s">
        <v>74</v>
      </c>
      <c r="K50" s="66" t="b">
        <v>1</v>
      </c>
      <c r="L50" s="66"/>
      <c r="M50" s="67"/>
    </row>
    <row r="51" ht="22.5" customHeight="1">
      <c r="B51" s="59">
        <v>370.0</v>
      </c>
      <c r="C51" s="60" t="s">
        <v>50</v>
      </c>
      <c r="D51" s="61">
        <v>46039.0</v>
      </c>
      <c r="E51" s="62" t="str">
        <f t="shared" si="3"/>
        <v>2026</v>
      </c>
      <c r="F51" s="62" t="str">
        <f t="shared" si="4"/>
        <v>01 Jan</v>
      </c>
      <c r="G51" s="63">
        <v>300000.0</v>
      </c>
      <c r="H51" s="60" t="s">
        <v>32</v>
      </c>
      <c r="I51" s="64" t="s">
        <v>103</v>
      </c>
      <c r="J51" s="64" t="s">
        <v>74</v>
      </c>
      <c r="K51" s="66" t="b">
        <v>1</v>
      </c>
      <c r="L51" s="66"/>
      <c r="M51" s="67"/>
    </row>
    <row r="52" ht="22.5" customHeight="1">
      <c r="B52" s="59">
        <v>371.0</v>
      </c>
      <c r="C52" s="60" t="s">
        <v>50</v>
      </c>
      <c r="D52" s="61">
        <v>46039.0</v>
      </c>
      <c r="E52" s="62" t="str">
        <f t="shared" si="3"/>
        <v>2026</v>
      </c>
      <c r="F52" s="62" t="str">
        <f t="shared" si="4"/>
        <v>01 Jan</v>
      </c>
      <c r="G52" s="63">
        <v>50000.0</v>
      </c>
      <c r="H52" s="60" t="s">
        <v>32</v>
      </c>
      <c r="I52" s="64" t="s">
        <v>140</v>
      </c>
      <c r="J52" s="64" t="s">
        <v>72</v>
      </c>
      <c r="K52" s="66" t="b">
        <v>1</v>
      </c>
      <c r="L52" s="66"/>
      <c r="M52" s="67"/>
    </row>
    <row r="53" ht="22.5" customHeight="1">
      <c r="B53" s="59">
        <v>372.0</v>
      </c>
      <c r="C53" s="60" t="s">
        <v>79</v>
      </c>
      <c r="D53" s="61">
        <v>46040.0</v>
      </c>
      <c r="E53" s="62" t="str">
        <f t="shared" si="3"/>
        <v>2026</v>
      </c>
      <c r="F53" s="62" t="str">
        <f t="shared" si="4"/>
        <v>01 Jan</v>
      </c>
      <c r="G53" s="63">
        <v>80000.0</v>
      </c>
      <c r="H53" s="60" t="s">
        <v>32</v>
      </c>
      <c r="I53" s="64" t="s">
        <v>142</v>
      </c>
      <c r="J53" s="64" t="s">
        <v>78</v>
      </c>
      <c r="K53" s="66" t="b">
        <v>1</v>
      </c>
      <c r="L53" s="66"/>
      <c r="M53" s="67"/>
    </row>
    <row r="54" ht="22.5" customHeight="1">
      <c r="B54" s="59">
        <v>373.0</v>
      </c>
      <c r="C54" s="60" t="s">
        <v>79</v>
      </c>
      <c r="D54" s="61">
        <v>46040.0</v>
      </c>
      <c r="E54" s="62" t="str">
        <f t="shared" si="3"/>
        <v>2026</v>
      </c>
      <c r="F54" s="62" t="str">
        <f t="shared" si="4"/>
        <v>01 Jan</v>
      </c>
      <c r="G54" s="63">
        <v>50000.0</v>
      </c>
      <c r="H54" s="60" t="s">
        <v>32</v>
      </c>
      <c r="I54" s="64" t="s">
        <v>143</v>
      </c>
      <c r="J54" s="64" t="s">
        <v>78</v>
      </c>
      <c r="K54" s="66" t="b">
        <v>1</v>
      </c>
      <c r="L54" s="66"/>
      <c r="M54" s="67"/>
    </row>
    <row r="55" ht="22.5" customHeight="1">
      <c r="B55" s="59">
        <v>374.0</v>
      </c>
      <c r="C55" s="60" t="s">
        <v>79</v>
      </c>
      <c r="D55" s="61">
        <v>46040.0</v>
      </c>
      <c r="E55" s="62" t="str">
        <f t="shared" si="3"/>
        <v>2026</v>
      </c>
      <c r="F55" s="62" t="str">
        <f t="shared" si="4"/>
        <v>01 Jan</v>
      </c>
      <c r="G55" s="63">
        <v>150000.0</v>
      </c>
      <c r="H55" s="60" t="s">
        <v>32</v>
      </c>
      <c r="I55" s="64" t="s">
        <v>144</v>
      </c>
      <c r="J55" s="64" t="s">
        <v>78</v>
      </c>
      <c r="K55" s="66" t="b">
        <v>1</v>
      </c>
      <c r="L55" s="66"/>
      <c r="M55" s="67"/>
    </row>
    <row r="56" ht="22.5" customHeight="1">
      <c r="B56" s="59">
        <v>375.0</v>
      </c>
      <c r="C56" s="60" t="s">
        <v>79</v>
      </c>
      <c r="D56" s="61">
        <v>46040.0</v>
      </c>
      <c r="E56" s="62" t="str">
        <f t="shared" si="3"/>
        <v>2026</v>
      </c>
      <c r="F56" s="62" t="str">
        <f t="shared" si="4"/>
        <v>01 Jan</v>
      </c>
      <c r="G56" s="63">
        <v>100000.0</v>
      </c>
      <c r="H56" s="60" t="s">
        <v>32</v>
      </c>
      <c r="I56" s="64" t="s">
        <v>146</v>
      </c>
      <c r="J56" s="64" t="s">
        <v>74</v>
      </c>
      <c r="K56" s="66" t="b">
        <v>1</v>
      </c>
      <c r="L56" s="66"/>
      <c r="M56" s="67"/>
    </row>
    <row r="57" ht="22.5" customHeight="1">
      <c r="B57" s="59">
        <v>376.0</v>
      </c>
      <c r="C57" s="60" t="s">
        <v>50</v>
      </c>
      <c r="D57" s="61">
        <v>46040.0</v>
      </c>
      <c r="E57" s="62" t="str">
        <f t="shared" si="3"/>
        <v>2026</v>
      </c>
      <c r="F57" s="62" t="str">
        <f t="shared" si="4"/>
        <v>01 Jan</v>
      </c>
      <c r="G57" s="63">
        <v>200000.0</v>
      </c>
      <c r="H57" s="60" t="s">
        <v>32</v>
      </c>
      <c r="I57" s="64" t="s">
        <v>103</v>
      </c>
      <c r="J57" s="64" t="s">
        <v>74</v>
      </c>
      <c r="K57" s="66" t="b">
        <v>1</v>
      </c>
      <c r="L57" s="66"/>
      <c r="M57" s="67"/>
    </row>
    <row r="58" ht="22.5" customHeight="1">
      <c r="B58" s="59">
        <v>377.0</v>
      </c>
      <c r="C58" s="60" t="s">
        <v>79</v>
      </c>
      <c r="D58" s="61">
        <v>46040.0</v>
      </c>
      <c r="E58" s="62" t="str">
        <f t="shared" si="3"/>
        <v>2026</v>
      </c>
      <c r="F58" s="62" t="str">
        <f t="shared" si="4"/>
        <v>01 Jan</v>
      </c>
      <c r="G58" s="63">
        <v>900000.0</v>
      </c>
      <c r="H58" s="60" t="s">
        <v>32</v>
      </c>
      <c r="I58" s="64" t="s">
        <v>148</v>
      </c>
      <c r="J58" s="64" t="s">
        <v>78</v>
      </c>
      <c r="K58" s="66" t="b">
        <v>1</v>
      </c>
      <c r="L58" s="66"/>
      <c r="M58" s="67"/>
    </row>
    <row r="59" ht="22.5" customHeight="1">
      <c r="B59" s="59">
        <v>378.0</v>
      </c>
      <c r="C59" s="60" t="s">
        <v>50</v>
      </c>
      <c r="D59" s="61">
        <v>46041.0</v>
      </c>
      <c r="E59" s="62" t="str">
        <f t="shared" si="3"/>
        <v>2026</v>
      </c>
      <c r="F59" s="62" t="str">
        <f t="shared" si="4"/>
        <v>01 Jan</v>
      </c>
      <c r="G59" s="63">
        <v>100000.0</v>
      </c>
      <c r="H59" s="60" t="s">
        <v>32</v>
      </c>
      <c r="I59" s="64" t="s">
        <v>149</v>
      </c>
      <c r="J59" s="64" t="s">
        <v>74</v>
      </c>
      <c r="K59" s="66" t="b">
        <v>1</v>
      </c>
      <c r="L59" s="66"/>
      <c r="M59" s="67"/>
    </row>
    <row r="60" ht="22.5" customHeight="1">
      <c r="B60" s="59">
        <v>379.0</v>
      </c>
      <c r="C60" s="60" t="s">
        <v>50</v>
      </c>
      <c r="D60" s="61">
        <v>46041.0</v>
      </c>
      <c r="E60" s="62" t="str">
        <f t="shared" si="3"/>
        <v>2026</v>
      </c>
      <c r="F60" s="62" t="str">
        <f t="shared" si="4"/>
        <v>01 Jan</v>
      </c>
      <c r="G60" s="63">
        <v>200000.0</v>
      </c>
      <c r="H60" s="60" t="s">
        <v>32</v>
      </c>
      <c r="I60" s="64" t="s">
        <v>103</v>
      </c>
      <c r="J60" s="64" t="s">
        <v>74</v>
      </c>
      <c r="K60" s="66" t="b">
        <v>1</v>
      </c>
      <c r="L60" s="66"/>
      <c r="M60" s="67"/>
    </row>
    <row r="61" ht="22.5" customHeight="1">
      <c r="B61" s="59">
        <v>380.0</v>
      </c>
      <c r="C61" s="60" t="s">
        <v>50</v>
      </c>
      <c r="D61" s="61">
        <v>46042.0</v>
      </c>
      <c r="E61" s="62" t="str">
        <f t="shared" si="3"/>
        <v>2026</v>
      </c>
      <c r="F61" s="62" t="str">
        <f t="shared" si="4"/>
        <v>01 Jan</v>
      </c>
      <c r="G61" s="63">
        <v>14000.0</v>
      </c>
      <c r="H61" s="60" t="s">
        <v>32</v>
      </c>
      <c r="I61" s="64" t="s">
        <v>152</v>
      </c>
      <c r="J61" s="64" t="s">
        <v>78</v>
      </c>
      <c r="K61" s="66" t="b">
        <v>1</v>
      </c>
      <c r="L61" s="66"/>
      <c r="M61" s="67"/>
    </row>
    <row r="62" ht="22.5" customHeight="1">
      <c r="B62" s="59">
        <v>381.0</v>
      </c>
      <c r="C62" s="60" t="s">
        <v>79</v>
      </c>
      <c r="D62" s="61">
        <v>46042.0</v>
      </c>
      <c r="E62" s="62" t="str">
        <f t="shared" si="3"/>
        <v>2026</v>
      </c>
      <c r="F62" s="62" t="str">
        <f t="shared" si="4"/>
        <v>01 Jan</v>
      </c>
      <c r="G62" s="63">
        <v>100000.0</v>
      </c>
      <c r="H62" s="60" t="s">
        <v>32</v>
      </c>
      <c r="I62" s="64" t="s">
        <v>153</v>
      </c>
      <c r="J62" s="64" t="s">
        <v>74</v>
      </c>
      <c r="K62" s="66" t="b">
        <v>1</v>
      </c>
      <c r="L62" s="66"/>
      <c r="M62" s="67"/>
    </row>
    <row r="63" ht="22.5" customHeight="1">
      <c r="B63" s="59">
        <v>382.0</v>
      </c>
      <c r="C63" s="60" t="s">
        <v>79</v>
      </c>
      <c r="D63" s="61">
        <v>46042.0</v>
      </c>
      <c r="E63" s="62" t="s">
        <v>23</v>
      </c>
      <c r="F63" s="62" t="s">
        <v>128</v>
      </c>
      <c r="G63" s="63">
        <v>50000.0</v>
      </c>
      <c r="H63" s="60" t="s">
        <v>32</v>
      </c>
      <c r="I63" s="64" t="s">
        <v>154</v>
      </c>
      <c r="J63" s="64" t="s">
        <v>74</v>
      </c>
      <c r="K63" s="66" t="b">
        <v>1</v>
      </c>
      <c r="L63" s="66"/>
      <c r="M63" s="67"/>
    </row>
    <row r="64" ht="22.5" customHeight="1">
      <c r="B64" s="59">
        <v>383.0</v>
      </c>
      <c r="C64" s="60" t="s">
        <v>79</v>
      </c>
      <c r="D64" s="61">
        <v>46042.0</v>
      </c>
      <c r="E64" s="62" t="s">
        <v>23</v>
      </c>
      <c r="F64" s="62" t="s">
        <v>128</v>
      </c>
      <c r="G64" s="63">
        <v>100000.0</v>
      </c>
      <c r="H64" s="60" t="s">
        <v>32</v>
      </c>
      <c r="I64" s="64" t="s">
        <v>158</v>
      </c>
      <c r="J64" s="64" t="s">
        <v>74</v>
      </c>
      <c r="K64" s="66" t="b">
        <v>1</v>
      </c>
      <c r="L64" s="66"/>
      <c r="M64" s="67"/>
    </row>
    <row r="65" ht="22.5" customHeight="1">
      <c r="B65" s="59">
        <v>384.0</v>
      </c>
      <c r="C65" s="60" t="s">
        <v>79</v>
      </c>
      <c r="D65" s="61">
        <v>46042.0</v>
      </c>
      <c r="E65" s="62" t="str">
        <f>if(D65="","",text(D65,"yyyy"))</f>
        <v>2026</v>
      </c>
      <c r="F65" s="62" t="str">
        <f>if(D65="","",text(D65,"mm")&amp;" "&amp;text(D65,"mmm"))</f>
        <v>01 Jan</v>
      </c>
      <c r="G65" s="63">
        <v>400000.0</v>
      </c>
      <c r="H65" s="60" t="s">
        <v>32</v>
      </c>
      <c r="I65" s="64" t="s">
        <v>160</v>
      </c>
      <c r="J65" s="64" t="s">
        <v>74</v>
      </c>
      <c r="K65" s="66" t="b">
        <v>1</v>
      </c>
      <c r="L65" s="66"/>
      <c r="M65" s="67"/>
    </row>
    <row r="66" ht="22.5" customHeight="1">
      <c r="B66" s="59">
        <v>385.0</v>
      </c>
      <c r="C66" s="60" t="s">
        <v>79</v>
      </c>
      <c r="D66" s="61">
        <v>46042.0</v>
      </c>
      <c r="E66" s="62" t="s">
        <v>23</v>
      </c>
      <c r="F66" s="62" t="s">
        <v>128</v>
      </c>
      <c r="G66" s="63">
        <v>86000.0</v>
      </c>
      <c r="H66" s="60" t="s">
        <v>32</v>
      </c>
      <c r="I66" s="64" t="s">
        <v>165</v>
      </c>
      <c r="J66" s="64" t="s">
        <v>74</v>
      </c>
      <c r="K66" s="66" t="b">
        <v>1</v>
      </c>
      <c r="L66" s="66"/>
      <c r="M66" s="67"/>
    </row>
    <row r="67" ht="22.5" customHeight="1">
      <c r="B67" s="59">
        <v>386.0</v>
      </c>
      <c r="C67" s="60" t="s">
        <v>50</v>
      </c>
      <c r="D67" s="61">
        <v>46043.0</v>
      </c>
      <c r="E67" s="62"/>
      <c r="F67" s="62"/>
      <c r="G67" s="63">
        <v>100000.0</v>
      </c>
      <c r="H67" s="60" t="s">
        <v>32</v>
      </c>
      <c r="I67" s="64" t="s">
        <v>96</v>
      </c>
      <c r="J67" s="64" t="s">
        <v>74</v>
      </c>
      <c r="K67" s="66" t="b">
        <v>1</v>
      </c>
      <c r="L67" s="66"/>
      <c r="M67" s="67"/>
    </row>
    <row r="68" ht="22.5" customHeight="1">
      <c r="B68" s="59">
        <v>387.0</v>
      </c>
      <c r="C68" s="60" t="s">
        <v>50</v>
      </c>
      <c r="D68" s="61">
        <v>46043.0</v>
      </c>
      <c r="E68" s="62" t="str">
        <f t="shared" ref="E68:E214" si="5">if(D68="","",text(D68,"yyyy"))</f>
        <v>2026</v>
      </c>
      <c r="F68" s="62" t="str">
        <f t="shared" ref="F68:F214" si="6">if(D68="","",text(D68,"mm")&amp;" "&amp;text(D68,"mmm"))</f>
        <v>01 Jan</v>
      </c>
      <c r="G68" s="63">
        <v>200000.0</v>
      </c>
      <c r="H68" s="60" t="s">
        <v>32</v>
      </c>
      <c r="I68" s="64" t="s">
        <v>85</v>
      </c>
      <c r="J68" s="64" t="s">
        <v>74</v>
      </c>
      <c r="K68" s="66" t="b">
        <v>1</v>
      </c>
      <c r="L68" s="66"/>
      <c r="M68" s="67"/>
    </row>
    <row r="69" ht="22.5" customHeight="1">
      <c r="B69" s="59">
        <v>388.0</v>
      </c>
      <c r="C69" s="60" t="s">
        <v>50</v>
      </c>
      <c r="D69" s="61">
        <v>46043.0</v>
      </c>
      <c r="E69" s="62" t="str">
        <f t="shared" si="5"/>
        <v>2026</v>
      </c>
      <c r="F69" s="62" t="str">
        <f t="shared" si="6"/>
        <v>01 Jan</v>
      </c>
      <c r="G69" s="63">
        <v>400000.0</v>
      </c>
      <c r="H69" s="60" t="s">
        <v>32</v>
      </c>
      <c r="I69" s="64" t="s">
        <v>169</v>
      </c>
      <c r="J69" s="64" t="s">
        <v>78</v>
      </c>
      <c r="K69" s="66" t="b">
        <v>1</v>
      </c>
      <c r="L69" s="66"/>
      <c r="M69" s="67"/>
    </row>
    <row r="70" ht="22.5" customHeight="1">
      <c r="B70" s="59">
        <v>389.0</v>
      </c>
      <c r="C70" s="60" t="s">
        <v>50</v>
      </c>
      <c r="D70" s="61">
        <v>46044.0</v>
      </c>
      <c r="E70" s="62" t="str">
        <f t="shared" si="5"/>
        <v>2026</v>
      </c>
      <c r="F70" s="62" t="str">
        <f t="shared" si="6"/>
        <v>01 Jan</v>
      </c>
      <c r="G70" s="63">
        <v>50000.0</v>
      </c>
      <c r="H70" s="60" t="s">
        <v>32</v>
      </c>
      <c r="I70" s="64" t="s">
        <v>171</v>
      </c>
      <c r="J70" s="64" t="s">
        <v>78</v>
      </c>
      <c r="K70" s="66" t="b">
        <v>1</v>
      </c>
      <c r="L70" s="66"/>
      <c r="M70" s="67"/>
    </row>
    <row r="71" ht="22.5" customHeight="1">
      <c r="B71" s="59">
        <v>390.0</v>
      </c>
      <c r="C71" s="60" t="s">
        <v>50</v>
      </c>
      <c r="D71" s="61">
        <v>46044.0</v>
      </c>
      <c r="E71" s="62" t="str">
        <f t="shared" si="5"/>
        <v>2026</v>
      </c>
      <c r="F71" s="62" t="str">
        <f t="shared" si="6"/>
        <v>01 Jan</v>
      </c>
      <c r="G71" s="63">
        <v>100000.0</v>
      </c>
      <c r="H71" s="60" t="s">
        <v>32</v>
      </c>
      <c r="I71" s="64" t="s">
        <v>50</v>
      </c>
      <c r="J71" s="64" t="s">
        <v>74</v>
      </c>
      <c r="K71" s="66" t="b">
        <v>1</v>
      </c>
      <c r="L71" s="66"/>
      <c r="M71" s="67"/>
    </row>
    <row r="72" ht="22.5" customHeight="1">
      <c r="B72" s="59">
        <v>391.0</v>
      </c>
      <c r="C72" s="60" t="s">
        <v>50</v>
      </c>
      <c r="D72" s="61">
        <v>46044.0</v>
      </c>
      <c r="E72" s="62" t="str">
        <f t="shared" si="5"/>
        <v>2026</v>
      </c>
      <c r="F72" s="62" t="str">
        <f t="shared" si="6"/>
        <v>01 Jan</v>
      </c>
      <c r="G72" s="63">
        <v>50000.0</v>
      </c>
      <c r="H72" s="60" t="s">
        <v>32</v>
      </c>
      <c r="I72" s="64" t="s">
        <v>96</v>
      </c>
      <c r="J72" s="64" t="s">
        <v>74</v>
      </c>
      <c r="K72" s="66" t="b">
        <v>1</v>
      </c>
      <c r="L72" s="66"/>
      <c r="M72" s="67"/>
    </row>
    <row r="73" ht="22.5" customHeight="1">
      <c r="B73" s="59">
        <v>392.0</v>
      </c>
      <c r="C73" s="60" t="s">
        <v>50</v>
      </c>
      <c r="D73" s="61">
        <v>46044.0</v>
      </c>
      <c r="E73" s="62" t="str">
        <f t="shared" si="5"/>
        <v>2026</v>
      </c>
      <c r="F73" s="62" t="str">
        <f t="shared" si="6"/>
        <v>01 Jan</v>
      </c>
      <c r="G73" s="63">
        <v>38000.0</v>
      </c>
      <c r="H73" s="60" t="s">
        <v>32</v>
      </c>
      <c r="I73" s="64" t="s">
        <v>175</v>
      </c>
      <c r="J73" s="64" t="s">
        <v>74</v>
      </c>
      <c r="K73" s="66" t="b">
        <v>1</v>
      </c>
      <c r="L73" s="66"/>
      <c r="M73" s="67"/>
    </row>
    <row r="74" ht="22.5" customHeight="1">
      <c r="B74" s="59">
        <v>393.0</v>
      </c>
      <c r="C74" s="60" t="s">
        <v>50</v>
      </c>
      <c r="D74" s="61">
        <v>46046.0</v>
      </c>
      <c r="E74" s="62" t="str">
        <f t="shared" si="5"/>
        <v>2026</v>
      </c>
      <c r="F74" s="62" t="str">
        <f t="shared" si="6"/>
        <v>01 Jan</v>
      </c>
      <c r="G74" s="63">
        <v>15000.0</v>
      </c>
      <c r="H74" s="60" t="s">
        <v>32</v>
      </c>
      <c r="I74" s="64" t="s">
        <v>90</v>
      </c>
      <c r="J74" s="64" t="s">
        <v>78</v>
      </c>
      <c r="K74" s="66" t="b">
        <v>1</v>
      </c>
      <c r="L74" s="66"/>
      <c r="M74" s="67"/>
    </row>
    <row r="75" ht="22.5" customHeight="1">
      <c r="B75" s="59">
        <v>394.0</v>
      </c>
      <c r="C75" s="60" t="s">
        <v>50</v>
      </c>
      <c r="D75" s="61">
        <v>46047.0</v>
      </c>
      <c r="E75" s="62" t="str">
        <f t="shared" si="5"/>
        <v>2026</v>
      </c>
      <c r="F75" s="62" t="str">
        <f t="shared" si="6"/>
        <v>01 Jan</v>
      </c>
      <c r="G75" s="63">
        <v>11000.0</v>
      </c>
      <c r="H75" s="60" t="s">
        <v>32</v>
      </c>
      <c r="I75" s="64" t="s">
        <v>76</v>
      </c>
      <c r="J75" s="64" t="s">
        <v>74</v>
      </c>
      <c r="K75" s="66" t="b">
        <v>1</v>
      </c>
      <c r="L75" s="66"/>
      <c r="M75" s="67"/>
    </row>
    <row r="76" ht="22.5" customHeight="1">
      <c r="B76" s="59">
        <v>395.0</v>
      </c>
      <c r="C76" s="60" t="s">
        <v>79</v>
      </c>
      <c r="D76" s="61">
        <v>46048.0</v>
      </c>
      <c r="E76" s="62" t="str">
        <f t="shared" si="5"/>
        <v>2026</v>
      </c>
      <c r="F76" s="62" t="str">
        <f t="shared" si="6"/>
        <v>01 Jan</v>
      </c>
      <c r="G76" s="63">
        <v>300000.0</v>
      </c>
      <c r="H76" s="60" t="s">
        <v>32</v>
      </c>
      <c r="I76" s="64" t="s">
        <v>178</v>
      </c>
      <c r="J76" s="64" t="s">
        <v>78</v>
      </c>
      <c r="K76" s="66" t="b">
        <v>1</v>
      </c>
      <c r="L76" s="66"/>
      <c r="M76" s="67"/>
    </row>
    <row r="77" ht="22.5" customHeight="1">
      <c r="B77" s="59">
        <v>396.0</v>
      </c>
      <c r="C77" s="60" t="s">
        <v>79</v>
      </c>
      <c r="D77" s="61">
        <v>46048.0</v>
      </c>
      <c r="E77" s="62" t="str">
        <f t="shared" si="5"/>
        <v>2026</v>
      </c>
      <c r="F77" s="62" t="str">
        <f t="shared" si="6"/>
        <v>01 Jan</v>
      </c>
      <c r="G77" s="63">
        <v>50000.0</v>
      </c>
      <c r="H77" s="60" t="s">
        <v>32</v>
      </c>
      <c r="I77" s="64" t="s">
        <v>181</v>
      </c>
      <c r="J77" s="64" t="s">
        <v>74</v>
      </c>
      <c r="K77" s="66" t="b">
        <v>1</v>
      </c>
      <c r="L77" s="66"/>
      <c r="M77" s="67"/>
    </row>
    <row r="78" ht="22.5" customHeight="1">
      <c r="B78" s="59">
        <v>397.0</v>
      </c>
      <c r="C78" s="60" t="s">
        <v>50</v>
      </c>
      <c r="D78" s="61">
        <v>46048.0</v>
      </c>
      <c r="E78" s="62" t="str">
        <f t="shared" si="5"/>
        <v>2026</v>
      </c>
      <c r="F78" s="62" t="str">
        <f t="shared" si="6"/>
        <v>01 Jan</v>
      </c>
      <c r="G78" s="63">
        <v>50000.0</v>
      </c>
      <c r="H78" s="60" t="s">
        <v>32</v>
      </c>
      <c r="I78" s="64" t="s">
        <v>149</v>
      </c>
      <c r="J78" s="64" t="s">
        <v>74</v>
      </c>
      <c r="K78" s="66" t="b">
        <v>1</v>
      </c>
      <c r="L78" s="66"/>
      <c r="M78" s="67"/>
    </row>
    <row r="79" ht="22.5" customHeight="1">
      <c r="B79" s="59">
        <v>398.0</v>
      </c>
      <c r="C79" s="60" t="s">
        <v>50</v>
      </c>
      <c r="D79" s="61">
        <v>46049.0</v>
      </c>
      <c r="E79" s="62" t="str">
        <f t="shared" si="5"/>
        <v>2026</v>
      </c>
      <c r="F79" s="62" t="str">
        <f t="shared" si="6"/>
        <v>01 Jan</v>
      </c>
      <c r="G79" s="63">
        <v>50000.0</v>
      </c>
      <c r="H79" s="60" t="s">
        <v>32</v>
      </c>
      <c r="I79" s="64" t="s">
        <v>182</v>
      </c>
      <c r="J79" s="64" t="s">
        <v>74</v>
      </c>
      <c r="K79" s="66" t="b">
        <v>1</v>
      </c>
      <c r="L79" s="66"/>
      <c r="M79" s="67"/>
    </row>
    <row r="80" ht="22.5" customHeight="1">
      <c r="B80" s="59">
        <v>399.0</v>
      </c>
      <c r="C80" s="60" t="s">
        <v>50</v>
      </c>
      <c r="D80" s="61">
        <v>46049.0</v>
      </c>
      <c r="E80" s="62" t="str">
        <f t="shared" si="5"/>
        <v>2026</v>
      </c>
      <c r="F80" s="62" t="str">
        <f t="shared" si="6"/>
        <v>01 Jan</v>
      </c>
      <c r="G80" s="63">
        <v>200000.0</v>
      </c>
      <c r="H80" s="60" t="s">
        <v>32</v>
      </c>
      <c r="I80" s="64" t="s">
        <v>85</v>
      </c>
      <c r="J80" s="64" t="s">
        <v>74</v>
      </c>
      <c r="K80" s="66" t="b">
        <v>1</v>
      </c>
      <c r="L80" s="66"/>
      <c r="M80" s="67"/>
    </row>
    <row r="81" ht="22.5" customHeight="1">
      <c r="B81" s="59">
        <v>400.0</v>
      </c>
      <c r="C81" s="60" t="s">
        <v>50</v>
      </c>
      <c r="D81" s="61">
        <v>46049.0</v>
      </c>
      <c r="E81" s="62" t="str">
        <f t="shared" si="5"/>
        <v>2026</v>
      </c>
      <c r="F81" s="62" t="str">
        <f t="shared" si="6"/>
        <v>01 Jan</v>
      </c>
      <c r="G81" s="63">
        <v>50000.0</v>
      </c>
      <c r="H81" s="60" t="s">
        <v>32</v>
      </c>
      <c r="I81" s="64" t="s">
        <v>184</v>
      </c>
      <c r="J81" s="64" t="s">
        <v>74</v>
      </c>
      <c r="K81" s="66" t="b">
        <v>1</v>
      </c>
      <c r="L81" s="66"/>
      <c r="M81" s="67"/>
    </row>
    <row r="82" ht="22.5" customHeight="1">
      <c r="B82" s="59">
        <v>401.0</v>
      </c>
      <c r="C82" s="60" t="s">
        <v>50</v>
      </c>
      <c r="D82" s="61">
        <v>46049.0</v>
      </c>
      <c r="E82" s="62" t="str">
        <f t="shared" si="5"/>
        <v>2026</v>
      </c>
      <c r="F82" s="62" t="str">
        <f t="shared" si="6"/>
        <v>01 Jan</v>
      </c>
      <c r="G82" s="63">
        <v>50000.0</v>
      </c>
      <c r="H82" s="60" t="s">
        <v>32</v>
      </c>
      <c r="I82" s="64" t="s">
        <v>186</v>
      </c>
      <c r="J82" s="64" t="s">
        <v>33</v>
      </c>
      <c r="K82" s="66" t="b">
        <v>1</v>
      </c>
      <c r="L82" s="66"/>
      <c r="M82" s="67"/>
    </row>
    <row r="83" ht="22.5" customHeight="1">
      <c r="B83" s="59">
        <v>402.0</v>
      </c>
      <c r="C83" s="60" t="s">
        <v>50</v>
      </c>
      <c r="D83" s="61">
        <v>46049.0</v>
      </c>
      <c r="E83" s="62" t="str">
        <f t="shared" si="5"/>
        <v>2026</v>
      </c>
      <c r="F83" s="62" t="str">
        <f t="shared" si="6"/>
        <v>01 Jan</v>
      </c>
      <c r="G83" s="63">
        <v>100000.0</v>
      </c>
      <c r="H83" s="60" t="s">
        <v>32</v>
      </c>
      <c r="I83" s="64" t="s">
        <v>85</v>
      </c>
      <c r="J83" s="64" t="s">
        <v>74</v>
      </c>
      <c r="K83" s="66" t="b">
        <v>1</v>
      </c>
      <c r="L83" s="66"/>
      <c r="M83" s="67"/>
    </row>
    <row r="84" ht="22.5" customHeight="1">
      <c r="B84" s="59">
        <v>403.0</v>
      </c>
      <c r="C84" s="60" t="s">
        <v>79</v>
      </c>
      <c r="D84" s="61">
        <v>46050.0</v>
      </c>
      <c r="E84" s="62" t="str">
        <f t="shared" si="5"/>
        <v>2026</v>
      </c>
      <c r="F84" s="62" t="str">
        <f t="shared" si="6"/>
        <v>01 Jan</v>
      </c>
      <c r="G84" s="63">
        <v>275000.0</v>
      </c>
      <c r="H84" s="60" t="s">
        <v>32</v>
      </c>
      <c r="I84" s="64" t="s">
        <v>188</v>
      </c>
      <c r="J84" s="64" t="s">
        <v>78</v>
      </c>
      <c r="K84" s="66" t="b">
        <v>1</v>
      </c>
      <c r="L84" s="66"/>
      <c r="M84" s="67"/>
    </row>
    <row r="85" ht="22.5" customHeight="1">
      <c r="B85" s="59">
        <v>404.0</v>
      </c>
      <c r="C85" s="60" t="s">
        <v>79</v>
      </c>
      <c r="D85" s="61">
        <v>46050.0</v>
      </c>
      <c r="E85" s="62" t="str">
        <f t="shared" si="5"/>
        <v>2026</v>
      </c>
      <c r="F85" s="62" t="str">
        <f t="shared" si="6"/>
        <v>01 Jan</v>
      </c>
      <c r="G85" s="63">
        <v>100000.0</v>
      </c>
      <c r="H85" s="60" t="s">
        <v>32</v>
      </c>
      <c r="I85" s="64" t="s">
        <v>189</v>
      </c>
      <c r="J85" s="64" t="s">
        <v>189</v>
      </c>
      <c r="K85" s="66" t="b">
        <v>1</v>
      </c>
      <c r="L85" s="66"/>
      <c r="M85" s="67"/>
    </row>
    <row r="86" ht="22.5" customHeight="1">
      <c r="B86" s="59">
        <v>405.0</v>
      </c>
      <c r="C86" s="60" t="s">
        <v>79</v>
      </c>
      <c r="D86" s="61">
        <v>46051.0</v>
      </c>
      <c r="E86" s="62" t="str">
        <f t="shared" si="5"/>
        <v>2026</v>
      </c>
      <c r="F86" s="62" t="str">
        <f t="shared" si="6"/>
        <v>01 Jan</v>
      </c>
      <c r="G86" s="63">
        <v>50000.0</v>
      </c>
      <c r="H86" s="60" t="s">
        <v>32</v>
      </c>
      <c r="I86" s="64" t="s">
        <v>116</v>
      </c>
      <c r="J86" s="64" t="s">
        <v>74</v>
      </c>
      <c r="K86" s="66" t="b">
        <v>1</v>
      </c>
      <c r="L86" s="66"/>
      <c r="M86" s="67"/>
    </row>
    <row r="87" ht="22.5" customHeight="1">
      <c r="B87" s="59">
        <v>406.0</v>
      </c>
      <c r="C87" s="60" t="s">
        <v>79</v>
      </c>
      <c r="D87" s="61">
        <v>46051.0</v>
      </c>
      <c r="E87" s="62" t="str">
        <f t="shared" si="5"/>
        <v>2026</v>
      </c>
      <c r="F87" s="62" t="str">
        <f t="shared" si="6"/>
        <v>01 Jan</v>
      </c>
      <c r="G87" s="63">
        <v>15000.0</v>
      </c>
      <c r="H87" s="60" t="s">
        <v>32</v>
      </c>
      <c r="I87" s="64" t="s">
        <v>90</v>
      </c>
      <c r="J87" s="64" t="s">
        <v>78</v>
      </c>
      <c r="K87" s="66" t="b">
        <v>1</v>
      </c>
      <c r="L87" s="66"/>
      <c r="M87" s="67"/>
    </row>
    <row r="88" ht="22.5" customHeight="1">
      <c r="B88" s="59">
        <v>407.0</v>
      </c>
      <c r="C88" s="60" t="s">
        <v>50</v>
      </c>
      <c r="D88" s="61">
        <v>46051.0</v>
      </c>
      <c r="E88" s="62" t="str">
        <f t="shared" si="5"/>
        <v>2026</v>
      </c>
      <c r="F88" s="62" t="str">
        <f t="shared" si="6"/>
        <v>01 Jan</v>
      </c>
      <c r="G88" s="63">
        <v>25000.0</v>
      </c>
      <c r="H88" s="60" t="s">
        <v>32</v>
      </c>
      <c r="I88" s="64" t="s">
        <v>192</v>
      </c>
      <c r="J88" s="64" t="s">
        <v>78</v>
      </c>
      <c r="K88" s="66" t="b">
        <v>1</v>
      </c>
      <c r="L88" s="66"/>
      <c r="M88" s="67"/>
    </row>
    <row r="89" ht="22.5" customHeight="1">
      <c r="B89" s="59">
        <v>408.0</v>
      </c>
      <c r="C89" s="60" t="s">
        <v>79</v>
      </c>
      <c r="D89" s="61">
        <v>46053.0</v>
      </c>
      <c r="E89" s="62" t="str">
        <f t="shared" si="5"/>
        <v>2026</v>
      </c>
      <c r="F89" s="62" t="str">
        <f t="shared" si="6"/>
        <v>01 Jan</v>
      </c>
      <c r="G89" s="63">
        <v>200000.0</v>
      </c>
      <c r="H89" s="60" t="s">
        <v>32</v>
      </c>
      <c r="I89" s="64" t="s">
        <v>194</v>
      </c>
      <c r="J89" s="64" t="s">
        <v>74</v>
      </c>
      <c r="K89" s="66" t="b">
        <v>1</v>
      </c>
      <c r="L89" s="66"/>
      <c r="M89" s="67"/>
    </row>
    <row r="90" ht="22.5" customHeight="1">
      <c r="B90" s="59">
        <v>409.0</v>
      </c>
      <c r="C90" s="60" t="s">
        <v>79</v>
      </c>
      <c r="D90" s="61">
        <v>46053.0</v>
      </c>
      <c r="E90" s="62" t="str">
        <f t="shared" si="5"/>
        <v>2026</v>
      </c>
      <c r="F90" s="62" t="str">
        <f t="shared" si="6"/>
        <v>01 Jan</v>
      </c>
      <c r="G90" s="63">
        <v>35000.0</v>
      </c>
      <c r="H90" s="60" t="s">
        <v>32</v>
      </c>
      <c r="I90" s="64" t="s">
        <v>182</v>
      </c>
      <c r="J90" s="64" t="s">
        <v>74</v>
      </c>
      <c r="K90" s="66" t="b">
        <v>1</v>
      </c>
      <c r="L90" s="66"/>
      <c r="M90" s="67"/>
    </row>
    <row r="91" ht="22.5" customHeight="1">
      <c r="B91" s="59">
        <v>410.0</v>
      </c>
      <c r="C91" s="60" t="s">
        <v>79</v>
      </c>
      <c r="D91" s="61">
        <v>46053.0</v>
      </c>
      <c r="E91" s="62" t="str">
        <f t="shared" si="5"/>
        <v>2026</v>
      </c>
      <c r="F91" s="62" t="str">
        <f t="shared" si="6"/>
        <v>01 Jan</v>
      </c>
      <c r="G91" s="63">
        <v>100000.0</v>
      </c>
      <c r="H91" s="60" t="s">
        <v>32</v>
      </c>
      <c r="I91" s="64" t="s">
        <v>198</v>
      </c>
      <c r="J91" s="64" t="s">
        <v>74</v>
      </c>
      <c r="K91" s="66" t="b">
        <v>1</v>
      </c>
      <c r="L91" s="66"/>
      <c r="M91" s="67"/>
    </row>
    <row r="92" ht="22.5" customHeight="1">
      <c r="B92" s="59">
        <v>411.0</v>
      </c>
      <c r="C92" s="60" t="s">
        <v>79</v>
      </c>
      <c r="D92" s="61">
        <v>46053.0</v>
      </c>
      <c r="E92" s="62" t="str">
        <f t="shared" si="5"/>
        <v>2026</v>
      </c>
      <c r="F92" s="62" t="str">
        <f t="shared" si="6"/>
        <v>01 Jan</v>
      </c>
      <c r="G92" s="63">
        <v>100000.0</v>
      </c>
      <c r="H92" s="60" t="s">
        <v>32</v>
      </c>
      <c r="I92" s="64" t="s">
        <v>199</v>
      </c>
      <c r="J92" s="64" t="s">
        <v>74</v>
      </c>
      <c r="K92" s="66" t="b">
        <v>1</v>
      </c>
      <c r="L92" s="66"/>
      <c r="M92" s="67"/>
    </row>
    <row r="93" ht="22.5" customHeight="1">
      <c r="B93" s="59">
        <v>412.0</v>
      </c>
      <c r="C93" s="60" t="s">
        <v>79</v>
      </c>
      <c r="D93" s="61">
        <v>46053.0</v>
      </c>
      <c r="E93" s="62" t="str">
        <f t="shared" si="5"/>
        <v>2026</v>
      </c>
      <c r="F93" s="62" t="str">
        <f t="shared" si="6"/>
        <v>01 Jan</v>
      </c>
      <c r="G93" s="63">
        <v>50000.0</v>
      </c>
      <c r="H93" s="60" t="s">
        <v>32</v>
      </c>
      <c r="I93" s="64" t="s">
        <v>201</v>
      </c>
      <c r="J93" s="64" t="s">
        <v>202</v>
      </c>
      <c r="K93" s="66" t="b">
        <v>1</v>
      </c>
      <c r="L93" s="66"/>
      <c r="M93" s="67"/>
    </row>
    <row r="94" ht="22.5" customHeight="1">
      <c r="B94" s="59">
        <v>413.0</v>
      </c>
      <c r="C94" s="60" t="s">
        <v>50</v>
      </c>
      <c r="D94" s="61">
        <v>46053.0</v>
      </c>
      <c r="E94" s="62" t="str">
        <f t="shared" si="5"/>
        <v>2026</v>
      </c>
      <c r="F94" s="62" t="str">
        <f t="shared" si="6"/>
        <v>01 Jan</v>
      </c>
      <c r="G94" s="63">
        <v>15000.0</v>
      </c>
      <c r="H94" s="60" t="s">
        <v>32</v>
      </c>
      <c r="I94" s="64" t="s">
        <v>90</v>
      </c>
      <c r="J94" s="64" t="s">
        <v>78</v>
      </c>
      <c r="K94" s="66" t="b">
        <v>1</v>
      </c>
      <c r="L94" s="66"/>
      <c r="M94" s="67"/>
    </row>
    <row r="95" ht="22.5" customHeight="1">
      <c r="B95" s="59">
        <v>414.0</v>
      </c>
      <c r="C95" s="60" t="s">
        <v>50</v>
      </c>
      <c r="D95" s="61">
        <v>46055.0</v>
      </c>
      <c r="E95" s="62" t="str">
        <f t="shared" si="5"/>
        <v>2026</v>
      </c>
      <c r="F95" s="62" t="str">
        <f t="shared" si="6"/>
        <v>02 Feb</v>
      </c>
      <c r="G95" s="63">
        <v>67000.0</v>
      </c>
      <c r="H95" s="60" t="s">
        <v>32</v>
      </c>
      <c r="I95" s="64" t="s">
        <v>204</v>
      </c>
      <c r="J95" s="64" t="s">
        <v>78</v>
      </c>
      <c r="K95" s="66" t="b">
        <v>1</v>
      </c>
      <c r="L95" s="66"/>
      <c r="M95" s="67"/>
    </row>
    <row r="96" ht="22.5" customHeight="1">
      <c r="B96" s="59">
        <v>415.0</v>
      </c>
      <c r="C96" s="60" t="s">
        <v>79</v>
      </c>
      <c r="D96" s="61">
        <v>46056.0</v>
      </c>
      <c r="E96" s="62" t="str">
        <f t="shared" si="5"/>
        <v>2026</v>
      </c>
      <c r="F96" s="62" t="str">
        <f t="shared" si="6"/>
        <v>02 Feb</v>
      </c>
      <c r="G96" s="63">
        <v>150000.0</v>
      </c>
      <c r="H96" s="60" t="s">
        <v>32</v>
      </c>
      <c r="I96" s="64" t="s">
        <v>205</v>
      </c>
      <c r="J96" s="64" t="s">
        <v>74</v>
      </c>
      <c r="K96" s="66" t="b">
        <v>1</v>
      </c>
      <c r="L96" s="66"/>
      <c r="M96" s="67"/>
    </row>
    <row r="97" ht="22.5" customHeight="1">
      <c r="B97" s="59">
        <v>416.0</v>
      </c>
      <c r="C97" s="60" t="s">
        <v>79</v>
      </c>
      <c r="D97" s="61">
        <v>46056.0</v>
      </c>
      <c r="E97" s="62" t="str">
        <f t="shared" si="5"/>
        <v>2026</v>
      </c>
      <c r="F97" s="62" t="str">
        <f t="shared" si="6"/>
        <v>02 Feb</v>
      </c>
      <c r="G97" s="63">
        <v>50000.0</v>
      </c>
      <c r="H97" s="60" t="s">
        <v>32</v>
      </c>
      <c r="I97" s="64" t="s">
        <v>182</v>
      </c>
      <c r="J97" s="64" t="s">
        <v>74</v>
      </c>
      <c r="K97" s="66" t="b">
        <v>1</v>
      </c>
      <c r="L97" s="66"/>
      <c r="M97" s="67"/>
    </row>
    <row r="98" ht="22.5" customHeight="1">
      <c r="B98" s="59">
        <v>417.0</v>
      </c>
      <c r="C98" s="60" t="s">
        <v>50</v>
      </c>
      <c r="D98" s="61">
        <v>46057.0</v>
      </c>
      <c r="E98" s="62" t="str">
        <f t="shared" si="5"/>
        <v>2026</v>
      </c>
      <c r="F98" s="62" t="str">
        <f t="shared" si="6"/>
        <v>02 Feb</v>
      </c>
      <c r="G98" s="63">
        <v>15000.0</v>
      </c>
      <c r="H98" s="60" t="s">
        <v>32</v>
      </c>
      <c r="I98" s="64" t="s">
        <v>90</v>
      </c>
      <c r="J98" s="64" t="s">
        <v>78</v>
      </c>
      <c r="K98" s="66" t="b">
        <v>1</v>
      </c>
      <c r="L98" s="66"/>
      <c r="M98" s="67"/>
    </row>
    <row r="99" ht="22.5" customHeight="1">
      <c r="B99" s="59">
        <v>418.0</v>
      </c>
      <c r="C99" s="60" t="s">
        <v>50</v>
      </c>
      <c r="D99" s="61">
        <v>46057.0</v>
      </c>
      <c r="E99" s="62" t="str">
        <f t="shared" si="5"/>
        <v>2026</v>
      </c>
      <c r="F99" s="62" t="str">
        <f t="shared" si="6"/>
        <v>02 Feb</v>
      </c>
      <c r="G99" s="63">
        <v>100000.0</v>
      </c>
      <c r="H99" s="60" t="s">
        <v>32</v>
      </c>
      <c r="I99" s="64" t="s">
        <v>149</v>
      </c>
      <c r="J99" s="64" t="s">
        <v>74</v>
      </c>
      <c r="K99" s="66" t="b">
        <v>1</v>
      </c>
      <c r="L99" s="66"/>
      <c r="M99" s="67"/>
    </row>
    <row r="100" ht="22.5" customHeight="1">
      <c r="B100" s="59">
        <v>419.0</v>
      </c>
      <c r="C100" s="60" t="s">
        <v>50</v>
      </c>
      <c r="D100" s="61">
        <v>46057.0</v>
      </c>
      <c r="E100" s="62" t="str">
        <f t="shared" si="5"/>
        <v>2026</v>
      </c>
      <c r="F100" s="62" t="str">
        <f t="shared" si="6"/>
        <v>02 Feb</v>
      </c>
      <c r="G100" s="63">
        <v>300000.0</v>
      </c>
      <c r="H100" s="60" t="s">
        <v>32</v>
      </c>
      <c r="I100" s="64" t="s">
        <v>85</v>
      </c>
      <c r="J100" s="64" t="s">
        <v>74</v>
      </c>
      <c r="K100" s="66" t="b">
        <v>1</v>
      </c>
      <c r="L100" s="66"/>
      <c r="M100" s="67"/>
    </row>
    <row r="101" ht="22.5" customHeight="1">
      <c r="B101" s="59">
        <v>420.0</v>
      </c>
      <c r="C101" s="60" t="s">
        <v>50</v>
      </c>
      <c r="D101" s="61">
        <v>46057.0</v>
      </c>
      <c r="E101" s="62" t="str">
        <f t="shared" si="5"/>
        <v>2026</v>
      </c>
      <c r="F101" s="62" t="str">
        <f t="shared" si="6"/>
        <v>02 Feb</v>
      </c>
      <c r="G101" s="63">
        <v>30000.0</v>
      </c>
      <c r="H101" s="60" t="s">
        <v>32</v>
      </c>
      <c r="I101" s="64" t="s">
        <v>209</v>
      </c>
      <c r="J101" s="64" t="s">
        <v>33</v>
      </c>
      <c r="K101" s="66" t="b">
        <v>1</v>
      </c>
      <c r="L101" s="66"/>
      <c r="M101" s="67"/>
    </row>
    <row r="102" ht="22.5" customHeight="1">
      <c r="B102" s="59">
        <v>421.0</v>
      </c>
      <c r="C102" s="60" t="s">
        <v>50</v>
      </c>
      <c r="D102" s="61">
        <v>46057.0</v>
      </c>
      <c r="E102" s="62" t="str">
        <f t="shared" si="5"/>
        <v>2026</v>
      </c>
      <c r="F102" s="62" t="str">
        <f t="shared" si="6"/>
        <v>02 Feb</v>
      </c>
      <c r="G102" s="63">
        <v>50000.0</v>
      </c>
      <c r="H102" s="60" t="s">
        <v>32</v>
      </c>
      <c r="I102" s="64" t="s">
        <v>184</v>
      </c>
      <c r="J102" s="64" t="s">
        <v>72</v>
      </c>
      <c r="K102" s="66" t="b">
        <v>1</v>
      </c>
      <c r="L102" s="66"/>
      <c r="M102" s="67"/>
    </row>
    <row r="103" ht="22.5" customHeight="1">
      <c r="B103" s="59">
        <v>422.0</v>
      </c>
      <c r="C103" s="60" t="s">
        <v>50</v>
      </c>
      <c r="D103" s="61">
        <v>46058.0</v>
      </c>
      <c r="E103" s="62" t="str">
        <f t="shared" si="5"/>
        <v>2026</v>
      </c>
      <c r="F103" s="62" t="str">
        <f t="shared" si="6"/>
        <v>02 Feb</v>
      </c>
      <c r="G103" s="63">
        <v>200000.0</v>
      </c>
      <c r="H103" s="60" t="s">
        <v>32</v>
      </c>
      <c r="I103" s="64" t="s">
        <v>96</v>
      </c>
      <c r="J103" s="64" t="s">
        <v>74</v>
      </c>
      <c r="K103" s="66" t="b">
        <v>1</v>
      </c>
      <c r="L103" s="66"/>
      <c r="M103" s="67"/>
    </row>
    <row r="104" ht="22.5" customHeight="1">
      <c r="B104" s="59">
        <v>423.0</v>
      </c>
      <c r="C104" s="60" t="s">
        <v>50</v>
      </c>
      <c r="D104" s="61">
        <v>46058.0</v>
      </c>
      <c r="E104" s="62" t="str">
        <f t="shared" si="5"/>
        <v>2026</v>
      </c>
      <c r="F104" s="62" t="str">
        <f t="shared" si="6"/>
        <v>02 Feb</v>
      </c>
      <c r="G104" s="63">
        <v>250000.0</v>
      </c>
      <c r="H104" s="60" t="s">
        <v>32</v>
      </c>
      <c r="I104" s="64" t="s">
        <v>85</v>
      </c>
      <c r="J104" s="64" t="s">
        <v>74</v>
      </c>
      <c r="K104" s="66" t="b">
        <v>1</v>
      </c>
      <c r="L104" s="66"/>
      <c r="M104" s="67"/>
    </row>
    <row r="105" ht="22.5" customHeight="1">
      <c r="B105" s="59">
        <v>424.0</v>
      </c>
      <c r="C105" s="60" t="s">
        <v>50</v>
      </c>
      <c r="D105" s="61">
        <v>46058.0</v>
      </c>
      <c r="E105" s="62" t="str">
        <f t="shared" si="5"/>
        <v>2026</v>
      </c>
      <c r="F105" s="62" t="str">
        <f t="shared" si="6"/>
        <v>02 Feb</v>
      </c>
      <c r="G105" s="63">
        <v>200000.0</v>
      </c>
      <c r="H105" s="60" t="s">
        <v>32</v>
      </c>
      <c r="I105" s="64" t="s">
        <v>213</v>
      </c>
      <c r="J105" s="64" t="s">
        <v>72</v>
      </c>
      <c r="K105" s="66" t="b">
        <v>1</v>
      </c>
      <c r="L105" s="66"/>
      <c r="M105" s="67"/>
    </row>
    <row r="106" ht="22.5" customHeight="1">
      <c r="B106" s="59">
        <v>425.0</v>
      </c>
      <c r="C106" s="60" t="s">
        <v>79</v>
      </c>
      <c r="D106" s="61">
        <v>46060.0</v>
      </c>
      <c r="E106" s="62" t="str">
        <f t="shared" si="5"/>
        <v>2026</v>
      </c>
      <c r="F106" s="62" t="str">
        <f t="shared" si="6"/>
        <v>02 Feb</v>
      </c>
      <c r="G106" s="63">
        <v>250000.0</v>
      </c>
      <c r="H106" s="60" t="s">
        <v>32</v>
      </c>
      <c r="I106" s="64" t="s">
        <v>85</v>
      </c>
      <c r="J106" s="64" t="s">
        <v>74</v>
      </c>
      <c r="K106" s="66" t="b">
        <v>1</v>
      </c>
      <c r="L106" s="66"/>
      <c r="M106" s="67"/>
    </row>
    <row r="107" ht="22.5" customHeight="1">
      <c r="B107" s="59">
        <v>426.0</v>
      </c>
      <c r="C107" s="60" t="s">
        <v>50</v>
      </c>
      <c r="D107" s="61">
        <v>46061.0</v>
      </c>
      <c r="E107" s="62" t="str">
        <f t="shared" si="5"/>
        <v>2026</v>
      </c>
      <c r="F107" s="62" t="str">
        <f t="shared" si="6"/>
        <v>02 Feb</v>
      </c>
      <c r="G107" s="63">
        <v>50000.0</v>
      </c>
      <c r="H107" s="60" t="s">
        <v>32</v>
      </c>
      <c r="I107" s="64" t="s">
        <v>79</v>
      </c>
      <c r="J107" s="64" t="s">
        <v>74</v>
      </c>
      <c r="K107" s="66" t="b">
        <v>1</v>
      </c>
      <c r="L107" s="66"/>
      <c r="M107" s="67"/>
    </row>
    <row r="108" ht="22.5" customHeight="1">
      <c r="B108" s="59">
        <v>427.0</v>
      </c>
      <c r="C108" s="60" t="s">
        <v>50</v>
      </c>
      <c r="D108" s="61">
        <v>46061.0</v>
      </c>
      <c r="E108" s="62" t="str">
        <f t="shared" si="5"/>
        <v>2026</v>
      </c>
      <c r="F108" s="62" t="str">
        <f t="shared" si="6"/>
        <v>02 Feb</v>
      </c>
      <c r="G108" s="63">
        <v>50000.0</v>
      </c>
      <c r="H108" s="60" t="s">
        <v>32</v>
      </c>
      <c r="I108" s="64" t="s">
        <v>96</v>
      </c>
      <c r="J108" s="64" t="s">
        <v>74</v>
      </c>
      <c r="K108" s="66" t="b">
        <v>1</v>
      </c>
      <c r="L108" s="66"/>
      <c r="M108" s="67"/>
    </row>
    <row r="109" ht="22.5" customHeight="1">
      <c r="B109" s="59">
        <v>428.0</v>
      </c>
      <c r="C109" s="60" t="s">
        <v>50</v>
      </c>
      <c r="D109" s="61">
        <v>46061.0</v>
      </c>
      <c r="E109" s="62" t="str">
        <f t="shared" si="5"/>
        <v>2026</v>
      </c>
      <c r="F109" s="62" t="str">
        <f t="shared" si="6"/>
        <v>02 Feb</v>
      </c>
      <c r="G109" s="63">
        <v>300000.0</v>
      </c>
      <c r="H109" s="60" t="s">
        <v>32</v>
      </c>
      <c r="I109" s="64" t="s">
        <v>225</v>
      </c>
      <c r="J109" s="64" t="s">
        <v>78</v>
      </c>
      <c r="K109" s="66" t="b">
        <v>1</v>
      </c>
      <c r="L109" s="66"/>
      <c r="M109" s="67"/>
    </row>
    <row r="110" ht="22.5" customHeight="1">
      <c r="B110" s="59">
        <v>429.0</v>
      </c>
      <c r="C110" s="60" t="s">
        <v>50</v>
      </c>
      <c r="D110" s="61">
        <v>46061.0</v>
      </c>
      <c r="E110" s="62" t="str">
        <f t="shared" si="5"/>
        <v>2026</v>
      </c>
      <c r="F110" s="62" t="str">
        <f t="shared" si="6"/>
        <v>02 Feb</v>
      </c>
      <c r="G110" s="63">
        <v>200000.0</v>
      </c>
      <c r="H110" s="60" t="s">
        <v>32</v>
      </c>
      <c r="I110" s="64" t="s">
        <v>227</v>
      </c>
      <c r="J110" s="64" t="s">
        <v>74</v>
      </c>
      <c r="K110" s="66" t="b">
        <v>1</v>
      </c>
      <c r="L110" s="66"/>
      <c r="M110" s="67"/>
    </row>
    <row r="111" ht="22.5" customHeight="1">
      <c r="B111" s="59">
        <v>430.0</v>
      </c>
      <c r="C111" s="60" t="s">
        <v>50</v>
      </c>
      <c r="D111" s="61">
        <v>46062.0</v>
      </c>
      <c r="E111" s="62" t="str">
        <f t="shared" si="5"/>
        <v>2026</v>
      </c>
      <c r="F111" s="62" t="str">
        <f t="shared" si="6"/>
        <v>02 Feb</v>
      </c>
      <c r="G111" s="63">
        <v>15000.0</v>
      </c>
      <c r="H111" s="60" t="s">
        <v>32</v>
      </c>
      <c r="I111" s="64" t="s">
        <v>90</v>
      </c>
      <c r="J111" s="64" t="s">
        <v>78</v>
      </c>
      <c r="K111" s="66" t="b">
        <v>1</v>
      </c>
      <c r="L111" s="66"/>
      <c r="M111" s="67"/>
    </row>
    <row r="112" ht="22.5" customHeight="1">
      <c r="B112" s="59">
        <v>431.0</v>
      </c>
      <c r="C112" s="60" t="s">
        <v>50</v>
      </c>
      <c r="D112" s="61">
        <v>46062.0</v>
      </c>
      <c r="E112" s="62" t="str">
        <f t="shared" si="5"/>
        <v>2026</v>
      </c>
      <c r="F112" s="62" t="str">
        <f t="shared" si="6"/>
        <v>02 Feb</v>
      </c>
      <c r="G112" s="63">
        <v>50000.0</v>
      </c>
      <c r="H112" s="60" t="s">
        <v>32</v>
      </c>
      <c r="I112" s="64" t="s">
        <v>229</v>
      </c>
      <c r="J112" s="64" t="s">
        <v>74</v>
      </c>
      <c r="K112" s="66" t="b">
        <v>1</v>
      </c>
      <c r="L112" s="66"/>
      <c r="M112" s="67"/>
    </row>
    <row r="113" ht="22.5" customHeight="1">
      <c r="B113" s="59">
        <v>432.0</v>
      </c>
      <c r="C113" s="60" t="s">
        <v>50</v>
      </c>
      <c r="D113" s="61">
        <v>46063.0</v>
      </c>
      <c r="E113" s="62" t="str">
        <f t="shared" si="5"/>
        <v>2026</v>
      </c>
      <c r="F113" s="62" t="str">
        <f t="shared" si="6"/>
        <v>02 Feb</v>
      </c>
      <c r="G113" s="63">
        <v>50000.0</v>
      </c>
      <c r="H113" s="60" t="s">
        <v>32</v>
      </c>
      <c r="I113" s="64" t="s">
        <v>184</v>
      </c>
      <c r="J113" s="64" t="s">
        <v>72</v>
      </c>
      <c r="K113" s="66" t="b">
        <v>1</v>
      </c>
      <c r="L113" s="66"/>
      <c r="M113" s="67"/>
    </row>
    <row r="114" ht="22.5" customHeight="1">
      <c r="B114" s="59">
        <v>433.0</v>
      </c>
      <c r="C114" s="60" t="s">
        <v>50</v>
      </c>
      <c r="D114" s="61">
        <v>46064.0</v>
      </c>
      <c r="E114" s="62" t="str">
        <f t="shared" si="5"/>
        <v>2026</v>
      </c>
      <c r="F114" s="62" t="str">
        <f t="shared" si="6"/>
        <v>02 Feb</v>
      </c>
      <c r="G114" s="63">
        <v>100000.0</v>
      </c>
      <c r="H114" s="60" t="s">
        <v>32</v>
      </c>
      <c r="I114" s="64" t="s">
        <v>96</v>
      </c>
      <c r="J114" s="64" t="s">
        <v>74</v>
      </c>
      <c r="K114" s="66" t="b">
        <v>1</v>
      </c>
      <c r="L114" s="66"/>
      <c r="M114" s="67"/>
    </row>
    <row r="115" ht="22.5" customHeight="1">
      <c r="B115" s="59">
        <v>434.0</v>
      </c>
      <c r="C115" s="60" t="s">
        <v>50</v>
      </c>
      <c r="D115" s="61">
        <v>46064.0</v>
      </c>
      <c r="E115" s="62" t="str">
        <f t="shared" si="5"/>
        <v>2026</v>
      </c>
      <c r="F115" s="62" t="str">
        <f t="shared" si="6"/>
        <v>02 Feb</v>
      </c>
      <c r="G115" s="63">
        <v>200000.0</v>
      </c>
      <c r="H115" s="60" t="s">
        <v>32</v>
      </c>
      <c r="I115" s="64" t="s">
        <v>85</v>
      </c>
      <c r="J115" s="64" t="s">
        <v>74</v>
      </c>
      <c r="K115" s="66" t="b">
        <v>1</v>
      </c>
      <c r="L115" s="66"/>
      <c r="M115" s="67"/>
    </row>
    <row r="116" ht="22.5" customHeight="1">
      <c r="B116" s="59">
        <v>435.0</v>
      </c>
      <c r="C116" s="60" t="s">
        <v>50</v>
      </c>
      <c r="D116" s="61">
        <v>46064.0</v>
      </c>
      <c r="E116" s="62" t="str">
        <f t="shared" si="5"/>
        <v>2026</v>
      </c>
      <c r="F116" s="62" t="str">
        <f t="shared" si="6"/>
        <v>02 Feb</v>
      </c>
      <c r="G116" s="63">
        <v>50000.0</v>
      </c>
      <c r="H116" s="60" t="s">
        <v>32</v>
      </c>
      <c r="I116" s="64" t="s">
        <v>184</v>
      </c>
      <c r="J116" s="64" t="s">
        <v>72</v>
      </c>
      <c r="K116" s="66" t="b">
        <v>1</v>
      </c>
      <c r="L116" s="66"/>
      <c r="M116" s="67"/>
    </row>
    <row r="117" ht="22.5" customHeight="1">
      <c r="B117" s="59">
        <v>436.0</v>
      </c>
      <c r="C117" s="60" t="s">
        <v>50</v>
      </c>
      <c r="D117" s="61">
        <v>46064.0</v>
      </c>
      <c r="E117" s="62" t="str">
        <f t="shared" si="5"/>
        <v>2026</v>
      </c>
      <c r="F117" s="62" t="str">
        <f t="shared" si="6"/>
        <v>02 Feb</v>
      </c>
      <c r="G117" s="63">
        <v>50000.0</v>
      </c>
      <c r="H117" s="60" t="s">
        <v>32</v>
      </c>
      <c r="I117" s="64" t="s">
        <v>79</v>
      </c>
      <c r="J117" s="64" t="s">
        <v>74</v>
      </c>
      <c r="K117" s="66" t="b">
        <v>1</v>
      </c>
      <c r="L117" s="66"/>
      <c r="M117" s="67"/>
    </row>
    <row r="118" ht="22.5" customHeight="1">
      <c r="B118" s="59">
        <v>437.0</v>
      </c>
      <c r="C118" s="60" t="s">
        <v>50</v>
      </c>
      <c r="D118" s="61">
        <v>46064.0</v>
      </c>
      <c r="E118" s="62" t="str">
        <f t="shared" si="5"/>
        <v>2026</v>
      </c>
      <c r="F118" s="62" t="str">
        <f t="shared" si="6"/>
        <v>02 Feb</v>
      </c>
      <c r="G118" s="63">
        <v>300000.0</v>
      </c>
      <c r="H118" s="60" t="s">
        <v>32</v>
      </c>
      <c r="I118" s="64" t="s">
        <v>103</v>
      </c>
      <c r="J118" s="64" t="s">
        <v>74</v>
      </c>
      <c r="K118" s="66" t="b">
        <v>1</v>
      </c>
      <c r="L118" s="66"/>
      <c r="M118" s="67"/>
    </row>
    <row r="119" ht="22.5" customHeight="1">
      <c r="B119" s="59">
        <v>438.0</v>
      </c>
      <c r="C119" s="60" t="s">
        <v>50</v>
      </c>
      <c r="D119" s="61">
        <v>46064.0</v>
      </c>
      <c r="E119" s="62" t="str">
        <f t="shared" si="5"/>
        <v>2026</v>
      </c>
      <c r="F119" s="62" t="str">
        <f t="shared" si="6"/>
        <v>02 Feb</v>
      </c>
      <c r="G119" s="63">
        <v>150000.0</v>
      </c>
      <c r="H119" s="60" t="s">
        <v>32</v>
      </c>
      <c r="I119" s="64" t="s">
        <v>233</v>
      </c>
      <c r="J119" s="64" t="s">
        <v>78</v>
      </c>
      <c r="K119" s="66" t="b">
        <v>1</v>
      </c>
      <c r="L119" s="66"/>
      <c r="M119" s="67"/>
    </row>
    <row r="120" ht="22.5" customHeight="1">
      <c r="B120" s="59">
        <v>439.0</v>
      </c>
      <c r="C120" s="60" t="s">
        <v>50</v>
      </c>
      <c r="D120" s="61">
        <v>46064.0</v>
      </c>
      <c r="E120" s="62" t="str">
        <f t="shared" si="5"/>
        <v>2026</v>
      </c>
      <c r="F120" s="62" t="str">
        <f t="shared" si="6"/>
        <v>02 Feb</v>
      </c>
      <c r="G120" s="63">
        <v>40000.0</v>
      </c>
      <c r="H120" s="60" t="s">
        <v>32</v>
      </c>
      <c r="I120" s="64" t="s">
        <v>234</v>
      </c>
      <c r="J120" s="64" t="s">
        <v>33</v>
      </c>
      <c r="K120" s="66" t="b">
        <v>1</v>
      </c>
      <c r="L120" s="66"/>
      <c r="M120" s="67"/>
    </row>
    <row r="121" ht="22.5" customHeight="1">
      <c r="B121" s="59">
        <v>440.0</v>
      </c>
      <c r="C121" s="60" t="s">
        <v>50</v>
      </c>
      <c r="D121" s="61">
        <v>46064.0</v>
      </c>
      <c r="E121" s="62" t="str">
        <f t="shared" si="5"/>
        <v>2026</v>
      </c>
      <c r="F121" s="62" t="str">
        <f t="shared" si="6"/>
        <v>02 Feb</v>
      </c>
      <c r="G121" s="63">
        <v>9000.0</v>
      </c>
      <c r="H121" s="60" t="s">
        <v>32</v>
      </c>
      <c r="I121" s="64" t="s">
        <v>235</v>
      </c>
      <c r="J121" s="64" t="s">
        <v>78</v>
      </c>
      <c r="K121" s="66" t="b">
        <v>1</v>
      </c>
      <c r="L121" s="66"/>
      <c r="M121" s="67"/>
    </row>
    <row r="122" ht="22.5" customHeight="1">
      <c r="B122" s="59">
        <v>441.0</v>
      </c>
      <c r="C122" s="60" t="s">
        <v>50</v>
      </c>
      <c r="D122" s="61">
        <v>46064.0</v>
      </c>
      <c r="E122" s="62" t="str">
        <f t="shared" si="5"/>
        <v>2026</v>
      </c>
      <c r="F122" s="62" t="str">
        <f t="shared" si="6"/>
        <v>02 Feb</v>
      </c>
      <c r="G122" s="63">
        <v>200000.0</v>
      </c>
      <c r="H122" s="60" t="s">
        <v>32</v>
      </c>
      <c r="I122" s="64" t="s">
        <v>50</v>
      </c>
      <c r="J122" s="64" t="s">
        <v>74</v>
      </c>
      <c r="K122" s="66" t="b">
        <v>1</v>
      </c>
      <c r="L122" s="66"/>
      <c r="M122" s="67"/>
    </row>
    <row r="123" ht="22.5" customHeight="1">
      <c r="B123" s="59">
        <v>442.0</v>
      </c>
      <c r="C123" s="60" t="s">
        <v>50</v>
      </c>
      <c r="D123" s="61">
        <v>46065.0</v>
      </c>
      <c r="E123" s="62" t="str">
        <f t="shared" si="5"/>
        <v>2026</v>
      </c>
      <c r="F123" s="62" t="str">
        <f t="shared" si="6"/>
        <v>02 Feb</v>
      </c>
      <c r="G123" s="63">
        <v>600000.0</v>
      </c>
      <c r="H123" s="60" t="s">
        <v>32</v>
      </c>
      <c r="I123" s="64" t="s">
        <v>227</v>
      </c>
      <c r="J123" s="64" t="s">
        <v>74</v>
      </c>
      <c r="K123" s="66" t="b">
        <v>1</v>
      </c>
      <c r="L123" s="66"/>
      <c r="M123" s="67"/>
    </row>
    <row r="124" ht="22.5" customHeight="1">
      <c r="B124" s="59">
        <v>443.0</v>
      </c>
      <c r="C124" s="60" t="s">
        <v>50</v>
      </c>
      <c r="D124" s="61">
        <v>46065.0</v>
      </c>
      <c r="E124" s="62" t="str">
        <f t="shared" si="5"/>
        <v>2026</v>
      </c>
      <c r="F124" s="62" t="str">
        <f t="shared" si="6"/>
        <v>02 Feb</v>
      </c>
      <c r="G124" s="63">
        <v>100000.0</v>
      </c>
      <c r="H124" s="60" t="s">
        <v>32</v>
      </c>
      <c r="I124" s="64" t="s">
        <v>227</v>
      </c>
      <c r="J124" s="64" t="s">
        <v>74</v>
      </c>
      <c r="K124" s="66" t="b">
        <v>1</v>
      </c>
      <c r="L124" s="66"/>
      <c r="M124" s="67"/>
    </row>
    <row r="125" ht="22.5" customHeight="1">
      <c r="B125" s="59">
        <v>444.0</v>
      </c>
      <c r="C125" s="60" t="s">
        <v>50</v>
      </c>
      <c r="D125" s="61">
        <v>46065.0</v>
      </c>
      <c r="E125" s="62" t="str">
        <f t="shared" si="5"/>
        <v>2026</v>
      </c>
      <c r="F125" s="62" t="str">
        <f t="shared" si="6"/>
        <v>02 Feb</v>
      </c>
      <c r="G125" s="63">
        <v>55000.0</v>
      </c>
      <c r="H125" s="60" t="s">
        <v>32</v>
      </c>
      <c r="I125" s="64" t="s">
        <v>227</v>
      </c>
      <c r="J125" s="64" t="s">
        <v>74</v>
      </c>
      <c r="K125" s="66" t="b">
        <v>1</v>
      </c>
      <c r="L125" s="66"/>
      <c r="M125" s="67"/>
    </row>
    <row r="126" ht="22.5" customHeight="1">
      <c r="B126" s="59">
        <v>445.0</v>
      </c>
      <c r="C126" s="60" t="s">
        <v>50</v>
      </c>
      <c r="D126" s="61">
        <v>46065.0</v>
      </c>
      <c r="E126" s="62" t="str">
        <f t="shared" si="5"/>
        <v>2026</v>
      </c>
      <c r="F126" s="62" t="str">
        <f t="shared" si="6"/>
        <v>02 Feb</v>
      </c>
      <c r="G126" s="63">
        <v>95000.0</v>
      </c>
      <c r="H126" s="60" t="s">
        <v>32</v>
      </c>
      <c r="I126" s="64" t="s">
        <v>238</v>
      </c>
      <c r="J126" s="64" t="s">
        <v>78</v>
      </c>
      <c r="K126" s="66" t="b">
        <v>1</v>
      </c>
      <c r="L126" s="66"/>
      <c r="M126" s="67"/>
    </row>
    <row r="127" ht="22.5" customHeight="1">
      <c r="B127" s="59">
        <v>446.0</v>
      </c>
      <c r="C127" s="60" t="s">
        <v>50</v>
      </c>
      <c r="D127" s="61">
        <v>46065.0</v>
      </c>
      <c r="E127" s="62" t="str">
        <f t="shared" si="5"/>
        <v>2026</v>
      </c>
      <c r="F127" s="62" t="str">
        <f t="shared" si="6"/>
        <v>02 Feb</v>
      </c>
      <c r="G127" s="63">
        <v>18000.0</v>
      </c>
      <c r="H127" s="60" t="s">
        <v>32</v>
      </c>
      <c r="I127" s="64" t="s">
        <v>239</v>
      </c>
      <c r="J127" s="64" t="s">
        <v>78</v>
      </c>
      <c r="K127" s="66" t="b">
        <v>1</v>
      </c>
      <c r="L127" s="66"/>
      <c r="M127" s="67"/>
    </row>
    <row r="128" ht="22.5" customHeight="1">
      <c r="B128" s="59">
        <v>447.0</v>
      </c>
      <c r="C128" s="60" t="s">
        <v>50</v>
      </c>
      <c r="D128" s="61">
        <v>46065.0</v>
      </c>
      <c r="E128" s="62" t="str">
        <f t="shared" si="5"/>
        <v>2026</v>
      </c>
      <c r="F128" s="62" t="str">
        <f t="shared" si="6"/>
        <v>02 Feb</v>
      </c>
      <c r="G128" s="63">
        <v>200000.0</v>
      </c>
      <c r="H128" s="60" t="s">
        <v>32</v>
      </c>
      <c r="I128" s="64" t="s">
        <v>149</v>
      </c>
      <c r="J128" s="64" t="s">
        <v>74</v>
      </c>
      <c r="K128" s="66" t="b">
        <v>1</v>
      </c>
      <c r="L128" s="66"/>
      <c r="M128" s="67"/>
    </row>
    <row r="129" ht="22.5" customHeight="1">
      <c r="B129" s="59">
        <v>448.0</v>
      </c>
      <c r="C129" s="60" t="s">
        <v>79</v>
      </c>
      <c r="D129" s="61">
        <v>46067.0</v>
      </c>
      <c r="E129" s="62" t="str">
        <f t="shared" si="5"/>
        <v>2026</v>
      </c>
      <c r="F129" s="62" t="str">
        <f t="shared" si="6"/>
        <v>02 Feb</v>
      </c>
      <c r="G129" s="63">
        <v>190000.0</v>
      </c>
      <c r="H129" s="60" t="s">
        <v>32</v>
      </c>
      <c r="I129" s="64" t="s">
        <v>240</v>
      </c>
      <c r="J129" s="64" t="s">
        <v>74</v>
      </c>
      <c r="K129" s="66" t="b">
        <v>1</v>
      </c>
      <c r="L129" s="66"/>
      <c r="M129" s="67"/>
    </row>
    <row r="130" ht="22.5" customHeight="1">
      <c r="B130" s="59">
        <v>449.0</v>
      </c>
      <c r="C130" s="60" t="s">
        <v>50</v>
      </c>
      <c r="D130" s="61">
        <v>46067.0</v>
      </c>
      <c r="E130" s="62" t="str">
        <f t="shared" si="5"/>
        <v>2026</v>
      </c>
      <c r="F130" s="62" t="str">
        <f t="shared" si="6"/>
        <v>02 Feb</v>
      </c>
      <c r="G130" s="63">
        <v>200000.0</v>
      </c>
      <c r="H130" s="60" t="s">
        <v>32</v>
      </c>
      <c r="I130" s="64" t="s">
        <v>240</v>
      </c>
      <c r="J130" s="64" t="s">
        <v>74</v>
      </c>
      <c r="K130" s="66" t="b">
        <v>1</v>
      </c>
      <c r="L130" s="66"/>
      <c r="M130" s="67"/>
    </row>
    <row r="131" ht="22.5" customHeight="1">
      <c r="B131" s="59">
        <v>450.0</v>
      </c>
      <c r="C131" s="60" t="s">
        <v>50</v>
      </c>
      <c r="D131" s="61">
        <v>46068.0</v>
      </c>
      <c r="E131" s="62" t="str">
        <f t="shared" si="5"/>
        <v>2026</v>
      </c>
      <c r="F131" s="62" t="str">
        <f t="shared" si="6"/>
        <v>02 Feb</v>
      </c>
      <c r="G131" s="63">
        <v>13000.0</v>
      </c>
      <c r="H131" s="60" t="s">
        <v>32</v>
      </c>
      <c r="I131" s="64" t="s">
        <v>162</v>
      </c>
      <c r="J131" s="64" t="s">
        <v>74</v>
      </c>
      <c r="K131" s="66" t="b">
        <v>1</v>
      </c>
      <c r="L131" s="66"/>
      <c r="M131" s="67"/>
    </row>
    <row r="132" ht="22.5" customHeight="1">
      <c r="B132" s="59">
        <v>451.0</v>
      </c>
      <c r="C132" s="60" t="s">
        <v>50</v>
      </c>
      <c r="D132" s="61">
        <v>46069.0</v>
      </c>
      <c r="E132" s="62" t="str">
        <f t="shared" si="5"/>
        <v>2026</v>
      </c>
      <c r="F132" s="62" t="str">
        <f t="shared" si="6"/>
        <v>02 Feb</v>
      </c>
      <c r="G132" s="63">
        <v>15000.0</v>
      </c>
      <c r="H132" s="60" t="s">
        <v>32</v>
      </c>
      <c r="I132" s="64" t="s">
        <v>90</v>
      </c>
      <c r="J132" s="64" t="s">
        <v>78</v>
      </c>
      <c r="K132" s="66" t="b">
        <v>1</v>
      </c>
      <c r="L132" s="66"/>
      <c r="M132" s="67"/>
    </row>
    <row r="133" ht="22.5" customHeight="1">
      <c r="B133" s="59">
        <v>452.0</v>
      </c>
      <c r="C133" s="60" t="s">
        <v>50</v>
      </c>
      <c r="D133" s="61">
        <v>46069.0</v>
      </c>
      <c r="E133" s="62" t="str">
        <f t="shared" si="5"/>
        <v>2026</v>
      </c>
      <c r="F133" s="62" t="str">
        <f t="shared" si="6"/>
        <v>02 Feb</v>
      </c>
      <c r="G133" s="63">
        <v>200000.0</v>
      </c>
      <c r="H133" s="60" t="s">
        <v>32</v>
      </c>
      <c r="I133" s="64" t="s">
        <v>240</v>
      </c>
      <c r="J133" s="64" t="s">
        <v>74</v>
      </c>
      <c r="K133" s="66" t="b">
        <v>1</v>
      </c>
      <c r="L133" s="66"/>
      <c r="M133" s="67"/>
    </row>
    <row r="134" ht="22.5" customHeight="1">
      <c r="B134" s="59">
        <v>453.0</v>
      </c>
      <c r="C134" s="60" t="s">
        <v>50</v>
      </c>
      <c r="D134" s="61">
        <v>46069.0</v>
      </c>
      <c r="E134" s="62" t="str">
        <f t="shared" si="5"/>
        <v>2026</v>
      </c>
      <c r="F134" s="62" t="str">
        <f t="shared" si="6"/>
        <v>02 Feb</v>
      </c>
      <c r="G134" s="63">
        <v>200000.0</v>
      </c>
      <c r="H134" s="60" t="s">
        <v>32</v>
      </c>
      <c r="I134" s="64" t="s">
        <v>227</v>
      </c>
      <c r="J134" s="64" t="s">
        <v>74</v>
      </c>
      <c r="K134" s="66" t="b">
        <v>1</v>
      </c>
      <c r="L134" s="66"/>
      <c r="M134" s="67"/>
    </row>
    <row r="135" ht="22.5" customHeight="1">
      <c r="B135" s="59">
        <v>454.0</v>
      </c>
      <c r="C135" s="60" t="s">
        <v>50</v>
      </c>
      <c r="D135" s="61">
        <v>46069.0</v>
      </c>
      <c r="E135" s="62" t="str">
        <f t="shared" si="5"/>
        <v>2026</v>
      </c>
      <c r="F135" s="62" t="str">
        <f t="shared" si="6"/>
        <v>02 Feb</v>
      </c>
      <c r="G135" s="63">
        <v>90000.0</v>
      </c>
      <c r="H135" s="60" t="s">
        <v>32</v>
      </c>
      <c r="I135" s="64" t="s">
        <v>189</v>
      </c>
      <c r="J135" s="64" t="s">
        <v>74</v>
      </c>
      <c r="K135" s="66" t="b">
        <v>1</v>
      </c>
      <c r="L135" s="66"/>
      <c r="M135" s="67"/>
    </row>
    <row r="136" ht="22.5" customHeight="1">
      <c r="B136" s="59">
        <v>455.0</v>
      </c>
      <c r="C136" s="60" t="s">
        <v>50</v>
      </c>
      <c r="D136" s="61">
        <v>46071.0</v>
      </c>
      <c r="E136" s="62" t="str">
        <f t="shared" si="5"/>
        <v>2026</v>
      </c>
      <c r="F136" s="62" t="str">
        <f t="shared" si="6"/>
        <v>02 Feb</v>
      </c>
      <c r="G136" s="63">
        <v>30000.0</v>
      </c>
      <c r="H136" s="60" t="s">
        <v>32</v>
      </c>
      <c r="I136" s="64" t="s">
        <v>90</v>
      </c>
      <c r="J136" s="64" t="s">
        <v>78</v>
      </c>
      <c r="K136" s="66" t="b">
        <v>1</v>
      </c>
      <c r="L136" s="66"/>
      <c r="M136" s="67"/>
    </row>
    <row r="137" ht="22.5" customHeight="1">
      <c r="B137" s="59">
        <v>456.0</v>
      </c>
      <c r="C137" s="60" t="s">
        <v>50</v>
      </c>
      <c r="D137" s="61">
        <v>46074.0</v>
      </c>
      <c r="E137" s="62" t="str">
        <f t="shared" si="5"/>
        <v>2026</v>
      </c>
      <c r="F137" s="62" t="str">
        <f t="shared" si="6"/>
        <v>02 Feb</v>
      </c>
      <c r="G137" s="63">
        <v>15000.0</v>
      </c>
      <c r="H137" s="60" t="s">
        <v>32</v>
      </c>
      <c r="I137" s="64" t="s">
        <v>90</v>
      </c>
      <c r="J137" s="64" t="s">
        <v>78</v>
      </c>
      <c r="K137" s="66" t="b">
        <v>1</v>
      </c>
      <c r="L137" s="66"/>
      <c r="M137" s="67"/>
    </row>
    <row r="138" ht="22.5" customHeight="1">
      <c r="B138" s="59">
        <v>457.0</v>
      </c>
      <c r="C138" s="60" t="s">
        <v>50</v>
      </c>
      <c r="D138" s="61">
        <v>46074.0</v>
      </c>
      <c r="E138" s="62" t="str">
        <f t="shared" si="5"/>
        <v>2026</v>
      </c>
      <c r="F138" s="62" t="str">
        <f t="shared" si="6"/>
        <v>02 Feb</v>
      </c>
      <c r="G138" s="63">
        <v>92000.0</v>
      </c>
      <c r="H138" s="60" t="s">
        <v>32</v>
      </c>
      <c r="I138" s="64" t="s">
        <v>244</v>
      </c>
      <c r="J138" s="64" t="s">
        <v>74</v>
      </c>
      <c r="K138" s="66" t="b">
        <v>1</v>
      </c>
      <c r="L138" s="66"/>
      <c r="M138" s="67"/>
    </row>
    <row r="139" ht="22.5" customHeight="1">
      <c r="B139" s="59">
        <v>458.0</v>
      </c>
      <c r="C139" s="60" t="s">
        <v>50</v>
      </c>
      <c r="D139" s="61">
        <v>46074.0</v>
      </c>
      <c r="E139" s="62" t="str">
        <f t="shared" si="5"/>
        <v>2026</v>
      </c>
      <c r="F139" s="62" t="str">
        <f t="shared" si="6"/>
        <v>02 Feb</v>
      </c>
      <c r="G139" s="63">
        <v>31000.0</v>
      </c>
      <c r="H139" s="60" t="s">
        <v>32</v>
      </c>
      <c r="I139" s="64" t="s">
        <v>244</v>
      </c>
      <c r="J139" s="64" t="s">
        <v>74</v>
      </c>
      <c r="K139" s="66" t="b">
        <v>1</v>
      </c>
      <c r="L139" s="66"/>
      <c r="M139" s="67"/>
    </row>
    <row r="140" ht="22.5" customHeight="1">
      <c r="B140" s="59">
        <v>459.0</v>
      </c>
      <c r="C140" s="60" t="s">
        <v>50</v>
      </c>
      <c r="D140" s="61">
        <v>46074.0</v>
      </c>
      <c r="E140" s="62" t="str">
        <f t="shared" si="5"/>
        <v>2026</v>
      </c>
      <c r="F140" s="62" t="str">
        <f t="shared" si="6"/>
        <v>02 Feb</v>
      </c>
      <c r="G140" s="63">
        <v>50000.0</v>
      </c>
      <c r="H140" s="60" t="s">
        <v>32</v>
      </c>
      <c r="I140" s="64" t="s">
        <v>244</v>
      </c>
      <c r="J140" s="64" t="s">
        <v>74</v>
      </c>
      <c r="K140" s="66" t="b">
        <v>1</v>
      </c>
      <c r="L140" s="66"/>
      <c r="M140" s="67"/>
    </row>
    <row r="141" ht="22.5" customHeight="1">
      <c r="B141" s="59">
        <v>460.0</v>
      </c>
      <c r="C141" s="60" t="s">
        <v>50</v>
      </c>
      <c r="D141" s="61">
        <v>46074.0</v>
      </c>
      <c r="E141" s="62" t="str">
        <f t="shared" si="5"/>
        <v>2026</v>
      </c>
      <c r="F141" s="62" t="str">
        <f t="shared" si="6"/>
        <v>02 Feb</v>
      </c>
      <c r="G141" s="63">
        <v>300000.0</v>
      </c>
      <c r="H141" s="60" t="s">
        <v>32</v>
      </c>
      <c r="I141" s="64" t="s">
        <v>240</v>
      </c>
      <c r="J141" s="64" t="s">
        <v>74</v>
      </c>
      <c r="K141" s="66" t="b">
        <v>1</v>
      </c>
      <c r="L141" s="66"/>
      <c r="M141" s="67"/>
    </row>
    <row r="142" ht="22.5" customHeight="1">
      <c r="B142" s="59">
        <v>461.0</v>
      </c>
      <c r="C142" s="60" t="s">
        <v>79</v>
      </c>
      <c r="D142" s="61">
        <v>46075.0</v>
      </c>
      <c r="E142" s="62" t="str">
        <f t="shared" si="5"/>
        <v>2026</v>
      </c>
      <c r="F142" s="62" t="str">
        <f t="shared" si="6"/>
        <v>02 Feb</v>
      </c>
      <c r="G142" s="63">
        <v>50000.0</v>
      </c>
      <c r="H142" s="60" t="s">
        <v>32</v>
      </c>
      <c r="I142" s="64" t="s">
        <v>184</v>
      </c>
      <c r="J142" s="64" t="s">
        <v>78</v>
      </c>
      <c r="K142" s="66" t="b">
        <v>1</v>
      </c>
      <c r="L142" s="66"/>
      <c r="M142" s="67"/>
    </row>
    <row r="143" ht="22.5" customHeight="1">
      <c r="B143" s="59">
        <v>462.0</v>
      </c>
      <c r="C143" s="60" t="s">
        <v>50</v>
      </c>
      <c r="D143" s="61">
        <v>46075.0</v>
      </c>
      <c r="E143" s="62" t="str">
        <f t="shared" si="5"/>
        <v>2026</v>
      </c>
      <c r="F143" s="62" t="str">
        <f t="shared" si="6"/>
        <v>02 Feb</v>
      </c>
      <c r="G143" s="63">
        <v>150000.0</v>
      </c>
      <c r="H143" s="60" t="s">
        <v>32</v>
      </c>
      <c r="I143" s="64" t="s">
        <v>247</v>
      </c>
      <c r="J143" s="64" t="s">
        <v>78</v>
      </c>
      <c r="K143" s="66" t="b">
        <v>1</v>
      </c>
      <c r="L143" s="66"/>
      <c r="M143" s="67"/>
    </row>
    <row r="144" ht="22.5" customHeight="1">
      <c r="B144" s="59">
        <v>463.0</v>
      </c>
      <c r="C144" s="60" t="s">
        <v>50</v>
      </c>
      <c r="D144" s="61">
        <v>46075.0</v>
      </c>
      <c r="E144" s="62" t="str">
        <f t="shared" si="5"/>
        <v>2026</v>
      </c>
      <c r="F144" s="62" t="str">
        <f t="shared" si="6"/>
        <v>02 Feb</v>
      </c>
      <c r="G144" s="63">
        <v>300000.0</v>
      </c>
      <c r="H144" s="60" t="s">
        <v>32</v>
      </c>
      <c r="I144" s="64" t="s">
        <v>240</v>
      </c>
      <c r="J144" s="64" t="s">
        <v>74</v>
      </c>
      <c r="K144" s="66" t="b">
        <v>1</v>
      </c>
      <c r="L144" s="66"/>
      <c r="M144" s="67"/>
    </row>
    <row r="145" ht="22.5" customHeight="1">
      <c r="B145" s="59">
        <v>464.0</v>
      </c>
      <c r="C145" s="60" t="s">
        <v>39</v>
      </c>
      <c r="D145" s="61">
        <v>46076.0</v>
      </c>
      <c r="E145" s="62" t="str">
        <f t="shared" si="5"/>
        <v>2026</v>
      </c>
      <c r="F145" s="62" t="str">
        <f t="shared" si="6"/>
        <v>02 Feb</v>
      </c>
      <c r="G145" s="63">
        <v>15000.0</v>
      </c>
      <c r="H145" s="60" t="s">
        <v>32</v>
      </c>
      <c r="I145" s="64" t="s">
        <v>90</v>
      </c>
      <c r="J145" s="64" t="s">
        <v>78</v>
      </c>
      <c r="K145" s="66" t="b">
        <v>1</v>
      </c>
      <c r="L145" s="66"/>
      <c r="M145" s="67"/>
    </row>
    <row r="146" ht="22.5" customHeight="1">
      <c r="B146" s="59">
        <v>465.0</v>
      </c>
      <c r="C146" s="60" t="s">
        <v>39</v>
      </c>
      <c r="D146" s="61">
        <v>46076.0</v>
      </c>
      <c r="E146" s="62" t="str">
        <f t="shared" si="5"/>
        <v>2026</v>
      </c>
      <c r="F146" s="62" t="str">
        <f t="shared" si="6"/>
        <v>02 Feb</v>
      </c>
      <c r="G146" s="63">
        <v>50000.0</v>
      </c>
      <c r="H146" s="60" t="s">
        <v>32</v>
      </c>
      <c r="I146" s="64" t="s">
        <v>248</v>
      </c>
      <c r="J146" s="64" t="s">
        <v>78</v>
      </c>
      <c r="K146" s="66" t="b">
        <v>1</v>
      </c>
      <c r="L146" s="66"/>
      <c r="M146" s="67"/>
    </row>
    <row r="147" ht="22.5" customHeight="1">
      <c r="B147" s="59">
        <v>466.0</v>
      </c>
      <c r="C147" s="60" t="s">
        <v>39</v>
      </c>
      <c r="D147" s="61">
        <v>46077.0</v>
      </c>
      <c r="E147" s="62" t="str">
        <f t="shared" si="5"/>
        <v>2026</v>
      </c>
      <c r="F147" s="62" t="str">
        <f t="shared" si="6"/>
        <v>02 Feb</v>
      </c>
      <c r="G147" s="63">
        <v>100000.0</v>
      </c>
      <c r="H147" s="60" t="s">
        <v>32</v>
      </c>
      <c r="I147" s="64" t="s">
        <v>249</v>
      </c>
      <c r="J147" s="64" t="s">
        <v>74</v>
      </c>
      <c r="K147" s="66" t="b">
        <v>1</v>
      </c>
      <c r="L147" s="66"/>
      <c r="M147" s="67"/>
    </row>
    <row r="148" ht="22.5" customHeight="1">
      <c r="B148" s="59">
        <v>467.0</v>
      </c>
      <c r="C148" s="60" t="s">
        <v>39</v>
      </c>
      <c r="D148" s="61">
        <v>46077.0</v>
      </c>
      <c r="E148" s="62" t="str">
        <f t="shared" si="5"/>
        <v>2026</v>
      </c>
      <c r="F148" s="62" t="str">
        <f t="shared" si="6"/>
        <v>02 Feb</v>
      </c>
      <c r="G148" s="63">
        <v>100000.0</v>
      </c>
      <c r="H148" s="60" t="s">
        <v>32</v>
      </c>
      <c r="I148" s="64" t="s">
        <v>250</v>
      </c>
      <c r="J148" s="64" t="s">
        <v>74</v>
      </c>
      <c r="K148" s="66" t="b">
        <v>1</v>
      </c>
      <c r="L148" s="66"/>
      <c r="M148" s="67"/>
    </row>
    <row r="149" ht="22.5" customHeight="1">
      <c r="B149" s="59">
        <v>468.0</v>
      </c>
      <c r="C149" s="60" t="s">
        <v>50</v>
      </c>
      <c r="D149" s="61">
        <v>46078.0</v>
      </c>
      <c r="E149" s="62" t="str">
        <f t="shared" si="5"/>
        <v>2026</v>
      </c>
      <c r="F149" s="62" t="str">
        <f t="shared" si="6"/>
        <v>02 Feb</v>
      </c>
      <c r="G149" s="63">
        <v>15000.0</v>
      </c>
      <c r="H149" s="60" t="s">
        <v>32</v>
      </c>
      <c r="I149" s="64" t="s">
        <v>90</v>
      </c>
      <c r="J149" s="64" t="s">
        <v>78</v>
      </c>
      <c r="K149" s="66" t="b">
        <v>1</v>
      </c>
      <c r="L149" s="66"/>
      <c r="M149" s="67"/>
    </row>
    <row r="150" ht="22.5" customHeight="1">
      <c r="B150" s="59">
        <v>469.0</v>
      </c>
      <c r="C150" s="60" t="s">
        <v>50</v>
      </c>
      <c r="D150" s="61">
        <v>46078.0</v>
      </c>
      <c r="E150" s="62" t="str">
        <f t="shared" si="5"/>
        <v>2026</v>
      </c>
      <c r="F150" s="62" t="str">
        <f t="shared" si="6"/>
        <v>02 Feb</v>
      </c>
      <c r="G150" s="63">
        <v>50000.0</v>
      </c>
      <c r="H150" s="60" t="s">
        <v>32</v>
      </c>
      <c r="I150" s="64" t="s">
        <v>252</v>
      </c>
      <c r="J150" s="64" t="s">
        <v>78</v>
      </c>
      <c r="K150" s="66" t="b">
        <v>1</v>
      </c>
      <c r="L150" s="66"/>
      <c r="M150" s="67"/>
    </row>
    <row r="151" ht="22.5" customHeight="1">
      <c r="B151" s="59">
        <v>470.0</v>
      </c>
      <c r="C151" s="60" t="s">
        <v>39</v>
      </c>
      <c r="D151" s="61">
        <v>46079.0</v>
      </c>
      <c r="E151" s="62" t="str">
        <f t="shared" si="5"/>
        <v>2026</v>
      </c>
      <c r="F151" s="62" t="str">
        <f t="shared" si="6"/>
        <v>02 Feb</v>
      </c>
      <c r="G151" s="63">
        <v>15000.0</v>
      </c>
      <c r="H151" s="60" t="s">
        <v>32</v>
      </c>
      <c r="I151" s="64" t="s">
        <v>90</v>
      </c>
      <c r="J151" s="64" t="s">
        <v>78</v>
      </c>
      <c r="K151" s="66" t="b">
        <v>1</v>
      </c>
      <c r="L151" s="66"/>
      <c r="M151" s="67"/>
    </row>
    <row r="152" ht="22.5" customHeight="1">
      <c r="B152" s="59">
        <v>471.0</v>
      </c>
      <c r="C152" s="60" t="s">
        <v>50</v>
      </c>
      <c r="D152" s="61">
        <v>46079.0</v>
      </c>
      <c r="E152" s="62" t="str">
        <f t="shared" si="5"/>
        <v>2026</v>
      </c>
      <c r="F152" s="62" t="str">
        <f t="shared" si="6"/>
        <v>02 Feb</v>
      </c>
      <c r="G152" s="63">
        <v>200000.0</v>
      </c>
      <c r="H152" s="60" t="s">
        <v>32</v>
      </c>
      <c r="I152" s="64" t="s">
        <v>253</v>
      </c>
      <c r="J152" s="64" t="s">
        <v>74</v>
      </c>
      <c r="K152" s="66" t="b">
        <v>1</v>
      </c>
      <c r="L152" s="66"/>
      <c r="M152" s="67"/>
    </row>
    <row r="153" ht="22.5" customHeight="1">
      <c r="B153" s="59">
        <v>472.0</v>
      </c>
      <c r="C153" s="60" t="s">
        <v>50</v>
      </c>
      <c r="D153" s="61">
        <v>46079.0</v>
      </c>
      <c r="E153" s="62" t="str">
        <f t="shared" si="5"/>
        <v>2026</v>
      </c>
      <c r="F153" s="62" t="str">
        <f t="shared" si="6"/>
        <v>02 Feb</v>
      </c>
      <c r="G153" s="63">
        <v>300000.0</v>
      </c>
      <c r="H153" s="60" t="s">
        <v>32</v>
      </c>
      <c r="I153" s="64" t="s">
        <v>240</v>
      </c>
      <c r="J153" s="64" t="s">
        <v>74</v>
      </c>
      <c r="K153" s="66" t="b">
        <v>1</v>
      </c>
      <c r="L153" s="66"/>
      <c r="M153" s="67"/>
    </row>
    <row r="154" ht="22.5" customHeight="1">
      <c r="B154" s="59">
        <v>473.0</v>
      </c>
      <c r="C154" s="60" t="s">
        <v>50</v>
      </c>
      <c r="D154" s="61">
        <v>46080.0</v>
      </c>
      <c r="E154" s="62" t="str">
        <f t="shared" si="5"/>
        <v>2026</v>
      </c>
      <c r="F154" s="62" t="str">
        <f t="shared" si="6"/>
        <v>02 Feb</v>
      </c>
      <c r="G154" s="63">
        <v>100000.0</v>
      </c>
      <c r="H154" s="60" t="s">
        <v>32</v>
      </c>
      <c r="I154" s="64" t="s">
        <v>50</v>
      </c>
      <c r="J154" s="64" t="s">
        <v>74</v>
      </c>
      <c r="K154" s="66" t="b">
        <v>1</v>
      </c>
      <c r="L154" s="66"/>
      <c r="M154" s="67"/>
    </row>
    <row r="155" ht="22.5" customHeight="1">
      <c r="B155" s="59">
        <v>474.0</v>
      </c>
      <c r="C155" s="60" t="s">
        <v>79</v>
      </c>
      <c r="D155" s="61">
        <v>46081.0</v>
      </c>
      <c r="E155" s="62" t="str">
        <f t="shared" si="5"/>
        <v>2026</v>
      </c>
      <c r="F155" s="62" t="str">
        <f t="shared" si="6"/>
        <v>02 Feb</v>
      </c>
      <c r="G155" s="63">
        <v>300000.0</v>
      </c>
      <c r="H155" s="60" t="s">
        <v>32</v>
      </c>
      <c r="I155" s="64" t="s">
        <v>129</v>
      </c>
      <c r="J155" s="64" t="s">
        <v>74</v>
      </c>
      <c r="K155" s="66" t="b">
        <v>1</v>
      </c>
      <c r="L155" s="66"/>
      <c r="M155" s="67"/>
    </row>
    <row r="156" ht="22.5" customHeight="1">
      <c r="B156" s="59">
        <v>475.0</v>
      </c>
      <c r="C156" s="60" t="s">
        <v>39</v>
      </c>
      <c r="D156" s="61">
        <v>46081.0</v>
      </c>
      <c r="E156" s="62" t="str">
        <f t="shared" si="5"/>
        <v>2026</v>
      </c>
      <c r="F156" s="62" t="str">
        <f t="shared" si="6"/>
        <v>02 Feb</v>
      </c>
      <c r="G156" s="63">
        <v>100000.0</v>
      </c>
      <c r="H156" s="60" t="s">
        <v>32</v>
      </c>
      <c r="I156" s="64" t="s">
        <v>244</v>
      </c>
      <c r="J156" s="64" t="s">
        <v>74</v>
      </c>
      <c r="K156" s="66" t="b">
        <v>1</v>
      </c>
      <c r="L156" s="66"/>
      <c r="M156" s="67"/>
    </row>
    <row r="157" ht="22.5" customHeight="1">
      <c r="B157" s="59">
        <v>476.0</v>
      </c>
      <c r="C157" s="60" t="s">
        <v>50</v>
      </c>
      <c r="D157" s="61">
        <v>46082.0</v>
      </c>
      <c r="E157" s="62" t="str">
        <f t="shared" si="5"/>
        <v>2026</v>
      </c>
      <c r="F157" s="62" t="str">
        <f t="shared" si="6"/>
        <v>03 Mar</v>
      </c>
      <c r="G157" s="63">
        <v>50000.0</v>
      </c>
      <c r="H157" s="60" t="s">
        <v>32</v>
      </c>
      <c r="I157" s="64" t="s">
        <v>244</v>
      </c>
      <c r="J157" s="64" t="s">
        <v>74</v>
      </c>
      <c r="K157" s="66" t="b">
        <v>1</v>
      </c>
      <c r="L157" s="66"/>
      <c r="M157" s="67"/>
    </row>
    <row r="158" ht="22.5" customHeight="1">
      <c r="B158" s="59">
        <v>477.0</v>
      </c>
      <c r="C158" s="60" t="s">
        <v>50</v>
      </c>
      <c r="D158" s="61">
        <v>46082.0</v>
      </c>
      <c r="E158" s="62" t="str">
        <f t="shared" si="5"/>
        <v>2026</v>
      </c>
      <c r="F158" s="62" t="str">
        <f t="shared" si="6"/>
        <v>03 Mar</v>
      </c>
      <c r="G158" s="63">
        <v>300000.0</v>
      </c>
      <c r="H158" s="60" t="s">
        <v>32</v>
      </c>
      <c r="I158" s="64" t="s">
        <v>240</v>
      </c>
      <c r="J158" s="64" t="s">
        <v>74</v>
      </c>
      <c r="K158" s="66" t="b">
        <v>1</v>
      </c>
      <c r="L158" s="66"/>
      <c r="M158" s="67"/>
    </row>
    <row r="159" ht="22.5" customHeight="1">
      <c r="B159" s="59">
        <v>478.0</v>
      </c>
      <c r="C159" s="60" t="s">
        <v>50</v>
      </c>
      <c r="D159" s="61">
        <v>46082.0</v>
      </c>
      <c r="E159" s="62" t="str">
        <f t="shared" si="5"/>
        <v>2026</v>
      </c>
      <c r="F159" s="62" t="str">
        <f t="shared" si="6"/>
        <v>03 Mar</v>
      </c>
      <c r="G159" s="63">
        <v>30000.0</v>
      </c>
      <c r="H159" s="60" t="s">
        <v>32</v>
      </c>
      <c r="I159" s="64" t="s">
        <v>257</v>
      </c>
      <c r="J159" s="64" t="s">
        <v>74</v>
      </c>
      <c r="K159" s="66" t="b">
        <v>1</v>
      </c>
      <c r="L159" s="66"/>
      <c r="M159" s="67"/>
    </row>
    <row r="160" ht="22.5" customHeight="1">
      <c r="B160" s="59">
        <v>479.0</v>
      </c>
      <c r="C160" s="60" t="s">
        <v>50</v>
      </c>
      <c r="D160" s="61">
        <v>46083.0</v>
      </c>
      <c r="E160" s="62" t="str">
        <f t="shared" si="5"/>
        <v>2026</v>
      </c>
      <c r="F160" s="62" t="str">
        <f t="shared" si="6"/>
        <v>03 Mar</v>
      </c>
      <c r="G160" s="63">
        <v>15000.0</v>
      </c>
      <c r="H160" s="60" t="s">
        <v>32</v>
      </c>
      <c r="I160" s="64" t="s">
        <v>259</v>
      </c>
      <c r="J160" s="64" t="s">
        <v>78</v>
      </c>
      <c r="K160" s="66" t="b">
        <v>1</v>
      </c>
      <c r="L160" s="66"/>
      <c r="M160" s="67"/>
    </row>
    <row r="161" ht="22.5" customHeight="1">
      <c r="B161" s="59">
        <v>480.0</v>
      </c>
      <c r="C161" s="60" t="s">
        <v>50</v>
      </c>
      <c r="D161" s="61">
        <v>46084.0</v>
      </c>
      <c r="E161" s="62" t="str">
        <f t="shared" si="5"/>
        <v>2026</v>
      </c>
      <c r="F161" s="62" t="str">
        <f t="shared" si="6"/>
        <v>03 Mar</v>
      </c>
      <c r="G161" s="63">
        <v>15000.0</v>
      </c>
      <c r="H161" s="60" t="s">
        <v>32</v>
      </c>
      <c r="I161" s="64" t="s">
        <v>90</v>
      </c>
      <c r="J161" s="64" t="s">
        <v>78</v>
      </c>
      <c r="K161" s="66" t="b">
        <v>1</v>
      </c>
      <c r="L161" s="66"/>
      <c r="M161" s="67"/>
    </row>
    <row r="162" ht="22.5" customHeight="1">
      <c r="B162" s="59">
        <v>481.0</v>
      </c>
      <c r="C162" s="60" t="s">
        <v>50</v>
      </c>
      <c r="D162" s="61">
        <v>46084.0</v>
      </c>
      <c r="E162" s="62" t="str">
        <f t="shared" si="5"/>
        <v>2026</v>
      </c>
      <c r="F162" s="62" t="str">
        <f t="shared" si="6"/>
        <v>03 Mar</v>
      </c>
      <c r="G162" s="63">
        <v>50000.0</v>
      </c>
      <c r="H162" s="60" t="s">
        <v>32</v>
      </c>
      <c r="I162" s="64" t="s">
        <v>213</v>
      </c>
      <c r="J162" s="64" t="s">
        <v>78</v>
      </c>
      <c r="K162" s="66" t="b">
        <v>1</v>
      </c>
      <c r="L162" s="66"/>
      <c r="M162" s="67"/>
    </row>
    <row r="163" ht="22.5" customHeight="1">
      <c r="B163" s="59">
        <v>482.0</v>
      </c>
      <c r="C163" s="60" t="s">
        <v>50</v>
      </c>
      <c r="D163" s="61">
        <v>46084.0</v>
      </c>
      <c r="E163" s="62" t="str">
        <f t="shared" si="5"/>
        <v>2026</v>
      </c>
      <c r="F163" s="62" t="str">
        <f t="shared" si="6"/>
        <v>03 Mar</v>
      </c>
      <c r="G163" s="63">
        <v>100000.0</v>
      </c>
      <c r="H163" s="60" t="s">
        <v>32</v>
      </c>
      <c r="I163" s="64" t="s">
        <v>50</v>
      </c>
      <c r="J163" s="64" t="s">
        <v>78</v>
      </c>
      <c r="K163" s="66" t="b">
        <v>1</v>
      </c>
      <c r="L163" s="66"/>
      <c r="M163" s="67"/>
    </row>
    <row r="164" ht="22.5" customHeight="1">
      <c r="B164" s="59">
        <v>483.0</v>
      </c>
      <c r="C164" s="60" t="s">
        <v>39</v>
      </c>
      <c r="D164" s="61">
        <v>46084.0</v>
      </c>
      <c r="E164" s="62" t="str">
        <f t="shared" si="5"/>
        <v>2026</v>
      </c>
      <c r="F164" s="62" t="str">
        <f t="shared" si="6"/>
        <v>03 Mar</v>
      </c>
      <c r="G164" s="63">
        <v>100000.0</v>
      </c>
      <c r="H164" s="60" t="s">
        <v>32</v>
      </c>
      <c r="I164" s="64" t="s">
        <v>50</v>
      </c>
      <c r="J164" s="64" t="s">
        <v>262</v>
      </c>
      <c r="K164" s="66" t="b">
        <v>1</v>
      </c>
      <c r="L164" s="66"/>
      <c r="M164" s="67"/>
    </row>
    <row r="165" ht="22.5" customHeight="1">
      <c r="B165" s="59">
        <v>484.0</v>
      </c>
      <c r="C165" s="60" t="s">
        <v>39</v>
      </c>
      <c r="D165" s="61">
        <v>46084.0</v>
      </c>
      <c r="E165" s="62" t="str">
        <f t="shared" si="5"/>
        <v>2026</v>
      </c>
      <c r="F165" s="62" t="str">
        <f t="shared" si="6"/>
        <v>03 Mar</v>
      </c>
      <c r="G165" s="63">
        <v>15000.0</v>
      </c>
      <c r="H165" s="60" t="s">
        <v>32</v>
      </c>
      <c r="I165" s="64" t="s">
        <v>90</v>
      </c>
      <c r="J165" s="64" t="s">
        <v>78</v>
      </c>
      <c r="K165" s="66" t="b">
        <v>1</v>
      </c>
      <c r="L165" s="66"/>
      <c r="M165" s="67"/>
    </row>
    <row r="166" ht="22.5" customHeight="1">
      <c r="B166" s="59">
        <v>485.0</v>
      </c>
      <c r="C166" s="60" t="s">
        <v>39</v>
      </c>
      <c r="D166" s="61">
        <v>46097.0</v>
      </c>
      <c r="E166" s="62" t="str">
        <f t="shared" si="5"/>
        <v>2026</v>
      </c>
      <c r="F166" s="62" t="str">
        <f t="shared" si="6"/>
        <v>03 Mar</v>
      </c>
      <c r="G166" s="63">
        <v>42500.0</v>
      </c>
      <c r="H166" s="60" t="s">
        <v>32</v>
      </c>
      <c r="I166" s="64" t="s">
        <v>264</v>
      </c>
      <c r="J166" s="64" t="s">
        <v>265</v>
      </c>
      <c r="K166" s="66" t="b">
        <v>1</v>
      </c>
      <c r="L166" s="66"/>
      <c r="M166" s="67"/>
    </row>
    <row r="167" ht="22.5" customHeight="1">
      <c r="B167" s="59">
        <v>486.0</v>
      </c>
      <c r="C167" s="60" t="s">
        <v>39</v>
      </c>
      <c r="D167" s="61">
        <v>46097.0</v>
      </c>
      <c r="E167" s="62" t="str">
        <f t="shared" si="5"/>
        <v>2026</v>
      </c>
      <c r="F167" s="62" t="str">
        <f t="shared" si="6"/>
        <v>03 Mar</v>
      </c>
      <c r="G167" s="63">
        <v>82000.0</v>
      </c>
      <c r="H167" s="60" t="s">
        <v>32</v>
      </c>
      <c r="I167" s="64" t="s">
        <v>266</v>
      </c>
      <c r="J167" s="64" t="s">
        <v>74</v>
      </c>
      <c r="K167" s="66" t="b">
        <v>1</v>
      </c>
      <c r="L167" s="66"/>
      <c r="M167" s="67"/>
    </row>
    <row r="168" ht="22.5" customHeight="1">
      <c r="B168" s="59">
        <v>487.0</v>
      </c>
      <c r="C168" s="60" t="s">
        <v>39</v>
      </c>
      <c r="D168" s="61">
        <v>46098.0</v>
      </c>
      <c r="E168" s="62" t="str">
        <f t="shared" si="5"/>
        <v>2026</v>
      </c>
      <c r="F168" s="62" t="str">
        <f t="shared" si="6"/>
        <v>03 Mar</v>
      </c>
      <c r="G168" s="63">
        <v>100000.0</v>
      </c>
      <c r="H168" s="60" t="s">
        <v>32</v>
      </c>
      <c r="I168" s="64" t="s">
        <v>250</v>
      </c>
      <c r="J168" s="64" t="s">
        <v>74</v>
      </c>
      <c r="K168" s="66" t="b">
        <v>1</v>
      </c>
      <c r="L168" s="66"/>
      <c r="M168" s="67"/>
    </row>
    <row r="169" ht="22.5" customHeight="1">
      <c r="B169" s="59">
        <v>488.0</v>
      </c>
      <c r="C169" s="60" t="s">
        <v>50</v>
      </c>
      <c r="D169" s="61">
        <v>46099.0</v>
      </c>
      <c r="E169" s="62" t="str">
        <f t="shared" si="5"/>
        <v>2026</v>
      </c>
      <c r="F169" s="62" t="str">
        <f t="shared" si="6"/>
        <v>03 Mar</v>
      </c>
      <c r="G169" s="63">
        <v>150000.0</v>
      </c>
      <c r="H169" s="60" t="s">
        <v>32</v>
      </c>
      <c r="I169" s="64" t="s">
        <v>268</v>
      </c>
      <c r="J169" s="64" t="s">
        <v>33</v>
      </c>
      <c r="K169" s="66" t="b">
        <v>1</v>
      </c>
      <c r="L169" s="66"/>
      <c r="M169" s="67"/>
    </row>
    <row r="170" ht="22.5" customHeight="1">
      <c r="B170" s="59">
        <v>489.0</v>
      </c>
      <c r="C170" s="60" t="s">
        <v>50</v>
      </c>
      <c r="D170" s="61">
        <v>46099.0</v>
      </c>
      <c r="E170" s="62" t="str">
        <f t="shared" si="5"/>
        <v>2026</v>
      </c>
      <c r="F170" s="62" t="str">
        <f t="shared" si="6"/>
        <v>03 Mar</v>
      </c>
      <c r="G170" s="63">
        <v>20000.0</v>
      </c>
      <c r="H170" s="60" t="s">
        <v>32</v>
      </c>
      <c r="I170" s="64" t="s">
        <v>33</v>
      </c>
      <c r="J170" s="64" t="s">
        <v>33</v>
      </c>
      <c r="K170" s="66" t="b">
        <v>1</v>
      </c>
      <c r="L170" s="66"/>
      <c r="M170" s="67"/>
    </row>
    <row r="171" ht="22.5" customHeight="1">
      <c r="B171" s="59">
        <v>490.0</v>
      </c>
      <c r="C171" s="60" t="s">
        <v>39</v>
      </c>
      <c r="D171" s="61">
        <v>46099.0</v>
      </c>
      <c r="E171" s="62" t="str">
        <f t="shared" si="5"/>
        <v>2026</v>
      </c>
      <c r="F171" s="62" t="str">
        <f t="shared" si="6"/>
        <v>03 Mar</v>
      </c>
      <c r="G171" s="63">
        <v>200000.0</v>
      </c>
      <c r="H171" s="60" t="s">
        <v>32</v>
      </c>
      <c r="I171" s="64" t="s">
        <v>240</v>
      </c>
      <c r="J171" s="64" t="s">
        <v>74</v>
      </c>
      <c r="K171" s="66" t="b">
        <v>1</v>
      </c>
      <c r="L171" s="66"/>
      <c r="M171" s="67"/>
    </row>
    <row r="172" ht="22.5" customHeight="1">
      <c r="B172" s="59">
        <v>491.0</v>
      </c>
      <c r="C172" s="60" t="s">
        <v>39</v>
      </c>
      <c r="D172" s="61">
        <v>46100.0</v>
      </c>
      <c r="E172" s="62" t="str">
        <f t="shared" si="5"/>
        <v>2026</v>
      </c>
      <c r="F172" s="62" t="str">
        <f t="shared" si="6"/>
        <v>03 Mar</v>
      </c>
      <c r="G172" s="63">
        <v>13000.0</v>
      </c>
      <c r="H172" s="60" t="s">
        <v>32</v>
      </c>
      <c r="I172" s="64" t="s">
        <v>110</v>
      </c>
      <c r="J172" s="64" t="s">
        <v>78</v>
      </c>
      <c r="K172" s="66" t="b">
        <v>1</v>
      </c>
      <c r="L172" s="66"/>
      <c r="M172" s="67"/>
    </row>
    <row r="173" ht="22.5" customHeight="1">
      <c r="B173" s="59">
        <v>492.0</v>
      </c>
      <c r="C173" s="60" t="s">
        <v>39</v>
      </c>
      <c r="D173" s="61">
        <v>46100.0</v>
      </c>
      <c r="E173" s="62" t="str">
        <f t="shared" si="5"/>
        <v>2026</v>
      </c>
      <c r="F173" s="62" t="str">
        <f t="shared" si="6"/>
        <v>03 Mar</v>
      </c>
      <c r="G173" s="63">
        <v>150000.0</v>
      </c>
      <c r="H173" s="60" t="s">
        <v>32</v>
      </c>
      <c r="I173" s="64" t="s">
        <v>270</v>
      </c>
      <c r="J173" s="64" t="s">
        <v>78</v>
      </c>
      <c r="K173" s="66" t="b">
        <v>1</v>
      </c>
      <c r="L173" s="66"/>
      <c r="M173" s="67"/>
    </row>
    <row r="174" ht="22.5" customHeight="1">
      <c r="B174" s="59">
        <v>493.0</v>
      </c>
      <c r="C174" s="60" t="s">
        <v>39</v>
      </c>
      <c r="D174" s="61">
        <v>46100.0</v>
      </c>
      <c r="E174" s="62" t="str">
        <f t="shared" si="5"/>
        <v>2026</v>
      </c>
      <c r="F174" s="62" t="str">
        <f t="shared" si="6"/>
        <v>03 Mar</v>
      </c>
      <c r="G174" s="63">
        <v>200000.0</v>
      </c>
      <c r="H174" s="60" t="s">
        <v>32</v>
      </c>
      <c r="I174" s="64" t="s">
        <v>257</v>
      </c>
      <c r="J174" s="64" t="s">
        <v>74</v>
      </c>
      <c r="K174" s="66" t="b">
        <v>1</v>
      </c>
      <c r="L174" s="66"/>
      <c r="M174" s="67"/>
    </row>
    <row r="175" ht="22.5" customHeight="1">
      <c r="B175" s="59">
        <v>494.0</v>
      </c>
      <c r="C175" s="60" t="s">
        <v>50</v>
      </c>
      <c r="D175" s="61">
        <v>46100.0</v>
      </c>
      <c r="E175" s="62" t="str">
        <f t="shared" si="5"/>
        <v>2026</v>
      </c>
      <c r="F175" s="62" t="str">
        <f t="shared" si="6"/>
        <v>03 Mar</v>
      </c>
      <c r="G175" s="63">
        <v>200000.0</v>
      </c>
      <c r="H175" s="60" t="s">
        <v>32</v>
      </c>
      <c r="I175" s="64" t="s">
        <v>272</v>
      </c>
      <c r="J175" s="64" t="s">
        <v>74</v>
      </c>
      <c r="K175" s="66" t="b">
        <v>1</v>
      </c>
      <c r="L175" s="66"/>
      <c r="M175" s="67"/>
    </row>
    <row r="176" ht="22.5" customHeight="1">
      <c r="B176" s="59">
        <v>495.0</v>
      </c>
      <c r="C176" s="60" t="s">
        <v>50</v>
      </c>
      <c r="D176" s="61">
        <v>46100.0</v>
      </c>
      <c r="E176" s="62" t="str">
        <f t="shared" si="5"/>
        <v>2026</v>
      </c>
      <c r="F176" s="62" t="str">
        <f t="shared" si="6"/>
        <v>03 Mar</v>
      </c>
      <c r="G176" s="63">
        <v>124000.0</v>
      </c>
      <c r="H176" s="60" t="s">
        <v>32</v>
      </c>
      <c r="I176" s="64" t="s">
        <v>274</v>
      </c>
      <c r="J176" s="64" t="s">
        <v>74</v>
      </c>
      <c r="K176" s="66" t="b">
        <v>1</v>
      </c>
      <c r="L176" s="66"/>
      <c r="M176" s="67"/>
    </row>
    <row r="177" ht="22.5" customHeight="1">
      <c r="B177" s="59">
        <v>496.0</v>
      </c>
      <c r="C177" s="60" t="s">
        <v>39</v>
      </c>
      <c r="D177" s="61">
        <v>46111.0</v>
      </c>
      <c r="E177" s="62" t="str">
        <f t="shared" si="5"/>
        <v>2026</v>
      </c>
      <c r="F177" s="62" t="str">
        <f t="shared" si="6"/>
        <v>03 Mar</v>
      </c>
      <c r="G177" s="63">
        <v>200000.0</v>
      </c>
      <c r="H177" s="60" t="s">
        <v>32</v>
      </c>
      <c r="I177" s="64" t="s">
        <v>275</v>
      </c>
      <c r="J177" s="64" t="s">
        <v>33</v>
      </c>
      <c r="K177" s="66" t="b">
        <v>1</v>
      </c>
      <c r="L177" s="66"/>
      <c r="M177" s="67"/>
    </row>
    <row r="178" ht="22.5" customHeight="1">
      <c r="B178" s="59">
        <v>497.0</v>
      </c>
      <c r="C178" s="60" t="s">
        <v>39</v>
      </c>
      <c r="D178" s="61">
        <v>46111.0</v>
      </c>
      <c r="E178" s="62" t="str">
        <f t="shared" si="5"/>
        <v>2026</v>
      </c>
      <c r="F178" s="62" t="str">
        <f t="shared" si="6"/>
        <v>03 Mar</v>
      </c>
      <c r="G178" s="63">
        <v>15000.0</v>
      </c>
      <c r="H178" s="60" t="s">
        <v>32</v>
      </c>
      <c r="I178" s="64" t="s">
        <v>90</v>
      </c>
      <c r="J178" s="64" t="s">
        <v>78</v>
      </c>
      <c r="K178" s="66" t="b">
        <v>1</v>
      </c>
      <c r="L178" s="66"/>
      <c r="M178" s="67"/>
    </row>
    <row r="179" ht="22.5" customHeight="1">
      <c r="B179" s="59">
        <v>498.0</v>
      </c>
      <c r="C179" s="60" t="s">
        <v>50</v>
      </c>
      <c r="D179" s="61">
        <v>46111.0</v>
      </c>
      <c r="E179" s="62" t="str">
        <f t="shared" si="5"/>
        <v>2026</v>
      </c>
      <c r="F179" s="62" t="str">
        <f t="shared" si="6"/>
        <v>03 Mar</v>
      </c>
      <c r="G179" s="63">
        <v>200000.0</v>
      </c>
      <c r="H179" s="60" t="s">
        <v>32</v>
      </c>
      <c r="I179" s="64" t="s">
        <v>240</v>
      </c>
      <c r="J179" s="64" t="s">
        <v>74</v>
      </c>
      <c r="K179" s="66" t="b">
        <v>1</v>
      </c>
      <c r="L179" s="66"/>
      <c r="M179" s="67"/>
    </row>
    <row r="180" ht="22.5" customHeight="1">
      <c r="B180" s="59">
        <v>499.0</v>
      </c>
      <c r="C180" s="60" t="s">
        <v>39</v>
      </c>
      <c r="D180" s="61">
        <v>46113.0</v>
      </c>
      <c r="E180" s="62" t="str">
        <f t="shared" si="5"/>
        <v>2026</v>
      </c>
      <c r="F180" s="62" t="str">
        <f t="shared" si="6"/>
        <v>04 Apr</v>
      </c>
      <c r="G180" s="63">
        <v>30000.0</v>
      </c>
      <c r="H180" s="60" t="s">
        <v>32</v>
      </c>
      <c r="I180" s="64" t="s">
        <v>278</v>
      </c>
      <c r="J180" s="64" t="s">
        <v>74</v>
      </c>
      <c r="K180" s="66" t="b">
        <v>1</v>
      </c>
      <c r="L180" s="66"/>
      <c r="M180" s="67"/>
    </row>
    <row r="181" ht="22.5" customHeight="1">
      <c r="B181" s="59">
        <v>500.0</v>
      </c>
      <c r="C181" s="60" t="s">
        <v>39</v>
      </c>
      <c r="D181" s="61">
        <v>46116.0</v>
      </c>
      <c r="E181" s="62" t="str">
        <f t="shared" si="5"/>
        <v>2026</v>
      </c>
      <c r="F181" s="62" t="str">
        <f t="shared" si="6"/>
        <v>04 Apr</v>
      </c>
      <c r="G181" s="63">
        <v>50000.0</v>
      </c>
      <c r="H181" s="60" t="s">
        <v>32</v>
      </c>
      <c r="I181" s="64" t="s">
        <v>39</v>
      </c>
      <c r="J181" s="64" t="s">
        <v>74</v>
      </c>
      <c r="K181" s="66" t="b">
        <v>1</v>
      </c>
      <c r="L181" s="66"/>
      <c r="M181" s="67"/>
    </row>
    <row r="182" ht="22.5" customHeight="1">
      <c r="B182" s="59">
        <v>501.0</v>
      </c>
      <c r="C182" s="60" t="s">
        <v>39</v>
      </c>
      <c r="D182" s="61">
        <v>46118.0</v>
      </c>
      <c r="E182" s="62" t="str">
        <f t="shared" si="5"/>
        <v>2026</v>
      </c>
      <c r="F182" s="62" t="str">
        <f t="shared" si="6"/>
        <v>04 Apr</v>
      </c>
      <c r="G182" s="63">
        <v>300000.0</v>
      </c>
      <c r="H182" s="60" t="s">
        <v>32</v>
      </c>
      <c r="I182" s="64" t="s">
        <v>280</v>
      </c>
      <c r="J182" s="64" t="s">
        <v>74</v>
      </c>
      <c r="K182" s="66" t="b">
        <v>1</v>
      </c>
      <c r="L182" s="66"/>
      <c r="M182" s="67"/>
    </row>
    <row r="183" ht="22.5" customHeight="1">
      <c r="B183" s="59">
        <v>502.0</v>
      </c>
      <c r="C183" s="60" t="s">
        <v>39</v>
      </c>
      <c r="D183" s="61">
        <v>46118.0</v>
      </c>
      <c r="E183" s="62" t="str">
        <f t="shared" si="5"/>
        <v>2026</v>
      </c>
      <c r="F183" s="62" t="str">
        <f t="shared" si="6"/>
        <v>04 Apr</v>
      </c>
      <c r="G183" s="63">
        <v>200000.0</v>
      </c>
      <c r="H183" s="60" t="s">
        <v>32</v>
      </c>
      <c r="I183" s="64" t="s">
        <v>281</v>
      </c>
      <c r="J183" s="64" t="s">
        <v>78</v>
      </c>
      <c r="K183" s="66" t="b">
        <v>1</v>
      </c>
      <c r="L183" s="66"/>
      <c r="M183" s="67"/>
    </row>
    <row r="184" ht="22.5" customHeight="1">
      <c r="B184" s="59">
        <v>503.0</v>
      </c>
      <c r="C184" s="60" t="s">
        <v>50</v>
      </c>
      <c r="D184" s="61">
        <v>46119.0</v>
      </c>
      <c r="E184" s="62" t="str">
        <f t="shared" si="5"/>
        <v>2026</v>
      </c>
      <c r="F184" s="62" t="str">
        <f t="shared" si="6"/>
        <v>04 Apr</v>
      </c>
      <c r="G184" s="63">
        <v>100000.0</v>
      </c>
      <c r="H184" s="60" t="s">
        <v>32</v>
      </c>
      <c r="I184" s="64" t="s">
        <v>266</v>
      </c>
      <c r="J184" s="64" t="s">
        <v>74</v>
      </c>
      <c r="K184" s="66" t="b">
        <v>1</v>
      </c>
      <c r="L184" s="66"/>
      <c r="M184" s="67"/>
    </row>
    <row r="185" ht="22.5" customHeight="1">
      <c r="B185" s="59">
        <v>504.0</v>
      </c>
      <c r="C185" s="60" t="s">
        <v>50</v>
      </c>
      <c r="D185" s="61">
        <v>46121.0</v>
      </c>
      <c r="E185" s="62" t="str">
        <f t="shared" si="5"/>
        <v>2026</v>
      </c>
      <c r="F185" s="62" t="str">
        <f t="shared" si="6"/>
        <v>04 Apr</v>
      </c>
      <c r="G185" s="63">
        <v>200000.0</v>
      </c>
      <c r="H185" s="60" t="s">
        <v>32</v>
      </c>
      <c r="I185" s="64" t="s">
        <v>240</v>
      </c>
      <c r="J185" s="64" t="s">
        <v>74</v>
      </c>
      <c r="K185" s="66" t="b">
        <v>1</v>
      </c>
      <c r="L185" s="66"/>
      <c r="M185" s="67"/>
    </row>
    <row r="186" ht="22.5" customHeight="1">
      <c r="B186" s="59">
        <v>505.0</v>
      </c>
      <c r="C186" s="60" t="s">
        <v>50</v>
      </c>
      <c r="D186" s="61">
        <v>46121.0</v>
      </c>
      <c r="E186" s="62" t="str">
        <f t="shared" si="5"/>
        <v>2026</v>
      </c>
      <c r="F186" s="62" t="str">
        <f t="shared" si="6"/>
        <v>04 Apr</v>
      </c>
      <c r="G186" s="63">
        <v>100000.0</v>
      </c>
      <c r="H186" s="60" t="s">
        <v>32</v>
      </c>
      <c r="I186" s="64" t="s">
        <v>244</v>
      </c>
      <c r="J186" s="64" t="s">
        <v>74</v>
      </c>
      <c r="K186" s="66" t="b">
        <v>1</v>
      </c>
      <c r="L186" s="66"/>
      <c r="M186" s="67"/>
    </row>
    <row r="187" ht="22.5" customHeight="1">
      <c r="B187" s="59">
        <v>506.0</v>
      </c>
      <c r="C187" s="60" t="s">
        <v>50</v>
      </c>
      <c r="D187" s="61">
        <v>46122.0</v>
      </c>
      <c r="E187" s="62" t="str">
        <f t="shared" si="5"/>
        <v>2026</v>
      </c>
      <c r="F187" s="62" t="str">
        <f t="shared" si="6"/>
        <v>04 Apr</v>
      </c>
      <c r="G187" s="63">
        <v>300000.0</v>
      </c>
      <c r="H187" s="60" t="s">
        <v>32</v>
      </c>
      <c r="I187" s="64" t="s">
        <v>284</v>
      </c>
      <c r="J187" s="64" t="s">
        <v>78</v>
      </c>
      <c r="K187" s="66" t="b">
        <v>1</v>
      </c>
      <c r="L187" s="66"/>
      <c r="M187" s="67"/>
    </row>
    <row r="188" ht="22.5" customHeight="1">
      <c r="B188" s="59">
        <v>507.0</v>
      </c>
      <c r="C188" s="60" t="s">
        <v>50</v>
      </c>
      <c r="D188" s="61">
        <v>46122.0</v>
      </c>
      <c r="E188" s="62" t="str">
        <f t="shared" si="5"/>
        <v>2026</v>
      </c>
      <c r="F188" s="62" t="str">
        <f t="shared" si="6"/>
        <v>04 Apr</v>
      </c>
      <c r="G188" s="63">
        <v>111000.0</v>
      </c>
      <c r="H188" s="60" t="s">
        <v>32</v>
      </c>
      <c r="I188" s="64" t="s">
        <v>286</v>
      </c>
      <c r="J188" s="64" t="s">
        <v>74</v>
      </c>
      <c r="K188" s="66" t="b">
        <v>1</v>
      </c>
      <c r="L188" s="66"/>
      <c r="M188" s="67"/>
    </row>
    <row r="189" ht="22.5" customHeight="1">
      <c r="B189" s="59">
        <v>508.0</v>
      </c>
      <c r="C189" s="60" t="s">
        <v>50</v>
      </c>
      <c r="D189" s="61">
        <v>46122.0</v>
      </c>
      <c r="E189" s="62" t="str">
        <f t="shared" si="5"/>
        <v>2026</v>
      </c>
      <c r="F189" s="62" t="str">
        <f t="shared" si="6"/>
        <v>04 Apr</v>
      </c>
      <c r="G189" s="63">
        <v>183000.0</v>
      </c>
      <c r="H189" s="60" t="s">
        <v>32</v>
      </c>
      <c r="I189" s="64" t="s">
        <v>142</v>
      </c>
      <c r="J189" s="64" t="s">
        <v>78</v>
      </c>
      <c r="K189" s="66" t="b">
        <v>1</v>
      </c>
      <c r="L189" s="66"/>
      <c r="M189" s="67"/>
    </row>
    <row r="190" ht="22.5" customHeight="1">
      <c r="B190" s="59">
        <v>509.0</v>
      </c>
      <c r="C190" s="60" t="s">
        <v>50</v>
      </c>
      <c r="D190" s="61">
        <v>46122.0</v>
      </c>
      <c r="E190" s="62" t="str">
        <f t="shared" si="5"/>
        <v>2026</v>
      </c>
      <c r="F190" s="62" t="str">
        <f t="shared" si="6"/>
        <v>04 Apr</v>
      </c>
      <c r="G190" s="63">
        <v>75000.0</v>
      </c>
      <c r="H190" s="60" t="s">
        <v>32</v>
      </c>
      <c r="I190" s="64" t="s">
        <v>287</v>
      </c>
      <c r="J190" s="64" t="s">
        <v>78</v>
      </c>
      <c r="K190" s="66" t="b">
        <v>1</v>
      </c>
      <c r="L190" s="66"/>
      <c r="M190" s="67"/>
    </row>
    <row r="191" ht="22.5" customHeight="1">
      <c r="B191" s="59">
        <v>510.0</v>
      </c>
      <c r="C191" s="60" t="s">
        <v>79</v>
      </c>
      <c r="D191" s="61">
        <v>46123.0</v>
      </c>
      <c r="E191" s="62" t="str">
        <f t="shared" si="5"/>
        <v>2026</v>
      </c>
      <c r="F191" s="62" t="str">
        <f t="shared" si="6"/>
        <v>04 Apr</v>
      </c>
      <c r="G191" s="63">
        <v>50000.0</v>
      </c>
      <c r="H191" s="60" t="s">
        <v>32</v>
      </c>
      <c r="I191" s="64" t="s">
        <v>154</v>
      </c>
      <c r="J191" s="64" t="s">
        <v>74</v>
      </c>
      <c r="K191" s="66" t="b">
        <v>1</v>
      </c>
      <c r="L191" s="66"/>
      <c r="M191" s="67"/>
    </row>
    <row r="192" ht="22.5" customHeight="1">
      <c r="B192" s="59">
        <v>511.0</v>
      </c>
      <c r="C192" s="60" t="s">
        <v>50</v>
      </c>
      <c r="D192" s="61">
        <v>46124.0</v>
      </c>
      <c r="E192" s="62" t="str">
        <f t="shared" si="5"/>
        <v>2026</v>
      </c>
      <c r="F192" s="62" t="str">
        <f t="shared" si="6"/>
        <v>04 Apr</v>
      </c>
      <c r="G192" s="63">
        <v>72000.0</v>
      </c>
      <c r="H192" s="60" t="s">
        <v>32</v>
      </c>
      <c r="I192" s="64" t="s">
        <v>286</v>
      </c>
      <c r="J192" s="64" t="s">
        <v>74</v>
      </c>
      <c r="K192" s="66" t="b">
        <v>1</v>
      </c>
      <c r="L192" s="66"/>
      <c r="M192" s="67"/>
    </row>
    <row r="193" ht="22.5" customHeight="1">
      <c r="B193" s="59">
        <v>512.0</v>
      </c>
      <c r="C193" s="60" t="s">
        <v>50</v>
      </c>
      <c r="D193" s="61">
        <v>46124.0</v>
      </c>
      <c r="E193" s="62" t="str">
        <f t="shared" si="5"/>
        <v>2026</v>
      </c>
      <c r="F193" s="62" t="str">
        <f t="shared" si="6"/>
        <v>04 Apr</v>
      </c>
      <c r="G193" s="63">
        <v>50000.0</v>
      </c>
      <c r="H193" s="60" t="s">
        <v>32</v>
      </c>
      <c r="I193" s="64" t="s">
        <v>289</v>
      </c>
      <c r="J193" s="64" t="s">
        <v>78</v>
      </c>
      <c r="K193" s="66" t="b">
        <v>1</v>
      </c>
      <c r="L193" s="66"/>
      <c r="M193" s="67"/>
    </row>
    <row r="194" ht="22.5" customHeight="1">
      <c r="B194" s="59">
        <v>513.0</v>
      </c>
      <c r="C194" s="60" t="s">
        <v>39</v>
      </c>
      <c r="D194" s="61">
        <v>46126.0</v>
      </c>
      <c r="E194" s="62" t="str">
        <f t="shared" si="5"/>
        <v>2026</v>
      </c>
      <c r="F194" s="62" t="str">
        <f t="shared" si="6"/>
        <v>04 Apr</v>
      </c>
      <c r="G194" s="63">
        <v>35000.0</v>
      </c>
      <c r="H194" s="60" t="s">
        <v>32</v>
      </c>
      <c r="I194" s="64" t="s">
        <v>289</v>
      </c>
      <c r="J194" s="64" t="s">
        <v>78</v>
      </c>
      <c r="K194" s="66" t="b">
        <v>1</v>
      </c>
      <c r="L194" s="66"/>
      <c r="M194" s="67"/>
    </row>
    <row r="195" ht="22.5" customHeight="1">
      <c r="B195" s="59">
        <v>514.0</v>
      </c>
      <c r="C195" s="60" t="s">
        <v>39</v>
      </c>
      <c r="D195" s="61">
        <v>46126.0</v>
      </c>
      <c r="E195" s="62" t="str">
        <f t="shared" si="5"/>
        <v>2026</v>
      </c>
      <c r="F195" s="62" t="str">
        <f t="shared" si="6"/>
        <v>04 Apr</v>
      </c>
      <c r="G195" s="63">
        <v>300000.0</v>
      </c>
      <c r="H195" s="60" t="s">
        <v>32</v>
      </c>
      <c r="I195" s="64" t="s">
        <v>292</v>
      </c>
      <c r="J195" s="64" t="s">
        <v>78</v>
      </c>
      <c r="K195" s="66" t="b">
        <v>1</v>
      </c>
      <c r="L195" s="66"/>
      <c r="M195" s="67"/>
    </row>
    <row r="196" ht="22.5" customHeight="1">
      <c r="B196" s="59">
        <v>515.0</v>
      </c>
      <c r="C196" s="60" t="s">
        <v>50</v>
      </c>
      <c r="D196" s="61">
        <v>46127.0</v>
      </c>
      <c r="E196" s="62" t="str">
        <f t="shared" si="5"/>
        <v>2026</v>
      </c>
      <c r="F196" s="62" t="str">
        <f t="shared" si="6"/>
        <v>04 Apr</v>
      </c>
      <c r="G196" s="63">
        <v>100000.0</v>
      </c>
      <c r="H196" s="60" t="s">
        <v>32</v>
      </c>
      <c r="I196" s="64" t="s">
        <v>293</v>
      </c>
      <c r="J196" s="64" t="s">
        <v>74</v>
      </c>
      <c r="K196" s="66" t="b">
        <v>1</v>
      </c>
      <c r="L196" s="66"/>
      <c r="M196" s="67"/>
    </row>
    <row r="197" ht="22.5" customHeight="1">
      <c r="B197" s="59">
        <v>516.0</v>
      </c>
      <c r="C197" s="60" t="s">
        <v>50</v>
      </c>
      <c r="D197" s="61">
        <v>46127.0</v>
      </c>
      <c r="E197" s="62" t="str">
        <f t="shared" si="5"/>
        <v>2026</v>
      </c>
      <c r="F197" s="62" t="str">
        <f t="shared" si="6"/>
        <v>04 Apr</v>
      </c>
      <c r="G197" s="63">
        <v>50000.0</v>
      </c>
      <c r="H197" s="60" t="s">
        <v>32</v>
      </c>
      <c r="I197" s="64" t="s">
        <v>295</v>
      </c>
      <c r="J197" s="64" t="s">
        <v>74</v>
      </c>
      <c r="K197" s="66" t="b">
        <v>1</v>
      </c>
      <c r="L197" s="66"/>
      <c r="M197" s="67"/>
    </row>
    <row r="198" ht="22.5" customHeight="1">
      <c r="B198" s="59">
        <v>517.0</v>
      </c>
      <c r="C198" s="60" t="s">
        <v>79</v>
      </c>
      <c r="D198" s="61">
        <v>46130.0</v>
      </c>
      <c r="E198" s="62" t="str">
        <f t="shared" si="5"/>
        <v>2026</v>
      </c>
      <c r="F198" s="62" t="str">
        <f t="shared" si="6"/>
        <v>04 Apr</v>
      </c>
      <c r="G198" s="63">
        <v>50000.0</v>
      </c>
      <c r="H198" s="60" t="s">
        <v>32</v>
      </c>
      <c r="I198" s="64" t="s">
        <v>296</v>
      </c>
      <c r="J198" s="64" t="s">
        <v>74</v>
      </c>
      <c r="K198" s="66" t="b">
        <v>1</v>
      </c>
      <c r="L198" s="66"/>
      <c r="M198" s="67"/>
    </row>
    <row r="199" ht="22.5" customHeight="1">
      <c r="B199" s="59">
        <v>518.0</v>
      </c>
      <c r="C199" s="60" t="s">
        <v>50</v>
      </c>
      <c r="D199" s="61">
        <v>46130.0</v>
      </c>
      <c r="E199" s="62" t="str">
        <f t="shared" si="5"/>
        <v>2026</v>
      </c>
      <c r="F199" s="62" t="str">
        <f t="shared" si="6"/>
        <v>04 Apr</v>
      </c>
      <c r="G199" s="63">
        <v>26000.0</v>
      </c>
      <c r="H199" s="60" t="s">
        <v>32</v>
      </c>
      <c r="I199" s="64" t="s">
        <v>286</v>
      </c>
      <c r="J199" s="64" t="s">
        <v>74</v>
      </c>
      <c r="K199" s="66" t="b">
        <v>1</v>
      </c>
      <c r="L199" s="66"/>
      <c r="M199" s="67"/>
    </row>
    <row r="200" ht="22.5" customHeight="1">
      <c r="B200" s="59">
        <v>519.0</v>
      </c>
      <c r="C200" s="60" t="s">
        <v>50</v>
      </c>
      <c r="D200" s="61">
        <v>46130.0</v>
      </c>
      <c r="E200" s="62" t="str">
        <f t="shared" si="5"/>
        <v>2026</v>
      </c>
      <c r="F200" s="62" t="str">
        <f t="shared" si="6"/>
        <v>04 Apr</v>
      </c>
      <c r="G200" s="63">
        <v>50000.0</v>
      </c>
      <c r="H200" s="60" t="s">
        <v>32</v>
      </c>
      <c r="I200" s="64" t="s">
        <v>286</v>
      </c>
      <c r="J200" s="64" t="s">
        <v>74</v>
      </c>
      <c r="K200" s="66" t="b">
        <v>1</v>
      </c>
      <c r="L200" s="66"/>
      <c r="M200" s="67"/>
    </row>
    <row r="201" ht="22.5" customHeight="1">
      <c r="B201" s="59">
        <v>520.0</v>
      </c>
      <c r="C201" s="60" t="s">
        <v>50</v>
      </c>
      <c r="D201" s="61">
        <v>46130.0</v>
      </c>
      <c r="E201" s="62" t="str">
        <f t="shared" si="5"/>
        <v>2026</v>
      </c>
      <c r="F201" s="62" t="str">
        <f t="shared" si="6"/>
        <v>04 Apr</v>
      </c>
      <c r="G201" s="63">
        <v>50000.0</v>
      </c>
      <c r="H201" s="60" t="s">
        <v>32</v>
      </c>
      <c r="I201" s="64" t="s">
        <v>299</v>
      </c>
      <c r="J201" s="64" t="s">
        <v>74</v>
      </c>
      <c r="K201" s="66" t="b">
        <v>1</v>
      </c>
      <c r="L201" s="66"/>
      <c r="M201" s="67"/>
    </row>
    <row r="202" ht="22.5" customHeight="1">
      <c r="B202" s="59">
        <v>521.0</v>
      </c>
      <c r="C202" s="60" t="s">
        <v>39</v>
      </c>
      <c r="D202" s="61">
        <v>46131.0</v>
      </c>
      <c r="E202" s="62" t="str">
        <f t="shared" si="5"/>
        <v>2026</v>
      </c>
      <c r="F202" s="62" t="str">
        <f t="shared" si="6"/>
        <v>04 Apr</v>
      </c>
      <c r="G202" s="63">
        <v>200000.0</v>
      </c>
      <c r="H202" s="60" t="s">
        <v>32</v>
      </c>
      <c r="I202" s="64" t="s">
        <v>240</v>
      </c>
      <c r="J202" s="64" t="s">
        <v>74</v>
      </c>
      <c r="K202" s="66" t="b">
        <v>1</v>
      </c>
      <c r="L202" s="66"/>
      <c r="M202" s="67"/>
    </row>
    <row r="203" ht="22.5" customHeight="1">
      <c r="B203" s="59">
        <v>522.0</v>
      </c>
      <c r="C203" s="60" t="s">
        <v>50</v>
      </c>
      <c r="D203" s="61">
        <v>46131.0</v>
      </c>
      <c r="E203" s="62" t="str">
        <f t="shared" si="5"/>
        <v>2026</v>
      </c>
      <c r="F203" s="62" t="str">
        <f t="shared" si="6"/>
        <v>04 Apr</v>
      </c>
      <c r="G203" s="63">
        <v>100000.0</v>
      </c>
      <c r="H203" s="60" t="s">
        <v>32</v>
      </c>
      <c r="I203" s="64" t="s">
        <v>150</v>
      </c>
      <c r="J203" s="64" t="s">
        <v>74</v>
      </c>
      <c r="K203" s="66" t="b">
        <v>1</v>
      </c>
      <c r="L203" s="66"/>
      <c r="M203" s="67"/>
    </row>
    <row r="204" ht="22.5" customHeight="1">
      <c r="B204" s="59">
        <v>523.0</v>
      </c>
      <c r="C204" s="60" t="s">
        <v>50</v>
      </c>
      <c r="D204" s="61">
        <v>46132.0</v>
      </c>
      <c r="E204" s="62" t="str">
        <f t="shared" si="5"/>
        <v>2026</v>
      </c>
      <c r="F204" s="62" t="str">
        <f t="shared" si="6"/>
        <v>04 Apr</v>
      </c>
      <c r="G204" s="63">
        <v>194000.0</v>
      </c>
      <c r="H204" s="60" t="s">
        <v>32</v>
      </c>
      <c r="I204" s="64" t="s">
        <v>302</v>
      </c>
      <c r="J204" s="64" t="s">
        <v>74</v>
      </c>
      <c r="K204" s="66" t="b">
        <v>1</v>
      </c>
      <c r="L204" s="66"/>
      <c r="M204" s="67"/>
    </row>
    <row r="205" ht="22.5" customHeight="1">
      <c r="B205" s="59">
        <v>524.0</v>
      </c>
      <c r="C205" s="60" t="s">
        <v>50</v>
      </c>
      <c r="D205" s="61">
        <v>46132.0</v>
      </c>
      <c r="E205" s="62" t="str">
        <f t="shared" si="5"/>
        <v>2026</v>
      </c>
      <c r="F205" s="62" t="str">
        <f t="shared" si="6"/>
        <v>04 Apr</v>
      </c>
      <c r="G205" s="63">
        <v>21000.0</v>
      </c>
      <c r="H205" s="60" t="s">
        <v>32</v>
      </c>
      <c r="I205" s="64" t="s">
        <v>303</v>
      </c>
      <c r="J205" s="64" t="s">
        <v>78</v>
      </c>
      <c r="K205" s="66" t="b">
        <v>1</v>
      </c>
      <c r="L205" s="66"/>
      <c r="M205" s="67"/>
    </row>
    <row r="206" ht="22.5" customHeight="1">
      <c r="B206" s="59">
        <v>525.0</v>
      </c>
      <c r="C206" s="60" t="s">
        <v>39</v>
      </c>
      <c r="D206" s="61">
        <v>46132.0</v>
      </c>
      <c r="E206" s="62" t="str">
        <f t="shared" si="5"/>
        <v>2026</v>
      </c>
      <c r="F206" s="62" t="str">
        <f t="shared" si="6"/>
        <v>04 Apr</v>
      </c>
      <c r="G206" s="63">
        <v>200000.0</v>
      </c>
      <c r="H206" s="60" t="s">
        <v>32</v>
      </c>
      <c r="I206" s="64" t="s">
        <v>280</v>
      </c>
      <c r="J206" s="64" t="s">
        <v>74</v>
      </c>
      <c r="K206" s="66" t="b">
        <v>1</v>
      </c>
      <c r="L206" s="66"/>
      <c r="M206" s="67"/>
    </row>
    <row r="207" ht="22.5" customHeight="1">
      <c r="B207" s="59">
        <v>526.0</v>
      </c>
      <c r="C207" s="60" t="s">
        <v>50</v>
      </c>
      <c r="D207" s="61">
        <v>46132.0</v>
      </c>
      <c r="E207" s="62" t="str">
        <f t="shared" si="5"/>
        <v>2026</v>
      </c>
      <c r="F207" s="62" t="str">
        <f t="shared" si="6"/>
        <v>04 Apr</v>
      </c>
      <c r="G207" s="63">
        <v>50000.0</v>
      </c>
      <c r="H207" s="60" t="s">
        <v>32</v>
      </c>
      <c r="I207" s="64" t="s">
        <v>286</v>
      </c>
      <c r="J207" s="64" t="s">
        <v>74</v>
      </c>
      <c r="K207" s="66" t="b">
        <v>1</v>
      </c>
      <c r="L207" s="66"/>
      <c r="M207" s="67"/>
    </row>
    <row r="208" ht="22.5" customHeight="1">
      <c r="B208" s="59">
        <v>527.0</v>
      </c>
      <c r="C208" s="60" t="s">
        <v>39</v>
      </c>
      <c r="D208" s="61">
        <v>46133.0</v>
      </c>
      <c r="E208" s="62" t="str">
        <f t="shared" si="5"/>
        <v>2026</v>
      </c>
      <c r="F208" s="62" t="str">
        <f t="shared" si="6"/>
        <v>04 Apr</v>
      </c>
      <c r="G208" s="63">
        <v>500000.0</v>
      </c>
      <c r="H208" s="60" t="s">
        <v>32</v>
      </c>
      <c r="I208" s="64" t="s">
        <v>280</v>
      </c>
      <c r="J208" s="64" t="s">
        <v>74</v>
      </c>
      <c r="K208" s="66" t="b">
        <v>1</v>
      </c>
      <c r="L208" s="66"/>
      <c r="M208" s="67"/>
    </row>
    <row r="209" ht="22.5" customHeight="1">
      <c r="B209" s="59">
        <v>528.0</v>
      </c>
      <c r="C209" s="60" t="s">
        <v>39</v>
      </c>
      <c r="D209" s="61">
        <v>46133.0</v>
      </c>
      <c r="E209" s="62" t="str">
        <f t="shared" si="5"/>
        <v>2026</v>
      </c>
      <c r="F209" s="62" t="str">
        <f t="shared" si="6"/>
        <v>04 Apr</v>
      </c>
      <c r="G209" s="63">
        <v>50000.0</v>
      </c>
      <c r="H209" s="60" t="s">
        <v>32</v>
      </c>
      <c r="I209" s="64" t="s">
        <v>304</v>
      </c>
      <c r="J209" s="64" t="s">
        <v>74</v>
      </c>
      <c r="K209" s="66" t="b">
        <v>1</v>
      </c>
      <c r="L209" s="66"/>
      <c r="M209" s="67"/>
    </row>
    <row r="210" ht="22.5" customHeight="1">
      <c r="B210" s="59">
        <v>529.0</v>
      </c>
      <c r="C210" s="60" t="s">
        <v>39</v>
      </c>
      <c r="D210" s="61">
        <v>46133.0</v>
      </c>
      <c r="E210" s="62" t="str">
        <f t="shared" si="5"/>
        <v>2026</v>
      </c>
      <c r="F210" s="62" t="str">
        <f t="shared" si="6"/>
        <v>04 Apr</v>
      </c>
      <c r="G210" s="63">
        <v>15000.0</v>
      </c>
      <c r="H210" s="60" t="s">
        <v>32</v>
      </c>
      <c r="I210" s="64" t="s">
        <v>90</v>
      </c>
      <c r="J210" s="64" t="s">
        <v>78</v>
      </c>
      <c r="K210" s="66" t="b">
        <v>1</v>
      </c>
      <c r="L210" s="66"/>
      <c r="M210" s="67"/>
    </row>
    <row r="211" ht="22.5" customHeight="1">
      <c r="B211" s="59">
        <v>530.0</v>
      </c>
      <c r="C211" s="60" t="s">
        <v>50</v>
      </c>
      <c r="D211" s="61">
        <v>46134.0</v>
      </c>
      <c r="E211" s="62" t="str">
        <f t="shared" si="5"/>
        <v>2026</v>
      </c>
      <c r="F211" s="62" t="str">
        <f t="shared" si="6"/>
        <v>04 Apr</v>
      </c>
      <c r="G211" s="63">
        <v>43000.0</v>
      </c>
      <c r="H211" s="60" t="s">
        <v>32</v>
      </c>
      <c r="I211" s="64" t="s">
        <v>286</v>
      </c>
      <c r="J211" s="64" t="s">
        <v>74</v>
      </c>
      <c r="K211" s="66" t="b">
        <v>1</v>
      </c>
      <c r="L211" s="66"/>
      <c r="M211" s="67"/>
    </row>
    <row r="212" ht="22.5" customHeight="1">
      <c r="B212" s="59">
        <v>531.0</v>
      </c>
      <c r="C212" s="60" t="s">
        <v>50</v>
      </c>
      <c r="D212" s="61">
        <v>46135.0</v>
      </c>
      <c r="E212" s="62" t="str">
        <f t="shared" si="5"/>
        <v>2026</v>
      </c>
      <c r="F212" s="62" t="str">
        <f t="shared" si="6"/>
        <v>04 Apr</v>
      </c>
      <c r="G212" s="63">
        <v>15000.0</v>
      </c>
      <c r="H212" s="60" t="s">
        <v>32</v>
      </c>
      <c r="I212" s="64" t="s">
        <v>90</v>
      </c>
      <c r="J212" s="64" t="s">
        <v>78</v>
      </c>
      <c r="K212" s="66" t="b">
        <v>1</v>
      </c>
      <c r="L212" s="66"/>
      <c r="M212" s="67"/>
    </row>
    <row r="213" ht="22.5" customHeight="1">
      <c r="B213" s="59">
        <v>532.0</v>
      </c>
      <c r="C213" s="60" t="s">
        <v>50</v>
      </c>
      <c r="D213" s="61">
        <v>46135.0</v>
      </c>
      <c r="E213" s="62" t="str">
        <f t="shared" si="5"/>
        <v>2026</v>
      </c>
      <c r="F213" s="62" t="str">
        <f t="shared" si="6"/>
        <v>04 Apr</v>
      </c>
      <c r="G213" s="63">
        <v>30000.0</v>
      </c>
      <c r="H213" s="60" t="s">
        <v>32</v>
      </c>
      <c r="I213" s="64" t="s">
        <v>305</v>
      </c>
      <c r="J213" s="64" t="s">
        <v>33</v>
      </c>
      <c r="K213" s="66" t="b">
        <v>1</v>
      </c>
      <c r="L213" s="66"/>
      <c r="M213" s="67"/>
    </row>
    <row r="214" ht="22.5" customHeight="1">
      <c r="B214" s="59">
        <v>533.0</v>
      </c>
      <c r="C214" s="60" t="s">
        <v>39</v>
      </c>
      <c r="D214" s="61">
        <v>46135.0</v>
      </c>
      <c r="E214" s="62" t="str">
        <f t="shared" si="5"/>
        <v>2026</v>
      </c>
      <c r="F214" s="62" t="str">
        <f t="shared" si="6"/>
        <v>04 Apr</v>
      </c>
      <c r="G214" s="63">
        <v>96000.0</v>
      </c>
      <c r="H214" s="60" t="s">
        <v>32</v>
      </c>
      <c r="I214" s="64" t="s">
        <v>204</v>
      </c>
      <c r="J214" s="64" t="s">
        <v>78</v>
      </c>
      <c r="K214" s="66" t="b">
        <v>1</v>
      </c>
      <c r="L214" s="66"/>
      <c r="M214" s="67"/>
    </row>
    <row r="215" ht="22.5" customHeight="1">
      <c r="B215" s="59">
        <v>534.0</v>
      </c>
      <c r="C215" s="60" t="s">
        <v>79</v>
      </c>
      <c r="D215" s="61">
        <v>46137.0</v>
      </c>
      <c r="E215" s="62" t="s">
        <v>23</v>
      </c>
      <c r="F215" s="62" t="s">
        <v>307</v>
      </c>
      <c r="G215" s="63">
        <v>15000.0</v>
      </c>
      <c r="H215" s="60" t="s">
        <v>32</v>
      </c>
      <c r="I215" s="64" t="s">
        <v>90</v>
      </c>
      <c r="J215" s="64" t="s">
        <v>78</v>
      </c>
      <c r="K215" s="66" t="b">
        <v>1</v>
      </c>
      <c r="L215" s="66"/>
      <c r="M215" s="67"/>
    </row>
    <row r="216" ht="22.5" customHeight="1">
      <c r="B216" s="59">
        <v>535.0</v>
      </c>
      <c r="C216" s="60" t="s">
        <v>50</v>
      </c>
      <c r="D216" s="61">
        <v>46137.0</v>
      </c>
      <c r="E216" s="62" t="str">
        <f t="shared" ref="E216:E245" si="7">if(D216="","",text(D216,"yyyy"))</f>
        <v>2026</v>
      </c>
      <c r="F216" s="62" t="str">
        <f t="shared" ref="F216:F245" si="8">if(D216="","",text(D216,"mm")&amp;" "&amp;text(D216,"mmm"))</f>
        <v>04 Apr</v>
      </c>
      <c r="G216" s="63">
        <v>50000.0</v>
      </c>
      <c r="H216" s="60" t="s">
        <v>32</v>
      </c>
      <c r="I216" s="64" t="s">
        <v>182</v>
      </c>
      <c r="J216" s="64" t="s">
        <v>74</v>
      </c>
      <c r="K216" s="66" t="b">
        <v>1</v>
      </c>
      <c r="L216" s="66"/>
      <c r="M216" s="67"/>
    </row>
    <row r="217" ht="22.5" customHeight="1">
      <c r="B217" s="59">
        <v>536.0</v>
      </c>
      <c r="C217" s="60" t="s">
        <v>79</v>
      </c>
      <c r="D217" s="61">
        <v>46138.0</v>
      </c>
      <c r="E217" s="62" t="str">
        <f t="shared" si="7"/>
        <v>2026</v>
      </c>
      <c r="F217" s="62" t="str">
        <f t="shared" si="8"/>
        <v>04 Apr</v>
      </c>
      <c r="G217" s="63">
        <v>100000.0</v>
      </c>
      <c r="H217" s="60" t="s">
        <v>32</v>
      </c>
      <c r="I217" s="64" t="s">
        <v>154</v>
      </c>
      <c r="J217" s="64" t="s">
        <v>74</v>
      </c>
      <c r="K217" s="66" t="b">
        <v>1</v>
      </c>
      <c r="L217" s="66"/>
      <c r="M217" s="67"/>
    </row>
    <row r="218" ht="22.5" customHeight="1">
      <c r="B218" s="59">
        <v>537.0</v>
      </c>
      <c r="C218" s="60" t="s">
        <v>79</v>
      </c>
      <c r="D218" s="61">
        <v>46138.0</v>
      </c>
      <c r="E218" s="62" t="str">
        <f t="shared" si="7"/>
        <v>2026</v>
      </c>
      <c r="F218" s="62" t="str">
        <f t="shared" si="8"/>
        <v>04 Apr</v>
      </c>
      <c r="G218" s="63">
        <v>50000.0</v>
      </c>
      <c r="H218" s="60" t="s">
        <v>32</v>
      </c>
      <c r="I218" s="64" t="s">
        <v>182</v>
      </c>
      <c r="J218" s="64" t="s">
        <v>74</v>
      </c>
      <c r="K218" s="66" t="b">
        <v>1</v>
      </c>
      <c r="L218" s="66"/>
      <c r="M218" s="67"/>
    </row>
    <row r="219" ht="22.5" customHeight="1">
      <c r="B219" s="59">
        <v>538.0</v>
      </c>
      <c r="C219" s="60" t="s">
        <v>50</v>
      </c>
      <c r="D219" s="61">
        <v>46141.0</v>
      </c>
      <c r="E219" s="62" t="str">
        <f t="shared" si="7"/>
        <v>2026</v>
      </c>
      <c r="F219" s="62" t="str">
        <f t="shared" si="8"/>
        <v>04 Apr</v>
      </c>
      <c r="G219" s="63">
        <v>200000.0</v>
      </c>
      <c r="H219" s="60" t="s">
        <v>32</v>
      </c>
      <c r="I219" s="64" t="s">
        <v>240</v>
      </c>
      <c r="J219" s="64" t="s">
        <v>74</v>
      </c>
      <c r="K219" s="66" t="b">
        <v>1</v>
      </c>
      <c r="L219" s="66"/>
      <c r="M219" s="67"/>
    </row>
    <row r="220" ht="22.5" customHeight="1">
      <c r="B220" s="59">
        <v>539.0</v>
      </c>
      <c r="C220" s="60" t="s">
        <v>50</v>
      </c>
      <c r="D220" s="61">
        <v>46144.0</v>
      </c>
      <c r="E220" s="62" t="str">
        <f t="shared" si="7"/>
        <v>2026</v>
      </c>
      <c r="F220" s="62" t="str">
        <f t="shared" si="8"/>
        <v>05 Mei</v>
      </c>
      <c r="G220" s="63">
        <v>15000.0</v>
      </c>
      <c r="H220" s="60" t="s">
        <v>32</v>
      </c>
      <c r="I220" s="64" t="s">
        <v>90</v>
      </c>
      <c r="J220" s="64" t="s">
        <v>78</v>
      </c>
      <c r="K220" s="66" t="b">
        <v>1</v>
      </c>
      <c r="L220" s="66"/>
      <c r="M220" s="67"/>
    </row>
    <row r="221" ht="22.5" customHeight="1">
      <c r="B221" s="59">
        <v>540.0</v>
      </c>
      <c r="C221" s="60" t="s">
        <v>39</v>
      </c>
      <c r="D221" s="61">
        <v>46144.0</v>
      </c>
      <c r="E221" s="62" t="str">
        <f t="shared" si="7"/>
        <v>2026</v>
      </c>
      <c r="F221" s="62" t="str">
        <f t="shared" si="8"/>
        <v>05 Mei</v>
      </c>
      <c r="G221" s="63">
        <v>200000.0</v>
      </c>
      <c r="H221" s="60" t="s">
        <v>32</v>
      </c>
      <c r="I221" s="64" t="s">
        <v>312</v>
      </c>
      <c r="J221" s="64" t="s">
        <v>74</v>
      </c>
      <c r="K221" s="66" t="b">
        <v>1</v>
      </c>
      <c r="L221" s="66"/>
      <c r="M221" s="67"/>
    </row>
    <row r="222" ht="22.5" customHeight="1">
      <c r="B222" s="59">
        <v>541.0</v>
      </c>
      <c r="C222" s="60" t="s">
        <v>39</v>
      </c>
      <c r="D222" s="61">
        <v>46144.0</v>
      </c>
      <c r="E222" s="62" t="str">
        <f t="shared" si="7"/>
        <v>2026</v>
      </c>
      <c r="F222" s="62" t="str">
        <f t="shared" si="8"/>
        <v>05 Mei</v>
      </c>
      <c r="G222" s="63">
        <v>300000.0</v>
      </c>
      <c r="H222" s="60" t="s">
        <v>32</v>
      </c>
      <c r="I222" s="64" t="s">
        <v>313</v>
      </c>
      <c r="J222" s="64" t="s">
        <v>74</v>
      </c>
      <c r="K222" s="66" t="b">
        <v>1</v>
      </c>
      <c r="L222" s="66"/>
      <c r="M222" s="67"/>
    </row>
    <row r="223" ht="22.5" customHeight="1">
      <c r="B223" s="59">
        <v>542.0</v>
      </c>
      <c r="C223" s="60" t="s">
        <v>50</v>
      </c>
      <c r="D223" s="61">
        <v>46144.0</v>
      </c>
      <c r="E223" s="62" t="str">
        <f t="shared" si="7"/>
        <v>2026</v>
      </c>
      <c r="F223" s="62" t="str">
        <f t="shared" si="8"/>
        <v>05 Mei</v>
      </c>
      <c r="G223" s="63">
        <v>130000.0</v>
      </c>
      <c r="H223" s="60" t="s">
        <v>32</v>
      </c>
      <c r="I223" s="64" t="s">
        <v>315</v>
      </c>
      <c r="J223" s="64" t="s">
        <v>78</v>
      </c>
      <c r="K223" s="66" t="b">
        <v>1</v>
      </c>
      <c r="L223" s="66"/>
      <c r="M223" s="67"/>
    </row>
    <row r="224" ht="22.5" customHeight="1">
      <c r="B224" s="59">
        <v>543.0</v>
      </c>
      <c r="C224" s="60" t="s">
        <v>50</v>
      </c>
      <c r="D224" s="61">
        <v>46146.0</v>
      </c>
      <c r="E224" s="62" t="str">
        <f t="shared" si="7"/>
        <v>2026</v>
      </c>
      <c r="F224" s="62" t="str">
        <f t="shared" si="8"/>
        <v>05 Mei</v>
      </c>
      <c r="G224" s="63">
        <v>15000.0</v>
      </c>
      <c r="H224" s="60" t="s">
        <v>32</v>
      </c>
      <c r="I224" s="64" t="s">
        <v>90</v>
      </c>
      <c r="J224" s="64" t="s">
        <v>74</v>
      </c>
      <c r="K224" s="66" t="b">
        <v>1</v>
      </c>
      <c r="L224" s="66"/>
      <c r="M224" s="67"/>
    </row>
    <row r="225" ht="22.5" customHeight="1">
      <c r="B225" s="59">
        <v>544.0</v>
      </c>
      <c r="C225" s="60" t="s">
        <v>50</v>
      </c>
      <c r="D225" s="61">
        <v>46146.0</v>
      </c>
      <c r="E225" s="62" t="str">
        <f t="shared" si="7"/>
        <v>2026</v>
      </c>
      <c r="F225" s="62" t="str">
        <f t="shared" si="8"/>
        <v>05 Mei</v>
      </c>
      <c r="G225" s="63">
        <v>21000.0</v>
      </c>
      <c r="H225" s="60" t="s">
        <v>32</v>
      </c>
      <c r="I225" s="64" t="s">
        <v>316</v>
      </c>
      <c r="J225" s="64" t="s">
        <v>33</v>
      </c>
      <c r="K225" s="66" t="b">
        <v>1</v>
      </c>
      <c r="L225" s="66"/>
      <c r="M225" s="67"/>
    </row>
    <row r="226" ht="22.5" customHeight="1">
      <c r="B226" s="59">
        <v>545.0</v>
      </c>
      <c r="C226" s="60" t="s">
        <v>39</v>
      </c>
      <c r="D226" s="61">
        <v>46146.0</v>
      </c>
      <c r="E226" s="62" t="str">
        <f t="shared" si="7"/>
        <v>2026</v>
      </c>
      <c r="F226" s="62" t="str">
        <f t="shared" si="8"/>
        <v>05 Mei</v>
      </c>
      <c r="G226" s="63">
        <v>100000.0</v>
      </c>
      <c r="H226" s="60" t="s">
        <v>32</v>
      </c>
      <c r="I226" s="64" t="s">
        <v>250</v>
      </c>
      <c r="J226" s="64" t="s">
        <v>74</v>
      </c>
      <c r="K226" s="66" t="b">
        <v>1</v>
      </c>
      <c r="L226" s="66"/>
      <c r="M226" s="67"/>
    </row>
    <row r="227" ht="22.5" customHeight="1">
      <c r="B227" s="59">
        <v>546.0</v>
      </c>
      <c r="C227" s="60" t="s">
        <v>39</v>
      </c>
      <c r="D227" s="61">
        <v>46146.0</v>
      </c>
      <c r="E227" s="62" t="str">
        <f t="shared" si="7"/>
        <v>2026</v>
      </c>
      <c r="F227" s="62" t="str">
        <f t="shared" si="8"/>
        <v>05 Mei</v>
      </c>
      <c r="G227" s="63">
        <v>200000.0</v>
      </c>
      <c r="H227" s="60" t="s">
        <v>32</v>
      </c>
      <c r="I227" s="64" t="s">
        <v>313</v>
      </c>
      <c r="J227" s="64" t="s">
        <v>74</v>
      </c>
      <c r="K227" s="66" t="b">
        <v>1</v>
      </c>
      <c r="L227" s="66"/>
      <c r="M227" s="67"/>
    </row>
    <row r="228" ht="22.5" customHeight="1">
      <c r="B228" s="59">
        <v>547.0</v>
      </c>
      <c r="C228" s="60" t="s">
        <v>39</v>
      </c>
      <c r="D228" s="61">
        <v>46146.0</v>
      </c>
      <c r="E228" s="62" t="str">
        <f t="shared" si="7"/>
        <v>2026</v>
      </c>
      <c r="F228" s="62" t="str">
        <f t="shared" si="8"/>
        <v>05 Mei</v>
      </c>
      <c r="G228" s="63">
        <v>24000.0</v>
      </c>
      <c r="H228" s="60" t="s">
        <v>32</v>
      </c>
      <c r="I228" s="64" t="s">
        <v>318</v>
      </c>
      <c r="J228" s="64" t="s">
        <v>74</v>
      </c>
      <c r="K228" s="66" t="b">
        <v>1</v>
      </c>
      <c r="L228" s="66"/>
      <c r="M228" s="67"/>
    </row>
    <row r="229" ht="22.5" customHeight="1">
      <c r="B229" s="59">
        <v>548.0</v>
      </c>
      <c r="C229" s="60" t="s">
        <v>39</v>
      </c>
      <c r="D229" s="61">
        <v>46146.0</v>
      </c>
      <c r="E229" s="62" t="str">
        <f t="shared" si="7"/>
        <v>2026</v>
      </c>
      <c r="F229" s="62" t="str">
        <f t="shared" si="8"/>
        <v>05 Mei</v>
      </c>
      <c r="G229" s="63">
        <v>50000.0</v>
      </c>
      <c r="H229" s="60" t="s">
        <v>32</v>
      </c>
      <c r="I229" s="64" t="s">
        <v>319</v>
      </c>
      <c r="J229" s="64" t="s">
        <v>78</v>
      </c>
      <c r="K229" s="66" t="b">
        <v>1</v>
      </c>
      <c r="L229" s="66"/>
      <c r="M229" s="67"/>
    </row>
    <row r="230" ht="22.5" customHeight="1">
      <c r="B230" s="59">
        <v>549.0</v>
      </c>
      <c r="C230" s="60" t="s">
        <v>39</v>
      </c>
      <c r="D230" s="61">
        <v>46146.0</v>
      </c>
      <c r="E230" s="62" t="str">
        <f t="shared" si="7"/>
        <v>2026</v>
      </c>
      <c r="F230" s="62" t="str">
        <f t="shared" si="8"/>
        <v>05 Mei</v>
      </c>
      <c r="G230" s="63">
        <v>50000.0</v>
      </c>
      <c r="H230" s="60" t="s">
        <v>32</v>
      </c>
      <c r="I230" s="64" t="s">
        <v>320</v>
      </c>
      <c r="J230" s="64" t="s">
        <v>74</v>
      </c>
      <c r="K230" s="66" t="b">
        <v>1</v>
      </c>
      <c r="L230" s="66"/>
      <c r="M230" s="67"/>
    </row>
    <row r="231" ht="22.5" customHeight="1">
      <c r="B231" s="59">
        <v>550.0</v>
      </c>
      <c r="C231" s="60" t="s">
        <v>39</v>
      </c>
      <c r="D231" s="61">
        <v>46146.0</v>
      </c>
      <c r="E231" s="62" t="str">
        <f t="shared" si="7"/>
        <v>2026</v>
      </c>
      <c r="F231" s="62" t="str">
        <f t="shared" si="8"/>
        <v>05 Mei</v>
      </c>
      <c r="G231" s="63">
        <v>200000.0</v>
      </c>
      <c r="H231" s="60" t="s">
        <v>32</v>
      </c>
      <c r="I231" s="64" t="s">
        <v>321</v>
      </c>
      <c r="J231" s="64" t="s">
        <v>78</v>
      </c>
      <c r="K231" s="66" t="b">
        <v>1</v>
      </c>
      <c r="L231" s="66"/>
      <c r="M231" s="67"/>
    </row>
    <row r="232" ht="22.5" customHeight="1">
      <c r="B232" s="59">
        <v>551.0</v>
      </c>
      <c r="C232" s="60" t="s">
        <v>50</v>
      </c>
      <c r="D232" s="61">
        <v>46148.0</v>
      </c>
      <c r="E232" s="62" t="str">
        <f t="shared" si="7"/>
        <v>2026</v>
      </c>
      <c r="F232" s="62" t="str">
        <f t="shared" si="8"/>
        <v>05 Mei</v>
      </c>
      <c r="G232" s="63">
        <v>30000.0</v>
      </c>
      <c r="H232" s="60" t="s">
        <v>32</v>
      </c>
      <c r="I232" s="64" t="s">
        <v>244</v>
      </c>
      <c r="J232" s="64" t="s">
        <v>33</v>
      </c>
      <c r="K232" s="66" t="b">
        <v>1</v>
      </c>
      <c r="L232" s="66"/>
      <c r="M232" s="67"/>
    </row>
    <row r="233" ht="22.5" customHeight="1">
      <c r="B233" s="59">
        <v>552.0</v>
      </c>
      <c r="C233" s="60" t="s">
        <v>79</v>
      </c>
      <c r="D233" s="61">
        <v>46151.0</v>
      </c>
      <c r="E233" s="62" t="str">
        <f t="shared" si="7"/>
        <v>2026</v>
      </c>
      <c r="F233" s="62" t="str">
        <f t="shared" si="8"/>
        <v>05 Mei</v>
      </c>
      <c r="G233" s="63">
        <v>15000.0</v>
      </c>
      <c r="H233" s="60" t="s">
        <v>32</v>
      </c>
      <c r="I233" s="64" t="s">
        <v>110</v>
      </c>
      <c r="J233" s="64" t="s">
        <v>78</v>
      </c>
      <c r="K233" s="66" t="b">
        <v>1</v>
      </c>
      <c r="L233" s="66"/>
      <c r="M233" s="67"/>
    </row>
    <row r="234" ht="22.5" customHeight="1">
      <c r="B234" s="59">
        <v>553.0</v>
      </c>
      <c r="C234" s="60" t="s">
        <v>79</v>
      </c>
      <c r="D234" s="61">
        <v>46151.0</v>
      </c>
      <c r="E234" s="62" t="str">
        <f t="shared" si="7"/>
        <v>2026</v>
      </c>
      <c r="F234" s="62" t="str">
        <f t="shared" si="8"/>
        <v>05 Mei</v>
      </c>
      <c r="G234" s="63">
        <v>350000.0</v>
      </c>
      <c r="H234" s="60" t="s">
        <v>32</v>
      </c>
      <c r="I234" s="64" t="s">
        <v>324</v>
      </c>
      <c r="J234" s="64" t="s">
        <v>74</v>
      </c>
      <c r="K234" s="66" t="b">
        <v>1</v>
      </c>
      <c r="L234" s="66"/>
      <c r="M234" s="67"/>
    </row>
    <row r="235" ht="22.5" customHeight="1">
      <c r="B235" s="59">
        <v>554.0</v>
      </c>
      <c r="C235" s="60" t="s">
        <v>39</v>
      </c>
      <c r="D235" s="61">
        <v>46151.0</v>
      </c>
      <c r="E235" s="62" t="str">
        <f t="shared" si="7"/>
        <v>2026</v>
      </c>
      <c r="F235" s="62" t="str">
        <f t="shared" si="8"/>
        <v>05 Mei</v>
      </c>
      <c r="G235" s="63">
        <v>100000.0</v>
      </c>
      <c r="H235" s="60" t="s">
        <v>32</v>
      </c>
      <c r="I235" s="64" t="s">
        <v>325</v>
      </c>
      <c r="J235" s="64" t="s">
        <v>74</v>
      </c>
      <c r="K235" s="66" t="b">
        <v>1</v>
      </c>
      <c r="L235" s="66"/>
      <c r="M235" s="67"/>
    </row>
    <row r="236" ht="22.5" customHeight="1">
      <c r="B236" s="59">
        <v>555.0</v>
      </c>
      <c r="C236" s="60" t="s">
        <v>39</v>
      </c>
      <c r="D236" s="61">
        <v>46151.0</v>
      </c>
      <c r="E236" s="62" t="str">
        <f t="shared" si="7"/>
        <v>2026</v>
      </c>
      <c r="F236" s="62" t="str">
        <f t="shared" si="8"/>
        <v>05 Mei</v>
      </c>
      <c r="G236" s="63">
        <v>300000.0</v>
      </c>
      <c r="H236" s="60" t="s">
        <v>32</v>
      </c>
      <c r="I236" s="64" t="s">
        <v>313</v>
      </c>
      <c r="J236" s="64" t="s">
        <v>74</v>
      </c>
      <c r="K236" s="66" t="b">
        <v>1</v>
      </c>
      <c r="L236" s="66"/>
      <c r="M236" s="67"/>
    </row>
    <row r="237" ht="22.5" customHeight="1">
      <c r="B237" s="59">
        <v>556.0</v>
      </c>
      <c r="C237" s="60" t="s">
        <v>39</v>
      </c>
      <c r="D237" s="61">
        <v>46151.0</v>
      </c>
      <c r="E237" s="62" t="str">
        <f t="shared" si="7"/>
        <v>2026</v>
      </c>
      <c r="F237" s="62" t="str">
        <f t="shared" si="8"/>
        <v>05 Mei</v>
      </c>
      <c r="G237" s="63">
        <v>50000.0</v>
      </c>
      <c r="H237" s="60" t="s">
        <v>32</v>
      </c>
      <c r="I237" s="64" t="s">
        <v>304</v>
      </c>
      <c r="J237" s="64" t="s">
        <v>74</v>
      </c>
      <c r="K237" s="66" t="b">
        <v>1</v>
      </c>
      <c r="L237" s="66"/>
      <c r="M237" s="67"/>
    </row>
    <row r="238" ht="22.5" customHeight="1">
      <c r="B238" s="59">
        <v>557.0</v>
      </c>
      <c r="C238" s="60" t="s">
        <v>79</v>
      </c>
      <c r="D238" s="61">
        <v>46152.0</v>
      </c>
      <c r="E238" s="62" t="str">
        <f t="shared" si="7"/>
        <v>2026</v>
      </c>
      <c r="F238" s="62" t="str">
        <f t="shared" si="8"/>
        <v>05 Mei</v>
      </c>
      <c r="G238" s="63">
        <v>50000.0</v>
      </c>
      <c r="H238" s="60" t="s">
        <v>32</v>
      </c>
      <c r="I238" s="64" t="s">
        <v>328</v>
      </c>
      <c r="J238" s="64" t="s">
        <v>74</v>
      </c>
      <c r="K238" s="66" t="b">
        <v>1</v>
      </c>
      <c r="L238" s="66"/>
      <c r="M238" s="67"/>
    </row>
    <row r="239" ht="22.5" customHeight="1">
      <c r="B239" s="59">
        <v>558.0</v>
      </c>
      <c r="C239" s="60" t="s">
        <v>50</v>
      </c>
      <c r="D239" s="61">
        <v>46154.0</v>
      </c>
      <c r="E239" s="62" t="str">
        <f t="shared" si="7"/>
        <v>2026</v>
      </c>
      <c r="F239" s="62" t="str">
        <f t="shared" si="8"/>
        <v>05 Mei</v>
      </c>
      <c r="G239" s="63">
        <v>11500.0</v>
      </c>
      <c r="H239" s="60" t="s">
        <v>32</v>
      </c>
      <c r="I239" s="64" t="s">
        <v>166</v>
      </c>
      <c r="J239" s="64" t="s">
        <v>74</v>
      </c>
      <c r="K239" s="66" t="b">
        <v>1</v>
      </c>
      <c r="L239" s="66"/>
      <c r="M239" s="67"/>
    </row>
    <row r="240" ht="22.5" customHeight="1">
      <c r="B240" s="59">
        <v>559.0</v>
      </c>
      <c r="C240" s="60" t="s">
        <v>79</v>
      </c>
      <c r="D240" s="61">
        <v>46159.0</v>
      </c>
      <c r="E240" s="62" t="str">
        <f t="shared" si="7"/>
        <v>2026</v>
      </c>
      <c r="F240" s="62" t="str">
        <f t="shared" si="8"/>
        <v>05 Mei</v>
      </c>
      <c r="G240" s="63">
        <v>200000.0</v>
      </c>
      <c r="H240" s="60" t="s">
        <v>32</v>
      </c>
      <c r="I240" s="64" t="s">
        <v>329</v>
      </c>
      <c r="J240" s="64" t="s">
        <v>74</v>
      </c>
      <c r="K240" s="66" t="b">
        <v>1</v>
      </c>
      <c r="L240" s="66"/>
      <c r="M240" s="67"/>
    </row>
    <row r="241" ht="22.5" customHeight="1">
      <c r="B241" s="59">
        <v>560.0</v>
      </c>
      <c r="C241" s="60" t="s">
        <v>50</v>
      </c>
      <c r="D241" s="61">
        <v>46160.0</v>
      </c>
      <c r="E241" s="62" t="str">
        <f t="shared" si="7"/>
        <v>2026</v>
      </c>
      <c r="F241" s="62" t="str">
        <f t="shared" si="8"/>
        <v>05 Mei</v>
      </c>
      <c r="G241" s="63">
        <v>100000.0</v>
      </c>
      <c r="H241" s="60" t="s">
        <v>32</v>
      </c>
      <c r="I241" s="64" t="s">
        <v>227</v>
      </c>
      <c r="J241" s="64" t="s">
        <v>74</v>
      </c>
      <c r="K241" s="66" t="b">
        <v>1</v>
      </c>
      <c r="L241" s="66"/>
      <c r="M241" s="67"/>
    </row>
    <row r="242" ht="22.5" customHeight="1">
      <c r="B242" s="59">
        <v>561.0</v>
      </c>
      <c r="C242" s="60" t="s">
        <v>39</v>
      </c>
      <c r="D242" s="61">
        <v>46160.0</v>
      </c>
      <c r="E242" s="62" t="str">
        <f t="shared" si="7"/>
        <v>2026</v>
      </c>
      <c r="F242" s="62" t="str">
        <f t="shared" si="8"/>
        <v>05 Mei</v>
      </c>
      <c r="G242" s="63">
        <v>50000.0</v>
      </c>
      <c r="H242" s="60" t="s">
        <v>32</v>
      </c>
      <c r="I242" s="64" t="s">
        <v>330</v>
      </c>
      <c r="J242" s="64" t="s">
        <v>74</v>
      </c>
      <c r="K242" s="66" t="b">
        <v>1</v>
      </c>
      <c r="L242" s="66"/>
      <c r="M242" s="67"/>
    </row>
    <row r="243" ht="22.5" customHeight="1">
      <c r="B243" s="59">
        <v>562.0</v>
      </c>
      <c r="C243" s="60" t="s">
        <v>39</v>
      </c>
      <c r="D243" s="61">
        <v>46160.0</v>
      </c>
      <c r="E243" s="62" t="str">
        <f t="shared" si="7"/>
        <v>2026</v>
      </c>
      <c r="F243" s="62" t="str">
        <f t="shared" si="8"/>
        <v>05 Mei</v>
      </c>
      <c r="G243" s="63">
        <v>50000.0</v>
      </c>
      <c r="H243" s="60" t="s">
        <v>32</v>
      </c>
      <c r="I243" s="64" t="s">
        <v>331</v>
      </c>
      <c r="J243" s="64" t="s">
        <v>74</v>
      </c>
      <c r="K243" s="66" t="b">
        <v>1</v>
      </c>
      <c r="L243" s="66"/>
      <c r="M243" s="67"/>
    </row>
    <row r="244" ht="22.5" customHeight="1">
      <c r="B244" s="59">
        <v>563.0</v>
      </c>
      <c r="C244" s="60" t="s">
        <v>50</v>
      </c>
      <c r="D244" s="61">
        <v>46159.0</v>
      </c>
      <c r="E244" s="62" t="str">
        <f t="shared" si="7"/>
        <v>2026</v>
      </c>
      <c r="F244" s="62" t="str">
        <f t="shared" si="8"/>
        <v>05 Mei</v>
      </c>
      <c r="G244" s="63">
        <v>100000.0</v>
      </c>
      <c r="H244" s="60" t="s">
        <v>32</v>
      </c>
      <c r="I244" s="64" t="s">
        <v>227</v>
      </c>
      <c r="J244" s="64" t="s">
        <v>74</v>
      </c>
      <c r="K244" s="66" t="b">
        <v>1</v>
      </c>
      <c r="L244" s="66"/>
      <c r="M244" s="67"/>
    </row>
    <row r="245" ht="22.5" customHeight="1">
      <c r="B245" s="59">
        <v>564.0</v>
      </c>
      <c r="C245" s="60" t="s">
        <v>50</v>
      </c>
      <c r="D245" s="61">
        <v>46161.0</v>
      </c>
      <c r="E245" s="62" t="str">
        <f t="shared" si="7"/>
        <v>2026</v>
      </c>
      <c r="F245" s="62" t="str">
        <f t="shared" si="8"/>
        <v>05 Mei</v>
      </c>
      <c r="G245" s="63">
        <v>150000.0</v>
      </c>
      <c r="H245" s="60" t="s">
        <v>32</v>
      </c>
      <c r="I245" s="64" t="s">
        <v>332</v>
      </c>
      <c r="J245" s="64" t="s">
        <v>78</v>
      </c>
      <c r="K245" s="66" t="b">
        <v>1</v>
      </c>
      <c r="L245" s="66"/>
      <c r="M245" s="67"/>
    </row>
    <row r="246" ht="22.5" customHeight="1">
      <c r="B246" s="59">
        <v>565.0</v>
      </c>
      <c r="C246" s="60" t="s">
        <v>39</v>
      </c>
      <c r="D246" s="61">
        <v>46162.0</v>
      </c>
      <c r="E246" s="62"/>
      <c r="F246" s="62"/>
      <c r="G246" s="63">
        <v>110000.0</v>
      </c>
      <c r="H246" s="60" t="s">
        <v>32</v>
      </c>
      <c r="I246" s="64" t="s">
        <v>244</v>
      </c>
      <c r="J246" s="64" t="s">
        <v>74</v>
      </c>
      <c r="K246" s="66" t="b">
        <v>1</v>
      </c>
      <c r="L246" s="66"/>
      <c r="M246" s="67"/>
    </row>
    <row r="247" ht="22.5" customHeight="1">
      <c r="B247" s="59">
        <v>566.0</v>
      </c>
      <c r="C247" s="60" t="s">
        <v>50</v>
      </c>
      <c r="D247" s="61">
        <v>46163.0</v>
      </c>
      <c r="E247" s="62" t="str">
        <f t="shared" ref="E247:E251" si="9">if(D247="","",text(D247,"yyyy"))</f>
        <v>2026</v>
      </c>
      <c r="F247" s="62" t="str">
        <f t="shared" ref="F247:F251" si="10">if(D247="","",text(D247,"mm")&amp;" "&amp;text(D247,"mmm"))</f>
        <v>05 Mei</v>
      </c>
      <c r="G247" s="63">
        <v>15000.0</v>
      </c>
      <c r="H247" s="60" t="s">
        <v>32</v>
      </c>
      <c r="I247" s="64" t="s">
        <v>90</v>
      </c>
      <c r="J247" s="64" t="s">
        <v>78</v>
      </c>
      <c r="K247" s="66" t="b">
        <v>1</v>
      </c>
      <c r="L247" s="66"/>
      <c r="M247" s="67"/>
    </row>
    <row r="248" ht="22.5" customHeight="1">
      <c r="B248" s="59">
        <v>567.0</v>
      </c>
      <c r="C248" s="60" t="s">
        <v>39</v>
      </c>
      <c r="D248" s="61">
        <v>46163.0</v>
      </c>
      <c r="E248" s="62" t="str">
        <f t="shared" si="9"/>
        <v>2026</v>
      </c>
      <c r="F248" s="62" t="str">
        <f t="shared" si="10"/>
        <v>05 Mei</v>
      </c>
      <c r="G248" s="63">
        <v>144000.0</v>
      </c>
      <c r="H248" s="60" t="s">
        <v>32</v>
      </c>
      <c r="I248" s="64" t="s">
        <v>305</v>
      </c>
      <c r="J248" s="64" t="s">
        <v>33</v>
      </c>
      <c r="K248" s="66" t="b">
        <v>1</v>
      </c>
      <c r="L248" s="66"/>
      <c r="M248" s="67"/>
    </row>
    <row r="249" ht="22.5" customHeight="1">
      <c r="B249" s="59">
        <v>568.0</v>
      </c>
      <c r="C249" s="60" t="s">
        <v>39</v>
      </c>
      <c r="D249" s="61">
        <v>46163.0</v>
      </c>
      <c r="E249" s="62" t="str">
        <f t="shared" si="9"/>
        <v>2026</v>
      </c>
      <c r="F249" s="62" t="str">
        <f t="shared" si="10"/>
        <v>05 Mei</v>
      </c>
      <c r="G249" s="63">
        <v>24000.0</v>
      </c>
      <c r="H249" s="60" t="s">
        <v>32</v>
      </c>
      <c r="I249" s="64" t="s">
        <v>333</v>
      </c>
      <c r="J249" s="64" t="s">
        <v>78</v>
      </c>
      <c r="K249" s="66" t="b">
        <v>1</v>
      </c>
      <c r="L249" s="66"/>
      <c r="M249" s="67"/>
    </row>
    <row r="250" ht="22.5" customHeight="1">
      <c r="B250" s="59">
        <v>569.0</v>
      </c>
      <c r="C250" s="60" t="s">
        <v>39</v>
      </c>
      <c r="D250" s="61">
        <v>46163.0</v>
      </c>
      <c r="E250" s="62" t="str">
        <f t="shared" si="9"/>
        <v>2026</v>
      </c>
      <c r="F250" s="62" t="str">
        <f t="shared" si="10"/>
        <v>05 Mei</v>
      </c>
      <c r="G250" s="63">
        <v>50000.0</v>
      </c>
      <c r="H250" s="60" t="s">
        <v>32</v>
      </c>
      <c r="I250" s="64" t="s">
        <v>127</v>
      </c>
      <c r="J250" s="64" t="s">
        <v>74</v>
      </c>
      <c r="K250" s="66" t="b">
        <v>1</v>
      </c>
      <c r="L250" s="66"/>
      <c r="M250" s="67"/>
    </row>
    <row r="251" ht="22.5" customHeight="1">
      <c r="B251" s="59">
        <v>570.0</v>
      </c>
      <c r="C251" s="60" t="s">
        <v>39</v>
      </c>
      <c r="D251" s="61">
        <v>46164.0</v>
      </c>
      <c r="E251" s="62" t="str">
        <f t="shared" si="9"/>
        <v>2026</v>
      </c>
      <c r="F251" s="62" t="str">
        <f t="shared" si="10"/>
        <v>05 Mei</v>
      </c>
      <c r="G251" s="63">
        <v>90000.0</v>
      </c>
      <c r="H251" s="60" t="s">
        <v>32</v>
      </c>
      <c r="I251" s="64" t="s">
        <v>74</v>
      </c>
      <c r="J251" s="64" t="s">
        <v>74</v>
      </c>
      <c r="K251" s="66" t="b">
        <v>1</v>
      </c>
      <c r="L251" s="66"/>
      <c r="M251" s="67"/>
    </row>
    <row r="252" ht="22.5" customHeight="1">
      <c r="B252" s="59">
        <v>571.0</v>
      </c>
      <c r="C252" s="60" t="s">
        <v>50</v>
      </c>
      <c r="D252" s="61">
        <v>46165.0</v>
      </c>
      <c r="E252" s="62"/>
      <c r="F252" s="62"/>
      <c r="G252" s="63">
        <v>250000.0</v>
      </c>
      <c r="H252" s="60" t="s">
        <v>32</v>
      </c>
      <c r="I252" s="64" t="s">
        <v>336</v>
      </c>
      <c r="J252" s="64" t="s">
        <v>78</v>
      </c>
      <c r="K252" s="66" t="b">
        <v>1</v>
      </c>
      <c r="L252" s="66"/>
      <c r="M252" s="67"/>
    </row>
    <row r="253" ht="22.5" customHeight="1">
      <c r="B253" s="59">
        <v>572.0</v>
      </c>
      <c r="C253" s="60" t="s">
        <v>50</v>
      </c>
      <c r="D253" s="61">
        <v>46165.0</v>
      </c>
      <c r="E253" s="62" t="str">
        <f t="shared" ref="E253:E284" si="11">if(D253="","",text(D253,"yyyy"))</f>
        <v>2026</v>
      </c>
      <c r="F253" s="62" t="str">
        <f t="shared" ref="F253:F284" si="12">if(D253="","",text(D253,"mm")&amp;" "&amp;text(D253,"mmm"))</f>
        <v>05 Mei</v>
      </c>
      <c r="G253" s="63">
        <v>150000.0</v>
      </c>
      <c r="H253" s="60" t="s">
        <v>32</v>
      </c>
      <c r="I253" s="64" t="s">
        <v>337</v>
      </c>
      <c r="J253" s="64" t="s">
        <v>78</v>
      </c>
      <c r="K253" s="66" t="b">
        <v>1</v>
      </c>
      <c r="L253" s="66"/>
      <c r="M253" s="67"/>
    </row>
    <row r="254" ht="22.5" customHeight="1">
      <c r="B254" s="59">
        <v>573.0</v>
      </c>
      <c r="C254" s="60" t="s">
        <v>50</v>
      </c>
      <c r="D254" s="61">
        <v>46165.0</v>
      </c>
      <c r="E254" s="62" t="str">
        <f t="shared" si="11"/>
        <v>2026</v>
      </c>
      <c r="F254" s="62" t="str">
        <f t="shared" si="12"/>
        <v>05 Mei</v>
      </c>
      <c r="G254" s="63">
        <v>200000.0</v>
      </c>
      <c r="H254" s="60" t="s">
        <v>32</v>
      </c>
      <c r="I254" s="64" t="s">
        <v>240</v>
      </c>
      <c r="J254" s="64" t="s">
        <v>74</v>
      </c>
      <c r="K254" s="66" t="b">
        <v>1</v>
      </c>
      <c r="L254" s="66"/>
      <c r="M254" s="67"/>
    </row>
    <row r="255" ht="22.5" customHeight="1">
      <c r="B255" s="59">
        <v>574.0</v>
      </c>
      <c r="C255" s="60" t="s">
        <v>50</v>
      </c>
      <c r="D255" s="61">
        <v>46165.0</v>
      </c>
      <c r="E255" s="62" t="str">
        <f t="shared" si="11"/>
        <v>2026</v>
      </c>
      <c r="F255" s="62" t="str">
        <f t="shared" si="12"/>
        <v>05 Mei</v>
      </c>
      <c r="G255" s="63">
        <v>31000.0</v>
      </c>
      <c r="H255" s="60" t="s">
        <v>32</v>
      </c>
      <c r="I255" s="64" t="s">
        <v>240</v>
      </c>
      <c r="J255" s="64" t="s">
        <v>74</v>
      </c>
      <c r="K255" s="66" t="b">
        <v>1</v>
      </c>
      <c r="L255" s="66"/>
      <c r="M255" s="67"/>
    </row>
    <row r="256" ht="22.5" customHeight="1">
      <c r="B256" s="59">
        <v>575.0</v>
      </c>
      <c r="C256" s="60" t="s">
        <v>50</v>
      </c>
      <c r="D256" s="61">
        <v>46165.0</v>
      </c>
      <c r="E256" s="62" t="str">
        <f t="shared" si="11"/>
        <v>2026</v>
      </c>
      <c r="F256" s="62" t="str">
        <f t="shared" si="12"/>
        <v>05 Mei</v>
      </c>
      <c r="G256" s="63">
        <v>225000.0</v>
      </c>
      <c r="H256" s="60" t="s">
        <v>32</v>
      </c>
      <c r="I256" s="64" t="s">
        <v>340</v>
      </c>
      <c r="J256" s="64" t="s">
        <v>33</v>
      </c>
      <c r="K256" s="66" t="b">
        <v>1</v>
      </c>
      <c r="L256" s="66"/>
      <c r="M256" s="67"/>
    </row>
    <row r="257" ht="22.5" customHeight="1">
      <c r="B257" s="59">
        <v>576.0</v>
      </c>
      <c r="C257" s="60" t="s">
        <v>50</v>
      </c>
      <c r="D257" s="61">
        <v>46165.0</v>
      </c>
      <c r="E257" s="62" t="str">
        <f t="shared" si="11"/>
        <v>2026</v>
      </c>
      <c r="F257" s="62" t="str">
        <f t="shared" si="12"/>
        <v>05 Mei</v>
      </c>
      <c r="G257" s="63">
        <v>11000.0</v>
      </c>
      <c r="H257" s="60" t="s">
        <v>32</v>
      </c>
      <c r="I257" s="64" t="s">
        <v>74</v>
      </c>
      <c r="J257" s="64" t="s">
        <v>74</v>
      </c>
      <c r="K257" s="66" t="b">
        <v>1</v>
      </c>
      <c r="L257" s="66"/>
      <c r="M257" s="67"/>
    </row>
    <row r="258" ht="22.5" customHeight="1">
      <c r="B258" s="59">
        <v>577.0</v>
      </c>
      <c r="C258" s="60" t="s">
        <v>50</v>
      </c>
      <c r="D258" s="61">
        <v>46165.0</v>
      </c>
      <c r="E258" s="62" t="str">
        <f t="shared" si="11"/>
        <v>2026</v>
      </c>
      <c r="F258" s="62" t="str">
        <f t="shared" si="12"/>
        <v>05 Mei</v>
      </c>
      <c r="G258" s="63">
        <v>50000.0</v>
      </c>
      <c r="H258" s="60" t="s">
        <v>32</v>
      </c>
      <c r="I258" s="64" t="s">
        <v>96</v>
      </c>
      <c r="J258" s="64" t="s">
        <v>74</v>
      </c>
      <c r="K258" s="66" t="b">
        <v>1</v>
      </c>
      <c r="L258" s="66"/>
      <c r="M258" s="67"/>
    </row>
    <row r="259" ht="22.5" customHeight="1">
      <c r="B259" s="59">
        <v>578.0</v>
      </c>
      <c r="C259" s="60" t="s">
        <v>79</v>
      </c>
      <c r="D259" s="61">
        <v>46166.0</v>
      </c>
      <c r="E259" s="62" t="str">
        <f t="shared" si="11"/>
        <v>2026</v>
      </c>
      <c r="F259" s="62" t="str">
        <f t="shared" si="12"/>
        <v>05 Mei</v>
      </c>
      <c r="G259" s="63">
        <v>200000.0</v>
      </c>
      <c r="H259" s="60" t="s">
        <v>32</v>
      </c>
      <c r="I259" s="64" t="s">
        <v>342</v>
      </c>
      <c r="J259" s="64" t="s">
        <v>74</v>
      </c>
      <c r="K259" s="66" t="b">
        <v>1</v>
      </c>
      <c r="L259" s="66"/>
      <c r="M259" s="67"/>
    </row>
    <row r="260" ht="22.5" customHeight="1">
      <c r="B260" s="59">
        <v>579.0</v>
      </c>
      <c r="C260" s="60" t="s">
        <v>79</v>
      </c>
      <c r="D260" s="61">
        <v>46166.0</v>
      </c>
      <c r="E260" s="62" t="str">
        <f t="shared" si="11"/>
        <v>2026</v>
      </c>
      <c r="F260" s="62" t="str">
        <f t="shared" si="12"/>
        <v>05 Mei</v>
      </c>
      <c r="G260" s="63">
        <v>50000.0</v>
      </c>
      <c r="H260" s="60" t="s">
        <v>32</v>
      </c>
      <c r="I260" s="64" t="s">
        <v>343</v>
      </c>
      <c r="J260" s="64" t="s">
        <v>74</v>
      </c>
      <c r="K260" s="66" t="b">
        <v>1</v>
      </c>
      <c r="L260" s="66"/>
      <c r="M260" s="67"/>
    </row>
    <row r="261" ht="22.5" customHeight="1">
      <c r="B261" s="59">
        <v>580.0</v>
      </c>
      <c r="C261" s="60" t="s">
        <v>79</v>
      </c>
      <c r="D261" s="61">
        <v>46166.0</v>
      </c>
      <c r="E261" s="62" t="str">
        <f t="shared" si="11"/>
        <v>2026</v>
      </c>
      <c r="F261" s="62" t="str">
        <f t="shared" si="12"/>
        <v>05 Mei</v>
      </c>
      <c r="G261" s="63">
        <v>50000.0</v>
      </c>
      <c r="H261" s="60" t="s">
        <v>32</v>
      </c>
      <c r="I261" s="64" t="s">
        <v>346</v>
      </c>
      <c r="J261" s="64" t="s">
        <v>74</v>
      </c>
      <c r="K261" s="66" t="b">
        <v>1</v>
      </c>
      <c r="L261" s="66"/>
      <c r="M261" s="67"/>
    </row>
    <row r="262" ht="22.5" customHeight="1">
      <c r="B262" s="59">
        <v>581.0</v>
      </c>
      <c r="C262" s="60" t="s">
        <v>39</v>
      </c>
      <c r="D262" s="61">
        <v>46166.0</v>
      </c>
      <c r="E262" s="62" t="str">
        <f t="shared" si="11"/>
        <v>2026</v>
      </c>
      <c r="F262" s="62" t="str">
        <f t="shared" si="12"/>
        <v>05 Mei</v>
      </c>
      <c r="G262" s="63">
        <v>15000.0</v>
      </c>
      <c r="H262" s="60" t="s">
        <v>32</v>
      </c>
      <c r="I262" s="64" t="s">
        <v>90</v>
      </c>
      <c r="J262" s="64" t="s">
        <v>78</v>
      </c>
      <c r="K262" s="66" t="b">
        <v>1</v>
      </c>
      <c r="L262" s="66"/>
      <c r="M262" s="67"/>
    </row>
    <row r="263" ht="22.5" customHeight="1">
      <c r="B263" s="59">
        <v>582.0</v>
      </c>
      <c r="C263" s="60" t="s">
        <v>39</v>
      </c>
      <c r="D263" s="61">
        <v>46166.0</v>
      </c>
      <c r="E263" s="62" t="str">
        <f t="shared" si="11"/>
        <v>2026</v>
      </c>
      <c r="F263" s="62" t="str">
        <f t="shared" si="12"/>
        <v>05 Mei</v>
      </c>
      <c r="G263" s="63">
        <v>200000.0</v>
      </c>
      <c r="H263" s="60" t="s">
        <v>32</v>
      </c>
      <c r="I263" s="64" t="s">
        <v>240</v>
      </c>
      <c r="J263" s="64" t="s">
        <v>74</v>
      </c>
      <c r="K263" s="66" t="b">
        <v>1</v>
      </c>
      <c r="L263" s="66"/>
      <c r="M263" s="67"/>
    </row>
    <row r="264" ht="22.5" customHeight="1">
      <c r="B264" s="59">
        <v>583.0</v>
      </c>
      <c r="C264" s="60" t="s">
        <v>39</v>
      </c>
      <c r="D264" s="61">
        <v>46166.0</v>
      </c>
      <c r="E264" s="62" t="str">
        <f t="shared" si="11"/>
        <v>2026</v>
      </c>
      <c r="F264" s="62" t="str">
        <f t="shared" si="12"/>
        <v>05 Mei</v>
      </c>
      <c r="G264" s="63">
        <v>50000.0</v>
      </c>
      <c r="H264" s="60" t="s">
        <v>32</v>
      </c>
      <c r="I264" s="64" t="s">
        <v>304</v>
      </c>
      <c r="J264" s="64" t="s">
        <v>74</v>
      </c>
      <c r="K264" s="66" t="b">
        <v>1</v>
      </c>
      <c r="L264" s="66"/>
      <c r="M264" s="67"/>
    </row>
    <row r="265" ht="22.5" customHeight="1">
      <c r="B265" s="59">
        <v>584.0</v>
      </c>
      <c r="C265" s="60" t="s">
        <v>50</v>
      </c>
      <c r="D265" s="61">
        <v>46171.0</v>
      </c>
      <c r="E265" s="62" t="str">
        <f t="shared" si="11"/>
        <v>2026</v>
      </c>
      <c r="F265" s="62" t="str">
        <f t="shared" si="12"/>
        <v>05 Mei</v>
      </c>
      <c r="G265" s="63">
        <v>180000.0</v>
      </c>
      <c r="H265" s="60" t="s">
        <v>32</v>
      </c>
      <c r="I265" s="64" t="s">
        <v>257</v>
      </c>
      <c r="J265" s="64" t="s">
        <v>74</v>
      </c>
      <c r="K265" s="66" t="b">
        <v>1</v>
      </c>
      <c r="L265" s="66"/>
      <c r="M265" s="67"/>
    </row>
    <row r="266" ht="22.5" customHeight="1">
      <c r="B266" s="59">
        <v>585.0</v>
      </c>
      <c r="C266" s="60" t="s">
        <v>39</v>
      </c>
      <c r="D266" s="61">
        <v>46171.0</v>
      </c>
      <c r="E266" s="62" t="str">
        <f t="shared" si="11"/>
        <v>2026</v>
      </c>
      <c r="F266" s="62" t="str">
        <f t="shared" si="12"/>
        <v>05 Mei</v>
      </c>
      <c r="G266" s="63">
        <v>50000.0</v>
      </c>
      <c r="H266" s="60" t="s">
        <v>32</v>
      </c>
      <c r="I266" s="64" t="s">
        <v>325</v>
      </c>
      <c r="J266" s="64" t="s">
        <v>74</v>
      </c>
      <c r="K266" s="66" t="b">
        <v>1</v>
      </c>
      <c r="L266" s="66"/>
      <c r="M266" s="67"/>
    </row>
    <row r="267" ht="22.5" customHeight="1">
      <c r="B267" s="59">
        <v>586.0</v>
      </c>
      <c r="C267" s="60" t="s">
        <v>39</v>
      </c>
      <c r="D267" s="61">
        <v>46171.0</v>
      </c>
      <c r="E267" s="62" t="str">
        <f t="shared" si="11"/>
        <v>2026</v>
      </c>
      <c r="F267" s="62" t="str">
        <f t="shared" si="12"/>
        <v>05 Mei</v>
      </c>
      <c r="G267" s="63">
        <v>15000.0</v>
      </c>
      <c r="H267" s="60" t="s">
        <v>32</v>
      </c>
      <c r="I267" s="64" t="s">
        <v>110</v>
      </c>
      <c r="J267" s="64" t="s">
        <v>78</v>
      </c>
      <c r="K267" s="66" t="b">
        <v>1</v>
      </c>
      <c r="L267" s="66"/>
      <c r="M267" s="67"/>
    </row>
    <row r="268" ht="22.5" customHeight="1">
      <c r="B268" s="59">
        <v>587.0</v>
      </c>
      <c r="C268" s="60" t="s">
        <v>50</v>
      </c>
      <c r="D268" s="61">
        <v>46172.0</v>
      </c>
      <c r="E268" s="62" t="str">
        <f t="shared" si="11"/>
        <v>2026</v>
      </c>
      <c r="F268" s="62" t="str">
        <f t="shared" si="12"/>
        <v>05 Mei</v>
      </c>
      <c r="G268" s="63">
        <v>300000.0</v>
      </c>
      <c r="H268" s="60" t="s">
        <v>32</v>
      </c>
      <c r="I268" s="64" t="s">
        <v>240</v>
      </c>
      <c r="J268" s="64" t="s">
        <v>74</v>
      </c>
      <c r="K268" s="66" t="b">
        <v>1</v>
      </c>
      <c r="L268" s="66"/>
      <c r="M268" s="67"/>
    </row>
    <row r="269" ht="22.5" customHeight="1">
      <c r="B269" s="59">
        <v>588.0</v>
      </c>
      <c r="C269" s="60" t="s">
        <v>50</v>
      </c>
      <c r="D269" s="61">
        <v>46172.0</v>
      </c>
      <c r="E269" s="62" t="str">
        <f t="shared" si="11"/>
        <v>2026</v>
      </c>
      <c r="F269" s="62" t="str">
        <f t="shared" si="12"/>
        <v>05 Mei</v>
      </c>
      <c r="G269" s="63">
        <v>44000.0</v>
      </c>
      <c r="H269" s="60" t="s">
        <v>32</v>
      </c>
      <c r="I269" s="64" t="s">
        <v>357</v>
      </c>
      <c r="J269" s="64" t="s">
        <v>78</v>
      </c>
      <c r="K269" s="66" t="b">
        <v>1</v>
      </c>
      <c r="L269" s="66"/>
      <c r="M269" s="67"/>
    </row>
    <row r="270" ht="22.5" customHeight="1">
      <c r="B270" s="59">
        <v>589.0</v>
      </c>
      <c r="C270" s="60" t="s">
        <v>50</v>
      </c>
      <c r="D270" s="61">
        <v>46176.0</v>
      </c>
      <c r="E270" s="62" t="str">
        <f t="shared" si="11"/>
        <v>2026</v>
      </c>
      <c r="F270" s="62" t="str">
        <f t="shared" si="12"/>
        <v>06 Jun</v>
      </c>
      <c r="G270" s="63">
        <v>45000.0</v>
      </c>
      <c r="H270" s="60" t="s">
        <v>32</v>
      </c>
      <c r="I270" s="64" t="s">
        <v>363</v>
      </c>
      <c r="J270" s="64" t="s">
        <v>33</v>
      </c>
      <c r="K270" s="66" t="b">
        <v>1</v>
      </c>
      <c r="L270" s="66"/>
      <c r="M270" s="67"/>
    </row>
    <row r="271" ht="22.5" customHeight="1">
      <c r="B271" s="59">
        <v>590.0</v>
      </c>
      <c r="C271" s="60" t="s">
        <v>50</v>
      </c>
      <c r="D271" s="61">
        <v>46176.0</v>
      </c>
      <c r="E271" s="62" t="str">
        <f t="shared" si="11"/>
        <v>2026</v>
      </c>
      <c r="F271" s="62" t="str">
        <f t="shared" si="12"/>
        <v>06 Jun</v>
      </c>
      <c r="G271" s="63">
        <v>20000.0</v>
      </c>
      <c r="H271" s="60" t="s">
        <v>32</v>
      </c>
      <c r="I271" s="64" t="s">
        <v>367</v>
      </c>
      <c r="J271" s="64" t="s">
        <v>33</v>
      </c>
      <c r="K271" s="66" t="b">
        <v>1</v>
      </c>
      <c r="L271" s="66"/>
      <c r="M271" s="67"/>
    </row>
    <row r="272" ht="22.5" customHeight="1">
      <c r="B272" s="59">
        <v>591.0</v>
      </c>
      <c r="C272" s="60" t="s">
        <v>50</v>
      </c>
      <c r="D272" s="61">
        <v>46176.0</v>
      </c>
      <c r="E272" s="62" t="str">
        <f t="shared" si="11"/>
        <v>2026</v>
      </c>
      <c r="F272" s="62" t="str">
        <f t="shared" si="12"/>
        <v>06 Jun</v>
      </c>
      <c r="G272" s="63">
        <v>13000.0</v>
      </c>
      <c r="H272" s="60" t="s">
        <v>32</v>
      </c>
      <c r="I272" s="64" t="s">
        <v>381</v>
      </c>
      <c r="J272" s="64" t="s">
        <v>33</v>
      </c>
      <c r="K272" s="66" t="b">
        <v>1</v>
      </c>
      <c r="L272" s="66"/>
      <c r="M272" s="67"/>
    </row>
    <row r="273" ht="22.5" customHeight="1">
      <c r="B273" s="59">
        <v>592.0</v>
      </c>
      <c r="C273" s="60" t="s">
        <v>39</v>
      </c>
      <c r="D273" s="61">
        <v>46176.0</v>
      </c>
      <c r="E273" s="62" t="str">
        <f t="shared" si="11"/>
        <v>2026</v>
      </c>
      <c r="F273" s="62" t="str">
        <f t="shared" si="12"/>
        <v>06 Jun</v>
      </c>
      <c r="G273" s="63">
        <v>300000.0</v>
      </c>
      <c r="H273" s="60" t="s">
        <v>32</v>
      </c>
      <c r="I273" s="64" t="s">
        <v>388</v>
      </c>
      <c r="J273" s="64" t="s">
        <v>74</v>
      </c>
      <c r="K273" s="66" t="b">
        <v>1</v>
      </c>
      <c r="L273" s="66"/>
      <c r="M273" s="67"/>
    </row>
    <row r="274" ht="22.5" customHeight="1">
      <c r="B274" s="59">
        <v>593.0</v>
      </c>
      <c r="C274" s="60" t="s">
        <v>39</v>
      </c>
      <c r="D274" s="61">
        <v>46176.0</v>
      </c>
      <c r="E274" s="62" t="str">
        <f t="shared" si="11"/>
        <v>2026</v>
      </c>
      <c r="F274" s="62" t="str">
        <f t="shared" si="12"/>
        <v>06 Jun</v>
      </c>
      <c r="G274" s="63">
        <v>350000.0</v>
      </c>
      <c r="H274" s="60" t="s">
        <v>32</v>
      </c>
      <c r="I274" s="64" t="s">
        <v>313</v>
      </c>
      <c r="J274" s="64" t="s">
        <v>74</v>
      </c>
      <c r="K274" s="66" t="b">
        <v>1</v>
      </c>
      <c r="L274" s="66"/>
      <c r="M274" s="67"/>
    </row>
    <row r="275" ht="22.5" customHeight="1">
      <c r="B275" s="59">
        <v>594.0</v>
      </c>
      <c r="C275" s="60" t="s">
        <v>39</v>
      </c>
      <c r="D275" s="61">
        <v>46176.0</v>
      </c>
      <c r="E275" s="62" t="str">
        <f t="shared" si="11"/>
        <v>2026</v>
      </c>
      <c r="F275" s="62" t="str">
        <f t="shared" si="12"/>
        <v>06 Jun</v>
      </c>
      <c r="G275" s="63">
        <v>22000.0</v>
      </c>
      <c r="H275" s="60" t="s">
        <v>32</v>
      </c>
      <c r="I275" s="64" t="s">
        <v>110</v>
      </c>
      <c r="J275" s="64" t="s">
        <v>78</v>
      </c>
      <c r="K275" s="66" t="b">
        <v>1</v>
      </c>
      <c r="L275" s="66"/>
      <c r="M275" s="67"/>
    </row>
    <row r="276" ht="22.5" customHeight="1">
      <c r="B276" s="59">
        <v>595.0</v>
      </c>
      <c r="C276" s="60" t="s">
        <v>39</v>
      </c>
      <c r="D276" s="61">
        <v>46176.0</v>
      </c>
      <c r="E276" s="62" t="str">
        <f t="shared" si="11"/>
        <v>2026</v>
      </c>
      <c r="F276" s="62" t="str">
        <f t="shared" si="12"/>
        <v>06 Jun</v>
      </c>
      <c r="G276" s="63">
        <v>90000.0</v>
      </c>
      <c r="H276" s="60" t="s">
        <v>32</v>
      </c>
      <c r="I276" s="64" t="s">
        <v>142</v>
      </c>
      <c r="J276" s="64" t="s">
        <v>78</v>
      </c>
      <c r="K276" s="66" t="b">
        <v>1</v>
      </c>
      <c r="L276" s="66"/>
      <c r="M276" s="67"/>
    </row>
    <row r="277" ht="22.5" customHeight="1">
      <c r="B277" s="59">
        <v>596.0</v>
      </c>
      <c r="C277" s="60" t="s">
        <v>50</v>
      </c>
      <c r="D277" s="61">
        <v>46176.0</v>
      </c>
      <c r="E277" s="62" t="str">
        <f t="shared" si="11"/>
        <v>2026</v>
      </c>
      <c r="F277" s="62" t="str">
        <f t="shared" si="12"/>
        <v>06 Jun</v>
      </c>
      <c r="G277" s="63">
        <v>100000.0</v>
      </c>
      <c r="H277" s="60" t="s">
        <v>32</v>
      </c>
      <c r="I277" s="64" t="s">
        <v>398</v>
      </c>
      <c r="J277" s="64" t="s">
        <v>74</v>
      </c>
      <c r="K277" s="66" t="b">
        <v>1</v>
      </c>
      <c r="L277" s="66"/>
      <c r="M277" s="67"/>
    </row>
    <row r="278" ht="22.5" customHeight="1">
      <c r="B278" s="59">
        <v>597.0</v>
      </c>
      <c r="C278" s="60" t="s">
        <v>50</v>
      </c>
      <c r="D278" s="61">
        <v>46178.0</v>
      </c>
      <c r="E278" s="62" t="str">
        <f t="shared" si="11"/>
        <v>2026</v>
      </c>
      <c r="F278" s="62" t="str">
        <f t="shared" si="12"/>
        <v>06 Jun</v>
      </c>
      <c r="G278" s="63">
        <v>15000.0</v>
      </c>
      <c r="H278" s="60" t="s">
        <v>32</v>
      </c>
      <c r="I278" s="64" t="s">
        <v>90</v>
      </c>
      <c r="J278" s="64" t="s">
        <v>78</v>
      </c>
      <c r="K278" s="66" t="b">
        <v>1</v>
      </c>
      <c r="L278" s="66"/>
      <c r="M278" s="67"/>
    </row>
    <row r="279" ht="22.5" customHeight="1">
      <c r="B279" s="59">
        <v>598.0</v>
      </c>
      <c r="C279" s="60" t="s">
        <v>50</v>
      </c>
      <c r="D279" s="61">
        <v>46178.0</v>
      </c>
      <c r="E279" s="62" t="str">
        <f t="shared" si="11"/>
        <v>2026</v>
      </c>
      <c r="F279" s="62" t="str">
        <f t="shared" si="12"/>
        <v>06 Jun</v>
      </c>
      <c r="G279" s="63">
        <v>150000.0</v>
      </c>
      <c r="H279" s="60" t="s">
        <v>32</v>
      </c>
      <c r="I279" s="64" t="s">
        <v>50</v>
      </c>
      <c r="J279" s="64" t="s">
        <v>74</v>
      </c>
      <c r="K279" s="66" t="b">
        <v>1</v>
      </c>
      <c r="L279" s="66"/>
      <c r="M279" s="67"/>
    </row>
    <row r="280" ht="22.5" customHeight="1">
      <c r="B280" s="59">
        <v>599.0</v>
      </c>
      <c r="C280" s="60" t="s">
        <v>50</v>
      </c>
      <c r="D280" s="61">
        <v>46178.0</v>
      </c>
      <c r="E280" s="62" t="str">
        <f t="shared" si="11"/>
        <v>2026</v>
      </c>
      <c r="F280" s="62" t="str">
        <f t="shared" si="12"/>
        <v>06 Jun</v>
      </c>
      <c r="G280" s="63">
        <v>200000.0</v>
      </c>
      <c r="H280" s="60" t="s">
        <v>32</v>
      </c>
      <c r="I280" s="64" t="s">
        <v>400</v>
      </c>
      <c r="J280" s="64" t="s">
        <v>78</v>
      </c>
      <c r="K280" s="66" t="b">
        <v>1</v>
      </c>
      <c r="L280" s="66"/>
      <c r="M280" s="67"/>
    </row>
    <row r="281" ht="22.5" customHeight="1">
      <c r="B281" s="59">
        <v>600.0</v>
      </c>
      <c r="C281" s="60" t="s">
        <v>50</v>
      </c>
      <c r="D281" s="61">
        <v>46181.0</v>
      </c>
      <c r="E281" s="62" t="str">
        <f t="shared" si="11"/>
        <v>2026</v>
      </c>
      <c r="F281" s="62" t="str">
        <f t="shared" si="12"/>
        <v>06 Jun</v>
      </c>
      <c r="G281" s="63">
        <v>100000.0</v>
      </c>
      <c r="H281" s="60" t="s">
        <v>32</v>
      </c>
      <c r="I281" s="64" t="s">
        <v>227</v>
      </c>
      <c r="J281" s="64" t="s">
        <v>74</v>
      </c>
      <c r="K281" s="66" t="b">
        <v>1</v>
      </c>
      <c r="L281" s="66"/>
      <c r="M281" s="67"/>
    </row>
    <row r="282" ht="22.5" customHeight="1">
      <c r="B282" s="59">
        <v>601.0</v>
      </c>
      <c r="C282" s="60" t="s">
        <v>50</v>
      </c>
      <c r="D282" s="61">
        <v>46181.0</v>
      </c>
      <c r="E282" s="62" t="str">
        <f t="shared" si="11"/>
        <v>2026</v>
      </c>
      <c r="F282" s="62" t="str">
        <f t="shared" si="12"/>
        <v>06 Jun</v>
      </c>
      <c r="G282" s="63">
        <v>200000.0</v>
      </c>
      <c r="H282" s="60" t="s">
        <v>32</v>
      </c>
      <c r="I282" s="64" t="s">
        <v>50</v>
      </c>
      <c r="J282" s="64" t="s">
        <v>74</v>
      </c>
      <c r="K282" s="66" t="b">
        <v>1</v>
      </c>
      <c r="L282" s="66"/>
      <c r="M282" s="67"/>
    </row>
    <row r="283" ht="22.5" customHeight="1">
      <c r="B283" s="59">
        <v>602.0</v>
      </c>
      <c r="C283" s="60" t="s">
        <v>50</v>
      </c>
      <c r="D283" s="61">
        <v>46182.0</v>
      </c>
      <c r="E283" s="62" t="str">
        <f t="shared" si="11"/>
        <v>2026</v>
      </c>
      <c r="F283" s="62" t="str">
        <f t="shared" si="12"/>
        <v>06 Jun</v>
      </c>
      <c r="G283" s="63">
        <v>15000.0</v>
      </c>
      <c r="H283" s="60" t="s">
        <v>32</v>
      </c>
      <c r="I283" s="64" t="s">
        <v>90</v>
      </c>
      <c r="J283" s="64" t="s">
        <v>78</v>
      </c>
      <c r="K283" s="66" t="b">
        <v>1</v>
      </c>
      <c r="L283" s="66"/>
      <c r="M283" s="67"/>
    </row>
    <row r="284" ht="22.5" customHeight="1">
      <c r="B284" s="59">
        <v>603.0</v>
      </c>
      <c r="C284" s="60" t="s">
        <v>39</v>
      </c>
      <c r="D284" s="61">
        <v>46183.0</v>
      </c>
      <c r="E284" s="62" t="str">
        <f t="shared" si="11"/>
        <v>2026</v>
      </c>
      <c r="F284" s="62" t="str">
        <f t="shared" si="12"/>
        <v>06 Jun</v>
      </c>
      <c r="G284" s="63">
        <v>75000.0</v>
      </c>
      <c r="H284" s="60" t="s">
        <v>32</v>
      </c>
      <c r="I284" s="64" t="s">
        <v>404</v>
      </c>
      <c r="J284" s="64" t="s">
        <v>74</v>
      </c>
      <c r="K284" s="66" t="b">
        <v>1</v>
      </c>
      <c r="L284" s="66"/>
      <c r="M284" s="67"/>
    </row>
    <row r="285" ht="22.5" customHeight="1">
      <c r="B285" s="59">
        <v>604.0</v>
      </c>
      <c r="C285" s="60" t="s">
        <v>50</v>
      </c>
      <c r="D285" s="61">
        <v>46183.0</v>
      </c>
      <c r="E285" s="62"/>
      <c r="F285" s="62"/>
      <c r="G285" s="63">
        <v>100000.0</v>
      </c>
      <c r="H285" s="60" t="s">
        <v>32</v>
      </c>
      <c r="I285" s="64" t="s">
        <v>50</v>
      </c>
      <c r="J285" s="64" t="s">
        <v>74</v>
      </c>
      <c r="K285" s="66" t="b">
        <v>1</v>
      </c>
      <c r="L285" s="66"/>
      <c r="M285" s="67"/>
    </row>
    <row r="286" ht="22.5" customHeight="1">
      <c r="B286" s="59">
        <v>605.0</v>
      </c>
      <c r="C286" s="60" t="s">
        <v>50</v>
      </c>
      <c r="D286" s="61">
        <v>46183.0</v>
      </c>
      <c r="E286" s="62" t="str">
        <f t="shared" ref="E286:E344" si="13">if(D286="","",text(D286,"yyyy"))</f>
        <v>2026</v>
      </c>
      <c r="F286" s="62" t="str">
        <f t="shared" ref="F286:F344" si="14">if(D286="","",text(D286,"mm")&amp;" "&amp;text(D286,"mmm"))</f>
        <v>06 Jun</v>
      </c>
      <c r="G286" s="63">
        <v>300000.0</v>
      </c>
      <c r="H286" s="60" t="s">
        <v>32</v>
      </c>
      <c r="I286" s="64" t="s">
        <v>240</v>
      </c>
      <c r="J286" s="64" t="s">
        <v>74</v>
      </c>
      <c r="K286" s="66" t="b">
        <v>1</v>
      </c>
      <c r="L286" s="66"/>
      <c r="M286" s="67"/>
    </row>
    <row r="287" ht="22.5" customHeight="1">
      <c r="B287" s="59">
        <v>606.0</v>
      </c>
      <c r="C287" s="60" t="s">
        <v>39</v>
      </c>
      <c r="D287" s="61">
        <v>46185.0</v>
      </c>
      <c r="E287" s="62" t="str">
        <f t="shared" si="13"/>
        <v>2026</v>
      </c>
      <c r="F287" s="62" t="str">
        <f t="shared" si="14"/>
        <v>06 Jun</v>
      </c>
      <c r="G287" s="63">
        <v>100000.0</v>
      </c>
      <c r="H287" s="60" t="s">
        <v>32</v>
      </c>
      <c r="I287" s="64" t="s">
        <v>406</v>
      </c>
      <c r="J287" s="64" t="s">
        <v>78</v>
      </c>
      <c r="K287" s="66" t="b">
        <v>1</v>
      </c>
      <c r="L287" s="66"/>
      <c r="M287" s="67"/>
    </row>
    <row r="288" ht="22.5" customHeight="1">
      <c r="B288" s="59">
        <v>607.0</v>
      </c>
      <c r="C288" s="60" t="s">
        <v>39</v>
      </c>
      <c r="D288" s="61">
        <v>46185.0</v>
      </c>
      <c r="E288" s="62" t="str">
        <f t="shared" si="13"/>
        <v>2026</v>
      </c>
      <c r="F288" s="62" t="str">
        <f t="shared" si="14"/>
        <v>06 Jun</v>
      </c>
      <c r="G288" s="63">
        <v>20000.0</v>
      </c>
      <c r="H288" s="60" t="s">
        <v>32</v>
      </c>
      <c r="I288" s="64" t="s">
        <v>110</v>
      </c>
      <c r="J288" s="64" t="s">
        <v>78</v>
      </c>
      <c r="K288" s="66" t="b">
        <v>1</v>
      </c>
      <c r="L288" s="66"/>
      <c r="M288" s="67"/>
    </row>
    <row r="289" ht="22.5" customHeight="1">
      <c r="B289" s="59">
        <v>608.0</v>
      </c>
      <c r="C289" s="60" t="s">
        <v>39</v>
      </c>
      <c r="D289" s="61">
        <v>46185.0</v>
      </c>
      <c r="E289" s="62" t="str">
        <f t="shared" si="13"/>
        <v>2026</v>
      </c>
      <c r="F289" s="62" t="str">
        <f t="shared" si="14"/>
        <v>06 Jun</v>
      </c>
      <c r="G289" s="63">
        <v>50000.0</v>
      </c>
      <c r="H289" s="60" t="s">
        <v>32</v>
      </c>
      <c r="I289" s="64" t="s">
        <v>304</v>
      </c>
      <c r="J289" s="64" t="s">
        <v>74</v>
      </c>
      <c r="K289" s="66" t="b">
        <v>1</v>
      </c>
      <c r="L289" s="66"/>
      <c r="M289" s="67"/>
    </row>
    <row r="290" ht="22.5" customHeight="1">
      <c r="B290" s="59">
        <v>609.0</v>
      </c>
      <c r="C290" s="60" t="s">
        <v>50</v>
      </c>
      <c r="D290" s="61">
        <v>46184.0</v>
      </c>
      <c r="E290" s="62" t="str">
        <f t="shared" si="13"/>
        <v>2026</v>
      </c>
      <c r="F290" s="62" t="str">
        <f t="shared" si="14"/>
        <v>06 Jun</v>
      </c>
      <c r="G290" s="63">
        <v>50000.0</v>
      </c>
      <c r="H290" s="60" t="s">
        <v>32</v>
      </c>
      <c r="I290" s="64" t="s">
        <v>409</v>
      </c>
      <c r="J290" s="64" t="s">
        <v>72</v>
      </c>
      <c r="K290" s="66" t="b">
        <v>1</v>
      </c>
      <c r="L290" s="66"/>
      <c r="M290" s="67"/>
    </row>
    <row r="291" ht="22.5" customHeight="1">
      <c r="B291" s="59">
        <v>610.0</v>
      </c>
      <c r="C291" s="60" t="s">
        <v>50</v>
      </c>
      <c r="D291" s="61">
        <v>46186.0</v>
      </c>
      <c r="E291" s="62" t="str">
        <f t="shared" si="13"/>
        <v>2026</v>
      </c>
      <c r="F291" s="62" t="str">
        <f t="shared" si="14"/>
        <v>06 Jun</v>
      </c>
      <c r="G291" s="63">
        <v>164000.0</v>
      </c>
      <c r="H291" s="60" t="s">
        <v>32</v>
      </c>
      <c r="I291" s="64" t="s">
        <v>410</v>
      </c>
      <c r="J291" s="64" t="s">
        <v>78</v>
      </c>
      <c r="K291" s="66" t="b">
        <v>1</v>
      </c>
      <c r="L291" s="66"/>
      <c r="M291" s="67"/>
    </row>
    <row r="292" ht="22.5" customHeight="1">
      <c r="B292" s="59">
        <v>611.0</v>
      </c>
      <c r="C292" s="60" t="s">
        <v>39</v>
      </c>
      <c r="D292" s="61">
        <v>46186.0</v>
      </c>
      <c r="E292" s="62" t="str">
        <f t="shared" si="13"/>
        <v>2026</v>
      </c>
      <c r="F292" s="62" t="str">
        <f t="shared" si="14"/>
        <v>06 Jun</v>
      </c>
      <c r="G292" s="63">
        <v>100000.0</v>
      </c>
      <c r="H292" s="60" t="s">
        <v>32</v>
      </c>
      <c r="I292" s="64" t="s">
        <v>325</v>
      </c>
      <c r="J292" s="64" t="s">
        <v>74</v>
      </c>
      <c r="K292" s="66" t="b">
        <v>1</v>
      </c>
      <c r="L292" s="66"/>
      <c r="M292" s="67"/>
    </row>
    <row r="293" ht="22.5" customHeight="1">
      <c r="B293" s="59">
        <v>612.0</v>
      </c>
      <c r="C293" s="60" t="s">
        <v>39</v>
      </c>
      <c r="D293" s="61">
        <v>46186.0</v>
      </c>
      <c r="E293" s="62" t="str">
        <f t="shared" si="13"/>
        <v>2026</v>
      </c>
      <c r="F293" s="62" t="str">
        <f t="shared" si="14"/>
        <v>06 Jun</v>
      </c>
      <c r="G293" s="63">
        <v>90000.0</v>
      </c>
      <c r="H293" s="60" t="s">
        <v>32</v>
      </c>
      <c r="I293" s="64" t="s">
        <v>286</v>
      </c>
      <c r="J293" s="64" t="s">
        <v>74</v>
      </c>
      <c r="K293" s="66" t="b">
        <v>1</v>
      </c>
      <c r="L293" s="66"/>
      <c r="M293" s="67"/>
    </row>
    <row r="294" ht="22.5" customHeight="1">
      <c r="B294" s="59">
        <v>613.0</v>
      </c>
      <c r="C294" s="60" t="s">
        <v>50</v>
      </c>
      <c r="D294" s="61">
        <v>46187.0</v>
      </c>
      <c r="E294" s="62" t="str">
        <f t="shared" si="13"/>
        <v>2026</v>
      </c>
      <c r="F294" s="62" t="str">
        <f t="shared" si="14"/>
        <v>06 Jun</v>
      </c>
      <c r="G294" s="63">
        <v>60000.0</v>
      </c>
      <c r="H294" s="60" t="s">
        <v>32</v>
      </c>
      <c r="I294" s="64" t="s">
        <v>414</v>
      </c>
      <c r="J294" s="64" t="s">
        <v>78</v>
      </c>
      <c r="K294" s="66" t="b">
        <v>1</v>
      </c>
      <c r="L294" s="66"/>
      <c r="M294" s="67"/>
    </row>
    <row r="295" ht="22.5" customHeight="1">
      <c r="B295" s="59">
        <v>614.0</v>
      </c>
      <c r="C295" s="60" t="s">
        <v>50</v>
      </c>
      <c r="D295" s="61">
        <v>46187.0</v>
      </c>
      <c r="E295" s="62" t="str">
        <f t="shared" si="13"/>
        <v>2026</v>
      </c>
      <c r="F295" s="62" t="str">
        <f t="shared" si="14"/>
        <v>06 Jun</v>
      </c>
      <c r="G295" s="63">
        <v>15000.0</v>
      </c>
      <c r="H295" s="60" t="s">
        <v>32</v>
      </c>
      <c r="I295" s="64" t="s">
        <v>90</v>
      </c>
      <c r="J295" s="64" t="s">
        <v>78</v>
      </c>
      <c r="K295" s="66" t="b">
        <v>1</v>
      </c>
      <c r="L295" s="66"/>
      <c r="M295" s="67"/>
    </row>
    <row r="296" ht="22.5" customHeight="1">
      <c r="B296" s="59">
        <v>615.0</v>
      </c>
      <c r="C296" s="60" t="s">
        <v>39</v>
      </c>
      <c r="D296" s="61">
        <v>46188.0</v>
      </c>
      <c r="E296" s="62" t="str">
        <f t="shared" si="13"/>
        <v>2026</v>
      </c>
      <c r="F296" s="62" t="str">
        <f t="shared" si="14"/>
        <v>06 Jun</v>
      </c>
      <c r="G296" s="63">
        <v>100000.0</v>
      </c>
      <c r="H296" s="60" t="s">
        <v>32</v>
      </c>
      <c r="I296" s="64" t="s">
        <v>417</v>
      </c>
      <c r="J296" s="64" t="s">
        <v>74</v>
      </c>
      <c r="K296" s="66" t="b">
        <v>1</v>
      </c>
      <c r="L296" s="66"/>
      <c r="M296" s="67"/>
    </row>
    <row r="297" ht="22.5" customHeight="1">
      <c r="B297" s="59">
        <v>616.0</v>
      </c>
      <c r="C297" s="60" t="s">
        <v>39</v>
      </c>
      <c r="D297" s="61">
        <v>46188.0</v>
      </c>
      <c r="E297" s="62" t="str">
        <f t="shared" si="13"/>
        <v>2026</v>
      </c>
      <c r="F297" s="62" t="str">
        <f t="shared" si="14"/>
        <v>06 Jun</v>
      </c>
      <c r="G297" s="63">
        <v>150000.0</v>
      </c>
      <c r="H297" s="60" t="s">
        <v>32</v>
      </c>
      <c r="I297" s="64" t="s">
        <v>418</v>
      </c>
      <c r="J297" s="64" t="s">
        <v>74</v>
      </c>
      <c r="K297" s="66" t="b">
        <v>1</v>
      </c>
      <c r="L297" s="66"/>
      <c r="M297" s="67"/>
    </row>
    <row r="298" ht="22.5" customHeight="1">
      <c r="B298" s="59">
        <v>617.0</v>
      </c>
      <c r="C298" s="60" t="s">
        <v>50</v>
      </c>
      <c r="D298" s="61">
        <v>46190.0</v>
      </c>
      <c r="E298" s="62" t="str">
        <f t="shared" si="13"/>
        <v>2026</v>
      </c>
      <c r="F298" s="62" t="str">
        <f t="shared" si="14"/>
        <v>06 Jun</v>
      </c>
      <c r="G298" s="63">
        <v>50000.0</v>
      </c>
      <c r="H298" s="60" t="s">
        <v>32</v>
      </c>
      <c r="I298" s="64" t="s">
        <v>33</v>
      </c>
      <c r="J298" s="64" t="s">
        <v>33</v>
      </c>
      <c r="K298" s="66" t="b">
        <v>1</v>
      </c>
      <c r="L298" s="66"/>
      <c r="M298" s="67"/>
    </row>
    <row r="299" ht="22.5" customHeight="1">
      <c r="B299" s="59">
        <v>618.0</v>
      </c>
      <c r="C299" s="60" t="s">
        <v>39</v>
      </c>
      <c r="D299" s="61">
        <v>46190.0</v>
      </c>
      <c r="E299" s="62" t="str">
        <f t="shared" si="13"/>
        <v>2026</v>
      </c>
      <c r="F299" s="62" t="str">
        <f t="shared" si="14"/>
        <v>06 Jun</v>
      </c>
      <c r="G299" s="63">
        <v>200000.0</v>
      </c>
      <c r="H299" s="60" t="s">
        <v>32</v>
      </c>
      <c r="I299" s="64" t="s">
        <v>312</v>
      </c>
      <c r="J299" s="64" t="s">
        <v>74</v>
      </c>
      <c r="K299" s="66" t="b">
        <v>1</v>
      </c>
      <c r="L299" s="66"/>
      <c r="M299" s="67"/>
    </row>
    <row r="300" ht="22.5" customHeight="1">
      <c r="B300" s="59">
        <v>619.0</v>
      </c>
      <c r="C300" s="60" t="s">
        <v>39</v>
      </c>
      <c r="D300" s="61">
        <v>46191.0</v>
      </c>
      <c r="E300" s="62" t="str">
        <f t="shared" si="13"/>
        <v>2026</v>
      </c>
      <c r="F300" s="62" t="str">
        <f t="shared" si="14"/>
        <v>06 Jun</v>
      </c>
      <c r="G300" s="63">
        <v>200000.0</v>
      </c>
      <c r="H300" s="60" t="s">
        <v>32</v>
      </c>
      <c r="I300" s="64" t="s">
        <v>418</v>
      </c>
      <c r="J300" s="64" t="s">
        <v>74</v>
      </c>
      <c r="K300" s="66" t="b">
        <v>1</v>
      </c>
      <c r="L300" s="66"/>
      <c r="M300" s="67"/>
    </row>
    <row r="301" ht="22.5" customHeight="1">
      <c r="B301" s="59">
        <v>620.0</v>
      </c>
      <c r="C301" s="60" t="s">
        <v>39</v>
      </c>
      <c r="D301" s="61">
        <v>46191.0</v>
      </c>
      <c r="E301" s="62" t="str">
        <f t="shared" si="13"/>
        <v>2026</v>
      </c>
      <c r="F301" s="62" t="str">
        <f t="shared" si="14"/>
        <v>06 Jun</v>
      </c>
      <c r="G301" s="63">
        <v>30000.0</v>
      </c>
      <c r="H301" s="60" t="s">
        <v>32</v>
      </c>
      <c r="I301" s="64" t="s">
        <v>419</v>
      </c>
      <c r="J301" s="64" t="s">
        <v>78</v>
      </c>
      <c r="K301" s="66" t="b">
        <v>1</v>
      </c>
      <c r="L301" s="66"/>
      <c r="M301" s="67"/>
    </row>
    <row r="302" ht="22.5" customHeight="1">
      <c r="B302" s="59">
        <v>621.0</v>
      </c>
      <c r="C302" s="60" t="s">
        <v>39</v>
      </c>
      <c r="D302" s="61">
        <v>46191.0</v>
      </c>
      <c r="E302" s="62" t="str">
        <f t="shared" si="13"/>
        <v>2026</v>
      </c>
      <c r="F302" s="62" t="str">
        <f t="shared" si="14"/>
        <v>06 Jun</v>
      </c>
      <c r="G302" s="63">
        <v>15000.0</v>
      </c>
      <c r="H302" s="60" t="s">
        <v>32</v>
      </c>
      <c r="I302" s="64" t="s">
        <v>110</v>
      </c>
      <c r="J302" s="64" t="s">
        <v>78</v>
      </c>
      <c r="K302" s="66" t="b">
        <v>1</v>
      </c>
      <c r="L302" s="66"/>
      <c r="M302" s="67"/>
    </row>
    <row r="303" ht="22.5" customHeight="1">
      <c r="B303" s="59">
        <v>622.0</v>
      </c>
      <c r="C303" s="60" t="s">
        <v>39</v>
      </c>
      <c r="D303" s="61">
        <v>46191.0</v>
      </c>
      <c r="E303" s="62" t="str">
        <f t="shared" si="13"/>
        <v>2026</v>
      </c>
      <c r="F303" s="62" t="str">
        <f t="shared" si="14"/>
        <v>06 Jun</v>
      </c>
      <c r="G303" s="63">
        <v>49000.0</v>
      </c>
      <c r="H303" s="60" t="s">
        <v>32</v>
      </c>
      <c r="I303" s="64" t="s">
        <v>421</v>
      </c>
      <c r="J303" s="64" t="s">
        <v>78</v>
      </c>
      <c r="K303" s="66" t="b">
        <v>1</v>
      </c>
      <c r="L303" s="66"/>
      <c r="M303" s="67"/>
    </row>
    <row r="304" ht="22.5" customHeight="1">
      <c r="B304" s="59">
        <v>623.0</v>
      </c>
      <c r="C304" s="60" t="s">
        <v>50</v>
      </c>
      <c r="D304" s="61">
        <v>46191.0</v>
      </c>
      <c r="E304" s="62" t="str">
        <f t="shared" si="13"/>
        <v>2026</v>
      </c>
      <c r="F304" s="62" t="str">
        <f t="shared" si="14"/>
        <v>06 Jun</v>
      </c>
      <c r="G304" s="63">
        <v>50000.0</v>
      </c>
      <c r="H304" s="60" t="s">
        <v>32</v>
      </c>
      <c r="I304" s="64" t="s">
        <v>96</v>
      </c>
      <c r="J304" s="64" t="s">
        <v>74</v>
      </c>
      <c r="K304" s="66" t="b">
        <v>1</v>
      </c>
      <c r="L304" s="66"/>
      <c r="M304" s="67"/>
    </row>
    <row r="305" ht="22.5" customHeight="1">
      <c r="B305" s="59">
        <v>624.0</v>
      </c>
      <c r="C305" s="60" t="s">
        <v>39</v>
      </c>
      <c r="D305" s="61">
        <v>46192.0</v>
      </c>
      <c r="E305" s="62" t="str">
        <f t="shared" si="13"/>
        <v>2026</v>
      </c>
      <c r="F305" s="62" t="str">
        <f t="shared" si="14"/>
        <v>06 Jun</v>
      </c>
      <c r="G305" s="63">
        <v>30000.0</v>
      </c>
      <c r="H305" s="60" t="s">
        <v>32</v>
      </c>
      <c r="I305" s="64" t="s">
        <v>423</v>
      </c>
      <c r="J305" s="64" t="s">
        <v>74</v>
      </c>
      <c r="K305" s="66" t="b">
        <v>1</v>
      </c>
      <c r="L305" s="66"/>
      <c r="M305" s="67"/>
    </row>
    <row r="306" ht="22.5" customHeight="1">
      <c r="B306" s="59">
        <v>625.0</v>
      </c>
      <c r="C306" s="60"/>
      <c r="D306" s="61"/>
      <c r="E306" s="62" t="str">
        <f t="shared" si="13"/>
        <v/>
      </c>
      <c r="F306" s="62" t="str">
        <f t="shared" si="14"/>
        <v/>
      </c>
      <c r="G306" s="63"/>
      <c r="H306" s="60"/>
      <c r="I306" s="64"/>
      <c r="J306" s="64"/>
      <c r="K306" s="66" t="b">
        <v>0</v>
      </c>
      <c r="L306" s="66"/>
      <c r="M306" s="67"/>
    </row>
    <row r="307" ht="22.5" customHeight="1">
      <c r="B307" s="59">
        <v>626.0</v>
      </c>
      <c r="C307" s="60" t="s">
        <v>39</v>
      </c>
      <c r="D307" s="61">
        <v>46085.0</v>
      </c>
      <c r="E307" s="62" t="str">
        <f t="shared" si="13"/>
        <v>2026</v>
      </c>
      <c r="F307" s="62" t="str">
        <f t="shared" si="14"/>
        <v>03 Mar</v>
      </c>
      <c r="G307" s="63">
        <v>47500.0</v>
      </c>
      <c r="H307" s="60" t="s">
        <v>32</v>
      </c>
      <c r="I307" s="64" t="s">
        <v>425</v>
      </c>
      <c r="J307" s="64" t="s">
        <v>78</v>
      </c>
      <c r="K307" s="66" t="b">
        <v>1</v>
      </c>
      <c r="L307" s="66"/>
      <c r="M307" s="67"/>
    </row>
    <row r="308" ht="22.5" customHeight="1">
      <c r="B308" s="59">
        <v>627.0</v>
      </c>
      <c r="C308" s="60" t="s">
        <v>50</v>
      </c>
      <c r="D308" s="61">
        <v>46085.0</v>
      </c>
      <c r="E308" s="62" t="str">
        <f t="shared" si="13"/>
        <v>2026</v>
      </c>
      <c r="F308" s="62" t="str">
        <f t="shared" si="14"/>
        <v>03 Mar</v>
      </c>
      <c r="G308" s="63">
        <v>200000.0</v>
      </c>
      <c r="H308" s="60" t="s">
        <v>32</v>
      </c>
      <c r="I308" s="64" t="s">
        <v>281</v>
      </c>
      <c r="J308" s="64" t="s">
        <v>78</v>
      </c>
      <c r="K308" s="66" t="b">
        <v>1</v>
      </c>
      <c r="L308" s="66"/>
      <c r="M308" s="67"/>
    </row>
    <row r="309" ht="22.5" customHeight="1">
      <c r="B309" s="59">
        <v>628.0</v>
      </c>
      <c r="C309" s="60" t="s">
        <v>50</v>
      </c>
      <c r="D309" s="61">
        <v>46085.0</v>
      </c>
      <c r="E309" s="62" t="str">
        <f t="shared" si="13"/>
        <v>2026</v>
      </c>
      <c r="F309" s="62" t="str">
        <f t="shared" si="14"/>
        <v>03 Mar</v>
      </c>
      <c r="G309" s="63">
        <v>50000.0</v>
      </c>
      <c r="H309" s="60" t="s">
        <v>32</v>
      </c>
      <c r="I309" s="64" t="s">
        <v>50</v>
      </c>
      <c r="J309" s="64" t="s">
        <v>74</v>
      </c>
      <c r="K309" s="66" t="b">
        <v>1</v>
      </c>
      <c r="L309" s="66"/>
      <c r="M309" s="67"/>
    </row>
    <row r="310" ht="22.5" customHeight="1">
      <c r="B310" s="59">
        <v>629.0</v>
      </c>
      <c r="C310" s="60" t="s">
        <v>39</v>
      </c>
      <c r="D310" s="61">
        <v>46086.0</v>
      </c>
      <c r="E310" s="62" t="str">
        <f t="shared" si="13"/>
        <v>2026</v>
      </c>
      <c r="F310" s="62" t="str">
        <f t="shared" si="14"/>
        <v>03 Mar</v>
      </c>
      <c r="G310" s="63">
        <v>15000.0</v>
      </c>
      <c r="H310" s="60" t="s">
        <v>32</v>
      </c>
      <c r="I310" s="64" t="s">
        <v>90</v>
      </c>
      <c r="J310" s="64" t="s">
        <v>78</v>
      </c>
      <c r="K310" s="66" t="b">
        <v>1</v>
      </c>
      <c r="L310" s="66"/>
      <c r="M310" s="67"/>
    </row>
    <row r="311" ht="22.5" customHeight="1">
      <c r="B311" s="59">
        <v>630.0</v>
      </c>
      <c r="C311" s="60" t="s">
        <v>50</v>
      </c>
      <c r="D311" s="61">
        <v>46086.0</v>
      </c>
      <c r="E311" s="62" t="str">
        <f t="shared" si="13"/>
        <v>2026</v>
      </c>
      <c r="F311" s="62" t="str">
        <f t="shared" si="14"/>
        <v>03 Mar</v>
      </c>
      <c r="G311" s="63">
        <v>35000.0</v>
      </c>
      <c r="H311" s="60" t="s">
        <v>32</v>
      </c>
      <c r="I311" s="64" t="s">
        <v>428</v>
      </c>
      <c r="J311" s="64" t="s">
        <v>78</v>
      </c>
      <c r="K311" s="66" t="b">
        <v>1</v>
      </c>
      <c r="L311" s="66"/>
      <c r="M311" s="67"/>
    </row>
    <row r="312" ht="22.5" customHeight="1">
      <c r="B312" s="59">
        <v>631.0</v>
      </c>
      <c r="C312" s="60" t="s">
        <v>50</v>
      </c>
      <c r="D312" s="61">
        <v>46086.0</v>
      </c>
      <c r="E312" s="62" t="str">
        <f t="shared" si="13"/>
        <v>2026</v>
      </c>
      <c r="F312" s="62" t="str">
        <f t="shared" si="14"/>
        <v>03 Mar</v>
      </c>
      <c r="G312" s="63">
        <v>300000.0</v>
      </c>
      <c r="H312" s="60" t="s">
        <v>32</v>
      </c>
      <c r="I312" s="64" t="s">
        <v>240</v>
      </c>
      <c r="J312" s="64" t="s">
        <v>74</v>
      </c>
      <c r="K312" s="66" t="b">
        <v>1</v>
      </c>
      <c r="L312" s="66"/>
      <c r="M312" s="67"/>
    </row>
    <row r="313" ht="22.5" customHeight="1">
      <c r="B313" s="59">
        <v>632.0</v>
      </c>
      <c r="C313" s="60" t="s">
        <v>39</v>
      </c>
      <c r="D313" s="61">
        <v>46088.0</v>
      </c>
      <c r="E313" s="62" t="str">
        <f t="shared" si="13"/>
        <v>2026</v>
      </c>
      <c r="F313" s="62" t="str">
        <f t="shared" si="14"/>
        <v>03 Mar</v>
      </c>
      <c r="G313" s="63">
        <v>300000.0</v>
      </c>
      <c r="H313" s="60" t="s">
        <v>32</v>
      </c>
      <c r="I313" s="64" t="s">
        <v>240</v>
      </c>
      <c r="J313" s="64" t="s">
        <v>74</v>
      </c>
      <c r="K313" s="66" t="b">
        <v>1</v>
      </c>
      <c r="L313" s="66"/>
      <c r="M313" s="67"/>
    </row>
    <row r="314" ht="22.5" customHeight="1">
      <c r="B314" s="59">
        <v>633.0</v>
      </c>
      <c r="C314" s="60" t="s">
        <v>39</v>
      </c>
      <c r="D314" s="61">
        <v>46088.0</v>
      </c>
      <c r="E314" s="62" t="str">
        <f t="shared" si="13"/>
        <v>2026</v>
      </c>
      <c r="F314" s="62" t="str">
        <f t="shared" si="14"/>
        <v>03 Mar</v>
      </c>
      <c r="G314" s="63">
        <v>15000.0</v>
      </c>
      <c r="H314" s="60" t="s">
        <v>32</v>
      </c>
      <c r="I314" s="64" t="s">
        <v>90</v>
      </c>
      <c r="J314" s="64" t="s">
        <v>78</v>
      </c>
      <c r="K314" s="66" t="b">
        <v>1</v>
      </c>
      <c r="L314" s="66"/>
      <c r="M314" s="67"/>
    </row>
    <row r="315" ht="22.5" customHeight="1">
      <c r="B315" s="59">
        <v>634.0</v>
      </c>
      <c r="C315" s="60" t="s">
        <v>39</v>
      </c>
      <c r="D315" s="61">
        <v>46088.0</v>
      </c>
      <c r="E315" s="62" t="str">
        <f t="shared" si="13"/>
        <v>2026</v>
      </c>
      <c r="F315" s="62" t="str">
        <f t="shared" si="14"/>
        <v>03 Mar</v>
      </c>
      <c r="G315" s="63">
        <v>15000.0</v>
      </c>
      <c r="H315" s="60" t="s">
        <v>32</v>
      </c>
      <c r="I315" s="64" t="s">
        <v>244</v>
      </c>
      <c r="J315" s="64" t="s">
        <v>74</v>
      </c>
      <c r="K315" s="66" t="b">
        <v>1</v>
      </c>
      <c r="L315" s="66"/>
      <c r="M315" s="67"/>
    </row>
    <row r="316" ht="22.5" customHeight="1">
      <c r="B316" s="59">
        <v>635.0</v>
      </c>
      <c r="C316" s="60" t="s">
        <v>50</v>
      </c>
      <c r="D316" s="61">
        <v>46089.0</v>
      </c>
      <c r="E316" s="62" t="str">
        <f t="shared" si="13"/>
        <v>2026</v>
      </c>
      <c r="F316" s="62" t="str">
        <f t="shared" si="14"/>
        <v>03 Mar</v>
      </c>
      <c r="G316" s="63">
        <v>50000.0</v>
      </c>
      <c r="H316" s="60" t="s">
        <v>32</v>
      </c>
      <c r="I316" s="64" t="s">
        <v>227</v>
      </c>
      <c r="J316" s="64" t="s">
        <v>74</v>
      </c>
      <c r="K316" s="66" t="b">
        <v>1</v>
      </c>
      <c r="L316" s="66"/>
      <c r="M316" s="67"/>
    </row>
    <row r="317" ht="22.5" customHeight="1">
      <c r="B317" s="59">
        <v>636.0</v>
      </c>
      <c r="C317" s="60" t="s">
        <v>50</v>
      </c>
      <c r="D317" s="61">
        <v>46089.0</v>
      </c>
      <c r="E317" s="62" t="str">
        <f t="shared" si="13"/>
        <v>2026</v>
      </c>
      <c r="F317" s="62" t="str">
        <f t="shared" si="14"/>
        <v>03 Mar</v>
      </c>
      <c r="G317" s="63">
        <v>100000.0</v>
      </c>
      <c r="H317" s="60" t="s">
        <v>32</v>
      </c>
      <c r="I317" s="64" t="s">
        <v>50</v>
      </c>
      <c r="J317" s="64" t="s">
        <v>74</v>
      </c>
      <c r="K317" s="66" t="b">
        <v>1</v>
      </c>
      <c r="L317" s="66"/>
      <c r="M317" s="67"/>
    </row>
    <row r="318" ht="22.5" customHeight="1">
      <c r="B318" s="59">
        <v>637.0</v>
      </c>
      <c r="C318" s="60" t="s">
        <v>39</v>
      </c>
      <c r="D318" s="120">
        <v>46090.0</v>
      </c>
      <c r="E318" s="62" t="str">
        <f t="shared" si="13"/>
        <v>2026</v>
      </c>
      <c r="F318" s="62" t="str">
        <f t="shared" si="14"/>
        <v>03 Mar</v>
      </c>
      <c r="G318" s="63">
        <v>173000.0</v>
      </c>
      <c r="H318" s="60" t="s">
        <v>32</v>
      </c>
      <c r="I318" s="64" t="s">
        <v>432</v>
      </c>
      <c r="J318" s="64" t="s">
        <v>78</v>
      </c>
      <c r="K318" s="66" t="b">
        <v>1</v>
      </c>
      <c r="L318" s="66"/>
      <c r="M318" s="67"/>
    </row>
    <row r="319" ht="22.5" customHeight="1">
      <c r="B319" s="59">
        <v>638.0</v>
      </c>
      <c r="C319" s="60" t="s">
        <v>50</v>
      </c>
      <c r="D319" s="61">
        <v>46091.0</v>
      </c>
      <c r="E319" s="62" t="str">
        <f t="shared" si="13"/>
        <v>2026</v>
      </c>
      <c r="F319" s="62" t="str">
        <f t="shared" si="14"/>
        <v>03 Mar</v>
      </c>
      <c r="G319" s="63">
        <v>100000.0</v>
      </c>
      <c r="H319" s="60" t="s">
        <v>32</v>
      </c>
      <c r="I319" s="64" t="s">
        <v>434</v>
      </c>
      <c r="J319" s="64" t="s">
        <v>74</v>
      </c>
      <c r="K319" s="66" t="b">
        <v>1</v>
      </c>
      <c r="L319" s="66"/>
      <c r="M319" s="67"/>
    </row>
    <row r="320" ht="22.5" customHeight="1">
      <c r="B320" s="59">
        <v>639.0</v>
      </c>
      <c r="C320" s="60" t="s">
        <v>39</v>
      </c>
      <c r="D320" s="61">
        <v>46091.0</v>
      </c>
      <c r="E320" s="62" t="str">
        <f t="shared" si="13"/>
        <v>2026</v>
      </c>
      <c r="F320" s="62" t="str">
        <f t="shared" si="14"/>
        <v>03 Mar</v>
      </c>
      <c r="G320" s="63">
        <v>17000.0</v>
      </c>
      <c r="H320" s="60" t="s">
        <v>32</v>
      </c>
      <c r="I320" s="64" t="s">
        <v>33</v>
      </c>
      <c r="J320" s="64" t="s">
        <v>33</v>
      </c>
      <c r="K320" s="66" t="b">
        <v>1</v>
      </c>
      <c r="L320" s="66"/>
      <c r="M320" s="67"/>
    </row>
    <row r="321" ht="22.5" customHeight="1">
      <c r="B321" s="59">
        <v>640.0</v>
      </c>
      <c r="C321" s="60" t="s">
        <v>39</v>
      </c>
      <c r="D321" s="61">
        <v>46091.0</v>
      </c>
      <c r="E321" s="62" t="str">
        <f t="shared" si="13"/>
        <v>2026</v>
      </c>
      <c r="F321" s="62" t="str">
        <f t="shared" si="14"/>
        <v>03 Mar</v>
      </c>
      <c r="G321" s="63">
        <v>200000.0</v>
      </c>
      <c r="H321" s="60" t="s">
        <v>32</v>
      </c>
      <c r="I321" s="64" t="s">
        <v>434</v>
      </c>
      <c r="J321" s="64" t="s">
        <v>74</v>
      </c>
      <c r="K321" s="66" t="b">
        <v>1</v>
      </c>
      <c r="L321" s="66"/>
      <c r="M321" s="67"/>
    </row>
    <row r="322" ht="22.5" customHeight="1">
      <c r="B322" s="59">
        <v>641.0</v>
      </c>
      <c r="C322" s="60" t="s">
        <v>39</v>
      </c>
      <c r="D322" s="61">
        <v>46091.0</v>
      </c>
      <c r="E322" s="62" t="str">
        <f t="shared" si="13"/>
        <v>2026</v>
      </c>
      <c r="F322" s="62" t="str">
        <f t="shared" si="14"/>
        <v>03 Mar</v>
      </c>
      <c r="G322" s="63">
        <v>300000.0</v>
      </c>
      <c r="H322" s="60" t="s">
        <v>32</v>
      </c>
      <c r="I322" s="64" t="s">
        <v>240</v>
      </c>
      <c r="J322" s="64" t="s">
        <v>74</v>
      </c>
      <c r="K322" s="66" t="b">
        <v>1</v>
      </c>
      <c r="L322" s="66"/>
      <c r="M322" s="67"/>
    </row>
    <row r="323" ht="22.5" customHeight="1">
      <c r="B323" s="59">
        <v>642.0</v>
      </c>
      <c r="C323" s="60" t="s">
        <v>79</v>
      </c>
      <c r="D323" s="61">
        <v>46093.0</v>
      </c>
      <c r="E323" s="62" t="str">
        <f t="shared" si="13"/>
        <v>2026</v>
      </c>
      <c r="F323" s="62" t="str">
        <f t="shared" si="14"/>
        <v>03 Mar</v>
      </c>
      <c r="G323" s="63">
        <v>100000.0</v>
      </c>
      <c r="H323" s="60" t="s">
        <v>32</v>
      </c>
      <c r="I323" s="64" t="s">
        <v>343</v>
      </c>
      <c r="J323" s="64" t="s">
        <v>74</v>
      </c>
      <c r="K323" s="66" t="b">
        <v>1</v>
      </c>
      <c r="L323" s="66"/>
      <c r="M323" s="67"/>
    </row>
    <row r="324" ht="22.5" customHeight="1">
      <c r="B324" s="59">
        <v>643.0</v>
      </c>
      <c r="C324" s="60" t="s">
        <v>39</v>
      </c>
      <c r="D324" s="61">
        <v>46093.0</v>
      </c>
      <c r="E324" s="62" t="str">
        <f t="shared" si="13"/>
        <v>2026</v>
      </c>
      <c r="F324" s="62" t="str">
        <f t="shared" si="14"/>
        <v>03 Mar</v>
      </c>
      <c r="G324" s="63">
        <v>100000.0</v>
      </c>
      <c r="H324" s="60" t="s">
        <v>32</v>
      </c>
      <c r="I324" s="64" t="s">
        <v>343</v>
      </c>
      <c r="J324" s="64" t="s">
        <v>74</v>
      </c>
      <c r="K324" s="66" t="b">
        <v>1</v>
      </c>
      <c r="L324" s="66"/>
      <c r="M324" s="67"/>
    </row>
    <row r="325" ht="22.5" customHeight="1">
      <c r="B325" s="59">
        <v>644.0</v>
      </c>
      <c r="C325" s="60" t="s">
        <v>39</v>
      </c>
      <c r="D325" s="61">
        <v>46094.0</v>
      </c>
      <c r="E325" s="62" t="str">
        <f t="shared" si="13"/>
        <v>2026</v>
      </c>
      <c r="F325" s="62" t="str">
        <f t="shared" si="14"/>
        <v>03 Mar</v>
      </c>
      <c r="G325" s="63">
        <v>100000.0</v>
      </c>
      <c r="H325" s="60" t="s">
        <v>32</v>
      </c>
      <c r="I325" s="64" t="s">
        <v>343</v>
      </c>
      <c r="J325" s="64" t="s">
        <v>74</v>
      </c>
      <c r="K325" s="66" t="b">
        <v>1</v>
      </c>
      <c r="L325" s="66"/>
      <c r="M325" s="67"/>
    </row>
    <row r="326" ht="22.5" customHeight="1">
      <c r="B326" s="59">
        <v>645.0</v>
      </c>
      <c r="C326" s="60" t="s">
        <v>50</v>
      </c>
      <c r="D326" s="61">
        <v>46094.0</v>
      </c>
      <c r="E326" s="62" t="str">
        <f t="shared" si="13"/>
        <v>2026</v>
      </c>
      <c r="F326" s="62" t="str">
        <f t="shared" si="14"/>
        <v>03 Mar</v>
      </c>
      <c r="G326" s="63">
        <v>100000.0</v>
      </c>
      <c r="H326" s="60" t="s">
        <v>32</v>
      </c>
      <c r="I326" s="64" t="s">
        <v>343</v>
      </c>
      <c r="J326" s="64" t="s">
        <v>74</v>
      </c>
      <c r="K326" s="66" t="b">
        <v>1</v>
      </c>
      <c r="L326" s="66"/>
      <c r="M326" s="67"/>
    </row>
    <row r="327" ht="22.5" customHeight="1">
      <c r="B327" s="59">
        <v>646.0</v>
      </c>
      <c r="C327" s="60" t="s">
        <v>50</v>
      </c>
      <c r="D327" s="61">
        <v>46094.0</v>
      </c>
      <c r="E327" s="62" t="str">
        <f t="shared" si="13"/>
        <v>2026</v>
      </c>
      <c r="F327" s="62" t="str">
        <f t="shared" si="14"/>
        <v>03 Mar</v>
      </c>
      <c r="G327" s="63">
        <v>50000.0</v>
      </c>
      <c r="H327" s="60" t="s">
        <v>32</v>
      </c>
      <c r="I327" s="64" t="s">
        <v>39</v>
      </c>
      <c r="J327" s="64" t="s">
        <v>74</v>
      </c>
      <c r="K327" s="66" t="b">
        <v>1</v>
      </c>
      <c r="L327" s="66"/>
      <c r="M327" s="67"/>
    </row>
    <row r="328" ht="22.5" customHeight="1">
      <c r="B328" s="59">
        <v>647.0</v>
      </c>
      <c r="C328" s="60" t="s">
        <v>50</v>
      </c>
      <c r="D328" s="61">
        <v>46094.0</v>
      </c>
      <c r="E328" s="62" t="str">
        <f t="shared" si="13"/>
        <v>2026</v>
      </c>
      <c r="F328" s="62" t="str">
        <f t="shared" si="14"/>
        <v>03 Mar</v>
      </c>
      <c r="G328" s="63">
        <v>50000.0</v>
      </c>
      <c r="H328" s="60" t="s">
        <v>32</v>
      </c>
      <c r="I328" s="64" t="s">
        <v>439</v>
      </c>
      <c r="J328" s="64" t="s">
        <v>74</v>
      </c>
      <c r="K328" s="66" t="b">
        <v>1</v>
      </c>
      <c r="L328" s="66"/>
      <c r="M328" s="67"/>
    </row>
    <row r="329" ht="22.5" customHeight="1">
      <c r="B329" s="59">
        <v>648.0</v>
      </c>
      <c r="C329" s="60" t="s">
        <v>50</v>
      </c>
      <c r="D329" s="61">
        <v>46094.0</v>
      </c>
      <c r="E329" s="62" t="str">
        <f t="shared" si="13"/>
        <v>2026</v>
      </c>
      <c r="F329" s="62" t="str">
        <f t="shared" si="14"/>
        <v>03 Mar</v>
      </c>
      <c r="G329" s="63">
        <v>150000.0</v>
      </c>
      <c r="H329" s="60" t="s">
        <v>32</v>
      </c>
      <c r="I329" s="64" t="s">
        <v>33</v>
      </c>
      <c r="J329" s="64" t="s">
        <v>33</v>
      </c>
      <c r="K329" s="66" t="b">
        <v>1</v>
      </c>
      <c r="L329" s="66"/>
      <c r="M329" s="67"/>
    </row>
    <row r="330" ht="22.5" customHeight="1">
      <c r="B330" s="59">
        <v>649.0</v>
      </c>
      <c r="C330" s="60" t="s">
        <v>39</v>
      </c>
      <c r="D330" s="61">
        <v>46095.0</v>
      </c>
      <c r="E330" s="62" t="str">
        <f t="shared" si="13"/>
        <v>2026</v>
      </c>
      <c r="F330" s="62" t="str">
        <f t="shared" si="14"/>
        <v>03 Mar</v>
      </c>
      <c r="G330" s="63">
        <v>300000.0</v>
      </c>
      <c r="H330" s="60" t="s">
        <v>32</v>
      </c>
      <c r="I330" s="64" t="s">
        <v>313</v>
      </c>
      <c r="J330" s="64" t="s">
        <v>74</v>
      </c>
      <c r="K330" s="66" t="b">
        <v>1</v>
      </c>
      <c r="L330" s="66"/>
      <c r="M330" s="67"/>
    </row>
    <row r="331" ht="22.5" customHeight="1">
      <c r="B331" s="59">
        <v>650.0</v>
      </c>
      <c r="C331" s="60" t="s">
        <v>79</v>
      </c>
      <c r="D331" s="61">
        <v>46096.0</v>
      </c>
      <c r="E331" s="62" t="str">
        <f t="shared" si="13"/>
        <v>2026</v>
      </c>
      <c r="F331" s="62" t="str">
        <f t="shared" si="14"/>
        <v>03 Mar</v>
      </c>
      <c r="G331" s="63">
        <v>500000.0</v>
      </c>
      <c r="H331" s="60" t="s">
        <v>32</v>
      </c>
      <c r="I331" s="64" t="s">
        <v>441</v>
      </c>
      <c r="J331" s="64" t="s">
        <v>78</v>
      </c>
      <c r="K331" s="66" t="b">
        <v>1</v>
      </c>
      <c r="L331" s="66"/>
      <c r="M331" s="67"/>
    </row>
    <row r="332" ht="22.5" customHeight="1">
      <c r="B332" s="59">
        <v>651.0</v>
      </c>
      <c r="C332" s="60" t="s">
        <v>39</v>
      </c>
      <c r="D332" s="61">
        <v>46097.0</v>
      </c>
      <c r="E332" s="62" t="str">
        <f t="shared" si="13"/>
        <v>2026</v>
      </c>
      <c r="F332" s="62" t="str">
        <f t="shared" si="14"/>
        <v>03 Mar</v>
      </c>
      <c r="G332" s="63">
        <v>100000.0</v>
      </c>
      <c r="H332" s="60" t="s">
        <v>32</v>
      </c>
      <c r="I332" s="64" t="s">
        <v>343</v>
      </c>
      <c r="J332" s="64" t="s">
        <v>74</v>
      </c>
      <c r="K332" s="66" t="b">
        <v>1</v>
      </c>
      <c r="L332" s="66"/>
      <c r="M332" s="67"/>
    </row>
    <row r="333" ht="22.5" customHeight="1">
      <c r="B333" s="59">
        <v>652.0</v>
      </c>
      <c r="C333" s="60" t="s">
        <v>39</v>
      </c>
      <c r="D333" s="61">
        <v>46097.0</v>
      </c>
      <c r="E333" s="62" t="str">
        <f t="shared" si="13"/>
        <v>2026</v>
      </c>
      <c r="F333" s="62" t="str">
        <f t="shared" si="14"/>
        <v>03 Mar</v>
      </c>
      <c r="G333" s="63">
        <v>11000.0</v>
      </c>
      <c r="H333" s="60" t="s">
        <v>32</v>
      </c>
      <c r="I333" s="64" t="s">
        <v>443</v>
      </c>
      <c r="J333" s="64" t="s">
        <v>78</v>
      </c>
      <c r="K333" s="66" t="b">
        <v>1</v>
      </c>
      <c r="L333" s="66"/>
      <c r="M333" s="67"/>
    </row>
    <row r="334" ht="22.5" customHeight="1">
      <c r="B334" s="59">
        <v>653.0</v>
      </c>
      <c r="C334" s="60" t="s">
        <v>39</v>
      </c>
      <c r="D334" s="61">
        <v>46097.0</v>
      </c>
      <c r="E334" s="62" t="str">
        <f t="shared" si="13"/>
        <v>2026</v>
      </c>
      <c r="F334" s="62" t="str">
        <f t="shared" si="14"/>
        <v>03 Mar</v>
      </c>
      <c r="G334" s="63">
        <v>300000.0</v>
      </c>
      <c r="H334" s="60" t="s">
        <v>32</v>
      </c>
      <c r="I334" s="64" t="s">
        <v>313</v>
      </c>
      <c r="J334" s="64" t="s">
        <v>74</v>
      </c>
      <c r="K334" s="66" t="b">
        <v>1</v>
      </c>
      <c r="L334" s="66"/>
      <c r="M334" s="67"/>
    </row>
    <row r="335" ht="22.5" customHeight="1">
      <c r="B335" s="59">
        <v>654.0</v>
      </c>
      <c r="C335" s="60" t="s">
        <v>50</v>
      </c>
      <c r="D335" s="61">
        <v>46097.0</v>
      </c>
      <c r="E335" s="62" t="str">
        <f t="shared" si="13"/>
        <v>2026</v>
      </c>
      <c r="F335" s="62" t="str">
        <f t="shared" si="14"/>
        <v>03 Mar</v>
      </c>
      <c r="G335" s="63">
        <v>20000.0</v>
      </c>
      <c r="H335" s="60" t="s">
        <v>32</v>
      </c>
      <c r="I335" s="64" t="s">
        <v>235</v>
      </c>
      <c r="J335" s="64" t="s">
        <v>444</v>
      </c>
      <c r="K335" s="66" t="b">
        <v>1</v>
      </c>
      <c r="L335" s="66"/>
      <c r="M335" s="67"/>
    </row>
    <row r="336" ht="22.5" customHeight="1">
      <c r="B336" s="59">
        <v>655.0</v>
      </c>
      <c r="C336" s="60" t="s">
        <v>39</v>
      </c>
      <c r="D336" s="61">
        <v>46109.0</v>
      </c>
      <c r="E336" s="62" t="str">
        <f t="shared" si="13"/>
        <v>2026</v>
      </c>
      <c r="F336" s="62" t="str">
        <f t="shared" si="14"/>
        <v>03 Mar</v>
      </c>
      <c r="G336" s="63">
        <v>25000.0</v>
      </c>
      <c r="H336" s="60" t="s">
        <v>32</v>
      </c>
      <c r="I336" s="64" t="s">
        <v>445</v>
      </c>
      <c r="J336" s="64" t="s">
        <v>444</v>
      </c>
      <c r="K336" s="66" t="b">
        <v>1</v>
      </c>
      <c r="L336" s="66"/>
      <c r="M336" s="67"/>
    </row>
    <row r="337" ht="22.5" customHeight="1">
      <c r="B337" s="59">
        <v>656.0</v>
      </c>
      <c r="C337" s="60" t="s">
        <v>50</v>
      </c>
      <c r="D337" s="61">
        <v>46109.0</v>
      </c>
      <c r="E337" s="62" t="str">
        <f t="shared" si="13"/>
        <v>2026</v>
      </c>
      <c r="F337" s="62" t="str">
        <f t="shared" si="14"/>
        <v>03 Mar</v>
      </c>
      <c r="G337" s="63">
        <v>100000.0</v>
      </c>
      <c r="H337" s="60" t="s">
        <v>32</v>
      </c>
      <c r="I337" s="64" t="s">
        <v>96</v>
      </c>
      <c r="J337" s="64" t="s">
        <v>74</v>
      </c>
      <c r="K337" s="66" t="b">
        <v>1</v>
      </c>
      <c r="L337" s="66"/>
      <c r="M337" s="67"/>
    </row>
    <row r="338" ht="22.5" customHeight="1">
      <c r="B338" s="59">
        <v>657.0</v>
      </c>
      <c r="C338" s="60" t="s">
        <v>79</v>
      </c>
      <c r="D338" s="61">
        <v>46110.0</v>
      </c>
      <c r="E338" s="62" t="str">
        <f t="shared" si="13"/>
        <v>2026</v>
      </c>
      <c r="F338" s="62" t="str">
        <f t="shared" si="14"/>
        <v>03 Mar</v>
      </c>
      <c r="G338" s="63">
        <v>100000.0</v>
      </c>
      <c r="H338" s="60" t="s">
        <v>32</v>
      </c>
      <c r="I338" s="64" t="s">
        <v>448</v>
      </c>
      <c r="J338" s="64" t="s">
        <v>74</v>
      </c>
      <c r="K338" s="66" t="b">
        <v>1</v>
      </c>
      <c r="L338" s="66"/>
      <c r="M338" s="67"/>
    </row>
    <row r="339" ht="22.5" customHeight="1">
      <c r="B339" s="59">
        <v>658.0</v>
      </c>
      <c r="C339" s="60" t="s">
        <v>39</v>
      </c>
      <c r="D339" s="61">
        <v>46112.0</v>
      </c>
      <c r="E339" s="62" t="str">
        <f t="shared" si="13"/>
        <v>2026</v>
      </c>
      <c r="F339" s="62" t="str">
        <f t="shared" si="14"/>
        <v>03 Mar</v>
      </c>
      <c r="G339" s="63">
        <v>150000.0</v>
      </c>
      <c r="H339" s="60" t="s">
        <v>32</v>
      </c>
      <c r="I339" s="64" t="s">
        <v>41</v>
      </c>
      <c r="J339" s="64" t="s">
        <v>74</v>
      </c>
      <c r="K339" s="66" t="b">
        <v>1</v>
      </c>
      <c r="L339" s="66"/>
      <c r="M339" s="67"/>
    </row>
    <row r="340" ht="22.5" customHeight="1">
      <c r="B340" s="59">
        <v>659.0</v>
      </c>
      <c r="C340" s="60" t="s">
        <v>39</v>
      </c>
      <c r="D340" s="61">
        <v>46113.0</v>
      </c>
      <c r="E340" s="62" t="str">
        <f t="shared" si="13"/>
        <v>2026</v>
      </c>
      <c r="F340" s="62" t="str">
        <f t="shared" si="14"/>
        <v>04 Apr</v>
      </c>
      <c r="G340" s="63">
        <v>21000.0</v>
      </c>
      <c r="H340" s="60" t="s">
        <v>32</v>
      </c>
      <c r="I340" s="64" t="s">
        <v>303</v>
      </c>
      <c r="J340" s="64" t="s">
        <v>78</v>
      </c>
      <c r="K340" s="66" t="b">
        <v>1</v>
      </c>
      <c r="L340" s="66"/>
      <c r="M340" s="67"/>
    </row>
    <row r="341" ht="22.5" customHeight="1">
      <c r="B341" s="59">
        <v>660.0</v>
      </c>
      <c r="C341" s="60" t="s">
        <v>39</v>
      </c>
      <c r="D341" s="61">
        <v>46113.0</v>
      </c>
      <c r="E341" s="62" t="str">
        <f t="shared" si="13"/>
        <v>2026</v>
      </c>
      <c r="F341" s="62" t="str">
        <f t="shared" si="14"/>
        <v>04 Apr</v>
      </c>
      <c r="G341" s="63">
        <v>13000.0</v>
      </c>
      <c r="H341" s="60" t="s">
        <v>32</v>
      </c>
      <c r="I341" s="64" t="s">
        <v>90</v>
      </c>
      <c r="J341" s="64" t="s">
        <v>78</v>
      </c>
      <c r="K341" s="66" t="b">
        <v>1</v>
      </c>
      <c r="L341" s="66"/>
      <c r="M341" s="67"/>
    </row>
    <row r="342" ht="22.5" customHeight="1">
      <c r="B342" s="59">
        <v>661.0</v>
      </c>
      <c r="C342" s="60" t="s">
        <v>39</v>
      </c>
      <c r="D342" s="61">
        <v>46113.0</v>
      </c>
      <c r="E342" s="62" t="str">
        <f t="shared" si="13"/>
        <v>2026</v>
      </c>
      <c r="F342" s="62" t="str">
        <f t="shared" si="14"/>
        <v>04 Apr</v>
      </c>
      <c r="G342" s="63">
        <v>15000.0</v>
      </c>
      <c r="H342" s="60" t="s">
        <v>32</v>
      </c>
      <c r="I342" s="64" t="s">
        <v>39</v>
      </c>
      <c r="J342" s="64" t="s">
        <v>32</v>
      </c>
      <c r="K342" s="66" t="b">
        <v>1</v>
      </c>
      <c r="L342" s="66"/>
      <c r="M342" s="67"/>
    </row>
    <row r="343" ht="22.5" customHeight="1">
      <c r="B343" s="59">
        <v>662.0</v>
      </c>
      <c r="C343" s="60" t="s">
        <v>39</v>
      </c>
      <c r="D343" s="61">
        <v>46113.0</v>
      </c>
      <c r="E343" s="62" t="str">
        <f t="shared" si="13"/>
        <v>2026</v>
      </c>
      <c r="F343" s="62" t="str">
        <f t="shared" si="14"/>
        <v>04 Apr</v>
      </c>
      <c r="G343" s="63">
        <v>30000.0</v>
      </c>
      <c r="H343" s="60" t="s">
        <v>32</v>
      </c>
      <c r="I343" s="64" t="s">
        <v>450</v>
      </c>
      <c r="J343" s="64" t="s">
        <v>78</v>
      </c>
      <c r="K343" s="66" t="b">
        <v>1</v>
      </c>
      <c r="L343" s="66"/>
      <c r="M343" s="67"/>
    </row>
    <row r="344" ht="22.5" customHeight="1">
      <c r="B344" s="59">
        <v>663.0</v>
      </c>
      <c r="C344" s="60" t="s">
        <v>39</v>
      </c>
      <c r="D344" s="61">
        <v>46120.0</v>
      </c>
      <c r="E344" s="62" t="str">
        <f t="shared" si="13"/>
        <v>2026</v>
      </c>
      <c r="F344" s="62" t="str">
        <f t="shared" si="14"/>
        <v>04 Apr</v>
      </c>
      <c r="G344" s="63">
        <v>42500.0</v>
      </c>
      <c r="H344" s="60" t="s">
        <v>32</v>
      </c>
      <c r="I344" s="64" t="s">
        <v>451</v>
      </c>
      <c r="J344" s="64" t="s">
        <v>78</v>
      </c>
      <c r="K344" s="66" t="b">
        <v>1</v>
      </c>
      <c r="L344" s="66"/>
      <c r="M344" s="67"/>
    </row>
    <row r="345" ht="22.5" customHeight="1">
      <c r="B345" s="59">
        <v>664.0</v>
      </c>
      <c r="C345" s="60" t="s">
        <v>39</v>
      </c>
      <c r="D345" s="61">
        <v>46121.0</v>
      </c>
      <c r="E345" s="62"/>
      <c r="F345" s="62"/>
      <c r="G345" s="63">
        <v>15000.0</v>
      </c>
      <c r="H345" s="60" t="s">
        <v>32</v>
      </c>
      <c r="I345" s="64" t="s">
        <v>90</v>
      </c>
      <c r="J345" s="64" t="s">
        <v>78</v>
      </c>
      <c r="K345" s="66" t="b">
        <v>1</v>
      </c>
      <c r="L345" s="66"/>
      <c r="M345" s="67"/>
    </row>
    <row r="346" ht="22.5" customHeight="1">
      <c r="B346" s="59">
        <v>665.0</v>
      </c>
      <c r="C346" s="60" t="s">
        <v>39</v>
      </c>
      <c r="D346" s="61">
        <v>46121.0</v>
      </c>
      <c r="E346" s="62" t="str">
        <f t="shared" ref="E346:E347" si="15">if(D346="","",text(D346,"yyyy"))</f>
        <v>2026</v>
      </c>
      <c r="F346" s="62" t="str">
        <f t="shared" ref="F346:F347" si="16">if(D346="","",text(D346,"mm")&amp;" "&amp;text(D346,"mmm"))</f>
        <v>04 Apr</v>
      </c>
      <c r="G346" s="63">
        <v>100000.0</v>
      </c>
      <c r="H346" s="60" t="s">
        <v>32</v>
      </c>
      <c r="I346" s="64" t="s">
        <v>452</v>
      </c>
      <c r="J346" s="64" t="s">
        <v>74</v>
      </c>
      <c r="K346" s="66" t="b">
        <v>1</v>
      </c>
      <c r="L346" s="66"/>
      <c r="M346" s="67"/>
    </row>
    <row r="347" ht="22.5" customHeight="1">
      <c r="B347" s="59">
        <v>666.0</v>
      </c>
      <c r="C347" s="60" t="s">
        <v>39</v>
      </c>
      <c r="D347" s="61">
        <v>46121.0</v>
      </c>
      <c r="E347" s="62" t="str">
        <f t="shared" si="15"/>
        <v>2026</v>
      </c>
      <c r="F347" s="62" t="str">
        <f t="shared" si="16"/>
        <v>04 Apr</v>
      </c>
      <c r="G347" s="63">
        <v>15000.0</v>
      </c>
      <c r="H347" s="60" t="s">
        <v>32</v>
      </c>
      <c r="I347" s="64" t="s">
        <v>90</v>
      </c>
      <c r="J347" s="64" t="s">
        <v>90</v>
      </c>
      <c r="K347" s="66" t="b">
        <v>1</v>
      </c>
      <c r="L347" s="66"/>
      <c r="M347" s="67"/>
    </row>
    <row r="348" ht="22.5" customHeight="1">
      <c r="B348" s="59">
        <v>667.0</v>
      </c>
      <c r="C348" s="60" t="s">
        <v>39</v>
      </c>
      <c r="D348" s="61">
        <v>46123.0</v>
      </c>
      <c r="E348" s="62"/>
      <c r="F348" s="62"/>
      <c r="G348" s="63">
        <v>200000.0</v>
      </c>
      <c r="H348" s="60" t="s">
        <v>32</v>
      </c>
      <c r="I348" s="64" t="s">
        <v>240</v>
      </c>
      <c r="J348" s="64" t="s">
        <v>74</v>
      </c>
      <c r="K348" s="66" t="b">
        <v>1</v>
      </c>
      <c r="L348" s="66"/>
      <c r="M348" s="67"/>
    </row>
    <row r="349" ht="22.5" customHeight="1">
      <c r="B349" s="59">
        <v>668.0</v>
      </c>
      <c r="C349" s="60" t="s">
        <v>39</v>
      </c>
      <c r="D349" s="61">
        <v>46124.0</v>
      </c>
      <c r="E349" s="62"/>
      <c r="F349" s="62"/>
      <c r="G349" s="63">
        <v>28000.0</v>
      </c>
      <c r="H349" s="60" t="s">
        <v>32</v>
      </c>
      <c r="I349" s="64" t="s">
        <v>453</v>
      </c>
      <c r="J349" s="64" t="s">
        <v>78</v>
      </c>
      <c r="K349" s="66" t="b">
        <v>1</v>
      </c>
      <c r="L349" s="66"/>
      <c r="M349" s="67"/>
    </row>
    <row r="350" ht="22.5" customHeight="1">
      <c r="B350" s="59">
        <v>669.0</v>
      </c>
      <c r="C350" s="60" t="s">
        <v>39</v>
      </c>
      <c r="D350" s="61">
        <v>46124.0</v>
      </c>
      <c r="E350" s="62"/>
      <c r="F350" s="62"/>
      <c r="G350" s="63">
        <v>15000.0</v>
      </c>
      <c r="H350" s="60" t="s">
        <v>32</v>
      </c>
      <c r="I350" s="64" t="s">
        <v>90</v>
      </c>
      <c r="J350" s="64" t="s">
        <v>78</v>
      </c>
      <c r="K350" s="66" t="b">
        <v>1</v>
      </c>
      <c r="L350" s="66"/>
      <c r="M350" s="67"/>
    </row>
    <row r="351" ht="22.5" customHeight="1">
      <c r="B351" s="59">
        <v>670.0</v>
      </c>
      <c r="C351" s="60" t="s">
        <v>39</v>
      </c>
      <c r="D351" s="61">
        <v>46124.0</v>
      </c>
      <c r="E351" s="62" t="str">
        <f t="shared" ref="E351:E398" si="17">if(D351="","",text(D351,"yyyy"))</f>
        <v>2026</v>
      </c>
      <c r="F351" s="62" t="str">
        <f t="shared" ref="F351:F398" si="18">if(D351="","",text(D351,"mm")&amp;" "&amp;text(D351,"mmm"))</f>
        <v>04 Apr</v>
      </c>
      <c r="G351" s="63">
        <v>35000.0</v>
      </c>
      <c r="H351" s="60" t="s">
        <v>32</v>
      </c>
      <c r="I351" s="64" t="s">
        <v>74</v>
      </c>
      <c r="J351" s="64" t="s">
        <v>74</v>
      </c>
      <c r="K351" s="66" t="b">
        <v>1</v>
      </c>
      <c r="L351" s="66"/>
      <c r="M351" s="67"/>
    </row>
    <row r="352" ht="22.5" customHeight="1">
      <c r="B352" s="59">
        <v>671.0</v>
      </c>
      <c r="C352" s="60" t="s">
        <v>39</v>
      </c>
      <c r="D352" s="61">
        <v>46124.0</v>
      </c>
      <c r="E352" s="62" t="str">
        <f t="shared" si="17"/>
        <v>2026</v>
      </c>
      <c r="F352" s="62" t="str">
        <f t="shared" si="18"/>
        <v>04 Apr</v>
      </c>
      <c r="G352" s="63">
        <v>50000.0</v>
      </c>
      <c r="H352" s="60" t="s">
        <v>32</v>
      </c>
      <c r="I352" s="64" t="s">
        <v>316</v>
      </c>
      <c r="J352" s="64" t="s">
        <v>74</v>
      </c>
      <c r="K352" s="66" t="b">
        <v>1</v>
      </c>
      <c r="L352" s="66"/>
      <c r="M352" s="67"/>
    </row>
    <row r="353" ht="22.5" customHeight="1">
      <c r="B353" s="59">
        <v>672.0</v>
      </c>
      <c r="C353" s="60" t="s">
        <v>39</v>
      </c>
      <c r="D353" s="61">
        <v>46125.0</v>
      </c>
      <c r="E353" s="62" t="str">
        <f t="shared" si="17"/>
        <v>2026</v>
      </c>
      <c r="F353" s="62" t="str">
        <f t="shared" si="18"/>
        <v>04 Apr</v>
      </c>
      <c r="G353" s="63">
        <v>35000.0</v>
      </c>
      <c r="H353" s="60" t="s">
        <v>32</v>
      </c>
      <c r="I353" s="64" t="s">
        <v>357</v>
      </c>
      <c r="J353" s="64" t="s">
        <v>78</v>
      </c>
      <c r="K353" s="66" t="b">
        <v>1</v>
      </c>
      <c r="L353" s="66"/>
      <c r="M353" s="67"/>
    </row>
    <row r="354" ht="22.5" customHeight="1">
      <c r="B354" s="59">
        <v>673.0</v>
      </c>
      <c r="C354" s="60" t="s">
        <v>50</v>
      </c>
      <c r="D354" s="61">
        <v>46125.0</v>
      </c>
      <c r="E354" s="62" t="str">
        <f t="shared" si="17"/>
        <v>2026</v>
      </c>
      <c r="F354" s="62" t="str">
        <f t="shared" si="18"/>
        <v>04 Apr</v>
      </c>
      <c r="G354" s="63">
        <v>148000.0</v>
      </c>
      <c r="H354" s="60" t="s">
        <v>32</v>
      </c>
      <c r="I354" s="64" t="s">
        <v>154</v>
      </c>
      <c r="J354" s="64" t="s">
        <v>74</v>
      </c>
      <c r="K354" s="66" t="b">
        <v>1</v>
      </c>
      <c r="L354" s="66"/>
      <c r="M354" s="67"/>
    </row>
    <row r="355" ht="22.5" customHeight="1">
      <c r="B355" s="59">
        <v>674.0</v>
      </c>
      <c r="C355" s="60" t="s">
        <v>50</v>
      </c>
      <c r="D355" s="61">
        <v>46125.0</v>
      </c>
      <c r="E355" s="62" t="str">
        <f t="shared" si="17"/>
        <v>2026</v>
      </c>
      <c r="F355" s="62" t="str">
        <f t="shared" si="18"/>
        <v>04 Apr</v>
      </c>
      <c r="G355" s="63">
        <v>100000.0</v>
      </c>
      <c r="H355" s="60" t="s">
        <v>32</v>
      </c>
      <c r="I355" s="64" t="s">
        <v>330</v>
      </c>
      <c r="J355" s="64" t="s">
        <v>74</v>
      </c>
      <c r="K355" s="66" t="b">
        <v>1</v>
      </c>
      <c r="L355" s="66"/>
      <c r="M355" s="67"/>
    </row>
    <row r="356" ht="22.5" customHeight="1">
      <c r="B356" s="59">
        <v>675.0</v>
      </c>
      <c r="C356" s="60" t="s">
        <v>39</v>
      </c>
      <c r="D356" s="61">
        <v>46127.0</v>
      </c>
      <c r="E356" s="62" t="str">
        <f t="shared" si="17"/>
        <v>2026</v>
      </c>
      <c r="F356" s="62" t="str">
        <f t="shared" si="18"/>
        <v>04 Apr</v>
      </c>
      <c r="G356" s="63">
        <v>100000.0</v>
      </c>
      <c r="H356" s="60" t="s">
        <v>32</v>
      </c>
      <c r="I356" s="64" t="s">
        <v>455</v>
      </c>
      <c r="J356" s="64" t="s">
        <v>74</v>
      </c>
      <c r="K356" s="66" t="b">
        <v>1</v>
      </c>
      <c r="L356" s="66"/>
      <c r="M356" s="67"/>
    </row>
    <row r="357" ht="22.5" customHeight="1">
      <c r="B357" s="59">
        <v>676.0</v>
      </c>
      <c r="C357" s="60" t="s">
        <v>39</v>
      </c>
      <c r="D357" s="61">
        <v>46127.0</v>
      </c>
      <c r="E357" s="62" t="str">
        <f t="shared" si="17"/>
        <v>2026</v>
      </c>
      <c r="F357" s="62" t="str">
        <f t="shared" si="18"/>
        <v>04 Apr</v>
      </c>
      <c r="G357" s="63">
        <v>65000.0</v>
      </c>
      <c r="H357" s="60" t="s">
        <v>32</v>
      </c>
      <c r="I357" s="64" t="s">
        <v>452</v>
      </c>
      <c r="J357" s="64" t="s">
        <v>74</v>
      </c>
      <c r="K357" s="66" t="b">
        <v>1</v>
      </c>
      <c r="L357" s="66"/>
      <c r="M357" s="67"/>
    </row>
    <row r="358" ht="22.5" customHeight="1">
      <c r="B358" s="59">
        <v>677.0</v>
      </c>
      <c r="C358" s="60" t="s">
        <v>39</v>
      </c>
      <c r="D358" s="61">
        <v>46127.0</v>
      </c>
      <c r="E358" s="62" t="str">
        <f t="shared" si="17"/>
        <v>2026</v>
      </c>
      <c r="F358" s="62" t="str">
        <f t="shared" si="18"/>
        <v>04 Apr</v>
      </c>
      <c r="G358" s="63">
        <v>1110000.0</v>
      </c>
      <c r="H358" s="60" t="s">
        <v>32</v>
      </c>
      <c r="I358" s="64" t="s">
        <v>457</v>
      </c>
      <c r="J358" s="64" t="s">
        <v>78</v>
      </c>
      <c r="K358" s="66" t="b">
        <v>1</v>
      </c>
      <c r="L358" s="66"/>
      <c r="M358" s="67"/>
    </row>
    <row r="359" ht="22.5" customHeight="1">
      <c r="B359" s="59">
        <v>678.0</v>
      </c>
      <c r="C359" s="60" t="s">
        <v>39</v>
      </c>
      <c r="D359" s="61">
        <v>46128.0</v>
      </c>
      <c r="E359" s="62" t="str">
        <f t="shared" si="17"/>
        <v>2026</v>
      </c>
      <c r="F359" s="62" t="str">
        <f t="shared" si="18"/>
        <v>04 Apr</v>
      </c>
      <c r="G359" s="63">
        <v>250000.0</v>
      </c>
      <c r="H359" s="60" t="s">
        <v>32</v>
      </c>
      <c r="I359" s="64" t="s">
        <v>419</v>
      </c>
      <c r="J359" s="64" t="s">
        <v>78</v>
      </c>
      <c r="K359" s="66" t="b">
        <v>1</v>
      </c>
      <c r="L359" s="66"/>
      <c r="M359" s="67"/>
    </row>
    <row r="360" ht="22.5" customHeight="1">
      <c r="B360" s="59">
        <v>679.0</v>
      </c>
      <c r="C360" s="60" t="s">
        <v>39</v>
      </c>
      <c r="D360" s="61">
        <v>46128.0</v>
      </c>
      <c r="E360" s="62" t="str">
        <f t="shared" si="17"/>
        <v>2026</v>
      </c>
      <c r="F360" s="62" t="str">
        <f t="shared" si="18"/>
        <v>04 Apr</v>
      </c>
      <c r="G360" s="63">
        <v>60000.0</v>
      </c>
      <c r="H360" s="60" t="s">
        <v>32</v>
      </c>
      <c r="I360" s="64" t="s">
        <v>244</v>
      </c>
      <c r="J360" s="64" t="s">
        <v>74</v>
      </c>
      <c r="K360" s="66" t="b">
        <v>1</v>
      </c>
      <c r="L360" s="66"/>
      <c r="M360" s="67"/>
    </row>
    <row r="361" ht="22.5" customHeight="1">
      <c r="B361" s="59">
        <v>680.0</v>
      </c>
      <c r="C361" s="60" t="s">
        <v>50</v>
      </c>
      <c r="D361" s="61">
        <v>46128.0</v>
      </c>
      <c r="E361" s="62" t="str">
        <f t="shared" si="17"/>
        <v>2026</v>
      </c>
      <c r="F361" s="62" t="str">
        <f t="shared" si="18"/>
        <v>04 Apr</v>
      </c>
      <c r="G361" s="63">
        <v>50000.0</v>
      </c>
      <c r="H361" s="60" t="s">
        <v>32</v>
      </c>
      <c r="I361" s="64" t="s">
        <v>459</v>
      </c>
      <c r="J361" s="64" t="s">
        <v>72</v>
      </c>
      <c r="K361" s="66" t="b">
        <v>1</v>
      </c>
      <c r="L361" s="66"/>
      <c r="M361" s="67"/>
    </row>
    <row r="362" ht="22.5" customHeight="1">
      <c r="B362" s="59">
        <v>681.0</v>
      </c>
      <c r="C362" s="60" t="s">
        <v>50</v>
      </c>
      <c r="D362" s="61">
        <v>46128.0</v>
      </c>
      <c r="E362" s="62" t="str">
        <f t="shared" si="17"/>
        <v>2026</v>
      </c>
      <c r="F362" s="62" t="str">
        <f t="shared" si="18"/>
        <v>04 Apr</v>
      </c>
      <c r="G362" s="63">
        <v>200000.0</v>
      </c>
      <c r="H362" s="60" t="s">
        <v>32</v>
      </c>
      <c r="I362" s="64" t="s">
        <v>76</v>
      </c>
      <c r="J362" s="64" t="s">
        <v>74</v>
      </c>
      <c r="K362" s="66" t="b">
        <v>1</v>
      </c>
      <c r="L362" s="66"/>
      <c r="M362" s="67"/>
    </row>
    <row r="363" ht="22.5" customHeight="1">
      <c r="B363" s="59">
        <v>682.0</v>
      </c>
      <c r="C363" s="60" t="s">
        <v>79</v>
      </c>
      <c r="D363" s="61">
        <v>46129.0</v>
      </c>
      <c r="E363" s="62" t="str">
        <f t="shared" si="17"/>
        <v>2026</v>
      </c>
      <c r="F363" s="62" t="str">
        <f t="shared" si="18"/>
        <v>04 Apr</v>
      </c>
      <c r="G363" s="63">
        <v>68000.0</v>
      </c>
      <c r="H363" s="60" t="s">
        <v>32</v>
      </c>
      <c r="I363" s="64" t="s">
        <v>462</v>
      </c>
      <c r="J363" s="64" t="s">
        <v>78</v>
      </c>
      <c r="K363" s="66" t="b">
        <v>1</v>
      </c>
      <c r="L363" s="66"/>
      <c r="M363" s="67"/>
    </row>
    <row r="364" ht="22.5" customHeight="1">
      <c r="B364" s="59">
        <v>683.0</v>
      </c>
      <c r="C364" s="60" t="s">
        <v>79</v>
      </c>
      <c r="D364" s="61">
        <v>46129.0</v>
      </c>
      <c r="E364" s="62" t="str">
        <f t="shared" si="17"/>
        <v>2026</v>
      </c>
      <c r="F364" s="62" t="str">
        <f t="shared" si="18"/>
        <v>04 Apr</v>
      </c>
      <c r="G364" s="63">
        <v>11000.0</v>
      </c>
      <c r="H364" s="60" t="s">
        <v>32</v>
      </c>
      <c r="I364" s="64" t="s">
        <v>463</v>
      </c>
      <c r="J364" s="64" t="s">
        <v>78</v>
      </c>
      <c r="K364" s="66" t="b">
        <v>1</v>
      </c>
      <c r="L364" s="66"/>
      <c r="M364" s="67"/>
    </row>
    <row r="365" ht="22.5" customHeight="1">
      <c r="B365" s="59">
        <v>684.0</v>
      </c>
      <c r="C365" s="60" t="s">
        <v>79</v>
      </c>
      <c r="D365" s="61">
        <v>46129.0</v>
      </c>
      <c r="E365" s="62" t="str">
        <f t="shared" si="17"/>
        <v>2026</v>
      </c>
      <c r="F365" s="62" t="str">
        <f t="shared" si="18"/>
        <v>04 Apr</v>
      </c>
      <c r="G365" s="63">
        <v>13000.0</v>
      </c>
      <c r="H365" s="60" t="s">
        <v>32</v>
      </c>
      <c r="I365" s="64" t="s">
        <v>465</v>
      </c>
      <c r="J365" s="64" t="s">
        <v>78</v>
      </c>
      <c r="K365" s="66" t="b">
        <v>1</v>
      </c>
      <c r="L365" s="66"/>
      <c r="M365" s="67"/>
    </row>
    <row r="366" ht="22.5" customHeight="1">
      <c r="B366" s="59">
        <v>685.0</v>
      </c>
      <c r="C366" s="60" t="s">
        <v>79</v>
      </c>
      <c r="D366" s="61">
        <v>46129.0</v>
      </c>
      <c r="E366" s="62" t="str">
        <f t="shared" si="17"/>
        <v>2026</v>
      </c>
      <c r="F366" s="62" t="str">
        <f t="shared" si="18"/>
        <v>04 Apr</v>
      </c>
      <c r="G366" s="63">
        <v>223000.0</v>
      </c>
      <c r="H366" s="60" t="s">
        <v>32</v>
      </c>
      <c r="I366" s="64" t="s">
        <v>466</v>
      </c>
      <c r="J366" s="64" t="s">
        <v>78</v>
      </c>
      <c r="K366" s="66" t="b">
        <v>1</v>
      </c>
      <c r="L366" s="66"/>
      <c r="M366" s="67"/>
    </row>
    <row r="367" ht="22.5" customHeight="1">
      <c r="B367" s="59">
        <v>686.0</v>
      </c>
      <c r="C367" s="60" t="s">
        <v>79</v>
      </c>
      <c r="D367" s="61">
        <v>46129.0</v>
      </c>
      <c r="E367" s="62" t="str">
        <f t="shared" si="17"/>
        <v>2026</v>
      </c>
      <c r="F367" s="62" t="str">
        <f t="shared" si="18"/>
        <v>04 Apr</v>
      </c>
      <c r="G367" s="63">
        <v>38000.0</v>
      </c>
      <c r="H367" s="60" t="s">
        <v>32</v>
      </c>
      <c r="I367" s="64" t="s">
        <v>299</v>
      </c>
      <c r="J367" s="64" t="s">
        <v>78</v>
      </c>
      <c r="K367" s="66" t="b">
        <v>1</v>
      </c>
      <c r="L367" s="66"/>
      <c r="M367" s="67"/>
    </row>
    <row r="368" ht="22.5" customHeight="1">
      <c r="B368" s="59">
        <v>687.0</v>
      </c>
      <c r="C368" s="60" t="s">
        <v>79</v>
      </c>
      <c r="D368" s="61">
        <v>46129.0</v>
      </c>
      <c r="E368" s="62" t="str">
        <f t="shared" si="17"/>
        <v>2026</v>
      </c>
      <c r="F368" s="62" t="str">
        <f t="shared" si="18"/>
        <v>04 Apr</v>
      </c>
      <c r="G368" s="63">
        <v>50000.0</v>
      </c>
      <c r="H368" s="60" t="s">
        <v>32</v>
      </c>
      <c r="I368" s="64" t="s">
        <v>343</v>
      </c>
      <c r="J368" s="64" t="s">
        <v>78</v>
      </c>
      <c r="K368" s="66" t="b">
        <v>1</v>
      </c>
      <c r="L368" s="66"/>
      <c r="M368" s="67"/>
    </row>
    <row r="369" ht="22.5" customHeight="1">
      <c r="B369" s="59">
        <v>688.0</v>
      </c>
      <c r="C369" s="60" t="s">
        <v>79</v>
      </c>
      <c r="D369" s="61">
        <v>46129.0</v>
      </c>
      <c r="E369" s="62" t="str">
        <f t="shared" si="17"/>
        <v>2026</v>
      </c>
      <c r="F369" s="62" t="str">
        <f t="shared" si="18"/>
        <v>04 Apr</v>
      </c>
      <c r="G369" s="63">
        <v>250000.0</v>
      </c>
      <c r="H369" s="60" t="s">
        <v>32</v>
      </c>
      <c r="I369" s="64" t="s">
        <v>467</v>
      </c>
      <c r="J369" s="64" t="s">
        <v>78</v>
      </c>
      <c r="K369" s="66" t="b">
        <v>1</v>
      </c>
      <c r="L369" s="66"/>
      <c r="M369" s="67"/>
    </row>
    <row r="370" ht="22.5" customHeight="1">
      <c r="B370" s="59">
        <v>689.0</v>
      </c>
      <c r="C370" s="60" t="s">
        <v>79</v>
      </c>
      <c r="D370" s="61">
        <v>46129.0</v>
      </c>
      <c r="E370" s="62" t="str">
        <f t="shared" si="17"/>
        <v>2026</v>
      </c>
      <c r="F370" s="62" t="str">
        <f t="shared" si="18"/>
        <v>04 Apr</v>
      </c>
      <c r="G370" s="63">
        <v>50000.0</v>
      </c>
      <c r="H370" s="60" t="s">
        <v>32</v>
      </c>
      <c r="I370" s="64" t="s">
        <v>468</v>
      </c>
      <c r="J370" s="64" t="s">
        <v>78</v>
      </c>
      <c r="K370" s="66" t="b">
        <v>1</v>
      </c>
      <c r="L370" s="66"/>
      <c r="M370" s="67"/>
    </row>
    <row r="371" ht="22.5" customHeight="1">
      <c r="B371" s="59">
        <v>690.0</v>
      </c>
      <c r="C371" s="60" t="s">
        <v>39</v>
      </c>
      <c r="D371" s="61">
        <v>46139.0</v>
      </c>
      <c r="E371" s="62" t="str">
        <f t="shared" si="17"/>
        <v>2026</v>
      </c>
      <c r="F371" s="62" t="str">
        <f t="shared" si="18"/>
        <v>04 Apr</v>
      </c>
      <c r="G371" s="63">
        <v>130000.0</v>
      </c>
      <c r="H371" s="60" t="s">
        <v>32</v>
      </c>
      <c r="I371" s="64" t="s">
        <v>469</v>
      </c>
      <c r="J371" s="64" t="s">
        <v>33</v>
      </c>
      <c r="K371" s="66" t="b">
        <v>1</v>
      </c>
      <c r="L371" s="66"/>
      <c r="M371" s="67"/>
    </row>
    <row r="372" ht="22.5" customHeight="1">
      <c r="B372" s="59">
        <v>691.0</v>
      </c>
      <c r="C372" s="60" t="s">
        <v>50</v>
      </c>
      <c r="D372" s="61">
        <v>46139.0</v>
      </c>
      <c r="E372" s="62" t="str">
        <f t="shared" si="17"/>
        <v>2026</v>
      </c>
      <c r="F372" s="62" t="str">
        <f t="shared" si="18"/>
        <v>04 Apr</v>
      </c>
      <c r="G372" s="63">
        <v>50000.0</v>
      </c>
      <c r="H372" s="60" t="s">
        <v>32</v>
      </c>
      <c r="I372" s="64" t="s">
        <v>96</v>
      </c>
      <c r="J372" s="64" t="s">
        <v>74</v>
      </c>
      <c r="K372" s="66" t="b">
        <v>1</v>
      </c>
      <c r="L372" s="66"/>
      <c r="M372" s="67"/>
    </row>
    <row r="373" ht="22.5" customHeight="1">
      <c r="B373" s="59">
        <v>692.0</v>
      </c>
      <c r="C373" s="60" t="s">
        <v>39</v>
      </c>
      <c r="D373" s="61">
        <v>46140.0</v>
      </c>
      <c r="E373" s="62" t="str">
        <f t="shared" si="17"/>
        <v>2026</v>
      </c>
      <c r="F373" s="62" t="str">
        <f t="shared" si="18"/>
        <v>04 Apr</v>
      </c>
      <c r="G373" s="63">
        <v>100000.0</v>
      </c>
      <c r="H373" s="60" t="s">
        <v>32</v>
      </c>
      <c r="I373" s="64" t="s">
        <v>96</v>
      </c>
      <c r="J373" s="64" t="s">
        <v>74</v>
      </c>
      <c r="K373" s="66" t="b">
        <v>1</v>
      </c>
      <c r="L373" s="66"/>
      <c r="M373" s="67"/>
    </row>
    <row r="374" ht="22.5" customHeight="1">
      <c r="B374" s="59">
        <v>693.0</v>
      </c>
      <c r="C374" s="60" t="s">
        <v>39</v>
      </c>
      <c r="D374" s="61">
        <v>46141.0</v>
      </c>
      <c r="E374" s="62" t="str">
        <f t="shared" si="17"/>
        <v>2026</v>
      </c>
      <c r="F374" s="62" t="str">
        <f t="shared" si="18"/>
        <v>04 Apr</v>
      </c>
      <c r="G374" s="63">
        <v>100000.0</v>
      </c>
      <c r="H374" s="60" t="s">
        <v>32</v>
      </c>
      <c r="I374" s="64" t="s">
        <v>149</v>
      </c>
      <c r="J374" s="64" t="s">
        <v>74</v>
      </c>
      <c r="K374" s="66" t="b">
        <v>1</v>
      </c>
      <c r="L374" s="66"/>
      <c r="M374" s="67"/>
    </row>
    <row r="375" ht="22.5" customHeight="1">
      <c r="B375" s="59">
        <v>694.0</v>
      </c>
      <c r="C375" s="60" t="s">
        <v>39</v>
      </c>
      <c r="D375" s="61">
        <v>46141.0</v>
      </c>
      <c r="E375" s="62" t="str">
        <f t="shared" si="17"/>
        <v>2026</v>
      </c>
      <c r="F375" s="62" t="str">
        <f t="shared" si="18"/>
        <v>04 Apr</v>
      </c>
      <c r="G375" s="63">
        <v>50000.0</v>
      </c>
      <c r="H375" s="60" t="s">
        <v>32</v>
      </c>
      <c r="I375" s="64" t="s">
        <v>452</v>
      </c>
      <c r="J375" s="64" t="s">
        <v>74</v>
      </c>
      <c r="K375" s="66" t="b">
        <v>1</v>
      </c>
      <c r="L375" s="66"/>
      <c r="M375" s="67"/>
    </row>
    <row r="376" ht="22.5" customHeight="1">
      <c r="B376" s="59">
        <v>695.0</v>
      </c>
      <c r="C376" s="60" t="s">
        <v>50</v>
      </c>
      <c r="D376" s="61">
        <v>46145.0</v>
      </c>
      <c r="E376" s="62" t="str">
        <f t="shared" si="17"/>
        <v>2026</v>
      </c>
      <c r="F376" s="62" t="str">
        <f t="shared" si="18"/>
        <v>05 Mei</v>
      </c>
      <c r="G376" s="63">
        <v>250000.0</v>
      </c>
      <c r="H376" s="60" t="s">
        <v>32</v>
      </c>
      <c r="I376" s="64" t="s">
        <v>240</v>
      </c>
      <c r="J376" s="64" t="s">
        <v>74</v>
      </c>
      <c r="K376" s="66" t="b">
        <v>1</v>
      </c>
      <c r="L376" s="66"/>
      <c r="M376" s="67"/>
    </row>
    <row r="377" ht="22.5" customHeight="1">
      <c r="B377" s="59">
        <v>696.0</v>
      </c>
      <c r="C377" s="60" t="s">
        <v>50</v>
      </c>
      <c r="D377" s="61">
        <v>46145.0</v>
      </c>
      <c r="E377" s="62" t="str">
        <f t="shared" si="17"/>
        <v>2026</v>
      </c>
      <c r="F377" s="62" t="str">
        <f t="shared" si="18"/>
        <v>05 Mei</v>
      </c>
      <c r="G377" s="63">
        <v>150000.0</v>
      </c>
      <c r="H377" s="60" t="s">
        <v>32</v>
      </c>
      <c r="I377" s="64" t="s">
        <v>50</v>
      </c>
      <c r="J377" s="64" t="s">
        <v>74</v>
      </c>
      <c r="K377" s="66" t="b">
        <v>1</v>
      </c>
      <c r="L377" s="66"/>
      <c r="M377" s="67"/>
    </row>
    <row r="378" ht="22.5" customHeight="1">
      <c r="B378" s="59">
        <v>697.0</v>
      </c>
      <c r="C378" s="60" t="s">
        <v>50</v>
      </c>
      <c r="D378" s="61">
        <v>46147.0</v>
      </c>
      <c r="E378" s="62" t="str">
        <f t="shared" si="17"/>
        <v>2026</v>
      </c>
      <c r="F378" s="62" t="str">
        <f t="shared" si="18"/>
        <v>05 Mei</v>
      </c>
      <c r="G378" s="63">
        <v>265000.0</v>
      </c>
      <c r="H378" s="60" t="s">
        <v>32</v>
      </c>
      <c r="I378" s="64" t="s">
        <v>142</v>
      </c>
      <c r="J378" s="64" t="s">
        <v>78</v>
      </c>
      <c r="K378" s="66" t="b">
        <v>1</v>
      </c>
      <c r="L378" s="66"/>
      <c r="M378" s="67"/>
    </row>
    <row r="379" ht="22.5" customHeight="1">
      <c r="B379" s="59">
        <v>698.0</v>
      </c>
      <c r="C379" s="60" t="s">
        <v>50</v>
      </c>
      <c r="D379" s="61">
        <v>46147.0</v>
      </c>
      <c r="E379" s="62" t="str">
        <f t="shared" si="17"/>
        <v>2026</v>
      </c>
      <c r="F379" s="62" t="str">
        <f t="shared" si="18"/>
        <v>05 Mei</v>
      </c>
      <c r="G379" s="63">
        <v>260000.0</v>
      </c>
      <c r="H379" s="60" t="s">
        <v>32</v>
      </c>
      <c r="I379" s="64" t="s">
        <v>227</v>
      </c>
      <c r="J379" s="64" t="s">
        <v>33</v>
      </c>
      <c r="K379" s="66" t="b">
        <v>1</v>
      </c>
      <c r="L379" s="66"/>
      <c r="M379" s="67"/>
    </row>
    <row r="380" ht="22.5" customHeight="1">
      <c r="B380" s="59">
        <v>699.0</v>
      </c>
      <c r="C380" s="60" t="s">
        <v>39</v>
      </c>
      <c r="D380" s="61">
        <v>46148.0</v>
      </c>
      <c r="E380" s="62" t="str">
        <f t="shared" si="17"/>
        <v>2026</v>
      </c>
      <c r="F380" s="62" t="str">
        <f t="shared" si="18"/>
        <v>05 Mei</v>
      </c>
      <c r="G380" s="63">
        <v>300000.0</v>
      </c>
      <c r="H380" s="60" t="s">
        <v>32</v>
      </c>
      <c r="I380" s="64" t="s">
        <v>313</v>
      </c>
      <c r="J380" s="64" t="s">
        <v>78</v>
      </c>
      <c r="K380" s="66" t="b">
        <v>1</v>
      </c>
      <c r="L380" s="66"/>
      <c r="M380" s="67"/>
    </row>
    <row r="381" ht="22.5" customHeight="1">
      <c r="B381" s="59">
        <v>700.0</v>
      </c>
      <c r="C381" s="60" t="s">
        <v>39</v>
      </c>
      <c r="D381" s="61">
        <v>46149.0</v>
      </c>
      <c r="E381" s="62" t="str">
        <f t="shared" si="17"/>
        <v>2026</v>
      </c>
      <c r="F381" s="62" t="str">
        <f t="shared" si="18"/>
        <v>05 Mei</v>
      </c>
      <c r="G381" s="63">
        <v>100000.0</v>
      </c>
      <c r="H381" s="60" t="s">
        <v>32</v>
      </c>
      <c r="I381" s="64" t="s">
        <v>471</v>
      </c>
      <c r="J381" s="64" t="s">
        <v>74</v>
      </c>
      <c r="K381" s="66" t="b">
        <v>1</v>
      </c>
      <c r="L381" s="66"/>
      <c r="M381" s="67"/>
    </row>
    <row r="382" ht="22.5" customHeight="1">
      <c r="B382" s="59">
        <v>701.0</v>
      </c>
      <c r="C382" s="60" t="s">
        <v>50</v>
      </c>
      <c r="D382" s="61">
        <v>46153.0</v>
      </c>
      <c r="E382" s="62" t="str">
        <f t="shared" si="17"/>
        <v>2026</v>
      </c>
      <c r="F382" s="62" t="str">
        <f t="shared" si="18"/>
        <v>05 Mei</v>
      </c>
      <c r="G382" s="63">
        <v>150000.0</v>
      </c>
      <c r="H382" s="60" t="s">
        <v>32</v>
      </c>
      <c r="I382" s="64" t="s">
        <v>76</v>
      </c>
      <c r="J382" s="64" t="s">
        <v>74</v>
      </c>
      <c r="K382" s="66" t="b">
        <v>1</v>
      </c>
      <c r="L382" s="66"/>
      <c r="M382" s="67"/>
    </row>
    <row r="383" ht="22.5" customHeight="1">
      <c r="B383" s="59">
        <v>702.0</v>
      </c>
      <c r="C383" s="60" t="s">
        <v>50</v>
      </c>
      <c r="D383" s="61">
        <v>46153.0</v>
      </c>
      <c r="E383" s="62" t="str">
        <f t="shared" si="17"/>
        <v>2026</v>
      </c>
      <c r="F383" s="62" t="str">
        <f t="shared" si="18"/>
        <v>05 Mei</v>
      </c>
      <c r="G383" s="63">
        <v>25000.0</v>
      </c>
      <c r="H383" s="60" t="s">
        <v>32</v>
      </c>
      <c r="I383" s="64" t="s">
        <v>473</v>
      </c>
      <c r="J383" s="64" t="s">
        <v>78</v>
      </c>
      <c r="K383" s="66" t="b">
        <v>1</v>
      </c>
      <c r="L383" s="66"/>
      <c r="M383" s="67"/>
    </row>
    <row r="384" ht="22.5" customHeight="1">
      <c r="B384" s="59">
        <v>703.0</v>
      </c>
      <c r="C384" s="60" t="s">
        <v>50</v>
      </c>
      <c r="D384" s="61">
        <v>46155.0</v>
      </c>
      <c r="E384" s="62" t="str">
        <f t="shared" si="17"/>
        <v>2026</v>
      </c>
      <c r="F384" s="62" t="str">
        <f t="shared" si="18"/>
        <v>05 Mei</v>
      </c>
      <c r="G384" s="63">
        <v>150000.0</v>
      </c>
      <c r="H384" s="60" t="s">
        <v>32</v>
      </c>
      <c r="I384" s="64" t="s">
        <v>474</v>
      </c>
      <c r="J384" s="64" t="s">
        <v>74</v>
      </c>
      <c r="K384" s="66" t="b">
        <v>1</v>
      </c>
      <c r="L384" s="66"/>
      <c r="M384" s="67"/>
    </row>
    <row r="385" ht="22.5" customHeight="1">
      <c r="B385" s="59">
        <v>704.0</v>
      </c>
      <c r="C385" s="60" t="s">
        <v>50</v>
      </c>
      <c r="D385" s="61">
        <v>46155.0</v>
      </c>
      <c r="E385" s="62" t="str">
        <f t="shared" si="17"/>
        <v>2026</v>
      </c>
      <c r="F385" s="62" t="str">
        <f t="shared" si="18"/>
        <v>05 Mei</v>
      </c>
      <c r="G385" s="63">
        <v>140000.0</v>
      </c>
      <c r="H385" s="60" t="s">
        <v>32</v>
      </c>
      <c r="I385" s="64" t="s">
        <v>227</v>
      </c>
      <c r="J385" s="64" t="s">
        <v>74</v>
      </c>
      <c r="K385" s="66" t="b">
        <v>1</v>
      </c>
      <c r="L385" s="66"/>
      <c r="M385" s="67"/>
    </row>
    <row r="386" ht="22.5" customHeight="1">
      <c r="B386" s="59">
        <v>705.0</v>
      </c>
      <c r="C386" s="60" t="s">
        <v>50</v>
      </c>
      <c r="D386" s="61">
        <v>46155.0</v>
      </c>
      <c r="E386" s="62" t="str">
        <f t="shared" si="17"/>
        <v>2026</v>
      </c>
      <c r="F386" s="62" t="str">
        <f t="shared" si="18"/>
        <v>05 Mei</v>
      </c>
      <c r="G386" s="63">
        <v>607500.0</v>
      </c>
      <c r="H386" s="60" t="s">
        <v>32</v>
      </c>
      <c r="I386" s="64" t="s">
        <v>475</v>
      </c>
      <c r="J386" s="64" t="s">
        <v>78</v>
      </c>
      <c r="K386" s="66" t="b">
        <v>1</v>
      </c>
      <c r="L386" s="66"/>
      <c r="M386" s="67"/>
    </row>
    <row r="387" ht="22.5" customHeight="1">
      <c r="B387" s="59">
        <v>706.0</v>
      </c>
      <c r="C387" s="60" t="s">
        <v>39</v>
      </c>
      <c r="D387" s="61">
        <v>46155.0</v>
      </c>
      <c r="E387" s="62" t="str">
        <f t="shared" si="17"/>
        <v>2026</v>
      </c>
      <c r="F387" s="62" t="str">
        <f t="shared" si="18"/>
        <v>05 Mei</v>
      </c>
      <c r="G387" s="63">
        <v>100000.0</v>
      </c>
      <c r="H387" s="60" t="s">
        <v>32</v>
      </c>
      <c r="I387" s="64" t="s">
        <v>476</v>
      </c>
      <c r="J387" s="64" t="s">
        <v>74</v>
      </c>
      <c r="K387" s="66" t="b">
        <v>1</v>
      </c>
      <c r="L387" s="66"/>
      <c r="M387" s="67"/>
    </row>
    <row r="388" ht="22.5" customHeight="1">
      <c r="B388" s="59">
        <v>707.0</v>
      </c>
      <c r="C388" s="60" t="s">
        <v>39</v>
      </c>
      <c r="D388" s="61">
        <v>46155.0</v>
      </c>
      <c r="E388" s="62" t="str">
        <f t="shared" si="17"/>
        <v>2026</v>
      </c>
      <c r="F388" s="62" t="str">
        <f t="shared" si="18"/>
        <v>05 Mei</v>
      </c>
      <c r="G388" s="63">
        <v>295000.0</v>
      </c>
      <c r="H388" s="60" t="s">
        <v>32</v>
      </c>
      <c r="I388" s="64" t="s">
        <v>74</v>
      </c>
      <c r="J388" s="64" t="s">
        <v>74</v>
      </c>
      <c r="K388" s="66" t="b">
        <v>1</v>
      </c>
      <c r="L388" s="66"/>
      <c r="M388" s="67"/>
    </row>
    <row r="389" ht="22.5" customHeight="1">
      <c r="B389" s="59">
        <v>708.0</v>
      </c>
      <c r="C389" s="60" t="s">
        <v>39</v>
      </c>
      <c r="D389" s="61">
        <v>46157.0</v>
      </c>
      <c r="E389" s="62" t="str">
        <f t="shared" si="17"/>
        <v>2026</v>
      </c>
      <c r="F389" s="62" t="str">
        <f t="shared" si="18"/>
        <v>05 Mei</v>
      </c>
      <c r="G389" s="63">
        <v>15000.0</v>
      </c>
      <c r="H389" s="60" t="s">
        <v>32</v>
      </c>
      <c r="I389" s="64" t="s">
        <v>110</v>
      </c>
      <c r="J389" s="64" t="s">
        <v>78</v>
      </c>
      <c r="K389" s="66" t="b">
        <v>1</v>
      </c>
      <c r="L389" s="66"/>
      <c r="M389" s="67"/>
    </row>
    <row r="390" ht="22.5" customHeight="1">
      <c r="B390" s="59">
        <v>709.0</v>
      </c>
      <c r="C390" s="60" t="s">
        <v>39</v>
      </c>
      <c r="D390" s="61">
        <v>46157.0</v>
      </c>
      <c r="E390" s="62" t="str">
        <f t="shared" si="17"/>
        <v>2026</v>
      </c>
      <c r="F390" s="62" t="str">
        <f t="shared" si="18"/>
        <v>05 Mei</v>
      </c>
      <c r="G390" s="63">
        <v>21000.0</v>
      </c>
      <c r="H390" s="60" t="s">
        <v>32</v>
      </c>
      <c r="I390" s="64" t="s">
        <v>303</v>
      </c>
      <c r="J390" s="64" t="s">
        <v>78</v>
      </c>
      <c r="K390" s="66" t="b">
        <v>1</v>
      </c>
      <c r="L390" s="66"/>
      <c r="M390" s="67"/>
    </row>
    <row r="391" ht="22.5" customHeight="1">
      <c r="B391" s="59">
        <v>710.0</v>
      </c>
      <c r="C391" s="60" t="s">
        <v>50</v>
      </c>
      <c r="D391" s="61">
        <v>46157.0</v>
      </c>
      <c r="E391" s="62" t="str">
        <f t="shared" si="17"/>
        <v>2026</v>
      </c>
      <c r="F391" s="62" t="str">
        <f t="shared" si="18"/>
        <v>05 Mei</v>
      </c>
      <c r="G391" s="63">
        <v>200000.0</v>
      </c>
      <c r="H391" s="60" t="s">
        <v>32</v>
      </c>
      <c r="I391" s="64" t="s">
        <v>240</v>
      </c>
      <c r="J391" s="64" t="s">
        <v>74</v>
      </c>
      <c r="K391" s="66" t="b">
        <v>1</v>
      </c>
      <c r="L391" s="66"/>
      <c r="M391" s="67"/>
    </row>
    <row r="392" ht="22.5" customHeight="1">
      <c r="B392" s="59">
        <v>711.0</v>
      </c>
      <c r="C392" s="60" t="s">
        <v>50</v>
      </c>
      <c r="D392" s="61">
        <v>46157.0</v>
      </c>
      <c r="E392" s="62" t="str">
        <f t="shared" si="17"/>
        <v>2026</v>
      </c>
      <c r="F392" s="62" t="str">
        <f t="shared" si="18"/>
        <v>05 Mei</v>
      </c>
      <c r="G392" s="63">
        <v>22500.0</v>
      </c>
      <c r="H392" s="60" t="s">
        <v>32</v>
      </c>
      <c r="I392" s="64" t="s">
        <v>76</v>
      </c>
      <c r="J392" s="64" t="s">
        <v>74</v>
      </c>
      <c r="K392" s="66" t="b">
        <v>1</v>
      </c>
      <c r="L392" s="66"/>
      <c r="M392" s="67"/>
    </row>
    <row r="393" ht="22.5" customHeight="1">
      <c r="B393" s="59">
        <v>712.0</v>
      </c>
      <c r="C393" s="60" t="s">
        <v>39</v>
      </c>
      <c r="D393" s="61">
        <v>46158.0</v>
      </c>
      <c r="E393" s="62" t="str">
        <f t="shared" si="17"/>
        <v>2026</v>
      </c>
      <c r="F393" s="62" t="str">
        <f t="shared" si="18"/>
        <v>05 Mei</v>
      </c>
      <c r="G393" s="63">
        <v>50000.0</v>
      </c>
      <c r="H393" s="60" t="s">
        <v>32</v>
      </c>
      <c r="I393" s="64" t="s">
        <v>244</v>
      </c>
      <c r="J393" s="64" t="s">
        <v>74</v>
      </c>
      <c r="K393" s="66" t="b">
        <v>1</v>
      </c>
      <c r="L393" s="66"/>
      <c r="M393" s="67"/>
    </row>
    <row r="394" ht="22.5" customHeight="1">
      <c r="B394" s="59">
        <v>713.0</v>
      </c>
      <c r="C394" s="60" t="s">
        <v>39</v>
      </c>
      <c r="D394" s="61">
        <v>46158.0</v>
      </c>
      <c r="E394" s="62" t="str">
        <f t="shared" si="17"/>
        <v>2026</v>
      </c>
      <c r="F394" s="62" t="str">
        <f t="shared" si="18"/>
        <v>05 Mei</v>
      </c>
      <c r="G394" s="63">
        <v>250000.0</v>
      </c>
      <c r="H394" s="60" t="s">
        <v>32</v>
      </c>
      <c r="I394" s="64" t="s">
        <v>305</v>
      </c>
      <c r="J394" s="64" t="s">
        <v>74</v>
      </c>
      <c r="K394" s="66" t="b">
        <v>1</v>
      </c>
      <c r="L394" s="66"/>
      <c r="M394" s="67"/>
    </row>
    <row r="395" ht="22.5" customHeight="1">
      <c r="B395" s="59">
        <v>714.0</v>
      </c>
      <c r="C395" s="60" t="s">
        <v>39</v>
      </c>
      <c r="D395" s="61">
        <v>46161.0</v>
      </c>
      <c r="E395" s="62" t="str">
        <f t="shared" si="17"/>
        <v>2026</v>
      </c>
      <c r="F395" s="62" t="str">
        <f t="shared" si="18"/>
        <v>05 Mei</v>
      </c>
      <c r="G395" s="63">
        <v>50000.0</v>
      </c>
      <c r="H395" s="60" t="s">
        <v>32</v>
      </c>
      <c r="I395" s="64" t="s">
        <v>74</v>
      </c>
      <c r="J395" s="64" t="s">
        <v>74</v>
      </c>
      <c r="K395" s="66" t="b">
        <v>1</v>
      </c>
      <c r="L395" s="66"/>
      <c r="M395" s="67"/>
    </row>
    <row r="396" ht="22.5" customHeight="1">
      <c r="B396" s="59">
        <v>715.0</v>
      </c>
      <c r="C396" s="60" t="s">
        <v>39</v>
      </c>
      <c r="D396" s="61">
        <v>46161.0</v>
      </c>
      <c r="E396" s="62" t="str">
        <f t="shared" si="17"/>
        <v>2026</v>
      </c>
      <c r="F396" s="62" t="str">
        <f t="shared" si="18"/>
        <v>05 Mei</v>
      </c>
      <c r="G396" s="63">
        <v>200000.0</v>
      </c>
      <c r="H396" s="60" t="s">
        <v>32</v>
      </c>
      <c r="I396" s="64" t="s">
        <v>313</v>
      </c>
      <c r="J396" s="64" t="s">
        <v>74</v>
      </c>
      <c r="K396" s="66" t="b">
        <v>1</v>
      </c>
      <c r="L396" s="66"/>
      <c r="M396" s="67"/>
    </row>
    <row r="397" ht="22.5" customHeight="1">
      <c r="B397" s="59">
        <v>716.0</v>
      </c>
      <c r="C397" s="60" t="s">
        <v>39</v>
      </c>
      <c r="D397" s="61">
        <v>46161.0</v>
      </c>
      <c r="E397" s="62" t="str">
        <f t="shared" si="17"/>
        <v>2026</v>
      </c>
      <c r="F397" s="62" t="str">
        <f t="shared" si="18"/>
        <v>05 Mei</v>
      </c>
      <c r="G397" s="63">
        <v>150000.0</v>
      </c>
      <c r="H397" s="60" t="s">
        <v>32</v>
      </c>
      <c r="I397" s="64" t="s">
        <v>479</v>
      </c>
      <c r="J397" s="64" t="s">
        <v>74</v>
      </c>
      <c r="K397" s="66" t="b">
        <v>1</v>
      </c>
      <c r="L397" s="66"/>
      <c r="M397" s="67"/>
    </row>
    <row r="398" ht="22.5" customHeight="1">
      <c r="B398" s="59">
        <v>717.0</v>
      </c>
      <c r="C398" s="60" t="s">
        <v>39</v>
      </c>
      <c r="D398" s="61">
        <v>46161.0</v>
      </c>
      <c r="E398" s="62" t="str">
        <f t="shared" si="17"/>
        <v>2026</v>
      </c>
      <c r="F398" s="62" t="str">
        <f t="shared" si="18"/>
        <v>05 Mei</v>
      </c>
      <c r="G398" s="63">
        <v>35000.0</v>
      </c>
      <c r="H398" s="60" t="s">
        <v>32</v>
      </c>
      <c r="I398" s="64" t="s">
        <v>480</v>
      </c>
      <c r="J398" s="64" t="s">
        <v>74</v>
      </c>
      <c r="K398" s="66" t="b">
        <v>1</v>
      </c>
      <c r="L398" s="66"/>
      <c r="M398" s="67"/>
    </row>
    <row r="399" ht="22.5" customHeight="1">
      <c r="B399" s="59">
        <v>718.0</v>
      </c>
      <c r="C399" s="60" t="s">
        <v>50</v>
      </c>
      <c r="D399" s="61">
        <v>46168.0</v>
      </c>
      <c r="E399" s="62"/>
      <c r="F399" s="62"/>
      <c r="G399" s="63">
        <v>50000.0</v>
      </c>
      <c r="H399" s="60" t="s">
        <v>32</v>
      </c>
      <c r="I399" s="64" t="s">
        <v>481</v>
      </c>
      <c r="J399" s="64" t="s">
        <v>74</v>
      </c>
      <c r="K399" s="66" t="b">
        <v>1</v>
      </c>
      <c r="L399" s="66"/>
      <c r="M399" s="67"/>
    </row>
    <row r="400" ht="22.5" customHeight="1">
      <c r="B400" s="59">
        <v>719.0</v>
      </c>
      <c r="C400" s="60" t="s">
        <v>39</v>
      </c>
      <c r="D400" s="61">
        <v>46168.0</v>
      </c>
      <c r="E400" s="62" t="str">
        <f t="shared" ref="E400:E442" si="19">if(D400="","",text(D400,"yyyy"))</f>
        <v>2026</v>
      </c>
      <c r="F400" s="62" t="str">
        <f t="shared" ref="F400:F442" si="20">if(D400="","",text(D400,"mm")&amp;" "&amp;text(D400,"mmm"))</f>
        <v>05 Mei</v>
      </c>
      <c r="G400" s="63">
        <v>15000.0</v>
      </c>
      <c r="H400" s="60" t="s">
        <v>32</v>
      </c>
      <c r="I400" s="64" t="s">
        <v>90</v>
      </c>
      <c r="J400" s="64" t="s">
        <v>78</v>
      </c>
      <c r="K400" s="66" t="b">
        <v>1</v>
      </c>
      <c r="L400" s="66"/>
      <c r="M400" s="67"/>
    </row>
    <row r="401" ht="22.5" customHeight="1">
      <c r="B401" s="59">
        <v>720.0</v>
      </c>
      <c r="C401" s="60" t="s">
        <v>50</v>
      </c>
      <c r="D401" s="61">
        <v>46168.0</v>
      </c>
      <c r="E401" s="62" t="str">
        <f t="shared" si="19"/>
        <v>2026</v>
      </c>
      <c r="F401" s="62" t="str">
        <f t="shared" si="20"/>
        <v>05 Mei</v>
      </c>
      <c r="G401" s="63">
        <v>200000.0</v>
      </c>
      <c r="H401" s="60" t="s">
        <v>32</v>
      </c>
      <c r="I401" s="64" t="s">
        <v>257</v>
      </c>
      <c r="J401" s="64" t="s">
        <v>74</v>
      </c>
      <c r="K401" s="66" t="b">
        <v>1</v>
      </c>
      <c r="L401" s="66"/>
      <c r="M401" s="67"/>
    </row>
    <row r="402" ht="22.5" customHeight="1">
      <c r="B402" s="59">
        <v>721.0</v>
      </c>
      <c r="C402" s="60" t="s">
        <v>50</v>
      </c>
      <c r="D402" s="61">
        <v>46168.0</v>
      </c>
      <c r="E402" s="62" t="str">
        <f t="shared" si="19"/>
        <v>2026</v>
      </c>
      <c r="F402" s="62" t="str">
        <f t="shared" si="20"/>
        <v>05 Mei</v>
      </c>
      <c r="G402" s="63">
        <v>100000.0</v>
      </c>
      <c r="H402" s="60" t="s">
        <v>32</v>
      </c>
      <c r="I402" s="64" t="s">
        <v>330</v>
      </c>
      <c r="J402" s="64" t="s">
        <v>74</v>
      </c>
      <c r="K402" s="66" t="b">
        <v>1</v>
      </c>
      <c r="L402" s="66"/>
      <c r="M402" s="67"/>
    </row>
    <row r="403" ht="22.5" customHeight="1">
      <c r="B403" s="59">
        <v>722.0</v>
      </c>
      <c r="C403" s="60" t="s">
        <v>50</v>
      </c>
      <c r="D403" s="61">
        <v>46168.0</v>
      </c>
      <c r="E403" s="62" t="str">
        <f t="shared" si="19"/>
        <v>2026</v>
      </c>
      <c r="F403" s="62" t="str">
        <f t="shared" si="20"/>
        <v>05 Mei</v>
      </c>
      <c r="G403" s="63">
        <v>165000.0</v>
      </c>
      <c r="H403" s="60" t="s">
        <v>32</v>
      </c>
      <c r="I403" s="64" t="s">
        <v>357</v>
      </c>
      <c r="J403" s="64" t="s">
        <v>74</v>
      </c>
      <c r="K403" s="66" t="b">
        <v>1</v>
      </c>
      <c r="L403" s="66"/>
      <c r="M403" s="67"/>
    </row>
    <row r="404" ht="22.5" customHeight="1">
      <c r="B404" s="59">
        <v>723.0</v>
      </c>
      <c r="C404" s="60" t="s">
        <v>39</v>
      </c>
      <c r="D404" s="61">
        <v>46170.0</v>
      </c>
      <c r="E404" s="62" t="str">
        <f t="shared" si="19"/>
        <v>2026</v>
      </c>
      <c r="F404" s="62" t="str">
        <f t="shared" si="20"/>
        <v>05 Mei</v>
      </c>
      <c r="G404" s="63">
        <v>200000.0</v>
      </c>
      <c r="H404" s="60" t="s">
        <v>32</v>
      </c>
      <c r="I404" s="64" t="s">
        <v>240</v>
      </c>
      <c r="J404" s="64" t="s">
        <v>74</v>
      </c>
      <c r="K404" s="66" t="b">
        <v>1</v>
      </c>
      <c r="L404" s="66"/>
      <c r="M404" s="67"/>
    </row>
    <row r="405" ht="22.5" customHeight="1">
      <c r="B405" s="59">
        <v>724.0</v>
      </c>
      <c r="C405" s="60" t="s">
        <v>39</v>
      </c>
      <c r="D405" s="61">
        <v>46175.0</v>
      </c>
      <c r="E405" s="62" t="str">
        <f t="shared" si="19"/>
        <v>2026</v>
      </c>
      <c r="F405" s="62" t="str">
        <f t="shared" si="20"/>
        <v>06 Jun</v>
      </c>
      <c r="G405" s="63">
        <v>50000.0</v>
      </c>
      <c r="H405" s="60" t="s">
        <v>32</v>
      </c>
      <c r="I405" s="64" t="s">
        <v>485</v>
      </c>
      <c r="J405" s="64" t="s">
        <v>74</v>
      </c>
      <c r="K405" s="66" t="b">
        <v>1</v>
      </c>
      <c r="L405" s="66"/>
      <c r="M405" s="67"/>
    </row>
    <row r="406" ht="22.5" customHeight="1">
      <c r="B406" s="59">
        <v>725.0</v>
      </c>
      <c r="C406" s="60" t="s">
        <v>39</v>
      </c>
      <c r="D406" s="61">
        <v>46175.0</v>
      </c>
      <c r="E406" s="62" t="str">
        <f t="shared" si="19"/>
        <v>2026</v>
      </c>
      <c r="F406" s="62" t="str">
        <f t="shared" si="20"/>
        <v>06 Jun</v>
      </c>
      <c r="G406" s="63">
        <v>100000.0</v>
      </c>
      <c r="H406" s="60" t="s">
        <v>32</v>
      </c>
      <c r="I406" s="64" t="s">
        <v>486</v>
      </c>
      <c r="J406" s="64" t="s">
        <v>74</v>
      </c>
      <c r="K406" s="66" t="b">
        <v>1</v>
      </c>
      <c r="L406" s="66"/>
      <c r="M406" s="67"/>
    </row>
    <row r="407" ht="22.5" customHeight="1">
      <c r="B407" s="59">
        <v>726.0</v>
      </c>
      <c r="C407" s="60" t="s">
        <v>39</v>
      </c>
      <c r="D407" s="61">
        <v>46175.0</v>
      </c>
      <c r="E407" s="62" t="str">
        <f t="shared" si="19"/>
        <v>2026</v>
      </c>
      <c r="F407" s="62" t="str">
        <f t="shared" si="20"/>
        <v>06 Jun</v>
      </c>
      <c r="G407" s="63">
        <v>300000.0</v>
      </c>
      <c r="H407" s="60" t="s">
        <v>32</v>
      </c>
      <c r="I407" s="64" t="s">
        <v>487</v>
      </c>
      <c r="J407" s="64" t="s">
        <v>74</v>
      </c>
      <c r="K407" s="66" t="b">
        <v>1</v>
      </c>
      <c r="L407" s="66"/>
      <c r="M407" s="67"/>
    </row>
    <row r="408" ht="22.5" customHeight="1">
      <c r="B408" s="59">
        <v>727.0</v>
      </c>
      <c r="C408" s="60" t="s">
        <v>39</v>
      </c>
      <c r="D408" s="61">
        <v>46175.0</v>
      </c>
      <c r="E408" s="62" t="str">
        <f t="shared" si="19"/>
        <v>2026</v>
      </c>
      <c r="F408" s="62" t="str">
        <f t="shared" si="20"/>
        <v>06 Jun</v>
      </c>
      <c r="G408" s="63">
        <v>100000.0</v>
      </c>
      <c r="H408" s="60" t="s">
        <v>32</v>
      </c>
      <c r="I408" s="64" t="s">
        <v>488</v>
      </c>
      <c r="J408" s="64" t="s">
        <v>74</v>
      </c>
      <c r="K408" s="66" t="b">
        <v>1</v>
      </c>
      <c r="L408" s="66"/>
      <c r="M408" s="67"/>
    </row>
    <row r="409" ht="22.5" customHeight="1">
      <c r="B409" s="59">
        <v>728.0</v>
      </c>
      <c r="C409" s="60" t="s">
        <v>39</v>
      </c>
      <c r="D409" s="61">
        <v>46175.0</v>
      </c>
      <c r="E409" s="62" t="str">
        <f t="shared" si="19"/>
        <v>2026</v>
      </c>
      <c r="F409" s="62" t="str">
        <f t="shared" si="20"/>
        <v>06 Jun</v>
      </c>
      <c r="G409" s="63">
        <v>1215000.0</v>
      </c>
      <c r="H409" s="60" t="s">
        <v>37</v>
      </c>
      <c r="I409" s="64" t="s">
        <v>489</v>
      </c>
      <c r="J409" s="64" t="s">
        <v>78</v>
      </c>
      <c r="K409" s="66" t="b">
        <v>1</v>
      </c>
      <c r="L409" s="66"/>
      <c r="M409" s="67"/>
    </row>
    <row r="410" ht="22.5" customHeight="1">
      <c r="B410" s="59">
        <v>729.0</v>
      </c>
      <c r="C410" s="60" t="s">
        <v>39</v>
      </c>
      <c r="D410" s="61">
        <v>46177.0</v>
      </c>
      <c r="E410" s="62" t="str">
        <f t="shared" si="19"/>
        <v>2026</v>
      </c>
      <c r="F410" s="62" t="str">
        <f t="shared" si="20"/>
        <v>06 Jun</v>
      </c>
      <c r="G410" s="63">
        <v>100000.0</v>
      </c>
      <c r="H410" s="60" t="s">
        <v>32</v>
      </c>
      <c r="I410" s="64" t="s">
        <v>490</v>
      </c>
      <c r="J410" s="64" t="s">
        <v>78</v>
      </c>
      <c r="K410" s="66" t="b">
        <v>1</v>
      </c>
      <c r="L410" s="66"/>
      <c r="M410" s="67"/>
    </row>
    <row r="411" ht="22.5" customHeight="1">
      <c r="B411" s="59">
        <v>730.0</v>
      </c>
      <c r="C411" s="60" t="s">
        <v>39</v>
      </c>
      <c r="D411" s="61">
        <v>46177.0</v>
      </c>
      <c r="E411" s="62" t="str">
        <f t="shared" si="19"/>
        <v>2026</v>
      </c>
      <c r="F411" s="62" t="str">
        <f t="shared" si="20"/>
        <v>06 Jun</v>
      </c>
      <c r="G411" s="63">
        <v>65000.0</v>
      </c>
      <c r="H411" s="60" t="s">
        <v>32</v>
      </c>
      <c r="I411" s="64" t="s">
        <v>491</v>
      </c>
      <c r="J411" s="64" t="s">
        <v>78</v>
      </c>
      <c r="K411" s="66" t="b">
        <v>1</v>
      </c>
      <c r="L411" s="66"/>
      <c r="M411" s="67"/>
    </row>
    <row r="412" ht="22.5" customHeight="1">
      <c r="B412" s="59">
        <v>731.0</v>
      </c>
      <c r="C412" s="60" t="s">
        <v>39</v>
      </c>
      <c r="D412" s="61">
        <v>46177.0</v>
      </c>
      <c r="E412" s="62" t="str">
        <f t="shared" si="19"/>
        <v>2026</v>
      </c>
      <c r="F412" s="62" t="str">
        <f t="shared" si="20"/>
        <v>06 Jun</v>
      </c>
      <c r="G412" s="63">
        <v>90000.0</v>
      </c>
      <c r="H412" s="60" t="s">
        <v>32</v>
      </c>
      <c r="I412" s="64" t="s">
        <v>142</v>
      </c>
      <c r="J412" s="64" t="s">
        <v>78</v>
      </c>
      <c r="K412" s="66" t="b">
        <v>1</v>
      </c>
      <c r="L412" s="66"/>
      <c r="M412" s="67"/>
    </row>
    <row r="413" ht="22.5" customHeight="1">
      <c r="B413" s="59">
        <v>732.0</v>
      </c>
      <c r="C413" s="60" t="s">
        <v>39</v>
      </c>
      <c r="D413" s="61">
        <v>46177.0</v>
      </c>
      <c r="E413" s="62" t="str">
        <f t="shared" si="19"/>
        <v>2026</v>
      </c>
      <c r="F413" s="62" t="str">
        <f t="shared" si="20"/>
        <v>06 Jun</v>
      </c>
      <c r="G413" s="63">
        <v>100000.0</v>
      </c>
      <c r="H413" s="60" t="s">
        <v>32</v>
      </c>
      <c r="I413" s="64" t="s">
        <v>492</v>
      </c>
      <c r="J413" s="64" t="s">
        <v>74</v>
      </c>
      <c r="K413" s="66" t="b">
        <v>1</v>
      </c>
      <c r="L413" s="66"/>
      <c r="M413" s="67"/>
    </row>
    <row r="414" ht="22.5" customHeight="1">
      <c r="B414" s="59">
        <v>733.0</v>
      </c>
      <c r="C414" s="60" t="s">
        <v>39</v>
      </c>
      <c r="D414" s="61">
        <v>46178.0</v>
      </c>
      <c r="E414" s="62" t="str">
        <f t="shared" si="19"/>
        <v>2026</v>
      </c>
      <c r="F414" s="62" t="str">
        <f t="shared" si="20"/>
        <v>06 Jun</v>
      </c>
      <c r="G414" s="63">
        <v>15000.0</v>
      </c>
      <c r="H414" s="60" t="s">
        <v>32</v>
      </c>
      <c r="I414" s="64" t="s">
        <v>303</v>
      </c>
      <c r="J414" s="64" t="s">
        <v>78</v>
      </c>
      <c r="K414" s="66" t="b">
        <v>1</v>
      </c>
      <c r="L414" s="66"/>
      <c r="M414" s="67"/>
    </row>
    <row r="415" ht="22.5" customHeight="1">
      <c r="B415" s="59">
        <v>734.0</v>
      </c>
      <c r="C415" s="60" t="s">
        <v>79</v>
      </c>
      <c r="D415" s="61">
        <v>46180.0</v>
      </c>
      <c r="E415" s="62" t="str">
        <f t="shared" si="19"/>
        <v>2026</v>
      </c>
      <c r="F415" s="62" t="str">
        <f t="shared" si="20"/>
        <v>06 Jun</v>
      </c>
      <c r="G415" s="63">
        <v>350000.0</v>
      </c>
      <c r="H415" s="60" t="s">
        <v>32</v>
      </c>
      <c r="I415" s="64" t="s">
        <v>328</v>
      </c>
      <c r="J415" s="64" t="s">
        <v>74</v>
      </c>
      <c r="K415" s="66" t="b">
        <v>1</v>
      </c>
      <c r="L415" s="66"/>
      <c r="M415" s="67"/>
    </row>
    <row r="416" ht="22.5" customHeight="1">
      <c r="B416" s="59">
        <v>735.0</v>
      </c>
      <c r="C416" s="60" t="s">
        <v>39</v>
      </c>
      <c r="D416" s="61">
        <v>46181.0</v>
      </c>
      <c r="E416" s="62" t="str">
        <f t="shared" si="19"/>
        <v>2026</v>
      </c>
      <c r="F416" s="62" t="str">
        <f t="shared" si="20"/>
        <v>06 Jun</v>
      </c>
      <c r="G416" s="63">
        <v>50000.0</v>
      </c>
      <c r="H416" s="60" t="s">
        <v>32</v>
      </c>
      <c r="I416" s="64" t="s">
        <v>493</v>
      </c>
      <c r="J416" s="64" t="s">
        <v>33</v>
      </c>
      <c r="K416" s="66" t="b">
        <v>1</v>
      </c>
      <c r="L416" s="66"/>
      <c r="M416" s="67"/>
    </row>
    <row r="417" ht="22.5" customHeight="1">
      <c r="B417" s="59">
        <v>736.0</v>
      </c>
      <c r="C417" s="60" t="s">
        <v>39</v>
      </c>
      <c r="D417" s="61">
        <v>46181.0</v>
      </c>
      <c r="E417" s="62" t="str">
        <f t="shared" si="19"/>
        <v>2026</v>
      </c>
      <c r="F417" s="62" t="str">
        <f t="shared" si="20"/>
        <v>06 Jun</v>
      </c>
      <c r="G417" s="63">
        <v>50000.0</v>
      </c>
      <c r="H417" s="60" t="s">
        <v>32</v>
      </c>
      <c r="I417" s="64" t="s">
        <v>304</v>
      </c>
      <c r="J417" s="64" t="s">
        <v>74</v>
      </c>
      <c r="K417" s="66" t="b">
        <v>1</v>
      </c>
      <c r="L417" s="66"/>
      <c r="M417" s="67"/>
    </row>
    <row r="418" ht="22.5" customHeight="1">
      <c r="B418" s="59">
        <v>737.0</v>
      </c>
      <c r="C418" s="60" t="s">
        <v>39</v>
      </c>
      <c r="D418" s="61">
        <v>46182.0</v>
      </c>
      <c r="E418" s="62" t="str">
        <f t="shared" si="19"/>
        <v>2026</v>
      </c>
      <c r="F418" s="62" t="str">
        <f t="shared" si="20"/>
        <v>06 Jun</v>
      </c>
      <c r="G418" s="63">
        <v>300000.0</v>
      </c>
      <c r="H418" s="60" t="s">
        <v>32</v>
      </c>
      <c r="I418" s="64" t="s">
        <v>418</v>
      </c>
      <c r="J418" s="64" t="s">
        <v>74</v>
      </c>
      <c r="K418" s="66" t="b">
        <v>1</v>
      </c>
      <c r="L418" s="66"/>
      <c r="M418" s="67"/>
    </row>
    <row r="419" ht="22.5" customHeight="1">
      <c r="B419" s="59">
        <v>738.0</v>
      </c>
      <c r="C419" s="60" t="s">
        <v>39</v>
      </c>
      <c r="D419" s="61">
        <v>46182.0</v>
      </c>
      <c r="E419" s="62" t="str">
        <f t="shared" si="19"/>
        <v>2026</v>
      </c>
      <c r="F419" s="62" t="str">
        <f t="shared" si="20"/>
        <v>06 Jun</v>
      </c>
      <c r="G419" s="63">
        <v>100000.0</v>
      </c>
      <c r="H419" s="60" t="s">
        <v>32</v>
      </c>
      <c r="I419" s="64" t="s">
        <v>286</v>
      </c>
      <c r="J419" s="64" t="s">
        <v>74</v>
      </c>
      <c r="K419" s="66" t="b">
        <v>1</v>
      </c>
      <c r="L419" s="66"/>
      <c r="M419" s="67"/>
    </row>
    <row r="420" ht="22.5" customHeight="1">
      <c r="B420" s="59">
        <v>739.0</v>
      </c>
      <c r="C420" s="60" t="s">
        <v>39</v>
      </c>
      <c r="D420" s="61">
        <v>46182.0</v>
      </c>
      <c r="E420" s="62" t="str">
        <f t="shared" si="19"/>
        <v>2026</v>
      </c>
      <c r="F420" s="62" t="str">
        <f t="shared" si="20"/>
        <v>06 Jun</v>
      </c>
      <c r="G420" s="63">
        <v>50000.0</v>
      </c>
      <c r="H420" s="60" t="s">
        <v>32</v>
      </c>
      <c r="I420" s="64" t="s">
        <v>404</v>
      </c>
      <c r="J420" s="64" t="s">
        <v>74</v>
      </c>
      <c r="K420" s="66" t="b">
        <v>1</v>
      </c>
      <c r="L420" s="66"/>
      <c r="M420" s="67"/>
    </row>
    <row r="421" ht="22.5" customHeight="1">
      <c r="B421" s="59">
        <v>740.0</v>
      </c>
      <c r="C421" s="60" t="s">
        <v>39</v>
      </c>
      <c r="D421" s="61">
        <v>46182.0</v>
      </c>
      <c r="E421" s="62" t="str">
        <f t="shared" si="19"/>
        <v>2026</v>
      </c>
      <c r="F421" s="62" t="str">
        <f t="shared" si="20"/>
        <v>06 Jun</v>
      </c>
      <c r="G421" s="63">
        <v>50000.0</v>
      </c>
      <c r="H421" s="60" t="s">
        <v>32</v>
      </c>
      <c r="I421" s="64" t="s">
        <v>496</v>
      </c>
      <c r="J421" s="64" t="s">
        <v>33</v>
      </c>
      <c r="K421" s="66" t="b">
        <v>1</v>
      </c>
      <c r="L421" s="66"/>
      <c r="M421" s="67"/>
    </row>
    <row r="422" ht="22.5" customHeight="1">
      <c r="B422" s="59">
        <v>741.0</v>
      </c>
      <c r="C422" s="60" t="s">
        <v>39</v>
      </c>
      <c r="D422" s="61">
        <v>46184.0</v>
      </c>
      <c r="E422" s="62" t="str">
        <f t="shared" si="19"/>
        <v>2026</v>
      </c>
      <c r="F422" s="62" t="str">
        <f t="shared" si="20"/>
        <v>06 Jun</v>
      </c>
      <c r="G422" s="63">
        <v>200000.0</v>
      </c>
      <c r="H422" s="60" t="s">
        <v>32</v>
      </c>
      <c r="I422" s="64" t="s">
        <v>418</v>
      </c>
      <c r="J422" s="64" t="s">
        <v>74</v>
      </c>
      <c r="K422" s="66" t="b">
        <v>1</v>
      </c>
      <c r="L422" s="66"/>
      <c r="M422" s="67"/>
    </row>
    <row r="423" ht="22.5" customHeight="1">
      <c r="B423" s="59">
        <v>742.0</v>
      </c>
      <c r="C423" s="60" t="s">
        <v>39</v>
      </c>
      <c r="D423" s="61">
        <v>46184.0</v>
      </c>
      <c r="E423" s="62" t="str">
        <f t="shared" si="19"/>
        <v>2026</v>
      </c>
      <c r="F423" s="62" t="str">
        <f t="shared" si="20"/>
        <v>06 Jun</v>
      </c>
      <c r="G423" s="63">
        <v>50000.0</v>
      </c>
      <c r="H423" s="60" t="s">
        <v>32</v>
      </c>
      <c r="I423" s="64" t="s">
        <v>342</v>
      </c>
      <c r="J423" s="64" t="s">
        <v>74</v>
      </c>
      <c r="K423" s="66" t="b">
        <v>1</v>
      </c>
      <c r="L423" s="66"/>
      <c r="M423" s="67"/>
    </row>
    <row r="424" ht="22.5" customHeight="1">
      <c r="B424" s="59">
        <v>743.0</v>
      </c>
      <c r="C424" s="60" t="s">
        <v>50</v>
      </c>
      <c r="D424" s="61">
        <v>46184.0</v>
      </c>
      <c r="E424" s="62" t="str">
        <f t="shared" si="19"/>
        <v>2026</v>
      </c>
      <c r="F424" s="62" t="str">
        <f t="shared" si="20"/>
        <v>06 Jun</v>
      </c>
      <c r="G424" s="63">
        <v>50000.0</v>
      </c>
      <c r="H424" s="60" t="s">
        <v>32</v>
      </c>
      <c r="I424" s="64" t="s">
        <v>41</v>
      </c>
      <c r="J424" s="64" t="s">
        <v>74</v>
      </c>
      <c r="K424" s="66" t="b">
        <v>1</v>
      </c>
      <c r="L424" s="66"/>
      <c r="M424" s="67"/>
    </row>
    <row r="425" ht="22.5" customHeight="1">
      <c r="B425" s="59">
        <v>744.0</v>
      </c>
      <c r="C425" s="60" t="s">
        <v>50</v>
      </c>
      <c r="D425" s="61">
        <v>46184.0</v>
      </c>
      <c r="E425" s="62" t="str">
        <f t="shared" si="19"/>
        <v>2026</v>
      </c>
      <c r="F425" s="62" t="str">
        <f t="shared" si="20"/>
        <v>06 Jun</v>
      </c>
      <c r="G425" s="63">
        <v>20000.0</v>
      </c>
      <c r="H425" s="60" t="s">
        <v>32</v>
      </c>
      <c r="I425" s="64" t="s">
        <v>33</v>
      </c>
      <c r="J425" s="64" t="s">
        <v>33</v>
      </c>
      <c r="K425" s="66" t="b">
        <v>1</v>
      </c>
      <c r="L425" s="66"/>
      <c r="M425" s="67"/>
    </row>
    <row r="426" ht="22.5" customHeight="1">
      <c r="B426" s="59">
        <v>745.0</v>
      </c>
      <c r="C426" s="60" t="s">
        <v>50</v>
      </c>
      <c r="D426" s="61">
        <v>46192.0</v>
      </c>
      <c r="E426" s="62" t="str">
        <f t="shared" si="19"/>
        <v>2026</v>
      </c>
      <c r="F426" s="62" t="str">
        <f t="shared" si="20"/>
        <v>06 Jun</v>
      </c>
      <c r="G426" s="63">
        <v>200000.0</v>
      </c>
      <c r="H426" s="60" t="s">
        <v>32</v>
      </c>
      <c r="I426" s="64" t="s">
        <v>240</v>
      </c>
      <c r="J426" s="64" t="s">
        <v>74</v>
      </c>
      <c r="K426" s="66" t="b">
        <v>1</v>
      </c>
      <c r="L426" s="66"/>
      <c r="M426" s="67"/>
    </row>
    <row r="427" ht="22.5" customHeight="1">
      <c r="B427" s="59">
        <v>746.0</v>
      </c>
      <c r="C427" s="60" t="s">
        <v>39</v>
      </c>
      <c r="D427" s="61">
        <v>46193.0</v>
      </c>
      <c r="E427" s="62" t="str">
        <f t="shared" si="19"/>
        <v>2026</v>
      </c>
      <c r="F427" s="62" t="str">
        <f t="shared" si="20"/>
        <v>06 Jun</v>
      </c>
      <c r="G427" s="63">
        <v>50000.0</v>
      </c>
      <c r="H427" s="60" t="s">
        <v>32</v>
      </c>
      <c r="I427" s="64" t="s">
        <v>499</v>
      </c>
      <c r="J427" s="64" t="s">
        <v>74</v>
      </c>
      <c r="K427" s="66" t="b">
        <v>1</v>
      </c>
      <c r="L427" s="66"/>
      <c r="M427" s="67"/>
    </row>
    <row r="428" ht="22.5" customHeight="1">
      <c r="B428" s="59">
        <v>747.0</v>
      </c>
      <c r="C428" s="60" t="s">
        <v>39</v>
      </c>
      <c r="D428" s="61">
        <v>46193.0</v>
      </c>
      <c r="E428" s="62" t="str">
        <f t="shared" si="19"/>
        <v>2026</v>
      </c>
      <c r="F428" s="62" t="str">
        <f t="shared" si="20"/>
        <v>06 Jun</v>
      </c>
      <c r="G428" s="63">
        <v>200000.0</v>
      </c>
      <c r="H428" s="60" t="s">
        <v>32</v>
      </c>
      <c r="I428" s="64" t="s">
        <v>418</v>
      </c>
      <c r="J428" s="64" t="s">
        <v>74</v>
      </c>
      <c r="K428" s="66" t="b">
        <v>1</v>
      </c>
      <c r="L428" s="66"/>
      <c r="M428" s="67"/>
    </row>
    <row r="429" ht="22.5" customHeight="1">
      <c r="B429" s="59">
        <v>748.0</v>
      </c>
      <c r="C429" s="60" t="s">
        <v>39</v>
      </c>
      <c r="D429" s="61">
        <v>46193.0</v>
      </c>
      <c r="E429" s="62" t="str">
        <f t="shared" si="19"/>
        <v>2026</v>
      </c>
      <c r="F429" s="62" t="str">
        <f t="shared" si="20"/>
        <v>06 Jun</v>
      </c>
      <c r="G429" s="63">
        <v>115000.0</v>
      </c>
      <c r="H429" s="60" t="s">
        <v>32</v>
      </c>
      <c r="I429" s="64" t="s">
        <v>500</v>
      </c>
      <c r="J429" s="64" t="s">
        <v>78</v>
      </c>
      <c r="K429" s="66" t="b">
        <v>1</v>
      </c>
      <c r="L429" s="66"/>
      <c r="M429" s="67"/>
    </row>
    <row r="430" ht="22.5" customHeight="1">
      <c r="B430" s="59">
        <v>749.0</v>
      </c>
      <c r="C430" s="60" t="s">
        <v>39</v>
      </c>
      <c r="D430" s="61">
        <v>46193.0</v>
      </c>
      <c r="E430" s="62" t="str">
        <f t="shared" si="19"/>
        <v>2026</v>
      </c>
      <c r="F430" s="62" t="str">
        <f t="shared" si="20"/>
        <v>06 Jun</v>
      </c>
      <c r="G430" s="63">
        <v>15000.0</v>
      </c>
      <c r="H430" s="60" t="s">
        <v>32</v>
      </c>
      <c r="I430" s="64" t="s">
        <v>110</v>
      </c>
      <c r="J430" s="64" t="s">
        <v>78</v>
      </c>
      <c r="K430" s="66" t="b">
        <v>1</v>
      </c>
      <c r="L430" s="66"/>
      <c r="M430" s="67"/>
    </row>
    <row r="431" ht="22.5" customHeight="1">
      <c r="B431" s="59">
        <v>750.0</v>
      </c>
      <c r="C431" s="60" t="s">
        <v>50</v>
      </c>
      <c r="D431" s="61">
        <v>46194.0</v>
      </c>
      <c r="E431" s="62" t="str">
        <f t="shared" si="19"/>
        <v>2026</v>
      </c>
      <c r="F431" s="62" t="str">
        <f t="shared" si="20"/>
        <v>06 Jun</v>
      </c>
      <c r="G431" s="63">
        <v>50000.0</v>
      </c>
      <c r="H431" s="60" t="s">
        <v>32</v>
      </c>
      <c r="I431" s="64" t="s">
        <v>501</v>
      </c>
      <c r="J431" s="64" t="s">
        <v>72</v>
      </c>
      <c r="K431" s="66" t="b">
        <v>1</v>
      </c>
      <c r="L431" s="66"/>
      <c r="M431" s="67"/>
    </row>
    <row r="432" ht="22.5" customHeight="1">
      <c r="B432" s="59">
        <v>751.0</v>
      </c>
      <c r="C432" s="60" t="s">
        <v>50</v>
      </c>
      <c r="D432" s="61">
        <v>46194.0</v>
      </c>
      <c r="E432" s="62" t="str">
        <f t="shared" si="19"/>
        <v>2026</v>
      </c>
      <c r="F432" s="62" t="str">
        <f t="shared" si="20"/>
        <v>06 Jun</v>
      </c>
      <c r="G432" s="63">
        <v>200000.0</v>
      </c>
      <c r="H432" s="60" t="s">
        <v>32</v>
      </c>
      <c r="I432" s="64" t="s">
        <v>76</v>
      </c>
      <c r="J432" s="64" t="s">
        <v>74</v>
      </c>
      <c r="K432" s="66" t="b">
        <v>1</v>
      </c>
      <c r="L432" s="66"/>
      <c r="M432" s="67"/>
    </row>
    <row r="433" ht="22.5" customHeight="1">
      <c r="B433" s="59">
        <v>752.0</v>
      </c>
      <c r="C433" s="60" t="s">
        <v>50</v>
      </c>
      <c r="D433" s="61">
        <v>46194.0</v>
      </c>
      <c r="E433" s="62" t="str">
        <f t="shared" si="19"/>
        <v>2026</v>
      </c>
      <c r="F433" s="62" t="str">
        <f t="shared" si="20"/>
        <v>06 Jun</v>
      </c>
      <c r="G433" s="63">
        <v>300000.0</v>
      </c>
      <c r="H433" s="60" t="s">
        <v>32</v>
      </c>
      <c r="I433" s="64" t="s">
        <v>240</v>
      </c>
      <c r="J433" s="64" t="s">
        <v>74</v>
      </c>
      <c r="K433" s="66" t="b">
        <v>1</v>
      </c>
      <c r="L433" s="66"/>
      <c r="M433" s="67"/>
    </row>
    <row r="434" ht="22.5" customHeight="1">
      <c r="B434" s="59">
        <v>753.0</v>
      </c>
      <c r="C434" s="60" t="s">
        <v>50</v>
      </c>
      <c r="D434" s="61">
        <v>46195.0</v>
      </c>
      <c r="E434" s="62" t="str">
        <f t="shared" si="19"/>
        <v>2026</v>
      </c>
      <c r="F434" s="62" t="str">
        <f t="shared" si="20"/>
        <v>06 Jun</v>
      </c>
      <c r="G434" s="63">
        <v>50000.0</v>
      </c>
      <c r="H434" s="60" t="s">
        <v>32</v>
      </c>
      <c r="I434" s="64" t="s">
        <v>503</v>
      </c>
      <c r="J434" s="64" t="s">
        <v>72</v>
      </c>
      <c r="K434" s="66" t="b">
        <v>1</v>
      </c>
      <c r="L434" s="66"/>
      <c r="M434" s="67"/>
    </row>
    <row r="435" ht="22.5" customHeight="1">
      <c r="B435" s="59">
        <v>754.0</v>
      </c>
      <c r="C435" s="60" t="s">
        <v>50</v>
      </c>
      <c r="D435" s="61">
        <v>46195.0</v>
      </c>
      <c r="E435" s="62" t="str">
        <f t="shared" si="19"/>
        <v>2026</v>
      </c>
      <c r="F435" s="62" t="str">
        <f t="shared" si="20"/>
        <v>06 Jun</v>
      </c>
      <c r="G435" s="63">
        <v>100000.0</v>
      </c>
      <c r="H435" s="60" t="s">
        <v>32</v>
      </c>
      <c r="I435" s="64" t="s">
        <v>47</v>
      </c>
      <c r="J435" s="64" t="s">
        <v>74</v>
      </c>
      <c r="K435" s="66" t="b">
        <v>1</v>
      </c>
      <c r="L435" s="66"/>
      <c r="M435" s="67"/>
    </row>
    <row r="436" ht="22.5" customHeight="1">
      <c r="B436" s="59">
        <v>755.0</v>
      </c>
      <c r="C436" s="60" t="s">
        <v>50</v>
      </c>
      <c r="D436" s="61">
        <v>46195.0</v>
      </c>
      <c r="E436" s="62" t="str">
        <f t="shared" si="19"/>
        <v>2026</v>
      </c>
      <c r="F436" s="62" t="str">
        <f t="shared" si="20"/>
        <v>06 Jun</v>
      </c>
      <c r="G436" s="63">
        <v>500000.0</v>
      </c>
      <c r="H436" s="60" t="s">
        <v>32</v>
      </c>
      <c r="I436" s="64" t="s">
        <v>227</v>
      </c>
      <c r="J436" s="64" t="s">
        <v>74</v>
      </c>
      <c r="K436" s="66" t="b">
        <v>1</v>
      </c>
      <c r="L436" s="66"/>
      <c r="M436" s="67"/>
    </row>
    <row r="437" ht="22.5" customHeight="1">
      <c r="B437" s="59">
        <v>756.0</v>
      </c>
      <c r="C437" s="60" t="s">
        <v>50</v>
      </c>
      <c r="D437" s="61">
        <v>46195.0</v>
      </c>
      <c r="E437" s="62" t="str">
        <f t="shared" si="19"/>
        <v>2026</v>
      </c>
      <c r="F437" s="62" t="str">
        <f t="shared" si="20"/>
        <v>06 Jun</v>
      </c>
      <c r="G437" s="63">
        <v>30000.0</v>
      </c>
      <c r="H437" s="60" t="s">
        <v>32</v>
      </c>
      <c r="I437" s="64" t="s">
        <v>142</v>
      </c>
      <c r="J437" s="64" t="s">
        <v>78</v>
      </c>
      <c r="K437" s="66" t="b">
        <v>1</v>
      </c>
      <c r="L437" s="66"/>
      <c r="M437" s="67"/>
    </row>
    <row r="438" ht="22.5" customHeight="1">
      <c r="B438" s="59">
        <v>757.0</v>
      </c>
      <c r="C438" s="60" t="s">
        <v>50</v>
      </c>
      <c r="D438" s="61">
        <v>46195.0</v>
      </c>
      <c r="E438" s="62" t="str">
        <f t="shared" si="19"/>
        <v>2026</v>
      </c>
      <c r="F438" s="62" t="str">
        <f t="shared" si="20"/>
        <v>06 Jun</v>
      </c>
      <c r="G438" s="63">
        <v>200000.0</v>
      </c>
      <c r="H438" s="60" t="s">
        <v>32</v>
      </c>
      <c r="I438" s="64" t="s">
        <v>244</v>
      </c>
      <c r="J438" s="64" t="s">
        <v>74</v>
      </c>
      <c r="K438" s="66" t="b">
        <v>1</v>
      </c>
      <c r="L438" s="66"/>
      <c r="M438" s="67"/>
    </row>
    <row r="439" ht="22.5" customHeight="1">
      <c r="B439" s="59">
        <v>758.0</v>
      </c>
      <c r="C439" s="60" t="s">
        <v>79</v>
      </c>
      <c r="D439" s="61">
        <v>46196.0</v>
      </c>
      <c r="E439" s="62" t="str">
        <f t="shared" si="19"/>
        <v>2026</v>
      </c>
      <c r="F439" s="62" t="str">
        <f t="shared" si="20"/>
        <v>06 Jun</v>
      </c>
      <c r="G439" s="63">
        <v>200000.0</v>
      </c>
      <c r="H439" s="60" t="s">
        <v>32</v>
      </c>
      <c r="I439" s="64" t="s">
        <v>194</v>
      </c>
      <c r="J439" s="64" t="s">
        <v>74</v>
      </c>
      <c r="K439" s="66" t="b">
        <v>1</v>
      </c>
      <c r="L439" s="66"/>
      <c r="M439" s="67"/>
    </row>
    <row r="440" ht="22.5" customHeight="1">
      <c r="B440" s="59">
        <v>759.0</v>
      </c>
      <c r="C440" s="60" t="s">
        <v>39</v>
      </c>
      <c r="D440" s="61">
        <v>46196.0</v>
      </c>
      <c r="E440" s="62" t="str">
        <f t="shared" si="19"/>
        <v>2026</v>
      </c>
      <c r="F440" s="62" t="str">
        <f t="shared" si="20"/>
        <v>06 Jun</v>
      </c>
      <c r="G440" s="63">
        <v>50000.0</v>
      </c>
      <c r="H440" s="60" t="s">
        <v>32</v>
      </c>
      <c r="I440" s="64" t="s">
        <v>506</v>
      </c>
      <c r="J440" s="64" t="s">
        <v>74</v>
      </c>
      <c r="K440" s="66" t="b">
        <v>1</v>
      </c>
      <c r="L440" s="66"/>
      <c r="M440" s="67"/>
    </row>
    <row r="441" ht="22.5" customHeight="1">
      <c r="B441" s="59">
        <v>760.0</v>
      </c>
      <c r="C441" s="60" t="s">
        <v>39</v>
      </c>
      <c r="D441" s="61">
        <v>46196.0</v>
      </c>
      <c r="E441" s="62" t="str">
        <f t="shared" si="19"/>
        <v>2026</v>
      </c>
      <c r="F441" s="62" t="str">
        <f t="shared" si="20"/>
        <v>06 Jun</v>
      </c>
      <c r="G441" s="63">
        <v>150000.0</v>
      </c>
      <c r="H441" s="60" t="s">
        <v>32</v>
      </c>
      <c r="I441" s="64" t="s">
        <v>480</v>
      </c>
      <c r="J441" s="64" t="s">
        <v>78</v>
      </c>
      <c r="K441" s="66" t="b">
        <v>1</v>
      </c>
      <c r="L441" s="66"/>
      <c r="M441" s="67"/>
    </row>
    <row r="442" ht="22.5" customHeight="1">
      <c r="B442" s="59">
        <v>761.0</v>
      </c>
      <c r="C442" s="60" t="s">
        <v>39</v>
      </c>
      <c r="D442" s="61">
        <v>46196.0</v>
      </c>
      <c r="E442" s="62" t="str">
        <f t="shared" si="19"/>
        <v>2026</v>
      </c>
      <c r="F442" s="62" t="str">
        <f t="shared" si="20"/>
        <v>06 Jun</v>
      </c>
      <c r="G442" s="63">
        <v>55000.0</v>
      </c>
      <c r="H442" s="60" t="s">
        <v>32</v>
      </c>
      <c r="I442" s="64" t="s">
        <v>508</v>
      </c>
      <c r="J442" s="64" t="s">
        <v>78</v>
      </c>
      <c r="K442" s="66" t="b">
        <v>1</v>
      </c>
      <c r="L442" s="66"/>
      <c r="M442" s="67"/>
    </row>
    <row r="443" ht="22.5" customHeight="1">
      <c r="B443" s="59">
        <v>762.0</v>
      </c>
      <c r="C443" s="60" t="s">
        <v>39</v>
      </c>
      <c r="D443" s="61">
        <v>46197.0</v>
      </c>
      <c r="E443" s="62"/>
      <c r="F443" s="62"/>
      <c r="G443" s="63">
        <v>1000000.0</v>
      </c>
      <c r="H443" s="60" t="s">
        <v>32</v>
      </c>
      <c r="I443" s="64" t="s">
        <v>293</v>
      </c>
      <c r="J443" s="64" t="s">
        <v>74</v>
      </c>
      <c r="K443" s="66" t="b">
        <v>1</v>
      </c>
      <c r="L443" s="66"/>
      <c r="M443" s="67"/>
    </row>
    <row r="444" ht="22.5" customHeight="1">
      <c r="B444" s="59">
        <v>763.0</v>
      </c>
      <c r="C444" s="60" t="s">
        <v>39</v>
      </c>
      <c r="D444" s="61">
        <v>46197.0</v>
      </c>
      <c r="E444" s="62" t="str">
        <f>if(D444="","",text(D444,"yyyy"))</f>
        <v>2026</v>
      </c>
      <c r="F444" s="62" t="str">
        <f>if(D444="","",text(D444,"mm")&amp;" "&amp;text(D444,"mmm"))</f>
        <v>06 Jun</v>
      </c>
      <c r="G444" s="63">
        <v>16000.0</v>
      </c>
      <c r="H444" s="60" t="s">
        <v>32</v>
      </c>
      <c r="I444" s="64" t="s">
        <v>509</v>
      </c>
      <c r="J444" s="64" t="s">
        <v>78</v>
      </c>
      <c r="K444" s="66" t="b">
        <v>1</v>
      </c>
      <c r="L444" s="66"/>
      <c r="M444" s="67"/>
    </row>
    <row r="445" ht="22.5" customHeight="1">
      <c r="B445" s="59">
        <v>764.0</v>
      </c>
      <c r="C445" s="60" t="s">
        <v>39</v>
      </c>
      <c r="D445" s="61">
        <v>46198.0</v>
      </c>
      <c r="E445" s="62"/>
      <c r="F445" s="62"/>
      <c r="G445" s="63">
        <v>500000.0</v>
      </c>
      <c r="H445" s="60" t="s">
        <v>32</v>
      </c>
      <c r="I445" s="64" t="s">
        <v>511</v>
      </c>
      <c r="J445" s="64" t="s">
        <v>78</v>
      </c>
      <c r="K445" s="66" t="b">
        <v>1</v>
      </c>
      <c r="L445" s="66"/>
      <c r="M445" s="67"/>
    </row>
    <row r="446" ht="22.5" customHeight="1">
      <c r="B446" s="59">
        <v>765.0</v>
      </c>
      <c r="C446" s="60" t="s">
        <v>39</v>
      </c>
      <c r="D446" s="61">
        <v>46197.0</v>
      </c>
      <c r="E446" s="62" t="str">
        <f t="shared" ref="E446:E476" si="21">if(D446="","",text(D446,"yyyy"))</f>
        <v>2026</v>
      </c>
      <c r="F446" s="62" t="str">
        <f t="shared" ref="F446:F476" si="22">if(D446="","",text(D446,"mm")&amp;" "&amp;text(D446,"mmm"))</f>
        <v>06 Jun</v>
      </c>
      <c r="G446" s="63">
        <v>200000.0</v>
      </c>
      <c r="H446" s="60" t="s">
        <v>32</v>
      </c>
      <c r="I446" s="64" t="s">
        <v>512</v>
      </c>
      <c r="J446" s="64" t="s">
        <v>74</v>
      </c>
      <c r="K446" s="66" t="b">
        <v>1</v>
      </c>
      <c r="L446" s="66"/>
      <c r="M446" s="67"/>
    </row>
    <row r="447" ht="22.5" customHeight="1">
      <c r="B447" s="59">
        <v>766.0</v>
      </c>
      <c r="C447" s="60" t="s">
        <v>50</v>
      </c>
      <c r="D447" s="61">
        <v>46197.0</v>
      </c>
      <c r="E447" s="62" t="str">
        <f t="shared" si="21"/>
        <v>2026</v>
      </c>
      <c r="F447" s="62" t="str">
        <f t="shared" si="22"/>
        <v>06 Jun</v>
      </c>
      <c r="G447" s="63">
        <v>100000.0</v>
      </c>
      <c r="H447" s="60" t="s">
        <v>32</v>
      </c>
      <c r="I447" s="64" t="s">
        <v>244</v>
      </c>
      <c r="J447" s="64" t="s">
        <v>74</v>
      </c>
      <c r="K447" s="66" t="b">
        <v>1</v>
      </c>
      <c r="L447" s="66"/>
      <c r="M447" s="67"/>
    </row>
    <row r="448" ht="22.5" customHeight="1">
      <c r="B448" s="59">
        <v>767.0</v>
      </c>
      <c r="C448" s="60" t="s">
        <v>50</v>
      </c>
      <c r="D448" s="61">
        <v>46197.0</v>
      </c>
      <c r="E448" s="62" t="str">
        <f t="shared" si="21"/>
        <v>2026</v>
      </c>
      <c r="F448" s="62" t="str">
        <f t="shared" si="22"/>
        <v>06 Jun</v>
      </c>
      <c r="G448" s="63">
        <v>77000.0</v>
      </c>
      <c r="H448" s="60" t="s">
        <v>32</v>
      </c>
      <c r="I448" s="64" t="s">
        <v>514</v>
      </c>
      <c r="J448" s="64" t="s">
        <v>78</v>
      </c>
      <c r="K448" s="66" t="b">
        <v>1</v>
      </c>
      <c r="L448" s="66"/>
      <c r="M448" s="67"/>
    </row>
    <row r="449" ht="22.5" customHeight="1">
      <c r="B449" s="59">
        <v>768.0</v>
      </c>
      <c r="C449" s="60" t="s">
        <v>39</v>
      </c>
      <c r="D449" s="61">
        <v>46198.0</v>
      </c>
      <c r="E449" s="62" t="str">
        <f t="shared" si="21"/>
        <v>2026</v>
      </c>
      <c r="F449" s="62" t="str">
        <f t="shared" si="22"/>
        <v>06 Jun</v>
      </c>
      <c r="G449" s="63">
        <v>50000.0</v>
      </c>
      <c r="H449" s="60" t="s">
        <v>32</v>
      </c>
      <c r="I449" s="64" t="s">
        <v>515</v>
      </c>
      <c r="J449" s="64" t="s">
        <v>74</v>
      </c>
      <c r="K449" s="66" t="b">
        <v>1</v>
      </c>
      <c r="L449" s="66"/>
      <c r="M449" s="67"/>
    </row>
    <row r="450" ht="22.5" customHeight="1">
      <c r="B450" s="59">
        <v>769.0</v>
      </c>
      <c r="C450" s="60" t="s">
        <v>50</v>
      </c>
      <c r="D450" s="61">
        <v>46198.0</v>
      </c>
      <c r="E450" s="62" t="str">
        <f t="shared" si="21"/>
        <v>2026</v>
      </c>
      <c r="F450" s="62" t="str">
        <f t="shared" si="22"/>
        <v>06 Jun</v>
      </c>
      <c r="G450" s="63">
        <v>123000.0</v>
      </c>
      <c r="H450" s="60" t="s">
        <v>32</v>
      </c>
      <c r="I450" s="64" t="s">
        <v>500</v>
      </c>
      <c r="J450" s="64" t="s">
        <v>78</v>
      </c>
      <c r="K450" s="66" t="b">
        <v>1</v>
      </c>
      <c r="L450" s="66"/>
      <c r="M450" s="67"/>
    </row>
    <row r="451" ht="22.5" customHeight="1">
      <c r="B451" s="59">
        <v>770.0</v>
      </c>
      <c r="C451" s="60" t="s">
        <v>50</v>
      </c>
      <c r="D451" s="61">
        <v>46199.0</v>
      </c>
      <c r="E451" s="62" t="str">
        <f t="shared" si="21"/>
        <v>2026</v>
      </c>
      <c r="F451" s="62" t="str">
        <f t="shared" si="22"/>
        <v>06 Jun</v>
      </c>
      <c r="G451" s="63">
        <v>50000.0</v>
      </c>
      <c r="H451" s="60" t="s">
        <v>32</v>
      </c>
      <c r="I451" s="64" t="s">
        <v>50</v>
      </c>
      <c r="J451" s="64" t="s">
        <v>74</v>
      </c>
      <c r="K451" s="66" t="b">
        <v>1</v>
      </c>
      <c r="L451" s="66"/>
      <c r="M451" s="67"/>
    </row>
    <row r="452" ht="22.5" customHeight="1">
      <c r="B452" s="59">
        <v>772.0</v>
      </c>
      <c r="C452" s="60" t="s">
        <v>39</v>
      </c>
      <c r="D452" s="61">
        <v>46198.0</v>
      </c>
      <c r="E452" s="62" t="str">
        <f t="shared" si="21"/>
        <v>2026</v>
      </c>
      <c r="F452" s="62" t="str">
        <f t="shared" si="22"/>
        <v>06 Jun</v>
      </c>
      <c r="G452" s="63">
        <v>300000.0</v>
      </c>
      <c r="H452" s="60" t="s">
        <v>32</v>
      </c>
      <c r="I452" s="64" t="s">
        <v>229</v>
      </c>
      <c r="J452" s="64" t="s">
        <v>74</v>
      </c>
      <c r="K452" s="66" t="b">
        <v>1</v>
      </c>
      <c r="L452" s="66"/>
      <c r="M452" s="67"/>
    </row>
    <row r="453" ht="22.5" customHeight="1">
      <c r="B453" s="59">
        <v>773.0</v>
      </c>
      <c r="C453" s="60" t="s">
        <v>69</v>
      </c>
      <c r="D453" s="61">
        <v>46202.0</v>
      </c>
      <c r="E453" s="62" t="str">
        <f t="shared" si="21"/>
        <v>2026</v>
      </c>
      <c r="F453" s="62" t="str">
        <f t="shared" si="22"/>
        <v>06 Jun</v>
      </c>
      <c r="G453" s="63">
        <v>15000.0</v>
      </c>
      <c r="H453" s="60" t="s">
        <v>32</v>
      </c>
      <c r="I453" s="64" t="s">
        <v>110</v>
      </c>
      <c r="J453" s="64" t="s">
        <v>78</v>
      </c>
      <c r="K453" s="66" t="b">
        <v>1</v>
      </c>
      <c r="L453" s="66"/>
      <c r="M453" s="67"/>
    </row>
    <row r="454" ht="22.5" customHeight="1">
      <c r="B454" s="59">
        <v>774.0</v>
      </c>
      <c r="C454" s="60" t="s">
        <v>22</v>
      </c>
      <c r="D454" s="61">
        <v>46202.0</v>
      </c>
      <c r="E454" s="62" t="str">
        <f t="shared" si="21"/>
        <v>2026</v>
      </c>
      <c r="F454" s="62" t="str">
        <f t="shared" si="22"/>
        <v>06 Jun</v>
      </c>
      <c r="G454" s="63">
        <v>50000.0</v>
      </c>
      <c r="H454" s="60" t="s">
        <v>32</v>
      </c>
      <c r="I454" s="64" t="s">
        <v>181</v>
      </c>
      <c r="J454" s="64" t="s">
        <v>74</v>
      </c>
      <c r="K454" s="66" t="b">
        <v>1</v>
      </c>
      <c r="L454" s="66"/>
      <c r="M454" s="67"/>
    </row>
    <row r="455" ht="22.5" customHeight="1">
      <c r="B455" s="59">
        <v>775.0</v>
      </c>
      <c r="C455" s="60" t="s">
        <v>22</v>
      </c>
      <c r="D455" s="61">
        <v>46202.0</v>
      </c>
      <c r="E455" s="62" t="str">
        <f t="shared" si="21"/>
        <v>2026</v>
      </c>
      <c r="F455" s="62" t="str">
        <f t="shared" si="22"/>
        <v>06 Jun</v>
      </c>
      <c r="G455" s="63">
        <v>22000.0</v>
      </c>
      <c r="H455" s="60" t="s">
        <v>32</v>
      </c>
      <c r="I455" s="64" t="s">
        <v>520</v>
      </c>
      <c r="J455" s="64" t="s">
        <v>74</v>
      </c>
      <c r="K455" s="66" t="b">
        <v>1</v>
      </c>
      <c r="L455" s="66"/>
      <c r="M455" s="67"/>
    </row>
    <row r="456" ht="22.5" customHeight="1">
      <c r="B456" s="59">
        <v>776.0</v>
      </c>
      <c r="C456" s="60" t="s">
        <v>22</v>
      </c>
      <c r="D456" s="61">
        <v>46202.0</v>
      </c>
      <c r="E456" s="62" t="str">
        <f t="shared" si="21"/>
        <v>2026</v>
      </c>
      <c r="F456" s="62" t="str">
        <f t="shared" si="22"/>
        <v>06 Jun</v>
      </c>
      <c r="G456" s="63">
        <v>86000.0</v>
      </c>
      <c r="H456" s="60" t="s">
        <v>32</v>
      </c>
      <c r="I456" s="64" t="s">
        <v>357</v>
      </c>
      <c r="J456" s="64" t="s">
        <v>78</v>
      </c>
      <c r="K456" s="66" t="b">
        <v>1</v>
      </c>
      <c r="L456" s="66"/>
      <c r="M456" s="67"/>
    </row>
    <row r="457" ht="22.5" customHeight="1">
      <c r="B457" s="59">
        <v>777.0</v>
      </c>
      <c r="C457" s="60" t="s">
        <v>39</v>
      </c>
      <c r="D457" s="61">
        <v>46202.0</v>
      </c>
      <c r="E457" s="62" t="str">
        <f t="shared" si="21"/>
        <v>2026</v>
      </c>
      <c r="F457" s="62" t="str">
        <f t="shared" si="22"/>
        <v>06 Jun</v>
      </c>
      <c r="G457" s="63">
        <v>500000.0</v>
      </c>
      <c r="H457" s="60" t="s">
        <v>32</v>
      </c>
      <c r="I457" s="64" t="s">
        <v>312</v>
      </c>
      <c r="J457" s="64" t="s">
        <v>74</v>
      </c>
      <c r="K457" s="66" t="b">
        <v>1</v>
      </c>
      <c r="L457" s="66"/>
      <c r="M457" s="67"/>
    </row>
    <row r="458" ht="22.5" customHeight="1">
      <c r="B458" s="59">
        <v>778.0</v>
      </c>
      <c r="C458" s="60" t="s">
        <v>39</v>
      </c>
      <c r="D458" s="61">
        <v>46202.0</v>
      </c>
      <c r="E458" s="62" t="str">
        <f t="shared" si="21"/>
        <v>2026</v>
      </c>
      <c r="F458" s="62" t="str">
        <f t="shared" si="22"/>
        <v>06 Jun</v>
      </c>
      <c r="G458" s="63">
        <v>300000.0</v>
      </c>
      <c r="H458" s="60" t="s">
        <v>32</v>
      </c>
      <c r="I458" s="64" t="s">
        <v>342</v>
      </c>
      <c r="J458" s="64" t="s">
        <v>74</v>
      </c>
      <c r="K458" s="66" t="b">
        <v>1</v>
      </c>
      <c r="L458" s="66"/>
      <c r="M458" s="67"/>
    </row>
    <row r="459" ht="22.5" customHeight="1">
      <c r="B459" s="59">
        <v>779.0</v>
      </c>
      <c r="C459" s="60" t="s">
        <v>39</v>
      </c>
      <c r="D459" s="61">
        <v>46203.0</v>
      </c>
      <c r="E459" s="62" t="str">
        <f t="shared" si="21"/>
        <v>2026</v>
      </c>
      <c r="F459" s="62" t="str">
        <f t="shared" si="22"/>
        <v>06 Jun</v>
      </c>
      <c r="G459" s="63">
        <v>1215000.0</v>
      </c>
      <c r="H459" s="60" t="s">
        <v>37</v>
      </c>
      <c r="I459" s="64" t="s">
        <v>457</v>
      </c>
      <c r="J459" s="64" t="s">
        <v>78</v>
      </c>
      <c r="K459" s="66" t="b">
        <v>1</v>
      </c>
      <c r="L459" s="66"/>
      <c r="M459" s="67"/>
    </row>
    <row r="460" ht="22.5" customHeight="1">
      <c r="B460" s="59">
        <v>780.0</v>
      </c>
      <c r="C460" s="60" t="s">
        <v>39</v>
      </c>
      <c r="D460" s="61">
        <v>46203.0</v>
      </c>
      <c r="E460" s="62" t="str">
        <f t="shared" si="21"/>
        <v>2026</v>
      </c>
      <c r="F460" s="62" t="str">
        <f t="shared" si="22"/>
        <v>06 Jun</v>
      </c>
      <c r="G460" s="63">
        <v>100000.0</v>
      </c>
      <c r="H460" s="60" t="s">
        <v>32</v>
      </c>
      <c r="I460" s="64" t="s">
        <v>404</v>
      </c>
      <c r="J460" s="64" t="s">
        <v>74</v>
      </c>
      <c r="K460" s="66" t="b">
        <v>1</v>
      </c>
      <c r="L460" s="66"/>
      <c r="M460" s="67"/>
    </row>
    <row r="461" ht="22.5" customHeight="1">
      <c r="B461" s="59">
        <v>781.0</v>
      </c>
      <c r="C461" s="60" t="s">
        <v>39</v>
      </c>
      <c r="D461" s="61">
        <v>46203.0</v>
      </c>
      <c r="E461" s="62" t="str">
        <f t="shared" si="21"/>
        <v>2026</v>
      </c>
      <c r="F461" s="62" t="str">
        <f t="shared" si="22"/>
        <v>06 Jun</v>
      </c>
      <c r="G461" s="63">
        <v>56000.0</v>
      </c>
      <c r="H461" s="60" t="s">
        <v>32</v>
      </c>
      <c r="I461" s="64" t="s">
        <v>523</v>
      </c>
      <c r="J461" s="64" t="s">
        <v>78</v>
      </c>
      <c r="K461" s="66" t="b">
        <v>1</v>
      </c>
      <c r="L461" s="66"/>
      <c r="M461" s="67"/>
    </row>
    <row r="462" ht="22.5" customHeight="1">
      <c r="B462" s="59">
        <v>782.0</v>
      </c>
      <c r="C462" s="60" t="s">
        <v>22</v>
      </c>
      <c r="D462" s="61">
        <v>46204.0</v>
      </c>
      <c r="E462" s="62" t="str">
        <f t="shared" si="21"/>
        <v>2026</v>
      </c>
      <c r="F462" s="62" t="str">
        <f t="shared" si="22"/>
        <v>07 Jul</v>
      </c>
      <c r="G462" s="63">
        <v>15000.0</v>
      </c>
      <c r="H462" s="60" t="s">
        <v>32</v>
      </c>
      <c r="I462" s="64" t="s">
        <v>110</v>
      </c>
      <c r="J462" s="64" t="s">
        <v>78</v>
      </c>
      <c r="K462" s="66" t="b">
        <v>1</v>
      </c>
      <c r="L462" s="66"/>
      <c r="M462" s="67"/>
    </row>
    <row r="463" ht="22.5" customHeight="1">
      <c r="B463" s="59">
        <v>783.0</v>
      </c>
      <c r="C463" s="60" t="s">
        <v>39</v>
      </c>
      <c r="D463" s="61">
        <v>46204.0</v>
      </c>
      <c r="E463" s="62" t="str">
        <f t="shared" si="21"/>
        <v>2026</v>
      </c>
      <c r="F463" s="62" t="str">
        <f t="shared" si="22"/>
        <v>07 Jul</v>
      </c>
      <c r="G463" s="63">
        <v>30000.0</v>
      </c>
      <c r="H463" s="60" t="s">
        <v>32</v>
      </c>
      <c r="I463" s="64" t="s">
        <v>110</v>
      </c>
      <c r="J463" s="64" t="s">
        <v>78</v>
      </c>
      <c r="K463" s="66" t="b">
        <v>1</v>
      </c>
      <c r="L463" s="66"/>
      <c r="M463" s="67"/>
    </row>
    <row r="464" ht="22.5" customHeight="1">
      <c r="B464" s="59">
        <v>784.0</v>
      </c>
      <c r="C464" s="60" t="s">
        <v>39</v>
      </c>
      <c r="D464" s="61">
        <v>46204.0</v>
      </c>
      <c r="E464" s="62" t="str">
        <f t="shared" si="21"/>
        <v>2026</v>
      </c>
      <c r="F464" s="62" t="str">
        <f t="shared" si="22"/>
        <v>07 Jul</v>
      </c>
      <c r="G464" s="63">
        <v>350000.0</v>
      </c>
      <c r="H464" s="60" t="s">
        <v>32</v>
      </c>
      <c r="I464" s="64" t="s">
        <v>520</v>
      </c>
      <c r="J464" s="64" t="s">
        <v>74</v>
      </c>
      <c r="K464" s="66" t="b">
        <v>1</v>
      </c>
      <c r="L464" s="66"/>
      <c r="M464" s="67"/>
    </row>
    <row r="465" ht="22.5" customHeight="1">
      <c r="B465" s="59">
        <v>785.0</v>
      </c>
      <c r="C465" s="60" t="s">
        <v>39</v>
      </c>
      <c r="D465" s="61">
        <v>46204.0</v>
      </c>
      <c r="E465" s="62" t="str">
        <f t="shared" si="21"/>
        <v>2026</v>
      </c>
      <c r="F465" s="62" t="str">
        <f t="shared" si="22"/>
        <v>07 Jul</v>
      </c>
      <c r="G465" s="63">
        <v>50000.0</v>
      </c>
      <c r="H465" s="60" t="s">
        <v>32</v>
      </c>
      <c r="I465" s="64" t="s">
        <v>452</v>
      </c>
      <c r="J465" s="64" t="s">
        <v>74</v>
      </c>
      <c r="K465" s="66" t="b">
        <v>1</v>
      </c>
      <c r="L465" s="66"/>
      <c r="M465" s="67"/>
    </row>
    <row r="466" ht="22.5" customHeight="1">
      <c r="B466" s="59">
        <v>786.0</v>
      </c>
      <c r="C466" s="60" t="s">
        <v>22</v>
      </c>
      <c r="D466" s="61">
        <v>46205.0</v>
      </c>
      <c r="E466" s="62" t="str">
        <f t="shared" si="21"/>
        <v>2026</v>
      </c>
      <c r="F466" s="62" t="str">
        <f t="shared" si="22"/>
        <v>07 Jul</v>
      </c>
      <c r="G466" s="63">
        <v>20000.0</v>
      </c>
      <c r="H466" s="60" t="s">
        <v>32</v>
      </c>
      <c r="I466" s="64" t="s">
        <v>524</v>
      </c>
      <c r="J466" s="64" t="s">
        <v>78</v>
      </c>
      <c r="K466" s="66" t="b">
        <v>1</v>
      </c>
      <c r="L466" s="66"/>
      <c r="M466" s="67"/>
    </row>
    <row r="467" ht="22.5" customHeight="1">
      <c r="B467" s="59">
        <v>787.0</v>
      </c>
      <c r="C467" s="60" t="s">
        <v>22</v>
      </c>
      <c r="D467" s="61">
        <v>46205.0</v>
      </c>
      <c r="E467" s="62" t="str">
        <f t="shared" si="21"/>
        <v>2026</v>
      </c>
      <c r="F467" s="62" t="str">
        <f t="shared" si="22"/>
        <v>07 Jul</v>
      </c>
      <c r="G467" s="63">
        <v>150000.0</v>
      </c>
      <c r="H467" s="60" t="s">
        <v>32</v>
      </c>
      <c r="I467" s="64" t="s">
        <v>343</v>
      </c>
      <c r="J467" s="64" t="s">
        <v>74</v>
      </c>
      <c r="K467" s="66" t="b">
        <v>1</v>
      </c>
      <c r="L467" s="66"/>
      <c r="M467" s="67"/>
    </row>
    <row r="468" ht="22.5" customHeight="1">
      <c r="B468" s="59">
        <v>788.0</v>
      </c>
      <c r="C468" s="60" t="s">
        <v>39</v>
      </c>
      <c r="D468" s="61">
        <v>46205.0</v>
      </c>
      <c r="E468" s="62" t="str">
        <f t="shared" si="21"/>
        <v>2026</v>
      </c>
      <c r="F468" s="62" t="str">
        <f t="shared" si="22"/>
        <v>07 Jul</v>
      </c>
      <c r="G468" s="63">
        <v>400000.0</v>
      </c>
      <c r="H468" s="60" t="s">
        <v>32</v>
      </c>
      <c r="I468" s="64" t="s">
        <v>343</v>
      </c>
      <c r="J468" s="64" t="s">
        <v>74</v>
      </c>
      <c r="K468" s="66" t="b">
        <v>1</v>
      </c>
      <c r="L468" s="66"/>
      <c r="M468" s="67"/>
    </row>
    <row r="469" ht="22.5" customHeight="1">
      <c r="B469" s="59">
        <v>789.0</v>
      </c>
      <c r="C469" s="60" t="s">
        <v>39</v>
      </c>
      <c r="D469" s="61">
        <v>46205.0</v>
      </c>
      <c r="E469" s="62" t="str">
        <f t="shared" si="21"/>
        <v>2026</v>
      </c>
      <c r="F469" s="62" t="str">
        <f t="shared" si="22"/>
        <v>07 Jul</v>
      </c>
      <c r="G469" s="63">
        <v>50000.0</v>
      </c>
      <c r="H469" s="60" t="s">
        <v>32</v>
      </c>
      <c r="I469" s="64" t="s">
        <v>304</v>
      </c>
      <c r="J469" s="64" t="s">
        <v>74</v>
      </c>
      <c r="K469" s="66" t="b">
        <v>1</v>
      </c>
      <c r="L469" s="66"/>
      <c r="M469" s="67"/>
    </row>
    <row r="470" ht="22.5" customHeight="1">
      <c r="B470" s="59">
        <v>790.0</v>
      </c>
      <c r="C470" s="60" t="s">
        <v>39</v>
      </c>
      <c r="D470" s="61">
        <v>46205.0</v>
      </c>
      <c r="E470" s="62" t="str">
        <f t="shared" si="21"/>
        <v>2026</v>
      </c>
      <c r="F470" s="62" t="str">
        <f t="shared" si="22"/>
        <v>07 Jul</v>
      </c>
      <c r="G470" s="63">
        <v>28000.0</v>
      </c>
      <c r="H470" s="60" t="s">
        <v>32</v>
      </c>
      <c r="I470" s="64" t="s">
        <v>452</v>
      </c>
      <c r="J470" s="64" t="s">
        <v>74</v>
      </c>
      <c r="K470" s="66" t="b">
        <v>1</v>
      </c>
      <c r="L470" s="66"/>
      <c r="M470" s="67"/>
    </row>
    <row r="471" ht="22.5" customHeight="1">
      <c r="B471" s="59">
        <v>791.0</v>
      </c>
      <c r="C471" s="60" t="s">
        <v>39</v>
      </c>
      <c r="D471" s="61">
        <v>46205.0</v>
      </c>
      <c r="E471" s="62" t="str">
        <f t="shared" si="21"/>
        <v>2026</v>
      </c>
      <c r="F471" s="62" t="str">
        <f t="shared" si="22"/>
        <v>07 Jul</v>
      </c>
      <c r="G471" s="63">
        <v>50000.0</v>
      </c>
      <c r="H471" s="60" t="s">
        <v>32</v>
      </c>
      <c r="I471" s="64" t="s">
        <v>527</v>
      </c>
      <c r="J471" s="64" t="s">
        <v>74</v>
      </c>
      <c r="K471" s="66" t="b">
        <v>1</v>
      </c>
      <c r="L471" s="66"/>
      <c r="M471" s="67"/>
    </row>
    <row r="472" ht="22.5" customHeight="1">
      <c r="B472" s="59">
        <v>792.0</v>
      </c>
      <c r="C472" s="60" t="s">
        <v>22</v>
      </c>
      <c r="D472" s="61">
        <v>46206.0</v>
      </c>
      <c r="E472" s="62" t="str">
        <f t="shared" si="21"/>
        <v>2026</v>
      </c>
      <c r="F472" s="62" t="str">
        <f t="shared" si="22"/>
        <v>07 Jul</v>
      </c>
      <c r="G472" s="63">
        <v>7000.0</v>
      </c>
      <c r="H472" s="60" t="s">
        <v>32</v>
      </c>
      <c r="I472" s="64" t="s">
        <v>528</v>
      </c>
      <c r="J472" s="64" t="s">
        <v>78</v>
      </c>
      <c r="K472" s="66" t="b">
        <v>1</v>
      </c>
      <c r="L472" s="66"/>
      <c r="M472" s="67"/>
    </row>
    <row r="473" ht="22.5" customHeight="1">
      <c r="B473" s="59">
        <v>793.0</v>
      </c>
      <c r="C473" s="60" t="s">
        <v>22</v>
      </c>
      <c r="D473" s="61">
        <v>46206.0</v>
      </c>
      <c r="E473" s="62" t="str">
        <f t="shared" si="21"/>
        <v>2026</v>
      </c>
      <c r="F473" s="62" t="str">
        <f t="shared" si="22"/>
        <v>07 Jul</v>
      </c>
      <c r="G473" s="63">
        <v>14000.0</v>
      </c>
      <c r="H473" s="60" t="s">
        <v>32</v>
      </c>
      <c r="I473" s="64" t="s">
        <v>529</v>
      </c>
      <c r="J473" s="64" t="s">
        <v>78</v>
      </c>
      <c r="K473" s="66" t="b">
        <v>1</v>
      </c>
      <c r="L473" s="66"/>
      <c r="M473" s="67"/>
    </row>
    <row r="474" ht="22.5" customHeight="1">
      <c r="B474" s="59">
        <v>794.0</v>
      </c>
      <c r="C474" s="60" t="s">
        <v>22</v>
      </c>
      <c r="D474" s="61">
        <v>46206.0</v>
      </c>
      <c r="E474" s="62" t="str">
        <f t="shared" si="21"/>
        <v>2026</v>
      </c>
      <c r="F474" s="62" t="str">
        <f t="shared" si="22"/>
        <v>07 Jul</v>
      </c>
      <c r="G474" s="63">
        <v>100000.0</v>
      </c>
      <c r="H474" s="60" t="s">
        <v>32</v>
      </c>
      <c r="I474" s="64" t="s">
        <v>343</v>
      </c>
      <c r="J474" s="64" t="s">
        <v>74</v>
      </c>
      <c r="K474" s="66" t="b">
        <v>1</v>
      </c>
      <c r="L474" s="66"/>
      <c r="M474" s="67"/>
    </row>
    <row r="475" ht="22.5" customHeight="1">
      <c r="B475" s="59">
        <v>795.0</v>
      </c>
      <c r="C475" s="60" t="s">
        <v>39</v>
      </c>
      <c r="D475" s="61">
        <v>46206.0</v>
      </c>
      <c r="E475" s="62" t="str">
        <f t="shared" si="21"/>
        <v>2026</v>
      </c>
      <c r="F475" s="62" t="str">
        <f t="shared" si="22"/>
        <v>07 Jul</v>
      </c>
      <c r="G475" s="63">
        <v>200000.0</v>
      </c>
      <c r="H475" s="60" t="s">
        <v>32</v>
      </c>
      <c r="I475" s="64" t="s">
        <v>342</v>
      </c>
      <c r="J475" s="64" t="s">
        <v>74</v>
      </c>
      <c r="K475" s="66" t="b">
        <v>1</v>
      </c>
      <c r="L475" s="66"/>
      <c r="M475" s="67"/>
    </row>
    <row r="476" ht="22.5" customHeight="1">
      <c r="B476" s="59">
        <v>796.0</v>
      </c>
      <c r="C476" s="60" t="s">
        <v>39</v>
      </c>
      <c r="D476" s="61">
        <v>46206.0</v>
      </c>
      <c r="E476" s="62" t="str">
        <f t="shared" si="21"/>
        <v>2026</v>
      </c>
      <c r="F476" s="62" t="str">
        <f t="shared" si="22"/>
        <v>07 Jul</v>
      </c>
      <c r="G476" s="63">
        <v>12000.0</v>
      </c>
      <c r="H476" s="60" t="s">
        <v>32</v>
      </c>
      <c r="I476" s="64" t="s">
        <v>530</v>
      </c>
      <c r="J476" s="64" t="s">
        <v>78</v>
      </c>
      <c r="K476" s="66" t="b">
        <v>1</v>
      </c>
      <c r="L476" s="66"/>
      <c r="M476" s="67"/>
    </row>
    <row r="477" ht="22.5" customHeight="1">
      <c r="B477" s="59">
        <v>797.0</v>
      </c>
      <c r="C477" s="60" t="s">
        <v>22</v>
      </c>
      <c r="D477" s="61">
        <v>46207.0</v>
      </c>
      <c r="E477" s="62"/>
      <c r="F477" s="62"/>
      <c r="G477" s="63">
        <v>300000.0</v>
      </c>
      <c r="H477" s="60" t="s">
        <v>32</v>
      </c>
      <c r="I477" s="64" t="s">
        <v>313</v>
      </c>
      <c r="J477" s="64" t="s">
        <v>74</v>
      </c>
      <c r="K477" s="66" t="b">
        <v>1</v>
      </c>
      <c r="L477" s="66"/>
      <c r="M477" s="67"/>
    </row>
    <row r="478" ht="22.5" customHeight="1">
      <c r="B478" s="59">
        <v>798.0</v>
      </c>
      <c r="C478" s="60" t="s">
        <v>22</v>
      </c>
      <c r="D478" s="61">
        <v>46207.0</v>
      </c>
      <c r="E478" s="62" t="str">
        <f t="shared" ref="E478:E548" si="23">if(D478="","",text(D478,"yyyy"))</f>
        <v>2026</v>
      </c>
      <c r="F478" s="62" t="str">
        <f t="shared" ref="F478:F548" si="24">if(D478="","",text(D478,"mm")&amp;" "&amp;text(D478,"mmm"))</f>
        <v>07 Jul</v>
      </c>
      <c r="G478" s="63">
        <v>100000.0</v>
      </c>
      <c r="H478" s="60" t="s">
        <v>32</v>
      </c>
      <c r="I478" s="64" t="s">
        <v>189</v>
      </c>
      <c r="J478" s="64" t="s">
        <v>74</v>
      </c>
      <c r="K478" s="66" t="b">
        <v>1</v>
      </c>
      <c r="L478" s="66"/>
      <c r="M478" s="67"/>
    </row>
    <row r="479" ht="22.5" customHeight="1">
      <c r="B479" s="59">
        <v>799.0</v>
      </c>
      <c r="C479" s="60" t="s">
        <v>39</v>
      </c>
      <c r="D479" s="61">
        <v>46208.0</v>
      </c>
      <c r="E479" s="62" t="str">
        <f t="shared" si="23"/>
        <v>2026</v>
      </c>
      <c r="F479" s="62" t="str">
        <f t="shared" si="24"/>
        <v>07 Jul</v>
      </c>
      <c r="G479" s="63">
        <v>65000.0</v>
      </c>
      <c r="H479" s="60" t="s">
        <v>32</v>
      </c>
      <c r="I479" s="64" t="s">
        <v>74</v>
      </c>
      <c r="J479" s="64" t="s">
        <v>33</v>
      </c>
      <c r="K479" s="66" t="b">
        <v>1</v>
      </c>
      <c r="L479" s="66"/>
      <c r="M479" s="67"/>
    </row>
    <row r="480" ht="22.5" customHeight="1">
      <c r="B480" s="59">
        <v>800.0</v>
      </c>
      <c r="C480" s="60" t="s">
        <v>39</v>
      </c>
      <c r="D480" s="61">
        <v>46208.0</v>
      </c>
      <c r="E480" s="62" t="str">
        <f t="shared" si="23"/>
        <v>2026</v>
      </c>
      <c r="F480" s="62" t="str">
        <f t="shared" si="24"/>
        <v>07 Jul</v>
      </c>
      <c r="G480" s="63">
        <v>200000.0</v>
      </c>
      <c r="H480" s="60" t="s">
        <v>32</v>
      </c>
      <c r="I480" s="64" t="s">
        <v>281</v>
      </c>
      <c r="J480" s="64" t="s">
        <v>78</v>
      </c>
      <c r="K480" s="66" t="b">
        <v>1</v>
      </c>
      <c r="L480" s="66"/>
      <c r="M480" s="67"/>
    </row>
    <row r="481" ht="22.5" customHeight="1">
      <c r="B481" s="59">
        <v>801.0</v>
      </c>
      <c r="C481" s="60" t="s">
        <v>39</v>
      </c>
      <c r="D481" s="61">
        <v>46208.0</v>
      </c>
      <c r="E481" s="62" t="str">
        <f t="shared" si="23"/>
        <v>2026</v>
      </c>
      <c r="F481" s="62" t="str">
        <f t="shared" si="24"/>
        <v>07 Jul</v>
      </c>
      <c r="G481" s="63">
        <v>100000.0</v>
      </c>
      <c r="H481" s="60" t="s">
        <v>32</v>
      </c>
      <c r="I481" s="64" t="s">
        <v>452</v>
      </c>
      <c r="J481" s="64" t="s">
        <v>33</v>
      </c>
      <c r="K481" s="66" t="b">
        <v>1</v>
      </c>
      <c r="L481" s="66"/>
      <c r="M481" s="67"/>
    </row>
    <row r="482" ht="22.5" customHeight="1">
      <c r="B482" s="59">
        <v>802.0</v>
      </c>
      <c r="C482" s="60" t="s">
        <v>39</v>
      </c>
      <c r="D482" s="61">
        <v>46208.0</v>
      </c>
      <c r="E482" s="62" t="str">
        <f t="shared" si="23"/>
        <v>2026</v>
      </c>
      <c r="F482" s="62" t="str">
        <f t="shared" si="24"/>
        <v>07 Jul</v>
      </c>
      <c r="G482" s="63">
        <v>200000.0</v>
      </c>
      <c r="H482" s="60" t="s">
        <v>32</v>
      </c>
      <c r="I482" s="64" t="s">
        <v>532</v>
      </c>
      <c r="J482" s="64" t="s">
        <v>74</v>
      </c>
      <c r="K482" s="66" t="b">
        <v>1</v>
      </c>
      <c r="L482" s="66"/>
      <c r="M482" s="67"/>
    </row>
    <row r="483" ht="22.5" customHeight="1">
      <c r="B483" s="59">
        <v>803.0</v>
      </c>
      <c r="C483" s="60" t="s">
        <v>39</v>
      </c>
      <c r="D483" s="61">
        <v>46208.0</v>
      </c>
      <c r="E483" s="62" t="str">
        <f t="shared" si="23"/>
        <v>2026</v>
      </c>
      <c r="F483" s="62" t="str">
        <f t="shared" si="24"/>
        <v>07 Jul</v>
      </c>
      <c r="G483" s="63">
        <v>50000.0</v>
      </c>
      <c r="H483" s="60" t="s">
        <v>32</v>
      </c>
      <c r="I483" s="64" t="s">
        <v>404</v>
      </c>
      <c r="J483" s="64" t="s">
        <v>74</v>
      </c>
      <c r="K483" s="66" t="b">
        <v>1</v>
      </c>
      <c r="L483" s="66"/>
      <c r="M483" s="67"/>
    </row>
    <row r="484" ht="22.5" customHeight="1">
      <c r="B484" s="59">
        <v>804.0</v>
      </c>
      <c r="C484" s="60" t="s">
        <v>39</v>
      </c>
      <c r="D484" s="61">
        <v>46208.0</v>
      </c>
      <c r="E484" s="62" t="str">
        <f t="shared" si="23"/>
        <v>2026</v>
      </c>
      <c r="F484" s="62" t="str">
        <f t="shared" si="24"/>
        <v>07 Jul</v>
      </c>
      <c r="G484" s="63">
        <v>50000.0</v>
      </c>
      <c r="H484" s="60" t="s">
        <v>32</v>
      </c>
      <c r="I484" s="64" t="s">
        <v>533</v>
      </c>
      <c r="J484" s="64" t="s">
        <v>78</v>
      </c>
      <c r="K484" s="66" t="b">
        <v>1</v>
      </c>
      <c r="L484" s="66"/>
      <c r="M484" s="67"/>
    </row>
    <row r="485" ht="22.5" customHeight="1">
      <c r="B485" s="59">
        <v>805.0</v>
      </c>
      <c r="C485" s="60" t="s">
        <v>22</v>
      </c>
      <c r="D485" s="61">
        <v>46209.0</v>
      </c>
      <c r="E485" s="62" t="str">
        <f t="shared" si="23"/>
        <v>2026</v>
      </c>
      <c r="F485" s="62" t="str">
        <f t="shared" si="24"/>
        <v>07 Jul</v>
      </c>
      <c r="G485" s="63">
        <v>95000.0</v>
      </c>
      <c r="H485" s="60" t="s">
        <v>32</v>
      </c>
      <c r="I485" s="64" t="s">
        <v>535</v>
      </c>
      <c r="J485" s="64" t="s">
        <v>78</v>
      </c>
      <c r="K485" s="66" t="b">
        <v>1</v>
      </c>
      <c r="L485" s="66"/>
      <c r="M485" s="67"/>
    </row>
    <row r="486" ht="22.5" customHeight="1">
      <c r="B486" s="59">
        <v>806.0</v>
      </c>
      <c r="C486" s="60" t="s">
        <v>39</v>
      </c>
      <c r="D486" s="61">
        <v>46209.0</v>
      </c>
      <c r="E486" s="62" t="str">
        <f t="shared" si="23"/>
        <v>2026</v>
      </c>
      <c r="F486" s="62" t="str">
        <f t="shared" si="24"/>
        <v>07 Jul</v>
      </c>
      <c r="G486" s="63">
        <v>107000.0</v>
      </c>
      <c r="H486" s="60" t="s">
        <v>32</v>
      </c>
      <c r="I486" s="64" t="s">
        <v>536</v>
      </c>
      <c r="J486" s="64" t="s">
        <v>78</v>
      </c>
      <c r="K486" s="66" t="b">
        <v>1</v>
      </c>
      <c r="L486" s="66"/>
      <c r="M486" s="67"/>
    </row>
    <row r="487" ht="22.5" customHeight="1">
      <c r="B487" s="59">
        <v>807.0</v>
      </c>
      <c r="C487" s="60" t="s">
        <v>22</v>
      </c>
      <c r="D487" s="61">
        <v>46209.0</v>
      </c>
      <c r="E487" s="62" t="str">
        <f t="shared" si="23"/>
        <v>2026</v>
      </c>
      <c r="F487" s="62" t="str">
        <f t="shared" si="24"/>
        <v>07 Jul</v>
      </c>
      <c r="G487" s="63">
        <v>222000.0</v>
      </c>
      <c r="H487" s="60" t="s">
        <v>32</v>
      </c>
      <c r="I487" s="64" t="s">
        <v>538</v>
      </c>
      <c r="J487" s="64" t="s">
        <v>539</v>
      </c>
      <c r="K487" s="66" t="b">
        <v>1</v>
      </c>
      <c r="L487" s="66"/>
      <c r="M487" s="67"/>
    </row>
    <row r="488" ht="22.5" customHeight="1">
      <c r="B488" s="59">
        <v>808.0</v>
      </c>
      <c r="C488" s="60" t="s">
        <v>39</v>
      </c>
      <c r="D488" s="61">
        <v>46209.0</v>
      </c>
      <c r="E488" s="62" t="str">
        <f t="shared" si="23"/>
        <v>2026</v>
      </c>
      <c r="F488" s="62" t="str">
        <f t="shared" si="24"/>
        <v>07 Jul</v>
      </c>
      <c r="G488" s="63">
        <v>750000.0</v>
      </c>
      <c r="H488" s="60" t="s">
        <v>32</v>
      </c>
      <c r="I488" s="64" t="s">
        <v>305</v>
      </c>
      <c r="J488" s="64" t="s">
        <v>33</v>
      </c>
      <c r="K488" s="66" t="b">
        <v>1</v>
      </c>
      <c r="L488" s="66"/>
      <c r="M488" s="67"/>
    </row>
    <row r="489" ht="22.5" customHeight="1">
      <c r="B489" s="59">
        <v>809.0</v>
      </c>
      <c r="C489" s="60" t="s">
        <v>39</v>
      </c>
      <c r="D489" s="61">
        <v>46209.0</v>
      </c>
      <c r="E489" s="62" t="str">
        <f t="shared" si="23"/>
        <v>2026</v>
      </c>
      <c r="F489" s="62" t="str">
        <f t="shared" si="24"/>
        <v>07 Jul</v>
      </c>
      <c r="G489" s="63">
        <v>5000.0</v>
      </c>
      <c r="H489" s="60" t="s">
        <v>32</v>
      </c>
      <c r="I489" s="64" t="s">
        <v>303</v>
      </c>
      <c r="J489" s="64" t="s">
        <v>78</v>
      </c>
      <c r="K489" s="66" t="b">
        <v>1</v>
      </c>
      <c r="L489" s="66"/>
      <c r="M489" s="67"/>
    </row>
    <row r="490" ht="22.5" customHeight="1">
      <c r="B490" s="59">
        <v>810.0</v>
      </c>
      <c r="C490" s="60" t="s">
        <v>39</v>
      </c>
      <c r="D490" s="61">
        <v>46209.0</v>
      </c>
      <c r="E490" s="62" t="str">
        <f t="shared" si="23"/>
        <v>2026</v>
      </c>
      <c r="F490" s="62" t="str">
        <f t="shared" si="24"/>
        <v>07 Jul</v>
      </c>
      <c r="G490" s="63">
        <v>38000.0</v>
      </c>
      <c r="H490" s="60" t="s">
        <v>32</v>
      </c>
      <c r="I490" s="64" t="s">
        <v>452</v>
      </c>
      <c r="J490" s="64" t="s">
        <v>74</v>
      </c>
      <c r="K490" s="66" t="b">
        <v>1</v>
      </c>
      <c r="L490" s="66"/>
      <c r="M490" s="67"/>
    </row>
    <row r="491" ht="22.5" customHeight="1">
      <c r="B491" s="59">
        <v>811.0</v>
      </c>
      <c r="C491" s="60" t="s">
        <v>22</v>
      </c>
      <c r="D491" s="61">
        <v>46209.0</v>
      </c>
      <c r="E491" s="62" t="str">
        <f t="shared" si="23"/>
        <v>2026</v>
      </c>
      <c r="F491" s="62" t="str">
        <f t="shared" si="24"/>
        <v>07 Jul</v>
      </c>
      <c r="G491" s="63">
        <v>200000.0</v>
      </c>
      <c r="H491" s="60" t="s">
        <v>32</v>
      </c>
      <c r="I491" s="64" t="s">
        <v>313</v>
      </c>
      <c r="J491" s="64" t="s">
        <v>74</v>
      </c>
      <c r="K491" s="66" t="b">
        <v>1</v>
      </c>
      <c r="L491" s="66"/>
      <c r="M491" s="67"/>
    </row>
    <row r="492" ht="22.5" customHeight="1">
      <c r="B492" s="59">
        <v>812.0</v>
      </c>
      <c r="C492" s="60" t="s">
        <v>22</v>
      </c>
      <c r="D492" s="61">
        <v>46210.0</v>
      </c>
      <c r="E492" s="62" t="str">
        <f t="shared" si="23"/>
        <v>2026</v>
      </c>
      <c r="F492" s="62" t="str">
        <f t="shared" si="24"/>
        <v>07 Jul</v>
      </c>
      <c r="G492" s="63">
        <v>50000.0</v>
      </c>
      <c r="H492" s="60" t="s">
        <v>32</v>
      </c>
      <c r="I492" s="64" t="s">
        <v>127</v>
      </c>
      <c r="J492" s="64" t="s">
        <v>74</v>
      </c>
      <c r="K492" s="66" t="b">
        <v>1</v>
      </c>
      <c r="L492" s="66"/>
      <c r="M492" s="67"/>
    </row>
    <row r="493" ht="22.5" customHeight="1">
      <c r="B493" s="59">
        <v>813.0</v>
      </c>
      <c r="C493" s="60" t="s">
        <v>22</v>
      </c>
      <c r="D493" s="61">
        <v>46211.0</v>
      </c>
      <c r="E493" s="62" t="str">
        <f t="shared" si="23"/>
        <v>2026</v>
      </c>
      <c r="F493" s="62" t="str">
        <f t="shared" si="24"/>
        <v>07 Jul</v>
      </c>
      <c r="G493" s="63">
        <v>15000.0</v>
      </c>
      <c r="H493" s="60" t="s">
        <v>32</v>
      </c>
      <c r="I493" s="64" t="s">
        <v>110</v>
      </c>
      <c r="J493" s="64" t="s">
        <v>78</v>
      </c>
      <c r="K493" s="66" t="b">
        <v>1</v>
      </c>
      <c r="L493" s="66"/>
      <c r="M493" s="67"/>
    </row>
    <row r="494" ht="22.5" customHeight="1">
      <c r="B494" s="59">
        <v>814.0</v>
      </c>
      <c r="C494" s="60" t="s">
        <v>39</v>
      </c>
      <c r="D494" s="61">
        <v>46211.0</v>
      </c>
      <c r="E494" s="62" t="str">
        <f t="shared" si="23"/>
        <v>2026</v>
      </c>
      <c r="F494" s="62" t="str">
        <f t="shared" si="24"/>
        <v>07 Jul</v>
      </c>
      <c r="G494" s="63">
        <v>15000.0</v>
      </c>
      <c r="H494" s="60" t="s">
        <v>32</v>
      </c>
      <c r="I494" s="64" t="s">
        <v>303</v>
      </c>
      <c r="J494" s="64" t="s">
        <v>78</v>
      </c>
      <c r="K494" s="66" t="b">
        <v>1</v>
      </c>
      <c r="L494" s="66"/>
      <c r="M494" s="67"/>
    </row>
    <row r="495" ht="22.5" customHeight="1">
      <c r="B495" s="59">
        <v>815.0</v>
      </c>
      <c r="C495" s="60" t="s">
        <v>39</v>
      </c>
      <c r="D495" s="61">
        <v>46212.0</v>
      </c>
      <c r="E495" s="62" t="str">
        <f t="shared" si="23"/>
        <v>2026</v>
      </c>
      <c r="F495" s="62" t="str">
        <f t="shared" si="24"/>
        <v>07 Jul</v>
      </c>
      <c r="G495" s="63">
        <v>300000.0</v>
      </c>
      <c r="H495" s="60" t="s">
        <v>32</v>
      </c>
      <c r="I495" s="64" t="s">
        <v>542</v>
      </c>
      <c r="J495" s="64" t="s">
        <v>78</v>
      </c>
      <c r="K495" s="66" t="b">
        <v>1</v>
      </c>
      <c r="L495" s="66"/>
      <c r="M495" s="67"/>
    </row>
    <row r="496" ht="22.5" customHeight="1">
      <c r="B496" s="59">
        <v>816.0</v>
      </c>
      <c r="C496" s="60" t="s">
        <v>22</v>
      </c>
      <c r="D496" s="61">
        <v>46212.0</v>
      </c>
      <c r="E496" s="62" t="str">
        <f t="shared" si="23"/>
        <v>2026</v>
      </c>
      <c r="F496" s="62" t="str">
        <f t="shared" si="24"/>
        <v>07 Jul</v>
      </c>
      <c r="G496" s="63">
        <v>200000.0</v>
      </c>
      <c r="H496" s="60" t="s">
        <v>32</v>
      </c>
      <c r="I496" s="64" t="s">
        <v>313</v>
      </c>
      <c r="J496" s="64" t="s">
        <v>74</v>
      </c>
      <c r="K496" s="66" t="b">
        <v>1</v>
      </c>
      <c r="L496" s="66"/>
      <c r="M496" s="67"/>
    </row>
    <row r="497" ht="22.5" customHeight="1">
      <c r="B497" s="59">
        <v>817.0</v>
      </c>
      <c r="C497" s="60" t="s">
        <v>22</v>
      </c>
      <c r="D497" s="61">
        <v>46213.0</v>
      </c>
      <c r="E497" s="62" t="str">
        <f t="shared" si="23"/>
        <v>2026</v>
      </c>
      <c r="F497" s="62" t="str">
        <f t="shared" si="24"/>
        <v>07 Jul</v>
      </c>
      <c r="G497" s="63">
        <v>15000.0</v>
      </c>
      <c r="H497" s="60" t="s">
        <v>32</v>
      </c>
      <c r="I497" s="64" t="s">
        <v>110</v>
      </c>
      <c r="J497" s="64" t="s">
        <v>78</v>
      </c>
      <c r="K497" s="66" t="b">
        <v>1</v>
      </c>
      <c r="L497" s="66"/>
      <c r="M497" s="67"/>
    </row>
    <row r="498" ht="22.5" customHeight="1">
      <c r="B498" s="59">
        <v>818.0</v>
      </c>
      <c r="C498" s="60" t="s">
        <v>39</v>
      </c>
      <c r="D498" s="61">
        <v>46213.0</v>
      </c>
      <c r="E498" s="62" t="str">
        <f t="shared" si="23"/>
        <v>2026</v>
      </c>
      <c r="F498" s="62" t="str">
        <f t="shared" si="24"/>
        <v>07 Jul</v>
      </c>
      <c r="G498" s="63">
        <v>300000.0</v>
      </c>
      <c r="H498" s="60" t="s">
        <v>32</v>
      </c>
      <c r="I498" s="64" t="s">
        <v>418</v>
      </c>
      <c r="J498" s="64" t="s">
        <v>74</v>
      </c>
      <c r="K498" s="66" t="b">
        <v>1</v>
      </c>
      <c r="L498" s="66"/>
      <c r="M498" s="67"/>
    </row>
    <row r="499" ht="22.5" customHeight="1">
      <c r="B499" s="59">
        <v>819.0</v>
      </c>
      <c r="C499" s="60" t="s">
        <v>79</v>
      </c>
      <c r="D499" s="61">
        <v>46214.0</v>
      </c>
      <c r="E499" s="62" t="str">
        <f t="shared" si="23"/>
        <v>2026</v>
      </c>
      <c r="F499" s="62" t="str">
        <f t="shared" si="24"/>
        <v>07 Jul</v>
      </c>
      <c r="G499" s="63">
        <v>100000.0</v>
      </c>
      <c r="H499" s="60" t="s">
        <v>32</v>
      </c>
      <c r="I499" s="64" t="s">
        <v>127</v>
      </c>
      <c r="J499" s="64" t="s">
        <v>74</v>
      </c>
      <c r="K499" s="66" t="b">
        <v>1</v>
      </c>
      <c r="L499" s="66"/>
      <c r="M499" s="67"/>
    </row>
    <row r="500" ht="22.5" customHeight="1">
      <c r="B500" s="59">
        <v>820.0</v>
      </c>
      <c r="C500" s="60" t="s">
        <v>79</v>
      </c>
      <c r="D500" s="61">
        <v>46214.0</v>
      </c>
      <c r="E500" s="62" t="str">
        <f t="shared" si="23"/>
        <v>2026</v>
      </c>
      <c r="F500" s="62" t="str">
        <f t="shared" si="24"/>
        <v>07 Jul</v>
      </c>
      <c r="G500" s="63">
        <v>15000.0</v>
      </c>
      <c r="H500" s="60" t="s">
        <v>32</v>
      </c>
      <c r="I500" s="64" t="s">
        <v>110</v>
      </c>
      <c r="J500" s="64" t="s">
        <v>78</v>
      </c>
      <c r="K500" s="66" t="b">
        <v>1</v>
      </c>
      <c r="L500" s="66"/>
      <c r="M500" s="67"/>
    </row>
    <row r="501" ht="22.5" customHeight="1">
      <c r="B501" s="59">
        <v>821.0</v>
      </c>
      <c r="C501" s="60" t="s">
        <v>79</v>
      </c>
      <c r="D501" s="61">
        <v>46214.0</v>
      </c>
      <c r="E501" s="62" t="str">
        <f t="shared" si="23"/>
        <v>2026</v>
      </c>
      <c r="F501" s="62" t="str">
        <f t="shared" si="24"/>
        <v>07 Jul</v>
      </c>
      <c r="G501" s="63">
        <v>7000.0</v>
      </c>
      <c r="H501" s="60" t="s">
        <v>32</v>
      </c>
      <c r="I501" s="64" t="s">
        <v>545</v>
      </c>
      <c r="J501" s="64" t="s">
        <v>33</v>
      </c>
      <c r="K501" s="66" t="b">
        <v>1</v>
      </c>
      <c r="L501" s="66"/>
      <c r="M501" s="67"/>
    </row>
    <row r="502" ht="22.5" customHeight="1">
      <c r="B502" s="59">
        <v>822.0</v>
      </c>
      <c r="C502" s="60" t="s">
        <v>22</v>
      </c>
      <c r="D502" s="61">
        <v>46214.0</v>
      </c>
      <c r="E502" s="62" t="str">
        <f t="shared" si="23"/>
        <v>2026</v>
      </c>
      <c r="F502" s="62" t="str">
        <f t="shared" si="24"/>
        <v>07 Jul</v>
      </c>
      <c r="G502" s="63">
        <v>200000.0</v>
      </c>
      <c r="H502" s="60" t="s">
        <v>32</v>
      </c>
      <c r="I502" s="64" t="s">
        <v>313</v>
      </c>
      <c r="J502" s="64" t="s">
        <v>74</v>
      </c>
      <c r="K502" s="66" t="b">
        <v>1</v>
      </c>
      <c r="L502" s="66">
        <f>3400000-737000</f>
        <v>2663000</v>
      </c>
      <c r="M502" s="67"/>
    </row>
    <row r="503" ht="22.5" customHeight="1">
      <c r="B503" s="59">
        <v>823.0</v>
      </c>
      <c r="C503" s="60" t="s">
        <v>22</v>
      </c>
      <c r="D503" s="61">
        <v>46214.0</v>
      </c>
      <c r="E503" s="62" t="str">
        <f t="shared" si="23"/>
        <v>2026</v>
      </c>
      <c r="F503" s="62" t="str">
        <f t="shared" si="24"/>
        <v>07 Jul</v>
      </c>
      <c r="G503" s="63">
        <v>100000.0</v>
      </c>
      <c r="H503" s="60" t="s">
        <v>32</v>
      </c>
      <c r="I503" s="64" t="s">
        <v>547</v>
      </c>
      <c r="J503" s="64" t="s">
        <v>74</v>
      </c>
      <c r="K503" s="66" t="b">
        <v>1</v>
      </c>
      <c r="L503" s="66"/>
      <c r="M503" s="67"/>
    </row>
    <row r="504" ht="22.5" customHeight="1">
      <c r="B504" s="59">
        <v>824.0</v>
      </c>
      <c r="C504" s="60" t="s">
        <v>22</v>
      </c>
      <c r="D504" s="61">
        <v>46214.0</v>
      </c>
      <c r="E504" s="62" t="str">
        <f t="shared" si="23"/>
        <v>2026</v>
      </c>
      <c r="F504" s="62" t="str">
        <f t="shared" si="24"/>
        <v>07 Jul</v>
      </c>
      <c r="G504" s="63">
        <v>15000.0</v>
      </c>
      <c r="H504" s="60" t="s">
        <v>32</v>
      </c>
      <c r="I504" s="64" t="s">
        <v>110</v>
      </c>
      <c r="J504" s="64" t="s">
        <v>78</v>
      </c>
      <c r="K504" s="66" t="b">
        <v>1</v>
      </c>
      <c r="L504" s="66"/>
      <c r="M504" s="67"/>
    </row>
    <row r="505" ht="22.5" customHeight="1">
      <c r="B505" s="59">
        <v>825.0</v>
      </c>
      <c r="C505" s="60" t="s">
        <v>22</v>
      </c>
      <c r="D505" s="61">
        <v>46214.0</v>
      </c>
      <c r="E505" s="62" t="str">
        <f t="shared" si="23"/>
        <v>2026</v>
      </c>
      <c r="F505" s="62" t="str">
        <f t="shared" si="24"/>
        <v>07 Jul</v>
      </c>
      <c r="G505" s="63">
        <v>200000.0</v>
      </c>
      <c r="H505" s="60" t="s">
        <v>32</v>
      </c>
      <c r="I505" s="64" t="s">
        <v>520</v>
      </c>
      <c r="J505" s="64" t="s">
        <v>74</v>
      </c>
      <c r="K505" s="66" t="b">
        <v>1</v>
      </c>
      <c r="L505" s="66"/>
      <c r="M505" s="67"/>
    </row>
    <row r="506" ht="22.5" customHeight="1">
      <c r="B506" s="59">
        <v>826.0</v>
      </c>
      <c r="C506" s="60" t="s">
        <v>22</v>
      </c>
      <c r="D506" s="61">
        <v>46214.0</v>
      </c>
      <c r="E506" s="62" t="str">
        <f t="shared" si="23"/>
        <v>2026</v>
      </c>
      <c r="F506" s="62" t="str">
        <f t="shared" si="24"/>
        <v>07 Jul</v>
      </c>
      <c r="G506" s="63">
        <v>100000.0</v>
      </c>
      <c r="H506" s="60" t="s">
        <v>32</v>
      </c>
      <c r="I506" s="64" t="s">
        <v>548</v>
      </c>
      <c r="J506" s="64" t="s">
        <v>74</v>
      </c>
      <c r="K506" s="66" t="b">
        <v>1</v>
      </c>
      <c r="L506" s="66"/>
      <c r="M506" s="67"/>
    </row>
    <row r="507" ht="22.5" customHeight="1">
      <c r="B507" s="59">
        <v>827.0</v>
      </c>
      <c r="C507" s="60" t="s">
        <v>39</v>
      </c>
      <c r="D507" s="61">
        <v>46215.0</v>
      </c>
      <c r="E507" s="62" t="str">
        <f t="shared" si="23"/>
        <v>2026</v>
      </c>
      <c r="F507" s="62" t="str">
        <f t="shared" si="24"/>
        <v>07 Jul</v>
      </c>
      <c r="G507" s="63">
        <v>300000.0</v>
      </c>
      <c r="H507" s="60" t="s">
        <v>32</v>
      </c>
      <c r="I507" s="64" t="s">
        <v>342</v>
      </c>
      <c r="J507" s="64" t="s">
        <v>74</v>
      </c>
      <c r="K507" s="66" t="b">
        <v>1</v>
      </c>
      <c r="L507" s="66"/>
      <c r="M507" s="67"/>
    </row>
    <row r="508" ht="22.5" customHeight="1">
      <c r="B508" s="59">
        <v>828.0</v>
      </c>
      <c r="C508" s="60" t="s">
        <v>39</v>
      </c>
      <c r="D508" s="61">
        <v>46215.0</v>
      </c>
      <c r="E508" s="62" t="str">
        <f t="shared" si="23"/>
        <v>2026</v>
      </c>
      <c r="F508" s="62" t="str">
        <f t="shared" si="24"/>
        <v>07 Jul</v>
      </c>
      <c r="G508" s="63">
        <v>50000.0</v>
      </c>
      <c r="H508" s="60" t="s">
        <v>32</v>
      </c>
      <c r="I508" s="64" t="s">
        <v>551</v>
      </c>
      <c r="J508" s="64" t="s">
        <v>74</v>
      </c>
      <c r="K508" s="66" t="b">
        <v>1</v>
      </c>
      <c r="L508" s="66"/>
      <c r="M508" s="67"/>
    </row>
    <row r="509" ht="22.5" customHeight="1">
      <c r="B509" s="59">
        <v>829.0</v>
      </c>
      <c r="C509" s="60" t="s">
        <v>39</v>
      </c>
      <c r="D509" s="61">
        <v>46215.0</v>
      </c>
      <c r="E509" s="62" t="str">
        <f t="shared" si="23"/>
        <v>2026</v>
      </c>
      <c r="F509" s="62" t="str">
        <f t="shared" si="24"/>
        <v>07 Jul</v>
      </c>
      <c r="G509" s="63">
        <v>500000.0</v>
      </c>
      <c r="H509" s="60" t="s">
        <v>32</v>
      </c>
      <c r="I509" s="64" t="s">
        <v>552</v>
      </c>
      <c r="J509" s="64" t="s">
        <v>74</v>
      </c>
      <c r="K509" s="66" t="b">
        <v>1</v>
      </c>
      <c r="L509" s="66"/>
      <c r="M509" s="67"/>
    </row>
    <row r="510" ht="22.5" customHeight="1">
      <c r="B510" s="59">
        <v>830.0</v>
      </c>
      <c r="C510" s="60" t="s">
        <v>22</v>
      </c>
      <c r="D510" s="61">
        <v>46216.0</v>
      </c>
      <c r="E510" s="62" t="str">
        <f t="shared" si="23"/>
        <v>2026</v>
      </c>
      <c r="F510" s="62" t="str">
        <f t="shared" si="24"/>
        <v>07 Jul</v>
      </c>
      <c r="G510" s="63">
        <v>14000.0</v>
      </c>
      <c r="H510" s="60" t="s">
        <v>32</v>
      </c>
      <c r="I510" s="64" t="s">
        <v>553</v>
      </c>
      <c r="J510" s="64" t="s">
        <v>78</v>
      </c>
      <c r="K510" s="66" t="b">
        <v>1</v>
      </c>
      <c r="L510" s="66"/>
      <c r="M510" s="67"/>
    </row>
    <row r="511" ht="22.5" customHeight="1">
      <c r="B511" s="59">
        <v>831.0</v>
      </c>
      <c r="C511" s="60" t="s">
        <v>22</v>
      </c>
      <c r="D511" s="61">
        <v>46216.0</v>
      </c>
      <c r="E511" s="62" t="str">
        <f t="shared" si="23"/>
        <v>2026</v>
      </c>
      <c r="F511" s="62" t="str">
        <f t="shared" si="24"/>
        <v>07 Jul</v>
      </c>
      <c r="G511" s="63">
        <v>100000.0</v>
      </c>
      <c r="H511" s="60" t="s">
        <v>32</v>
      </c>
      <c r="I511" s="64" t="s">
        <v>555</v>
      </c>
      <c r="J511" s="64" t="s">
        <v>74</v>
      </c>
      <c r="K511" s="66" t="b">
        <v>1</v>
      </c>
      <c r="L511" s="66"/>
      <c r="M511" s="67"/>
    </row>
    <row r="512" ht="22.5" customHeight="1">
      <c r="B512" s="59">
        <v>832.0</v>
      </c>
      <c r="C512" s="60" t="s">
        <v>39</v>
      </c>
      <c r="D512" s="61">
        <v>46216.0</v>
      </c>
      <c r="E512" s="62" t="str">
        <f t="shared" si="23"/>
        <v>2026</v>
      </c>
      <c r="F512" s="62" t="str">
        <f t="shared" si="24"/>
        <v>07 Jul</v>
      </c>
      <c r="G512" s="63">
        <v>100000.0</v>
      </c>
      <c r="H512" s="60" t="s">
        <v>32</v>
      </c>
      <c r="I512" s="64" t="s">
        <v>556</v>
      </c>
      <c r="J512" s="64" t="s">
        <v>74</v>
      </c>
      <c r="K512" s="66" t="b">
        <v>1</v>
      </c>
      <c r="L512" s="66"/>
      <c r="M512" s="67"/>
    </row>
    <row r="513" ht="22.5" customHeight="1">
      <c r="B513" s="59">
        <v>833.0</v>
      </c>
      <c r="C513" s="60" t="s">
        <v>39</v>
      </c>
      <c r="D513" s="61">
        <v>46216.0</v>
      </c>
      <c r="E513" s="62" t="str">
        <f t="shared" si="23"/>
        <v>2026</v>
      </c>
      <c r="F513" s="62" t="str">
        <f t="shared" si="24"/>
        <v>07 Jul</v>
      </c>
      <c r="G513" s="63">
        <v>50000.0</v>
      </c>
      <c r="H513" s="60" t="s">
        <v>32</v>
      </c>
      <c r="I513" s="64" t="s">
        <v>304</v>
      </c>
      <c r="J513" s="64" t="s">
        <v>74</v>
      </c>
      <c r="K513" s="66" t="b">
        <v>1</v>
      </c>
      <c r="L513" s="66"/>
      <c r="M513" s="67"/>
    </row>
    <row r="514" ht="22.5" customHeight="1">
      <c r="B514" s="59">
        <v>834.0</v>
      </c>
      <c r="C514" s="60" t="s">
        <v>22</v>
      </c>
      <c r="D514" s="61">
        <v>46217.0</v>
      </c>
      <c r="E514" s="62" t="str">
        <f t="shared" si="23"/>
        <v>2026</v>
      </c>
      <c r="F514" s="62" t="str">
        <f t="shared" si="24"/>
        <v>07 Jul</v>
      </c>
      <c r="G514" s="63">
        <v>150000.0</v>
      </c>
      <c r="H514" s="125" t="s">
        <v>32</v>
      </c>
      <c r="I514" s="64" t="s">
        <v>557</v>
      </c>
      <c r="J514" s="64" t="s">
        <v>78</v>
      </c>
      <c r="K514" s="66" t="b">
        <v>1</v>
      </c>
      <c r="L514" s="66"/>
      <c r="M514" s="67"/>
    </row>
    <row r="515" ht="22.5" customHeight="1">
      <c r="B515" s="59">
        <v>835.0</v>
      </c>
      <c r="C515" s="60" t="s">
        <v>22</v>
      </c>
      <c r="D515" s="61">
        <v>46217.0</v>
      </c>
      <c r="E515" s="62" t="str">
        <f t="shared" si="23"/>
        <v>2026</v>
      </c>
      <c r="F515" s="62" t="str">
        <f t="shared" si="24"/>
        <v>07 Jul</v>
      </c>
      <c r="G515" s="63">
        <v>700000.0</v>
      </c>
      <c r="H515" s="60" t="s">
        <v>32</v>
      </c>
      <c r="I515" s="64" t="s">
        <v>559</v>
      </c>
      <c r="J515" s="64" t="s">
        <v>78</v>
      </c>
      <c r="K515" s="66" t="b">
        <v>1</v>
      </c>
      <c r="L515" s="66"/>
      <c r="M515" s="67"/>
    </row>
    <row r="516" ht="22.5" customHeight="1">
      <c r="B516" s="59">
        <v>836.0</v>
      </c>
      <c r="C516" s="60" t="s">
        <v>39</v>
      </c>
      <c r="D516" s="61">
        <v>46217.0</v>
      </c>
      <c r="E516" s="62" t="str">
        <f t="shared" si="23"/>
        <v>2026</v>
      </c>
      <c r="F516" s="62" t="str">
        <f t="shared" si="24"/>
        <v>07 Jul</v>
      </c>
      <c r="G516" s="63">
        <v>75000.0</v>
      </c>
      <c r="H516" s="60" t="s">
        <v>32</v>
      </c>
      <c r="I516" s="64" t="s">
        <v>560</v>
      </c>
      <c r="J516" s="64" t="s">
        <v>78</v>
      </c>
      <c r="K516" s="66" t="b">
        <v>1</v>
      </c>
      <c r="L516" s="66"/>
      <c r="M516" s="67"/>
    </row>
    <row r="517" ht="22.5" customHeight="1">
      <c r="B517" s="59">
        <v>837.0</v>
      </c>
      <c r="C517" s="60" t="s">
        <v>39</v>
      </c>
      <c r="D517" s="61">
        <v>46217.0</v>
      </c>
      <c r="E517" s="62" t="str">
        <f t="shared" si="23"/>
        <v>2026</v>
      </c>
      <c r="F517" s="62" t="str">
        <f t="shared" si="24"/>
        <v>07 Jul</v>
      </c>
      <c r="G517" s="63">
        <v>200000.0</v>
      </c>
      <c r="H517" s="60" t="s">
        <v>32</v>
      </c>
      <c r="I517" s="64" t="s">
        <v>313</v>
      </c>
      <c r="J517" s="64" t="s">
        <v>74</v>
      </c>
      <c r="K517" s="66" t="b">
        <v>1</v>
      </c>
      <c r="L517" s="66"/>
      <c r="M517" s="67"/>
    </row>
    <row r="518" ht="22.5" customHeight="1">
      <c r="B518" s="59">
        <v>838.0</v>
      </c>
      <c r="C518" s="60" t="s">
        <v>22</v>
      </c>
      <c r="D518" s="61">
        <v>46218.0</v>
      </c>
      <c r="E518" s="62" t="str">
        <f t="shared" si="23"/>
        <v>2026</v>
      </c>
      <c r="F518" s="62" t="str">
        <f t="shared" si="24"/>
        <v>07 Jul</v>
      </c>
      <c r="G518" s="63">
        <v>100000.0</v>
      </c>
      <c r="H518" s="60" t="s">
        <v>32</v>
      </c>
      <c r="I518" s="64" t="s">
        <v>555</v>
      </c>
      <c r="J518" s="64" t="s">
        <v>74</v>
      </c>
      <c r="K518" s="66" t="b">
        <v>1</v>
      </c>
      <c r="L518" s="66"/>
      <c r="M518" s="67"/>
    </row>
    <row r="519" ht="22.5" customHeight="1">
      <c r="B519" s="59">
        <v>839.0</v>
      </c>
      <c r="C519" s="60" t="s">
        <v>22</v>
      </c>
      <c r="D519" s="61">
        <v>46218.0</v>
      </c>
      <c r="E519" s="62" t="str">
        <f t="shared" si="23"/>
        <v>2026</v>
      </c>
      <c r="F519" s="62" t="str">
        <f t="shared" si="24"/>
        <v>07 Jul</v>
      </c>
      <c r="G519" s="63">
        <v>100000.0</v>
      </c>
      <c r="H519" s="60" t="s">
        <v>32</v>
      </c>
      <c r="I519" s="64" t="s">
        <v>313</v>
      </c>
      <c r="J519" s="64" t="s">
        <v>74</v>
      </c>
      <c r="K519" s="66" t="b">
        <v>1</v>
      </c>
      <c r="L519" s="66"/>
      <c r="M519" s="67"/>
    </row>
    <row r="520" ht="22.5" customHeight="1">
      <c r="B520" s="59">
        <v>840.0</v>
      </c>
      <c r="C520" s="60" t="s">
        <v>22</v>
      </c>
      <c r="D520" s="61">
        <v>46218.0</v>
      </c>
      <c r="E520" s="62" t="str">
        <f t="shared" si="23"/>
        <v>2026</v>
      </c>
      <c r="F520" s="62" t="str">
        <f t="shared" si="24"/>
        <v>07 Jul</v>
      </c>
      <c r="G520" s="63">
        <v>50000.0</v>
      </c>
      <c r="H520" s="60" t="s">
        <v>32</v>
      </c>
      <c r="I520" s="64" t="s">
        <v>562</v>
      </c>
      <c r="J520" s="64" t="s">
        <v>74</v>
      </c>
      <c r="K520" s="66" t="b">
        <v>1</v>
      </c>
      <c r="L520" s="66"/>
      <c r="M520" s="67"/>
    </row>
    <row r="521" ht="22.5" customHeight="1">
      <c r="B521" s="59">
        <v>841.0</v>
      </c>
      <c r="C521" s="60" t="s">
        <v>39</v>
      </c>
      <c r="D521" s="61">
        <v>46218.0</v>
      </c>
      <c r="E521" s="62" t="str">
        <f t="shared" si="23"/>
        <v>2026</v>
      </c>
      <c r="F521" s="62" t="str">
        <f t="shared" si="24"/>
        <v>07 Jul</v>
      </c>
      <c r="G521" s="63">
        <v>300000.0</v>
      </c>
      <c r="H521" s="60" t="s">
        <v>32</v>
      </c>
      <c r="I521" s="64" t="s">
        <v>563</v>
      </c>
      <c r="J521" s="64" t="s">
        <v>74</v>
      </c>
      <c r="K521" s="66" t="b">
        <v>1</v>
      </c>
      <c r="L521" s="66"/>
      <c r="M521" s="67"/>
    </row>
    <row r="522" ht="22.5" customHeight="1">
      <c r="B522" s="59">
        <v>842.0</v>
      </c>
      <c r="C522" s="60" t="s">
        <v>39</v>
      </c>
      <c r="D522" s="61">
        <v>46218.0</v>
      </c>
      <c r="E522" s="62" t="str">
        <f t="shared" si="23"/>
        <v>2026</v>
      </c>
      <c r="F522" s="62" t="str">
        <f t="shared" si="24"/>
        <v>07 Jul</v>
      </c>
      <c r="G522" s="63">
        <v>50000.0</v>
      </c>
      <c r="H522" s="60" t="s">
        <v>32</v>
      </c>
      <c r="I522" s="64" t="s">
        <v>304</v>
      </c>
      <c r="J522" s="64" t="s">
        <v>74</v>
      </c>
      <c r="K522" s="66" t="b">
        <v>1</v>
      </c>
      <c r="L522" s="66"/>
      <c r="M522" s="67"/>
    </row>
    <row r="523" ht="22.5" customHeight="1">
      <c r="B523" s="59">
        <v>843.0</v>
      </c>
      <c r="C523" s="60" t="s">
        <v>22</v>
      </c>
      <c r="D523" s="61">
        <v>46219.0</v>
      </c>
      <c r="E523" s="62" t="str">
        <f t="shared" si="23"/>
        <v>2026</v>
      </c>
      <c r="F523" s="62" t="str">
        <f t="shared" si="24"/>
        <v>07 Jul</v>
      </c>
      <c r="G523" s="63">
        <v>15000.0</v>
      </c>
      <c r="H523" s="60" t="s">
        <v>32</v>
      </c>
      <c r="I523" s="64" t="s">
        <v>110</v>
      </c>
      <c r="J523" s="64" t="s">
        <v>78</v>
      </c>
      <c r="K523" s="66" t="b">
        <v>1</v>
      </c>
      <c r="L523" s="66"/>
      <c r="M523" s="67"/>
    </row>
    <row r="524" ht="22.5" customHeight="1">
      <c r="B524" s="59">
        <v>844.0</v>
      </c>
      <c r="C524" s="60" t="s">
        <v>39</v>
      </c>
      <c r="D524" s="61">
        <v>46219.0</v>
      </c>
      <c r="E524" s="62" t="str">
        <f t="shared" si="23"/>
        <v>2026</v>
      </c>
      <c r="F524" s="62" t="str">
        <f t="shared" si="24"/>
        <v>07 Jul</v>
      </c>
      <c r="G524" s="63">
        <v>50000.0</v>
      </c>
      <c r="H524" s="60" t="s">
        <v>32</v>
      </c>
      <c r="I524" s="64" t="s">
        <v>565</v>
      </c>
      <c r="J524" s="64" t="s">
        <v>74</v>
      </c>
      <c r="K524" s="66" t="b">
        <v>1</v>
      </c>
      <c r="L524" s="66"/>
      <c r="M524" s="67"/>
    </row>
    <row r="525" ht="22.5" customHeight="1">
      <c r="B525" s="59">
        <v>845.0</v>
      </c>
      <c r="C525" s="60" t="s">
        <v>39</v>
      </c>
      <c r="D525" s="61">
        <v>46220.0</v>
      </c>
      <c r="E525" s="62" t="str">
        <f t="shared" si="23"/>
        <v>2026</v>
      </c>
      <c r="F525" s="62" t="str">
        <f t="shared" si="24"/>
        <v>07 Jul</v>
      </c>
      <c r="G525" s="63">
        <v>200000.0</v>
      </c>
      <c r="H525" s="60" t="s">
        <v>32</v>
      </c>
      <c r="I525" s="64" t="s">
        <v>312</v>
      </c>
      <c r="J525" s="64" t="s">
        <v>74</v>
      </c>
      <c r="K525" s="66" t="b">
        <v>1</v>
      </c>
      <c r="L525" s="66"/>
      <c r="M525" s="67"/>
    </row>
    <row r="526" ht="22.5" customHeight="1">
      <c r="B526" s="59">
        <v>846.0</v>
      </c>
      <c r="C526" s="60" t="s">
        <v>39</v>
      </c>
      <c r="D526" s="61">
        <v>46220.0</v>
      </c>
      <c r="E526" s="62" t="str">
        <f t="shared" si="23"/>
        <v>2026</v>
      </c>
      <c r="F526" s="62" t="str">
        <f t="shared" si="24"/>
        <v>07 Jul</v>
      </c>
      <c r="G526" s="63">
        <v>600000.0</v>
      </c>
      <c r="H526" s="60" t="s">
        <v>32</v>
      </c>
      <c r="I526" s="64" t="s">
        <v>342</v>
      </c>
      <c r="J526" s="64" t="s">
        <v>74</v>
      </c>
      <c r="K526" s="66" t="b">
        <v>1</v>
      </c>
      <c r="L526" s="66"/>
      <c r="M526" s="67"/>
    </row>
    <row r="527" ht="22.5" customHeight="1">
      <c r="B527" s="59">
        <v>847.0</v>
      </c>
      <c r="C527" s="60" t="s">
        <v>79</v>
      </c>
      <c r="D527" s="61">
        <v>46221.0</v>
      </c>
      <c r="E527" s="62" t="str">
        <f t="shared" si="23"/>
        <v>2026</v>
      </c>
      <c r="F527" s="62" t="str">
        <f t="shared" si="24"/>
        <v>07 Jul</v>
      </c>
      <c r="G527" s="63">
        <v>500000.0</v>
      </c>
      <c r="H527" s="60" t="s">
        <v>32</v>
      </c>
      <c r="I527" s="64" t="s">
        <v>194</v>
      </c>
      <c r="J527" s="64" t="s">
        <v>74</v>
      </c>
      <c r="K527" s="66" t="b">
        <v>1</v>
      </c>
      <c r="L527" s="66"/>
      <c r="M527" s="67"/>
    </row>
    <row r="528" ht="22.5" customHeight="1">
      <c r="B528" s="59">
        <v>848.0</v>
      </c>
      <c r="C528" s="60" t="s">
        <v>79</v>
      </c>
      <c r="D528" s="61">
        <v>46221.0</v>
      </c>
      <c r="E528" s="62" t="str">
        <f t="shared" si="23"/>
        <v>2026</v>
      </c>
      <c r="F528" s="62" t="str">
        <f t="shared" si="24"/>
        <v>07 Jul</v>
      </c>
      <c r="G528" s="63">
        <v>46000.0</v>
      </c>
      <c r="H528" s="60" t="s">
        <v>32</v>
      </c>
      <c r="I528" s="64" t="s">
        <v>567</v>
      </c>
      <c r="J528" s="64" t="s">
        <v>74</v>
      </c>
      <c r="K528" s="66" t="b">
        <v>1</v>
      </c>
      <c r="L528" s="66"/>
      <c r="M528" s="67"/>
    </row>
    <row r="529" ht="22.5" customHeight="1">
      <c r="B529" s="59">
        <v>849.0</v>
      </c>
      <c r="C529" s="60" t="s">
        <v>79</v>
      </c>
      <c r="D529" s="61">
        <v>46221.0</v>
      </c>
      <c r="E529" s="62" t="str">
        <f t="shared" si="23"/>
        <v>2026</v>
      </c>
      <c r="F529" s="62" t="str">
        <f t="shared" si="24"/>
        <v>07 Jul</v>
      </c>
      <c r="G529" s="63">
        <v>98500.0</v>
      </c>
      <c r="H529" s="60" t="s">
        <v>32</v>
      </c>
      <c r="I529" s="64" t="s">
        <v>568</v>
      </c>
      <c r="J529" s="64" t="s">
        <v>78</v>
      </c>
      <c r="K529" s="66" t="b">
        <v>1</v>
      </c>
      <c r="L529" s="66"/>
      <c r="M529" s="67"/>
    </row>
    <row r="530" ht="22.5" customHeight="1">
      <c r="B530" s="59">
        <v>850.0</v>
      </c>
      <c r="C530" s="60" t="s">
        <v>79</v>
      </c>
      <c r="D530" s="61">
        <v>46222.0</v>
      </c>
      <c r="E530" s="62" t="str">
        <f t="shared" si="23"/>
        <v>2026</v>
      </c>
      <c r="F530" s="62" t="str">
        <f t="shared" si="24"/>
        <v>07 Jul</v>
      </c>
      <c r="G530" s="63">
        <v>40000.0</v>
      </c>
      <c r="H530" s="60" t="s">
        <v>32</v>
      </c>
      <c r="I530" s="64" t="s">
        <v>182</v>
      </c>
      <c r="J530" s="64" t="s">
        <v>74</v>
      </c>
      <c r="K530" s="66" t="b">
        <v>1</v>
      </c>
      <c r="L530" s="66"/>
      <c r="M530" s="67"/>
    </row>
    <row r="531" ht="22.5" customHeight="1">
      <c r="B531" s="59">
        <v>851.0</v>
      </c>
      <c r="C531" s="60" t="s">
        <v>39</v>
      </c>
      <c r="D531" s="61">
        <v>46223.0</v>
      </c>
      <c r="E531" s="62" t="str">
        <f t="shared" si="23"/>
        <v>2026</v>
      </c>
      <c r="F531" s="62" t="str">
        <f t="shared" si="24"/>
        <v>07 Jul</v>
      </c>
      <c r="G531" s="63">
        <v>22000.0</v>
      </c>
      <c r="H531" s="60" t="s">
        <v>32</v>
      </c>
      <c r="I531" s="64" t="s">
        <v>570</v>
      </c>
      <c r="J531" s="64" t="s">
        <v>78</v>
      </c>
      <c r="K531" s="66" t="b">
        <v>1</v>
      </c>
      <c r="L531" s="66"/>
      <c r="M531" s="67"/>
    </row>
    <row r="532" ht="22.5" customHeight="1">
      <c r="B532" s="59">
        <v>852.0</v>
      </c>
      <c r="C532" s="60" t="s">
        <v>39</v>
      </c>
      <c r="D532" s="61">
        <v>46223.0</v>
      </c>
      <c r="E532" s="62" t="str">
        <f t="shared" si="23"/>
        <v>2026</v>
      </c>
      <c r="F532" s="62" t="str">
        <f t="shared" si="24"/>
        <v>07 Jul</v>
      </c>
      <c r="G532" s="63">
        <v>50000.0</v>
      </c>
      <c r="H532" s="60" t="s">
        <v>32</v>
      </c>
      <c r="I532" s="64" t="s">
        <v>492</v>
      </c>
      <c r="J532" s="64" t="s">
        <v>74</v>
      </c>
      <c r="K532" s="66" t="b">
        <v>1</v>
      </c>
      <c r="L532" s="66"/>
      <c r="M532" s="67"/>
    </row>
    <row r="533" ht="22.5" customHeight="1">
      <c r="B533" s="59">
        <v>853.0</v>
      </c>
      <c r="C533" s="60" t="s">
        <v>39</v>
      </c>
      <c r="D533" s="61">
        <v>46223.0</v>
      </c>
      <c r="E533" s="62" t="str">
        <f t="shared" si="23"/>
        <v>2026</v>
      </c>
      <c r="F533" s="62" t="str">
        <f t="shared" si="24"/>
        <v>07 Jul</v>
      </c>
      <c r="G533" s="63">
        <v>50000.0</v>
      </c>
      <c r="H533" s="60" t="s">
        <v>32</v>
      </c>
      <c r="I533" s="64" t="s">
        <v>74</v>
      </c>
      <c r="J533" s="64" t="s">
        <v>74</v>
      </c>
      <c r="K533" s="66" t="b">
        <v>1</v>
      </c>
      <c r="L533" s="66"/>
      <c r="M533" s="67"/>
    </row>
    <row r="534" ht="22.5" customHeight="1">
      <c r="B534" s="59">
        <v>854.0</v>
      </c>
      <c r="C534" s="60" t="s">
        <v>22</v>
      </c>
      <c r="D534" s="61">
        <v>46223.0</v>
      </c>
      <c r="E534" s="62" t="str">
        <f t="shared" si="23"/>
        <v>2026</v>
      </c>
      <c r="F534" s="62" t="str">
        <f t="shared" si="24"/>
        <v>07 Jul</v>
      </c>
      <c r="G534" s="63">
        <v>250000.0</v>
      </c>
      <c r="H534" s="60" t="s">
        <v>32</v>
      </c>
      <c r="I534" s="64" t="s">
        <v>313</v>
      </c>
      <c r="J534" s="64" t="s">
        <v>74</v>
      </c>
      <c r="K534" s="66" t="b">
        <v>1</v>
      </c>
      <c r="L534" s="66"/>
      <c r="M534" s="67"/>
    </row>
    <row r="535" ht="22.5" customHeight="1">
      <c r="B535" s="59">
        <v>855.0</v>
      </c>
      <c r="C535" s="60" t="s">
        <v>22</v>
      </c>
      <c r="D535" s="61">
        <v>46223.0</v>
      </c>
      <c r="E535" s="62" t="str">
        <f t="shared" si="23"/>
        <v>2026</v>
      </c>
      <c r="F535" s="62" t="str">
        <f t="shared" si="24"/>
        <v>07 Jul</v>
      </c>
      <c r="G535" s="63">
        <v>200000.0</v>
      </c>
      <c r="H535" s="60" t="s">
        <v>32</v>
      </c>
      <c r="I535" s="64" t="s">
        <v>343</v>
      </c>
      <c r="J535" s="64" t="s">
        <v>74</v>
      </c>
      <c r="K535" s="66" t="b">
        <v>1</v>
      </c>
      <c r="L535" s="66"/>
      <c r="M535" s="67"/>
    </row>
    <row r="536" ht="22.5" customHeight="1">
      <c r="B536" s="59">
        <v>856.0</v>
      </c>
      <c r="C536" s="60" t="s">
        <v>39</v>
      </c>
      <c r="D536" s="61">
        <v>46224.0</v>
      </c>
      <c r="E536" s="62" t="str">
        <f t="shared" si="23"/>
        <v>2026</v>
      </c>
      <c r="F536" s="62" t="str">
        <f t="shared" si="24"/>
        <v>07 Jul</v>
      </c>
      <c r="G536" s="63">
        <v>50000.0</v>
      </c>
      <c r="H536" s="60" t="s">
        <v>32</v>
      </c>
      <c r="I536" s="64" t="s">
        <v>404</v>
      </c>
      <c r="J536" s="64" t="s">
        <v>74</v>
      </c>
      <c r="K536" s="66" t="b">
        <v>1</v>
      </c>
      <c r="L536" s="66"/>
      <c r="M536" s="67"/>
    </row>
    <row r="537" ht="22.5" customHeight="1">
      <c r="B537" s="59">
        <v>857.0</v>
      </c>
      <c r="C537" s="60" t="s">
        <v>22</v>
      </c>
      <c r="D537" s="61">
        <v>46224.0</v>
      </c>
      <c r="E537" s="62" t="str">
        <f t="shared" si="23"/>
        <v>2026</v>
      </c>
      <c r="F537" s="62" t="str">
        <f t="shared" si="24"/>
        <v>07 Jul</v>
      </c>
      <c r="G537" s="63">
        <v>50000.0</v>
      </c>
      <c r="H537" s="60" t="s">
        <v>32</v>
      </c>
      <c r="I537" s="64" t="s">
        <v>574</v>
      </c>
      <c r="J537" s="64" t="s">
        <v>78</v>
      </c>
      <c r="K537" s="66" t="b">
        <v>1</v>
      </c>
      <c r="L537" s="66"/>
      <c r="M537" s="67"/>
    </row>
    <row r="538" ht="22.5" customHeight="1">
      <c r="B538" s="59">
        <v>858.0</v>
      </c>
      <c r="C538" s="60" t="s">
        <v>39</v>
      </c>
      <c r="D538" s="61">
        <v>46225.0</v>
      </c>
      <c r="E538" s="62" t="str">
        <f t="shared" si="23"/>
        <v>2026</v>
      </c>
      <c r="F538" s="62" t="str">
        <f t="shared" si="24"/>
        <v>07 Jul</v>
      </c>
      <c r="G538" s="63">
        <v>100000.0</v>
      </c>
      <c r="H538" s="60" t="s">
        <v>32</v>
      </c>
      <c r="I538" s="64" t="s">
        <v>418</v>
      </c>
      <c r="J538" s="64" t="s">
        <v>74</v>
      </c>
      <c r="K538" s="66" t="b">
        <v>1</v>
      </c>
      <c r="L538" s="66"/>
      <c r="M538" s="67"/>
    </row>
    <row r="539" ht="22.5" customHeight="1">
      <c r="B539" s="59">
        <v>859.0</v>
      </c>
      <c r="C539" s="60" t="s">
        <v>39</v>
      </c>
      <c r="D539" s="61">
        <v>46225.0</v>
      </c>
      <c r="E539" s="62" t="str">
        <f t="shared" si="23"/>
        <v>2026</v>
      </c>
      <c r="F539" s="62" t="str">
        <f t="shared" si="24"/>
        <v>07 Jul</v>
      </c>
      <c r="G539" s="63">
        <v>65000.0</v>
      </c>
      <c r="H539" s="60" t="s">
        <v>32</v>
      </c>
      <c r="I539" s="64" t="s">
        <v>74</v>
      </c>
      <c r="J539" s="64" t="s">
        <v>74</v>
      </c>
      <c r="K539" s="66" t="b">
        <v>1</v>
      </c>
      <c r="L539" s="66"/>
      <c r="M539" s="67"/>
    </row>
    <row r="540" ht="22.5" customHeight="1">
      <c r="B540" s="59">
        <v>860.0</v>
      </c>
      <c r="C540" s="60" t="s">
        <v>39</v>
      </c>
      <c r="D540" s="61">
        <v>46225.0</v>
      </c>
      <c r="E540" s="62" t="str">
        <f t="shared" si="23"/>
        <v>2026</v>
      </c>
      <c r="F540" s="62" t="str">
        <f t="shared" si="24"/>
        <v>07 Jul</v>
      </c>
      <c r="G540" s="63">
        <v>100000.0</v>
      </c>
      <c r="H540" s="60" t="s">
        <v>32</v>
      </c>
      <c r="I540" s="64" t="s">
        <v>229</v>
      </c>
      <c r="J540" s="64" t="s">
        <v>74</v>
      </c>
      <c r="K540" s="66" t="b">
        <v>1</v>
      </c>
      <c r="L540" s="66"/>
      <c r="M540" s="67"/>
    </row>
    <row r="541" ht="22.5" customHeight="1">
      <c r="B541" s="59">
        <v>861.0</v>
      </c>
      <c r="C541" s="60" t="s">
        <v>22</v>
      </c>
      <c r="D541" s="61">
        <v>46225.0</v>
      </c>
      <c r="E541" s="62" t="str">
        <f t="shared" si="23"/>
        <v>2026</v>
      </c>
      <c r="F541" s="62" t="str">
        <f t="shared" si="24"/>
        <v>07 Jul</v>
      </c>
      <c r="G541" s="63">
        <v>10000.0</v>
      </c>
      <c r="H541" s="60" t="s">
        <v>32</v>
      </c>
      <c r="I541" s="64" t="s">
        <v>529</v>
      </c>
      <c r="J541" s="64" t="s">
        <v>78</v>
      </c>
      <c r="K541" s="66" t="b">
        <v>1</v>
      </c>
      <c r="L541" s="66"/>
      <c r="M541" s="67"/>
    </row>
    <row r="542" ht="22.5" customHeight="1">
      <c r="B542" s="59">
        <v>862.0</v>
      </c>
      <c r="C542" s="60" t="s">
        <v>22</v>
      </c>
      <c r="D542" s="61">
        <v>46225.0</v>
      </c>
      <c r="E542" s="62" t="str">
        <f t="shared" si="23"/>
        <v>2026</v>
      </c>
      <c r="F542" s="62" t="str">
        <f t="shared" si="24"/>
        <v>07 Jul</v>
      </c>
      <c r="G542" s="63">
        <v>100000.0</v>
      </c>
      <c r="H542" s="60" t="s">
        <v>32</v>
      </c>
      <c r="I542" s="64" t="s">
        <v>418</v>
      </c>
      <c r="J542" s="64" t="s">
        <v>74</v>
      </c>
      <c r="K542" s="66" t="b">
        <v>1</v>
      </c>
      <c r="L542" s="66"/>
      <c r="M542" s="67"/>
    </row>
    <row r="543" ht="22.5" customHeight="1">
      <c r="B543" s="59">
        <v>863.0</v>
      </c>
      <c r="C543" s="60" t="s">
        <v>22</v>
      </c>
      <c r="D543" s="61">
        <v>46225.0</v>
      </c>
      <c r="E543" s="62" t="str">
        <f t="shared" si="23"/>
        <v>2026</v>
      </c>
      <c r="F543" s="62" t="str">
        <f t="shared" si="24"/>
        <v>07 Jul</v>
      </c>
      <c r="G543" s="63">
        <v>300000.0</v>
      </c>
      <c r="H543" s="60" t="s">
        <v>32</v>
      </c>
      <c r="I543" s="64" t="s">
        <v>313</v>
      </c>
      <c r="J543" s="64" t="s">
        <v>74</v>
      </c>
      <c r="K543" s="66" t="b">
        <v>1</v>
      </c>
      <c r="L543" s="66"/>
      <c r="M543" s="67"/>
    </row>
    <row r="544" ht="22.5" customHeight="1">
      <c r="B544" s="59">
        <v>864.0</v>
      </c>
      <c r="C544" s="60" t="s">
        <v>39</v>
      </c>
      <c r="D544" s="61">
        <v>46223.0</v>
      </c>
      <c r="E544" s="62" t="str">
        <f t="shared" si="23"/>
        <v>2026</v>
      </c>
      <c r="F544" s="62" t="str">
        <f t="shared" si="24"/>
        <v>07 Jul</v>
      </c>
      <c r="G544" s="63">
        <v>1215000.0</v>
      </c>
      <c r="H544" s="60" t="s">
        <v>32</v>
      </c>
      <c r="I544" s="64" t="s">
        <v>489</v>
      </c>
      <c r="J544" s="64" t="s">
        <v>78</v>
      </c>
      <c r="K544" s="66" t="b">
        <v>1</v>
      </c>
      <c r="L544" s="66"/>
      <c r="M544" s="67"/>
    </row>
    <row r="545" ht="22.5" customHeight="1">
      <c r="B545" s="59">
        <v>865.0</v>
      </c>
      <c r="C545" s="60" t="s">
        <v>22</v>
      </c>
      <c r="D545" s="61">
        <v>46226.0</v>
      </c>
      <c r="E545" s="62" t="str">
        <f t="shared" si="23"/>
        <v>2026</v>
      </c>
      <c r="F545" s="62" t="str">
        <f t="shared" si="24"/>
        <v>07 Jul</v>
      </c>
      <c r="G545" s="63">
        <v>50000.0</v>
      </c>
      <c r="H545" s="60" t="s">
        <v>32</v>
      </c>
      <c r="I545" s="64" t="s">
        <v>229</v>
      </c>
      <c r="J545" s="64" t="s">
        <v>74</v>
      </c>
      <c r="K545" s="66" t="b">
        <v>1</v>
      </c>
      <c r="L545" s="66"/>
      <c r="M545" s="67"/>
    </row>
    <row r="546" ht="22.5" customHeight="1">
      <c r="B546" s="59">
        <v>866.0</v>
      </c>
      <c r="C546" s="60" t="s">
        <v>39</v>
      </c>
      <c r="D546" s="61">
        <v>46226.0</v>
      </c>
      <c r="E546" s="62" t="str">
        <f t="shared" si="23"/>
        <v>2026</v>
      </c>
      <c r="F546" s="62" t="str">
        <f t="shared" si="24"/>
        <v>07 Jul</v>
      </c>
      <c r="G546" s="63">
        <v>15000.0</v>
      </c>
      <c r="H546" s="60" t="s">
        <v>32</v>
      </c>
      <c r="I546" s="64" t="s">
        <v>110</v>
      </c>
      <c r="J546" s="64" t="s">
        <v>74</v>
      </c>
      <c r="K546" s="66" t="b">
        <v>1</v>
      </c>
      <c r="L546" s="66"/>
      <c r="M546" s="67"/>
    </row>
    <row r="547" ht="22.5" customHeight="1">
      <c r="B547" s="59">
        <v>867.0</v>
      </c>
      <c r="C547" s="60" t="s">
        <v>39</v>
      </c>
      <c r="D547" s="61">
        <v>46226.0</v>
      </c>
      <c r="E547" s="62" t="str">
        <f t="shared" si="23"/>
        <v>2026</v>
      </c>
      <c r="F547" s="62" t="str">
        <f t="shared" si="24"/>
        <v>07 Jul</v>
      </c>
      <c r="G547" s="63">
        <v>15000.0</v>
      </c>
      <c r="H547" s="60" t="s">
        <v>32</v>
      </c>
      <c r="I547" s="64" t="s">
        <v>286</v>
      </c>
      <c r="J547" s="64" t="s">
        <v>74</v>
      </c>
      <c r="K547" s="66" t="b">
        <v>1</v>
      </c>
      <c r="L547" s="66"/>
      <c r="M547" s="67"/>
    </row>
    <row r="548" ht="22.5" customHeight="1">
      <c r="B548" s="59">
        <v>868.0</v>
      </c>
      <c r="C548" s="60" t="s">
        <v>22</v>
      </c>
      <c r="D548" s="61">
        <v>46226.0</v>
      </c>
      <c r="E548" s="62" t="str">
        <f t="shared" si="23"/>
        <v>2026</v>
      </c>
      <c r="F548" s="62" t="str">
        <f t="shared" si="24"/>
        <v>07 Jul</v>
      </c>
      <c r="G548" s="63">
        <v>150000.0</v>
      </c>
      <c r="H548" s="60" t="s">
        <v>32</v>
      </c>
      <c r="I548" s="64" t="s">
        <v>343</v>
      </c>
      <c r="J548" s="64" t="s">
        <v>74</v>
      </c>
      <c r="K548" s="66" t="b">
        <v>1</v>
      </c>
      <c r="L548" s="66"/>
      <c r="M548" s="67"/>
    </row>
    <row r="549" ht="22.5" customHeight="1">
      <c r="B549" s="59">
        <v>869.0</v>
      </c>
      <c r="C549" s="60" t="s">
        <v>22</v>
      </c>
      <c r="D549" s="61">
        <v>46227.0</v>
      </c>
      <c r="E549" s="62"/>
      <c r="F549" s="62"/>
      <c r="G549" s="63">
        <v>200000.0</v>
      </c>
      <c r="H549" s="60" t="s">
        <v>32</v>
      </c>
      <c r="I549" s="64" t="s">
        <v>343</v>
      </c>
      <c r="J549" s="64" t="s">
        <v>74</v>
      </c>
      <c r="K549" s="66" t="b">
        <v>1</v>
      </c>
      <c r="L549" s="66"/>
      <c r="M549" s="67"/>
    </row>
    <row r="550" ht="22.5" customHeight="1">
      <c r="B550" s="59">
        <v>870.0</v>
      </c>
      <c r="C550" s="60" t="s">
        <v>39</v>
      </c>
      <c r="D550" s="61">
        <v>46227.0</v>
      </c>
      <c r="E550" s="62" t="str">
        <f t="shared" ref="E550:E1305" si="25">if(D550="","",text(D550,"yyyy"))</f>
        <v>2026</v>
      </c>
      <c r="F550" s="62" t="str">
        <f t="shared" ref="F550:F1305" si="26">if(D550="","",text(D550,"mm")&amp;" "&amp;text(D550,"mmm"))</f>
        <v>07 Jul</v>
      </c>
      <c r="G550" s="63">
        <v>200000.0</v>
      </c>
      <c r="H550" s="60" t="s">
        <v>32</v>
      </c>
      <c r="I550" s="64" t="s">
        <v>342</v>
      </c>
      <c r="J550" s="64" t="s">
        <v>74</v>
      </c>
      <c r="K550" s="66" t="b">
        <v>1</v>
      </c>
      <c r="L550" s="66"/>
      <c r="M550" s="67"/>
    </row>
    <row r="551" ht="22.5" customHeight="1">
      <c r="B551" s="59">
        <v>871.0</v>
      </c>
      <c r="C551" s="60" t="s">
        <v>39</v>
      </c>
      <c r="D551" s="61">
        <v>46227.0</v>
      </c>
      <c r="E551" s="62" t="str">
        <f t="shared" si="25"/>
        <v>2026</v>
      </c>
      <c r="F551" s="62" t="str">
        <f t="shared" si="26"/>
        <v>07 Jul</v>
      </c>
      <c r="G551" s="63">
        <v>50000.0</v>
      </c>
      <c r="H551" s="60" t="s">
        <v>32</v>
      </c>
      <c r="I551" s="64" t="s">
        <v>578</v>
      </c>
      <c r="J551" s="64" t="s">
        <v>74</v>
      </c>
      <c r="K551" s="66" t="b">
        <v>1</v>
      </c>
      <c r="L551" s="66"/>
      <c r="M551" s="67"/>
    </row>
    <row r="552" ht="22.5" customHeight="1">
      <c r="B552" s="59">
        <v>872.0</v>
      </c>
      <c r="C552" s="60"/>
      <c r="D552" s="61"/>
      <c r="E552" s="62" t="str">
        <f t="shared" si="25"/>
        <v/>
      </c>
      <c r="F552" s="62" t="str">
        <f t="shared" si="26"/>
        <v/>
      </c>
      <c r="G552" s="63"/>
      <c r="H552" s="60"/>
      <c r="I552" s="64"/>
      <c r="J552" s="64"/>
      <c r="K552" s="66" t="b">
        <v>0</v>
      </c>
      <c r="L552" s="66"/>
      <c r="M552" s="67"/>
    </row>
    <row r="553" ht="22.5" customHeight="1">
      <c r="B553" s="59"/>
      <c r="C553" s="60"/>
      <c r="D553" s="61"/>
      <c r="E553" s="62" t="str">
        <f t="shared" si="25"/>
        <v/>
      </c>
      <c r="F553" s="62" t="str">
        <f t="shared" si="26"/>
        <v/>
      </c>
      <c r="G553" s="63"/>
      <c r="H553" s="60"/>
      <c r="I553" s="64"/>
      <c r="J553" s="64"/>
      <c r="K553" s="66" t="b">
        <v>0</v>
      </c>
      <c r="L553" s="66"/>
      <c r="M553" s="67"/>
    </row>
    <row r="554" ht="22.5" customHeight="1">
      <c r="B554" s="59"/>
      <c r="C554" s="60"/>
      <c r="D554" s="61"/>
      <c r="E554" s="62" t="str">
        <f t="shared" si="25"/>
        <v/>
      </c>
      <c r="F554" s="62" t="str">
        <f t="shared" si="26"/>
        <v/>
      </c>
      <c r="G554" s="63"/>
      <c r="H554" s="60"/>
      <c r="I554" s="64"/>
      <c r="J554" s="64"/>
      <c r="K554" s="66" t="b">
        <v>0</v>
      </c>
      <c r="L554" s="66"/>
      <c r="M554" s="67"/>
    </row>
    <row r="555" ht="22.5" customHeight="1">
      <c r="B555" s="59"/>
      <c r="C555" s="60"/>
      <c r="D555" s="61"/>
      <c r="E555" s="62" t="str">
        <f t="shared" si="25"/>
        <v/>
      </c>
      <c r="F555" s="62" t="str">
        <f t="shared" si="26"/>
        <v/>
      </c>
      <c r="G555" s="63"/>
      <c r="H555" s="60"/>
      <c r="I555" s="64"/>
      <c r="J555" s="64"/>
      <c r="K555" s="66" t="b">
        <v>0</v>
      </c>
      <c r="L555" s="66"/>
      <c r="M555" s="67"/>
    </row>
    <row r="556" ht="22.5" customHeight="1">
      <c r="B556" s="59"/>
      <c r="C556" s="60"/>
      <c r="D556" s="61"/>
      <c r="E556" s="62" t="str">
        <f t="shared" si="25"/>
        <v/>
      </c>
      <c r="F556" s="62" t="str">
        <f t="shared" si="26"/>
        <v/>
      </c>
      <c r="G556" s="63"/>
      <c r="H556" s="60"/>
      <c r="I556" s="64"/>
      <c r="J556" s="64"/>
      <c r="K556" s="66" t="b">
        <v>0</v>
      </c>
      <c r="L556" s="66"/>
      <c r="M556" s="67"/>
    </row>
    <row r="557" ht="22.5" customHeight="1">
      <c r="B557" s="59"/>
      <c r="C557" s="60"/>
      <c r="D557" s="61"/>
      <c r="E557" s="62" t="str">
        <f t="shared" si="25"/>
        <v/>
      </c>
      <c r="F557" s="62" t="str">
        <f t="shared" si="26"/>
        <v/>
      </c>
      <c r="G557" s="63"/>
      <c r="H557" s="60"/>
      <c r="I557" s="64"/>
      <c r="J557" s="64"/>
      <c r="K557" s="66" t="b">
        <v>0</v>
      </c>
      <c r="L557" s="66"/>
      <c r="M557" s="67"/>
    </row>
    <row r="558" ht="22.5" customHeight="1">
      <c r="B558" s="59"/>
      <c r="C558" s="60"/>
      <c r="D558" s="61"/>
      <c r="E558" s="62" t="str">
        <f t="shared" si="25"/>
        <v/>
      </c>
      <c r="F558" s="62" t="str">
        <f t="shared" si="26"/>
        <v/>
      </c>
      <c r="G558" s="63"/>
      <c r="H558" s="60"/>
      <c r="I558" s="64"/>
      <c r="J558" s="64"/>
      <c r="K558" s="66" t="b">
        <v>0</v>
      </c>
      <c r="L558" s="66"/>
      <c r="M558" s="67"/>
    </row>
    <row r="559" ht="22.5" customHeight="1">
      <c r="B559" s="59"/>
      <c r="C559" s="60"/>
      <c r="D559" s="61"/>
      <c r="E559" s="62" t="str">
        <f t="shared" si="25"/>
        <v/>
      </c>
      <c r="F559" s="62" t="str">
        <f t="shared" si="26"/>
        <v/>
      </c>
      <c r="G559" s="63"/>
      <c r="H559" s="60"/>
      <c r="I559" s="64"/>
      <c r="J559" s="64"/>
      <c r="K559" s="66" t="b">
        <v>0</v>
      </c>
      <c r="L559" s="66"/>
      <c r="M559" s="67"/>
    </row>
    <row r="560" ht="22.5" customHeight="1">
      <c r="B560" s="59"/>
      <c r="C560" s="60"/>
      <c r="D560" s="61"/>
      <c r="E560" s="62" t="str">
        <f t="shared" si="25"/>
        <v/>
      </c>
      <c r="F560" s="62" t="str">
        <f t="shared" si="26"/>
        <v/>
      </c>
      <c r="G560" s="63"/>
      <c r="H560" s="60"/>
      <c r="I560" s="64"/>
      <c r="J560" s="64"/>
      <c r="K560" s="66" t="b">
        <v>0</v>
      </c>
      <c r="L560" s="66"/>
      <c r="M560" s="67"/>
    </row>
    <row r="561" ht="22.5" customHeight="1">
      <c r="B561" s="59"/>
      <c r="C561" s="60"/>
      <c r="D561" s="61"/>
      <c r="E561" s="62" t="str">
        <f t="shared" si="25"/>
        <v/>
      </c>
      <c r="F561" s="62" t="str">
        <f t="shared" si="26"/>
        <v/>
      </c>
      <c r="G561" s="63"/>
      <c r="H561" s="60"/>
      <c r="I561" s="64"/>
      <c r="J561" s="64"/>
      <c r="K561" s="66" t="b">
        <v>0</v>
      </c>
      <c r="L561" s="66"/>
      <c r="M561" s="67"/>
    </row>
    <row r="562" ht="22.5" customHeight="1">
      <c r="B562" s="59"/>
      <c r="C562" s="60"/>
      <c r="D562" s="61"/>
      <c r="E562" s="62" t="str">
        <f t="shared" si="25"/>
        <v/>
      </c>
      <c r="F562" s="62" t="str">
        <f t="shared" si="26"/>
        <v/>
      </c>
      <c r="G562" s="63"/>
      <c r="H562" s="60"/>
      <c r="I562" s="64"/>
      <c r="J562" s="64"/>
      <c r="K562" s="66" t="b">
        <v>0</v>
      </c>
      <c r="L562" s="66"/>
      <c r="M562" s="67"/>
    </row>
    <row r="563" ht="22.5" customHeight="1">
      <c r="B563" s="59"/>
      <c r="C563" s="60"/>
      <c r="D563" s="61"/>
      <c r="E563" s="62" t="str">
        <f t="shared" si="25"/>
        <v/>
      </c>
      <c r="F563" s="62" t="str">
        <f t="shared" si="26"/>
        <v/>
      </c>
      <c r="G563" s="63"/>
      <c r="H563" s="60"/>
      <c r="I563" s="64"/>
      <c r="J563" s="64"/>
      <c r="K563" s="66" t="b">
        <v>0</v>
      </c>
      <c r="L563" s="66"/>
      <c r="M563" s="67"/>
    </row>
    <row r="564" ht="22.5" customHeight="1">
      <c r="B564" s="59"/>
      <c r="C564" s="60"/>
      <c r="D564" s="61"/>
      <c r="E564" s="62" t="str">
        <f t="shared" si="25"/>
        <v/>
      </c>
      <c r="F564" s="62" t="str">
        <f t="shared" si="26"/>
        <v/>
      </c>
      <c r="G564" s="63"/>
      <c r="H564" s="60"/>
      <c r="I564" s="64"/>
      <c r="J564" s="64"/>
      <c r="K564" s="66" t="b">
        <v>0</v>
      </c>
      <c r="L564" s="66"/>
      <c r="M564" s="67"/>
    </row>
    <row r="565" ht="22.5" customHeight="1">
      <c r="B565" s="59"/>
      <c r="C565" s="60"/>
      <c r="D565" s="61"/>
      <c r="E565" s="62" t="str">
        <f t="shared" si="25"/>
        <v/>
      </c>
      <c r="F565" s="62" t="str">
        <f t="shared" si="26"/>
        <v/>
      </c>
      <c r="G565" s="63"/>
      <c r="H565" s="60"/>
      <c r="I565" s="64"/>
      <c r="J565" s="64"/>
      <c r="K565" s="66" t="b">
        <v>0</v>
      </c>
      <c r="L565" s="66"/>
      <c r="M565" s="67"/>
    </row>
    <row r="566" ht="22.5" customHeight="1">
      <c r="B566" s="59"/>
      <c r="C566" s="60"/>
      <c r="D566" s="61"/>
      <c r="E566" s="62" t="str">
        <f t="shared" si="25"/>
        <v/>
      </c>
      <c r="F566" s="62" t="str">
        <f t="shared" si="26"/>
        <v/>
      </c>
      <c r="G566" s="63"/>
      <c r="H566" s="60"/>
      <c r="I566" s="64"/>
      <c r="J566" s="64"/>
      <c r="K566" s="66" t="b">
        <v>0</v>
      </c>
      <c r="L566" s="66"/>
      <c r="M566" s="67"/>
    </row>
    <row r="567" ht="22.5" customHeight="1">
      <c r="B567" s="59"/>
      <c r="C567" s="60"/>
      <c r="D567" s="61"/>
      <c r="E567" s="62" t="str">
        <f t="shared" si="25"/>
        <v/>
      </c>
      <c r="F567" s="62" t="str">
        <f t="shared" si="26"/>
        <v/>
      </c>
      <c r="G567" s="63"/>
      <c r="H567" s="60"/>
      <c r="I567" s="64"/>
      <c r="J567" s="64"/>
      <c r="K567" s="66" t="b">
        <v>0</v>
      </c>
      <c r="L567" s="66"/>
      <c r="M567" s="67"/>
    </row>
    <row r="568" ht="22.5" customHeight="1">
      <c r="B568" s="59"/>
      <c r="C568" s="60"/>
      <c r="D568" s="61"/>
      <c r="E568" s="62" t="str">
        <f t="shared" si="25"/>
        <v/>
      </c>
      <c r="F568" s="62" t="str">
        <f t="shared" si="26"/>
        <v/>
      </c>
      <c r="G568" s="63"/>
      <c r="H568" s="60"/>
      <c r="I568" s="64"/>
      <c r="J568" s="64"/>
      <c r="K568" s="66" t="b">
        <v>0</v>
      </c>
      <c r="L568" s="66"/>
      <c r="M568" s="67"/>
    </row>
    <row r="569" ht="22.5" customHeight="1">
      <c r="B569" s="59"/>
      <c r="C569" s="60"/>
      <c r="D569" s="61"/>
      <c r="E569" s="62" t="str">
        <f t="shared" si="25"/>
        <v/>
      </c>
      <c r="F569" s="62" t="str">
        <f t="shared" si="26"/>
        <v/>
      </c>
      <c r="G569" s="63"/>
      <c r="H569" s="60"/>
      <c r="I569" s="64"/>
      <c r="J569" s="64"/>
      <c r="K569" s="66" t="b">
        <v>0</v>
      </c>
      <c r="L569" s="66"/>
      <c r="M569" s="67"/>
    </row>
    <row r="570" ht="22.5" customHeight="1">
      <c r="B570" s="59"/>
      <c r="C570" s="60"/>
      <c r="D570" s="61"/>
      <c r="E570" s="62" t="str">
        <f t="shared" si="25"/>
        <v/>
      </c>
      <c r="F570" s="62" t="str">
        <f t="shared" si="26"/>
        <v/>
      </c>
      <c r="G570" s="63"/>
      <c r="H570" s="60"/>
      <c r="I570" s="64"/>
      <c r="J570" s="64"/>
      <c r="K570" s="66" t="b">
        <v>0</v>
      </c>
      <c r="L570" s="66"/>
      <c r="M570" s="67"/>
    </row>
    <row r="571" ht="22.5" customHeight="1">
      <c r="B571" s="59"/>
      <c r="C571" s="60"/>
      <c r="D571" s="61"/>
      <c r="E571" s="62" t="str">
        <f t="shared" si="25"/>
        <v/>
      </c>
      <c r="F571" s="62" t="str">
        <f t="shared" si="26"/>
        <v/>
      </c>
      <c r="G571" s="63"/>
      <c r="H571" s="60"/>
      <c r="I571" s="64"/>
      <c r="J571" s="64"/>
      <c r="K571" s="66" t="b">
        <v>0</v>
      </c>
      <c r="L571" s="66"/>
      <c r="M571" s="67"/>
    </row>
    <row r="572" ht="22.5" customHeight="1">
      <c r="B572" s="59"/>
      <c r="C572" s="60"/>
      <c r="D572" s="61"/>
      <c r="E572" s="62" t="str">
        <f t="shared" si="25"/>
        <v/>
      </c>
      <c r="F572" s="62" t="str">
        <f t="shared" si="26"/>
        <v/>
      </c>
      <c r="G572" s="63"/>
      <c r="H572" s="60"/>
      <c r="I572" s="64"/>
      <c r="J572" s="64"/>
      <c r="K572" s="66" t="b">
        <v>0</v>
      </c>
      <c r="L572" s="66"/>
      <c r="M572" s="67"/>
    </row>
    <row r="573" ht="22.5" customHeight="1">
      <c r="B573" s="59"/>
      <c r="C573" s="60"/>
      <c r="D573" s="61"/>
      <c r="E573" s="62" t="str">
        <f t="shared" si="25"/>
        <v/>
      </c>
      <c r="F573" s="62" t="str">
        <f t="shared" si="26"/>
        <v/>
      </c>
      <c r="G573" s="63"/>
      <c r="H573" s="60"/>
      <c r="I573" s="64"/>
      <c r="J573" s="64"/>
      <c r="K573" s="66" t="b">
        <v>0</v>
      </c>
      <c r="L573" s="66"/>
      <c r="M573" s="67"/>
    </row>
    <row r="574" ht="22.5" customHeight="1">
      <c r="B574" s="59"/>
      <c r="C574" s="60"/>
      <c r="D574" s="61"/>
      <c r="E574" s="62" t="str">
        <f t="shared" si="25"/>
        <v/>
      </c>
      <c r="F574" s="62" t="str">
        <f t="shared" si="26"/>
        <v/>
      </c>
      <c r="G574" s="63"/>
      <c r="H574" s="60"/>
      <c r="I574" s="64"/>
      <c r="J574" s="64"/>
      <c r="K574" s="66" t="b">
        <v>0</v>
      </c>
      <c r="L574" s="66"/>
      <c r="M574" s="67"/>
    </row>
    <row r="575" ht="22.5" customHeight="1">
      <c r="B575" s="59"/>
      <c r="C575" s="60"/>
      <c r="D575" s="61"/>
      <c r="E575" s="62" t="str">
        <f t="shared" si="25"/>
        <v/>
      </c>
      <c r="F575" s="62" t="str">
        <f t="shared" si="26"/>
        <v/>
      </c>
      <c r="G575" s="63"/>
      <c r="H575" s="60"/>
      <c r="I575" s="64"/>
      <c r="J575" s="64"/>
      <c r="K575" s="66" t="b">
        <v>0</v>
      </c>
      <c r="L575" s="66"/>
      <c r="M575" s="67"/>
    </row>
    <row r="576" ht="22.5" customHeight="1">
      <c r="B576" s="59"/>
      <c r="C576" s="60"/>
      <c r="D576" s="61"/>
      <c r="E576" s="62" t="str">
        <f t="shared" si="25"/>
        <v/>
      </c>
      <c r="F576" s="62" t="str">
        <f t="shared" si="26"/>
        <v/>
      </c>
      <c r="G576" s="63"/>
      <c r="H576" s="60"/>
      <c r="I576" s="64"/>
      <c r="J576" s="64"/>
      <c r="K576" s="66" t="b">
        <v>0</v>
      </c>
      <c r="L576" s="66"/>
      <c r="M576" s="67"/>
    </row>
    <row r="577" ht="22.5" customHeight="1">
      <c r="B577" s="59"/>
      <c r="C577" s="60"/>
      <c r="D577" s="61"/>
      <c r="E577" s="62" t="str">
        <f t="shared" si="25"/>
        <v/>
      </c>
      <c r="F577" s="62" t="str">
        <f t="shared" si="26"/>
        <v/>
      </c>
      <c r="G577" s="63"/>
      <c r="H577" s="60"/>
      <c r="I577" s="64"/>
      <c r="J577" s="64"/>
      <c r="K577" s="66" t="b">
        <v>0</v>
      </c>
      <c r="L577" s="66"/>
      <c r="M577" s="67"/>
    </row>
    <row r="578" ht="22.5" customHeight="1">
      <c r="B578" s="59"/>
      <c r="C578" s="60"/>
      <c r="D578" s="61"/>
      <c r="E578" s="62" t="str">
        <f t="shared" si="25"/>
        <v/>
      </c>
      <c r="F578" s="62" t="str">
        <f t="shared" si="26"/>
        <v/>
      </c>
      <c r="G578" s="63"/>
      <c r="H578" s="60"/>
      <c r="I578" s="64"/>
      <c r="J578" s="64"/>
      <c r="K578" s="66" t="b">
        <v>0</v>
      </c>
      <c r="L578" s="66"/>
      <c r="M578" s="67"/>
    </row>
    <row r="579" ht="22.5" customHeight="1">
      <c r="B579" s="59"/>
      <c r="C579" s="60"/>
      <c r="D579" s="61"/>
      <c r="E579" s="62" t="str">
        <f t="shared" si="25"/>
        <v/>
      </c>
      <c r="F579" s="62" t="str">
        <f t="shared" si="26"/>
        <v/>
      </c>
      <c r="G579" s="63"/>
      <c r="H579" s="60"/>
      <c r="I579" s="64"/>
      <c r="J579" s="64"/>
      <c r="K579" s="66" t="b">
        <v>0</v>
      </c>
      <c r="L579" s="66"/>
      <c r="M579" s="67"/>
    </row>
    <row r="580" ht="22.5" customHeight="1">
      <c r="B580" s="59"/>
      <c r="C580" s="60"/>
      <c r="D580" s="61"/>
      <c r="E580" s="62" t="str">
        <f t="shared" si="25"/>
        <v/>
      </c>
      <c r="F580" s="62" t="str">
        <f t="shared" si="26"/>
        <v/>
      </c>
      <c r="G580" s="63"/>
      <c r="H580" s="60"/>
      <c r="I580" s="64"/>
      <c r="J580" s="64"/>
      <c r="K580" s="66" t="b">
        <v>0</v>
      </c>
      <c r="L580" s="66"/>
      <c r="M580" s="67"/>
    </row>
    <row r="581" ht="22.5" customHeight="1">
      <c r="B581" s="59"/>
      <c r="C581" s="60"/>
      <c r="D581" s="61"/>
      <c r="E581" s="62" t="str">
        <f t="shared" si="25"/>
        <v/>
      </c>
      <c r="F581" s="62" t="str">
        <f t="shared" si="26"/>
        <v/>
      </c>
      <c r="G581" s="63"/>
      <c r="H581" s="60"/>
      <c r="I581" s="64"/>
      <c r="J581" s="64"/>
      <c r="K581" s="66" t="b">
        <v>0</v>
      </c>
      <c r="L581" s="66"/>
      <c r="M581" s="67"/>
    </row>
    <row r="582" ht="22.5" customHeight="1">
      <c r="B582" s="59"/>
      <c r="C582" s="60"/>
      <c r="D582" s="61"/>
      <c r="E582" s="62" t="str">
        <f t="shared" si="25"/>
        <v/>
      </c>
      <c r="F582" s="62" t="str">
        <f t="shared" si="26"/>
        <v/>
      </c>
      <c r="G582" s="63"/>
      <c r="H582" s="60"/>
      <c r="I582" s="64"/>
      <c r="J582" s="64"/>
      <c r="K582" s="66" t="b">
        <v>0</v>
      </c>
      <c r="L582" s="66"/>
      <c r="M582" s="67"/>
    </row>
    <row r="583" ht="22.5" customHeight="1">
      <c r="B583" s="59"/>
      <c r="C583" s="60"/>
      <c r="D583" s="61"/>
      <c r="E583" s="62" t="str">
        <f t="shared" si="25"/>
        <v/>
      </c>
      <c r="F583" s="62" t="str">
        <f t="shared" si="26"/>
        <v/>
      </c>
      <c r="G583" s="63"/>
      <c r="H583" s="60"/>
      <c r="I583" s="64"/>
      <c r="J583" s="64"/>
      <c r="K583" s="66" t="b">
        <v>0</v>
      </c>
      <c r="L583" s="66"/>
      <c r="M583" s="67"/>
    </row>
    <row r="584" ht="22.5" customHeight="1">
      <c r="B584" s="59"/>
      <c r="C584" s="60"/>
      <c r="D584" s="61"/>
      <c r="E584" s="62" t="str">
        <f t="shared" si="25"/>
        <v/>
      </c>
      <c r="F584" s="62" t="str">
        <f t="shared" si="26"/>
        <v/>
      </c>
      <c r="G584" s="63"/>
      <c r="H584" s="60"/>
      <c r="I584" s="64"/>
      <c r="J584" s="64"/>
      <c r="K584" s="66" t="b">
        <v>0</v>
      </c>
      <c r="L584" s="66"/>
      <c r="M584" s="67"/>
    </row>
    <row r="585" ht="22.5" customHeight="1">
      <c r="B585" s="59"/>
      <c r="C585" s="60"/>
      <c r="D585" s="61"/>
      <c r="E585" s="62" t="str">
        <f t="shared" si="25"/>
        <v/>
      </c>
      <c r="F585" s="62" t="str">
        <f t="shared" si="26"/>
        <v/>
      </c>
      <c r="G585" s="63"/>
      <c r="H585" s="60"/>
      <c r="I585" s="64"/>
      <c r="J585" s="64"/>
      <c r="K585" s="66" t="b">
        <v>0</v>
      </c>
      <c r="L585" s="66"/>
      <c r="M585" s="67"/>
    </row>
    <row r="586" ht="22.5" customHeight="1">
      <c r="B586" s="59"/>
      <c r="C586" s="60"/>
      <c r="D586" s="61"/>
      <c r="E586" s="62" t="str">
        <f t="shared" si="25"/>
        <v/>
      </c>
      <c r="F586" s="62" t="str">
        <f t="shared" si="26"/>
        <v/>
      </c>
      <c r="G586" s="63"/>
      <c r="H586" s="60"/>
      <c r="I586" s="64"/>
      <c r="J586" s="64"/>
      <c r="K586" s="66" t="b">
        <v>0</v>
      </c>
      <c r="L586" s="66"/>
      <c r="M586" s="67"/>
    </row>
    <row r="587" ht="22.5" customHeight="1">
      <c r="B587" s="59"/>
      <c r="C587" s="60"/>
      <c r="D587" s="61"/>
      <c r="E587" s="62" t="str">
        <f t="shared" si="25"/>
        <v/>
      </c>
      <c r="F587" s="62" t="str">
        <f t="shared" si="26"/>
        <v/>
      </c>
      <c r="G587" s="63"/>
      <c r="H587" s="60"/>
      <c r="I587" s="64"/>
      <c r="J587" s="64"/>
      <c r="K587" s="66" t="b">
        <v>0</v>
      </c>
      <c r="L587" s="66"/>
      <c r="M587" s="67"/>
    </row>
    <row r="588" ht="22.5" customHeight="1">
      <c r="B588" s="59"/>
      <c r="C588" s="60"/>
      <c r="D588" s="61"/>
      <c r="E588" s="62" t="str">
        <f t="shared" si="25"/>
        <v/>
      </c>
      <c r="F588" s="62" t="str">
        <f t="shared" si="26"/>
        <v/>
      </c>
      <c r="G588" s="63"/>
      <c r="H588" s="60"/>
      <c r="I588" s="64"/>
      <c r="J588" s="64"/>
      <c r="K588" s="66" t="b">
        <v>0</v>
      </c>
      <c r="L588" s="66"/>
      <c r="M588" s="67"/>
    </row>
    <row r="589" ht="22.5" customHeight="1">
      <c r="B589" s="59"/>
      <c r="C589" s="60"/>
      <c r="D589" s="61"/>
      <c r="E589" s="62" t="str">
        <f t="shared" si="25"/>
        <v/>
      </c>
      <c r="F589" s="62" t="str">
        <f t="shared" si="26"/>
        <v/>
      </c>
      <c r="G589" s="63"/>
      <c r="H589" s="60"/>
      <c r="I589" s="64"/>
      <c r="J589" s="64"/>
      <c r="K589" s="66" t="b">
        <v>0</v>
      </c>
      <c r="L589" s="66"/>
      <c r="M589" s="67"/>
    </row>
    <row r="590" ht="22.5" customHeight="1">
      <c r="B590" s="59"/>
      <c r="C590" s="60"/>
      <c r="D590" s="61"/>
      <c r="E590" s="62" t="str">
        <f t="shared" si="25"/>
        <v/>
      </c>
      <c r="F590" s="62" t="str">
        <f t="shared" si="26"/>
        <v/>
      </c>
      <c r="G590" s="63"/>
      <c r="H590" s="60"/>
      <c r="I590" s="64"/>
      <c r="J590" s="64"/>
      <c r="K590" s="66" t="b">
        <v>0</v>
      </c>
      <c r="L590" s="66"/>
      <c r="M590" s="67"/>
    </row>
    <row r="591" ht="22.5" customHeight="1">
      <c r="B591" s="59"/>
      <c r="C591" s="60"/>
      <c r="D591" s="61"/>
      <c r="E591" s="62" t="str">
        <f t="shared" si="25"/>
        <v/>
      </c>
      <c r="F591" s="62" t="str">
        <f t="shared" si="26"/>
        <v/>
      </c>
      <c r="G591" s="63"/>
      <c r="H591" s="60"/>
      <c r="I591" s="64"/>
      <c r="J591" s="64"/>
      <c r="K591" s="66" t="b">
        <v>0</v>
      </c>
      <c r="L591" s="66"/>
      <c r="M591" s="67"/>
    </row>
    <row r="592" ht="22.5" customHeight="1">
      <c r="B592" s="59"/>
      <c r="C592" s="60"/>
      <c r="D592" s="61"/>
      <c r="E592" s="62" t="str">
        <f t="shared" si="25"/>
        <v/>
      </c>
      <c r="F592" s="62" t="str">
        <f t="shared" si="26"/>
        <v/>
      </c>
      <c r="G592" s="63"/>
      <c r="H592" s="60"/>
      <c r="I592" s="64"/>
      <c r="J592" s="64"/>
      <c r="K592" s="66" t="b">
        <v>0</v>
      </c>
      <c r="L592" s="66"/>
      <c r="M592" s="67"/>
    </row>
    <row r="593" ht="22.5" customHeight="1">
      <c r="B593" s="59"/>
      <c r="C593" s="60"/>
      <c r="D593" s="61"/>
      <c r="E593" s="62" t="str">
        <f t="shared" si="25"/>
        <v/>
      </c>
      <c r="F593" s="62" t="str">
        <f t="shared" si="26"/>
        <v/>
      </c>
      <c r="G593" s="63"/>
      <c r="H593" s="60"/>
      <c r="I593" s="64"/>
      <c r="J593" s="64"/>
      <c r="K593" s="66" t="b">
        <v>0</v>
      </c>
      <c r="L593" s="66"/>
      <c r="M593" s="67"/>
    </row>
    <row r="594" ht="22.5" customHeight="1">
      <c r="B594" s="59"/>
      <c r="C594" s="60"/>
      <c r="D594" s="61"/>
      <c r="E594" s="62" t="str">
        <f t="shared" si="25"/>
        <v/>
      </c>
      <c r="F594" s="62" t="str">
        <f t="shared" si="26"/>
        <v/>
      </c>
      <c r="G594" s="63"/>
      <c r="H594" s="60"/>
      <c r="I594" s="64"/>
      <c r="J594" s="64"/>
      <c r="K594" s="66" t="b">
        <v>0</v>
      </c>
      <c r="L594" s="66"/>
      <c r="M594" s="67"/>
    </row>
    <row r="595" ht="22.5" customHeight="1">
      <c r="B595" s="59"/>
      <c r="C595" s="60"/>
      <c r="D595" s="61"/>
      <c r="E595" s="62" t="str">
        <f t="shared" si="25"/>
        <v/>
      </c>
      <c r="F595" s="62" t="str">
        <f t="shared" si="26"/>
        <v/>
      </c>
      <c r="G595" s="63"/>
      <c r="H595" s="60"/>
      <c r="I595" s="64"/>
      <c r="J595" s="64"/>
      <c r="K595" s="66" t="b">
        <v>0</v>
      </c>
      <c r="L595" s="66"/>
      <c r="M595" s="67"/>
    </row>
    <row r="596" ht="22.5" customHeight="1">
      <c r="B596" s="59"/>
      <c r="C596" s="60"/>
      <c r="D596" s="61"/>
      <c r="E596" s="62" t="str">
        <f t="shared" si="25"/>
        <v/>
      </c>
      <c r="F596" s="62" t="str">
        <f t="shared" si="26"/>
        <v/>
      </c>
      <c r="G596" s="63"/>
      <c r="H596" s="60"/>
      <c r="I596" s="64"/>
      <c r="J596" s="64"/>
      <c r="K596" s="66" t="b">
        <v>0</v>
      </c>
      <c r="L596" s="66"/>
      <c r="M596" s="67"/>
    </row>
    <row r="597" ht="22.5" customHeight="1">
      <c r="B597" s="59"/>
      <c r="C597" s="60"/>
      <c r="D597" s="61"/>
      <c r="E597" s="62" t="str">
        <f t="shared" si="25"/>
        <v/>
      </c>
      <c r="F597" s="62" t="str">
        <f t="shared" si="26"/>
        <v/>
      </c>
      <c r="G597" s="63"/>
      <c r="H597" s="60"/>
      <c r="I597" s="64"/>
      <c r="J597" s="64"/>
      <c r="K597" s="66" t="b">
        <v>0</v>
      </c>
      <c r="L597" s="66"/>
      <c r="M597" s="67"/>
    </row>
    <row r="598" ht="22.5" customHeight="1">
      <c r="B598" s="59"/>
      <c r="C598" s="60"/>
      <c r="D598" s="61"/>
      <c r="E598" s="62" t="str">
        <f t="shared" si="25"/>
        <v/>
      </c>
      <c r="F598" s="62" t="str">
        <f t="shared" si="26"/>
        <v/>
      </c>
      <c r="G598" s="63"/>
      <c r="H598" s="60"/>
      <c r="I598" s="64"/>
      <c r="J598" s="64"/>
      <c r="K598" s="66" t="b">
        <v>0</v>
      </c>
      <c r="L598" s="66"/>
      <c r="M598" s="67"/>
    </row>
    <row r="599" ht="22.5" customHeight="1">
      <c r="B599" s="59"/>
      <c r="C599" s="60"/>
      <c r="D599" s="61"/>
      <c r="E599" s="62" t="str">
        <f t="shared" si="25"/>
        <v/>
      </c>
      <c r="F599" s="62" t="str">
        <f t="shared" si="26"/>
        <v/>
      </c>
      <c r="G599" s="63"/>
      <c r="H599" s="60"/>
      <c r="I599" s="64"/>
      <c r="J599" s="64"/>
      <c r="K599" s="66" t="b">
        <v>0</v>
      </c>
      <c r="L599" s="66"/>
      <c r="M599" s="67"/>
    </row>
    <row r="600" ht="22.5" customHeight="1">
      <c r="B600" s="59"/>
      <c r="C600" s="60"/>
      <c r="D600" s="61"/>
      <c r="E600" s="62" t="str">
        <f t="shared" si="25"/>
        <v/>
      </c>
      <c r="F600" s="62" t="str">
        <f t="shared" si="26"/>
        <v/>
      </c>
      <c r="G600" s="63"/>
      <c r="H600" s="60"/>
      <c r="I600" s="64"/>
      <c r="J600" s="64"/>
      <c r="K600" s="66" t="b">
        <v>0</v>
      </c>
      <c r="L600" s="66"/>
      <c r="M600" s="67"/>
    </row>
    <row r="601" ht="22.5" customHeight="1">
      <c r="B601" s="59"/>
      <c r="C601" s="60"/>
      <c r="D601" s="61"/>
      <c r="E601" s="62" t="str">
        <f t="shared" si="25"/>
        <v/>
      </c>
      <c r="F601" s="62" t="str">
        <f t="shared" si="26"/>
        <v/>
      </c>
      <c r="G601" s="63"/>
      <c r="H601" s="60"/>
      <c r="I601" s="64"/>
      <c r="J601" s="64"/>
      <c r="K601" s="66" t="b">
        <v>0</v>
      </c>
      <c r="L601" s="66"/>
      <c r="M601" s="67"/>
    </row>
    <row r="602" ht="22.5" customHeight="1">
      <c r="B602" s="59"/>
      <c r="C602" s="60"/>
      <c r="D602" s="61"/>
      <c r="E602" s="62" t="str">
        <f t="shared" si="25"/>
        <v/>
      </c>
      <c r="F602" s="62" t="str">
        <f t="shared" si="26"/>
        <v/>
      </c>
      <c r="G602" s="63"/>
      <c r="H602" s="60"/>
      <c r="I602" s="64"/>
      <c r="J602" s="64"/>
      <c r="K602" s="66" t="b">
        <v>0</v>
      </c>
      <c r="L602" s="66"/>
      <c r="M602" s="67"/>
    </row>
    <row r="603" ht="22.5" customHeight="1">
      <c r="B603" s="59"/>
      <c r="C603" s="60"/>
      <c r="D603" s="61"/>
      <c r="E603" s="62" t="str">
        <f t="shared" si="25"/>
        <v/>
      </c>
      <c r="F603" s="62" t="str">
        <f t="shared" si="26"/>
        <v/>
      </c>
      <c r="G603" s="63"/>
      <c r="H603" s="60"/>
      <c r="I603" s="64"/>
      <c r="J603" s="64"/>
      <c r="K603" s="66" t="b">
        <v>0</v>
      </c>
      <c r="L603" s="66"/>
      <c r="M603" s="67"/>
    </row>
    <row r="604" ht="22.5" customHeight="1">
      <c r="B604" s="59"/>
      <c r="C604" s="60"/>
      <c r="D604" s="61"/>
      <c r="E604" s="62" t="str">
        <f t="shared" si="25"/>
        <v/>
      </c>
      <c r="F604" s="62" t="str">
        <f t="shared" si="26"/>
        <v/>
      </c>
      <c r="G604" s="63"/>
      <c r="H604" s="60"/>
      <c r="I604" s="64"/>
      <c r="J604" s="64"/>
      <c r="K604" s="66" t="b">
        <v>0</v>
      </c>
      <c r="L604" s="66"/>
      <c r="M604" s="67"/>
    </row>
    <row r="605" ht="22.5" customHeight="1">
      <c r="B605" s="59"/>
      <c r="C605" s="60"/>
      <c r="D605" s="61"/>
      <c r="E605" s="62" t="str">
        <f t="shared" si="25"/>
        <v/>
      </c>
      <c r="F605" s="62" t="str">
        <f t="shared" si="26"/>
        <v/>
      </c>
      <c r="G605" s="63"/>
      <c r="H605" s="60"/>
      <c r="I605" s="64"/>
      <c r="J605" s="64"/>
      <c r="K605" s="66" t="b">
        <v>0</v>
      </c>
      <c r="L605" s="66"/>
      <c r="M605" s="67"/>
    </row>
    <row r="606" ht="22.5" customHeight="1">
      <c r="B606" s="59"/>
      <c r="C606" s="60"/>
      <c r="D606" s="61"/>
      <c r="E606" s="62" t="str">
        <f t="shared" si="25"/>
        <v/>
      </c>
      <c r="F606" s="62" t="str">
        <f t="shared" si="26"/>
        <v/>
      </c>
      <c r="G606" s="63"/>
      <c r="H606" s="60"/>
      <c r="I606" s="64"/>
      <c r="J606" s="64"/>
      <c r="K606" s="66" t="b">
        <v>0</v>
      </c>
      <c r="L606" s="66"/>
      <c r="M606" s="67"/>
    </row>
    <row r="607" ht="22.5" customHeight="1">
      <c r="B607" s="59"/>
      <c r="C607" s="60"/>
      <c r="D607" s="61"/>
      <c r="E607" s="62" t="str">
        <f t="shared" si="25"/>
        <v/>
      </c>
      <c r="F607" s="62" t="str">
        <f t="shared" si="26"/>
        <v/>
      </c>
      <c r="G607" s="63"/>
      <c r="H607" s="60"/>
      <c r="I607" s="64"/>
      <c r="J607" s="64"/>
      <c r="K607" s="66" t="b">
        <v>0</v>
      </c>
      <c r="L607" s="66"/>
      <c r="M607" s="67"/>
    </row>
    <row r="608" ht="22.5" customHeight="1">
      <c r="B608" s="59"/>
      <c r="C608" s="60"/>
      <c r="D608" s="61"/>
      <c r="E608" s="62" t="str">
        <f t="shared" si="25"/>
        <v/>
      </c>
      <c r="F608" s="62" t="str">
        <f t="shared" si="26"/>
        <v/>
      </c>
      <c r="G608" s="63"/>
      <c r="H608" s="60"/>
      <c r="I608" s="64"/>
      <c r="J608" s="64"/>
      <c r="K608" s="66" t="b">
        <v>0</v>
      </c>
      <c r="L608" s="66"/>
      <c r="M608" s="67"/>
    </row>
    <row r="609" ht="22.5" customHeight="1">
      <c r="B609" s="59"/>
      <c r="C609" s="60"/>
      <c r="D609" s="61"/>
      <c r="E609" s="62" t="str">
        <f t="shared" si="25"/>
        <v/>
      </c>
      <c r="F609" s="62" t="str">
        <f t="shared" si="26"/>
        <v/>
      </c>
      <c r="G609" s="63"/>
      <c r="H609" s="60"/>
      <c r="I609" s="64"/>
      <c r="J609" s="64"/>
      <c r="K609" s="66" t="b">
        <v>0</v>
      </c>
      <c r="L609" s="66"/>
      <c r="M609" s="67"/>
    </row>
    <row r="610" ht="22.5" customHeight="1">
      <c r="B610" s="59"/>
      <c r="C610" s="60"/>
      <c r="D610" s="61"/>
      <c r="E610" s="62" t="str">
        <f t="shared" si="25"/>
        <v/>
      </c>
      <c r="F610" s="62" t="str">
        <f t="shared" si="26"/>
        <v/>
      </c>
      <c r="G610" s="63"/>
      <c r="H610" s="60"/>
      <c r="I610" s="64"/>
      <c r="J610" s="64"/>
      <c r="K610" s="66" t="b">
        <v>0</v>
      </c>
      <c r="L610" s="66"/>
      <c r="M610" s="67"/>
    </row>
    <row r="611" ht="22.5" customHeight="1">
      <c r="B611" s="59"/>
      <c r="C611" s="60"/>
      <c r="D611" s="61"/>
      <c r="E611" s="62" t="str">
        <f t="shared" si="25"/>
        <v/>
      </c>
      <c r="F611" s="62" t="str">
        <f t="shared" si="26"/>
        <v/>
      </c>
      <c r="G611" s="63"/>
      <c r="H611" s="60"/>
      <c r="I611" s="64"/>
      <c r="J611" s="64"/>
      <c r="K611" s="66" t="b">
        <v>0</v>
      </c>
      <c r="L611" s="66"/>
      <c r="M611" s="67"/>
    </row>
    <row r="612" ht="22.5" customHeight="1">
      <c r="B612" s="59"/>
      <c r="C612" s="60"/>
      <c r="D612" s="61"/>
      <c r="E612" s="62" t="str">
        <f t="shared" si="25"/>
        <v/>
      </c>
      <c r="F612" s="62" t="str">
        <f t="shared" si="26"/>
        <v/>
      </c>
      <c r="G612" s="63"/>
      <c r="H612" s="60"/>
      <c r="I612" s="64"/>
      <c r="J612" s="64"/>
      <c r="K612" s="66" t="b">
        <v>0</v>
      </c>
      <c r="L612" s="66"/>
      <c r="M612" s="67"/>
    </row>
    <row r="613" ht="22.5" customHeight="1">
      <c r="B613" s="59"/>
      <c r="C613" s="60"/>
      <c r="D613" s="61"/>
      <c r="E613" s="62" t="str">
        <f t="shared" si="25"/>
        <v/>
      </c>
      <c r="F613" s="62" t="str">
        <f t="shared" si="26"/>
        <v/>
      </c>
      <c r="G613" s="63"/>
      <c r="H613" s="60"/>
      <c r="I613" s="64"/>
      <c r="J613" s="64"/>
      <c r="K613" s="66" t="b">
        <v>0</v>
      </c>
      <c r="L613" s="66"/>
      <c r="M613" s="67"/>
    </row>
    <row r="614" ht="22.5" customHeight="1">
      <c r="B614" s="59"/>
      <c r="C614" s="60"/>
      <c r="D614" s="61"/>
      <c r="E614" s="62" t="str">
        <f t="shared" si="25"/>
        <v/>
      </c>
      <c r="F614" s="62" t="str">
        <f t="shared" si="26"/>
        <v/>
      </c>
      <c r="G614" s="63"/>
      <c r="H614" s="60"/>
      <c r="I614" s="64"/>
      <c r="J614" s="64"/>
      <c r="K614" s="66" t="b">
        <v>0</v>
      </c>
      <c r="L614" s="66"/>
      <c r="M614" s="67"/>
    </row>
    <row r="615" ht="22.5" customHeight="1">
      <c r="B615" s="59"/>
      <c r="C615" s="60"/>
      <c r="D615" s="61"/>
      <c r="E615" s="62" t="str">
        <f t="shared" si="25"/>
        <v/>
      </c>
      <c r="F615" s="62" t="str">
        <f t="shared" si="26"/>
        <v/>
      </c>
      <c r="G615" s="63"/>
      <c r="H615" s="60"/>
      <c r="I615" s="64"/>
      <c r="J615" s="64"/>
      <c r="K615" s="66" t="b">
        <v>0</v>
      </c>
      <c r="L615" s="66"/>
      <c r="M615" s="67"/>
    </row>
    <row r="616" ht="22.5" customHeight="1">
      <c r="B616" s="59"/>
      <c r="C616" s="60"/>
      <c r="D616" s="61"/>
      <c r="E616" s="62" t="str">
        <f t="shared" si="25"/>
        <v/>
      </c>
      <c r="F616" s="62" t="str">
        <f t="shared" si="26"/>
        <v/>
      </c>
      <c r="G616" s="63"/>
      <c r="H616" s="60"/>
      <c r="I616" s="64"/>
      <c r="J616" s="64"/>
      <c r="K616" s="66" t="b">
        <v>0</v>
      </c>
      <c r="L616" s="66"/>
      <c r="M616" s="67"/>
    </row>
    <row r="617" ht="22.5" customHeight="1">
      <c r="B617" s="59"/>
      <c r="C617" s="60"/>
      <c r="D617" s="61"/>
      <c r="E617" s="62" t="str">
        <f t="shared" si="25"/>
        <v/>
      </c>
      <c r="F617" s="62" t="str">
        <f t="shared" si="26"/>
        <v/>
      </c>
      <c r="G617" s="63"/>
      <c r="H617" s="60"/>
      <c r="I617" s="64"/>
      <c r="J617" s="64"/>
      <c r="K617" s="66" t="b">
        <v>0</v>
      </c>
      <c r="L617" s="66"/>
      <c r="M617" s="67"/>
    </row>
    <row r="618" ht="22.5" customHeight="1">
      <c r="B618" s="59"/>
      <c r="C618" s="60"/>
      <c r="D618" s="61"/>
      <c r="E618" s="62" t="str">
        <f t="shared" si="25"/>
        <v/>
      </c>
      <c r="F618" s="62" t="str">
        <f t="shared" si="26"/>
        <v/>
      </c>
      <c r="G618" s="63"/>
      <c r="H618" s="60"/>
      <c r="I618" s="64"/>
      <c r="J618" s="64"/>
      <c r="K618" s="66" t="b">
        <v>0</v>
      </c>
      <c r="L618" s="66"/>
      <c r="M618" s="67"/>
    </row>
    <row r="619" ht="22.5" customHeight="1">
      <c r="B619" s="59"/>
      <c r="C619" s="60"/>
      <c r="D619" s="61"/>
      <c r="E619" s="62" t="str">
        <f t="shared" si="25"/>
        <v/>
      </c>
      <c r="F619" s="62" t="str">
        <f t="shared" si="26"/>
        <v/>
      </c>
      <c r="G619" s="63"/>
      <c r="H619" s="60"/>
      <c r="I619" s="64"/>
      <c r="J619" s="64"/>
      <c r="K619" s="66" t="b">
        <v>0</v>
      </c>
      <c r="L619" s="66"/>
      <c r="M619" s="67"/>
    </row>
    <row r="620" ht="22.5" customHeight="1">
      <c r="B620" s="59"/>
      <c r="C620" s="60"/>
      <c r="D620" s="61"/>
      <c r="E620" s="62" t="str">
        <f t="shared" si="25"/>
        <v/>
      </c>
      <c r="F620" s="62" t="str">
        <f t="shared" si="26"/>
        <v/>
      </c>
      <c r="G620" s="63"/>
      <c r="H620" s="60"/>
      <c r="I620" s="64"/>
      <c r="J620" s="64"/>
      <c r="K620" s="66" t="b">
        <v>0</v>
      </c>
      <c r="L620" s="66"/>
      <c r="M620" s="67"/>
    </row>
    <row r="621" ht="22.5" customHeight="1">
      <c r="B621" s="59"/>
      <c r="C621" s="60"/>
      <c r="D621" s="61"/>
      <c r="E621" s="62" t="str">
        <f t="shared" si="25"/>
        <v/>
      </c>
      <c r="F621" s="62" t="str">
        <f t="shared" si="26"/>
        <v/>
      </c>
      <c r="G621" s="63"/>
      <c r="H621" s="60"/>
      <c r="I621" s="64"/>
      <c r="J621" s="64"/>
      <c r="K621" s="66" t="b">
        <v>0</v>
      </c>
      <c r="L621" s="66"/>
      <c r="M621" s="67"/>
    </row>
    <row r="622" ht="22.5" customHeight="1">
      <c r="B622" s="59"/>
      <c r="C622" s="60"/>
      <c r="D622" s="61"/>
      <c r="E622" s="62" t="str">
        <f t="shared" si="25"/>
        <v/>
      </c>
      <c r="F622" s="62" t="str">
        <f t="shared" si="26"/>
        <v/>
      </c>
      <c r="G622" s="63"/>
      <c r="H622" s="60"/>
      <c r="I622" s="64"/>
      <c r="J622" s="64"/>
      <c r="K622" s="66" t="b">
        <v>0</v>
      </c>
      <c r="L622" s="66"/>
      <c r="M622" s="67"/>
    </row>
    <row r="623" ht="22.5" customHeight="1">
      <c r="B623" s="59"/>
      <c r="C623" s="60"/>
      <c r="D623" s="61"/>
      <c r="E623" s="62" t="str">
        <f t="shared" si="25"/>
        <v/>
      </c>
      <c r="F623" s="62" t="str">
        <f t="shared" si="26"/>
        <v/>
      </c>
      <c r="G623" s="63"/>
      <c r="H623" s="60"/>
      <c r="I623" s="64"/>
      <c r="J623" s="64"/>
      <c r="K623" s="66" t="b">
        <v>0</v>
      </c>
      <c r="L623" s="66"/>
      <c r="M623" s="67"/>
    </row>
    <row r="624" ht="22.5" customHeight="1">
      <c r="B624" s="59"/>
      <c r="C624" s="60"/>
      <c r="D624" s="61"/>
      <c r="E624" s="62" t="str">
        <f t="shared" si="25"/>
        <v/>
      </c>
      <c r="F624" s="62" t="str">
        <f t="shared" si="26"/>
        <v/>
      </c>
      <c r="G624" s="63"/>
      <c r="H624" s="60"/>
      <c r="I624" s="64"/>
      <c r="J624" s="64"/>
      <c r="K624" s="66" t="b">
        <v>0</v>
      </c>
      <c r="L624" s="66"/>
      <c r="M624" s="67"/>
    </row>
    <row r="625" ht="22.5" customHeight="1">
      <c r="B625" s="59"/>
      <c r="C625" s="60"/>
      <c r="D625" s="61"/>
      <c r="E625" s="62" t="str">
        <f t="shared" si="25"/>
        <v/>
      </c>
      <c r="F625" s="62" t="str">
        <f t="shared" si="26"/>
        <v/>
      </c>
      <c r="G625" s="63"/>
      <c r="H625" s="60"/>
      <c r="I625" s="64"/>
      <c r="J625" s="64"/>
      <c r="K625" s="66" t="b">
        <v>0</v>
      </c>
      <c r="L625" s="66"/>
      <c r="M625" s="67"/>
    </row>
    <row r="626" ht="22.5" customHeight="1">
      <c r="B626" s="59"/>
      <c r="C626" s="60"/>
      <c r="D626" s="61"/>
      <c r="E626" s="62" t="str">
        <f t="shared" si="25"/>
        <v/>
      </c>
      <c r="F626" s="62" t="str">
        <f t="shared" si="26"/>
        <v/>
      </c>
      <c r="G626" s="63"/>
      <c r="H626" s="60"/>
      <c r="I626" s="64"/>
      <c r="J626" s="64"/>
      <c r="K626" s="66" t="b">
        <v>0</v>
      </c>
      <c r="L626" s="66"/>
      <c r="M626" s="67"/>
    </row>
    <row r="627" ht="22.5" customHeight="1">
      <c r="B627" s="59"/>
      <c r="C627" s="60"/>
      <c r="D627" s="61"/>
      <c r="E627" s="62" t="str">
        <f t="shared" si="25"/>
        <v/>
      </c>
      <c r="F627" s="62" t="str">
        <f t="shared" si="26"/>
        <v/>
      </c>
      <c r="G627" s="63"/>
      <c r="H627" s="60"/>
      <c r="I627" s="64"/>
      <c r="J627" s="64"/>
      <c r="K627" s="66" t="b">
        <v>0</v>
      </c>
      <c r="L627" s="66"/>
      <c r="M627" s="67"/>
    </row>
    <row r="628" ht="22.5" customHeight="1">
      <c r="B628" s="59"/>
      <c r="C628" s="60"/>
      <c r="D628" s="61"/>
      <c r="E628" s="62" t="str">
        <f t="shared" si="25"/>
        <v/>
      </c>
      <c r="F628" s="62" t="str">
        <f t="shared" si="26"/>
        <v/>
      </c>
      <c r="G628" s="63"/>
      <c r="H628" s="60"/>
      <c r="I628" s="64"/>
      <c r="J628" s="64"/>
      <c r="K628" s="66" t="b">
        <v>0</v>
      </c>
      <c r="L628" s="66"/>
      <c r="M628" s="67"/>
    </row>
    <row r="629" ht="22.5" customHeight="1">
      <c r="B629" s="59"/>
      <c r="C629" s="60"/>
      <c r="D629" s="61"/>
      <c r="E629" s="62" t="str">
        <f t="shared" si="25"/>
        <v/>
      </c>
      <c r="F629" s="62" t="str">
        <f t="shared" si="26"/>
        <v/>
      </c>
      <c r="G629" s="63"/>
      <c r="H629" s="60"/>
      <c r="I629" s="64"/>
      <c r="J629" s="64"/>
      <c r="K629" s="66" t="b">
        <v>0</v>
      </c>
      <c r="L629" s="66"/>
      <c r="M629" s="67"/>
    </row>
    <row r="630" ht="22.5" customHeight="1">
      <c r="B630" s="59"/>
      <c r="C630" s="60"/>
      <c r="D630" s="61"/>
      <c r="E630" s="62" t="str">
        <f t="shared" si="25"/>
        <v/>
      </c>
      <c r="F630" s="62" t="str">
        <f t="shared" si="26"/>
        <v/>
      </c>
      <c r="G630" s="63"/>
      <c r="H630" s="60"/>
      <c r="I630" s="64"/>
      <c r="J630" s="64"/>
      <c r="K630" s="66" t="b">
        <v>0</v>
      </c>
      <c r="L630" s="66"/>
      <c r="M630" s="67"/>
    </row>
    <row r="631" ht="22.5" customHeight="1">
      <c r="B631" s="59"/>
      <c r="C631" s="60"/>
      <c r="D631" s="61"/>
      <c r="E631" s="62" t="str">
        <f t="shared" si="25"/>
        <v/>
      </c>
      <c r="F631" s="62" t="str">
        <f t="shared" si="26"/>
        <v/>
      </c>
      <c r="G631" s="63"/>
      <c r="H631" s="60"/>
      <c r="I631" s="64"/>
      <c r="J631" s="64"/>
      <c r="K631" s="66" t="b">
        <v>0</v>
      </c>
      <c r="L631" s="66"/>
      <c r="M631" s="67"/>
    </row>
    <row r="632" ht="22.5" customHeight="1">
      <c r="B632" s="59"/>
      <c r="C632" s="60"/>
      <c r="D632" s="61"/>
      <c r="E632" s="62" t="str">
        <f t="shared" si="25"/>
        <v/>
      </c>
      <c r="F632" s="62" t="str">
        <f t="shared" si="26"/>
        <v/>
      </c>
      <c r="G632" s="63"/>
      <c r="H632" s="60"/>
      <c r="I632" s="64"/>
      <c r="J632" s="64"/>
      <c r="K632" s="66" t="b">
        <v>0</v>
      </c>
      <c r="L632" s="66"/>
      <c r="M632" s="67"/>
    </row>
    <row r="633" ht="22.5" customHeight="1">
      <c r="B633" s="59"/>
      <c r="C633" s="60"/>
      <c r="D633" s="61"/>
      <c r="E633" s="62" t="str">
        <f t="shared" si="25"/>
        <v/>
      </c>
      <c r="F633" s="62" t="str">
        <f t="shared" si="26"/>
        <v/>
      </c>
      <c r="G633" s="63"/>
      <c r="H633" s="60"/>
      <c r="I633" s="64"/>
      <c r="J633" s="64"/>
      <c r="K633" s="66" t="b">
        <v>0</v>
      </c>
      <c r="L633" s="66"/>
      <c r="M633" s="67"/>
    </row>
    <row r="634" ht="22.5" customHeight="1">
      <c r="B634" s="59"/>
      <c r="C634" s="60"/>
      <c r="D634" s="61"/>
      <c r="E634" s="62" t="str">
        <f t="shared" si="25"/>
        <v/>
      </c>
      <c r="F634" s="62" t="str">
        <f t="shared" si="26"/>
        <v/>
      </c>
      <c r="G634" s="63"/>
      <c r="H634" s="60"/>
      <c r="I634" s="64"/>
      <c r="J634" s="64"/>
      <c r="K634" s="66" t="b">
        <v>0</v>
      </c>
      <c r="L634" s="66"/>
      <c r="M634" s="67"/>
    </row>
    <row r="635" ht="22.5" customHeight="1">
      <c r="B635" s="59"/>
      <c r="C635" s="60"/>
      <c r="D635" s="61"/>
      <c r="E635" s="62" t="str">
        <f t="shared" si="25"/>
        <v/>
      </c>
      <c r="F635" s="62" t="str">
        <f t="shared" si="26"/>
        <v/>
      </c>
      <c r="G635" s="63"/>
      <c r="H635" s="60"/>
      <c r="I635" s="64"/>
      <c r="J635" s="64"/>
      <c r="K635" s="66" t="b">
        <v>0</v>
      </c>
      <c r="L635" s="66"/>
      <c r="M635" s="67"/>
    </row>
    <row r="636" ht="22.5" customHeight="1">
      <c r="B636" s="59"/>
      <c r="C636" s="60"/>
      <c r="D636" s="61"/>
      <c r="E636" s="62" t="str">
        <f t="shared" si="25"/>
        <v/>
      </c>
      <c r="F636" s="62" t="str">
        <f t="shared" si="26"/>
        <v/>
      </c>
      <c r="G636" s="63"/>
      <c r="H636" s="60"/>
      <c r="I636" s="64"/>
      <c r="J636" s="64"/>
      <c r="K636" s="66" t="b">
        <v>0</v>
      </c>
      <c r="L636" s="66"/>
      <c r="M636" s="67"/>
    </row>
    <row r="637" ht="22.5" customHeight="1">
      <c r="B637" s="59"/>
      <c r="C637" s="60"/>
      <c r="D637" s="61"/>
      <c r="E637" s="62" t="str">
        <f t="shared" si="25"/>
        <v/>
      </c>
      <c r="F637" s="62" t="str">
        <f t="shared" si="26"/>
        <v/>
      </c>
      <c r="G637" s="63"/>
      <c r="H637" s="60"/>
      <c r="I637" s="64"/>
      <c r="J637" s="64"/>
      <c r="K637" s="66" t="b">
        <v>0</v>
      </c>
      <c r="L637" s="66"/>
      <c r="M637" s="67"/>
    </row>
    <row r="638" ht="22.5" customHeight="1">
      <c r="B638" s="59"/>
      <c r="C638" s="60"/>
      <c r="D638" s="61"/>
      <c r="E638" s="62" t="str">
        <f t="shared" si="25"/>
        <v/>
      </c>
      <c r="F638" s="62" t="str">
        <f t="shared" si="26"/>
        <v/>
      </c>
      <c r="G638" s="63"/>
      <c r="H638" s="60"/>
      <c r="I638" s="64"/>
      <c r="J638" s="64"/>
      <c r="K638" s="66" t="b">
        <v>0</v>
      </c>
      <c r="L638" s="66"/>
      <c r="M638" s="67"/>
    </row>
    <row r="639" ht="22.5" customHeight="1">
      <c r="B639" s="59"/>
      <c r="C639" s="60"/>
      <c r="D639" s="61"/>
      <c r="E639" s="62" t="str">
        <f t="shared" si="25"/>
        <v/>
      </c>
      <c r="F639" s="62" t="str">
        <f t="shared" si="26"/>
        <v/>
      </c>
      <c r="G639" s="63"/>
      <c r="H639" s="60"/>
      <c r="I639" s="64"/>
      <c r="J639" s="64"/>
      <c r="K639" s="66" t="b">
        <v>0</v>
      </c>
      <c r="L639" s="66"/>
      <c r="M639" s="67"/>
    </row>
    <row r="640" ht="22.5" customHeight="1">
      <c r="B640" s="59"/>
      <c r="C640" s="60"/>
      <c r="D640" s="61"/>
      <c r="E640" s="62" t="str">
        <f t="shared" si="25"/>
        <v/>
      </c>
      <c r="F640" s="62" t="str">
        <f t="shared" si="26"/>
        <v/>
      </c>
      <c r="G640" s="63"/>
      <c r="H640" s="60"/>
      <c r="I640" s="64"/>
      <c r="J640" s="64"/>
      <c r="K640" s="66" t="b">
        <v>0</v>
      </c>
      <c r="L640" s="66"/>
      <c r="M640" s="67"/>
    </row>
    <row r="641" ht="22.5" customHeight="1">
      <c r="B641" s="59"/>
      <c r="C641" s="60"/>
      <c r="D641" s="61"/>
      <c r="E641" s="62" t="str">
        <f t="shared" si="25"/>
        <v/>
      </c>
      <c r="F641" s="62" t="str">
        <f t="shared" si="26"/>
        <v/>
      </c>
      <c r="G641" s="63"/>
      <c r="H641" s="60"/>
      <c r="I641" s="64"/>
      <c r="J641" s="64"/>
      <c r="K641" s="66" t="b">
        <v>0</v>
      </c>
      <c r="L641" s="66"/>
      <c r="M641" s="67"/>
    </row>
    <row r="642" ht="22.5" customHeight="1">
      <c r="B642" s="59"/>
      <c r="C642" s="60"/>
      <c r="D642" s="61"/>
      <c r="E642" s="62" t="str">
        <f t="shared" si="25"/>
        <v/>
      </c>
      <c r="F642" s="62" t="str">
        <f t="shared" si="26"/>
        <v/>
      </c>
      <c r="G642" s="63"/>
      <c r="H642" s="60"/>
      <c r="I642" s="64"/>
      <c r="J642" s="64"/>
      <c r="K642" s="66" t="b">
        <v>0</v>
      </c>
      <c r="L642" s="66"/>
      <c r="M642" s="67"/>
    </row>
    <row r="643" ht="22.5" customHeight="1">
      <c r="B643" s="59"/>
      <c r="C643" s="60"/>
      <c r="D643" s="61"/>
      <c r="E643" s="62" t="str">
        <f t="shared" si="25"/>
        <v/>
      </c>
      <c r="F643" s="62" t="str">
        <f t="shared" si="26"/>
        <v/>
      </c>
      <c r="G643" s="63"/>
      <c r="H643" s="60"/>
      <c r="I643" s="64"/>
      <c r="J643" s="64"/>
      <c r="K643" s="66" t="b">
        <v>0</v>
      </c>
      <c r="L643" s="66"/>
      <c r="M643" s="67"/>
    </row>
    <row r="644" ht="22.5" customHeight="1">
      <c r="B644" s="59"/>
      <c r="C644" s="60"/>
      <c r="D644" s="61"/>
      <c r="E644" s="62" t="str">
        <f t="shared" si="25"/>
        <v/>
      </c>
      <c r="F644" s="62" t="str">
        <f t="shared" si="26"/>
        <v/>
      </c>
      <c r="G644" s="63"/>
      <c r="H644" s="60"/>
      <c r="I644" s="64"/>
      <c r="J644" s="64"/>
      <c r="K644" s="66" t="b">
        <v>0</v>
      </c>
      <c r="L644" s="66"/>
      <c r="M644" s="67"/>
    </row>
    <row r="645" ht="22.5" customHeight="1">
      <c r="B645" s="59"/>
      <c r="C645" s="60"/>
      <c r="D645" s="61"/>
      <c r="E645" s="62" t="str">
        <f t="shared" si="25"/>
        <v/>
      </c>
      <c r="F645" s="62" t="str">
        <f t="shared" si="26"/>
        <v/>
      </c>
      <c r="G645" s="63"/>
      <c r="H645" s="60"/>
      <c r="I645" s="64"/>
      <c r="J645" s="64"/>
      <c r="K645" s="66" t="b">
        <v>0</v>
      </c>
      <c r="L645" s="66"/>
      <c r="M645" s="67"/>
    </row>
    <row r="646" ht="22.5" customHeight="1">
      <c r="B646" s="59"/>
      <c r="C646" s="60"/>
      <c r="D646" s="61"/>
      <c r="E646" s="62" t="str">
        <f t="shared" si="25"/>
        <v/>
      </c>
      <c r="F646" s="62" t="str">
        <f t="shared" si="26"/>
        <v/>
      </c>
      <c r="G646" s="63"/>
      <c r="H646" s="60"/>
      <c r="I646" s="64"/>
      <c r="J646" s="64"/>
      <c r="K646" s="66" t="b">
        <v>0</v>
      </c>
      <c r="L646" s="66"/>
      <c r="M646" s="67"/>
    </row>
    <row r="647" ht="22.5" customHeight="1">
      <c r="B647" s="59"/>
      <c r="C647" s="60"/>
      <c r="D647" s="61"/>
      <c r="E647" s="62" t="str">
        <f t="shared" si="25"/>
        <v/>
      </c>
      <c r="F647" s="62" t="str">
        <f t="shared" si="26"/>
        <v/>
      </c>
      <c r="G647" s="63"/>
      <c r="H647" s="60"/>
      <c r="I647" s="64"/>
      <c r="J647" s="64"/>
      <c r="K647" s="66" t="b">
        <v>0</v>
      </c>
      <c r="L647" s="66"/>
      <c r="M647" s="67"/>
    </row>
    <row r="648" ht="22.5" customHeight="1">
      <c r="B648" s="59"/>
      <c r="C648" s="60"/>
      <c r="D648" s="61"/>
      <c r="E648" s="62" t="str">
        <f t="shared" si="25"/>
        <v/>
      </c>
      <c r="F648" s="62" t="str">
        <f t="shared" si="26"/>
        <v/>
      </c>
      <c r="G648" s="63"/>
      <c r="H648" s="60"/>
      <c r="I648" s="64"/>
      <c r="J648" s="64"/>
      <c r="K648" s="66" t="b">
        <v>0</v>
      </c>
      <c r="L648" s="66"/>
      <c r="M648" s="67"/>
    </row>
    <row r="649" ht="22.5" customHeight="1">
      <c r="B649" s="59"/>
      <c r="C649" s="60"/>
      <c r="D649" s="61"/>
      <c r="E649" s="62" t="str">
        <f t="shared" si="25"/>
        <v/>
      </c>
      <c r="F649" s="62" t="str">
        <f t="shared" si="26"/>
        <v/>
      </c>
      <c r="G649" s="63"/>
      <c r="H649" s="60"/>
      <c r="I649" s="64"/>
      <c r="J649" s="64"/>
      <c r="K649" s="66" t="b">
        <v>0</v>
      </c>
      <c r="L649" s="66"/>
      <c r="M649" s="67"/>
    </row>
    <row r="650" ht="22.5" customHeight="1">
      <c r="B650" s="59"/>
      <c r="C650" s="60"/>
      <c r="D650" s="61"/>
      <c r="E650" s="62" t="str">
        <f t="shared" si="25"/>
        <v/>
      </c>
      <c r="F650" s="62" t="str">
        <f t="shared" si="26"/>
        <v/>
      </c>
      <c r="G650" s="63"/>
      <c r="H650" s="60"/>
      <c r="I650" s="64"/>
      <c r="J650" s="64"/>
      <c r="K650" s="66" t="b">
        <v>0</v>
      </c>
      <c r="L650" s="66"/>
      <c r="M650" s="67"/>
    </row>
    <row r="651" ht="22.5" customHeight="1">
      <c r="B651" s="59"/>
      <c r="C651" s="60"/>
      <c r="D651" s="61"/>
      <c r="E651" s="62" t="str">
        <f t="shared" si="25"/>
        <v/>
      </c>
      <c r="F651" s="62" t="str">
        <f t="shared" si="26"/>
        <v/>
      </c>
      <c r="G651" s="63"/>
      <c r="H651" s="60"/>
      <c r="I651" s="64"/>
      <c r="J651" s="64"/>
      <c r="K651" s="66" t="b">
        <v>0</v>
      </c>
      <c r="L651" s="66"/>
      <c r="M651" s="67"/>
    </row>
    <row r="652" ht="22.5" customHeight="1">
      <c r="B652" s="59"/>
      <c r="C652" s="60"/>
      <c r="D652" s="61"/>
      <c r="E652" s="62" t="str">
        <f t="shared" si="25"/>
        <v/>
      </c>
      <c r="F652" s="62" t="str">
        <f t="shared" si="26"/>
        <v/>
      </c>
      <c r="G652" s="63"/>
      <c r="H652" s="60"/>
      <c r="I652" s="64"/>
      <c r="J652" s="64"/>
      <c r="K652" s="66" t="b">
        <v>0</v>
      </c>
      <c r="L652" s="66"/>
      <c r="M652" s="67"/>
    </row>
    <row r="653" ht="22.5" customHeight="1">
      <c r="B653" s="59"/>
      <c r="C653" s="60"/>
      <c r="D653" s="61"/>
      <c r="E653" s="62" t="str">
        <f t="shared" si="25"/>
        <v/>
      </c>
      <c r="F653" s="62" t="str">
        <f t="shared" si="26"/>
        <v/>
      </c>
      <c r="G653" s="63"/>
      <c r="H653" s="60"/>
      <c r="I653" s="64"/>
      <c r="J653" s="64"/>
      <c r="K653" s="66" t="b">
        <v>0</v>
      </c>
      <c r="L653" s="66"/>
      <c r="M653" s="67"/>
    </row>
    <row r="654" ht="22.5" customHeight="1">
      <c r="B654" s="59"/>
      <c r="C654" s="60"/>
      <c r="D654" s="61"/>
      <c r="E654" s="62" t="str">
        <f t="shared" si="25"/>
        <v/>
      </c>
      <c r="F654" s="62" t="str">
        <f t="shared" si="26"/>
        <v/>
      </c>
      <c r="G654" s="63"/>
      <c r="H654" s="60"/>
      <c r="I654" s="64"/>
      <c r="J654" s="64"/>
      <c r="K654" s="66" t="b">
        <v>0</v>
      </c>
      <c r="L654" s="66"/>
      <c r="M654" s="67"/>
    </row>
    <row r="655" ht="22.5" customHeight="1">
      <c r="B655" s="59"/>
      <c r="C655" s="60"/>
      <c r="D655" s="61"/>
      <c r="E655" s="62" t="str">
        <f t="shared" si="25"/>
        <v/>
      </c>
      <c r="F655" s="62" t="str">
        <f t="shared" si="26"/>
        <v/>
      </c>
      <c r="G655" s="63"/>
      <c r="H655" s="60"/>
      <c r="I655" s="64"/>
      <c r="J655" s="64"/>
      <c r="K655" s="66" t="b">
        <v>0</v>
      </c>
      <c r="L655" s="66"/>
      <c r="M655" s="67"/>
    </row>
    <row r="656" ht="22.5" customHeight="1">
      <c r="B656" s="59"/>
      <c r="C656" s="60"/>
      <c r="D656" s="61"/>
      <c r="E656" s="62" t="str">
        <f t="shared" si="25"/>
        <v/>
      </c>
      <c r="F656" s="62" t="str">
        <f t="shared" si="26"/>
        <v/>
      </c>
      <c r="G656" s="63"/>
      <c r="H656" s="60"/>
      <c r="I656" s="64"/>
      <c r="J656" s="64"/>
      <c r="K656" s="66" t="b">
        <v>0</v>
      </c>
      <c r="L656" s="66"/>
      <c r="M656" s="67"/>
    </row>
    <row r="657" ht="22.5" customHeight="1">
      <c r="B657" s="59"/>
      <c r="C657" s="60"/>
      <c r="D657" s="61"/>
      <c r="E657" s="62" t="str">
        <f t="shared" si="25"/>
        <v/>
      </c>
      <c r="F657" s="62" t="str">
        <f t="shared" si="26"/>
        <v/>
      </c>
      <c r="G657" s="63"/>
      <c r="H657" s="60"/>
      <c r="I657" s="64"/>
      <c r="J657" s="64"/>
      <c r="K657" s="66" t="b">
        <v>0</v>
      </c>
      <c r="L657" s="66"/>
      <c r="M657" s="67"/>
    </row>
    <row r="658" ht="22.5" customHeight="1">
      <c r="B658" s="59"/>
      <c r="C658" s="60"/>
      <c r="D658" s="61"/>
      <c r="E658" s="62" t="str">
        <f t="shared" si="25"/>
        <v/>
      </c>
      <c r="F658" s="62" t="str">
        <f t="shared" si="26"/>
        <v/>
      </c>
      <c r="G658" s="63"/>
      <c r="H658" s="60"/>
      <c r="I658" s="64"/>
      <c r="J658" s="64"/>
      <c r="K658" s="66" t="b">
        <v>0</v>
      </c>
      <c r="L658" s="66"/>
      <c r="M658" s="67"/>
    </row>
    <row r="659" ht="22.5" customHeight="1">
      <c r="B659" s="59"/>
      <c r="C659" s="60"/>
      <c r="D659" s="61"/>
      <c r="E659" s="62" t="str">
        <f t="shared" si="25"/>
        <v/>
      </c>
      <c r="F659" s="62" t="str">
        <f t="shared" si="26"/>
        <v/>
      </c>
      <c r="G659" s="63"/>
      <c r="H659" s="60"/>
      <c r="I659" s="64"/>
      <c r="J659" s="64"/>
      <c r="K659" s="66" t="b">
        <v>0</v>
      </c>
      <c r="L659" s="66"/>
      <c r="M659" s="67"/>
    </row>
    <row r="660" ht="22.5" customHeight="1">
      <c r="B660" s="59"/>
      <c r="C660" s="60"/>
      <c r="D660" s="61"/>
      <c r="E660" s="62" t="str">
        <f t="shared" si="25"/>
        <v/>
      </c>
      <c r="F660" s="62" t="str">
        <f t="shared" si="26"/>
        <v/>
      </c>
      <c r="G660" s="63"/>
      <c r="H660" s="60"/>
      <c r="I660" s="64"/>
      <c r="J660" s="64"/>
      <c r="K660" s="66" t="b">
        <v>0</v>
      </c>
      <c r="L660" s="66"/>
      <c r="M660" s="67"/>
    </row>
    <row r="661" ht="22.5" customHeight="1">
      <c r="B661" s="59"/>
      <c r="C661" s="60"/>
      <c r="D661" s="61"/>
      <c r="E661" s="62" t="str">
        <f t="shared" si="25"/>
        <v/>
      </c>
      <c r="F661" s="62" t="str">
        <f t="shared" si="26"/>
        <v/>
      </c>
      <c r="G661" s="63"/>
      <c r="H661" s="60"/>
      <c r="I661" s="64"/>
      <c r="J661" s="64"/>
      <c r="K661" s="66" t="b">
        <v>0</v>
      </c>
      <c r="L661" s="66"/>
      <c r="M661" s="67"/>
    </row>
    <row r="662" ht="22.5" customHeight="1">
      <c r="B662" s="59"/>
      <c r="C662" s="60"/>
      <c r="D662" s="61"/>
      <c r="E662" s="62" t="str">
        <f t="shared" si="25"/>
        <v/>
      </c>
      <c r="F662" s="62" t="str">
        <f t="shared" si="26"/>
        <v/>
      </c>
      <c r="G662" s="63"/>
      <c r="H662" s="60"/>
      <c r="I662" s="64"/>
      <c r="J662" s="64"/>
      <c r="K662" s="66" t="b">
        <v>0</v>
      </c>
      <c r="L662" s="66"/>
      <c r="M662" s="67"/>
    </row>
    <row r="663" ht="22.5" customHeight="1">
      <c r="B663" s="59"/>
      <c r="C663" s="60"/>
      <c r="D663" s="61"/>
      <c r="E663" s="62" t="str">
        <f t="shared" si="25"/>
        <v/>
      </c>
      <c r="F663" s="62" t="str">
        <f t="shared" si="26"/>
        <v/>
      </c>
      <c r="G663" s="63"/>
      <c r="H663" s="60"/>
      <c r="I663" s="64"/>
      <c r="J663" s="64"/>
      <c r="K663" s="66" t="b">
        <v>0</v>
      </c>
      <c r="L663" s="66"/>
      <c r="M663" s="67"/>
    </row>
    <row r="664" ht="22.5" customHeight="1">
      <c r="B664" s="59"/>
      <c r="C664" s="60"/>
      <c r="D664" s="61"/>
      <c r="E664" s="62" t="str">
        <f t="shared" si="25"/>
        <v/>
      </c>
      <c r="F664" s="62" t="str">
        <f t="shared" si="26"/>
        <v/>
      </c>
      <c r="G664" s="63"/>
      <c r="H664" s="60"/>
      <c r="I664" s="64"/>
      <c r="J664" s="64"/>
      <c r="K664" s="66" t="b">
        <v>0</v>
      </c>
      <c r="L664" s="66"/>
      <c r="M664" s="67"/>
    </row>
    <row r="665" ht="22.5" customHeight="1">
      <c r="B665" s="59"/>
      <c r="C665" s="60"/>
      <c r="D665" s="61"/>
      <c r="E665" s="62" t="str">
        <f t="shared" si="25"/>
        <v/>
      </c>
      <c r="F665" s="62" t="str">
        <f t="shared" si="26"/>
        <v/>
      </c>
      <c r="G665" s="63"/>
      <c r="H665" s="60"/>
      <c r="I665" s="64"/>
      <c r="J665" s="64"/>
      <c r="K665" s="66" t="b">
        <v>0</v>
      </c>
      <c r="L665" s="66"/>
      <c r="M665" s="67"/>
    </row>
    <row r="666" ht="22.5" customHeight="1">
      <c r="B666" s="59"/>
      <c r="C666" s="60"/>
      <c r="D666" s="61"/>
      <c r="E666" s="62" t="str">
        <f t="shared" si="25"/>
        <v/>
      </c>
      <c r="F666" s="62" t="str">
        <f t="shared" si="26"/>
        <v/>
      </c>
      <c r="G666" s="63"/>
      <c r="H666" s="60"/>
      <c r="I666" s="64"/>
      <c r="J666" s="64"/>
      <c r="K666" s="66" t="b">
        <v>0</v>
      </c>
      <c r="L666" s="66"/>
      <c r="M666" s="67"/>
    </row>
    <row r="667" ht="22.5" customHeight="1">
      <c r="B667" s="59"/>
      <c r="C667" s="60"/>
      <c r="D667" s="61"/>
      <c r="E667" s="62" t="str">
        <f t="shared" si="25"/>
        <v/>
      </c>
      <c r="F667" s="62" t="str">
        <f t="shared" si="26"/>
        <v/>
      </c>
      <c r="G667" s="63"/>
      <c r="H667" s="60"/>
      <c r="I667" s="64"/>
      <c r="J667" s="64"/>
      <c r="K667" s="66" t="b">
        <v>0</v>
      </c>
      <c r="L667" s="66"/>
      <c r="M667" s="67"/>
    </row>
    <row r="668" ht="22.5" customHeight="1">
      <c r="B668" s="59"/>
      <c r="C668" s="60"/>
      <c r="D668" s="61"/>
      <c r="E668" s="62" t="str">
        <f t="shared" si="25"/>
        <v/>
      </c>
      <c r="F668" s="62" t="str">
        <f t="shared" si="26"/>
        <v/>
      </c>
      <c r="G668" s="63"/>
      <c r="H668" s="60"/>
      <c r="I668" s="64"/>
      <c r="J668" s="64"/>
      <c r="K668" s="66" t="b">
        <v>0</v>
      </c>
      <c r="L668" s="66"/>
      <c r="M668" s="67"/>
    </row>
    <row r="669" ht="22.5" customHeight="1">
      <c r="B669" s="59"/>
      <c r="C669" s="60"/>
      <c r="D669" s="61"/>
      <c r="E669" s="62" t="str">
        <f t="shared" si="25"/>
        <v/>
      </c>
      <c r="F669" s="62" t="str">
        <f t="shared" si="26"/>
        <v/>
      </c>
      <c r="G669" s="63"/>
      <c r="H669" s="60"/>
      <c r="I669" s="64"/>
      <c r="J669" s="64"/>
      <c r="K669" s="66" t="b">
        <v>0</v>
      </c>
      <c r="L669" s="66"/>
      <c r="M669" s="67"/>
    </row>
    <row r="670" ht="22.5" customHeight="1">
      <c r="B670" s="59"/>
      <c r="C670" s="60"/>
      <c r="D670" s="61"/>
      <c r="E670" s="62" t="str">
        <f t="shared" si="25"/>
        <v/>
      </c>
      <c r="F670" s="62" t="str">
        <f t="shared" si="26"/>
        <v/>
      </c>
      <c r="G670" s="63"/>
      <c r="H670" s="60"/>
      <c r="I670" s="64"/>
      <c r="J670" s="64"/>
      <c r="K670" s="66" t="b">
        <v>0</v>
      </c>
      <c r="L670" s="66"/>
      <c r="M670" s="67"/>
    </row>
    <row r="671" ht="22.5" customHeight="1">
      <c r="B671" s="59"/>
      <c r="C671" s="60"/>
      <c r="D671" s="61"/>
      <c r="E671" s="62" t="str">
        <f t="shared" si="25"/>
        <v/>
      </c>
      <c r="F671" s="62" t="str">
        <f t="shared" si="26"/>
        <v/>
      </c>
      <c r="G671" s="63"/>
      <c r="H671" s="60"/>
      <c r="I671" s="64"/>
      <c r="J671" s="64"/>
      <c r="K671" s="66" t="b">
        <v>0</v>
      </c>
      <c r="L671" s="66"/>
      <c r="M671" s="67"/>
    </row>
    <row r="672" ht="22.5" customHeight="1">
      <c r="B672" s="59"/>
      <c r="C672" s="60"/>
      <c r="D672" s="61"/>
      <c r="E672" s="62" t="str">
        <f t="shared" si="25"/>
        <v/>
      </c>
      <c r="F672" s="62" t="str">
        <f t="shared" si="26"/>
        <v/>
      </c>
      <c r="G672" s="63"/>
      <c r="H672" s="60"/>
      <c r="I672" s="64"/>
      <c r="J672" s="64"/>
      <c r="K672" s="66" t="b">
        <v>0</v>
      </c>
      <c r="L672" s="66"/>
      <c r="M672" s="67"/>
    </row>
    <row r="673" ht="22.5" customHeight="1">
      <c r="B673" s="59"/>
      <c r="C673" s="60"/>
      <c r="D673" s="61"/>
      <c r="E673" s="62" t="str">
        <f t="shared" si="25"/>
        <v/>
      </c>
      <c r="F673" s="62" t="str">
        <f t="shared" si="26"/>
        <v/>
      </c>
      <c r="G673" s="63"/>
      <c r="H673" s="60"/>
      <c r="I673" s="64"/>
      <c r="J673" s="64"/>
      <c r="K673" s="66" t="b">
        <v>0</v>
      </c>
      <c r="L673" s="66"/>
      <c r="M673" s="67"/>
    </row>
    <row r="674" ht="22.5" customHeight="1">
      <c r="B674" s="59"/>
      <c r="C674" s="60"/>
      <c r="D674" s="61"/>
      <c r="E674" s="62" t="str">
        <f t="shared" si="25"/>
        <v/>
      </c>
      <c r="F674" s="62" t="str">
        <f t="shared" si="26"/>
        <v/>
      </c>
      <c r="G674" s="63"/>
      <c r="H674" s="60"/>
      <c r="I674" s="64"/>
      <c r="J674" s="64"/>
      <c r="K674" s="66" t="b">
        <v>0</v>
      </c>
      <c r="L674" s="66"/>
      <c r="M674" s="67"/>
    </row>
    <row r="675" ht="22.5" customHeight="1">
      <c r="B675" s="59"/>
      <c r="C675" s="60"/>
      <c r="D675" s="61"/>
      <c r="E675" s="62" t="str">
        <f t="shared" si="25"/>
        <v/>
      </c>
      <c r="F675" s="62" t="str">
        <f t="shared" si="26"/>
        <v/>
      </c>
      <c r="G675" s="63"/>
      <c r="H675" s="60"/>
      <c r="I675" s="64"/>
      <c r="J675" s="64"/>
      <c r="K675" s="66" t="b">
        <v>0</v>
      </c>
      <c r="L675" s="66"/>
      <c r="M675" s="67"/>
    </row>
    <row r="676" ht="22.5" customHeight="1">
      <c r="B676" s="59"/>
      <c r="C676" s="60"/>
      <c r="D676" s="61"/>
      <c r="E676" s="62" t="str">
        <f t="shared" si="25"/>
        <v/>
      </c>
      <c r="F676" s="62" t="str">
        <f t="shared" si="26"/>
        <v/>
      </c>
      <c r="G676" s="63"/>
      <c r="H676" s="60"/>
      <c r="I676" s="64"/>
      <c r="J676" s="64"/>
      <c r="K676" s="66" t="b">
        <v>0</v>
      </c>
      <c r="L676" s="66"/>
      <c r="M676" s="67"/>
    </row>
    <row r="677" ht="22.5" customHeight="1">
      <c r="B677" s="59"/>
      <c r="C677" s="60"/>
      <c r="D677" s="61"/>
      <c r="E677" s="62" t="str">
        <f t="shared" si="25"/>
        <v/>
      </c>
      <c r="F677" s="62" t="str">
        <f t="shared" si="26"/>
        <v/>
      </c>
      <c r="G677" s="63"/>
      <c r="H677" s="60"/>
      <c r="I677" s="64"/>
      <c r="J677" s="64"/>
      <c r="K677" s="66" t="b">
        <v>0</v>
      </c>
      <c r="L677" s="66"/>
      <c r="M677" s="67"/>
    </row>
    <row r="678" ht="22.5" customHeight="1">
      <c r="B678" s="59"/>
      <c r="C678" s="60"/>
      <c r="D678" s="61"/>
      <c r="E678" s="62" t="str">
        <f t="shared" si="25"/>
        <v/>
      </c>
      <c r="F678" s="62" t="str">
        <f t="shared" si="26"/>
        <v/>
      </c>
      <c r="G678" s="63"/>
      <c r="H678" s="60"/>
      <c r="I678" s="64"/>
      <c r="J678" s="64"/>
      <c r="K678" s="66" t="b">
        <v>0</v>
      </c>
      <c r="L678" s="66"/>
      <c r="M678" s="67"/>
    </row>
    <row r="679" ht="22.5" customHeight="1">
      <c r="B679" s="59"/>
      <c r="C679" s="60"/>
      <c r="D679" s="61"/>
      <c r="E679" s="62" t="str">
        <f t="shared" si="25"/>
        <v/>
      </c>
      <c r="F679" s="62" t="str">
        <f t="shared" si="26"/>
        <v/>
      </c>
      <c r="G679" s="63"/>
      <c r="H679" s="60"/>
      <c r="I679" s="64"/>
      <c r="J679" s="64"/>
      <c r="K679" s="66" t="b">
        <v>0</v>
      </c>
      <c r="L679" s="66"/>
      <c r="M679" s="67"/>
    </row>
    <row r="680" ht="22.5" customHeight="1">
      <c r="B680" s="59"/>
      <c r="C680" s="60"/>
      <c r="D680" s="61"/>
      <c r="E680" s="62" t="str">
        <f t="shared" si="25"/>
        <v/>
      </c>
      <c r="F680" s="62" t="str">
        <f t="shared" si="26"/>
        <v/>
      </c>
      <c r="G680" s="63"/>
      <c r="H680" s="60"/>
      <c r="I680" s="64"/>
      <c r="J680" s="64"/>
      <c r="K680" s="66" t="b">
        <v>0</v>
      </c>
      <c r="L680" s="66"/>
      <c r="M680" s="67"/>
    </row>
    <row r="681" ht="22.5" customHeight="1">
      <c r="B681" s="59"/>
      <c r="C681" s="60"/>
      <c r="D681" s="61"/>
      <c r="E681" s="62" t="str">
        <f t="shared" si="25"/>
        <v/>
      </c>
      <c r="F681" s="62" t="str">
        <f t="shared" si="26"/>
        <v/>
      </c>
      <c r="G681" s="63"/>
      <c r="H681" s="60"/>
      <c r="I681" s="64"/>
      <c r="J681" s="64"/>
      <c r="K681" s="66" t="b">
        <v>0</v>
      </c>
      <c r="L681" s="66"/>
      <c r="M681" s="67"/>
    </row>
    <row r="682" ht="22.5" customHeight="1">
      <c r="B682" s="59"/>
      <c r="C682" s="60"/>
      <c r="D682" s="61"/>
      <c r="E682" s="62" t="str">
        <f t="shared" si="25"/>
        <v/>
      </c>
      <c r="F682" s="62" t="str">
        <f t="shared" si="26"/>
        <v/>
      </c>
      <c r="G682" s="63"/>
      <c r="H682" s="60"/>
      <c r="I682" s="64"/>
      <c r="J682" s="64"/>
      <c r="K682" s="66" t="b">
        <v>0</v>
      </c>
      <c r="L682" s="66"/>
      <c r="M682" s="67"/>
    </row>
    <row r="683" ht="22.5" customHeight="1">
      <c r="B683" s="59"/>
      <c r="C683" s="60"/>
      <c r="D683" s="61"/>
      <c r="E683" s="62" t="str">
        <f t="shared" si="25"/>
        <v/>
      </c>
      <c r="F683" s="62" t="str">
        <f t="shared" si="26"/>
        <v/>
      </c>
      <c r="G683" s="63"/>
      <c r="H683" s="60"/>
      <c r="I683" s="64"/>
      <c r="J683" s="64"/>
      <c r="K683" s="66" t="b">
        <v>0</v>
      </c>
      <c r="L683" s="66"/>
      <c r="M683" s="67"/>
    </row>
    <row r="684" ht="22.5" customHeight="1">
      <c r="B684" s="59"/>
      <c r="C684" s="60"/>
      <c r="D684" s="61"/>
      <c r="E684" s="62" t="str">
        <f t="shared" si="25"/>
        <v/>
      </c>
      <c r="F684" s="62" t="str">
        <f t="shared" si="26"/>
        <v/>
      </c>
      <c r="G684" s="63"/>
      <c r="H684" s="60"/>
      <c r="I684" s="64"/>
      <c r="J684" s="64"/>
      <c r="K684" s="66" t="b">
        <v>0</v>
      </c>
      <c r="L684" s="66"/>
      <c r="M684" s="67"/>
    </row>
    <row r="685" ht="22.5" customHeight="1">
      <c r="B685" s="59"/>
      <c r="C685" s="60"/>
      <c r="D685" s="61"/>
      <c r="E685" s="62" t="str">
        <f t="shared" si="25"/>
        <v/>
      </c>
      <c r="F685" s="62" t="str">
        <f t="shared" si="26"/>
        <v/>
      </c>
      <c r="G685" s="63"/>
      <c r="H685" s="60"/>
      <c r="I685" s="64"/>
      <c r="J685" s="64"/>
      <c r="K685" s="66" t="b">
        <v>0</v>
      </c>
      <c r="L685" s="66"/>
      <c r="M685" s="67"/>
    </row>
    <row r="686" ht="22.5" customHeight="1">
      <c r="B686" s="59"/>
      <c r="C686" s="60"/>
      <c r="D686" s="61"/>
      <c r="E686" s="62" t="str">
        <f t="shared" si="25"/>
        <v/>
      </c>
      <c r="F686" s="62" t="str">
        <f t="shared" si="26"/>
        <v/>
      </c>
      <c r="G686" s="63"/>
      <c r="H686" s="60"/>
      <c r="I686" s="64"/>
      <c r="J686" s="64"/>
      <c r="K686" s="66" t="b">
        <v>0</v>
      </c>
      <c r="L686" s="66"/>
      <c r="M686" s="67"/>
    </row>
    <row r="687" ht="22.5" customHeight="1">
      <c r="B687" s="59"/>
      <c r="C687" s="60"/>
      <c r="D687" s="61"/>
      <c r="E687" s="62" t="str">
        <f t="shared" si="25"/>
        <v/>
      </c>
      <c r="F687" s="62" t="str">
        <f t="shared" si="26"/>
        <v/>
      </c>
      <c r="G687" s="63"/>
      <c r="H687" s="60"/>
      <c r="I687" s="64"/>
      <c r="J687" s="64"/>
      <c r="K687" s="66" t="b">
        <v>0</v>
      </c>
      <c r="L687" s="66"/>
      <c r="M687" s="67"/>
    </row>
    <row r="688" ht="22.5" customHeight="1">
      <c r="B688" s="59"/>
      <c r="C688" s="60"/>
      <c r="D688" s="61"/>
      <c r="E688" s="62" t="str">
        <f t="shared" si="25"/>
        <v/>
      </c>
      <c r="F688" s="62" t="str">
        <f t="shared" si="26"/>
        <v/>
      </c>
      <c r="G688" s="63"/>
      <c r="H688" s="60"/>
      <c r="I688" s="64"/>
      <c r="J688" s="64"/>
      <c r="K688" s="66" t="b">
        <v>0</v>
      </c>
      <c r="L688" s="66"/>
      <c r="M688" s="67"/>
    </row>
    <row r="689" ht="22.5" customHeight="1">
      <c r="B689" s="59"/>
      <c r="C689" s="60"/>
      <c r="D689" s="61"/>
      <c r="E689" s="62" t="str">
        <f t="shared" si="25"/>
        <v/>
      </c>
      <c r="F689" s="62" t="str">
        <f t="shared" si="26"/>
        <v/>
      </c>
      <c r="G689" s="63"/>
      <c r="H689" s="60"/>
      <c r="I689" s="64"/>
      <c r="J689" s="64"/>
      <c r="K689" s="66" t="b">
        <v>0</v>
      </c>
      <c r="L689" s="66"/>
      <c r="M689" s="67"/>
    </row>
    <row r="690" ht="22.5" customHeight="1">
      <c r="B690" s="59"/>
      <c r="C690" s="60"/>
      <c r="D690" s="61"/>
      <c r="E690" s="62" t="str">
        <f t="shared" si="25"/>
        <v/>
      </c>
      <c r="F690" s="62" t="str">
        <f t="shared" si="26"/>
        <v/>
      </c>
      <c r="G690" s="63"/>
      <c r="H690" s="60"/>
      <c r="I690" s="64"/>
      <c r="J690" s="64"/>
      <c r="K690" s="66" t="b">
        <v>0</v>
      </c>
      <c r="L690" s="66"/>
      <c r="M690" s="67"/>
    </row>
    <row r="691" ht="22.5" customHeight="1">
      <c r="B691" s="59"/>
      <c r="C691" s="60"/>
      <c r="D691" s="61"/>
      <c r="E691" s="62" t="str">
        <f t="shared" si="25"/>
        <v/>
      </c>
      <c r="F691" s="62" t="str">
        <f t="shared" si="26"/>
        <v/>
      </c>
      <c r="G691" s="63"/>
      <c r="H691" s="60"/>
      <c r="I691" s="64"/>
      <c r="J691" s="64"/>
      <c r="K691" s="66" t="b">
        <v>0</v>
      </c>
      <c r="L691" s="66"/>
      <c r="M691" s="67"/>
    </row>
    <row r="692" ht="22.5" customHeight="1">
      <c r="B692" s="59"/>
      <c r="C692" s="60"/>
      <c r="D692" s="61"/>
      <c r="E692" s="62" t="str">
        <f t="shared" si="25"/>
        <v/>
      </c>
      <c r="F692" s="62" t="str">
        <f t="shared" si="26"/>
        <v/>
      </c>
      <c r="G692" s="63"/>
      <c r="H692" s="60"/>
      <c r="I692" s="64"/>
      <c r="J692" s="64"/>
      <c r="K692" s="66" t="b">
        <v>0</v>
      </c>
      <c r="L692" s="66"/>
      <c r="M692" s="67"/>
    </row>
    <row r="693" ht="22.5" customHeight="1">
      <c r="B693" s="59"/>
      <c r="C693" s="60"/>
      <c r="D693" s="61"/>
      <c r="E693" s="62" t="str">
        <f t="shared" si="25"/>
        <v/>
      </c>
      <c r="F693" s="62" t="str">
        <f t="shared" si="26"/>
        <v/>
      </c>
      <c r="G693" s="63"/>
      <c r="H693" s="60"/>
      <c r="I693" s="64"/>
      <c r="J693" s="64"/>
      <c r="K693" s="66" t="b">
        <v>0</v>
      </c>
      <c r="L693" s="66"/>
      <c r="M693" s="67"/>
    </row>
    <row r="694" ht="22.5" customHeight="1">
      <c r="B694" s="59"/>
      <c r="C694" s="60"/>
      <c r="D694" s="61"/>
      <c r="E694" s="62" t="str">
        <f t="shared" si="25"/>
        <v/>
      </c>
      <c r="F694" s="62" t="str">
        <f t="shared" si="26"/>
        <v/>
      </c>
      <c r="G694" s="63"/>
      <c r="H694" s="60"/>
      <c r="I694" s="64"/>
      <c r="J694" s="64"/>
      <c r="K694" s="66" t="b">
        <v>0</v>
      </c>
      <c r="L694" s="66"/>
      <c r="M694" s="67"/>
    </row>
    <row r="695" ht="22.5" customHeight="1">
      <c r="B695" s="59"/>
      <c r="C695" s="60"/>
      <c r="D695" s="61"/>
      <c r="E695" s="62" t="str">
        <f t="shared" si="25"/>
        <v/>
      </c>
      <c r="F695" s="62" t="str">
        <f t="shared" si="26"/>
        <v/>
      </c>
      <c r="G695" s="63"/>
      <c r="H695" s="60"/>
      <c r="I695" s="64"/>
      <c r="J695" s="64"/>
      <c r="K695" s="66" t="b">
        <v>0</v>
      </c>
      <c r="L695" s="66"/>
      <c r="M695" s="67"/>
    </row>
    <row r="696" ht="22.5" customHeight="1">
      <c r="B696" s="59"/>
      <c r="C696" s="60"/>
      <c r="D696" s="61"/>
      <c r="E696" s="62" t="str">
        <f t="shared" si="25"/>
        <v/>
      </c>
      <c r="F696" s="62" t="str">
        <f t="shared" si="26"/>
        <v/>
      </c>
      <c r="G696" s="63"/>
      <c r="H696" s="60"/>
      <c r="I696" s="64"/>
      <c r="J696" s="64"/>
      <c r="K696" s="66" t="b">
        <v>0</v>
      </c>
      <c r="L696" s="66"/>
      <c r="M696" s="67"/>
    </row>
    <row r="697" ht="22.5" customHeight="1">
      <c r="B697" s="59"/>
      <c r="C697" s="60"/>
      <c r="D697" s="61"/>
      <c r="E697" s="62" t="str">
        <f t="shared" si="25"/>
        <v/>
      </c>
      <c r="F697" s="62" t="str">
        <f t="shared" si="26"/>
        <v/>
      </c>
      <c r="G697" s="63"/>
      <c r="H697" s="60"/>
      <c r="I697" s="64"/>
      <c r="J697" s="64"/>
      <c r="K697" s="66" t="b">
        <v>0</v>
      </c>
      <c r="L697" s="66"/>
      <c r="M697" s="67"/>
    </row>
    <row r="698" ht="22.5" customHeight="1">
      <c r="B698" s="59"/>
      <c r="C698" s="60"/>
      <c r="D698" s="61"/>
      <c r="E698" s="62" t="str">
        <f t="shared" si="25"/>
        <v/>
      </c>
      <c r="F698" s="62" t="str">
        <f t="shared" si="26"/>
        <v/>
      </c>
      <c r="G698" s="63"/>
      <c r="H698" s="60"/>
      <c r="I698" s="64"/>
      <c r="J698" s="64"/>
      <c r="K698" s="66" t="b">
        <v>0</v>
      </c>
      <c r="L698" s="66"/>
      <c r="M698" s="67"/>
    </row>
    <row r="699" ht="22.5" customHeight="1">
      <c r="B699" s="59"/>
      <c r="C699" s="60"/>
      <c r="D699" s="61"/>
      <c r="E699" s="62" t="str">
        <f t="shared" si="25"/>
        <v/>
      </c>
      <c r="F699" s="62" t="str">
        <f t="shared" si="26"/>
        <v/>
      </c>
      <c r="G699" s="63"/>
      <c r="H699" s="60"/>
      <c r="I699" s="64"/>
      <c r="J699" s="64"/>
      <c r="K699" s="66" t="b">
        <v>0</v>
      </c>
      <c r="L699" s="66"/>
      <c r="M699" s="67"/>
    </row>
    <row r="700" ht="22.5" customHeight="1">
      <c r="B700" s="59"/>
      <c r="C700" s="60"/>
      <c r="D700" s="61"/>
      <c r="E700" s="62" t="str">
        <f t="shared" si="25"/>
        <v/>
      </c>
      <c r="F700" s="62" t="str">
        <f t="shared" si="26"/>
        <v/>
      </c>
      <c r="G700" s="63"/>
      <c r="H700" s="60"/>
      <c r="I700" s="64"/>
      <c r="J700" s="64"/>
      <c r="K700" s="66" t="b">
        <v>0</v>
      </c>
      <c r="L700" s="66"/>
      <c r="M700" s="67"/>
    </row>
    <row r="701" ht="22.5" customHeight="1">
      <c r="B701" s="59"/>
      <c r="C701" s="60"/>
      <c r="D701" s="61"/>
      <c r="E701" s="62" t="str">
        <f t="shared" si="25"/>
        <v/>
      </c>
      <c r="F701" s="62" t="str">
        <f t="shared" si="26"/>
        <v/>
      </c>
      <c r="G701" s="63"/>
      <c r="H701" s="60"/>
      <c r="I701" s="64"/>
      <c r="J701" s="64"/>
      <c r="K701" s="66" t="b">
        <v>0</v>
      </c>
      <c r="L701" s="66"/>
      <c r="M701" s="67"/>
    </row>
    <row r="702" ht="22.5" customHeight="1">
      <c r="B702" s="59"/>
      <c r="C702" s="60"/>
      <c r="D702" s="61"/>
      <c r="E702" s="62" t="str">
        <f t="shared" si="25"/>
        <v/>
      </c>
      <c r="F702" s="62" t="str">
        <f t="shared" si="26"/>
        <v/>
      </c>
      <c r="G702" s="63"/>
      <c r="H702" s="60"/>
      <c r="I702" s="64"/>
      <c r="J702" s="64"/>
      <c r="K702" s="66" t="b">
        <v>0</v>
      </c>
      <c r="L702" s="66"/>
      <c r="M702" s="67"/>
    </row>
    <row r="703" ht="22.5" customHeight="1">
      <c r="B703" s="59"/>
      <c r="C703" s="60"/>
      <c r="D703" s="61"/>
      <c r="E703" s="62" t="str">
        <f t="shared" si="25"/>
        <v/>
      </c>
      <c r="F703" s="62" t="str">
        <f t="shared" si="26"/>
        <v/>
      </c>
      <c r="G703" s="63"/>
      <c r="H703" s="60"/>
      <c r="I703" s="64"/>
      <c r="J703" s="64"/>
      <c r="K703" s="66" t="b">
        <v>0</v>
      </c>
      <c r="L703" s="66"/>
      <c r="M703" s="67"/>
    </row>
    <row r="704" ht="22.5" customHeight="1">
      <c r="B704" s="59"/>
      <c r="C704" s="60"/>
      <c r="D704" s="61"/>
      <c r="E704" s="62" t="str">
        <f t="shared" si="25"/>
        <v/>
      </c>
      <c r="F704" s="62" t="str">
        <f t="shared" si="26"/>
        <v/>
      </c>
      <c r="G704" s="63"/>
      <c r="H704" s="60"/>
      <c r="I704" s="64"/>
      <c r="J704" s="64"/>
      <c r="K704" s="66" t="b">
        <v>0</v>
      </c>
      <c r="L704" s="66"/>
      <c r="M704" s="67"/>
    </row>
    <row r="705" ht="22.5" customHeight="1">
      <c r="B705" s="59"/>
      <c r="C705" s="60"/>
      <c r="D705" s="61"/>
      <c r="E705" s="62" t="str">
        <f t="shared" si="25"/>
        <v/>
      </c>
      <c r="F705" s="62" t="str">
        <f t="shared" si="26"/>
        <v/>
      </c>
      <c r="G705" s="63"/>
      <c r="H705" s="60"/>
      <c r="I705" s="64"/>
      <c r="J705" s="64"/>
      <c r="K705" s="66" t="b">
        <v>0</v>
      </c>
      <c r="L705" s="66"/>
      <c r="M705" s="67"/>
    </row>
    <row r="706" ht="22.5" customHeight="1">
      <c r="B706" s="59"/>
      <c r="C706" s="60"/>
      <c r="D706" s="61"/>
      <c r="E706" s="62" t="str">
        <f t="shared" si="25"/>
        <v/>
      </c>
      <c r="F706" s="62" t="str">
        <f t="shared" si="26"/>
        <v/>
      </c>
      <c r="G706" s="63"/>
      <c r="H706" s="60"/>
      <c r="I706" s="64"/>
      <c r="J706" s="64"/>
      <c r="K706" s="66" t="b">
        <v>0</v>
      </c>
      <c r="L706" s="66"/>
      <c r="M706" s="67"/>
    </row>
    <row r="707" ht="22.5" customHeight="1">
      <c r="B707" s="59"/>
      <c r="C707" s="60"/>
      <c r="D707" s="61"/>
      <c r="E707" s="62" t="str">
        <f t="shared" si="25"/>
        <v/>
      </c>
      <c r="F707" s="62" t="str">
        <f t="shared" si="26"/>
        <v/>
      </c>
      <c r="G707" s="63"/>
      <c r="H707" s="60"/>
      <c r="I707" s="64"/>
      <c r="J707" s="64"/>
      <c r="K707" s="66" t="b">
        <v>0</v>
      </c>
      <c r="L707" s="66"/>
      <c r="M707" s="67"/>
    </row>
    <row r="708" ht="22.5" customHeight="1">
      <c r="B708" s="59"/>
      <c r="C708" s="60"/>
      <c r="D708" s="61"/>
      <c r="E708" s="62" t="str">
        <f t="shared" si="25"/>
        <v/>
      </c>
      <c r="F708" s="62" t="str">
        <f t="shared" si="26"/>
        <v/>
      </c>
      <c r="G708" s="63"/>
      <c r="H708" s="60"/>
      <c r="I708" s="64"/>
      <c r="J708" s="64"/>
      <c r="K708" s="66" t="b">
        <v>0</v>
      </c>
      <c r="L708" s="66"/>
      <c r="M708" s="67"/>
    </row>
    <row r="709" ht="22.5" customHeight="1">
      <c r="B709" s="59"/>
      <c r="C709" s="60"/>
      <c r="D709" s="61"/>
      <c r="E709" s="62" t="str">
        <f t="shared" si="25"/>
        <v/>
      </c>
      <c r="F709" s="62" t="str">
        <f t="shared" si="26"/>
        <v/>
      </c>
      <c r="G709" s="63"/>
      <c r="H709" s="60"/>
      <c r="I709" s="64"/>
      <c r="J709" s="64"/>
      <c r="K709" s="66" t="b">
        <v>0</v>
      </c>
      <c r="L709" s="66"/>
      <c r="M709" s="67"/>
    </row>
    <row r="710" ht="22.5" customHeight="1">
      <c r="B710" s="59"/>
      <c r="C710" s="60"/>
      <c r="D710" s="61"/>
      <c r="E710" s="62" t="str">
        <f t="shared" si="25"/>
        <v/>
      </c>
      <c r="F710" s="62" t="str">
        <f t="shared" si="26"/>
        <v/>
      </c>
      <c r="G710" s="63"/>
      <c r="H710" s="60"/>
      <c r="I710" s="64"/>
      <c r="J710" s="64"/>
      <c r="K710" s="66" t="b">
        <v>0</v>
      </c>
      <c r="L710" s="66"/>
      <c r="M710" s="67"/>
    </row>
    <row r="711" ht="22.5" customHeight="1">
      <c r="B711" s="59"/>
      <c r="C711" s="60"/>
      <c r="D711" s="61"/>
      <c r="E711" s="62" t="str">
        <f t="shared" si="25"/>
        <v/>
      </c>
      <c r="F711" s="62" t="str">
        <f t="shared" si="26"/>
        <v/>
      </c>
      <c r="G711" s="63"/>
      <c r="H711" s="60"/>
      <c r="I711" s="64"/>
      <c r="J711" s="64"/>
      <c r="K711" s="66" t="b">
        <v>0</v>
      </c>
      <c r="L711" s="66"/>
      <c r="M711" s="67"/>
    </row>
    <row r="712" ht="22.5" customHeight="1">
      <c r="B712" s="59"/>
      <c r="C712" s="60"/>
      <c r="D712" s="61"/>
      <c r="E712" s="62" t="str">
        <f t="shared" si="25"/>
        <v/>
      </c>
      <c r="F712" s="62" t="str">
        <f t="shared" si="26"/>
        <v/>
      </c>
      <c r="G712" s="63"/>
      <c r="H712" s="60"/>
      <c r="I712" s="64"/>
      <c r="J712" s="64"/>
      <c r="K712" s="66" t="b">
        <v>0</v>
      </c>
      <c r="L712" s="66"/>
      <c r="M712" s="67"/>
    </row>
    <row r="713" ht="22.5" customHeight="1">
      <c r="B713" s="59"/>
      <c r="C713" s="60"/>
      <c r="D713" s="61"/>
      <c r="E713" s="62" t="str">
        <f t="shared" si="25"/>
        <v/>
      </c>
      <c r="F713" s="62" t="str">
        <f t="shared" si="26"/>
        <v/>
      </c>
      <c r="G713" s="63"/>
      <c r="H713" s="60"/>
      <c r="I713" s="64"/>
      <c r="J713" s="64"/>
      <c r="K713" s="66" t="b">
        <v>0</v>
      </c>
      <c r="L713" s="66"/>
      <c r="M713" s="67"/>
    </row>
    <row r="714" ht="22.5" customHeight="1">
      <c r="B714" s="59"/>
      <c r="C714" s="60"/>
      <c r="D714" s="61"/>
      <c r="E714" s="62" t="str">
        <f t="shared" si="25"/>
        <v/>
      </c>
      <c r="F714" s="62" t="str">
        <f t="shared" si="26"/>
        <v/>
      </c>
      <c r="G714" s="63"/>
      <c r="H714" s="60"/>
      <c r="I714" s="64"/>
      <c r="J714" s="64"/>
      <c r="K714" s="66" t="b">
        <v>0</v>
      </c>
      <c r="L714" s="66"/>
      <c r="M714" s="67"/>
    </row>
    <row r="715" ht="22.5" customHeight="1">
      <c r="B715" s="59"/>
      <c r="C715" s="60"/>
      <c r="D715" s="61"/>
      <c r="E715" s="62" t="str">
        <f t="shared" si="25"/>
        <v/>
      </c>
      <c r="F715" s="62" t="str">
        <f t="shared" si="26"/>
        <v/>
      </c>
      <c r="G715" s="63"/>
      <c r="H715" s="60"/>
      <c r="I715" s="64"/>
      <c r="J715" s="64"/>
      <c r="K715" s="66" t="b">
        <v>0</v>
      </c>
      <c r="L715" s="66"/>
      <c r="M715" s="67"/>
    </row>
    <row r="716" ht="22.5" customHeight="1">
      <c r="B716" s="59"/>
      <c r="C716" s="60"/>
      <c r="D716" s="61"/>
      <c r="E716" s="62" t="str">
        <f t="shared" si="25"/>
        <v/>
      </c>
      <c r="F716" s="62" t="str">
        <f t="shared" si="26"/>
        <v/>
      </c>
      <c r="G716" s="63"/>
      <c r="H716" s="60"/>
      <c r="I716" s="64"/>
      <c r="J716" s="64"/>
      <c r="K716" s="66" t="b">
        <v>0</v>
      </c>
      <c r="L716" s="66"/>
      <c r="M716" s="67"/>
    </row>
    <row r="717" ht="22.5" customHeight="1">
      <c r="B717" s="59"/>
      <c r="C717" s="60"/>
      <c r="D717" s="61"/>
      <c r="E717" s="62" t="str">
        <f t="shared" si="25"/>
        <v/>
      </c>
      <c r="F717" s="62" t="str">
        <f t="shared" si="26"/>
        <v/>
      </c>
      <c r="G717" s="63"/>
      <c r="H717" s="60"/>
      <c r="I717" s="64"/>
      <c r="J717" s="64"/>
      <c r="K717" s="66" t="b">
        <v>0</v>
      </c>
      <c r="L717" s="66"/>
      <c r="M717" s="67"/>
    </row>
    <row r="718" ht="22.5" customHeight="1">
      <c r="B718" s="59"/>
      <c r="C718" s="60"/>
      <c r="D718" s="61"/>
      <c r="E718" s="62" t="str">
        <f t="shared" si="25"/>
        <v/>
      </c>
      <c r="F718" s="62" t="str">
        <f t="shared" si="26"/>
        <v/>
      </c>
      <c r="G718" s="63"/>
      <c r="H718" s="60"/>
      <c r="I718" s="64"/>
      <c r="J718" s="64"/>
      <c r="K718" s="66" t="b">
        <v>0</v>
      </c>
      <c r="L718" s="66"/>
      <c r="M718" s="67"/>
    </row>
    <row r="719" ht="22.5" customHeight="1">
      <c r="B719" s="59"/>
      <c r="C719" s="60"/>
      <c r="D719" s="61"/>
      <c r="E719" s="62" t="str">
        <f t="shared" si="25"/>
        <v/>
      </c>
      <c r="F719" s="62" t="str">
        <f t="shared" si="26"/>
        <v/>
      </c>
      <c r="G719" s="63"/>
      <c r="H719" s="60"/>
      <c r="I719" s="64"/>
      <c r="J719" s="64"/>
      <c r="K719" s="66" t="b">
        <v>0</v>
      </c>
      <c r="L719" s="66"/>
      <c r="M719" s="67"/>
    </row>
    <row r="720" ht="22.5" customHeight="1">
      <c r="B720" s="59"/>
      <c r="C720" s="60"/>
      <c r="D720" s="61"/>
      <c r="E720" s="62" t="str">
        <f t="shared" si="25"/>
        <v/>
      </c>
      <c r="F720" s="62" t="str">
        <f t="shared" si="26"/>
        <v/>
      </c>
      <c r="G720" s="63"/>
      <c r="H720" s="60"/>
      <c r="I720" s="64"/>
      <c r="J720" s="64"/>
      <c r="K720" s="66" t="b">
        <v>0</v>
      </c>
      <c r="L720" s="66"/>
      <c r="M720" s="67"/>
    </row>
    <row r="721" ht="22.5" customHeight="1">
      <c r="B721" s="59"/>
      <c r="C721" s="60"/>
      <c r="D721" s="61"/>
      <c r="E721" s="62" t="str">
        <f t="shared" si="25"/>
        <v/>
      </c>
      <c r="F721" s="62" t="str">
        <f t="shared" si="26"/>
        <v/>
      </c>
      <c r="G721" s="63"/>
      <c r="H721" s="60"/>
      <c r="I721" s="64"/>
      <c r="J721" s="64"/>
      <c r="K721" s="66" t="b">
        <v>0</v>
      </c>
      <c r="L721" s="66"/>
      <c r="M721" s="67"/>
    </row>
    <row r="722" ht="22.5" customHeight="1">
      <c r="B722" s="59"/>
      <c r="C722" s="60"/>
      <c r="D722" s="61"/>
      <c r="E722" s="62" t="str">
        <f t="shared" si="25"/>
        <v/>
      </c>
      <c r="F722" s="62" t="str">
        <f t="shared" si="26"/>
        <v/>
      </c>
      <c r="G722" s="63"/>
      <c r="H722" s="60"/>
      <c r="I722" s="64"/>
      <c r="J722" s="64"/>
      <c r="K722" s="66" t="b">
        <v>0</v>
      </c>
      <c r="L722" s="66"/>
      <c r="M722" s="67"/>
    </row>
    <row r="723" ht="22.5" customHeight="1">
      <c r="B723" s="59"/>
      <c r="C723" s="60"/>
      <c r="D723" s="61"/>
      <c r="E723" s="62" t="str">
        <f t="shared" si="25"/>
        <v/>
      </c>
      <c r="F723" s="62" t="str">
        <f t="shared" si="26"/>
        <v/>
      </c>
      <c r="G723" s="63"/>
      <c r="H723" s="60"/>
      <c r="I723" s="64"/>
      <c r="J723" s="64"/>
      <c r="K723" s="66" t="b">
        <v>0</v>
      </c>
      <c r="L723" s="66"/>
      <c r="M723" s="67"/>
    </row>
    <row r="724" ht="22.5" customHeight="1">
      <c r="B724" s="59"/>
      <c r="C724" s="60"/>
      <c r="D724" s="61"/>
      <c r="E724" s="62" t="str">
        <f t="shared" si="25"/>
        <v/>
      </c>
      <c r="F724" s="62" t="str">
        <f t="shared" si="26"/>
        <v/>
      </c>
      <c r="G724" s="63"/>
      <c r="H724" s="60"/>
      <c r="I724" s="64"/>
      <c r="J724" s="64"/>
      <c r="K724" s="66" t="b">
        <v>0</v>
      </c>
      <c r="L724" s="66"/>
      <c r="M724" s="67"/>
    </row>
    <row r="725" ht="22.5" customHeight="1">
      <c r="B725" s="59"/>
      <c r="C725" s="60"/>
      <c r="D725" s="61"/>
      <c r="E725" s="62" t="str">
        <f t="shared" si="25"/>
        <v/>
      </c>
      <c r="F725" s="62" t="str">
        <f t="shared" si="26"/>
        <v/>
      </c>
      <c r="G725" s="63"/>
      <c r="H725" s="60"/>
      <c r="I725" s="64"/>
      <c r="J725" s="64"/>
      <c r="K725" s="66" t="b">
        <v>0</v>
      </c>
      <c r="L725" s="66"/>
      <c r="M725" s="67"/>
    </row>
    <row r="726" ht="22.5" customHeight="1">
      <c r="B726" s="59"/>
      <c r="C726" s="60"/>
      <c r="D726" s="61"/>
      <c r="E726" s="62" t="str">
        <f t="shared" si="25"/>
        <v/>
      </c>
      <c r="F726" s="62" t="str">
        <f t="shared" si="26"/>
        <v/>
      </c>
      <c r="G726" s="63"/>
      <c r="H726" s="60"/>
      <c r="I726" s="64"/>
      <c r="J726" s="64"/>
      <c r="K726" s="66" t="b">
        <v>0</v>
      </c>
      <c r="L726" s="66"/>
      <c r="M726" s="67"/>
    </row>
    <row r="727" ht="22.5" customHeight="1">
      <c r="B727" s="59"/>
      <c r="C727" s="60"/>
      <c r="D727" s="61"/>
      <c r="E727" s="62" t="str">
        <f t="shared" si="25"/>
        <v/>
      </c>
      <c r="F727" s="62" t="str">
        <f t="shared" si="26"/>
        <v/>
      </c>
      <c r="G727" s="63"/>
      <c r="H727" s="60"/>
      <c r="I727" s="64"/>
      <c r="J727" s="64"/>
      <c r="K727" s="66" t="b">
        <v>0</v>
      </c>
      <c r="L727" s="66"/>
      <c r="M727" s="67"/>
    </row>
    <row r="728" ht="22.5" customHeight="1">
      <c r="B728" s="59"/>
      <c r="C728" s="60"/>
      <c r="D728" s="61"/>
      <c r="E728" s="62" t="str">
        <f t="shared" si="25"/>
        <v/>
      </c>
      <c r="F728" s="62" t="str">
        <f t="shared" si="26"/>
        <v/>
      </c>
      <c r="G728" s="63"/>
      <c r="H728" s="60"/>
      <c r="I728" s="64"/>
      <c r="J728" s="64"/>
      <c r="K728" s="66" t="b">
        <v>0</v>
      </c>
      <c r="L728" s="66"/>
      <c r="M728" s="67"/>
    </row>
    <row r="729" ht="22.5" customHeight="1">
      <c r="B729" s="59"/>
      <c r="C729" s="60"/>
      <c r="D729" s="61"/>
      <c r="E729" s="62" t="str">
        <f t="shared" si="25"/>
        <v/>
      </c>
      <c r="F729" s="62" t="str">
        <f t="shared" si="26"/>
        <v/>
      </c>
      <c r="G729" s="63"/>
      <c r="H729" s="60"/>
      <c r="I729" s="64"/>
      <c r="J729" s="64"/>
      <c r="K729" s="66" t="b">
        <v>0</v>
      </c>
      <c r="L729" s="66"/>
      <c r="M729" s="67"/>
    </row>
    <row r="730" ht="22.5" customHeight="1">
      <c r="B730" s="59"/>
      <c r="C730" s="60"/>
      <c r="D730" s="61"/>
      <c r="E730" s="62" t="str">
        <f t="shared" si="25"/>
        <v/>
      </c>
      <c r="F730" s="62" t="str">
        <f t="shared" si="26"/>
        <v/>
      </c>
      <c r="G730" s="63"/>
      <c r="H730" s="60"/>
      <c r="I730" s="64"/>
      <c r="J730" s="64"/>
      <c r="K730" s="66" t="b">
        <v>0</v>
      </c>
      <c r="L730" s="66"/>
      <c r="M730" s="67"/>
    </row>
    <row r="731" ht="22.5" customHeight="1">
      <c r="B731" s="59"/>
      <c r="C731" s="60"/>
      <c r="D731" s="61"/>
      <c r="E731" s="62" t="str">
        <f t="shared" si="25"/>
        <v/>
      </c>
      <c r="F731" s="62" t="str">
        <f t="shared" si="26"/>
        <v/>
      </c>
      <c r="G731" s="63"/>
      <c r="H731" s="60"/>
      <c r="I731" s="64"/>
      <c r="J731" s="64"/>
      <c r="K731" s="66" t="b">
        <v>0</v>
      </c>
      <c r="L731" s="66"/>
      <c r="M731" s="67"/>
    </row>
    <row r="732" ht="22.5" customHeight="1">
      <c r="B732" s="59"/>
      <c r="C732" s="60"/>
      <c r="D732" s="61"/>
      <c r="E732" s="62" t="str">
        <f t="shared" si="25"/>
        <v/>
      </c>
      <c r="F732" s="62" t="str">
        <f t="shared" si="26"/>
        <v/>
      </c>
      <c r="G732" s="63"/>
      <c r="H732" s="60"/>
      <c r="I732" s="64"/>
      <c r="J732" s="64"/>
      <c r="K732" s="66" t="b">
        <v>0</v>
      </c>
      <c r="L732" s="66"/>
      <c r="M732" s="67"/>
    </row>
    <row r="733" ht="22.5" customHeight="1">
      <c r="B733" s="59"/>
      <c r="C733" s="60"/>
      <c r="D733" s="61"/>
      <c r="E733" s="62" t="str">
        <f t="shared" si="25"/>
        <v/>
      </c>
      <c r="F733" s="62" t="str">
        <f t="shared" si="26"/>
        <v/>
      </c>
      <c r="G733" s="63"/>
      <c r="H733" s="60"/>
      <c r="I733" s="64"/>
      <c r="J733" s="64"/>
      <c r="K733" s="66" t="b">
        <v>0</v>
      </c>
      <c r="L733" s="66"/>
      <c r="M733" s="67"/>
    </row>
    <row r="734" ht="22.5" customHeight="1">
      <c r="B734" s="59"/>
      <c r="C734" s="60"/>
      <c r="D734" s="61"/>
      <c r="E734" s="62" t="str">
        <f t="shared" si="25"/>
        <v/>
      </c>
      <c r="F734" s="62" t="str">
        <f t="shared" si="26"/>
        <v/>
      </c>
      <c r="G734" s="63"/>
      <c r="H734" s="60"/>
      <c r="I734" s="64"/>
      <c r="J734" s="64"/>
      <c r="K734" s="66" t="b">
        <v>0</v>
      </c>
      <c r="L734" s="66"/>
      <c r="M734" s="67"/>
    </row>
    <row r="735" ht="22.5" customHeight="1">
      <c r="B735" s="59"/>
      <c r="C735" s="60"/>
      <c r="D735" s="61"/>
      <c r="E735" s="62" t="str">
        <f t="shared" si="25"/>
        <v/>
      </c>
      <c r="F735" s="62" t="str">
        <f t="shared" si="26"/>
        <v/>
      </c>
      <c r="G735" s="63"/>
      <c r="H735" s="60"/>
      <c r="I735" s="64"/>
      <c r="J735" s="64"/>
      <c r="K735" s="66" t="b">
        <v>0</v>
      </c>
      <c r="L735" s="66"/>
      <c r="M735" s="67"/>
    </row>
    <row r="736" ht="22.5" customHeight="1">
      <c r="B736" s="59"/>
      <c r="C736" s="60"/>
      <c r="D736" s="61"/>
      <c r="E736" s="62" t="str">
        <f t="shared" si="25"/>
        <v/>
      </c>
      <c r="F736" s="62" t="str">
        <f t="shared" si="26"/>
        <v/>
      </c>
      <c r="G736" s="63"/>
      <c r="H736" s="60"/>
      <c r="I736" s="64"/>
      <c r="J736" s="64"/>
      <c r="K736" s="66" t="b">
        <v>0</v>
      </c>
      <c r="L736" s="66"/>
      <c r="M736" s="67"/>
    </row>
    <row r="737" ht="22.5" customHeight="1">
      <c r="B737" s="59"/>
      <c r="C737" s="60"/>
      <c r="D737" s="61"/>
      <c r="E737" s="62" t="str">
        <f t="shared" si="25"/>
        <v/>
      </c>
      <c r="F737" s="62" t="str">
        <f t="shared" si="26"/>
        <v/>
      </c>
      <c r="G737" s="63"/>
      <c r="H737" s="60"/>
      <c r="I737" s="64"/>
      <c r="J737" s="64"/>
      <c r="K737" s="66" t="b">
        <v>0</v>
      </c>
      <c r="L737" s="66"/>
      <c r="M737" s="67"/>
    </row>
    <row r="738" ht="22.5" customHeight="1">
      <c r="B738" s="59"/>
      <c r="C738" s="60"/>
      <c r="D738" s="61"/>
      <c r="E738" s="62" t="str">
        <f t="shared" si="25"/>
        <v/>
      </c>
      <c r="F738" s="62" t="str">
        <f t="shared" si="26"/>
        <v/>
      </c>
      <c r="G738" s="63"/>
      <c r="H738" s="60"/>
      <c r="I738" s="64"/>
      <c r="J738" s="64"/>
      <c r="K738" s="66" t="b">
        <v>0</v>
      </c>
      <c r="L738" s="66"/>
      <c r="M738" s="67"/>
    </row>
    <row r="739" ht="22.5" customHeight="1">
      <c r="B739" s="59"/>
      <c r="C739" s="60"/>
      <c r="D739" s="61"/>
      <c r="E739" s="62" t="str">
        <f t="shared" si="25"/>
        <v/>
      </c>
      <c r="F739" s="62" t="str">
        <f t="shared" si="26"/>
        <v/>
      </c>
      <c r="G739" s="63"/>
      <c r="H739" s="60"/>
      <c r="I739" s="64"/>
      <c r="J739" s="64"/>
      <c r="K739" s="66" t="b">
        <v>0</v>
      </c>
      <c r="L739" s="66"/>
      <c r="M739" s="67"/>
    </row>
    <row r="740" ht="22.5" customHeight="1">
      <c r="B740" s="59"/>
      <c r="C740" s="60"/>
      <c r="D740" s="61"/>
      <c r="E740" s="62" t="str">
        <f t="shared" si="25"/>
        <v/>
      </c>
      <c r="F740" s="62" t="str">
        <f t="shared" si="26"/>
        <v/>
      </c>
      <c r="G740" s="63"/>
      <c r="H740" s="60"/>
      <c r="I740" s="64"/>
      <c r="J740" s="64"/>
      <c r="K740" s="66" t="b">
        <v>0</v>
      </c>
      <c r="L740" s="66"/>
      <c r="M740" s="67"/>
    </row>
    <row r="741" ht="22.5" customHeight="1">
      <c r="B741" s="59"/>
      <c r="C741" s="60"/>
      <c r="D741" s="61"/>
      <c r="E741" s="62" t="str">
        <f t="shared" si="25"/>
        <v/>
      </c>
      <c r="F741" s="62" t="str">
        <f t="shared" si="26"/>
        <v/>
      </c>
      <c r="G741" s="63"/>
      <c r="H741" s="60"/>
      <c r="I741" s="64"/>
      <c r="J741" s="64"/>
      <c r="K741" s="66" t="b">
        <v>0</v>
      </c>
      <c r="L741" s="66"/>
      <c r="M741" s="67"/>
    </row>
    <row r="742" ht="22.5" customHeight="1">
      <c r="B742" s="59"/>
      <c r="C742" s="60"/>
      <c r="D742" s="61"/>
      <c r="E742" s="62" t="str">
        <f t="shared" si="25"/>
        <v/>
      </c>
      <c r="F742" s="62" t="str">
        <f t="shared" si="26"/>
        <v/>
      </c>
      <c r="G742" s="63"/>
      <c r="H742" s="60"/>
      <c r="I742" s="64"/>
      <c r="J742" s="64"/>
      <c r="K742" s="66" t="b">
        <v>0</v>
      </c>
      <c r="L742" s="66"/>
      <c r="M742" s="67"/>
    </row>
    <row r="743" ht="22.5" customHeight="1">
      <c r="B743" s="59"/>
      <c r="C743" s="60"/>
      <c r="D743" s="61"/>
      <c r="E743" s="62" t="str">
        <f t="shared" si="25"/>
        <v/>
      </c>
      <c r="F743" s="62" t="str">
        <f t="shared" si="26"/>
        <v/>
      </c>
      <c r="G743" s="63"/>
      <c r="H743" s="60"/>
      <c r="I743" s="64"/>
      <c r="J743" s="64"/>
      <c r="K743" s="66" t="b">
        <v>0</v>
      </c>
      <c r="L743" s="66"/>
      <c r="M743" s="67"/>
    </row>
    <row r="744" ht="22.5" customHeight="1">
      <c r="B744" s="59"/>
      <c r="C744" s="60"/>
      <c r="D744" s="61"/>
      <c r="E744" s="62" t="str">
        <f t="shared" si="25"/>
        <v/>
      </c>
      <c r="F744" s="62" t="str">
        <f t="shared" si="26"/>
        <v/>
      </c>
      <c r="G744" s="63"/>
      <c r="H744" s="60"/>
      <c r="I744" s="64"/>
      <c r="J744" s="64"/>
      <c r="K744" s="66" t="b">
        <v>0</v>
      </c>
      <c r="L744" s="66"/>
      <c r="M744" s="67"/>
    </row>
    <row r="745" ht="22.5" customHeight="1">
      <c r="B745" s="59"/>
      <c r="C745" s="60"/>
      <c r="D745" s="61"/>
      <c r="E745" s="62" t="str">
        <f t="shared" si="25"/>
        <v/>
      </c>
      <c r="F745" s="62" t="str">
        <f t="shared" si="26"/>
        <v/>
      </c>
      <c r="G745" s="63"/>
      <c r="H745" s="60"/>
      <c r="I745" s="64"/>
      <c r="J745" s="64"/>
      <c r="K745" s="66" t="b">
        <v>0</v>
      </c>
      <c r="L745" s="66"/>
      <c r="M745" s="67"/>
    </row>
    <row r="746" ht="22.5" customHeight="1">
      <c r="B746" s="59"/>
      <c r="C746" s="60"/>
      <c r="D746" s="61"/>
      <c r="E746" s="62" t="str">
        <f t="shared" si="25"/>
        <v/>
      </c>
      <c r="F746" s="62" t="str">
        <f t="shared" si="26"/>
        <v/>
      </c>
      <c r="G746" s="63"/>
      <c r="H746" s="60"/>
      <c r="I746" s="64"/>
      <c r="J746" s="64"/>
      <c r="K746" s="66" t="b">
        <v>0</v>
      </c>
      <c r="L746" s="66"/>
      <c r="M746" s="67"/>
    </row>
    <row r="747" ht="22.5" customHeight="1">
      <c r="B747" s="59"/>
      <c r="C747" s="60"/>
      <c r="D747" s="61"/>
      <c r="E747" s="62" t="str">
        <f t="shared" si="25"/>
        <v/>
      </c>
      <c r="F747" s="62" t="str">
        <f t="shared" si="26"/>
        <v/>
      </c>
      <c r="G747" s="63"/>
      <c r="H747" s="60"/>
      <c r="I747" s="64"/>
      <c r="J747" s="64"/>
      <c r="K747" s="66" t="b">
        <v>0</v>
      </c>
      <c r="L747" s="66"/>
      <c r="M747" s="67"/>
    </row>
    <row r="748" ht="22.5" customHeight="1">
      <c r="B748" s="59"/>
      <c r="C748" s="60"/>
      <c r="D748" s="61"/>
      <c r="E748" s="62" t="str">
        <f t="shared" si="25"/>
        <v/>
      </c>
      <c r="F748" s="62" t="str">
        <f t="shared" si="26"/>
        <v/>
      </c>
      <c r="G748" s="63"/>
      <c r="H748" s="60"/>
      <c r="I748" s="64"/>
      <c r="J748" s="64"/>
      <c r="K748" s="66" t="b">
        <v>0</v>
      </c>
      <c r="L748" s="66"/>
      <c r="M748" s="67"/>
    </row>
    <row r="749" ht="22.5" customHeight="1">
      <c r="B749" s="59"/>
      <c r="C749" s="60"/>
      <c r="D749" s="61"/>
      <c r="E749" s="62" t="str">
        <f t="shared" si="25"/>
        <v/>
      </c>
      <c r="F749" s="62" t="str">
        <f t="shared" si="26"/>
        <v/>
      </c>
      <c r="G749" s="63"/>
      <c r="H749" s="60"/>
      <c r="I749" s="64"/>
      <c r="J749" s="64"/>
      <c r="K749" s="66" t="b">
        <v>0</v>
      </c>
      <c r="L749" s="66"/>
      <c r="M749" s="67"/>
    </row>
    <row r="750" ht="22.5" customHeight="1">
      <c r="B750" s="59"/>
      <c r="C750" s="60"/>
      <c r="D750" s="61"/>
      <c r="E750" s="62" t="str">
        <f t="shared" si="25"/>
        <v/>
      </c>
      <c r="F750" s="62" t="str">
        <f t="shared" si="26"/>
        <v/>
      </c>
      <c r="G750" s="63"/>
      <c r="H750" s="60"/>
      <c r="I750" s="64"/>
      <c r="J750" s="64"/>
      <c r="K750" s="66" t="b">
        <v>0</v>
      </c>
      <c r="L750" s="66"/>
      <c r="M750" s="67"/>
    </row>
    <row r="751" ht="22.5" customHeight="1">
      <c r="B751" s="59"/>
      <c r="C751" s="60"/>
      <c r="D751" s="61"/>
      <c r="E751" s="62" t="str">
        <f t="shared" si="25"/>
        <v/>
      </c>
      <c r="F751" s="62" t="str">
        <f t="shared" si="26"/>
        <v/>
      </c>
      <c r="G751" s="63"/>
      <c r="H751" s="60"/>
      <c r="I751" s="64"/>
      <c r="J751" s="64"/>
      <c r="K751" s="66" t="b">
        <v>0</v>
      </c>
      <c r="L751" s="66"/>
      <c r="M751" s="67"/>
    </row>
    <row r="752" ht="22.5" customHeight="1">
      <c r="B752" s="59"/>
      <c r="C752" s="60"/>
      <c r="D752" s="61"/>
      <c r="E752" s="62" t="str">
        <f t="shared" si="25"/>
        <v/>
      </c>
      <c r="F752" s="62" t="str">
        <f t="shared" si="26"/>
        <v/>
      </c>
      <c r="G752" s="63"/>
      <c r="H752" s="60"/>
      <c r="I752" s="64"/>
      <c r="J752" s="64"/>
      <c r="K752" s="66" t="b">
        <v>0</v>
      </c>
      <c r="L752" s="66"/>
      <c r="M752" s="67"/>
    </row>
    <row r="753" ht="22.5" customHeight="1">
      <c r="B753" s="59"/>
      <c r="C753" s="60"/>
      <c r="D753" s="61"/>
      <c r="E753" s="62" t="str">
        <f t="shared" si="25"/>
        <v/>
      </c>
      <c r="F753" s="62" t="str">
        <f t="shared" si="26"/>
        <v/>
      </c>
      <c r="G753" s="63"/>
      <c r="H753" s="60"/>
      <c r="I753" s="64"/>
      <c r="J753" s="64"/>
      <c r="K753" s="66" t="b">
        <v>0</v>
      </c>
      <c r="L753" s="66"/>
      <c r="M753" s="67"/>
    </row>
    <row r="754" ht="22.5" customHeight="1">
      <c r="B754" s="59"/>
      <c r="C754" s="60"/>
      <c r="D754" s="61"/>
      <c r="E754" s="62" t="str">
        <f t="shared" si="25"/>
        <v/>
      </c>
      <c r="F754" s="62" t="str">
        <f t="shared" si="26"/>
        <v/>
      </c>
      <c r="G754" s="63"/>
      <c r="H754" s="60"/>
      <c r="I754" s="64"/>
      <c r="J754" s="64"/>
      <c r="K754" s="66" t="b">
        <v>0</v>
      </c>
      <c r="L754" s="66"/>
      <c r="M754" s="67"/>
    </row>
    <row r="755" ht="22.5" customHeight="1">
      <c r="B755" s="59"/>
      <c r="C755" s="60"/>
      <c r="D755" s="61"/>
      <c r="E755" s="62" t="str">
        <f t="shared" si="25"/>
        <v/>
      </c>
      <c r="F755" s="62" t="str">
        <f t="shared" si="26"/>
        <v/>
      </c>
      <c r="G755" s="63"/>
      <c r="H755" s="60"/>
      <c r="I755" s="64"/>
      <c r="J755" s="64"/>
      <c r="K755" s="66" t="b">
        <v>0</v>
      </c>
      <c r="L755" s="66"/>
      <c r="M755" s="67"/>
    </row>
    <row r="756" ht="22.5" customHeight="1">
      <c r="B756" s="59"/>
      <c r="C756" s="60"/>
      <c r="D756" s="61"/>
      <c r="E756" s="62" t="str">
        <f t="shared" si="25"/>
        <v/>
      </c>
      <c r="F756" s="62" t="str">
        <f t="shared" si="26"/>
        <v/>
      </c>
      <c r="G756" s="63"/>
      <c r="H756" s="60"/>
      <c r="I756" s="64"/>
      <c r="J756" s="64"/>
      <c r="K756" s="66" t="b">
        <v>0</v>
      </c>
      <c r="L756" s="66"/>
      <c r="M756" s="67"/>
    </row>
    <row r="757" ht="22.5" customHeight="1">
      <c r="B757" s="59"/>
      <c r="C757" s="60"/>
      <c r="D757" s="61"/>
      <c r="E757" s="62" t="str">
        <f t="shared" si="25"/>
        <v/>
      </c>
      <c r="F757" s="62" t="str">
        <f t="shared" si="26"/>
        <v/>
      </c>
      <c r="G757" s="63"/>
      <c r="H757" s="60"/>
      <c r="I757" s="64"/>
      <c r="J757" s="64"/>
      <c r="K757" s="66" t="b">
        <v>0</v>
      </c>
      <c r="L757" s="66"/>
      <c r="M757" s="67"/>
    </row>
    <row r="758" ht="22.5" customHeight="1">
      <c r="B758" s="59"/>
      <c r="C758" s="60"/>
      <c r="D758" s="61"/>
      <c r="E758" s="62" t="str">
        <f t="shared" si="25"/>
        <v/>
      </c>
      <c r="F758" s="62" t="str">
        <f t="shared" si="26"/>
        <v/>
      </c>
      <c r="G758" s="63"/>
      <c r="H758" s="60"/>
      <c r="I758" s="64"/>
      <c r="J758" s="64"/>
      <c r="K758" s="66" t="b">
        <v>0</v>
      </c>
      <c r="L758" s="66"/>
      <c r="M758" s="67"/>
    </row>
    <row r="759" ht="22.5" customHeight="1">
      <c r="B759" s="59"/>
      <c r="C759" s="60"/>
      <c r="D759" s="61"/>
      <c r="E759" s="62" t="str">
        <f t="shared" si="25"/>
        <v/>
      </c>
      <c r="F759" s="62" t="str">
        <f t="shared" si="26"/>
        <v/>
      </c>
      <c r="G759" s="63"/>
      <c r="H759" s="60"/>
      <c r="I759" s="64"/>
      <c r="J759" s="64"/>
      <c r="K759" s="66" t="b">
        <v>0</v>
      </c>
      <c r="L759" s="66"/>
      <c r="M759" s="67"/>
    </row>
    <row r="760" ht="22.5" customHeight="1">
      <c r="B760" s="59"/>
      <c r="C760" s="60"/>
      <c r="D760" s="61"/>
      <c r="E760" s="62" t="str">
        <f t="shared" si="25"/>
        <v/>
      </c>
      <c r="F760" s="62" t="str">
        <f t="shared" si="26"/>
        <v/>
      </c>
      <c r="G760" s="63"/>
      <c r="H760" s="60"/>
      <c r="I760" s="64"/>
      <c r="J760" s="64"/>
      <c r="K760" s="66" t="b">
        <v>0</v>
      </c>
      <c r="L760" s="66"/>
      <c r="M760" s="67"/>
    </row>
    <row r="761" ht="22.5" customHeight="1">
      <c r="B761" s="59"/>
      <c r="C761" s="60"/>
      <c r="D761" s="61"/>
      <c r="E761" s="62" t="str">
        <f t="shared" si="25"/>
        <v/>
      </c>
      <c r="F761" s="62" t="str">
        <f t="shared" si="26"/>
        <v/>
      </c>
      <c r="G761" s="63"/>
      <c r="H761" s="60"/>
      <c r="I761" s="64"/>
      <c r="J761" s="64"/>
      <c r="K761" s="66" t="b">
        <v>0</v>
      </c>
      <c r="L761" s="66"/>
      <c r="M761" s="67"/>
    </row>
    <row r="762" ht="22.5" customHeight="1">
      <c r="B762" s="59"/>
      <c r="C762" s="60"/>
      <c r="D762" s="61"/>
      <c r="E762" s="62" t="str">
        <f t="shared" si="25"/>
        <v/>
      </c>
      <c r="F762" s="62" t="str">
        <f t="shared" si="26"/>
        <v/>
      </c>
      <c r="G762" s="63"/>
      <c r="H762" s="60"/>
      <c r="I762" s="64"/>
      <c r="J762" s="64"/>
      <c r="K762" s="66" t="b">
        <v>0</v>
      </c>
      <c r="L762" s="66"/>
      <c r="M762" s="67"/>
    </row>
    <row r="763" ht="22.5" customHeight="1">
      <c r="B763" s="59"/>
      <c r="C763" s="60"/>
      <c r="D763" s="61"/>
      <c r="E763" s="62" t="str">
        <f t="shared" si="25"/>
        <v/>
      </c>
      <c r="F763" s="62" t="str">
        <f t="shared" si="26"/>
        <v/>
      </c>
      <c r="G763" s="63"/>
      <c r="H763" s="60"/>
      <c r="I763" s="64"/>
      <c r="J763" s="64"/>
      <c r="K763" s="66" t="b">
        <v>0</v>
      </c>
      <c r="L763" s="66"/>
      <c r="M763" s="67"/>
    </row>
    <row r="764" ht="22.5" customHeight="1">
      <c r="B764" s="59"/>
      <c r="C764" s="60"/>
      <c r="D764" s="61"/>
      <c r="E764" s="62" t="str">
        <f t="shared" si="25"/>
        <v/>
      </c>
      <c r="F764" s="62" t="str">
        <f t="shared" si="26"/>
        <v/>
      </c>
      <c r="G764" s="63"/>
      <c r="H764" s="60"/>
      <c r="I764" s="64"/>
      <c r="J764" s="64"/>
      <c r="K764" s="66" t="b">
        <v>0</v>
      </c>
      <c r="L764" s="66"/>
      <c r="M764" s="67"/>
    </row>
    <row r="765" ht="22.5" customHeight="1">
      <c r="B765" s="59"/>
      <c r="C765" s="60"/>
      <c r="D765" s="61"/>
      <c r="E765" s="62" t="str">
        <f t="shared" si="25"/>
        <v/>
      </c>
      <c r="F765" s="62" t="str">
        <f t="shared" si="26"/>
        <v/>
      </c>
      <c r="G765" s="63"/>
      <c r="H765" s="60"/>
      <c r="I765" s="64"/>
      <c r="J765" s="64"/>
      <c r="K765" s="66" t="b">
        <v>0</v>
      </c>
      <c r="L765" s="66"/>
      <c r="M765" s="67"/>
    </row>
    <row r="766" ht="22.5" customHeight="1">
      <c r="B766" s="59"/>
      <c r="C766" s="60"/>
      <c r="D766" s="61"/>
      <c r="E766" s="62" t="str">
        <f t="shared" si="25"/>
        <v/>
      </c>
      <c r="F766" s="62" t="str">
        <f t="shared" si="26"/>
        <v/>
      </c>
      <c r="G766" s="63"/>
      <c r="H766" s="60"/>
      <c r="I766" s="64"/>
      <c r="J766" s="64"/>
      <c r="K766" s="66" t="b">
        <v>0</v>
      </c>
      <c r="L766" s="66"/>
      <c r="M766" s="67"/>
    </row>
    <row r="767" ht="22.5" customHeight="1">
      <c r="B767" s="59"/>
      <c r="C767" s="60"/>
      <c r="D767" s="61"/>
      <c r="E767" s="62" t="str">
        <f t="shared" si="25"/>
        <v/>
      </c>
      <c r="F767" s="62" t="str">
        <f t="shared" si="26"/>
        <v/>
      </c>
      <c r="G767" s="63"/>
      <c r="H767" s="60"/>
      <c r="I767" s="64"/>
      <c r="J767" s="64"/>
      <c r="K767" s="66" t="b">
        <v>0</v>
      </c>
      <c r="L767" s="66"/>
      <c r="M767" s="67"/>
    </row>
    <row r="768" ht="22.5" customHeight="1">
      <c r="B768" s="59"/>
      <c r="C768" s="60"/>
      <c r="D768" s="61"/>
      <c r="E768" s="62" t="str">
        <f t="shared" si="25"/>
        <v/>
      </c>
      <c r="F768" s="62" t="str">
        <f t="shared" si="26"/>
        <v/>
      </c>
      <c r="G768" s="63"/>
      <c r="H768" s="60"/>
      <c r="I768" s="64"/>
      <c r="J768" s="64"/>
      <c r="K768" s="66" t="b">
        <v>0</v>
      </c>
      <c r="L768" s="66"/>
      <c r="M768" s="67"/>
    </row>
    <row r="769" ht="22.5" customHeight="1">
      <c r="B769" s="59"/>
      <c r="C769" s="60"/>
      <c r="D769" s="61"/>
      <c r="E769" s="62" t="str">
        <f t="shared" si="25"/>
        <v/>
      </c>
      <c r="F769" s="62" t="str">
        <f t="shared" si="26"/>
        <v/>
      </c>
      <c r="G769" s="63"/>
      <c r="H769" s="60"/>
      <c r="I769" s="64"/>
      <c r="J769" s="64"/>
      <c r="K769" s="66" t="b">
        <v>0</v>
      </c>
      <c r="L769" s="66"/>
      <c r="M769" s="67"/>
    </row>
    <row r="770" ht="22.5" customHeight="1">
      <c r="B770" s="59"/>
      <c r="C770" s="60"/>
      <c r="D770" s="61"/>
      <c r="E770" s="62" t="str">
        <f t="shared" si="25"/>
        <v/>
      </c>
      <c r="F770" s="62" t="str">
        <f t="shared" si="26"/>
        <v/>
      </c>
      <c r="G770" s="63"/>
      <c r="H770" s="60"/>
      <c r="I770" s="64"/>
      <c r="J770" s="64"/>
      <c r="K770" s="66" t="b">
        <v>0</v>
      </c>
      <c r="L770" s="66"/>
      <c r="M770" s="67"/>
    </row>
    <row r="771" ht="22.5" customHeight="1">
      <c r="B771" s="59"/>
      <c r="C771" s="60"/>
      <c r="D771" s="61"/>
      <c r="E771" s="62" t="str">
        <f t="shared" si="25"/>
        <v/>
      </c>
      <c r="F771" s="62" t="str">
        <f t="shared" si="26"/>
        <v/>
      </c>
      <c r="G771" s="63"/>
      <c r="H771" s="60"/>
      <c r="I771" s="64"/>
      <c r="J771" s="64"/>
      <c r="K771" s="66" t="b">
        <v>0</v>
      </c>
      <c r="L771" s="66"/>
      <c r="M771" s="67"/>
    </row>
    <row r="772" ht="22.5" customHeight="1">
      <c r="B772" s="59"/>
      <c r="C772" s="60"/>
      <c r="D772" s="61"/>
      <c r="E772" s="62" t="str">
        <f t="shared" si="25"/>
        <v/>
      </c>
      <c r="F772" s="62" t="str">
        <f t="shared" si="26"/>
        <v/>
      </c>
      <c r="G772" s="63"/>
      <c r="H772" s="60"/>
      <c r="I772" s="64"/>
      <c r="J772" s="64"/>
      <c r="K772" s="66" t="b">
        <v>0</v>
      </c>
      <c r="L772" s="66"/>
      <c r="M772" s="67"/>
    </row>
    <row r="773" ht="22.5" customHeight="1">
      <c r="B773" s="59"/>
      <c r="C773" s="60"/>
      <c r="D773" s="61"/>
      <c r="E773" s="62" t="str">
        <f t="shared" si="25"/>
        <v/>
      </c>
      <c r="F773" s="62" t="str">
        <f t="shared" si="26"/>
        <v/>
      </c>
      <c r="G773" s="63"/>
      <c r="H773" s="60"/>
      <c r="I773" s="64"/>
      <c r="J773" s="64"/>
      <c r="K773" s="66" t="b">
        <v>0</v>
      </c>
      <c r="L773" s="66"/>
      <c r="M773" s="67"/>
    </row>
    <row r="774" ht="22.5" customHeight="1">
      <c r="B774" s="59"/>
      <c r="C774" s="60"/>
      <c r="D774" s="61"/>
      <c r="E774" s="62" t="str">
        <f t="shared" si="25"/>
        <v/>
      </c>
      <c r="F774" s="62" t="str">
        <f t="shared" si="26"/>
        <v/>
      </c>
      <c r="G774" s="63"/>
      <c r="H774" s="60"/>
      <c r="I774" s="64"/>
      <c r="J774" s="64"/>
      <c r="K774" s="66" t="b">
        <v>0</v>
      </c>
      <c r="L774" s="66"/>
      <c r="M774" s="67"/>
    </row>
    <row r="775" ht="22.5" customHeight="1">
      <c r="B775" s="59"/>
      <c r="C775" s="60"/>
      <c r="D775" s="61"/>
      <c r="E775" s="62" t="str">
        <f t="shared" si="25"/>
        <v/>
      </c>
      <c r="F775" s="62" t="str">
        <f t="shared" si="26"/>
        <v/>
      </c>
      <c r="G775" s="63"/>
      <c r="H775" s="60"/>
      <c r="I775" s="64"/>
      <c r="J775" s="64"/>
      <c r="K775" s="66" t="b">
        <v>0</v>
      </c>
      <c r="L775" s="66"/>
      <c r="M775" s="67"/>
    </row>
    <row r="776" ht="22.5" customHeight="1">
      <c r="B776" s="59"/>
      <c r="C776" s="60"/>
      <c r="D776" s="61"/>
      <c r="E776" s="62" t="str">
        <f t="shared" si="25"/>
        <v/>
      </c>
      <c r="F776" s="62" t="str">
        <f t="shared" si="26"/>
        <v/>
      </c>
      <c r="G776" s="63"/>
      <c r="H776" s="60"/>
      <c r="I776" s="64"/>
      <c r="J776" s="64"/>
      <c r="K776" s="66" t="b">
        <v>0</v>
      </c>
      <c r="L776" s="66"/>
      <c r="M776" s="67"/>
    </row>
    <row r="777" ht="22.5" customHeight="1">
      <c r="B777" s="59"/>
      <c r="C777" s="60"/>
      <c r="D777" s="61"/>
      <c r="E777" s="62" t="str">
        <f t="shared" si="25"/>
        <v/>
      </c>
      <c r="F777" s="62" t="str">
        <f t="shared" si="26"/>
        <v/>
      </c>
      <c r="G777" s="63"/>
      <c r="H777" s="60"/>
      <c r="I777" s="64"/>
      <c r="J777" s="64"/>
      <c r="K777" s="66" t="b">
        <v>0</v>
      </c>
      <c r="L777" s="66"/>
      <c r="M777" s="67"/>
    </row>
    <row r="778" ht="22.5" customHeight="1">
      <c r="B778" s="59"/>
      <c r="C778" s="60"/>
      <c r="D778" s="61"/>
      <c r="E778" s="62" t="str">
        <f t="shared" si="25"/>
        <v/>
      </c>
      <c r="F778" s="62" t="str">
        <f t="shared" si="26"/>
        <v/>
      </c>
      <c r="G778" s="63"/>
      <c r="H778" s="60"/>
      <c r="I778" s="64"/>
      <c r="J778" s="64"/>
      <c r="K778" s="66" t="b">
        <v>0</v>
      </c>
      <c r="L778" s="66"/>
      <c r="M778" s="67"/>
    </row>
    <row r="779" ht="22.5" customHeight="1">
      <c r="B779" s="59"/>
      <c r="C779" s="60"/>
      <c r="D779" s="61"/>
      <c r="E779" s="62" t="str">
        <f t="shared" si="25"/>
        <v/>
      </c>
      <c r="F779" s="62" t="str">
        <f t="shared" si="26"/>
        <v/>
      </c>
      <c r="G779" s="63"/>
      <c r="H779" s="60"/>
      <c r="I779" s="64"/>
      <c r="J779" s="64"/>
      <c r="K779" s="66" t="b">
        <v>0</v>
      </c>
      <c r="L779" s="66"/>
      <c r="M779" s="67"/>
    </row>
    <row r="780" ht="22.5" customHeight="1">
      <c r="B780" s="59"/>
      <c r="C780" s="60"/>
      <c r="D780" s="61"/>
      <c r="E780" s="62" t="str">
        <f t="shared" si="25"/>
        <v/>
      </c>
      <c r="F780" s="62" t="str">
        <f t="shared" si="26"/>
        <v/>
      </c>
      <c r="G780" s="63"/>
      <c r="H780" s="60"/>
      <c r="I780" s="64"/>
      <c r="J780" s="64"/>
      <c r="K780" s="66" t="b">
        <v>0</v>
      </c>
      <c r="L780" s="66"/>
      <c r="M780" s="67"/>
    </row>
    <row r="781" ht="22.5" customHeight="1">
      <c r="B781" s="59"/>
      <c r="C781" s="60"/>
      <c r="D781" s="61"/>
      <c r="E781" s="62" t="str">
        <f t="shared" si="25"/>
        <v/>
      </c>
      <c r="F781" s="62" t="str">
        <f t="shared" si="26"/>
        <v/>
      </c>
      <c r="G781" s="63"/>
      <c r="H781" s="60"/>
      <c r="I781" s="64"/>
      <c r="J781" s="64"/>
      <c r="K781" s="66" t="b">
        <v>0</v>
      </c>
      <c r="L781" s="66"/>
      <c r="M781" s="67"/>
    </row>
    <row r="782" ht="22.5" customHeight="1">
      <c r="B782" s="59"/>
      <c r="C782" s="60"/>
      <c r="D782" s="61"/>
      <c r="E782" s="62" t="str">
        <f t="shared" si="25"/>
        <v/>
      </c>
      <c r="F782" s="62" t="str">
        <f t="shared" si="26"/>
        <v/>
      </c>
      <c r="G782" s="63"/>
      <c r="H782" s="60"/>
      <c r="I782" s="64"/>
      <c r="J782" s="64"/>
      <c r="K782" s="66" t="b">
        <v>0</v>
      </c>
      <c r="L782" s="66"/>
      <c r="M782" s="67"/>
    </row>
    <row r="783" ht="22.5" customHeight="1">
      <c r="B783" s="59"/>
      <c r="C783" s="60"/>
      <c r="D783" s="61"/>
      <c r="E783" s="62" t="str">
        <f t="shared" si="25"/>
        <v/>
      </c>
      <c r="F783" s="62" t="str">
        <f t="shared" si="26"/>
        <v/>
      </c>
      <c r="G783" s="63"/>
      <c r="H783" s="60"/>
      <c r="I783" s="64"/>
      <c r="J783" s="64"/>
      <c r="K783" s="66" t="b">
        <v>0</v>
      </c>
      <c r="L783" s="66"/>
      <c r="M783" s="67"/>
    </row>
    <row r="784" ht="22.5" customHeight="1">
      <c r="B784" s="59"/>
      <c r="C784" s="60"/>
      <c r="D784" s="61"/>
      <c r="E784" s="62" t="str">
        <f t="shared" si="25"/>
        <v/>
      </c>
      <c r="F784" s="62" t="str">
        <f t="shared" si="26"/>
        <v/>
      </c>
      <c r="G784" s="63"/>
      <c r="H784" s="60"/>
      <c r="I784" s="64"/>
      <c r="J784" s="64"/>
      <c r="K784" s="66" t="b">
        <v>0</v>
      </c>
      <c r="L784" s="66"/>
      <c r="M784" s="67"/>
    </row>
    <row r="785" ht="22.5" customHeight="1">
      <c r="B785" s="59"/>
      <c r="C785" s="60"/>
      <c r="D785" s="61"/>
      <c r="E785" s="62" t="str">
        <f t="shared" si="25"/>
        <v/>
      </c>
      <c r="F785" s="62" t="str">
        <f t="shared" si="26"/>
        <v/>
      </c>
      <c r="G785" s="63"/>
      <c r="H785" s="60"/>
      <c r="I785" s="64"/>
      <c r="J785" s="64"/>
      <c r="K785" s="66" t="b">
        <v>0</v>
      </c>
      <c r="L785" s="66"/>
      <c r="M785" s="67"/>
    </row>
    <row r="786" ht="22.5" customHeight="1">
      <c r="B786" s="59"/>
      <c r="C786" s="60"/>
      <c r="D786" s="61"/>
      <c r="E786" s="62" t="str">
        <f t="shared" si="25"/>
        <v/>
      </c>
      <c r="F786" s="62" t="str">
        <f t="shared" si="26"/>
        <v/>
      </c>
      <c r="G786" s="63"/>
      <c r="H786" s="60"/>
      <c r="I786" s="64"/>
      <c r="J786" s="64"/>
      <c r="K786" s="66" t="b">
        <v>0</v>
      </c>
      <c r="L786" s="66"/>
      <c r="M786" s="67"/>
    </row>
    <row r="787" ht="22.5" customHeight="1">
      <c r="B787" s="59"/>
      <c r="C787" s="60"/>
      <c r="D787" s="61"/>
      <c r="E787" s="62" t="str">
        <f t="shared" si="25"/>
        <v/>
      </c>
      <c r="F787" s="62" t="str">
        <f t="shared" si="26"/>
        <v/>
      </c>
      <c r="G787" s="63"/>
      <c r="H787" s="60"/>
      <c r="I787" s="64"/>
      <c r="J787" s="64"/>
      <c r="K787" s="66" t="b">
        <v>0</v>
      </c>
      <c r="L787" s="66"/>
      <c r="M787" s="67"/>
    </row>
    <row r="788" ht="22.5" customHeight="1">
      <c r="B788" s="59"/>
      <c r="C788" s="60"/>
      <c r="D788" s="61"/>
      <c r="E788" s="62" t="str">
        <f t="shared" si="25"/>
        <v/>
      </c>
      <c r="F788" s="62" t="str">
        <f t="shared" si="26"/>
        <v/>
      </c>
      <c r="G788" s="63"/>
      <c r="H788" s="60"/>
      <c r="I788" s="64"/>
      <c r="J788" s="64"/>
      <c r="K788" s="66" t="b">
        <v>0</v>
      </c>
      <c r="L788" s="66"/>
      <c r="M788" s="67"/>
    </row>
    <row r="789" ht="22.5" customHeight="1">
      <c r="B789" s="59"/>
      <c r="C789" s="60"/>
      <c r="D789" s="61"/>
      <c r="E789" s="62" t="str">
        <f t="shared" si="25"/>
        <v/>
      </c>
      <c r="F789" s="62" t="str">
        <f t="shared" si="26"/>
        <v/>
      </c>
      <c r="G789" s="63"/>
      <c r="H789" s="60"/>
      <c r="I789" s="64"/>
      <c r="J789" s="64"/>
      <c r="K789" s="66" t="b">
        <v>0</v>
      </c>
      <c r="L789" s="66"/>
      <c r="M789" s="67"/>
    </row>
    <row r="790" ht="22.5" customHeight="1">
      <c r="B790" s="59"/>
      <c r="C790" s="60"/>
      <c r="D790" s="61"/>
      <c r="E790" s="62" t="str">
        <f t="shared" si="25"/>
        <v/>
      </c>
      <c r="F790" s="62" t="str">
        <f t="shared" si="26"/>
        <v/>
      </c>
      <c r="G790" s="63"/>
      <c r="H790" s="60"/>
      <c r="I790" s="64"/>
      <c r="J790" s="64"/>
      <c r="K790" s="66" t="b">
        <v>0</v>
      </c>
      <c r="L790" s="66"/>
      <c r="M790" s="67"/>
    </row>
    <row r="791" ht="22.5" customHeight="1">
      <c r="B791" s="59"/>
      <c r="C791" s="60"/>
      <c r="D791" s="61"/>
      <c r="E791" s="62" t="str">
        <f t="shared" si="25"/>
        <v/>
      </c>
      <c r="F791" s="62" t="str">
        <f t="shared" si="26"/>
        <v/>
      </c>
      <c r="G791" s="63"/>
      <c r="H791" s="60"/>
      <c r="I791" s="64"/>
      <c r="J791" s="64"/>
      <c r="K791" s="66" t="b">
        <v>0</v>
      </c>
      <c r="L791" s="66"/>
      <c r="M791" s="67"/>
    </row>
    <row r="792" ht="22.5" customHeight="1">
      <c r="B792" s="59"/>
      <c r="C792" s="60"/>
      <c r="D792" s="61"/>
      <c r="E792" s="62" t="str">
        <f t="shared" si="25"/>
        <v/>
      </c>
      <c r="F792" s="62" t="str">
        <f t="shared" si="26"/>
        <v/>
      </c>
      <c r="G792" s="63"/>
      <c r="H792" s="60"/>
      <c r="I792" s="64"/>
      <c r="J792" s="64"/>
      <c r="K792" s="66" t="b">
        <v>0</v>
      </c>
      <c r="L792" s="66"/>
      <c r="M792" s="67"/>
    </row>
    <row r="793" ht="22.5" customHeight="1">
      <c r="B793" s="59"/>
      <c r="C793" s="60"/>
      <c r="D793" s="61"/>
      <c r="E793" s="62" t="str">
        <f t="shared" si="25"/>
        <v/>
      </c>
      <c r="F793" s="62" t="str">
        <f t="shared" si="26"/>
        <v/>
      </c>
      <c r="G793" s="63"/>
      <c r="H793" s="60"/>
      <c r="I793" s="64"/>
      <c r="J793" s="64"/>
      <c r="K793" s="66" t="b">
        <v>0</v>
      </c>
      <c r="L793" s="66"/>
      <c r="M793" s="67"/>
    </row>
    <row r="794" ht="22.5" customHeight="1">
      <c r="B794" s="59"/>
      <c r="C794" s="60"/>
      <c r="D794" s="61"/>
      <c r="E794" s="62" t="str">
        <f t="shared" si="25"/>
        <v/>
      </c>
      <c r="F794" s="62" t="str">
        <f t="shared" si="26"/>
        <v/>
      </c>
      <c r="G794" s="63"/>
      <c r="H794" s="60"/>
      <c r="I794" s="64"/>
      <c r="J794" s="64"/>
      <c r="K794" s="66" t="b">
        <v>0</v>
      </c>
      <c r="L794" s="66"/>
      <c r="M794" s="67"/>
    </row>
    <row r="795" ht="22.5" customHeight="1">
      <c r="B795" s="59"/>
      <c r="C795" s="60"/>
      <c r="D795" s="61"/>
      <c r="E795" s="62" t="str">
        <f t="shared" si="25"/>
        <v/>
      </c>
      <c r="F795" s="62" t="str">
        <f t="shared" si="26"/>
        <v/>
      </c>
      <c r="G795" s="63"/>
      <c r="H795" s="60"/>
      <c r="I795" s="64"/>
      <c r="J795" s="64"/>
      <c r="K795" s="66" t="b">
        <v>0</v>
      </c>
      <c r="L795" s="66"/>
      <c r="M795" s="67"/>
    </row>
    <row r="796" ht="22.5" customHeight="1">
      <c r="B796" s="59"/>
      <c r="C796" s="60"/>
      <c r="D796" s="61"/>
      <c r="E796" s="62" t="str">
        <f t="shared" si="25"/>
        <v/>
      </c>
      <c r="F796" s="62" t="str">
        <f t="shared" si="26"/>
        <v/>
      </c>
      <c r="G796" s="63"/>
      <c r="H796" s="60"/>
      <c r="I796" s="64"/>
      <c r="J796" s="64"/>
      <c r="K796" s="66" t="b">
        <v>0</v>
      </c>
      <c r="L796" s="66"/>
      <c r="M796" s="67"/>
    </row>
    <row r="797" ht="22.5" customHeight="1">
      <c r="B797" s="59"/>
      <c r="C797" s="60"/>
      <c r="D797" s="61"/>
      <c r="E797" s="62" t="str">
        <f t="shared" si="25"/>
        <v/>
      </c>
      <c r="F797" s="62" t="str">
        <f t="shared" si="26"/>
        <v/>
      </c>
      <c r="G797" s="63"/>
      <c r="H797" s="60"/>
      <c r="I797" s="64"/>
      <c r="J797" s="64"/>
      <c r="K797" s="66" t="b">
        <v>0</v>
      </c>
      <c r="L797" s="66"/>
      <c r="M797" s="67"/>
    </row>
    <row r="798" ht="22.5" customHeight="1">
      <c r="B798" s="59"/>
      <c r="C798" s="60"/>
      <c r="D798" s="61"/>
      <c r="E798" s="62" t="str">
        <f t="shared" si="25"/>
        <v/>
      </c>
      <c r="F798" s="62" t="str">
        <f t="shared" si="26"/>
        <v/>
      </c>
      <c r="G798" s="63"/>
      <c r="H798" s="60"/>
      <c r="I798" s="64"/>
      <c r="J798" s="64"/>
      <c r="K798" s="66" t="b">
        <v>0</v>
      </c>
      <c r="L798" s="66"/>
      <c r="M798" s="67"/>
    </row>
    <row r="799" ht="22.5" customHeight="1">
      <c r="B799" s="59"/>
      <c r="C799" s="60"/>
      <c r="D799" s="61"/>
      <c r="E799" s="62" t="str">
        <f t="shared" si="25"/>
        <v/>
      </c>
      <c r="F799" s="62" t="str">
        <f t="shared" si="26"/>
        <v/>
      </c>
      <c r="G799" s="63"/>
      <c r="H799" s="60"/>
      <c r="I799" s="64"/>
      <c r="J799" s="64"/>
      <c r="K799" s="66" t="b">
        <v>0</v>
      </c>
      <c r="L799" s="66"/>
      <c r="M799" s="67"/>
    </row>
    <row r="800" ht="22.5" customHeight="1">
      <c r="B800" s="59"/>
      <c r="C800" s="60"/>
      <c r="D800" s="61"/>
      <c r="E800" s="62" t="str">
        <f t="shared" si="25"/>
        <v/>
      </c>
      <c r="F800" s="62" t="str">
        <f t="shared" si="26"/>
        <v/>
      </c>
      <c r="G800" s="63"/>
      <c r="H800" s="60"/>
      <c r="I800" s="64"/>
      <c r="J800" s="64"/>
      <c r="K800" s="66" t="b">
        <v>0</v>
      </c>
      <c r="L800" s="66"/>
      <c r="M800" s="67"/>
    </row>
    <row r="801" ht="22.5" customHeight="1">
      <c r="B801" s="59"/>
      <c r="C801" s="60"/>
      <c r="D801" s="61"/>
      <c r="E801" s="62" t="str">
        <f t="shared" si="25"/>
        <v/>
      </c>
      <c r="F801" s="62" t="str">
        <f t="shared" si="26"/>
        <v/>
      </c>
      <c r="G801" s="63"/>
      <c r="H801" s="60"/>
      <c r="I801" s="64"/>
      <c r="J801" s="64"/>
      <c r="K801" s="66" t="b">
        <v>0</v>
      </c>
      <c r="L801" s="66"/>
      <c r="M801" s="67"/>
    </row>
    <row r="802" ht="22.5" customHeight="1">
      <c r="B802" s="59"/>
      <c r="C802" s="60"/>
      <c r="D802" s="61"/>
      <c r="E802" s="62" t="str">
        <f t="shared" si="25"/>
        <v/>
      </c>
      <c r="F802" s="62" t="str">
        <f t="shared" si="26"/>
        <v/>
      </c>
      <c r="G802" s="63"/>
      <c r="H802" s="60"/>
      <c r="I802" s="64"/>
      <c r="J802" s="64"/>
      <c r="K802" s="66" t="b">
        <v>0</v>
      </c>
      <c r="L802" s="66"/>
      <c r="M802" s="67"/>
    </row>
    <row r="803" ht="22.5" customHeight="1">
      <c r="B803" s="59"/>
      <c r="C803" s="60"/>
      <c r="D803" s="61"/>
      <c r="E803" s="62" t="str">
        <f t="shared" si="25"/>
        <v/>
      </c>
      <c r="F803" s="62" t="str">
        <f t="shared" si="26"/>
        <v/>
      </c>
      <c r="G803" s="63"/>
      <c r="H803" s="60"/>
      <c r="I803" s="64"/>
      <c r="J803" s="64"/>
      <c r="K803" s="66" t="b">
        <v>0</v>
      </c>
      <c r="L803" s="66"/>
      <c r="M803" s="67"/>
    </row>
    <row r="804" ht="22.5" customHeight="1">
      <c r="B804" s="59"/>
      <c r="C804" s="60"/>
      <c r="D804" s="61"/>
      <c r="E804" s="62" t="str">
        <f t="shared" si="25"/>
        <v/>
      </c>
      <c r="F804" s="62" t="str">
        <f t="shared" si="26"/>
        <v/>
      </c>
      <c r="G804" s="63"/>
      <c r="H804" s="60"/>
      <c r="I804" s="64"/>
      <c r="J804" s="64"/>
      <c r="K804" s="66" t="b">
        <v>0</v>
      </c>
      <c r="L804" s="66"/>
      <c r="M804" s="67"/>
    </row>
    <row r="805" ht="22.5" customHeight="1">
      <c r="B805" s="59"/>
      <c r="C805" s="60"/>
      <c r="D805" s="61"/>
      <c r="E805" s="62" t="str">
        <f t="shared" si="25"/>
        <v/>
      </c>
      <c r="F805" s="62" t="str">
        <f t="shared" si="26"/>
        <v/>
      </c>
      <c r="G805" s="63"/>
      <c r="H805" s="60"/>
      <c r="I805" s="64"/>
      <c r="J805" s="64"/>
      <c r="K805" s="66" t="b">
        <v>0</v>
      </c>
      <c r="L805" s="66"/>
      <c r="M805" s="67"/>
    </row>
    <row r="806" ht="22.5" customHeight="1">
      <c r="B806" s="59"/>
      <c r="C806" s="60"/>
      <c r="D806" s="61"/>
      <c r="E806" s="62" t="str">
        <f t="shared" si="25"/>
        <v/>
      </c>
      <c r="F806" s="62" t="str">
        <f t="shared" si="26"/>
        <v/>
      </c>
      <c r="G806" s="63"/>
      <c r="H806" s="60"/>
      <c r="I806" s="64"/>
      <c r="J806" s="64"/>
      <c r="K806" s="66" t="b">
        <v>0</v>
      </c>
      <c r="L806" s="66"/>
      <c r="M806" s="67"/>
    </row>
    <row r="807" ht="22.5" customHeight="1">
      <c r="B807" s="59"/>
      <c r="C807" s="60"/>
      <c r="D807" s="61"/>
      <c r="E807" s="62" t="str">
        <f t="shared" si="25"/>
        <v/>
      </c>
      <c r="F807" s="62" t="str">
        <f t="shared" si="26"/>
        <v/>
      </c>
      <c r="G807" s="63"/>
      <c r="H807" s="60"/>
      <c r="I807" s="64"/>
      <c r="J807" s="64"/>
      <c r="K807" s="66" t="b">
        <v>0</v>
      </c>
      <c r="L807" s="66"/>
      <c r="M807" s="67"/>
    </row>
    <row r="808" ht="22.5" customHeight="1">
      <c r="B808" s="59"/>
      <c r="C808" s="60"/>
      <c r="D808" s="61"/>
      <c r="E808" s="62" t="str">
        <f t="shared" si="25"/>
        <v/>
      </c>
      <c r="F808" s="62" t="str">
        <f t="shared" si="26"/>
        <v/>
      </c>
      <c r="G808" s="63"/>
      <c r="H808" s="60"/>
      <c r="I808" s="64"/>
      <c r="J808" s="64"/>
      <c r="K808" s="66" t="b">
        <v>0</v>
      </c>
      <c r="L808" s="66"/>
      <c r="M808" s="67"/>
    </row>
    <row r="809" ht="22.5" customHeight="1">
      <c r="B809" s="59"/>
      <c r="C809" s="60"/>
      <c r="D809" s="61"/>
      <c r="E809" s="62" t="str">
        <f t="shared" si="25"/>
        <v/>
      </c>
      <c r="F809" s="62" t="str">
        <f t="shared" si="26"/>
        <v/>
      </c>
      <c r="G809" s="63"/>
      <c r="H809" s="60"/>
      <c r="I809" s="64"/>
      <c r="J809" s="64"/>
      <c r="K809" s="66" t="b">
        <v>0</v>
      </c>
      <c r="L809" s="66"/>
      <c r="M809" s="67"/>
    </row>
    <row r="810" ht="22.5" customHeight="1">
      <c r="B810" s="59"/>
      <c r="C810" s="60"/>
      <c r="D810" s="61"/>
      <c r="E810" s="62" t="str">
        <f t="shared" si="25"/>
        <v/>
      </c>
      <c r="F810" s="62" t="str">
        <f t="shared" si="26"/>
        <v/>
      </c>
      <c r="G810" s="63"/>
      <c r="H810" s="60"/>
      <c r="I810" s="64"/>
      <c r="J810" s="64"/>
      <c r="K810" s="66" t="b">
        <v>0</v>
      </c>
      <c r="L810" s="66"/>
      <c r="M810" s="67"/>
    </row>
    <row r="811" ht="22.5" customHeight="1">
      <c r="B811" s="59"/>
      <c r="C811" s="60"/>
      <c r="D811" s="61"/>
      <c r="E811" s="62" t="str">
        <f t="shared" si="25"/>
        <v/>
      </c>
      <c r="F811" s="62" t="str">
        <f t="shared" si="26"/>
        <v/>
      </c>
      <c r="G811" s="63"/>
      <c r="H811" s="60"/>
      <c r="I811" s="64"/>
      <c r="J811" s="64"/>
      <c r="K811" s="66" t="b">
        <v>0</v>
      </c>
      <c r="L811" s="66"/>
      <c r="M811" s="67"/>
    </row>
    <row r="812" ht="22.5" customHeight="1">
      <c r="B812" s="59"/>
      <c r="C812" s="60"/>
      <c r="D812" s="61"/>
      <c r="E812" s="62" t="str">
        <f t="shared" si="25"/>
        <v/>
      </c>
      <c r="F812" s="62" t="str">
        <f t="shared" si="26"/>
        <v/>
      </c>
      <c r="G812" s="63"/>
      <c r="H812" s="60"/>
      <c r="I812" s="64"/>
      <c r="J812" s="64"/>
      <c r="K812" s="66" t="b">
        <v>0</v>
      </c>
      <c r="L812" s="66"/>
      <c r="M812" s="67"/>
    </row>
    <row r="813" ht="22.5" customHeight="1">
      <c r="B813" s="59"/>
      <c r="C813" s="60"/>
      <c r="D813" s="61"/>
      <c r="E813" s="62" t="str">
        <f t="shared" si="25"/>
        <v/>
      </c>
      <c r="F813" s="62" t="str">
        <f t="shared" si="26"/>
        <v/>
      </c>
      <c r="G813" s="63"/>
      <c r="H813" s="60"/>
      <c r="I813" s="64"/>
      <c r="J813" s="64"/>
      <c r="K813" s="66" t="b">
        <v>0</v>
      </c>
      <c r="L813" s="66"/>
      <c r="M813" s="67"/>
    </row>
    <row r="814" ht="22.5" customHeight="1">
      <c r="B814" s="59"/>
      <c r="C814" s="60"/>
      <c r="D814" s="61"/>
      <c r="E814" s="62" t="str">
        <f t="shared" si="25"/>
        <v/>
      </c>
      <c r="F814" s="62" t="str">
        <f t="shared" si="26"/>
        <v/>
      </c>
      <c r="G814" s="63"/>
      <c r="H814" s="60"/>
      <c r="I814" s="64"/>
      <c r="J814" s="64"/>
      <c r="K814" s="66" t="b">
        <v>0</v>
      </c>
      <c r="L814" s="66"/>
      <c r="M814" s="67"/>
    </row>
    <row r="815" ht="22.5" customHeight="1">
      <c r="B815" s="59"/>
      <c r="C815" s="60"/>
      <c r="D815" s="61"/>
      <c r="E815" s="62" t="str">
        <f t="shared" si="25"/>
        <v/>
      </c>
      <c r="F815" s="62" t="str">
        <f t="shared" si="26"/>
        <v/>
      </c>
      <c r="G815" s="63"/>
      <c r="H815" s="60"/>
      <c r="I815" s="64"/>
      <c r="J815" s="64"/>
      <c r="K815" s="66" t="b">
        <v>0</v>
      </c>
      <c r="L815" s="66"/>
      <c r="M815" s="67"/>
    </row>
    <row r="816" ht="22.5" customHeight="1">
      <c r="B816" s="59"/>
      <c r="C816" s="60"/>
      <c r="D816" s="61"/>
      <c r="E816" s="62" t="str">
        <f t="shared" si="25"/>
        <v/>
      </c>
      <c r="F816" s="62" t="str">
        <f t="shared" si="26"/>
        <v/>
      </c>
      <c r="G816" s="63"/>
      <c r="H816" s="60"/>
      <c r="I816" s="64"/>
      <c r="J816" s="64"/>
      <c r="K816" s="66" t="b">
        <v>0</v>
      </c>
      <c r="L816" s="66"/>
      <c r="M816" s="67"/>
    </row>
    <row r="817" ht="22.5" customHeight="1">
      <c r="B817" s="59"/>
      <c r="C817" s="60"/>
      <c r="D817" s="61"/>
      <c r="E817" s="62" t="str">
        <f t="shared" si="25"/>
        <v/>
      </c>
      <c r="F817" s="62" t="str">
        <f t="shared" si="26"/>
        <v/>
      </c>
      <c r="G817" s="63"/>
      <c r="H817" s="60"/>
      <c r="I817" s="64"/>
      <c r="J817" s="64"/>
      <c r="K817" s="66" t="b">
        <v>0</v>
      </c>
      <c r="L817" s="66"/>
      <c r="M817" s="67"/>
    </row>
    <row r="818" ht="22.5" customHeight="1">
      <c r="B818" s="59"/>
      <c r="C818" s="60"/>
      <c r="D818" s="61"/>
      <c r="E818" s="62" t="str">
        <f t="shared" si="25"/>
        <v/>
      </c>
      <c r="F818" s="62" t="str">
        <f t="shared" si="26"/>
        <v/>
      </c>
      <c r="G818" s="63"/>
      <c r="H818" s="60"/>
      <c r="I818" s="64"/>
      <c r="J818" s="64"/>
      <c r="K818" s="66" t="b">
        <v>0</v>
      </c>
      <c r="L818" s="66"/>
      <c r="M818" s="67"/>
    </row>
    <row r="819" ht="22.5" customHeight="1">
      <c r="B819" s="59"/>
      <c r="C819" s="60"/>
      <c r="D819" s="61"/>
      <c r="E819" s="62" t="str">
        <f t="shared" si="25"/>
        <v/>
      </c>
      <c r="F819" s="62" t="str">
        <f t="shared" si="26"/>
        <v/>
      </c>
      <c r="G819" s="63"/>
      <c r="H819" s="60"/>
      <c r="I819" s="64"/>
      <c r="J819" s="64"/>
      <c r="K819" s="66" t="b">
        <v>0</v>
      </c>
      <c r="L819" s="66"/>
      <c r="M819" s="67"/>
    </row>
    <row r="820" ht="22.5" customHeight="1">
      <c r="B820" s="59"/>
      <c r="C820" s="60"/>
      <c r="D820" s="61"/>
      <c r="E820" s="62" t="str">
        <f t="shared" si="25"/>
        <v/>
      </c>
      <c r="F820" s="62" t="str">
        <f t="shared" si="26"/>
        <v/>
      </c>
      <c r="G820" s="63"/>
      <c r="H820" s="60"/>
      <c r="I820" s="64"/>
      <c r="J820" s="64"/>
      <c r="K820" s="66" t="b">
        <v>0</v>
      </c>
      <c r="L820" s="66"/>
      <c r="M820" s="67"/>
    </row>
    <row r="821" ht="22.5" customHeight="1">
      <c r="B821" s="59"/>
      <c r="C821" s="60"/>
      <c r="D821" s="61"/>
      <c r="E821" s="62" t="str">
        <f t="shared" si="25"/>
        <v/>
      </c>
      <c r="F821" s="62" t="str">
        <f t="shared" si="26"/>
        <v/>
      </c>
      <c r="G821" s="63"/>
      <c r="H821" s="60"/>
      <c r="I821" s="64"/>
      <c r="J821" s="64"/>
      <c r="K821" s="66" t="b">
        <v>0</v>
      </c>
      <c r="L821" s="66"/>
      <c r="M821" s="67"/>
    </row>
    <row r="822" ht="22.5" customHeight="1">
      <c r="B822" s="59"/>
      <c r="C822" s="60"/>
      <c r="D822" s="61"/>
      <c r="E822" s="62" t="str">
        <f t="shared" si="25"/>
        <v/>
      </c>
      <c r="F822" s="62" t="str">
        <f t="shared" si="26"/>
        <v/>
      </c>
      <c r="G822" s="63"/>
      <c r="H822" s="60"/>
      <c r="I822" s="64"/>
      <c r="J822" s="64"/>
      <c r="K822" s="66" t="b">
        <v>0</v>
      </c>
      <c r="L822" s="66"/>
      <c r="M822" s="67"/>
    </row>
    <row r="823" ht="22.5" customHeight="1">
      <c r="B823" s="59"/>
      <c r="C823" s="60"/>
      <c r="D823" s="61"/>
      <c r="E823" s="62" t="str">
        <f t="shared" si="25"/>
        <v/>
      </c>
      <c r="F823" s="62" t="str">
        <f t="shared" si="26"/>
        <v/>
      </c>
      <c r="G823" s="63"/>
      <c r="H823" s="60"/>
      <c r="I823" s="64"/>
      <c r="J823" s="64"/>
      <c r="K823" s="66" t="b">
        <v>0</v>
      </c>
      <c r="L823" s="66"/>
      <c r="M823" s="67"/>
    </row>
    <row r="824" ht="22.5" customHeight="1">
      <c r="B824" s="59"/>
      <c r="C824" s="60"/>
      <c r="D824" s="61"/>
      <c r="E824" s="62" t="str">
        <f t="shared" si="25"/>
        <v/>
      </c>
      <c r="F824" s="62" t="str">
        <f t="shared" si="26"/>
        <v/>
      </c>
      <c r="G824" s="63"/>
      <c r="H824" s="60"/>
      <c r="I824" s="64"/>
      <c r="J824" s="64"/>
      <c r="K824" s="66" t="b">
        <v>0</v>
      </c>
      <c r="L824" s="66"/>
      <c r="M824" s="67"/>
    </row>
    <row r="825" ht="22.5" customHeight="1">
      <c r="B825" s="59"/>
      <c r="C825" s="60"/>
      <c r="D825" s="61"/>
      <c r="E825" s="62" t="str">
        <f t="shared" si="25"/>
        <v/>
      </c>
      <c r="F825" s="62" t="str">
        <f t="shared" si="26"/>
        <v/>
      </c>
      <c r="G825" s="63"/>
      <c r="H825" s="60"/>
      <c r="I825" s="64"/>
      <c r="J825" s="64"/>
      <c r="K825" s="66" t="b">
        <v>0</v>
      </c>
      <c r="L825" s="66"/>
      <c r="M825" s="67"/>
    </row>
    <row r="826" ht="22.5" customHeight="1">
      <c r="B826" s="59"/>
      <c r="C826" s="60"/>
      <c r="D826" s="61"/>
      <c r="E826" s="62" t="str">
        <f t="shared" si="25"/>
        <v/>
      </c>
      <c r="F826" s="62" t="str">
        <f t="shared" si="26"/>
        <v/>
      </c>
      <c r="G826" s="63"/>
      <c r="H826" s="60"/>
      <c r="I826" s="64"/>
      <c r="J826" s="64"/>
      <c r="K826" s="66" t="b">
        <v>0</v>
      </c>
      <c r="L826" s="66"/>
      <c r="M826" s="67"/>
    </row>
    <row r="827" ht="22.5" customHeight="1">
      <c r="B827" s="59"/>
      <c r="C827" s="60"/>
      <c r="D827" s="61"/>
      <c r="E827" s="62" t="str">
        <f t="shared" si="25"/>
        <v/>
      </c>
      <c r="F827" s="62" t="str">
        <f t="shared" si="26"/>
        <v/>
      </c>
      <c r="G827" s="63"/>
      <c r="H827" s="60"/>
      <c r="I827" s="64"/>
      <c r="J827" s="64"/>
      <c r="K827" s="66" t="b">
        <v>0</v>
      </c>
      <c r="L827" s="66"/>
      <c r="M827" s="67"/>
    </row>
    <row r="828" ht="22.5" customHeight="1">
      <c r="B828" s="59"/>
      <c r="C828" s="60"/>
      <c r="D828" s="61"/>
      <c r="E828" s="62" t="str">
        <f t="shared" si="25"/>
        <v/>
      </c>
      <c r="F828" s="62" t="str">
        <f t="shared" si="26"/>
        <v/>
      </c>
      <c r="G828" s="63"/>
      <c r="H828" s="60"/>
      <c r="I828" s="64"/>
      <c r="J828" s="64"/>
      <c r="K828" s="66" t="b">
        <v>0</v>
      </c>
      <c r="L828" s="66"/>
      <c r="M828" s="67"/>
    </row>
    <row r="829" ht="22.5" customHeight="1">
      <c r="B829" s="59"/>
      <c r="C829" s="60"/>
      <c r="D829" s="61"/>
      <c r="E829" s="62" t="str">
        <f t="shared" si="25"/>
        <v/>
      </c>
      <c r="F829" s="62" t="str">
        <f t="shared" si="26"/>
        <v/>
      </c>
      <c r="G829" s="63"/>
      <c r="H829" s="60"/>
      <c r="I829" s="64"/>
      <c r="J829" s="64"/>
      <c r="K829" s="66" t="b">
        <v>0</v>
      </c>
      <c r="L829" s="66"/>
      <c r="M829" s="67"/>
    </row>
    <row r="830" ht="22.5" customHeight="1">
      <c r="B830" s="59"/>
      <c r="C830" s="60"/>
      <c r="D830" s="61"/>
      <c r="E830" s="62" t="str">
        <f t="shared" si="25"/>
        <v/>
      </c>
      <c r="F830" s="62" t="str">
        <f t="shared" si="26"/>
        <v/>
      </c>
      <c r="G830" s="63"/>
      <c r="H830" s="60"/>
      <c r="I830" s="64"/>
      <c r="J830" s="64"/>
      <c r="K830" s="66" t="b">
        <v>0</v>
      </c>
      <c r="L830" s="66"/>
      <c r="M830" s="67"/>
    </row>
    <row r="831" ht="22.5" customHeight="1">
      <c r="B831" s="59"/>
      <c r="C831" s="60"/>
      <c r="D831" s="61"/>
      <c r="E831" s="62" t="str">
        <f t="shared" si="25"/>
        <v/>
      </c>
      <c r="F831" s="62" t="str">
        <f t="shared" si="26"/>
        <v/>
      </c>
      <c r="G831" s="63"/>
      <c r="H831" s="60"/>
      <c r="I831" s="64"/>
      <c r="J831" s="64"/>
      <c r="K831" s="66" t="b">
        <v>0</v>
      </c>
      <c r="L831" s="66"/>
      <c r="M831" s="67"/>
    </row>
    <row r="832" ht="22.5" customHeight="1">
      <c r="B832" s="59"/>
      <c r="C832" s="60"/>
      <c r="D832" s="61"/>
      <c r="E832" s="62" t="str">
        <f t="shared" si="25"/>
        <v/>
      </c>
      <c r="F832" s="62" t="str">
        <f t="shared" si="26"/>
        <v/>
      </c>
      <c r="G832" s="63"/>
      <c r="H832" s="60"/>
      <c r="I832" s="64"/>
      <c r="J832" s="64"/>
      <c r="K832" s="66" t="b">
        <v>0</v>
      </c>
      <c r="L832" s="66"/>
      <c r="M832" s="67"/>
    </row>
    <row r="833" ht="22.5" customHeight="1">
      <c r="B833" s="59"/>
      <c r="C833" s="60"/>
      <c r="D833" s="61"/>
      <c r="E833" s="62" t="str">
        <f t="shared" si="25"/>
        <v/>
      </c>
      <c r="F833" s="62" t="str">
        <f t="shared" si="26"/>
        <v/>
      </c>
      <c r="G833" s="63"/>
      <c r="H833" s="60"/>
      <c r="I833" s="64"/>
      <c r="J833" s="64"/>
      <c r="K833" s="66" t="b">
        <v>0</v>
      </c>
      <c r="L833" s="66"/>
      <c r="M833" s="67"/>
    </row>
    <row r="834" ht="22.5" customHeight="1">
      <c r="B834" s="59"/>
      <c r="C834" s="60"/>
      <c r="D834" s="61"/>
      <c r="E834" s="62" t="str">
        <f t="shared" si="25"/>
        <v/>
      </c>
      <c r="F834" s="62" t="str">
        <f t="shared" si="26"/>
        <v/>
      </c>
      <c r="G834" s="63"/>
      <c r="H834" s="60"/>
      <c r="I834" s="64"/>
      <c r="J834" s="64"/>
      <c r="K834" s="66" t="b">
        <v>0</v>
      </c>
      <c r="L834" s="66"/>
      <c r="M834" s="67"/>
    </row>
    <row r="835" ht="22.5" customHeight="1">
      <c r="B835" s="59"/>
      <c r="C835" s="60"/>
      <c r="D835" s="61"/>
      <c r="E835" s="62" t="str">
        <f t="shared" si="25"/>
        <v/>
      </c>
      <c r="F835" s="62" t="str">
        <f t="shared" si="26"/>
        <v/>
      </c>
      <c r="G835" s="63"/>
      <c r="H835" s="60"/>
      <c r="I835" s="64"/>
      <c r="J835" s="64"/>
      <c r="K835" s="66" t="b">
        <v>0</v>
      </c>
      <c r="L835" s="66"/>
      <c r="M835" s="67"/>
    </row>
    <row r="836" ht="22.5" customHeight="1">
      <c r="B836" s="59"/>
      <c r="C836" s="60"/>
      <c r="D836" s="61"/>
      <c r="E836" s="62" t="str">
        <f t="shared" si="25"/>
        <v/>
      </c>
      <c r="F836" s="62" t="str">
        <f t="shared" si="26"/>
        <v/>
      </c>
      <c r="G836" s="63"/>
      <c r="H836" s="60"/>
      <c r="I836" s="64"/>
      <c r="J836" s="64"/>
      <c r="K836" s="66" t="b">
        <v>0</v>
      </c>
      <c r="L836" s="66"/>
      <c r="M836" s="67"/>
    </row>
    <row r="837" ht="22.5" customHeight="1">
      <c r="B837" s="59"/>
      <c r="C837" s="60"/>
      <c r="D837" s="61"/>
      <c r="E837" s="62" t="str">
        <f t="shared" si="25"/>
        <v/>
      </c>
      <c r="F837" s="62" t="str">
        <f t="shared" si="26"/>
        <v/>
      </c>
      <c r="G837" s="63"/>
      <c r="H837" s="60"/>
      <c r="I837" s="64"/>
      <c r="J837" s="64"/>
      <c r="K837" s="66" t="b">
        <v>0</v>
      </c>
      <c r="L837" s="66"/>
      <c r="M837" s="67"/>
    </row>
    <row r="838" ht="22.5" customHeight="1">
      <c r="B838" s="59"/>
      <c r="C838" s="60"/>
      <c r="D838" s="61"/>
      <c r="E838" s="62" t="str">
        <f t="shared" si="25"/>
        <v/>
      </c>
      <c r="F838" s="62" t="str">
        <f t="shared" si="26"/>
        <v/>
      </c>
      <c r="G838" s="63"/>
      <c r="H838" s="60"/>
      <c r="I838" s="64"/>
      <c r="J838" s="64"/>
      <c r="K838" s="66" t="b">
        <v>0</v>
      </c>
      <c r="L838" s="66"/>
      <c r="M838" s="67"/>
    </row>
    <row r="839" ht="22.5" customHeight="1">
      <c r="B839" s="59"/>
      <c r="C839" s="60"/>
      <c r="D839" s="61"/>
      <c r="E839" s="62" t="str">
        <f t="shared" si="25"/>
        <v/>
      </c>
      <c r="F839" s="62" t="str">
        <f t="shared" si="26"/>
        <v/>
      </c>
      <c r="G839" s="63"/>
      <c r="H839" s="60"/>
      <c r="I839" s="64"/>
      <c r="J839" s="64"/>
      <c r="K839" s="66" t="b">
        <v>0</v>
      </c>
      <c r="L839" s="66"/>
      <c r="M839" s="67"/>
    </row>
    <row r="840" ht="22.5" customHeight="1">
      <c r="B840" s="59"/>
      <c r="C840" s="60"/>
      <c r="D840" s="61"/>
      <c r="E840" s="62" t="str">
        <f t="shared" si="25"/>
        <v/>
      </c>
      <c r="F840" s="62" t="str">
        <f t="shared" si="26"/>
        <v/>
      </c>
      <c r="G840" s="63"/>
      <c r="H840" s="60"/>
      <c r="I840" s="64"/>
      <c r="J840" s="64"/>
      <c r="K840" s="66" t="b">
        <v>0</v>
      </c>
      <c r="L840" s="66"/>
      <c r="M840" s="67"/>
    </row>
    <row r="841" ht="22.5" customHeight="1">
      <c r="B841" s="59"/>
      <c r="C841" s="60"/>
      <c r="D841" s="61"/>
      <c r="E841" s="62" t="str">
        <f t="shared" si="25"/>
        <v/>
      </c>
      <c r="F841" s="62" t="str">
        <f t="shared" si="26"/>
        <v/>
      </c>
      <c r="G841" s="63"/>
      <c r="H841" s="60"/>
      <c r="I841" s="64"/>
      <c r="J841" s="64"/>
      <c r="K841" s="66" t="b">
        <v>0</v>
      </c>
      <c r="L841" s="66"/>
      <c r="M841" s="67"/>
    </row>
    <row r="842" ht="22.5" customHeight="1">
      <c r="B842" s="59"/>
      <c r="C842" s="60"/>
      <c r="D842" s="61"/>
      <c r="E842" s="62" t="str">
        <f t="shared" si="25"/>
        <v/>
      </c>
      <c r="F842" s="62" t="str">
        <f t="shared" si="26"/>
        <v/>
      </c>
      <c r="G842" s="63"/>
      <c r="H842" s="60"/>
      <c r="I842" s="64"/>
      <c r="J842" s="64"/>
      <c r="K842" s="66" t="b">
        <v>0</v>
      </c>
      <c r="L842" s="66"/>
      <c r="M842" s="67"/>
    </row>
    <row r="843" ht="22.5" customHeight="1">
      <c r="B843" s="59"/>
      <c r="C843" s="60"/>
      <c r="D843" s="61"/>
      <c r="E843" s="62" t="str">
        <f t="shared" si="25"/>
        <v/>
      </c>
      <c r="F843" s="62" t="str">
        <f t="shared" si="26"/>
        <v/>
      </c>
      <c r="G843" s="63"/>
      <c r="H843" s="60"/>
      <c r="I843" s="64"/>
      <c r="J843" s="64"/>
      <c r="K843" s="66" t="b">
        <v>0</v>
      </c>
      <c r="L843" s="66"/>
      <c r="M843" s="67"/>
    </row>
    <row r="844" ht="22.5" customHeight="1">
      <c r="B844" s="59"/>
      <c r="C844" s="60"/>
      <c r="D844" s="61"/>
      <c r="E844" s="62" t="str">
        <f t="shared" si="25"/>
        <v/>
      </c>
      <c r="F844" s="62" t="str">
        <f t="shared" si="26"/>
        <v/>
      </c>
      <c r="G844" s="63"/>
      <c r="H844" s="60"/>
      <c r="I844" s="64"/>
      <c r="J844" s="64"/>
      <c r="K844" s="66" t="b">
        <v>0</v>
      </c>
      <c r="L844" s="66"/>
      <c r="M844" s="67"/>
    </row>
    <row r="845" ht="22.5" customHeight="1">
      <c r="B845" s="59"/>
      <c r="C845" s="60"/>
      <c r="D845" s="61"/>
      <c r="E845" s="62" t="str">
        <f t="shared" si="25"/>
        <v/>
      </c>
      <c r="F845" s="62" t="str">
        <f t="shared" si="26"/>
        <v/>
      </c>
      <c r="G845" s="63"/>
      <c r="H845" s="60"/>
      <c r="I845" s="64"/>
      <c r="J845" s="64"/>
      <c r="K845" s="66" t="b">
        <v>0</v>
      </c>
      <c r="L845" s="66"/>
      <c r="M845" s="67"/>
    </row>
    <row r="846" ht="22.5" customHeight="1">
      <c r="B846" s="59"/>
      <c r="C846" s="60"/>
      <c r="D846" s="61"/>
      <c r="E846" s="62" t="str">
        <f t="shared" si="25"/>
        <v/>
      </c>
      <c r="F846" s="62" t="str">
        <f t="shared" si="26"/>
        <v/>
      </c>
      <c r="G846" s="63"/>
      <c r="H846" s="60"/>
      <c r="I846" s="64"/>
      <c r="J846" s="64"/>
      <c r="K846" s="66" t="b">
        <v>0</v>
      </c>
      <c r="L846" s="66"/>
      <c r="M846" s="67"/>
    </row>
    <row r="847" ht="22.5" customHeight="1">
      <c r="B847" s="59"/>
      <c r="C847" s="60"/>
      <c r="D847" s="61"/>
      <c r="E847" s="62" t="str">
        <f t="shared" si="25"/>
        <v/>
      </c>
      <c r="F847" s="62" t="str">
        <f t="shared" si="26"/>
        <v/>
      </c>
      <c r="G847" s="63"/>
      <c r="H847" s="60"/>
      <c r="I847" s="64"/>
      <c r="J847" s="64"/>
      <c r="K847" s="66" t="b">
        <v>0</v>
      </c>
      <c r="L847" s="66"/>
      <c r="M847" s="67"/>
    </row>
    <row r="848" ht="22.5" customHeight="1">
      <c r="B848" s="59"/>
      <c r="C848" s="60"/>
      <c r="D848" s="61"/>
      <c r="E848" s="62" t="str">
        <f t="shared" si="25"/>
        <v/>
      </c>
      <c r="F848" s="62" t="str">
        <f t="shared" si="26"/>
        <v/>
      </c>
      <c r="G848" s="63"/>
      <c r="H848" s="60"/>
      <c r="I848" s="64"/>
      <c r="J848" s="64"/>
      <c r="K848" s="66" t="b">
        <v>0</v>
      </c>
      <c r="L848" s="66"/>
      <c r="M848" s="67"/>
    </row>
    <row r="849" ht="22.5" customHeight="1">
      <c r="B849" s="59"/>
      <c r="C849" s="60"/>
      <c r="D849" s="61"/>
      <c r="E849" s="62" t="str">
        <f t="shared" si="25"/>
        <v/>
      </c>
      <c r="F849" s="62" t="str">
        <f t="shared" si="26"/>
        <v/>
      </c>
      <c r="G849" s="63"/>
      <c r="H849" s="60"/>
      <c r="I849" s="64"/>
      <c r="J849" s="64"/>
      <c r="K849" s="66" t="b">
        <v>0</v>
      </c>
      <c r="L849" s="66"/>
      <c r="M849" s="67"/>
    </row>
    <row r="850" ht="22.5" customHeight="1">
      <c r="B850" s="59"/>
      <c r="C850" s="60"/>
      <c r="D850" s="61"/>
      <c r="E850" s="62" t="str">
        <f t="shared" si="25"/>
        <v/>
      </c>
      <c r="F850" s="62" t="str">
        <f t="shared" si="26"/>
        <v/>
      </c>
      <c r="G850" s="63"/>
      <c r="H850" s="60"/>
      <c r="I850" s="64"/>
      <c r="J850" s="64"/>
      <c r="K850" s="66" t="b">
        <v>0</v>
      </c>
      <c r="L850" s="66"/>
      <c r="M850" s="67"/>
    </row>
    <row r="851" ht="22.5" customHeight="1">
      <c r="B851" s="59"/>
      <c r="C851" s="60"/>
      <c r="D851" s="61"/>
      <c r="E851" s="62" t="str">
        <f t="shared" si="25"/>
        <v/>
      </c>
      <c r="F851" s="62" t="str">
        <f t="shared" si="26"/>
        <v/>
      </c>
      <c r="G851" s="63"/>
      <c r="H851" s="60"/>
      <c r="I851" s="64"/>
      <c r="J851" s="64"/>
      <c r="K851" s="66" t="b">
        <v>0</v>
      </c>
      <c r="L851" s="66"/>
      <c r="M851" s="67"/>
    </row>
    <row r="852" ht="22.5" customHeight="1">
      <c r="B852" s="59"/>
      <c r="C852" s="60"/>
      <c r="D852" s="61"/>
      <c r="E852" s="62" t="str">
        <f t="shared" si="25"/>
        <v/>
      </c>
      <c r="F852" s="62" t="str">
        <f t="shared" si="26"/>
        <v/>
      </c>
      <c r="G852" s="63"/>
      <c r="H852" s="60"/>
      <c r="I852" s="64"/>
      <c r="J852" s="64"/>
      <c r="K852" s="66" t="b">
        <v>0</v>
      </c>
      <c r="L852" s="66"/>
      <c r="M852" s="67"/>
    </row>
    <row r="853" ht="22.5" customHeight="1">
      <c r="B853" s="59"/>
      <c r="C853" s="60"/>
      <c r="D853" s="61"/>
      <c r="E853" s="62" t="str">
        <f t="shared" si="25"/>
        <v/>
      </c>
      <c r="F853" s="62" t="str">
        <f t="shared" si="26"/>
        <v/>
      </c>
      <c r="G853" s="63"/>
      <c r="H853" s="60"/>
      <c r="I853" s="64"/>
      <c r="J853" s="64"/>
      <c r="K853" s="66" t="b">
        <v>0</v>
      </c>
      <c r="L853" s="66"/>
      <c r="M853" s="67"/>
    </row>
    <row r="854" ht="22.5" customHeight="1">
      <c r="B854" s="59"/>
      <c r="C854" s="60"/>
      <c r="D854" s="61"/>
      <c r="E854" s="62" t="str">
        <f t="shared" si="25"/>
        <v/>
      </c>
      <c r="F854" s="62" t="str">
        <f t="shared" si="26"/>
        <v/>
      </c>
      <c r="G854" s="63"/>
      <c r="H854" s="60"/>
      <c r="I854" s="64"/>
      <c r="J854" s="64"/>
      <c r="K854" s="66" t="b">
        <v>0</v>
      </c>
      <c r="L854" s="66"/>
      <c r="M854" s="67"/>
    </row>
    <row r="855" ht="22.5" customHeight="1">
      <c r="B855" s="59"/>
      <c r="C855" s="60"/>
      <c r="D855" s="61"/>
      <c r="E855" s="62" t="str">
        <f t="shared" si="25"/>
        <v/>
      </c>
      <c r="F855" s="62" t="str">
        <f t="shared" si="26"/>
        <v/>
      </c>
      <c r="G855" s="63"/>
      <c r="H855" s="60"/>
      <c r="I855" s="64"/>
      <c r="J855" s="64"/>
      <c r="K855" s="66" t="b">
        <v>0</v>
      </c>
      <c r="L855" s="66"/>
      <c r="M855" s="67"/>
    </row>
    <row r="856" ht="22.5" customHeight="1">
      <c r="B856" s="59"/>
      <c r="C856" s="60"/>
      <c r="D856" s="61"/>
      <c r="E856" s="62" t="str">
        <f t="shared" si="25"/>
        <v/>
      </c>
      <c r="F856" s="62" t="str">
        <f t="shared" si="26"/>
        <v/>
      </c>
      <c r="G856" s="63"/>
      <c r="H856" s="60"/>
      <c r="I856" s="64"/>
      <c r="J856" s="64"/>
      <c r="K856" s="66" t="b">
        <v>0</v>
      </c>
      <c r="L856" s="66"/>
      <c r="M856" s="67"/>
    </row>
    <row r="857" ht="22.5" customHeight="1">
      <c r="B857" s="59"/>
      <c r="C857" s="60"/>
      <c r="D857" s="61"/>
      <c r="E857" s="62" t="str">
        <f t="shared" si="25"/>
        <v/>
      </c>
      <c r="F857" s="62" t="str">
        <f t="shared" si="26"/>
        <v/>
      </c>
      <c r="G857" s="63"/>
      <c r="H857" s="60"/>
      <c r="I857" s="64"/>
      <c r="J857" s="64"/>
      <c r="K857" s="66" t="b">
        <v>0</v>
      </c>
      <c r="L857" s="66"/>
      <c r="M857" s="67"/>
    </row>
    <row r="858" ht="22.5" customHeight="1">
      <c r="B858" s="59"/>
      <c r="C858" s="60"/>
      <c r="D858" s="61"/>
      <c r="E858" s="62" t="str">
        <f t="shared" si="25"/>
        <v/>
      </c>
      <c r="F858" s="62" t="str">
        <f t="shared" si="26"/>
        <v/>
      </c>
      <c r="G858" s="63"/>
      <c r="H858" s="60"/>
      <c r="I858" s="64"/>
      <c r="J858" s="64"/>
      <c r="K858" s="66" t="b">
        <v>0</v>
      </c>
      <c r="L858" s="66"/>
      <c r="M858" s="67"/>
    </row>
    <row r="859" ht="22.5" customHeight="1">
      <c r="B859" s="59"/>
      <c r="C859" s="60"/>
      <c r="D859" s="61"/>
      <c r="E859" s="62" t="str">
        <f t="shared" si="25"/>
        <v/>
      </c>
      <c r="F859" s="62" t="str">
        <f t="shared" si="26"/>
        <v/>
      </c>
      <c r="G859" s="63"/>
      <c r="H859" s="60"/>
      <c r="I859" s="64"/>
      <c r="J859" s="64"/>
      <c r="K859" s="66" t="b">
        <v>0</v>
      </c>
      <c r="L859" s="66"/>
      <c r="M859" s="67"/>
    </row>
    <row r="860" ht="22.5" customHeight="1">
      <c r="B860" s="59"/>
      <c r="C860" s="60"/>
      <c r="D860" s="61"/>
      <c r="E860" s="62" t="str">
        <f t="shared" si="25"/>
        <v/>
      </c>
      <c r="F860" s="62" t="str">
        <f t="shared" si="26"/>
        <v/>
      </c>
      <c r="G860" s="63"/>
      <c r="H860" s="60"/>
      <c r="I860" s="64"/>
      <c r="J860" s="64"/>
      <c r="K860" s="66" t="b">
        <v>0</v>
      </c>
      <c r="L860" s="66"/>
      <c r="M860" s="67"/>
    </row>
    <row r="861" ht="22.5" customHeight="1">
      <c r="B861" s="59"/>
      <c r="C861" s="60"/>
      <c r="D861" s="61"/>
      <c r="E861" s="62" t="str">
        <f t="shared" si="25"/>
        <v/>
      </c>
      <c r="F861" s="62" t="str">
        <f t="shared" si="26"/>
        <v/>
      </c>
      <c r="G861" s="63"/>
      <c r="H861" s="60"/>
      <c r="I861" s="64"/>
      <c r="J861" s="64"/>
      <c r="K861" s="66" t="b">
        <v>0</v>
      </c>
      <c r="L861" s="66"/>
      <c r="M861" s="67"/>
    </row>
    <row r="862" ht="22.5" customHeight="1">
      <c r="B862" s="59"/>
      <c r="C862" s="60"/>
      <c r="D862" s="61"/>
      <c r="E862" s="62" t="str">
        <f t="shared" si="25"/>
        <v/>
      </c>
      <c r="F862" s="62" t="str">
        <f t="shared" si="26"/>
        <v/>
      </c>
      <c r="G862" s="63"/>
      <c r="H862" s="60"/>
      <c r="I862" s="64"/>
      <c r="J862" s="64"/>
      <c r="K862" s="66" t="b">
        <v>0</v>
      </c>
      <c r="L862" s="66"/>
      <c r="M862" s="67"/>
    </row>
    <row r="863" ht="22.5" customHeight="1">
      <c r="B863" s="59"/>
      <c r="C863" s="60"/>
      <c r="D863" s="61"/>
      <c r="E863" s="62" t="str">
        <f t="shared" si="25"/>
        <v/>
      </c>
      <c r="F863" s="62" t="str">
        <f t="shared" si="26"/>
        <v/>
      </c>
      <c r="G863" s="63"/>
      <c r="H863" s="60"/>
      <c r="I863" s="64"/>
      <c r="J863" s="64"/>
      <c r="K863" s="66" t="b">
        <v>0</v>
      </c>
      <c r="L863" s="66"/>
      <c r="M863" s="67"/>
    </row>
    <row r="864" ht="22.5" customHeight="1">
      <c r="B864" s="59"/>
      <c r="C864" s="60"/>
      <c r="D864" s="61"/>
      <c r="E864" s="62" t="str">
        <f t="shared" si="25"/>
        <v/>
      </c>
      <c r="F864" s="62" t="str">
        <f t="shared" si="26"/>
        <v/>
      </c>
      <c r="G864" s="63"/>
      <c r="H864" s="60"/>
      <c r="I864" s="64"/>
      <c r="J864" s="64"/>
      <c r="K864" s="66" t="b">
        <v>0</v>
      </c>
      <c r="L864" s="66"/>
      <c r="M864" s="67"/>
    </row>
    <row r="865" ht="22.5" customHeight="1">
      <c r="B865" s="59"/>
      <c r="C865" s="60"/>
      <c r="D865" s="61"/>
      <c r="E865" s="62" t="str">
        <f t="shared" si="25"/>
        <v/>
      </c>
      <c r="F865" s="62" t="str">
        <f t="shared" si="26"/>
        <v/>
      </c>
      <c r="G865" s="63"/>
      <c r="H865" s="60"/>
      <c r="I865" s="64"/>
      <c r="J865" s="64"/>
      <c r="K865" s="66" t="b">
        <v>0</v>
      </c>
      <c r="L865" s="66"/>
      <c r="M865" s="67"/>
    </row>
    <row r="866" ht="22.5" customHeight="1">
      <c r="B866" s="59"/>
      <c r="C866" s="60"/>
      <c r="D866" s="61"/>
      <c r="E866" s="62" t="str">
        <f t="shared" si="25"/>
        <v/>
      </c>
      <c r="F866" s="62" t="str">
        <f t="shared" si="26"/>
        <v/>
      </c>
      <c r="G866" s="63"/>
      <c r="H866" s="60"/>
      <c r="I866" s="64"/>
      <c r="J866" s="64"/>
      <c r="K866" s="66" t="b">
        <v>0</v>
      </c>
      <c r="L866" s="66"/>
      <c r="M866" s="67"/>
    </row>
    <row r="867" ht="22.5" customHeight="1">
      <c r="B867" s="59"/>
      <c r="C867" s="60"/>
      <c r="D867" s="61"/>
      <c r="E867" s="62" t="str">
        <f t="shared" si="25"/>
        <v/>
      </c>
      <c r="F867" s="62" t="str">
        <f t="shared" si="26"/>
        <v/>
      </c>
      <c r="G867" s="63"/>
      <c r="H867" s="60"/>
      <c r="I867" s="64"/>
      <c r="J867" s="64"/>
      <c r="K867" s="66" t="b">
        <v>0</v>
      </c>
      <c r="L867" s="66"/>
      <c r="M867" s="67"/>
    </row>
    <row r="868" ht="22.5" customHeight="1">
      <c r="B868" s="59"/>
      <c r="C868" s="60"/>
      <c r="D868" s="61"/>
      <c r="E868" s="62" t="str">
        <f t="shared" si="25"/>
        <v/>
      </c>
      <c r="F868" s="62" t="str">
        <f t="shared" si="26"/>
        <v/>
      </c>
      <c r="G868" s="63"/>
      <c r="H868" s="60"/>
      <c r="I868" s="64"/>
      <c r="J868" s="64"/>
      <c r="K868" s="66" t="b">
        <v>0</v>
      </c>
      <c r="L868" s="66"/>
      <c r="M868" s="67"/>
    </row>
    <row r="869" ht="22.5" customHeight="1">
      <c r="B869" s="59"/>
      <c r="C869" s="60"/>
      <c r="D869" s="61"/>
      <c r="E869" s="62" t="str">
        <f t="shared" si="25"/>
        <v/>
      </c>
      <c r="F869" s="62" t="str">
        <f t="shared" si="26"/>
        <v/>
      </c>
      <c r="G869" s="63"/>
      <c r="H869" s="60"/>
      <c r="I869" s="64"/>
      <c r="J869" s="64"/>
      <c r="K869" s="66" t="b">
        <v>0</v>
      </c>
      <c r="L869" s="66"/>
      <c r="M869" s="67"/>
    </row>
    <row r="870" ht="22.5" customHeight="1">
      <c r="B870" s="59"/>
      <c r="C870" s="60"/>
      <c r="D870" s="61"/>
      <c r="E870" s="62" t="str">
        <f t="shared" si="25"/>
        <v/>
      </c>
      <c r="F870" s="62" t="str">
        <f t="shared" si="26"/>
        <v/>
      </c>
      <c r="G870" s="63"/>
      <c r="H870" s="60"/>
      <c r="I870" s="64"/>
      <c r="J870" s="64"/>
      <c r="K870" s="66" t="b">
        <v>0</v>
      </c>
      <c r="L870" s="66"/>
      <c r="M870" s="67"/>
    </row>
    <row r="871" ht="22.5" customHeight="1">
      <c r="B871" s="59"/>
      <c r="C871" s="60"/>
      <c r="D871" s="61"/>
      <c r="E871" s="62" t="str">
        <f t="shared" si="25"/>
        <v/>
      </c>
      <c r="F871" s="62" t="str">
        <f t="shared" si="26"/>
        <v/>
      </c>
      <c r="G871" s="63"/>
      <c r="H871" s="60"/>
      <c r="I871" s="64"/>
      <c r="J871" s="64"/>
      <c r="K871" s="66" t="b">
        <v>0</v>
      </c>
      <c r="L871" s="66"/>
      <c r="M871" s="67"/>
    </row>
    <row r="872" ht="22.5" customHeight="1">
      <c r="B872" s="59"/>
      <c r="C872" s="60"/>
      <c r="D872" s="61"/>
      <c r="E872" s="62" t="str">
        <f t="shared" si="25"/>
        <v/>
      </c>
      <c r="F872" s="62" t="str">
        <f t="shared" si="26"/>
        <v/>
      </c>
      <c r="G872" s="63"/>
      <c r="H872" s="60"/>
      <c r="I872" s="64"/>
      <c r="J872" s="64"/>
      <c r="K872" s="66" t="b">
        <v>0</v>
      </c>
      <c r="L872" s="66"/>
      <c r="M872" s="67"/>
    </row>
    <row r="873" ht="22.5" customHeight="1">
      <c r="B873" s="59"/>
      <c r="C873" s="60"/>
      <c r="D873" s="61"/>
      <c r="E873" s="62" t="str">
        <f t="shared" si="25"/>
        <v/>
      </c>
      <c r="F873" s="62" t="str">
        <f t="shared" si="26"/>
        <v/>
      </c>
      <c r="G873" s="63"/>
      <c r="H873" s="60"/>
      <c r="I873" s="64"/>
      <c r="J873" s="64"/>
      <c r="K873" s="66" t="b">
        <v>0</v>
      </c>
      <c r="L873" s="66"/>
      <c r="M873" s="67"/>
    </row>
    <row r="874" ht="22.5" customHeight="1">
      <c r="B874" s="59"/>
      <c r="C874" s="60"/>
      <c r="D874" s="61"/>
      <c r="E874" s="62" t="str">
        <f t="shared" si="25"/>
        <v/>
      </c>
      <c r="F874" s="62" t="str">
        <f t="shared" si="26"/>
        <v/>
      </c>
      <c r="G874" s="63"/>
      <c r="H874" s="60"/>
      <c r="I874" s="64"/>
      <c r="J874" s="64"/>
      <c r="K874" s="66" t="b">
        <v>0</v>
      </c>
      <c r="L874" s="66"/>
      <c r="M874" s="67"/>
    </row>
    <row r="875" ht="22.5" customHeight="1">
      <c r="B875" s="59"/>
      <c r="C875" s="60"/>
      <c r="D875" s="61"/>
      <c r="E875" s="62" t="str">
        <f t="shared" si="25"/>
        <v/>
      </c>
      <c r="F875" s="62" t="str">
        <f t="shared" si="26"/>
        <v/>
      </c>
      <c r="G875" s="63"/>
      <c r="H875" s="60"/>
      <c r="I875" s="64"/>
      <c r="J875" s="64"/>
      <c r="K875" s="66" t="b">
        <v>0</v>
      </c>
      <c r="L875" s="66"/>
      <c r="M875" s="67"/>
    </row>
    <row r="876" ht="22.5" customHeight="1">
      <c r="B876" s="59"/>
      <c r="C876" s="60"/>
      <c r="D876" s="61"/>
      <c r="E876" s="62" t="str">
        <f t="shared" si="25"/>
        <v/>
      </c>
      <c r="F876" s="62" t="str">
        <f t="shared" si="26"/>
        <v/>
      </c>
      <c r="G876" s="63"/>
      <c r="H876" s="60"/>
      <c r="I876" s="64"/>
      <c r="J876" s="64"/>
      <c r="K876" s="66" t="b">
        <v>0</v>
      </c>
      <c r="L876" s="66"/>
      <c r="M876" s="67"/>
    </row>
    <row r="877" ht="22.5" customHeight="1">
      <c r="B877" s="59"/>
      <c r="C877" s="60"/>
      <c r="D877" s="61"/>
      <c r="E877" s="62" t="str">
        <f t="shared" si="25"/>
        <v/>
      </c>
      <c r="F877" s="62" t="str">
        <f t="shared" si="26"/>
        <v/>
      </c>
      <c r="G877" s="63"/>
      <c r="H877" s="60"/>
      <c r="I877" s="64"/>
      <c r="J877" s="64"/>
      <c r="K877" s="66" t="b">
        <v>0</v>
      </c>
      <c r="L877" s="66"/>
      <c r="M877" s="67"/>
    </row>
    <row r="878" ht="22.5" customHeight="1">
      <c r="B878" s="59"/>
      <c r="C878" s="60"/>
      <c r="D878" s="61"/>
      <c r="E878" s="62" t="str">
        <f t="shared" si="25"/>
        <v/>
      </c>
      <c r="F878" s="62" t="str">
        <f t="shared" si="26"/>
        <v/>
      </c>
      <c r="G878" s="63"/>
      <c r="H878" s="60"/>
      <c r="I878" s="64"/>
      <c r="J878" s="64"/>
      <c r="K878" s="66" t="b">
        <v>0</v>
      </c>
      <c r="L878" s="66"/>
      <c r="M878" s="67"/>
    </row>
    <row r="879" ht="22.5" customHeight="1">
      <c r="B879" s="59"/>
      <c r="C879" s="60"/>
      <c r="D879" s="61"/>
      <c r="E879" s="62" t="str">
        <f t="shared" si="25"/>
        <v/>
      </c>
      <c r="F879" s="62" t="str">
        <f t="shared" si="26"/>
        <v/>
      </c>
      <c r="G879" s="63"/>
      <c r="H879" s="60"/>
      <c r="I879" s="64"/>
      <c r="J879" s="64"/>
      <c r="K879" s="66" t="b">
        <v>0</v>
      </c>
      <c r="L879" s="66"/>
      <c r="M879" s="67"/>
    </row>
    <row r="880" ht="22.5" customHeight="1">
      <c r="B880" s="59"/>
      <c r="C880" s="60"/>
      <c r="D880" s="61"/>
      <c r="E880" s="62" t="str">
        <f t="shared" si="25"/>
        <v/>
      </c>
      <c r="F880" s="62" t="str">
        <f t="shared" si="26"/>
        <v/>
      </c>
      <c r="G880" s="63"/>
      <c r="H880" s="60"/>
      <c r="I880" s="64"/>
      <c r="J880" s="64"/>
      <c r="K880" s="66" t="b">
        <v>0</v>
      </c>
      <c r="L880" s="66"/>
      <c r="M880" s="67"/>
    </row>
    <row r="881" ht="22.5" customHeight="1">
      <c r="B881" s="59"/>
      <c r="C881" s="60"/>
      <c r="D881" s="61"/>
      <c r="E881" s="62" t="str">
        <f t="shared" si="25"/>
        <v/>
      </c>
      <c r="F881" s="62" t="str">
        <f t="shared" si="26"/>
        <v/>
      </c>
      <c r="G881" s="63"/>
      <c r="H881" s="60"/>
      <c r="I881" s="64"/>
      <c r="J881" s="64"/>
      <c r="K881" s="66" t="b">
        <v>0</v>
      </c>
      <c r="L881" s="66"/>
      <c r="M881" s="67"/>
    </row>
    <row r="882" ht="22.5" customHeight="1">
      <c r="B882" s="59"/>
      <c r="C882" s="60"/>
      <c r="D882" s="61"/>
      <c r="E882" s="62" t="str">
        <f t="shared" si="25"/>
        <v/>
      </c>
      <c r="F882" s="62" t="str">
        <f t="shared" si="26"/>
        <v/>
      </c>
      <c r="G882" s="63"/>
      <c r="H882" s="60"/>
      <c r="I882" s="64"/>
      <c r="J882" s="64"/>
      <c r="K882" s="66" t="b">
        <v>0</v>
      </c>
      <c r="L882" s="66"/>
      <c r="M882" s="67"/>
    </row>
    <row r="883" ht="22.5" customHeight="1">
      <c r="B883" s="59"/>
      <c r="C883" s="60"/>
      <c r="D883" s="61"/>
      <c r="E883" s="62" t="str">
        <f t="shared" si="25"/>
        <v/>
      </c>
      <c r="F883" s="62" t="str">
        <f t="shared" si="26"/>
        <v/>
      </c>
      <c r="G883" s="63"/>
      <c r="H883" s="60"/>
      <c r="I883" s="64"/>
      <c r="J883" s="64"/>
      <c r="K883" s="66" t="b">
        <v>0</v>
      </c>
      <c r="L883" s="66"/>
      <c r="M883" s="67"/>
    </row>
    <row r="884" ht="22.5" customHeight="1">
      <c r="B884" s="59"/>
      <c r="C884" s="60"/>
      <c r="D884" s="61"/>
      <c r="E884" s="62" t="str">
        <f t="shared" si="25"/>
        <v/>
      </c>
      <c r="F884" s="62" t="str">
        <f t="shared" si="26"/>
        <v/>
      </c>
      <c r="G884" s="63"/>
      <c r="H884" s="60"/>
      <c r="I884" s="64"/>
      <c r="J884" s="64"/>
      <c r="K884" s="66" t="b">
        <v>0</v>
      </c>
      <c r="L884" s="66"/>
      <c r="M884" s="67"/>
    </row>
    <row r="885" ht="22.5" customHeight="1">
      <c r="B885" s="59"/>
      <c r="C885" s="60"/>
      <c r="D885" s="61"/>
      <c r="E885" s="62" t="str">
        <f t="shared" si="25"/>
        <v/>
      </c>
      <c r="F885" s="62" t="str">
        <f t="shared" si="26"/>
        <v/>
      </c>
      <c r="G885" s="63"/>
      <c r="H885" s="60"/>
      <c r="I885" s="64"/>
      <c r="J885" s="64"/>
      <c r="K885" s="66" t="b">
        <v>0</v>
      </c>
      <c r="L885" s="66"/>
      <c r="M885" s="67"/>
    </row>
    <row r="886" ht="22.5" customHeight="1">
      <c r="B886" s="59"/>
      <c r="C886" s="60"/>
      <c r="D886" s="61"/>
      <c r="E886" s="62" t="str">
        <f t="shared" si="25"/>
        <v/>
      </c>
      <c r="F886" s="62" t="str">
        <f t="shared" si="26"/>
        <v/>
      </c>
      <c r="G886" s="63"/>
      <c r="H886" s="60"/>
      <c r="I886" s="64"/>
      <c r="J886" s="64"/>
      <c r="K886" s="66" t="b">
        <v>0</v>
      </c>
      <c r="L886" s="66"/>
      <c r="M886" s="67"/>
    </row>
    <row r="887" ht="22.5" customHeight="1">
      <c r="B887" s="59"/>
      <c r="C887" s="60"/>
      <c r="D887" s="61"/>
      <c r="E887" s="62" t="str">
        <f t="shared" si="25"/>
        <v/>
      </c>
      <c r="F887" s="62" t="str">
        <f t="shared" si="26"/>
        <v/>
      </c>
      <c r="G887" s="63"/>
      <c r="H887" s="60"/>
      <c r="I887" s="64"/>
      <c r="J887" s="64"/>
      <c r="K887" s="66" t="b">
        <v>0</v>
      </c>
      <c r="L887" s="66"/>
      <c r="M887" s="67"/>
    </row>
    <row r="888" ht="22.5" customHeight="1">
      <c r="B888" s="59"/>
      <c r="C888" s="60"/>
      <c r="D888" s="61"/>
      <c r="E888" s="62" t="str">
        <f t="shared" si="25"/>
        <v/>
      </c>
      <c r="F888" s="62" t="str">
        <f t="shared" si="26"/>
        <v/>
      </c>
      <c r="G888" s="63"/>
      <c r="H888" s="60"/>
      <c r="I888" s="64"/>
      <c r="J888" s="64"/>
      <c r="K888" s="66" t="b">
        <v>0</v>
      </c>
      <c r="L888" s="66"/>
      <c r="M888" s="67"/>
    </row>
    <row r="889" ht="22.5" customHeight="1">
      <c r="B889" s="59"/>
      <c r="C889" s="60"/>
      <c r="D889" s="61"/>
      <c r="E889" s="62" t="str">
        <f t="shared" si="25"/>
        <v/>
      </c>
      <c r="F889" s="62" t="str">
        <f t="shared" si="26"/>
        <v/>
      </c>
      <c r="G889" s="63"/>
      <c r="H889" s="60"/>
      <c r="I889" s="64"/>
      <c r="J889" s="64"/>
      <c r="K889" s="66" t="b">
        <v>0</v>
      </c>
      <c r="L889" s="66"/>
      <c r="M889" s="67"/>
    </row>
    <row r="890" ht="22.5" customHeight="1">
      <c r="B890" s="59"/>
      <c r="C890" s="60"/>
      <c r="D890" s="61"/>
      <c r="E890" s="62" t="str">
        <f t="shared" si="25"/>
        <v/>
      </c>
      <c r="F890" s="62" t="str">
        <f t="shared" si="26"/>
        <v/>
      </c>
      <c r="G890" s="63"/>
      <c r="H890" s="60"/>
      <c r="I890" s="64"/>
      <c r="J890" s="64"/>
      <c r="K890" s="66" t="b">
        <v>0</v>
      </c>
      <c r="L890" s="66"/>
      <c r="M890" s="67"/>
    </row>
    <row r="891" ht="22.5" customHeight="1">
      <c r="B891" s="59"/>
      <c r="C891" s="60"/>
      <c r="D891" s="61"/>
      <c r="E891" s="62" t="str">
        <f t="shared" si="25"/>
        <v/>
      </c>
      <c r="F891" s="62" t="str">
        <f t="shared" si="26"/>
        <v/>
      </c>
      <c r="G891" s="63"/>
      <c r="H891" s="60"/>
      <c r="I891" s="64"/>
      <c r="J891" s="64"/>
      <c r="K891" s="66" t="b">
        <v>0</v>
      </c>
      <c r="L891" s="66"/>
      <c r="M891" s="67"/>
    </row>
    <row r="892" ht="22.5" customHeight="1">
      <c r="B892" s="59"/>
      <c r="C892" s="60"/>
      <c r="D892" s="61"/>
      <c r="E892" s="62" t="str">
        <f t="shared" si="25"/>
        <v/>
      </c>
      <c r="F892" s="62" t="str">
        <f t="shared" si="26"/>
        <v/>
      </c>
      <c r="G892" s="63"/>
      <c r="H892" s="60"/>
      <c r="I892" s="64"/>
      <c r="J892" s="64"/>
      <c r="K892" s="66" t="b">
        <v>0</v>
      </c>
      <c r="L892" s="66"/>
      <c r="M892" s="67"/>
    </row>
    <row r="893" ht="22.5" customHeight="1">
      <c r="B893" s="59"/>
      <c r="C893" s="60"/>
      <c r="D893" s="61"/>
      <c r="E893" s="62" t="str">
        <f t="shared" si="25"/>
        <v/>
      </c>
      <c r="F893" s="62" t="str">
        <f t="shared" si="26"/>
        <v/>
      </c>
      <c r="G893" s="63"/>
      <c r="H893" s="60"/>
      <c r="I893" s="64"/>
      <c r="J893" s="64"/>
      <c r="K893" s="66" t="b">
        <v>0</v>
      </c>
      <c r="L893" s="66"/>
      <c r="M893" s="67"/>
    </row>
    <row r="894" ht="22.5" customHeight="1">
      <c r="B894" s="59"/>
      <c r="C894" s="60"/>
      <c r="D894" s="61"/>
      <c r="E894" s="62" t="str">
        <f t="shared" si="25"/>
        <v/>
      </c>
      <c r="F894" s="62" t="str">
        <f t="shared" si="26"/>
        <v/>
      </c>
      <c r="G894" s="63"/>
      <c r="H894" s="60"/>
      <c r="I894" s="64"/>
      <c r="J894" s="64"/>
      <c r="K894" s="66" t="b">
        <v>0</v>
      </c>
      <c r="L894" s="66"/>
      <c r="M894" s="67"/>
    </row>
    <row r="895" ht="22.5" customHeight="1">
      <c r="B895" s="59"/>
      <c r="C895" s="60"/>
      <c r="D895" s="61"/>
      <c r="E895" s="62" t="str">
        <f t="shared" si="25"/>
        <v/>
      </c>
      <c r="F895" s="62" t="str">
        <f t="shared" si="26"/>
        <v/>
      </c>
      <c r="G895" s="63"/>
      <c r="H895" s="60"/>
      <c r="I895" s="64"/>
      <c r="J895" s="64"/>
      <c r="K895" s="66" t="b">
        <v>0</v>
      </c>
      <c r="L895" s="66"/>
      <c r="M895" s="67"/>
    </row>
    <row r="896" ht="22.5" customHeight="1">
      <c r="B896" s="59"/>
      <c r="C896" s="60"/>
      <c r="D896" s="61"/>
      <c r="E896" s="62" t="str">
        <f t="shared" si="25"/>
        <v/>
      </c>
      <c r="F896" s="62" t="str">
        <f t="shared" si="26"/>
        <v/>
      </c>
      <c r="G896" s="63"/>
      <c r="H896" s="60"/>
      <c r="I896" s="64"/>
      <c r="J896" s="64"/>
      <c r="K896" s="66" t="b">
        <v>0</v>
      </c>
      <c r="L896" s="66"/>
      <c r="M896" s="67"/>
    </row>
    <row r="897" ht="22.5" customHeight="1">
      <c r="B897" s="59"/>
      <c r="C897" s="60"/>
      <c r="D897" s="61"/>
      <c r="E897" s="62" t="str">
        <f t="shared" si="25"/>
        <v/>
      </c>
      <c r="F897" s="62" t="str">
        <f t="shared" si="26"/>
        <v/>
      </c>
      <c r="G897" s="63"/>
      <c r="H897" s="60"/>
      <c r="I897" s="64"/>
      <c r="J897" s="64"/>
      <c r="K897" s="66" t="b">
        <v>0</v>
      </c>
      <c r="L897" s="66"/>
      <c r="M897" s="67"/>
    </row>
    <row r="898" ht="22.5" customHeight="1">
      <c r="B898" s="59"/>
      <c r="C898" s="60"/>
      <c r="D898" s="61"/>
      <c r="E898" s="62" t="str">
        <f t="shared" si="25"/>
        <v/>
      </c>
      <c r="F898" s="62" t="str">
        <f t="shared" si="26"/>
        <v/>
      </c>
      <c r="G898" s="63"/>
      <c r="H898" s="60"/>
      <c r="I898" s="64"/>
      <c r="J898" s="64"/>
      <c r="K898" s="66" t="b">
        <v>0</v>
      </c>
      <c r="L898" s="66"/>
      <c r="M898" s="67"/>
    </row>
    <row r="899" ht="22.5" customHeight="1">
      <c r="B899" s="59"/>
      <c r="C899" s="60"/>
      <c r="D899" s="61"/>
      <c r="E899" s="62" t="str">
        <f t="shared" si="25"/>
        <v/>
      </c>
      <c r="F899" s="62" t="str">
        <f t="shared" si="26"/>
        <v/>
      </c>
      <c r="G899" s="63"/>
      <c r="H899" s="60"/>
      <c r="I899" s="64"/>
      <c r="J899" s="64"/>
      <c r="K899" s="66" t="b">
        <v>0</v>
      </c>
      <c r="L899" s="66"/>
      <c r="M899" s="67"/>
    </row>
    <row r="900" ht="22.5" customHeight="1">
      <c r="B900" s="59"/>
      <c r="C900" s="60"/>
      <c r="D900" s="61"/>
      <c r="E900" s="62" t="str">
        <f t="shared" si="25"/>
        <v/>
      </c>
      <c r="F900" s="62" t="str">
        <f t="shared" si="26"/>
        <v/>
      </c>
      <c r="G900" s="63"/>
      <c r="H900" s="60"/>
      <c r="I900" s="64"/>
      <c r="J900" s="64"/>
      <c r="K900" s="66" t="b">
        <v>0</v>
      </c>
      <c r="L900" s="66"/>
      <c r="M900" s="67"/>
    </row>
    <row r="901" ht="22.5" customHeight="1">
      <c r="B901" s="59"/>
      <c r="C901" s="60"/>
      <c r="D901" s="61"/>
      <c r="E901" s="62" t="str">
        <f t="shared" si="25"/>
        <v/>
      </c>
      <c r="F901" s="62" t="str">
        <f t="shared" si="26"/>
        <v/>
      </c>
      <c r="G901" s="63"/>
      <c r="H901" s="60"/>
      <c r="I901" s="64"/>
      <c r="J901" s="64"/>
      <c r="K901" s="66" t="b">
        <v>0</v>
      </c>
      <c r="L901" s="66"/>
      <c r="M901" s="67"/>
    </row>
    <row r="902" ht="22.5" customHeight="1">
      <c r="B902" s="59"/>
      <c r="C902" s="60"/>
      <c r="D902" s="61"/>
      <c r="E902" s="62" t="str">
        <f t="shared" si="25"/>
        <v/>
      </c>
      <c r="F902" s="62" t="str">
        <f t="shared" si="26"/>
        <v/>
      </c>
      <c r="G902" s="63"/>
      <c r="H902" s="60"/>
      <c r="I902" s="64"/>
      <c r="J902" s="64"/>
      <c r="K902" s="66" t="b">
        <v>0</v>
      </c>
      <c r="L902" s="66"/>
      <c r="M902" s="67"/>
    </row>
    <row r="903" ht="22.5" customHeight="1">
      <c r="B903" s="59"/>
      <c r="C903" s="60"/>
      <c r="D903" s="61"/>
      <c r="E903" s="62" t="str">
        <f t="shared" si="25"/>
        <v/>
      </c>
      <c r="F903" s="62" t="str">
        <f t="shared" si="26"/>
        <v/>
      </c>
      <c r="G903" s="63"/>
      <c r="H903" s="60"/>
      <c r="I903" s="64"/>
      <c r="J903" s="64"/>
      <c r="K903" s="66" t="b">
        <v>0</v>
      </c>
      <c r="L903" s="66"/>
      <c r="M903" s="67"/>
    </row>
    <row r="904" ht="22.5" customHeight="1">
      <c r="B904" s="59"/>
      <c r="C904" s="60"/>
      <c r="D904" s="61"/>
      <c r="E904" s="62" t="str">
        <f t="shared" si="25"/>
        <v/>
      </c>
      <c r="F904" s="62" t="str">
        <f t="shared" si="26"/>
        <v/>
      </c>
      <c r="G904" s="63"/>
      <c r="H904" s="60"/>
      <c r="I904" s="64"/>
      <c r="J904" s="64"/>
      <c r="K904" s="66" t="b">
        <v>0</v>
      </c>
      <c r="L904" s="66"/>
      <c r="M904" s="67"/>
    </row>
    <row r="905" ht="22.5" customHeight="1">
      <c r="B905" s="59"/>
      <c r="C905" s="60"/>
      <c r="D905" s="61"/>
      <c r="E905" s="62" t="str">
        <f t="shared" si="25"/>
        <v/>
      </c>
      <c r="F905" s="62" t="str">
        <f t="shared" si="26"/>
        <v/>
      </c>
      <c r="G905" s="63"/>
      <c r="H905" s="60"/>
      <c r="I905" s="64"/>
      <c r="J905" s="64"/>
      <c r="K905" s="66" t="b">
        <v>0</v>
      </c>
      <c r="L905" s="66"/>
      <c r="M905" s="67"/>
    </row>
    <row r="906" ht="22.5" customHeight="1">
      <c r="B906" s="59"/>
      <c r="C906" s="60"/>
      <c r="D906" s="61"/>
      <c r="E906" s="62" t="str">
        <f t="shared" si="25"/>
        <v/>
      </c>
      <c r="F906" s="62" t="str">
        <f t="shared" si="26"/>
        <v/>
      </c>
      <c r="G906" s="63"/>
      <c r="H906" s="60"/>
      <c r="I906" s="64"/>
      <c r="J906" s="64"/>
      <c r="K906" s="66" t="b">
        <v>0</v>
      </c>
      <c r="L906" s="66"/>
      <c r="M906" s="67"/>
    </row>
    <row r="907" ht="22.5" customHeight="1">
      <c r="B907" s="59"/>
      <c r="C907" s="60"/>
      <c r="D907" s="61"/>
      <c r="E907" s="62" t="str">
        <f t="shared" si="25"/>
        <v/>
      </c>
      <c r="F907" s="62" t="str">
        <f t="shared" si="26"/>
        <v/>
      </c>
      <c r="G907" s="63"/>
      <c r="H907" s="60"/>
      <c r="I907" s="64"/>
      <c r="J907" s="64"/>
      <c r="K907" s="66" t="b">
        <v>0</v>
      </c>
      <c r="L907" s="66"/>
      <c r="M907" s="67"/>
    </row>
    <row r="908" ht="22.5" customHeight="1">
      <c r="B908" s="59"/>
      <c r="C908" s="60"/>
      <c r="D908" s="61"/>
      <c r="E908" s="62" t="str">
        <f t="shared" si="25"/>
        <v/>
      </c>
      <c r="F908" s="62" t="str">
        <f t="shared" si="26"/>
        <v/>
      </c>
      <c r="G908" s="63"/>
      <c r="H908" s="60"/>
      <c r="I908" s="64"/>
      <c r="J908" s="64"/>
      <c r="K908" s="66" t="b">
        <v>0</v>
      </c>
      <c r="L908" s="66"/>
      <c r="M908" s="67"/>
    </row>
    <row r="909" ht="22.5" customHeight="1">
      <c r="B909" s="59"/>
      <c r="C909" s="60"/>
      <c r="D909" s="61"/>
      <c r="E909" s="62" t="str">
        <f t="shared" si="25"/>
        <v/>
      </c>
      <c r="F909" s="62" t="str">
        <f t="shared" si="26"/>
        <v/>
      </c>
      <c r="G909" s="63"/>
      <c r="H909" s="60"/>
      <c r="I909" s="64"/>
      <c r="J909" s="64"/>
      <c r="K909" s="66" t="b">
        <v>0</v>
      </c>
      <c r="L909" s="66"/>
      <c r="M909" s="67"/>
    </row>
    <row r="910" ht="22.5" customHeight="1">
      <c r="B910" s="59"/>
      <c r="C910" s="60"/>
      <c r="D910" s="61"/>
      <c r="E910" s="62" t="str">
        <f t="shared" si="25"/>
        <v/>
      </c>
      <c r="F910" s="62" t="str">
        <f t="shared" si="26"/>
        <v/>
      </c>
      <c r="G910" s="63"/>
      <c r="H910" s="60"/>
      <c r="I910" s="64"/>
      <c r="J910" s="64"/>
      <c r="K910" s="66" t="b">
        <v>0</v>
      </c>
      <c r="L910" s="66"/>
      <c r="M910" s="67"/>
    </row>
    <row r="911" ht="22.5" customHeight="1">
      <c r="B911" s="59"/>
      <c r="C911" s="60"/>
      <c r="D911" s="61"/>
      <c r="E911" s="62" t="str">
        <f t="shared" si="25"/>
        <v/>
      </c>
      <c r="F911" s="62" t="str">
        <f t="shared" si="26"/>
        <v/>
      </c>
      <c r="G911" s="63"/>
      <c r="H911" s="60"/>
      <c r="I911" s="64"/>
      <c r="J911" s="64"/>
      <c r="K911" s="66" t="b">
        <v>0</v>
      </c>
      <c r="L911" s="66"/>
      <c r="M911" s="67"/>
    </row>
    <row r="912" ht="22.5" customHeight="1">
      <c r="B912" s="59"/>
      <c r="C912" s="60"/>
      <c r="D912" s="61"/>
      <c r="E912" s="62" t="str">
        <f t="shared" si="25"/>
        <v/>
      </c>
      <c r="F912" s="62" t="str">
        <f t="shared" si="26"/>
        <v/>
      </c>
      <c r="G912" s="63"/>
      <c r="H912" s="60"/>
      <c r="I912" s="64"/>
      <c r="J912" s="64"/>
      <c r="K912" s="66" t="b">
        <v>0</v>
      </c>
      <c r="L912" s="66"/>
      <c r="M912" s="67"/>
    </row>
    <row r="913" ht="22.5" customHeight="1">
      <c r="B913" s="59"/>
      <c r="C913" s="60"/>
      <c r="D913" s="61"/>
      <c r="E913" s="62" t="str">
        <f t="shared" si="25"/>
        <v/>
      </c>
      <c r="F913" s="62" t="str">
        <f t="shared" si="26"/>
        <v/>
      </c>
      <c r="G913" s="63"/>
      <c r="H913" s="60"/>
      <c r="I913" s="64"/>
      <c r="J913" s="64"/>
      <c r="K913" s="66" t="b">
        <v>0</v>
      </c>
      <c r="L913" s="66"/>
      <c r="M913" s="67"/>
    </row>
    <row r="914" ht="22.5" customHeight="1">
      <c r="B914" s="59"/>
      <c r="C914" s="60"/>
      <c r="D914" s="61"/>
      <c r="E914" s="62" t="str">
        <f t="shared" si="25"/>
        <v/>
      </c>
      <c r="F914" s="62" t="str">
        <f t="shared" si="26"/>
        <v/>
      </c>
      <c r="G914" s="63"/>
      <c r="H914" s="60"/>
      <c r="I914" s="64"/>
      <c r="J914" s="64"/>
      <c r="K914" s="66" t="b">
        <v>0</v>
      </c>
      <c r="L914" s="66"/>
      <c r="M914" s="67"/>
    </row>
    <row r="915" ht="22.5" customHeight="1">
      <c r="B915" s="59"/>
      <c r="C915" s="60"/>
      <c r="D915" s="61"/>
      <c r="E915" s="62" t="str">
        <f t="shared" si="25"/>
        <v/>
      </c>
      <c r="F915" s="62" t="str">
        <f t="shared" si="26"/>
        <v/>
      </c>
      <c r="G915" s="63"/>
      <c r="H915" s="60"/>
      <c r="I915" s="64"/>
      <c r="J915" s="64"/>
      <c r="K915" s="66" t="b">
        <v>0</v>
      </c>
      <c r="L915" s="66"/>
      <c r="M915" s="67"/>
    </row>
    <row r="916" ht="22.5" customHeight="1">
      <c r="B916" s="59"/>
      <c r="C916" s="60"/>
      <c r="D916" s="61"/>
      <c r="E916" s="62" t="str">
        <f t="shared" si="25"/>
        <v/>
      </c>
      <c r="F916" s="62" t="str">
        <f t="shared" si="26"/>
        <v/>
      </c>
      <c r="G916" s="63"/>
      <c r="H916" s="60"/>
      <c r="I916" s="64"/>
      <c r="J916" s="64"/>
      <c r="K916" s="66" t="b">
        <v>0</v>
      </c>
      <c r="L916" s="66"/>
      <c r="M916" s="67"/>
    </row>
    <row r="917" ht="22.5" customHeight="1">
      <c r="B917" s="59"/>
      <c r="C917" s="60"/>
      <c r="D917" s="61"/>
      <c r="E917" s="62" t="str">
        <f t="shared" si="25"/>
        <v/>
      </c>
      <c r="F917" s="62" t="str">
        <f t="shared" si="26"/>
        <v/>
      </c>
      <c r="G917" s="63"/>
      <c r="H917" s="60"/>
      <c r="I917" s="64"/>
      <c r="J917" s="64"/>
      <c r="K917" s="66" t="b">
        <v>0</v>
      </c>
      <c r="L917" s="66"/>
      <c r="M917" s="67"/>
    </row>
    <row r="918" ht="22.5" customHeight="1">
      <c r="B918" s="59"/>
      <c r="C918" s="60"/>
      <c r="D918" s="61"/>
      <c r="E918" s="62" t="str">
        <f t="shared" si="25"/>
        <v/>
      </c>
      <c r="F918" s="62" t="str">
        <f t="shared" si="26"/>
        <v/>
      </c>
      <c r="G918" s="63"/>
      <c r="H918" s="60"/>
      <c r="I918" s="64"/>
      <c r="J918" s="64"/>
      <c r="K918" s="66" t="b">
        <v>0</v>
      </c>
      <c r="L918" s="66"/>
      <c r="M918" s="67"/>
    </row>
    <row r="919" ht="22.5" customHeight="1">
      <c r="B919" s="59"/>
      <c r="C919" s="60"/>
      <c r="D919" s="61"/>
      <c r="E919" s="62" t="str">
        <f t="shared" si="25"/>
        <v/>
      </c>
      <c r="F919" s="62" t="str">
        <f t="shared" si="26"/>
        <v/>
      </c>
      <c r="G919" s="63"/>
      <c r="H919" s="60"/>
      <c r="I919" s="64"/>
      <c r="J919" s="64"/>
      <c r="K919" s="66" t="b">
        <v>0</v>
      </c>
      <c r="L919" s="66"/>
      <c r="M919" s="67"/>
    </row>
    <row r="920" ht="22.5" customHeight="1">
      <c r="B920" s="59"/>
      <c r="C920" s="60"/>
      <c r="D920" s="61"/>
      <c r="E920" s="62" t="str">
        <f t="shared" si="25"/>
        <v/>
      </c>
      <c r="F920" s="62" t="str">
        <f t="shared" si="26"/>
        <v/>
      </c>
      <c r="G920" s="63"/>
      <c r="H920" s="60"/>
      <c r="I920" s="64"/>
      <c r="J920" s="64"/>
      <c r="K920" s="66" t="b">
        <v>0</v>
      </c>
      <c r="L920" s="66"/>
      <c r="M920" s="67"/>
    </row>
    <row r="921" ht="22.5" customHeight="1">
      <c r="B921" s="59"/>
      <c r="C921" s="60"/>
      <c r="D921" s="61"/>
      <c r="E921" s="62" t="str">
        <f t="shared" si="25"/>
        <v/>
      </c>
      <c r="F921" s="62" t="str">
        <f t="shared" si="26"/>
        <v/>
      </c>
      <c r="G921" s="63"/>
      <c r="H921" s="60"/>
      <c r="I921" s="64"/>
      <c r="J921" s="64"/>
      <c r="K921" s="66" t="b">
        <v>0</v>
      </c>
      <c r="L921" s="66"/>
      <c r="M921" s="67"/>
    </row>
    <row r="922" ht="22.5" customHeight="1">
      <c r="B922" s="59"/>
      <c r="C922" s="60"/>
      <c r="D922" s="61"/>
      <c r="E922" s="62" t="str">
        <f t="shared" si="25"/>
        <v/>
      </c>
      <c r="F922" s="62" t="str">
        <f t="shared" si="26"/>
        <v/>
      </c>
      <c r="G922" s="63"/>
      <c r="H922" s="60"/>
      <c r="I922" s="64"/>
      <c r="J922" s="64"/>
      <c r="K922" s="66" t="b">
        <v>0</v>
      </c>
      <c r="L922" s="66"/>
      <c r="M922" s="67"/>
    </row>
    <row r="923" ht="22.5" customHeight="1">
      <c r="B923" s="59"/>
      <c r="C923" s="60"/>
      <c r="D923" s="61"/>
      <c r="E923" s="62" t="str">
        <f t="shared" si="25"/>
        <v/>
      </c>
      <c r="F923" s="62" t="str">
        <f t="shared" si="26"/>
        <v/>
      </c>
      <c r="G923" s="63"/>
      <c r="H923" s="60"/>
      <c r="I923" s="64"/>
      <c r="J923" s="64"/>
      <c r="K923" s="66" t="b">
        <v>0</v>
      </c>
      <c r="L923" s="66"/>
      <c r="M923" s="67"/>
    </row>
    <row r="924" ht="22.5" customHeight="1">
      <c r="B924" s="59"/>
      <c r="C924" s="60"/>
      <c r="D924" s="61"/>
      <c r="E924" s="62" t="str">
        <f t="shared" si="25"/>
        <v/>
      </c>
      <c r="F924" s="62" t="str">
        <f t="shared" si="26"/>
        <v/>
      </c>
      <c r="G924" s="63"/>
      <c r="H924" s="60"/>
      <c r="I924" s="64"/>
      <c r="J924" s="64"/>
      <c r="K924" s="66" t="b">
        <v>0</v>
      </c>
      <c r="L924" s="66"/>
      <c r="M924" s="67"/>
    </row>
    <row r="925" ht="22.5" customHeight="1">
      <c r="B925" s="59"/>
      <c r="C925" s="60"/>
      <c r="D925" s="61"/>
      <c r="E925" s="62" t="str">
        <f t="shared" si="25"/>
        <v/>
      </c>
      <c r="F925" s="62" t="str">
        <f t="shared" si="26"/>
        <v/>
      </c>
      <c r="G925" s="63"/>
      <c r="H925" s="60"/>
      <c r="I925" s="64"/>
      <c r="J925" s="64"/>
      <c r="K925" s="66" t="b">
        <v>0</v>
      </c>
      <c r="L925" s="66"/>
      <c r="M925" s="67"/>
    </row>
    <row r="926" ht="22.5" customHeight="1">
      <c r="B926" s="59"/>
      <c r="C926" s="60"/>
      <c r="D926" s="61"/>
      <c r="E926" s="62" t="str">
        <f t="shared" si="25"/>
        <v/>
      </c>
      <c r="F926" s="62" t="str">
        <f t="shared" si="26"/>
        <v/>
      </c>
      <c r="G926" s="63"/>
      <c r="H926" s="60"/>
      <c r="I926" s="64"/>
      <c r="J926" s="64"/>
      <c r="K926" s="66" t="b">
        <v>0</v>
      </c>
      <c r="L926" s="66"/>
      <c r="M926" s="67"/>
    </row>
    <row r="927" ht="22.5" customHeight="1">
      <c r="B927" s="59"/>
      <c r="C927" s="60"/>
      <c r="D927" s="61"/>
      <c r="E927" s="62" t="str">
        <f t="shared" si="25"/>
        <v/>
      </c>
      <c r="F927" s="62" t="str">
        <f t="shared" si="26"/>
        <v/>
      </c>
      <c r="G927" s="63"/>
      <c r="H927" s="60"/>
      <c r="I927" s="64"/>
      <c r="J927" s="64"/>
      <c r="K927" s="66" t="b">
        <v>0</v>
      </c>
      <c r="L927" s="66"/>
      <c r="M927" s="67"/>
    </row>
    <row r="928" ht="22.5" customHeight="1">
      <c r="B928" s="59"/>
      <c r="C928" s="60"/>
      <c r="D928" s="61"/>
      <c r="E928" s="62" t="str">
        <f t="shared" si="25"/>
        <v/>
      </c>
      <c r="F928" s="62" t="str">
        <f t="shared" si="26"/>
        <v/>
      </c>
      <c r="G928" s="63"/>
      <c r="H928" s="60"/>
      <c r="I928" s="64"/>
      <c r="J928" s="64"/>
      <c r="K928" s="66" t="b">
        <v>0</v>
      </c>
      <c r="L928" s="66"/>
      <c r="M928" s="67"/>
    </row>
    <row r="929" ht="22.5" customHeight="1">
      <c r="B929" s="59"/>
      <c r="C929" s="60"/>
      <c r="D929" s="61"/>
      <c r="E929" s="62" t="str">
        <f t="shared" si="25"/>
        <v/>
      </c>
      <c r="F929" s="62" t="str">
        <f t="shared" si="26"/>
        <v/>
      </c>
      <c r="G929" s="63"/>
      <c r="H929" s="60"/>
      <c r="I929" s="64"/>
      <c r="J929" s="64"/>
      <c r="K929" s="66" t="b">
        <v>0</v>
      </c>
      <c r="L929" s="66"/>
      <c r="M929" s="67"/>
    </row>
    <row r="930" ht="22.5" customHeight="1">
      <c r="B930" s="59"/>
      <c r="C930" s="60"/>
      <c r="D930" s="61"/>
      <c r="E930" s="62" t="str">
        <f t="shared" si="25"/>
        <v/>
      </c>
      <c r="F930" s="62" t="str">
        <f t="shared" si="26"/>
        <v/>
      </c>
      <c r="G930" s="63"/>
      <c r="H930" s="60"/>
      <c r="I930" s="64"/>
      <c r="J930" s="64"/>
      <c r="K930" s="66" t="b">
        <v>0</v>
      </c>
      <c r="L930" s="66"/>
      <c r="M930" s="67"/>
    </row>
    <row r="931" ht="22.5" customHeight="1">
      <c r="B931" s="59"/>
      <c r="C931" s="60"/>
      <c r="D931" s="61"/>
      <c r="E931" s="62" t="str">
        <f t="shared" si="25"/>
        <v/>
      </c>
      <c r="F931" s="62" t="str">
        <f t="shared" si="26"/>
        <v/>
      </c>
      <c r="G931" s="63"/>
      <c r="H931" s="60"/>
      <c r="I931" s="64"/>
      <c r="J931" s="64"/>
      <c r="K931" s="66" t="b">
        <v>0</v>
      </c>
      <c r="L931" s="66"/>
      <c r="M931" s="67"/>
    </row>
    <row r="932" ht="22.5" customHeight="1">
      <c r="B932" s="59"/>
      <c r="C932" s="60"/>
      <c r="D932" s="61"/>
      <c r="E932" s="62" t="str">
        <f t="shared" si="25"/>
        <v/>
      </c>
      <c r="F932" s="62" t="str">
        <f t="shared" si="26"/>
        <v/>
      </c>
      <c r="G932" s="63"/>
      <c r="H932" s="60"/>
      <c r="I932" s="64"/>
      <c r="J932" s="64"/>
      <c r="K932" s="66" t="b">
        <v>0</v>
      </c>
      <c r="L932" s="66"/>
      <c r="M932" s="67"/>
    </row>
    <row r="933" ht="22.5" customHeight="1">
      <c r="B933" s="59"/>
      <c r="C933" s="60"/>
      <c r="D933" s="61"/>
      <c r="E933" s="62" t="str">
        <f t="shared" si="25"/>
        <v/>
      </c>
      <c r="F933" s="62" t="str">
        <f t="shared" si="26"/>
        <v/>
      </c>
      <c r="G933" s="63"/>
      <c r="H933" s="60"/>
      <c r="I933" s="64"/>
      <c r="J933" s="64"/>
      <c r="K933" s="66" t="b">
        <v>0</v>
      </c>
      <c r="L933" s="66"/>
      <c r="M933" s="67"/>
    </row>
    <row r="934" ht="22.5" customHeight="1">
      <c r="B934" s="59"/>
      <c r="C934" s="60"/>
      <c r="D934" s="61"/>
      <c r="E934" s="62" t="str">
        <f t="shared" si="25"/>
        <v/>
      </c>
      <c r="F934" s="62" t="str">
        <f t="shared" si="26"/>
        <v/>
      </c>
      <c r="G934" s="63"/>
      <c r="H934" s="60"/>
      <c r="I934" s="64"/>
      <c r="J934" s="64"/>
      <c r="K934" s="66" t="b">
        <v>0</v>
      </c>
      <c r="L934" s="66"/>
      <c r="M934" s="67"/>
    </row>
    <row r="935" ht="22.5" customHeight="1">
      <c r="B935" s="59"/>
      <c r="C935" s="60"/>
      <c r="D935" s="61"/>
      <c r="E935" s="62" t="str">
        <f t="shared" si="25"/>
        <v/>
      </c>
      <c r="F935" s="62" t="str">
        <f t="shared" si="26"/>
        <v/>
      </c>
      <c r="G935" s="63"/>
      <c r="H935" s="60"/>
      <c r="I935" s="64"/>
      <c r="J935" s="64"/>
      <c r="K935" s="66" t="b">
        <v>0</v>
      </c>
      <c r="L935" s="66"/>
      <c r="M935" s="67"/>
    </row>
    <row r="936" ht="22.5" customHeight="1">
      <c r="B936" s="59"/>
      <c r="C936" s="60"/>
      <c r="D936" s="61"/>
      <c r="E936" s="62" t="str">
        <f t="shared" si="25"/>
        <v/>
      </c>
      <c r="F936" s="62" t="str">
        <f t="shared" si="26"/>
        <v/>
      </c>
      <c r="G936" s="63"/>
      <c r="H936" s="60"/>
      <c r="I936" s="64"/>
      <c r="J936" s="64"/>
      <c r="K936" s="66" t="b">
        <v>0</v>
      </c>
      <c r="L936" s="66"/>
      <c r="M936" s="67"/>
    </row>
    <row r="937" ht="22.5" customHeight="1">
      <c r="B937" s="59"/>
      <c r="C937" s="60"/>
      <c r="D937" s="61"/>
      <c r="E937" s="62" t="str">
        <f t="shared" si="25"/>
        <v/>
      </c>
      <c r="F937" s="62" t="str">
        <f t="shared" si="26"/>
        <v/>
      </c>
      <c r="G937" s="63"/>
      <c r="H937" s="60"/>
      <c r="I937" s="64"/>
      <c r="J937" s="64"/>
      <c r="K937" s="66" t="b">
        <v>0</v>
      </c>
      <c r="L937" s="66"/>
      <c r="M937" s="67"/>
    </row>
    <row r="938" ht="22.5" customHeight="1">
      <c r="B938" s="59"/>
      <c r="C938" s="60"/>
      <c r="D938" s="61"/>
      <c r="E938" s="62" t="str">
        <f t="shared" si="25"/>
        <v/>
      </c>
      <c r="F938" s="62" t="str">
        <f t="shared" si="26"/>
        <v/>
      </c>
      <c r="G938" s="63"/>
      <c r="H938" s="60"/>
      <c r="I938" s="64"/>
      <c r="J938" s="64"/>
      <c r="K938" s="66" t="b">
        <v>0</v>
      </c>
      <c r="L938" s="66"/>
      <c r="M938" s="67"/>
    </row>
    <row r="939" ht="22.5" customHeight="1">
      <c r="B939" s="59"/>
      <c r="C939" s="60"/>
      <c r="D939" s="61"/>
      <c r="E939" s="62" t="str">
        <f t="shared" si="25"/>
        <v/>
      </c>
      <c r="F939" s="62" t="str">
        <f t="shared" si="26"/>
        <v/>
      </c>
      <c r="G939" s="63"/>
      <c r="H939" s="60"/>
      <c r="I939" s="64"/>
      <c r="J939" s="64"/>
      <c r="K939" s="66" t="b">
        <v>0</v>
      </c>
      <c r="L939" s="66"/>
      <c r="M939" s="67"/>
    </row>
    <row r="940" ht="22.5" customHeight="1">
      <c r="B940" s="59"/>
      <c r="C940" s="60"/>
      <c r="D940" s="61"/>
      <c r="E940" s="62" t="str">
        <f t="shared" si="25"/>
        <v/>
      </c>
      <c r="F940" s="62" t="str">
        <f t="shared" si="26"/>
        <v/>
      </c>
      <c r="G940" s="63"/>
      <c r="H940" s="60"/>
      <c r="I940" s="64"/>
      <c r="J940" s="64"/>
      <c r="K940" s="66" t="b">
        <v>0</v>
      </c>
      <c r="L940" s="66"/>
      <c r="M940" s="67"/>
    </row>
    <row r="941" ht="22.5" customHeight="1">
      <c r="B941" s="59"/>
      <c r="C941" s="60"/>
      <c r="D941" s="61"/>
      <c r="E941" s="62" t="str">
        <f t="shared" si="25"/>
        <v/>
      </c>
      <c r="F941" s="62" t="str">
        <f t="shared" si="26"/>
        <v/>
      </c>
      <c r="G941" s="63"/>
      <c r="H941" s="60"/>
      <c r="I941" s="64"/>
      <c r="J941" s="64"/>
      <c r="K941" s="66" t="b">
        <v>0</v>
      </c>
      <c r="L941" s="66"/>
      <c r="M941" s="67"/>
    </row>
    <row r="942" ht="22.5" customHeight="1">
      <c r="B942" s="59"/>
      <c r="C942" s="60"/>
      <c r="D942" s="61"/>
      <c r="E942" s="62" t="str">
        <f t="shared" si="25"/>
        <v/>
      </c>
      <c r="F942" s="62" t="str">
        <f t="shared" si="26"/>
        <v/>
      </c>
      <c r="G942" s="63"/>
      <c r="H942" s="60"/>
      <c r="I942" s="64"/>
      <c r="J942" s="64"/>
      <c r="K942" s="66" t="b">
        <v>0</v>
      </c>
      <c r="L942" s="66"/>
      <c r="M942" s="67"/>
    </row>
    <row r="943" ht="22.5" customHeight="1">
      <c r="B943" s="59"/>
      <c r="C943" s="60"/>
      <c r="D943" s="61"/>
      <c r="E943" s="62" t="str">
        <f t="shared" si="25"/>
        <v/>
      </c>
      <c r="F943" s="62" t="str">
        <f t="shared" si="26"/>
        <v/>
      </c>
      <c r="G943" s="63"/>
      <c r="H943" s="60"/>
      <c r="I943" s="64"/>
      <c r="J943" s="64"/>
      <c r="K943" s="66" t="b">
        <v>0</v>
      </c>
      <c r="L943" s="66"/>
      <c r="M943" s="67"/>
    </row>
    <row r="944" ht="22.5" customHeight="1">
      <c r="B944" s="59"/>
      <c r="C944" s="60"/>
      <c r="D944" s="61"/>
      <c r="E944" s="62" t="str">
        <f t="shared" si="25"/>
        <v/>
      </c>
      <c r="F944" s="62" t="str">
        <f t="shared" si="26"/>
        <v/>
      </c>
      <c r="G944" s="63"/>
      <c r="H944" s="60"/>
      <c r="I944" s="64"/>
      <c r="J944" s="64"/>
      <c r="K944" s="66" t="b">
        <v>0</v>
      </c>
      <c r="L944" s="66"/>
      <c r="M944" s="67"/>
    </row>
    <row r="945" ht="22.5" customHeight="1">
      <c r="B945" s="59"/>
      <c r="C945" s="60"/>
      <c r="D945" s="61"/>
      <c r="E945" s="62" t="str">
        <f t="shared" si="25"/>
        <v/>
      </c>
      <c r="F945" s="62" t="str">
        <f t="shared" si="26"/>
        <v/>
      </c>
      <c r="G945" s="63"/>
      <c r="H945" s="60"/>
      <c r="I945" s="64"/>
      <c r="J945" s="64"/>
      <c r="K945" s="66" t="b">
        <v>0</v>
      </c>
      <c r="L945" s="66"/>
      <c r="M945" s="67"/>
    </row>
    <row r="946" ht="22.5" customHeight="1">
      <c r="B946" s="59"/>
      <c r="C946" s="60"/>
      <c r="D946" s="61"/>
      <c r="E946" s="62" t="str">
        <f t="shared" si="25"/>
        <v/>
      </c>
      <c r="F946" s="62" t="str">
        <f t="shared" si="26"/>
        <v/>
      </c>
      <c r="G946" s="63"/>
      <c r="H946" s="60"/>
      <c r="I946" s="64"/>
      <c r="J946" s="64"/>
      <c r="K946" s="66" t="b">
        <v>0</v>
      </c>
      <c r="L946" s="66"/>
      <c r="M946" s="67"/>
    </row>
    <row r="947" ht="22.5" customHeight="1">
      <c r="B947" s="59"/>
      <c r="C947" s="60"/>
      <c r="D947" s="61"/>
      <c r="E947" s="62" t="str">
        <f t="shared" si="25"/>
        <v/>
      </c>
      <c r="F947" s="62" t="str">
        <f t="shared" si="26"/>
        <v/>
      </c>
      <c r="G947" s="63"/>
      <c r="H947" s="60"/>
      <c r="I947" s="64"/>
      <c r="J947" s="64"/>
      <c r="K947" s="66" t="b">
        <v>0</v>
      </c>
      <c r="L947" s="66"/>
      <c r="M947" s="67"/>
    </row>
    <row r="948" ht="22.5" customHeight="1">
      <c r="B948" s="59"/>
      <c r="C948" s="60"/>
      <c r="D948" s="61"/>
      <c r="E948" s="62" t="str">
        <f t="shared" si="25"/>
        <v/>
      </c>
      <c r="F948" s="62" t="str">
        <f t="shared" si="26"/>
        <v/>
      </c>
      <c r="G948" s="63"/>
      <c r="H948" s="60"/>
      <c r="I948" s="64"/>
      <c r="J948" s="64"/>
      <c r="K948" s="66" t="b">
        <v>0</v>
      </c>
      <c r="L948" s="66"/>
      <c r="M948" s="67"/>
    </row>
    <row r="949" ht="22.5" customHeight="1">
      <c r="B949" s="59"/>
      <c r="C949" s="60"/>
      <c r="D949" s="61"/>
      <c r="E949" s="62" t="str">
        <f t="shared" si="25"/>
        <v/>
      </c>
      <c r="F949" s="62" t="str">
        <f t="shared" si="26"/>
        <v/>
      </c>
      <c r="G949" s="63"/>
      <c r="H949" s="60"/>
      <c r="I949" s="64"/>
      <c r="J949" s="64"/>
      <c r="K949" s="66" t="b">
        <v>0</v>
      </c>
      <c r="L949" s="66"/>
      <c r="M949" s="67"/>
    </row>
    <row r="950" ht="22.5" customHeight="1">
      <c r="B950" s="59"/>
      <c r="C950" s="60"/>
      <c r="D950" s="61"/>
      <c r="E950" s="62" t="str">
        <f t="shared" si="25"/>
        <v/>
      </c>
      <c r="F950" s="62" t="str">
        <f t="shared" si="26"/>
        <v/>
      </c>
      <c r="G950" s="63"/>
      <c r="H950" s="60"/>
      <c r="I950" s="64"/>
      <c r="J950" s="64"/>
      <c r="K950" s="66" t="b">
        <v>0</v>
      </c>
      <c r="L950" s="66"/>
      <c r="M950" s="67"/>
    </row>
    <row r="951" ht="22.5" customHeight="1">
      <c r="B951" s="59"/>
      <c r="C951" s="60"/>
      <c r="D951" s="61"/>
      <c r="E951" s="62" t="str">
        <f t="shared" si="25"/>
        <v/>
      </c>
      <c r="F951" s="62" t="str">
        <f t="shared" si="26"/>
        <v/>
      </c>
      <c r="G951" s="63"/>
      <c r="H951" s="60"/>
      <c r="I951" s="64"/>
      <c r="J951" s="64"/>
      <c r="K951" s="66" t="b">
        <v>0</v>
      </c>
      <c r="L951" s="66"/>
      <c r="M951" s="67"/>
    </row>
    <row r="952" ht="22.5" customHeight="1">
      <c r="B952" s="59"/>
      <c r="C952" s="60"/>
      <c r="D952" s="61"/>
      <c r="E952" s="62" t="str">
        <f t="shared" si="25"/>
        <v/>
      </c>
      <c r="F952" s="62" t="str">
        <f t="shared" si="26"/>
        <v/>
      </c>
      <c r="G952" s="63"/>
      <c r="H952" s="60"/>
      <c r="I952" s="64"/>
      <c r="J952" s="64"/>
      <c r="K952" s="66" t="b">
        <v>0</v>
      </c>
      <c r="L952" s="66"/>
      <c r="M952" s="67"/>
    </row>
    <row r="953" ht="22.5" customHeight="1">
      <c r="B953" s="59"/>
      <c r="C953" s="60"/>
      <c r="D953" s="61"/>
      <c r="E953" s="62" t="str">
        <f t="shared" si="25"/>
        <v/>
      </c>
      <c r="F953" s="62" t="str">
        <f t="shared" si="26"/>
        <v/>
      </c>
      <c r="G953" s="63"/>
      <c r="H953" s="60"/>
      <c r="I953" s="64"/>
      <c r="J953" s="64"/>
      <c r="K953" s="66" t="b">
        <v>0</v>
      </c>
      <c r="L953" s="66"/>
      <c r="M953" s="67"/>
    </row>
    <row r="954" ht="22.5" customHeight="1">
      <c r="B954" s="59"/>
      <c r="C954" s="60"/>
      <c r="D954" s="61"/>
      <c r="E954" s="62" t="str">
        <f t="shared" si="25"/>
        <v/>
      </c>
      <c r="F954" s="62" t="str">
        <f t="shared" si="26"/>
        <v/>
      </c>
      <c r="G954" s="63"/>
      <c r="H954" s="60"/>
      <c r="I954" s="64"/>
      <c r="J954" s="64"/>
      <c r="K954" s="66" t="b">
        <v>0</v>
      </c>
      <c r="L954" s="66"/>
      <c r="M954" s="67"/>
    </row>
    <row r="955" ht="22.5" customHeight="1">
      <c r="B955" s="59"/>
      <c r="C955" s="60"/>
      <c r="D955" s="61"/>
      <c r="E955" s="62" t="str">
        <f t="shared" si="25"/>
        <v/>
      </c>
      <c r="F955" s="62" t="str">
        <f t="shared" si="26"/>
        <v/>
      </c>
      <c r="G955" s="63"/>
      <c r="H955" s="60"/>
      <c r="I955" s="64"/>
      <c r="J955" s="64"/>
      <c r="K955" s="66" t="b">
        <v>0</v>
      </c>
      <c r="L955" s="66"/>
      <c r="M955" s="67"/>
    </row>
    <row r="956" ht="22.5" customHeight="1">
      <c r="B956" s="59"/>
      <c r="C956" s="60"/>
      <c r="D956" s="61"/>
      <c r="E956" s="62" t="str">
        <f t="shared" si="25"/>
        <v/>
      </c>
      <c r="F956" s="62" t="str">
        <f t="shared" si="26"/>
        <v/>
      </c>
      <c r="G956" s="63"/>
      <c r="H956" s="60"/>
      <c r="I956" s="64"/>
      <c r="J956" s="64"/>
      <c r="K956" s="66" t="b">
        <v>0</v>
      </c>
      <c r="L956" s="66"/>
      <c r="M956" s="67"/>
    </row>
    <row r="957" ht="22.5" customHeight="1">
      <c r="B957" s="59"/>
      <c r="C957" s="60"/>
      <c r="D957" s="61"/>
      <c r="E957" s="62" t="str">
        <f t="shared" si="25"/>
        <v/>
      </c>
      <c r="F957" s="62" t="str">
        <f t="shared" si="26"/>
        <v/>
      </c>
      <c r="G957" s="63"/>
      <c r="H957" s="60"/>
      <c r="I957" s="64"/>
      <c r="J957" s="64"/>
      <c r="K957" s="66" t="b">
        <v>0</v>
      </c>
      <c r="L957" s="66"/>
      <c r="M957" s="67"/>
    </row>
    <row r="958" ht="22.5" customHeight="1">
      <c r="B958" s="59"/>
      <c r="C958" s="60"/>
      <c r="D958" s="61"/>
      <c r="E958" s="62" t="str">
        <f t="shared" si="25"/>
        <v/>
      </c>
      <c r="F958" s="62" t="str">
        <f t="shared" si="26"/>
        <v/>
      </c>
      <c r="G958" s="63"/>
      <c r="H958" s="60"/>
      <c r="I958" s="64"/>
      <c r="J958" s="64"/>
      <c r="K958" s="66" t="b">
        <v>0</v>
      </c>
      <c r="L958" s="66"/>
      <c r="M958" s="67"/>
    </row>
    <row r="959" ht="22.5" customHeight="1">
      <c r="B959" s="59"/>
      <c r="C959" s="60"/>
      <c r="D959" s="61"/>
      <c r="E959" s="62" t="str">
        <f t="shared" si="25"/>
        <v/>
      </c>
      <c r="F959" s="62" t="str">
        <f t="shared" si="26"/>
        <v/>
      </c>
      <c r="G959" s="63"/>
      <c r="H959" s="60"/>
      <c r="I959" s="64"/>
      <c r="J959" s="64"/>
      <c r="K959" s="66" t="b">
        <v>0</v>
      </c>
      <c r="L959" s="66"/>
      <c r="M959" s="67"/>
    </row>
    <row r="960" ht="22.5" customHeight="1">
      <c r="B960" s="59"/>
      <c r="C960" s="60"/>
      <c r="D960" s="61"/>
      <c r="E960" s="62" t="str">
        <f t="shared" si="25"/>
        <v/>
      </c>
      <c r="F960" s="62" t="str">
        <f t="shared" si="26"/>
        <v/>
      </c>
      <c r="G960" s="63"/>
      <c r="H960" s="60"/>
      <c r="I960" s="64"/>
      <c r="J960" s="64"/>
      <c r="K960" s="66" t="b">
        <v>0</v>
      </c>
      <c r="L960" s="66"/>
      <c r="M960" s="67"/>
    </row>
    <row r="961" ht="22.5" customHeight="1">
      <c r="B961" s="59"/>
      <c r="C961" s="60"/>
      <c r="D961" s="61"/>
      <c r="E961" s="62" t="str">
        <f t="shared" si="25"/>
        <v/>
      </c>
      <c r="F961" s="62" t="str">
        <f t="shared" si="26"/>
        <v/>
      </c>
      <c r="G961" s="63"/>
      <c r="H961" s="60"/>
      <c r="I961" s="64"/>
      <c r="J961" s="64"/>
      <c r="K961" s="66" t="b">
        <v>0</v>
      </c>
      <c r="L961" s="66"/>
      <c r="M961" s="67"/>
    </row>
    <row r="962" ht="22.5" customHeight="1">
      <c r="B962" s="59"/>
      <c r="C962" s="60"/>
      <c r="D962" s="61"/>
      <c r="E962" s="62" t="str">
        <f t="shared" si="25"/>
        <v/>
      </c>
      <c r="F962" s="62" t="str">
        <f t="shared" si="26"/>
        <v/>
      </c>
      <c r="G962" s="63"/>
      <c r="H962" s="60"/>
      <c r="I962" s="64"/>
      <c r="J962" s="64"/>
      <c r="K962" s="66" t="b">
        <v>0</v>
      </c>
      <c r="L962" s="66"/>
      <c r="M962" s="67"/>
    </row>
    <row r="963" ht="22.5" customHeight="1">
      <c r="B963" s="59"/>
      <c r="C963" s="60"/>
      <c r="D963" s="61"/>
      <c r="E963" s="62" t="str">
        <f t="shared" si="25"/>
        <v/>
      </c>
      <c r="F963" s="62" t="str">
        <f t="shared" si="26"/>
        <v/>
      </c>
      <c r="G963" s="63"/>
      <c r="H963" s="60"/>
      <c r="I963" s="64"/>
      <c r="J963" s="64"/>
      <c r="K963" s="66" t="b">
        <v>0</v>
      </c>
      <c r="L963" s="66"/>
      <c r="M963" s="67"/>
    </row>
    <row r="964" ht="22.5" customHeight="1">
      <c r="B964" s="59"/>
      <c r="C964" s="60"/>
      <c r="D964" s="61"/>
      <c r="E964" s="62" t="str">
        <f t="shared" si="25"/>
        <v/>
      </c>
      <c r="F964" s="62" t="str">
        <f t="shared" si="26"/>
        <v/>
      </c>
      <c r="G964" s="63"/>
      <c r="H964" s="60"/>
      <c r="I964" s="64"/>
      <c r="J964" s="64"/>
      <c r="K964" s="66" t="b">
        <v>0</v>
      </c>
      <c r="L964" s="66"/>
      <c r="M964" s="67"/>
    </row>
    <row r="965" ht="22.5" customHeight="1">
      <c r="B965" s="59"/>
      <c r="C965" s="60"/>
      <c r="D965" s="61"/>
      <c r="E965" s="62" t="str">
        <f t="shared" si="25"/>
        <v/>
      </c>
      <c r="F965" s="62" t="str">
        <f t="shared" si="26"/>
        <v/>
      </c>
      <c r="G965" s="63"/>
      <c r="H965" s="60"/>
      <c r="I965" s="64"/>
      <c r="J965" s="64"/>
      <c r="K965" s="66" t="b">
        <v>0</v>
      </c>
      <c r="L965" s="66"/>
      <c r="M965" s="67"/>
    </row>
    <row r="966" ht="22.5" customHeight="1">
      <c r="B966" s="59"/>
      <c r="C966" s="60"/>
      <c r="D966" s="61"/>
      <c r="E966" s="62" t="str">
        <f t="shared" si="25"/>
        <v/>
      </c>
      <c r="F966" s="62" t="str">
        <f t="shared" si="26"/>
        <v/>
      </c>
      <c r="G966" s="63"/>
      <c r="H966" s="60"/>
      <c r="I966" s="64"/>
      <c r="J966" s="64"/>
      <c r="K966" s="66" t="b">
        <v>0</v>
      </c>
      <c r="L966" s="66"/>
      <c r="M966" s="67"/>
    </row>
    <row r="967" ht="22.5" customHeight="1">
      <c r="B967" s="59"/>
      <c r="C967" s="60"/>
      <c r="D967" s="61"/>
      <c r="E967" s="62" t="str">
        <f t="shared" si="25"/>
        <v/>
      </c>
      <c r="F967" s="62" t="str">
        <f t="shared" si="26"/>
        <v/>
      </c>
      <c r="G967" s="63"/>
      <c r="H967" s="60"/>
      <c r="I967" s="64"/>
      <c r="J967" s="64"/>
      <c r="K967" s="66" t="b">
        <v>0</v>
      </c>
      <c r="L967" s="66"/>
      <c r="M967" s="67"/>
    </row>
    <row r="968" ht="22.5" customHeight="1">
      <c r="B968" s="59"/>
      <c r="C968" s="60"/>
      <c r="D968" s="61"/>
      <c r="E968" s="62" t="str">
        <f t="shared" si="25"/>
        <v/>
      </c>
      <c r="F968" s="62" t="str">
        <f t="shared" si="26"/>
        <v/>
      </c>
      <c r="G968" s="63"/>
      <c r="H968" s="60"/>
      <c r="I968" s="64"/>
      <c r="J968" s="64"/>
      <c r="K968" s="66" t="b">
        <v>0</v>
      </c>
      <c r="L968" s="66"/>
      <c r="M968" s="67"/>
    </row>
    <row r="969" ht="22.5" customHeight="1">
      <c r="B969" s="59"/>
      <c r="C969" s="60"/>
      <c r="D969" s="61"/>
      <c r="E969" s="62" t="str">
        <f t="shared" si="25"/>
        <v/>
      </c>
      <c r="F969" s="62" t="str">
        <f t="shared" si="26"/>
        <v/>
      </c>
      <c r="G969" s="63"/>
      <c r="H969" s="60"/>
      <c r="I969" s="64"/>
      <c r="J969" s="64"/>
      <c r="K969" s="66" t="b">
        <v>0</v>
      </c>
      <c r="L969" s="66"/>
      <c r="M969" s="67"/>
    </row>
    <row r="970" ht="22.5" customHeight="1">
      <c r="B970" s="59"/>
      <c r="C970" s="60"/>
      <c r="D970" s="61"/>
      <c r="E970" s="62" t="str">
        <f t="shared" si="25"/>
        <v/>
      </c>
      <c r="F970" s="62" t="str">
        <f t="shared" si="26"/>
        <v/>
      </c>
      <c r="G970" s="63"/>
      <c r="H970" s="60"/>
      <c r="I970" s="64"/>
      <c r="J970" s="64"/>
      <c r="K970" s="66" t="b">
        <v>0</v>
      </c>
      <c r="L970" s="66"/>
      <c r="M970" s="67"/>
    </row>
    <row r="971" ht="22.5" customHeight="1">
      <c r="B971" s="59"/>
      <c r="C971" s="60"/>
      <c r="D971" s="61"/>
      <c r="E971" s="62" t="str">
        <f t="shared" si="25"/>
        <v/>
      </c>
      <c r="F971" s="62" t="str">
        <f t="shared" si="26"/>
        <v/>
      </c>
      <c r="G971" s="63"/>
      <c r="H971" s="60"/>
      <c r="I971" s="64"/>
      <c r="J971" s="64"/>
      <c r="K971" s="66" t="b">
        <v>0</v>
      </c>
      <c r="L971" s="66"/>
      <c r="M971" s="67"/>
    </row>
    <row r="972" ht="22.5" customHeight="1">
      <c r="B972" s="59"/>
      <c r="C972" s="60"/>
      <c r="D972" s="61"/>
      <c r="E972" s="62" t="str">
        <f t="shared" si="25"/>
        <v/>
      </c>
      <c r="F972" s="62" t="str">
        <f t="shared" si="26"/>
        <v/>
      </c>
      <c r="G972" s="63"/>
      <c r="H972" s="60"/>
      <c r="I972" s="64"/>
      <c r="J972" s="64"/>
      <c r="K972" s="66" t="b">
        <v>0</v>
      </c>
      <c r="L972" s="66"/>
      <c r="M972" s="67"/>
    </row>
    <row r="973" ht="22.5" customHeight="1">
      <c r="B973" s="59"/>
      <c r="C973" s="60"/>
      <c r="D973" s="61"/>
      <c r="E973" s="62" t="str">
        <f t="shared" si="25"/>
        <v/>
      </c>
      <c r="F973" s="62" t="str">
        <f t="shared" si="26"/>
        <v/>
      </c>
      <c r="G973" s="63"/>
      <c r="H973" s="60"/>
      <c r="I973" s="64"/>
      <c r="J973" s="64"/>
      <c r="K973" s="66" t="b">
        <v>0</v>
      </c>
      <c r="L973" s="66"/>
      <c r="M973" s="67"/>
    </row>
    <row r="974" ht="22.5" customHeight="1">
      <c r="B974" s="59"/>
      <c r="C974" s="60"/>
      <c r="D974" s="61"/>
      <c r="E974" s="62" t="str">
        <f t="shared" si="25"/>
        <v/>
      </c>
      <c r="F974" s="62" t="str">
        <f t="shared" si="26"/>
        <v/>
      </c>
      <c r="G974" s="63"/>
      <c r="H974" s="60"/>
      <c r="I974" s="64"/>
      <c r="J974" s="64"/>
      <c r="K974" s="66" t="b">
        <v>0</v>
      </c>
      <c r="L974" s="66"/>
      <c r="M974" s="67"/>
    </row>
    <row r="975" ht="22.5" customHeight="1">
      <c r="B975" s="59"/>
      <c r="C975" s="60"/>
      <c r="D975" s="61"/>
      <c r="E975" s="62" t="str">
        <f t="shared" si="25"/>
        <v/>
      </c>
      <c r="F975" s="62" t="str">
        <f t="shared" si="26"/>
        <v/>
      </c>
      <c r="G975" s="63"/>
      <c r="H975" s="60"/>
      <c r="I975" s="64"/>
      <c r="J975" s="64"/>
      <c r="K975" s="66" t="b">
        <v>0</v>
      </c>
      <c r="L975" s="66"/>
      <c r="M975" s="67"/>
    </row>
    <row r="976" ht="22.5" customHeight="1">
      <c r="B976" s="59"/>
      <c r="C976" s="60"/>
      <c r="D976" s="61"/>
      <c r="E976" s="62" t="str">
        <f t="shared" si="25"/>
        <v/>
      </c>
      <c r="F976" s="62" t="str">
        <f t="shared" si="26"/>
        <v/>
      </c>
      <c r="G976" s="63"/>
      <c r="H976" s="60"/>
      <c r="I976" s="64"/>
      <c r="J976" s="64"/>
      <c r="K976" s="66" t="b">
        <v>0</v>
      </c>
      <c r="L976" s="66"/>
      <c r="M976" s="67"/>
    </row>
    <row r="977" ht="22.5" customHeight="1">
      <c r="B977" s="59"/>
      <c r="C977" s="60"/>
      <c r="D977" s="61"/>
      <c r="E977" s="62" t="str">
        <f t="shared" si="25"/>
        <v/>
      </c>
      <c r="F977" s="62" t="str">
        <f t="shared" si="26"/>
        <v/>
      </c>
      <c r="G977" s="63"/>
      <c r="H977" s="60"/>
      <c r="I977" s="64"/>
      <c r="J977" s="64"/>
      <c r="K977" s="66" t="b">
        <v>0</v>
      </c>
      <c r="L977" s="66"/>
      <c r="M977" s="67"/>
    </row>
    <row r="978" ht="22.5" customHeight="1">
      <c r="B978" s="59"/>
      <c r="C978" s="60"/>
      <c r="D978" s="61"/>
      <c r="E978" s="62" t="str">
        <f t="shared" si="25"/>
        <v/>
      </c>
      <c r="F978" s="62" t="str">
        <f t="shared" si="26"/>
        <v/>
      </c>
      <c r="G978" s="63"/>
      <c r="H978" s="60"/>
      <c r="I978" s="64"/>
      <c r="J978" s="64"/>
      <c r="K978" s="66" t="b">
        <v>0</v>
      </c>
      <c r="L978" s="66"/>
      <c r="M978" s="67"/>
    </row>
    <row r="979" ht="22.5" customHeight="1">
      <c r="B979" s="59"/>
      <c r="C979" s="60"/>
      <c r="D979" s="61"/>
      <c r="E979" s="62" t="str">
        <f t="shared" si="25"/>
        <v/>
      </c>
      <c r="F979" s="62" t="str">
        <f t="shared" si="26"/>
        <v/>
      </c>
      <c r="G979" s="63"/>
      <c r="H979" s="60"/>
      <c r="I979" s="64"/>
      <c r="J979" s="64"/>
      <c r="K979" s="66" t="b">
        <v>0</v>
      </c>
      <c r="L979" s="66"/>
      <c r="M979" s="67"/>
    </row>
    <row r="980" ht="22.5" customHeight="1">
      <c r="B980" s="59"/>
      <c r="C980" s="60"/>
      <c r="D980" s="61"/>
      <c r="E980" s="62" t="str">
        <f t="shared" si="25"/>
        <v/>
      </c>
      <c r="F980" s="62" t="str">
        <f t="shared" si="26"/>
        <v/>
      </c>
      <c r="G980" s="63"/>
      <c r="H980" s="60"/>
      <c r="I980" s="64"/>
      <c r="J980" s="64"/>
      <c r="K980" s="66" t="b">
        <v>0</v>
      </c>
      <c r="L980" s="66"/>
      <c r="M980" s="67"/>
    </row>
    <row r="981" ht="22.5" customHeight="1">
      <c r="B981" s="59"/>
      <c r="C981" s="60"/>
      <c r="D981" s="61"/>
      <c r="E981" s="62" t="str">
        <f t="shared" si="25"/>
        <v/>
      </c>
      <c r="F981" s="62" t="str">
        <f t="shared" si="26"/>
        <v/>
      </c>
      <c r="G981" s="63"/>
      <c r="H981" s="60"/>
      <c r="I981" s="64"/>
      <c r="J981" s="64"/>
      <c r="K981" s="66" t="b">
        <v>0</v>
      </c>
      <c r="L981" s="66"/>
      <c r="M981" s="67"/>
    </row>
    <row r="982" ht="22.5" customHeight="1">
      <c r="B982" s="59"/>
      <c r="C982" s="60"/>
      <c r="D982" s="61"/>
      <c r="E982" s="62" t="str">
        <f t="shared" si="25"/>
        <v/>
      </c>
      <c r="F982" s="62" t="str">
        <f t="shared" si="26"/>
        <v/>
      </c>
      <c r="G982" s="63"/>
      <c r="H982" s="60"/>
      <c r="I982" s="64"/>
      <c r="J982" s="64"/>
      <c r="K982" s="66" t="b">
        <v>0</v>
      </c>
      <c r="L982" s="66"/>
      <c r="M982" s="67"/>
    </row>
    <row r="983" ht="22.5" customHeight="1">
      <c r="B983" s="59"/>
      <c r="C983" s="60"/>
      <c r="D983" s="61"/>
      <c r="E983" s="62" t="str">
        <f t="shared" si="25"/>
        <v/>
      </c>
      <c r="F983" s="62" t="str">
        <f t="shared" si="26"/>
        <v/>
      </c>
      <c r="G983" s="63"/>
      <c r="H983" s="60"/>
      <c r="I983" s="64"/>
      <c r="J983" s="64"/>
      <c r="K983" s="66" t="b">
        <v>0</v>
      </c>
      <c r="L983" s="66"/>
      <c r="M983" s="67"/>
    </row>
    <row r="984" ht="22.5" customHeight="1">
      <c r="B984" s="59"/>
      <c r="C984" s="60"/>
      <c r="D984" s="61"/>
      <c r="E984" s="62" t="str">
        <f t="shared" si="25"/>
        <v/>
      </c>
      <c r="F984" s="62" t="str">
        <f t="shared" si="26"/>
        <v/>
      </c>
      <c r="G984" s="63"/>
      <c r="H984" s="60"/>
      <c r="I984" s="64"/>
      <c r="J984" s="64"/>
      <c r="K984" s="66" t="b">
        <v>0</v>
      </c>
      <c r="L984" s="66"/>
      <c r="M984" s="67"/>
    </row>
    <row r="985" ht="22.5" customHeight="1">
      <c r="B985" s="59"/>
      <c r="C985" s="60"/>
      <c r="D985" s="61"/>
      <c r="E985" s="62" t="str">
        <f t="shared" si="25"/>
        <v/>
      </c>
      <c r="F985" s="62" t="str">
        <f t="shared" si="26"/>
        <v/>
      </c>
      <c r="G985" s="63"/>
      <c r="H985" s="60"/>
      <c r="I985" s="64"/>
      <c r="J985" s="64"/>
      <c r="K985" s="66" t="b">
        <v>0</v>
      </c>
      <c r="L985" s="66"/>
      <c r="M985" s="67"/>
    </row>
    <row r="986" ht="22.5" customHeight="1">
      <c r="B986" s="59"/>
      <c r="C986" s="60"/>
      <c r="D986" s="61"/>
      <c r="E986" s="62" t="str">
        <f t="shared" si="25"/>
        <v/>
      </c>
      <c r="F986" s="62" t="str">
        <f t="shared" si="26"/>
        <v/>
      </c>
      <c r="G986" s="63"/>
      <c r="H986" s="60"/>
      <c r="I986" s="64"/>
      <c r="J986" s="64"/>
      <c r="K986" s="66" t="b">
        <v>0</v>
      </c>
      <c r="L986" s="66"/>
      <c r="M986" s="67"/>
    </row>
    <row r="987" ht="22.5" customHeight="1">
      <c r="B987" s="59"/>
      <c r="C987" s="60"/>
      <c r="D987" s="61"/>
      <c r="E987" s="62" t="str">
        <f t="shared" si="25"/>
        <v/>
      </c>
      <c r="F987" s="62" t="str">
        <f t="shared" si="26"/>
        <v/>
      </c>
      <c r="G987" s="63"/>
      <c r="H987" s="60"/>
      <c r="I987" s="64"/>
      <c r="J987" s="64"/>
      <c r="K987" s="66" t="b">
        <v>0</v>
      </c>
      <c r="L987" s="66"/>
      <c r="M987" s="67"/>
    </row>
    <row r="988" ht="22.5" customHeight="1">
      <c r="B988" s="59"/>
      <c r="C988" s="60"/>
      <c r="D988" s="61"/>
      <c r="E988" s="62" t="str">
        <f t="shared" si="25"/>
        <v/>
      </c>
      <c r="F988" s="62" t="str">
        <f t="shared" si="26"/>
        <v/>
      </c>
      <c r="G988" s="63"/>
      <c r="H988" s="60"/>
      <c r="I988" s="64"/>
      <c r="J988" s="64"/>
      <c r="K988" s="66" t="b">
        <v>0</v>
      </c>
      <c r="L988" s="66"/>
      <c r="M988" s="67"/>
    </row>
    <row r="989" ht="22.5" customHeight="1">
      <c r="B989" s="59"/>
      <c r="C989" s="60"/>
      <c r="D989" s="61"/>
      <c r="E989" s="62" t="str">
        <f t="shared" si="25"/>
        <v/>
      </c>
      <c r="F989" s="62" t="str">
        <f t="shared" si="26"/>
        <v/>
      </c>
      <c r="G989" s="63"/>
      <c r="H989" s="60"/>
      <c r="I989" s="64"/>
      <c r="J989" s="64"/>
      <c r="K989" s="66" t="b">
        <v>0</v>
      </c>
      <c r="L989" s="66"/>
      <c r="M989" s="67"/>
    </row>
    <row r="990" ht="22.5" customHeight="1">
      <c r="B990" s="59"/>
      <c r="C990" s="60"/>
      <c r="D990" s="61"/>
      <c r="E990" s="62" t="str">
        <f t="shared" si="25"/>
        <v/>
      </c>
      <c r="F990" s="62" t="str">
        <f t="shared" si="26"/>
        <v/>
      </c>
      <c r="G990" s="63"/>
      <c r="H990" s="60"/>
      <c r="I990" s="64"/>
      <c r="J990" s="64"/>
      <c r="K990" s="66" t="b">
        <v>0</v>
      </c>
      <c r="L990" s="66"/>
      <c r="M990" s="67"/>
    </row>
    <row r="991" ht="22.5" customHeight="1">
      <c r="B991" s="59"/>
      <c r="C991" s="60"/>
      <c r="D991" s="61"/>
      <c r="E991" s="62" t="str">
        <f t="shared" si="25"/>
        <v/>
      </c>
      <c r="F991" s="62" t="str">
        <f t="shared" si="26"/>
        <v/>
      </c>
      <c r="G991" s="63"/>
      <c r="H991" s="60"/>
      <c r="I991" s="64"/>
      <c r="J991" s="64"/>
      <c r="K991" s="66" t="b">
        <v>0</v>
      </c>
      <c r="L991" s="66"/>
      <c r="M991" s="67"/>
    </row>
    <row r="992" ht="22.5" customHeight="1">
      <c r="B992" s="59"/>
      <c r="C992" s="60"/>
      <c r="D992" s="61"/>
      <c r="E992" s="62" t="str">
        <f t="shared" si="25"/>
        <v/>
      </c>
      <c r="F992" s="62" t="str">
        <f t="shared" si="26"/>
        <v/>
      </c>
      <c r="G992" s="63"/>
      <c r="H992" s="60"/>
      <c r="I992" s="64"/>
      <c r="J992" s="64"/>
      <c r="K992" s="66" t="b">
        <v>0</v>
      </c>
      <c r="L992" s="66"/>
      <c r="M992" s="67"/>
    </row>
    <row r="993" ht="22.5" customHeight="1">
      <c r="B993" s="59"/>
      <c r="C993" s="60"/>
      <c r="D993" s="61"/>
      <c r="E993" s="62" t="str">
        <f t="shared" si="25"/>
        <v/>
      </c>
      <c r="F993" s="62" t="str">
        <f t="shared" si="26"/>
        <v/>
      </c>
      <c r="G993" s="63"/>
      <c r="H993" s="60"/>
      <c r="I993" s="64"/>
      <c r="J993" s="64"/>
      <c r="K993" s="66" t="b">
        <v>0</v>
      </c>
      <c r="L993" s="66"/>
      <c r="M993" s="67"/>
    </row>
    <row r="994" ht="22.5" customHeight="1">
      <c r="B994" s="59"/>
      <c r="C994" s="60"/>
      <c r="D994" s="61"/>
      <c r="E994" s="62" t="str">
        <f t="shared" si="25"/>
        <v/>
      </c>
      <c r="F994" s="62" t="str">
        <f t="shared" si="26"/>
        <v/>
      </c>
      <c r="G994" s="63"/>
      <c r="H994" s="60"/>
      <c r="I994" s="64"/>
      <c r="J994" s="64"/>
      <c r="K994" s="66" t="b">
        <v>0</v>
      </c>
      <c r="L994" s="66"/>
      <c r="M994" s="67"/>
    </row>
    <row r="995" ht="22.5" customHeight="1">
      <c r="B995" s="59"/>
      <c r="C995" s="60"/>
      <c r="D995" s="61"/>
      <c r="E995" s="62" t="str">
        <f t="shared" si="25"/>
        <v/>
      </c>
      <c r="F995" s="62" t="str">
        <f t="shared" si="26"/>
        <v/>
      </c>
      <c r="G995" s="63"/>
      <c r="H995" s="60"/>
      <c r="I995" s="64"/>
      <c r="J995" s="64"/>
      <c r="K995" s="66" t="b">
        <v>0</v>
      </c>
      <c r="L995" s="66"/>
      <c r="M995" s="67"/>
    </row>
    <row r="996" ht="22.5" customHeight="1">
      <c r="B996" s="59"/>
      <c r="C996" s="60"/>
      <c r="D996" s="61"/>
      <c r="E996" s="62" t="str">
        <f t="shared" si="25"/>
        <v/>
      </c>
      <c r="F996" s="62" t="str">
        <f t="shared" si="26"/>
        <v/>
      </c>
      <c r="G996" s="63"/>
      <c r="H996" s="60"/>
      <c r="I996" s="64"/>
      <c r="J996" s="64"/>
      <c r="K996" s="66" t="b">
        <v>0</v>
      </c>
      <c r="L996" s="66"/>
      <c r="M996" s="67"/>
    </row>
    <row r="997" ht="22.5" customHeight="1">
      <c r="B997" s="59"/>
      <c r="C997" s="60"/>
      <c r="D997" s="61"/>
      <c r="E997" s="62" t="str">
        <f t="shared" si="25"/>
        <v/>
      </c>
      <c r="F997" s="62" t="str">
        <f t="shared" si="26"/>
        <v/>
      </c>
      <c r="G997" s="63"/>
      <c r="H997" s="60"/>
      <c r="I997" s="64"/>
      <c r="J997" s="64"/>
      <c r="K997" s="66" t="b">
        <v>0</v>
      </c>
      <c r="L997" s="66"/>
      <c r="M997" s="67"/>
    </row>
    <row r="998" ht="22.5" customHeight="1">
      <c r="B998" s="59"/>
      <c r="C998" s="60"/>
      <c r="D998" s="61"/>
      <c r="E998" s="62" t="str">
        <f t="shared" si="25"/>
        <v/>
      </c>
      <c r="F998" s="62" t="str">
        <f t="shared" si="26"/>
        <v/>
      </c>
      <c r="G998" s="63"/>
      <c r="H998" s="60"/>
      <c r="I998" s="64"/>
      <c r="J998" s="64"/>
      <c r="K998" s="66" t="b">
        <v>0</v>
      </c>
      <c r="L998" s="66"/>
      <c r="M998" s="67"/>
    </row>
    <row r="999" ht="22.5" customHeight="1">
      <c r="B999" s="59"/>
      <c r="C999" s="60"/>
      <c r="D999" s="61"/>
      <c r="E999" s="62" t="str">
        <f t="shared" si="25"/>
        <v/>
      </c>
      <c r="F999" s="62" t="str">
        <f t="shared" si="26"/>
        <v/>
      </c>
      <c r="G999" s="63"/>
      <c r="H999" s="60"/>
      <c r="I999" s="64"/>
      <c r="J999" s="64"/>
      <c r="K999" s="66" t="b">
        <v>0</v>
      </c>
      <c r="L999" s="66"/>
      <c r="M999" s="67"/>
    </row>
    <row r="1000" ht="22.5" customHeight="1">
      <c r="B1000" s="59"/>
      <c r="C1000" s="60"/>
      <c r="D1000" s="61"/>
      <c r="E1000" s="62" t="str">
        <f t="shared" si="25"/>
        <v/>
      </c>
      <c r="F1000" s="62" t="str">
        <f t="shared" si="26"/>
        <v/>
      </c>
      <c r="G1000" s="63"/>
      <c r="H1000" s="60"/>
      <c r="I1000" s="64"/>
      <c r="J1000" s="64"/>
      <c r="K1000" s="66" t="b">
        <v>0</v>
      </c>
      <c r="L1000" s="66"/>
      <c r="M1000" s="67"/>
    </row>
    <row r="1001" ht="22.5" customHeight="1">
      <c r="B1001" s="59"/>
      <c r="C1001" s="60"/>
      <c r="D1001" s="61"/>
      <c r="E1001" s="62" t="str">
        <f t="shared" si="25"/>
        <v/>
      </c>
      <c r="F1001" s="62" t="str">
        <f t="shared" si="26"/>
        <v/>
      </c>
      <c r="G1001" s="63"/>
      <c r="H1001" s="60"/>
      <c r="I1001" s="64"/>
      <c r="J1001" s="64"/>
      <c r="K1001" s="66" t="b">
        <v>0</v>
      </c>
      <c r="L1001" s="66"/>
      <c r="M1001" s="67"/>
    </row>
    <row r="1002" ht="22.5" customHeight="1">
      <c r="B1002" s="59"/>
      <c r="C1002" s="60"/>
      <c r="D1002" s="61"/>
      <c r="E1002" s="62" t="str">
        <f t="shared" si="25"/>
        <v/>
      </c>
      <c r="F1002" s="62" t="str">
        <f t="shared" si="26"/>
        <v/>
      </c>
      <c r="G1002" s="63"/>
      <c r="H1002" s="60"/>
      <c r="I1002" s="64"/>
      <c r="J1002" s="64"/>
      <c r="K1002" s="66" t="b">
        <v>0</v>
      </c>
      <c r="L1002" s="66"/>
      <c r="M1002" s="67"/>
    </row>
    <row r="1003" ht="22.5" customHeight="1">
      <c r="B1003" s="59"/>
      <c r="C1003" s="60"/>
      <c r="D1003" s="61"/>
      <c r="E1003" s="62" t="str">
        <f t="shared" si="25"/>
        <v/>
      </c>
      <c r="F1003" s="62" t="str">
        <f t="shared" si="26"/>
        <v/>
      </c>
      <c r="G1003" s="63"/>
      <c r="H1003" s="60"/>
      <c r="I1003" s="64"/>
      <c r="J1003" s="64"/>
      <c r="K1003" s="66" t="b">
        <v>0</v>
      </c>
      <c r="L1003" s="66"/>
      <c r="M1003" s="67"/>
    </row>
    <row r="1004" ht="22.5" customHeight="1">
      <c r="B1004" s="59"/>
      <c r="C1004" s="60"/>
      <c r="D1004" s="61"/>
      <c r="E1004" s="62" t="str">
        <f t="shared" si="25"/>
        <v/>
      </c>
      <c r="F1004" s="62" t="str">
        <f t="shared" si="26"/>
        <v/>
      </c>
      <c r="G1004" s="63"/>
      <c r="H1004" s="60"/>
      <c r="I1004" s="64"/>
      <c r="J1004" s="64"/>
      <c r="K1004" s="66" t="b">
        <v>0</v>
      </c>
      <c r="L1004" s="66"/>
      <c r="M1004" s="67"/>
    </row>
    <row r="1005" ht="22.5" customHeight="1">
      <c r="B1005" s="59"/>
      <c r="C1005" s="60"/>
      <c r="D1005" s="61"/>
      <c r="E1005" s="62" t="str">
        <f t="shared" si="25"/>
        <v/>
      </c>
      <c r="F1005" s="62" t="str">
        <f t="shared" si="26"/>
        <v/>
      </c>
      <c r="G1005" s="63"/>
      <c r="H1005" s="60"/>
      <c r="I1005" s="64"/>
      <c r="J1005" s="64"/>
      <c r="K1005" s="66" t="b">
        <v>0</v>
      </c>
      <c r="L1005" s="66"/>
      <c r="M1005" s="67"/>
    </row>
    <row r="1006" ht="22.5" customHeight="1">
      <c r="B1006" s="59"/>
      <c r="C1006" s="60"/>
      <c r="D1006" s="61"/>
      <c r="E1006" s="62" t="str">
        <f t="shared" si="25"/>
        <v/>
      </c>
      <c r="F1006" s="62" t="str">
        <f t="shared" si="26"/>
        <v/>
      </c>
      <c r="G1006" s="63"/>
      <c r="H1006" s="60"/>
      <c r="I1006" s="64"/>
      <c r="J1006" s="64"/>
      <c r="K1006" s="66" t="b">
        <v>0</v>
      </c>
      <c r="L1006" s="66"/>
      <c r="M1006" s="67"/>
    </row>
    <row r="1007" ht="22.5" customHeight="1">
      <c r="B1007" s="59"/>
      <c r="C1007" s="60"/>
      <c r="D1007" s="61"/>
      <c r="E1007" s="62" t="str">
        <f t="shared" si="25"/>
        <v/>
      </c>
      <c r="F1007" s="62" t="str">
        <f t="shared" si="26"/>
        <v/>
      </c>
      <c r="G1007" s="63"/>
      <c r="H1007" s="60"/>
      <c r="I1007" s="64"/>
      <c r="J1007" s="64"/>
      <c r="K1007" s="66" t="b">
        <v>0</v>
      </c>
      <c r="L1007" s="66"/>
      <c r="M1007" s="67"/>
    </row>
    <row r="1008" ht="22.5" customHeight="1">
      <c r="B1008" s="59"/>
      <c r="C1008" s="60"/>
      <c r="D1008" s="61"/>
      <c r="E1008" s="62" t="str">
        <f t="shared" si="25"/>
        <v/>
      </c>
      <c r="F1008" s="62" t="str">
        <f t="shared" si="26"/>
        <v/>
      </c>
      <c r="G1008" s="63"/>
      <c r="H1008" s="60"/>
      <c r="I1008" s="64"/>
      <c r="J1008" s="64"/>
      <c r="K1008" s="66" t="b">
        <v>0</v>
      </c>
      <c r="L1008" s="66"/>
      <c r="M1008" s="67"/>
    </row>
    <row r="1009" ht="22.5" customHeight="1">
      <c r="B1009" s="59"/>
      <c r="C1009" s="60"/>
      <c r="D1009" s="61"/>
      <c r="E1009" s="62" t="str">
        <f t="shared" si="25"/>
        <v/>
      </c>
      <c r="F1009" s="62" t="str">
        <f t="shared" si="26"/>
        <v/>
      </c>
      <c r="G1009" s="63"/>
      <c r="H1009" s="60"/>
      <c r="I1009" s="64"/>
      <c r="J1009" s="64"/>
      <c r="K1009" s="66" t="b">
        <v>0</v>
      </c>
      <c r="L1009" s="66"/>
      <c r="M1009" s="67"/>
    </row>
    <row r="1010" ht="22.5" customHeight="1">
      <c r="B1010" s="59"/>
      <c r="C1010" s="60"/>
      <c r="D1010" s="61"/>
      <c r="E1010" s="62" t="str">
        <f t="shared" si="25"/>
        <v/>
      </c>
      <c r="F1010" s="62" t="str">
        <f t="shared" si="26"/>
        <v/>
      </c>
      <c r="G1010" s="63"/>
      <c r="H1010" s="60"/>
      <c r="I1010" s="64"/>
      <c r="J1010" s="64"/>
      <c r="K1010" s="66" t="b">
        <v>0</v>
      </c>
      <c r="L1010" s="66"/>
      <c r="M1010" s="67"/>
    </row>
    <row r="1011" ht="22.5" customHeight="1">
      <c r="B1011" s="59"/>
      <c r="C1011" s="60"/>
      <c r="D1011" s="61"/>
      <c r="E1011" s="62" t="str">
        <f t="shared" si="25"/>
        <v/>
      </c>
      <c r="F1011" s="62" t="str">
        <f t="shared" si="26"/>
        <v/>
      </c>
      <c r="G1011" s="63"/>
      <c r="H1011" s="60"/>
      <c r="I1011" s="64"/>
      <c r="J1011" s="64"/>
      <c r="K1011" s="66" t="b">
        <v>0</v>
      </c>
      <c r="L1011" s="66"/>
      <c r="M1011" s="67"/>
    </row>
    <row r="1012" ht="22.5" customHeight="1">
      <c r="B1012" s="59"/>
      <c r="C1012" s="60"/>
      <c r="D1012" s="61"/>
      <c r="E1012" s="62" t="str">
        <f t="shared" si="25"/>
        <v/>
      </c>
      <c r="F1012" s="62" t="str">
        <f t="shared" si="26"/>
        <v/>
      </c>
      <c r="G1012" s="63"/>
      <c r="H1012" s="60"/>
      <c r="I1012" s="64"/>
      <c r="J1012" s="64"/>
      <c r="K1012" s="66" t="b">
        <v>0</v>
      </c>
      <c r="L1012" s="66"/>
      <c r="M1012" s="67"/>
    </row>
    <row r="1013" ht="22.5" customHeight="1">
      <c r="B1013" s="59"/>
      <c r="C1013" s="60"/>
      <c r="D1013" s="61"/>
      <c r="E1013" s="62" t="str">
        <f t="shared" si="25"/>
        <v/>
      </c>
      <c r="F1013" s="62" t="str">
        <f t="shared" si="26"/>
        <v/>
      </c>
      <c r="G1013" s="63"/>
      <c r="H1013" s="60"/>
      <c r="I1013" s="64"/>
      <c r="J1013" s="64"/>
      <c r="K1013" s="66" t="b">
        <v>0</v>
      </c>
      <c r="L1013" s="66"/>
      <c r="M1013" s="67"/>
    </row>
    <row r="1014" ht="22.5" customHeight="1">
      <c r="B1014" s="59"/>
      <c r="C1014" s="60"/>
      <c r="D1014" s="61"/>
      <c r="E1014" s="62" t="str">
        <f t="shared" si="25"/>
        <v/>
      </c>
      <c r="F1014" s="62" t="str">
        <f t="shared" si="26"/>
        <v/>
      </c>
      <c r="G1014" s="63"/>
      <c r="H1014" s="60"/>
      <c r="I1014" s="64"/>
      <c r="J1014" s="64"/>
      <c r="K1014" s="66" t="b">
        <v>0</v>
      </c>
      <c r="L1014" s="66"/>
      <c r="M1014" s="67"/>
    </row>
    <row r="1015" ht="22.5" customHeight="1">
      <c r="B1015" s="59"/>
      <c r="C1015" s="60"/>
      <c r="D1015" s="61"/>
      <c r="E1015" s="62" t="str">
        <f t="shared" si="25"/>
        <v/>
      </c>
      <c r="F1015" s="62" t="str">
        <f t="shared" si="26"/>
        <v/>
      </c>
      <c r="G1015" s="63"/>
      <c r="H1015" s="60"/>
      <c r="I1015" s="64"/>
      <c r="J1015" s="64"/>
      <c r="K1015" s="66" t="b">
        <v>0</v>
      </c>
      <c r="L1015" s="66"/>
      <c r="M1015" s="67"/>
    </row>
    <row r="1016" ht="22.5" customHeight="1">
      <c r="B1016" s="59"/>
      <c r="C1016" s="60"/>
      <c r="D1016" s="61"/>
      <c r="E1016" s="62" t="str">
        <f t="shared" si="25"/>
        <v/>
      </c>
      <c r="F1016" s="62" t="str">
        <f t="shared" si="26"/>
        <v/>
      </c>
      <c r="G1016" s="63"/>
      <c r="H1016" s="60"/>
      <c r="I1016" s="64"/>
      <c r="J1016" s="64"/>
      <c r="K1016" s="66" t="b">
        <v>0</v>
      </c>
      <c r="L1016" s="66"/>
      <c r="M1016" s="67"/>
    </row>
    <row r="1017" ht="22.5" customHeight="1">
      <c r="B1017" s="59"/>
      <c r="C1017" s="60"/>
      <c r="D1017" s="61"/>
      <c r="E1017" s="62" t="str">
        <f t="shared" si="25"/>
        <v/>
      </c>
      <c r="F1017" s="62" t="str">
        <f t="shared" si="26"/>
        <v/>
      </c>
      <c r="G1017" s="63"/>
      <c r="H1017" s="60"/>
      <c r="I1017" s="64"/>
      <c r="J1017" s="64"/>
      <c r="K1017" s="66" t="b">
        <v>0</v>
      </c>
      <c r="L1017" s="66"/>
      <c r="M1017" s="67"/>
    </row>
    <row r="1018" ht="22.5" customHeight="1">
      <c r="B1018" s="59"/>
      <c r="C1018" s="60"/>
      <c r="D1018" s="61"/>
      <c r="E1018" s="62" t="str">
        <f t="shared" si="25"/>
        <v/>
      </c>
      <c r="F1018" s="62" t="str">
        <f t="shared" si="26"/>
        <v/>
      </c>
      <c r="G1018" s="63"/>
      <c r="H1018" s="60"/>
      <c r="I1018" s="64"/>
      <c r="J1018" s="64"/>
      <c r="K1018" s="66" t="b">
        <v>0</v>
      </c>
      <c r="L1018" s="66"/>
      <c r="M1018" s="67"/>
    </row>
    <row r="1019" ht="22.5" customHeight="1">
      <c r="B1019" s="59"/>
      <c r="C1019" s="60"/>
      <c r="D1019" s="61"/>
      <c r="E1019" s="62" t="str">
        <f t="shared" si="25"/>
        <v/>
      </c>
      <c r="F1019" s="62" t="str">
        <f t="shared" si="26"/>
        <v/>
      </c>
      <c r="G1019" s="63"/>
      <c r="H1019" s="60"/>
      <c r="I1019" s="64"/>
      <c r="J1019" s="64"/>
      <c r="K1019" s="66" t="b">
        <v>0</v>
      </c>
      <c r="L1019" s="66"/>
      <c r="M1019" s="67"/>
    </row>
    <row r="1020" ht="22.5" customHeight="1">
      <c r="B1020" s="59"/>
      <c r="C1020" s="60"/>
      <c r="D1020" s="61"/>
      <c r="E1020" s="62" t="str">
        <f t="shared" si="25"/>
        <v/>
      </c>
      <c r="F1020" s="62" t="str">
        <f t="shared" si="26"/>
        <v/>
      </c>
      <c r="G1020" s="63"/>
      <c r="H1020" s="60"/>
      <c r="I1020" s="64"/>
      <c r="J1020" s="64"/>
      <c r="K1020" s="66" t="b">
        <v>0</v>
      </c>
      <c r="L1020" s="66"/>
      <c r="M1020" s="67"/>
    </row>
    <row r="1021" ht="22.5" customHeight="1">
      <c r="B1021" s="59"/>
      <c r="C1021" s="60"/>
      <c r="D1021" s="61"/>
      <c r="E1021" s="62" t="str">
        <f t="shared" si="25"/>
        <v/>
      </c>
      <c r="F1021" s="62" t="str">
        <f t="shared" si="26"/>
        <v/>
      </c>
      <c r="G1021" s="63"/>
      <c r="H1021" s="60"/>
      <c r="I1021" s="64"/>
      <c r="J1021" s="64"/>
      <c r="K1021" s="66" t="b">
        <v>0</v>
      </c>
      <c r="L1021" s="66"/>
      <c r="M1021" s="67"/>
    </row>
    <row r="1022" ht="22.5" customHeight="1">
      <c r="B1022" s="59"/>
      <c r="C1022" s="60"/>
      <c r="D1022" s="61"/>
      <c r="E1022" s="62" t="str">
        <f t="shared" si="25"/>
        <v/>
      </c>
      <c r="F1022" s="62" t="str">
        <f t="shared" si="26"/>
        <v/>
      </c>
      <c r="G1022" s="63"/>
      <c r="H1022" s="60"/>
      <c r="I1022" s="64"/>
      <c r="J1022" s="64"/>
      <c r="K1022" s="66" t="b">
        <v>0</v>
      </c>
      <c r="L1022" s="66"/>
      <c r="M1022" s="67"/>
    </row>
    <row r="1023" ht="22.5" customHeight="1">
      <c r="B1023" s="59"/>
      <c r="C1023" s="60"/>
      <c r="D1023" s="61"/>
      <c r="E1023" s="62" t="str">
        <f t="shared" si="25"/>
        <v/>
      </c>
      <c r="F1023" s="62" t="str">
        <f t="shared" si="26"/>
        <v/>
      </c>
      <c r="G1023" s="63"/>
      <c r="H1023" s="60"/>
      <c r="I1023" s="64"/>
      <c r="J1023" s="64"/>
      <c r="K1023" s="66" t="b">
        <v>0</v>
      </c>
      <c r="L1023" s="66"/>
      <c r="M1023" s="67"/>
    </row>
    <row r="1024" ht="22.5" customHeight="1">
      <c r="B1024" s="59"/>
      <c r="C1024" s="60"/>
      <c r="D1024" s="61"/>
      <c r="E1024" s="62" t="str">
        <f t="shared" si="25"/>
        <v/>
      </c>
      <c r="F1024" s="62" t="str">
        <f t="shared" si="26"/>
        <v/>
      </c>
      <c r="G1024" s="63"/>
      <c r="H1024" s="60"/>
      <c r="I1024" s="64"/>
      <c r="J1024" s="64"/>
      <c r="K1024" s="66" t="b">
        <v>0</v>
      </c>
      <c r="L1024" s="66"/>
      <c r="M1024" s="67"/>
    </row>
    <row r="1025" ht="22.5" customHeight="1">
      <c r="B1025" s="59"/>
      <c r="C1025" s="60"/>
      <c r="D1025" s="61"/>
      <c r="E1025" s="62" t="str">
        <f t="shared" si="25"/>
        <v/>
      </c>
      <c r="F1025" s="62" t="str">
        <f t="shared" si="26"/>
        <v/>
      </c>
      <c r="G1025" s="63"/>
      <c r="H1025" s="60"/>
      <c r="I1025" s="64"/>
      <c r="J1025" s="64"/>
      <c r="K1025" s="66" t="b">
        <v>0</v>
      </c>
      <c r="L1025" s="66"/>
      <c r="M1025" s="67"/>
    </row>
    <row r="1026" ht="22.5" customHeight="1">
      <c r="B1026" s="59"/>
      <c r="C1026" s="60"/>
      <c r="D1026" s="61"/>
      <c r="E1026" s="62" t="str">
        <f t="shared" si="25"/>
        <v/>
      </c>
      <c r="F1026" s="62" t="str">
        <f t="shared" si="26"/>
        <v/>
      </c>
      <c r="G1026" s="63"/>
      <c r="H1026" s="60"/>
      <c r="I1026" s="64"/>
      <c r="J1026" s="64"/>
      <c r="K1026" s="66" t="b">
        <v>0</v>
      </c>
      <c r="L1026" s="66"/>
      <c r="M1026" s="67"/>
    </row>
    <row r="1027" ht="22.5" customHeight="1">
      <c r="B1027" s="59"/>
      <c r="C1027" s="60"/>
      <c r="D1027" s="61"/>
      <c r="E1027" s="62" t="str">
        <f t="shared" si="25"/>
        <v/>
      </c>
      <c r="F1027" s="62" t="str">
        <f t="shared" si="26"/>
        <v/>
      </c>
      <c r="G1027" s="63"/>
      <c r="H1027" s="60"/>
      <c r="I1027" s="64"/>
      <c r="J1027" s="64"/>
      <c r="K1027" s="66" t="b">
        <v>0</v>
      </c>
      <c r="L1027" s="66"/>
      <c r="M1027" s="67"/>
    </row>
    <row r="1028" ht="22.5" customHeight="1">
      <c r="B1028" s="59"/>
      <c r="C1028" s="60"/>
      <c r="D1028" s="61"/>
      <c r="E1028" s="62" t="str">
        <f t="shared" si="25"/>
        <v/>
      </c>
      <c r="F1028" s="62" t="str">
        <f t="shared" si="26"/>
        <v/>
      </c>
      <c r="G1028" s="63"/>
      <c r="H1028" s="60"/>
      <c r="I1028" s="64"/>
      <c r="J1028" s="64"/>
      <c r="K1028" s="66" t="b">
        <v>0</v>
      </c>
      <c r="L1028" s="66"/>
      <c r="M1028" s="67"/>
    </row>
    <row r="1029" ht="22.5" customHeight="1">
      <c r="B1029" s="59"/>
      <c r="C1029" s="60"/>
      <c r="D1029" s="61"/>
      <c r="E1029" s="62" t="str">
        <f t="shared" si="25"/>
        <v/>
      </c>
      <c r="F1029" s="62" t="str">
        <f t="shared" si="26"/>
        <v/>
      </c>
      <c r="G1029" s="63"/>
      <c r="H1029" s="60"/>
      <c r="I1029" s="64"/>
      <c r="J1029" s="64"/>
      <c r="K1029" s="66" t="b">
        <v>0</v>
      </c>
      <c r="L1029" s="66"/>
      <c r="M1029" s="67"/>
    </row>
    <row r="1030" ht="22.5" customHeight="1">
      <c r="B1030" s="59"/>
      <c r="C1030" s="60"/>
      <c r="D1030" s="61"/>
      <c r="E1030" s="62" t="str">
        <f t="shared" si="25"/>
        <v/>
      </c>
      <c r="F1030" s="62" t="str">
        <f t="shared" si="26"/>
        <v/>
      </c>
      <c r="G1030" s="63"/>
      <c r="H1030" s="60"/>
      <c r="I1030" s="64"/>
      <c r="J1030" s="64"/>
      <c r="K1030" s="66" t="b">
        <v>0</v>
      </c>
      <c r="L1030" s="66"/>
      <c r="M1030" s="67"/>
    </row>
    <row r="1031" ht="22.5" customHeight="1">
      <c r="B1031" s="59"/>
      <c r="C1031" s="60"/>
      <c r="D1031" s="61"/>
      <c r="E1031" s="62" t="str">
        <f t="shared" si="25"/>
        <v/>
      </c>
      <c r="F1031" s="62" t="str">
        <f t="shared" si="26"/>
        <v/>
      </c>
      <c r="G1031" s="63"/>
      <c r="H1031" s="60"/>
      <c r="I1031" s="64"/>
      <c r="J1031" s="64"/>
      <c r="K1031" s="66" t="b">
        <v>0</v>
      </c>
      <c r="L1031" s="66"/>
      <c r="M1031" s="67"/>
    </row>
    <row r="1032" ht="22.5" customHeight="1">
      <c r="B1032" s="59"/>
      <c r="C1032" s="60"/>
      <c r="D1032" s="61"/>
      <c r="E1032" s="62" t="str">
        <f t="shared" si="25"/>
        <v/>
      </c>
      <c r="F1032" s="62" t="str">
        <f t="shared" si="26"/>
        <v/>
      </c>
      <c r="G1032" s="63"/>
      <c r="H1032" s="60"/>
      <c r="I1032" s="64"/>
      <c r="J1032" s="64"/>
      <c r="K1032" s="66" t="b">
        <v>0</v>
      </c>
      <c r="L1032" s="66"/>
      <c r="M1032" s="67"/>
    </row>
    <row r="1033" ht="22.5" customHeight="1">
      <c r="B1033" s="59"/>
      <c r="C1033" s="60"/>
      <c r="D1033" s="61"/>
      <c r="E1033" s="62" t="str">
        <f t="shared" si="25"/>
        <v/>
      </c>
      <c r="F1033" s="62" t="str">
        <f t="shared" si="26"/>
        <v/>
      </c>
      <c r="G1033" s="63"/>
      <c r="H1033" s="60"/>
      <c r="I1033" s="64"/>
      <c r="J1033" s="64"/>
      <c r="K1033" s="66" t="b">
        <v>0</v>
      </c>
      <c r="L1033" s="66"/>
      <c r="M1033" s="67"/>
    </row>
    <row r="1034" ht="22.5" customHeight="1">
      <c r="B1034" s="59"/>
      <c r="C1034" s="60"/>
      <c r="D1034" s="61"/>
      <c r="E1034" s="62" t="str">
        <f t="shared" si="25"/>
        <v/>
      </c>
      <c r="F1034" s="62" t="str">
        <f t="shared" si="26"/>
        <v/>
      </c>
      <c r="G1034" s="63"/>
      <c r="H1034" s="60"/>
      <c r="I1034" s="64"/>
      <c r="J1034" s="64"/>
      <c r="K1034" s="66" t="b">
        <v>0</v>
      </c>
      <c r="L1034" s="66"/>
      <c r="M1034" s="67"/>
    </row>
    <row r="1035" ht="22.5" customHeight="1">
      <c r="B1035" s="59"/>
      <c r="C1035" s="60"/>
      <c r="D1035" s="61"/>
      <c r="E1035" s="62" t="str">
        <f t="shared" si="25"/>
        <v/>
      </c>
      <c r="F1035" s="62" t="str">
        <f t="shared" si="26"/>
        <v/>
      </c>
      <c r="G1035" s="63"/>
      <c r="H1035" s="60"/>
      <c r="I1035" s="64"/>
      <c r="J1035" s="64"/>
      <c r="K1035" s="66" t="b">
        <v>0</v>
      </c>
      <c r="L1035" s="66"/>
      <c r="M1035" s="67"/>
    </row>
    <row r="1036" ht="22.5" customHeight="1">
      <c r="B1036" s="59"/>
      <c r="C1036" s="60"/>
      <c r="D1036" s="61"/>
      <c r="E1036" s="62" t="str">
        <f t="shared" si="25"/>
        <v/>
      </c>
      <c r="F1036" s="62" t="str">
        <f t="shared" si="26"/>
        <v/>
      </c>
      <c r="G1036" s="63"/>
      <c r="H1036" s="60"/>
      <c r="I1036" s="64"/>
      <c r="J1036" s="64"/>
      <c r="K1036" s="66" t="b">
        <v>0</v>
      </c>
      <c r="L1036" s="66"/>
      <c r="M1036" s="67"/>
    </row>
    <row r="1037" ht="22.5" customHeight="1">
      <c r="B1037" s="59"/>
      <c r="C1037" s="60"/>
      <c r="D1037" s="61"/>
      <c r="E1037" s="62" t="str">
        <f t="shared" si="25"/>
        <v/>
      </c>
      <c r="F1037" s="62" t="str">
        <f t="shared" si="26"/>
        <v/>
      </c>
      <c r="G1037" s="63"/>
      <c r="H1037" s="60"/>
      <c r="I1037" s="64"/>
      <c r="J1037" s="64"/>
      <c r="K1037" s="66" t="b">
        <v>0</v>
      </c>
      <c r="L1037" s="66"/>
      <c r="M1037" s="67"/>
    </row>
    <row r="1038" ht="22.5" customHeight="1">
      <c r="B1038" s="59"/>
      <c r="C1038" s="60"/>
      <c r="D1038" s="61"/>
      <c r="E1038" s="62" t="str">
        <f t="shared" si="25"/>
        <v/>
      </c>
      <c r="F1038" s="62" t="str">
        <f t="shared" si="26"/>
        <v/>
      </c>
      <c r="G1038" s="63"/>
      <c r="H1038" s="60"/>
      <c r="I1038" s="64"/>
      <c r="J1038" s="64"/>
      <c r="K1038" s="66" t="b">
        <v>0</v>
      </c>
      <c r="L1038" s="66"/>
      <c r="M1038" s="67"/>
    </row>
    <row r="1039" ht="22.5" customHeight="1">
      <c r="B1039" s="59"/>
      <c r="C1039" s="60"/>
      <c r="D1039" s="61"/>
      <c r="E1039" s="62" t="str">
        <f t="shared" si="25"/>
        <v/>
      </c>
      <c r="F1039" s="62" t="str">
        <f t="shared" si="26"/>
        <v/>
      </c>
      <c r="G1039" s="63"/>
      <c r="H1039" s="60"/>
      <c r="I1039" s="64"/>
      <c r="J1039" s="64"/>
      <c r="K1039" s="66" t="b">
        <v>0</v>
      </c>
      <c r="L1039" s="66"/>
      <c r="M1039" s="67"/>
    </row>
    <row r="1040" ht="22.5" customHeight="1">
      <c r="B1040" s="59"/>
      <c r="C1040" s="60"/>
      <c r="D1040" s="61"/>
      <c r="E1040" s="62" t="str">
        <f t="shared" si="25"/>
        <v/>
      </c>
      <c r="F1040" s="62" t="str">
        <f t="shared" si="26"/>
        <v/>
      </c>
      <c r="G1040" s="63"/>
      <c r="H1040" s="60"/>
      <c r="I1040" s="64"/>
      <c r="J1040" s="64"/>
      <c r="K1040" s="66" t="b">
        <v>0</v>
      </c>
      <c r="L1040" s="66"/>
      <c r="M1040" s="67"/>
    </row>
    <row r="1041" ht="22.5" customHeight="1">
      <c r="B1041" s="59"/>
      <c r="C1041" s="60"/>
      <c r="D1041" s="61"/>
      <c r="E1041" s="62" t="str">
        <f t="shared" si="25"/>
        <v/>
      </c>
      <c r="F1041" s="62" t="str">
        <f t="shared" si="26"/>
        <v/>
      </c>
      <c r="G1041" s="63"/>
      <c r="H1041" s="60"/>
      <c r="I1041" s="64"/>
      <c r="J1041" s="64"/>
      <c r="K1041" s="66" t="b">
        <v>0</v>
      </c>
      <c r="L1041" s="66"/>
      <c r="M1041" s="67"/>
    </row>
    <row r="1042" ht="22.5" customHeight="1">
      <c r="B1042" s="59"/>
      <c r="C1042" s="60"/>
      <c r="D1042" s="61"/>
      <c r="E1042" s="62" t="str">
        <f t="shared" si="25"/>
        <v/>
      </c>
      <c r="F1042" s="62" t="str">
        <f t="shared" si="26"/>
        <v/>
      </c>
      <c r="G1042" s="63"/>
      <c r="H1042" s="60"/>
      <c r="I1042" s="64"/>
      <c r="J1042" s="64"/>
      <c r="K1042" s="66" t="b">
        <v>0</v>
      </c>
      <c r="L1042" s="66"/>
      <c r="M1042" s="67"/>
    </row>
    <row r="1043" ht="22.5" customHeight="1">
      <c r="B1043" s="59"/>
      <c r="C1043" s="60"/>
      <c r="D1043" s="61"/>
      <c r="E1043" s="62" t="str">
        <f t="shared" si="25"/>
        <v/>
      </c>
      <c r="F1043" s="62" t="str">
        <f t="shared" si="26"/>
        <v/>
      </c>
      <c r="G1043" s="63"/>
      <c r="H1043" s="60"/>
      <c r="I1043" s="64"/>
      <c r="J1043" s="64"/>
      <c r="K1043" s="66" t="b">
        <v>0</v>
      </c>
      <c r="L1043" s="66"/>
      <c r="M1043" s="67"/>
    </row>
    <row r="1044" ht="22.5" customHeight="1">
      <c r="B1044" s="59"/>
      <c r="C1044" s="60"/>
      <c r="D1044" s="61"/>
      <c r="E1044" s="62" t="str">
        <f t="shared" si="25"/>
        <v/>
      </c>
      <c r="F1044" s="62" t="str">
        <f t="shared" si="26"/>
        <v/>
      </c>
      <c r="G1044" s="63"/>
      <c r="H1044" s="60"/>
      <c r="I1044" s="64"/>
      <c r="J1044" s="64"/>
      <c r="K1044" s="66" t="b">
        <v>0</v>
      </c>
      <c r="L1044" s="66"/>
      <c r="M1044" s="67"/>
    </row>
    <row r="1045" ht="22.5" customHeight="1">
      <c r="B1045" s="59"/>
      <c r="C1045" s="60"/>
      <c r="D1045" s="61"/>
      <c r="E1045" s="62" t="str">
        <f t="shared" si="25"/>
        <v/>
      </c>
      <c r="F1045" s="62" t="str">
        <f t="shared" si="26"/>
        <v/>
      </c>
      <c r="G1045" s="63"/>
      <c r="H1045" s="60"/>
      <c r="I1045" s="64"/>
      <c r="J1045" s="64"/>
      <c r="K1045" s="66" t="b">
        <v>0</v>
      </c>
      <c r="L1045" s="66"/>
      <c r="M1045" s="67"/>
    </row>
    <row r="1046" ht="22.5" customHeight="1">
      <c r="B1046" s="59"/>
      <c r="C1046" s="60"/>
      <c r="D1046" s="61"/>
      <c r="E1046" s="62" t="str">
        <f t="shared" si="25"/>
        <v/>
      </c>
      <c r="F1046" s="62" t="str">
        <f t="shared" si="26"/>
        <v/>
      </c>
      <c r="G1046" s="63"/>
      <c r="H1046" s="60"/>
      <c r="I1046" s="64"/>
      <c r="J1046" s="64"/>
      <c r="K1046" s="66" t="b">
        <v>0</v>
      </c>
      <c r="L1046" s="66"/>
      <c r="M1046" s="67"/>
    </row>
    <row r="1047" ht="22.5" customHeight="1">
      <c r="B1047" s="59"/>
      <c r="C1047" s="60"/>
      <c r="D1047" s="61"/>
      <c r="E1047" s="62" t="str">
        <f t="shared" si="25"/>
        <v/>
      </c>
      <c r="F1047" s="62" t="str">
        <f t="shared" si="26"/>
        <v/>
      </c>
      <c r="G1047" s="63"/>
      <c r="H1047" s="60"/>
      <c r="I1047" s="64"/>
      <c r="J1047" s="64"/>
      <c r="K1047" s="66" t="b">
        <v>0</v>
      </c>
      <c r="L1047" s="66"/>
      <c r="M1047" s="67"/>
    </row>
    <row r="1048" ht="22.5" customHeight="1">
      <c r="B1048" s="59"/>
      <c r="C1048" s="60"/>
      <c r="D1048" s="61"/>
      <c r="E1048" s="62" t="str">
        <f t="shared" si="25"/>
        <v/>
      </c>
      <c r="F1048" s="62" t="str">
        <f t="shared" si="26"/>
        <v/>
      </c>
      <c r="G1048" s="63"/>
      <c r="H1048" s="60"/>
      <c r="I1048" s="64"/>
      <c r="J1048" s="64"/>
      <c r="K1048" s="66" t="b">
        <v>0</v>
      </c>
      <c r="L1048" s="66"/>
      <c r="M1048" s="67"/>
    </row>
    <row r="1049" ht="22.5" customHeight="1">
      <c r="B1049" s="59"/>
      <c r="C1049" s="60"/>
      <c r="D1049" s="61"/>
      <c r="E1049" s="62" t="str">
        <f t="shared" si="25"/>
        <v/>
      </c>
      <c r="F1049" s="62" t="str">
        <f t="shared" si="26"/>
        <v/>
      </c>
      <c r="G1049" s="63"/>
      <c r="H1049" s="60"/>
      <c r="I1049" s="64"/>
      <c r="J1049" s="64"/>
      <c r="K1049" s="66" t="b">
        <v>0</v>
      </c>
      <c r="L1049" s="66"/>
      <c r="M1049" s="67"/>
    </row>
    <row r="1050" ht="22.5" customHeight="1">
      <c r="B1050" s="59"/>
      <c r="C1050" s="60"/>
      <c r="D1050" s="61"/>
      <c r="E1050" s="62" t="str">
        <f t="shared" si="25"/>
        <v/>
      </c>
      <c r="F1050" s="62" t="str">
        <f t="shared" si="26"/>
        <v/>
      </c>
      <c r="G1050" s="63"/>
      <c r="H1050" s="60"/>
      <c r="I1050" s="64"/>
      <c r="J1050" s="64"/>
      <c r="K1050" s="66" t="b">
        <v>0</v>
      </c>
      <c r="L1050" s="66"/>
      <c r="M1050" s="67"/>
    </row>
    <row r="1051" ht="22.5" customHeight="1">
      <c r="B1051" s="59"/>
      <c r="C1051" s="60"/>
      <c r="D1051" s="61"/>
      <c r="E1051" s="62" t="str">
        <f t="shared" si="25"/>
        <v/>
      </c>
      <c r="F1051" s="62" t="str">
        <f t="shared" si="26"/>
        <v/>
      </c>
      <c r="G1051" s="63"/>
      <c r="H1051" s="60"/>
      <c r="I1051" s="64"/>
      <c r="J1051" s="64"/>
      <c r="K1051" s="66" t="b">
        <v>0</v>
      </c>
      <c r="L1051" s="66"/>
      <c r="M1051" s="67"/>
    </row>
    <row r="1052" ht="22.5" customHeight="1">
      <c r="B1052" s="59"/>
      <c r="C1052" s="60"/>
      <c r="D1052" s="61"/>
      <c r="E1052" s="62" t="str">
        <f t="shared" si="25"/>
        <v/>
      </c>
      <c r="F1052" s="62" t="str">
        <f t="shared" si="26"/>
        <v/>
      </c>
      <c r="G1052" s="63"/>
      <c r="H1052" s="60"/>
      <c r="I1052" s="64"/>
      <c r="J1052" s="64"/>
      <c r="K1052" s="66" t="b">
        <v>0</v>
      </c>
      <c r="L1052" s="66"/>
      <c r="M1052" s="67"/>
    </row>
    <row r="1053" ht="22.5" customHeight="1">
      <c r="B1053" s="59"/>
      <c r="C1053" s="60"/>
      <c r="D1053" s="61"/>
      <c r="E1053" s="62" t="str">
        <f t="shared" si="25"/>
        <v/>
      </c>
      <c r="F1053" s="62" t="str">
        <f t="shared" si="26"/>
        <v/>
      </c>
      <c r="G1053" s="63"/>
      <c r="H1053" s="60"/>
      <c r="I1053" s="64"/>
      <c r="J1053" s="64"/>
      <c r="K1053" s="66" t="b">
        <v>0</v>
      </c>
      <c r="L1053" s="66"/>
      <c r="M1053" s="67"/>
    </row>
    <row r="1054" ht="22.5" customHeight="1">
      <c r="B1054" s="59"/>
      <c r="C1054" s="60"/>
      <c r="D1054" s="61"/>
      <c r="E1054" s="62" t="str">
        <f t="shared" si="25"/>
        <v/>
      </c>
      <c r="F1054" s="62" t="str">
        <f t="shared" si="26"/>
        <v/>
      </c>
      <c r="G1054" s="63"/>
      <c r="H1054" s="60"/>
      <c r="I1054" s="64"/>
      <c r="J1054" s="64"/>
      <c r="K1054" s="66" t="b">
        <v>0</v>
      </c>
      <c r="L1054" s="66"/>
      <c r="M1054" s="67"/>
    </row>
    <row r="1055" ht="22.5" customHeight="1">
      <c r="B1055" s="59"/>
      <c r="C1055" s="60"/>
      <c r="D1055" s="61"/>
      <c r="E1055" s="62" t="str">
        <f t="shared" si="25"/>
        <v/>
      </c>
      <c r="F1055" s="62" t="str">
        <f t="shared" si="26"/>
        <v/>
      </c>
      <c r="G1055" s="63"/>
      <c r="H1055" s="60"/>
      <c r="I1055" s="64"/>
      <c r="J1055" s="64"/>
      <c r="K1055" s="66" t="b">
        <v>0</v>
      </c>
      <c r="L1055" s="66"/>
      <c r="M1055" s="67"/>
    </row>
    <row r="1056" ht="22.5" customHeight="1">
      <c r="B1056" s="59"/>
      <c r="C1056" s="60"/>
      <c r="D1056" s="61"/>
      <c r="E1056" s="62" t="str">
        <f t="shared" si="25"/>
        <v/>
      </c>
      <c r="F1056" s="62" t="str">
        <f t="shared" si="26"/>
        <v/>
      </c>
      <c r="G1056" s="63"/>
      <c r="H1056" s="60"/>
      <c r="I1056" s="64"/>
      <c r="J1056" s="64"/>
      <c r="K1056" s="66" t="b">
        <v>0</v>
      </c>
      <c r="L1056" s="66"/>
      <c r="M1056" s="67"/>
    </row>
    <row r="1057" ht="22.5" customHeight="1">
      <c r="B1057" s="59"/>
      <c r="C1057" s="60"/>
      <c r="D1057" s="61"/>
      <c r="E1057" s="62" t="str">
        <f t="shared" si="25"/>
        <v/>
      </c>
      <c r="F1057" s="62" t="str">
        <f t="shared" si="26"/>
        <v/>
      </c>
      <c r="G1057" s="63"/>
      <c r="H1057" s="60"/>
      <c r="I1057" s="64"/>
      <c r="J1057" s="64"/>
      <c r="K1057" s="66" t="b">
        <v>0</v>
      </c>
      <c r="L1057" s="66"/>
      <c r="M1057" s="67"/>
    </row>
    <row r="1058" ht="22.5" customHeight="1">
      <c r="B1058" s="59"/>
      <c r="C1058" s="60"/>
      <c r="D1058" s="61"/>
      <c r="E1058" s="62" t="str">
        <f t="shared" si="25"/>
        <v/>
      </c>
      <c r="F1058" s="62" t="str">
        <f t="shared" si="26"/>
        <v/>
      </c>
      <c r="G1058" s="63"/>
      <c r="H1058" s="60"/>
      <c r="I1058" s="64"/>
      <c r="J1058" s="64"/>
      <c r="K1058" s="66" t="b">
        <v>0</v>
      </c>
      <c r="L1058" s="66"/>
      <c r="M1058" s="67"/>
    </row>
    <row r="1059" ht="22.5" customHeight="1">
      <c r="B1059" s="59"/>
      <c r="C1059" s="60"/>
      <c r="D1059" s="61"/>
      <c r="E1059" s="62" t="str">
        <f t="shared" si="25"/>
        <v/>
      </c>
      <c r="F1059" s="62" t="str">
        <f t="shared" si="26"/>
        <v/>
      </c>
      <c r="G1059" s="63"/>
      <c r="H1059" s="60"/>
      <c r="I1059" s="64"/>
      <c r="J1059" s="64"/>
      <c r="K1059" s="66" t="b">
        <v>0</v>
      </c>
      <c r="L1059" s="66"/>
      <c r="M1059" s="67"/>
    </row>
    <row r="1060" ht="22.5" customHeight="1">
      <c r="B1060" s="59"/>
      <c r="C1060" s="60"/>
      <c r="D1060" s="61"/>
      <c r="E1060" s="62" t="str">
        <f t="shared" si="25"/>
        <v/>
      </c>
      <c r="F1060" s="62" t="str">
        <f t="shared" si="26"/>
        <v/>
      </c>
      <c r="G1060" s="63"/>
      <c r="H1060" s="60"/>
      <c r="I1060" s="64"/>
      <c r="J1060" s="64"/>
      <c r="K1060" s="66" t="b">
        <v>0</v>
      </c>
      <c r="L1060" s="66"/>
      <c r="M1060" s="67"/>
    </row>
    <row r="1061" ht="22.5" customHeight="1">
      <c r="B1061" s="59"/>
      <c r="C1061" s="60"/>
      <c r="D1061" s="61"/>
      <c r="E1061" s="62" t="str">
        <f t="shared" si="25"/>
        <v/>
      </c>
      <c r="F1061" s="62" t="str">
        <f t="shared" si="26"/>
        <v/>
      </c>
      <c r="G1061" s="63"/>
      <c r="H1061" s="60"/>
      <c r="I1061" s="64"/>
      <c r="J1061" s="64"/>
      <c r="K1061" s="66" t="b">
        <v>0</v>
      </c>
      <c r="L1061" s="66"/>
      <c r="M1061" s="67"/>
    </row>
    <row r="1062" ht="22.5" customHeight="1">
      <c r="B1062" s="59"/>
      <c r="C1062" s="60"/>
      <c r="D1062" s="61"/>
      <c r="E1062" s="62" t="str">
        <f t="shared" si="25"/>
        <v/>
      </c>
      <c r="F1062" s="62" t="str">
        <f t="shared" si="26"/>
        <v/>
      </c>
      <c r="G1062" s="63"/>
      <c r="H1062" s="60"/>
      <c r="I1062" s="64"/>
      <c r="J1062" s="64"/>
      <c r="K1062" s="66" t="b">
        <v>0</v>
      </c>
      <c r="L1062" s="66"/>
      <c r="M1062" s="67"/>
    </row>
    <row r="1063" ht="22.5" customHeight="1">
      <c r="B1063" s="59"/>
      <c r="C1063" s="60"/>
      <c r="D1063" s="61"/>
      <c r="E1063" s="62" t="str">
        <f t="shared" si="25"/>
        <v/>
      </c>
      <c r="F1063" s="62" t="str">
        <f t="shared" si="26"/>
        <v/>
      </c>
      <c r="G1063" s="63"/>
      <c r="H1063" s="60"/>
      <c r="I1063" s="64"/>
      <c r="J1063" s="64"/>
      <c r="K1063" s="66" t="b">
        <v>0</v>
      </c>
      <c r="L1063" s="66"/>
      <c r="M1063" s="67"/>
    </row>
    <row r="1064" ht="22.5" customHeight="1">
      <c r="B1064" s="59"/>
      <c r="C1064" s="60"/>
      <c r="D1064" s="61"/>
      <c r="E1064" s="62" t="str">
        <f t="shared" si="25"/>
        <v/>
      </c>
      <c r="F1064" s="62" t="str">
        <f t="shared" si="26"/>
        <v/>
      </c>
      <c r="G1064" s="63"/>
      <c r="H1064" s="60"/>
      <c r="I1064" s="64"/>
      <c r="J1064" s="64"/>
      <c r="K1064" s="66" t="b">
        <v>0</v>
      </c>
      <c r="L1064" s="66"/>
      <c r="M1064" s="67"/>
    </row>
    <row r="1065" ht="22.5" customHeight="1">
      <c r="B1065" s="59"/>
      <c r="C1065" s="60"/>
      <c r="D1065" s="61"/>
      <c r="E1065" s="62" t="str">
        <f t="shared" si="25"/>
        <v/>
      </c>
      <c r="F1065" s="62" t="str">
        <f t="shared" si="26"/>
        <v/>
      </c>
      <c r="G1065" s="63"/>
      <c r="H1065" s="60"/>
      <c r="I1065" s="64"/>
      <c r="J1065" s="64"/>
      <c r="K1065" s="66" t="b">
        <v>0</v>
      </c>
      <c r="L1065" s="66"/>
      <c r="M1065" s="67"/>
    </row>
    <row r="1066" ht="22.5" customHeight="1">
      <c r="B1066" s="59"/>
      <c r="C1066" s="60"/>
      <c r="D1066" s="61"/>
      <c r="E1066" s="62" t="str">
        <f t="shared" si="25"/>
        <v/>
      </c>
      <c r="F1066" s="62" t="str">
        <f t="shared" si="26"/>
        <v/>
      </c>
      <c r="G1066" s="63"/>
      <c r="H1066" s="60"/>
      <c r="I1066" s="64"/>
      <c r="J1066" s="64"/>
      <c r="K1066" s="66" t="b">
        <v>0</v>
      </c>
      <c r="L1066" s="66"/>
      <c r="M1066" s="67"/>
    </row>
    <row r="1067" ht="22.5" customHeight="1">
      <c r="B1067" s="59"/>
      <c r="C1067" s="60"/>
      <c r="D1067" s="61"/>
      <c r="E1067" s="62" t="str">
        <f t="shared" si="25"/>
        <v/>
      </c>
      <c r="F1067" s="62" t="str">
        <f t="shared" si="26"/>
        <v/>
      </c>
      <c r="G1067" s="63"/>
      <c r="H1067" s="60"/>
      <c r="I1067" s="64"/>
      <c r="J1067" s="64"/>
      <c r="K1067" s="66" t="b">
        <v>0</v>
      </c>
      <c r="L1067" s="66"/>
      <c r="M1067" s="67"/>
    </row>
    <row r="1068" ht="22.5" customHeight="1">
      <c r="B1068" s="59"/>
      <c r="C1068" s="60"/>
      <c r="D1068" s="61"/>
      <c r="E1068" s="62" t="str">
        <f t="shared" si="25"/>
        <v/>
      </c>
      <c r="F1068" s="62" t="str">
        <f t="shared" si="26"/>
        <v/>
      </c>
      <c r="G1068" s="63"/>
      <c r="H1068" s="60"/>
      <c r="I1068" s="64"/>
      <c r="J1068" s="64"/>
      <c r="K1068" s="66" t="b">
        <v>0</v>
      </c>
      <c r="L1068" s="66"/>
      <c r="M1068" s="67"/>
    </row>
    <row r="1069" ht="22.5" customHeight="1">
      <c r="B1069" s="59"/>
      <c r="C1069" s="60"/>
      <c r="D1069" s="61"/>
      <c r="E1069" s="62" t="str">
        <f t="shared" si="25"/>
        <v/>
      </c>
      <c r="F1069" s="62" t="str">
        <f t="shared" si="26"/>
        <v/>
      </c>
      <c r="G1069" s="63"/>
      <c r="H1069" s="60"/>
      <c r="I1069" s="64"/>
      <c r="J1069" s="64"/>
      <c r="K1069" s="66" t="b">
        <v>0</v>
      </c>
      <c r="L1069" s="66"/>
      <c r="M1069" s="67"/>
    </row>
    <row r="1070" ht="22.5" customHeight="1">
      <c r="B1070" s="59"/>
      <c r="C1070" s="60"/>
      <c r="D1070" s="61"/>
      <c r="E1070" s="62" t="str">
        <f t="shared" si="25"/>
        <v/>
      </c>
      <c r="F1070" s="62" t="str">
        <f t="shared" si="26"/>
        <v/>
      </c>
      <c r="G1070" s="63"/>
      <c r="H1070" s="60"/>
      <c r="I1070" s="64"/>
      <c r="J1070" s="64"/>
      <c r="K1070" s="66" t="b">
        <v>0</v>
      </c>
      <c r="L1070" s="66"/>
      <c r="M1070" s="67"/>
    </row>
    <row r="1071" ht="22.5" customHeight="1">
      <c r="B1071" s="59"/>
      <c r="C1071" s="60"/>
      <c r="D1071" s="61"/>
      <c r="E1071" s="62" t="str">
        <f t="shared" si="25"/>
        <v/>
      </c>
      <c r="F1071" s="62" t="str">
        <f t="shared" si="26"/>
        <v/>
      </c>
      <c r="G1071" s="63"/>
      <c r="H1071" s="60"/>
      <c r="I1071" s="64"/>
      <c r="J1071" s="64"/>
      <c r="K1071" s="66" t="b">
        <v>0</v>
      </c>
      <c r="L1071" s="66"/>
      <c r="M1071" s="67"/>
    </row>
    <row r="1072" ht="22.5" customHeight="1">
      <c r="B1072" s="59"/>
      <c r="C1072" s="60"/>
      <c r="D1072" s="61"/>
      <c r="E1072" s="62" t="str">
        <f t="shared" si="25"/>
        <v/>
      </c>
      <c r="F1072" s="62" t="str">
        <f t="shared" si="26"/>
        <v/>
      </c>
      <c r="G1072" s="63"/>
      <c r="H1072" s="60"/>
      <c r="I1072" s="64"/>
      <c r="J1072" s="64"/>
      <c r="K1072" s="66" t="b">
        <v>0</v>
      </c>
      <c r="L1072" s="66"/>
      <c r="M1072" s="67"/>
    </row>
    <row r="1073" ht="22.5" customHeight="1">
      <c r="B1073" s="59"/>
      <c r="C1073" s="60"/>
      <c r="D1073" s="61"/>
      <c r="E1073" s="62" t="str">
        <f t="shared" si="25"/>
        <v/>
      </c>
      <c r="F1073" s="62" t="str">
        <f t="shared" si="26"/>
        <v/>
      </c>
      <c r="G1073" s="63"/>
      <c r="H1073" s="60"/>
      <c r="I1073" s="64"/>
      <c r="J1073" s="64"/>
      <c r="K1073" s="66" t="b">
        <v>0</v>
      </c>
      <c r="L1073" s="66"/>
      <c r="M1073" s="67"/>
    </row>
    <row r="1074" ht="22.5" customHeight="1">
      <c r="B1074" s="59"/>
      <c r="C1074" s="60"/>
      <c r="D1074" s="61"/>
      <c r="E1074" s="62" t="str">
        <f t="shared" si="25"/>
        <v/>
      </c>
      <c r="F1074" s="62" t="str">
        <f t="shared" si="26"/>
        <v/>
      </c>
      <c r="G1074" s="63"/>
      <c r="H1074" s="60"/>
      <c r="I1074" s="64"/>
      <c r="J1074" s="64"/>
      <c r="K1074" s="66" t="b">
        <v>0</v>
      </c>
      <c r="L1074" s="66"/>
      <c r="M1074" s="67"/>
    </row>
    <row r="1075" ht="22.5" customHeight="1">
      <c r="B1075" s="59"/>
      <c r="C1075" s="60"/>
      <c r="D1075" s="61"/>
      <c r="E1075" s="62" t="str">
        <f t="shared" si="25"/>
        <v/>
      </c>
      <c r="F1075" s="62" t="str">
        <f t="shared" si="26"/>
        <v/>
      </c>
      <c r="G1075" s="63"/>
      <c r="H1075" s="60"/>
      <c r="I1075" s="64"/>
      <c r="J1075" s="64"/>
      <c r="K1075" s="66" t="b">
        <v>0</v>
      </c>
      <c r="L1075" s="66"/>
      <c r="M1075" s="67"/>
    </row>
    <row r="1076" ht="22.5" customHeight="1">
      <c r="B1076" s="59"/>
      <c r="C1076" s="60"/>
      <c r="D1076" s="61"/>
      <c r="E1076" s="62" t="str">
        <f t="shared" si="25"/>
        <v/>
      </c>
      <c r="F1076" s="62" t="str">
        <f t="shared" si="26"/>
        <v/>
      </c>
      <c r="G1076" s="63"/>
      <c r="H1076" s="60"/>
      <c r="I1076" s="64"/>
      <c r="J1076" s="64"/>
      <c r="K1076" s="66" t="b">
        <v>0</v>
      </c>
      <c r="L1076" s="66"/>
      <c r="M1076" s="67"/>
    </row>
    <row r="1077" ht="22.5" customHeight="1">
      <c r="B1077" s="59"/>
      <c r="C1077" s="60"/>
      <c r="D1077" s="61"/>
      <c r="E1077" s="62" t="str">
        <f t="shared" si="25"/>
        <v/>
      </c>
      <c r="F1077" s="62" t="str">
        <f t="shared" si="26"/>
        <v/>
      </c>
      <c r="G1077" s="63"/>
      <c r="H1077" s="60"/>
      <c r="I1077" s="64"/>
      <c r="J1077" s="64"/>
      <c r="K1077" s="66" t="b">
        <v>0</v>
      </c>
      <c r="L1077" s="66"/>
      <c r="M1077" s="67"/>
    </row>
    <row r="1078" ht="22.5" customHeight="1">
      <c r="B1078" s="59"/>
      <c r="C1078" s="60"/>
      <c r="D1078" s="61"/>
      <c r="E1078" s="62" t="str">
        <f t="shared" si="25"/>
        <v/>
      </c>
      <c r="F1078" s="62" t="str">
        <f t="shared" si="26"/>
        <v/>
      </c>
      <c r="G1078" s="63"/>
      <c r="H1078" s="60"/>
      <c r="I1078" s="64"/>
      <c r="J1078" s="64"/>
      <c r="K1078" s="66" t="b">
        <v>0</v>
      </c>
      <c r="L1078" s="66"/>
      <c r="M1078" s="67"/>
    </row>
    <row r="1079" ht="22.5" customHeight="1">
      <c r="B1079" s="59"/>
      <c r="C1079" s="60"/>
      <c r="D1079" s="61"/>
      <c r="E1079" s="62" t="str">
        <f t="shared" si="25"/>
        <v/>
      </c>
      <c r="F1079" s="62" t="str">
        <f t="shared" si="26"/>
        <v/>
      </c>
      <c r="G1079" s="63"/>
      <c r="H1079" s="60"/>
      <c r="I1079" s="64"/>
      <c r="J1079" s="64"/>
      <c r="K1079" s="66" t="b">
        <v>0</v>
      </c>
      <c r="L1079" s="66"/>
      <c r="M1079" s="67"/>
    </row>
    <row r="1080" ht="22.5" customHeight="1">
      <c r="B1080" s="59"/>
      <c r="C1080" s="60"/>
      <c r="D1080" s="61"/>
      <c r="E1080" s="62" t="str">
        <f t="shared" si="25"/>
        <v/>
      </c>
      <c r="F1080" s="62" t="str">
        <f t="shared" si="26"/>
        <v/>
      </c>
      <c r="G1080" s="63"/>
      <c r="H1080" s="60"/>
      <c r="I1080" s="64"/>
      <c r="J1080" s="64"/>
      <c r="K1080" s="66" t="b">
        <v>0</v>
      </c>
      <c r="L1080" s="66"/>
      <c r="M1080" s="67"/>
    </row>
    <row r="1081" ht="22.5" customHeight="1">
      <c r="B1081" s="59"/>
      <c r="C1081" s="60"/>
      <c r="D1081" s="61"/>
      <c r="E1081" s="62" t="str">
        <f t="shared" si="25"/>
        <v/>
      </c>
      <c r="F1081" s="62" t="str">
        <f t="shared" si="26"/>
        <v/>
      </c>
      <c r="G1081" s="63"/>
      <c r="H1081" s="60"/>
      <c r="I1081" s="64"/>
      <c r="J1081" s="64"/>
      <c r="K1081" s="66" t="b">
        <v>0</v>
      </c>
      <c r="L1081" s="66"/>
      <c r="M1081" s="67"/>
    </row>
    <row r="1082" ht="22.5" customHeight="1">
      <c r="B1082" s="59"/>
      <c r="C1082" s="60"/>
      <c r="D1082" s="61"/>
      <c r="E1082" s="62" t="str">
        <f t="shared" si="25"/>
        <v/>
      </c>
      <c r="F1082" s="62" t="str">
        <f t="shared" si="26"/>
        <v/>
      </c>
      <c r="G1082" s="63"/>
      <c r="H1082" s="60"/>
      <c r="I1082" s="64"/>
      <c r="J1082" s="64"/>
      <c r="K1082" s="66" t="b">
        <v>0</v>
      </c>
      <c r="L1082" s="66"/>
      <c r="M1082" s="67"/>
    </row>
    <row r="1083" ht="22.5" customHeight="1">
      <c r="B1083" s="59"/>
      <c r="C1083" s="60"/>
      <c r="D1083" s="61"/>
      <c r="E1083" s="62" t="str">
        <f t="shared" si="25"/>
        <v/>
      </c>
      <c r="F1083" s="62" t="str">
        <f t="shared" si="26"/>
        <v/>
      </c>
      <c r="G1083" s="63"/>
      <c r="H1083" s="60"/>
      <c r="I1083" s="64"/>
      <c r="J1083" s="64"/>
      <c r="K1083" s="66" t="b">
        <v>0</v>
      </c>
      <c r="L1083" s="66"/>
      <c r="M1083" s="67"/>
    </row>
    <row r="1084" ht="22.5" customHeight="1">
      <c r="B1084" s="59"/>
      <c r="C1084" s="60"/>
      <c r="D1084" s="61"/>
      <c r="E1084" s="62" t="str">
        <f t="shared" si="25"/>
        <v/>
      </c>
      <c r="F1084" s="62" t="str">
        <f t="shared" si="26"/>
        <v/>
      </c>
      <c r="G1084" s="63"/>
      <c r="H1084" s="60"/>
      <c r="I1084" s="64"/>
      <c r="J1084" s="64"/>
      <c r="K1084" s="66" t="b">
        <v>0</v>
      </c>
      <c r="L1084" s="66"/>
      <c r="M1084" s="67"/>
    </row>
    <row r="1085" ht="22.5" customHeight="1">
      <c r="B1085" s="59"/>
      <c r="C1085" s="60"/>
      <c r="D1085" s="61"/>
      <c r="E1085" s="62" t="str">
        <f t="shared" si="25"/>
        <v/>
      </c>
      <c r="F1085" s="62" t="str">
        <f t="shared" si="26"/>
        <v/>
      </c>
      <c r="G1085" s="63"/>
      <c r="H1085" s="60"/>
      <c r="I1085" s="64"/>
      <c r="J1085" s="64"/>
      <c r="K1085" s="66" t="b">
        <v>0</v>
      </c>
      <c r="L1085" s="66"/>
      <c r="M1085" s="67"/>
    </row>
    <row r="1086" ht="22.5" customHeight="1">
      <c r="B1086" s="59"/>
      <c r="C1086" s="60"/>
      <c r="D1086" s="61"/>
      <c r="E1086" s="62" t="str">
        <f t="shared" si="25"/>
        <v/>
      </c>
      <c r="F1086" s="62" t="str">
        <f t="shared" si="26"/>
        <v/>
      </c>
      <c r="G1086" s="63"/>
      <c r="H1086" s="60"/>
      <c r="I1086" s="64"/>
      <c r="J1086" s="64"/>
      <c r="K1086" s="66" t="b">
        <v>0</v>
      </c>
      <c r="L1086" s="66"/>
      <c r="M1086" s="67"/>
    </row>
    <row r="1087" ht="22.5" customHeight="1">
      <c r="B1087" s="59"/>
      <c r="C1087" s="60"/>
      <c r="D1087" s="61"/>
      <c r="E1087" s="62" t="str">
        <f t="shared" si="25"/>
        <v/>
      </c>
      <c r="F1087" s="62" t="str">
        <f t="shared" si="26"/>
        <v/>
      </c>
      <c r="G1087" s="63"/>
      <c r="H1087" s="60"/>
      <c r="I1087" s="64"/>
      <c r="J1087" s="64"/>
      <c r="K1087" s="66" t="b">
        <v>0</v>
      </c>
      <c r="L1087" s="66"/>
      <c r="M1087" s="67"/>
    </row>
    <row r="1088" ht="22.5" customHeight="1">
      <c r="B1088" s="59"/>
      <c r="C1088" s="60"/>
      <c r="D1088" s="61"/>
      <c r="E1088" s="62" t="str">
        <f t="shared" si="25"/>
        <v/>
      </c>
      <c r="F1088" s="62" t="str">
        <f t="shared" si="26"/>
        <v/>
      </c>
      <c r="G1088" s="63"/>
      <c r="H1088" s="60"/>
      <c r="I1088" s="64"/>
      <c r="J1088" s="64"/>
      <c r="K1088" s="66" t="b">
        <v>0</v>
      </c>
      <c r="L1088" s="66"/>
      <c r="M1088" s="67"/>
    </row>
    <row r="1089" ht="22.5" customHeight="1">
      <c r="B1089" s="59"/>
      <c r="C1089" s="60"/>
      <c r="D1089" s="61"/>
      <c r="E1089" s="62" t="str">
        <f t="shared" si="25"/>
        <v/>
      </c>
      <c r="F1089" s="62" t="str">
        <f t="shared" si="26"/>
        <v/>
      </c>
      <c r="G1089" s="63"/>
      <c r="H1089" s="60"/>
      <c r="I1089" s="64"/>
      <c r="J1089" s="64"/>
      <c r="K1089" s="66" t="b">
        <v>0</v>
      </c>
      <c r="L1089" s="66"/>
      <c r="M1089" s="67"/>
    </row>
    <row r="1090" ht="22.5" customHeight="1">
      <c r="B1090" s="59"/>
      <c r="C1090" s="60"/>
      <c r="D1090" s="61"/>
      <c r="E1090" s="62" t="str">
        <f t="shared" si="25"/>
        <v/>
      </c>
      <c r="F1090" s="62" t="str">
        <f t="shared" si="26"/>
        <v/>
      </c>
      <c r="G1090" s="63"/>
      <c r="H1090" s="60"/>
      <c r="I1090" s="64"/>
      <c r="J1090" s="64"/>
      <c r="K1090" s="66" t="b">
        <v>0</v>
      </c>
      <c r="L1090" s="66"/>
      <c r="M1090" s="67"/>
    </row>
    <row r="1091" ht="22.5" customHeight="1">
      <c r="B1091" s="59"/>
      <c r="C1091" s="60"/>
      <c r="D1091" s="61"/>
      <c r="E1091" s="62" t="str">
        <f t="shared" si="25"/>
        <v/>
      </c>
      <c r="F1091" s="62" t="str">
        <f t="shared" si="26"/>
        <v/>
      </c>
      <c r="G1091" s="63"/>
      <c r="H1091" s="60"/>
      <c r="I1091" s="64"/>
      <c r="J1091" s="64"/>
      <c r="K1091" s="66" t="b">
        <v>0</v>
      </c>
      <c r="L1091" s="66"/>
      <c r="M1091" s="67"/>
    </row>
    <row r="1092" ht="22.5" customHeight="1">
      <c r="B1092" s="59"/>
      <c r="C1092" s="60"/>
      <c r="D1092" s="61"/>
      <c r="E1092" s="62" t="str">
        <f t="shared" si="25"/>
        <v/>
      </c>
      <c r="F1092" s="62" t="str">
        <f t="shared" si="26"/>
        <v/>
      </c>
      <c r="G1092" s="63"/>
      <c r="H1092" s="60"/>
      <c r="I1092" s="64"/>
      <c r="J1092" s="64"/>
      <c r="K1092" s="66" t="b">
        <v>0</v>
      </c>
      <c r="L1092" s="66"/>
      <c r="M1092" s="67"/>
    </row>
    <row r="1093" ht="22.5" customHeight="1">
      <c r="B1093" s="59"/>
      <c r="C1093" s="60"/>
      <c r="D1093" s="61"/>
      <c r="E1093" s="62" t="str">
        <f t="shared" si="25"/>
        <v/>
      </c>
      <c r="F1093" s="62" t="str">
        <f t="shared" si="26"/>
        <v/>
      </c>
      <c r="G1093" s="63"/>
      <c r="H1093" s="60"/>
      <c r="I1093" s="64"/>
      <c r="J1093" s="64"/>
      <c r="K1093" s="66" t="b">
        <v>0</v>
      </c>
      <c r="L1093" s="66"/>
      <c r="M1093" s="67"/>
    </row>
    <row r="1094" ht="22.5" customHeight="1">
      <c r="B1094" s="59"/>
      <c r="C1094" s="60"/>
      <c r="D1094" s="61"/>
      <c r="E1094" s="62" t="str">
        <f t="shared" si="25"/>
        <v/>
      </c>
      <c r="F1094" s="62" t="str">
        <f t="shared" si="26"/>
        <v/>
      </c>
      <c r="G1094" s="63"/>
      <c r="H1094" s="60"/>
      <c r="I1094" s="64"/>
      <c r="J1094" s="64"/>
      <c r="K1094" s="66" t="b">
        <v>0</v>
      </c>
      <c r="L1094" s="66"/>
      <c r="M1094" s="67"/>
    </row>
    <row r="1095" ht="22.5" customHeight="1">
      <c r="B1095" s="59"/>
      <c r="C1095" s="60"/>
      <c r="D1095" s="61"/>
      <c r="E1095" s="62" t="str">
        <f t="shared" si="25"/>
        <v/>
      </c>
      <c r="F1095" s="62" t="str">
        <f t="shared" si="26"/>
        <v/>
      </c>
      <c r="G1095" s="63"/>
      <c r="H1095" s="60"/>
      <c r="I1095" s="64"/>
      <c r="J1095" s="64"/>
      <c r="K1095" s="66" t="b">
        <v>0</v>
      </c>
      <c r="L1095" s="66"/>
      <c r="M1095" s="67"/>
    </row>
    <row r="1096" ht="22.5" customHeight="1">
      <c r="B1096" s="59"/>
      <c r="C1096" s="60"/>
      <c r="D1096" s="61"/>
      <c r="E1096" s="62" t="str">
        <f t="shared" si="25"/>
        <v/>
      </c>
      <c r="F1096" s="62" t="str">
        <f t="shared" si="26"/>
        <v/>
      </c>
      <c r="G1096" s="63"/>
      <c r="H1096" s="60"/>
      <c r="I1096" s="64"/>
      <c r="J1096" s="64"/>
      <c r="K1096" s="66" t="b">
        <v>0</v>
      </c>
      <c r="L1096" s="66"/>
      <c r="M1096" s="67"/>
    </row>
    <row r="1097" ht="22.5" customHeight="1">
      <c r="B1097" s="59"/>
      <c r="C1097" s="60"/>
      <c r="D1097" s="61"/>
      <c r="E1097" s="62" t="str">
        <f t="shared" si="25"/>
        <v/>
      </c>
      <c r="F1097" s="62" t="str">
        <f t="shared" si="26"/>
        <v/>
      </c>
      <c r="G1097" s="63"/>
      <c r="H1097" s="60"/>
      <c r="I1097" s="64"/>
      <c r="J1097" s="64"/>
      <c r="K1097" s="66" t="b">
        <v>0</v>
      </c>
      <c r="L1097" s="66"/>
      <c r="M1097" s="67"/>
    </row>
    <row r="1098" ht="22.5" customHeight="1">
      <c r="B1098" s="59"/>
      <c r="C1098" s="60"/>
      <c r="D1098" s="61"/>
      <c r="E1098" s="62" t="str">
        <f t="shared" si="25"/>
        <v/>
      </c>
      <c r="F1098" s="62" t="str">
        <f t="shared" si="26"/>
        <v/>
      </c>
      <c r="G1098" s="63"/>
      <c r="H1098" s="60"/>
      <c r="I1098" s="64"/>
      <c r="J1098" s="64"/>
      <c r="K1098" s="66" t="b">
        <v>0</v>
      </c>
      <c r="L1098" s="66"/>
      <c r="M1098" s="67"/>
    </row>
    <row r="1099" ht="22.5" customHeight="1">
      <c r="B1099" s="59"/>
      <c r="C1099" s="60"/>
      <c r="D1099" s="61"/>
      <c r="E1099" s="62" t="str">
        <f t="shared" si="25"/>
        <v/>
      </c>
      <c r="F1099" s="62" t="str">
        <f t="shared" si="26"/>
        <v/>
      </c>
      <c r="G1099" s="63"/>
      <c r="H1099" s="60"/>
      <c r="I1099" s="64"/>
      <c r="J1099" s="64"/>
      <c r="K1099" s="66" t="b">
        <v>0</v>
      </c>
      <c r="L1099" s="66"/>
      <c r="M1099" s="67"/>
    </row>
    <row r="1100" ht="22.5" customHeight="1">
      <c r="B1100" s="59"/>
      <c r="C1100" s="60"/>
      <c r="D1100" s="61"/>
      <c r="E1100" s="62" t="str">
        <f t="shared" si="25"/>
        <v/>
      </c>
      <c r="F1100" s="62" t="str">
        <f t="shared" si="26"/>
        <v/>
      </c>
      <c r="G1100" s="63"/>
      <c r="H1100" s="60"/>
      <c r="I1100" s="64"/>
      <c r="J1100" s="64"/>
      <c r="K1100" s="66" t="b">
        <v>0</v>
      </c>
      <c r="L1100" s="66"/>
      <c r="M1100" s="67"/>
    </row>
    <row r="1101" ht="22.5" customHeight="1">
      <c r="B1101" s="59"/>
      <c r="C1101" s="60"/>
      <c r="D1101" s="61"/>
      <c r="E1101" s="62" t="str">
        <f t="shared" si="25"/>
        <v/>
      </c>
      <c r="F1101" s="62" t="str">
        <f t="shared" si="26"/>
        <v/>
      </c>
      <c r="G1101" s="63"/>
      <c r="H1101" s="60"/>
      <c r="I1101" s="64"/>
      <c r="J1101" s="64"/>
      <c r="K1101" s="66" t="b">
        <v>0</v>
      </c>
      <c r="L1101" s="66"/>
      <c r="M1101" s="67"/>
    </row>
    <row r="1102" ht="22.5" customHeight="1">
      <c r="B1102" s="59"/>
      <c r="C1102" s="60"/>
      <c r="D1102" s="61"/>
      <c r="E1102" s="62" t="str">
        <f t="shared" si="25"/>
        <v/>
      </c>
      <c r="F1102" s="62" t="str">
        <f t="shared" si="26"/>
        <v/>
      </c>
      <c r="G1102" s="63"/>
      <c r="H1102" s="60"/>
      <c r="I1102" s="64"/>
      <c r="J1102" s="64"/>
      <c r="K1102" s="66" t="b">
        <v>0</v>
      </c>
      <c r="L1102" s="66"/>
      <c r="M1102" s="67"/>
    </row>
    <row r="1103" ht="22.5" customHeight="1">
      <c r="B1103" s="59"/>
      <c r="C1103" s="60"/>
      <c r="D1103" s="61"/>
      <c r="E1103" s="62" t="str">
        <f t="shared" si="25"/>
        <v/>
      </c>
      <c r="F1103" s="62" t="str">
        <f t="shared" si="26"/>
        <v/>
      </c>
      <c r="G1103" s="63"/>
      <c r="H1103" s="60"/>
      <c r="I1103" s="64"/>
      <c r="J1103" s="64"/>
      <c r="K1103" s="66" t="b">
        <v>0</v>
      </c>
      <c r="L1103" s="66"/>
      <c r="M1103" s="67"/>
    </row>
    <row r="1104" ht="22.5" customHeight="1">
      <c r="B1104" s="59"/>
      <c r="C1104" s="60"/>
      <c r="D1104" s="61"/>
      <c r="E1104" s="62" t="str">
        <f t="shared" si="25"/>
        <v/>
      </c>
      <c r="F1104" s="62" t="str">
        <f t="shared" si="26"/>
        <v/>
      </c>
      <c r="G1104" s="63"/>
      <c r="H1104" s="60"/>
      <c r="I1104" s="64"/>
      <c r="J1104" s="64"/>
      <c r="K1104" s="66" t="b">
        <v>0</v>
      </c>
      <c r="L1104" s="66"/>
      <c r="M1104" s="67"/>
    </row>
    <row r="1105" ht="22.5" customHeight="1">
      <c r="B1105" s="59"/>
      <c r="C1105" s="60"/>
      <c r="D1105" s="61"/>
      <c r="E1105" s="62" t="str">
        <f t="shared" si="25"/>
        <v/>
      </c>
      <c r="F1105" s="62" t="str">
        <f t="shared" si="26"/>
        <v/>
      </c>
      <c r="G1105" s="63"/>
      <c r="H1105" s="60"/>
      <c r="I1105" s="64"/>
      <c r="J1105" s="64"/>
      <c r="K1105" s="66" t="b">
        <v>0</v>
      </c>
      <c r="L1105" s="66"/>
      <c r="M1105" s="67"/>
    </row>
    <row r="1106" ht="22.5" customHeight="1">
      <c r="B1106" s="59"/>
      <c r="C1106" s="60"/>
      <c r="D1106" s="61"/>
      <c r="E1106" s="62" t="str">
        <f t="shared" si="25"/>
        <v/>
      </c>
      <c r="F1106" s="62" t="str">
        <f t="shared" si="26"/>
        <v/>
      </c>
      <c r="G1106" s="63"/>
      <c r="H1106" s="60"/>
      <c r="I1106" s="64"/>
      <c r="J1106" s="64"/>
      <c r="K1106" s="66" t="b">
        <v>0</v>
      </c>
      <c r="L1106" s="66"/>
      <c r="M1106" s="67"/>
    </row>
    <row r="1107" ht="22.5" customHeight="1">
      <c r="B1107" s="59"/>
      <c r="C1107" s="60"/>
      <c r="D1107" s="61"/>
      <c r="E1107" s="62" t="str">
        <f t="shared" si="25"/>
        <v/>
      </c>
      <c r="F1107" s="62" t="str">
        <f t="shared" si="26"/>
        <v/>
      </c>
      <c r="G1107" s="63"/>
      <c r="H1107" s="60"/>
      <c r="I1107" s="64"/>
      <c r="J1107" s="64"/>
      <c r="K1107" s="66" t="b">
        <v>0</v>
      </c>
      <c r="L1107" s="66"/>
      <c r="M1107" s="67"/>
    </row>
    <row r="1108" ht="22.5" customHeight="1">
      <c r="B1108" s="59"/>
      <c r="C1108" s="60"/>
      <c r="D1108" s="61"/>
      <c r="E1108" s="62" t="str">
        <f t="shared" si="25"/>
        <v/>
      </c>
      <c r="F1108" s="62" t="str">
        <f t="shared" si="26"/>
        <v/>
      </c>
      <c r="G1108" s="63"/>
      <c r="H1108" s="60"/>
      <c r="I1108" s="64"/>
      <c r="J1108" s="64"/>
      <c r="K1108" s="66" t="b">
        <v>0</v>
      </c>
      <c r="L1108" s="66"/>
      <c r="M1108" s="67"/>
    </row>
    <row r="1109" ht="22.5" customHeight="1">
      <c r="B1109" s="59"/>
      <c r="C1109" s="60"/>
      <c r="D1109" s="61"/>
      <c r="E1109" s="62" t="str">
        <f t="shared" si="25"/>
        <v/>
      </c>
      <c r="F1109" s="62" t="str">
        <f t="shared" si="26"/>
        <v/>
      </c>
      <c r="G1109" s="63"/>
      <c r="H1109" s="60"/>
      <c r="I1109" s="64"/>
      <c r="J1109" s="64"/>
      <c r="K1109" s="66" t="b">
        <v>0</v>
      </c>
      <c r="L1109" s="66"/>
      <c r="M1109" s="67"/>
    </row>
    <row r="1110" ht="22.5" customHeight="1">
      <c r="B1110" s="59"/>
      <c r="C1110" s="60"/>
      <c r="D1110" s="61"/>
      <c r="E1110" s="62" t="str">
        <f t="shared" si="25"/>
        <v/>
      </c>
      <c r="F1110" s="62" t="str">
        <f t="shared" si="26"/>
        <v/>
      </c>
      <c r="G1110" s="63"/>
      <c r="H1110" s="60"/>
      <c r="I1110" s="64"/>
      <c r="J1110" s="64"/>
      <c r="K1110" s="66" t="b">
        <v>0</v>
      </c>
      <c r="L1110" s="66"/>
      <c r="M1110" s="67"/>
    </row>
    <row r="1111" ht="22.5" customHeight="1">
      <c r="B1111" s="59"/>
      <c r="C1111" s="60"/>
      <c r="D1111" s="61"/>
      <c r="E1111" s="62" t="str">
        <f t="shared" si="25"/>
        <v/>
      </c>
      <c r="F1111" s="62" t="str">
        <f t="shared" si="26"/>
        <v/>
      </c>
      <c r="G1111" s="63"/>
      <c r="H1111" s="60"/>
      <c r="I1111" s="64"/>
      <c r="J1111" s="64"/>
      <c r="K1111" s="66" t="b">
        <v>0</v>
      </c>
      <c r="L1111" s="66"/>
      <c r="M1111" s="67"/>
    </row>
    <row r="1112" ht="22.5" customHeight="1">
      <c r="B1112" s="59"/>
      <c r="C1112" s="60"/>
      <c r="D1112" s="61"/>
      <c r="E1112" s="62" t="str">
        <f t="shared" si="25"/>
        <v/>
      </c>
      <c r="F1112" s="62" t="str">
        <f t="shared" si="26"/>
        <v/>
      </c>
      <c r="G1112" s="63"/>
      <c r="H1112" s="60"/>
      <c r="I1112" s="64"/>
      <c r="J1112" s="64"/>
      <c r="K1112" s="66" t="b">
        <v>0</v>
      </c>
      <c r="L1112" s="66"/>
      <c r="M1112" s="67"/>
    </row>
    <row r="1113" ht="22.5" customHeight="1">
      <c r="B1113" s="59"/>
      <c r="C1113" s="60"/>
      <c r="D1113" s="61"/>
      <c r="E1113" s="62" t="str">
        <f t="shared" si="25"/>
        <v/>
      </c>
      <c r="F1113" s="62" t="str">
        <f t="shared" si="26"/>
        <v/>
      </c>
      <c r="G1113" s="63"/>
      <c r="H1113" s="60"/>
      <c r="I1113" s="64"/>
      <c r="J1113" s="64"/>
      <c r="K1113" s="66" t="b">
        <v>0</v>
      </c>
      <c r="L1113" s="66"/>
      <c r="M1113" s="67"/>
    </row>
    <row r="1114" ht="22.5" customHeight="1">
      <c r="B1114" s="59"/>
      <c r="C1114" s="60"/>
      <c r="D1114" s="61"/>
      <c r="E1114" s="62" t="str">
        <f t="shared" si="25"/>
        <v/>
      </c>
      <c r="F1114" s="62" t="str">
        <f t="shared" si="26"/>
        <v/>
      </c>
      <c r="G1114" s="63"/>
      <c r="H1114" s="60"/>
      <c r="I1114" s="64"/>
      <c r="J1114" s="64"/>
      <c r="K1114" s="66" t="b">
        <v>0</v>
      </c>
      <c r="L1114" s="66"/>
      <c r="M1114" s="67"/>
    </row>
    <row r="1115" ht="22.5" customHeight="1">
      <c r="B1115" s="59"/>
      <c r="C1115" s="60"/>
      <c r="D1115" s="61"/>
      <c r="E1115" s="62" t="str">
        <f t="shared" si="25"/>
        <v/>
      </c>
      <c r="F1115" s="62" t="str">
        <f t="shared" si="26"/>
        <v/>
      </c>
      <c r="G1115" s="63"/>
      <c r="H1115" s="60"/>
      <c r="I1115" s="64"/>
      <c r="J1115" s="64"/>
      <c r="K1115" s="66" t="b">
        <v>0</v>
      </c>
      <c r="L1115" s="66"/>
      <c r="M1115" s="67"/>
    </row>
    <row r="1116" ht="22.5" customHeight="1">
      <c r="B1116" s="59"/>
      <c r="C1116" s="60"/>
      <c r="D1116" s="61"/>
      <c r="E1116" s="62" t="str">
        <f t="shared" si="25"/>
        <v/>
      </c>
      <c r="F1116" s="62" t="str">
        <f t="shared" si="26"/>
        <v/>
      </c>
      <c r="G1116" s="63"/>
      <c r="H1116" s="60"/>
      <c r="I1116" s="64"/>
      <c r="J1116" s="64"/>
      <c r="K1116" s="66" t="b">
        <v>0</v>
      </c>
      <c r="L1116" s="66"/>
      <c r="M1116" s="67"/>
    </row>
    <row r="1117" ht="22.5" customHeight="1">
      <c r="B1117" s="59"/>
      <c r="C1117" s="60"/>
      <c r="D1117" s="61"/>
      <c r="E1117" s="62" t="str">
        <f t="shared" si="25"/>
        <v/>
      </c>
      <c r="F1117" s="62" t="str">
        <f t="shared" si="26"/>
        <v/>
      </c>
      <c r="G1117" s="63"/>
      <c r="H1117" s="60"/>
      <c r="I1117" s="64"/>
      <c r="J1117" s="64"/>
      <c r="K1117" s="66" t="b">
        <v>0</v>
      </c>
      <c r="L1117" s="66"/>
      <c r="M1117" s="67"/>
    </row>
    <row r="1118" ht="22.5" customHeight="1">
      <c r="B1118" s="59"/>
      <c r="C1118" s="60"/>
      <c r="D1118" s="61"/>
      <c r="E1118" s="62" t="str">
        <f t="shared" si="25"/>
        <v/>
      </c>
      <c r="F1118" s="62" t="str">
        <f t="shared" si="26"/>
        <v/>
      </c>
      <c r="G1118" s="63"/>
      <c r="H1118" s="60"/>
      <c r="I1118" s="64"/>
      <c r="J1118" s="64"/>
      <c r="K1118" s="66" t="b">
        <v>0</v>
      </c>
      <c r="L1118" s="66"/>
      <c r="M1118" s="67"/>
    </row>
    <row r="1119" ht="22.5" customHeight="1">
      <c r="B1119" s="59"/>
      <c r="C1119" s="60"/>
      <c r="D1119" s="61"/>
      <c r="E1119" s="62" t="str">
        <f t="shared" si="25"/>
        <v/>
      </c>
      <c r="F1119" s="62" t="str">
        <f t="shared" si="26"/>
        <v/>
      </c>
      <c r="G1119" s="63"/>
      <c r="H1119" s="60"/>
      <c r="I1119" s="64"/>
      <c r="J1119" s="64"/>
      <c r="K1119" s="66" t="b">
        <v>0</v>
      </c>
      <c r="L1119" s="66"/>
      <c r="M1119" s="67"/>
    </row>
    <row r="1120" ht="22.5" customHeight="1">
      <c r="B1120" s="59"/>
      <c r="C1120" s="60"/>
      <c r="D1120" s="61"/>
      <c r="E1120" s="62" t="str">
        <f t="shared" si="25"/>
        <v/>
      </c>
      <c r="F1120" s="62" t="str">
        <f t="shared" si="26"/>
        <v/>
      </c>
      <c r="G1120" s="63"/>
      <c r="H1120" s="60"/>
      <c r="I1120" s="64"/>
      <c r="J1120" s="64"/>
      <c r="K1120" s="66" t="b">
        <v>0</v>
      </c>
      <c r="L1120" s="66"/>
      <c r="M1120" s="67"/>
    </row>
    <row r="1121" ht="22.5" customHeight="1">
      <c r="B1121" s="59"/>
      <c r="C1121" s="60"/>
      <c r="D1121" s="61"/>
      <c r="E1121" s="62" t="str">
        <f t="shared" si="25"/>
        <v/>
      </c>
      <c r="F1121" s="62" t="str">
        <f t="shared" si="26"/>
        <v/>
      </c>
      <c r="G1121" s="63"/>
      <c r="H1121" s="60"/>
      <c r="I1121" s="64"/>
      <c r="J1121" s="64"/>
      <c r="K1121" s="66" t="b">
        <v>0</v>
      </c>
      <c r="L1121" s="66"/>
      <c r="M1121" s="67"/>
    </row>
    <row r="1122" ht="22.5" customHeight="1">
      <c r="B1122" s="59"/>
      <c r="C1122" s="60"/>
      <c r="D1122" s="61"/>
      <c r="E1122" s="62" t="str">
        <f t="shared" si="25"/>
        <v/>
      </c>
      <c r="F1122" s="62" t="str">
        <f t="shared" si="26"/>
        <v/>
      </c>
      <c r="G1122" s="63"/>
      <c r="H1122" s="60"/>
      <c r="I1122" s="64"/>
      <c r="J1122" s="64"/>
      <c r="K1122" s="66" t="b">
        <v>0</v>
      </c>
      <c r="L1122" s="66"/>
      <c r="M1122" s="67"/>
    </row>
    <row r="1123" ht="22.5" customHeight="1">
      <c r="B1123" s="59"/>
      <c r="C1123" s="60"/>
      <c r="D1123" s="61"/>
      <c r="E1123" s="62" t="str">
        <f t="shared" si="25"/>
        <v/>
      </c>
      <c r="F1123" s="62" t="str">
        <f t="shared" si="26"/>
        <v/>
      </c>
      <c r="G1123" s="63"/>
      <c r="H1123" s="60"/>
      <c r="I1123" s="64"/>
      <c r="J1123" s="64"/>
      <c r="K1123" s="66" t="b">
        <v>0</v>
      </c>
      <c r="L1123" s="66"/>
      <c r="M1123" s="67"/>
    </row>
    <row r="1124" ht="22.5" customHeight="1">
      <c r="B1124" s="59"/>
      <c r="C1124" s="60"/>
      <c r="D1124" s="61"/>
      <c r="E1124" s="62" t="str">
        <f t="shared" si="25"/>
        <v/>
      </c>
      <c r="F1124" s="62" t="str">
        <f t="shared" si="26"/>
        <v/>
      </c>
      <c r="G1124" s="63"/>
      <c r="H1124" s="60"/>
      <c r="I1124" s="64"/>
      <c r="J1124" s="64"/>
      <c r="K1124" s="66" t="b">
        <v>0</v>
      </c>
      <c r="L1124" s="66"/>
      <c r="M1124" s="67"/>
    </row>
    <row r="1125" ht="22.5" customHeight="1">
      <c r="B1125" s="59"/>
      <c r="C1125" s="60"/>
      <c r="D1125" s="61"/>
      <c r="E1125" s="62" t="str">
        <f t="shared" si="25"/>
        <v/>
      </c>
      <c r="F1125" s="62" t="str">
        <f t="shared" si="26"/>
        <v/>
      </c>
      <c r="G1125" s="63"/>
      <c r="H1125" s="60"/>
      <c r="I1125" s="64"/>
      <c r="J1125" s="64"/>
      <c r="K1125" s="66" t="b">
        <v>0</v>
      </c>
      <c r="L1125" s="66"/>
      <c r="M1125" s="67"/>
    </row>
    <row r="1126" ht="22.5" customHeight="1">
      <c r="B1126" s="59"/>
      <c r="C1126" s="60"/>
      <c r="D1126" s="61"/>
      <c r="E1126" s="62" t="str">
        <f t="shared" si="25"/>
        <v/>
      </c>
      <c r="F1126" s="62" t="str">
        <f t="shared" si="26"/>
        <v/>
      </c>
      <c r="G1126" s="63"/>
      <c r="H1126" s="60"/>
      <c r="I1126" s="64"/>
      <c r="J1126" s="64"/>
      <c r="K1126" s="66" t="b">
        <v>0</v>
      </c>
      <c r="L1126" s="66"/>
      <c r="M1126" s="67"/>
    </row>
    <row r="1127" ht="22.5" customHeight="1">
      <c r="B1127" s="59"/>
      <c r="C1127" s="60"/>
      <c r="D1127" s="61"/>
      <c r="E1127" s="62" t="str">
        <f t="shared" si="25"/>
        <v/>
      </c>
      <c r="F1127" s="62" t="str">
        <f t="shared" si="26"/>
        <v/>
      </c>
      <c r="G1127" s="63"/>
      <c r="H1127" s="60"/>
      <c r="I1127" s="64"/>
      <c r="J1127" s="64"/>
      <c r="K1127" s="66" t="b">
        <v>0</v>
      </c>
      <c r="L1127" s="66"/>
      <c r="M1127" s="67"/>
    </row>
    <row r="1128" ht="22.5" customHeight="1">
      <c r="B1128" s="59"/>
      <c r="C1128" s="60"/>
      <c r="D1128" s="61"/>
      <c r="E1128" s="62" t="str">
        <f t="shared" si="25"/>
        <v/>
      </c>
      <c r="F1128" s="62" t="str">
        <f t="shared" si="26"/>
        <v/>
      </c>
      <c r="G1128" s="63"/>
      <c r="H1128" s="60"/>
      <c r="I1128" s="64"/>
      <c r="J1128" s="64"/>
      <c r="K1128" s="66" t="b">
        <v>0</v>
      </c>
      <c r="L1128" s="66"/>
      <c r="M1128" s="67"/>
    </row>
    <row r="1129" ht="22.5" customHeight="1">
      <c r="B1129" s="59"/>
      <c r="C1129" s="60"/>
      <c r="D1129" s="61"/>
      <c r="E1129" s="62" t="str">
        <f t="shared" si="25"/>
        <v/>
      </c>
      <c r="F1129" s="62" t="str">
        <f t="shared" si="26"/>
        <v/>
      </c>
      <c r="G1129" s="63"/>
      <c r="H1129" s="60"/>
      <c r="I1129" s="64"/>
      <c r="J1129" s="64"/>
      <c r="K1129" s="66" t="b">
        <v>0</v>
      </c>
      <c r="L1129" s="66"/>
      <c r="M1129" s="67"/>
    </row>
    <row r="1130" ht="22.5" customHeight="1">
      <c r="B1130" s="59"/>
      <c r="C1130" s="60"/>
      <c r="D1130" s="61"/>
      <c r="E1130" s="62" t="str">
        <f t="shared" si="25"/>
        <v/>
      </c>
      <c r="F1130" s="62" t="str">
        <f t="shared" si="26"/>
        <v/>
      </c>
      <c r="G1130" s="63"/>
      <c r="H1130" s="60"/>
      <c r="I1130" s="64"/>
      <c r="J1130" s="64"/>
      <c r="K1130" s="66" t="b">
        <v>0</v>
      </c>
      <c r="L1130" s="66"/>
      <c r="M1130" s="67"/>
    </row>
    <row r="1131" ht="22.5" customHeight="1">
      <c r="B1131" s="59"/>
      <c r="C1131" s="60"/>
      <c r="D1131" s="61"/>
      <c r="E1131" s="62" t="str">
        <f t="shared" si="25"/>
        <v/>
      </c>
      <c r="F1131" s="62" t="str">
        <f t="shared" si="26"/>
        <v/>
      </c>
      <c r="G1131" s="63"/>
      <c r="H1131" s="60"/>
      <c r="I1131" s="64"/>
      <c r="J1131" s="64"/>
      <c r="K1131" s="66" t="b">
        <v>0</v>
      </c>
      <c r="L1131" s="66"/>
      <c r="M1131" s="67"/>
    </row>
    <row r="1132" ht="22.5" customHeight="1">
      <c r="B1132" s="59"/>
      <c r="C1132" s="60"/>
      <c r="D1132" s="61"/>
      <c r="E1132" s="62" t="str">
        <f t="shared" si="25"/>
        <v/>
      </c>
      <c r="F1132" s="62" t="str">
        <f t="shared" si="26"/>
        <v/>
      </c>
      <c r="G1132" s="63"/>
      <c r="H1132" s="60"/>
      <c r="I1132" s="64"/>
      <c r="J1132" s="64"/>
      <c r="K1132" s="66" t="b">
        <v>0</v>
      </c>
      <c r="L1132" s="66"/>
      <c r="M1132" s="67"/>
    </row>
    <row r="1133" ht="22.5" customHeight="1">
      <c r="B1133" s="59"/>
      <c r="C1133" s="60"/>
      <c r="D1133" s="61"/>
      <c r="E1133" s="62" t="str">
        <f t="shared" si="25"/>
        <v/>
      </c>
      <c r="F1133" s="62" t="str">
        <f t="shared" si="26"/>
        <v/>
      </c>
      <c r="G1133" s="63"/>
      <c r="H1133" s="60"/>
      <c r="I1133" s="64"/>
      <c r="J1133" s="64"/>
      <c r="K1133" s="66" t="b">
        <v>0</v>
      </c>
      <c r="L1133" s="66"/>
      <c r="M1133" s="67"/>
    </row>
    <row r="1134" ht="22.5" customHeight="1">
      <c r="B1134" s="59"/>
      <c r="C1134" s="60"/>
      <c r="D1134" s="61"/>
      <c r="E1134" s="62" t="str">
        <f t="shared" si="25"/>
        <v/>
      </c>
      <c r="F1134" s="62" t="str">
        <f t="shared" si="26"/>
        <v/>
      </c>
      <c r="G1134" s="63"/>
      <c r="H1134" s="60"/>
      <c r="I1134" s="64"/>
      <c r="J1134" s="64"/>
      <c r="K1134" s="66" t="b">
        <v>0</v>
      </c>
      <c r="L1134" s="66"/>
      <c r="M1134" s="67"/>
    </row>
    <row r="1135" ht="22.5" customHeight="1">
      <c r="B1135" s="59"/>
      <c r="C1135" s="60"/>
      <c r="D1135" s="61"/>
      <c r="E1135" s="62" t="str">
        <f t="shared" si="25"/>
        <v/>
      </c>
      <c r="F1135" s="62" t="str">
        <f t="shared" si="26"/>
        <v/>
      </c>
      <c r="G1135" s="63"/>
      <c r="H1135" s="60"/>
      <c r="I1135" s="64"/>
      <c r="J1135" s="64"/>
      <c r="K1135" s="66" t="b">
        <v>0</v>
      </c>
      <c r="L1135" s="66"/>
      <c r="M1135" s="67"/>
    </row>
    <row r="1136" ht="22.5" customHeight="1">
      <c r="B1136" s="59"/>
      <c r="C1136" s="60"/>
      <c r="D1136" s="61"/>
      <c r="E1136" s="62" t="str">
        <f t="shared" si="25"/>
        <v/>
      </c>
      <c r="F1136" s="62" t="str">
        <f t="shared" si="26"/>
        <v/>
      </c>
      <c r="G1136" s="63"/>
      <c r="H1136" s="60"/>
      <c r="I1136" s="64"/>
      <c r="J1136" s="64"/>
      <c r="K1136" s="66" t="b">
        <v>0</v>
      </c>
      <c r="L1136" s="66"/>
      <c r="M1136" s="67"/>
    </row>
    <row r="1137" ht="22.5" customHeight="1">
      <c r="B1137" s="59"/>
      <c r="C1137" s="60"/>
      <c r="D1137" s="61"/>
      <c r="E1137" s="62" t="str">
        <f t="shared" si="25"/>
        <v/>
      </c>
      <c r="F1137" s="62" t="str">
        <f t="shared" si="26"/>
        <v/>
      </c>
      <c r="G1137" s="63"/>
      <c r="H1137" s="60"/>
      <c r="I1137" s="64"/>
      <c r="J1137" s="64"/>
      <c r="K1137" s="66" t="b">
        <v>0</v>
      </c>
      <c r="L1137" s="66"/>
      <c r="M1137" s="67"/>
    </row>
    <row r="1138" ht="22.5" customHeight="1">
      <c r="B1138" s="59"/>
      <c r="C1138" s="60"/>
      <c r="D1138" s="61"/>
      <c r="E1138" s="62" t="str">
        <f t="shared" si="25"/>
        <v/>
      </c>
      <c r="F1138" s="62" t="str">
        <f t="shared" si="26"/>
        <v/>
      </c>
      <c r="G1138" s="63"/>
      <c r="H1138" s="60"/>
      <c r="I1138" s="64"/>
      <c r="J1138" s="64"/>
      <c r="K1138" s="66" t="b">
        <v>0</v>
      </c>
      <c r="L1138" s="66"/>
      <c r="M1138" s="67"/>
    </row>
    <row r="1139" ht="22.5" customHeight="1">
      <c r="B1139" s="59"/>
      <c r="C1139" s="60"/>
      <c r="D1139" s="61"/>
      <c r="E1139" s="62" t="str">
        <f t="shared" si="25"/>
        <v/>
      </c>
      <c r="F1139" s="62" t="str">
        <f t="shared" si="26"/>
        <v/>
      </c>
      <c r="G1139" s="63"/>
      <c r="H1139" s="60"/>
      <c r="I1139" s="64"/>
      <c r="J1139" s="64"/>
      <c r="K1139" s="66" t="b">
        <v>0</v>
      </c>
      <c r="L1139" s="66"/>
      <c r="M1139" s="67"/>
    </row>
    <row r="1140" ht="22.5" customHeight="1">
      <c r="B1140" s="59"/>
      <c r="C1140" s="60"/>
      <c r="D1140" s="61"/>
      <c r="E1140" s="62" t="str">
        <f t="shared" si="25"/>
        <v/>
      </c>
      <c r="F1140" s="62" t="str">
        <f t="shared" si="26"/>
        <v/>
      </c>
      <c r="G1140" s="63"/>
      <c r="H1140" s="60"/>
      <c r="I1140" s="64"/>
      <c r="J1140" s="64"/>
      <c r="K1140" s="66" t="b">
        <v>0</v>
      </c>
      <c r="L1140" s="66"/>
      <c r="M1140" s="67"/>
    </row>
    <row r="1141" ht="22.5" customHeight="1">
      <c r="B1141" s="59"/>
      <c r="C1141" s="60"/>
      <c r="D1141" s="61"/>
      <c r="E1141" s="62" t="str">
        <f t="shared" si="25"/>
        <v/>
      </c>
      <c r="F1141" s="62" t="str">
        <f t="shared" si="26"/>
        <v/>
      </c>
      <c r="G1141" s="63"/>
      <c r="H1141" s="60"/>
      <c r="I1141" s="64"/>
      <c r="J1141" s="64"/>
      <c r="K1141" s="66" t="b">
        <v>0</v>
      </c>
      <c r="L1141" s="66"/>
      <c r="M1141" s="67"/>
    </row>
    <row r="1142" ht="22.5" customHeight="1">
      <c r="B1142" s="59"/>
      <c r="C1142" s="60"/>
      <c r="D1142" s="61"/>
      <c r="E1142" s="62" t="str">
        <f t="shared" si="25"/>
        <v/>
      </c>
      <c r="F1142" s="62" t="str">
        <f t="shared" si="26"/>
        <v/>
      </c>
      <c r="G1142" s="63"/>
      <c r="H1142" s="60"/>
      <c r="I1142" s="64"/>
      <c r="J1142" s="64"/>
      <c r="K1142" s="66" t="b">
        <v>0</v>
      </c>
      <c r="L1142" s="66"/>
      <c r="M1142" s="67"/>
    </row>
    <row r="1143" ht="22.5" customHeight="1">
      <c r="B1143" s="59"/>
      <c r="C1143" s="60"/>
      <c r="D1143" s="61"/>
      <c r="E1143" s="62" t="str">
        <f t="shared" si="25"/>
        <v/>
      </c>
      <c r="F1143" s="62" t="str">
        <f t="shared" si="26"/>
        <v/>
      </c>
      <c r="G1143" s="63"/>
      <c r="H1143" s="60"/>
      <c r="I1143" s="64"/>
      <c r="J1143" s="64"/>
      <c r="K1143" s="66" t="b">
        <v>0</v>
      </c>
      <c r="L1143" s="66"/>
      <c r="M1143" s="67"/>
    </row>
    <row r="1144" ht="22.5" customHeight="1">
      <c r="B1144" s="59"/>
      <c r="C1144" s="60"/>
      <c r="D1144" s="61"/>
      <c r="E1144" s="62" t="str">
        <f t="shared" si="25"/>
        <v/>
      </c>
      <c r="F1144" s="62" t="str">
        <f t="shared" si="26"/>
        <v/>
      </c>
      <c r="G1144" s="63"/>
      <c r="H1144" s="60"/>
      <c r="I1144" s="64"/>
      <c r="J1144" s="64"/>
      <c r="K1144" s="66" t="b">
        <v>0</v>
      </c>
      <c r="L1144" s="66"/>
      <c r="M1144" s="67"/>
    </row>
    <row r="1145" ht="22.5" customHeight="1">
      <c r="B1145" s="59"/>
      <c r="C1145" s="60"/>
      <c r="D1145" s="61"/>
      <c r="E1145" s="62" t="str">
        <f t="shared" si="25"/>
        <v/>
      </c>
      <c r="F1145" s="62" t="str">
        <f t="shared" si="26"/>
        <v/>
      </c>
      <c r="G1145" s="63"/>
      <c r="H1145" s="60"/>
      <c r="I1145" s="64"/>
      <c r="J1145" s="64"/>
      <c r="K1145" s="66" t="b">
        <v>0</v>
      </c>
      <c r="L1145" s="66"/>
      <c r="M1145" s="67"/>
    </row>
    <row r="1146" ht="22.5" customHeight="1">
      <c r="B1146" s="59"/>
      <c r="C1146" s="60"/>
      <c r="D1146" s="61"/>
      <c r="E1146" s="62" t="str">
        <f t="shared" si="25"/>
        <v/>
      </c>
      <c r="F1146" s="62" t="str">
        <f t="shared" si="26"/>
        <v/>
      </c>
      <c r="G1146" s="63"/>
      <c r="H1146" s="60"/>
      <c r="I1146" s="64"/>
      <c r="J1146" s="64"/>
      <c r="K1146" s="66" t="b">
        <v>0</v>
      </c>
      <c r="L1146" s="66"/>
      <c r="M1146" s="67"/>
    </row>
    <row r="1147" ht="22.5" customHeight="1">
      <c r="B1147" s="59"/>
      <c r="C1147" s="60"/>
      <c r="D1147" s="61"/>
      <c r="E1147" s="62" t="str">
        <f t="shared" si="25"/>
        <v/>
      </c>
      <c r="F1147" s="62" t="str">
        <f t="shared" si="26"/>
        <v/>
      </c>
      <c r="G1147" s="63"/>
      <c r="H1147" s="60"/>
      <c r="I1147" s="64"/>
      <c r="J1147" s="64"/>
      <c r="K1147" s="66" t="b">
        <v>0</v>
      </c>
      <c r="L1147" s="66"/>
      <c r="M1147" s="67"/>
    </row>
    <row r="1148" ht="22.5" customHeight="1">
      <c r="B1148" s="59"/>
      <c r="C1148" s="60"/>
      <c r="D1148" s="61"/>
      <c r="E1148" s="62" t="str">
        <f t="shared" si="25"/>
        <v/>
      </c>
      <c r="F1148" s="62" t="str">
        <f t="shared" si="26"/>
        <v/>
      </c>
      <c r="G1148" s="63"/>
      <c r="H1148" s="60"/>
      <c r="I1148" s="64"/>
      <c r="J1148" s="64"/>
      <c r="K1148" s="66" t="b">
        <v>0</v>
      </c>
      <c r="L1148" s="66"/>
      <c r="M1148" s="67"/>
    </row>
    <row r="1149" ht="22.5" customHeight="1">
      <c r="B1149" s="59"/>
      <c r="C1149" s="60"/>
      <c r="D1149" s="61"/>
      <c r="E1149" s="62" t="str">
        <f t="shared" si="25"/>
        <v/>
      </c>
      <c r="F1149" s="62" t="str">
        <f t="shared" si="26"/>
        <v/>
      </c>
      <c r="G1149" s="63"/>
      <c r="H1149" s="60"/>
      <c r="I1149" s="64"/>
      <c r="J1149" s="64"/>
      <c r="K1149" s="66" t="b">
        <v>0</v>
      </c>
      <c r="L1149" s="66"/>
      <c r="M1149" s="67"/>
    </row>
    <row r="1150" ht="22.5" customHeight="1">
      <c r="B1150" s="59"/>
      <c r="C1150" s="60"/>
      <c r="D1150" s="61"/>
      <c r="E1150" s="62" t="str">
        <f t="shared" si="25"/>
        <v/>
      </c>
      <c r="F1150" s="62" t="str">
        <f t="shared" si="26"/>
        <v/>
      </c>
      <c r="G1150" s="63"/>
      <c r="H1150" s="60"/>
      <c r="I1150" s="64"/>
      <c r="J1150" s="64"/>
      <c r="K1150" s="66" t="b">
        <v>0</v>
      </c>
      <c r="L1150" s="66"/>
      <c r="M1150" s="67"/>
    </row>
    <row r="1151" ht="22.5" customHeight="1">
      <c r="B1151" s="59"/>
      <c r="C1151" s="60"/>
      <c r="D1151" s="61"/>
      <c r="E1151" s="62" t="str">
        <f t="shared" si="25"/>
        <v/>
      </c>
      <c r="F1151" s="62" t="str">
        <f t="shared" si="26"/>
        <v/>
      </c>
      <c r="G1151" s="63"/>
      <c r="H1151" s="60"/>
      <c r="I1151" s="64"/>
      <c r="J1151" s="64"/>
      <c r="K1151" s="66" t="b">
        <v>0</v>
      </c>
      <c r="L1151" s="66"/>
      <c r="M1151" s="67"/>
    </row>
    <row r="1152" ht="22.5" customHeight="1">
      <c r="B1152" s="59"/>
      <c r="C1152" s="60"/>
      <c r="D1152" s="61"/>
      <c r="E1152" s="62" t="str">
        <f t="shared" si="25"/>
        <v/>
      </c>
      <c r="F1152" s="62" t="str">
        <f t="shared" si="26"/>
        <v/>
      </c>
      <c r="G1152" s="63"/>
      <c r="H1152" s="60"/>
      <c r="I1152" s="64"/>
      <c r="J1152" s="64"/>
      <c r="K1152" s="66" t="b">
        <v>0</v>
      </c>
      <c r="L1152" s="66"/>
      <c r="M1152" s="67"/>
    </row>
    <row r="1153" ht="22.5" customHeight="1">
      <c r="B1153" s="59"/>
      <c r="C1153" s="60"/>
      <c r="D1153" s="61"/>
      <c r="E1153" s="62" t="str">
        <f t="shared" si="25"/>
        <v/>
      </c>
      <c r="F1153" s="62" t="str">
        <f t="shared" si="26"/>
        <v/>
      </c>
      <c r="G1153" s="63"/>
      <c r="H1153" s="60"/>
      <c r="I1153" s="64"/>
      <c r="J1153" s="64"/>
      <c r="K1153" s="66" t="b">
        <v>0</v>
      </c>
      <c r="L1153" s="66"/>
      <c r="M1153" s="67"/>
    </row>
    <row r="1154" ht="22.5" customHeight="1">
      <c r="B1154" s="59"/>
      <c r="C1154" s="60"/>
      <c r="D1154" s="61"/>
      <c r="E1154" s="62" t="str">
        <f t="shared" si="25"/>
        <v/>
      </c>
      <c r="F1154" s="62" t="str">
        <f t="shared" si="26"/>
        <v/>
      </c>
      <c r="G1154" s="63"/>
      <c r="H1154" s="60"/>
      <c r="I1154" s="64"/>
      <c r="J1154" s="64"/>
      <c r="K1154" s="66" t="b">
        <v>0</v>
      </c>
      <c r="L1154" s="66"/>
      <c r="M1154" s="67"/>
    </row>
    <row r="1155" ht="22.5" customHeight="1">
      <c r="B1155" s="59"/>
      <c r="C1155" s="60"/>
      <c r="D1155" s="61"/>
      <c r="E1155" s="62" t="str">
        <f t="shared" si="25"/>
        <v/>
      </c>
      <c r="F1155" s="62" t="str">
        <f t="shared" si="26"/>
        <v/>
      </c>
      <c r="G1155" s="63"/>
      <c r="H1155" s="60"/>
      <c r="I1155" s="64"/>
      <c r="J1155" s="64"/>
      <c r="K1155" s="66" t="b">
        <v>0</v>
      </c>
      <c r="L1155" s="66"/>
      <c r="M1155" s="67"/>
    </row>
    <row r="1156" ht="22.5" customHeight="1">
      <c r="B1156" s="59"/>
      <c r="C1156" s="60"/>
      <c r="D1156" s="61"/>
      <c r="E1156" s="62" t="str">
        <f t="shared" si="25"/>
        <v/>
      </c>
      <c r="F1156" s="62" t="str">
        <f t="shared" si="26"/>
        <v/>
      </c>
      <c r="G1156" s="63"/>
      <c r="H1156" s="60"/>
      <c r="I1156" s="64"/>
      <c r="J1156" s="64"/>
      <c r="K1156" s="66" t="b">
        <v>0</v>
      </c>
      <c r="L1156" s="66"/>
      <c r="M1156" s="67"/>
    </row>
    <row r="1157" ht="22.5" customHeight="1">
      <c r="B1157" s="59"/>
      <c r="C1157" s="60"/>
      <c r="D1157" s="61"/>
      <c r="E1157" s="62" t="str">
        <f t="shared" si="25"/>
        <v/>
      </c>
      <c r="F1157" s="62" t="str">
        <f t="shared" si="26"/>
        <v/>
      </c>
      <c r="G1157" s="63"/>
      <c r="H1157" s="60"/>
      <c r="I1157" s="64"/>
      <c r="J1157" s="64"/>
      <c r="K1157" s="66" t="b">
        <v>0</v>
      </c>
      <c r="L1157" s="66"/>
      <c r="M1157" s="67"/>
    </row>
    <row r="1158" ht="22.5" customHeight="1">
      <c r="B1158" s="59"/>
      <c r="C1158" s="60"/>
      <c r="D1158" s="61"/>
      <c r="E1158" s="62" t="str">
        <f t="shared" si="25"/>
        <v/>
      </c>
      <c r="F1158" s="62" t="str">
        <f t="shared" si="26"/>
        <v/>
      </c>
      <c r="G1158" s="63"/>
      <c r="H1158" s="60"/>
      <c r="I1158" s="64"/>
      <c r="J1158" s="64"/>
      <c r="K1158" s="66" t="b">
        <v>0</v>
      </c>
      <c r="L1158" s="66"/>
      <c r="M1158" s="67"/>
    </row>
    <row r="1159" ht="22.5" customHeight="1">
      <c r="B1159" s="59"/>
      <c r="C1159" s="60"/>
      <c r="D1159" s="61"/>
      <c r="E1159" s="62" t="str">
        <f t="shared" si="25"/>
        <v/>
      </c>
      <c r="F1159" s="62" t="str">
        <f t="shared" si="26"/>
        <v/>
      </c>
      <c r="G1159" s="63"/>
      <c r="H1159" s="60"/>
      <c r="I1159" s="64"/>
      <c r="J1159" s="64"/>
      <c r="K1159" s="66" t="b">
        <v>0</v>
      </c>
      <c r="L1159" s="66"/>
      <c r="M1159" s="67"/>
    </row>
    <row r="1160" ht="22.5" customHeight="1">
      <c r="B1160" s="59"/>
      <c r="C1160" s="60"/>
      <c r="D1160" s="61"/>
      <c r="E1160" s="62" t="str">
        <f t="shared" si="25"/>
        <v/>
      </c>
      <c r="F1160" s="62" t="str">
        <f t="shared" si="26"/>
        <v/>
      </c>
      <c r="G1160" s="63"/>
      <c r="H1160" s="60"/>
      <c r="I1160" s="64"/>
      <c r="J1160" s="64"/>
      <c r="K1160" s="66" t="b">
        <v>0</v>
      </c>
      <c r="L1160" s="66"/>
      <c r="M1160" s="67"/>
    </row>
    <row r="1161" ht="22.5" customHeight="1">
      <c r="B1161" s="59"/>
      <c r="C1161" s="60"/>
      <c r="D1161" s="61"/>
      <c r="E1161" s="62" t="str">
        <f t="shared" si="25"/>
        <v/>
      </c>
      <c r="F1161" s="62" t="str">
        <f t="shared" si="26"/>
        <v/>
      </c>
      <c r="G1161" s="63"/>
      <c r="H1161" s="60"/>
      <c r="I1161" s="64"/>
      <c r="J1161" s="64"/>
      <c r="K1161" s="66" t="b">
        <v>0</v>
      </c>
      <c r="L1161" s="66"/>
      <c r="M1161" s="67"/>
    </row>
    <row r="1162" ht="22.5" customHeight="1">
      <c r="B1162" s="59"/>
      <c r="C1162" s="60"/>
      <c r="D1162" s="61"/>
      <c r="E1162" s="62" t="str">
        <f t="shared" si="25"/>
        <v/>
      </c>
      <c r="F1162" s="62" t="str">
        <f t="shared" si="26"/>
        <v/>
      </c>
      <c r="G1162" s="63"/>
      <c r="H1162" s="60"/>
      <c r="I1162" s="64"/>
      <c r="J1162" s="64"/>
      <c r="K1162" s="66" t="b">
        <v>0</v>
      </c>
      <c r="L1162" s="66"/>
      <c r="M1162" s="67"/>
    </row>
    <row r="1163" ht="22.5" customHeight="1">
      <c r="B1163" s="59"/>
      <c r="C1163" s="60"/>
      <c r="D1163" s="61"/>
      <c r="E1163" s="62" t="str">
        <f t="shared" si="25"/>
        <v/>
      </c>
      <c r="F1163" s="62" t="str">
        <f t="shared" si="26"/>
        <v/>
      </c>
      <c r="G1163" s="63"/>
      <c r="H1163" s="60"/>
      <c r="I1163" s="64"/>
      <c r="J1163" s="64"/>
      <c r="K1163" s="66" t="b">
        <v>0</v>
      </c>
      <c r="L1163" s="66"/>
      <c r="M1163" s="67"/>
    </row>
    <row r="1164" ht="22.5" customHeight="1">
      <c r="B1164" s="59"/>
      <c r="C1164" s="60"/>
      <c r="D1164" s="61"/>
      <c r="E1164" s="62" t="str">
        <f t="shared" si="25"/>
        <v/>
      </c>
      <c r="F1164" s="62" t="str">
        <f t="shared" si="26"/>
        <v/>
      </c>
      <c r="G1164" s="63"/>
      <c r="H1164" s="60"/>
      <c r="I1164" s="64"/>
      <c r="J1164" s="64"/>
      <c r="K1164" s="66" t="b">
        <v>0</v>
      </c>
      <c r="L1164" s="66"/>
      <c r="M1164" s="67"/>
    </row>
    <row r="1165" ht="22.5" customHeight="1">
      <c r="B1165" s="59"/>
      <c r="C1165" s="60"/>
      <c r="D1165" s="61"/>
      <c r="E1165" s="62" t="str">
        <f t="shared" si="25"/>
        <v/>
      </c>
      <c r="F1165" s="62" t="str">
        <f t="shared" si="26"/>
        <v/>
      </c>
      <c r="G1165" s="63"/>
      <c r="H1165" s="60"/>
      <c r="I1165" s="64"/>
      <c r="J1165" s="64"/>
      <c r="K1165" s="66" t="b">
        <v>0</v>
      </c>
      <c r="L1165" s="66"/>
      <c r="M1165" s="67"/>
    </row>
    <row r="1166" ht="22.5" customHeight="1">
      <c r="B1166" s="59"/>
      <c r="C1166" s="60"/>
      <c r="D1166" s="61"/>
      <c r="E1166" s="62" t="str">
        <f t="shared" si="25"/>
        <v/>
      </c>
      <c r="F1166" s="62" t="str">
        <f t="shared" si="26"/>
        <v/>
      </c>
      <c r="G1166" s="63"/>
      <c r="H1166" s="60"/>
      <c r="I1166" s="64"/>
      <c r="J1166" s="64"/>
      <c r="K1166" s="66" t="b">
        <v>0</v>
      </c>
      <c r="L1166" s="66"/>
      <c r="M1166" s="67"/>
    </row>
    <row r="1167" ht="22.5" customHeight="1">
      <c r="B1167" s="59"/>
      <c r="C1167" s="60"/>
      <c r="D1167" s="61"/>
      <c r="E1167" s="62" t="str">
        <f t="shared" si="25"/>
        <v/>
      </c>
      <c r="F1167" s="62" t="str">
        <f t="shared" si="26"/>
        <v/>
      </c>
      <c r="G1167" s="63"/>
      <c r="H1167" s="60"/>
      <c r="I1167" s="64"/>
      <c r="J1167" s="64"/>
      <c r="K1167" s="66" t="b">
        <v>0</v>
      </c>
      <c r="L1167" s="66"/>
      <c r="M1167" s="67"/>
    </row>
    <row r="1168" ht="22.5" customHeight="1">
      <c r="B1168" s="59"/>
      <c r="C1168" s="60"/>
      <c r="D1168" s="61"/>
      <c r="E1168" s="62" t="str">
        <f t="shared" si="25"/>
        <v/>
      </c>
      <c r="F1168" s="62" t="str">
        <f t="shared" si="26"/>
        <v/>
      </c>
      <c r="G1168" s="63"/>
      <c r="H1168" s="60"/>
      <c r="I1168" s="64"/>
      <c r="J1168" s="64"/>
      <c r="K1168" s="66" t="b">
        <v>0</v>
      </c>
      <c r="L1168" s="66"/>
      <c r="M1168" s="67"/>
    </row>
    <row r="1169" ht="22.5" customHeight="1">
      <c r="B1169" s="59"/>
      <c r="C1169" s="60"/>
      <c r="D1169" s="61"/>
      <c r="E1169" s="62" t="str">
        <f t="shared" si="25"/>
        <v/>
      </c>
      <c r="F1169" s="62" t="str">
        <f t="shared" si="26"/>
        <v/>
      </c>
      <c r="G1169" s="63"/>
      <c r="H1169" s="60"/>
      <c r="I1169" s="64"/>
      <c r="J1169" s="64"/>
      <c r="K1169" s="66" t="b">
        <v>0</v>
      </c>
      <c r="L1169" s="66"/>
      <c r="M1169" s="67"/>
    </row>
    <row r="1170" ht="22.5" customHeight="1">
      <c r="B1170" s="59"/>
      <c r="C1170" s="60"/>
      <c r="D1170" s="61"/>
      <c r="E1170" s="62" t="str">
        <f t="shared" si="25"/>
        <v/>
      </c>
      <c r="F1170" s="62" t="str">
        <f t="shared" si="26"/>
        <v/>
      </c>
      <c r="G1170" s="63"/>
      <c r="H1170" s="60"/>
      <c r="I1170" s="64"/>
      <c r="J1170" s="64"/>
      <c r="K1170" s="66" t="b">
        <v>0</v>
      </c>
      <c r="L1170" s="66"/>
      <c r="M1170" s="67"/>
    </row>
    <row r="1171" ht="22.5" customHeight="1">
      <c r="B1171" s="59"/>
      <c r="C1171" s="60"/>
      <c r="D1171" s="61"/>
      <c r="E1171" s="62" t="str">
        <f t="shared" si="25"/>
        <v/>
      </c>
      <c r="F1171" s="62" t="str">
        <f t="shared" si="26"/>
        <v/>
      </c>
      <c r="G1171" s="63"/>
      <c r="H1171" s="60"/>
      <c r="I1171" s="64"/>
      <c r="J1171" s="64"/>
      <c r="K1171" s="66" t="b">
        <v>0</v>
      </c>
      <c r="L1171" s="66"/>
      <c r="M1171" s="67"/>
    </row>
    <row r="1172" ht="22.5" customHeight="1">
      <c r="B1172" s="59"/>
      <c r="C1172" s="60"/>
      <c r="D1172" s="61"/>
      <c r="E1172" s="62" t="str">
        <f t="shared" si="25"/>
        <v/>
      </c>
      <c r="F1172" s="62" t="str">
        <f t="shared" si="26"/>
        <v/>
      </c>
      <c r="G1172" s="63"/>
      <c r="H1172" s="60"/>
      <c r="I1172" s="64"/>
      <c r="J1172" s="64"/>
      <c r="K1172" s="66" t="b">
        <v>0</v>
      </c>
      <c r="L1172" s="66"/>
      <c r="M1172" s="67"/>
    </row>
    <row r="1173" ht="22.5" customHeight="1">
      <c r="B1173" s="59"/>
      <c r="C1173" s="60"/>
      <c r="D1173" s="61"/>
      <c r="E1173" s="62" t="str">
        <f t="shared" si="25"/>
        <v/>
      </c>
      <c r="F1173" s="62" t="str">
        <f t="shared" si="26"/>
        <v/>
      </c>
      <c r="G1173" s="63"/>
      <c r="H1173" s="60"/>
      <c r="I1173" s="64"/>
      <c r="J1173" s="64"/>
      <c r="K1173" s="66" t="b">
        <v>0</v>
      </c>
      <c r="L1173" s="66"/>
      <c r="M1173" s="67"/>
    </row>
    <row r="1174" ht="22.5" customHeight="1">
      <c r="B1174" s="59"/>
      <c r="C1174" s="60"/>
      <c r="D1174" s="61"/>
      <c r="E1174" s="62" t="str">
        <f t="shared" si="25"/>
        <v/>
      </c>
      <c r="F1174" s="62" t="str">
        <f t="shared" si="26"/>
        <v/>
      </c>
      <c r="G1174" s="63"/>
      <c r="H1174" s="60"/>
      <c r="I1174" s="64"/>
      <c r="J1174" s="64"/>
      <c r="K1174" s="66" t="b">
        <v>0</v>
      </c>
      <c r="L1174" s="66"/>
      <c r="M1174" s="67"/>
    </row>
    <row r="1175" ht="22.5" customHeight="1">
      <c r="B1175" s="59"/>
      <c r="C1175" s="60"/>
      <c r="D1175" s="61"/>
      <c r="E1175" s="62" t="str">
        <f t="shared" si="25"/>
        <v/>
      </c>
      <c r="F1175" s="62" t="str">
        <f t="shared" si="26"/>
        <v/>
      </c>
      <c r="G1175" s="63"/>
      <c r="H1175" s="60"/>
      <c r="I1175" s="64"/>
      <c r="J1175" s="64"/>
      <c r="K1175" s="66" t="b">
        <v>0</v>
      </c>
      <c r="L1175" s="66"/>
      <c r="M1175" s="67"/>
    </row>
    <row r="1176" ht="22.5" customHeight="1">
      <c r="B1176" s="59"/>
      <c r="C1176" s="60"/>
      <c r="D1176" s="61"/>
      <c r="E1176" s="62" t="str">
        <f t="shared" si="25"/>
        <v/>
      </c>
      <c r="F1176" s="62" t="str">
        <f t="shared" si="26"/>
        <v/>
      </c>
      <c r="G1176" s="63"/>
      <c r="H1176" s="60"/>
      <c r="I1176" s="64"/>
      <c r="J1176" s="64"/>
      <c r="K1176" s="66" t="b">
        <v>0</v>
      </c>
      <c r="L1176" s="66"/>
      <c r="M1176" s="67"/>
    </row>
    <row r="1177" ht="22.5" customHeight="1">
      <c r="B1177" s="59"/>
      <c r="C1177" s="60"/>
      <c r="D1177" s="61"/>
      <c r="E1177" s="62" t="str">
        <f t="shared" si="25"/>
        <v/>
      </c>
      <c r="F1177" s="62" t="str">
        <f t="shared" si="26"/>
        <v/>
      </c>
      <c r="G1177" s="63"/>
      <c r="H1177" s="60"/>
      <c r="I1177" s="64"/>
      <c r="J1177" s="64"/>
      <c r="K1177" s="66" t="b">
        <v>0</v>
      </c>
      <c r="L1177" s="66"/>
      <c r="M1177" s="67"/>
    </row>
    <row r="1178" ht="22.5" customHeight="1">
      <c r="B1178" s="59"/>
      <c r="C1178" s="60"/>
      <c r="D1178" s="61"/>
      <c r="E1178" s="62" t="str">
        <f t="shared" si="25"/>
        <v/>
      </c>
      <c r="F1178" s="62" t="str">
        <f t="shared" si="26"/>
        <v/>
      </c>
      <c r="G1178" s="63"/>
      <c r="H1178" s="60"/>
      <c r="I1178" s="64"/>
      <c r="J1178" s="64"/>
      <c r="K1178" s="66" t="b">
        <v>0</v>
      </c>
      <c r="L1178" s="66"/>
      <c r="M1178" s="67"/>
    </row>
    <row r="1179" ht="22.5" customHeight="1">
      <c r="B1179" s="59"/>
      <c r="C1179" s="60"/>
      <c r="D1179" s="61"/>
      <c r="E1179" s="62" t="str">
        <f t="shared" si="25"/>
        <v/>
      </c>
      <c r="F1179" s="62" t="str">
        <f t="shared" si="26"/>
        <v/>
      </c>
      <c r="G1179" s="63"/>
      <c r="H1179" s="60"/>
      <c r="I1179" s="64"/>
      <c r="J1179" s="64"/>
      <c r="K1179" s="66" t="b">
        <v>0</v>
      </c>
      <c r="L1179" s="66"/>
      <c r="M1179" s="67"/>
    </row>
    <row r="1180" ht="22.5" customHeight="1">
      <c r="B1180" s="59"/>
      <c r="C1180" s="60"/>
      <c r="D1180" s="61"/>
      <c r="E1180" s="62" t="str">
        <f t="shared" si="25"/>
        <v/>
      </c>
      <c r="F1180" s="62" t="str">
        <f t="shared" si="26"/>
        <v/>
      </c>
      <c r="G1180" s="63"/>
      <c r="H1180" s="60"/>
      <c r="I1180" s="64"/>
      <c r="J1180" s="64"/>
      <c r="K1180" s="66" t="b">
        <v>0</v>
      </c>
      <c r="L1180" s="66"/>
      <c r="M1180" s="67"/>
    </row>
    <row r="1181" ht="22.5" customHeight="1">
      <c r="B1181" s="59"/>
      <c r="C1181" s="60"/>
      <c r="D1181" s="61"/>
      <c r="E1181" s="62" t="str">
        <f t="shared" si="25"/>
        <v/>
      </c>
      <c r="F1181" s="62" t="str">
        <f t="shared" si="26"/>
        <v/>
      </c>
      <c r="G1181" s="63"/>
      <c r="H1181" s="60"/>
      <c r="I1181" s="64"/>
      <c r="J1181" s="64"/>
      <c r="K1181" s="66" t="b">
        <v>0</v>
      </c>
      <c r="L1181" s="66"/>
      <c r="M1181" s="67"/>
    </row>
    <row r="1182" ht="22.5" customHeight="1">
      <c r="B1182" s="59"/>
      <c r="C1182" s="60"/>
      <c r="D1182" s="61"/>
      <c r="E1182" s="62" t="str">
        <f t="shared" si="25"/>
        <v/>
      </c>
      <c r="F1182" s="62" t="str">
        <f t="shared" si="26"/>
        <v/>
      </c>
      <c r="G1182" s="63"/>
      <c r="H1182" s="60"/>
      <c r="I1182" s="64"/>
      <c r="J1182" s="64"/>
      <c r="K1182" s="66" t="b">
        <v>0</v>
      </c>
      <c r="L1182" s="66"/>
      <c r="M1182" s="67"/>
    </row>
    <row r="1183" ht="22.5" customHeight="1">
      <c r="B1183" s="59"/>
      <c r="C1183" s="60"/>
      <c r="D1183" s="61"/>
      <c r="E1183" s="62" t="str">
        <f t="shared" si="25"/>
        <v/>
      </c>
      <c r="F1183" s="62" t="str">
        <f t="shared" si="26"/>
        <v/>
      </c>
      <c r="G1183" s="63"/>
      <c r="H1183" s="60"/>
      <c r="I1183" s="64"/>
      <c r="J1183" s="64"/>
      <c r="K1183" s="66" t="b">
        <v>0</v>
      </c>
      <c r="L1183" s="66"/>
      <c r="M1183" s="67"/>
    </row>
    <row r="1184" ht="22.5" customHeight="1">
      <c r="B1184" s="59"/>
      <c r="C1184" s="60"/>
      <c r="D1184" s="61"/>
      <c r="E1184" s="62" t="str">
        <f t="shared" si="25"/>
        <v/>
      </c>
      <c r="F1184" s="62" t="str">
        <f t="shared" si="26"/>
        <v/>
      </c>
      <c r="G1184" s="63"/>
      <c r="H1184" s="60"/>
      <c r="I1184" s="64"/>
      <c r="J1184" s="64"/>
      <c r="K1184" s="66" t="b">
        <v>0</v>
      </c>
      <c r="L1184" s="66"/>
      <c r="M1184" s="67"/>
    </row>
    <row r="1185" ht="22.5" customHeight="1">
      <c r="B1185" s="59"/>
      <c r="C1185" s="60"/>
      <c r="D1185" s="61"/>
      <c r="E1185" s="62" t="str">
        <f t="shared" si="25"/>
        <v/>
      </c>
      <c r="F1185" s="62" t="str">
        <f t="shared" si="26"/>
        <v/>
      </c>
      <c r="G1185" s="63"/>
      <c r="H1185" s="60"/>
      <c r="I1185" s="64"/>
      <c r="J1185" s="64"/>
      <c r="K1185" s="66" t="b">
        <v>0</v>
      </c>
      <c r="L1185" s="66"/>
      <c r="M1185" s="67"/>
    </row>
    <row r="1186" ht="22.5" customHeight="1">
      <c r="B1186" s="59"/>
      <c r="C1186" s="60"/>
      <c r="D1186" s="61"/>
      <c r="E1186" s="62" t="str">
        <f t="shared" si="25"/>
        <v/>
      </c>
      <c r="F1186" s="62" t="str">
        <f t="shared" si="26"/>
        <v/>
      </c>
      <c r="G1186" s="63"/>
      <c r="H1186" s="60"/>
      <c r="I1186" s="64"/>
      <c r="J1186" s="64"/>
      <c r="K1186" s="66" t="b">
        <v>0</v>
      </c>
      <c r="L1186" s="66"/>
      <c r="M1186" s="67"/>
    </row>
    <row r="1187" ht="22.5" customHeight="1">
      <c r="B1187" s="59"/>
      <c r="C1187" s="60"/>
      <c r="D1187" s="61"/>
      <c r="E1187" s="62" t="str">
        <f t="shared" si="25"/>
        <v/>
      </c>
      <c r="F1187" s="62" t="str">
        <f t="shared" si="26"/>
        <v/>
      </c>
      <c r="G1187" s="63"/>
      <c r="H1187" s="60"/>
      <c r="I1187" s="64"/>
      <c r="J1187" s="64"/>
      <c r="K1187" s="66" t="b">
        <v>0</v>
      </c>
      <c r="L1187" s="66"/>
      <c r="M1187" s="67"/>
    </row>
    <row r="1188" ht="22.5" customHeight="1">
      <c r="B1188" s="59"/>
      <c r="C1188" s="60"/>
      <c r="D1188" s="61"/>
      <c r="E1188" s="62" t="str">
        <f t="shared" si="25"/>
        <v/>
      </c>
      <c r="F1188" s="62" t="str">
        <f t="shared" si="26"/>
        <v/>
      </c>
      <c r="G1188" s="63"/>
      <c r="H1188" s="60"/>
      <c r="I1188" s="64"/>
      <c r="J1188" s="64"/>
      <c r="K1188" s="66" t="b">
        <v>0</v>
      </c>
      <c r="L1188" s="66"/>
      <c r="M1188" s="67"/>
    </row>
    <row r="1189" ht="22.5" customHeight="1">
      <c r="B1189" s="59"/>
      <c r="C1189" s="60"/>
      <c r="D1189" s="61"/>
      <c r="E1189" s="62" t="str">
        <f t="shared" si="25"/>
        <v/>
      </c>
      <c r="F1189" s="62" t="str">
        <f t="shared" si="26"/>
        <v/>
      </c>
      <c r="G1189" s="63"/>
      <c r="H1189" s="60"/>
      <c r="I1189" s="64"/>
      <c r="J1189" s="64"/>
      <c r="K1189" s="66" t="b">
        <v>0</v>
      </c>
      <c r="L1189" s="66"/>
      <c r="M1189" s="67"/>
    </row>
    <row r="1190" ht="22.5" customHeight="1">
      <c r="B1190" s="59"/>
      <c r="C1190" s="60"/>
      <c r="D1190" s="61"/>
      <c r="E1190" s="62" t="str">
        <f t="shared" si="25"/>
        <v/>
      </c>
      <c r="F1190" s="62" t="str">
        <f t="shared" si="26"/>
        <v/>
      </c>
      <c r="G1190" s="63"/>
      <c r="H1190" s="60"/>
      <c r="I1190" s="64"/>
      <c r="J1190" s="64"/>
      <c r="K1190" s="66" t="b">
        <v>0</v>
      </c>
      <c r="L1190" s="66"/>
      <c r="M1190" s="67"/>
    </row>
    <row r="1191" ht="22.5" customHeight="1">
      <c r="B1191" s="59"/>
      <c r="C1191" s="60"/>
      <c r="D1191" s="61"/>
      <c r="E1191" s="62" t="str">
        <f t="shared" si="25"/>
        <v/>
      </c>
      <c r="F1191" s="62" t="str">
        <f t="shared" si="26"/>
        <v/>
      </c>
      <c r="G1191" s="63"/>
      <c r="H1191" s="60"/>
      <c r="I1191" s="64"/>
      <c r="J1191" s="64"/>
      <c r="K1191" s="66" t="b">
        <v>0</v>
      </c>
      <c r="L1191" s="66"/>
      <c r="M1191" s="67"/>
    </row>
    <row r="1192" ht="22.5" customHeight="1">
      <c r="B1192" s="59"/>
      <c r="C1192" s="60"/>
      <c r="D1192" s="61"/>
      <c r="E1192" s="62" t="str">
        <f t="shared" si="25"/>
        <v/>
      </c>
      <c r="F1192" s="62" t="str">
        <f t="shared" si="26"/>
        <v/>
      </c>
      <c r="G1192" s="63"/>
      <c r="H1192" s="60"/>
      <c r="I1192" s="64"/>
      <c r="J1192" s="64"/>
      <c r="K1192" s="66" t="b">
        <v>0</v>
      </c>
      <c r="L1192" s="66"/>
      <c r="M1192" s="67"/>
    </row>
    <row r="1193" ht="22.5" customHeight="1">
      <c r="B1193" s="59"/>
      <c r="C1193" s="60"/>
      <c r="D1193" s="61"/>
      <c r="E1193" s="62" t="str">
        <f t="shared" si="25"/>
        <v/>
      </c>
      <c r="F1193" s="62" t="str">
        <f t="shared" si="26"/>
        <v/>
      </c>
      <c r="G1193" s="63"/>
      <c r="H1193" s="60"/>
      <c r="I1193" s="64"/>
      <c r="J1193" s="64"/>
      <c r="K1193" s="66" t="b">
        <v>0</v>
      </c>
      <c r="L1193" s="66"/>
      <c r="M1193" s="67"/>
    </row>
    <row r="1194" ht="22.5" customHeight="1">
      <c r="B1194" s="59"/>
      <c r="C1194" s="60"/>
      <c r="D1194" s="61"/>
      <c r="E1194" s="62" t="str">
        <f t="shared" si="25"/>
        <v/>
      </c>
      <c r="F1194" s="62" t="str">
        <f t="shared" si="26"/>
        <v/>
      </c>
      <c r="G1194" s="63"/>
      <c r="H1194" s="60"/>
      <c r="I1194" s="64"/>
      <c r="J1194" s="64"/>
      <c r="K1194" s="66" t="b">
        <v>0</v>
      </c>
      <c r="L1194" s="66"/>
      <c r="M1194" s="67"/>
    </row>
    <row r="1195" ht="22.5" customHeight="1">
      <c r="B1195" s="59"/>
      <c r="C1195" s="60"/>
      <c r="D1195" s="61"/>
      <c r="E1195" s="62" t="str">
        <f t="shared" si="25"/>
        <v/>
      </c>
      <c r="F1195" s="62" t="str">
        <f t="shared" si="26"/>
        <v/>
      </c>
      <c r="G1195" s="63"/>
      <c r="H1195" s="60"/>
      <c r="I1195" s="64"/>
      <c r="J1195" s="64"/>
      <c r="K1195" s="66" t="b">
        <v>0</v>
      </c>
      <c r="L1195" s="66"/>
      <c r="M1195" s="67"/>
    </row>
    <row r="1196" ht="22.5" customHeight="1">
      <c r="B1196" s="59"/>
      <c r="C1196" s="60"/>
      <c r="D1196" s="61"/>
      <c r="E1196" s="62" t="str">
        <f t="shared" si="25"/>
        <v/>
      </c>
      <c r="F1196" s="62" t="str">
        <f t="shared" si="26"/>
        <v/>
      </c>
      <c r="G1196" s="63"/>
      <c r="H1196" s="60"/>
      <c r="I1196" s="64"/>
      <c r="J1196" s="64"/>
      <c r="K1196" s="66" t="b">
        <v>0</v>
      </c>
      <c r="L1196" s="66"/>
      <c r="M1196" s="67"/>
    </row>
    <row r="1197" ht="22.5" customHeight="1">
      <c r="B1197" s="59"/>
      <c r="C1197" s="60"/>
      <c r="D1197" s="61"/>
      <c r="E1197" s="62" t="str">
        <f t="shared" si="25"/>
        <v/>
      </c>
      <c r="F1197" s="62" t="str">
        <f t="shared" si="26"/>
        <v/>
      </c>
      <c r="G1197" s="63"/>
      <c r="H1197" s="60"/>
      <c r="I1197" s="64"/>
      <c r="J1197" s="64"/>
      <c r="K1197" s="66" t="b">
        <v>0</v>
      </c>
      <c r="L1197" s="66"/>
      <c r="M1197" s="67"/>
    </row>
    <row r="1198" ht="22.5" customHeight="1">
      <c r="B1198" s="59"/>
      <c r="C1198" s="60"/>
      <c r="D1198" s="61"/>
      <c r="E1198" s="62" t="str">
        <f t="shared" si="25"/>
        <v/>
      </c>
      <c r="F1198" s="62" t="str">
        <f t="shared" si="26"/>
        <v/>
      </c>
      <c r="G1198" s="63"/>
      <c r="H1198" s="60"/>
      <c r="I1198" s="64"/>
      <c r="J1198" s="64"/>
      <c r="K1198" s="66" t="b">
        <v>0</v>
      </c>
      <c r="L1198" s="66"/>
      <c r="M1198" s="67"/>
    </row>
    <row r="1199" ht="22.5" customHeight="1">
      <c r="B1199" s="59"/>
      <c r="C1199" s="60"/>
      <c r="D1199" s="61"/>
      <c r="E1199" s="62" t="str">
        <f t="shared" si="25"/>
        <v/>
      </c>
      <c r="F1199" s="62" t="str">
        <f t="shared" si="26"/>
        <v/>
      </c>
      <c r="G1199" s="63"/>
      <c r="H1199" s="60"/>
      <c r="I1199" s="64"/>
      <c r="J1199" s="64"/>
      <c r="K1199" s="66" t="b">
        <v>0</v>
      </c>
      <c r="L1199" s="66"/>
      <c r="M1199" s="67"/>
    </row>
    <row r="1200" ht="22.5" customHeight="1">
      <c r="B1200" s="59"/>
      <c r="C1200" s="60"/>
      <c r="D1200" s="61"/>
      <c r="E1200" s="62" t="str">
        <f t="shared" si="25"/>
        <v/>
      </c>
      <c r="F1200" s="62" t="str">
        <f t="shared" si="26"/>
        <v/>
      </c>
      <c r="G1200" s="63"/>
      <c r="H1200" s="60"/>
      <c r="I1200" s="64"/>
      <c r="J1200" s="64"/>
      <c r="K1200" s="66" t="b">
        <v>0</v>
      </c>
      <c r="L1200" s="66"/>
      <c r="M1200" s="67"/>
    </row>
    <row r="1201" ht="22.5" customHeight="1">
      <c r="B1201" s="59"/>
      <c r="C1201" s="60"/>
      <c r="D1201" s="61"/>
      <c r="E1201" s="62" t="str">
        <f t="shared" si="25"/>
        <v/>
      </c>
      <c r="F1201" s="62" t="str">
        <f t="shared" si="26"/>
        <v/>
      </c>
      <c r="G1201" s="63"/>
      <c r="H1201" s="60"/>
      <c r="I1201" s="64"/>
      <c r="J1201" s="64"/>
      <c r="K1201" s="66" t="b">
        <v>0</v>
      </c>
      <c r="L1201" s="66"/>
      <c r="M1201" s="67"/>
    </row>
    <row r="1202" ht="22.5" customHeight="1">
      <c r="B1202" s="59"/>
      <c r="C1202" s="60"/>
      <c r="D1202" s="61"/>
      <c r="E1202" s="62" t="str">
        <f t="shared" si="25"/>
        <v/>
      </c>
      <c r="F1202" s="62" t="str">
        <f t="shared" si="26"/>
        <v/>
      </c>
      <c r="G1202" s="63"/>
      <c r="H1202" s="60"/>
      <c r="I1202" s="64"/>
      <c r="J1202" s="64"/>
      <c r="K1202" s="66" t="b">
        <v>0</v>
      </c>
      <c r="L1202" s="66"/>
      <c r="M1202" s="67"/>
    </row>
    <row r="1203" ht="22.5" customHeight="1">
      <c r="B1203" s="59"/>
      <c r="C1203" s="60"/>
      <c r="D1203" s="61"/>
      <c r="E1203" s="62" t="str">
        <f t="shared" si="25"/>
        <v/>
      </c>
      <c r="F1203" s="62" t="str">
        <f t="shared" si="26"/>
        <v/>
      </c>
      <c r="G1203" s="63"/>
      <c r="H1203" s="60"/>
      <c r="I1203" s="64"/>
      <c r="J1203" s="64"/>
      <c r="K1203" s="66" t="b">
        <v>0</v>
      </c>
      <c r="L1203" s="66"/>
      <c r="M1203" s="67"/>
    </row>
    <row r="1204" ht="22.5" customHeight="1">
      <c r="B1204" s="59"/>
      <c r="C1204" s="60"/>
      <c r="D1204" s="61"/>
      <c r="E1204" s="62" t="str">
        <f t="shared" si="25"/>
        <v/>
      </c>
      <c r="F1204" s="62" t="str">
        <f t="shared" si="26"/>
        <v/>
      </c>
      <c r="G1204" s="63"/>
      <c r="H1204" s="60"/>
      <c r="I1204" s="64"/>
      <c r="J1204" s="64"/>
      <c r="K1204" s="66" t="b">
        <v>0</v>
      </c>
      <c r="L1204" s="66"/>
      <c r="M1204" s="67"/>
    </row>
    <row r="1205" ht="22.5" customHeight="1">
      <c r="B1205" s="59"/>
      <c r="C1205" s="60"/>
      <c r="D1205" s="61"/>
      <c r="E1205" s="62" t="str">
        <f t="shared" si="25"/>
        <v/>
      </c>
      <c r="F1205" s="62" t="str">
        <f t="shared" si="26"/>
        <v/>
      </c>
      <c r="G1205" s="63"/>
      <c r="H1205" s="60"/>
      <c r="I1205" s="64"/>
      <c r="J1205" s="64"/>
      <c r="K1205" s="66" t="b">
        <v>0</v>
      </c>
      <c r="L1205" s="66"/>
      <c r="M1205" s="67"/>
    </row>
    <row r="1206" ht="22.5" customHeight="1">
      <c r="B1206" s="59"/>
      <c r="C1206" s="60"/>
      <c r="D1206" s="61"/>
      <c r="E1206" s="62" t="str">
        <f t="shared" si="25"/>
        <v/>
      </c>
      <c r="F1206" s="62" t="str">
        <f t="shared" si="26"/>
        <v/>
      </c>
      <c r="G1206" s="63"/>
      <c r="H1206" s="60"/>
      <c r="I1206" s="64"/>
      <c r="J1206" s="64"/>
      <c r="K1206" s="66" t="b">
        <v>0</v>
      </c>
      <c r="L1206" s="66"/>
      <c r="M1206" s="67"/>
    </row>
    <row r="1207" ht="22.5" customHeight="1">
      <c r="B1207" s="59"/>
      <c r="C1207" s="60"/>
      <c r="D1207" s="61"/>
      <c r="E1207" s="62" t="str">
        <f t="shared" si="25"/>
        <v/>
      </c>
      <c r="F1207" s="62" t="str">
        <f t="shared" si="26"/>
        <v/>
      </c>
      <c r="G1207" s="63"/>
      <c r="H1207" s="60"/>
      <c r="I1207" s="64"/>
      <c r="J1207" s="64"/>
      <c r="K1207" s="66" t="b">
        <v>0</v>
      </c>
      <c r="L1207" s="66"/>
      <c r="M1207" s="67"/>
    </row>
    <row r="1208" ht="22.5" customHeight="1">
      <c r="B1208" s="59"/>
      <c r="C1208" s="60"/>
      <c r="D1208" s="61"/>
      <c r="E1208" s="62" t="str">
        <f t="shared" si="25"/>
        <v/>
      </c>
      <c r="F1208" s="62" t="str">
        <f t="shared" si="26"/>
        <v/>
      </c>
      <c r="G1208" s="63"/>
      <c r="H1208" s="60"/>
      <c r="I1208" s="64"/>
      <c r="J1208" s="64"/>
      <c r="K1208" s="66" t="b">
        <v>0</v>
      </c>
      <c r="L1208" s="66"/>
      <c r="M1208" s="67"/>
    </row>
    <row r="1209" ht="22.5" customHeight="1">
      <c r="B1209" s="59"/>
      <c r="C1209" s="60"/>
      <c r="D1209" s="61"/>
      <c r="E1209" s="62" t="str">
        <f t="shared" si="25"/>
        <v/>
      </c>
      <c r="F1209" s="62" t="str">
        <f t="shared" si="26"/>
        <v/>
      </c>
      <c r="G1209" s="63"/>
      <c r="H1209" s="60"/>
      <c r="I1209" s="64"/>
      <c r="J1209" s="64"/>
      <c r="K1209" s="66" t="b">
        <v>0</v>
      </c>
      <c r="L1209" s="66"/>
      <c r="M1209" s="67"/>
    </row>
    <row r="1210" ht="22.5" customHeight="1">
      <c r="B1210" s="59"/>
      <c r="C1210" s="60"/>
      <c r="D1210" s="61"/>
      <c r="E1210" s="62" t="str">
        <f t="shared" si="25"/>
        <v/>
      </c>
      <c r="F1210" s="62" t="str">
        <f t="shared" si="26"/>
        <v/>
      </c>
      <c r="G1210" s="63"/>
      <c r="H1210" s="60"/>
      <c r="I1210" s="64"/>
      <c r="J1210" s="64"/>
      <c r="K1210" s="66" t="b">
        <v>0</v>
      </c>
      <c r="L1210" s="66"/>
      <c r="M1210" s="67"/>
    </row>
    <row r="1211" ht="22.5" customHeight="1">
      <c r="B1211" s="59"/>
      <c r="C1211" s="60"/>
      <c r="D1211" s="61"/>
      <c r="E1211" s="62" t="str">
        <f t="shared" si="25"/>
        <v/>
      </c>
      <c r="F1211" s="62" t="str">
        <f t="shared" si="26"/>
        <v/>
      </c>
      <c r="G1211" s="63"/>
      <c r="H1211" s="60"/>
      <c r="I1211" s="64"/>
      <c r="J1211" s="64"/>
      <c r="K1211" s="66" t="b">
        <v>0</v>
      </c>
      <c r="L1211" s="66"/>
      <c r="M1211" s="67"/>
    </row>
    <row r="1212" ht="22.5" customHeight="1">
      <c r="B1212" s="59"/>
      <c r="C1212" s="60"/>
      <c r="D1212" s="61"/>
      <c r="E1212" s="62" t="str">
        <f t="shared" si="25"/>
        <v/>
      </c>
      <c r="F1212" s="62" t="str">
        <f t="shared" si="26"/>
        <v/>
      </c>
      <c r="G1212" s="63"/>
      <c r="H1212" s="60"/>
      <c r="I1212" s="64"/>
      <c r="J1212" s="64"/>
      <c r="K1212" s="66" t="b">
        <v>0</v>
      </c>
      <c r="L1212" s="66"/>
      <c r="M1212" s="67"/>
    </row>
    <row r="1213" ht="22.5" customHeight="1">
      <c r="B1213" s="59"/>
      <c r="C1213" s="60"/>
      <c r="D1213" s="61"/>
      <c r="E1213" s="62" t="str">
        <f t="shared" si="25"/>
        <v/>
      </c>
      <c r="F1213" s="62" t="str">
        <f t="shared" si="26"/>
        <v/>
      </c>
      <c r="G1213" s="63"/>
      <c r="H1213" s="60"/>
      <c r="I1213" s="64"/>
      <c r="J1213" s="64"/>
      <c r="K1213" s="66" t="b">
        <v>0</v>
      </c>
      <c r="L1213" s="66"/>
      <c r="M1213" s="67"/>
    </row>
    <row r="1214" ht="22.5" customHeight="1">
      <c r="B1214" s="59"/>
      <c r="C1214" s="60"/>
      <c r="D1214" s="61"/>
      <c r="E1214" s="62" t="str">
        <f t="shared" si="25"/>
        <v/>
      </c>
      <c r="F1214" s="62" t="str">
        <f t="shared" si="26"/>
        <v/>
      </c>
      <c r="G1214" s="63"/>
      <c r="H1214" s="60"/>
      <c r="I1214" s="64"/>
      <c r="J1214" s="64"/>
      <c r="K1214" s="66" t="b">
        <v>0</v>
      </c>
      <c r="L1214" s="66"/>
      <c r="M1214" s="67"/>
    </row>
    <row r="1215" ht="22.5" customHeight="1">
      <c r="B1215" s="59"/>
      <c r="C1215" s="60"/>
      <c r="D1215" s="61"/>
      <c r="E1215" s="62" t="str">
        <f t="shared" si="25"/>
        <v/>
      </c>
      <c r="F1215" s="62" t="str">
        <f t="shared" si="26"/>
        <v/>
      </c>
      <c r="G1215" s="63"/>
      <c r="H1215" s="60"/>
      <c r="I1215" s="64"/>
      <c r="J1215" s="64"/>
      <c r="K1215" s="66" t="b">
        <v>0</v>
      </c>
      <c r="L1215" s="66"/>
      <c r="M1215" s="67"/>
    </row>
    <row r="1216" ht="22.5" customHeight="1">
      <c r="B1216" s="59"/>
      <c r="C1216" s="60"/>
      <c r="D1216" s="61"/>
      <c r="E1216" s="62" t="str">
        <f t="shared" si="25"/>
        <v/>
      </c>
      <c r="F1216" s="62" t="str">
        <f t="shared" si="26"/>
        <v/>
      </c>
      <c r="G1216" s="63"/>
      <c r="H1216" s="60"/>
      <c r="I1216" s="64"/>
      <c r="J1216" s="64"/>
      <c r="K1216" s="66" t="b">
        <v>0</v>
      </c>
      <c r="L1216" s="66"/>
      <c r="M1216" s="67"/>
    </row>
    <row r="1217" ht="22.5" customHeight="1">
      <c r="B1217" s="59"/>
      <c r="C1217" s="60"/>
      <c r="D1217" s="61"/>
      <c r="E1217" s="62" t="str">
        <f t="shared" si="25"/>
        <v/>
      </c>
      <c r="F1217" s="62" t="str">
        <f t="shared" si="26"/>
        <v/>
      </c>
      <c r="G1217" s="63"/>
      <c r="H1217" s="60"/>
      <c r="I1217" s="64"/>
      <c r="J1217" s="64"/>
      <c r="K1217" s="66" t="b">
        <v>0</v>
      </c>
      <c r="L1217" s="66"/>
      <c r="M1217" s="67"/>
    </row>
    <row r="1218" ht="22.5" customHeight="1">
      <c r="B1218" s="59"/>
      <c r="C1218" s="60"/>
      <c r="D1218" s="61"/>
      <c r="E1218" s="62" t="str">
        <f t="shared" si="25"/>
        <v/>
      </c>
      <c r="F1218" s="62" t="str">
        <f t="shared" si="26"/>
        <v/>
      </c>
      <c r="G1218" s="63"/>
      <c r="H1218" s="60"/>
      <c r="I1218" s="64"/>
      <c r="J1218" s="64"/>
      <c r="K1218" s="66" t="b">
        <v>0</v>
      </c>
      <c r="L1218" s="66"/>
      <c r="M1218" s="67"/>
    </row>
    <row r="1219" ht="22.5" customHeight="1">
      <c r="B1219" s="59"/>
      <c r="C1219" s="60"/>
      <c r="D1219" s="61"/>
      <c r="E1219" s="62" t="str">
        <f t="shared" si="25"/>
        <v/>
      </c>
      <c r="F1219" s="62" t="str">
        <f t="shared" si="26"/>
        <v/>
      </c>
      <c r="G1219" s="63"/>
      <c r="H1219" s="60"/>
      <c r="I1219" s="64"/>
      <c r="J1219" s="64"/>
      <c r="K1219" s="66" t="b">
        <v>0</v>
      </c>
      <c r="L1219" s="66"/>
      <c r="M1219" s="67"/>
    </row>
    <row r="1220" ht="22.5" customHeight="1">
      <c r="B1220" s="59"/>
      <c r="C1220" s="60"/>
      <c r="D1220" s="61"/>
      <c r="E1220" s="62" t="str">
        <f t="shared" si="25"/>
        <v/>
      </c>
      <c r="F1220" s="62" t="str">
        <f t="shared" si="26"/>
        <v/>
      </c>
      <c r="G1220" s="63"/>
      <c r="H1220" s="60"/>
      <c r="I1220" s="64"/>
      <c r="J1220" s="64"/>
      <c r="K1220" s="66" t="b">
        <v>0</v>
      </c>
      <c r="L1220" s="66"/>
      <c r="M1220" s="67"/>
    </row>
    <row r="1221" ht="22.5" customHeight="1">
      <c r="B1221" s="59"/>
      <c r="C1221" s="60"/>
      <c r="D1221" s="61"/>
      <c r="E1221" s="62" t="str">
        <f t="shared" si="25"/>
        <v/>
      </c>
      <c r="F1221" s="62" t="str">
        <f t="shared" si="26"/>
        <v/>
      </c>
      <c r="G1221" s="63"/>
      <c r="H1221" s="60"/>
      <c r="I1221" s="64"/>
      <c r="J1221" s="64"/>
      <c r="K1221" s="66" t="b">
        <v>0</v>
      </c>
      <c r="L1221" s="66"/>
      <c r="M1221" s="67"/>
    </row>
    <row r="1222" ht="22.5" customHeight="1">
      <c r="B1222" s="59"/>
      <c r="C1222" s="60"/>
      <c r="D1222" s="61"/>
      <c r="E1222" s="62" t="str">
        <f t="shared" si="25"/>
        <v/>
      </c>
      <c r="F1222" s="62" t="str">
        <f t="shared" si="26"/>
        <v/>
      </c>
      <c r="G1222" s="63"/>
      <c r="H1222" s="60"/>
      <c r="I1222" s="64"/>
      <c r="J1222" s="64"/>
      <c r="K1222" s="66" t="b">
        <v>0</v>
      </c>
      <c r="L1222" s="66"/>
      <c r="M1222" s="67"/>
    </row>
    <row r="1223" ht="22.5" customHeight="1">
      <c r="B1223" s="59"/>
      <c r="C1223" s="60"/>
      <c r="D1223" s="61"/>
      <c r="E1223" s="62" t="str">
        <f t="shared" si="25"/>
        <v/>
      </c>
      <c r="F1223" s="62" t="str">
        <f t="shared" si="26"/>
        <v/>
      </c>
      <c r="G1223" s="63"/>
      <c r="H1223" s="60"/>
      <c r="I1223" s="64"/>
      <c r="J1223" s="64"/>
      <c r="K1223" s="66" t="b">
        <v>0</v>
      </c>
      <c r="L1223" s="66"/>
      <c r="M1223" s="67"/>
    </row>
    <row r="1224" ht="22.5" customHeight="1">
      <c r="B1224" s="59"/>
      <c r="C1224" s="60"/>
      <c r="D1224" s="61"/>
      <c r="E1224" s="62" t="str">
        <f t="shared" si="25"/>
        <v/>
      </c>
      <c r="F1224" s="62" t="str">
        <f t="shared" si="26"/>
        <v/>
      </c>
      <c r="G1224" s="63"/>
      <c r="H1224" s="60"/>
      <c r="I1224" s="64"/>
      <c r="J1224" s="64"/>
      <c r="K1224" s="66" t="b">
        <v>0</v>
      </c>
      <c r="L1224" s="66"/>
      <c r="M1224" s="67"/>
    </row>
    <row r="1225" ht="22.5" customHeight="1">
      <c r="B1225" s="59"/>
      <c r="C1225" s="60"/>
      <c r="D1225" s="61"/>
      <c r="E1225" s="62" t="str">
        <f t="shared" si="25"/>
        <v/>
      </c>
      <c r="F1225" s="62" t="str">
        <f t="shared" si="26"/>
        <v/>
      </c>
      <c r="G1225" s="63"/>
      <c r="H1225" s="60"/>
      <c r="I1225" s="64"/>
      <c r="J1225" s="64"/>
      <c r="K1225" s="66" t="b">
        <v>0</v>
      </c>
      <c r="L1225" s="66"/>
      <c r="M1225" s="67"/>
    </row>
    <row r="1226" ht="22.5" customHeight="1">
      <c r="B1226" s="59"/>
      <c r="C1226" s="60"/>
      <c r="D1226" s="61"/>
      <c r="E1226" s="62" t="str">
        <f t="shared" si="25"/>
        <v/>
      </c>
      <c r="F1226" s="62" t="str">
        <f t="shared" si="26"/>
        <v/>
      </c>
      <c r="G1226" s="63"/>
      <c r="H1226" s="60"/>
      <c r="I1226" s="64"/>
      <c r="J1226" s="64"/>
      <c r="K1226" s="66" t="b">
        <v>0</v>
      </c>
      <c r="L1226" s="66"/>
      <c r="M1226" s="67"/>
    </row>
    <row r="1227" ht="22.5" customHeight="1">
      <c r="B1227" s="59"/>
      <c r="C1227" s="60"/>
      <c r="D1227" s="61"/>
      <c r="E1227" s="62" t="str">
        <f t="shared" si="25"/>
        <v/>
      </c>
      <c r="F1227" s="62" t="str">
        <f t="shared" si="26"/>
        <v/>
      </c>
      <c r="G1227" s="63"/>
      <c r="H1227" s="60"/>
      <c r="I1227" s="64"/>
      <c r="J1227" s="64"/>
      <c r="K1227" s="66" t="b">
        <v>0</v>
      </c>
      <c r="L1227" s="66"/>
      <c r="M1227" s="67"/>
    </row>
    <row r="1228" ht="22.5" customHeight="1">
      <c r="B1228" s="59"/>
      <c r="C1228" s="60"/>
      <c r="D1228" s="61"/>
      <c r="E1228" s="62" t="str">
        <f t="shared" si="25"/>
        <v/>
      </c>
      <c r="F1228" s="62" t="str">
        <f t="shared" si="26"/>
        <v/>
      </c>
      <c r="G1228" s="63"/>
      <c r="H1228" s="60"/>
      <c r="I1228" s="64"/>
      <c r="J1228" s="64"/>
      <c r="K1228" s="66" t="b">
        <v>0</v>
      </c>
      <c r="L1228" s="66"/>
      <c r="M1228" s="67"/>
    </row>
    <row r="1229" ht="22.5" customHeight="1">
      <c r="B1229" s="59"/>
      <c r="C1229" s="60"/>
      <c r="D1229" s="61"/>
      <c r="E1229" s="62" t="str">
        <f t="shared" si="25"/>
        <v/>
      </c>
      <c r="F1229" s="62" t="str">
        <f t="shared" si="26"/>
        <v/>
      </c>
      <c r="G1229" s="63"/>
      <c r="H1229" s="60"/>
      <c r="I1229" s="64"/>
      <c r="J1229" s="64"/>
      <c r="K1229" s="66" t="b">
        <v>0</v>
      </c>
      <c r="L1229" s="66"/>
      <c r="M1229" s="67"/>
    </row>
    <row r="1230" ht="22.5" customHeight="1">
      <c r="B1230" s="59"/>
      <c r="C1230" s="60"/>
      <c r="D1230" s="61"/>
      <c r="E1230" s="62" t="str">
        <f t="shared" si="25"/>
        <v/>
      </c>
      <c r="F1230" s="62" t="str">
        <f t="shared" si="26"/>
        <v/>
      </c>
      <c r="G1230" s="63"/>
      <c r="H1230" s="60"/>
      <c r="I1230" s="64"/>
      <c r="J1230" s="64"/>
      <c r="K1230" s="66" t="b">
        <v>0</v>
      </c>
      <c r="L1230" s="66"/>
      <c r="M1230" s="67"/>
    </row>
    <row r="1231" ht="22.5" customHeight="1">
      <c r="B1231" s="59"/>
      <c r="C1231" s="60"/>
      <c r="D1231" s="61"/>
      <c r="E1231" s="62" t="str">
        <f t="shared" si="25"/>
        <v/>
      </c>
      <c r="F1231" s="62" t="str">
        <f t="shared" si="26"/>
        <v/>
      </c>
      <c r="G1231" s="63"/>
      <c r="H1231" s="60"/>
      <c r="I1231" s="64"/>
      <c r="J1231" s="64"/>
      <c r="K1231" s="66" t="b">
        <v>0</v>
      </c>
      <c r="L1231" s="66"/>
      <c r="M1231" s="67"/>
    </row>
    <row r="1232" ht="22.5" customHeight="1">
      <c r="B1232" s="59"/>
      <c r="C1232" s="60"/>
      <c r="D1232" s="61"/>
      <c r="E1232" s="62" t="str">
        <f t="shared" si="25"/>
        <v/>
      </c>
      <c r="F1232" s="62" t="str">
        <f t="shared" si="26"/>
        <v/>
      </c>
      <c r="G1232" s="63"/>
      <c r="H1232" s="60"/>
      <c r="I1232" s="64"/>
      <c r="J1232" s="64"/>
      <c r="K1232" s="66" t="b">
        <v>0</v>
      </c>
      <c r="L1232" s="66"/>
      <c r="M1232" s="67"/>
    </row>
    <row r="1233" ht="22.5" customHeight="1">
      <c r="B1233" s="59"/>
      <c r="C1233" s="60"/>
      <c r="D1233" s="61"/>
      <c r="E1233" s="62" t="str">
        <f t="shared" si="25"/>
        <v/>
      </c>
      <c r="F1233" s="62" t="str">
        <f t="shared" si="26"/>
        <v/>
      </c>
      <c r="G1233" s="63"/>
      <c r="H1233" s="60"/>
      <c r="I1233" s="64"/>
      <c r="J1233" s="64"/>
      <c r="K1233" s="66" t="b">
        <v>0</v>
      </c>
      <c r="L1233" s="66"/>
      <c r="M1233" s="67"/>
    </row>
    <row r="1234" ht="22.5" customHeight="1">
      <c r="B1234" s="59"/>
      <c r="C1234" s="60"/>
      <c r="D1234" s="61"/>
      <c r="E1234" s="62" t="str">
        <f t="shared" si="25"/>
        <v/>
      </c>
      <c r="F1234" s="62" t="str">
        <f t="shared" si="26"/>
        <v/>
      </c>
      <c r="G1234" s="63"/>
      <c r="H1234" s="60"/>
      <c r="I1234" s="64"/>
      <c r="J1234" s="64"/>
      <c r="K1234" s="66" t="b">
        <v>0</v>
      </c>
      <c r="L1234" s="66"/>
      <c r="M1234" s="67"/>
    </row>
    <row r="1235" ht="22.5" customHeight="1">
      <c r="B1235" s="59"/>
      <c r="C1235" s="60"/>
      <c r="D1235" s="61"/>
      <c r="E1235" s="62" t="str">
        <f t="shared" si="25"/>
        <v/>
      </c>
      <c r="F1235" s="62" t="str">
        <f t="shared" si="26"/>
        <v/>
      </c>
      <c r="G1235" s="63"/>
      <c r="H1235" s="60"/>
      <c r="I1235" s="64"/>
      <c r="J1235" s="64"/>
      <c r="K1235" s="66" t="b">
        <v>0</v>
      </c>
      <c r="L1235" s="66"/>
      <c r="M1235" s="67"/>
    </row>
    <row r="1236" ht="22.5" customHeight="1">
      <c r="B1236" s="59"/>
      <c r="C1236" s="60"/>
      <c r="D1236" s="61"/>
      <c r="E1236" s="62" t="str">
        <f t="shared" si="25"/>
        <v/>
      </c>
      <c r="F1236" s="62" t="str">
        <f t="shared" si="26"/>
        <v/>
      </c>
      <c r="G1236" s="63"/>
      <c r="H1236" s="60"/>
      <c r="I1236" s="64"/>
      <c r="J1236" s="64"/>
      <c r="K1236" s="66" t="b">
        <v>0</v>
      </c>
      <c r="L1236" s="66"/>
      <c r="M1236" s="67"/>
    </row>
    <row r="1237" ht="22.5" customHeight="1">
      <c r="B1237" s="59"/>
      <c r="C1237" s="60"/>
      <c r="D1237" s="61"/>
      <c r="E1237" s="62" t="str">
        <f t="shared" si="25"/>
        <v/>
      </c>
      <c r="F1237" s="62" t="str">
        <f t="shared" si="26"/>
        <v/>
      </c>
      <c r="G1237" s="63"/>
      <c r="H1237" s="60"/>
      <c r="I1237" s="64"/>
      <c r="J1237" s="64"/>
      <c r="K1237" s="66" t="b">
        <v>0</v>
      </c>
      <c r="L1237" s="66"/>
      <c r="M1237" s="67"/>
    </row>
    <row r="1238" ht="22.5" customHeight="1">
      <c r="B1238" s="59"/>
      <c r="C1238" s="60"/>
      <c r="D1238" s="61"/>
      <c r="E1238" s="62" t="str">
        <f t="shared" si="25"/>
        <v/>
      </c>
      <c r="F1238" s="62" t="str">
        <f t="shared" si="26"/>
        <v/>
      </c>
      <c r="G1238" s="63"/>
      <c r="H1238" s="60"/>
      <c r="I1238" s="64"/>
      <c r="J1238" s="64"/>
      <c r="K1238" s="66" t="b">
        <v>0</v>
      </c>
      <c r="L1238" s="66"/>
      <c r="M1238" s="67"/>
    </row>
    <row r="1239" ht="22.5" customHeight="1">
      <c r="B1239" s="59"/>
      <c r="C1239" s="60"/>
      <c r="D1239" s="61"/>
      <c r="E1239" s="62" t="str">
        <f t="shared" si="25"/>
        <v/>
      </c>
      <c r="F1239" s="62" t="str">
        <f t="shared" si="26"/>
        <v/>
      </c>
      <c r="G1239" s="63"/>
      <c r="H1239" s="60"/>
      <c r="I1239" s="64"/>
      <c r="J1239" s="64"/>
      <c r="K1239" s="66" t="b">
        <v>0</v>
      </c>
      <c r="L1239" s="66"/>
      <c r="M1239" s="67"/>
    </row>
    <row r="1240" ht="22.5" customHeight="1">
      <c r="B1240" s="59"/>
      <c r="C1240" s="60"/>
      <c r="D1240" s="61"/>
      <c r="E1240" s="62" t="str">
        <f t="shared" si="25"/>
        <v/>
      </c>
      <c r="F1240" s="62" t="str">
        <f t="shared" si="26"/>
        <v/>
      </c>
      <c r="G1240" s="63"/>
      <c r="H1240" s="60"/>
      <c r="I1240" s="64"/>
      <c r="J1240" s="64"/>
      <c r="K1240" s="66" t="b">
        <v>0</v>
      </c>
      <c r="L1240" s="66"/>
      <c r="M1240" s="67"/>
    </row>
    <row r="1241" ht="22.5" customHeight="1">
      <c r="B1241" s="59"/>
      <c r="C1241" s="60"/>
      <c r="D1241" s="61"/>
      <c r="E1241" s="62" t="str">
        <f t="shared" si="25"/>
        <v/>
      </c>
      <c r="F1241" s="62" t="str">
        <f t="shared" si="26"/>
        <v/>
      </c>
      <c r="G1241" s="63"/>
      <c r="H1241" s="60"/>
      <c r="I1241" s="64"/>
      <c r="J1241" s="64"/>
      <c r="K1241" s="66" t="b">
        <v>0</v>
      </c>
      <c r="L1241" s="66"/>
      <c r="M1241" s="67"/>
    </row>
    <row r="1242" ht="22.5" customHeight="1">
      <c r="B1242" s="59"/>
      <c r="C1242" s="60"/>
      <c r="D1242" s="61"/>
      <c r="E1242" s="62" t="str">
        <f t="shared" si="25"/>
        <v/>
      </c>
      <c r="F1242" s="62" t="str">
        <f t="shared" si="26"/>
        <v/>
      </c>
      <c r="G1242" s="63"/>
      <c r="H1242" s="60"/>
      <c r="I1242" s="64"/>
      <c r="J1242" s="64"/>
      <c r="K1242" s="66" t="b">
        <v>0</v>
      </c>
      <c r="L1242" s="66"/>
      <c r="M1242" s="67"/>
    </row>
    <row r="1243" ht="22.5" customHeight="1">
      <c r="B1243" s="59"/>
      <c r="C1243" s="60"/>
      <c r="D1243" s="61"/>
      <c r="E1243" s="62" t="str">
        <f t="shared" si="25"/>
        <v/>
      </c>
      <c r="F1243" s="62" t="str">
        <f t="shared" si="26"/>
        <v/>
      </c>
      <c r="G1243" s="63"/>
      <c r="H1243" s="60"/>
      <c r="I1243" s="64"/>
      <c r="J1243" s="64"/>
      <c r="K1243" s="66" t="b">
        <v>0</v>
      </c>
      <c r="L1243" s="66"/>
      <c r="M1243" s="67"/>
    </row>
    <row r="1244" ht="22.5" customHeight="1">
      <c r="B1244" s="59"/>
      <c r="C1244" s="60"/>
      <c r="D1244" s="61"/>
      <c r="E1244" s="62" t="str">
        <f t="shared" si="25"/>
        <v/>
      </c>
      <c r="F1244" s="62" t="str">
        <f t="shared" si="26"/>
        <v/>
      </c>
      <c r="G1244" s="63"/>
      <c r="H1244" s="60"/>
      <c r="I1244" s="64"/>
      <c r="J1244" s="64"/>
      <c r="K1244" s="66" t="b">
        <v>0</v>
      </c>
      <c r="L1244" s="66"/>
      <c r="M1244" s="67"/>
    </row>
    <row r="1245" ht="22.5" customHeight="1">
      <c r="B1245" s="59"/>
      <c r="C1245" s="60"/>
      <c r="D1245" s="61"/>
      <c r="E1245" s="62" t="str">
        <f t="shared" si="25"/>
        <v/>
      </c>
      <c r="F1245" s="62" t="str">
        <f t="shared" si="26"/>
        <v/>
      </c>
      <c r="G1245" s="63"/>
      <c r="H1245" s="60"/>
      <c r="I1245" s="64"/>
      <c r="J1245" s="64"/>
      <c r="K1245" s="66" t="b">
        <v>0</v>
      </c>
      <c r="L1245" s="66"/>
      <c r="M1245" s="67"/>
    </row>
    <row r="1246" ht="22.5" customHeight="1">
      <c r="B1246" s="59"/>
      <c r="C1246" s="60"/>
      <c r="D1246" s="61"/>
      <c r="E1246" s="62" t="str">
        <f t="shared" si="25"/>
        <v/>
      </c>
      <c r="F1246" s="62" t="str">
        <f t="shared" si="26"/>
        <v/>
      </c>
      <c r="G1246" s="63"/>
      <c r="H1246" s="60"/>
      <c r="I1246" s="64"/>
      <c r="J1246" s="64"/>
      <c r="K1246" s="66" t="b">
        <v>0</v>
      </c>
      <c r="L1246" s="66"/>
      <c r="M1246" s="67"/>
    </row>
    <row r="1247" ht="22.5" customHeight="1">
      <c r="B1247" s="59"/>
      <c r="C1247" s="60"/>
      <c r="D1247" s="61"/>
      <c r="E1247" s="62" t="str">
        <f t="shared" si="25"/>
        <v/>
      </c>
      <c r="F1247" s="62" t="str">
        <f t="shared" si="26"/>
        <v/>
      </c>
      <c r="G1247" s="63"/>
      <c r="H1247" s="60"/>
      <c r="I1247" s="64"/>
      <c r="J1247" s="64"/>
      <c r="K1247" s="66" t="b">
        <v>0</v>
      </c>
      <c r="L1247" s="66"/>
      <c r="M1247" s="67"/>
    </row>
    <row r="1248" ht="22.5" customHeight="1">
      <c r="B1248" s="59"/>
      <c r="C1248" s="60"/>
      <c r="D1248" s="61"/>
      <c r="E1248" s="62" t="str">
        <f t="shared" si="25"/>
        <v/>
      </c>
      <c r="F1248" s="62" t="str">
        <f t="shared" si="26"/>
        <v/>
      </c>
      <c r="G1248" s="63"/>
      <c r="H1248" s="60"/>
      <c r="I1248" s="64"/>
      <c r="J1248" s="64"/>
      <c r="K1248" s="66" t="b">
        <v>0</v>
      </c>
      <c r="L1248" s="66"/>
      <c r="M1248" s="67"/>
    </row>
    <row r="1249" ht="22.5" customHeight="1">
      <c r="B1249" s="59"/>
      <c r="C1249" s="60"/>
      <c r="D1249" s="61"/>
      <c r="E1249" s="62" t="str">
        <f t="shared" si="25"/>
        <v/>
      </c>
      <c r="F1249" s="62" t="str">
        <f t="shared" si="26"/>
        <v/>
      </c>
      <c r="G1249" s="63"/>
      <c r="H1249" s="60"/>
      <c r="I1249" s="64"/>
      <c r="J1249" s="64"/>
      <c r="K1249" s="66" t="b">
        <v>0</v>
      </c>
      <c r="L1249" s="66"/>
      <c r="M1249" s="67"/>
    </row>
    <row r="1250" ht="22.5" customHeight="1">
      <c r="B1250" s="59"/>
      <c r="C1250" s="60"/>
      <c r="D1250" s="61"/>
      <c r="E1250" s="62" t="str">
        <f t="shared" si="25"/>
        <v/>
      </c>
      <c r="F1250" s="62" t="str">
        <f t="shared" si="26"/>
        <v/>
      </c>
      <c r="G1250" s="63"/>
      <c r="H1250" s="60"/>
      <c r="I1250" s="64"/>
      <c r="J1250" s="64"/>
      <c r="K1250" s="66" t="b">
        <v>0</v>
      </c>
      <c r="L1250" s="66"/>
      <c r="M1250" s="67"/>
    </row>
    <row r="1251" ht="22.5" customHeight="1">
      <c r="B1251" s="59"/>
      <c r="C1251" s="60"/>
      <c r="D1251" s="61"/>
      <c r="E1251" s="62" t="str">
        <f t="shared" si="25"/>
        <v/>
      </c>
      <c r="F1251" s="62" t="str">
        <f t="shared" si="26"/>
        <v/>
      </c>
      <c r="G1251" s="63"/>
      <c r="H1251" s="60"/>
      <c r="I1251" s="64"/>
      <c r="J1251" s="64"/>
      <c r="K1251" s="66" t="b">
        <v>0</v>
      </c>
      <c r="L1251" s="66"/>
      <c r="M1251" s="67"/>
    </row>
    <row r="1252" ht="22.5" customHeight="1">
      <c r="B1252" s="59"/>
      <c r="C1252" s="60"/>
      <c r="D1252" s="61"/>
      <c r="E1252" s="62" t="str">
        <f t="shared" si="25"/>
        <v/>
      </c>
      <c r="F1252" s="62" t="str">
        <f t="shared" si="26"/>
        <v/>
      </c>
      <c r="G1252" s="63"/>
      <c r="H1252" s="60"/>
      <c r="I1252" s="64"/>
      <c r="J1252" s="64"/>
      <c r="K1252" s="66" t="b">
        <v>0</v>
      </c>
      <c r="L1252" s="66"/>
      <c r="M1252" s="67"/>
    </row>
    <row r="1253" ht="22.5" customHeight="1">
      <c r="B1253" s="59"/>
      <c r="C1253" s="60"/>
      <c r="D1253" s="61"/>
      <c r="E1253" s="62" t="str">
        <f t="shared" si="25"/>
        <v/>
      </c>
      <c r="F1253" s="62" t="str">
        <f t="shared" si="26"/>
        <v/>
      </c>
      <c r="G1253" s="63"/>
      <c r="H1253" s="60"/>
      <c r="I1253" s="64"/>
      <c r="J1253" s="64"/>
      <c r="K1253" s="66" t="b">
        <v>0</v>
      </c>
      <c r="L1253" s="66"/>
      <c r="M1253" s="67"/>
    </row>
    <row r="1254" ht="22.5" customHeight="1">
      <c r="B1254" s="59"/>
      <c r="C1254" s="60"/>
      <c r="D1254" s="61"/>
      <c r="E1254" s="62" t="str">
        <f t="shared" si="25"/>
        <v/>
      </c>
      <c r="F1254" s="62" t="str">
        <f t="shared" si="26"/>
        <v/>
      </c>
      <c r="G1254" s="63"/>
      <c r="H1254" s="60"/>
      <c r="I1254" s="64"/>
      <c r="J1254" s="64"/>
      <c r="K1254" s="66" t="b">
        <v>0</v>
      </c>
      <c r="L1254" s="66"/>
      <c r="M1254" s="67"/>
    </row>
    <row r="1255" ht="22.5" customHeight="1">
      <c r="B1255" s="59"/>
      <c r="C1255" s="60"/>
      <c r="D1255" s="61"/>
      <c r="E1255" s="62" t="str">
        <f t="shared" si="25"/>
        <v/>
      </c>
      <c r="F1255" s="62" t="str">
        <f t="shared" si="26"/>
        <v/>
      </c>
      <c r="G1255" s="63"/>
      <c r="H1255" s="60"/>
      <c r="I1255" s="64"/>
      <c r="J1255" s="64"/>
      <c r="K1255" s="66" t="b">
        <v>0</v>
      </c>
      <c r="L1255" s="66"/>
      <c r="M1255" s="67"/>
    </row>
    <row r="1256" ht="22.5" customHeight="1">
      <c r="B1256" s="59"/>
      <c r="C1256" s="60"/>
      <c r="D1256" s="61"/>
      <c r="E1256" s="62" t="str">
        <f t="shared" si="25"/>
        <v/>
      </c>
      <c r="F1256" s="62" t="str">
        <f t="shared" si="26"/>
        <v/>
      </c>
      <c r="G1256" s="63"/>
      <c r="H1256" s="60"/>
      <c r="I1256" s="64"/>
      <c r="J1256" s="64"/>
      <c r="K1256" s="66" t="b">
        <v>0</v>
      </c>
      <c r="L1256" s="66"/>
      <c r="M1256" s="67"/>
    </row>
    <row r="1257" ht="22.5" customHeight="1">
      <c r="B1257" s="59"/>
      <c r="C1257" s="60"/>
      <c r="D1257" s="61"/>
      <c r="E1257" s="62" t="str">
        <f t="shared" si="25"/>
        <v/>
      </c>
      <c r="F1257" s="62" t="str">
        <f t="shared" si="26"/>
        <v/>
      </c>
      <c r="G1257" s="63"/>
      <c r="H1257" s="60"/>
      <c r="I1257" s="64"/>
      <c r="J1257" s="64"/>
      <c r="K1257" s="66" t="b">
        <v>0</v>
      </c>
      <c r="L1257" s="66"/>
      <c r="M1257" s="67"/>
    </row>
    <row r="1258" ht="22.5" customHeight="1">
      <c r="B1258" s="59"/>
      <c r="C1258" s="60"/>
      <c r="D1258" s="61"/>
      <c r="E1258" s="62" t="str">
        <f t="shared" si="25"/>
        <v/>
      </c>
      <c r="F1258" s="62" t="str">
        <f t="shared" si="26"/>
        <v/>
      </c>
      <c r="G1258" s="63"/>
      <c r="H1258" s="60"/>
      <c r="I1258" s="64"/>
      <c r="J1258" s="64"/>
      <c r="K1258" s="66" t="b">
        <v>0</v>
      </c>
      <c r="L1258" s="66"/>
      <c r="M1258" s="67"/>
    </row>
    <row r="1259" ht="22.5" customHeight="1">
      <c r="B1259" s="59"/>
      <c r="C1259" s="60"/>
      <c r="D1259" s="61"/>
      <c r="E1259" s="62" t="str">
        <f t="shared" si="25"/>
        <v/>
      </c>
      <c r="F1259" s="62" t="str">
        <f t="shared" si="26"/>
        <v/>
      </c>
      <c r="G1259" s="63"/>
      <c r="H1259" s="60"/>
      <c r="I1259" s="64"/>
      <c r="J1259" s="64"/>
      <c r="K1259" s="66" t="b">
        <v>0</v>
      </c>
      <c r="L1259" s="66"/>
      <c r="M1259" s="67"/>
    </row>
    <row r="1260" ht="22.5" customHeight="1">
      <c r="B1260" s="59"/>
      <c r="C1260" s="60"/>
      <c r="D1260" s="61"/>
      <c r="E1260" s="62" t="str">
        <f t="shared" si="25"/>
        <v/>
      </c>
      <c r="F1260" s="62" t="str">
        <f t="shared" si="26"/>
        <v/>
      </c>
      <c r="G1260" s="63"/>
      <c r="H1260" s="60"/>
      <c r="I1260" s="64"/>
      <c r="J1260" s="64"/>
      <c r="K1260" s="66" t="b">
        <v>0</v>
      </c>
      <c r="L1260" s="66"/>
      <c r="M1260" s="67"/>
    </row>
    <row r="1261" ht="22.5" customHeight="1">
      <c r="B1261" s="59"/>
      <c r="C1261" s="60"/>
      <c r="D1261" s="61"/>
      <c r="E1261" s="62" t="str">
        <f t="shared" si="25"/>
        <v/>
      </c>
      <c r="F1261" s="62" t="str">
        <f t="shared" si="26"/>
        <v/>
      </c>
      <c r="G1261" s="63"/>
      <c r="H1261" s="60"/>
      <c r="I1261" s="64"/>
      <c r="J1261" s="64"/>
      <c r="K1261" s="66" t="b">
        <v>0</v>
      </c>
      <c r="L1261" s="66"/>
      <c r="M1261" s="67"/>
    </row>
    <row r="1262" ht="22.5" customHeight="1">
      <c r="B1262" s="59"/>
      <c r="C1262" s="60"/>
      <c r="D1262" s="61"/>
      <c r="E1262" s="62" t="str">
        <f t="shared" si="25"/>
        <v/>
      </c>
      <c r="F1262" s="62" t="str">
        <f t="shared" si="26"/>
        <v/>
      </c>
      <c r="G1262" s="63"/>
      <c r="H1262" s="60"/>
      <c r="I1262" s="64"/>
      <c r="J1262" s="64"/>
      <c r="K1262" s="66" t="b">
        <v>0</v>
      </c>
      <c r="L1262" s="66"/>
      <c r="M1262" s="67"/>
    </row>
    <row r="1263" ht="22.5" customHeight="1">
      <c r="B1263" s="59"/>
      <c r="C1263" s="60"/>
      <c r="D1263" s="61"/>
      <c r="E1263" s="62" t="str">
        <f t="shared" si="25"/>
        <v/>
      </c>
      <c r="F1263" s="62" t="str">
        <f t="shared" si="26"/>
        <v/>
      </c>
      <c r="G1263" s="63"/>
      <c r="H1263" s="60"/>
      <c r="I1263" s="64"/>
      <c r="J1263" s="64"/>
      <c r="K1263" s="66" t="b">
        <v>0</v>
      </c>
      <c r="L1263" s="66"/>
      <c r="M1263" s="67"/>
    </row>
    <row r="1264" ht="22.5" customHeight="1">
      <c r="B1264" s="59"/>
      <c r="C1264" s="60"/>
      <c r="D1264" s="61"/>
      <c r="E1264" s="62" t="str">
        <f t="shared" si="25"/>
        <v/>
      </c>
      <c r="F1264" s="62" t="str">
        <f t="shared" si="26"/>
        <v/>
      </c>
      <c r="G1264" s="63"/>
      <c r="H1264" s="60"/>
      <c r="I1264" s="64"/>
      <c r="J1264" s="64"/>
      <c r="K1264" s="66" t="b">
        <v>0</v>
      </c>
      <c r="L1264" s="66"/>
      <c r="M1264" s="67"/>
    </row>
    <row r="1265" ht="22.5" customHeight="1">
      <c r="B1265" s="59"/>
      <c r="C1265" s="60"/>
      <c r="D1265" s="61"/>
      <c r="E1265" s="62" t="str">
        <f t="shared" si="25"/>
        <v/>
      </c>
      <c r="F1265" s="62" t="str">
        <f t="shared" si="26"/>
        <v/>
      </c>
      <c r="G1265" s="63"/>
      <c r="H1265" s="60"/>
      <c r="I1265" s="64"/>
      <c r="J1265" s="64"/>
      <c r="K1265" s="66" t="b">
        <v>0</v>
      </c>
      <c r="L1265" s="66"/>
      <c r="M1265" s="67"/>
    </row>
    <row r="1266" ht="22.5" customHeight="1">
      <c r="B1266" s="59"/>
      <c r="C1266" s="60"/>
      <c r="D1266" s="61"/>
      <c r="E1266" s="62" t="str">
        <f t="shared" si="25"/>
        <v/>
      </c>
      <c r="F1266" s="62" t="str">
        <f t="shared" si="26"/>
        <v/>
      </c>
      <c r="G1266" s="63"/>
      <c r="H1266" s="60"/>
      <c r="I1266" s="64"/>
      <c r="J1266" s="64"/>
      <c r="K1266" s="66" t="b">
        <v>0</v>
      </c>
      <c r="L1266" s="66"/>
      <c r="M1266" s="67"/>
    </row>
    <row r="1267" ht="22.5" customHeight="1">
      <c r="B1267" s="59"/>
      <c r="C1267" s="60"/>
      <c r="D1267" s="61"/>
      <c r="E1267" s="62" t="str">
        <f t="shared" si="25"/>
        <v/>
      </c>
      <c r="F1267" s="62" t="str">
        <f t="shared" si="26"/>
        <v/>
      </c>
      <c r="G1267" s="63"/>
      <c r="H1267" s="60"/>
      <c r="I1267" s="64"/>
      <c r="J1267" s="64"/>
      <c r="K1267" s="66" t="b">
        <v>0</v>
      </c>
      <c r="L1267" s="66"/>
      <c r="M1267" s="67"/>
    </row>
    <row r="1268" ht="22.5" customHeight="1">
      <c r="B1268" s="59"/>
      <c r="C1268" s="60"/>
      <c r="D1268" s="61"/>
      <c r="E1268" s="62" t="str">
        <f t="shared" si="25"/>
        <v/>
      </c>
      <c r="F1268" s="62" t="str">
        <f t="shared" si="26"/>
        <v/>
      </c>
      <c r="G1268" s="63"/>
      <c r="H1268" s="60"/>
      <c r="I1268" s="64"/>
      <c r="J1268" s="64"/>
      <c r="K1268" s="66" t="b">
        <v>0</v>
      </c>
      <c r="L1268" s="66"/>
      <c r="M1268" s="67"/>
    </row>
    <row r="1269" ht="22.5" customHeight="1">
      <c r="B1269" s="59"/>
      <c r="C1269" s="60"/>
      <c r="D1269" s="61"/>
      <c r="E1269" s="62" t="str">
        <f t="shared" si="25"/>
        <v/>
      </c>
      <c r="F1269" s="62" t="str">
        <f t="shared" si="26"/>
        <v/>
      </c>
      <c r="G1269" s="63"/>
      <c r="H1269" s="60"/>
      <c r="I1269" s="64"/>
      <c r="J1269" s="64"/>
      <c r="K1269" s="66" t="b">
        <v>0</v>
      </c>
      <c r="L1269" s="66"/>
      <c r="M1269" s="67"/>
    </row>
    <row r="1270" ht="22.5" customHeight="1">
      <c r="B1270" s="59"/>
      <c r="C1270" s="60"/>
      <c r="D1270" s="61"/>
      <c r="E1270" s="62" t="str">
        <f t="shared" si="25"/>
        <v/>
      </c>
      <c r="F1270" s="62" t="str">
        <f t="shared" si="26"/>
        <v/>
      </c>
      <c r="G1270" s="63"/>
      <c r="H1270" s="60"/>
      <c r="I1270" s="64"/>
      <c r="J1270" s="64"/>
      <c r="K1270" s="66" t="b">
        <v>0</v>
      </c>
      <c r="L1270" s="66"/>
      <c r="M1270" s="67"/>
    </row>
    <row r="1271" ht="22.5" customHeight="1">
      <c r="B1271" s="59"/>
      <c r="C1271" s="60"/>
      <c r="D1271" s="61"/>
      <c r="E1271" s="62" t="str">
        <f t="shared" si="25"/>
        <v/>
      </c>
      <c r="F1271" s="62" t="str">
        <f t="shared" si="26"/>
        <v/>
      </c>
      <c r="G1271" s="63"/>
      <c r="H1271" s="60"/>
      <c r="I1271" s="64"/>
      <c r="J1271" s="64"/>
      <c r="K1271" s="66" t="b">
        <v>0</v>
      </c>
      <c r="L1271" s="66"/>
      <c r="M1271" s="67"/>
    </row>
    <row r="1272" ht="22.5" customHeight="1">
      <c r="B1272" s="59"/>
      <c r="C1272" s="60"/>
      <c r="D1272" s="61"/>
      <c r="E1272" s="62" t="str">
        <f t="shared" si="25"/>
        <v/>
      </c>
      <c r="F1272" s="62" t="str">
        <f t="shared" si="26"/>
        <v/>
      </c>
      <c r="G1272" s="63"/>
      <c r="H1272" s="60"/>
      <c r="I1272" s="64"/>
      <c r="J1272" s="64"/>
      <c r="K1272" s="66" t="b">
        <v>0</v>
      </c>
      <c r="L1272" s="66"/>
      <c r="M1272" s="67"/>
    </row>
    <row r="1273" ht="22.5" customHeight="1">
      <c r="B1273" s="59"/>
      <c r="C1273" s="60"/>
      <c r="D1273" s="61"/>
      <c r="E1273" s="62" t="str">
        <f t="shared" si="25"/>
        <v/>
      </c>
      <c r="F1273" s="62" t="str">
        <f t="shared" si="26"/>
        <v/>
      </c>
      <c r="G1273" s="63"/>
      <c r="H1273" s="60"/>
      <c r="I1273" s="64"/>
      <c r="J1273" s="64"/>
      <c r="K1273" s="66" t="b">
        <v>0</v>
      </c>
      <c r="L1273" s="66"/>
      <c r="M1273" s="67"/>
    </row>
    <row r="1274" ht="22.5" customHeight="1">
      <c r="B1274" s="59"/>
      <c r="C1274" s="60"/>
      <c r="D1274" s="61"/>
      <c r="E1274" s="62" t="str">
        <f t="shared" si="25"/>
        <v/>
      </c>
      <c r="F1274" s="62" t="str">
        <f t="shared" si="26"/>
        <v/>
      </c>
      <c r="G1274" s="63"/>
      <c r="H1274" s="60"/>
      <c r="I1274" s="64"/>
      <c r="J1274" s="64"/>
      <c r="K1274" s="66" t="b">
        <v>0</v>
      </c>
      <c r="L1274" s="66"/>
      <c r="M1274" s="67"/>
    </row>
    <row r="1275" ht="22.5" customHeight="1">
      <c r="B1275" s="59"/>
      <c r="C1275" s="60"/>
      <c r="D1275" s="61"/>
      <c r="E1275" s="62" t="str">
        <f t="shared" si="25"/>
        <v/>
      </c>
      <c r="F1275" s="62" t="str">
        <f t="shared" si="26"/>
        <v/>
      </c>
      <c r="G1275" s="63"/>
      <c r="H1275" s="60"/>
      <c r="I1275" s="64"/>
      <c r="J1275" s="64"/>
      <c r="K1275" s="66" t="b">
        <v>0</v>
      </c>
      <c r="L1275" s="66"/>
      <c r="M1275" s="67"/>
    </row>
    <row r="1276" ht="22.5" customHeight="1">
      <c r="B1276" s="59"/>
      <c r="C1276" s="60"/>
      <c r="D1276" s="61"/>
      <c r="E1276" s="62" t="str">
        <f t="shared" si="25"/>
        <v/>
      </c>
      <c r="F1276" s="62" t="str">
        <f t="shared" si="26"/>
        <v/>
      </c>
      <c r="G1276" s="63"/>
      <c r="H1276" s="60"/>
      <c r="I1276" s="64"/>
      <c r="J1276" s="64"/>
      <c r="K1276" s="66" t="b">
        <v>0</v>
      </c>
      <c r="L1276" s="66"/>
      <c r="M1276" s="67"/>
    </row>
    <row r="1277" ht="22.5" customHeight="1">
      <c r="B1277" s="59"/>
      <c r="C1277" s="60"/>
      <c r="D1277" s="61"/>
      <c r="E1277" s="62" t="str">
        <f t="shared" si="25"/>
        <v/>
      </c>
      <c r="F1277" s="62" t="str">
        <f t="shared" si="26"/>
        <v/>
      </c>
      <c r="G1277" s="63"/>
      <c r="H1277" s="60"/>
      <c r="I1277" s="64"/>
      <c r="J1277" s="64"/>
      <c r="K1277" s="66" t="b">
        <v>0</v>
      </c>
      <c r="L1277" s="66"/>
      <c r="M1277" s="67"/>
    </row>
    <row r="1278" ht="22.5" customHeight="1">
      <c r="B1278" s="59"/>
      <c r="C1278" s="60"/>
      <c r="D1278" s="61"/>
      <c r="E1278" s="62" t="str">
        <f t="shared" si="25"/>
        <v/>
      </c>
      <c r="F1278" s="62" t="str">
        <f t="shared" si="26"/>
        <v/>
      </c>
      <c r="G1278" s="63"/>
      <c r="H1278" s="60"/>
      <c r="I1278" s="64"/>
      <c r="J1278" s="64"/>
      <c r="K1278" s="66" t="b">
        <v>0</v>
      </c>
      <c r="L1278" s="66"/>
      <c r="M1278" s="67"/>
    </row>
    <row r="1279" ht="22.5" customHeight="1">
      <c r="B1279" s="59"/>
      <c r="C1279" s="60"/>
      <c r="D1279" s="61"/>
      <c r="E1279" s="62" t="str">
        <f t="shared" si="25"/>
        <v/>
      </c>
      <c r="F1279" s="62" t="str">
        <f t="shared" si="26"/>
        <v/>
      </c>
      <c r="G1279" s="63"/>
      <c r="H1279" s="60"/>
      <c r="I1279" s="64"/>
      <c r="J1279" s="64"/>
      <c r="K1279" s="66" t="b">
        <v>0</v>
      </c>
      <c r="L1279" s="66"/>
      <c r="M1279" s="67"/>
    </row>
    <row r="1280" ht="22.5" customHeight="1">
      <c r="B1280" s="59"/>
      <c r="C1280" s="60"/>
      <c r="D1280" s="61"/>
      <c r="E1280" s="62" t="str">
        <f t="shared" si="25"/>
        <v/>
      </c>
      <c r="F1280" s="62" t="str">
        <f t="shared" si="26"/>
        <v/>
      </c>
      <c r="G1280" s="63"/>
      <c r="H1280" s="60"/>
      <c r="I1280" s="64"/>
      <c r="J1280" s="64"/>
      <c r="K1280" s="66" t="b">
        <v>0</v>
      </c>
      <c r="L1280" s="66"/>
      <c r="M1280" s="67"/>
    </row>
    <row r="1281" ht="22.5" customHeight="1">
      <c r="B1281" s="59"/>
      <c r="C1281" s="60"/>
      <c r="D1281" s="61"/>
      <c r="E1281" s="62" t="str">
        <f t="shared" si="25"/>
        <v/>
      </c>
      <c r="F1281" s="62" t="str">
        <f t="shared" si="26"/>
        <v/>
      </c>
      <c r="G1281" s="63"/>
      <c r="H1281" s="60"/>
      <c r="I1281" s="64"/>
      <c r="J1281" s="64"/>
      <c r="K1281" s="66" t="b">
        <v>0</v>
      </c>
      <c r="L1281" s="66"/>
      <c r="M1281" s="67"/>
    </row>
    <row r="1282" ht="22.5" customHeight="1">
      <c r="B1282" s="59"/>
      <c r="C1282" s="60"/>
      <c r="D1282" s="61"/>
      <c r="E1282" s="62" t="str">
        <f t="shared" si="25"/>
        <v/>
      </c>
      <c r="F1282" s="62" t="str">
        <f t="shared" si="26"/>
        <v/>
      </c>
      <c r="G1282" s="63"/>
      <c r="H1282" s="60"/>
      <c r="I1282" s="64"/>
      <c r="J1282" s="64"/>
      <c r="K1282" s="66" t="b">
        <v>0</v>
      </c>
      <c r="L1282" s="66"/>
      <c r="M1282" s="67"/>
    </row>
    <row r="1283" ht="22.5" customHeight="1">
      <c r="B1283" s="59"/>
      <c r="C1283" s="60"/>
      <c r="D1283" s="61"/>
      <c r="E1283" s="62" t="str">
        <f t="shared" si="25"/>
        <v/>
      </c>
      <c r="F1283" s="62" t="str">
        <f t="shared" si="26"/>
        <v/>
      </c>
      <c r="G1283" s="63"/>
      <c r="H1283" s="60"/>
      <c r="I1283" s="64"/>
      <c r="J1283" s="64"/>
      <c r="K1283" s="66" t="b">
        <v>0</v>
      </c>
      <c r="L1283" s="66"/>
      <c r="M1283" s="67"/>
    </row>
    <row r="1284" ht="22.5" customHeight="1">
      <c r="B1284" s="59"/>
      <c r="C1284" s="60"/>
      <c r="D1284" s="61"/>
      <c r="E1284" s="62" t="str">
        <f t="shared" si="25"/>
        <v/>
      </c>
      <c r="F1284" s="62" t="str">
        <f t="shared" si="26"/>
        <v/>
      </c>
      <c r="G1284" s="63"/>
      <c r="H1284" s="60"/>
      <c r="I1284" s="64"/>
      <c r="J1284" s="64"/>
      <c r="K1284" s="66" t="b">
        <v>0</v>
      </c>
      <c r="L1284" s="66"/>
      <c r="M1284" s="67"/>
    </row>
    <row r="1285" ht="22.5" customHeight="1">
      <c r="B1285" s="59"/>
      <c r="C1285" s="60"/>
      <c r="D1285" s="61"/>
      <c r="E1285" s="62" t="str">
        <f t="shared" si="25"/>
        <v/>
      </c>
      <c r="F1285" s="62" t="str">
        <f t="shared" si="26"/>
        <v/>
      </c>
      <c r="G1285" s="63"/>
      <c r="H1285" s="60"/>
      <c r="I1285" s="64"/>
      <c r="J1285" s="64"/>
      <c r="K1285" s="66" t="b">
        <v>0</v>
      </c>
      <c r="L1285" s="66"/>
      <c r="M1285" s="67"/>
    </row>
    <row r="1286" ht="22.5" customHeight="1">
      <c r="B1286" s="59"/>
      <c r="C1286" s="60"/>
      <c r="D1286" s="61"/>
      <c r="E1286" s="62" t="str">
        <f t="shared" si="25"/>
        <v/>
      </c>
      <c r="F1286" s="62" t="str">
        <f t="shared" si="26"/>
        <v/>
      </c>
      <c r="G1286" s="63"/>
      <c r="H1286" s="60"/>
      <c r="I1286" s="64"/>
      <c r="J1286" s="64"/>
      <c r="K1286" s="66" t="b">
        <v>0</v>
      </c>
      <c r="L1286" s="66"/>
      <c r="M1286" s="67"/>
    </row>
    <row r="1287" ht="22.5" customHeight="1">
      <c r="B1287" s="59"/>
      <c r="C1287" s="60"/>
      <c r="D1287" s="61"/>
      <c r="E1287" s="62" t="str">
        <f t="shared" si="25"/>
        <v/>
      </c>
      <c r="F1287" s="62" t="str">
        <f t="shared" si="26"/>
        <v/>
      </c>
      <c r="G1287" s="63"/>
      <c r="H1287" s="60"/>
      <c r="I1287" s="64"/>
      <c r="J1287" s="64"/>
      <c r="K1287" s="66" t="b">
        <v>0</v>
      </c>
      <c r="L1287" s="66"/>
      <c r="M1287" s="67"/>
    </row>
    <row r="1288" ht="22.5" customHeight="1">
      <c r="B1288" s="59"/>
      <c r="C1288" s="60"/>
      <c r="D1288" s="61"/>
      <c r="E1288" s="62" t="str">
        <f t="shared" si="25"/>
        <v/>
      </c>
      <c r="F1288" s="62" t="str">
        <f t="shared" si="26"/>
        <v/>
      </c>
      <c r="G1288" s="63"/>
      <c r="H1288" s="60"/>
      <c r="I1288" s="64"/>
      <c r="J1288" s="64"/>
      <c r="K1288" s="66" t="b">
        <v>0</v>
      </c>
      <c r="L1288" s="66"/>
      <c r="M1288" s="67"/>
    </row>
    <row r="1289" ht="22.5" customHeight="1">
      <c r="B1289" s="59"/>
      <c r="C1289" s="60"/>
      <c r="D1289" s="61"/>
      <c r="E1289" s="62" t="str">
        <f t="shared" si="25"/>
        <v/>
      </c>
      <c r="F1289" s="62" t="str">
        <f t="shared" si="26"/>
        <v/>
      </c>
      <c r="G1289" s="63"/>
      <c r="H1289" s="60"/>
      <c r="I1289" s="64"/>
      <c r="J1289" s="64"/>
      <c r="K1289" s="66" t="b">
        <v>0</v>
      </c>
      <c r="L1289" s="66"/>
      <c r="M1289" s="67"/>
    </row>
    <row r="1290" ht="22.5" customHeight="1">
      <c r="B1290" s="59"/>
      <c r="C1290" s="60"/>
      <c r="D1290" s="61"/>
      <c r="E1290" s="62" t="str">
        <f t="shared" si="25"/>
        <v/>
      </c>
      <c r="F1290" s="62" t="str">
        <f t="shared" si="26"/>
        <v/>
      </c>
      <c r="G1290" s="63"/>
      <c r="H1290" s="60"/>
      <c r="I1290" s="64"/>
      <c r="J1290" s="64"/>
      <c r="K1290" s="66" t="b">
        <v>0</v>
      </c>
      <c r="L1290" s="66"/>
      <c r="M1290" s="67"/>
    </row>
    <row r="1291" ht="22.5" customHeight="1">
      <c r="B1291" s="59"/>
      <c r="C1291" s="60"/>
      <c r="D1291" s="61"/>
      <c r="E1291" s="62" t="str">
        <f t="shared" si="25"/>
        <v/>
      </c>
      <c r="F1291" s="62" t="str">
        <f t="shared" si="26"/>
        <v/>
      </c>
      <c r="G1291" s="63"/>
      <c r="H1291" s="60"/>
      <c r="I1291" s="64"/>
      <c r="J1291" s="64"/>
      <c r="K1291" s="66" t="b">
        <v>0</v>
      </c>
      <c r="L1291" s="66"/>
      <c r="M1291" s="67"/>
    </row>
    <row r="1292" ht="22.5" customHeight="1">
      <c r="B1292" s="59"/>
      <c r="C1292" s="60"/>
      <c r="D1292" s="61"/>
      <c r="E1292" s="62" t="str">
        <f t="shared" si="25"/>
        <v/>
      </c>
      <c r="F1292" s="62" t="str">
        <f t="shared" si="26"/>
        <v/>
      </c>
      <c r="G1292" s="63"/>
      <c r="H1292" s="60"/>
      <c r="I1292" s="64"/>
      <c r="J1292" s="64"/>
      <c r="K1292" s="66" t="b">
        <v>0</v>
      </c>
      <c r="L1292" s="66"/>
      <c r="M1292" s="67"/>
    </row>
    <row r="1293" ht="22.5" customHeight="1">
      <c r="B1293" s="59"/>
      <c r="C1293" s="60"/>
      <c r="D1293" s="61"/>
      <c r="E1293" s="62" t="str">
        <f t="shared" si="25"/>
        <v/>
      </c>
      <c r="F1293" s="62" t="str">
        <f t="shared" si="26"/>
        <v/>
      </c>
      <c r="G1293" s="63"/>
      <c r="H1293" s="60"/>
      <c r="I1293" s="64"/>
      <c r="J1293" s="64"/>
      <c r="K1293" s="66" t="b">
        <v>0</v>
      </c>
      <c r="L1293" s="66"/>
      <c r="M1293" s="67"/>
    </row>
    <row r="1294" ht="22.5" customHeight="1">
      <c r="B1294" s="59"/>
      <c r="C1294" s="60"/>
      <c r="D1294" s="61"/>
      <c r="E1294" s="62" t="str">
        <f t="shared" si="25"/>
        <v/>
      </c>
      <c r="F1294" s="62" t="str">
        <f t="shared" si="26"/>
        <v/>
      </c>
      <c r="G1294" s="63"/>
      <c r="H1294" s="60"/>
      <c r="I1294" s="64"/>
      <c r="J1294" s="64"/>
      <c r="K1294" s="66" t="b">
        <v>0</v>
      </c>
      <c r="L1294" s="66"/>
      <c r="M1294" s="67"/>
    </row>
    <row r="1295" ht="22.5" customHeight="1">
      <c r="B1295" s="59"/>
      <c r="C1295" s="60"/>
      <c r="D1295" s="61"/>
      <c r="E1295" s="62" t="str">
        <f t="shared" si="25"/>
        <v/>
      </c>
      <c r="F1295" s="62" t="str">
        <f t="shared" si="26"/>
        <v/>
      </c>
      <c r="G1295" s="63"/>
      <c r="H1295" s="60"/>
      <c r="I1295" s="64"/>
      <c r="J1295" s="64"/>
      <c r="K1295" s="66" t="b">
        <v>0</v>
      </c>
      <c r="L1295" s="66"/>
      <c r="M1295" s="67"/>
    </row>
    <row r="1296" ht="22.5" customHeight="1">
      <c r="B1296" s="59"/>
      <c r="C1296" s="60"/>
      <c r="D1296" s="61"/>
      <c r="E1296" s="62" t="str">
        <f t="shared" si="25"/>
        <v/>
      </c>
      <c r="F1296" s="62" t="str">
        <f t="shared" si="26"/>
        <v/>
      </c>
      <c r="G1296" s="63"/>
      <c r="H1296" s="60"/>
      <c r="I1296" s="64"/>
      <c r="J1296" s="64"/>
      <c r="K1296" s="66" t="b">
        <v>0</v>
      </c>
      <c r="L1296" s="66"/>
      <c r="M1296" s="67"/>
    </row>
    <row r="1297" ht="22.5" customHeight="1">
      <c r="B1297" s="59"/>
      <c r="C1297" s="60"/>
      <c r="D1297" s="61"/>
      <c r="E1297" s="62" t="str">
        <f t="shared" si="25"/>
        <v/>
      </c>
      <c r="F1297" s="62" t="str">
        <f t="shared" si="26"/>
        <v/>
      </c>
      <c r="G1297" s="63"/>
      <c r="H1297" s="60"/>
      <c r="I1297" s="64"/>
      <c r="J1297" s="64"/>
      <c r="K1297" s="66" t="b">
        <v>0</v>
      </c>
      <c r="L1297" s="66"/>
      <c r="M1297" s="67"/>
    </row>
    <row r="1298" ht="22.5" customHeight="1">
      <c r="B1298" s="59"/>
      <c r="C1298" s="60"/>
      <c r="D1298" s="61"/>
      <c r="E1298" s="62" t="str">
        <f t="shared" si="25"/>
        <v/>
      </c>
      <c r="F1298" s="62" t="str">
        <f t="shared" si="26"/>
        <v/>
      </c>
      <c r="G1298" s="63"/>
      <c r="H1298" s="60"/>
      <c r="I1298" s="64"/>
      <c r="J1298" s="64"/>
      <c r="K1298" s="66" t="b">
        <v>0</v>
      </c>
      <c r="L1298" s="66"/>
      <c r="M1298" s="67"/>
    </row>
    <row r="1299" ht="22.5" customHeight="1">
      <c r="B1299" s="59"/>
      <c r="C1299" s="60"/>
      <c r="D1299" s="61"/>
      <c r="E1299" s="62" t="str">
        <f t="shared" si="25"/>
        <v/>
      </c>
      <c r="F1299" s="62" t="str">
        <f t="shared" si="26"/>
        <v/>
      </c>
      <c r="G1299" s="63"/>
      <c r="H1299" s="60"/>
      <c r="I1299" s="64"/>
      <c r="J1299" s="64"/>
      <c r="K1299" s="66" t="b">
        <v>0</v>
      </c>
      <c r="L1299" s="66"/>
      <c r="M1299" s="67"/>
    </row>
    <row r="1300" ht="22.5" customHeight="1">
      <c r="B1300" s="59"/>
      <c r="C1300" s="60"/>
      <c r="D1300" s="61"/>
      <c r="E1300" s="62" t="str">
        <f t="shared" si="25"/>
        <v/>
      </c>
      <c r="F1300" s="62" t="str">
        <f t="shared" si="26"/>
        <v/>
      </c>
      <c r="G1300" s="63"/>
      <c r="H1300" s="60"/>
      <c r="I1300" s="64"/>
      <c r="J1300" s="64"/>
      <c r="K1300" s="66" t="b">
        <v>0</v>
      </c>
      <c r="L1300" s="66"/>
      <c r="M1300" s="67"/>
    </row>
    <row r="1301" ht="22.5" customHeight="1">
      <c r="B1301" s="59"/>
      <c r="C1301" s="60"/>
      <c r="D1301" s="61"/>
      <c r="E1301" s="62" t="str">
        <f t="shared" si="25"/>
        <v/>
      </c>
      <c r="F1301" s="62" t="str">
        <f t="shared" si="26"/>
        <v/>
      </c>
      <c r="G1301" s="63"/>
      <c r="H1301" s="60"/>
      <c r="I1301" s="64"/>
      <c r="J1301" s="64"/>
      <c r="K1301" s="66" t="b">
        <v>0</v>
      </c>
      <c r="L1301" s="66"/>
      <c r="M1301" s="67"/>
    </row>
    <row r="1302" ht="22.5" customHeight="1">
      <c r="B1302" s="59"/>
      <c r="C1302" s="60"/>
      <c r="D1302" s="61"/>
      <c r="E1302" s="62" t="str">
        <f t="shared" si="25"/>
        <v/>
      </c>
      <c r="F1302" s="62" t="str">
        <f t="shared" si="26"/>
        <v/>
      </c>
      <c r="G1302" s="63"/>
      <c r="H1302" s="60"/>
      <c r="I1302" s="64"/>
      <c r="J1302" s="64"/>
      <c r="K1302" s="66" t="b">
        <v>0</v>
      </c>
      <c r="L1302" s="66"/>
      <c r="M1302" s="67"/>
    </row>
    <row r="1303" ht="22.5" customHeight="1">
      <c r="B1303" s="59"/>
      <c r="C1303" s="60"/>
      <c r="D1303" s="61"/>
      <c r="E1303" s="62" t="str">
        <f t="shared" si="25"/>
        <v/>
      </c>
      <c r="F1303" s="62" t="str">
        <f t="shared" si="26"/>
        <v/>
      </c>
      <c r="G1303" s="63"/>
      <c r="H1303" s="60"/>
      <c r="I1303" s="64"/>
      <c r="J1303" s="64"/>
      <c r="K1303" s="66" t="b">
        <v>0</v>
      </c>
      <c r="L1303" s="66"/>
      <c r="M1303" s="67"/>
    </row>
    <row r="1304" ht="22.5" customHeight="1">
      <c r="B1304" s="59"/>
      <c r="C1304" s="60"/>
      <c r="D1304" s="61"/>
      <c r="E1304" s="62" t="str">
        <f t="shared" si="25"/>
        <v/>
      </c>
      <c r="F1304" s="62" t="str">
        <f t="shared" si="26"/>
        <v/>
      </c>
      <c r="G1304" s="63"/>
      <c r="H1304" s="60"/>
      <c r="I1304" s="64"/>
      <c r="J1304" s="64"/>
      <c r="K1304" s="66" t="b">
        <v>0</v>
      </c>
      <c r="L1304" s="66"/>
      <c r="M1304" s="67"/>
    </row>
    <row r="1305" ht="22.5" customHeight="1">
      <c r="A1305" s="115" t="s">
        <v>776</v>
      </c>
      <c r="B1305" s="59"/>
      <c r="C1305" s="60"/>
      <c r="D1305" s="61"/>
      <c r="E1305" s="62" t="str">
        <f t="shared" si="25"/>
        <v/>
      </c>
      <c r="F1305" s="62" t="str">
        <f t="shared" si="26"/>
        <v/>
      </c>
      <c r="G1305" s="63"/>
      <c r="H1305" s="60"/>
      <c r="I1305" s="64"/>
      <c r="J1305" s="64"/>
      <c r="K1305" s="66" t="b">
        <v>0</v>
      </c>
      <c r="L1305" s="66"/>
      <c r="M1305" s="67"/>
    </row>
  </sheetData>
  <customSheetViews>
    <customSheetView guid="{B9F2F8FD-7332-4F07-9E3C-D15230E69902}" filter="1" showAutoFilter="1">
      <autoFilter ref="$B$4:$M$1305">
        <filterColumn colId="2">
          <customFilters and="1">
            <customFilter operator="greaterThanOrEqual" val="17/12/2025"/>
            <customFilter operator="lessThanOrEqual" val="24/12/2025"/>
          </customFilters>
        </filterColumn>
      </autoFilter>
    </customSheetView>
  </customSheetViews>
  <conditionalFormatting sqref="J394:J395">
    <cfRule type="expression" dxfId="9" priority="1">
      <formula>IF(OR($B394:$B1305="",$C394:$C1305="",$D394:$D1305="",$K394:$K1305="",$L394:$L1305="",$M394:$M1305="",$N394:$N1305="",$O394:$O1305="",$P394:$P1305="",$Q394:$Q1305="",$R394:$R1305="",$S394:$S1305=FALSE),TRUE,FALSE)</formula>
    </cfRule>
  </conditionalFormatting>
  <conditionalFormatting sqref="B5:B1305">
    <cfRule type="expression" dxfId="10" priority="2">
      <formula>COUNTIF($B$5:$B1305,B5)&gt;1</formula>
    </cfRule>
  </conditionalFormatting>
  <conditionalFormatting sqref="B5:J1305">
    <cfRule type="expression" dxfId="11" priority="3">
      <formula>IF(OR($B5:$B1305="",$C5:$C1305="",$D5:$D1305="",$G5:$G1305="",$H5:$H1305="",$I5:$I1305="",$J5:$J1305="",$K5:$K1305=FALSE),TRUE,FALSE)</formula>
    </cfRule>
  </conditionalFormatting>
  <dataValidations>
    <dataValidation type="list" allowBlank="1" sqref="H5:H1305">
      <formula1>#REF!</formula1>
    </dataValidation>
    <dataValidation type="custom" allowBlank="1" showDropDown="1" sqref="D5:D1305">
      <formula1>OR(NOT(ISERROR(DATEVALUE(D5))), AND(ISNUMBER(D5), LEFT(CELL("format", D5))="D"))</formula1>
    </dataValidation>
    <dataValidation type="custom" allowBlank="1" showDropDown="1" sqref="G5:G1305">
      <formula1>AND(ISNUMBER(G5),(NOT(OR(NOT(ISERROR(DATEVALUE(G5))), AND(ISNUMBER(G5), LEFT(CELL("format", G5))="D")))))</formula1>
    </dataValidation>
    <dataValidation type="list" allowBlank="1" sqref="C5:C1305">
      <formula1>#REF!</formula1>
    </dataValidation>
  </dataValidations>
  <printOptions gridLines="1" horizontalCentered="1"/>
  <pageMargins bottom="0.75" footer="0.0" header="0.0" left="0.7" right="0.7" top="0.75"/>
  <pageSetup fitToHeight="0" paperSize="14" cellComments="atEnd" orientation="landscape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Col="1"/>
  <cols>
    <col customWidth="1" min="1" max="1" width="2.63"/>
    <col customWidth="1" min="2" max="2" width="18.25"/>
    <col customWidth="1" min="4" max="5" width="2.63"/>
    <col customWidth="1" min="6" max="6" width="18.13"/>
    <col customWidth="1" min="8" max="9" width="2.63"/>
    <col customWidth="1" min="10" max="10" width="21.75"/>
    <col customWidth="1" min="12" max="13" width="2.63"/>
    <col customWidth="1" min="14" max="15" width="12.63"/>
    <col customWidth="1" min="16" max="16" width="2.63"/>
  </cols>
  <sheetData>
    <row r="1">
      <c r="A1" s="16"/>
      <c r="B1" s="70" t="s">
        <v>99</v>
      </c>
      <c r="C1" s="4"/>
      <c r="D1" s="4"/>
      <c r="E1" s="4"/>
      <c r="F1" s="1"/>
      <c r="G1" s="4"/>
      <c r="H1" s="4"/>
      <c r="I1" s="4"/>
      <c r="J1" s="1"/>
      <c r="K1" s="4"/>
      <c r="L1" s="4"/>
      <c r="M1" s="4"/>
      <c r="N1" s="4"/>
      <c r="O1" s="4"/>
      <c r="P1" s="4"/>
    </row>
    <row r="2">
      <c r="A2" s="4"/>
      <c r="B2" s="1"/>
      <c r="C2" s="4"/>
      <c r="D2" s="4"/>
      <c r="E2" s="4"/>
      <c r="F2" s="1"/>
      <c r="G2" s="4"/>
      <c r="H2" s="4"/>
      <c r="I2" s="4"/>
      <c r="J2" s="1"/>
      <c r="K2" s="4"/>
      <c r="L2" s="4"/>
      <c r="M2" s="4"/>
      <c r="N2" s="4"/>
      <c r="O2" s="71" t="s">
        <v>100</v>
      </c>
      <c r="P2" s="4"/>
    </row>
    <row r="3">
      <c r="A3" s="4"/>
      <c r="B3" s="1"/>
      <c r="C3" s="4"/>
      <c r="D3" s="4"/>
      <c r="E3" s="4"/>
      <c r="F3" s="1"/>
      <c r="G3" s="4"/>
      <c r="H3" s="4"/>
      <c r="I3" s="4"/>
      <c r="J3" s="1"/>
      <c r="K3" s="4"/>
      <c r="L3" s="4"/>
      <c r="M3" s="4"/>
      <c r="N3" s="72">
        <f>K6-O6</f>
        <v>1000000</v>
      </c>
      <c r="P3" s="4"/>
    </row>
    <row r="4">
      <c r="A4" s="4"/>
      <c r="B4" s="1"/>
      <c r="C4" s="4"/>
      <c r="D4" s="4"/>
      <c r="E4" s="4"/>
      <c r="F4" s="1"/>
      <c r="G4" s="4"/>
      <c r="H4" s="4"/>
      <c r="I4" s="4"/>
      <c r="J4" s="1"/>
      <c r="K4" s="4"/>
      <c r="L4" s="4"/>
      <c r="M4" s="4"/>
      <c r="N4" s="4"/>
      <c r="O4" s="4"/>
      <c r="P4" s="4"/>
    </row>
    <row r="5">
      <c r="A5" s="73"/>
      <c r="B5" s="74" t="s">
        <v>102</v>
      </c>
      <c r="C5" s="73"/>
      <c r="D5" s="73"/>
      <c r="E5" s="73"/>
      <c r="F5" s="74" t="s">
        <v>104</v>
      </c>
      <c r="G5" s="73"/>
      <c r="H5" s="73"/>
      <c r="I5" s="73"/>
      <c r="J5" s="74" t="s">
        <v>105</v>
      </c>
      <c r="K5" s="73"/>
      <c r="L5" s="73"/>
      <c r="M5" s="73"/>
      <c r="N5" s="74" t="s">
        <v>106</v>
      </c>
      <c r="O5" s="73"/>
      <c r="P5" s="73"/>
    </row>
    <row r="6">
      <c r="A6" s="73"/>
      <c r="B6" s="74"/>
      <c r="C6" s="73"/>
      <c r="D6" s="73"/>
      <c r="E6" s="73"/>
      <c r="F6" s="74"/>
      <c r="G6" s="73"/>
      <c r="H6" s="73"/>
      <c r="I6" s="73"/>
      <c r="J6" s="74"/>
      <c r="K6" s="75">
        <f t="array" ref="K6">XLOOKUP("TUNAI",$J$7:$J1006,$K$7:$K1006,"0")</f>
        <v>1000000</v>
      </c>
      <c r="L6" s="73"/>
      <c r="M6" s="73"/>
      <c r="N6" s="74"/>
      <c r="O6" s="73" t="str">
        <f t="array" ref="O6">XLOOKUP("TUNAI",$N$7:$N1006,$O$7:OK1006,"0")</f>
        <v>0</v>
      </c>
      <c r="P6" s="73"/>
    </row>
    <row r="7">
      <c r="A7" s="20"/>
      <c r="D7" s="78"/>
      <c r="E7" s="78"/>
      <c r="H7" s="78"/>
      <c r="I7" s="78"/>
      <c r="L7" s="78"/>
      <c r="M7" s="78"/>
      <c r="P7" s="78"/>
    </row>
    <row r="8" ht="30.0" customHeight="1">
      <c r="A8" s="88"/>
      <c r="D8" s="88"/>
      <c r="E8" s="88"/>
      <c r="H8" s="88"/>
      <c r="I8" s="88"/>
      <c r="L8" s="88"/>
      <c r="M8" s="88"/>
      <c r="P8" s="88"/>
    </row>
    <row r="9" ht="30.0" customHeight="1">
      <c r="A9" s="91"/>
      <c r="D9" s="91"/>
      <c r="E9" s="91"/>
      <c r="H9" s="91"/>
      <c r="I9" s="91"/>
      <c r="L9" s="91"/>
      <c r="M9" s="91"/>
      <c r="N9" s="91"/>
      <c r="O9" s="91"/>
      <c r="P9" s="91"/>
    </row>
    <row r="10" ht="30.0" customHeight="1">
      <c r="A10" s="91"/>
      <c r="D10" s="91"/>
      <c r="E10" s="91"/>
      <c r="H10" s="91"/>
      <c r="I10" s="91"/>
      <c r="L10" s="91"/>
      <c r="M10" s="91"/>
      <c r="N10" s="91"/>
      <c r="O10" s="91"/>
      <c r="P10" s="91"/>
    </row>
    <row r="11" ht="30.0" customHeight="1">
      <c r="A11" s="91"/>
      <c r="B11" s="91"/>
      <c r="C11" s="91"/>
      <c r="D11" s="91"/>
      <c r="E11" s="91"/>
      <c r="H11" s="91"/>
      <c r="I11" s="91"/>
      <c r="J11" s="91"/>
      <c r="K11" s="91"/>
      <c r="L11" s="91"/>
      <c r="M11" s="91"/>
      <c r="N11" s="91"/>
      <c r="O11" s="91"/>
      <c r="P11" s="91"/>
    </row>
    <row r="12" ht="30.0" customHeight="1">
      <c r="A12" s="91"/>
      <c r="B12" s="91"/>
      <c r="C12" s="91"/>
      <c r="D12" s="91"/>
      <c r="E12" s="91"/>
      <c r="H12" s="91"/>
      <c r="I12" s="91"/>
      <c r="J12" s="91"/>
      <c r="K12" s="91"/>
      <c r="L12" s="91"/>
      <c r="M12" s="91"/>
      <c r="N12" s="91"/>
      <c r="O12" s="91"/>
      <c r="P12" s="91"/>
    </row>
    <row r="13" ht="30.0" customHeight="1">
      <c r="A13" s="91"/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</row>
    <row r="14" ht="30.0" customHeight="1">
      <c r="A14" s="93"/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</row>
    <row r="15" ht="30.0" customHeight="1">
      <c r="A15" s="91"/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</row>
    <row r="16" ht="30.0" customHeight="1">
      <c r="A16" s="91"/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</row>
    <row r="17" ht="30.0" customHeight="1">
      <c r="A17" s="91"/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</row>
    <row r="18" ht="30.0" customHeight="1">
      <c r="A18" s="91"/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</row>
    <row r="19" ht="30.0" customHeight="1">
      <c r="A19" s="91"/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</row>
    <row r="20" ht="30.0" customHeight="1">
      <c r="A20" s="93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</row>
    <row r="21" ht="30.0" customHeight="1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</row>
    <row r="22" ht="30.0" customHeight="1">
      <c r="A22" s="91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</row>
    <row r="23" ht="30.0" customHeight="1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</row>
    <row r="24" ht="30.0" customHeight="1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</row>
    <row r="25" ht="30.0" customHeight="1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</row>
    <row r="26" ht="30.0" customHeight="1">
      <c r="A26" s="91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</row>
    <row r="27" ht="30.0" customHeight="1">
      <c r="A27" s="91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</row>
    <row r="28" ht="30.0" customHeight="1">
      <c r="A28" s="91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</row>
    <row r="29" ht="30.0" customHeight="1">
      <c r="A29" s="91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</row>
    <row r="30" ht="30.0" customHeight="1">
      <c r="A30" s="91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</row>
    <row r="31" ht="30.0" customHeight="1">
      <c r="A31" s="91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</row>
    <row r="32" ht="30.0" customHeight="1">
      <c r="A32" s="91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</row>
    <row r="33" ht="30.0" customHeight="1">
      <c r="A33" s="91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</row>
    <row r="34" ht="30.0" customHeight="1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</row>
    <row r="35" ht="30.0" customHeight="1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</row>
    <row r="36" ht="30.0" customHeight="1">
      <c r="A36" s="91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</row>
    <row r="37" ht="30.0" customHeight="1">
      <c r="A37" s="91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</row>
    <row r="38" ht="30.0" customHeight="1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</row>
    <row r="39" ht="30.0" customHeight="1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</row>
    <row r="40" ht="30.0" customHeight="1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</row>
    <row r="41" ht="30.0" customHeight="1">
      <c r="A41" s="91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</row>
    <row r="42" ht="30.0" customHeight="1">
      <c r="A42" s="91"/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</row>
    <row r="43" ht="30.0" customHeight="1">
      <c r="A43" s="91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</row>
    <row r="44" ht="30.0" customHeight="1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</row>
    <row r="45" ht="30.0" customHeight="1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</row>
    <row r="46" ht="30.0" customHeight="1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</row>
    <row r="47" ht="30.0" customHeight="1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</row>
    <row r="48" ht="30.0" customHeight="1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</row>
    <row r="49" ht="30.0" customHeight="1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</row>
    <row r="50" ht="30.0" customHeight="1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</row>
    <row r="51" ht="30.0" customHeight="1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</row>
    <row r="52" ht="30.0" customHeight="1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</row>
    <row r="53" ht="30.0" customHeight="1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</row>
    <row r="54" ht="30.0" customHeight="1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</row>
    <row r="55" ht="30.0" customHeight="1">
      <c r="A55" s="91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</row>
    <row r="56" ht="30.0" customHeight="1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</row>
    <row r="57" ht="30.0" customHeight="1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</row>
    <row r="58" ht="30.0" customHeight="1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</row>
    <row r="59" ht="30.0" customHeight="1">
      <c r="A59" s="91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</row>
    <row r="60" ht="30.0" customHeight="1">
      <c r="A60" s="91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</row>
    <row r="61" ht="30.0" customHeight="1">
      <c r="A61" s="91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</row>
    <row r="62" ht="30.0" customHeight="1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</row>
    <row r="63" ht="30.0" customHeight="1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</row>
    <row r="64" ht="30.0" customHeight="1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</row>
    <row r="65" ht="30.0" customHeight="1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</row>
    <row r="66" ht="30.0" customHeight="1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</row>
    <row r="67" ht="30.0" customHeight="1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</row>
    <row r="68" ht="30.0" customHeight="1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</row>
    <row r="69" ht="30.0" customHeight="1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</row>
    <row r="70" ht="30.0" customHeight="1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</row>
    <row r="71" ht="30.0" customHeight="1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</row>
    <row r="72" ht="30.0" customHeight="1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</row>
    <row r="73" ht="30.0" customHeight="1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</row>
    <row r="74" ht="30.0" customHeight="1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</row>
    <row r="75" ht="30.0" customHeight="1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</row>
    <row r="76" ht="30.0" customHeight="1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</row>
    <row r="77" ht="30.0" customHeight="1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</row>
    <row r="78" ht="30.0" customHeight="1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</row>
    <row r="79" ht="30.0" customHeight="1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</row>
    <row r="80" ht="30.0" customHeight="1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</row>
    <row r="81" ht="30.0" customHeight="1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</row>
    <row r="82" ht="30.0" customHeight="1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</row>
    <row r="83" ht="30.0" customHeight="1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</row>
    <row r="84" ht="30.0" customHeight="1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</row>
    <row r="85" ht="30.0" customHeight="1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</row>
    <row r="86" ht="30.0" customHeight="1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</row>
    <row r="87" ht="30.0" customHeight="1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</row>
    <row r="88" ht="30.0" customHeight="1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</row>
    <row r="89" ht="30.0" customHeight="1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</row>
    <row r="90" ht="30.0" customHeight="1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</row>
    <row r="91" ht="30.0" customHeight="1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</row>
    <row r="92" ht="30.0" customHeight="1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</row>
    <row r="93" ht="30.0" customHeight="1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</row>
    <row r="94" ht="30.0" customHeight="1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</row>
    <row r="95" ht="30.0" customHeight="1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</row>
    <row r="96" ht="30.0" customHeight="1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</row>
    <row r="97" ht="30.0" customHeight="1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</row>
    <row r="98" ht="30.0" customHeight="1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</row>
    <row r="99" ht="30.0" customHeight="1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</row>
    <row r="100" ht="30.0" customHeight="1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</row>
    <row r="101" ht="30.0" customHeight="1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</row>
    <row r="102" ht="30.0" customHeight="1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</row>
    <row r="103" ht="30.0" customHeight="1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</row>
    <row r="104" ht="30.0" customHeight="1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</row>
    <row r="105" ht="30.0" customHeight="1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</row>
    <row r="106" ht="30.0" customHeight="1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</row>
    <row r="107" ht="30.0" customHeight="1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</row>
    <row r="108" ht="30.0" customHeight="1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</row>
    <row r="109" ht="30.0" customHeight="1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</row>
    <row r="110" ht="30.0" customHeight="1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</row>
    <row r="111" ht="30.0" customHeight="1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</row>
    <row r="112" ht="30.0" customHeight="1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</row>
    <row r="113" ht="30.0" customHeight="1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</row>
    <row r="114" ht="30.0" customHeight="1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</row>
    <row r="115" ht="30.0" customHeight="1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</row>
    <row r="116" ht="30.0" customHeight="1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</row>
    <row r="117" ht="30.0" customHeight="1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</row>
    <row r="118" ht="30.0" customHeight="1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</row>
    <row r="119" ht="30.0" customHeight="1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</row>
    <row r="120" ht="30.0" customHeight="1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</row>
    <row r="121" ht="30.0" customHeight="1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</row>
    <row r="122" ht="30.0" customHeight="1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</row>
    <row r="123" ht="30.0" customHeight="1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</row>
    <row r="124" ht="30.0" customHeight="1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</row>
    <row r="125" ht="30.0" customHeight="1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</row>
    <row r="126" ht="30.0" customHeight="1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</row>
    <row r="127" ht="30.0" customHeight="1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</row>
    <row r="128" ht="30.0" customHeight="1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</row>
    <row r="129" ht="30.0" customHeight="1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</row>
    <row r="130" ht="30.0" customHeight="1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</row>
    <row r="131" ht="30.0" customHeight="1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</row>
    <row r="132" ht="30.0" customHeight="1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</row>
    <row r="133" ht="30.0" customHeight="1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</row>
    <row r="134" ht="30.0" customHeight="1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</row>
    <row r="135" ht="30.0" customHeight="1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</row>
    <row r="136" ht="30.0" customHeight="1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</row>
    <row r="137" ht="30.0" customHeight="1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</row>
    <row r="138" ht="30.0" customHeight="1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</row>
    <row r="139" ht="30.0" customHeight="1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</row>
    <row r="140" ht="30.0" customHeight="1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</row>
    <row r="141" ht="30.0" customHeight="1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</row>
    <row r="142" ht="30.0" customHeight="1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</row>
    <row r="143" ht="30.0" customHeight="1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</row>
    <row r="144" ht="30.0" customHeight="1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</row>
    <row r="145" ht="30.0" customHeight="1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</row>
    <row r="146" ht="30.0" customHeight="1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</row>
    <row r="147" ht="30.0" customHeight="1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</row>
    <row r="148" ht="30.0" customHeight="1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</row>
    <row r="149" ht="30.0" customHeight="1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</row>
    <row r="150" ht="30.0" customHeight="1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</row>
    <row r="151" ht="30.0" customHeight="1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</row>
    <row r="152" ht="30.0" customHeight="1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</row>
    <row r="153" ht="30.0" customHeight="1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</row>
    <row r="154" ht="30.0" customHeight="1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</row>
    <row r="155" ht="30.0" customHeight="1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</row>
    <row r="156" ht="30.0" customHeight="1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</row>
    <row r="157" ht="30.0" customHeight="1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</row>
    <row r="158" ht="30.0" customHeight="1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</row>
    <row r="159" ht="30.0" customHeight="1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</row>
    <row r="160" ht="30.0" customHeight="1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</row>
    <row r="161" ht="30.0" customHeight="1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</row>
    <row r="162" ht="30.0" customHeight="1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</row>
    <row r="163" ht="30.0" customHeight="1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</row>
    <row r="164" ht="30.0" customHeight="1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</row>
    <row r="165" ht="30.0" customHeight="1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</row>
    <row r="166" ht="30.0" customHeight="1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</row>
    <row r="167" ht="30.0" customHeight="1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</row>
    <row r="168" ht="30.0" customHeight="1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</row>
    <row r="169" ht="30.0" customHeight="1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</row>
    <row r="170" ht="30.0" customHeight="1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</row>
    <row r="171" ht="30.0" customHeight="1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</row>
    <row r="172" ht="30.0" customHeight="1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</row>
    <row r="173" ht="30.0" customHeight="1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</row>
    <row r="174" ht="30.0" customHeight="1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</row>
    <row r="175" ht="30.0" customHeight="1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</row>
    <row r="176" ht="30.0" customHeight="1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</row>
    <row r="177" ht="30.0" customHeight="1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</row>
    <row r="178" ht="30.0" customHeight="1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</row>
    <row r="179" ht="30.0" customHeight="1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</row>
    <row r="180" ht="30.0" customHeight="1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</row>
    <row r="181" ht="30.0" customHeight="1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</row>
    <row r="182" ht="30.0" customHeight="1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</row>
    <row r="183" ht="30.0" customHeight="1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</row>
    <row r="184" ht="30.0" customHeight="1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</row>
    <row r="185" ht="30.0" customHeight="1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</row>
    <row r="186" ht="30.0" customHeight="1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</row>
    <row r="187" ht="30.0" customHeight="1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</row>
    <row r="188" ht="30.0" customHeight="1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</row>
    <row r="189" ht="30.0" customHeight="1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</row>
    <row r="190" ht="30.0" customHeight="1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</row>
    <row r="191" ht="30.0" customHeight="1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</row>
    <row r="192" ht="30.0" customHeight="1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</row>
    <row r="193" ht="30.0" customHeight="1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</row>
    <row r="194" ht="30.0" customHeight="1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</row>
    <row r="195" ht="30.0" customHeight="1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</row>
    <row r="196" ht="30.0" customHeight="1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</row>
    <row r="197" ht="30.0" customHeight="1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</row>
    <row r="198" ht="30.0" customHeight="1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</row>
    <row r="199" ht="30.0" customHeight="1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</row>
    <row r="200" ht="30.0" customHeight="1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</row>
    <row r="201" ht="30.0" customHeight="1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</row>
    <row r="202" ht="30.0" customHeight="1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</row>
    <row r="203" ht="30.0" customHeight="1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</row>
    <row r="204" ht="30.0" customHeight="1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</row>
    <row r="205" ht="30.0" customHeight="1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</row>
    <row r="206" ht="30.0" customHeight="1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</row>
    <row r="207" ht="30.0" customHeight="1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</row>
    <row r="208" ht="30.0" customHeight="1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</row>
    <row r="209" ht="30.0" customHeight="1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</row>
    <row r="210" ht="30.0" customHeight="1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</row>
    <row r="211" ht="30.0" customHeight="1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</row>
    <row r="212" ht="30.0" customHeight="1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</row>
    <row r="213" ht="30.0" customHeight="1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</row>
    <row r="214" ht="30.0" customHeight="1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</row>
    <row r="215" ht="30.0" customHeight="1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</row>
    <row r="216" ht="30.0" customHeight="1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</row>
    <row r="217" ht="30.0" customHeight="1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</row>
    <row r="218" ht="30.0" customHeight="1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</row>
    <row r="219" ht="30.0" customHeight="1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</row>
    <row r="220" ht="30.0" customHeight="1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</row>
    <row r="221" ht="30.0" customHeight="1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</row>
    <row r="222" ht="30.0" customHeight="1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</row>
    <row r="223" ht="30.0" customHeight="1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</row>
    <row r="224" ht="30.0" customHeight="1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</row>
    <row r="225" ht="30.0" customHeight="1">
      <c r="A225" s="9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</row>
    <row r="226" ht="30.0" customHeight="1">
      <c r="A226" s="91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</row>
    <row r="227" ht="30.0" customHeight="1">
      <c r="A227" s="91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</row>
    <row r="228" ht="30.0" customHeight="1">
      <c r="A228" s="9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</row>
    <row r="229" ht="30.0" customHeight="1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</row>
    <row r="230" ht="30.0" customHeight="1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</row>
    <row r="231" ht="30.0" customHeight="1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</row>
    <row r="232" ht="30.0" customHeight="1">
      <c r="A232" s="9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</row>
    <row r="233" ht="30.0" customHeight="1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</row>
    <row r="234" ht="30.0" customHeight="1">
      <c r="A234" s="91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</row>
    <row r="235" ht="30.0" customHeight="1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</row>
    <row r="236" ht="30.0" customHeight="1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</row>
    <row r="237" ht="30.0" customHeight="1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</row>
    <row r="238" ht="30.0" customHeight="1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</row>
    <row r="239" ht="30.0" customHeight="1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</row>
    <row r="240" ht="30.0" customHeight="1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</row>
    <row r="241" ht="30.0" customHeight="1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</row>
    <row r="242" ht="30.0" customHeight="1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</row>
    <row r="243" ht="30.0" customHeight="1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</row>
    <row r="244" ht="30.0" customHeight="1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</row>
    <row r="245" ht="30.0" customHeight="1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</row>
    <row r="246" ht="30.0" customHeight="1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</row>
    <row r="247" ht="30.0" customHeight="1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</row>
    <row r="248" ht="30.0" customHeight="1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</row>
    <row r="249" ht="30.0" customHeight="1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</row>
    <row r="250" ht="30.0" customHeight="1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</row>
    <row r="251" ht="30.0" customHeight="1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</row>
    <row r="252" ht="30.0" customHeight="1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</row>
    <row r="253" ht="30.0" customHeight="1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</row>
    <row r="254" ht="30.0" customHeight="1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</row>
    <row r="255" ht="30.0" customHeight="1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</row>
    <row r="256" ht="30.0" customHeight="1">
      <c r="A256" s="91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</row>
    <row r="257" ht="30.0" customHeight="1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</row>
    <row r="258" ht="30.0" customHeight="1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</row>
    <row r="259" ht="30.0" customHeight="1">
      <c r="A259" s="91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</row>
    <row r="260" ht="30.0" customHeight="1">
      <c r="A260" s="91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</row>
    <row r="261" ht="30.0" customHeight="1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</row>
    <row r="262" ht="30.0" customHeight="1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</row>
    <row r="263" ht="30.0" customHeight="1">
      <c r="A263" s="91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</row>
    <row r="264" ht="30.0" customHeight="1">
      <c r="A264" s="91"/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</row>
    <row r="265" ht="30.0" customHeight="1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</row>
    <row r="266" ht="30.0" customHeight="1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</row>
    <row r="267" ht="30.0" customHeight="1">
      <c r="A267" s="91"/>
      <c r="B267" s="91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</row>
    <row r="268" ht="30.0" customHeight="1">
      <c r="A268" s="91"/>
      <c r="B268" s="91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</row>
    <row r="269" ht="30.0" customHeight="1">
      <c r="A269" s="91"/>
      <c r="B269" s="91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</row>
    <row r="270" ht="30.0" customHeight="1">
      <c r="A270" s="91"/>
      <c r="B270" s="91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</row>
    <row r="271" ht="30.0" customHeight="1">
      <c r="A271" s="91"/>
      <c r="B271" s="91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</row>
    <row r="272" ht="30.0" customHeight="1">
      <c r="A272" s="91"/>
      <c r="B272" s="91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</row>
    <row r="273" ht="30.0" customHeight="1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</row>
    <row r="274" ht="30.0" customHeight="1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</row>
    <row r="275" ht="30.0" customHeight="1">
      <c r="A275" s="91"/>
      <c r="B275" s="91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</row>
    <row r="276" ht="30.0" customHeight="1">
      <c r="A276" s="91"/>
      <c r="B276" s="91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</row>
    <row r="277" ht="30.0" customHeight="1">
      <c r="A277" s="91"/>
      <c r="B277" s="91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</row>
    <row r="278" ht="30.0" customHeight="1">
      <c r="A278" s="91"/>
      <c r="B278" s="91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</row>
    <row r="279" ht="30.0" customHeight="1">
      <c r="A279" s="91"/>
      <c r="B279" s="91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</row>
    <row r="280" ht="30.0" customHeight="1">
      <c r="A280" s="91"/>
      <c r="B280" s="91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</row>
    <row r="281" ht="30.0" customHeight="1">
      <c r="A281" s="91"/>
      <c r="B281" s="91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</row>
    <row r="282" ht="30.0" customHeight="1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</row>
    <row r="283" ht="30.0" customHeight="1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</row>
    <row r="284" ht="30.0" customHeight="1">
      <c r="A284" s="91"/>
      <c r="B284" s="91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</row>
    <row r="285" ht="30.0" customHeight="1">
      <c r="A285" s="91"/>
      <c r="B285" s="91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</row>
    <row r="286" ht="30.0" customHeight="1">
      <c r="A286" s="91"/>
      <c r="B286" s="91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</row>
    <row r="287" ht="30.0" customHeight="1">
      <c r="A287" s="91"/>
      <c r="B287" s="91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</row>
    <row r="288" ht="30.0" customHeight="1">
      <c r="A288" s="91"/>
      <c r="B288" s="91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</row>
    <row r="289" ht="30.0" customHeight="1">
      <c r="A289" s="91"/>
      <c r="B289" s="91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</row>
    <row r="290" ht="30.0" customHeight="1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</row>
    <row r="291" ht="30.0" customHeight="1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</row>
    <row r="292" ht="30.0" customHeight="1">
      <c r="A292" s="91"/>
      <c r="B292" s="91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</row>
    <row r="293" ht="30.0" customHeight="1">
      <c r="A293" s="91"/>
      <c r="B293" s="91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</row>
    <row r="294" ht="30.0" customHeight="1">
      <c r="A294" s="91"/>
      <c r="B294" s="91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</row>
    <row r="295" ht="30.0" customHeight="1">
      <c r="A295" s="91"/>
      <c r="B295" s="91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</row>
    <row r="296" ht="30.0" customHeight="1">
      <c r="A296" s="91"/>
      <c r="B296" s="91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</row>
    <row r="297" ht="30.0" customHeight="1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</row>
    <row r="298" ht="30.0" customHeight="1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</row>
    <row r="299" ht="30.0" customHeight="1">
      <c r="A299" s="91"/>
      <c r="B299" s="91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</row>
    <row r="300" ht="30.0" customHeight="1">
      <c r="A300" s="91"/>
      <c r="B300" s="91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</row>
    <row r="301" ht="30.0" customHeight="1">
      <c r="A301" s="91"/>
      <c r="B301" s="91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</row>
    <row r="302" ht="30.0" customHeight="1">
      <c r="A302" s="91"/>
      <c r="B302" s="91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</row>
    <row r="303" ht="30.0" customHeight="1">
      <c r="A303" s="91"/>
      <c r="B303" s="91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</row>
    <row r="304" ht="30.0" customHeight="1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</row>
    <row r="305" ht="30.0" customHeight="1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</row>
    <row r="306" ht="30.0" customHeight="1">
      <c r="A306" s="91"/>
      <c r="B306" s="91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</row>
    <row r="307" ht="30.0" customHeight="1">
      <c r="A307" s="91"/>
      <c r="B307" s="91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</row>
    <row r="308" ht="30.0" customHeight="1">
      <c r="A308" s="91"/>
      <c r="B308" s="91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</row>
    <row r="309" ht="30.0" customHeight="1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</row>
    <row r="310" ht="30.0" customHeight="1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</row>
    <row r="311" ht="30.0" customHeight="1">
      <c r="A311" s="91"/>
      <c r="B311" s="91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</row>
    <row r="312" ht="30.0" customHeight="1">
      <c r="A312" s="91"/>
      <c r="B312" s="91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</row>
    <row r="313" ht="30.0" customHeight="1">
      <c r="A313" s="91"/>
      <c r="B313" s="91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</row>
    <row r="314" ht="30.0" customHeight="1">
      <c r="A314" s="91"/>
      <c r="B314" s="91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</row>
    <row r="315" ht="30.0" customHeight="1">
      <c r="A315" s="91"/>
      <c r="B315" s="91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  <c r="P315" s="91"/>
    </row>
    <row r="316" ht="30.0" customHeight="1">
      <c r="A316" s="91"/>
      <c r="B316" s="91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</row>
    <row r="317" ht="30.0" customHeight="1">
      <c r="A317" s="91"/>
      <c r="B317" s="91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</row>
    <row r="318" ht="30.0" customHeight="1">
      <c r="A318" s="91"/>
      <c r="B318" s="91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</row>
    <row r="319" ht="30.0" customHeight="1">
      <c r="A319" s="91"/>
      <c r="B319" s="91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  <c r="P319" s="91"/>
    </row>
    <row r="320" ht="30.0" customHeight="1">
      <c r="A320" s="91"/>
      <c r="B320" s="91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</row>
    <row r="321" ht="30.0" customHeight="1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</row>
    <row r="322" ht="30.0" customHeight="1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  <c r="P322" s="91"/>
    </row>
    <row r="323" ht="30.0" customHeight="1">
      <c r="A323" s="91"/>
      <c r="B323" s="91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  <c r="P323" s="91"/>
    </row>
    <row r="324" ht="30.0" customHeight="1">
      <c r="A324" s="91"/>
      <c r="B324" s="91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</row>
    <row r="325" ht="30.0" customHeight="1">
      <c r="A325" s="91"/>
      <c r="B325" s="91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</row>
    <row r="326" ht="30.0" customHeight="1">
      <c r="A326" s="91"/>
      <c r="B326" s="91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</row>
    <row r="327" ht="30.0" customHeight="1">
      <c r="A327" s="91"/>
      <c r="B327" s="91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</row>
    <row r="328" ht="30.0" customHeight="1">
      <c r="A328" s="91"/>
      <c r="B328" s="91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</row>
    <row r="329" ht="30.0" customHeight="1">
      <c r="A329" s="91"/>
      <c r="B329" s="91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</row>
    <row r="330" ht="30.0" customHeight="1">
      <c r="A330" s="91"/>
      <c r="B330" s="91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</row>
    <row r="331" ht="30.0" customHeight="1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</row>
    <row r="332" ht="30.0" customHeight="1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</row>
    <row r="333" ht="30.0" customHeight="1">
      <c r="A333" s="91"/>
      <c r="B333" s="91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</row>
    <row r="334" ht="30.0" customHeight="1">
      <c r="A334" s="91"/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</row>
    <row r="335" ht="30.0" customHeight="1">
      <c r="A335" s="91"/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</row>
    <row r="336" ht="30.0" customHeight="1">
      <c r="A336" s="91"/>
      <c r="B336" s="91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  <c r="P336" s="91"/>
    </row>
    <row r="337" ht="30.0" customHeight="1">
      <c r="A337" s="91"/>
      <c r="B337" s="91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  <c r="P337" s="91"/>
    </row>
    <row r="338" ht="30.0" customHeight="1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  <c r="P338" s="91"/>
    </row>
    <row r="339" ht="30.0" customHeight="1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</row>
    <row r="340" ht="30.0" customHeight="1">
      <c r="A340" s="91"/>
      <c r="B340" s="91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</row>
    <row r="341" ht="30.0" customHeight="1">
      <c r="A341" s="91"/>
      <c r="B341" s="91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  <c r="P341" s="91"/>
    </row>
    <row r="342" ht="30.0" customHeight="1">
      <c r="A342" s="91"/>
      <c r="B342" s="91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</row>
    <row r="343" ht="30.0" customHeight="1">
      <c r="A343" s="91"/>
      <c r="B343" s="91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  <c r="P343" s="91"/>
    </row>
    <row r="344" ht="30.0" customHeight="1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</row>
    <row r="345" ht="30.0" customHeight="1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</row>
    <row r="346" ht="30.0" customHeight="1">
      <c r="A346" s="91"/>
      <c r="B346" s="91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</row>
    <row r="347" ht="30.0" customHeight="1">
      <c r="A347" s="91"/>
      <c r="B347" s="91"/>
      <c r="C347" s="91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</row>
    <row r="348" ht="30.0" customHeight="1">
      <c r="A348" s="91"/>
      <c r="B348" s="91"/>
      <c r="C348" s="91"/>
      <c r="D348" s="91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</row>
    <row r="349" ht="30.0" customHeight="1">
      <c r="A349" s="91"/>
      <c r="B349" s="91"/>
      <c r="C349" s="91"/>
      <c r="D349" s="91"/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1"/>
      <c r="P349" s="91"/>
    </row>
    <row r="350" ht="30.0" customHeight="1">
      <c r="A350" s="91"/>
      <c r="B350" s="91"/>
      <c r="C350" s="91"/>
      <c r="D350" s="91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</row>
    <row r="351" ht="30.0" customHeight="1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  <c r="P351" s="91"/>
    </row>
    <row r="352" ht="30.0" customHeight="1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</row>
    <row r="353" ht="30.0" customHeight="1">
      <c r="A353" s="91"/>
      <c r="B353" s="91"/>
      <c r="C353" s="91"/>
      <c r="D353" s="91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</row>
    <row r="354" ht="30.0" customHeight="1">
      <c r="A354" s="91"/>
      <c r="B354" s="91"/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</row>
    <row r="355" ht="30.0" customHeight="1">
      <c r="A355" s="91"/>
      <c r="B355" s="91"/>
      <c r="C355" s="91"/>
      <c r="D355" s="91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</row>
    <row r="356" ht="30.0" customHeight="1">
      <c r="A356" s="91"/>
      <c r="B356" s="91"/>
      <c r="C356" s="91"/>
      <c r="D356" s="91"/>
      <c r="E356" s="91"/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</row>
    <row r="357" ht="30.0" customHeight="1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</row>
    <row r="358" ht="30.0" customHeight="1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</row>
    <row r="359" ht="30.0" customHeight="1">
      <c r="A359" s="91"/>
      <c r="B359" s="91"/>
      <c r="C359" s="91"/>
      <c r="D359" s="91"/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</row>
    <row r="360" ht="30.0" customHeight="1">
      <c r="A360" s="91"/>
      <c r="B360" s="91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</row>
    <row r="361" ht="30.0" customHeight="1">
      <c r="A361" s="91"/>
      <c r="B361" s="91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</row>
    <row r="362" ht="30.0" customHeight="1">
      <c r="A362" s="91"/>
      <c r="B362" s="91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</row>
    <row r="363" ht="30.0" customHeight="1">
      <c r="A363" s="91"/>
      <c r="B363" s="91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</row>
    <row r="364" ht="30.0" customHeight="1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  <c r="P364" s="91"/>
    </row>
    <row r="365" ht="30.0" customHeight="1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  <c r="P365" s="91"/>
    </row>
    <row r="366" ht="30.0" customHeight="1">
      <c r="A366" s="91"/>
      <c r="B366" s="91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  <c r="P366" s="91"/>
    </row>
    <row r="367" ht="30.0" customHeight="1">
      <c r="A367" s="91"/>
      <c r="B367" s="91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  <c r="P367" s="91"/>
    </row>
    <row r="368" ht="30.0" customHeight="1">
      <c r="A368" s="91"/>
      <c r="B368" s="91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  <c r="P368" s="91"/>
    </row>
    <row r="369" ht="30.0" customHeight="1">
      <c r="A369" s="91"/>
      <c r="B369" s="91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  <c r="P369" s="91"/>
    </row>
    <row r="370" ht="30.0" customHeight="1">
      <c r="A370" s="91"/>
      <c r="B370" s="91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</row>
    <row r="371" ht="30.0" customHeight="1">
      <c r="A371" s="91"/>
      <c r="B371" s="91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  <c r="P371" s="91"/>
    </row>
    <row r="372" ht="30.0" customHeight="1">
      <c r="A372" s="91"/>
      <c r="B372" s="91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  <c r="P372" s="91"/>
    </row>
    <row r="373" ht="30.0" customHeight="1">
      <c r="A373" s="91"/>
      <c r="B373" s="91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1"/>
    </row>
    <row r="374" ht="30.0" customHeight="1">
      <c r="A374" s="91"/>
      <c r="B374" s="91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1"/>
    </row>
    <row r="375" ht="30.0" customHeight="1">
      <c r="A375" s="91"/>
      <c r="B375" s="91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</row>
    <row r="376" ht="30.0" customHeight="1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</row>
    <row r="377" ht="30.0" customHeight="1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</row>
    <row r="378" ht="30.0" customHeight="1">
      <c r="A378" s="91"/>
      <c r="B378" s="91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</row>
    <row r="379" ht="30.0" customHeight="1">
      <c r="A379" s="91"/>
      <c r="B379" s="91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</row>
    <row r="380" ht="30.0" customHeight="1">
      <c r="A380" s="91"/>
      <c r="B380" s="91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1"/>
    </row>
    <row r="381" ht="30.0" customHeight="1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</row>
    <row r="382" ht="30.0" customHeight="1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</row>
    <row r="383" ht="30.0" customHeight="1">
      <c r="A383" s="91"/>
      <c r="B383" s="91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</row>
    <row r="384" ht="30.0" customHeight="1">
      <c r="A384" s="91"/>
      <c r="B384" s="91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</row>
    <row r="385" ht="30.0" customHeight="1">
      <c r="A385" s="91"/>
      <c r="B385" s="91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</row>
    <row r="386" ht="30.0" customHeight="1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1"/>
    </row>
    <row r="387" ht="30.0" customHeight="1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</row>
    <row r="388" ht="30.0" customHeight="1">
      <c r="A388" s="91"/>
      <c r="B388" s="91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</row>
    <row r="389" ht="30.0" customHeight="1">
      <c r="A389" s="91"/>
      <c r="B389" s="91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</row>
    <row r="390" ht="30.0" customHeight="1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</row>
    <row r="391" ht="30.0" customHeight="1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</row>
    <row r="392" ht="30.0" customHeight="1">
      <c r="A392" s="91"/>
      <c r="B392" s="91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  <c r="P392" s="91"/>
    </row>
    <row r="393" ht="30.0" customHeight="1">
      <c r="A393" s="91"/>
      <c r="B393" s="91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</row>
    <row r="394" ht="30.0" customHeight="1">
      <c r="A394" s="91"/>
      <c r="B394" s="91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</row>
    <row r="395" ht="30.0" customHeight="1">
      <c r="A395" s="91"/>
      <c r="B395" s="91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</row>
    <row r="396" ht="30.0" customHeight="1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</row>
    <row r="397" ht="30.0" customHeight="1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</row>
    <row r="398" ht="30.0" customHeight="1">
      <c r="A398" s="91"/>
      <c r="B398" s="91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  <c r="P398" s="91"/>
    </row>
    <row r="399" ht="30.0" customHeight="1">
      <c r="A399" s="91"/>
      <c r="B399" s="91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</row>
    <row r="400" ht="30.0" customHeight="1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</row>
    <row r="401" ht="30.0" customHeight="1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</row>
    <row r="402" ht="30.0" customHeight="1">
      <c r="A402" s="91"/>
      <c r="B402" s="91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</row>
    <row r="403" ht="30.0" customHeight="1">
      <c r="A403" s="91"/>
      <c r="B403" s="91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</row>
    <row r="404" ht="30.0" customHeight="1">
      <c r="A404" s="91"/>
      <c r="B404" s="91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</row>
    <row r="405" ht="30.0" customHeight="1">
      <c r="A405" s="91"/>
      <c r="B405" s="91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</row>
    <row r="406" ht="30.0" customHeight="1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</row>
    <row r="407" ht="30.0" customHeight="1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</row>
    <row r="408" ht="30.0" customHeight="1">
      <c r="A408" s="91"/>
      <c r="B408" s="91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</row>
    <row r="409" ht="30.0" customHeight="1">
      <c r="A409" s="91"/>
      <c r="B409" s="91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</row>
    <row r="410" ht="30.0" customHeight="1">
      <c r="A410" s="91"/>
      <c r="B410" s="91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</row>
    <row r="411" ht="30.0" customHeight="1">
      <c r="A411" s="91"/>
      <c r="B411" s="91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</row>
    <row r="412" ht="30.0" customHeight="1">
      <c r="A412" s="91"/>
      <c r="B412" s="91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</row>
    <row r="413" ht="30.0" customHeight="1">
      <c r="A413" s="91"/>
      <c r="B413" s="91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</row>
    <row r="414" ht="30.0" customHeight="1">
      <c r="A414" s="91"/>
      <c r="B414" s="91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</row>
    <row r="415" ht="30.0" customHeight="1">
      <c r="A415" s="91"/>
      <c r="B415" s="91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</row>
    <row r="416" ht="30.0" customHeight="1">
      <c r="A416" s="91"/>
      <c r="B416" s="91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</row>
    <row r="417" ht="30.0" customHeight="1">
      <c r="A417" s="91"/>
      <c r="B417" s="91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</row>
    <row r="418" ht="30.0" customHeight="1">
      <c r="A418" s="91"/>
      <c r="B418" s="91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</row>
    <row r="419" ht="30.0" customHeight="1">
      <c r="A419" s="91"/>
      <c r="B419" s="91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</row>
    <row r="420" ht="30.0" customHeight="1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</row>
    <row r="421" ht="30.0" customHeight="1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</row>
    <row r="422" ht="30.0" customHeight="1">
      <c r="A422" s="91"/>
      <c r="B422" s="91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</row>
    <row r="423" ht="30.0" customHeight="1">
      <c r="A423" s="91"/>
      <c r="B423" s="91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</row>
    <row r="424" ht="30.0" customHeight="1">
      <c r="A424" s="91"/>
      <c r="B424" s="91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</row>
    <row r="425" ht="30.0" customHeight="1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</row>
    <row r="426" ht="30.0" customHeight="1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</row>
    <row r="427" ht="30.0" customHeight="1">
      <c r="A427" s="91"/>
      <c r="B427" s="91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</row>
    <row r="428" ht="30.0" customHeight="1">
      <c r="A428" s="91"/>
      <c r="B428" s="91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</row>
    <row r="429" ht="30.0" customHeight="1">
      <c r="A429" s="91"/>
      <c r="B429" s="91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</row>
    <row r="430" ht="30.0" customHeight="1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</row>
    <row r="431" ht="30.0" customHeight="1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</row>
    <row r="432" ht="30.0" customHeight="1">
      <c r="A432" s="91"/>
      <c r="B432" s="91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</row>
    <row r="433" ht="30.0" customHeight="1">
      <c r="A433" s="91"/>
      <c r="B433" s="91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</row>
    <row r="434" ht="30.0" customHeight="1">
      <c r="A434" s="91"/>
      <c r="B434" s="91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</row>
    <row r="435" ht="30.0" customHeight="1">
      <c r="A435" s="91"/>
      <c r="B435" s="91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</row>
    <row r="436" ht="30.0" customHeight="1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</row>
    <row r="437" ht="30.0" customHeight="1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</row>
    <row r="438" ht="30.0" customHeight="1">
      <c r="A438" s="91"/>
      <c r="B438" s="91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</row>
    <row r="439" ht="30.0" customHeight="1">
      <c r="A439" s="91"/>
      <c r="B439" s="91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</row>
    <row r="440" ht="30.0" customHeight="1">
      <c r="A440" s="91"/>
      <c r="B440" s="91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</row>
    <row r="441" ht="30.0" customHeight="1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</row>
    <row r="442" ht="30.0" customHeight="1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</row>
    <row r="443" ht="30.0" customHeight="1">
      <c r="A443" s="91"/>
      <c r="B443" s="91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</row>
    <row r="444" ht="30.0" customHeight="1">
      <c r="A444" s="91"/>
      <c r="B444" s="91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</row>
    <row r="445" ht="30.0" customHeight="1">
      <c r="A445" s="91"/>
      <c r="B445" s="91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</row>
    <row r="446" ht="30.0" customHeight="1">
      <c r="A446" s="91"/>
      <c r="B446" s="91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</row>
    <row r="447" ht="30.0" customHeight="1">
      <c r="A447" s="91"/>
      <c r="B447" s="91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</row>
    <row r="448" ht="30.0" customHeight="1">
      <c r="A448" s="91"/>
      <c r="B448" s="91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</row>
    <row r="449" ht="30.0" customHeight="1">
      <c r="A449" s="91"/>
      <c r="B449" s="91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</row>
    <row r="450" ht="30.0" customHeight="1">
      <c r="A450" s="91"/>
      <c r="B450" s="91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</row>
    <row r="451" ht="30.0" customHeight="1">
      <c r="A451" s="91"/>
      <c r="B451" s="91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</row>
    <row r="452" ht="30.0" customHeight="1">
      <c r="A452" s="91"/>
      <c r="B452" s="91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</row>
    <row r="453" ht="30.0" customHeight="1">
      <c r="A453" s="91"/>
      <c r="B453" s="91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</row>
    <row r="454" ht="30.0" customHeight="1">
      <c r="A454" s="91"/>
      <c r="B454" s="91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</row>
    <row r="455" ht="30.0" customHeight="1">
      <c r="A455" s="91"/>
      <c r="B455" s="91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</row>
    <row r="456" ht="30.0" customHeight="1">
      <c r="A456" s="91"/>
      <c r="B456" s="91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</row>
    <row r="457" ht="30.0" customHeight="1">
      <c r="A457" s="91"/>
      <c r="B457" s="91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</row>
    <row r="458" ht="30.0" customHeight="1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</row>
    <row r="459" ht="30.0" customHeight="1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</row>
    <row r="460" ht="30.0" customHeight="1">
      <c r="A460" s="91"/>
      <c r="B460" s="91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</row>
    <row r="461" ht="30.0" customHeight="1">
      <c r="A461" s="91"/>
      <c r="B461" s="91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</row>
    <row r="462" ht="30.0" customHeight="1">
      <c r="A462" s="91"/>
      <c r="B462" s="91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</row>
    <row r="463" ht="30.0" customHeight="1">
      <c r="A463" s="91"/>
      <c r="B463" s="91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</row>
    <row r="464" ht="30.0" customHeight="1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</row>
    <row r="465" ht="30.0" customHeight="1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</row>
    <row r="466" ht="30.0" customHeight="1">
      <c r="A466" s="91"/>
      <c r="B466" s="91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</row>
    <row r="467" ht="30.0" customHeight="1">
      <c r="A467" s="91"/>
      <c r="B467" s="91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</row>
    <row r="468" ht="30.0" customHeight="1">
      <c r="A468" s="91"/>
      <c r="B468" s="91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</row>
    <row r="469" ht="30.0" customHeight="1">
      <c r="A469" s="91"/>
      <c r="B469" s="91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</row>
    <row r="470" ht="30.0" customHeight="1">
      <c r="A470" s="91"/>
      <c r="B470" s="91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</row>
    <row r="471" ht="30.0" customHeight="1">
      <c r="A471" s="91"/>
      <c r="B471" s="91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</row>
    <row r="472" ht="30.0" customHeight="1">
      <c r="A472" s="91"/>
      <c r="B472" s="91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</row>
    <row r="473" ht="30.0" customHeight="1">
      <c r="A473" s="91"/>
      <c r="B473" s="91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</row>
    <row r="474" ht="30.0" customHeight="1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</row>
    <row r="475" ht="30.0" customHeight="1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</row>
    <row r="476" ht="30.0" customHeight="1">
      <c r="A476" s="91"/>
      <c r="B476" s="91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</row>
    <row r="477" ht="30.0" customHeight="1">
      <c r="A477" s="91"/>
      <c r="B477" s="91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</row>
    <row r="478" ht="30.0" customHeight="1">
      <c r="A478" s="91"/>
      <c r="B478" s="91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</row>
    <row r="479" ht="30.0" customHeight="1">
      <c r="A479" s="91"/>
      <c r="B479" s="91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</row>
    <row r="480" ht="30.0" customHeight="1">
      <c r="A480" s="91"/>
      <c r="B480" s="91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</row>
    <row r="481" ht="30.0" customHeight="1">
      <c r="A481" s="91"/>
      <c r="B481" s="91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</row>
    <row r="482" ht="30.0" customHeight="1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</row>
    <row r="483" ht="30.0" customHeight="1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</row>
    <row r="484" ht="30.0" customHeight="1">
      <c r="A484" s="91"/>
      <c r="B484" s="91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</row>
    <row r="485" ht="30.0" customHeight="1">
      <c r="A485" s="91"/>
      <c r="B485" s="91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</row>
    <row r="486" ht="30.0" customHeight="1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  <c r="P486" s="91"/>
    </row>
    <row r="487" ht="30.0" customHeight="1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</row>
    <row r="488" ht="30.0" customHeight="1">
      <c r="A488" s="91"/>
      <c r="B488" s="91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</row>
    <row r="489" ht="30.0" customHeight="1">
      <c r="A489" s="91"/>
      <c r="B489" s="91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</row>
    <row r="490" ht="30.0" customHeight="1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</row>
    <row r="491" ht="30.0" customHeight="1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</row>
    <row r="492" ht="30.0" customHeight="1">
      <c r="A492" s="91"/>
      <c r="B492" s="91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</row>
    <row r="493" ht="30.0" customHeight="1">
      <c r="A493" s="91"/>
      <c r="B493" s="91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</row>
    <row r="494" ht="30.0" customHeight="1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</row>
    <row r="495" ht="30.0" customHeight="1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</row>
    <row r="496" ht="30.0" customHeight="1">
      <c r="A496" s="91"/>
      <c r="B496" s="91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</row>
    <row r="497" ht="30.0" customHeight="1">
      <c r="A497" s="91"/>
      <c r="B497" s="91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</row>
    <row r="498" ht="30.0" customHeight="1">
      <c r="A498" s="91"/>
      <c r="B498" s="91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</row>
    <row r="499" ht="30.0" customHeight="1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</row>
    <row r="500" ht="30.0" customHeight="1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</row>
    <row r="501" ht="30.0" customHeight="1">
      <c r="A501" s="91"/>
      <c r="B501" s="91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</row>
    <row r="502" ht="30.0" customHeight="1">
      <c r="A502" s="91"/>
      <c r="B502" s="91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</row>
    <row r="503" ht="30.0" customHeight="1">
      <c r="A503" s="91"/>
      <c r="B503" s="91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</row>
    <row r="504" ht="30.0" customHeight="1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</row>
    <row r="505" ht="30.0" customHeight="1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</row>
    <row r="506" ht="30.0" customHeight="1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</row>
    <row r="507" ht="30.0" customHeight="1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</row>
    <row r="508" ht="30.0" customHeight="1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</row>
    <row r="509" ht="30.0" customHeight="1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</row>
    <row r="510" ht="30.0" customHeight="1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</row>
    <row r="511" ht="30.0" customHeight="1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</row>
    <row r="512" ht="30.0" customHeight="1">
      <c r="A512" s="91"/>
      <c r="B512" s="91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</row>
    <row r="513" ht="30.0" customHeight="1">
      <c r="A513" s="91"/>
      <c r="B513" s="91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</row>
    <row r="514" ht="30.0" customHeight="1">
      <c r="A514" s="91"/>
      <c r="B514" s="91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</row>
    <row r="515" ht="30.0" customHeight="1">
      <c r="A515" s="91"/>
      <c r="B515" s="91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</row>
    <row r="516" ht="30.0" customHeight="1">
      <c r="A516" s="91"/>
      <c r="B516" s="91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</row>
    <row r="517" ht="30.0" customHeight="1">
      <c r="A517" s="91"/>
      <c r="B517" s="91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</row>
    <row r="518" ht="30.0" customHeight="1">
      <c r="A518" s="91"/>
      <c r="B518" s="91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</row>
    <row r="519" ht="30.0" customHeight="1">
      <c r="A519" s="91"/>
      <c r="B519" s="91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</row>
    <row r="520" ht="30.0" customHeight="1">
      <c r="A520" s="91"/>
      <c r="B520" s="91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</row>
    <row r="521" ht="30.0" customHeight="1">
      <c r="A521" s="91"/>
      <c r="B521" s="91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</row>
    <row r="522" ht="30.0" customHeight="1">
      <c r="A522" s="91"/>
      <c r="B522" s="91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</row>
    <row r="523" ht="30.0" customHeight="1">
      <c r="A523" s="91"/>
      <c r="B523" s="91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</row>
    <row r="524" ht="30.0" customHeight="1">
      <c r="A524" s="91"/>
      <c r="B524" s="91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</row>
    <row r="525" ht="30.0" customHeight="1">
      <c r="A525" s="91"/>
      <c r="B525" s="91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</row>
    <row r="526" ht="30.0" customHeight="1">
      <c r="A526" s="91"/>
      <c r="B526" s="91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</row>
    <row r="527" ht="30.0" customHeight="1">
      <c r="A527" s="91"/>
      <c r="B527" s="91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</row>
    <row r="528" ht="30.0" customHeight="1">
      <c r="A528" s="91"/>
      <c r="B528" s="91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</row>
    <row r="529" ht="30.0" customHeight="1">
      <c r="A529" s="91"/>
      <c r="B529" s="91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</row>
    <row r="530" ht="30.0" customHeight="1">
      <c r="A530" s="91"/>
      <c r="B530" s="91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</row>
    <row r="531" ht="30.0" customHeight="1">
      <c r="A531" s="91"/>
      <c r="B531" s="91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</row>
    <row r="532" ht="30.0" customHeight="1">
      <c r="A532" s="91"/>
      <c r="B532" s="91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</row>
    <row r="533" ht="30.0" customHeight="1">
      <c r="A533" s="91"/>
      <c r="B533" s="91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</row>
    <row r="534" ht="30.0" customHeight="1">
      <c r="A534" s="91"/>
      <c r="B534" s="91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</row>
    <row r="535" ht="30.0" customHeight="1">
      <c r="A535" s="91"/>
      <c r="B535" s="91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</row>
    <row r="536" ht="30.0" customHeight="1">
      <c r="A536" s="91"/>
      <c r="B536" s="91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</row>
    <row r="537" ht="30.0" customHeight="1">
      <c r="A537" s="91"/>
      <c r="B537" s="91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</row>
    <row r="538" ht="30.0" customHeight="1">
      <c r="A538" s="91"/>
      <c r="B538" s="91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</row>
    <row r="539" ht="30.0" customHeight="1">
      <c r="A539" s="91"/>
      <c r="B539" s="91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</row>
    <row r="540" ht="30.0" customHeight="1">
      <c r="A540" s="91"/>
      <c r="B540" s="91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</row>
    <row r="541" ht="30.0" customHeight="1">
      <c r="A541" s="91"/>
      <c r="B541" s="91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</row>
    <row r="542" ht="30.0" customHeight="1">
      <c r="A542" s="91"/>
      <c r="B542" s="91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</row>
    <row r="543" ht="30.0" customHeight="1">
      <c r="A543" s="91"/>
      <c r="B543" s="91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</row>
    <row r="544" ht="30.0" customHeight="1">
      <c r="A544" s="91"/>
      <c r="B544" s="91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</row>
    <row r="545" ht="30.0" customHeight="1">
      <c r="A545" s="91"/>
      <c r="B545" s="91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</row>
    <row r="546" ht="30.0" customHeight="1">
      <c r="A546" s="91"/>
      <c r="B546" s="91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</row>
    <row r="547" ht="30.0" customHeight="1">
      <c r="A547" s="91"/>
      <c r="B547" s="91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</row>
    <row r="548" ht="30.0" customHeight="1">
      <c r="A548" s="91"/>
      <c r="B548" s="91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</row>
    <row r="549" ht="30.0" customHeight="1">
      <c r="A549" s="91"/>
      <c r="B549" s="91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</row>
    <row r="550" ht="30.0" customHeight="1">
      <c r="A550" s="91"/>
      <c r="B550" s="91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</row>
    <row r="551" ht="30.0" customHeight="1">
      <c r="A551" s="91"/>
      <c r="B551" s="91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</row>
    <row r="552" ht="30.0" customHeight="1">
      <c r="A552" s="91"/>
      <c r="B552" s="91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</row>
    <row r="553" ht="30.0" customHeight="1">
      <c r="A553" s="91"/>
      <c r="B553" s="91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</row>
    <row r="554" ht="30.0" customHeight="1">
      <c r="A554" s="91"/>
      <c r="B554" s="91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</row>
    <row r="555" ht="30.0" customHeight="1">
      <c r="A555" s="91"/>
      <c r="B555" s="91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</row>
    <row r="556" ht="30.0" customHeight="1">
      <c r="A556" s="91"/>
      <c r="B556" s="91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</row>
    <row r="557" ht="30.0" customHeight="1">
      <c r="A557" s="91"/>
      <c r="B557" s="91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</row>
    <row r="558" ht="30.0" customHeight="1">
      <c r="A558" s="91"/>
      <c r="B558" s="91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</row>
    <row r="559" ht="30.0" customHeight="1">
      <c r="A559" s="91"/>
      <c r="B559" s="91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</row>
    <row r="560" ht="30.0" customHeight="1">
      <c r="A560" s="91"/>
      <c r="B560" s="91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</row>
    <row r="561" ht="30.0" customHeight="1">
      <c r="A561" s="91"/>
      <c r="B561" s="91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</row>
    <row r="562" ht="30.0" customHeight="1">
      <c r="A562" s="91"/>
      <c r="B562" s="91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</row>
    <row r="563" ht="30.0" customHeight="1">
      <c r="A563" s="91"/>
      <c r="B563" s="91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</row>
    <row r="564" ht="30.0" customHeight="1">
      <c r="A564" s="91"/>
      <c r="B564" s="91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</row>
    <row r="565" ht="30.0" customHeight="1">
      <c r="A565" s="91"/>
      <c r="B565" s="91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</row>
    <row r="566" ht="30.0" customHeight="1">
      <c r="A566" s="91"/>
      <c r="B566" s="91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</row>
    <row r="567" ht="30.0" customHeight="1">
      <c r="A567" s="91"/>
      <c r="B567" s="91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</row>
    <row r="568" ht="30.0" customHeight="1">
      <c r="A568" s="91"/>
      <c r="B568" s="91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</row>
    <row r="569" ht="30.0" customHeight="1">
      <c r="A569" s="91"/>
      <c r="B569" s="91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</row>
    <row r="570" ht="30.0" customHeight="1">
      <c r="A570" s="91"/>
      <c r="B570" s="91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</row>
    <row r="571" ht="30.0" customHeight="1">
      <c r="A571" s="91"/>
      <c r="B571" s="91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</row>
    <row r="572" ht="30.0" customHeight="1">
      <c r="A572" s="91"/>
      <c r="B572" s="91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</row>
    <row r="573" ht="30.0" customHeight="1">
      <c r="A573" s="91"/>
      <c r="B573" s="91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</row>
    <row r="574" ht="30.0" customHeight="1">
      <c r="A574" s="91"/>
      <c r="B574" s="91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</row>
    <row r="575" ht="30.0" customHeight="1">
      <c r="A575" s="91"/>
      <c r="B575" s="91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</row>
    <row r="576" ht="30.0" customHeight="1">
      <c r="A576" s="91"/>
      <c r="B576" s="91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</row>
    <row r="577" ht="30.0" customHeight="1">
      <c r="A577" s="91"/>
      <c r="B577" s="91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</row>
    <row r="578" ht="30.0" customHeight="1">
      <c r="A578" s="91"/>
      <c r="B578" s="91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</row>
    <row r="579" ht="30.0" customHeight="1">
      <c r="A579" s="91"/>
      <c r="B579" s="91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</row>
    <row r="580" ht="30.0" customHeight="1">
      <c r="A580" s="91"/>
      <c r="B580" s="91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</row>
    <row r="581" ht="30.0" customHeight="1">
      <c r="A581" s="91"/>
      <c r="B581" s="91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</row>
    <row r="582" ht="30.0" customHeight="1">
      <c r="A582" s="91"/>
      <c r="B582" s="91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</row>
    <row r="583" ht="30.0" customHeight="1">
      <c r="A583" s="91"/>
      <c r="B583" s="91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</row>
    <row r="584" ht="30.0" customHeight="1">
      <c r="A584" s="91"/>
      <c r="B584" s="91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</row>
    <row r="585" ht="30.0" customHeight="1">
      <c r="A585" s="91"/>
      <c r="B585" s="91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</row>
    <row r="586" ht="30.0" customHeight="1">
      <c r="A586" s="91"/>
      <c r="B586" s="91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</row>
    <row r="587" ht="30.0" customHeight="1">
      <c r="A587" s="91"/>
      <c r="B587" s="91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</row>
    <row r="588" ht="30.0" customHeight="1">
      <c r="A588" s="91"/>
      <c r="B588" s="91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</row>
    <row r="589" ht="30.0" customHeight="1">
      <c r="A589" s="91"/>
      <c r="B589" s="91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</row>
    <row r="590" ht="30.0" customHeight="1">
      <c r="A590" s="91"/>
      <c r="B590" s="91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</row>
    <row r="591" ht="30.0" customHeight="1">
      <c r="A591" s="91"/>
      <c r="B591" s="91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</row>
    <row r="592" ht="30.0" customHeight="1">
      <c r="A592" s="91"/>
      <c r="B592" s="91"/>
      <c r="C592" s="91"/>
      <c r="D592" s="91"/>
      <c r="E592" s="91"/>
      <c r="F592" s="91"/>
      <c r="G592" s="91"/>
      <c r="H592" s="91"/>
      <c r="I592" s="91"/>
      <c r="J592" s="91"/>
      <c r="K592" s="91"/>
      <c r="L592" s="91"/>
      <c r="M592" s="91"/>
      <c r="N592" s="91"/>
      <c r="O592" s="91"/>
      <c r="P592" s="91"/>
    </row>
    <row r="593" ht="30.0" customHeight="1">
      <c r="A593" s="91"/>
      <c r="B593" s="91"/>
      <c r="C593" s="91"/>
      <c r="D593" s="91"/>
      <c r="E593" s="91"/>
      <c r="F593" s="91"/>
      <c r="G593" s="91"/>
      <c r="H593" s="91"/>
      <c r="I593" s="91"/>
      <c r="J593" s="91"/>
      <c r="K593" s="91"/>
      <c r="L593" s="91"/>
      <c r="M593" s="91"/>
      <c r="N593" s="91"/>
      <c r="O593" s="91"/>
      <c r="P593" s="91"/>
    </row>
    <row r="594" ht="30.0" customHeight="1">
      <c r="A594" s="91"/>
      <c r="B594" s="91"/>
      <c r="C594" s="91"/>
      <c r="D594" s="91"/>
      <c r="E594" s="91"/>
      <c r="F594" s="91"/>
      <c r="G594" s="91"/>
      <c r="H594" s="91"/>
      <c r="I594" s="91"/>
      <c r="J594" s="91"/>
      <c r="K594" s="91"/>
      <c r="L594" s="91"/>
      <c r="M594" s="91"/>
      <c r="N594" s="91"/>
      <c r="O594" s="91"/>
      <c r="P594" s="91"/>
    </row>
    <row r="595" ht="30.0" customHeight="1">
      <c r="A595" s="91"/>
      <c r="B595" s="91"/>
      <c r="C595" s="91"/>
      <c r="D595" s="91"/>
      <c r="E595" s="91"/>
      <c r="F595" s="91"/>
      <c r="G595" s="91"/>
      <c r="H595" s="91"/>
      <c r="I595" s="91"/>
      <c r="J595" s="91"/>
      <c r="K595" s="91"/>
      <c r="L595" s="91"/>
      <c r="M595" s="91"/>
      <c r="N595" s="91"/>
      <c r="O595" s="91"/>
      <c r="P595" s="91"/>
    </row>
    <row r="596" ht="30.0" customHeight="1">
      <c r="A596" s="91"/>
      <c r="B596" s="91"/>
      <c r="C596" s="91"/>
      <c r="D596" s="91"/>
      <c r="E596" s="91"/>
      <c r="F596" s="91"/>
      <c r="G596" s="91"/>
      <c r="H596" s="91"/>
      <c r="I596" s="91"/>
      <c r="J596" s="91"/>
      <c r="K596" s="91"/>
      <c r="L596" s="91"/>
      <c r="M596" s="91"/>
      <c r="N596" s="91"/>
      <c r="O596" s="91"/>
      <c r="P596" s="91"/>
    </row>
    <row r="597" ht="30.0" customHeight="1">
      <c r="A597" s="91"/>
      <c r="B597" s="91"/>
      <c r="C597" s="91"/>
      <c r="D597" s="91"/>
      <c r="E597" s="91"/>
      <c r="F597" s="91"/>
      <c r="G597" s="91"/>
      <c r="H597" s="91"/>
      <c r="I597" s="91"/>
      <c r="J597" s="91"/>
      <c r="K597" s="91"/>
      <c r="L597" s="91"/>
      <c r="M597" s="91"/>
      <c r="N597" s="91"/>
      <c r="O597" s="91"/>
      <c r="P597" s="91"/>
    </row>
    <row r="598" ht="30.0" customHeight="1">
      <c r="A598" s="91"/>
      <c r="B598" s="91"/>
      <c r="C598" s="91"/>
      <c r="D598" s="91"/>
      <c r="E598" s="91"/>
      <c r="F598" s="91"/>
      <c r="G598" s="91"/>
      <c r="H598" s="91"/>
      <c r="I598" s="91"/>
      <c r="J598" s="91"/>
      <c r="K598" s="91"/>
      <c r="L598" s="91"/>
      <c r="M598" s="91"/>
      <c r="N598" s="91"/>
      <c r="O598" s="91"/>
      <c r="P598" s="91"/>
    </row>
    <row r="599" ht="30.0" customHeight="1">
      <c r="A599" s="91"/>
      <c r="B599" s="91"/>
      <c r="C599" s="91"/>
      <c r="D599" s="91"/>
      <c r="E599" s="91"/>
      <c r="F599" s="91"/>
      <c r="G599" s="91"/>
      <c r="H599" s="91"/>
      <c r="I599" s="91"/>
      <c r="J599" s="91"/>
      <c r="K599" s="91"/>
      <c r="L599" s="91"/>
      <c r="M599" s="91"/>
      <c r="N599" s="91"/>
      <c r="O599" s="91"/>
      <c r="P599" s="91"/>
    </row>
    <row r="600" ht="30.0" customHeight="1">
      <c r="A600" s="91"/>
      <c r="B600" s="91"/>
      <c r="C600" s="91"/>
      <c r="D600" s="91"/>
      <c r="E600" s="91"/>
      <c r="F600" s="91"/>
      <c r="G600" s="91"/>
      <c r="H600" s="91"/>
      <c r="I600" s="91"/>
      <c r="J600" s="91"/>
      <c r="K600" s="91"/>
      <c r="L600" s="91"/>
      <c r="M600" s="91"/>
      <c r="N600" s="91"/>
      <c r="O600" s="91"/>
      <c r="P600" s="91"/>
    </row>
    <row r="601" ht="30.0" customHeight="1">
      <c r="A601" s="91"/>
      <c r="B601" s="91"/>
      <c r="C601" s="91"/>
      <c r="D601" s="91"/>
      <c r="E601" s="91"/>
      <c r="F601" s="91"/>
      <c r="G601" s="91"/>
      <c r="H601" s="91"/>
      <c r="I601" s="91"/>
      <c r="J601" s="91"/>
      <c r="K601" s="91"/>
      <c r="L601" s="91"/>
      <c r="M601" s="91"/>
      <c r="N601" s="91"/>
      <c r="O601" s="91"/>
      <c r="P601" s="91"/>
    </row>
    <row r="602" ht="30.0" customHeight="1">
      <c r="A602" s="91"/>
      <c r="B602" s="91"/>
      <c r="C602" s="91"/>
      <c r="D602" s="91"/>
      <c r="E602" s="91"/>
      <c r="F602" s="91"/>
      <c r="G602" s="91"/>
      <c r="H602" s="91"/>
      <c r="I602" s="91"/>
      <c r="J602" s="91"/>
      <c r="K602" s="91"/>
      <c r="L602" s="91"/>
      <c r="M602" s="91"/>
      <c r="N602" s="91"/>
      <c r="O602" s="91"/>
      <c r="P602" s="91"/>
    </row>
    <row r="603" ht="30.0" customHeight="1">
      <c r="A603" s="91"/>
      <c r="B603" s="91"/>
      <c r="C603" s="91"/>
      <c r="D603" s="91"/>
      <c r="E603" s="91"/>
      <c r="F603" s="91"/>
      <c r="G603" s="91"/>
      <c r="H603" s="91"/>
      <c r="I603" s="91"/>
      <c r="J603" s="91"/>
      <c r="K603" s="91"/>
      <c r="L603" s="91"/>
      <c r="M603" s="91"/>
      <c r="N603" s="91"/>
      <c r="O603" s="91"/>
      <c r="P603" s="91"/>
    </row>
    <row r="604" ht="30.0" customHeight="1">
      <c r="A604" s="91"/>
      <c r="B604" s="91"/>
      <c r="C604" s="91"/>
      <c r="D604" s="91"/>
      <c r="E604" s="91"/>
      <c r="F604" s="91"/>
      <c r="G604" s="91"/>
      <c r="H604" s="91"/>
      <c r="I604" s="91"/>
      <c r="J604" s="91"/>
      <c r="K604" s="91"/>
      <c r="L604" s="91"/>
      <c r="M604" s="91"/>
      <c r="N604" s="91"/>
      <c r="O604" s="91"/>
      <c r="P604" s="91"/>
    </row>
    <row r="605" ht="30.0" customHeight="1">
      <c r="A605" s="91"/>
      <c r="B605" s="91"/>
      <c r="C605" s="91"/>
      <c r="D605" s="91"/>
      <c r="E605" s="91"/>
      <c r="F605" s="91"/>
      <c r="G605" s="91"/>
      <c r="H605" s="91"/>
      <c r="I605" s="91"/>
      <c r="J605" s="91"/>
      <c r="K605" s="91"/>
      <c r="L605" s="91"/>
      <c r="M605" s="91"/>
      <c r="N605" s="91"/>
      <c r="O605" s="91"/>
      <c r="P605" s="91"/>
    </row>
    <row r="606" ht="30.0" customHeight="1">
      <c r="A606" s="91"/>
      <c r="B606" s="91"/>
      <c r="C606" s="91"/>
      <c r="D606" s="91"/>
      <c r="E606" s="91"/>
      <c r="F606" s="91"/>
      <c r="G606" s="91"/>
      <c r="H606" s="91"/>
      <c r="I606" s="91"/>
      <c r="J606" s="91"/>
      <c r="K606" s="91"/>
      <c r="L606" s="91"/>
      <c r="M606" s="91"/>
      <c r="N606" s="91"/>
      <c r="O606" s="91"/>
      <c r="P606" s="91"/>
    </row>
    <row r="607" ht="30.0" customHeight="1">
      <c r="A607" s="91"/>
      <c r="B607" s="91"/>
      <c r="C607" s="91"/>
      <c r="D607" s="91"/>
      <c r="E607" s="91"/>
      <c r="F607" s="91"/>
      <c r="G607" s="91"/>
      <c r="H607" s="91"/>
      <c r="I607" s="91"/>
      <c r="J607" s="91"/>
      <c r="K607" s="91"/>
      <c r="L607" s="91"/>
      <c r="M607" s="91"/>
      <c r="N607" s="91"/>
      <c r="O607" s="91"/>
      <c r="P607" s="91"/>
    </row>
    <row r="608" ht="30.0" customHeight="1">
      <c r="A608" s="91"/>
      <c r="B608" s="91"/>
      <c r="C608" s="91"/>
      <c r="D608" s="91"/>
      <c r="E608" s="91"/>
      <c r="F608" s="91"/>
      <c r="G608" s="91"/>
      <c r="H608" s="91"/>
      <c r="I608" s="91"/>
      <c r="J608" s="91"/>
      <c r="K608" s="91"/>
      <c r="L608" s="91"/>
      <c r="M608" s="91"/>
      <c r="N608" s="91"/>
      <c r="O608" s="91"/>
      <c r="P608" s="91"/>
    </row>
    <row r="609" ht="30.0" customHeight="1">
      <c r="A609" s="91"/>
      <c r="B609" s="91"/>
      <c r="C609" s="91"/>
      <c r="D609" s="91"/>
      <c r="E609" s="91"/>
      <c r="F609" s="91"/>
      <c r="G609" s="91"/>
      <c r="H609" s="91"/>
      <c r="I609" s="91"/>
      <c r="J609" s="91"/>
      <c r="K609" s="91"/>
      <c r="L609" s="91"/>
      <c r="M609" s="91"/>
      <c r="N609" s="91"/>
      <c r="O609" s="91"/>
      <c r="P609" s="91"/>
    </row>
    <row r="610" ht="30.0" customHeight="1">
      <c r="A610" s="91"/>
      <c r="B610" s="91"/>
      <c r="C610" s="91"/>
      <c r="D610" s="91"/>
      <c r="E610" s="91"/>
      <c r="F610" s="91"/>
      <c r="G610" s="91"/>
      <c r="H610" s="91"/>
      <c r="I610" s="91"/>
      <c r="J610" s="91"/>
      <c r="K610" s="91"/>
      <c r="L610" s="91"/>
      <c r="M610" s="91"/>
      <c r="N610" s="91"/>
      <c r="O610" s="91"/>
      <c r="P610" s="91"/>
    </row>
    <row r="611" ht="30.0" customHeight="1">
      <c r="A611" s="91"/>
      <c r="B611" s="91"/>
      <c r="C611" s="91"/>
      <c r="D611" s="91"/>
      <c r="E611" s="91"/>
      <c r="F611" s="91"/>
      <c r="G611" s="91"/>
      <c r="H611" s="91"/>
      <c r="I611" s="91"/>
      <c r="J611" s="91"/>
      <c r="K611" s="91"/>
      <c r="L611" s="91"/>
      <c r="M611" s="91"/>
      <c r="N611" s="91"/>
      <c r="O611" s="91"/>
      <c r="P611" s="91"/>
    </row>
    <row r="612" ht="30.0" customHeight="1">
      <c r="A612" s="91"/>
      <c r="B612" s="91"/>
      <c r="C612" s="91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1"/>
    </row>
    <row r="613" ht="30.0" customHeight="1">
      <c r="A613" s="91"/>
      <c r="B613" s="91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</row>
    <row r="614" ht="30.0" customHeight="1">
      <c r="A614" s="91"/>
      <c r="B614" s="91"/>
      <c r="C614" s="91"/>
      <c r="D614" s="91"/>
      <c r="E614" s="91"/>
      <c r="F614" s="91"/>
      <c r="G614" s="91"/>
      <c r="H614" s="91"/>
      <c r="I614" s="91"/>
      <c r="J614" s="91"/>
      <c r="K614" s="91"/>
      <c r="L614" s="91"/>
      <c r="M614" s="91"/>
      <c r="N614" s="91"/>
      <c r="O614" s="91"/>
      <c r="P614" s="91"/>
    </row>
    <row r="615" ht="30.0" customHeight="1">
      <c r="A615" s="91"/>
      <c r="B615" s="91"/>
      <c r="C615" s="91"/>
      <c r="D615" s="91"/>
      <c r="E615" s="91"/>
      <c r="F615" s="91"/>
      <c r="G615" s="91"/>
      <c r="H615" s="91"/>
      <c r="I615" s="91"/>
      <c r="J615" s="91"/>
      <c r="K615" s="91"/>
      <c r="L615" s="91"/>
      <c r="M615" s="91"/>
      <c r="N615" s="91"/>
      <c r="O615" s="91"/>
      <c r="P615" s="91"/>
    </row>
    <row r="616" ht="30.0" customHeight="1">
      <c r="A616" s="91"/>
      <c r="B616" s="91"/>
      <c r="C616" s="91"/>
      <c r="D616" s="91"/>
      <c r="E616" s="91"/>
      <c r="F616" s="91"/>
      <c r="G616" s="91"/>
      <c r="H616" s="91"/>
      <c r="I616" s="91"/>
      <c r="J616" s="91"/>
      <c r="K616" s="91"/>
      <c r="L616" s="91"/>
      <c r="M616" s="91"/>
      <c r="N616" s="91"/>
      <c r="O616" s="91"/>
      <c r="P616" s="91"/>
    </row>
    <row r="617" ht="30.0" customHeight="1">
      <c r="A617" s="91"/>
      <c r="B617" s="91"/>
      <c r="C617" s="91"/>
      <c r="D617" s="91"/>
      <c r="E617" s="91"/>
      <c r="F617" s="91"/>
      <c r="G617" s="91"/>
      <c r="H617" s="91"/>
      <c r="I617" s="91"/>
      <c r="J617" s="91"/>
      <c r="K617" s="91"/>
      <c r="L617" s="91"/>
      <c r="M617" s="91"/>
      <c r="N617" s="91"/>
      <c r="O617" s="91"/>
      <c r="P617" s="91"/>
    </row>
    <row r="618" ht="30.0" customHeight="1">
      <c r="A618" s="91"/>
      <c r="B618" s="91"/>
      <c r="C618" s="91"/>
      <c r="D618" s="91"/>
      <c r="E618" s="91"/>
      <c r="F618" s="91"/>
      <c r="G618" s="91"/>
      <c r="H618" s="91"/>
      <c r="I618" s="91"/>
      <c r="J618" s="91"/>
      <c r="K618" s="91"/>
      <c r="L618" s="91"/>
      <c r="M618" s="91"/>
      <c r="N618" s="91"/>
      <c r="O618" s="91"/>
      <c r="P618" s="91"/>
    </row>
    <row r="619" ht="30.0" customHeight="1">
      <c r="A619" s="91"/>
      <c r="B619" s="91"/>
      <c r="C619" s="91"/>
      <c r="D619" s="91"/>
      <c r="E619" s="91"/>
      <c r="F619" s="91"/>
      <c r="G619" s="91"/>
      <c r="H619" s="91"/>
      <c r="I619" s="91"/>
      <c r="J619" s="91"/>
      <c r="K619" s="91"/>
      <c r="L619" s="91"/>
      <c r="M619" s="91"/>
      <c r="N619" s="91"/>
      <c r="O619" s="91"/>
      <c r="P619" s="91"/>
    </row>
    <row r="620" ht="30.0" customHeight="1">
      <c r="A620" s="91"/>
      <c r="B620" s="91"/>
      <c r="C620" s="91"/>
      <c r="D620" s="91"/>
      <c r="E620" s="91"/>
      <c r="F620" s="91"/>
      <c r="G620" s="91"/>
      <c r="H620" s="91"/>
      <c r="I620" s="91"/>
      <c r="J620" s="91"/>
      <c r="K620" s="91"/>
      <c r="L620" s="91"/>
      <c r="M620" s="91"/>
      <c r="N620" s="91"/>
      <c r="O620" s="91"/>
      <c r="P620" s="91"/>
    </row>
    <row r="621" ht="30.0" customHeight="1">
      <c r="A621" s="91"/>
      <c r="B621" s="91"/>
      <c r="C621" s="91"/>
      <c r="D621" s="91"/>
      <c r="E621" s="91"/>
      <c r="F621" s="91"/>
      <c r="G621" s="91"/>
      <c r="H621" s="91"/>
      <c r="I621" s="91"/>
      <c r="J621" s="91"/>
      <c r="K621" s="91"/>
      <c r="L621" s="91"/>
      <c r="M621" s="91"/>
      <c r="N621" s="91"/>
      <c r="O621" s="91"/>
      <c r="P621" s="91"/>
    </row>
    <row r="622" ht="30.0" customHeight="1">
      <c r="A622" s="91"/>
      <c r="B622" s="91"/>
      <c r="C622" s="91"/>
      <c r="D622" s="91"/>
      <c r="E622" s="91"/>
      <c r="F622" s="91"/>
      <c r="G622" s="91"/>
      <c r="H622" s="91"/>
      <c r="I622" s="91"/>
      <c r="J622" s="91"/>
      <c r="K622" s="91"/>
      <c r="L622" s="91"/>
      <c r="M622" s="91"/>
      <c r="N622" s="91"/>
      <c r="O622" s="91"/>
      <c r="P622" s="91"/>
    </row>
    <row r="623" ht="30.0" customHeight="1">
      <c r="A623" s="91"/>
      <c r="B623" s="91"/>
      <c r="C623" s="91"/>
      <c r="D623" s="91"/>
      <c r="E623" s="91"/>
      <c r="F623" s="91"/>
      <c r="G623" s="91"/>
      <c r="H623" s="91"/>
      <c r="I623" s="91"/>
      <c r="J623" s="91"/>
      <c r="K623" s="91"/>
      <c r="L623" s="91"/>
      <c r="M623" s="91"/>
      <c r="N623" s="91"/>
      <c r="O623" s="91"/>
      <c r="P623" s="91"/>
    </row>
    <row r="624" ht="30.0" customHeight="1">
      <c r="A624" s="91"/>
      <c r="B624" s="91"/>
      <c r="C624" s="91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1"/>
    </row>
    <row r="625" ht="30.0" customHeight="1">
      <c r="A625" s="91"/>
      <c r="B625" s="91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</row>
    <row r="626" ht="30.0" customHeight="1">
      <c r="A626" s="91"/>
      <c r="B626" s="91"/>
      <c r="C626" s="91"/>
      <c r="D626" s="91"/>
      <c r="E626" s="91"/>
      <c r="F626" s="91"/>
      <c r="G626" s="91"/>
      <c r="H626" s="91"/>
      <c r="I626" s="91"/>
      <c r="J626" s="91"/>
      <c r="K626" s="91"/>
      <c r="L626" s="91"/>
      <c r="M626" s="91"/>
      <c r="N626" s="91"/>
      <c r="O626" s="91"/>
      <c r="P626" s="91"/>
    </row>
    <row r="627" ht="30.0" customHeight="1">
      <c r="A627" s="91"/>
      <c r="B627" s="91"/>
      <c r="C627" s="91"/>
      <c r="D627" s="91"/>
      <c r="E627" s="91"/>
      <c r="F627" s="91"/>
      <c r="G627" s="91"/>
      <c r="H627" s="91"/>
      <c r="I627" s="91"/>
      <c r="J627" s="91"/>
      <c r="K627" s="91"/>
      <c r="L627" s="91"/>
      <c r="M627" s="91"/>
      <c r="N627" s="91"/>
      <c r="O627" s="91"/>
      <c r="P627" s="91"/>
    </row>
    <row r="628" ht="30.0" customHeight="1">
      <c r="A628" s="91"/>
      <c r="B628" s="91"/>
      <c r="C628" s="91"/>
      <c r="D628" s="91"/>
      <c r="E628" s="91"/>
      <c r="F628" s="91"/>
      <c r="G628" s="91"/>
      <c r="H628" s="91"/>
      <c r="I628" s="91"/>
      <c r="J628" s="91"/>
      <c r="K628" s="91"/>
      <c r="L628" s="91"/>
      <c r="M628" s="91"/>
      <c r="N628" s="91"/>
      <c r="O628" s="91"/>
      <c r="P628" s="91"/>
    </row>
    <row r="629" ht="30.0" customHeight="1">
      <c r="A629" s="91"/>
      <c r="B629" s="91"/>
      <c r="C629" s="91"/>
      <c r="D629" s="91"/>
      <c r="E629" s="91"/>
      <c r="F629" s="91"/>
      <c r="G629" s="91"/>
      <c r="H629" s="91"/>
      <c r="I629" s="91"/>
      <c r="J629" s="91"/>
      <c r="K629" s="91"/>
      <c r="L629" s="91"/>
      <c r="M629" s="91"/>
      <c r="N629" s="91"/>
      <c r="O629" s="91"/>
      <c r="P629" s="91"/>
    </row>
    <row r="630" ht="30.0" customHeight="1">
      <c r="A630" s="91"/>
      <c r="B630" s="91"/>
      <c r="C630" s="91"/>
      <c r="D630" s="91"/>
      <c r="E630" s="91"/>
      <c r="F630" s="91"/>
      <c r="G630" s="91"/>
      <c r="H630" s="91"/>
      <c r="I630" s="91"/>
      <c r="J630" s="91"/>
      <c r="K630" s="91"/>
      <c r="L630" s="91"/>
      <c r="M630" s="91"/>
      <c r="N630" s="91"/>
      <c r="O630" s="91"/>
      <c r="P630" s="91"/>
    </row>
    <row r="631" ht="30.0" customHeight="1">
      <c r="A631" s="91"/>
      <c r="B631" s="91"/>
      <c r="C631" s="91"/>
      <c r="D631" s="91"/>
      <c r="E631" s="91"/>
      <c r="F631" s="91"/>
      <c r="G631" s="91"/>
      <c r="H631" s="91"/>
      <c r="I631" s="91"/>
      <c r="J631" s="91"/>
      <c r="K631" s="91"/>
      <c r="L631" s="91"/>
      <c r="M631" s="91"/>
      <c r="N631" s="91"/>
      <c r="O631" s="91"/>
      <c r="P631" s="91"/>
    </row>
    <row r="632" ht="30.0" customHeight="1">
      <c r="A632" s="91"/>
      <c r="B632" s="91"/>
      <c r="C632" s="91"/>
      <c r="D632" s="91"/>
      <c r="E632" s="91"/>
      <c r="F632" s="91"/>
      <c r="G632" s="91"/>
      <c r="H632" s="91"/>
      <c r="I632" s="91"/>
      <c r="J632" s="91"/>
      <c r="K632" s="91"/>
      <c r="L632" s="91"/>
      <c r="M632" s="91"/>
      <c r="N632" s="91"/>
      <c r="O632" s="91"/>
      <c r="P632" s="91"/>
    </row>
    <row r="633" ht="30.0" customHeight="1">
      <c r="A633" s="91"/>
      <c r="B633" s="91"/>
      <c r="C633" s="91"/>
      <c r="D633" s="91"/>
      <c r="E633" s="91"/>
      <c r="F633" s="91"/>
      <c r="G633" s="91"/>
      <c r="H633" s="91"/>
      <c r="I633" s="91"/>
      <c r="J633" s="91"/>
      <c r="K633" s="91"/>
      <c r="L633" s="91"/>
      <c r="M633" s="91"/>
      <c r="N633" s="91"/>
      <c r="O633" s="91"/>
      <c r="P633" s="91"/>
    </row>
    <row r="634" ht="30.0" customHeight="1">
      <c r="A634" s="91"/>
      <c r="B634" s="91"/>
      <c r="C634" s="91"/>
      <c r="D634" s="91"/>
      <c r="E634" s="91"/>
      <c r="F634" s="91"/>
      <c r="G634" s="91"/>
      <c r="H634" s="91"/>
      <c r="I634" s="91"/>
      <c r="J634" s="91"/>
      <c r="K634" s="91"/>
      <c r="L634" s="91"/>
      <c r="M634" s="91"/>
      <c r="N634" s="91"/>
      <c r="O634" s="91"/>
      <c r="P634" s="91"/>
    </row>
    <row r="635" ht="30.0" customHeight="1">
      <c r="A635" s="91"/>
      <c r="B635" s="91"/>
      <c r="C635" s="91"/>
      <c r="D635" s="91"/>
      <c r="E635" s="91"/>
      <c r="F635" s="91"/>
      <c r="G635" s="91"/>
      <c r="H635" s="91"/>
      <c r="I635" s="91"/>
      <c r="J635" s="91"/>
      <c r="K635" s="91"/>
      <c r="L635" s="91"/>
      <c r="M635" s="91"/>
      <c r="N635" s="91"/>
      <c r="O635" s="91"/>
      <c r="P635" s="91"/>
    </row>
    <row r="636" ht="30.0" customHeight="1">
      <c r="A636" s="91"/>
      <c r="B636" s="91"/>
      <c r="C636" s="91"/>
      <c r="D636" s="91"/>
      <c r="E636" s="91"/>
      <c r="F636" s="91"/>
      <c r="G636" s="91"/>
      <c r="H636" s="91"/>
      <c r="I636" s="91"/>
      <c r="J636" s="91"/>
      <c r="K636" s="91"/>
      <c r="L636" s="91"/>
      <c r="M636" s="91"/>
      <c r="N636" s="91"/>
      <c r="O636" s="91"/>
      <c r="P636" s="91"/>
    </row>
    <row r="637" ht="30.0" customHeight="1">
      <c r="A637" s="91"/>
      <c r="B637" s="91"/>
      <c r="C637" s="91"/>
      <c r="D637" s="91"/>
      <c r="E637" s="91"/>
      <c r="F637" s="91"/>
      <c r="G637" s="91"/>
      <c r="H637" s="91"/>
      <c r="I637" s="91"/>
      <c r="J637" s="91"/>
      <c r="K637" s="91"/>
      <c r="L637" s="91"/>
      <c r="M637" s="91"/>
      <c r="N637" s="91"/>
      <c r="O637" s="91"/>
      <c r="P637" s="91"/>
    </row>
    <row r="638" ht="30.0" customHeight="1">
      <c r="A638" s="91"/>
      <c r="B638" s="91"/>
      <c r="C638" s="91"/>
      <c r="D638" s="91"/>
      <c r="E638" s="91"/>
      <c r="F638" s="91"/>
      <c r="G638" s="91"/>
      <c r="H638" s="91"/>
      <c r="I638" s="91"/>
      <c r="J638" s="91"/>
      <c r="K638" s="91"/>
      <c r="L638" s="91"/>
      <c r="M638" s="91"/>
      <c r="N638" s="91"/>
      <c r="O638" s="91"/>
      <c r="P638" s="91"/>
    </row>
    <row r="639" ht="30.0" customHeight="1">
      <c r="A639" s="91"/>
      <c r="B639" s="91"/>
      <c r="C639" s="91"/>
      <c r="D639" s="91"/>
      <c r="E639" s="91"/>
      <c r="F639" s="91"/>
      <c r="G639" s="91"/>
      <c r="H639" s="91"/>
      <c r="I639" s="91"/>
      <c r="J639" s="91"/>
      <c r="K639" s="91"/>
      <c r="L639" s="91"/>
      <c r="M639" s="91"/>
      <c r="N639" s="91"/>
      <c r="O639" s="91"/>
      <c r="P639" s="91"/>
    </row>
    <row r="640" ht="30.0" customHeight="1">
      <c r="A640" s="91"/>
      <c r="B640" s="91"/>
      <c r="C640" s="91"/>
      <c r="D640" s="91"/>
      <c r="E640" s="91"/>
      <c r="F640" s="91"/>
      <c r="G640" s="91"/>
      <c r="H640" s="91"/>
      <c r="I640" s="91"/>
      <c r="J640" s="91"/>
      <c r="K640" s="91"/>
      <c r="L640" s="91"/>
      <c r="M640" s="91"/>
      <c r="N640" s="91"/>
      <c r="O640" s="91"/>
      <c r="P640" s="91"/>
    </row>
    <row r="641" ht="30.0" customHeight="1">
      <c r="A641" s="91"/>
      <c r="B641" s="91"/>
      <c r="C641" s="91"/>
      <c r="D641" s="91"/>
      <c r="E641" s="91"/>
      <c r="F641" s="91"/>
      <c r="G641" s="91"/>
      <c r="H641" s="91"/>
      <c r="I641" s="91"/>
      <c r="J641" s="91"/>
      <c r="K641" s="91"/>
      <c r="L641" s="91"/>
      <c r="M641" s="91"/>
      <c r="N641" s="91"/>
      <c r="O641" s="91"/>
      <c r="P641" s="91"/>
    </row>
    <row r="642" ht="30.0" customHeight="1">
      <c r="A642" s="91"/>
      <c r="B642" s="91"/>
      <c r="C642" s="91"/>
      <c r="D642" s="91"/>
      <c r="E642" s="91"/>
      <c r="F642" s="91"/>
      <c r="G642" s="91"/>
      <c r="H642" s="91"/>
      <c r="I642" s="91"/>
      <c r="J642" s="91"/>
      <c r="K642" s="91"/>
      <c r="L642" s="91"/>
      <c r="M642" s="91"/>
      <c r="N642" s="91"/>
      <c r="O642" s="91"/>
      <c r="P642" s="91"/>
    </row>
    <row r="643" ht="30.0" customHeight="1">
      <c r="A643" s="91"/>
      <c r="B643" s="91"/>
      <c r="C643" s="91"/>
      <c r="D643" s="91"/>
      <c r="E643" s="91"/>
      <c r="F643" s="91"/>
      <c r="G643" s="91"/>
      <c r="H643" s="91"/>
      <c r="I643" s="91"/>
      <c r="J643" s="91"/>
      <c r="K643" s="91"/>
      <c r="L643" s="91"/>
      <c r="M643" s="91"/>
      <c r="N643" s="91"/>
      <c r="O643" s="91"/>
      <c r="P643" s="91"/>
    </row>
    <row r="644" ht="30.0" customHeight="1">
      <c r="A644" s="91"/>
      <c r="B644" s="91"/>
      <c r="C644" s="91"/>
      <c r="D644" s="91"/>
      <c r="E644" s="91"/>
      <c r="F644" s="91"/>
      <c r="G644" s="91"/>
      <c r="H644" s="91"/>
      <c r="I644" s="91"/>
      <c r="J644" s="91"/>
      <c r="K644" s="91"/>
      <c r="L644" s="91"/>
      <c r="M644" s="91"/>
      <c r="N644" s="91"/>
      <c r="O644" s="91"/>
      <c r="P644" s="91"/>
    </row>
    <row r="645" ht="30.0" customHeight="1">
      <c r="A645" s="91"/>
      <c r="B645" s="91"/>
      <c r="C645" s="91"/>
      <c r="D645" s="91"/>
      <c r="E645" s="91"/>
      <c r="F645" s="91"/>
      <c r="G645" s="91"/>
      <c r="H645" s="91"/>
      <c r="I645" s="91"/>
      <c r="J645" s="91"/>
      <c r="K645" s="91"/>
      <c r="L645" s="91"/>
      <c r="M645" s="91"/>
      <c r="N645" s="91"/>
      <c r="O645" s="91"/>
      <c r="P645" s="91"/>
    </row>
    <row r="646" ht="30.0" customHeight="1">
      <c r="A646" s="91"/>
      <c r="B646" s="91"/>
      <c r="C646" s="91"/>
      <c r="D646" s="91"/>
      <c r="E646" s="91"/>
      <c r="F646" s="91"/>
      <c r="G646" s="91"/>
      <c r="H646" s="91"/>
      <c r="I646" s="91"/>
      <c r="J646" s="91"/>
      <c r="K646" s="91"/>
      <c r="L646" s="91"/>
      <c r="M646" s="91"/>
      <c r="N646" s="91"/>
      <c r="O646" s="91"/>
      <c r="P646" s="91"/>
    </row>
    <row r="647" ht="30.0" customHeight="1">
      <c r="A647" s="91"/>
      <c r="B647" s="91"/>
      <c r="C647" s="91"/>
      <c r="D647" s="91"/>
      <c r="E647" s="91"/>
      <c r="F647" s="91"/>
      <c r="G647" s="91"/>
      <c r="H647" s="91"/>
      <c r="I647" s="91"/>
      <c r="J647" s="91"/>
      <c r="K647" s="91"/>
      <c r="L647" s="91"/>
      <c r="M647" s="91"/>
      <c r="N647" s="91"/>
      <c r="O647" s="91"/>
      <c r="P647" s="91"/>
    </row>
    <row r="648" ht="30.0" customHeight="1">
      <c r="A648" s="91"/>
      <c r="B648" s="91"/>
      <c r="C648" s="91"/>
      <c r="D648" s="91"/>
      <c r="E648" s="91"/>
      <c r="F648" s="91"/>
      <c r="G648" s="91"/>
      <c r="H648" s="91"/>
      <c r="I648" s="91"/>
      <c r="J648" s="91"/>
      <c r="K648" s="91"/>
      <c r="L648" s="91"/>
      <c r="M648" s="91"/>
      <c r="N648" s="91"/>
      <c r="O648" s="91"/>
      <c r="P648" s="91"/>
    </row>
    <row r="649" ht="30.0" customHeight="1">
      <c r="A649" s="91"/>
      <c r="B649" s="91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</row>
    <row r="650" ht="30.0" customHeight="1">
      <c r="A650" s="91"/>
      <c r="B650" s="91"/>
      <c r="C650" s="91"/>
      <c r="D650" s="91"/>
      <c r="E650" s="91"/>
      <c r="F650" s="91"/>
      <c r="G650" s="91"/>
      <c r="H650" s="91"/>
      <c r="I650" s="91"/>
      <c r="J650" s="91"/>
      <c r="K650" s="91"/>
      <c r="L650" s="91"/>
      <c r="M650" s="91"/>
      <c r="N650" s="91"/>
      <c r="O650" s="91"/>
      <c r="P650" s="91"/>
    </row>
    <row r="651" ht="30.0" customHeight="1">
      <c r="A651" s="91"/>
      <c r="B651" s="91"/>
      <c r="C651" s="91"/>
      <c r="D651" s="91"/>
      <c r="E651" s="91"/>
      <c r="F651" s="91"/>
      <c r="G651" s="91"/>
      <c r="H651" s="91"/>
      <c r="I651" s="91"/>
      <c r="J651" s="91"/>
      <c r="K651" s="91"/>
      <c r="L651" s="91"/>
      <c r="M651" s="91"/>
      <c r="N651" s="91"/>
      <c r="O651" s="91"/>
      <c r="P651" s="91"/>
    </row>
    <row r="652" ht="30.0" customHeight="1">
      <c r="A652" s="91"/>
      <c r="B652" s="91"/>
      <c r="C652" s="91"/>
      <c r="D652" s="91"/>
      <c r="E652" s="91"/>
      <c r="F652" s="91"/>
      <c r="G652" s="91"/>
      <c r="H652" s="91"/>
      <c r="I652" s="91"/>
      <c r="J652" s="91"/>
      <c r="K652" s="91"/>
      <c r="L652" s="91"/>
      <c r="M652" s="91"/>
      <c r="N652" s="91"/>
      <c r="O652" s="91"/>
      <c r="P652" s="91"/>
    </row>
    <row r="653" ht="30.0" customHeight="1">
      <c r="A653" s="91"/>
      <c r="B653" s="91"/>
      <c r="C653" s="91"/>
      <c r="D653" s="91"/>
      <c r="E653" s="91"/>
      <c r="F653" s="91"/>
      <c r="G653" s="91"/>
      <c r="H653" s="91"/>
      <c r="I653" s="91"/>
      <c r="J653" s="91"/>
      <c r="K653" s="91"/>
      <c r="L653" s="91"/>
      <c r="M653" s="91"/>
      <c r="N653" s="91"/>
      <c r="O653" s="91"/>
      <c r="P653" s="91"/>
    </row>
    <row r="654" ht="30.0" customHeight="1">
      <c r="A654" s="91"/>
      <c r="B654" s="91"/>
      <c r="C654" s="91"/>
      <c r="D654" s="91"/>
      <c r="E654" s="91"/>
      <c r="F654" s="91"/>
      <c r="G654" s="91"/>
      <c r="H654" s="91"/>
      <c r="I654" s="91"/>
      <c r="J654" s="91"/>
      <c r="K654" s="91"/>
      <c r="L654" s="91"/>
      <c r="M654" s="91"/>
      <c r="N654" s="91"/>
      <c r="O654" s="91"/>
      <c r="P654" s="91"/>
    </row>
    <row r="655" ht="30.0" customHeight="1">
      <c r="A655" s="91"/>
      <c r="B655" s="91"/>
      <c r="C655" s="91"/>
      <c r="D655" s="91"/>
      <c r="E655" s="91"/>
      <c r="F655" s="91"/>
      <c r="G655" s="91"/>
      <c r="H655" s="91"/>
      <c r="I655" s="91"/>
      <c r="J655" s="91"/>
      <c r="K655" s="91"/>
      <c r="L655" s="91"/>
      <c r="M655" s="91"/>
      <c r="N655" s="91"/>
      <c r="O655" s="91"/>
      <c r="P655" s="91"/>
    </row>
    <row r="656" ht="30.0" customHeight="1">
      <c r="A656" s="91"/>
      <c r="B656" s="91"/>
      <c r="C656" s="91"/>
      <c r="D656" s="91"/>
      <c r="E656" s="91"/>
      <c r="F656" s="91"/>
      <c r="G656" s="91"/>
      <c r="H656" s="91"/>
      <c r="I656" s="91"/>
      <c r="J656" s="91"/>
      <c r="K656" s="91"/>
      <c r="L656" s="91"/>
      <c r="M656" s="91"/>
      <c r="N656" s="91"/>
      <c r="O656" s="91"/>
      <c r="P656" s="91"/>
    </row>
    <row r="657" ht="30.0" customHeight="1">
      <c r="A657" s="91"/>
      <c r="B657" s="91"/>
      <c r="C657" s="91"/>
      <c r="D657" s="91"/>
      <c r="E657" s="91"/>
      <c r="F657" s="91"/>
      <c r="G657" s="91"/>
      <c r="H657" s="91"/>
      <c r="I657" s="91"/>
      <c r="J657" s="91"/>
      <c r="K657" s="91"/>
      <c r="L657" s="91"/>
      <c r="M657" s="91"/>
      <c r="N657" s="91"/>
      <c r="O657" s="91"/>
      <c r="P657" s="91"/>
    </row>
    <row r="658" ht="30.0" customHeight="1">
      <c r="A658" s="91"/>
      <c r="B658" s="91"/>
      <c r="C658" s="91"/>
      <c r="D658" s="91"/>
      <c r="E658" s="91"/>
      <c r="F658" s="91"/>
      <c r="G658" s="91"/>
      <c r="H658" s="91"/>
      <c r="I658" s="91"/>
      <c r="J658" s="91"/>
      <c r="K658" s="91"/>
      <c r="L658" s="91"/>
      <c r="M658" s="91"/>
      <c r="N658" s="91"/>
      <c r="O658" s="91"/>
      <c r="P658" s="91"/>
    </row>
    <row r="659" ht="30.0" customHeight="1">
      <c r="A659" s="91"/>
      <c r="B659" s="91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</row>
    <row r="660" ht="30.0" customHeight="1">
      <c r="A660" s="91"/>
      <c r="B660" s="91"/>
      <c r="C660" s="91"/>
      <c r="D660" s="91"/>
      <c r="E660" s="91"/>
      <c r="F660" s="91"/>
      <c r="G660" s="91"/>
      <c r="H660" s="91"/>
      <c r="I660" s="91"/>
      <c r="J660" s="91"/>
      <c r="K660" s="91"/>
      <c r="L660" s="91"/>
      <c r="M660" s="91"/>
      <c r="N660" s="91"/>
      <c r="O660" s="91"/>
      <c r="P660" s="91"/>
    </row>
    <row r="661" ht="30.0" customHeight="1">
      <c r="A661" s="91"/>
      <c r="B661" s="91"/>
      <c r="C661" s="91"/>
      <c r="D661" s="91"/>
      <c r="E661" s="91"/>
      <c r="F661" s="91"/>
      <c r="G661" s="91"/>
      <c r="H661" s="91"/>
      <c r="I661" s="91"/>
      <c r="J661" s="91"/>
      <c r="K661" s="91"/>
      <c r="L661" s="91"/>
      <c r="M661" s="91"/>
      <c r="N661" s="91"/>
      <c r="O661" s="91"/>
      <c r="P661" s="91"/>
    </row>
    <row r="662" ht="30.0" customHeight="1">
      <c r="A662" s="91"/>
      <c r="B662" s="91"/>
      <c r="C662" s="91"/>
      <c r="D662" s="91"/>
      <c r="E662" s="91"/>
      <c r="F662" s="91"/>
      <c r="G662" s="91"/>
      <c r="H662" s="91"/>
      <c r="I662" s="91"/>
      <c r="J662" s="91"/>
      <c r="K662" s="91"/>
      <c r="L662" s="91"/>
      <c r="M662" s="91"/>
      <c r="N662" s="91"/>
      <c r="O662" s="91"/>
      <c r="P662" s="91"/>
    </row>
    <row r="663" ht="30.0" customHeight="1">
      <c r="A663" s="91"/>
      <c r="B663" s="91"/>
      <c r="C663" s="91"/>
      <c r="D663" s="91"/>
      <c r="E663" s="91"/>
      <c r="F663" s="91"/>
      <c r="G663" s="91"/>
      <c r="H663" s="91"/>
      <c r="I663" s="91"/>
      <c r="J663" s="91"/>
      <c r="K663" s="91"/>
      <c r="L663" s="91"/>
      <c r="M663" s="91"/>
      <c r="N663" s="91"/>
      <c r="O663" s="91"/>
      <c r="P663" s="91"/>
    </row>
    <row r="664" ht="30.0" customHeight="1">
      <c r="A664" s="91"/>
      <c r="B664" s="91"/>
      <c r="C664" s="91"/>
      <c r="D664" s="91"/>
      <c r="E664" s="91"/>
      <c r="F664" s="91"/>
      <c r="G664" s="91"/>
      <c r="H664" s="91"/>
      <c r="I664" s="91"/>
      <c r="J664" s="91"/>
      <c r="K664" s="91"/>
      <c r="L664" s="91"/>
      <c r="M664" s="91"/>
      <c r="N664" s="91"/>
      <c r="O664" s="91"/>
      <c r="P664" s="91"/>
    </row>
    <row r="665" ht="30.0" customHeight="1">
      <c r="A665" s="91"/>
      <c r="B665" s="91"/>
      <c r="C665" s="91"/>
      <c r="D665" s="91"/>
      <c r="E665" s="91"/>
      <c r="F665" s="91"/>
      <c r="G665" s="91"/>
      <c r="H665" s="91"/>
      <c r="I665" s="91"/>
      <c r="J665" s="91"/>
      <c r="K665" s="91"/>
      <c r="L665" s="91"/>
      <c r="M665" s="91"/>
      <c r="N665" s="91"/>
      <c r="O665" s="91"/>
      <c r="P665" s="91"/>
    </row>
    <row r="666" ht="30.0" customHeight="1">
      <c r="A666" s="91"/>
      <c r="B666" s="91"/>
      <c r="C666" s="91"/>
      <c r="D666" s="91"/>
      <c r="E666" s="91"/>
      <c r="F666" s="91"/>
      <c r="G666" s="91"/>
      <c r="H666" s="91"/>
      <c r="I666" s="91"/>
      <c r="J666" s="91"/>
      <c r="K666" s="91"/>
      <c r="L666" s="91"/>
      <c r="M666" s="91"/>
      <c r="N666" s="91"/>
      <c r="O666" s="91"/>
      <c r="P666" s="91"/>
    </row>
    <row r="667" ht="30.0" customHeight="1">
      <c r="A667" s="91"/>
      <c r="B667" s="91"/>
      <c r="C667" s="91"/>
      <c r="D667" s="91"/>
      <c r="E667" s="91"/>
      <c r="F667" s="91"/>
      <c r="G667" s="91"/>
      <c r="H667" s="91"/>
      <c r="I667" s="91"/>
      <c r="J667" s="91"/>
      <c r="K667" s="91"/>
      <c r="L667" s="91"/>
      <c r="M667" s="91"/>
      <c r="N667" s="91"/>
      <c r="O667" s="91"/>
      <c r="P667" s="91"/>
    </row>
    <row r="668" ht="30.0" customHeight="1">
      <c r="A668" s="91"/>
      <c r="B668" s="91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  <c r="P668" s="91"/>
    </row>
    <row r="669" ht="30.0" customHeight="1">
      <c r="A669" s="91"/>
      <c r="B669" s="91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1"/>
      <c r="P669" s="91"/>
    </row>
    <row r="670" ht="30.0" customHeight="1">
      <c r="A670" s="91"/>
      <c r="B670" s="91"/>
      <c r="C670" s="91"/>
      <c r="D670" s="91"/>
      <c r="E670" s="91"/>
      <c r="F670" s="91"/>
      <c r="G670" s="91"/>
      <c r="H670" s="91"/>
      <c r="I670" s="91"/>
      <c r="J670" s="91"/>
      <c r="K670" s="91"/>
      <c r="L670" s="91"/>
      <c r="M670" s="91"/>
      <c r="N670" s="91"/>
      <c r="O670" s="91"/>
      <c r="P670" s="91"/>
    </row>
    <row r="671" ht="30.0" customHeight="1">
      <c r="A671" s="91"/>
      <c r="B671" s="91"/>
      <c r="C671" s="91"/>
      <c r="D671" s="91"/>
      <c r="E671" s="91"/>
      <c r="F671" s="91"/>
      <c r="G671" s="91"/>
      <c r="H671" s="91"/>
      <c r="I671" s="91"/>
      <c r="J671" s="91"/>
      <c r="K671" s="91"/>
      <c r="L671" s="91"/>
      <c r="M671" s="91"/>
      <c r="N671" s="91"/>
      <c r="O671" s="91"/>
      <c r="P671" s="91"/>
    </row>
    <row r="672" ht="30.0" customHeight="1">
      <c r="A672" s="91"/>
      <c r="B672" s="91"/>
      <c r="C672" s="91"/>
      <c r="D672" s="91"/>
      <c r="E672" s="91"/>
      <c r="F672" s="91"/>
      <c r="G672" s="91"/>
      <c r="H672" s="91"/>
      <c r="I672" s="91"/>
      <c r="J672" s="91"/>
      <c r="K672" s="91"/>
      <c r="L672" s="91"/>
      <c r="M672" s="91"/>
      <c r="N672" s="91"/>
      <c r="O672" s="91"/>
      <c r="P672" s="91"/>
    </row>
    <row r="673" ht="30.0" customHeight="1">
      <c r="A673" s="91"/>
      <c r="B673" s="91"/>
      <c r="C673" s="91"/>
      <c r="D673" s="91"/>
      <c r="E673" s="91"/>
      <c r="F673" s="91"/>
      <c r="G673" s="91"/>
      <c r="H673" s="91"/>
      <c r="I673" s="91"/>
      <c r="J673" s="91"/>
      <c r="K673" s="91"/>
      <c r="L673" s="91"/>
      <c r="M673" s="91"/>
      <c r="N673" s="91"/>
      <c r="O673" s="91"/>
      <c r="P673" s="91"/>
    </row>
    <row r="674" ht="30.0" customHeight="1">
      <c r="A674" s="91"/>
      <c r="B674" s="91"/>
      <c r="C674" s="91"/>
      <c r="D674" s="91"/>
      <c r="E674" s="91"/>
      <c r="F674" s="91"/>
      <c r="G674" s="91"/>
      <c r="H674" s="91"/>
      <c r="I674" s="91"/>
      <c r="J674" s="91"/>
      <c r="K674" s="91"/>
      <c r="L674" s="91"/>
      <c r="M674" s="91"/>
      <c r="N674" s="91"/>
      <c r="O674" s="91"/>
      <c r="P674" s="91"/>
    </row>
    <row r="675" ht="30.0" customHeight="1">
      <c r="A675" s="91"/>
      <c r="B675" s="91"/>
      <c r="C675" s="91"/>
      <c r="D675" s="91"/>
      <c r="E675" s="91"/>
      <c r="F675" s="91"/>
      <c r="G675" s="91"/>
      <c r="H675" s="91"/>
      <c r="I675" s="91"/>
      <c r="J675" s="91"/>
      <c r="K675" s="91"/>
      <c r="L675" s="91"/>
      <c r="M675" s="91"/>
      <c r="N675" s="91"/>
      <c r="O675" s="91"/>
      <c r="P675" s="91"/>
    </row>
    <row r="676" ht="30.0" customHeight="1">
      <c r="A676" s="91"/>
      <c r="B676" s="91"/>
      <c r="C676" s="91"/>
      <c r="D676" s="91"/>
      <c r="E676" s="91"/>
      <c r="F676" s="91"/>
      <c r="G676" s="91"/>
      <c r="H676" s="91"/>
      <c r="I676" s="91"/>
      <c r="J676" s="91"/>
      <c r="K676" s="91"/>
      <c r="L676" s="91"/>
      <c r="M676" s="91"/>
      <c r="N676" s="91"/>
      <c r="O676" s="91"/>
      <c r="P676" s="91"/>
    </row>
    <row r="677" ht="30.0" customHeight="1">
      <c r="A677" s="91"/>
      <c r="B677" s="91"/>
      <c r="C677" s="91"/>
      <c r="D677" s="91"/>
      <c r="E677" s="91"/>
      <c r="F677" s="91"/>
      <c r="G677" s="91"/>
      <c r="H677" s="91"/>
      <c r="I677" s="91"/>
      <c r="J677" s="91"/>
      <c r="K677" s="91"/>
      <c r="L677" s="91"/>
      <c r="M677" s="91"/>
      <c r="N677" s="91"/>
      <c r="O677" s="91"/>
      <c r="P677" s="91"/>
    </row>
    <row r="678" ht="30.0" customHeight="1">
      <c r="A678" s="91"/>
      <c r="B678" s="91"/>
      <c r="C678" s="91"/>
      <c r="D678" s="91"/>
      <c r="E678" s="91"/>
      <c r="F678" s="91"/>
      <c r="G678" s="91"/>
      <c r="H678" s="91"/>
      <c r="I678" s="91"/>
      <c r="J678" s="91"/>
      <c r="K678" s="91"/>
      <c r="L678" s="91"/>
      <c r="M678" s="91"/>
      <c r="N678" s="91"/>
      <c r="O678" s="91"/>
      <c r="P678" s="91"/>
    </row>
    <row r="679" ht="30.0" customHeight="1">
      <c r="A679" s="91"/>
      <c r="B679" s="91"/>
      <c r="C679" s="91"/>
      <c r="D679" s="91"/>
      <c r="E679" s="91"/>
      <c r="F679" s="91"/>
      <c r="G679" s="91"/>
      <c r="H679" s="91"/>
      <c r="I679" s="91"/>
      <c r="J679" s="91"/>
      <c r="K679" s="91"/>
      <c r="L679" s="91"/>
      <c r="M679" s="91"/>
      <c r="N679" s="91"/>
      <c r="O679" s="91"/>
      <c r="P679" s="91"/>
    </row>
    <row r="680" ht="30.0" customHeight="1">
      <c r="A680" s="91"/>
      <c r="B680" s="91"/>
      <c r="C680" s="91"/>
      <c r="D680" s="91"/>
      <c r="E680" s="91"/>
      <c r="F680" s="91"/>
      <c r="G680" s="91"/>
      <c r="H680" s="91"/>
      <c r="I680" s="91"/>
      <c r="J680" s="91"/>
      <c r="K680" s="91"/>
      <c r="L680" s="91"/>
      <c r="M680" s="91"/>
      <c r="N680" s="91"/>
      <c r="O680" s="91"/>
      <c r="P680" s="91"/>
    </row>
    <row r="681" ht="30.0" customHeight="1">
      <c r="A681" s="91"/>
      <c r="B681" s="91"/>
      <c r="C681" s="91"/>
      <c r="D681" s="91"/>
      <c r="E681" s="91"/>
      <c r="F681" s="91"/>
      <c r="G681" s="91"/>
      <c r="H681" s="91"/>
      <c r="I681" s="91"/>
      <c r="J681" s="91"/>
      <c r="K681" s="91"/>
      <c r="L681" s="91"/>
      <c r="M681" s="91"/>
      <c r="N681" s="91"/>
      <c r="O681" s="91"/>
      <c r="P681" s="91"/>
    </row>
    <row r="682" ht="30.0" customHeight="1">
      <c r="A682" s="91"/>
      <c r="B682" s="91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1"/>
      <c r="N682" s="91"/>
      <c r="O682" s="91"/>
      <c r="P682" s="91"/>
    </row>
    <row r="683" ht="30.0" customHeight="1">
      <c r="A683" s="91"/>
      <c r="B683" s="91"/>
      <c r="C683" s="91"/>
      <c r="D683" s="91"/>
      <c r="E683" s="91"/>
      <c r="F683" s="91"/>
      <c r="G683" s="91"/>
      <c r="H683" s="91"/>
      <c r="I683" s="91"/>
      <c r="J683" s="91"/>
      <c r="K683" s="91"/>
      <c r="L683" s="91"/>
      <c r="M683" s="91"/>
      <c r="N683" s="91"/>
      <c r="O683" s="91"/>
      <c r="P683" s="91"/>
    </row>
    <row r="684" ht="30.0" customHeight="1">
      <c r="A684" s="91"/>
      <c r="B684" s="91"/>
      <c r="C684" s="91"/>
      <c r="D684" s="91"/>
      <c r="E684" s="91"/>
      <c r="F684" s="91"/>
      <c r="G684" s="91"/>
      <c r="H684" s="91"/>
      <c r="I684" s="91"/>
      <c r="J684" s="91"/>
      <c r="K684" s="91"/>
      <c r="L684" s="91"/>
      <c r="M684" s="91"/>
      <c r="N684" s="91"/>
      <c r="O684" s="91"/>
      <c r="P684" s="91"/>
    </row>
    <row r="685" ht="30.0" customHeight="1">
      <c r="A685" s="91"/>
      <c r="B685" s="91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1"/>
      <c r="N685" s="91"/>
      <c r="O685" s="91"/>
      <c r="P685" s="91"/>
    </row>
    <row r="686" ht="30.0" customHeight="1">
      <c r="A686" s="91"/>
      <c r="B686" s="91"/>
      <c r="C686" s="91"/>
      <c r="D686" s="91"/>
      <c r="E686" s="91"/>
      <c r="F686" s="91"/>
      <c r="G686" s="91"/>
      <c r="H686" s="91"/>
      <c r="I686" s="91"/>
      <c r="J686" s="91"/>
      <c r="K686" s="91"/>
      <c r="L686" s="91"/>
      <c r="M686" s="91"/>
      <c r="N686" s="91"/>
      <c r="O686" s="91"/>
      <c r="P686" s="91"/>
    </row>
    <row r="687" ht="30.0" customHeight="1">
      <c r="A687" s="91"/>
      <c r="B687" s="91"/>
      <c r="C687" s="91"/>
      <c r="D687" s="91"/>
      <c r="E687" s="91"/>
      <c r="F687" s="91"/>
      <c r="G687" s="91"/>
      <c r="H687" s="91"/>
      <c r="I687" s="91"/>
      <c r="J687" s="91"/>
      <c r="K687" s="91"/>
      <c r="L687" s="91"/>
      <c r="M687" s="91"/>
      <c r="N687" s="91"/>
      <c r="O687" s="91"/>
      <c r="P687" s="91"/>
    </row>
    <row r="688" ht="30.0" customHeight="1">
      <c r="A688" s="91"/>
      <c r="B688" s="91"/>
      <c r="C688" s="91"/>
      <c r="D688" s="91"/>
      <c r="E688" s="91"/>
      <c r="F688" s="91"/>
      <c r="G688" s="91"/>
      <c r="H688" s="91"/>
      <c r="I688" s="91"/>
      <c r="J688" s="91"/>
      <c r="K688" s="91"/>
      <c r="L688" s="91"/>
      <c r="M688" s="91"/>
      <c r="N688" s="91"/>
      <c r="O688" s="91"/>
      <c r="P688" s="91"/>
    </row>
    <row r="689" ht="30.0" customHeight="1">
      <c r="A689" s="91"/>
      <c r="B689" s="91"/>
      <c r="C689" s="91"/>
      <c r="D689" s="91"/>
      <c r="E689" s="91"/>
      <c r="F689" s="91"/>
      <c r="G689" s="91"/>
      <c r="H689" s="91"/>
      <c r="I689" s="91"/>
      <c r="J689" s="91"/>
      <c r="K689" s="91"/>
      <c r="L689" s="91"/>
      <c r="M689" s="91"/>
      <c r="N689" s="91"/>
      <c r="O689" s="91"/>
      <c r="P689" s="91"/>
    </row>
    <row r="690" ht="30.0" customHeight="1">
      <c r="A690" s="91"/>
      <c r="B690" s="91"/>
      <c r="C690" s="91"/>
      <c r="D690" s="91"/>
      <c r="E690" s="91"/>
      <c r="F690" s="91"/>
      <c r="G690" s="91"/>
      <c r="H690" s="91"/>
      <c r="I690" s="91"/>
      <c r="J690" s="91"/>
      <c r="K690" s="91"/>
      <c r="L690" s="91"/>
      <c r="M690" s="91"/>
      <c r="N690" s="91"/>
      <c r="O690" s="91"/>
      <c r="P690" s="91"/>
    </row>
    <row r="691" ht="30.0" customHeight="1">
      <c r="A691" s="91"/>
      <c r="B691" s="91"/>
      <c r="C691" s="91"/>
      <c r="D691" s="91"/>
      <c r="E691" s="91"/>
      <c r="F691" s="91"/>
      <c r="G691" s="91"/>
      <c r="H691" s="91"/>
      <c r="I691" s="91"/>
      <c r="J691" s="91"/>
      <c r="K691" s="91"/>
      <c r="L691" s="91"/>
      <c r="M691" s="91"/>
      <c r="N691" s="91"/>
      <c r="O691" s="91"/>
      <c r="P691" s="91"/>
    </row>
    <row r="692" ht="30.0" customHeight="1">
      <c r="A692" s="91"/>
      <c r="B692" s="91"/>
      <c r="C692" s="91"/>
      <c r="D692" s="91"/>
      <c r="E692" s="91"/>
      <c r="F692" s="91"/>
      <c r="G692" s="91"/>
      <c r="H692" s="91"/>
      <c r="I692" s="91"/>
      <c r="J692" s="91"/>
      <c r="K692" s="91"/>
      <c r="L692" s="91"/>
      <c r="M692" s="91"/>
      <c r="N692" s="91"/>
      <c r="O692" s="91"/>
      <c r="P692" s="91"/>
    </row>
    <row r="693" ht="30.0" customHeight="1">
      <c r="A693" s="91"/>
      <c r="B693" s="91"/>
      <c r="C693" s="91"/>
      <c r="D693" s="91"/>
      <c r="E693" s="91"/>
      <c r="F693" s="91"/>
      <c r="G693" s="91"/>
      <c r="H693" s="91"/>
      <c r="I693" s="91"/>
      <c r="J693" s="91"/>
      <c r="K693" s="91"/>
      <c r="L693" s="91"/>
      <c r="M693" s="91"/>
      <c r="N693" s="91"/>
      <c r="O693" s="91"/>
      <c r="P693" s="91"/>
    </row>
    <row r="694" ht="30.0" customHeight="1">
      <c r="A694" s="91"/>
      <c r="B694" s="91"/>
      <c r="C694" s="91"/>
      <c r="D694" s="91"/>
      <c r="E694" s="91"/>
      <c r="F694" s="91"/>
      <c r="G694" s="91"/>
      <c r="H694" s="91"/>
      <c r="I694" s="91"/>
      <c r="J694" s="91"/>
      <c r="K694" s="91"/>
      <c r="L694" s="91"/>
      <c r="M694" s="91"/>
      <c r="N694" s="91"/>
      <c r="O694" s="91"/>
      <c r="P694" s="91"/>
    </row>
    <row r="695" ht="30.0" customHeight="1">
      <c r="A695" s="91"/>
      <c r="B695" s="91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  <c r="P695" s="91"/>
    </row>
    <row r="696" ht="30.0" customHeight="1">
      <c r="A696" s="91"/>
      <c r="B696" s="91"/>
      <c r="C696" s="91"/>
      <c r="D696" s="91"/>
      <c r="E696" s="91"/>
      <c r="F696" s="91"/>
      <c r="G696" s="91"/>
      <c r="H696" s="91"/>
      <c r="I696" s="91"/>
      <c r="J696" s="91"/>
      <c r="K696" s="91"/>
      <c r="L696" s="91"/>
      <c r="M696" s="91"/>
      <c r="N696" s="91"/>
      <c r="O696" s="91"/>
      <c r="P696" s="91"/>
    </row>
    <row r="697" ht="30.0" customHeight="1">
      <c r="A697" s="91"/>
      <c r="B697" s="91"/>
      <c r="C697" s="91"/>
      <c r="D697" s="91"/>
      <c r="E697" s="91"/>
      <c r="F697" s="91"/>
      <c r="G697" s="91"/>
      <c r="H697" s="91"/>
      <c r="I697" s="91"/>
      <c r="J697" s="91"/>
      <c r="K697" s="91"/>
      <c r="L697" s="91"/>
      <c r="M697" s="91"/>
      <c r="N697" s="91"/>
      <c r="O697" s="91"/>
      <c r="P697" s="91"/>
    </row>
    <row r="698" ht="30.0" customHeight="1">
      <c r="A698" s="91"/>
      <c r="B698" s="91"/>
      <c r="C698" s="91"/>
      <c r="D698" s="91"/>
      <c r="E698" s="91"/>
      <c r="F698" s="91"/>
      <c r="G698" s="91"/>
      <c r="H698" s="91"/>
      <c r="I698" s="91"/>
      <c r="J698" s="91"/>
      <c r="K698" s="91"/>
      <c r="L698" s="91"/>
      <c r="M698" s="91"/>
      <c r="N698" s="91"/>
      <c r="O698" s="91"/>
      <c r="P698" s="91"/>
    </row>
    <row r="699" ht="30.0" customHeight="1">
      <c r="A699" s="91"/>
      <c r="B699" s="91"/>
      <c r="C699" s="91"/>
      <c r="D699" s="91"/>
      <c r="E699" s="91"/>
      <c r="F699" s="91"/>
      <c r="G699" s="91"/>
      <c r="H699" s="91"/>
      <c r="I699" s="91"/>
      <c r="J699" s="91"/>
      <c r="K699" s="91"/>
      <c r="L699" s="91"/>
      <c r="M699" s="91"/>
      <c r="N699" s="91"/>
      <c r="O699" s="91"/>
      <c r="P699" s="91"/>
    </row>
    <row r="700" ht="30.0" customHeight="1">
      <c r="A700" s="91"/>
      <c r="B700" s="91"/>
      <c r="C700" s="91"/>
      <c r="D700" s="91"/>
      <c r="E700" s="91"/>
      <c r="F700" s="91"/>
      <c r="G700" s="91"/>
      <c r="H700" s="91"/>
      <c r="I700" s="91"/>
      <c r="J700" s="91"/>
      <c r="K700" s="91"/>
      <c r="L700" s="91"/>
      <c r="M700" s="91"/>
      <c r="N700" s="91"/>
      <c r="O700" s="91"/>
      <c r="P700" s="91"/>
    </row>
    <row r="701" ht="30.0" customHeight="1">
      <c r="A701" s="91"/>
      <c r="B701" s="91"/>
      <c r="C701" s="91"/>
      <c r="D701" s="91"/>
      <c r="E701" s="91"/>
      <c r="F701" s="91"/>
      <c r="G701" s="91"/>
      <c r="H701" s="91"/>
      <c r="I701" s="91"/>
      <c r="J701" s="91"/>
      <c r="K701" s="91"/>
      <c r="L701" s="91"/>
      <c r="M701" s="91"/>
      <c r="N701" s="91"/>
      <c r="O701" s="91"/>
      <c r="P701" s="91"/>
    </row>
    <row r="702" ht="30.0" customHeight="1">
      <c r="A702" s="91"/>
      <c r="B702" s="91"/>
      <c r="C702" s="91"/>
      <c r="D702" s="91"/>
      <c r="E702" s="91"/>
      <c r="F702" s="91"/>
      <c r="G702" s="91"/>
      <c r="H702" s="91"/>
      <c r="I702" s="91"/>
      <c r="J702" s="91"/>
      <c r="K702" s="91"/>
      <c r="L702" s="91"/>
      <c r="M702" s="91"/>
      <c r="N702" s="91"/>
      <c r="O702" s="91"/>
      <c r="P702" s="91"/>
    </row>
    <row r="703" ht="30.0" customHeight="1">
      <c r="A703" s="91"/>
      <c r="B703" s="91"/>
      <c r="C703" s="91"/>
      <c r="D703" s="91"/>
      <c r="E703" s="91"/>
      <c r="F703" s="91"/>
      <c r="G703" s="91"/>
      <c r="H703" s="91"/>
      <c r="I703" s="91"/>
      <c r="J703" s="91"/>
      <c r="K703" s="91"/>
      <c r="L703" s="91"/>
      <c r="M703" s="91"/>
      <c r="N703" s="91"/>
      <c r="O703" s="91"/>
      <c r="P703" s="91"/>
    </row>
    <row r="704" ht="30.0" customHeight="1">
      <c r="A704" s="91"/>
      <c r="B704" s="91"/>
      <c r="C704" s="91"/>
      <c r="D704" s="91"/>
      <c r="E704" s="91"/>
      <c r="F704" s="91"/>
      <c r="G704" s="91"/>
      <c r="H704" s="91"/>
      <c r="I704" s="91"/>
      <c r="J704" s="91"/>
      <c r="K704" s="91"/>
      <c r="L704" s="91"/>
      <c r="M704" s="91"/>
      <c r="N704" s="91"/>
      <c r="O704" s="91"/>
      <c r="P704" s="91"/>
    </row>
    <row r="705" ht="30.0" customHeight="1">
      <c r="A705" s="91"/>
      <c r="B705" s="91"/>
      <c r="C705" s="91"/>
      <c r="D705" s="91"/>
      <c r="E705" s="91"/>
      <c r="F705" s="91"/>
      <c r="G705" s="91"/>
      <c r="H705" s="91"/>
      <c r="I705" s="91"/>
      <c r="J705" s="91"/>
      <c r="K705" s="91"/>
      <c r="L705" s="91"/>
      <c r="M705" s="91"/>
      <c r="N705" s="91"/>
      <c r="O705" s="91"/>
      <c r="P705" s="91"/>
    </row>
    <row r="706" ht="30.0" customHeight="1">
      <c r="A706" s="91"/>
      <c r="B706" s="91"/>
      <c r="C706" s="91"/>
      <c r="D706" s="91"/>
      <c r="E706" s="91"/>
      <c r="F706" s="91"/>
      <c r="G706" s="91"/>
      <c r="H706" s="91"/>
      <c r="I706" s="91"/>
      <c r="J706" s="91"/>
      <c r="K706" s="91"/>
      <c r="L706" s="91"/>
      <c r="M706" s="91"/>
      <c r="N706" s="91"/>
      <c r="O706" s="91"/>
      <c r="P706" s="91"/>
    </row>
    <row r="707" ht="30.0" customHeight="1">
      <c r="A707" s="91"/>
      <c r="B707" s="91"/>
      <c r="C707" s="91"/>
      <c r="D707" s="91"/>
      <c r="E707" s="91"/>
      <c r="F707" s="91"/>
      <c r="G707" s="91"/>
      <c r="H707" s="91"/>
      <c r="I707" s="91"/>
      <c r="J707" s="91"/>
      <c r="K707" s="91"/>
      <c r="L707" s="91"/>
      <c r="M707" s="91"/>
      <c r="N707" s="91"/>
      <c r="O707" s="91"/>
      <c r="P707" s="91"/>
    </row>
    <row r="708" ht="30.0" customHeight="1">
      <c r="A708" s="91"/>
      <c r="B708" s="91"/>
      <c r="C708" s="91"/>
      <c r="D708" s="91"/>
      <c r="E708" s="91"/>
      <c r="F708" s="91"/>
      <c r="G708" s="91"/>
      <c r="H708" s="91"/>
      <c r="I708" s="91"/>
      <c r="J708" s="91"/>
      <c r="K708" s="91"/>
      <c r="L708" s="91"/>
      <c r="M708" s="91"/>
      <c r="N708" s="91"/>
      <c r="O708" s="91"/>
      <c r="P708" s="91"/>
    </row>
    <row r="709" ht="30.0" customHeight="1">
      <c r="A709" s="91"/>
      <c r="B709" s="91"/>
      <c r="C709" s="91"/>
      <c r="D709" s="91"/>
      <c r="E709" s="91"/>
      <c r="F709" s="91"/>
      <c r="G709" s="91"/>
      <c r="H709" s="91"/>
      <c r="I709" s="91"/>
      <c r="J709" s="91"/>
      <c r="K709" s="91"/>
      <c r="L709" s="91"/>
      <c r="M709" s="91"/>
      <c r="N709" s="91"/>
      <c r="O709" s="91"/>
      <c r="P709" s="91"/>
    </row>
    <row r="710" ht="30.0" customHeight="1">
      <c r="A710" s="91"/>
      <c r="B710" s="91"/>
      <c r="C710" s="91"/>
      <c r="D710" s="91"/>
      <c r="E710" s="91"/>
      <c r="F710" s="91"/>
      <c r="G710" s="91"/>
      <c r="H710" s="91"/>
      <c r="I710" s="91"/>
      <c r="J710" s="91"/>
      <c r="K710" s="91"/>
      <c r="L710" s="91"/>
      <c r="M710" s="91"/>
      <c r="N710" s="91"/>
      <c r="O710" s="91"/>
      <c r="P710" s="91"/>
    </row>
    <row r="711" ht="30.0" customHeight="1">
      <c r="A711" s="91"/>
      <c r="B711" s="91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/>
      <c r="N711" s="91"/>
      <c r="O711" s="91"/>
      <c r="P711" s="91"/>
    </row>
    <row r="712" ht="30.0" customHeight="1">
      <c r="A712" s="91"/>
      <c r="B712" s="91"/>
      <c r="C712" s="91"/>
      <c r="D712" s="91"/>
      <c r="E712" s="91"/>
      <c r="F712" s="91"/>
      <c r="G712" s="91"/>
      <c r="H712" s="91"/>
      <c r="I712" s="91"/>
      <c r="J712" s="91"/>
      <c r="K712" s="91"/>
      <c r="L712" s="91"/>
      <c r="M712" s="91"/>
      <c r="N712" s="91"/>
      <c r="O712" s="91"/>
      <c r="P712" s="91"/>
    </row>
    <row r="713" ht="30.0" customHeight="1">
      <c r="A713" s="91"/>
      <c r="B713" s="91"/>
      <c r="C713" s="91"/>
      <c r="D713" s="91"/>
      <c r="E713" s="91"/>
      <c r="F713" s="91"/>
      <c r="G713" s="91"/>
      <c r="H713" s="91"/>
      <c r="I713" s="91"/>
      <c r="J713" s="91"/>
      <c r="K713" s="91"/>
      <c r="L713" s="91"/>
      <c r="M713" s="91"/>
      <c r="N713" s="91"/>
      <c r="O713" s="91"/>
      <c r="P713" s="91"/>
    </row>
    <row r="714" ht="30.0" customHeight="1">
      <c r="A714" s="91"/>
      <c r="B714" s="91"/>
      <c r="C714" s="91"/>
      <c r="D714" s="91"/>
      <c r="E714" s="91"/>
      <c r="F714" s="91"/>
      <c r="G714" s="91"/>
      <c r="H714" s="91"/>
      <c r="I714" s="91"/>
      <c r="J714" s="91"/>
      <c r="K714" s="91"/>
      <c r="L714" s="91"/>
      <c r="M714" s="91"/>
      <c r="N714" s="91"/>
      <c r="O714" s="91"/>
      <c r="P714" s="91"/>
    </row>
    <row r="715" ht="30.0" customHeight="1">
      <c r="A715" s="91"/>
      <c r="B715" s="91"/>
      <c r="C715" s="91"/>
      <c r="D715" s="91"/>
      <c r="E715" s="91"/>
      <c r="F715" s="91"/>
      <c r="G715" s="91"/>
      <c r="H715" s="91"/>
      <c r="I715" s="91"/>
      <c r="J715" s="91"/>
      <c r="K715" s="91"/>
      <c r="L715" s="91"/>
      <c r="M715" s="91"/>
      <c r="N715" s="91"/>
      <c r="O715" s="91"/>
      <c r="P715" s="91"/>
    </row>
    <row r="716" ht="30.0" customHeight="1">
      <c r="A716" s="91"/>
      <c r="B716" s="91"/>
      <c r="C716" s="91"/>
      <c r="D716" s="91"/>
      <c r="E716" s="91"/>
      <c r="F716" s="91"/>
      <c r="G716" s="91"/>
      <c r="H716" s="91"/>
      <c r="I716" s="91"/>
      <c r="J716" s="91"/>
      <c r="K716" s="91"/>
      <c r="L716" s="91"/>
      <c r="M716" s="91"/>
      <c r="N716" s="91"/>
      <c r="O716" s="91"/>
      <c r="P716" s="91"/>
    </row>
    <row r="717" ht="30.0" customHeight="1">
      <c r="A717" s="91"/>
      <c r="B717" s="91"/>
      <c r="C717" s="91"/>
      <c r="D717" s="91"/>
      <c r="E717" s="91"/>
      <c r="F717" s="91"/>
      <c r="G717" s="91"/>
      <c r="H717" s="91"/>
      <c r="I717" s="91"/>
      <c r="J717" s="91"/>
      <c r="K717" s="91"/>
      <c r="L717" s="91"/>
      <c r="M717" s="91"/>
      <c r="N717" s="91"/>
      <c r="O717" s="91"/>
      <c r="P717" s="91"/>
    </row>
    <row r="718" ht="30.0" customHeight="1">
      <c r="A718" s="91"/>
      <c r="B718" s="91"/>
      <c r="C718" s="91"/>
      <c r="D718" s="91"/>
      <c r="E718" s="91"/>
      <c r="F718" s="91"/>
      <c r="G718" s="91"/>
      <c r="H718" s="91"/>
      <c r="I718" s="91"/>
      <c r="J718" s="91"/>
      <c r="K718" s="91"/>
      <c r="L718" s="91"/>
      <c r="M718" s="91"/>
      <c r="N718" s="91"/>
      <c r="O718" s="91"/>
      <c r="P718" s="91"/>
    </row>
    <row r="719" ht="30.0" customHeight="1">
      <c r="A719" s="91"/>
      <c r="B719" s="91"/>
      <c r="C719" s="91"/>
      <c r="D719" s="91"/>
      <c r="E719" s="91"/>
      <c r="F719" s="91"/>
      <c r="G719" s="91"/>
      <c r="H719" s="91"/>
      <c r="I719" s="91"/>
      <c r="J719" s="91"/>
      <c r="K719" s="91"/>
      <c r="L719" s="91"/>
      <c r="M719" s="91"/>
      <c r="N719" s="91"/>
      <c r="O719" s="91"/>
      <c r="P719" s="91"/>
    </row>
    <row r="720" ht="30.0" customHeight="1">
      <c r="A720" s="91"/>
      <c r="B720" s="91"/>
      <c r="C720" s="91"/>
      <c r="D720" s="91"/>
      <c r="E720" s="91"/>
      <c r="F720" s="91"/>
      <c r="G720" s="91"/>
      <c r="H720" s="91"/>
      <c r="I720" s="91"/>
      <c r="J720" s="91"/>
      <c r="K720" s="91"/>
      <c r="L720" s="91"/>
      <c r="M720" s="91"/>
      <c r="N720" s="91"/>
      <c r="O720" s="91"/>
      <c r="P720" s="91"/>
    </row>
    <row r="721" ht="30.0" customHeight="1">
      <c r="A721" s="91"/>
      <c r="B721" s="91"/>
      <c r="C721" s="91"/>
      <c r="D721" s="91"/>
      <c r="E721" s="91"/>
      <c r="F721" s="91"/>
      <c r="G721" s="91"/>
      <c r="H721" s="91"/>
      <c r="I721" s="91"/>
      <c r="J721" s="91"/>
      <c r="K721" s="91"/>
      <c r="L721" s="91"/>
      <c r="M721" s="91"/>
      <c r="N721" s="91"/>
      <c r="O721" s="91"/>
      <c r="P721" s="91"/>
    </row>
    <row r="722" ht="30.0" customHeight="1">
      <c r="A722" s="91"/>
      <c r="B722" s="91"/>
      <c r="C722" s="91"/>
      <c r="D722" s="91"/>
      <c r="E722" s="91"/>
      <c r="F722" s="91"/>
      <c r="G722" s="91"/>
      <c r="H722" s="91"/>
      <c r="I722" s="91"/>
      <c r="J722" s="91"/>
      <c r="K722" s="91"/>
      <c r="L722" s="91"/>
      <c r="M722" s="91"/>
      <c r="N722" s="91"/>
      <c r="O722" s="91"/>
      <c r="P722" s="91"/>
    </row>
    <row r="723" ht="30.0" customHeight="1">
      <c r="A723" s="91"/>
      <c r="B723" s="91"/>
      <c r="C723" s="91"/>
      <c r="D723" s="91"/>
      <c r="E723" s="91"/>
      <c r="F723" s="91"/>
      <c r="G723" s="91"/>
      <c r="H723" s="91"/>
      <c r="I723" s="91"/>
      <c r="J723" s="91"/>
      <c r="K723" s="91"/>
      <c r="L723" s="91"/>
      <c r="M723" s="91"/>
      <c r="N723" s="91"/>
      <c r="O723" s="91"/>
      <c r="P723" s="91"/>
    </row>
    <row r="724" ht="30.0" customHeight="1">
      <c r="A724" s="91"/>
      <c r="B724" s="91"/>
      <c r="C724" s="91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  <c r="P724" s="91"/>
    </row>
    <row r="725" ht="30.0" customHeight="1">
      <c r="A725" s="91"/>
      <c r="B725" s="91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</row>
    <row r="726" ht="30.0" customHeight="1">
      <c r="A726" s="91"/>
      <c r="B726" s="91"/>
      <c r="C726" s="91"/>
      <c r="D726" s="91"/>
      <c r="E726" s="91"/>
      <c r="F726" s="91"/>
      <c r="G726" s="91"/>
      <c r="H726" s="91"/>
      <c r="I726" s="91"/>
      <c r="J726" s="91"/>
      <c r="K726" s="91"/>
      <c r="L726" s="91"/>
      <c r="M726" s="91"/>
      <c r="N726" s="91"/>
      <c r="O726" s="91"/>
      <c r="P726" s="91"/>
    </row>
    <row r="727" ht="30.0" customHeight="1">
      <c r="A727" s="91"/>
      <c r="B727" s="91"/>
      <c r="C727" s="91"/>
      <c r="D727" s="91"/>
      <c r="E727" s="91"/>
      <c r="F727" s="91"/>
      <c r="G727" s="91"/>
      <c r="H727" s="91"/>
      <c r="I727" s="91"/>
      <c r="J727" s="91"/>
      <c r="K727" s="91"/>
      <c r="L727" s="91"/>
      <c r="M727" s="91"/>
      <c r="N727" s="91"/>
      <c r="O727" s="91"/>
      <c r="P727" s="91"/>
    </row>
    <row r="728" ht="30.0" customHeight="1">
      <c r="A728" s="91"/>
      <c r="B728" s="91"/>
      <c r="C728" s="91"/>
      <c r="D728" s="91"/>
      <c r="E728" s="91"/>
      <c r="F728" s="91"/>
      <c r="G728" s="91"/>
      <c r="H728" s="91"/>
      <c r="I728" s="91"/>
      <c r="J728" s="91"/>
      <c r="K728" s="91"/>
      <c r="L728" s="91"/>
      <c r="M728" s="91"/>
      <c r="N728" s="91"/>
      <c r="O728" s="91"/>
      <c r="P728" s="91"/>
    </row>
    <row r="729" ht="30.0" customHeight="1">
      <c r="A729" s="91"/>
      <c r="B729" s="91"/>
      <c r="C729" s="91"/>
      <c r="D729" s="91"/>
      <c r="E729" s="91"/>
      <c r="F729" s="91"/>
      <c r="G729" s="91"/>
      <c r="H729" s="91"/>
      <c r="I729" s="91"/>
      <c r="J729" s="91"/>
      <c r="K729" s="91"/>
      <c r="L729" s="91"/>
      <c r="M729" s="91"/>
      <c r="N729" s="91"/>
      <c r="O729" s="91"/>
      <c r="P729" s="91"/>
    </row>
    <row r="730" ht="30.0" customHeight="1">
      <c r="A730" s="91"/>
      <c r="B730" s="91"/>
      <c r="C730" s="91"/>
      <c r="D730" s="91"/>
      <c r="E730" s="91"/>
      <c r="F730" s="91"/>
      <c r="G730" s="91"/>
      <c r="H730" s="91"/>
      <c r="I730" s="91"/>
      <c r="J730" s="91"/>
      <c r="K730" s="91"/>
      <c r="L730" s="91"/>
      <c r="M730" s="91"/>
      <c r="N730" s="91"/>
      <c r="O730" s="91"/>
      <c r="P730" s="91"/>
    </row>
    <row r="731" ht="30.0" customHeight="1">
      <c r="A731" s="91"/>
      <c r="B731" s="91"/>
      <c r="C731" s="91"/>
      <c r="D731" s="91"/>
      <c r="E731" s="91"/>
      <c r="F731" s="91"/>
      <c r="G731" s="91"/>
      <c r="H731" s="91"/>
      <c r="I731" s="91"/>
      <c r="J731" s="91"/>
      <c r="K731" s="91"/>
      <c r="L731" s="91"/>
      <c r="M731" s="91"/>
      <c r="N731" s="91"/>
      <c r="O731" s="91"/>
      <c r="P731" s="91"/>
    </row>
    <row r="732" ht="30.0" customHeight="1">
      <c r="A732" s="91"/>
      <c r="B732" s="91"/>
      <c r="C732" s="91"/>
      <c r="D732" s="91"/>
      <c r="E732" s="91"/>
      <c r="F732" s="91"/>
      <c r="G732" s="91"/>
      <c r="H732" s="91"/>
      <c r="I732" s="91"/>
      <c r="J732" s="91"/>
      <c r="K732" s="91"/>
      <c r="L732" s="91"/>
      <c r="M732" s="91"/>
      <c r="N732" s="91"/>
      <c r="O732" s="91"/>
      <c r="P732" s="91"/>
    </row>
    <row r="733" ht="30.0" customHeight="1">
      <c r="A733" s="91"/>
      <c r="B733" s="91"/>
      <c r="C733" s="91"/>
      <c r="D733" s="91"/>
      <c r="E733" s="91"/>
      <c r="F733" s="91"/>
      <c r="G733" s="91"/>
      <c r="H733" s="91"/>
      <c r="I733" s="91"/>
      <c r="J733" s="91"/>
      <c r="K733" s="91"/>
      <c r="L733" s="91"/>
      <c r="M733" s="91"/>
      <c r="N733" s="91"/>
      <c r="O733" s="91"/>
      <c r="P733" s="91"/>
    </row>
    <row r="734" ht="30.0" customHeight="1">
      <c r="A734" s="91"/>
      <c r="B734" s="91"/>
      <c r="C734" s="91"/>
      <c r="D734" s="91"/>
      <c r="E734" s="91"/>
      <c r="F734" s="91"/>
      <c r="G734" s="91"/>
      <c r="H734" s="91"/>
      <c r="I734" s="91"/>
      <c r="J734" s="91"/>
      <c r="K734" s="91"/>
      <c r="L734" s="91"/>
      <c r="M734" s="91"/>
      <c r="N734" s="91"/>
      <c r="O734" s="91"/>
      <c r="P734" s="91"/>
    </row>
    <row r="735" ht="30.0" customHeight="1">
      <c r="A735" s="91"/>
      <c r="B735" s="91"/>
      <c r="C735" s="91"/>
      <c r="D735" s="91"/>
      <c r="E735" s="91"/>
      <c r="F735" s="91"/>
      <c r="G735" s="91"/>
      <c r="H735" s="91"/>
      <c r="I735" s="91"/>
      <c r="J735" s="91"/>
      <c r="K735" s="91"/>
      <c r="L735" s="91"/>
      <c r="M735" s="91"/>
      <c r="N735" s="91"/>
      <c r="O735" s="91"/>
      <c r="P735" s="91"/>
    </row>
    <row r="736" ht="30.0" customHeight="1">
      <c r="A736" s="91"/>
      <c r="B736" s="91"/>
      <c r="C736" s="91"/>
      <c r="D736" s="91"/>
      <c r="E736" s="91"/>
      <c r="F736" s="91"/>
      <c r="G736" s="91"/>
      <c r="H736" s="91"/>
      <c r="I736" s="91"/>
      <c r="J736" s="91"/>
      <c r="K736" s="91"/>
      <c r="L736" s="91"/>
      <c r="M736" s="91"/>
      <c r="N736" s="91"/>
      <c r="O736" s="91"/>
      <c r="P736" s="91"/>
    </row>
    <row r="737" ht="30.0" customHeight="1">
      <c r="A737" s="91"/>
      <c r="B737" s="91"/>
      <c r="C737" s="91"/>
      <c r="D737" s="91"/>
      <c r="E737" s="91"/>
      <c r="F737" s="91"/>
      <c r="G737" s="91"/>
      <c r="H737" s="91"/>
      <c r="I737" s="91"/>
      <c r="J737" s="91"/>
      <c r="K737" s="91"/>
      <c r="L737" s="91"/>
      <c r="M737" s="91"/>
      <c r="N737" s="91"/>
      <c r="O737" s="91"/>
      <c r="P737" s="91"/>
    </row>
    <row r="738" ht="30.0" customHeight="1">
      <c r="A738" s="91"/>
      <c r="B738" s="91"/>
      <c r="C738" s="91"/>
      <c r="D738" s="91"/>
      <c r="E738" s="91"/>
      <c r="F738" s="91"/>
      <c r="G738" s="91"/>
      <c r="H738" s="91"/>
      <c r="I738" s="91"/>
      <c r="J738" s="91"/>
      <c r="K738" s="91"/>
      <c r="L738" s="91"/>
      <c r="M738" s="91"/>
      <c r="N738" s="91"/>
      <c r="O738" s="91"/>
      <c r="P738" s="91"/>
    </row>
    <row r="739" ht="30.0" customHeight="1">
      <c r="A739" s="91"/>
      <c r="B739" s="91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/>
      <c r="N739" s="91"/>
      <c r="O739" s="91"/>
      <c r="P739" s="91"/>
    </row>
    <row r="740" ht="30.0" customHeight="1">
      <c r="A740" s="91"/>
      <c r="B740" s="91"/>
      <c r="C740" s="91"/>
      <c r="D740" s="91"/>
      <c r="E740" s="91"/>
      <c r="F740" s="91"/>
      <c r="G740" s="91"/>
      <c r="H740" s="91"/>
      <c r="I740" s="91"/>
      <c r="J740" s="91"/>
      <c r="K740" s="91"/>
      <c r="L740" s="91"/>
      <c r="M740" s="91"/>
      <c r="N740" s="91"/>
      <c r="O740" s="91"/>
      <c r="P740" s="91"/>
    </row>
    <row r="741" ht="30.0" customHeight="1">
      <c r="A741" s="91"/>
      <c r="B741" s="91"/>
      <c r="C741" s="91"/>
      <c r="D741" s="91"/>
      <c r="E741" s="91"/>
      <c r="F741" s="91"/>
      <c r="G741" s="91"/>
      <c r="H741" s="91"/>
      <c r="I741" s="91"/>
      <c r="J741" s="91"/>
      <c r="K741" s="91"/>
      <c r="L741" s="91"/>
      <c r="M741" s="91"/>
      <c r="N741" s="91"/>
      <c r="O741" s="91"/>
      <c r="P741" s="91"/>
    </row>
    <row r="742" ht="30.0" customHeight="1">
      <c r="A742" s="91"/>
      <c r="B742" s="91"/>
      <c r="C742" s="91"/>
      <c r="D742" s="91"/>
      <c r="E742" s="91"/>
      <c r="F742" s="91"/>
      <c r="G742" s="91"/>
      <c r="H742" s="91"/>
      <c r="I742" s="91"/>
      <c r="J742" s="91"/>
      <c r="K742" s="91"/>
      <c r="L742" s="91"/>
      <c r="M742" s="91"/>
      <c r="N742" s="91"/>
      <c r="O742" s="91"/>
      <c r="P742" s="91"/>
    </row>
    <row r="743" ht="30.0" customHeight="1">
      <c r="A743" s="91"/>
      <c r="B743" s="91"/>
      <c r="C743" s="91"/>
      <c r="D743" s="91"/>
      <c r="E743" s="91"/>
      <c r="F743" s="91"/>
      <c r="G743" s="91"/>
      <c r="H743" s="91"/>
      <c r="I743" s="91"/>
      <c r="J743" s="91"/>
      <c r="K743" s="91"/>
      <c r="L743" s="91"/>
      <c r="M743" s="91"/>
      <c r="N743" s="91"/>
      <c r="O743" s="91"/>
      <c r="P743" s="91"/>
    </row>
    <row r="744" ht="30.0" customHeight="1">
      <c r="A744" s="91"/>
      <c r="B744" s="91"/>
      <c r="C744" s="91"/>
      <c r="D744" s="91"/>
      <c r="E744" s="91"/>
      <c r="F744" s="91"/>
      <c r="G744" s="91"/>
      <c r="H744" s="91"/>
      <c r="I744" s="91"/>
      <c r="J744" s="91"/>
      <c r="K744" s="91"/>
      <c r="L744" s="91"/>
      <c r="M744" s="91"/>
      <c r="N744" s="91"/>
      <c r="O744" s="91"/>
      <c r="P744" s="91"/>
    </row>
    <row r="745" ht="30.0" customHeight="1">
      <c r="A745" s="91"/>
      <c r="B745" s="91"/>
      <c r="C745" s="91"/>
      <c r="D745" s="91"/>
      <c r="E745" s="91"/>
      <c r="F745" s="91"/>
      <c r="G745" s="91"/>
      <c r="H745" s="91"/>
      <c r="I745" s="91"/>
      <c r="J745" s="91"/>
      <c r="K745" s="91"/>
      <c r="L745" s="91"/>
      <c r="M745" s="91"/>
      <c r="N745" s="91"/>
      <c r="O745" s="91"/>
      <c r="P745" s="91"/>
    </row>
    <row r="746" ht="30.0" customHeight="1">
      <c r="A746" s="91"/>
      <c r="B746" s="91"/>
      <c r="C746" s="91"/>
      <c r="D746" s="91"/>
      <c r="E746" s="91"/>
      <c r="F746" s="91"/>
      <c r="G746" s="91"/>
      <c r="H746" s="91"/>
      <c r="I746" s="91"/>
      <c r="J746" s="91"/>
      <c r="K746" s="91"/>
      <c r="L746" s="91"/>
      <c r="M746" s="91"/>
      <c r="N746" s="91"/>
      <c r="O746" s="91"/>
      <c r="P746" s="91"/>
    </row>
    <row r="747" ht="30.0" customHeight="1">
      <c r="A747" s="91"/>
      <c r="B747" s="91"/>
      <c r="C747" s="91"/>
      <c r="D747" s="91"/>
      <c r="E747" s="91"/>
      <c r="F747" s="91"/>
      <c r="G747" s="91"/>
      <c r="H747" s="91"/>
      <c r="I747" s="91"/>
      <c r="J747" s="91"/>
      <c r="K747" s="91"/>
      <c r="L747" s="91"/>
      <c r="M747" s="91"/>
      <c r="N747" s="91"/>
      <c r="O747" s="91"/>
      <c r="P747" s="91"/>
    </row>
    <row r="748" ht="30.0" customHeight="1">
      <c r="A748" s="91"/>
      <c r="B748" s="91"/>
      <c r="C748" s="91"/>
      <c r="D748" s="91"/>
      <c r="E748" s="91"/>
      <c r="F748" s="91"/>
      <c r="G748" s="91"/>
      <c r="H748" s="91"/>
      <c r="I748" s="91"/>
      <c r="J748" s="91"/>
      <c r="K748" s="91"/>
      <c r="L748" s="91"/>
      <c r="M748" s="91"/>
      <c r="N748" s="91"/>
      <c r="O748" s="91"/>
      <c r="P748" s="91"/>
    </row>
    <row r="749" ht="30.0" customHeight="1">
      <c r="A749" s="91"/>
      <c r="B749" s="91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1"/>
      <c r="P749" s="91"/>
    </row>
    <row r="750" ht="30.0" customHeight="1">
      <c r="A750" s="91"/>
      <c r="B750" s="91"/>
      <c r="C750" s="91"/>
      <c r="D750" s="91"/>
      <c r="E750" s="91"/>
      <c r="F750" s="91"/>
      <c r="G750" s="91"/>
      <c r="H750" s="91"/>
      <c r="I750" s="91"/>
      <c r="J750" s="91"/>
      <c r="K750" s="91"/>
      <c r="L750" s="91"/>
      <c r="M750" s="91"/>
      <c r="N750" s="91"/>
      <c r="O750" s="91"/>
      <c r="P750" s="91"/>
    </row>
    <row r="751" ht="30.0" customHeight="1">
      <c r="A751" s="91"/>
      <c r="B751" s="91"/>
      <c r="C751" s="91"/>
      <c r="D751" s="91"/>
      <c r="E751" s="91"/>
      <c r="F751" s="91"/>
      <c r="G751" s="91"/>
      <c r="H751" s="91"/>
      <c r="I751" s="91"/>
      <c r="J751" s="91"/>
      <c r="K751" s="91"/>
      <c r="L751" s="91"/>
      <c r="M751" s="91"/>
      <c r="N751" s="91"/>
      <c r="O751" s="91"/>
      <c r="P751" s="91"/>
    </row>
    <row r="752" ht="30.0" customHeight="1">
      <c r="A752" s="91"/>
      <c r="B752" s="91"/>
      <c r="C752" s="91"/>
      <c r="D752" s="91"/>
      <c r="E752" s="91"/>
      <c r="F752" s="91"/>
      <c r="G752" s="91"/>
      <c r="H752" s="91"/>
      <c r="I752" s="91"/>
      <c r="J752" s="91"/>
      <c r="K752" s="91"/>
      <c r="L752" s="91"/>
      <c r="M752" s="91"/>
      <c r="N752" s="91"/>
      <c r="O752" s="91"/>
      <c r="P752" s="91"/>
    </row>
    <row r="753" ht="30.0" customHeight="1">
      <c r="A753" s="91"/>
      <c r="B753" s="91"/>
      <c r="C753" s="91"/>
      <c r="D753" s="91"/>
      <c r="E753" s="91"/>
      <c r="F753" s="91"/>
      <c r="G753" s="91"/>
      <c r="H753" s="91"/>
      <c r="I753" s="91"/>
      <c r="J753" s="91"/>
      <c r="K753" s="91"/>
      <c r="L753" s="91"/>
      <c r="M753" s="91"/>
      <c r="N753" s="91"/>
      <c r="O753" s="91"/>
      <c r="P753" s="91"/>
    </row>
    <row r="754" ht="30.0" customHeight="1">
      <c r="A754" s="91"/>
      <c r="B754" s="91"/>
      <c r="C754" s="91"/>
      <c r="D754" s="91"/>
      <c r="E754" s="91"/>
      <c r="F754" s="91"/>
      <c r="G754" s="91"/>
      <c r="H754" s="91"/>
      <c r="I754" s="91"/>
      <c r="J754" s="91"/>
      <c r="K754" s="91"/>
      <c r="L754" s="91"/>
      <c r="M754" s="91"/>
      <c r="N754" s="91"/>
      <c r="O754" s="91"/>
      <c r="P754" s="91"/>
    </row>
    <row r="755" ht="30.0" customHeight="1">
      <c r="A755" s="91"/>
      <c r="B755" s="91"/>
      <c r="C755" s="91"/>
      <c r="D755" s="91"/>
      <c r="E755" s="91"/>
      <c r="F755" s="91"/>
      <c r="G755" s="91"/>
      <c r="H755" s="91"/>
      <c r="I755" s="91"/>
      <c r="J755" s="91"/>
      <c r="K755" s="91"/>
      <c r="L755" s="91"/>
      <c r="M755" s="91"/>
      <c r="N755" s="91"/>
      <c r="O755" s="91"/>
      <c r="P755" s="91"/>
    </row>
    <row r="756" ht="30.0" customHeight="1">
      <c r="A756" s="91"/>
      <c r="B756" s="91"/>
      <c r="C756" s="91"/>
      <c r="D756" s="91"/>
      <c r="E756" s="91"/>
      <c r="F756" s="91"/>
      <c r="G756" s="91"/>
      <c r="H756" s="91"/>
      <c r="I756" s="91"/>
      <c r="J756" s="91"/>
      <c r="K756" s="91"/>
      <c r="L756" s="91"/>
      <c r="M756" s="91"/>
      <c r="N756" s="91"/>
      <c r="O756" s="91"/>
      <c r="P756" s="91"/>
    </row>
    <row r="757" ht="30.0" customHeight="1">
      <c r="A757" s="91"/>
      <c r="B757" s="91"/>
      <c r="C757" s="91"/>
      <c r="D757" s="91"/>
      <c r="E757" s="91"/>
      <c r="F757" s="91"/>
      <c r="G757" s="91"/>
      <c r="H757" s="91"/>
      <c r="I757" s="91"/>
      <c r="J757" s="91"/>
      <c r="K757" s="91"/>
      <c r="L757" s="91"/>
      <c r="M757" s="91"/>
      <c r="N757" s="91"/>
      <c r="O757" s="91"/>
      <c r="P757" s="91"/>
    </row>
    <row r="758" ht="30.0" customHeight="1">
      <c r="A758" s="91"/>
      <c r="B758" s="91"/>
      <c r="C758" s="91"/>
      <c r="D758" s="91"/>
      <c r="E758" s="91"/>
      <c r="F758" s="91"/>
      <c r="G758" s="91"/>
      <c r="H758" s="91"/>
      <c r="I758" s="91"/>
      <c r="J758" s="91"/>
      <c r="K758" s="91"/>
      <c r="L758" s="91"/>
      <c r="M758" s="91"/>
      <c r="N758" s="91"/>
      <c r="O758" s="91"/>
      <c r="P758" s="91"/>
    </row>
    <row r="759" ht="30.0" customHeight="1">
      <c r="A759" s="91"/>
      <c r="B759" s="91"/>
      <c r="C759" s="91"/>
      <c r="D759" s="91"/>
      <c r="E759" s="91"/>
      <c r="F759" s="91"/>
      <c r="G759" s="91"/>
      <c r="H759" s="91"/>
      <c r="I759" s="91"/>
      <c r="J759" s="91"/>
      <c r="K759" s="91"/>
      <c r="L759" s="91"/>
      <c r="M759" s="91"/>
      <c r="N759" s="91"/>
      <c r="O759" s="91"/>
      <c r="P759" s="91"/>
    </row>
    <row r="760" ht="30.0" customHeight="1">
      <c r="A760" s="91"/>
      <c r="B760" s="91"/>
      <c r="C760" s="91"/>
      <c r="D760" s="91"/>
      <c r="E760" s="91"/>
      <c r="F760" s="91"/>
      <c r="G760" s="91"/>
      <c r="H760" s="91"/>
      <c r="I760" s="91"/>
      <c r="J760" s="91"/>
      <c r="K760" s="91"/>
      <c r="L760" s="91"/>
      <c r="M760" s="91"/>
      <c r="N760" s="91"/>
      <c r="O760" s="91"/>
      <c r="P760" s="91"/>
    </row>
    <row r="761" ht="30.0" customHeight="1">
      <c r="A761" s="91"/>
      <c r="B761" s="91"/>
      <c r="C761" s="91"/>
      <c r="D761" s="91"/>
      <c r="E761" s="91"/>
      <c r="F761" s="91"/>
      <c r="G761" s="91"/>
      <c r="H761" s="91"/>
      <c r="I761" s="91"/>
      <c r="J761" s="91"/>
      <c r="K761" s="91"/>
      <c r="L761" s="91"/>
      <c r="M761" s="91"/>
      <c r="N761" s="91"/>
      <c r="O761" s="91"/>
      <c r="P761" s="91"/>
    </row>
    <row r="762" ht="30.0" customHeight="1">
      <c r="A762" s="91"/>
      <c r="B762" s="91"/>
      <c r="C762" s="91"/>
      <c r="D762" s="91"/>
      <c r="E762" s="91"/>
      <c r="F762" s="91"/>
      <c r="G762" s="91"/>
      <c r="H762" s="91"/>
      <c r="I762" s="91"/>
      <c r="J762" s="91"/>
      <c r="K762" s="91"/>
      <c r="L762" s="91"/>
      <c r="M762" s="91"/>
      <c r="N762" s="91"/>
      <c r="O762" s="91"/>
      <c r="P762" s="91"/>
    </row>
    <row r="763" ht="30.0" customHeight="1">
      <c r="A763" s="91"/>
      <c r="B763" s="91"/>
      <c r="C763" s="91"/>
      <c r="D763" s="91"/>
      <c r="E763" s="91"/>
      <c r="F763" s="91"/>
      <c r="G763" s="91"/>
      <c r="H763" s="91"/>
      <c r="I763" s="91"/>
      <c r="J763" s="91"/>
      <c r="K763" s="91"/>
      <c r="L763" s="91"/>
      <c r="M763" s="91"/>
      <c r="N763" s="91"/>
      <c r="O763" s="91"/>
      <c r="P763" s="91"/>
    </row>
    <row r="764" ht="30.0" customHeight="1">
      <c r="A764" s="91"/>
      <c r="B764" s="91"/>
      <c r="C764" s="91"/>
      <c r="D764" s="91"/>
      <c r="E764" s="91"/>
      <c r="F764" s="91"/>
      <c r="G764" s="91"/>
      <c r="H764" s="91"/>
      <c r="I764" s="91"/>
      <c r="J764" s="91"/>
      <c r="K764" s="91"/>
      <c r="L764" s="91"/>
      <c r="M764" s="91"/>
      <c r="N764" s="91"/>
      <c r="O764" s="91"/>
      <c r="P764" s="91"/>
    </row>
    <row r="765" ht="30.0" customHeight="1">
      <c r="A765" s="91"/>
      <c r="B765" s="91"/>
      <c r="C765" s="91"/>
      <c r="D765" s="91"/>
      <c r="E765" s="91"/>
      <c r="F765" s="91"/>
      <c r="G765" s="91"/>
      <c r="H765" s="91"/>
      <c r="I765" s="91"/>
      <c r="J765" s="91"/>
      <c r="K765" s="91"/>
      <c r="L765" s="91"/>
      <c r="M765" s="91"/>
      <c r="N765" s="91"/>
      <c r="O765" s="91"/>
      <c r="P765" s="91"/>
    </row>
    <row r="766" ht="30.0" customHeight="1">
      <c r="A766" s="91"/>
      <c r="B766" s="91"/>
      <c r="C766" s="91"/>
      <c r="D766" s="91"/>
      <c r="E766" s="91"/>
      <c r="F766" s="91"/>
      <c r="G766" s="91"/>
      <c r="H766" s="91"/>
      <c r="I766" s="91"/>
      <c r="J766" s="91"/>
      <c r="K766" s="91"/>
      <c r="L766" s="91"/>
      <c r="M766" s="91"/>
      <c r="N766" s="91"/>
      <c r="O766" s="91"/>
      <c r="P766" s="91"/>
    </row>
    <row r="767" ht="30.0" customHeight="1">
      <c r="A767" s="91"/>
      <c r="B767" s="91"/>
      <c r="C767" s="91"/>
      <c r="D767" s="91"/>
      <c r="E767" s="91"/>
      <c r="F767" s="91"/>
      <c r="G767" s="91"/>
      <c r="H767" s="91"/>
      <c r="I767" s="91"/>
      <c r="J767" s="91"/>
      <c r="K767" s="91"/>
      <c r="L767" s="91"/>
      <c r="M767" s="91"/>
      <c r="N767" s="91"/>
      <c r="O767" s="91"/>
      <c r="P767" s="91"/>
    </row>
    <row r="768" ht="30.0" customHeight="1">
      <c r="A768" s="91"/>
      <c r="B768" s="91"/>
      <c r="C768" s="91"/>
      <c r="D768" s="91"/>
      <c r="E768" s="91"/>
      <c r="F768" s="91"/>
      <c r="G768" s="91"/>
      <c r="H768" s="91"/>
      <c r="I768" s="91"/>
      <c r="J768" s="91"/>
      <c r="K768" s="91"/>
      <c r="L768" s="91"/>
      <c r="M768" s="91"/>
      <c r="N768" s="91"/>
      <c r="O768" s="91"/>
      <c r="P768" s="91"/>
    </row>
    <row r="769" ht="30.0" customHeight="1">
      <c r="A769" s="91"/>
      <c r="B769" s="91"/>
      <c r="C769" s="91"/>
      <c r="D769" s="91"/>
      <c r="E769" s="91"/>
      <c r="F769" s="91"/>
      <c r="G769" s="91"/>
      <c r="H769" s="91"/>
      <c r="I769" s="91"/>
      <c r="J769" s="91"/>
      <c r="K769" s="91"/>
      <c r="L769" s="91"/>
      <c r="M769" s="91"/>
      <c r="N769" s="91"/>
      <c r="O769" s="91"/>
      <c r="P769" s="91"/>
    </row>
    <row r="770" ht="30.0" customHeight="1">
      <c r="A770" s="91"/>
      <c r="B770" s="91"/>
      <c r="C770" s="91"/>
      <c r="D770" s="91"/>
      <c r="E770" s="91"/>
      <c r="F770" s="91"/>
      <c r="G770" s="91"/>
      <c r="H770" s="91"/>
      <c r="I770" s="91"/>
      <c r="J770" s="91"/>
      <c r="K770" s="91"/>
      <c r="L770" s="91"/>
      <c r="M770" s="91"/>
      <c r="N770" s="91"/>
      <c r="O770" s="91"/>
      <c r="P770" s="91"/>
    </row>
    <row r="771" ht="30.0" customHeight="1">
      <c r="A771" s="91"/>
      <c r="B771" s="91"/>
      <c r="C771" s="91"/>
      <c r="D771" s="91"/>
      <c r="E771" s="91"/>
      <c r="F771" s="91"/>
      <c r="G771" s="91"/>
      <c r="H771" s="91"/>
      <c r="I771" s="91"/>
      <c r="J771" s="91"/>
      <c r="K771" s="91"/>
      <c r="L771" s="91"/>
      <c r="M771" s="91"/>
      <c r="N771" s="91"/>
      <c r="O771" s="91"/>
      <c r="P771" s="91"/>
    </row>
    <row r="772" ht="30.0" customHeight="1">
      <c r="A772" s="91"/>
      <c r="B772" s="91"/>
      <c r="C772" s="91"/>
      <c r="D772" s="91"/>
      <c r="E772" s="91"/>
      <c r="F772" s="91"/>
      <c r="G772" s="91"/>
      <c r="H772" s="91"/>
      <c r="I772" s="91"/>
      <c r="J772" s="91"/>
      <c r="K772" s="91"/>
      <c r="L772" s="91"/>
      <c r="M772" s="91"/>
      <c r="N772" s="91"/>
      <c r="O772" s="91"/>
      <c r="P772" s="91"/>
    </row>
    <row r="773" ht="30.0" customHeight="1">
      <c r="A773" s="91"/>
      <c r="B773" s="91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  <c r="P773" s="91"/>
    </row>
    <row r="774" ht="30.0" customHeight="1">
      <c r="A774" s="91"/>
      <c r="B774" s="91"/>
      <c r="C774" s="91"/>
      <c r="D774" s="91"/>
      <c r="E774" s="91"/>
      <c r="F774" s="91"/>
      <c r="G774" s="91"/>
      <c r="H774" s="91"/>
      <c r="I774" s="91"/>
      <c r="J774" s="91"/>
      <c r="K774" s="91"/>
      <c r="L774" s="91"/>
      <c r="M774" s="91"/>
      <c r="N774" s="91"/>
      <c r="O774" s="91"/>
      <c r="P774" s="91"/>
    </row>
    <row r="775" ht="30.0" customHeight="1">
      <c r="A775" s="91"/>
      <c r="B775" s="91"/>
      <c r="C775" s="91"/>
      <c r="D775" s="91"/>
      <c r="E775" s="91"/>
      <c r="F775" s="91"/>
      <c r="G775" s="91"/>
      <c r="H775" s="91"/>
      <c r="I775" s="91"/>
      <c r="J775" s="91"/>
      <c r="K775" s="91"/>
      <c r="L775" s="91"/>
      <c r="M775" s="91"/>
      <c r="N775" s="91"/>
      <c r="O775" s="91"/>
      <c r="P775" s="91"/>
    </row>
    <row r="776" ht="30.0" customHeight="1">
      <c r="A776" s="91"/>
      <c r="B776" s="91"/>
      <c r="C776" s="91"/>
      <c r="D776" s="91"/>
      <c r="E776" s="91"/>
      <c r="F776" s="91"/>
      <c r="G776" s="91"/>
      <c r="H776" s="91"/>
      <c r="I776" s="91"/>
      <c r="J776" s="91"/>
      <c r="K776" s="91"/>
      <c r="L776" s="91"/>
      <c r="M776" s="91"/>
      <c r="N776" s="91"/>
      <c r="O776" s="91"/>
      <c r="P776" s="91"/>
    </row>
    <row r="777" ht="30.0" customHeight="1">
      <c r="A777" s="91"/>
      <c r="B777" s="91"/>
      <c r="C777" s="91"/>
      <c r="D777" s="91"/>
      <c r="E777" s="91"/>
      <c r="F777" s="91"/>
      <c r="G777" s="91"/>
      <c r="H777" s="91"/>
      <c r="I777" s="91"/>
      <c r="J777" s="91"/>
      <c r="K777" s="91"/>
      <c r="L777" s="91"/>
      <c r="M777" s="91"/>
      <c r="N777" s="91"/>
      <c r="O777" s="91"/>
      <c r="P777" s="91"/>
    </row>
    <row r="778" ht="30.0" customHeight="1">
      <c r="A778" s="91"/>
      <c r="B778" s="91"/>
      <c r="C778" s="91"/>
      <c r="D778" s="91"/>
      <c r="E778" s="91"/>
      <c r="F778" s="91"/>
      <c r="G778" s="91"/>
      <c r="H778" s="91"/>
      <c r="I778" s="91"/>
      <c r="J778" s="91"/>
      <c r="K778" s="91"/>
      <c r="L778" s="91"/>
      <c r="M778" s="91"/>
      <c r="N778" s="91"/>
      <c r="O778" s="91"/>
      <c r="P778" s="91"/>
    </row>
    <row r="779" ht="30.0" customHeight="1">
      <c r="A779" s="91"/>
      <c r="B779" s="91"/>
      <c r="C779" s="91"/>
      <c r="D779" s="91"/>
      <c r="E779" s="91"/>
      <c r="F779" s="91"/>
      <c r="G779" s="91"/>
      <c r="H779" s="91"/>
      <c r="I779" s="91"/>
      <c r="J779" s="91"/>
      <c r="K779" s="91"/>
      <c r="L779" s="91"/>
      <c r="M779" s="91"/>
      <c r="N779" s="91"/>
      <c r="O779" s="91"/>
      <c r="P779" s="91"/>
    </row>
    <row r="780" ht="30.0" customHeight="1">
      <c r="A780" s="91"/>
      <c r="B780" s="91"/>
      <c r="C780" s="91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  <c r="P780" s="91"/>
    </row>
    <row r="781" ht="30.0" customHeight="1">
      <c r="A781" s="91"/>
      <c r="B781" s="91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  <c r="P781" s="91"/>
    </row>
    <row r="782" ht="30.0" customHeight="1">
      <c r="A782" s="91"/>
      <c r="B782" s="91"/>
      <c r="C782" s="91"/>
      <c r="D782" s="91"/>
      <c r="E782" s="91"/>
      <c r="F782" s="91"/>
      <c r="G782" s="91"/>
      <c r="H782" s="91"/>
      <c r="I782" s="91"/>
      <c r="J782" s="91"/>
      <c r="K782" s="91"/>
      <c r="L782" s="91"/>
      <c r="M782" s="91"/>
      <c r="N782" s="91"/>
      <c r="O782" s="91"/>
      <c r="P782" s="91"/>
    </row>
    <row r="783" ht="30.0" customHeight="1">
      <c r="A783" s="91"/>
      <c r="B783" s="91"/>
      <c r="C783" s="91"/>
      <c r="D783" s="91"/>
      <c r="E783" s="91"/>
      <c r="F783" s="91"/>
      <c r="G783" s="91"/>
      <c r="H783" s="91"/>
      <c r="I783" s="91"/>
      <c r="J783" s="91"/>
      <c r="K783" s="91"/>
      <c r="L783" s="91"/>
      <c r="M783" s="91"/>
      <c r="N783" s="91"/>
      <c r="O783" s="91"/>
      <c r="P783" s="91"/>
    </row>
    <row r="784" ht="30.0" customHeight="1">
      <c r="A784" s="91"/>
      <c r="B784" s="91"/>
      <c r="C784" s="91"/>
      <c r="D784" s="91"/>
      <c r="E784" s="91"/>
      <c r="F784" s="91"/>
      <c r="G784" s="91"/>
      <c r="H784" s="91"/>
      <c r="I784" s="91"/>
      <c r="J784" s="91"/>
      <c r="K784" s="91"/>
      <c r="L784" s="91"/>
      <c r="M784" s="91"/>
      <c r="N784" s="91"/>
      <c r="O784" s="91"/>
      <c r="P784" s="91"/>
    </row>
    <row r="785" ht="30.0" customHeight="1">
      <c r="A785" s="91"/>
      <c r="B785" s="91"/>
      <c r="C785" s="91"/>
      <c r="D785" s="91"/>
      <c r="E785" s="91"/>
      <c r="F785" s="91"/>
      <c r="G785" s="91"/>
      <c r="H785" s="91"/>
      <c r="I785" s="91"/>
      <c r="J785" s="91"/>
      <c r="K785" s="91"/>
      <c r="L785" s="91"/>
      <c r="M785" s="91"/>
      <c r="N785" s="91"/>
      <c r="O785" s="91"/>
      <c r="P785" s="91"/>
    </row>
    <row r="786" ht="30.0" customHeight="1">
      <c r="A786" s="91"/>
      <c r="B786" s="91"/>
      <c r="C786" s="91"/>
      <c r="D786" s="91"/>
      <c r="E786" s="91"/>
      <c r="F786" s="91"/>
      <c r="G786" s="91"/>
      <c r="H786" s="91"/>
      <c r="I786" s="91"/>
      <c r="J786" s="91"/>
      <c r="K786" s="91"/>
      <c r="L786" s="91"/>
      <c r="M786" s="91"/>
      <c r="N786" s="91"/>
      <c r="O786" s="91"/>
      <c r="P786" s="91"/>
    </row>
    <row r="787" ht="30.0" customHeight="1">
      <c r="A787" s="91"/>
      <c r="B787" s="91"/>
      <c r="C787" s="91"/>
      <c r="D787" s="91"/>
      <c r="E787" s="91"/>
      <c r="F787" s="91"/>
      <c r="G787" s="91"/>
      <c r="H787" s="91"/>
      <c r="I787" s="91"/>
      <c r="J787" s="91"/>
      <c r="K787" s="91"/>
      <c r="L787" s="91"/>
      <c r="M787" s="91"/>
      <c r="N787" s="91"/>
      <c r="O787" s="91"/>
      <c r="P787" s="91"/>
    </row>
    <row r="788" ht="30.0" customHeight="1">
      <c r="A788" s="91"/>
      <c r="B788" s="91"/>
      <c r="C788" s="91"/>
      <c r="D788" s="91"/>
      <c r="E788" s="91"/>
      <c r="F788" s="91"/>
      <c r="G788" s="91"/>
      <c r="H788" s="91"/>
      <c r="I788" s="91"/>
      <c r="J788" s="91"/>
      <c r="K788" s="91"/>
      <c r="L788" s="91"/>
      <c r="M788" s="91"/>
      <c r="N788" s="91"/>
      <c r="O788" s="91"/>
      <c r="P788" s="91"/>
    </row>
    <row r="789" ht="30.0" customHeight="1">
      <c r="A789" s="91"/>
      <c r="B789" s="91"/>
      <c r="C789" s="91"/>
      <c r="D789" s="91"/>
      <c r="E789" s="91"/>
      <c r="F789" s="91"/>
      <c r="G789" s="91"/>
      <c r="H789" s="91"/>
      <c r="I789" s="91"/>
      <c r="J789" s="91"/>
      <c r="K789" s="91"/>
      <c r="L789" s="91"/>
      <c r="M789" s="91"/>
      <c r="N789" s="91"/>
      <c r="O789" s="91"/>
      <c r="P789" s="91"/>
    </row>
    <row r="790" ht="30.0" customHeight="1">
      <c r="A790" s="91"/>
      <c r="B790" s="91"/>
      <c r="C790" s="91"/>
      <c r="D790" s="91"/>
      <c r="E790" s="91"/>
      <c r="F790" s="91"/>
      <c r="G790" s="91"/>
      <c r="H790" s="91"/>
      <c r="I790" s="91"/>
      <c r="J790" s="91"/>
      <c r="K790" s="91"/>
      <c r="L790" s="91"/>
      <c r="M790" s="91"/>
      <c r="N790" s="91"/>
      <c r="O790" s="91"/>
      <c r="P790" s="91"/>
    </row>
    <row r="791" ht="30.0" customHeight="1">
      <c r="A791" s="91"/>
      <c r="B791" s="91"/>
      <c r="C791" s="91"/>
      <c r="D791" s="91"/>
      <c r="E791" s="91"/>
      <c r="F791" s="91"/>
      <c r="G791" s="91"/>
      <c r="H791" s="91"/>
      <c r="I791" s="91"/>
      <c r="J791" s="91"/>
      <c r="K791" s="91"/>
      <c r="L791" s="91"/>
      <c r="M791" s="91"/>
      <c r="N791" s="91"/>
      <c r="O791" s="91"/>
      <c r="P791" s="91"/>
    </row>
    <row r="792" ht="30.0" customHeight="1">
      <c r="A792" s="91"/>
      <c r="B792" s="91"/>
      <c r="C792" s="91"/>
      <c r="D792" s="91"/>
      <c r="E792" s="91"/>
      <c r="F792" s="91"/>
      <c r="G792" s="91"/>
      <c r="H792" s="91"/>
      <c r="I792" s="91"/>
      <c r="J792" s="91"/>
      <c r="K792" s="91"/>
      <c r="L792" s="91"/>
      <c r="M792" s="91"/>
      <c r="N792" s="91"/>
      <c r="O792" s="91"/>
      <c r="P792" s="91"/>
    </row>
    <row r="793" ht="30.0" customHeight="1">
      <c r="A793" s="91"/>
      <c r="B793" s="91"/>
      <c r="C793" s="91"/>
      <c r="D793" s="91"/>
      <c r="E793" s="91"/>
      <c r="F793" s="91"/>
      <c r="G793" s="91"/>
      <c r="H793" s="91"/>
      <c r="I793" s="91"/>
      <c r="J793" s="91"/>
      <c r="K793" s="91"/>
      <c r="L793" s="91"/>
      <c r="M793" s="91"/>
      <c r="N793" s="91"/>
      <c r="O793" s="91"/>
      <c r="P793" s="91"/>
    </row>
    <row r="794" ht="30.0" customHeight="1">
      <c r="A794" s="91"/>
      <c r="B794" s="91"/>
      <c r="C794" s="91"/>
      <c r="D794" s="91"/>
      <c r="E794" s="91"/>
      <c r="F794" s="91"/>
      <c r="G794" s="91"/>
      <c r="H794" s="91"/>
      <c r="I794" s="91"/>
      <c r="J794" s="91"/>
      <c r="K794" s="91"/>
      <c r="L794" s="91"/>
      <c r="M794" s="91"/>
      <c r="N794" s="91"/>
      <c r="O794" s="91"/>
      <c r="P794" s="91"/>
    </row>
    <row r="795" ht="30.0" customHeight="1">
      <c r="A795" s="91"/>
      <c r="B795" s="91"/>
      <c r="C795" s="91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1"/>
    </row>
    <row r="796" ht="30.0" customHeight="1">
      <c r="A796" s="91"/>
      <c r="B796" s="91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</row>
    <row r="797" ht="30.0" customHeight="1">
      <c r="A797" s="91"/>
      <c r="B797" s="91"/>
      <c r="C797" s="91"/>
      <c r="D797" s="91"/>
      <c r="E797" s="91"/>
      <c r="F797" s="91"/>
      <c r="G797" s="91"/>
      <c r="H797" s="91"/>
      <c r="I797" s="91"/>
      <c r="J797" s="91"/>
      <c r="K797" s="91"/>
      <c r="L797" s="91"/>
      <c r="M797" s="91"/>
      <c r="N797" s="91"/>
      <c r="O797" s="91"/>
      <c r="P797" s="91"/>
    </row>
    <row r="798" ht="30.0" customHeight="1">
      <c r="A798" s="91"/>
      <c r="B798" s="91"/>
      <c r="C798" s="91"/>
      <c r="D798" s="91"/>
      <c r="E798" s="91"/>
      <c r="F798" s="91"/>
      <c r="G798" s="91"/>
      <c r="H798" s="91"/>
      <c r="I798" s="91"/>
      <c r="J798" s="91"/>
      <c r="K798" s="91"/>
      <c r="L798" s="91"/>
      <c r="M798" s="91"/>
      <c r="N798" s="91"/>
      <c r="O798" s="91"/>
      <c r="P798" s="91"/>
    </row>
    <row r="799" ht="30.0" customHeight="1">
      <c r="A799" s="91"/>
      <c r="B799" s="91"/>
      <c r="C799" s="91"/>
      <c r="D799" s="91"/>
      <c r="E799" s="91"/>
      <c r="F799" s="91"/>
      <c r="G799" s="91"/>
      <c r="H799" s="91"/>
      <c r="I799" s="91"/>
      <c r="J799" s="91"/>
      <c r="K799" s="91"/>
      <c r="L799" s="91"/>
      <c r="M799" s="91"/>
      <c r="N799" s="91"/>
      <c r="O799" s="91"/>
      <c r="P799" s="91"/>
    </row>
    <row r="800" ht="30.0" customHeight="1">
      <c r="A800" s="91"/>
      <c r="B800" s="91"/>
      <c r="C800" s="91"/>
      <c r="D800" s="91"/>
      <c r="E800" s="91"/>
      <c r="F800" s="91"/>
      <c r="G800" s="91"/>
      <c r="H800" s="91"/>
      <c r="I800" s="91"/>
      <c r="J800" s="91"/>
      <c r="K800" s="91"/>
      <c r="L800" s="91"/>
      <c r="M800" s="91"/>
      <c r="N800" s="91"/>
      <c r="O800" s="91"/>
      <c r="P800" s="91"/>
    </row>
    <row r="801" ht="30.0" customHeight="1">
      <c r="A801" s="91"/>
      <c r="B801" s="91"/>
      <c r="C801" s="91"/>
      <c r="D801" s="91"/>
      <c r="E801" s="91"/>
      <c r="F801" s="91"/>
      <c r="G801" s="91"/>
      <c r="H801" s="91"/>
      <c r="I801" s="91"/>
      <c r="J801" s="91"/>
      <c r="K801" s="91"/>
      <c r="L801" s="91"/>
      <c r="M801" s="91"/>
      <c r="N801" s="91"/>
      <c r="O801" s="91"/>
      <c r="P801" s="91"/>
    </row>
    <row r="802" ht="30.0" customHeight="1">
      <c r="A802" s="91"/>
      <c r="B802" s="91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</row>
    <row r="803" ht="30.0" customHeight="1">
      <c r="A803" s="91"/>
      <c r="B803" s="91"/>
      <c r="C803" s="91"/>
      <c r="D803" s="91"/>
      <c r="E803" s="91"/>
      <c r="F803" s="91"/>
      <c r="G803" s="91"/>
      <c r="H803" s="91"/>
      <c r="I803" s="91"/>
      <c r="J803" s="91"/>
      <c r="K803" s="91"/>
      <c r="L803" s="91"/>
      <c r="M803" s="91"/>
      <c r="N803" s="91"/>
      <c r="O803" s="91"/>
      <c r="P803" s="91"/>
    </row>
    <row r="804" ht="30.0" customHeight="1">
      <c r="A804" s="91"/>
      <c r="B804" s="91"/>
      <c r="C804" s="91"/>
      <c r="D804" s="91"/>
      <c r="E804" s="91"/>
      <c r="F804" s="91"/>
      <c r="G804" s="91"/>
      <c r="H804" s="91"/>
      <c r="I804" s="91"/>
      <c r="J804" s="91"/>
      <c r="K804" s="91"/>
      <c r="L804" s="91"/>
      <c r="M804" s="91"/>
      <c r="N804" s="91"/>
      <c r="O804" s="91"/>
      <c r="P804" s="91"/>
    </row>
    <row r="805" ht="30.0" customHeight="1">
      <c r="A805" s="91"/>
      <c r="B805" s="91"/>
      <c r="C805" s="91"/>
      <c r="D805" s="91"/>
      <c r="E805" s="91"/>
      <c r="F805" s="91"/>
      <c r="G805" s="91"/>
      <c r="H805" s="91"/>
      <c r="I805" s="91"/>
      <c r="J805" s="91"/>
      <c r="K805" s="91"/>
      <c r="L805" s="91"/>
      <c r="M805" s="91"/>
      <c r="N805" s="91"/>
      <c r="O805" s="91"/>
      <c r="P805" s="91"/>
    </row>
    <row r="806" ht="30.0" customHeight="1">
      <c r="A806" s="91"/>
      <c r="B806" s="91"/>
      <c r="C806" s="91"/>
      <c r="D806" s="91"/>
      <c r="E806" s="91"/>
      <c r="F806" s="91"/>
      <c r="G806" s="91"/>
      <c r="H806" s="91"/>
      <c r="I806" s="91"/>
      <c r="J806" s="91"/>
      <c r="K806" s="91"/>
      <c r="L806" s="91"/>
      <c r="M806" s="91"/>
      <c r="N806" s="91"/>
      <c r="O806" s="91"/>
      <c r="P806" s="91"/>
    </row>
    <row r="807" ht="30.0" customHeight="1">
      <c r="A807" s="91"/>
      <c r="B807" s="91"/>
      <c r="C807" s="91"/>
      <c r="D807" s="91"/>
      <c r="E807" s="91"/>
      <c r="F807" s="91"/>
      <c r="G807" s="91"/>
      <c r="H807" s="91"/>
      <c r="I807" s="91"/>
      <c r="J807" s="91"/>
      <c r="K807" s="91"/>
      <c r="L807" s="91"/>
      <c r="M807" s="91"/>
      <c r="N807" s="91"/>
      <c r="O807" s="91"/>
      <c r="P807" s="91"/>
    </row>
    <row r="808" ht="30.0" customHeight="1">
      <c r="A808" s="91"/>
      <c r="B808" s="91"/>
      <c r="C808" s="91"/>
      <c r="D808" s="91"/>
      <c r="E808" s="91"/>
      <c r="F808" s="91"/>
      <c r="G808" s="91"/>
      <c r="H808" s="91"/>
      <c r="I808" s="91"/>
      <c r="J808" s="91"/>
      <c r="K808" s="91"/>
      <c r="L808" s="91"/>
      <c r="M808" s="91"/>
      <c r="N808" s="91"/>
      <c r="O808" s="91"/>
      <c r="P808" s="91"/>
    </row>
    <row r="809" ht="30.0" customHeight="1">
      <c r="A809" s="91"/>
      <c r="B809" s="91"/>
      <c r="C809" s="91"/>
      <c r="D809" s="91"/>
      <c r="E809" s="91"/>
      <c r="F809" s="91"/>
      <c r="G809" s="91"/>
      <c r="H809" s="91"/>
      <c r="I809" s="91"/>
      <c r="J809" s="91"/>
      <c r="K809" s="91"/>
      <c r="L809" s="91"/>
      <c r="M809" s="91"/>
      <c r="N809" s="91"/>
      <c r="O809" s="91"/>
      <c r="P809" s="91"/>
    </row>
    <row r="810" ht="30.0" customHeight="1">
      <c r="A810" s="91"/>
      <c r="B810" s="91"/>
      <c r="C810" s="91"/>
      <c r="D810" s="91"/>
      <c r="E810" s="91"/>
      <c r="F810" s="91"/>
      <c r="G810" s="91"/>
      <c r="H810" s="91"/>
      <c r="I810" s="91"/>
      <c r="J810" s="91"/>
      <c r="K810" s="91"/>
      <c r="L810" s="91"/>
      <c r="M810" s="91"/>
      <c r="N810" s="91"/>
      <c r="O810" s="91"/>
      <c r="P810" s="91"/>
    </row>
    <row r="811" ht="30.0" customHeight="1">
      <c r="A811" s="91"/>
      <c r="B811" s="91"/>
      <c r="C811" s="91"/>
      <c r="D811" s="91"/>
      <c r="E811" s="91"/>
      <c r="F811" s="91"/>
      <c r="G811" s="91"/>
      <c r="H811" s="91"/>
      <c r="I811" s="91"/>
      <c r="J811" s="91"/>
      <c r="K811" s="91"/>
      <c r="L811" s="91"/>
      <c r="M811" s="91"/>
      <c r="N811" s="91"/>
      <c r="O811" s="91"/>
      <c r="P811" s="91"/>
    </row>
    <row r="812" ht="30.0" customHeight="1">
      <c r="A812" s="91"/>
      <c r="B812" s="91"/>
      <c r="C812" s="91"/>
      <c r="D812" s="91"/>
      <c r="E812" s="91"/>
      <c r="F812" s="91"/>
      <c r="G812" s="91"/>
      <c r="H812" s="91"/>
      <c r="I812" s="91"/>
      <c r="J812" s="91"/>
      <c r="K812" s="91"/>
      <c r="L812" s="91"/>
      <c r="M812" s="91"/>
      <c r="N812" s="91"/>
      <c r="O812" s="91"/>
      <c r="P812" s="91"/>
    </row>
    <row r="813" ht="30.0" customHeight="1">
      <c r="A813" s="91"/>
      <c r="B813" s="91"/>
      <c r="C813" s="91"/>
      <c r="D813" s="91"/>
      <c r="E813" s="91"/>
      <c r="F813" s="91"/>
      <c r="G813" s="91"/>
      <c r="H813" s="91"/>
      <c r="I813" s="91"/>
      <c r="J813" s="91"/>
      <c r="K813" s="91"/>
      <c r="L813" s="91"/>
      <c r="M813" s="91"/>
      <c r="N813" s="91"/>
      <c r="O813" s="91"/>
      <c r="P813" s="91"/>
    </row>
    <row r="814" ht="30.0" customHeight="1">
      <c r="A814" s="91"/>
      <c r="B814" s="91"/>
      <c r="C814" s="91"/>
      <c r="D814" s="91"/>
      <c r="E814" s="91"/>
      <c r="F814" s="91"/>
      <c r="G814" s="91"/>
      <c r="H814" s="91"/>
      <c r="I814" s="91"/>
      <c r="J814" s="91"/>
      <c r="K814" s="91"/>
      <c r="L814" s="91"/>
      <c r="M814" s="91"/>
      <c r="N814" s="91"/>
      <c r="O814" s="91"/>
      <c r="P814" s="91"/>
    </row>
    <row r="815" ht="30.0" customHeight="1">
      <c r="A815" s="91"/>
      <c r="B815" s="91"/>
      <c r="C815" s="91"/>
      <c r="D815" s="91"/>
      <c r="E815" s="91"/>
      <c r="F815" s="91"/>
      <c r="G815" s="91"/>
      <c r="H815" s="91"/>
      <c r="I815" s="91"/>
      <c r="J815" s="91"/>
      <c r="K815" s="91"/>
      <c r="L815" s="91"/>
      <c r="M815" s="91"/>
      <c r="N815" s="91"/>
      <c r="O815" s="91"/>
      <c r="P815" s="91"/>
    </row>
    <row r="816" ht="30.0" customHeight="1">
      <c r="A816" s="91"/>
      <c r="B816" s="91"/>
      <c r="C816" s="91"/>
      <c r="D816" s="91"/>
      <c r="E816" s="91"/>
      <c r="F816" s="91"/>
      <c r="G816" s="91"/>
      <c r="H816" s="91"/>
      <c r="I816" s="91"/>
      <c r="J816" s="91"/>
      <c r="K816" s="91"/>
      <c r="L816" s="91"/>
      <c r="M816" s="91"/>
      <c r="N816" s="91"/>
      <c r="O816" s="91"/>
      <c r="P816" s="91"/>
    </row>
    <row r="817" ht="30.0" customHeight="1">
      <c r="A817" s="91"/>
      <c r="B817" s="91"/>
      <c r="C817" s="91"/>
      <c r="D817" s="91"/>
      <c r="E817" s="91"/>
      <c r="F817" s="91"/>
      <c r="G817" s="91"/>
      <c r="H817" s="91"/>
      <c r="I817" s="91"/>
      <c r="J817" s="91"/>
      <c r="K817" s="91"/>
      <c r="L817" s="91"/>
      <c r="M817" s="91"/>
      <c r="N817" s="91"/>
      <c r="O817" s="91"/>
      <c r="P817" s="91"/>
    </row>
    <row r="818" ht="30.0" customHeight="1">
      <c r="A818" s="91"/>
      <c r="B818" s="91"/>
      <c r="C818" s="91"/>
      <c r="D818" s="91"/>
      <c r="E818" s="91"/>
      <c r="F818" s="91"/>
      <c r="G818" s="91"/>
      <c r="H818" s="91"/>
      <c r="I818" s="91"/>
      <c r="J818" s="91"/>
      <c r="K818" s="91"/>
      <c r="L818" s="91"/>
      <c r="M818" s="91"/>
      <c r="N818" s="91"/>
      <c r="O818" s="91"/>
      <c r="P818" s="91"/>
    </row>
    <row r="819" ht="30.0" customHeight="1">
      <c r="A819" s="91"/>
      <c r="B819" s="91"/>
      <c r="C819" s="91"/>
      <c r="D819" s="91"/>
      <c r="E819" s="91"/>
      <c r="F819" s="91"/>
      <c r="G819" s="91"/>
      <c r="H819" s="91"/>
      <c r="I819" s="91"/>
      <c r="J819" s="91"/>
      <c r="K819" s="91"/>
      <c r="L819" s="91"/>
      <c r="M819" s="91"/>
      <c r="N819" s="91"/>
      <c r="O819" s="91"/>
      <c r="P819" s="91"/>
    </row>
    <row r="820" ht="30.0" customHeight="1">
      <c r="A820" s="91"/>
      <c r="B820" s="91"/>
      <c r="C820" s="91"/>
      <c r="D820" s="91"/>
      <c r="E820" s="91"/>
      <c r="F820" s="91"/>
      <c r="G820" s="91"/>
      <c r="H820" s="91"/>
      <c r="I820" s="91"/>
      <c r="J820" s="91"/>
      <c r="K820" s="91"/>
      <c r="L820" s="91"/>
      <c r="M820" s="91"/>
      <c r="N820" s="91"/>
      <c r="O820" s="91"/>
      <c r="P820" s="91"/>
    </row>
    <row r="821" ht="30.0" customHeight="1">
      <c r="A821" s="91"/>
      <c r="B821" s="91"/>
      <c r="C821" s="91"/>
      <c r="D821" s="91"/>
      <c r="E821" s="91"/>
      <c r="F821" s="91"/>
      <c r="G821" s="91"/>
      <c r="H821" s="91"/>
      <c r="I821" s="91"/>
      <c r="J821" s="91"/>
      <c r="K821" s="91"/>
      <c r="L821" s="91"/>
      <c r="M821" s="91"/>
      <c r="N821" s="91"/>
      <c r="O821" s="91"/>
      <c r="P821" s="91"/>
    </row>
    <row r="822" ht="30.0" customHeight="1">
      <c r="A822" s="91"/>
      <c r="B822" s="91"/>
      <c r="C822" s="91"/>
      <c r="D822" s="91"/>
      <c r="E822" s="91"/>
      <c r="F822" s="91"/>
      <c r="G822" s="91"/>
      <c r="H822" s="91"/>
      <c r="I822" s="91"/>
      <c r="J822" s="91"/>
      <c r="K822" s="91"/>
      <c r="L822" s="91"/>
      <c r="M822" s="91"/>
      <c r="N822" s="91"/>
      <c r="O822" s="91"/>
      <c r="P822" s="91"/>
    </row>
    <row r="823" ht="30.0" customHeight="1">
      <c r="A823" s="91"/>
      <c r="B823" s="91"/>
      <c r="C823" s="91"/>
      <c r="D823" s="91"/>
      <c r="E823" s="91"/>
      <c r="F823" s="91"/>
      <c r="G823" s="91"/>
      <c r="H823" s="91"/>
      <c r="I823" s="91"/>
      <c r="J823" s="91"/>
      <c r="K823" s="91"/>
      <c r="L823" s="91"/>
      <c r="M823" s="91"/>
      <c r="N823" s="91"/>
      <c r="O823" s="91"/>
      <c r="P823" s="91"/>
    </row>
    <row r="824" ht="30.0" customHeight="1">
      <c r="A824" s="91"/>
      <c r="B824" s="91"/>
      <c r="C824" s="91"/>
      <c r="D824" s="91"/>
      <c r="E824" s="91"/>
      <c r="F824" s="91"/>
      <c r="G824" s="91"/>
      <c r="H824" s="91"/>
      <c r="I824" s="91"/>
      <c r="J824" s="91"/>
      <c r="K824" s="91"/>
      <c r="L824" s="91"/>
      <c r="M824" s="91"/>
      <c r="N824" s="91"/>
      <c r="O824" s="91"/>
      <c r="P824" s="91"/>
    </row>
    <row r="825" ht="30.0" customHeight="1">
      <c r="A825" s="91"/>
      <c r="B825" s="91"/>
      <c r="C825" s="91"/>
      <c r="D825" s="91"/>
      <c r="E825" s="91"/>
      <c r="F825" s="91"/>
      <c r="G825" s="91"/>
      <c r="H825" s="91"/>
      <c r="I825" s="91"/>
      <c r="J825" s="91"/>
      <c r="K825" s="91"/>
      <c r="L825" s="91"/>
      <c r="M825" s="91"/>
      <c r="N825" s="91"/>
      <c r="O825" s="91"/>
      <c r="P825" s="91"/>
    </row>
    <row r="826" ht="30.0" customHeight="1">
      <c r="A826" s="91"/>
      <c r="B826" s="91"/>
      <c r="C826" s="91"/>
      <c r="D826" s="91"/>
      <c r="E826" s="91"/>
      <c r="F826" s="91"/>
      <c r="G826" s="91"/>
      <c r="H826" s="91"/>
      <c r="I826" s="91"/>
      <c r="J826" s="91"/>
      <c r="K826" s="91"/>
      <c r="L826" s="91"/>
      <c r="M826" s="91"/>
      <c r="N826" s="91"/>
      <c r="O826" s="91"/>
      <c r="P826" s="91"/>
    </row>
    <row r="827" ht="30.0" customHeight="1">
      <c r="A827" s="91"/>
      <c r="B827" s="91"/>
      <c r="C827" s="91"/>
      <c r="D827" s="91"/>
      <c r="E827" s="91"/>
      <c r="F827" s="91"/>
      <c r="G827" s="91"/>
      <c r="H827" s="91"/>
      <c r="I827" s="91"/>
      <c r="J827" s="91"/>
      <c r="K827" s="91"/>
      <c r="L827" s="91"/>
      <c r="M827" s="91"/>
      <c r="N827" s="91"/>
      <c r="O827" s="91"/>
      <c r="P827" s="91"/>
    </row>
    <row r="828" ht="30.0" customHeight="1">
      <c r="A828" s="91"/>
      <c r="B828" s="91"/>
      <c r="C828" s="91"/>
      <c r="D828" s="91"/>
      <c r="E828" s="91"/>
      <c r="F828" s="91"/>
      <c r="G828" s="91"/>
      <c r="H828" s="91"/>
      <c r="I828" s="91"/>
      <c r="J828" s="91"/>
      <c r="K828" s="91"/>
      <c r="L828" s="91"/>
      <c r="M828" s="91"/>
      <c r="N828" s="91"/>
      <c r="O828" s="91"/>
      <c r="P828" s="91"/>
    </row>
    <row r="829" ht="30.0" customHeight="1">
      <c r="A829" s="91"/>
      <c r="B829" s="91"/>
      <c r="C829" s="91"/>
      <c r="D829" s="91"/>
      <c r="E829" s="91"/>
      <c r="F829" s="91"/>
      <c r="G829" s="91"/>
      <c r="H829" s="91"/>
      <c r="I829" s="91"/>
      <c r="J829" s="91"/>
      <c r="K829" s="91"/>
      <c r="L829" s="91"/>
      <c r="M829" s="91"/>
      <c r="N829" s="91"/>
      <c r="O829" s="91"/>
      <c r="P829" s="91"/>
    </row>
    <row r="830" ht="30.0" customHeight="1">
      <c r="A830" s="91"/>
      <c r="B830" s="91"/>
      <c r="C830" s="91"/>
      <c r="D830" s="91"/>
      <c r="E830" s="91"/>
      <c r="F830" s="91"/>
      <c r="G830" s="91"/>
      <c r="H830" s="91"/>
      <c r="I830" s="91"/>
      <c r="J830" s="91"/>
      <c r="K830" s="91"/>
      <c r="L830" s="91"/>
      <c r="M830" s="91"/>
      <c r="N830" s="91"/>
      <c r="O830" s="91"/>
      <c r="P830" s="91"/>
    </row>
    <row r="831" ht="30.0" customHeight="1">
      <c r="A831" s="91"/>
      <c r="B831" s="91"/>
      <c r="C831" s="91"/>
      <c r="D831" s="91"/>
      <c r="E831" s="91"/>
      <c r="F831" s="91"/>
      <c r="G831" s="91"/>
      <c r="H831" s="91"/>
      <c r="I831" s="91"/>
      <c r="J831" s="91"/>
      <c r="K831" s="91"/>
      <c r="L831" s="91"/>
      <c r="M831" s="91"/>
      <c r="N831" s="91"/>
      <c r="O831" s="91"/>
      <c r="P831" s="91"/>
    </row>
    <row r="832" ht="30.0" customHeight="1">
      <c r="A832" s="91"/>
      <c r="B832" s="91"/>
      <c r="C832" s="91"/>
      <c r="D832" s="91"/>
      <c r="E832" s="91"/>
      <c r="F832" s="91"/>
      <c r="G832" s="91"/>
      <c r="H832" s="91"/>
      <c r="I832" s="91"/>
      <c r="J832" s="91"/>
      <c r="K832" s="91"/>
      <c r="L832" s="91"/>
      <c r="M832" s="91"/>
      <c r="N832" s="91"/>
      <c r="O832" s="91"/>
      <c r="P832" s="91"/>
    </row>
    <row r="833" ht="30.0" customHeight="1">
      <c r="A833" s="91"/>
      <c r="B833" s="91"/>
      <c r="C833" s="91"/>
      <c r="D833" s="91"/>
      <c r="E833" s="91"/>
      <c r="F833" s="91"/>
      <c r="G833" s="91"/>
      <c r="H833" s="91"/>
      <c r="I833" s="91"/>
      <c r="J833" s="91"/>
      <c r="K833" s="91"/>
      <c r="L833" s="91"/>
      <c r="M833" s="91"/>
      <c r="N833" s="91"/>
      <c r="O833" s="91"/>
      <c r="P833" s="91"/>
    </row>
    <row r="834" ht="30.0" customHeight="1">
      <c r="A834" s="91"/>
      <c r="B834" s="91"/>
      <c r="C834" s="91"/>
      <c r="D834" s="91"/>
      <c r="E834" s="91"/>
      <c r="F834" s="91"/>
      <c r="G834" s="91"/>
      <c r="H834" s="91"/>
      <c r="I834" s="91"/>
      <c r="J834" s="91"/>
      <c r="K834" s="91"/>
      <c r="L834" s="91"/>
      <c r="M834" s="91"/>
      <c r="N834" s="91"/>
      <c r="O834" s="91"/>
      <c r="P834" s="91"/>
    </row>
    <row r="835" ht="30.0" customHeight="1">
      <c r="A835" s="91"/>
      <c r="B835" s="91"/>
      <c r="C835" s="91"/>
      <c r="D835" s="91"/>
      <c r="E835" s="91"/>
      <c r="F835" s="91"/>
      <c r="G835" s="91"/>
      <c r="H835" s="91"/>
      <c r="I835" s="91"/>
      <c r="J835" s="91"/>
      <c r="K835" s="91"/>
      <c r="L835" s="91"/>
      <c r="M835" s="91"/>
      <c r="N835" s="91"/>
      <c r="O835" s="91"/>
      <c r="P835" s="91"/>
    </row>
    <row r="836" ht="30.0" customHeight="1">
      <c r="A836" s="91"/>
      <c r="B836" s="91"/>
      <c r="C836" s="91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1"/>
    </row>
    <row r="837" ht="30.0" customHeight="1">
      <c r="A837" s="91"/>
      <c r="B837" s="91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</row>
    <row r="838" ht="30.0" customHeight="1">
      <c r="A838" s="91"/>
      <c r="B838" s="91"/>
      <c r="C838" s="91"/>
      <c r="D838" s="91"/>
      <c r="E838" s="91"/>
      <c r="F838" s="91"/>
      <c r="G838" s="91"/>
      <c r="H838" s="91"/>
      <c r="I838" s="91"/>
      <c r="J838" s="91"/>
      <c r="K838" s="91"/>
      <c r="L838" s="91"/>
      <c r="M838" s="91"/>
      <c r="N838" s="91"/>
      <c r="O838" s="91"/>
      <c r="P838" s="91"/>
    </row>
    <row r="839" ht="30.0" customHeight="1">
      <c r="A839" s="91"/>
      <c r="B839" s="91"/>
      <c r="C839" s="91"/>
      <c r="D839" s="91"/>
      <c r="E839" s="91"/>
      <c r="F839" s="91"/>
      <c r="G839" s="91"/>
      <c r="H839" s="91"/>
      <c r="I839" s="91"/>
      <c r="J839" s="91"/>
      <c r="K839" s="91"/>
      <c r="L839" s="91"/>
      <c r="M839" s="91"/>
      <c r="N839" s="91"/>
      <c r="O839" s="91"/>
      <c r="P839" s="91"/>
    </row>
    <row r="840" ht="30.0" customHeight="1">
      <c r="A840" s="91"/>
      <c r="B840" s="91"/>
      <c r="C840" s="91"/>
      <c r="D840" s="91"/>
      <c r="E840" s="91"/>
      <c r="F840" s="91"/>
      <c r="G840" s="91"/>
      <c r="H840" s="91"/>
      <c r="I840" s="91"/>
      <c r="J840" s="91"/>
      <c r="K840" s="91"/>
      <c r="L840" s="91"/>
      <c r="M840" s="91"/>
      <c r="N840" s="91"/>
      <c r="O840" s="91"/>
      <c r="P840" s="91"/>
    </row>
    <row r="841" ht="30.0" customHeight="1">
      <c r="A841" s="91"/>
      <c r="B841" s="91"/>
      <c r="C841" s="91"/>
      <c r="D841" s="91"/>
      <c r="E841" s="91"/>
      <c r="F841" s="91"/>
      <c r="G841" s="91"/>
      <c r="H841" s="91"/>
      <c r="I841" s="91"/>
      <c r="J841" s="91"/>
      <c r="K841" s="91"/>
      <c r="L841" s="91"/>
      <c r="M841" s="91"/>
      <c r="N841" s="91"/>
      <c r="O841" s="91"/>
      <c r="P841" s="91"/>
    </row>
    <row r="842" ht="30.0" customHeight="1">
      <c r="A842" s="91"/>
      <c r="B842" s="91"/>
      <c r="C842" s="91"/>
      <c r="D842" s="91"/>
      <c r="E842" s="91"/>
      <c r="F842" s="91"/>
      <c r="G842" s="91"/>
      <c r="H842" s="91"/>
      <c r="I842" s="91"/>
      <c r="J842" s="91"/>
      <c r="K842" s="91"/>
      <c r="L842" s="91"/>
      <c r="M842" s="91"/>
      <c r="N842" s="91"/>
      <c r="O842" s="91"/>
      <c r="P842" s="91"/>
    </row>
    <row r="843" ht="30.0" customHeight="1">
      <c r="A843" s="91"/>
      <c r="B843" s="91"/>
      <c r="C843" s="91"/>
      <c r="D843" s="91"/>
      <c r="E843" s="91"/>
      <c r="F843" s="91"/>
      <c r="G843" s="91"/>
      <c r="H843" s="91"/>
      <c r="I843" s="91"/>
      <c r="J843" s="91"/>
      <c r="K843" s="91"/>
      <c r="L843" s="91"/>
      <c r="M843" s="91"/>
      <c r="N843" s="91"/>
      <c r="O843" s="91"/>
      <c r="P843" s="91"/>
    </row>
    <row r="844" ht="30.0" customHeight="1">
      <c r="A844" s="91"/>
      <c r="B844" s="91"/>
      <c r="C844" s="91"/>
      <c r="D844" s="91"/>
      <c r="E844" s="91"/>
      <c r="F844" s="91"/>
      <c r="G844" s="91"/>
      <c r="H844" s="91"/>
      <c r="I844" s="91"/>
      <c r="J844" s="91"/>
      <c r="K844" s="91"/>
      <c r="L844" s="91"/>
      <c r="M844" s="91"/>
      <c r="N844" s="91"/>
      <c r="O844" s="91"/>
      <c r="P844" s="91"/>
    </row>
    <row r="845" ht="30.0" customHeight="1">
      <c r="A845" s="91"/>
      <c r="B845" s="91"/>
      <c r="C845" s="91"/>
      <c r="D845" s="91"/>
      <c r="E845" s="91"/>
      <c r="F845" s="91"/>
      <c r="G845" s="91"/>
      <c r="H845" s="91"/>
      <c r="I845" s="91"/>
      <c r="J845" s="91"/>
      <c r="K845" s="91"/>
      <c r="L845" s="91"/>
      <c r="M845" s="91"/>
      <c r="N845" s="91"/>
      <c r="O845" s="91"/>
      <c r="P845" s="91"/>
    </row>
    <row r="846" ht="30.0" customHeight="1">
      <c r="A846" s="91"/>
      <c r="B846" s="91"/>
      <c r="C846" s="91"/>
      <c r="D846" s="91"/>
      <c r="E846" s="91"/>
      <c r="F846" s="91"/>
      <c r="G846" s="91"/>
      <c r="H846" s="91"/>
      <c r="I846" s="91"/>
      <c r="J846" s="91"/>
      <c r="K846" s="91"/>
      <c r="L846" s="91"/>
      <c r="M846" s="91"/>
      <c r="N846" s="91"/>
      <c r="O846" s="91"/>
      <c r="P846" s="91"/>
    </row>
    <row r="847" ht="30.0" customHeight="1">
      <c r="A847" s="91"/>
      <c r="B847" s="91"/>
      <c r="C847" s="91"/>
      <c r="D847" s="91"/>
      <c r="E847" s="91"/>
      <c r="F847" s="91"/>
      <c r="G847" s="91"/>
      <c r="H847" s="91"/>
      <c r="I847" s="91"/>
      <c r="J847" s="91"/>
      <c r="K847" s="91"/>
      <c r="L847" s="91"/>
      <c r="M847" s="91"/>
      <c r="N847" s="91"/>
      <c r="O847" s="91"/>
      <c r="P847" s="91"/>
    </row>
    <row r="848" ht="30.0" customHeight="1">
      <c r="A848" s="91"/>
      <c r="B848" s="91"/>
      <c r="C848" s="91"/>
      <c r="D848" s="91"/>
      <c r="E848" s="91"/>
      <c r="F848" s="91"/>
      <c r="G848" s="91"/>
      <c r="H848" s="91"/>
      <c r="I848" s="91"/>
      <c r="J848" s="91"/>
      <c r="K848" s="91"/>
      <c r="L848" s="91"/>
      <c r="M848" s="91"/>
      <c r="N848" s="91"/>
      <c r="O848" s="91"/>
      <c r="P848" s="91"/>
    </row>
    <row r="849" ht="30.0" customHeight="1">
      <c r="A849" s="91"/>
      <c r="B849" s="91"/>
      <c r="C849" s="91"/>
      <c r="D849" s="91"/>
      <c r="E849" s="91"/>
      <c r="F849" s="91"/>
      <c r="G849" s="91"/>
      <c r="H849" s="91"/>
      <c r="I849" s="91"/>
      <c r="J849" s="91"/>
      <c r="K849" s="91"/>
      <c r="L849" s="91"/>
      <c r="M849" s="91"/>
      <c r="N849" s="91"/>
      <c r="O849" s="91"/>
      <c r="P849" s="91"/>
    </row>
    <row r="850" ht="30.0" customHeight="1">
      <c r="A850" s="91"/>
      <c r="B850" s="91"/>
      <c r="C850" s="91"/>
      <c r="D850" s="91"/>
      <c r="E850" s="91"/>
      <c r="F850" s="91"/>
      <c r="G850" s="91"/>
      <c r="H850" s="91"/>
      <c r="I850" s="91"/>
      <c r="J850" s="91"/>
      <c r="K850" s="91"/>
      <c r="L850" s="91"/>
      <c r="M850" s="91"/>
      <c r="N850" s="91"/>
      <c r="O850" s="91"/>
      <c r="P850" s="91"/>
    </row>
    <row r="851" ht="30.0" customHeight="1">
      <c r="A851" s="91"/>
      <c r="B851" s="91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</row>
    <row r="852" ht="30.0" customHeight="1">
      <c r="A852" s="91"/>
      <c r="B852" s="91"/>
      <c r="C852" s="91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1"/>
    </row>
    <row r="853" ht="30.0" customHeight="1">
      <c r="A853" s="91"/>
      <c r="B853" s="91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</row>
    <row r="854" ht="30.0" customHeight="1">
      <c r="A854" s="91"/>
      <c r="B854" s="91"/>
      <c r="C854" s="91"/>
      <c r="D854" s="91"/>
      <c r="E854" s="91"/>
      <c r="F854" s="91"/>
      <c r="G854" s="91"/>
      <c r="H854" s="91"/>
      <c r="I854" s="91"/>
      <c r="J854" s="91"/>
      <c r="K854" s="91"/>
      <c r="L854" s="91"/>
      <c r="M854" s="91"/>
      <c r="N854" s="91"/>
      <c r="O854" s="91"/>
      <c r="P854" s="91"/>
    </row>
    <row r="855" ht="30.0" customHeight="1">
      <c r="A855" s="91"/>
      <c r="B855" s="91"/>
      <c r="C855" s="91"/>
      <c r="D855" s="91"/>
      <c r="E855" s="91"/>
      <c r="F855" s="91"/>
      <c r="G855" s="91"/>
      <c r="H855" s="91"/>
      <c r="I855" s="91"/>
      <c r="J855" s="91"/>
      <c r="K855" s="91"/>
      <c r="L855" s="91"/>
      <c r="M855" s="91"/>
      <c r="N855" s="91"/>
      <c r="O855" s="91"/>
      <c r="P855" s="91"/>
    </row>
    <row r="856" ht="30.0" customHeight="1">
      <c r="A856" s="91"/>
      <c r="B856" s="91"/>
      <c r="C856" s="91"/>
      <c r="D856" s="91"/>
      <c r="E856" s="91"/>
      <c r="F856" s="91"/>
      <c r="G856" s="91"/>
      <c r="H856" s="91"/>
      <c r="I856" s="91"/>
      <c r="J856" s="91"/>
      <c r="K856" s="91"/>
      <c r="L856" s="91"/>
      <c r="M856" s="91"/>
      <c r="N856" s="91"/>
      <c r="O856" s="91"/>
      <c r="P856" s="91"/>
    </row>
    <row r="857" ht="30.0" customHeight="1">
      <c r="A857" s="91"/>
      <c r="B857" s="91"/>
      <c r="C857" s="91"/>
      <c r="D857" s="91"/>
      <c r="E857" s="91"/>
      <c r="F857" s="91"/>
      <c r="G857" s="91"/>
      <c r="H857" s="91"/>
      <c r="I857" s="91"/>
      <c r="J857" s="91"/>
      <c r="K857" s="91"/>
      <c r="L857" s="91"/>
      <c r="M857" s="91"/>
      <c r="N857" s="91"/>
      <c r="O857" s="91"/>
      <c r="P857" s="91"/>
    </row>
    <row r="858" ht="30.0" customHeight="1">
      <c r="A858" s="91"/>
      <c r="B858" s="91"/>
      <c r="C858" s="91"/>
      <c r="D858" s="91"/>
      <c r="E858" s="91"/>
      <c r="F858" s="91"/>
      <c r="G858" s="91"/>
      <c r="H858" s="91"/>
      <c r="I858" s="91"/>
      <c r="J858" s="91"/>
      <c r="K858" s="91"/>
      <c r="L858" s="91"/>
      <c r="M858" s="91"/>
      <c r="N858" s="91"/>
      <c r="O858" s="91"/>
      <c r="P858" s="91"/>
    </row>
    <row r="859" ht="30.0" customHeight="1">
      <c r="A859" s="91"/>
      <c r="B859" s="91"/>
      <c r="C859" s="91"/>
      <c r="D859" s="91"/>
      <c r="E859" s="91"/>
      <c r="F859" s="91"/>
      <c r="G859" s="91"/>
      <c r="H859" s="91"/>
      <c r="I859" s="91"/>
      <c r="J859" s="91"/>
      <c r="K859" s="91"/>
      <c r="L859" s="91"/>
      <c r="M859" s="91"/>
      <c r="N859" s="91"/>
      <c r="O859" s="91"/>
      <c r="P859" s="91"/>
    </row>
    <row r="860" ht="30.0" customHeight="1">
      <c r="A860" s="91"/>
      <c r="B860" s="91"/>
      <c r="C860" s="91"/>
      <c r="D860" s="91"/>
      <c r="E860" s="91"/>
      <c r="F860" s="91"/>
      <c r="G860" s="91"/>
      <c r="H860" s="91"/>
      <c r="I860" s="91"/>
      <c r="J860" s="91"/>
      <c r="K860" s="91"/>
      <c r="L860" s="91"/>
      <c r="M860" s="91"/>
      <c r="N860" s="91"/>
      <c r="O860" s="91"/>
      <c r="P860" s="91"/>
    </row>
    <row r="861" ht="30.0" customHeight="1">
      <c r="A861" s="91"/>
      <c r="B861" s="91"/>
      <c r="C861" s="91"/>
      <c r="D861" s="91"/>
      <c r="E861" s="91"/>
      <c r="F861" s="91"/>
      <c r="G861" s="91"/>
      <c r="H861" s="91"/>
      <c r="I861" s="91"/>
      <c r="J861" s="91"/>
      <c r="K861" s="91"/>
      <c r="L861" s="91"/>
      <c r="M861" s="91"/>
      <c r="N861" s="91"/>
      <c r="O861" s="91"/>
      <c r="P861" s="91"/>
    </row>
    <row r="862" ht="30.0" customHeight="1">
      <c r="A862" s="91"/>
      <c r="B862" s="91"/>
      <c r="C862" s="91"/>
      <c r="D862" s="91"/>
      <c r="E862" s="91"/>
      <c r="F862" s="91"/>
      <c r="G862" s="91"/>
      <c r="H862" s="91"/>
      <c r="I862" s="91"/>
      <c r="J862" s="91"/>
      <c r="K862" s="91"/>
      <c r="L862" s="91"/>
      <c r="M862" s="91"/>
      <c r="N862" s="91"/>
      <c r="O862" s="91"/>
      <c r="P862" s="91"/>
    </row>
    <row r="863" ht="30.0" customHeight="1">
      <c r="A863" s="91"/>
      <c r="B863" s="91"/>
      <c r="C863" s="91"/>
      <c r="D863" s="91"/>
      <c r="E863" s="91"/>
      <c r="F863" s="91"/>
      <c r="G863" s="91"/>
      <c r="H863" s="91"/>
      <c r="I863" s="91"/>
      <c r="J863" s="91"/>
      <c r="K863" s="91"/>
      <c r="L863" s="91"/>
      <c r="M863" s="91"/>
      <c r="N863" s="91"/>
      <c r="O863" s="91"/>
      <c r="P863" s="91"/>
    </row>
    <row r="864" ht="30.0" customHeight="1">
      <c r="A864" s="91"/>
      <c r="B864" s="91"/>
      <c r="C864" s="91"/>
      <c r="D864" s="91"/>
      <c r="E864" s="91"/>
      <c r="F864" s="91"/>
      <c r="G864" s="91"/>
      <c r="H864" s="91"/>
      <c r="I864" s="91"/>
      <c r="J864" s="91"/>
      <c r="K864" s="91"/>
      <c r="L864" s="91"/>
      <c r="M864" s="91"/>
      <c r="N864" s="91"/>
      <c r="O864" s="91"/>
      <c r="P864" s="91"/>
    </row>
    <row r="865" ht="30.0" customHeight="1">
      <c r="A865" s="91"/>
      <c r="B865" s="91"/>
      <c r="C865" s="91"/>
      <c r="D865" s="91"/>
      <c r="E865" s="91"/>
      <c r="F865" s="91"/>
      <c r="G865" s="91"/>
      <c r="H865" s="91"/>
      <c r="I865" s="91"/>
      <c r="J865" s="91"/>
      <c r="K865" s="91"/>
      <c r="L865" s="91"/>
      <c r="M865" s="91"/>
      <c r="N865" s="91"/>
      <c r="O865" s="91"/>
      <c r="P865" s="91"/>
    </row>
    <row r="866" ht="30.0" customHeight="1">
      <c r="A866" s="91"/>
      <c r="B866" s="91"/>
      <c r="C866" s="91"/>
      <c r="D866" s="91"/>
      <c r="E866" s="91"/>
      <c r="F866" s="91"/>
      <c r="G866" s="91"/>
      <c r="H866" s="91"/>
      <c r="I866" s="91"/>
      <c r="J866" s="91"/>
      <c r="K866" s="91"/>
      <c r="L866" s="91"/>
      <c r="M866" s="91"/>
      <c r="N866" s="91"/>
      <c r="O866" s="91"/>
      <c r="P866" s="91"/>
    </row>
    <row r="867" ht="30.0" customHeight="1">
      <c r="A867" s="91"/>
      <c r="B867" s="91"/>
      <c r="C867" s="91"/>
      <c r="D867" s="91"/>
      <c r="E867" s="91"/>
      <c r="F867" s="91"/>
      <c r="G867" s="91"/>
      <c r="H867" s="91"/>
      <c r="I867" s="91"/>
      <c r="J867" s="91"/>
      <c r="K867" s="91"/>
      <c r="L867" s="91"/>
      <c r="M867" s="91"/>
      <c r="N867" s="91"/>
      <c r="O867" s="91"/>
      <c r="P867" s="91"/>
    </row>
    <row r="868" ht="30.0" customHeight="1">
      <c r="A868" s="91"/>
      <c r="B868" s="91"/>
      <c r="C868" s="91"/>
      <c r="D868" s="91"/>
      <c r="E868" s="91"/>
      <c r="F868" s="91"/>
      <c r="G868" s="91"/>
      <c r="H868" s="91"/>
      <c r="I868" s="91"/>
      <c r="J868" s="91"/>
      <c r="K868" s="91"/>
      <c r="L868" s="91"/>
      <c r="M868" s="91"/>
      <c r="N868" s="91"/>
      <c r="O868" s="91"/>
      <c r="P868" s="91"/>
    </row>
    <row r="869" ht="30.0" customHeight="1">
      <c r="A869" s="91"/>
      <c r="B869" s="91"/>
      <c r="C869" s="91"/>
      <c r="D869" s="91"/>
      <c r="E869" s="91"/>
      <c r="F869" s="91"/>
      <c r="G869" s="91"/>
      <c r="H869" s="91"/>
      <c r="I869" s="91"/>
      <c r="J869" s="91"/>
      <c r="K869" s="91"/>
      <c r="L869" s="91"/>
      <c r="M869" s="91"/>
      <c r="N869" s="91"/>
      <c r="O869" s="91"/>
      <c r="P869" s="91"/>
    </row>
    <row r="870" ht="30.0" customHeight="1">
      <c r="A870" s="91"/>
      <c r="B870" s="91"/>
      <c r="C870" s="91"/>
      <c r="D870" s="91"/>
      <c r="E870" s="91"/>
      <c r="F870" s="91"/>
      <c r="G870" s="91"/>
      <c r="H870" s="91"/>
      <c r="I870" s="91"/>
      <c r="J870" s="91"/>
      <c r="K870" s="91"/>
      <c r="L870" s="91"/>
      <c r="M870" s="91"/>
      <c r="N870" s="91"/>
      <c r="O870" s="91"/>
      <c r="P870" s="91"/>
    </row>
    <row r="871" ht="30.0" customHeight="1">
      <c r="A871" s="91"/>
      <c r="B871" s="91"/>
      <c r="C871" s="91"/>
      <c r="D871" s="91"/>
      <c r="E871" s="91"/>
      <c r="F871" s="91"/>
      <c r="G871" s="91"/>
      <c r="H871" s="91"/>
      <c r="I871" s="91"/>
      <c r="J871" s="91"/>
      <c r="K871" s="91"/>
      <c r="L871" s="91"/>
      <c r="M871" s="91"/>
      <c r="N871" s="91"/>
      <c r="O871" s="91"/>
      <c r="P871" s="91"/>
    </row>
    <row r="872" ht="30.0" customHeight="1">
      <c r="A872" s="91"/>
      <c r="B872" s="91"/>
      <c r="C872" s="91"/>
      <c r="D872" s="91"/>
      <c r="E872" s="91"/>
      <c r="F872" s="91"/>
      <c r="G872" s="91"/>
      <c r="H872" s="91"/>
      <c r="I872" s="91"/>
      <c r="J872" s="91"/>
      <c r="K872" s="91"/>
      <c r="L872" s="91"/>
      <c r="M872" s="91"/>
      <c r="N872" s="91"/>
      <c r="O872" s="91"/>
      <c r="P872" s="91"/>
    </row>
    <row r="873" ht="30.0" customHeight="1">
      <c r="A873" s="91"/>
      <c r="B873" s="91"/>
      <c r="C873" s="91"/>
      <c r="D873" s="91"/>
      <c r="E873" s="91"/>
      <c r="F873" s="91"/>
      <c r="G873" s="91"/>
      <c r="H873" s="91"/>
      <c r="I873" s="91"/>
      <c r="J873" s="91"/>
      <c r="K873" s="91"/>
      <c r="L873" s="91"/>
      <c r="M873" s="91"/>
      <c r="N873" s="91"/>
      <c r="O873" s="91"/>
      <c r="P873" s="91"/>
    </row>
    <row r="874" ht="30.0" customHeight="1">
      <c r="A874" s="91"/>
      <c r="B874" s="91"/>
      <c r="C874" s="91"/>
      <c r="D874" s="91"/>
      <c r="E874" s="91"/>
      <c r="F874" s="91"/>
      <c r="G874" s="91"/>
      <c r="H874" s="91"/>
      <c r="I874" s="91"/>
      <c r="J874" s="91"/>
      <c r="K874" s="91"/>
      <c r="L874" s="91"/>
      <c r="M874" s="91"/>
      <c r="N874" s="91"/>
      <c r="O874" s="91"/>
      <c r="P874" s="91"/>
    </row>
    <row r="875" ht="30.0" customHeight="1">
      <c r="A875" s="91"/>
      <c r="B875" s="91"/>
      <c r="C875" s="91"/>
      <c r="D875" s="91"/>
      <c r="E875" s="91"/>
      <c r="F875" s="91"/>
      <c r="G875" s="91"/>
      <c r="H875" s="91"/>
      <c r="I875" s="91"/>
      <c r="J875" s="91"/>
      <c r="K875" s="91"/>
      <c r="L875" s="91"/>
      <c r="M875" s="91"/>
      <c r="N875" s="91"/>
      <c r="O875" s="91"/>
      <c r="P875" s="91"/>
    </row>
    <row r="876" ht="30.0" customHeight="1">
      <c r="A876" s="91"/>
      <c r="B876" s="91"/>
      <c r="C876" s="91"/>
      <c r="D876" s="91"/>
      <c r="E876" s="91"/>
      <c r="F876" s="91"/>
      <c r="G876" s="91"/>
      <c r="H876" s="91"/>
      <c r="I876" s="91"/>
      <c r="J876" s="91"/>
      <c r="K876" s="91"/>
      <c r="L876" s="91"/>
      <c r="M876" s="91"/>
      <c r="N876" s="91"/>
      <c r="O876" s="91"/>
      <c r="P876" s="91"/>
    </row>
    <row r="877" ht="30.0" customHeight="1">
      <c r="A877" s="91"/>
      <c r="B877" s="91"/>
      <c r="C877" s="91"/>
      <c r="D877" s="91"/>
      <c r="E877" s="91"/>
      <c r="F877" s="91"/>
      <c r="G877" s="91"/>
      <c r="H877" s="91"/>
      <c r="I877" s="91"/>
      <c r="J877" s="91"/>
      <c r="K877" s="91"/>
      <c r="L877" s="91"/>
      <c r="M877" s="91"/>
      <c r="N877" s="91"/>
      <c r="O877" s="91"/>
      <c r="P877" s="91"/>
    </row>
    <row r="878" ht="30.0" customHeight="1">
      <c r="A878" s="91"/>
      <c r="B878" s="91"/>
      <c r="C878" s="91"/>
      <c r="D878" s="91"/>
      <c r="E878" s="91"/>
      <c r="F878" s="91"/>
      <c r="G878" s="91"/>
      <c r="H878" s="91"/>
      <c r="I878" s="91"/>
      <c r="J878" s="91"/>
      <c r="K878" s="91"/>
      <c r="L878" s="91"/>
      <c r="M878" s="91"/>
      <c r="N878" s="91"/>
      <c r="O878" s="91"/>
      <c r="P878" s="91"/>
    </row>
    <row r="879" ht="30.0" customHeight="1">
      <c r="A879" s="91"/>
      <c r="B879" s="91"/>
      <c r="C879" s="91"/>
      <c r="D879" s="91"/>
      <c r="E879" s="91"/>
      <c r="F879" s="91"/>
      <c r="G879" s="91"/>
      <c r="H879" s="91"/>
      <c r="I879" s="91"/>
      <c r="J879" s="91"/>
      <c r="K879" s="91"/>
      <c r="L879" s="91"/>
      <c r="M879" s="91"/>
      <c r="N879" s="91"/>
      <c r="O879" s="91"/>
      <c r="P879" s="91"/>
    </row>
    <row r="880" ht="30.0" customHeight="1">
      <c r="A880" s="91"/>
      <c r="B880" s="91"/>
      <c r="C880" s="91"/>
      <c r="D880" s="91"/>
      <c r="E880" s="91"/>
      <c r="F880" s="91"/>
      <c r="G880" s="91"/>
      <c r="H880" s="91"/>
      <c r="I880" s="91"/>
      <c r="J880" s="91"/>
      <c r="K880" s="91"/>
      <c r="L880" s="91"/>
      <c r="M880" s="91"/>
      <c r="N880" s="91"/>
      <c r="O880" s="91"/>
      <c r="P880" s="91"/>
    </row>
    <row r="881" ht="30.0" customHeight="1">
      <c r="A881" s="91"/>
      <c r="B881" s="91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</row>
    <row r="882" ht="30.0" customHeight="1">
      <c r="A882" s="91"/>
      <c r="B882" s="91"/>
      <c r="C882" s="91"/>
      <c r="D882" s="91"/>
      <c r="E882" s="91"/>
      <c r="F882" s="91"/>
      <c r="G882" s="91"/>
      <c r="H882" s="91"/>
      <c r="I882" s="91"/>
      <c r="J882" s="91"/>
      <c r="K882" s="91"/>
      <c r="L882" s="91"/>
      <c r="M882" s="91"/>
      <c r="N882" s="91"/>
      <c r="O882" s="91"/>
      <c r="P882" s="91"/>
    </row>
    <row r="883" ht="30.0" customHeight="1">
      <c r="A883" s="91"/>
      <c r="B883" s="91"/>
      <c r="C883" s="91"/>
      <c r="D883" s="91"/>
      <c r="E883" s="91"/>
      <c r="F883" s="91"/>
      <c r="G883" s="91"/>
      <c r="H883" s="91"/>
      <c r="I883" s="91"/>
      <c r="J883" s="91"/>
      <c r="K883" s="91"/>
      <c r="L883" s="91"/>
      <c r="M883" s="91"/>
      <c r="N883" s="91"/>
      <c r="O883" s="91"/>
      <c r="P883" s="91"/>
    </row>
    <row r="884" ht="30.0" customHeight="1">
      <c r="A884" s="91"/>
      <c r="B884" s="91"/>
      <c r="C884" s="91"/>
      <c r="D884" s="91"/>
      <c r="E884" s="91"/>
      <c r="F884" s="91"/>
      <c r="G884" s="91"/>
      <c r="H884" s="91"/>
      <c r="I884" s="91"/>
      <c r="J884" s="91"/>
      <c r="K884" s="91"/>
      <c r="L884" s="91"/>
      <c r="M884" s="91"/>
      <c r="N884" s="91"/>
      <c r="O884" s="91"/>
      <c r="P884" s="91"/>
    </row>
    <row r="885" ht="30.0" customHeight="1">
      <c r="A885" s="91"/>
      <c r="B885" s="91"/>
      <c r="C885" s="91"/>
      <c r="D885" s="91"/>
      <c r="E885" s="91"/>
      <c r="F885" s="91"/>
      <c r="G885" s="91"/>
      <c r="H885" s="91"/>
      <c r="I885" s="91"/>
      <c r="J885" s="91"/>
      <c r="K885" s="91"/>
      <c r="L885" s="91"/>
      <c r="M885" s="91"/>
      <c r="N885" s="91"/>
      <c r="O885" s="91"/>
      <c r="P885" s="91"/>
    </row>
    <row r="886" ht="30.0" customHeight="1">
      <c r="A886" s="91"/>
      <c r="B886" s="91"/>
      <c r="C886" s="91"/>
      <c r="D886" s="91"/>
      <c r="E886" s="91"/>
      <c r="F886" s="91"/>
      <c r="G886" s="91"/>
      <c r="H886" s="91"/>
      <c r="I886" s="91"/>
      <c r="J886" s="91"/>
      <c r="K886" s="91"/>
      <c r="L886" s="91"/>
      <c r="M886" s="91"/>
      <c r="N886" s="91"/>
      <c r="O886" s="91"/>
      <c r="P886" s="91"/>
    </row>
    <row r="887" ht="30.0" customHeight="1">
      <c r="A887" s="91"/>
      <c r="B887" s="91"/>
      <c r="C887" s="91"/>
      <c r="D887" s="91"/>
      <c r="E887" s="91"/>
      <c r="F887" s="91"/>
      <c r="G887" s="91"/>
      <c r="H887" s="91"/>
      <c r="I887" s="91"/>
      <c r="J887" s="91"/>
      <c r="K887" s="91"/>
      <c r="L887" s="91"/>
      <c r="M887" s="91"/>
      <c r="N887" s="91"/>
      <c r="O887" s="91"/>
      <c r="P887" s="91"/>
    </row>
    <row r="888" ht="30.0" customHeight="1">
      <c r="A888" s="91"/>
      <c r="B888" s="91"/>
      <c r="C888" s="91"/>
      <c r="D888" s="91"/>
      <c r="E888" s="91"/>
      <c r="F888" s="91"/>
      <c r="G888" s="91"/>
      <c r="H888" s="91"/>
      <c r="I888" s="91"/>
      <c r="J888" s="91"/>
      <c r="K888" s="91"/>
      <c r="L888" s="91"/>
      <c r="M888" s="91"/>
      <c r="N888" s="91"/>
      <c r="O888" s="91"/>
      <c r="P888" s="91"/>
    </row>
    <row r="889" ht="30.0" customHeight="1">
      <c r="A889" s="91"/>
      <c r="B889" s="91"/>
      <c r="C889" s="91"/>
      <c r="D889" s="91"/>
      <c r="E889" s="91"/>
      <c r="F889" s="91"/>
      <c r="G889" s="91"/>
      <c r="H889" s="91"/>
      <c r="I889" s="91"/>
      <c r="J889" s="91"/>
      <c r="K889" s="91"/>
      <c r="L889" s="91"/>
      <c r="M889" s="91"/>
      <c r="N889" s="91"/>
      <c r="O889" s="91"/>
      <c r="P889" s="91"/>
    </row>
    <row r="890" ht="30.0" customHeight="1">
      <c r="A890" s="91"/>
      <c r="B890" s="91"/>
      <c r="C890" s="91"/>
      <c r="D890" s="91"/>
      <c r="E890" s="91"/>
      <c r="F890" s="91"/>
      <c r="G890" s="91"/>
      <c r="H890" s="91"/>
      <c r="I890" s="91"/>
      <c r="J890" s="91"/>
      <c r="K890" s="91"/>
      <c r="L890" s="91"/>
      <c r="M890" s="91"/>
      <c r="N890" s="91"/>
      <c r="O890" s="91"/>
      <c r="P890" s="91"/>
    </row>
    <row r="891" ht="30.0" customHeight="1">
      <c r="A891" s="91"/>
      <c r="B891" s="91"/>
      <c r="C891" s="91"/>
      <c r="D891" s="91"/>
      <c r="E891" s="91"/>
      <c r="F891" s="91"/>
      <c r="G891" s="91"/>
      <c r="H891" s="91"/>
      <c r="I891" s="91"/>
      <c r="J891" s="91"/>
      <c r="K891" s="91"/>
      <c r="L891" s="91"/>
      <c r="M891" s="91"/>
      <c r="N891" s="91"/>
      <c r="O891" s="91"/>
      <c r="P891" s="91"/>
    </row>
    <row r="892" ht="30.0" customHeight="1">
      <c r="A892" s="91"/>
      <c r="B892" s="91"/>
      <c r="C892" s="91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1"/>
    </row>
    <row r="893" ht="30.0" customHeight="1">
      <c r="A893" s="91"/>
      <c r="B893" s="91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</row>
    <row r="894" ht="30.0" customHeight="1">
      <c r="A894" s="91"/>
      <c r="B894" s="91"/>
      <c r="C894" s="91"/>
      <c r="D894" s="91"/>
      <c r="E894" s="91"/>
      <c r="F894" s="91"/>
      <c r="G894" s="91"/>
      <c r="H894" s="91"/>
      <c r="I894" s="91"/>
      <c r="J894" s="91"/>
      <c r="K894" s="91"/>
      <c r="L894" s="91"/>
      <c r="M894" s="91"/>
      <c r="N894" s="91"/>
      <c r="O894" s="91"/>
      <c r="P894" s="91"/>
    </row>
    <row r="895" ht="30.0" customHeight="1">
      <c r="A895" s="91"/>
      <c r="B895" s="91"/>
      <c r="C895" s="91"/>
      <c r="D895" s="91"/>
      <c r="E895" s="91"/>
      <c r="F895" s="91"/>
      <c r="G895" s="91"/>
      <c r="H895" s="91"/>
      <c r="I895" s="91"/>
      <c r="J895" s="91"/>
      <c r="K895" s="91"/>
      <c r="L895" s="91"/>
      <c r="M895" s="91"/>
      <c r="N895" s="91"/>
      <c r="O895" s="91"/>
      <c r="P895" s="91"/>
    </row>
    <row r="896" ht="30.0" customHeight="1">
      <c r="A896" s="91"/>
      <c r="B896" s="91"/>
      <c r="C896" s="91"/>
      <c r="D896" s="91"/>
      <c r="E896" s="91"/>
      <c r="F896" s="91"/>
      <c r="G896" s="91"/>
      <c r="H896" s="91"/>
      <c r="I896" s="91"/>
      <c r="J896" s="91"/>
      <c r="K896" s="91"/>
      <c r="L896" s="91"/>
      <c r="M896" s="91"/>
      <c r="N896" s="91"/>
      <c r="O896" s="91"/>
      <c r="P896" s="91"/>
    </row>
    <row r="897" ht="30.0" customHeight="1">
      <c r="A897" s="91"/>
      <c r="B897" s="91"/>
      <c r="C897" s="91"/>
      <c r="D897" s="91"/>
      <c r="E897" s="91"/>
      <c r="F897" s="91"/>
      <c r="G897" s="91"/>
      <c r="H897" s="91"/>
      <c r="I897" s="91"/>
      <c r="J897" s="91"/>
      <c r="K897" s="91"/>
      <c r="L897" s="91"/>
      <c r="M897" s="91"/>
      <c r="N897" s="91"/>
      <c r="O897" s="91"/>
      <c r="P897" s="91"/>
    </row>
    <row r="898" ht="30.0" customHeight="1">
      <c r="A898" s="91"/>
      <c r="B898" s="91"/>
      <c r="C898" s="91"/>
      <c r="D898" s="91"/>
      <c r="E898" s="91"/>
      <c r="F898" s="91"/>
      <c r="G898" s="91"/>
      <c r="H898" s="91"/>
      <c r="I898" s="91"/>
      <c r="J898" s="91"/>
      <c r="K898" s="91"/>
      <c r="L898" s="91"/>
      <c r="M898" s="91"/>
      <c r="N898" s="91"/>
      <c r="O898" s="91"/>
      <c r="P898" s="91"/>
    </row>
    <row r="899" ht="30.0" customHeight="1">
      <c r="A899" s="91"/>
      <c r="B899" s="91"/>
      <c r="C899" s="91"/>
      <c r="D899" s="91"/>
      <c r="E899" s="91"/>
      <c r="F899" s="91"/>
      <c r="G899" s="91"/>
      <c r="H899" s="91"/>
      <c r="I899" s="91"/>
      <c r="J899" s="91"/>
      <c r="K899" s="91"/>
      <c r="L899" s="91"/>
      <c r="M899" s="91"/>
      <c r="N899" s="91"/>
      <c r="O899" s="91"/>
      <c r="P899" s="91"/>
    </row>
    <row r="900" ht="30.0" customHeight="1">
      <c r="A900" s="91"/>
      <c r="B900" s="91"/>
      <c r="C900" s="91"/>
      <c r="D900" s="91"/>
      <c r="E900" s="91"/>
      <c r="F900" s="91"/>
      <c r="G900" s="91"/>
      <c r="H900" s="91"/>
      <c r="I900" s="91"/>
      <c r="J900" s="91"/>
      <c r="K900" s="91"/>
      <c r="L900" s="91"/>
      <c r="M900" s="91"/>
      <c r="N900" s="91"/>
      <c r="O900" s="91"/>
      <c r="P900" s="91"/>
    </row>
    <row r="901" ht="30.0" customHeight="1">
      <c r="A901" s="91"/>
      <c r="B901" s="91"/>
      <c r="C901" s="91"/>
      <c r="D901" s="91"/>
      <c r="E901" s="91"/>
      <c r="F901" s="91"/>
      <c r="G901" s="91"/>
      <c r="H901" s="91"/>
      <c r="I901" s="91"/>
      <c r="J901" s="91"/>
      <c r="K901" s="91"/>
      <c r="L901" s="91"/>
      <c r="M901" s="91"/>
      <c r="N901" s="91"/>
      <c r="O901" s="91"/>
      <c r="P901" s="91"/>
    </row>
    <row r="902" ht="30.0" customHeight="1">
      <c r="A902" s="91"/>
      <c r="B902" s="91"/>
      <c r="C902" s="91"/>
      <c r="D902" s="91"/>
      <c r="E902" s="91"/>
      <c r="F902" s="91"/>
      <c r="G902" s="91"/>
      <c r="H902" s="91"/>
      <c r="I902" s="91"/>
      <c r="J902" s="91"/>
      <c r="K902" s="91"/>
      <c r="L902" s="91"/>
      <c r="M902" s="91"/>
      <c r="N902" s="91"/>
      <c r="O902" s="91"/>
      <c r="P902" s="91"/>
    </row>
    <row r="903" ht="30.0" customHeight="1">
      <c r="A903" s="91"/>
      <c r="B903" s="91"/>
      <c r="C903" s="91"/>
      <c r="D903" s="91"/>
      <c r="E903" s="91"/>
      <c r="F903" s="91"/>
      <c r="G903" s="91"/>
      <c r="H903" s="91"/>
      <c r="I903" s="91"/>
      <c r="J903" s="91"/>
      <c r="K903" s="91"/>
      <c r="L903" s="91"/>
      <c r="M903" s="91"/>
      <c r="N903" s="91"/>
      <c r="O903" s="91"/>
      <c r="P903" s="91"/>
    </row>
    <row r="904" ht="30.0" customHeight="1">
      <c r="A904" s="91"/>
      <c r="B904" s="91"/>
      <c r="C904" s="91"/>
      <c r="D904" s="91"/>
      <c r="E904" s="91"/>
      <c r="F904" s="91"/>
      <c r="G904" s="91"/>
      <c r="H904" s="91"/>
      <c r="I904" s="91"/>
      <c r="J904" s="91"/>
      <c r="K904" s="91"/>
      <c r="L904" s="91"/>
      <c r="M904" s="91"/>
      <c r="N904" s="91"/>
      <c r="O904" s="91"/>
      <c r="P904" s="91"/>
    </row>
    <row r="905" ht="30.0" customHeight="1">
      <c r="A905" s="91"/>
      <c r="B905" s="91"/>
      <c r="C905" s="91"/>
      <c r="D905" s="91"/>
      <c r="E905" s="91"/>
      <c r="F905" s="91"/>
      <c r="G905" s="91"/>
      <c r="H905" s="91"/>
      <c r="I905" s="91"/>
      <c r="J905" s="91"/>
      <c r="K905" s="91"/>
      <c r="L905" s="91"/>
      <c r="M905" s="91"/>
      <c r="N905" s="91"/>
      <c r="O905" s="91"/>
      <c r="P905" s="91"/>
    </row>
    <row r="906" ht="30.0" customHeight="1">
      <c r="A906" s="91"/>
      <c r="B906" s="91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</row>
    <row r="907" ht="30.0" customHeight="1">
      <c r="A907" s="91"/>
      <c r="B907" s="91"/>
      <c r="C907" s="91"/>
      <c r="D907" s="91"/>
      <c r="E907" s="91"/>
      <c r="F907" s="91"/>
      <c r="G907" s="91"/>
      <c r="H907" s="91"/>
      <c r="I907" s="91"/>
      <c r="J907" s="91"/>
      <c r="K907" s="91"/>
      <c r="L907" s="91"/>
      <c r="M907" s="91"/>
      <c r="N907" s="91"/>
      <c r="O907" s="91"/>
      <c r="P907" s="91"/>
    </row>
    <row r="908" ht="30.0" customHeight="1">
      <c r="A908" s="91"/>
      <c r="B908" s="91"/>
      <c r="C908" s="91"/>
      <c r="D908" s="91"/>
      <c r="E908" s="91"/>
      <c r="F908" s="91"/>
      <c r="G908" s="91"/>
      <c r="H908" s="91"/>
      <c r="I908" s="91"/>
      <c r="J908" s="91"/>
      <c r="K908" s="91"/>
      <c r="L908" s="91"/>
      <c r="M908" s="91"/>
      <c r="N908" s="91"/>
      <c r="O908" s="91"/>
      <c r="P908" s="91"/>
    </row>
    <row r="909" ht="30.0" customHeight="1">
      <c r="A909" s="91"/>
      <c r="B909" s="91"/>
      <c r="C909" s="91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1"/>
    </row>
    <row r="910" ht="30.0" customHeight="1">
      <c r="A910" s="91"/>
      <c r="B910" s="91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</row>
    <row r="911" ht="30.0" customHeight="1">
      <c r="A911" s="91"/>
      <c r="B911" s="91"/>
      <c r="C911" s="91"/>
      <c r="D911" s="91"/>
      <c r="E911" s="91"/>
      <c r="F911" s="91"/>
      <c r="G911" s="91"/>
      <c r="H911" s="91"/>
      <c r="I911" s="91"/>
      <c r="J911" s="91"/>
      <c r="K911" s="91"/>
      <c r="L911" s="91"/>
      <c r="M911" s="91"/>
      <c r="N911" s="91"/>
      <c r="O911" s="91"/>
      <c r="P911" s="91"/>
    </row>
    <row r="912" ht="30.0" customHeight="1">
      <c r="A912" s="91"/>
      <c r="B912" s="91"/>
      <c r="C912" s="91"/>
      <c r="D912" s="91"/>
      <c r="E912" s="91"/>
      <c r="F912" s="91"/>
      <c r="G912" s="91"/>
      <c r="H912" s="91"/>
      <c r="I912" s="91"/>
      <c r="J912" s="91"/>
      <c r="K912" s="91"/>
      <c r="L912" s="91"/>
      <c r="M912" s="91"/>
      <c r="N912" s="91"/>
      <c r="O912" s="91"/>
      <c r="P912" s="91"/>
    </row>
    <row r="913" ht="30.0" customHeight="1">
      <c r="A913" s="91"/>
      <c r="B913" s="91"/>
      <c r="C913" s="91"/>
      <c r="D913" s="91"/>
      <c r="E913" s="91"/>
      <c r="F913" s="91"/>
      <c r="G913" s="91"/>
      <c r="H913" s="91"/>
      <c r="I913" s="91"/>
      <c r="J913" s="91"/>
      <c r="K913" s="91"/>
      <c r="L913" s="91"/>
      <c r="M913" s="91"/>
      <c r="N913" s="91"/>
      <c r="O913" s="91"/>
      <c r="P913" s="91"/>
    </row>
    <row r="914" ht="30.0" customHeight="1">
      <c r="A914" s="91"/>
      <c r="B914" s="91"/>
      <c r="C914" s="91"/>
      <c r="D914" s="91"/>
      <c r="E914" s="91"/>
      <c r="F914" s="91"/>
      <c r="G914" s="91"/>
      <c r="H914" s="91"/>
      <c r="I914" s="91"/>
      <c r="J914" s="91"/>
      <c r="K914" s="91"/>
      <c r="L914" s="91"/>
      <c r="M914" s="91"/>
      <c r="N914" s="91"/>
      <c r="O914" s="91"/>
      <c r="P914" s="91"/>
    </row>
    <row r="915" ht="30.0" customHeight="1">
      <c r="A915" s="91"/>
      <c r="B915" s="91"/>
      <c r="C915" s="91"/>
      <c r="D915" s="91"/>
      <c r="E915" s="91"/>
      <c r="F915" s="91"/>
      <c r="G915" s="91"/>
      <c r="H915" s="91"/>
      <c r="I915" s="91"/>
      <c r="J915" s="91"/>
      <c r="K915" s="91"/>
      <c r="L915" s="91"/>
      <c r="M915" s="91"/>
      <c r="N915" s="91"/>
      <c r="O915" s="91"/>
      <c r="P915" s="91"/>
    </row>
    <row r="916" ht="30.0" customHeight="1">
      <c r="A916" s="91"/>
      <c r="B916" s="91"/>
      <c r="C916" s="91"/>
      <c r="D916" s="91"/>
      <c r="E916" s="91"/>
      <c r="F916" s="91"/>
      <c r="G916" s="91"/>
      <c r="H916" s="91"/>
      <c r="I916" s="91"/>
      <c r="J916" s="91"/>
      <c r="K916" s="91"/>
      <c r="L916" s="91"/>
      <c r="M916" s="91"/>
      <c r="N916" s="91"/>
      <c r="O916" s="91"/>
      <c r="P916" s="91"/>
    </row>
    <row r="917" ht="30.0" customHeight="1">
      <c r="A917" s="91"/>
      <c r="B917" s="91"/>
      <c r="C917" s="91"/>
      <c r="D917" s="91"/>
      <c r="E917" s="91"/>
      <c r="F917" s="91"/>
      <c r="G917" s="91"/>
      <c r="H917" s="91"/>
      <c r="I917" s="91"/>
      <c r="J917" s="91"/>
      <c r="K917" s="91"/>
      <c r="L917" s="91"/>
      <c r="M917" s="91"/>
      <c r="N917" s="91"/>
      <c r="O917" s="91"/>
      <c r="P917" s="91"/>
    </row>
    <row r="918" ht="30.0" customHeight="1">
      <c r="A918" s="91"/>
      <c r="B918" s="91"/>
      <c r="C918" s="91"/>
      <c r="D918" s="91"/>
      <c r="E918" s="91"/>
      <c r="F918" s="91"/>
      <c r="G918" s="91"/>
      <c r="H918" s="91"/>
      <c r="I918" s="91"/>
      <c r="J918" s="91"/>
      <c r="K918" s="91"/>
      <c r="L918" s="91"/>
      <c r="M918" s="91"/>
      <c r="N918" s="91"/>
      <c r="O918" s="91"/>
      <c r="P918" s="91"/>
    </row>
    <row r="919" ht="30.0" customHeight="1">
      <c r="A919" s="91"/>
      <c r="B919" s="91"/>
      <c r="C919" s="91"/>
      <c r="D919" s="91"/>
      <c r="E919" s="91"/>
      <c r="F919" s="91"/>
      <c r="G919" s="91"/>
      <c r="H919" s="91"/>
      <c r="I919" s="91"/>
      <c r="J919" s="91"/>
      <c r="K919" s="91"/>
      <c r="L919" s="91"/>
      <c r="M919" s="91"/>
      <c r="N919" s="91"/>
      <c r="O919" s="91"/>
      <c r="P919" s="91"/>
    </row>
    <row r="920" ht="30.0" customHeight="1">
      <c r="A920" s="91"/>
      <c r="B920" s="91"/>
      <c r="C920" s="91"/>
      <c r="D920" s="91"/>
      <c r="E920" s="91"/>
      <c r="F920" s="91"/>
      <c r="G920" s="91"/>
      <c r="H920" s="91"/>
      <c r="I920" s="91"/>
      <c r="J920" s="91"/>
      <c r="K920" s="91"/>
      <c r="L920" s="91"/>
      <c r="M920" s="91"/>
      <c r="N920" s="91"/>
      <c r="O920" s="91"/>
      <c r="P920" s="91"/>
    </row>
    <row r="921" ht="30.0" customHeight="1">
      <c r="A921" s="91"/>
      <c r="B921" s="91"/>
      <c r="C921" s="91"/>
      <c r="D921" s="91"/>
      <c r="E921" s="91"/>
      <c r="F921" s="91"/>
      <c r="G921" s="91"/>
      <c r="H921" s="91"/>
      <c r="I921" s="91"/>
      <c r="J921" s="91"/>
      <c r="K921" s="91"/>
      <c r="L921" s="91"/>
      <c r="M921" s="91"/>
      <c r="N921" s="91"/>
      <c r="O921" s="91"/>
      <c r="P921" s="91"/>
    </row>
    <row r="922" ht="30.0" customHeight="1">
      <c r="A922" s="91"/>
      <c r="B922" s="91"/>
      <c r="C922" s="91"/>
      <c r="D922" s="91"/>
      <c r="E922" s="91"/>
      <c r="F922" s="91"/>
      <c r="G922" s="91"/>
      <c r="H922" s="91"/>
      <c r="I922" s="91"/>
      <c r="J922" s="91"/>
      <c r="K922" s="91"/>
      <c r="L922" s="91"/>
      <c r="M922" s="91"/>
      <c r="N922" s="91"/>
      <c r="O922" s="91"/>
      <c r="P922" s="91"/>
    </row>
    <row r="923" ht="30.0" customHeight="1">
      <c r="A923" s="91"/>
      <c r="B923" s="91"/>
      <c r="C923" s="91"/>
      <c r="D923" s="91"/>
      <c r="E923" s="91"/>
      <c r="F923" s="91"/>
      <c r="G923" s="91"/>
      <c r="H923" s="91"/>
      <c r="I923" s="91"/>
      <c r="J923" s="91"/>
      <c r="K923" s="91"/>
      <c r="L923" s="91"/>
      <c r="M923" s="91"/>
      <c r="N923" s="91"/>
      <c r="O923" s="91"/>
      <c r="P923" s="91"/>
    </row>
    <row r="924" ht="30.0" customHeight="1">
      <c r="A924" s="91"/>
      <c r="B924" s="91"/>
      <c r="C924" s="91"/>
      <c r="D924" s="91"/>
      <c r="E924" s="91"/>
      <c r="F924" s="91"/>
      <c r="G924" s="91"/>
      <c r="H924" s="91"/>
      <c r="I924" s="91"/>
      <c r="J924" s="91"/>
      <c r="K924" s="91"/>
      <c r="L924" s="91"/>
      <c r="M924" s="91"/>
      <c r="N924" s="91"/>
      <c r="O924" s="91"/>
      <c r="P924" s="91"/>
    </row>
    <row r="925" ht="30.0" customHeight="1">
      <c r="A925" s="91"/>
      <c r="B925" s="91"/>
      <c r="C925" s="91"/>
      <c r="D925" s="91"/>
      <c r="E925" s="91"/>
      <c r="F925" s="91"/>
      <c r="G925" s="91"/>
      <c r="H925" s="91"/>
      <c r="I925" s="91"/>
      <c r="J925" s="91"/>
      <c r="K925" s="91"/>
      <c r="L925" s="91"/>
      <c r="M925" s="91"/>
      <c r="N925" s="91"/>
      <c r="O925" s="91"/>
      <c r="P925" s="91"/>
    </row>
    <row r="926" ht="30.0" customHeight="1">
      <c r="A926" s="91"/>
      <c r="B926" s="91"/>
      <c r="C926" s="91"/>
      <c r="D926" s="91"/>
      <c r="E926" s="91"/>
      <c r="F926" s="91"/>
      <c r="G926" s="91"/>
      <c r="H926" s="91"/>
      <c r="I926" s="91"/>
      <c r="J926" s="91"/>
      <c r="K926" s="91"/>
      <c r="L926" s="91"/>
      <c r="M926" s="91"/>
      <c r="N926" s="91"/>
      <c r="O926" s="91"/>
      <c r="P926" s="91"/>
    </row>
    <row r="927" ht="30.0" customHeight="1">
      <c r="A927" s="91"/>
      <c r="B927" s="91"/>
      <c r="C927" s="91"/>
      <c r="D927" s="91"/>
      <c r="E927" s="91"/>
      <c r="F927" s="91"/>
      <c r="G927" s="91"/>
      <c r="H927" s="91"/>
      <c r="I927" s="91"/>
      <c r="J927" s="91"/>
      <c r="K927" s="91"/>
      <c r="L927" s="91"/>
      <c r="M927" s="91"/>
      <c r="N927" s="91"/>
      <c r="O927" s="91"/>
      <c r="P927" s="91"/>
    </row>
    <row r="928" ht="30.0" customHeight="1">
      <c r="A928" s="91"/>
      <c r="B928" s="91"/>
      <c r="C928" s="91"/>
      <c r="D928" s="91"/>
      <c r="E928" s="91"/>
      <c r="F928" s="91"/>
      <c r="G928" s="91"/>
      <c r="H928" s="91"/>
      <c r="I928" s="91"/>
      <c r="J928" s="91"/>
      <c r="K928" s="91"/>
      <c r="L928" s="91"/>
      <c r="M928" s="91"/>
      <c r="N928" s="91"/>
      <c r="O928" s="91"/>
      <c r="P928" s="91"/>
    </row>
    <row r="929" ht="30.0" customHeight="1">
      <c r="A929" s="91"/>
      <c r="B929" s="91"/>
      <c r="C929" s="91"/>
      <c r="D929" s="91"/>
      <c r="E929" s="91"/>
      <c r="F929" s="91"/>
      <c r="G929" s="91"/>
      <c r="H929" s="91"/>
      <c r="I929" s="91"/>
      <c r="J929" s="91"/>
      <c r="K929" s="91"/>
      <c r="L929" s="91"/>
      <c r="M929" s="91"/>
      <c r="N929" s="91"/>
      <c r="O929" s="91"/>
      <c r="P929" s="91"/>
    </row>
    <row r="930" ht="30.0" customHeight="1">
      <c r="A930" s="91"/>
      <c r="B930" s="91"/>
      <c r="C930" s="91"/>
      <c r="D930" s="91"/>
      <c r="E930" s="91"/>
      <c r="F930" s="91"/>
      <c r="G930" s="91"/>
      <c r="H930" s="91"/>
      <c r="I930" s="91"/>
      <c r="J930" s="91"/>
      <c r="K930" s="91"/>
      <c r="L930" s="91"/>
      <c r="M930" s="91"/>
      <c r="N930" s="91"/>
      <c r="O930" s="91"/>
      <c r="P930" s="91"/>
    </row>
    <row r="931" ht="30.0" customHeight="1">
      <c r="A931" s="91"/>
      <c r="B931" s="91"/>
      <c r="C931" s="91"/>
      <c r="D931" s="91"/>
      <c r="E931" s="91"/>
      <c r="F931" s="91"/>
      <c r="G931" s="91"/>
      <c r="H931" s="91"/>
      <c r="I931" s="91"/>
      <c r="J931" s="91"/>
      <c r="K931" s="91"/>
      <c r="L931" s="91"/>
      <c r="M931" s="91"/>
      <c r="N931" s="91"/>
      <c r="O931" s="91"/>
      <c r="P931" s="91"/>
    </row>
    <row r="932" ht="30.0" customHeight="1">
      <c r="A932" s="91"/>
      <c r="B932" s="91"/>
      <c r="C932" s="91"/>
      <c r="D932" s="91"/>
      <c r="E932" s="91"/>
      <c r="F932" s="91"/>
      <c r="G932" s="91"/>
      <c r="H932" s="91"/>
      <c r="I932" s="91"/>
      <c r="J932" s="91"/>
      <c r="K932" s="91"/>
      <c r="L932" s="91"/>
      <c r="M932" s="91"/>
      <c r="N932" s="91"/>
      <c r="O932" s="91"/>
      <c r="P932" s="91"/>
    </row>
    <row r="933" ht="30.0" customHeight="1">
      <c r="A933" s="91"/>
      <c r="B933" s="91"/>
      <c r="C933" s="91"/>
      <c r="D933" s="91"/>
      <c r="E933" s="91"/>
      <c r="F933" s="91"/>
      <c r="G933" s="91"/>
      <c r="H933" s="91"/>
      <c r="I933" s="91"/>
      <c r="J933" s="91"/>
      <c r="K933" s="91"/>
      <c r="L933" s="91"/>
      <c r="M933" s="91"/>
      <c r="N933" s="91"/>
      <c r="O933" s="91"/>
      <c r="P933" s="91"/>
    </row>
    <row r="934" ht="30.0" customHeight="1">
      <c r="A934" s="91"/>
      <c r="B934" s="91"/>
      <c r="C934" s="91"/>
      <c r="D934" s="91"/>
      <c r="E934" s="91"/>
      <c r="F934" s="91"/>
      <c r="G934" s="91"/>
      <c r="H934" s="91"/>
      <c r="I934" s="91"/>
      <c r="J934" s="91"/>
      <c r="K934" s="91"/>
      <c r="L934" s="91"/>
      <c r="M934" s="91"/>
      <c r="N934" s="91"/>
      <c r="O934" s="91"/>
      <c r="P934" s="91"/>
    </row>
    <row r="935" ht="30.0" customHeight="1">
      <c r="A935" s="91"/>
      <c r="B935" s="91"/>
      <c r="C935" s="91"/>
      <c r="D935" s="91"/>
      <c r="E935" s="91"/>
      <c r="F935" s="91"/>
      <c r="G935" s="91"/>
      <c r="H935" s="91"/>
      <c r="I935" s="91"/>
      <c r="J935" s="91"/>
      <c r="K935" s="91"/>
      <c r="L935" s="91"/>
      <c r="M935" s="91"/>
      <c r="N935" s="91"/>
      <c r="O935" s="91"/>
      <c r="P935" s="91"/>
    </row>
    <row r="936" ht="30.0" customHeight="1">
      <c r="A936" s="91"/>
      <c r="B936" s="91"/>
      <c r="C936" s="91"/>
      <c r="D936" s="91"/>
      <c r="E936" s="91"/>
      <c r="F936" s="91"/>
      <c r="G936" s="91"/>
      <c r="H936" s="91"/>
      <c r="I936" s="91"/>
      <c r="J936" s="91"/>
      <c r="K936" s="91"/>
      <c r="L936" s="91"/>
      <c r="M936" s="91"/>
      <c r="N936" s="91"/>
      <c r="O936" s="91"/>
      <c r="P936" s="91"/>
    </row>
    <row r="937" ht="30.0" customHeight="1">
      <c r="A937" s="91"/>
      <c r="B937" s="91"/>
      <c r="C937" s="91"/>
      <c r="D937" s="91"/>
      <c r="E937" s="91"/>
      <c r="F937" s="91"/>
      <c r="G937" s="91"/>
      <c r="H937" s="91"/>
      <c r="I937" s="91"/>
      <c r="J937" s="91"/>
      <c r="K937" s="91"/>
      <c r="L937" s="91"/>
      <c r="M937" s="91"/>
      <c r="N937" s="91"/>
      <c r="O937" s="91"/>
      <c r="P937" s="91"/>
    </row>
    <row r="938" ht="30.0" customHeight="1">
      <c r="A938" s="91"/>
      <c r="B938" s="91"/>
      <c r="C938" s="91"/>
      <c r="D938" s="91"/>
      <c r="E938" s="91"/>
      <c r="F938" s="91"/>
      <c r="G938" s="91"/>
      <c r="H938" s="91"/>
      <c r="I938" s="91"/>
      <c r="J938" s="91"/>
      <c r="K938" s="91"/>
      <c r="L938" s="91"/>
      <c r="M938" s="91"/>
      <c r="N938" s="91"/>
      <c r="O938" s="91"/>
      <c r="P938" s="91"/>
    </row>
    <row r="939" ht="30.0" customHeight="1">
      <c r="A939" s="91"/>
      <c r="B939" s="91"/>
      <c r="C939" s="91"/>
      <c r="D939" s="91"/>
      <c r="E939" s="91"/>
      <c r="F939" s="91"/>
      <c r="G939" s="91"/>
      <c r="H939" s="91"/>
      <c r="I939" s="91"/>
      <c r="J939" s="91"/>
      <c r="K939" s="91"/>
      <c r="L939" s="91"/>
      <c r="M939" s="91"/>
      <c r="N939" s="91"/>
      <c r="O939" s="91"/>
      <c r="P939" s="91"/>
    </row>
    <row r="940" ht="30.0" customHeight="1">
      <c r="A940" s="91"/>
      <c r="B940" s="91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</row>
    <row r="941" ht="30.0" customHeight="1">
      <c r="A941" s="91"/>
      <c r="B941" s="91"/>
      <c r="C941" s="91"/>
      <c r="D941" s="91"/>
      <c r="E941" s="91"/>
      <c r="F941" s="91"/>
      <c r="G941" s="91"/>
      <c r="H941" s="91"/>
      <c r="I941" s="91"/>
      <c r="J941" s="91"/>
      <c r="K941" s="91"/>
      <c r="L941" s="91"/>
      <c r="M941" s="91"/>
      <c r="N941" s="91"/>
      <c r="O941" s="91"/>
      <c r="P941" s="91"/>
    </row>
    <row r="942" ht="30.0" customHeight="1">
      <c r="A942" s="91"/>
      <c r="B942" s="91"/>
      <c r="C942" s="91"/>
      <c r="D942" s="91"/>
      <c r="E942" s="91"/>
      <c r="F942" s="91"/>
      <c r="G942" s="91"/>
      <c r="H942" s="91"/>
      <c r="I942" s="91"/>
      <c r="J942" s="91"/>
      <c r="K942" s="91"/>
      <c r="L942" s="91"/>
      <c r="M942" s="91"/>
      <c r="N942" s="91"/>
      <c r="O942" s="91"/>
      <c r="P942" s="91"/>
    </row>
    <row r="943" ht="30.0" customHeight="1">
      <c r="A943" s="91"/>
      <c r="B943" s="91"/>
      <c r="C943" s="91"/>
      <c r="D943" s="91"/>
      <c r="E943" s="91"/>
      <c r="F943" s="91"/>
      <c r="G943" s="91"/>
      <c r="H943" s="91"/>
      <c r="I943" s="91"/>
      <c r="J943" s="91"/>
      <c r="K943" s="91"/>
      <c r="L943" s="91"/>
      <c r="M943" s="91"/>
      <c r="N943" s="91"/>
      <c r="O943" s="91"/>
      <c r="P943" s="91"/>
    </row>
    <row r="944" ht="30.0" customHeight="1">
      <c r="A944" s="91"/>
      <c r="B944" s="91"/>
      <c r="C944" s="91"/>
      <c r="D944" s="91"/>
      <c r="E944" s="91"/>
      <c r="F944" s="91"/>
      <c r="G944" s="91"/>
      <c r="H944" s="91"/>
      <c r="I944" s="91"/>
      <c r="J944" s="91"/>
      <c r="K944" s="91"/>
      <c r="L944" s="91"/>
      <c r="M944" s="91"/>
      <c r="N944" s="91"/>
      <c r="O944" s="91"/>
      <c r="P944" s="91"/>
    </row>
    <row r="945" ht="30.0" customHeight="1">
      <c r="A945" s="91"/>
      <c r="B945" s="91"/>
      <c r="C945" s="91"/>
      <c r="D945" s="91"/>
      <c r="E945" s="91"/>
      <c r="F945" s="91"/>
      <c r="G945" s="91"/>
      <c r="H945" s="91"/>
      <c r="I945" s="91"/>
      <c r="J945" s="91"/>
      <c r="K945" s="91"/>
      <c r="L945" s="91"/>
      <c r="M945" s="91"/>
      <c r="N945" s="91"/>
      <c r="O945" s="91"/>
      <c r="P945" s="91"/>
    </row>
    <row r="946" ht="30.0" customHeight="1">
      <c r="A946" s="91"/>
      <c r="B946" s="91"/>
      <c r="C946" s="91"/>
      <c r="D946" s="91"/>
      <c r="E946" s="91"/>
      <c r="F946" s="91"/>
      <c r="G946" s="91"/>
      <c r="H946" s="91"/>
      <c r="I946" s="91"/>
      <c r="J946" s="91"/>
      <c r="K946" s="91"/>
      <c r="L946" s="91"/>
      <c r="M946" s="91"/>
      <c r="N946" s="91"/>
      <c r="O946" s="91"/>
      <c r="P946" s="91"/>
    </row>
    <row r="947" ht="30.0" customHeight="1">
      <c r="A947" s="91"/>
      <c r="B947" s="91"/>
      <c r="C947" s="91"/>
      <c r="D947" s="91"/>
      <c r="E947" s="91"/>
      <c r="F947" s="91"/>
      <c r="G947" s="91"/>
      <c r="H947" s="91"/>
      <c r="I947" s="91"/>
      <c r="J947" s="91"/>
      <c r="K947" s="91"/>
      <c r="L947" s="91"/>
      <c r="M947" s="91"/>
      <c r="N947" s="91"/>
      <c r="O947" s="91"/>
      <c r="P947" s="91"/>
    </row>
    <row r="948" ht="30.0" customHeight="1">
      <c r="A948" s="91"/>
      <c r="B948" s="91"/>
      <c r="C948" s="91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1"/>
    </row>
    <row r="949" ht="30.0" customHeight="1">
      <c r="A949" s="91"/>
      <c r="B949" s="91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</row>
    <row r="950" ht="30.0" customHeight="1">
      <c r="A950" s="91"/>
      <c r="B950" s="91"/>
      <c r="C950" s="91"/>
      <c r="D950" s="91"/>
      <c r="E950" s="91"/>
      <c r="F950" s="91"/>
      <c r="G950" s="91"/>
      <c r="H950" s="91"/>
      <c r="I950" s="91"/>
      <c r="J950" s="91"/>
      <c r="K950" s="91"/>
      <c r="L950" s="91"/>
      <c r="M950" s="91"/>
      <c r="N950" s="91"/>
      <c r="O950" s="91"/>
      <c r="P950" s="91"/>
    </row>
    <row r="951" ht="30.0" customHeight="1">
      <c r="A951" s="91"/>
      <c r="B951" s="91"/>
      <c r="C951" s="91"/>
      <c r="D951" s="91"/>
      <c r="E951" s="91"/>
      <c r="F951" s="91"/>
      <c r="G951" s="91"/>
      <c r="H951" s="91"/>
      <c r="I951" s="91"/>
      <c r="J951" s="91"/>
      <c r="K951" s="91"/>
      <c r="L951" s="91"/>
      <c r="M951" s="91"/>
      <c r="N951" s="91"/>
      <c r="O951" s="91"/>
      <c r="P951" s="91"/>
    </row>
    <row r="952" ht="30.0" customHeight="1">
      <c r="A952" s="91"/>
      <c r="B952" s="91"/>
      <c r="C952" s="91"/>
      <c r="D952" s="91"/>
      <c r="E952" s="91"/>
      <c r="F952" s="91"/>
      <c r="G952" s="91"/>
      <c r="H952" s="91"/>
      <c r="I952" s="91"/>
      <c r="J952" s="91"/>
      <c r="K952" s="91"/>
      <c r="L952" s="91"/>
      <c r="M952" s="91"/>
      <c r="N952" s="91"/>
      <c r="O952" s="91"/>
      <c r="P952" s="91"/>
    </row>
    <row r="953" ht="30.0" customHeight="1">
      <c r="A953" s="91"/>
      <c r="B953" s="91"/>
      <c r="C953" s="91"/>
      <c r="D953" s="91"/>
      <c r="E953" s="91"/>
      <c r="F953" s="91"/>
      <c r="G953" s="91"/>
      <c r="H953" s="91"/>
      <c r="I953" s="91"/>
      <c r="J953" s="91"/>
      <c r="K953" s="91"/>
      <c r="L953" s="91"/>
      <c r="M953" s="91"/>
      <c r="N953" s="91"/>
      <c r="O953" s="91"/>
      <c r="P953" s="91"/>
    </row>
    <row r="954" ht="30.0" customHeight="1">
      <c r="A954" s="91"/>
      <c r="B954" s="91"/>
      <c r="C954" s="91"/>
      <c r="D954" s="91"/>
      <c r="E954" s="91"/>
      <c r="F954" s="91"/>
      <c r="G954" s="91"/>
      <c r="H954" s="91"/>
      <c r="I954" s="91"/>
      <c r="J954" s="91"/>
      <c r="K954" s="91"/>
      <c r="L954" s="91"/>
      <c r="M954" s="91"/>
      <c r="N954" s="91"/>
      <c r="O954" s="91"/>
      <c r="P954" s="91"/>
    </row>
    <row r="955" ht="30.0" customHeight="1">
      <c r="A955" s="91"/>
      <c r="B955" s="91"/>
      <c r="C955" s="91"/>
      <c r="D955" s="91"/>
      <c r="E955" s="91"/>
      <c r="F955" s="91"/>
      <c r="G955" s="91"/>
      <c r="H955" s="91"/>
      <c r="I955" s="91"/>
      <c r="J955" s="91"/>
      <c r="K955" s="91"/>
      <c r="L955" s="91"/>
      <c r="M955" s="91"/>
      <c r="N955" s="91"/>
      <c r="O955" s="91"/>
      <c r="P955" s="91"/>
    </row>
    <row r="956" ht="30.0" customHeight="1">
      <c r="A956" s="91"/>
      <c r="B956" s="91"/>
      <c r="C956" s="91"/>
      <c r="D956" s="91"/>
      <c r="E956" s="91"/>
      <c r="F956" s="91"/>
      <c r="G956" s="91"/>
      <c r="H956" s="91"/>
      <c r="I956" s="91"/>
      <c r="J956" s="91"/>
      <c r="K956" s="91"/>
      <c r="L956" s="91"/>
      <c r="M956" s="91"/>
      <c r="N956" s="91"/>
      <c r="O956" s="91"/>
      <c r="P956" s="91"/>
    </row>
    <row r="957" ht="30.0" customHeight="1">
      <c r="A957" s="91"/>
      <c r="B957" s="91"/>
      <c r="C957" s="91"/>
      <c r="D957" s="91"/>
      <c r="E957" s="91"/>
      <c r="F957" s="91"/>
      <c r="G957" s="91"/>
      <c r="H957" s="91"/>
      <c r="I957" s="91"/>
      <c r="J957" s="91"/>
      <c r="K957" s="91"/>
      <c r="L957" s="91"/>
      <c r="M957" s="91"/>
      <c r="N957" s="91"/>
      <c r="O957" s="91"/>
      <c r="P957" s="91"/>
    </row>
    <row r="958" ht="30.0" customHeight="1">
      <c r="A958" s="91"/>
      <c r="B958" s="91"/>
      <c r="C958" s="91"/>
      <c r="D958" s="91"/>
      <c r="E958" s="91"/>
      <c r="F958" s="91"/>
      <c r="G958" s="91"/>
      <c r="H958" s="91"/>
      <c r="I958" s="91"/>
      <c r="J958" s="91"/>
      <c r="K958" s="91"/>
      <c r="L958" s="91"/>
      <c r="M958" s="91"/>
      <c r="N958" s="91"/>
      <c r="O958" s="91"/>
      <c r="P958" s="91"/>
    </row>
    <row r="959" ht="30.0" customHeight="1">
      <c r="A959" s="91"/>
      <c r="B959" s="91"/>
      <c r="C959" s="91"/>
      <c r="D959" s="91"/>
      <c r="E959" s="91"/>
      <c r="F959" s="91"/>
      <c r="G959" s="91"/>
      <c r="H959" s="91"/>
      <c r="I959" s="91"/>
      <c r="J959" s="91"/>
      <c r="K959" s="91"/>
      <c r="L959" s="91"/>
      <c r="M959" s="91"/>
      <c r="N959" s="91"/>
      <c r="O959" s="91"/>
      <c r="P959" s="91"/>
    </row>
    <row r="960" ht="30.0" customHeight="1">
      <c r="A960" s="91"/>
      <c r="B960" s="91"/>
      <c r="C960" s="91"/>
      <c r="D960" s="91"/>
      <c r="E960" s="91"/>
      <c r="F960" s="91"/>
      <c r="G960" s="91"/>
      <c r="H960" s="91"/>
      <c r="I960" s="91"/>
      <c r="J960" s="91"/>
      <c r="K960" s="91"/>
      <c r="L960" s="91"/>
      <c r="M960" s="91"/>
      <c r="N960" s="91"/>
      <c r="O960" s="91"/>
      <c r="P960" s="91"/>
    </row>
    <row r="961" ht="30.0" customHeight="1">
      <c r="A961" s="91"/>
      <c r="B961" s="91"/>
      <c r="C961" s="91"/>
      <c r="D961" s="91"/>
      <c r="E961" s="91"/>
      <c r="F961" s="91"/>
      <c r="G961" s="91"/>
      <c r="H961" s="91"/>
      <c r="I961" s="91"/>
      <c r="J961" s="91"/>
      <c r="K961" s="91"/>
      <c r="L961" s="91"/>
      <c r="M961" s="91"/>
      <c r="N961" s="91"/>
      <c r="O961" s="91"/>
      <c r="P961" s="91"/>
    </row>
    <row r="962" ht="30.0" customHeight="1">
      <c r="A962" s="91"/>
      <c r="B962" s="91"/>
      <c r="C962" s="91"/>
      <c r="D962" s="91"/>
      <c r="E962" s="91"/>
      <c r="F962" s="91"/>
      <c r="G962" s="91"/>
      <c r="H962" s="91"/>
      <c r="I962" s="91"/>
      <c r="J962" s="91"/>
      <c r="K962" s="91"/>
      <c r="L962" s="91"/>
      <c r="M962" s="91"/>
      <c r="N962" s="91"/>
      <c r="O962" s="91"/>
      <c r="P962" s="91"/>
    </row>
    <row r="963" ht="30.0" customHeight="1">
      <c r="A963" s="91"/>
      <c r="B963" s="91"/>
      <c r="C963" s="91"/>
      <c r="D963" s="91"/>
      <c r="E963" s="91"/>
      <c r="F963" s="91"/>
      <c r="G963" s="91"/>
      <c r="H963" s="91"/>
      <c r="I963" s="91"/>
      <c r="J963" s="91"/>
      <c r="K963" s="91"/>
      <c r="L963" s="91"/>
      <c r="M963" s="91"/>
      <c r="N963" s="91"/>
      <c r="O963" s="91"/>
      <c r="P963" s="91"/>
    </row>
    <row r="964" ht="30.0" customHeight="1">
      <c r="A964" s="91"/>
      <c r="B964" s="91"/>
      <c r="C964" s="91"/>
      <c r="D964" s="91"/>
      <c r="E964" s="91"/>
      <c r="F964" s="91"/>
      <c r="G964" s="91"/>
      <c r="H964" s="91"/>
      <c r="I964" s="91"/>
      <c r="J964" s="91"/>
      <c r="K964" s="91"/>
      <c r="L964" s="91"/>
      <c r="M964" s="91"/>
      <c r="N964" s="91"/>
      <c r="O964" s="91"/>
      <c r="P964" s="91"/>
    </row>
    <row r="965" ht="30.0" customHeight="1">
      <c r="A965" s="91"/>
      <c r="B965" s="91"/>
      <c r="C965" s="91"/>
      <c r="D965" s="91"/>
      <c r="E965" s="91"/>
      <c r="F965" s="91"/>
      <c r="G965" s="91"/>
      <c r="H965" s="91"/>
      <c r="I965" s="91"/>
      <c r="J965" s="91"/>
      <c r="K965" s="91"/>
      <c r="L965" s="91"/>
      <c r="M965" s="91"/>
      <c r="N965" s="91"/>
      <c r="O965" s="91"/>
      <c r="P965" s="91"/>
    </row>
    <row r="966" ht="30.0" customHeight="1">
      <c r="A966" s="91"/>
      <c r="B966" s="91"/>
      <c r="C966" s="91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1"/>
    </row>
    <row r="967" ht="30.0" customHeight="1">
      <c r="A967" s="91"/>
      <c r="B967" s="91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</row>
    <row r="968" ht="30.0" customHeight="1">
      <c r="A968" s="91"/>
      <c r="B968" s="91"/>
      <c r="C968" s="91"/>
      <c r="D968" s="91"/>
      <c r="E968" s="91"/>
      <c r="F968" s="91"/>
      <c r="G968" s="91"/>
      <c r="H968" s="91"/>
      <c r="I968" s="91"/>
      <c r="J968" s="91"/>
      <c r="K968" s="91"/>
      <c r="L968" s="91"/>
      <c r="M968" s="91"/>
      <c r="N968" s="91"/>
      <c r="O968" s="91"/>
      <c r="P968" s="91"/>
    </row>
    <row r="969" ht="30.0" customHeight="1">
      <c r="A969" s="91"/>
      <c r="B969" s="91"/>
      <c r="C969" s="91"/>
      <c r="D969" s="91"/>
      <c r="E969" s="91"/>
      <c r="F969" s="91"/>
      <c r="G969" s="91"/>
      <c r="H969" s="91"/>
      <c r="I969" s="91"/>
      <c r="J969" s="91"/>
      <c r="K969" s="91"/>
      <c r="L969" s="91"/>
      <c r="M969" s="91"/>
      <c r="N969" s="91"/>
      <c r="O969" s="91"/>
      <c r="P969" s="91"/>
    </row>
    <row r="970" ht="30.0" customHeight="1">
      <c r="A970" s="91"/>
      <c r="B970" s="91"/>
      <c r="C970" s="91"/>
      <c r="D970" s="91"/>
      <c r="E970" s="91"/>
      <c r="F970" s="91"/>
      <c r="G970" s="91"/>
      <c r="H970" s="91"/>
      <c r="I970" s="91"/>
      <c r="J970" s="91"/>
      <c r="K970" s="91"/>
      <c r="L970" s="91"/>
      <c r="M970" s="91"/>
      <c r="N970" s="91"/>
      <c r="O970" s="91"/>
      <c r="P970" s="91"/>
    </row>
    <row r="971" ht="30.0" customHeight="1">
      <c r="A971" s="91"/>
      <c r="B971" s="91"/>
      <c r="C971" s="91"/>
      <c r="D971" s="91"/>
      <c r="E971" s="91"/>
      <c r="F971" s="91"/>
      <c r="G971" s="91"/>
      <c r="H971" s="91"/>
      <c r="I971" s="91"/>
      <c r="J971" s="91"/>
      <c r="K971" s="91"/>
      <c r="L971" s="91"/>
      <c r="M971" s="91"/>
      <c r="N971" s="91"/>
      <c r="O971" s="91"/>
      <c r="P971" s="91"/>
    </row>
    <row r="972" ht="30.0" customHeight="1">
      <c r="A972" s="91"/>
      <c r="B972" s="91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</row>
    <row r="973" ht="30.0" customHeight="1">
      <c r="A973" s="91"/>
      <c r="B973" s="91"/>
      <c r="C973" s="91"/>
      <c r="D973" s="91"/>
      <c r="E973" s="91"/>
      <c r="F973" s="91"/>
      <c r="G973" s="91"/>
      <c r="H973" s="91"/>
      <c r="I973" s="91"/>
      <c r="J973" s="91"/>
      <c r="K973" s="91"/>
      <c r="L973" s="91"/>
      <c r="M973" s="91"/>
      <c r="N973" s="91"/>
      <c r="O973" s="91"/>
      <c r="P973" s="91"/>
    </row>
    <row r="974" ht="30.0" customHeight="1">
      <c r="A974" s="91"/>
      <c r="B974" s="91"/>
      <c r="C974" s="91"/>
      <c r="D974" s="91"/>
      <c r="E974" s="91"/>
      <c r="F974" s="91"/>
      <c r="G974" s="91"/>
      <c r="H974" s="91"/>
      <c r="I974" s="91"/>
      <c r="J974" s="91"/>
      <c r="K974" s="91"/>
      <c r="L974" s="91"/>
      <c r="M974" s="91"/>
      <c r="N974" s="91"/>
      <c r="O974" s="91"/>
      <c r="P974" s="91"/>
    </row>
    <row r="975" ht="30.0" customHeight="1">
      <c r="A975" s="91"/>
      <c r="B975" s="91"/>
      <c r="C975" s="91"/>
      <c r="D975" s="91"/>
      <c r="E975" s="91"/>
      <c r="F975" s="91"/>
      <c r="G975" s="91"/>
      <c r="H975" s="91"/>
      <c r="I975" s="91"/>
      <c r="J975" s="91"/>
      <c r="K975" s="91"/>
      <c r="L975" s="91"/>
      <c r="M975" s="91"/>
      <c r="N975" s="91"/>
      <c r="O975" s="91"/>
      <c r="P975" s="91"/>
    </row>
    <row r="976" ht="30.0" customHeight="1">
      <c r="A976" s="91"/>
      <c r="B976" s="91"/>
      <c r="C976" s="91"/>
      <c r="D976" s="91"/>
      <c r="E976" s="91"/>
      <c r="F976" s="91"/>
      <c r="G976" s="91"/>
      <c r="H976" s="91"/>
      <c r="I976" s="91"/>
      <c r="J976" s="91"/>
      <c r="K976" s="91"/>
      <c r="L976" s="91"/>
      <c r="M976" s="91"/>
      <c r="N976" s="91"/>
      <c r="O976" s="91"/>
      <c r="P976" s="91"/>
    </row>
    <row r="977" ht="30.0" customHeight="1">
      <c r="A977" s="91"/>
      <c r="B977" s="91"/>
      <c r="C977" s="91"/>
      <c r="D977" s="91"/>
      <c r="E977" s="91"/>
      <c r="F977" s="91"/>
      <c r="G977" s="91"/>
      <c r="H977" s="91"/>
      <c r="I977" s="91"/>
      <c r="J977" s="91"/>
      <c r="K977" s="91"/>
      <c r="L977" s="91"/>
      <c r="M977" s="91"/>
      <c r="N977" s="91"/>
      <c r="O977" s="91"/>
      <c r="P977" s="91"/>
    </row>
    <row r="978" ht="30.0" customHeight="1">
      <c r="A978" s="91"/>
      <c r="B978" s="91"/>
      <c r="C978" s="91"/>
      <c r="D978" s="91"/>
      <c r="E978" s="91"/>
      <c r="F978" s="91"/>
      <c r="G978" s="91"/>
      <c r="H978" s="91"/>
      <c r="I978" s="91"/>
      <c r="J978" s="91"/>
      <c r="K978" s="91"/>
      <c r="L978" s="91"/>
      <c r="M978" s="91"/>
      <c r="N978" s="91"/>
      <c r="O978" s="91"/>
      <c r="P978" s="91"/>
    </row>
    <row r="979" ht="30.0" customHeight="1">
      <c r="A979" s="91"/>
      <c r="B979" s="91"/>
      <c r="C979" s="91"/>
      <c r="D979" s="91"/>
      <c r="E979" s="91"/>
      <c r="F979" s="91"/>
      <c r="G979" s="91"/>
      <c r="H979" s="91"/>
      <c r="I979" s="91"/>
      <c r="J979" s="91"/>
      <c r="K979" s="91"/>
      <c r="L979" s="91"/>
      <c r="M979" s="91"/>
      <c r="N979" s="91"/>
      <c r="O979" s="91"/>
      <c r="P979" s="91"/>
    </row>
    <row r="980" ht="30.0" customHeight="1">
      <c r="A980" s="91"/>
      <c r="B980" s="91"/>
      <c r="C980" s="91"/>
      <c r="D980" s="91"/>
      <c r="E980" s="91"/>
      <c r="F980" s="91"/>
      <c r="G980" s="91"/>
      <c r="H980" s="91"/>
      <c r="I980" s="91"/>
      <c r="J980" s="91"/>
      <c r="K980" s="91"/>
      <c r="L980" s="91"/>
      <c r="M980" s="91"/>
      <c r="N980" s="91"/>
      <c r="O980" s="91"/>
      <c r="P980" s="91"/>
    </row>
    <row r="981" ht="30.0" customHeight="1">
      <c r="A981" s="91"/>
      <c r="B981" s="91"/>
      <c r="C981" s="91"/>
      <c r="D981" s="91"/>
      <c r="E981" s="91"/>
      <c r="F981" s="91"/>
      <c r="G981" s="91"/>
      <c r="H981" s="91"/>
      <c r="I981" s="91"/>
      <c r="J981" s="91"/>
      <c r="K981" s="91"/>
      <c r="L981" s="91"/>
      <c r="M981" s="91"/>
      <c r="N981" s="91"/>
      <c r="O981" s="91"/>
      <c r="P981" s="91"/>
    </row>
    <row r="982" ht="30.0" customHeight="1">
      <c r="A982" s="91"/>
      <c r="B982" s="91"/>
      <c r="C982" s="91"/>
      <c r="D982" s="91"/>
      <c r="E982" s="91"/>
      <c r="F982" s="91"/>
      <c r="G982" s="91"/>
      <c r="H982" s="91"/>
      <c r="I982" s="91"/>
      <c r="J982" s="91"/>
      <c r="K982" s="91"/>
      <c r="L982" s="91"/>
      <c r="M982" s="91"/>
      <c r="N982" s="91"/>
      <c r="O982" s="91"/>
      <c r="P982" s="91"/>
    </row>
    <row r="983" ht="30.0" customHeight="1">
      <c r="A983" s="91"/>
      <c r="B983" s="91"/>
      <c r="C983" s="91"/>
      <c r="D983" s="91"/>
      <c r="E983" s="91"/>
      <c r="F983" s="91"/>
      <c r="G983" s="91"/>
      <c r="H983" s="91"/>
      <c r="I983" s="91"/>
      <c r="J983" s="91"/>
      <c r="K983" s="91"/>
      <c r="L983" s="91"/>
      <c r="M983" s="91"/>
      <c r="N983" s="91"/>
      <c r="O983" s="91"/>
      <c r="P983" s="91"/>
    </row>
    <row r="984" ht="30.0" customHeight="1">
      <c r="A984" s="91"/>
      <c r="B984" s="91"/>
      <c r="C984" s="91"/>
      <c r="D984" s="91"/>
      <c r="E984" s="91"/>
      <c r="F984" s="91"/>
      <c r="G984" s="91"/>
      <c r="H984" s="91"/>
      <c r="I984" s="91"/>
      <c r="J984" s="91"/>
      <c r="K984" s="91"/>
      <c r="L984" s="91"/>
      <c r="M984" s="91"/>
      <c r="N984" s="91"/>
      <c r="O984" s="91"/>
      <c r="P984" s="91"/>
    </row>
    <row r="985" ht="30.0" customHeight="1">
      <c r="A985" s="91"/>
      <c r="B985" s="91"/>
      <c r="C985" s="91"/>
      <c r="D985" s="91"/>
      <c r="E985" s="91"/>
      <c r="F985" s="91"/>
      <c r="G985" s="91"/>
      <c r="H985" s="91"/>
      <c r="I985" s="91"/>
      <c r="J985" s="91"/>
      <c r="K985" s="91"/>
      <c r="L985" s="91"/>
      <c r="M985" s="91"/>
      <c r="N985" s="91"/>
      <c r="O985" s="91"/>
      <c r="P985" s="91"/>
    </row>
    <row r="986" ht="30.0" customHeight="1">
      <c r="A986" s="91"/>
      <c r="B986" s="91"/>
      <c r="C986" s="91"/>
      <c r="D986" s="91"/>
      <c r="E986" s="91"/>
      <c r="F986" s="91"/>
      <c r="G986" s="91"/>
      <c r="H986" s="91"/>
      <c r="I986" s="91"/>
      <c r="J986" s="91"/>
      <c r="K986" s="91"/>
      <c r="L986" s="91"/>
      <c r="M986" s="91"/>
      <c r="N986" s="91"/>
      <c r="O986" s="91"/>
      <c r="P986" s="91"/>
    </row>
    <row r="987" ht="30.0" customHeight="1">
      <c r="A987" s="91"/>
      <c r="B987" s="91"/>
      <c r="C987" s="91"/>
      <c r="D987" s="91"/>
      <c r="E987" s="91"/>
      <c r="F987" s="91"/>
      <c r="G987" s="91"/>
      <c r="H987" s="91"/>
      <c r="I987" s="91"/>
      <c r="J987" s="91"/>
      <c r="K987" s="91"/>
      <c r="L987" s="91"/>
      <c r="M987" s="91"/>
      <c r="N987" s="91"/>
      <c r="O987" s="91"/>
      <c r="P987" s="91"/>
    </row>
    <row r="988" ht="30.0" customHeight="1">
      <c r="A988" s="91"/>
      <c r="B988" s="91"/>
      <c r="C988" s="91"/>
      <c r="D988" s="91"/>
      <c r="E988" s="91"/>
      <c r="F988" s="91"/>
      <c r="G988" s="91"/>
      <c r="H988" s="91"/>
      <c r="I988" s="91"/>
      <c r="J988" s="91"/>
      <c r="K988" s="91"/>
      <c r="L988" s="91"/>
      <c r="M988" s="91"/>
      <c r="N988" s="91"/>
      <c r="O988" s="91"/>
      <c r="P988" s="91"/>
    </row>
    <row r="989" ht="30.0" customHeight="1">
      <c r="A989" s="91"/>
      <c r="B989" s="91"/>
      <c r="C989" s="91"/>
      <c r="D989" s="91"/>
      <c r="E989" s="91"/>
      <c r="F989" s="91"/>
      <c r="G989" s="91"/>
      <c r="H989" s="91"/>
      <c r="I989" s="91"/>
      <c r="J989" s="91"/>
      <c r="K989" s="91"/>
      <c r="L989" s="91"/>
      <c r="M989" s="91"/>
      <c r="N989" s="91"/>
      <c r="O989" s="91"/>
      <c r="P989" s="91"/>
    </row>
    <row r="990" ht="30.0" customHeight="1">
      <c r="A990" s="91"/>
      <c r="B990" s="91"/>
      <c r="C990" s="91"/>
      <c r="D990" s="91"/>
      <c r="E990" s="91"/>
      <c r="F990" s="91"/>
      <c r="G990" s="91"/>
      <c r="H990" s="91"/>
      <c r="I990" s="91"/>
      <c r="J990" s="91"/>
      <c r="K990" s="91"/>
      <c r="L990" s="91"/>
      <c r="M990" s="91"/>
      <c r="N990" s="91"/>
      <c r="O990" s="91"/>
      <c r="P990" s="91"/>
    </row>
    <row r="991" ht="30.0" customHeight="1">
      <c r="A991" s="91"/>
      <c r="B991" s="91"/>
      <c r="C991" s="91"/>
      <c r="D991" s="91"/>
      <c r="E991" s="91"/>
      <c r="F991" s="91"/>
      <c r="G991" s="91"/>
      <c r="H991" s="91"/>
      <c r="I991" s="91"/>
      <c r="J991" s="91"/>
      <c r="K991" s="91"/>
      <c r="L991" s="91"/>
      <c r="M991" s="91"/>
      <c r="N991" s="91"/>
      <c r="O991" s="91"/>
      <c r="P991" s="91"/>
    </row>
    <row r="992" ht="30.0" customHeight="1">
      <c r="A992" s="91"/>
      <c r="B992" s="91"/>
      <c r="C992" s="91"/>
      <c r="D992" s="91"/>
      <c r="E992" s="91"/>
      <c r="F992" s="91"/>
      <c r="G992" s="91"/>
      <c r="H992" s="91"/>
      <c r="I992" s="91"/>
      <c r="J992" s="91"/>
      <c r="K992" s="91"/>
      <c r="L992" s="91"/>
      <c r="M992" s="91"/>
      <c r="N992" s="91"/>
      <c r="O992" s="91"/>
      <c r="P992" s="91"/>
    </row>
    <row r="993" ht="30.0" customHeight="1">
      <c r="A993" s="91"/>
      <c r="B993" s="91"/>
      <c r="C993" s="91"/>
      <c r="D993" s="91"/>
      <c r="E993" s="91"/>
      <c r="F993" s="91"/>
      <c r="G993" s="91"/>
      <c r="H993" s="91"/>
      <c r="I993" s="91"/>
      <c r="J993" s="91"/>
      <c r="K993" s="91"/>
      <c r="L993" s="91"/>
      <c r="M993" s="91"/>
      <c r="N993" s="91"/>
      <c r="O993" s="91"/>
      <c r="P993" s="91"/>
    </row>
    <row r="994" ht="30.0" customHeight="1">
      <c r="A994" s="91"/>
      <c r="B994" s="91"/>
      <c r="C994" s="91"/>
      <c r="D994" s="91"/>
      <c r="E994" s="91"/>
      <c r="F994" s="91"/>
      <c r="G994" s="91"/>
      <c r="H994" s="91"/>
      <c r="I994" s="91"/>
      <c r="J994" s="91"/>
      <c r="K994" s="91"/>
      <c r="L994" s="91"/>
      <c r="M994" s="91"/>
      <c r="N994" s="91"/>
      <c r="O994" s="91"/>
      <c r="P994" s="91"/>
    </row>
    <row r="995" ht="30.0" customHeight="1">
      <c r="A995" s="91"/>
      <c r="B995" s="91"/>
      <c r="C995" s="91"/>
      <c r="D995" s="91"/>
      <c r="E995" s="91"/>
      <c r="F995" s="91"/>
      <c r="G995" s="91"/>
      <c r="H995" s="91"/>
      <c r="I995" s="91"/>
      <c r="J995" s="91"/>
      <c r="K995" s="91"/>
      <c r="L995" s="91"/>
      <c r="M995" s="91"/>
      <c r="N995" s="91"/>
      <c r="O995" s="91"/>
      <c r="P995" s="91"/>
    </row>
    <row r="996" ht="30.0" customHeight="1">
      <c r="A996" s="91"/>
      <c r="B996" s="91"/>
      <c r="C996" s="91"/>
      <c r="D996" s="91"/>
      <c r="E996" s="91"/>
      <c r="F996" s="91"/>
      <c r="G996" s="91"/>
      <c r="H996" s="91"/>
      <c r="I996" s="91"/>
      <c r="J996" s="91"/>
      <c r="K996" s="91"/>
      <c r="L996" s="91"/>
      <c r="M996" s="91"/>
      <c r="N996" s="91"/>
      <c r="O996" s="91"/>
      <c r="P996" s="91"/>
    </row>
    <row r="997" ht="30.0" customHeight="1">
      <c r="A997" s="91"/>
      <c r="B997" s="91"/>
      <c r="C997" s="91"/>
      <c r="D997" s="91"/>
      <c r="E997" s="91"/>
      <c r="F997" s="91"/>
      <c r="G997" s="91"/>
      <c r="H997" s="91"/>
      <c r="I997" s="91"/>
      <c r="J997" s="91"/>
      <c r="K997" s="91"/>
      <c r="L997" s="91"/>
      <c r="M997" s="91"/>
      <c r="N997" s="91"/>
      <c r="O997" s="91"/>
      <c r="P997" s="91"/>
    </row>
    <row r="998" ht="30.0" customHeight="1">
      <c r="A998" s="91"/>
      <c r="B998" s="91"/>
      <c r="C998" s="91"/>
      <c r="D998" s="91"/>
      <c r="E998" s="91"/>
      <c r="F998" s="91"/>
      <c r="G998" s="91"/>
      <c r="H998" s="91"/>
      <c r="I998" s="91"/>
      <c r="J998" s="91"/>
      <c r="K998" s="91"/>
      <c r="L998" s="91"/>
      <c r="M998" s="91"/>
      <c r="N998" s="91"/>
      <c r="O998" s="91"/>
      <c r="P998" s="91"/>
    </row>
    <row r="999" ht="30.0" customHeight="1">
      <c r="A999" s="91"/>
      <c r="B999" s="91"/>
      <c r="C999" s="91"/>
      <c r="D999" s="91"/>
      <c r="E999" s="91"/>
      <c r="F999" s="91"/>
      <c r="G999" s="91"/>
      <c r="H999" s="91"/>
      <c r="I999" s="91"/>
      <c r="J999" s="91"/>
      <c r="K999" s="91"/>
      <c r="L999" s="91"/>
      <c r="M999" s="91"/>
      <c r="N999" s="91"/>
      <c r="O999" s="91"/>
      <c r="P999" s="91"/>
    </row>
    <row r="1000" ht="30.0" customHeight="1">
      <c r="A1000" s="91"/>
      <c r="B1000" s="91"/>
      <c r="C1000" s="91"/>
      <c r="D1000" s="91"/>
      <c r="E1000" s="91"/>
      <c r="F1000" s="91"/>
      <c r="G1000" s="91"/>
      <c r="H1000" s="91"/>
      <c r="I1000" s="91"/>
      <c r="J1000" s="91"/>
      <c r="K1000" s="91"/>
      <c r="L1000" s="91"/>
      <c r="M1000" s="91"/>
      <c r="N1000" s="91"/>
      <c r="O1000" s="91"/>
      <c r="P1000" s="91"/>
    </row>
    <row r="1001" ht="30.0" customHeight="1">
      <c r="A1001" s="91"/>
      <c r="B1001" s="91"/>
      <c r="C1001" s="91"/>
      <c r="D1001" s="91"/>
      <c r="E1001" s="91"/>
      <c r="F1001" s="91"/>
      <c r="G1001" s="91"/>
      <c r="H1001" s="91"/>
      <c r="I1001" s="91"/>
      <c r="J1001" s="91"/>
      <c r="K1001" s="91"/>
      <c r="L1001" s="91"/>
      <c r="M1001" s="91"/>
      <c r="N1001" s="91"/>
      <c r="O1001" s="91"/>
      <c r="P1001" s="91"/>
    </row>
    <row r="1002" ht="30.0" customHeight="1">
      <c r="A1002" s="91"/>
      <c r="B1002" s="91"/>
      <c r="C1002" s="91"/>
      <c r="D1002" s="91"/>
      <c r="E1002" s="91"/>
      <c r="F1002" s="91"/>
      <c r="G1002" s="91"/>
      <c r="H1002" s="91"/>
      <c r="I1002" s="91"/>
      <c r="J1002" s="91"/>
      <c r="K1002" s="91"/>
      <c r="L1002" s="91"/>
      <c r="M1002" s="91"/>
      <c r="N1002" s="91"/>
      <c r="O1002" s="91"/>
      <c r="P1002" s="91"/>
    </row>
    <row r="1003" ht="30.0" customHeight="1">
      <c r="A1003" s="91"/>
      <c r="B1003" s="91"/>
      <c r="C1003" s="91"/>
      <c r="D1003" s="91"/>
      <c r="E1003" s="91"/>
      <c r="F1003" s="91"/>
      <c r="G1003" s="91"/>
      <c r="H1003" s="91"/>
      <c r="I1003" s="91"/>
      <c r="J1003" s="91"/>
      <c r="K1003" s="91"/>
      <c r="L1003" s="91"/>
      <c r="M1003" s="91"/>
      <c r="N1003" s="91"/>
      <c r="O1003" s="91"/>
      <c r="P1003" s="91"/>
    </row>
    <row r="1004" ht="30.0" customHeight="1">
      <c r="A1004" s="91"/>
      <c r="B1004" s="91"/>
      <c r="C1004" s="91"/>
      <c r="D1004" s="91"/>
      <c r="E1004" s="91"/>
      <c r="F1004" s="91"/>
      <c r="G1004" s="91"/>
      <c r="H1004" s="91"/>
      <c r="I1004" s="91"/>
      <c r="J1004" s="91"/>
      <c r="K1004" s="91"/>
      <c r="L1004" s="91"/>
      <c r="M1004" s="91"/>
      <c r="N1004" s="91"/>
      <c r="O1004" s="91"/>
      <c r="P1004" s="91"/>
    </row>
    <row r="1005" ht="30.0" customHeight="1">
      <c r="A1005" s="91"/>
      <c r="B1005" s="91"/>
      <c r="C1005" s="91"/>
      <c r="D1005" s="91"/>
      <c r="E1005" s="91"/>
      <c r="F1005" s="91"/>
      <c r="G1005" s="91"/>
      <c r="H1005" s="91"/>
      <c r="I1005" s="91"/>
      <c r="J1005" s="91"/>
      <c r="K1005" s="91"/>
      <c r="L1005" s="91"/>
      <c r="M1005" s="91"/>
      <c r="N1005" s="91"/>
      <c r="O1005" s="91"/>
      <c r="P1005" s="91"/>
    </row>
    <row r="1006" ht="30.0" customHeight="1">
      <c r="A1006" s="91"/>
      <c r="B1006" s="91"/>
      <c r="C1006" s="91"/>
      <c r="D1006" s="91"/>
      <c r="E1006" s="91"/>
      <c r="F1006" s="91"/>
      <c r="G1006" s="91"/>
      <c r="H1006" s="91"/>
      <c r="I1006" s="91"/>
      <c r="J1006" s="91"/>
      <c r="K1006" s="91"/>
      <c r="L1006" s="91"/>
      <c r="M1006" s="91"/>
      <c r="N1006" s="91"/>
      <c r="O1006" s="91"/>
      <c r="P1006" s="91"/>
    </row>
  </sheetData>
  <mergeCells count="1">
    <mergeCell ref="N3:O3"/>
  </mergeCell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 outlineLevelCol="1"/>
  <cols>
    <col customWidth="1" min="1" max="1" width="2.63"/>
    <col customWidth="1" min="2" max="2" width="27.63"/>
    <col customWidth="1" min="3" max="33" width="3.88"/>
    <col customWidth="1" min="34" max="36" width="7.63"/>
    <col customWidth="1" min="37" max="37" width="2.63"/>
  </cols>
  <sheetData>
    <row r="1">
      <c r="A1" s="16"/>
      <c r="B1" s="70" t="s">
        <v>211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7"/>
      <c r="AI1" s="97"/>
      <c r="AJ1" s="97"/>
      <c r="AK1" s="97"/>
    </row>
    <row r="2">
      <c r="A2" s="16"/>
      <c r="B2" s="98" t="str">
        <f>text(today(),"mmmm")&amp;" "&amp;text(today(),"yyyy")</f>
        <v>Juli 2026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8"/>
      <c r="AI2" s="98"/>
      <c r="AJ2" s="98"/>
      <c r="AK2" s="98"/>
    </row>
    <row r="3">
      <c r="A3" s="16"/>
      <c r="B3" s="16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6"/>
      <c r="AI3" s="16"/>
      <c r="AJ3" s="16"/>
      <c r="AK3" s="16"/>
    </row>
    <row r="4">
      <c r="A4" s="16"/>
      <c r="B4" s="16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6"/>
      <c r="AI4" s="16"/>
      <c r="AJ4" s="16"/>
      <c r="AK4" s="16"/>
    </row>
    <row r="5">
      <c r="A5" s="102"/>
      <c r="B5" s="103" t="s">
        <v>214</v>
      </c>
      <c r="C5" s="104">
        <v>1.0</v>
      </c>
      <c r="D5" s="104">
        <v>2.0</v>
      </c>
      <c r="E5" s="104">
        <v>3.0</v>
      </c>
      <c r="F5" s="104">
        <v>4.0</v>
      </c>
      <c r="G5" s="104">
        <v>5.0</v>
      </c>
      <c r="H5" s="104">
        <v>6.0</v>
      </c>
      <c r="I5" s="104">
        <v>7.0</v>
      </c>
      <c r="J5" s="104">
        <v>8.0</v>
      </c>
      <c r="K5" s="104">
        <v>9.0</v>
      </c>
      <c r="L5" s="104">
        <v>10.0</v>
      </c>
      <c r="M5" s="104">
        <v>11.0</v>
      </c>
      <c r="N5" s="104">
        <v>12.0</v>
      </c>
      <c r="O5" s="104">
        <v>13.0</v>
      </c>
      <c r="P5" s="104">
        <v>14.0</v>
      </c>
      <c r="Q5" s="104">
        <v>15.0</v>
      </c>
      <c r="R5" s="104">
        <v>16.0</v>
      </c>
      <c r="S5" s="104">
        <v>17.0</v>
      </c>
      <c r="T5" s="104">
        <v>18.0</v>
      </c>
      <c r="U5" s="104">
        <v>19.0</v>
      </c>
      <c r="V5" s="104">
        <v>20.0</v>
      </c>
      <c r="W5" s="104">
        <v>21.0</v>
      </c>
      <c r="X5" s="104">
        <v>22.0</v>
      </c>
      <c r="Y5" s="104">
        <v>23.0</v>
      </c>
      <c r="Z5" s="104">
        <v>24.0</v>
      </c>
      <c r="AA5" s="104">
        <v>25.0</v>
      </c>
      <c r="AB5" s="104">
        <v>26.0</v>
      </c>
      <c r="AC5" s="104">
        <v>27.0</v>
      </c>
      <c r="AD5" s="104">
        <v>28.0</v>
      </c>
      <c r="AE5" s="104">
        <v>29.0</v>
      </c>
      <c r="AF5" s="104">
        <v>30.0</v>
      </c>
      <c r="AG5" s="104">
        <v>31.0</v>
      </c>
      <c r="AH5" s="104" t="s">
        <v>215</v>
      </c>
      <c r="AI5" s="104" t="s">
        <v>216</v>
      </c>
      <c r="AJ5" s="104" t="s">
        <v>217</v>
      </c>
      <c r="AK5" s="105"/>
    </row>
    <row r="6" ht="22.5" customHeight="1">
      <c r="A6" s="16"/>
      <c r="B6" s="106" t="s">
        <v>218</v>
      </c>
      <c r="C6" s="107"/>
      <c r="D6" s="107"/>
      <c r="E6" s="108"/>
      <c r="F6" s="108"/>
      <c r="G6" s="108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9"/>
      <c r="AI6" s="109"/>
      <c r="AJ6" s="109"/>
      <c r="AK6" s="16"/>
    </row>
    <row r="7" ht="22.5" customHeight="1">
      <c r="A7" s="16"/>
      <c r="B7" s="106" t="s">
        <v>220</v>
      </c>
      <c r="C7" s="107"/>
      <c r="D7" s="107"/>
      <c r="E7" s="108"/>
      <c r="F7" s="108"/>
      <c r="G7" s="108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9"/>
      <c r="AI7" s="109"/>
      <c r="AJ7" s="109"/>
      <c r="AK7" s="16"/>
    </row>
    <row r="8" ht="22.5" customHeight="1">
      <c r="A8" s="16"/>
      <c r="B8" s="106" t="s">
        <v>221</v>
      </c>
      <c r="C8" s="107"/>
      <c r="D8" s="107"/>
      <c r="E8" s="108"/>
      <c r="F8" s="108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9"/>
      <c r="AI8" s="109"/>
      <c r="AJ8" s="109"/>
      <c r="AK8" s="16"/>
    </row>
    <row r="9" ht="22.5" customHeight="1">
      <c r="A9" s="16"/>
      <c r="B9" s="106" t="s">
        <v>222</v>
      </c>
      <c r="C9" s="108"/>
      <c r="D9" s="107"/>
      <c r="E9" s="108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9"/>
      <c r="AI9" s="109"/>
      <c r="AJ9" s="109"/>
      <c r="AK9" s="16"/>
    </row>
    <row r="10">
      <c r="A10" s="16"/>
      <c r="B10" s="16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6"/>
      <c r="AI10" s="16"/>
      <c r="AJ10" s="16"/>
      <c r="AK10" s="16"/>
    </row>
    <row r="11">
      <c r="A11" s="16"/>
      <c r="B11" s="16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6"/>
      <c r="AI11" s="16"/>
      <c r="AJ11" s="16"/>
      <c r="AK11" s="16"/>
    </row>
    <row r="12">
      <c r="A12" s="16"/>
      <c r="B12" s="110" t="s">
        <v>223</v>
      </c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6"/>
      <c r="AI12" s="16"/>
      <c r="AJ12" s="16"/>
      <c r="AK12" s="16"/>
    </row>
    <row r="13">
      <c r="A13" s="16"/>
      <c r="B13" s="16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6"/>
      <c r="AI13" s="16"/>
      <c r="AJ13" s="16"/>
      <c r="AK13" s="16"/>
    </row>
    <row r="14">
      <c r="A14" s="16"/>
      <c r="B14" s="16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6"/>
      <c r="AI14" s="16"/>
      <c r="AJ14" s="16"/>
      <c r="AK14" s="16"/>
    </row>
    <row r="15">
      <c r="A15" s="16"/>
      <c r="B15" s="16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6"/>
      <c r="AI15" s="16"/>
      <c r="AJ15" s="16"/>
      <c r="AK15" s="16"/>
    </row>
    <row r="16">
      <c r="A16" s="16"/>
      <c r="B16" s="16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6"/>
      <c r="AI16" s="16"/>
      <c r="AJ16" s="16"/>
      <c r="AK16" s="16"/>
    </row>
    <row r="17">
      <c r="A17" s="16"/>
      <c r="B17" s="16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6"/>
      <c r="AI17" s="16"/>
      <c r="AJ17" s="16"/>
      <c r="AK17" s="16"/>
    </row>
    <row r="18">
      <c r="A18" s="16"/>
      <c r="B18" s="16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6"/>
      <c r="AI18" s="16"/>
      <c r="AJ18" s="16"/>
      <c r="AK18" s="16"/>
    </row>
    <row r="19">
      <c r="A19" s="16"/>
      <c r="B19" s="16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6"/>
      <c r="AI19" s="16"/>
      <c r="AJ19" s="16"/>
      <c r="AK19" s="16"/>
    </row>
    <row r="20">
      <c r="A20" s="16"/>
      <c r="B20" s="16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6"/>
      <c r="AI20" s="16"/>
      <c r="AJ20" s="16"/>
      <c r="AK20" s="16"/>
    </row>
    <row r="21">
      <c r="A21" s="16"/>
      <c r="B21" s="16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6"/>
      <c r="AI21" s="16"/>
      <c r="AJ21" s="16"/>
      <c r="AK21" s="16"/>
    </row>
    <row r="22">
      <c r="A22" s="16"/>
      <c r="B22" s="16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6"/>
      <c r="AI22" s="16"/>
      <c r="AJ22" s="16"/>
      <c r="AK22" s="16"/>
    </row>
    <row r="23">
      <c r="A23" s="16"/>
      <c r="B23" s="16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6"/>
      <c r="AI23" s="16"/>
      <c r="AJ23" s="16"/>
      <c r="AK23" s="16"/>
    </row>
    <row r="24">
      <c r="A24" s="16"/>
      <c r="B24" s="16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6"/>
      <c r="AI24" s="16"/>
      <c r="AJ24" s="16"/>
      <c r="AK24" s="16"/>
    </row>
    <row r="25">
      <c r="A25" s="16"/>
      <c r="B25" s="16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6"/>
      <c r="AI25" s="16"/>
      <c r="AJ25" s="16"/>
      <c r="AK25" s="16"/>
    </row>
    <row r="26">
      <c r="A26" s="16"/>
      <c r="B26" s="16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6"/>
      <c r="AI26" s="16"/>
      <c r="AJ26" s="16"/>
      <c r="AK26" s="16"/>
    </row>
    <row r="27">
      <c r="A27" s="16"/>
      <c r="B27" s="16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6"/>
      <c r="AI27" s="16"/>
      <c r="AJ27" s="16"/>
      <c r="AK27" s="16"/>
    </row>
    <row r="28">
      <c r="A28" s="16"/>
      <c r="B28" s="16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6"/>
      <c r="AI28" s="16"/>
      <c r="AJ28" s="16"/>
      <c r="AK28" s="16"/>
    </row>
    <row r="29">
      <c r="A29" s="16"/>
      <c r="B29" s="16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6"/>
      <c r="AI29" s="16"/>
      <c r="AJ29" s="16"/>
      <c r="AK29" s="16"/>
    </row>
    <row r="30">
      <c r="A30" s="16"/>
      <c r="B30" s="16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6"/>
      <c r="AI30" s="16"/>
      <c r="AJ30" s="16"/>
      <c r="AK30" s="16"/>
    </row>
    <row r="31">
      <c r="A31" s="16"/>
      <c r="B31" s="16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6"/>
      <c r="AI31" s="16"/>
      <c r="AJ31" s="16"/>
      <c r="AK31" s="16"/>
    </row>
    <row r="32">
      <c r="A32" s="16"/>
      <c r="B32" s="16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6"/>
      <c r="AI32" s="16"/>
      <c r="AJ32" s="16"/>
      <c r="AK32" s="16"/>
    </row>
    <row r="33">
      <c r="A33" s="16"/>
      <c r="B33" s="16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6"/>
      <c r="AI33" s="16"/>
      <c r="AJ33" s="16"/>
      <c r="AK33" s="16"/>
    </row>
    <row r="34">
      <c r="A34" s="16"/>
      <c r="B34" s="16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6"/>
      <c r="AI34" s="16"/>
      <c r="AJ34" s="16"/>
      <c r="AK34" s="16"/>
    </row>
    <row r="35">
      <c r="A35" s="16"/>
      <c r="B35" s="16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6"/>
      <c r="AI35" s="16"/>
      <c r="AJ35" s="16"/>
      <c r="AK35" s="16"/>
    </row>
    <row r="36">
      <c r="A36" s="16"/>
      <c r="B36" s="16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6"/>
      <c r="AI36" s="16"/>
      <c r="AJ36" s="16"/>
      <c r="AK36" s="16"/>
    </row>
    <row r="37">
      <c r="A37" s="16"/>
      <c r="B37" s="16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6"/>
      <c r="AI37" s="16"/>
      <c r="AJ37" s="16"/>
      <c r="AK37" s="16"/>
    </row>
    <row r="38">
      <c r="A38" s="16"/>
      <c r="B38" s="16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6"/>
      <c r="AI38" s="16"/>
      <c r="AJ38" s="16"/>
      <c r="AK38" s="16"/>
    </row>
    <row r="39">
      <c r="A39" s="16"/>
      <c r="B39" s="16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6"/>
      <c r="AI39" s="16"/>
      <c r="AJ39" s="16"/>
      <c r="AK39" s="16"/>
    </row>
    <row r="40">
      <c r="A40" s="16"/>
      <c r="B40" s="16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6"/>
      <c r="AI40" s="16"/>
      <c r="AJ40" s="16"/>
      <c r="AK40" s="16"/>
    </row>
    <row r="41">
      <c r="A41" s="16"/>
      <c r="B41" s="16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6"/>
      <c r="AI41" s="16"/>
      <c r="AJ41" s="16"/>
      <c r="AK41" s="16"/>
    </row>
    <row r="42">
      <c r="A42" s="16"/>
      <c r="B42" s="16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6"/>
      <c r="AI42" s="16"/>
      <c r="AJ42" s="16"/>
      <c r="AK42" s="16"/>
    </row>
    <row r="43">
      <c r="A43" s="16"/>
      <c r="B43" s="16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6"/>
      <c r="AI43" s="16"/>
      <c r="AJ43" s="16"/>
      <c r="AK43" s="16"/>
    </row>
    <row r="44">
      <c r="A44" s="16"/>
      <c r="B44" s="16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6"/>
      <c r="AI44" s="16"/>
      <c r="AJ44" s="16"/>
      <c r="AK44" s="16"/>
    </row>
    <row r="45">
      <c r="A45" s="16"/>
      <c r="B45" s="16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6"/>
      <c r="AI45" s="16"/>
      <c r="AJ45" s="16"/>
      <c r="AK45" s="16"/>
    </row>
    <row r="46">
      <c r="A46" s="16"/>
      <c r="B46" s="16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6"/>
      <c r="AI46" s="16"/>
      <c r="AJ46" s="16"/>
      <c r="AK46" s="16"/>
    </row>
    <row r="47">
      <c r="A47" s="16"/>
      <c r="B47" s="16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6"/>
      <c r="AI47" s="16"/>
      <c r="AJ47" s="16"/>
      <c r="AK47" s="16"/>
    </row>
    <row r="48">
      <c r="A48" s="16"/>
      <c r="B48" s="16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6"/>
      <c r="AI48" s="16"/>
      <c r="AJ48" s="16"/>
      <c r="AK48" s="16"/>
    </row>
    <row r="49">
      <c r="A49" s="16"/>
      <c r="B49" s="16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6"/>
      <c r="AI49" s="16"/>
      <c r="AJ49" s="16"/>
      <c r="AK49" s="16"/>
    </row>
    <row r="50">
      <c r="A50" s="16"/>
      <c r="B50" s="16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6"/>
      <c r="AI50" s="16"/>
      <c r="AJ50" s="16"/>
      <c r="AK50" s="16"/>
    </row>
    <row r="51">
      <c r="A51" s="16"/>
      <c r="B51" s="16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6"/>
      <c r="AI51" s="16"/>
      <c r="AJ51" s="16"/>
      <c r="AK51" s="16"/>
    </row>
    <row r="52">
      <c r="A52" s="16"/>
      <c r="B52" s="16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6"/>
      <c r="AI52" s="16"/>
      <c r="AJ52" s="16"/>
      <c r="AK52" s="16"/>
    </row>
    <row r="53">
      <c r="A53" s="16"/>
      <c r="B53" s="16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6"/>
      <c r="AI53" s="16"/>
      <c r="AJ53" s="16"/>
      <c r="AK53" s="16"/>
    </row>
    <row r="54">
      <c r="A54" s="16"/>
      <c r="B54" s="16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6"/>
      <c r="AI54" s="16"/>
      <c r="AJ54" s="16"/>
      <c r="AK54" s="16"/>
    </row>
    <row r="55">
      <c r="A55" s="16"/>
      <c r="B55" s="16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6"/>
      <c r="AI55" s="16"/>
      <c r="AJ55" s="16"/>
      <c r="AK55" s="16"/>
    </row>
    <row r="56">
      <c r="A56" s="16"/>
      <c r="B56" s="16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6"/>
      <c r="AI56" s="16"/>
      <c r="AJ56" s="16"/>
      <c r="AK56" s="16"/>
    </row>
    <row r="57">
      <c r="A57" s="16"/>
      <c r="B57" s="16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6"/>
      <c r="AI57" s="16"/>
      <c r="AJ57" s="16"/>
      <c r="AK57" s="16"/>
    </row>
    <row r="58">
      <c r="A58" s="16"/>
      <c r="B58" s="16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6"/>
      <c r="AI58" s="16"/>
      <c r="AJ58" s="16"/>
      <c r="AK58" s="16"/>
    </row>
    <row r="59">
      <c r="A59" s="16"/>
      <c r="B59" s="16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6"/>
      <c r="AI59" s="16"/>
      <c r="AJ59" s="16"/>
      <c r="AK59" s="16"/>
    </row>
    <row r="60">
      <c r="A60" s="16"/>
      <c r="B60" s="16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6"/>
      <c r="AI60" s="16"/>
      <c r="AJ60" s="16"/>
      <c r="AK60" s="16"/>
    </row>
    <row r="61">
      <c r="A61" s="16"/>
      <c r="B61" s="16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6"/>
      <c r="AI61" s="16"/>
      <c r="AJ61" s="16"/>
      <c r="AK61" s="16"/>
    </row>
    <row r="62">
      <c r="A62" s="16"/>
      <c r="B62" s="16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6"/>
      <c r="AI62" s="16"/>
      <c r="AJ62" s="16"/>
      <c r="AK62" s="16"/>
    </row>
    <row r="63">
      <c r="A63" s="16"/>
      <c r="B63" s="16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6"/>
      <c r="AI63" s="16"/>
      <c r="AJ63" s="16"/>
      <c r="AK63" s="16"/>
    </row>
    <row r="64">
      <c r="A64" s="16"/>
      <c r="B64" s="16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6"/>
      <c r="AI64" s="16"/>
      <c r="AJ64" s="16"/>
      <c r="AK64" s="16"/>
    </row>
    <row r="65">
      <c r="A65" s="16"/>
      <c r="B65" s="16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6"/>
      <c r="AI65" s="16"/>
      <c r="AJ65" s="16"/>
      <c r="AK65" s="16"/>
    </row>
    <row r="66">
      <c r="A66" s="16"/>
      <c r="B66" s="16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6"/>
      <c r="AI66" s="16"/>
      <c r="AJ66" s="16"/>
      <c r="AK66" s="16"/>
    </row>
    <row r="67">
      <c r="A67" s="16"/>
      <c r="B67" s="16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6"/>
      <c r="AI67" s="16"/>
      <c r="AJ67" s="16"/>
      <c r="AK67" s="16"/>
    </row>
    <row r="68">
      <c r="A68" s="16"/>
      <c r="B68" s="16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6"/>
      <c r="AI68" s="16"/>
      <c r="AJ68" s="16"/>
      <c r="AK68" s="16"/>
    </row>
    <row r="69">
      <c r="A69" s="16"/>
      <c r="B69" s="16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6"/>
      <c r="AI69" s="16"/>
      <c r="AJ69" s="16"/>
      <c r="AK69" s="16"/>
    </row>
    <row r="70">
      <c r="A70" s="16"/>
      <c r="B70" s="16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6"/>
      <c r="AI70" s="16"/>
      <c r="AJ70" s="16"/>
      <c r="AK70" s="16"/>
    </row>
    <row r="71">
      <c r="A71" s="16"/>
      <c r="B71" s="16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6"/>
      <c r="AI71" s="16"/>
      <c r="AJ71" s="16"/>
      <c r="AK71" s="16"/>
    </row>
    <row r="72">
      <c r="A72" s="16"/>
      <c r="B72" s="16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6"/>
      <c r="AI72" s="16"/>
      <c r="AJ72" s="16"/>
      <c r="AK72" s="16"/>
    </row>
    <row r="73">
      <c r="A73" s="16"/>
      <c r="B73" s="16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6"/>
      <c r="AI73" s="16"/>
      <c r="AJ73" s="16"/>
      <c r="AK73" s="16"/>
    </row>
    <row r="74">
      <c r="A74" s="16"/>
      <c r="B74" s="16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6"/>
      <c r="AI74" s="16"/>
      <c r="AJ74" s="16"/>
      <c r="AK74" s="16"/>
    </row>
    <row r="75">
      <c r="A75" s="16"/>
      <c r="B75" s="16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6"/>
      <c r="AI75" s="16"/>
      <c r="AJ75" s="16"/>
      <c r="AK75" s="16"/>
    </row>
    <row r="76">
      <c r="A76" s="16"/>
      <c r="B76" s="16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6"/>
      <c r="AI76" s="16"/>
      <c r="AJ76" s="16"/>
      <c r="AK76" s="16"/>
    </row>
    <row r="77">
      <c r="A77" s="16"/>
      <c r="B77" s="16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6"/>
      <c r="AI77" s="16"/>
      <c r="AJ77" s="16"/>
      <c r="AK77" s="16"/>
    </row>
    <row r="78">
      <c r="A78" s="16"/>
      <c r="B78" s="16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6"/>
      <c r="AI78" s="16"/>
      <c r="AJ78" s="16"/>
      <c r="AK78" s="16"/>
    </row>
    <row r="79">
      <c r="A79" s="16"/>
      <c r="B79" s="16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6"/>
      <c r="AI79" s="16"/>
      <c r="AJ79" s="16"/>
      <c r="AK79" s="16"/>
    </row>
    <row r="80">
      <c r="A80" s="16"/>
      <c r="B80" s="16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6"/>
      <c r="AI80" s="16"/>
      <c r="AJ80" s="16"/>
      <c r="AK80" s="16"/>
    </row>
    <row r="81">
      <c r="A81" s="16"/>
      <c r="B81" s="16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6"/>
      <c r="AI81" s="16"/>
      <c r="AJ81" s="16"/>
      <c r="AK81" s="16"/>
    </row>
    <row r="82">
      <c r="A82" s="16"/>
      <c r="B82" s="16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6"/>
      <c r="AI82" s="16"/>
      <c r="AJ82" s="16"/>
      <c r="AK82" s="16"/>
    </row>
    <row r="83">
      <c r="A83" s="16"/>
      <c r="B83" s="16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6"/>
      <c r="AI83" s="16"/>
      <c r="AJ83" s="16"/>
      <c r="AK83" s="16"/>
    </row>
    <row r="84">
      <c r="A84" s="16"/>
      <c r="B84" s="16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6"/>
      <c r="AI84" s="16"/>
      <c r="AJ84" s="16"/>
      <c r="AK84" s="16"/>
    </row>
    <row r="85">
      <c r="A85" s="16"/>
      <c r="B85" s="16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6"/>
      <c r="AI85" s="16"/>
      <c r="AJ85" s="16"/>
      <c r="AK85" s="16"/>
    </row>
    <row r="86">
      <c r="A86" s="16"/>
      <c r="B86" s="16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6"/>
      <c r="AI86" s="16"/>
      <c r="AJ86" s="16"/>
      <c r="AK86" s="16"/>
    </row>
    <row r="87">
      <c r="A87" s="16"/>
      <c r="B87" s="16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6"/>
      <c r="AI87" s="16"/>
      <c r="AJ87" s="16"/>
      <c r="AK87" s="16"/>
    </row>
    <row r="88">
      <c r="A88" s="16"/>
      <c r="B88" s="16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6"/>
      <c r="AI88" s="16"/>
      <c r="AJ88" s="16"/>
      <c r="AK88" s="16"/>
    </row>
    <row r="89">
      <c r="A89" s="16"/>
      <c r="B89" s="16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6"/>
      <c r="AI89" s="16"/>
      <c r="AJ89" s="16"/>
      <c r="AK89" s="16"/>
    </row>
    <row r="90">
      <c r="A90" s="16"/>
      <c r="B90" s="16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6"/>
      <c r="AI90" s="16"/>
      <c r="AJ90" s="16"/>
      <c r="AK90" s="16"/>
    </row>
    <row r="91">
      <c r="A91" s="16"/>
      <c r="B91" s="16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6"/>
      <c r="AI91" s="16"/>
      <c r="AJ91" s="16"/>
      <c r="AK91" s="16"/>
    </row>
    <row r="92">
      <c r="A92" s="16"/>
      <c r="B92" s="16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6"/>
      <c r="AI92" s="16"/>
      <c r="AJ92" s="16"/>
      <c r="AK92" s="16"/>
    </row>
    <row r="93">
      <c r="A93" s="16"/>
      <c r="B93" s="16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6"/>
      <c r="AI93" s="16"/>
      <c r="AJ93" s="16"/>
      <c r="AK93" s="16"/>
    </row>
    <row r="94">
      <c r="A94" s="16"/>
      <c r="B94" s="16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6"/>
      <c r="AI94" s="16"/>
      <c r="AJ94" s="16"/>
      <c r="AK94" s="16"/>
    </row>
    <row r="95">
      <c r="A95" s="16"/>
      <c r="B95" s="16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6"/>
      <c r="AI95" s="16"/>
      <c r="AJ95" s="16"/>
      <c r="AK95" s="16"/>
    </row>
    <row r="96">
      <c r="A96" s="16"/>
      <c r="B96" s="16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6"/>
      <c r="AI96" s="16"/>
      <c r="AJ96" s="16"/>
      <c r="AK96" s="16"/>
    </row>
    <row r="97">
      <c r="A97" s="16"/>
      <c r="B97" s="16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6"/>
      <c r="AI97" s="16"/>
      <c r="AJ97" s="16"/>
      <c r="AK97" s="16"/>
    </row>
    <row r="98">
      <c r="A98" s="16"/>
      <c r="B98" s="16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6"/>
      <c r="AI98" s="16"/>
      <c r="AJ98" s="16"/>
      <c r="AK98" s="16"/>
    </row>
    <row r="99">
      <c r="A99" s="16"/>
      <c r="B99" s="16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6"/>
      <c r="AI99" s="16"/>
      <c r="AJ99" s="16"/>
      <c r="AK99" s="16"/>
    </row>
    <row r="100">
      <c r="A100" s="16"/>
      <c r="B100" s="16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6"/>
      <c r="AI100" s="16"/>
      <c r="AJ100" s="16"/>
      <c r="AK100" s="16"/>
    </row>
    <row r="101">
      <c r="A101" s="16"/>
      <c r="B101" s="16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6"/>
      <c r="AI101" s="16"/>
      <c r="AJ101" s="16"/>
      <c r="AK101" s="16"/>
    </row>
    <row r="102">
      <c r="A102" s="16"/>
      <c r="B102" s="16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6"/>
      <c r="AI102" s="16"/>
      <c r="AJ102" s="16"/>
      <c r="AK102" s="16"/>
    </row>
    <row r="103">
      <c r="A103" s="16"/>
      <c r="B103" s="16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6"/>
      <c r="AI103" s="16"/>
      <c r="AJ103" s="16"/>
      <c r="AK103" s="16"/>
    </row>
    <row r="104">
      <c r="A104" s="16"/>
      <c r="B104" s="16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6"/>
      <c r="AI104" s="16"/>
      <c r="AJ104" s="16"/>
      <c r="AK104" s="16"/>
    </row>
    <row r="105">
      <c r="A105" s="16"/>
      <c r="B105" s="16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6"/>
      <c r="AI105" s="16"/>
      <c r="AJ105" s="16"/>
      <c r="AK105" s="16"/>
    </row>
    <row r="106">
      <c r="A106" s="16"/>
      <c r="B106" s="16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6"/>
      <c r="AI106" s="16"/>
      <c r="AJ106" s="16"/>
      <c r="AK106" s="16"/>
    </row>
    <row r="107">
      <c r="A107" s="16"/>
      <c r="B107" s="16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6"/>
      <c r="AI107" s="16"/>
      <c r="AJ107" s="16"/>
      <c r="AK107" s="16"/>
    </row>
    <row r="108">
      <c r="A108" s="16"/>
      <c r="B108" s="16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6"/>
      <c r="AI108" s="16"/>
      <c r="AJ108" s="16"/>
      <c r="AK108" s="16"/>
    </row>
    <row r="109">
      <c r="A109" s="16"/>
      <c r="B109" s="16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6"/>
      <c r="AI109" s="16"/>
      <c r="AJ109" s="16"/>
      <c r="AK109" s="16"/>
    </row>
    <row r="110">
      <c r="A110" s="16"/>
      <c r="B110" s="16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6"/>
      <c r="AI110" s="16"/>
      <c r="AJ110" s="16"/>
      <c r="AK110" s="16"/>
    </row>
    <row r="111">
      <c r="A111" s="16"/>
      <c r="B111" s="16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6"/>
      <c r="AI111" s="16"/>
      <c r="AJ111" s="16"/>
      <c r="AK111" s="16"/>
    </row>
    <row r="112">
      <c r="A112" s="16"/>
      <c r="B112" s="16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6"/>
      <c r="AI112" s="16"/>
      <c r="AJ112" s="16"/>
      <c r="AK112" s="16"/>
    </row>
    <row r="113">
      <c r="A113" s="16"/>
      <c r="B113" s="16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6"/>
      <c r="AI113" s="16"/>
      <c r="AJ113" s="16"/>
      <c r="AK113" s="16"/>
    </row>
    <row r="114">
      <c r="A114" s="16"/>
      <c r="B114" s="16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6"/>
      <c r="AI114" s="16"/>
      <c r="AJ114" s="16"/>
      <c r="AK114" s="16"/>
    </row>
    <row r="115">
      <c r="A115" s="16"/>
      <c r="B115" s="16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6"/>
      <c r="AI115" s="16"/>
      <c r="AJ115" s="16"/>
      <c r="AK115" s="16"/>
    </row>
    <row r="116">
      <c r="A116" s="16"/>
      <c r="B116" s="16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6"/>
      <c r="AI116" s="16"/>
      <c r="AJ116" s="16"/>
      <c r="AK116" s="16"/>
    </row>
    <row r="117">
      <c r="A117" s="16"/>
      <c r="B117" s="16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6"/>
      <c r="AI117" s="16"/>
      <c r="AJ117" s="16"/>
      <c r="AK117" s="16"/>
    </row>
    <row r="118">
      <c r="A118" s="16"/>
      <c r="B118" s="16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6"/>
      <c r="AI118" s="16"/>
      <c r="AJ118" s="16"/>
      <c r="AK118" s="16"/>
    </row>
    <row r="119">
      <c r="A119" s="16"/>
      <c r="B119" s="16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6"/>
      <c r="AI119" s="16"/>
      <c r="AJ119" s="16"/>
      <c r="AK119" s="16"/>
    </row>
    <row r="120">
      <c r="A120" s="16"/>
      <c r="B120" s="16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6"/>
      <c r="AI120" s="16"/>
      <c r="AJ120" s="16"/>
      <c r="AK120" s="16"/>
    </row>
    <row r="121">
      <c r="A121" s="16"/>
      <c r="B121" s="16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6"/>
      <c r="AI121" s="16"/>
      <c r="AJ121" s="16"/>
      <c r="AK121" s="16"/>
    </row>
    <row r="122">
      <c r="A122" s="16"/>
      <c r="B122" s="16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6"/>
      <c r="AI122" s="16"/>
      <c r="AJ122" s="16"/>
      <c r="AK122" s="16"/>
    </row>
    <row r="123">
      <c r="A123" s="16"/>
      <c r="B123" s="16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6"/>
      <c r="AI123" s="16"/>
      <c r="AJ123" s="16"/>
      <c r="AK123" s="16"/>
    </row>
    <row r="124">
      <c r="A124" s="16"/>
      <c r="B124" s="16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6"/>
      <c r="AI124" s="16"/>
      <c r="AJ124" s="16"/>
      <c r="AK124" s="16"/>
    </row>
    <row r="125">
      <c r="A125" s="16"/>
      <c r="B125" s="16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6"/>
      <c r="AI125" s="16"/>
      <c r="AJ125" s="16"/>
      <c r="AK125" s="16"/>
    </row>
    <row r="126">
      <c r="A126" s="16"/>
      <c r="B126" s="16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6"/>
      <c r="AI126" s="16"/>
      <c r="AJ126" s="16"/>
      <c r="AK126" s="16"/>
    </row>
    <row r="127">
      <c r="A127" s="16"/>
      <c r="B127" s="16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6"/>
      <c r="AI127" s="16"/>
      <c r="AJ127" s="16"/>
      <c r="AK127" s="16"/>
    </row>
    <row r="128">
      <c r="A128" s="16"/>
      <c r="B128" s="16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6"/>
      <c r="AI128" s="16"/>
      <c r="AJ128" s="16"/>
      <c r="AK128" s="16"/>
    </row>
    <row r="129">
      <c r="A129" s="16"/>
      <c r="B129" s="16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6"/>
      <c r="AI129" s="16"/>
      <c r="AJ129" s="16"/>
      <c r="AK129" s="16"/>
    </row>
    <row r="130">
      <c r="A130" s="16"/>
      <c r="B130" s="16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6"/>
      <c r="AI130" s="16"/>
      <c r="AJ130" s="16"/>
      <c r="AK130" s="16"/>
    </row>
    <row r="131">
      <c r="A131" s="16"/>
      <c r="B131" s="16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6"/>
      <c r="AI131" s="16"/>
      <c r="AJ131" s="16"/>
      <c r="AK131" s="16"/>
    </row>
    <row r="132">
      <c r="A132" s="16"/>
      <c r="B132" s="16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6"/>
      <c r="AI132" s="16"/>
      <c r="AJ132" s="16"/>
      <c r="AK132" s="16"/>
    </row>
    <row r="133">
      <c r="A133" s="16"/>
      <c r="B133" s="16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6"/>
      <c r="AI133" s="16"/>
      <c r="AJ133" s="16"/>
      <c r="AK133" s="16"/>
    </row>
    <row r="134">
      <c r="A134" s="16"/>
      <c r="B134" s="16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6"/>
      <c r="AI134" s="16"/>
      <c r="AJ134" s="16"/>
      <c r="AK134" s="16"/>
    </row>
    <row r="135">
      <c r="A135" s="16"/>
      <c r="B135" s="16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6"/>
      <c r="AI135" s="16"/>
      <c r="AJ135" s="16"/>
      <c r="AK135" s="16"/>
    </row>
    <row r="136">
      <c r="A136" s="16"/>
      <c r="B136" s="16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6"/>
      <c r="AI136" s="16"/>
      <c r="AJ136" s="16"/>
      <c r="AK136" s="16"/>
    </row>
    <row r="137">
      <c r="A137" s="16"/>
      <c r="B137" s="16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6"/>
      <c r="AI137" s="16"/>
      <c r="AJ137" s="16"/>
      <c r="AK137" s="16"/>
    </row>
    <row r="138">
      <c r="A138" s="16"/>
      <c r="B138" s="16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6"/>
      <c r="AI138" s="16"/>
      <c r="AJ138" s="16"/>
      <c r="AK138" s="16"/>
    </row>
    <row r="139">
      <c r="A139" s="16"/>
      <c r="B139" s="16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6"/>
      <c r="AI139" s="16"/>
      <c r="AJ139" s="16"/>
      <c r="AK139" s="16"/>
    </row>
    <row r="140">
      <c r="A140" s="16"/>
      <c r="B140" s="16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6"/>
      <c r="AI140" s="16"/>
      <c r="AJ140" s="16"/>
      <c r="AK140" s="16"/>
    </row>
    <row r="141">
      <c r="A141" s="16"/>
      <c r="B141" s="16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6"/>
      <c r="AI141" s="16"/>
      <c r="AJ141" s="16"/>
      <c r="AK141" s="16"/>
    </row>
    <row r="142">
      <c r="A142" s="16"/>
      <c r="B142" s="16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6"/>
      <c r="AI142" s="16"/>
      <c r="AJ142" s="16"/>
      <c r="AK142" s="16"/>
    </row>
    <row r="143">
      <c r="A143" s="16"/>
      <c r="B143" s="16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6"/>
      <c r="AI143" s="16"/>
      <c r="AJ143" s="16"/>
      <c r="AK143" s="16"/>
    </row>
    <row r="144">
      <c r="A144" s="16"/>
      <c r="B144" s="16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6"/>
      <c r="AI144" s="16"/>
      <c r="AJ144" s="16"/>
      <c r="AK144" s="16"/>
    </row>
    <row r="145">
      <c r="A145" s="16"/>
      <c r="B145" s="16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6"/>
      <c r="AI145" s="16"/>
      <c r="AJ145" s="16"/>
      <c r="AK145" s="16"/>
    </row>
    <row r="146">
      <c r="A146" s="16"/>
      <c r="B146" s="16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6"/>
      <c r="AI146" s="16"/>
      <c r="AJ146" s="16"/>
      <c r="AK146" s="16"/>
    </row>
    <row r="147">
      <c r="A147" s="16"/>
      <c r="B147" s="16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6"/>
      <c r="AI147" s="16"/>
      <c r="AJ147" s="16"/>
      <c r="AK147" s="16"/>
    </row>
    <row r="148">
      <c r="A148" s="16"/>
      <c r="B148" s="16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6"/>
      <c r="AI148" s="16"/>
      <c r="AJ148" s="16"/>
      <c r="AK148" s="16"/>
    </row>
    <row r="149">
      <c r="A149" s="16"/>
      <c r="B149" s="16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6"/>
      <c r="AI149" s="16"/>
      <c r="AJ149" s="16"/>
      <c r="AK149" s="16"/>
    </row>
    <row r="150">
      <c r="A150" s="16"/>
      <c r="B150" s="16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6"/>
      <c r="AI150" s="16"/>
      <c r="AJ150" s="16"/>
      <c r="AK150" s="16"/>
    </row>
    <row r="151">
      <c r="A151" s="16"/>
      <c r="B151" s="16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6"/>
      <c r="AI151" s="16"/>
      <c r="AJ151" s="16"/>
      <c r="AK151" s="16"/>
    </row>
    <row r="152">
      <c r="A152" s="16"/>
      <c r="B152" s="16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6"/>
      <c r="AI152" s="16"/>
      <c r="AJ152" s="16"/>
      <c r="AK152" s="16"/>
    </row>
    <row r="153">
      <c r="A153" s="16"/>
      <c r="B153" s="16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6"/>
      <c r="AI153" s="16"/>
      <c r="AJ153" s="16"/>
      <c r="AK153" s="16"/>
    </row>
    <row r="154">
      <c r="A154" s="16"/>
      <c r="B154" s="16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6"/>
      <c r="AI154" s="16"/>
      <c r="AJ154" s="16"/>
      <c r="AK154" s="16"/>
    </row>
    <row r="155">
      <c r="A155" s="16"/>
      <c r="B155" s="16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6"/>
      <c r="AI155" s="16"/>
      <c r="AJ155" s="16"/>
      <c r="AK155" s="16"/>
    </row>
    <row r="156">
      <c r="A156" s="16"/>
      <c r="B156" s="16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6"/>
      <c r="AI156" s="16"/>
      <c r="AJ156" s="16"/>
      <c r="AK156" s="16"/>
    </row>
    <row r="157">
      <c r="A157" s="16"/>
      <c r="B157" s="16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6"/>
      <c r="AI157" s="16"/>
      <c r="AJ157" s="16"/>
      <c r="AK157" s="16"/>
    </row>
    <row r="158">
      <c r="A158" s="16"/>
      <c r="B158" s="16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6"/>
      <c r="AI158" s="16"/>
      <c r="AJ158" s="16"/>
      <c r="AK158" s="16"/>
    </row>
    <row r="159">
      <c r="A159" s="16"/>
      <c r="B159" s="16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6"/>
      <c r="AI159" s="16"/>
      <c r="AJ159" s="16"/>
      <c r="AK159" s="16"/>
    </row>
    <row r="160">
      <c r="A160" s="16"/>
      <c r="B160" s="16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6"/>
      <c r="AI160" s="16"/>
      <c r="AJ160" s="16"/>
      <c r="AK160" s="16"/>
    </row>
    <row r="161">
      <c r="A161" s="16"/>
      <c r="B161" s="16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6"/>
      <c r="AI161" s="16"/>
      <c r="AJ161" s="16"/>
      <c r="AK161" s="16"/>
    </row>
    <row r="162">
      <c r="A162" s="16"/>
      <c r="B162" s="16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6"/>
      <c r="AI162" s="16"/>
      <c r="AJ162" s="16"/>
      <c r="AK162" s="16"/>
    </row>
    <row r="163">
      <c r="A163" s="16"/>
      <c r="B163" s="16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6"/>
      <c r="AI163" s="16"/>
      <c r="AJ163" s="16"/>
      <c r="AK163" s="16"/>
    </row>
    <row r="164">
      <c r="A164" s="16"/>
      <c r="B164" s="16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6"/>
      <c r="AI164" s="16"/>
      <c r="AJ164" s="16"/>
      <c r="AK164" s="16"/>
    </row>
    <row r="165">
      <c r="A165" s="16"/>
      <c r="B165" s="16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6"/>
      <c r="AI165" s="16"/>
      <c r="AJ165" s="16"/>
      <c r="AK165" s="16"/>
    </row>
    <row r="166">
      <c r="A166" s="16"/>
      <c r="B166" s="16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6"/>
      <c r="AI166" s="16"/>
      <c r="AJ166" s="16"/>
      <c r="AK166" s="16"/>
    </row>
    <row r="167">
      <c r="A167" s="16"/>
      <c r="B167" s="16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6"/>
      <c r="AI167" s="16"/>
      <c r="AJ167" s="16"/>
      <c r="AK167" s="16"/>
    </row>
    <row r="168">
      <c r="A168" s="16"/>
      <c r="B168" s="16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6"/>
      <c r="AI168" s="16"/>
      <c r="AJ168" s="16"/>
      <c r="AK168" s="16"/>
    </row>
    <row r="169">
      <c r="A169" s="16"/>
      <c r="B169" s="16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6"/>
      <c r="AI169" s="16"/>
      <c r="AJ169" s="16"/>
      <c r="AK169" s="16"/>
    </row>
    <row r="170">
      <c r="A170" s="16"/>
      <c r="B170" s="16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6"/>
      <c r="AI170" s="16"/>
      <c r="AJ170" s="16"/>
      <c r="AK170" s="16"/>
    </row>
    <row r="171">
      <c r="A171" s="16"/>
      <c r="B171" s="16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6"/>
      <c r="AI171" s="16"/>
      <c r="AJ171" s="16"/>
      <c r="AK171" s="16"/>
    </row>
    <row r="172">
      <c r="A172" s="16"/>
      <c r="B172" s="16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6"/>
      <c r="AI172" s="16"/>
      <c r="AJ172" s="16"/>
      <c r="AK172" s="16"/>
    </row>
    <row r="173">
      <c r="A173" s="16"/>
      <c r="B173" s="16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6"/>
      <c r="AI173" s="16"/>
      <c r="AJ173" s="16"/>
      <c r="AK173" s="16"/>
    </row>
    <row r="174">
      <c r="A174" s="16"/>
      <c r="B174" s="16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6"/>
      <c r="AI174" s="16"/>
      <c r="AJ174" s="16"/>
      <c r="AK174" s="16"/>
    </row>
    <row r="175">
      <c r="A175" s="16"/>
      <c r="B175" s="16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6"/>
      <c r="AI175" s="16"/>
      <c r="AJ175" s="16"/>
      <c r="AK175" s="16"/>
    </row>
    <row r="176">
      <c r="A176" s="16"/>
      <c r="B176" s="16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6"/>
      <c r="AI176" s="16"/>
      <c r="AJ176" s="16"/>
      <c r="AK176" s="16"/>
    </row>
    <row r="177">
      <c r="A177" s="16"/>
      <c r="B177" s="16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6"/>
      <c r="AI177" s="16"/>
      <c r="AJ177" s="16"/>
      <c r="AK177" s="16"/>
    </row>
    <row r="178">
      <c r="A178" s="16"/>
      <c r="B178" s="16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6"/>
      <c r="AI178" s="16"/>
      <c r="AJ178" s="16"/>
      <c r="AK178" s="16"/>
    </row>
    <row r="179">
      <c r="A179" s="16"/>
      <c r="B179" s="16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6"/>
      <c r="AI179" s="16"/>
      <c r="AJ179" s="16"/>
      <c r="AK179" s="16"/>
    </row>
    <row r="180">
      <c r="A180" s="16"/>
      <c r="B180" s="16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6"/>
      <c r="AI180" s="16"/>
      <c r="AJ180" s="16"/>
      <c r="AK180" s="16"/>
    </row>
    <row r="181">
      <c r="A181" s="16"/>
      <c r="B181" s="16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6"/>
      <c r="AI181" s="16"/>
      <c r="AJ181" s="16"/>
      <c r="AK181" s="16"/>
    </row>
    <row r="182">
      <c r="A182" s="16"/>
      <c r="B182" s="16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6"/>
      <c r="AI182" s="16"/>
      <c r="AJ182" s="16"/>
      <c r="AK182" s="16"/>
    </row>
    <row r="183">
      <c r="A183" s="16"/>
      <c r="B183" s="16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6"/>
      <c r="AI183" s="16"/>
      <c r="AJ183" s="16"/>
      <c r="AK183" s="16"/>
    </row>
    <row r="184">
      <c r="A184" s="16"/>
      <c r="B184" s="16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6"/>
      <c r="AI184" s="16"/>
      <c r="AJ184" s="16"/>
      <c r="AK184" s="16"/>
    </row>
    <row r="185">
      <c r="A185" s="16"/>
      <c r="B185" s="16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6"/>
      <c r="AI185" s="16"/>
      <c r="AJ185" s="16"/>
      <c r="AK185" s="16"/>
    </row>
    <row r="186">
      <c r="A186" s="16"/>
      <c r="B186" s="16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6"/>
      <c r="AI186" s="16"/>
      <c r="AJ186" s="16"/>
      <c r="AK186" s="16"/>
    </row>
    <row r="187">
      <c r="A187" s="16"/>
      <c r="B187" s="16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6"/>
      <c r="AI187" s="16"/>
      <c r="AJ187" s="16"/>
      <c r="AK187" s="16"/>
    </row>
    <row r="188">
      <c r="A188" s="16"/>
      <c r="B188" s="16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6"/>
      <c r="AI188" s="16"/>
      <c r="AJ188" s="16"/>
      <c r="AK188" s="16"/>
    </row>
    <row r="189">
      <c r="A189" s="16"/>
      <c r="B189" s="16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6"/>
      <c r="AI189" s="16"/>
      <c r="AJ189" s="16"/>
      <c r="AK189" s="16"/>
    </row>
    <row r="190">
      <c r="A190" s="16"/>
      <c r="B190" s="16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6"/>
      <c r="AI190" s="16"/>
      <c r="AJ190" s="16"/>
      <c r="AK190" s="16"/>
    </row>
    <row r="191">
      <c r="A191" s="16"/>
      <c r="B191" s="16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6"/>
      <c r="AI191" s="16"/>
      <c r="AJ191" s="16"/>
      <c r="AK191" s="16"/>
    </row>
    <row r="192">
      <c r="A192" s="16"/>
      <c r="B192" s="16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6"/>
      <c r="AI192" s="16"/>
      <c r="AJ192" s="16"/>
      <c r="AK192" s="16"/>
    </row>
    <row r="193">
      <c r="A193" s="16"/>
      <c r="B193" s="16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6"/>
      <c r="AI193" s="16"/>
      <c r="AJ193" s="16"/>
      <c r="AK193" s="16"/>
    </row>
    <row r="194">
      <c r="A194" s="16"/>
      <c r="B194" s="16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6"/>
      <c r="AI194" s="16"/>
      <c r="AJ194" s="16"/>
      <c r="AK194" s="16"/>
    </row>
    <row r="195">
      <c r="A195" s="16"/>
      <c r="B195" s="16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6"/>
      <c r="AI195" s="16"/>
      <c r="AJ195" s="16"/>
      <c r="AK195" s="16"/>
    </row>
    <row r="196">
      <c r="A196" s="16"/>
      <c r="B196" s="16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6"/>
      <c r="AI196" s="16"/>
      <c r="AJ196" s="16"/>
      <c r="AK196" s="16"/>
    </row>
    <row r="197">
      <c r="A197" s="16"/>
      <c r="B197" s="16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6"/>
      <c r="AI197" s="16"/>
      <c r="AJ197" s="16"/>
      <c r="AK197" s="16"/>
    </row>
    <row r="198">
      <c r="A198" s="16"/>
      <c r="B198" s="16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6"/>
      <c r="AI198" s="16"/>
      <c r="AJ198" s="16"/>
      <c r="AK198" s="16"/>
    </row>
    <row r="199">
      <c r="A199" s="16"/>
      <c r="B199" s="16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6"/>
      <c r="AI199" s="16"/>
      <c r="AJ199" s="16"/>
      <c r="AK199" s="16"/>
    </row>
    <row r="200">
      <c r="A200" s="16"/>
      <c r="B200" s="16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6"/>
      <c r="AI200" s="16"/>
      <c r="AJ200" s="16"/>
      <c r="AK200" s="16"/>
    </row>
    <row r="201">
      <c r="A201" s="16"/>
      <c r="B201" s="16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6"/>
      <c r="AI201" s="16"/>
      <c r="AJ201" s="16"/>
      <c r="AK201" s="16"/>
    </row>
    <row r="202">
      <c r="A202" s="16"/>
      <c r="B202" s="16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6"/>
      <c r="AI202" s="16"/>
      <c r="AJ202" s="16"/>
      <c r="AK202" s="16"/>
    </row>
    <row r="203">
      <c r="A203" s="16"/>
      <c r="B203" s="16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6"/>
      <c r="AI203" s="16"/>
      <c r="AJ203" s="16"/>
      <c r="AK203" s="16"/>
    </row>
    <row r="204">
      <c r="A204" s="16"/>
      <c r="B204" s="16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6"/>
      <c r="AI204" s="16"/>
      <c r="AJ204" s="16"/>
      <c r="AK204" s="16"/>
    </row>
    <row r="205">
      <c r="A205" s="16"/>
      <c r="B205" s="16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6"/>
      <c r="AI205" s="16"/>
      <c r="AJ205" s="16"/>
      <c r="AK205" s="16"/>
    </row>
    <row r="206">
      <c r="A206" s="16"/>
      <c r="B206" s="16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  <c r="AH206" s="16"/>
      <c r="AI206" s="16"/>
      <c r="AJ206" s="16"/>
      <c r="AK206" s="16"/>
    </row>
    <row r="207">
      <c r="A207" s="16"/>
      <c r="B207" s="16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6"/>
      <c r="AI207" s="16"/>
      <c r="AJ207" s="16"/>
      <c r="AK207" s="16"/>
    </row>
    <row r="208">
      <c r="A208" s="16"/>
      <c r="B208" s="16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6"/>
      <c r="AI208" s="16"/>
      <c r="AJ208" s="16"/>
      <c r="AK208" s="16"/>
    </row>
    <row r="209">
      <c r="A209" s="16"/>
      <c r="B209" s="16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6"/>
      <c r="AI209" s="16"/>
      <c r="AJ209" s="16"/>
      <c r="AK209" s="16"/>
    </row>
    <row r="210">
      <c r="A210" s="16"/>
      <c r="B210" s="16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6"/>
      <c r="AI210" s="16"/>
      <c r="AJ210" s="16"/>
      <c r="AK210" s="16"/>
    </row>
    <row r="211">
      <c r="A211" s="16"/>
      <c r="B211" s="16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6"/>
      <c r="AI211" s="16"/>
      <c r="AJ211" s="16"/>
      <c r="AK211" s="16"/>
    </row>
    <row r="212">
      <c r="A212" s="16"/>
      <c r="B212" s="16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6"/>
      <c r="AI212" s="16"/>
      <c r="AJ212" s="16"/>
      <c r="AK212" s="16"/>
    </row>
    <row r="213">
      <c r="A213" s="16"/>
      <c r="B213" s="16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6"/>
      <c r="AI213" s="16"/>
      <c r="AJ213" s="16"/>
      <c r="AK213" s="16"/>
    </row>
    <row r="214">
      <c r="A214" s="16"/>
      <c r="B214" s="16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6"/>
      <c r="AI214" s="16"/>
      <c r="AJ214" s="16"/>
      <c r="AK214" s="16"/>
    </row>
    <row r="215">
      <c r="A215" s="16"/>
      <c r="B215" s="16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6"/>
      <c r="AI215" s="16"/>
      <c r="AJ215" s="16"/>
      <c r="AK215" s="16"/>
    </row>
    <row r="216">
      <c r="A216" s="16"/>
      <c r="B216" s="16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6"/>
      <c r="AI216" s="16"/>
      <c r="AJ216" s="16"/>
      <c r="AK216" s="16"/>
    </row>
    <row r="217">
      <c r="A217" s="16"/>
      <c r="B217" s="16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6"/>
      <c r="AI217" s="16"/>
      <c r="AJ217" s="16"/>
      <c r="AK217" s="16"/>
    </row>
    <row r="218">
      <c r="A218" s="16"/>
      <c r="B218" s="16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6"/>
      <c r="AI218" s="16"/>
      <c r="AJ218" s="16"/>
      <c r="AK218" s="16"/>
    </row>
    <row r="219">
      <c r="A219" s="16"/>
      <c r="B219" s="16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  <c r="AH219" s="16"/>
      <c r="AI219" s="16"/>
      <c r="AJ219" s="16"/>
      <c r="AK219" s="16"/>
    </row>
    <row r="220">
      <c r="A220" s="16"/>
      <c r="B220" s="16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6"/>
      <c r="AI220" s="16"/>
      <c r="AJ220" s="16"/>
      <c r="AK220" s="16"/>
    </row>
    <row r="221">
      <c r="A221" s="16"/>
      <c r="B221" s="16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6"/>
      <c r="AI221" s="16"/>
      <c r="AJ221" s="16"/>
      <c r="AK221" s="16"/>
    </row>
    <row r="222">
      <c r="A222" s="16"/>
      <c r="B222" s="16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6"/>
      <c r="AI222" s="16"/>
      <c r="AJ222" s="16"/>
      <c r="AK222" s="16"/>
    </row>
    <row r="223">
      <c r="A223" s="16"/>
      <c r="B223" s="16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6"/>
      <c r="AI223" s="16"/>
      <c r="AJ223" s="16"/>
      <c r="AK223" s="16"/>
    </row>
    <row r="224">
      <c r="A224" s="16"/>
      <c r="B224" s="16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6"/>
      <c r="AI224" s="16"/>
      <c r="AJ224" s="16"/>
      <c r="AK224" s="16"/>
    </row>
    <row r="225">
      <c r="A225" s="16"/>
      <c r="B225" s="16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6"/>
      <c r="AI225" s="16"/>
      <c r="AJ225" s="16"/>
      <c r="AK225" s="16"/>
    </row>
    <row r="226">
      <c r="A226" s="16"/>
      <c r="B226" s="16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6"/>
      <c r="AI226" s="16"/>
      <c r="AJ226" s="16"/>
      <c r="AK226" s="16"/>
    </row>
    <row r="227">
      <c r="A227" s="16"/>
      <c r="B227" s="16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100"/>
      <c r="AH227" s="16"/>
      <c r="AI227" s="16"/>
      <c r="AJ227" s="16"/>
      <c r="AK227" s="16"/>
    </row>
    <row r="228">
      <c r="A228" s="16"/>
      <c r="B228" s="16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6"/>
      <c r="AI228" s="16"/>
      <c r="AJ228" s="16"/>
      <c r="AK228" s="16"/>
    </row>
    <row r="229">
      <c r="A229" s="16"/>
      <c r="B229" s="16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  <c r="AH229" s="16"/>
      <c r="AI229" s="16"/>
      <c r="AJ229" s="16"/>
      <c r="AK229" s="16"/>
    </row>
    <row r="230">
      <c r="A230" s="16"/>
      <c r="B230" s="16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100"/>
      <c r="AH230" s="16"/>
      <c r="AI230" s="16"/>
      <c r="AJ230" s="16"/>
      <c r="AK230" s="16"/>
    </row>
    <row r="231">
      <c r="A231" s="16"/>
      <c r="B231" s="16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100"/>
      <c r="AH231" s="16"/>
      <c r="AI231" s="16"/>
      <c r="AJ231" s="16"/>
      <c r="AK231" s="16"/>
    </row>
    <row r="232">
      <c r="A232" s="16"/>
      <c r="B232" s="16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100"/>
      <c r="AH232" s="16"/>
      <c r="AI232" s="16"/>
      <c r="AJ232" s="16"/>
      <c r="AK232" s="16"/>
    </row>
    <row r="233">
      <c r="A233" s="16"/>
      <c r="B233" s="16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100"/>
      <c r="AH233" s="16"/>
      <c r="AI233" s="16"/>
      <c r="AJ233" s="16"/>
      <c r="AK233" s="16"/>
    </row>
    <row r="234">
      <c r="A234" s="16"/>
      <c r="B234" s="16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100"/>
      <c r="AH234" s="16"/>
      <c r="AI234" s="16"/>
      <c r="AJ234" s="16"/>
      <c r="AK234" s="16"/>
    </row>
    <row r="235">
      <c r="A235" s="16"/>
      <c r="B235" s="16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100"/>
      <c r="AH235" s="16"/>
      <c r="AI235" s="16"/>
      <c r="AJ235" s="16"/>
      <c r="AK235" s="16"/>
    </row>
    <row r="236">
      <c r="A236" s="16"/>
      <c r="B236" s="16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100"/>
      <c r="AH236" s="16"/>
      <c r="AI236" s="16"/>
      <c r="AJ236" s="16"/>
      <c r="AK236" s="16"/>
    </row>
    <row r="237">
      <c r="A237" s="16"/>
      <c r="B237" s="16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  <c r="AG237" s="100"/>
      <c r="AH237" s="16"/>
      <c r="AI237" s="16"/>
      <c r="AJ237" s="16"/>
      <c r="AK237" s="16"/>
    </row>
    <row r="238">
      <c r="A238" s="16"/>
      <c r="B238" s="16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100"/>
      <c r="AH238" s="16"/>
      <c r="AI238" s="16"/>
      <c r="AJ238" s="16"/>
      <c r="AK238" s="16"/>
    </row>
    <row r="239">
      <c r="A239" s="16"/>
      <c r="B239" s="16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6"/>
      <c r="AI239" s="16"/>
      <c r="AJ239" s="16"/>
      <c r="AK239" s="16"/>
    </row>
    <row r="240">
      <c r="A240" s="16"/>
      <c r="B240" s="16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/>
      <c r="AH240" s="16"/>
      <c r="AI240" s="16"/>
      <c r="AJ240" s="16"/>
      <c r="AK240" s="16"/>
    </row>
    <row r="241">
      <c r="A241" s="16"/>
      <c r="B241" s="16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  <c r="AH241" s="16"/>
      <c r="AI241" s="16"/>
      <c r="AJ241" s="16"/>
      <c r="AK241" s="16"/>
    </row>
    <row r="242">
      <c r="A242" s="16"/>
      <c r="B242" s="16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  <c r="AH242" s="16"/>
      <c r="AI242" s="16"/>
      <c r="AJ242" s="16"/>
      <c r="AK242" s="16"/>
    </row>
    <row r="243">
      <c r="A243" s="16"/>
      <c r="B243" s="16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  <c r="AH243" s="16"/>
      <c r="AI243" s="16"/>
      <c r="AJ243" s="16"/>
      <c r="AK243" s="16"/>
    </row>
    <row r="244">
      <c r="A244" s="16"/>
      <c r="B244" s="16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16"/>
      <c r="AI244" s="16"/>
      <c r="AJ244" s="16"/>
      <c r="AK244" s="16"/>
    </row>
    <row r="245">
      <c r="A245" s="16"/>
      <c r="B245" s="16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16"/>
      <c r="AI245" s="16"/>
      <c r="AJ245" s="16"/>
      <c r="AK245" s="16"/>
    </row>
    <row r="246">
      <c r="A246" s="16"/>
      <c r="B246" s="16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  <c r="AH246" s="16"/>
      <c r="AI246" s="16"/>
      <c r="AJ246" s="16"/>
      <c r="AK246" s="16"/>
    </row>
    <row r="247">
      <c r="A247" s="16"/>
      <c r="B247" s="16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100"/>
      <c r="AH247" s="16"/>
      <c r="AI247" s="16"/>
      <c r="AJ247" s="16"/>
      <c r="AK247" s="16"/>
    </row>
    <row r="248">
      <c r="A248" s="16"/>
      <c r="B248" s="16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100"/>
      <c r="AH248" s="16"/>
      <c r="AI248" s="16"/>
      <c r="AJ248" s="16"/>
      <c r="AK248" s="16"/>
    </row>
    <row r="249">
      <c r="A249" s="16"/>
      <c r="B249" s="16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  <c r="AG249" s="100"/>
      <c r="AH249" s="16"/>
      <c r="AI249" s="16"/>
      <c r="AJ249" s="16"/>
      <c r="AK249" s="16"/>
    </row>
    <row r="250">
      <c r="A250" s="16"/>
      <c r="B250" s="16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  <c r="AH250" s="16"/>
      <c r="AI250" s="16"/>
      <c r="AJ250" s="16"/>
      <c r="AK250" s="16"/>
    </row>
    <row r="251">
      <c r="A251" s="16"/>
      <c r="B251" s="16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  <c r="AH251" s="16"/>
      <c r="AI251" s="16"/>
      <c r="AJ251" s="16"/>
      <c r="AK251" s="16"/>
    </row>
    <row r="252">
      <c r="A252" s="16"/>
      <c r="B252" s="16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100"/>
      <c r="AH252" s="16"/>
      <c r="AI252" s="16"/>
      <c r="AJ252" s="16"/>
      <c r="AK252" s="16"/>
    </row>
    <row r="253">
      <c r="A253" s="16"/>
      <c r="B253" s="16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  <c r="AH253" s="16"/>
      <c r="AI253" s="16"/>
      <c r="AJ253" s="16"/>
      <c r="AK253" s="16"/>
    </row>
    <row r="254">
      <c r="A254" s="16"/>
      <c r="B254" s="16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100"/>
      <c r="AH254" s="16"/>
      <c r="AI254" s="16"/>
      <c r="AJ254" s="16"/>
      <c r="AK254" s="16"/>
    </row>
    <row r="255">
      <c r="A255" s="16"/>
      <c r="B255" s="16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  <c r="AH255" s="16"/>
      <c r="AI255" s="16"/>
      <c r="AJ255" s="16"/>
      <c r="AK255" s="16"/>
    </row>
    <row r="256">
      <c r="A256" s="16"/>
      <c r="B256" s="16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  <c r="AH256" s="16"/>
      <c r="AI256" s="16"/>
      <c r="AJ256" s="16"/>
      <c r="AK256" s="16"/>
    </row>
    <row r="257">
      <c r="A257" s="16"/>
      <c r="B257" s="16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  <c r="AH257" s="16"/>
      <c r="AI257" s="16"/>
      <c r="AJ257" s="16"/>
      <c r="AK257" s="16"/>
    </row>
    <row r="258">
      <c r="A258" s="16"/>
      <c r="B258" s="16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  <c r="AH258" s="16"/>
      <c r="AI258" s="16"/>
      <c r="AJ258" s="16"/>
      <c r="AK258" s="16"/>
    </row>
    <row r="259">
      <c r="A259" s="16"/>
      <c r="B259" s="16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  <c r="AF259" s="100"/>
      <c r="AG259" s="100"/>
      <c r="AH259" s="16"/>
      <c r="AI259" s="16"/>
      <c r="AJ259" s="16"/>
      <c r="AK259" s="16"/>
    </row>
    <row r="260">
      <c r="A260" s="16"/>
      <c r="B260" s="16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  <c r="AF260" s="100"/>
      <c r="AG260" s="100"/>
      <c r="AH260" s="16"/>
      <c r="AI260" s="16"/>
      <c r="AJ260" s="16"/>
      <c r="AK260" s="16"/>
    </row>
    <row r="261">
      <c r="A261" s="16"/>
      <c r="B261" s="16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  <c r="AF261" s="100"/>
      <c r="AG261" s="100"/>
      <c r="AH261" s="16"/>
      <c r="AI261" s="16"/>
      <c r="AJ261" s="16"/>
      <c r="AK261" s="16"/>
    </row>
    <row r="262">
      <c r="A262" s="16"/>
      <c r="B262" s="16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  <c r="AH262" s="16"/>
      <c r="AI262" s="16"/>
      <c r="AJ262" s="16"/>
      <c r="AK262" s="16"/>
    </row>
    <row r="263">
      <c r="A263" s="16"/>
      <c r="B263" s="16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  <c r="AF263" s="100"/>
      <c r="AG263" s="100"/>
      <c r="AH263" s="16"/>
      <c r="AI263" s="16"/>
      <c r="AJ263" s="16"/>
      <c r="AK263" s="16"/>
    </row>
    <row r="264">
      <c r="A264" s="16"/>
      <c r="B264" s="16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6"/>
      <c r="AI264" s="16"/>
      <c r="AJ264" s="16"/>
      <c r="AK264" s="16"/>
    </row>
    <row r="265">
      <c r="A265" s="16"/>
      <c r="B265" s="16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6"/>
      <c r="AI265" s="16"/>
      <c r="AJ265" s="16"/>
      <c r="AK265" s="16"/>
    </row>
    <row r="266">
      <c r="A266" s="16"/>
      <c r="B266" s="16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  <c r="AH266" s="16"/>
      <c r="AI266" s="16"/>
      <c r="AJ266" s="16"/>
      <c r="AK266" s="16"/>
    </row>
    <row r="267">
      <c r="A267" s="16"/>
      <c r="B267" s="16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  <c r="AH267" s="16"/>
      <c r="AI267" s="16"/>
      <c r="AJ267" s="16"/>
      <c r="AK267" s="16"/>
    </row>
    <row r="268">
      <c r="A268" s="16"/>
      <c r="B268" s="16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  <c r="AG268" s="100"/>
      <c r="AH268" s="16"/>
      <c r="AI268" s="16"/>
      <c r="AJ268" s="16"/>
      <c r="AK268" s="16"/>
    </row>
    <row r="269">
      <c r="A269" s="16"/>
      <c r="B269" s="16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  <c r="AG269" s="100"/>
      <c r="AH269" s="16"/>
      <c r="AI269" s="16"/>
      <c r="AJ269" s="16"/>
      <c r="AK269" s="16"/>
    </row>
    <row r="270">
      <c r="A270" s="16"/>
      <c r="B270" s="16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6"/>
      <c r="AI270" s="16"/>
      <c r="AJ270" s="16"/>
      <c r="AK270" s="16"/>
    </row>
    <row r="271">
      <c r="A271" s="16"/>
      <c r="B271" s="16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100"/>
      <c r="AH271" s="16"/>
      <c r="AI271" s="16"/>
      <c r="AJ271" s="16"/>
      <c r="AK271" s="16"/>
    </row>
    <row r="272">
      <c r="A272" s="16"/>
      <c r="B272" s="16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6"/>
      <c r="AI272" s="16"/>
      <c r="AJ272" s="16"/>
      <c r="AK272" s="16"/>
    </row>
    <row r="273">
      <c r="A273" s="16"/>
      <c r="B273" s="16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  <c r="AF273" s="100"/>
      <c r="AG273" s="100"/>
      <c r="AH273" s="16"/>
      <c r="AI273" s="16"/>
      <c r="AJ273" s="16"/>
      <c r="AK273" s="16"/>
    </row>
    <row r="274">
      <c r="A274" s="16"/>
      <c r="B274" s="16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6"/>
      <c r="AI274" s="16"/>
      <c r="AJ274" s="16"/>
      <c r="AK274" s="16"/>
    </row>
    <row r="275">
      <c r="A275" s="16"/>
      <c r="B275" s="16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6"/>
      <c r="AI275" s="16"/>
      <c r="AJ275" s="16"/>
      <c r="AK275" s="16"/>
    </row>
    <row r="276">
      <c r="A276" s="16"/>
      <c r="B276" s="16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6"/>
      <c r="AI276" s="16"/>
      <c r="AJ276" s="16"/>
      <c r="AK276" s="16"/>
    </row>
    <row r="277">
      <c r="A277" s="16"/>
      <c r="B277" s="16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6"/>
      <c r="AI277" s="16"/>
      <c r="AJ277" s="16"/>
      <c r="AK277" s="16"/>
    </row>
    <row r="278">
      <c r="A278" s="16"/>
      <c r="B278" s="16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  <c r="AF278" s="100"/>
      <c r="AG278" s="100"/>
      <c r="AH278" s="16"/>
      <c r="AI278" s="16"/>
      <c r="AJ278" s="16"/>
      <c r="AK278" s="16"/>
    </row>
    <row r="279">
      <c r="A279" s="16"/>
      <c r="B279" s="16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6"/>
      <c r="AI279" s="16"/>
      <c r="AJ279" s="16"/>
      <c r="AK279" s="16"/>
    </row>
    <row r="280">
      <c r="A280" s="16"/>
      <c r="B280" s="16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6"/>
      <c r="AI280" s="16"/>
      <c r="AJ280" s="16"/>
      <c r="AK280" s="16"/>
    </row>
    <row r="281">
      <c r="A281" s="16"/>
      <c r="B281" s="16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  <c r="AF281" s="100"/>
      <c r="AG281" s="100"/>
      <c r="AH281" s="16"/>
      <c r="AI281" s="16"/>
      <c r="AJ281" s="16"/>
      <c r="AK281" s="16"/>
    </row>
    <row r="282">
      <c r="A282" s="16"/>
      <c r="B282" s="16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  <c r="AF282" s="100"/>
      <c r="AG282" s="100"/>
      <c r="AH282" s="16"/>
      <c r="AI282" s="16"/>
      <c r="AJ282" s="16"/>
      <c r="AK282" s="16"/>
    </row>
    <row r="283">
      <c r="A283" s="16"/>
      <c r="B283" s="16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  <c r="AH283" s="16"/>
      <c r="AI283" s="16"/>
      <c r="AJ283" s="16"/>
      <c r="AK283" s="16"/>
    </row>
    <row r="284">
      <c r="A284" s="16"/>
      <c r="B284" s="16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6"/>
      <c r="AI284" s="16"/>
      <c r="AJ284" s="16"/>
      <c r="AK284" s="16"/>
    </row>
    <row r="285">
      <c r="A285" s="16"/>
      <c r="B285" s="16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  <c r="AF285" s="100"/>
      <c r="AG285" s="100"/>
      <c r="AH285" s="16"/>
      <c r="AI285" s="16"/>
      <c r="AJ285" s="16"/>
      <c r="AK285" s="16"/>
    </row>
    <row r="286">
      <c r="A286" s="16"/>
      <c r="B286" s="16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  <c r="AF286" s="100"/>
      <c r="AG286" s="100"/>
      <c r="AH286" s="16"/>
      <c r="AI286" s="16"/>
      <c r="AJ286" s="16"/>
      <c r="AK286" s="16"/>
    </row>
    <row r="287">
      <c r="A287" s="16"/>
      <c r="B287" s="16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  <c r="AF287" s="100"/>
      <c r="AG287" s="100"/>
      <c r="AH287" s="16"/>
      <c r="AI287" s="16"/>
      <c r="AJ287" s="16"/>
      <c r="AK287" s="16"/>
    </row>
    <row r="288">
      <c r="A288" s="16"/>
      <c r="B288" s="16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  <c r="AF288" s="100"/>
      <c r="AG288" s="100"/>
      <c r="AH288" s="16"/>
      <c r="AI288" s="16"/>
      <c r="AJ288" s="16"/>
      <c r="AK288" s="16"/>
    </row>
    <row r="289">
      <c r="A289" s="16"/>
      <c r="B289" s="16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  <c r="AF289" s="100"/>
      <c r="AG289" s="100"/>
      <c r="AH289" s="16"/>
      <c r="AI289" s="16"/>
      <c r="AJ289" s="16"/>
      <c r="AK289" s="16"/>
    </row>
    <row r="290">
      <c r="A290" s="16"/>
      <c r="B290" s="16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100"/>
      <c r="AH290" s="16"/>
      <c r="AI290" s="16"/>
      <c r="AJ290" s="16"/>
      <c r="AK290" s="16"/>
    </row>
    <row r="291">
      <c r="A291" s="16"/>
      <c r="B291" s="16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  <c r="AF291" s="100"/>
      <c r="AG291" s="100"/>
      <c r="AH291" s="16"/>
      <c r="AI291" s="16"/>
      <c r="AJ291" s="16"/>
      <c r="AK291" s="16"/>
    </row>
    <row r="292">
      <c r="A292" s="16"/>
      <c r="B292" s="16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  <c r="AF292" s="100"/>
      <c r="AG292" s="100"/>
      <c r="AH292" s="16"/>
      <c r="AI292" s="16"/>
      <c r="AJ292" s="16"/>
      <c r="AK292" s="16"/>
    </row>
    <row r="293">
      <c r="A293" s="16"/>
      <c r="B293" s="16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  <c r="AF293" s="100"/>
      <c r="AG293" s="100"/>
      <c r="AH293" s="16"/>
      <c r="AI293" s="16"/>
      <c r="AJ293" s="16"/>
      <c r="AK293" s="16"/>
    </row>
    <row r="294">
      <c r="A294" s="16"/>
      <c r="B294" s="16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  <c r="AF294" s="100"/>
      <c r="AG294" s="100"/>
      <c r="AH294" s="16"/>
      <c r="AI294" s="16"/>
      <c r="AJ294" s="16"/>
      <c r="AK294" s="16"/>
    </row>
    <row r="295">
      <c r="A295" s="16"/>
      <c r="B295" s="16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  <c r="AF295" s="100"/>
      <c r="AG295" s="100"/>
      <c r="AH295" s="16"/>
      <c r="AI295" s="16"/>
      <c r="AJ295" s="16"/>
      <c r="AK295" s="16"/>
    </row>
    <row r="296">
      <c r="A296" s="16"/>
      <c r="B296" s="16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  <c r="AF296" s="100"/>
      <c r="AG296" s="100"/>
      <c r="AH296" s="16"/>
      <c r="AI296" s="16"/>
      <c r="AJ296" s="16"/>
      <c r="AK296" s="16"/>
    </row>
    <row r="297">
      <c r="A297" s="16"/>
      <c r="B297" s="16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  <c r="AF297" s="100"/>
      <c r="AG297" s="100"/>
      <c r="AH297" s="16"/>
      <c r="AI297" s="16"/>
      <c r="AJ297" s="16"/>
      <c r="AK297" s="16"/>
    </row>
    <row r="298">
      <c r="A298" s="16"/>
      <c r="B298" s="16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  <c r="AF298" s="100"/>
      <c r="AG298" s="100"/>
      <c r="AH298" s="16"/>
      <c r="AI298" s="16"/>
      <c r="AJ298" s="16"/>
      <c r="AK298" s="16"/>
    </row>
    <row r="299">
      <c r="A299" s="16"/>
      <c r="B299" s="16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  <c r="AF299" s="100"/>
      <c r="AG299" s="100"/>
      <c r="AH299" s="16"/>
      <c r="AI299" s="16"/>
      <c r="AJ299" s="16"/>
      <c r="AK299" s="16"/>
    </row>
    <row r="300">
      <c r="A300" s="16"/>
      <c r="B300" s="16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  <c r="AF300" s="100"/>
      <c r="AG300" s="100"/>
      <c r="AH300" s="16"/>
      <c r="AI300" s="16"/>
      <c r="AJ300" s="16"/>
      <c r="AK300" s="16"/>
    </row>
    <row r="301">
      <c r="A301" s="16"/>
      <c r="B301" s="16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  <c r="AF301" s="100"/>
      <c r="AG301" s="100"/>
      <c r="AH301" s="16"/>
      <c r="AI301" s="16"/>
      <c r="AJ301" s="16"/>
      <c r="AK301" s="16"/>
    </row>
    <row r="302">
      <c r="A302" s="16"/>
      <c r="B302" s="16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  <c r="AF302" s="100"/>
      <c r="AG302" s="100"/>
      <c r="AH302" s="16"/>
      <c r="AI302" s="16"/>
      <c r="AJ302" s="16"/>
      <c r="AK302" s="16"/>
    </row>
    <row r="303">
      <c r="A303" s="16"/>
      <c r="B303" s="16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  <c r="AF303" s="100"/>
      <c r="AG303" s="100"/>
      <c r="AH303" s="16"/>
      <c r="AI303" s="16"/>
      <c r="AJ303" s="16"/>
      <c r="AK303" s="16"/>
    </row>
    <row r="304">
      <c r="A304" s="16"/>
      <c r="B304" s="16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  <c r="AG304" s="100"/>
      <c r="AH304" s="16"/>
      <c r="AI304" s="16"/>
      <c r="AJ304" s="16"/>
      <c r="AK304" s="16"/>
    </row>
    <row r="305">
      <c r="A305" s="16"/>
      <c r="B305" s="16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  <c r="AF305" s="100"/>
      <c r="AG305" s="100"/>
      <c r="AH305" s="16"/>
      <c r="AI305" s="16"/>
      <c r="AJ305" s="16"/>
      <c r="AK305" s="16"/>
    </row>
    <row r="306">
      <c r="A306" s="16"/>
      <c r="B306" s="16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  <c r="AF306" s="100"/>
      <c r="AG306" s="100"/>
      <c r="AH306" s="16"/>
      <c r="AI306" s="16"/>
      <c r="AJ306" s="16"/>
      <c r="AK306" s="16"/>
    </row>
    <row r="307">
      <c r="A307" s="16"/>
      <c r="B307" s="16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  <c r="AE307" s="100"/>
      <c r="AF307" s="100"/>
      <c r="AG307" s="100"/>
      <c r="AH307" s="16"/>
      <c r="AI307" s="16"/>
      <c r="AJ307" s="16"/>
      <c r="AK307" s="16"/>
    </row>
    <row r="308">
      <c r="A308" s="16"/>
      <c r="B308" s="16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  <c r="AE308" s="100"/>
      <c r="AF308" s="100"/>
      <c r="AG308" s="100"/>
      <c r="AH308" s="16"/>
      <c r="AI308" s="16"/>
      <c r="AJ308" s="16"/>
      <c r="AK308" s="16"/>
    </row>
    <row r="309">
      <c r="A309" s="16"/>
      <c r="B309" s="16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  <c r="AE309" s="100"/>
      <c r="AF309" s="100"/>
      <c r="AG309" s="100"/>
      <c r="AH309" s="16"/>
      <c r="AI309" s="16"/>
      <c r="AJ309" s="16"/>
      <c r="AK309" s="16"/>
    </row>
    <row r="310">
      <c r="A310" s="16"/>
      <c r="B310" s="16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  <c r="AE310" s="100"/>
      <c r="AF310" s="100"/>
      <c r="AG310" s="100"/>
      <c r="AH310" s="16"/>
      <c r="AI310" s="16"/>
      <c r="AJ310" s="16"/>
      <c r="AK310" s="16"/>
    </row>
    <row r="311">
      <c r="A311" s="16"/>
      <c r="B311" s="16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  <c r="AE311" s="100"/>
      <c r="AF311" s="100"/>
      <c r="AG311" s="100"/>
      <c r="AH311" s="16"/>
      <c r="AI311" s="16"/>
      <c r="AJ311" s="16"/>
      <c r="AK311" s="16"/>
    </row>
    <row r="312">
      <c r="A312" s="16"/>
      <c r="B312" s="16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  <c r="AE312" s="100"/>
      <c r="AF312" s="100"/>
      <c r="AG312" s="100"/>
      <c r="AH312" s="16"/>
      <c r="AI312" s="16"/>
      <c r="AJ312" s="16"/>
      <c r="AK312" s="16"/>
    </row>
    <row r="313">
      <c r="A313" s="16"/>
      <c r="B313" s="16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  <c r="AE313" s="100"/>
      <c r="AF313" s="100"/>
      <c r="AG313" s="100"/>
      <c r="AH313" s="16"/>
      <c r="AI313" s="16"/>
      <c r="AJ313" s="16"/>
      <c r="AK313" s="16"/>
    </row>
    <row r="314">
      <c r="A314" s="16"/>
      <c r="B314" s="16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  <c r="AF314" s="100"/>
      <c r="AG314" s="100"/>
      <c r="AH314" s="16"/>
      <c r="AI314" s="16"/>
      <c r="AJ314" s="16"/>
      <c r="AK314" s="16"/>
    </row>
    <row r="315">
      <c r="A315" s="16"/>
      <c r="B315" s="16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  <c r="AF315" s="100"/>
      <c r="AG315" s="100"/>
      <c r="AH315" s="16"/>
      <c r="AI315" s="16"/>
      <c r="AJ315" s="16"/>
      <c r="AK315" s="16"/>
    </row>
    <row r="316">
      <c r="A316" s="16"/>
      <c r="B316" s="16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  <c r="AF316" s="100"/>
      <c r="AG316" s="100"/>
      <c r="AH316" s="16"/>
      <c r="AI316" s="16"/>
      <c r="AJ316" s="16"/>
      <c r="AK316" s="16"/>
    </row>
    <row r="317">
      <c r="A317" s="16"/>
      <c r="B317" s="16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100"/>
      <c r="AH317" s="16"/>
      <c r="AI317" s="16"/>
      <c r="AJ317" s="16"/>
      <c r="AK317" s="16"/>
    </row>
    <row r="318">
      <c r="A318" s="16"/>
      <c r="B318" s="16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  <c r="AE318" s="100"/>
      <c r="AF318" s="100"/>
      <c r="AG318" s="100"/>
      <c r="AH318" s="16"/>
      <c r="AI318" s="16"/>
      <c r="AJ318" s="16"/>
      <c r="AK318" s="16"/>
    </row>
    <row r="319">
      <c r="A319" s="16"/>
      <c r="B319" s="16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  <c r="AE319" s="100"/>
      <c r="AF319" s="100"/>
      <c r="AG319" s="100"/>
      <c r="AH319" s="16"/>
      <c r="AI319" s="16"/>
      <c r="AJ319" s="16"/>
      <c r="AK319" s="16"/>
    </row>
    <row r="320">
      <c r="A320" s="16"/>
      <c r="B320" s="16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  <c r="AE320" s="100"/>
      <c r="AF320" s="100"/>
      <c r="AG320" s="100"/>
      <c r="AH320" s="16"/>
      <c r="AI320" s="16"/>
      <c r="AJ320" s="16"/>
      <c r="AK320" s="16"/>
    </row>
    <row r="321">
      <c r="A321" s="16"/>
      <c r="B321" s="16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  <c r="AE321" s="100"/>
      <c r="AF321" s="100"/>
      <c r="AG321" s="100"/>
      <c r="AH321" s="16"/>
      <c r="AI321" s="16"/>
      <c r="AJ321" s="16"/>
      <c r="AK321" s="16"/>
    </row>
    <row r="322">
      <c r="A322" s="16"/>
      <c r="B322" s="16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  <c r="AE322" s="100"/>
      <c r="AF322" s="100"/>
      <c r="AG322" s="100"/>
      <c r="AH322" s="16"/>
      <c r="AI322" s="16"/>
      <c r="AJ322" s="16"/>
      <c r="AK322" s="16"/>
    </row>
    <row r="323">
      <c r="A323" s="16"/>
      <c r="B323" s="16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  <c r="AE323" s="100"/>
      <c r="AF323" s="100"/>
      <c r="AG323" s="100"/>
      <c r="AH323" s="16"/>
      <c r="AI323" s="16"/>
      <c r="AJ323" s="16"/>
      <c r="AK323" s="16"/>
    </row>
    <row r="324">
      <c r="A324" s="16"/>
      <c r="B324" s="16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  <c r="AE324" s="100"/>
      <c r="AF324" s="100"/>
      <c r="AG324" s="100"/>
      <c r="AH324" s="16"/>
      <c r="AI324" s="16"/>
      <c r="AJ324" s="16"/>
      <c r="AK324" s="16"/>
    </row>
    <row r="325">
      <c r="A325" s="16"/>
      <c r="B325" s="16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  <c r="AE325" s="100"/>
      <c r="AF325" s="100"/>
      <c r="AG325" s="100"/>
      <c r="AH325" s="16"/>
      <c r="AI325" s="16"/>
      <c r="AJ325" s="16"/>
      <c r="AK325" s="16"/>
    </row>
    <row r="326">
      <c r="A326" s="16"/>
      <c r="B326" s="16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  <c r="AE326" s="100"/>
      <c r="AF326" s="100"/>
      <c r="AG326" s="100"/>
      <c r="AH326" s="16"/>
      <c r="AI326" s="16"/>
      <c r="AJ326" s="16"/>
      <c r="AK326" s="16"/>
    </row>
    <row r="327">
      <c r="A327" s="16"/>
      <c r="B327" s="16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  <c r="AE327" s="100"/>
      <c r="AF327" s="100"/>
      <c r="AG327" s="100"/>
      <c r="AH327" s="16"/>
      <c r="AI327" s="16"/>
      <c r="AJ327" s="16"/>
      <c r="AK327" s="16"/>
    </row>
    <row r="328">
      <c r="A328" s="16"/>
      <c r="B328" s="16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  <c r="AE328" s="100"/>
      <c r="AF328" s="100"/>
      <c r="AG328" s="100"/>
      <c r="AH328" s="16"/>
      <c r="AI328" s="16"/>
      <c r="AJ328" s="16"/>
      <c r="AK328" s="16"/>
    </row>
    <row r="329">
      <c r="A329" s="16"/>
      <c r="B329" s="16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  <c r="AE329" s="100"/>
      <c r="AF329" s="100"/>
      <c r="AG329" s="100"/>
      <c r="AH329" s="16"/>
      <c r="AI329" s="16"/>
      <c r="AJ329" s="16"/>
      <c r="AK329" s="16"/>
    </row>
    <row r="330">
      <c r="A330" s="16"/>
      <c r="B330" s="16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  <c r="AE330" s="100"/>
      <c r="AF330" s="100"/>
      <c r="AG330" s="100"/>
      <c r="AH330" s="16"/>
      <c r="AI330" s="16"/>
      <c r="AJ330" s="16"/>
      <c r="AK330" s="16"/>
    </row>
    <row r="331">
      <c r="A331" s="16"/>
      <c r="B331" s="16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  <c r="AF331" s="100"/>
      <c r="AG331" s="100"/>
      <c r="AH331" s="16"/>
      <c r="AI331" s="16"/>
      <c r="AJ331" s="16"/>
      <c r="AK331" s="16"/>
    </row>
    <row r="332">
      <c r="A332" s="16"/>
      <c r="B332" s="16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  <c r="AF332" s="100"/>
      <c r="AG332" s="100"/>
      <c r="AH332" s="16"/>
      <c r="AI332" s="16"/>
      <c r="AJ332" s="16"/>
      <c r="AK332" s="16"/>
    </row>
    <row r="333">
      <c r="A333" s="16"/>
      <c r="B333" s="16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  <c r="AE333" s="100"/>
      <c r="AF333" s="100"/>
      <c r="AG333" s="100"/>
      <c r="AH333" s="16"/>
      <c r="AI333" s="16"/>
      <c r="AJ333" s="16"/>
      <c r="AK333" s="16"/>
    </row>
    <row r="334">
      <c r="A334" s="16"/>
      <c r="B334" s="16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  <c r="AE334" s="100"/>
      <c r="AF334" s="100"/>
      <c r="AG334" s="100"/>
      <c r="AH334" s="16"/>
      <c r="AI334" s="16"/>
      <c r="AJ334" s="16"/>
      <c r="AK334" s="16"/>
    </row>
    <row r="335">
      <c r="A335" s="16"/>
      <c r="B335" s="16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  <c r="AE335" s="100"/>
      <c r="AF335" s="100"/>
      <c r="AG335" s="100"/>
      <c r="AH335" s="16"/>
      <c r="AI335" s="16"/>
      <c r="AJ335" s="16"/>
      <c r="AK335" s="16"/>
    </row>
    <row r="336">
      <c r="A336" s="16"/>
      <c r="B336" s="16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6"/>
      <c r="AI336" s="16"/>
      <c r="AJ336" s="16"/>
      <c r="AK336" s="16"/>
    </row>
    <row r="337">
      <c r="A337" s="16"/>
      <c r="B337" s="16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6"/>
      <c r="AI337" s="16"/>
      <c r="AJ337" s="16"/>
      <c r="AK337" s="16"/>
    </row>
    <row r="338">
      <c r="A338" s="16"/>
      <c r="B338" s="16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6"/>
      <c r="AI338" s="16"/>
      <c r="AJ338" s="16"/>
      <c r="AK338" s="16"/>
    </row>
    <row r="339">
      <c r="A339" s="16"/>
      <c r="B339" s="16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6"/>
      <c r="AI339" s="16"/>
      <c r="AJ339" s="16"/>
      <c r="AK339" s="16"/>
    </row>
    <row r="340">
      <c r="A340" s="16"/>
      <c r="B340" s="16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6"/>
      <c r="AI340" s="16"/>
      <c r="AJ340" s="16"/>
      <c r="AK340" s="16"/>
    </row>
    <row r="341">
      <c r="A341" s="16"/>
      <c r="B341" s="16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6"/>
      <c r="AI341" s="16"/>
      <c r="AJ341" s="16"/>
      <c r="AK341" s="16"/>
    </row>
    <row r="342">
      <c r="A342" s="16"/>
      <c r="B342" s="16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6"/>
      <c r="AI342" s="16"/>
      <c r="AJ342" s="16"/>
      <c r="AK342" s="16"/>
    </row>
    <row r="343">
      <c r="A343" s="16"/>
      <c r="B343" s="16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6"/>
      <c r="AI343" s="16"/>
      <c r="AJ343" s="16"/>
      <c r="AK343" s="16"/>
    </row>
    <row r="344">
      <c r="A344" s="16"/>
      <c r="B344" s="16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6"/>
      <c r="AI344" s="16"/>
      <c r="AJ344" s="16"/>
      <c r="AK344" s="16"/>
    </row>
    <row r="345">
      <c r="A345" s="16"/>
      <c r="B345" s="16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6"/>
      <c r="AI345" s="16"/>
      <c r="AJ345" s="16"/>
      <c r="AK345" s="16"/>
    </row>
    <row r="346">
      <c r="A346" s="16"/>
      <c r="B346" s="16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6"/>
      <c r="AI346" s="16"/>
      <c r="AJ346" s="16"/>
      <c r="AK346" s="16"/>
    </row>
    <row r="347">
      <c r="A347" s="16"/>
      <c r="B347" s="16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6"/>
      <c r="AI347" s="16"/>
      <c r="AJ347" s="16"/>
      <c r="AK347" s="16"/>
    </row>
    <row r="348">
      <c r="A348" s="16"/>
      <c r="B348" s="16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6"/>
      <c r="AI348" s="16"/>
      <c r="AJ348" s="16"/>
      <c r="AK348" s="16"/>
    </row>
    <row r="349">
      <c r="A349" s="16"/>
      <c r="B349" s="16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6"/>
      <c r="AI349" s="16"/>
      <c r="AJ349" s="16"/>
      <c r="AK349" s="16"/>
    </row>
    <row r="350">
      <c r="A350" s="16"/>
      <c r="B350" s="16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6"/>
      <c r="AI350" s="16"/>
      <c r="AJ350" s="16"/>
      <c r="AK350" s="16"/>
    </row>
    <row r="351">
      <c r="A351" s="16"/>
      <c r="B351" s="16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6"/>
      <c r="AI351" s="16"/>
      <c r="AJ351" s="16"/>
      <c r="AK351" s="16"/>
    </row>
    <row r="352">
      <c r="A352" s="16"/>
      <c r="B352" s="16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6"/>
      <c r="AI352" s="16"/>
      <c r="AJ352" s="16"/>
      <c r="AK352" s="16"/>
    </row>
    <row r="353">
      <c r="A353" s="16"/>
      <c r="B353" s="16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6"/>
      <c r="AI353" s="16"/>
      <c r="AJ353" s="16"/>
      <c r="AK353" s="16"/>
    </row>
    <row r="354">
      <c r="A354" s="16"/>
      <c r="B354" s="16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6"/>
      <c r="AI354" s="16"/>
      <c r="AJ354" s="16"/>
      <c r="AK354" s="16"/>
    </row>
    <row r="355">
      <c r="A355" s="16"/>
      <c r="B355" s="16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6"/>
      <c r="AI355" s="16"/>
      <c r="AJ355" s="16"/>
      <c r="AK355" s="16"/>
    </row>
    <row r="356">
      <c r="A356" s="16"/>
      <c r="B356" s="16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6"/>
      <c r="AI356" s="16"/>
      <c r="AJ356" s="16"/>
      <c r="AK356" s="16"/>
    </row>
    <row r="357">
      <c r="A357" s="16"/>
      <c r="B357" s="16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6"/>
      <c r="AI357" s="16"/>
      <c r="AJ357" s="16"/>
      <c r="AK357" s="16"/>
    </row>
    <row r="358">
      <c r="A358" s="16"/>
      <c r="B358" s="16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6"/>
      <c r="AI358" s="16"/>
      <c r="AJ358" s="16"/>
      <c r="AK358" s="16"/>
    </row>
    <row r="359">
      <c r="A359" s="16"/>
      <c r="B359" s="16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6"/>
      <c r="AI359" s="16"/>
      <c r="AJ359" s="16"/>
      <c r="AK359" s="16"/>
    </row>
    <row r="360">
      <c r="A360" s="16"/>
      <c r="B360" s="16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6"/>
      <c r="AI360" s="16"/>
      <c r="AJ360" s="16"/>
      <c r="AK360" s="16"/>
    </row>
    <row r="361">
      <c r="A361" s="16"/>
      <c r="B361" s="16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6"/>
      <c r="AI361" s="16"/>
      <c r="AJ361" s="16"/>
      <c r="AK361" s="16"/>
    </row>
    <row r="362">
      <c r="A362" s="16"/>
      <c r="B362" s="16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6"/>
      <c r="AI362" s="16"/>
      <c r="AJ362" s="16"/>
      <c r="AK362" s="16"/>
    </row>
    <row r="363">
      <c r="A363" s="16"/>
      <c r="B363" s="16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6"/>
      <c r="AI363" s="16"/>
      <c r="AJ363" s="16"/>
      <c r="AK363" s="16"/>
    </row>
    <row r="364">
      <c r="A364" s="16"/>
      <c r="B364" s="16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6"/>
      <c r="AI364" s="16"/>
      <c r="AJ364" s="16"/>
      <c r="AK364" s="16"/>
    </row>
    <row r="365">
      <c r="A365" s="16"/>
      <c r="B365" s="16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6"/>
      <c r="AI365" s="16"/>
      <c r="AJ365" s="16"/>
      <c r="AK365" s="16"/>
    </row>
    <row r="366">
      <c r="A366" s="16"/>
      <c r="B366" s="16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6"/>
      <c r="AI366" s="16"/>
      <c r="AJ366" s="16"/>
      <c r="AK366" s="16"/>
    </row>
    <row r="367">
      <c r="A367" s="16"/>
      <c r="B367" s="16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6"/>
      <c r="AI367" s="16"/>
      <c r="AJ367" s="16"/>
      <c r="AK367" s="16"/>
    </row>
    <row r="368">
      <c r="A368" s="16"/>
      <c r="B368" s="16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6"/>
      <c r="AI368" s="16"/>
      <c r="AJ368" s="16"/>
      <c r="AK368" s="16"/>
    </row>
    <row r="369">
      <c r="A369" s="16"/>
      <c r="B369" s="16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6"/>
      <c r="AI369" s="16"/>
      <c r="AJ369" s="16"/>
      <c r="AK369" s="16"/>
    </row>
    <row r="370">
      <c r="A370" s="16"/>
      <c r="B370" s="16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6"/>
      <c r="AI370" s="16"/>
      <c r="AJ370" s="16"/>
      <c r="AK370" s="16"/>
    </row>
    <row r="371">
      <c r="A371" s="16"/>
      <c r="B371" s="16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6"/>
      <c r="AI371" s="16"/>
      <c r="AJ371" s="16"/>
      <c r="AK371" s="16"/>
    </row>
    <row r="372">
      <c r="A372" s="16"/>
      <c r="B372" s="16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6"/>
      <c r="AI372" s="16"/>
      <c r="AJ372" s="16"/>
      <c r="AK372" s="16"/>
    </row>
    <row r="373">
      <c r="A373" s="16"/>
      <c r="B373" s="16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6"/>
      <c r="AI373" s="16"/>
      <c r="AJ373" s="16"/>
      <c r="AK373" s="16"/>
    </row>
    <row r="374">
      <c r="A374" s="16"/>
      <c r="B374" s="16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6"/>
      <c r="AI374" s="16"/>
      <c r="AJ374" s="16"/>
      <c r="AK374" s="16"/>
    </row>
    <row r="375">
      <c r="A375" s="16"/>
      <c r="B375" s="16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6"/>
      <c r="AI375" s="16"/>
      <c r="AJ375" s="16"/>
      <c r="AK375" s="16"/>
    </row>
    <row r="376">
      <c r="A376" s="16"/>
      <c r="B376" s="16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6"/>
      <c r="AI376" s="16"/>
      <c r="AJ376" s="16"/>
      <c r="AK376" s="16"/>
    </row>
    <row r="377">
      <c r="A377" s="16"/>
      <c r="B377" s="16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6"/>
      <c r="AI377" s="16"/>
      <c r="AJ377" s="16"/>
      <c r="AK377" s="16"/>
    </row>
    <row r="378">
      <c r="A378" s="16"/>
      <c r="B378" s="16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6"/>
      <c r="AI378" s="16"/>
      <c r="AJ378" s="16"/>
      <c r="AK378" s="16"/>
    </row>
    <row r="379">
      <c r="A379" s="16"/>
      <c r="B379" s="16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6"/>
      <c r="AI379" s="16"/>
      <c r="AJ379" s="16"/>
      <c r="AK379" s="16"/>
    </row>
    <row r="380">
      <c r="A380" s="16"/>
      <c r="B380" s="16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6"/>
      <c r="AI380" s="16"/>
      <c r="AJ380" s="16"/>
      <c r="AK380" s="16"/>
    </row>
    <row r="381">
      <c r="A381" s="16"/>
      <c r="B381" s="16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6"/>
      <c r="AI381" s="16"/>
      <c r="AJ381" s="16"/>
      <c r="AK381" s="16"/>
    </row>
    <row r="382">
      <c r="A382" s="16"/>
      <c r="B382" s="16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6"/>
      <c r="AI382" s="16"/>
      <c r="AJ382" s="16"/>
      <c r="AK382" s="16"/>
    </row>
    <row r="383">
      <c r="A383" s="16"/>
      <c r="B383" s="16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6"/>
      <c r="AI383" s="16"/>
      <c r="AJ383" s="16"/>
      <c r="AK383" s="16"/>
    </row>
    <row r="384">
      <c r="A384" s="16"/>
      <c r="B384" s="16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6"/>
      <c r="AI384" s="16"/>
      <c r="AJ384" s="16"/>
      <c r="AK384" s="16"/>
    </row>
    <row r="385">
      <c r="A385" s="16"/>
      <c r="B385" s="16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6"/>
      <c r="AI385" s="16"/>
      <c r="AJ385" s="16"/>
      <c r="AK385" s="16"/>
    </row>
    <row r="386">
      <c r="A386" s="16"/>
      <c r="B386" s="16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6"/>
      <c r="AI386" s="16"/>
      <c r="AJ386" s="16"/>
      <c r="AK386" s="16"/>
    </row>
    <row r="387">
      <c r="A387" s="16"/>
      <c r="B387" s="16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6"/>
      <c r="AI387" s="16"/>
      <c r="AJ387" s="16"/>
      <c r="AK387" s="16"/>
    </row>
    <row r="388">
      <c r="A388" s="16"/>
      <c r="B388" s="16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6"/>
      <c r="AI388" s="16"/>
      <c r="AJ388" s="16"/>
      <c r="AK388" s="16"/>
    </row>
    <row r="389">
      <c r="A389" s="16"/>
      <c r="B389" s="16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6"/>
      <c r="AI389" s="16"/>
      <c r="AJ389" s="16"/>
      <c r="AK389" s="16"/>
    </row>
    <row r="390">
      <c r="A390" s="16"/>
      <c r="B390" s="16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6"/>
      <c r="AI390" s="16"/>
      <c r="AJ390" s="16"/>
      <c r="AK390" s="16"/>
    </row>
    <row r="391">
      <c r="A391" s="16"/>
      <c r="B391" s="16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6"/>
      <c r="AI391" s="16"/>
      <c r="AJ391" s="16"/>
      <c r="AK391" s="16"/>
    </row>
    <row r="392">
      <c r="A392" s="16"/>
      <c r="B392" s="16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6"/>
      <c r="AI392" s="16"/>
      <c r="AJ392" s="16"/>
      <c r="AK392" s="16"/>
    </row>
    <row r="393">
      <c r="A393" s="16"/>
      <c r="B393" s="16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6"/>
      <c r="AI393" s="16"/>
      <c r="AJ393" s="16"/>
      <c r="AK393" s="16"/>
    </row>
    <row r="394">
      <c r="A394" s="16"/>
      <c r="B394" s="16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6"/>
      <c r="AI394" s="16"/>
      <c r="AJ394" s="16"/>
      <c r="AK394" s="16"/>
    </row>
    <row r="395">
      <c r="A395" s="16"/>
      <c r="B395" s="16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6"/>
      <c r="AI395" s="16"/>
      <c r="AJ395" s="16"/>
      <c r="AK395" s="16"/>
    </row>
    <row r="396">
      <c r="A396" s="16"/>
      <c r="B396" s="16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  <c r="AH396" s="16"/>
      <c r="AI396" s="16"/>
      <c r="AJ396" s="16"/>
      <c r="AK396" s="16"/>
    </row>
    <row r="397">
      <c r="A397" s="16"/>
      <c r="B397" s="16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  <c r="AH397" s="16"/>
      <c r="AI397" s="16"/>
      <c r="AJ397" s="16"/>
      <c r="AK397" s="16"/>
    </row>
    <row r="398">
      <c r="A398" s="16"/>
      <c r="B398" s="16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  <c r="AH398" s="16"/>
      <c r="AI398" s="16"/>
      <c r="AJ398" s="16"/>
      <c r="AK398" s="16"/>
    </row>
    <row r="399">
      <c r="A399" s="16"/>
      <c r="B399" s="16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  <c r="AH399" s="16"/>
      <c r="AI399" s="16"/>
      <c r="AJ399" s="16"/>
      <c r="AK399" s="16"/>
    </row>
    <row r="400">
      <c r="A400" s="16"/>
      <c r="B400" s="16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  <c r="AH400" s="16"/>
      <c r="AI400" s="16"/>
      <c r="AJ400" s="16"/>
      <c r="AK400" s="16"/>
    </row>
    <row r="401">
      <c r="A401" s="16"/>
      <c r="B401" s="16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  <c r="AH401" s="16"/>
      <c r="AI401" s="16"/>
      <c r="AJ401" s="16"/>
      <c r="AK401" s="16"/>
    </row>
    <row r="402">
      <c r="A402" s="16"/>
      <c r="B402" s="16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  <c r="AH402" s="16"/>
      <c r="AI402" s="16"/>
      <c r="AJ402" s="16"/>
      <c r="AK402" s="16"/>
    </row>
    <row r="403">
      <c r="A403" s="16"/>
      <c r="B403" s="16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6"/>
      <c r="AI403" s="16"/>
      <c r="AJ403" s="16"/>
      <c r="AK403" s="16"/>
    </row>
    <row r="404">
      <c r="A404" s="16"/>
      <c r="B404" s="16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  <c r="AH404" s="16"/>
      <c r="AI404" s="16"/>
      <c r="AJ404" s="16"/>
      <c r="AK404" s="16"/>
    </row>
    <row r="405">
      <c r="A405" s="16"/>
      <c r="B405" s="16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  <c r="AH405" s="16"/>
      <c r="AI405" s="16"/>
      <c r="AJ405" s="16"/>
      <c r="AK405" s="16"/>
    </row>
    <row r="406">
      <c r="A406" s="16"/>
      <c r="B406" s="16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  <c r="AH406" s="16"/>
      <c r="AI406" s="16"/>
      <c r="AJ406" s="16"/>
      <c r="AK406" s="16"/>
    </row>
    <row r="407">
      <c r="A407" s="16"/>
      <c r="B407" s="16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  <c r="AH407" s="16"/>
      <c r="AI407" s="16"/>
      <c r="AJ407" s="16"/>
      <c r="AK407" s="16"/>
    </row>
    <row r="408">
      <c r="A408" s="16"/>
      <c r="B408" s="16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  <c r="AH408" s="16"/>
      <c r="AI408" s="16"/>
      <c r="AJ408" s="16"/>
      <c r="AK408" s="16"/>
    </row>
    <row r="409">
      <c r="A409" s="16"/>
      <c r="B409" s="16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  <c r="AH409" s="16"/>
      <c r="AI409" s="16"/>
      <c r="AJ409" s="16"/>
      <c r="AK409" s="16"/>
    </row>
    <row r="410">
      <c r="A410" s="16"/>
      <c r="B410" s="16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  <c r="AH410" s="16"/>
      <c r="AI410" s="16"/>
      <c r="AJ410" s="16"/>
      <c r="AK410" s="16"/>
    </row>
    <row r="411">
      <c r="A411" s="16"/>
      <c r="B411" s="16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  <c r="AH411" s="16"/>
      <c r="AI411" s="16"/>
      <c r="AJ411" s="16"/>
      <c r="AK411" s="16"/>
    </row>
    <row r="412">
      <c r="A412" s="16"/>
      <c r="B412" s="16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  <c r="AH412" s="16"/>
      <c r="AI412" s="16"/>
      <c r="AJ412" s="16"/>
      <c r="AK412" s="16"/>
    </row>
    <row r="413">
      <c r="A413" s="16"/>
      <c r="B413" s="16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6"/>
      <c r="AI413" s="16"/>
      <c r="AJ413" s="16"/>
      <c r="AK413" s="16"/>
    </row>
    <row r="414">
      <c r="A414" s="16"/>
      <c r="B414" s="16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6"/>
      <c r="AI414" s="16"/>
      <c r="AJ414" s="16"/>
      <c r="AK414" s="16"/>
    </row>
    <row r="415">
      <c r="A415" s="16"/>
      <c r="B415" s="16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  <c r="AH415" s="16"/>
      <c r="AI415" s="16"/>
      <c r="AJ415" s="16"/>
      <c r="AK415" s="16"/>
    </row>
    <row r="416">
      <c r="A416" s="16"/>
      <c r="B416" s="16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  <c r="AH416" s="16"/>
      <c r="AI416" s="16"/>
      <c r="AJ416" s="16"/>
      <c r="AK416" s="16"/>
    </row>
    <row r="417">
      <c r="A417" s="16"/>
      <c r="B417" s="16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6"/>
      <c r="AI417" s="16"/>
      <c r="AJ417" s="16"/>
      <c r="AK417" s="16"/>
    </row>
    <row r="418">
      <c r="A418" s="16"/>
      <c r="B418" s="16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  <c r="AH418" s="16"/>
      <c r="AI418" s="16"/>
      <c r="AJ418" s="16"/>
      <c r="AK418" s="16"/>
    </row>
    <row r="419">
      <c r="A419" s="16"/>
      <c r="B419" s="16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  <c r="AH419" s="16"/>
      <c r="AI419" s="16"/>
      <c r="AJ419" s="16"/>
      <c r="AK419" s="16"/>
    </row>
    <row r="420">
      <c r="A420" s="16"/>
      <c r="B420" s="16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  <c r="AH420" s="16"/>
      <c r="AI420" s="16"/>
      <c r="AJ420" s="16"/>
      <c r="AK420" s="16"/>
    </row>
    <row r="421">
      <c r="A421" s="16"/>
      <c r="B421" s="16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6"/>
      <c r="AI421" s="16"/>
      <c r="AJ421" s="16"/>
      <c r="AK421" s="16"/>
    </row>
    <row r="422">
      <c r="A422" s="16"/>
      <c r="B422" s="16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  <c r="AH422" s="16"/>
      <c r="AI422" s="16"/>
      <c r="AJ422" s="16"/>
      <c r="AK422" s="16"/>
    </row>
    <row r="423">
      <c r="A423" s="16"/>
      <c r="B423" s="16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6"/>
      <c r="AI423" s="16"/>
      <c r="AJ423" s="16"/>
      <c r="AK423" s="16"/>
    </row>
    <row r="424">
      <c r="A424" s="16"/>
      <c r="B424" s="16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6"/>
      <c r="AI424" s="16"/>
      <c r="AJ424" s="16"/>
      <c r="AK424" s="16"/>
    </row>
    <row r="425">
      <c r="A425" s="16"/>
      <c r="B425" s="16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  <c r="AH425" s="16"/>
      <c r="AI425" s="16"/>
      <c r="AJ425" s="16"/>
      <c r="AK425" s="16"/>
    </row>
    <row r="426">
      <c r="A426" s="16"/>
      <c r="B426" s="16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  <c r="AH426" s="16"/>
      <c r="AI426" s="16"/>
      <c r="AJ426" s="16"/>
      <c r="AK426" s="16"/>
    </row>
    <row r="427">
      <c r="A427" s="16"/>
      <c r="B427" s="16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  <c r="AH427" s="16"/>
      <c r="AI427" s="16"/>
      <c r="AJ427" s="16"/>
      <c r="AK427" s="16"/>
    </row>
    <row r="428">
      <c r="A428" s="16"/>
      <c r="B428" s="16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  <c r="AH428" s="16"/>
      <c r="AI428" s="16"/>
      <c r="AJ428" s="16"/>
      <c r="AK428" s="16"/>
    </row>
    <row r="429">
      <c r="A429" s="16"/>
      <c r="B429" s="16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  <c r="AH429" s="16"/>
      <c r="AI429" s="16"/>
      <c r="AJ429" s="16"/>
      <c r="AK429" s="16"/>
    </row>
    <row r="430">
      <c r="A430" s="16"/>
      <c r="B430" s="16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  <c r="AH430" s="16"/>
      <c r="AI430" s="16"/>
      <c r="AJ430" s="16"/>
      <c r="AK430" s="16"/>
    </row>
    <row r="431">
      <c r="A431" s="16"/>
      <c r="B431" s="16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  <c r="AH431" s="16"/>
      <c r="AI431" s="16"/>
      <c r="AJ431" s="16"/>
      <c r="AK431" s="16"/>
    </row>
    <row r="432">
      <c r="A432" s="16"/>
      <c r="B432" s="16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  <c r="AH432" s="16"/>
      <c r="AI432" s="16"/>
      <c r="AJ432" s="16"/>
      <c r="AK432" s="16"/>
    </row>
    <row r="433">
      <c r="A433" s="16"/>
      <c r="B433" s="16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  <c r="AH433" s="16"/>
      <c r="AI433" s="16"/>
      <c r="AJ433" s="16"/>
      <c r="AK433" s="16"/>
    </row>
    <row r="434">
      <c r="A434" s="16"/>
      <c r="B434" s="16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  <c r="AH434" s="16"/>
      <c r="AI434" s="16"/>
      <c r="AJ434" s="16"/>
      <c r="AK434" s="16"/>
    </row>
    <row r="435">
      <c r="A435" s="16"/>
      <c r="B435" s="16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  <c r="AH435" s="16"/>
      <c r="AI435" s="16"/>
      <c r="AJ435" s="16"/>
      <c r="AK435" s="16"/>
    </row>
    <row r="436">
      <c r="A436" s="16"/>
      <c r="B436" s="16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  <c r="AH436" s="16"/>
      <c r="AI436" s="16"/>
      <c r="AJ436" s="16"/>
      <c r="AK436" s="16"/>
    </row>
    <row r="437">
      <c r="A437" s="16"/>
      <c r="B437" s="16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6"/>
      <c r="AI437" s="16"/>
      <c r="AJ437" s="16"/>
      <c r="AK437" s="16"/>
    </row>
    <row r="438">
      <c r="A438" s="16"/>
      <c r="B438" s="16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6"/>
      <c r="AI438" s="16"/>
      <c r="AJ438" s="16"/>
      <c r="AK438" s="16"/>
    </row>
    <row r="439">
      <c r="A439" s="16"/>
      <c r="B439" s="16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6"/>
      <c r="AI439" s="16"/>
      <c r="AJ439" s="16"/>
      <c r="AK439" s="16"/>
    </row>
    <row r="440">
      <c r="A440" s="16"/>
      <c r="B440" s="16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  <c r="AH440" s="16"/>
      <c r="AI440" s="16"/>
      <c r="AJ440" s="16"/>
      <c r="AK440" s="16"/>
    </row>
    <row r="441">
      <c r="A441" s="16"/>
      <c r="B441" s="16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  <c r="AH441" s="16"/>
      <c r="AI441" s="16"/>
      <c r="AJ441" s="16"/>
      <c r="AK441" s="16"/>
    </row>
    <row r="442">
      <c r="A442" s="16"/>
      <c r="B442" s="16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  <c r="AH442" s="16"/>
      <c r="AI442" s="16"/>
      <c r="AJ442" s="16"/>
      <c r="AK442" s="16"/>
    </row>
    <row r="443">
      <c r="A443" s="16"/>
      <c r="B443" s="16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  <c r="AH443" s="16"/>
      <c r="AI443" s="16"/>
      <c r="AJ443" s="16"/>
      <c r="AK443" s="16"/>
    </row>
    <row r="444">
      <c r="A444" s="16"/>
      <c r="B444" s="16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  <c r="AH444" s="16"/>
      <c r="AI444" s="16"/>
      <c r="AJ444" s="16"/>
      <c r="AK444" s="16"/>
    </row>
    <row r="445">
      <c r="A445" s="16"/>
      <c r="B445" s="16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  <c r="AH445" s="16"/>
      <c r="AI445" s="16"/>
      <c r="AJ445" s="16"/>
      <c r="AK445" s="16"/>
    </row>
    <row r="446">
      <c r="A446" s="16"/>
      <c r="B446" s="16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  <c r="AH446" s="16"/>
      <c r="AI446" s="16"/>
      <c r="AJ446" s="16"/>
      <c r="AK446" s="16"/>
    </row>
    <row r="447">
      <c r="A447" s="16"/>
      <c r="B447" s="16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  <c r="AH447" s="16"/>
      <c r="AI447" s="16"/>
      <c r="AJ447" s="16"/>
      <c r="AK447" s="16"/>
    </row>
    <row r="448">
      <c r="A448" s="16"/>
      <c r="B448" s="16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  <c r="AH448" s="16"/>
      <c r="AI448" s="16"/>
      <c r="AJ448" s="16"/>
      <c r="AK448" s="16"/>
    </row>
    <row r="449">
      <c r="A449" s="16"/>
      <c r="B449" s="16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  <c r="AH449" s="16"/>
      <c r="AI449" s="16"/>
      <c r="AJ449" s="16"/>
      <c r="AK449" s="16"/>
    </row>
    <row r="450">
      <c r="A450" s="16"/>
      <c r="B450" s="16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  <c r="AH450" s="16"/>
      <c r="AI450" s="16"/>
      <c r="AJ450" s="16"/>
      <c r="AK450" s="16"/>
    </row>
    <row r="451">
      <c r="A451" s="16"/>
      <c r="B451" s="16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6"/>
      <c r="AI451" s="16"/>
      <c r="AJ451" s="16"/>
      <c r="AK451" s="16"/>
    </row>
    <row r="452">
      <c r="A452" s="16"/>
      <c r="B452" s="16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  <c r="AH452" s="16"/>
      <c r="AI452" s="16"/>
      <c r="AJ452" s="16"/>
      <c r="AK452" s="16"/>
    </row>
    <row r="453">
      <c r="A453" s="16"/>
      <c r="B453" s="16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6"/>
      <c r="AI453" s="16"/>
      <c r="AJ453" s="16"/>
      <c r="AK453" s="16"/>
    </row>
    <row r="454">
      <c r="A454" s="16"/>
      <c r="B454" s="16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  <c r="AH454" s="16"/>
      <c r="AI454" s="16"/>
      <c r="AJ454" s="16"/>
      <c r="AK454" s="16"/>
    </row>
    <row r="455">
      <c r="A455" s="16"/>
      <c r="B455" s="16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  <c r="AH455" s="16"/>
      <c r="AI455" s="16"/>
      <c r="AJ455" s="16"/>
      <c r="AK455" s="16"/>
    </row>
    <row r="456">
      <c r="A456" s="16"/>
      <c r="B456" s="16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6"/>
      <c r="AI456" s="16"/>
      <c r="AJ456" s="16"/>
      <c r="AK456" s="16"/>
    </row>
    <row r="457">
      <c r="A457" s="16"/>
      <c r="B457" s="16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  <c r="AH457" s="16"/>
      <c r="AI457" s="16"/>
      <c r="AJ457" s="16"/>
      <c r="AK457" s="16"/>
    </row>
    <row r="458">
      <c r="A458" s="16"/>
      <c r="B458" s="16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  <c r="AH458" s="16"/>
      <c r="AI458" s="16"/>
      <c r="AJ458" s="16"/>
      <c r="AK458" s="16"/>
    </row>
    <row r="459">
      <c r="A459" s="16"/>
      <c r="B459" s="16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  <c r="AH459" s="16"/>
      <c r="AI459" s="16"/>
      <c r="AJ459" s="16"/>
      <c r="AK459" s="16"/>
    </row>
    <row r="460">
      <c r="A460" s="16"/>
      <c r="B460" s="16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  <c r="AH460" s="16"/>
      <c r="AI460" s="16"/>
      <c r="AJ460" s="16"/>
      <c r="AK460" s="16"/>
    </row>
    <row r="461">
      <c r="A461" s="16"/>
      <c r="B461" s="16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6"/>
      <c r="AI461" s="16"/>
      <c r="AJ461" s="16"/>
      <c r="AK461" s="16"/>
    </row>
    <row r="462">
      <c r="A462" s="16"/>
      <c r="B462" s="16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6"/>
      <c r="AI462" s="16"/>
      <c r="AJ462" s="16"/>
      <c r="AK462" s="16"/>
    </row>
    <row r="463">
      <c r="A463" s="16"/>
      <c r="B463" s="16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6"/>
      <c r="AI463" s="16"/>
      <c r="AJ463" s="16"/>
      <c r="AK463" s="16"/>
    </row>
    <row r="464">
      <c r="A464" s="16"/>
      <c r="B464" s="16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  <c r="AH464" s="16"/>
      <c r="AI464" s="16"/>
      <c r="AJ464" s="16"/>
      <c r="AK464" s="16"/>
    </row>
    <row r="465">
      <c r="A465" s="16"/>
      <c r="B465" s="16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6"/>
      <c r="AI465" s="16"/>
      <c r="AJ465" s="16"/>
      <c r="AK465" s="16"/>
    </row>
    <row r="466">
      <c r="A466" s="16"/>
      <c r="B466" s="16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6"/>
      <c r="AI466" s="16"/>
      <c r="AJ466" s="16"/>
      <c r="AK466" s="16"/>
    </row>
    <row r="467">
      <c r="A467" s="16"/>
      <c r="B467" s="16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6"/>
      <c r="AI467" s="16"/>
      <c r="AJ467" s="16"/>
      <c r="AK467" s="16"/>
    </row>
    <row r="468">
      <c r="A468" s="16"/>
      <c r="B468" s="16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6"/>
      <c r="AI468" s="16"/>
      <c r="AJ468" s="16"/>
      <c r="AK468" s="16"/>
    </row>
    <row r="469">
      <c r="A469" s="16"/>
      <c r="B469" s="16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6"/>
      <c r="AI469" s="16"/>
      <c r="AJ469" s="16"/>
      <c r="AK469" s="16"/>
    </row>
    <row r="470">
      <c r="A470" s="16"/>
      <c r="B470" s="16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6"/>
      <c r="AI470" s="16"/>
      <c r="AJ470" s="16"/>
      <c r="AK470" s="16"/>
    </row>
    <row r="471">
      <c r="A471" s="16"/>
      <c r="B471" s="16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  <c r="AH471" s="16"/>
      <c r="AI471" s="16"/>
      <c r="AJ471" s="16"/>
      <c r="AK471" s="16"/>
    </row>
    <row r="472">
      <c r="A472" s="16"/>
      <c r="B472" s="16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6"/>
      <c r="AI472" s="16"/>
      <c r="AJ472" s="16"/>
      <c r="AK472" s="16"/>
    </row>
    <row r="473">
      <c r="A473" s="16"/>
      <c r="B473" s="16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  <c r="AH473" s="16"/>
      <c r="AI473" s="16"/>
      <c r="AJ473" s="16"/>
      <c r="AK473" s="16"/>
    </row>
    <row r="474">
      <c r="A474" s="16"/>
      <c r="B474" s="16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6"/>
      <c r="AI474" s="16"/>
      <c r="AJ474" s="16"/>
      <c r="AK474" s="16"/>
    </row>
    <row r="475">
      <c r="A475" s="16"/>
      <c r="B475" s="16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6"/>
      <c r="AI475" s="16"/>
      <c r="AJ475" s="16"/>
      <c r="AK475" s="16"/>
    </row>
    <row r="476">
      <c r="A476" s="16"/>
      <c r="B476" s="16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6"/>
      <c r="AI476" s="16"/>
      <c r="AJ476" s="16"/>
      <c r="AK476" s="16"/>
    </row>
    <row r="477">
      <c r="A477" s="16"/>
      <c r="B477" s="16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6"/>
      <c r="AI477" s="16"/>
      <c r="AJ477" s="16"/>
      <c r="AK477" s="16"/>
    </row>
    <row r="478">
      <c r="A478" s="16"/>
      <c r="B478" s="16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6"/>
      <c r="AI478" s="16"/>
      <c r="AJ478" s="16"/>
      <c r="AK478" s="16"/>
    </row>
    <row r="479">
      <c r="A479" s="16"/>
      <c r="B479" s="16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  <c r="AH479" s="16"/>
      <c r="AI479" s="16"/>
      <c r="AJ479" s="16"/>
      <c r="AK479" s="16"/>
    </row>
    <row r="480">
      <c r="A480" s="16"/>
      <c r="B480" s="16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6"/>
      <c r="AI480" s="16"/>
      <c r="AJ480" s="16"/>
      <c r="AK480" s="16"/>
    </row>
    <row r="481">
      <c r="A481" s="16"/>
      <c r="B481" s="16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  <c r="AH481" s="16"/>
      <c r="AI481" s="16"/>
      <c r="AJ481" s="16"/>
      <c r="AK481" s="16"/>
    </row>
    <row r="482">
      <c r="A482" s="16"/>
      <c r="B482" s="16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6"/>
      <c r="AI482" s="16"/>
      <c r="AJ482" s="16"/>
      <c r="AK482" s="16"/>
    </row>
    <row r="483">
      <c r="A483" s="16"/>
      <c r="B483" s="16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  <c r="AH483" s="16"/>
      <c r="AI483" s="16"/>
      <c r="AJ483" s="16"/>
      <c r="AK483" s="16"/>
    </row>
    <row r="484">
      <c r="A484" s="16"/>
      <c r="B484" s="16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6"/>
      <c r="AI484" s="16"/>
      <c r="AJ484" s="16"/>
      <c r="AK484" s="16"/>
    </row>
    <row r="485">
      <c r="A485" s="16"/>
      <c r="B485" s="16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6"/>
      <c r="AI485" s="16"/>
      <c r="AJ485" s="16"/>
      <c r="AK485" s="16"/>
    </row>
    <row r="486">
      <c r="A486" s="16"/>
      <c r="B486" s="16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6"/>
      <c r="AI486" s="16"/>
      <c r="AJ486" s="16"/>
      <c r="AK486" s="16"/>
    </row>
    <row r="487">
      <c r="A487" s="16"/>
      <c r="B487" s="16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6"/>
      <c r="AI487" s="16"/>
      <c r="AJ487" s="16"/>
      <c r="AK487" s="16"/>
    </row>
    <row r="488">
      <c r="A488" s="16"/>
      <c r="B488" s="16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  <c r="AH488" s="16"/>
      <c r="AI488" s="16"/>
      <c r="AJ488" s="16"/>
      <c r="AK488" s="16"/>
    </row>
    <row r="489">
      <c r="A489" s="16"/>
      <c r="B489" s="16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  <c r="AH489" s="16"/>
      <c r="AI489" s="16"/>
      <c r="AJ489" s="16"/>
      <c r="AK489" s="16"/>
    </row>
    <row r="490">
      <c r="A490" s="16"/>
      <c r="B490" s="16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  <c r="AH490" s="16"/>
      <c r="AI490" s="16"/>
      <c r="AJ490" s="16"/>
      <c r="AK490" s="16"/>
    </row>
    <row r="491">
      <c r="A491" s="16"/>
      <c r="B491" s="16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  <c r="AH491" s="16"/>
      <c r="AI491" s="16"/>
      <c r="AJ491" s="16"/>
      <c r="AK491" s="16"/>
    </row>
    <row r="492">
      <c r="A492" s="16"/>
      <c r="B492" s="16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  <c r="AH492" s="16"/>
      <c r="AI492" s="16"/>
      <c r="AJ492" s="16"/>
      <c r="AK492" s="16"/>
    </row>
    <row r="493">
      <c r="A493" s="16"/>
      <c r="B493" s="16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  <c r="AH493" s="16"/>
      <c r="AI493" s="16"/>
      <c r="AJ493" s="16"/>
      <c r="AK493" s="16"/>
    </row>
    <row r="494">
      <c r="A494" s="16"/>
      <c r="B494" s="16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  <c r="AH494" s="16"/>
      <c r="AI494" s="16"/>
      <c r="AJ494" s="16"/>
      <c r="AK494" s="16"/>
    </row>
    <row r="495">
      <c r="A495" s="16"/>
      <c r="B495" s="16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  <c r="AH495" s="16"/>
      <c r="AI495" s="16"/>
      <c r="AJ495" s="16"/>
      <c r="AK495" s="16"/>
    </row>
    <row r="496">
      <c r="A496" s="16"/>
      <c r="B496" s="16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  <c r="AH496" s="16"/>
      <c r="AI496" s="16"/>
      <c r="AJ496" s="16"/>
      <c r="AK496" s="16"/>
    </row>
    <row r="497">
      <c r="A497" s="16"/>
      <c r="B497" s="16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  <c r="AH497" s="16"/>
      <c r="AI497" s="16"/>
      <c r="AJ497" s="16"/>
      <c r="AK497" s="16"/>
    </row>
    <row r="498">
      <c r="A498" s="16"/>
      <c r="B498" s="16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  <c r="AH498" s="16"/>
      <c r="AI498" s="16"/>
      <c r="AJ498" s="16"/>
      <c r="AK498" s="16"/>
    </row>
    <row r="499">
      <c r="A499" s="16"/>
      <c r="B499" s="16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  <c r="AH499" s="16"/>
      <c r="AI499" s="16"/>
      <c r="AJ499" s="16"/>
      <c r="AK499" s="16"/>
    </row>
    <row r="500">
      <c r="A500" s="16"/>
      <c r="B500" s="16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  <c r="AH500" s="16"/>
      <c r="AI500" s="16"/>
      <c r="AJ500" s="16"/>
      <c r="AK500" s="16"/>
    </row>
    <row r="501">
      <c r="A501" s="16"/>
      <c r="B501" s="16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  <c r="AH501" s="16"/>
      <c r="AI501" s="16"/>
      <c r="AJ501" s="16"/>
      <c r="AK501" s="16"/>
    </row>
    <row r="502">
      <c r="A502" s="16"/>
      <c r="B502" s="16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  <c r="AH502" s="16"/>
      <c r="AI502" s="16"/>
      <c r="AJ502" s="16"/>
      <c r="AK502" s="16"/>
    </row>
    <row r="503">
      <c r="A503" s="16"/>
      <c r="B503" s="16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  <c r="AH503" s="16"/>
      <c r="AI503" s="16"/>
      <c r="AJ503" s="16"/>
      <c r="AK503" s="16"/>
    </row>
    <row r="504">
      <c r="A504" s="16"/>
      <c r="B504" s="16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  <c r="AH504" s="16"/>
      <c r="AI504" s="16"/>
      <c r="AJ504" s="16"/>
      <c r="AK504" s="16"/>
    </row>
    <row r="505">
      <c r="A505" s="16"/>
      <c r="B505" s="16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  <c r="AH505" s="16"/>
      <c r="AI505" s="16"/>
      <c r="AJ505" s="16"/>
      <c r="AK505" s="16"/>
    </row>
    <row r="506">
      <c r="A506" s="16"/>
      <c r="B506" s="16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  <c r="AH506" s="16"/>
      <c r="AI506" s="16"/>
      <c r="AJ506" s="16"/>
      <c r="AK506" s="16"/>
    </row>
    <row r="507">
      <c r="A507" s="16"/>
      <c r="B507" s="16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  <c r="AH507" s="16"/>
      <c r="AI507" s="16"/>
      <c r="AJ507" s="16"/>
      <c r="AK507" s="16"/>
    </row>
    <row r="508">
      <c r="A508" s="16"/>
      <c r="B508" s="16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  <c r="AH508" s="16"/>
      <c r="AI508" s="16"/>
      <c r="AJ508" s="16"/>
      <c r="AK508" s="16"/>
    </row>
    <row r="509">
      <c r="A509" s="16"/>
      <c r="B509" s="16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6"/>
      <c r="AI509" s="16"/>
      <c r="AJ509" s="16"/>
      <c r="AK509" s="16"/>
    </row>
    <row r="510">
      <c r="A510" s="16"/>
      <c r="B510" s="16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  <c r="AH510" s="16"/>
      <c r="AI510" s="16"/>
      <c r="AJ510" s="16"/>
      <c r="AK510" s="16"/>
    </row>
    <row r="511">
      <c r="A511" s="16"/>
      <c r="B511" s="16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  <c r="AH511" s="16"/>
      <c r="AI511" s="16"/>
      <c r="AJ511" s="16"/>
      <c r="AK511" s="16"/>
    </row>
    <row r="512">
      <c r="A512" s="16"/>
      <c r="B512" s="16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  <c r="AH512" s="16"/>
      <c r="AI512" s="16"/>
      <c r="AJ512" s="16"/>
      <c r="AK512" s="16"/>
    </row>
    <row r="513">
      <c r="A513" s="16"/>
      <c r="B513" s="16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  <c r="AH513" s="16"/>
      <c r="AI513" s="16"/>
      <c r="AJ513" s="16"/>
      <c r="AK513" s="16"/>
    </row>
    <row r="514">
      <c r="A514" s="16"/>
      <c r="B514" s="16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  <c r="AH514" s="16"/>
      <c r="AI514" s="16"/>
      <c r="AJ514" s="16"/>
      <c r="AK514" s="16"/>
    </row>
    <row r="515">
      <c r="A515" s="16"/>
      <c r="B515" s="16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  <c r="AH515" s="16"/>
      <c r="AI515" s="16"/>
      <c r="AJ515" s="16"/>
      <c r="AK515" s="16"/>
    </row>
    <row r="516">
      <c r="A516" s="16"/>
      <c r="B516" s="16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  <c r="AH516" s="16"/>
      <c r="AI516" s="16"/>
      <c r="AJ516" s="16"/>
      <c r="AK516" s="16"/>
    </row>
    <row r="517">
      <c r="A517" s="16"/>
      <c r="B517" s="16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  <c r="AH517" s="16"/>
      <c r="AI517" s="16"/>
      <c r="AJ517" s="16"/>
      <c r="AK517" s="16"/>
    </row>
    <row r="518">
      <c r="A518" s="16"/>
      <c r="B518" s="16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  <c r="AH518" s="16"/>
      <c r="AI518" s="16"/>
      <c r="AJ518" s="16"/>
      <c r="AK518" s="16"/>
    </row>
    <row r="519">
      <c r="A519" s="16"/>
      <c r="B519" s="16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  <c r="AH519" s="16"/>
      <c r="AI519" s="16"/>
      <c r="AJ519" s="16"/>
      <c r="AK519" s="16"/>
    </row>
    <row r="520">
      <c r="A520" s="16"/>
      <c r="B520" s="16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  <c r="AH520" s="16"/>
      <c r="AI520" s="16"/>
      <c r="AJ520" s="16"/>
      <c r="AK520" s="16"/>
    </row>
    <row r="521">
      <c r="A521" s="16"/>
      <c r="B521" s="16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  <c r="AH521" s="16"/>
      <c r="AI521" s="16"/>
      <c r="AJ521" s="16"/>
      <c r="AK521" s="16"/>
    </row>
    <row r="522">
      <c r="A522" s="16"/>
      <c r="B522" s="16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  <c r="AH522" s="16"/>
      <c r="AI522" s="16"/>
      <c r="AJ522" s="16"/>
      <c r="AK522" s="16"/>
    </row>
    <row r="523">
      <c r="A523" s="16"/>
      <c r="B523" s="16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  <c r="AH523" s="16"/>
      <c r="AI523" s="16"/>
      <c r="AJ523" s="16"/>
      <c r="AK523" s="16"/>
    </row>
    <row r="524">
      <c r="A524" s="16"/>
      <c r="B524" s="16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  <c r="AH524" s="16"/>
      <c r="AI524" s="16"/>
      <c r="AJ524" s="16"/>
      <c r="AK524" s="16"/>
    </row>
    <row r="525">
      <c r="A525" s="16"/>
      <c r="B525" s="16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  <c r="AH525" s="16"/>
      <c r="AI525" s="16"/>
      <c r="AJ525" s="16"/>
      <c r="AK525" s="16"/>
    </row>
    <row r="526">
      <c r="A526" s="16"/>
      <c r="B526" s="16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  <c r="AH526" s="16"/>
      <c r="AI526" s="16"/>
      <c r="AJ526" s="16"/>
      <c r="AK526" s="16"/>
    </row>
    <row r="527">
      <c r="A527" s="16"/>
      <c r="B527" s="16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  <c r="AH527" s="16"/>
      <c r="AI527" s="16"/>
      <c r="AJ527" s="16"/>
      <c r="AK527" s="16"/>
    </row>
    <row r="528">
      <c r="A528" s="16"/>
      <c r="B528" s="16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  <c r="AH528" s="16"/>
      <c r="AI528" s="16"/>
      <c r="AJ528" s="16"/>
      <c r="AK528" s="16"/>
    </row>
    <row r="529">
      <c r="A529" s="16"/>
      <c r="B529" s="16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  <c r="AH529" s="16"/>
      <c r="AI529" s="16"/>
      <c r="AJ529" s="16"/>
      <c r="AK529" s="16"/>
    </row>
    <row r="530">
      <c r="A530" s="16"/>
      <c r="B530" s="16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  <c r="AH530" s="16"/>
      <c r="AI530" s="16"/>
      <c r="AJ530" s="16"/>
      <c r="AK530" s="16"/>
    </row>
    <row r="531">
      <c r="A531" s="16"/>
      <c r="B531" s="16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  <c r="AH531" s="16"/>
      <c r="AI531" s="16"/>
      <c r="AJ531" s="16"/>
      <c r="AK531" s="16"/>
    </row>
    <row r="532">
      <c r="A532" s="16"/>
      <c r="B532" s="16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  <c r="AH532" s="16"/>
      <c r="AI532" s="16"/>
      <c r="AJ532" s="16"/>
      <c r="AK532" s="16"/>
    </row>
    <row r="533">
      <c r="A533" s="16"/>
      <c r="B533" s="16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6"/>
      <c r="AI533" s="16"/>
      <c r="AJ533" s="16"/>
      <c r="AK533" s="16"/>
    </row>
    <row r="534">
      <c r="A534" s="16"/>
      <c r="B534" s="16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  <c r="AH534" s="16"/>
      <c r="AI534" s="16"/>
      <c r="AJ534" s="16"/>
      <c r="AK534" s="16"/>
    </row>
    <row r="535">
      <c r="A535" s="16"/>
      <c r="B535" s="16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  <c r="AH535" s="16"/>
      <c r="AI535" s="16"/>
      <c r="AJ535" s="16"/>
      <c r="AK535" s="16"/>
    </row>
    <row r="536">
      <c r="A536" s="16"/>
      <c r="B536" s="16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  <c r="AH536" s="16"/>
      <c r="AI536" s="16"/>
      <c r="AJ536" s="16"/>
      <c r="AK536" s="16"/>
    </row>
    <row r="537">
      <c r="A537" s="16"/>
      <c r="B537" s="16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  <c r="AH537" s="16"/>
      <c r="AI537" s="16"/>
      <c r="AJ537" s="16"/>
      <c r="AK537" s="16"/>
    </row>
    <row r="538">
      <c r="A538" s="16"/>
      <c r="B538" s="16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  <c r="AH538" s="16"/>
      <c r="AI538" s="16"/>
      <c r="AJ538" s="16"/>
      <c r="AK538" s="16"/>
    </row>
    <row r="539">
      <c r="A539" s="16"/>
      <c r="B539" s="16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  <c r="AH539" s="16"/>
      <c r="AI539" s="16"/>
      <c r="AJ539" s="16"/>
      <c r="AK539" s="16"/>
    </row>
    <row r="540">
      <c r="A540" s="16"/>
      <c r="B540" s="16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  <c r="AH540" s="16"/>
      <c r="AI540" s="16"/>
      <c r="AJ540" s="16"/>
      <c r="AK540" s="16"/>
    </row>
    <row r="541">
      <c r="A541" s="16"/>
      <c r="B541" s="16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  <c r="AH541" s="16"/>
      <c r="AI541" s="16"/>
      <c r="AJ541" s="16"/>
      <c r="AK541" s="16"/>
    </row>
    <row r="542">
      <c r="A542" s="16"/>
      <c r="B542" s="16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  <c r="AH542" s="16"/>
      <c r="AI542" s="16"/>
      <c r="AJ542" s="16"/>
      <c r="AK542" s="16"/>
    </row>
    <row r="543">
      <c r="A543" s="16"/>
      <c r="B543" s="16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  <c r="AH543" s="16"/>
      <c r="AI543" s="16"/>
      <c r="AJ543" s="16"/>
      <c r="AK543" s="16"/>
    </row>
    <row r="544">
      <c r="A544" s="16"/>
      <c r="B544" s="16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  <c r="AH544" s="16"/>
      <c r="AI544" s="16"/>
      <c r="AJ544" s="16"/>
      <c r="AK544" s="16"/>
    </row>
    <row r="545">
      <c r="A545" s="16"/>
      <c r="B545" s="16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  <c r="AH545" s="16"/>
      <c r="AI545" s="16"/>
      <c r="AJ545" s="16"/>
      <c r="AK545" s="16"/>
    </row>
    <row r="546">
      <c r="A546" s="16"/>
      <c r="B546" s="16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6"/>
      <c r="AI546" s="16"/>
      <c r="AJ546" s="16"/>
      <c r="AK546" s="16"/>
    </row>
    <row r="547">
      <c r="A547" s="16"/>
      <c r="B547" s="16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6"/>
      <c r="AI547" s="16"/>
      <c r="AJ547" s="16"/>
      <c r="AK547" s="16"/>
    </row>
    <row r="548">
      <c r="A548" s="16"/>
      <c r="B548" s="16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  <c r="AH548" s="16"/>
      <c r="AI548" s="16"/>
      <c r="AJ548" s="16"/>
      <c r="AK548" s="16"/>
    </row>
    <row r="549">
      <c r="A549" s="16"/>
      <c r="B549" s="16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6"/>
      <c r="AI549" s="16"/>
      <c r="AJ549" s="16"/>
      <c r="AK549" s="16"/>
    </row>
    <row r="550">
      <c r="A550" s="16"/>
      <c r="B550" s="16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6"/>
      <c r="AI550" s="16"/>
      <c r="AJ550" s="16"/>
      <c r="AK550" s="16"/>
    </row>
    <row r="551">
      <c r="A551" s="16"/>
      <c r="B551" s="16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6"/>
      <c r="AI551" s="16"/>
      <c r="AJ551" s="16"/>
      <c r="AK551" s="16"/>
    </row>
    <row r="552">
      <c r="A552" s="16"/>
      <c r="B552" s="16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  <c r="AH552" s="16"/>
      <c r="AI552" s="16"/>
      <c r="AJ552" s="16"/>
      <c r="AK552" s="16"/>
    </row>
    <row r="553">
      <c r="A553" s="16"/>
      <c r="B553" s="16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6"/>
      <c r="AI553" s="16"/>
      <c r="AJ553" s="16"/>
      <c r="AK553" s="16"/>
    </row>
    <row r="554">
      <c r="A554" s="16"/>
      <c r="B554" s="16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  <c r="AH554" s="16"/>
      <c r="AI554" s="16"/>
      <c r="AJ554" s="16"/>
      <c r="AK554" s="16"/>
    </row>
    <row r="555">
      <c r="A555" s="16"/>
      <c r="B555" s="16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  <c r="AH555" s="16"/>
      <c r="AI555" s="16"/>
      <c r="AJ555" s="16"/>
      <c r="AK555" s="16"/>
    </row>
    <row r="556">
      <c r="A556" s="16"/>
      <c r="B556" s="16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  <c r="AH556" s="16"/>
      <c r="AI556" s="16"/>
      <c r="AJ556" s="16"/>
      <c r="AK556" s="16"/>
    </row>
    <row r="557">
      <c r="A557" s="16"/>
      <c r="B557" s="16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6"/>
      <c r="AI557" s="16"/>
      <c r="AJ557" s="16"/>
      <c r="AK557" s="16"/>
    </row>
    <row r="558">
      <c r="A558" s="16"/>
      <c r="B558" s="16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6"/>
      <c r="AI558" s="16"/>
      <c r="AJ558" s="16"/>
      <c r="AK558" s="16"/>
    </row>
    <row r="559">
      <c r="A559" s="16"/>
      <c r="B559" s="16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  <c r="AH559" s="16"/>
      <c r="AI559" s="16"/>
      <c r="AJ559" s="16"/>
      <c r="AK559" s="16"/>
    </row>
    <row r="560">
      <c r="A560" s="16"/>
      <c r="B560" s="16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  <c r="AH560" s="16"/>
      <c r="AI560" s="16"/>
      <c r="AJ560" s="16"/>
      <c r="AK560" s="16"/>
    </row>
    <row r="561">
      <c r="A561" s="16"/>
      <c r="B561" s="16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  <c r="AH561" s="16"/>
      <c r="AI561" s="16"/>
      <c r="AJ561" s="16"/>
      <c r="AK561" s="16"/>
    </row>
    <row r="562">
      <c r="A562" s="16"/>
      <c r="B562" s="16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6"/>
      <c r="AI562" s="16"/>
      <c r="AJ562" s="16"/>
      <c r="AK562" s="16"/>
    </row>
    <row r="563">
      <c r="A563" s="16"/>
      <c r="B563" s="16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  <c r="AH563" s="16"/>
      <c r="AI563" s="16"/>
      <c r="AJ563" s="16"/>
      <c r="AK563" s="16"/>
    </row>
    <row r="564">
      <c r="A564" s="16"/>
      <c r="B564" s="16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  <c r="AH564" s="16"/>
      <c r="AI564" s="16"/>
      <c r="AJ564" s="16"/>
      <c r="AK564" s="16"/>
    </row>
    <row r="565">
      <c r="A565" s="16"/>
      <c r="B565" s="16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6"/>
      <c r="AI565" s="16"/>
      <c r="AJ565" s="16"/>
      <c r="AK565" s="16"/>
    </row>
    <row r="566">
      <c r="A566" s="16"/>
      <c r="B566" s="16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  <c r="AH566" s="16"/>
      <c r="AI566" s="16"/>
      <c r="AJ566" s="16"/>
      <c r="AK566" s="16"/>
    </row>
    <row r="567">
      <c r="A567" s="16"/>
      <c r="B567" s="16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  <c r="AH567" s="16"/>
      <c r="AI567" s="16"/>
      <c r="AJ567" s="16"/>
      <c r="AK567" s="16"/>
    </row>
    <row r="568">
      <c r="A568" s="16"/>
      <c r="B568" s="16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  <c r="AH568" s="16"/>
      <c r="AI568" s="16"/>
      <c r="AJ568" s="16"/>
      <c r="AK568" s="16"/>
    </row>
    <row r="569">
      <c r="A569" s="16"/>
      <c r="B569" s="16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  <c r="AH569" s="16"/>
      <c r="AI569" s="16"/>
      <c r="AJ569" s="16"/>
      <c r="AK569" s="16"/>
    </row>
    <row r="570">
      <c r="A570" s="16"/>
      <c r="B570" s="16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  <c r="AH570" s="16"/>
      <c r="AI570" s="16"/>
      <c r="AJ570" s="16"/>
      <c r="AK570" s="16"/>
    </row>
    <row r="571">
      <c r="A571" s="16"/>
      <c r="B571" s="16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  <c r="AH571" s="16"/>
      <c r="AI571" s="16"/>
      <c r="AJ571" s="16"/>
      <c r="AK571" s="16"/>
    </row>
    <row r="572">
      <c r="A572" s="16"/>
      <c r="B572" s="16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  <c r="AH572" s="16"/>
      <c r="AI572" s="16"/>
      <c r="AJ572" s="16"/>
      <c r="AK572" s="16"/>
    </row>
    <row r="573">
      <c r="A573" s="16"/>
      <c r="B573" s="16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  <c r="AH573" s="16"/>
      <c r="AI573" s="16"/>
      <c r="AJ573" s="16"/>
      <c r="AK573" s="16"/>
    </row>
    <row r="574">
      <c r="A574" s="16"/>
      <c r="B574" s="16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  <c r="AH574" s="16"/>
      <c r="AI574" s="16"/>
      <c r="AJ574" s="16"/>
      <c r="AK574" s="16"/>
    </row>
    <row r="575">
      <c r="A575" s="16"/>
      <c r="B575" s="16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  <c r="AH575" s="16"/>
      <c r="AI575" s="16"/>
      <c r="AJ575" s="16"/>
      <c r="AK575" s="16"/>
    </row>
    <row r="576">
      <c r="A576" s="16"/>
      <c r="B576" s="16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  <c r="AH576" s="16"/>
      <c r="AI576" s="16"/>
      <c r="AJ576" s="16"/>
      <c r="AK576" s="16"/>
    </row>
    <row r="577">
      <c r="A577" s="16"/>
      <c r="B577" s="16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  <c r="AH577" s="16"/>
      <c r="AI577" s="16"/>
      <c r="AJ577" s="16"/>
      <c r="AK577" s="16"/>
    </row>
    <row r="578">
      <c r="A578" s="16"/>
      <c r="B578" s="16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6"/>
      <c r="AI578" s="16"/>
      <c r="AJ578" s="16"/>
      <c r="AK578" s="16"/>
    </row>
    <row r="579">
      <c r="A579" s="16"/>
      <c r="B579" s="16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  <c r="AH579" s="16"/>
      <c r="AI579" s="16"/>
      <c r="AJ579" s="16"/>
      <c r="AK579" s="16"/>
    </row>
    <row r="580">
      <c r="A580" s="16"/>
      <c r="B580" s="16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  <c r="AH580" s="16"/>
      <c r="AI580" s="16"/>
      <c r="AJ580" s="16"/>
      <c r="AK580" s="16"/>
    </row>
    <row r="581">
      <c r="A581" s="16"/>
      <c r="B581" s="16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6"/>
      <c r="AI581" s="16"/>
      <c r="AJ581" s="16"/>
      <c r="AK581" s="16"/>
    </row>
    <row r="582">
      <c r="A582" s="16"/>
      <c r="B582" s="16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6"/>
      <c r="AI582" s="16"/>
      <c r="AJ582" s="16"/>
      <c r="AK582" s="16"/>
    </row>
    <row r="583">
      <c r="A583" s="16"/>
      <c r="B583" s="16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  <c r="AH583" s="16"/>
      <c r="AI583" s="16"/>
      <c r="AJ583" s="16"/>
      <c r="AK583" s="16"/>
    </row>
    <row r="584">
      <c r="A584" s="16"/>
      <c r="B584" s="16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  <c r="AH584" s="16"/>
      <c r="AI584" s="16"/>
      <c r="AJ584" s="16"/>
      <c r="AK584" s="16"/>
    </row>
    <row r="585">
      <c r="A585" s="16"/>
      <c r="B585" s="16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  <c r="AH585" s="16"/>
      <c r="AI585" s="16"/>
      <c r="AJ585" s="16"/>
      <c r="AK585" s="16"/>
    </row>
    <row r="586">
      <c r="A586" s="16"/>
      <c r="B586" s="16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  <c r="AH586" s="16"/>
      <c r="AI586" s="16"/>
      <c r="AJ586" s="16"/>
      <c r="AK586" s="16"/>
    </row>
    <row r="587">
      <c r="A587" s="16"/>
      <c r="B587" s="16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  <c r="AH587" s="16"/>
      <c r="AI587" s="16"/>
      <c r="AJ587" s="16"/>
      <c r="AK587" s="16"/>
    </row>
    <row r="588">
      <c r="A588" s="16"/>
      <c r="B588" s="16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  <c r="AH588" s="16"/>
      <c r="AI588" s="16"/>
      <c r="AJ588" s="16"/>
      <c r="AK588" s="16"/>
    </row>
    <row r="589">
      <c r="A589" s="16"/>
      <c r="B589" s="16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  <c r="AH589" s="16"/>
      <c r="AI589" s="16"/>
      <c r="AJ589" s="16"/>
      <c r="AK589" s="16"/>
    </row>
    <row r="590">
      <c r="A590" s="16"/>
      <c r="B590" s="16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  <c r="AH590" s="16"/>
      <c r="AI590" s="16"/>
      <c r="AJ590" s="16"/>
      <c r="AK590" s="16"/>
    </row>
    <row r="591">
      <c r="A591" s="16"/>
      <c r="B591" s="16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  <c r="AH591" s="16"/>
      <c r="AI591" s="16"/>
      <c r="AJ591" s="16"/>
      <c r="AK591" s="16"/>
    </row>
    <row r="592">
      <c r="A592" s="16"/>
      <c r="B592" s="16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  <c r="AH592" s="16"/>
      <c r="AI592" s="16"/>
      <c r="AJ592" s="16"/>
      <c r="AK592" s="16"/>
    </row>
    <row r="593">
      <c r="A593" s="16"/>
      <c r="B593" s="16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  <c r="AH593" s="16"/>
      <c r="AI593" s="16"/>
      <c r="AJ593" s="16"/>
      <c r="AK593" s="16"/>
    </row>
    <row r="594">
      <c r="A594" s="16"/>
      <c r="B594" s="16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  <c r="AH594" s="16"/>
      <c r="AI594" s="16"/>
      <c r="AJ594" s="16"/>
      <c r="AK594" s="16"/>
    </row>
    <row r="595">
      <c r="A595" s="16"/>
      <c r="B595" s="16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  <c r="AH595" s="16"/>
      <c r="AI595" s="16"/>
      <c r="AJ595" s="16"/>
      <c r="AK595" s="16"/>
    </row>
    <row r="596">
      <c r="A596" s="16"/>
      <c r="B596" s="16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  <c r="AH596" s="16"/>
      <c r="AI596" s="16"/>
      <c r="AJ596" s="16"/>
      <c r="AK596" s="16"/>
    </row>
    <row r="597">
      <c r="A597" s="16"/>
      <c r="B597" s="16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  <c r="AH597" s="16"/>
      <c r="AI597" s="16"/>
      <c r="AJ597" s="16"/>
      <c r="AK597" s="16"/>
    </row>
    <row r="598">
      <c r="A598" s="16"/>
      <c r="B598" s="16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  <c r="AH598" s="16"/>
      <c r="AI598" s="16"/>
      <c r="AJ598" s="16"/>
      <c r="AK598" s="16"/>
    </row>
    <row r="599">
      <c r="A599" s="16"/>
      <c r="B599" s="16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  <c r="AH599" s="16"/>
      <c r="AI599" s="16"/>
      <c r="AJ599" s="16"/>
      <c r="AK599" s="16"/>
    </row>
    <row r="600">
      <c r="A600" s="16"/>
      <c r="B600" s="16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  <c r="AH600" s="16"/>
      <c r="AI600" s="16"/>
      <c r="AJ600" s="16"/>
      <c r="AK600" s="16"/>
    </row>
    <row r="601">
      <c r="A601" s="16"/>
      <c r="B601" s="16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  <c r="AH601" s="16"/>
      <c r="AI601" s="16"/>
      <c r="AJ601" s="16"/>
      <c r="AK601" s="16"/>
    </row>
    <row r="602">
      <c r="A602" s="16"/>
      <c r="B602" s="16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  <c r="AH602" s="16"/>
      <c r="AI602" s="16"/>
      <c r="AJ602" s="16"/>
      <c r="AK602" s="16"/>
    </row>
    <row r="603">
      <c r="A603" s="16"/>
      <c r="B603" s="16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  <c r="AH603" s="16"/>
      <c r="AI603" s="16"/>
      <c r="AJ603" s="16"/>
      <c r="AK603" s="16"/>
    </row>
    <row r="604">
      <c r="A604" s="16"/>
      <c r="B604" s="16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  <c r="AH604" s="16"/>
      <c r="AI604" s="16"/>
      <c r="AJ604" s="16"/>
      <c r="AK604" s="16"/>
    </row>
    <row r="605">
      <c r="A605" s="16"/>
      <c r="B605" s="16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6"/>
      <c r="AI605" s="16"/>
      <c r="AJ605" s="16"/>
      <c r="AK605" s="16"/>
    </row>
    <row r="606">
      <c r="A606" s="16"/>
      <c r="B606" s="16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  <c r="AH606" s="16"/>
      <c r="AI606" s="16"/>
      <c r="AJ606" s="16"/>
      <c r="AK606" s="16"/>
    </row>
    <row r="607">
      <c r="A607" s="16"/>
      <c r="B607" s="16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  <c r="AH607" s="16"/>
      <c r="AI607" s="16"/>
      <c r="AJ607" s="16"/>
      <c r="AK607" s="16"/>
    </row>
    <row r="608">
      <c r="A608" s="16"/>
      <c r="B608" s="16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  <c r="AH608" s="16"/>
      <c r="AI608" s="16"/>
      <c r="AJ608" s="16"/>
      <c r="AK608" s="16"/>
    </row>
    <row r="609">
      <c r="A609" s="16"/>
      <c r="B609" s="16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  <c r="AH609" s="16"/>
      <c r="AI609" s="16"/>
      <c r="AJ609" s="16"/>
      <c r="AK609" s="16"/>
    </row>
    <row r="610">
      <c r="A610" s="16"/>
      <c r="B610" s="16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  <c r="AH610" s="16"/>
      <c r="AI610" s="16"/>
      <c r="AJ610" s="16"/>
      <c r="AK610" s="16"/>
    </row>
    <row r="611">
      <c r="A611" s="16"/>
      <c r="B611" s="16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  <c r="AH611" s="16"/>
      <c r="AI611" s="16"/>
      <c r="AJ611" s="16"/>
      <c r="AK611" s="16"/>
    </row>
    <row r="612">
      <c r="A612" s="16"/>
      <c r="B612" s="16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  <c r="AH612" s="16"/>
      <c r="AI612" s="16"/>
      <c r="AJ612" s="16"/>
      <c r="AK612" s="16"/>
    </row>
    <row r="613">
      <c r="A613" s="16"/>
      <c r="B613" s="16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  <c r="AH613" s="16"/>
      <c r="AI613" s="16"/>
      <c r="AJ613" s="16"/>
      <c r="AK613" s="16"/>
    </row>
    <row r="614">
      <c r="A614" s="16"/>
      <c r="B614" s="16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  <c r="AH614" s="16"/>
      <c r="AI614" s="16"/>
      <c r="AJ614" s="16"/>
      <c r="AK614" s="16"/>
    </row>
    <row r="615">
      <c r="A615" s="16"/>
      <c r="B615" s="16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  <c r="AH615" s="16"/>
      <c r="AI615" s="16"/>
      <c r="AJ615" s="16"/>
      <c r="AK615" s="16"/>
    </row>
    <row r="616">
      <c r="A616" s="16"/>
      <c r="B616" s="16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  <c r="AH616" s="16"/>
      <c r="AI616" s="16"/>
      <c r="AJ616" s="16"/>
      <c r="AK616" s="16"/>
    </row>
    <row r="617">
      <c r="A617" s="16"/>
      <c r="B617" s="16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  <c r="AH617" s="16"/>
      <c r="AI617" s="16"/>
      <c r="AJ617" s="16"/>
      <c r="AK617" s="16"/>
    </row>
    <row r="618">
      <c r="A618" s="16"/>
      <c r="B618" s="16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  <c r="AH618" s="16"/>
      <c r="AI618" s="16"/>
      <c r="AJ618" s="16"/>
      <c r="AK618" s="16"/>
    </row>
    <row r="619">
      <c r="A619" s="16"/>
      <c r="B619" s="16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  <c r="AH619" s="16"/>
      <c r="AI619" s="16"/>
      <c r="AJ619" s="16"/>
      <c r="AK619" s="16"/>
    </row>
    <row r="620">
      <c r="A620" s="16"/>
      <c r="B620" s="16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  <c r="AH620" s="16"/>
      <c r="AI620" s="16"/>
      <c r="AJ620" s="16"/>
      <c r="AK620" s="16"/>
    </row>
    <row r="621">
      <c r="A621" s="16"/>
      <c r="B621" s="16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  <c r="AH621" s="16"/>
      <c r="AI621" s="16"/>
      <c r="AJ621" s="16"/>
      <c r="AK621" s="16"/>
    </row>
    <row r="622">
      <c r="A622" s="16"/>
      <c r="B622" s="16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  <c r="AH622" s="16"/>
      <c r="AI622" s="16"/>
      <c r="AJ622" s="16"/>
      <c r="AK622" s="16"/>
    </row>
    <row r="623">
      <c r="A623" s="16"/>
      <c r="B623" s="16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  <c r="AH623" s="16"/>
      <c r="AI623" s="16"/>
      <c r="AJ623" s="16"/>
      <c r="AK623" s="16"/>
    </row>
    <row r="624">
      <c r="A624" s="16"/>
      <c r="B624" s="16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  <c r="AH624" s="16"/>
      <c r="AI624" s="16"/>
      <c r="AJ624" s="16"/>
      <c r="AK624" s="16"/>
    </row>
    <row r="625">
      <c r="A625" s="16"/>
      <c r="B625" s="16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  <c r="AH625" s="16"/>
      <c r="AI625" s="16"/>
      <c r="AJ625" s="16"/>
      <c r="AK625" s="16"/>
    </row>
    <row r="626">
      <c r="A626" s="16"/>
      <c r="B626" s="16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  <c r="AH626" s="16"/>
      <c r="AI626" s="16"/>
      <c r="AJ626" s="16"/>
      <c r="AK626" s="16"/>
    </row>
    <row r="627">
      <c r="A627" s="16"/>
      <c r="B627" s="16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  <c r="AH627" s="16"/>
      <c r="AI627" s="16"/>
      <c r="AJ627" s="16"/>
      <c r="AK627" s="16"/>
    </row>
    <row r="628">
      <c r="A628" s="16"/>
      <c r="B628" s="16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  <c r="AH628" s="16"/>
      <c r="AI628" s="16"/>
      <c r="AJ628" s="16"/>
      <c r="AK628" s="16"/>
    </row>
    <row r="629">
      <c r="A629" s="16"/>
      <c r="B629" s="16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6"/>
      <c r="AI629" s="16"/>
      <c r="AJ629" s="16"/>
      <c r="AK629" s="16"/>
    </row>
    <row r="630">
      <c r="A630" s="16"/>
      <c r="B630" s="16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  <c r="AH630" s="16"/>
      <c r="AI630" s="16"/>
      <c r="AJ630" s="16"/>
      <c r="AK630" s="16"/>
    </row>
    <row r="631">
      <c r="A631" s="16"/>
      <c r="B631" s="16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  <c r="AH631" s="16"/>
      <c r="AI631" s="16"/>
      <c r="AJ631" s="16"/>
      <c r="AK631" s="16"/>
    </row>
    <row r="632">
      <c r="A632" s="16"/>
      <c r="B632" s="16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  <c r="AH632" s="16"/>
      <c r="AI632" s="16"/>
      <c r="AJ632" s="16"/>
      <c r="AK632" s="16"/>
    </row>
    <row r="633">
      <c r="A633" s="16"/>
      <c r="B633" s="16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  <c r="AH633" s="16"/>
      <c r="AI633" s="16"/>
      <c r="AJ633" s="16"/>
      <c r="AK633" s="16"/>
    </row>
    <row r="634">
      <c r="A634" s="16"/>
      <c r="B634" s="16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  <c r="AH634" s="16"/>
      <c r="AI634" s="16"/>
      <c r="AJ634" s="16"/>
      <c r="AK634" s="16"/>
    </row>
    <row r="635">
      <c r="A635" s="16"/>
      <c r="B635" s="16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  <c r="AH635" s="16"/>
      <c r="AI635" s="16"/>
      <c r="AJ635" s="16"/>
      <c r="AK635" s="16"/>
    </row>
    <row r="636">
      <c r="A636" s="16"/>
      <c r="B636" s="16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  <c r="AH636" s="16"/>
      <c r="AI636" s="16"/>
      <c r="AJ636" s="16"/>
      <c r="AK636" s="16"/>
    </row>
    <row r="637">
      <c r="A637" s="16"/>
      <c r="B637" s="16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  <c r="AH637" s="16"/>
      <c r="AI637" s="16"/>
      <c r="AJ637" s="16"/>
      <c r="AK637" s="16"/>
    </row>
    <row r="638">
      <c r="A638" s="16"/>
      <c r="B638" s="16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  <c r="AH638" s="16"/>
      <c r="AI638" s="16"/>
      <c r="AJ638" s="16"/>
      <c r="AK638" s="16"/>
    </row>
    <row r="639">
      <c r="A639" s="16"/>
      <c r="B639" s="16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  <c r="AH639" s="16"/>
      <c r="AI639" s="16"/>
      <c r="AJ639" s="16"/>
      <c r="AK639" s="16"/>
    </row>
    <row r="640">
      <c r="A640" s="16"/>
      <c r="B640" s="16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  <c r="AH640" s="16"/>
      <c r="AI640" s="16"/>
      <c r="AJ640" s="16"/>
      <c r="AK640" s="16"/>
    </row>
    <row r="641">
      <c r="A641" s="16"/>
      <c r="B641" s="16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  <c r="AH641" s="16"/>
      <c r="AI641" s="16"/>
      <c r="AJ641" s="16"/>
      <c r="AK641" s="16"/>
    </row>
    <row r="642">
      <c r="A642" s="16"/>
      <c r="B642" s="16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  <c r="AH642" s="16"/>
      <c r="AI642" s="16"/>
      <c r="AJ642" s="16"/>
      <c r="AK642" s="16"/>
    </row>
    <row r="643">
      <c r="A643" s="16"/>
      <c r="B643" s="16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  <c r="AH643" s="16"/>
      <c r="AI643" s="16"/>
      <c r="AJ643" s="16"/>
      <c r="AK643" s="16"/>
    </row>
    <row r="644">
      <c r="A644" s="16"/>
      <c r="B644" s="16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  <c r="AH644" s="16"/>
      <c r="AI644" s="16"/>
      <c r="AJ644" s="16"/>
      <c r="AK644" s="16"/>
    </row>
    <row r="645">
      <c r="A645" s="16"/>
      <c r="B645" s="16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  <c r="AH645" s="16"/>
      <c r="AI645" s="16"/>
      <c r="AJ645" s="16"/>
      <c r="AK645" s="16"/>
    </row>
    <row r="646">
      <c r="A646" s="16"/>
      <c r="B646" s="16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  <c r="AH646" s="16"/>
      <c r="AI646" s="16"/>
      <c r="AJ646" s="16"/>
      <c r="AK646" s="16"/>
    </row>
    <row r="647">
      <c r="A647" s="16"/>
      <c r="B647" s="16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  <c r="AH647" s="16"/>
      <c r="AI647" s="16"/>
      <c r="AJ647" s="16"/>
      <c r="AK647" s="16"/>
    </row>
    <row r="648">
      <c r="A648" s="16"/>
      <c r="B648" s="16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  <c r="AH648" s="16"/>
      <c r="AI648" s="16"/>
      <c r="AJ648" s="16"/>
      <c r="AK648" s="16"/>
    </row>
    <row r="649">
      <c r="A649" s="16"/>
      <c r="B649" s="16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  <c r="AH649" s="16"/>
      <c r="AI649" s="16"/>
      <c r="AJ649" s="16"/>
      <c r="AK649" s="16"/>
    </row>
    <row r="650">
      <c r="A650" s="16"/>
      <c r="B650" s="16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  <c r="AH650" s="16"/>
      <c r="AI650" s="16"/>
      <c r="AJ650" s="16"/>
      <c r="AK650" s="16"/>
    </row>
    <row r="651">
      <c r="A651" s="16"/>
      <c r="B651" s="16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  <c r="AH651" s="16"/>
      <c r="AI651" s="16"/>
      <c r="AJ651" s="16"/>
      <c r="AK651" s="16"/>
    </row>
    <row r="652">
      <c r="A652" s="16"/>
      <c r="B652" s="16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  <c r="AH652" s="16"/>
      <c r="AI652" s="16"/>
      <c r="AJ652" s="16"/>
      <c r="AK652" s="16"/>
    </row>
    <row r="653">
      <c r="A653" s="16"/>
      <c r="B653" s="16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6"/>
      <c r="AI653" s="16"/>
      <c r="AJ653" s="16"/>
      <c r="AK653" s="16"/>
    </row>
    <row r="654">
      <c r="A654" s="16"/>
      <c r="B654" s="16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  <c r="AH654" s="16"/>
      <c r="AI654" s="16"/>
      <c r="AJ654" s="16"/>
      <c r="AK654" s="16"/>
    </row>
    <row r="655">
      <c r="A655" s="16"/>
      <c r="B655" s="16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  <c r="AH655" s="16"/>
      <c r="AI655" s="16"/>
      <c r="AJ655" s="16"/>
      <c r="AK655" s="16"/>
    </row>
    <row r="656">
      <c r="A656" s="16"/>
      <c r="B656" s="16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  <c r="AH656" s="16"/>
      <c r="AI656" s="16"/>
      <c r="AJ656" s="16"/>
      <c r="AK656" s="16"/>
    </row>
    <row r="657">
      <c r="A657" s="16"/>
      <c r="B657" s="16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  <c r="AH657" s="16"/>
      <c r="AI657" s="16"/>
      <c r="AJ657" s="16"/>
      <c r="AK657" s="16"/>
    </row>
    <row r="658">
      <c r="A658" s="16"/>
      <c r="B658" s="16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  <c r="AH658" s="16"/>
      <c r="AI658" s="16"/>
      <c r="AJ658" s="16"/>
      <c r="AK658" s="16"/>
    </row>
    <row r="659">
      <c r="A659" s="16"/>
      <c r="B659" s="16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  <c r="AH659" s="16"/>
      <c r="AI659" s="16"/>
      <c r="AJ659" s="16"/>
      <c r="AK659" s="16"/>
    </row>
    <row r="660">
      <c r="A660" s="16"/>
      <c r="B660" s="16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  <c r="AH660" s="16"/>
      <c r="AI660" s="16"/>
      <c r="AJ660" s="16"/>
      <c r="AK660" s="16"/>
    </row>
    <row r="661">
      <c r="A661" s="16"/>
      <c r="B661" s="16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  <c r="AH661" s="16"/>
      <c r="AI661" s="16"/>
      <c r="AJ661" s="16"/>
      <c r="AK661" s="16"/>
    </row>
    <row r="662">
      <c r="A662" s="16"/>
      <c r="B662" s="16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  <c r="AH662" s="16"/>
      <c r="AI662" s="16"/>
      <c r="AJ662" s="16"/>
      <c r="AK662" s="16"/>
    </row>
    <row r="663">
      <c r="A663" s="16"/>
      <c r="B663" s="16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  <c r="AH663" s="16"/>
      <c r="AI663" s="16"/>
      <c r="AJ663" s="16"/>
      <c r="AK663" s="16"/>
    </row>
    <row r="664">
      <c r="A664" s="16"/>
      <c r="B664" s="16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  <c r="AH664" s="16"/>
      <c r="AI664" s="16"/>
      <c r="AJ664" s="16"/>
      <c r="AK664" s="16"/>
    </row>
    <row r="665">
      <c r="A665" s="16"/>
      <c r="B665" s="16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  <c r="AH665" s="16"/>
      <c r="AI665" s="16"/>
      <c r="AJ665" s="16"/>
      <c r="AK665" s="16"/>
    </row>
    <row r="666">
      <c r="A666" s="16"/>
      <c r="B666" s="16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  <c r="AH666" s="16"/>
      <c r="AI666" s="16"/>
      <c r="AJ666" s="16"/>
      <c r="AK666" s="16"/>
    </row>
    <row r="667">
      <c r="A667" s="16"/>
      <c r="B667" s="16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  <c r="AH667" s="16"/>
      <c r="AI667" s="16"/>
      <c r="AJ667" s="16"/>
      <c r="AK667" s="16"/>
    </row>
    <row r="668">
      <c r="A668" s="16"/>
      <c r="B668" s="16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  <c r="AH668" s="16"/>
      <c r="AI668" s="16"/>
      <c r="AJ668" s="16"/>
      <c r="AK668" s="16"/>
    </row>
    <row r="669">
      <c r="A669" s="16"/>
      <c r="B669" s="16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  <c r="AH669" s="16"/>
      <c r="AI669" s="16"/>
      <c r="AJ669" s="16"/>
      <c r="AK669" s="16"/>
    </row>
    <row r="670">
      <c r="A670" s="16"/>
      <c r="B670" s="16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  <c r="AH670" s="16"/>
      <c r="AI670" s="16"/>
      <c r="AJ670" s="16"/>
      <c r="AK670" s="16"/>
    </row>
    <row r="671">
      <c r="A671" s="16"/>
      <c r="B671" s="16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  <c r="AH671" s="16"/>
      <c r="AI671" s="16"/>
      <c r="AJ671" s="16"/>
      <c r="AK671" s="16"/>
    </row>
    <row r="672">
      <c r="A672" s="16"/>
      <c r="B672" s="16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  <c r="AH672" s="16"/>
      <c r="AI672" s="16"/>
      <c r="AJ672" s="16"/>
      <c r="AK672" s="16"/>
    </row>
    <row r="673">
      <c r="A673" s="16"/>
      <c r="B673" s="16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  <c r="AH673" s="16"/>
      <c r="AI673" s="16"/>
      <c r="AJ673" s="16"/>
      <c r="AK673" s="16"/>
    </row>
    <row r="674">
      <c r="A674" s="16"/>
      <c r="B674" s="16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  <c r="AH674" s="16"/>
      <c r="AI674" s="16"/>
      <c r="AJ674" s="16"/>
      <c r="AK674" s="16"/>
    </row>
    <row r="675">
      <c r="A675" s="16"/>
      <c r="B675" s="16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  <c r="AH675" s="16"/>
      <c r="AI675" s="16"/>
      <c r="AJ675" s="16"/>
      <c r="AK675" s="16"/>
    </row>
    <row r="676">
      <c r="A676" s="16"/>
      <c r="B676" s="16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  <c r="AH676" s="16"/>
      <c r="AI676" s="16"/>
      <c r="AJ676" s="16"/>
      <c r="AK676" s="16"/>
    </row>
    <row r="677">
      <c r="A677" s="16"/>
      <c r="B677" s="16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6"/>
      <c r="AI677" s="16"/>
      <c r="AJ677" s="16"/>
      <c r="AK677" s="16"/>
    </row>
    <row r="678">
      <c r="A678" s="16"/>
      <c r="B678" s="16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  <c r="AH678" s="16"/>
      <c r="AI678" s="16"/>
      <c r="AJ678" s="16"/>
      <c r="AK678" s="16"/>
    </row>
    <row r="679">
      <c r="A679" s="16"/>
      <c r="B679" s="16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  <c r="AH679" s="16"/>
      <c r="AI679" s="16"/>
      <c r="AJ679" s="16"/>
      <c r="AK679" s="16"/>
    </row>
    <row r="680">
      <c r="A680" s="16"/>
      <c r="B680" s="16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  <c r="AH680" s="16"/>
      <c r="AI680" s="16"/>
      <c r="AJ680" s="16"/>
      <c r="AK680" s="16"/>
    </row>
    <row r="681">
      <c r="A681" s="16"/>
      <c r="B681" s="16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  <c r="AH681" s="16"/>
      <c r="AI681" s="16"/>
      <c r="AJ681" s="16"/>
      <c r="AK681" s="16"/>
    </row>
    <row r="682">
      <c r="A682" s="16"/>
      <c r="B682" s="16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  <c r="AH682" s="16"/>
      <c r="AI682" s="16"/>
      <c r="AJ682" s="16"/>
      <c r="AK682" s="16"/>
    </row>
    <row r="683">
      <c r="A683" s="16"/>
      <c r="B683" s="16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  <c r="AH683" s="16"/>
      <c r="AI683" s="16"/>
      <c r="AJ683" s="16"/>
      <c r="AK683" s="16"/>
    </row>
    <row r="684">
      <c r="A684" s="16"/>
      <c r="B684" s="16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  <c r="AH684" s="16"/>
      <c r="AI684" s="16"/>
      <c r="AJ684" s="16"/>
      <c r="AK684" s="16"/>
    </row>
    <row r="685">
      <c r="A685" s="16"/>
      <c r="B685" s="16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  <c r="AH685" s="16"/>
      <c r="AI685" s="16"/>
      <c r="AJ685" s="16"/>
      <c r="AK685" s="16"/>
    </row>
    <row r="686">
      <c r="A686" s="16"/>
      <c r="B686" s="16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  <c r="AH686" s="16"/>
      <c r="AI686" s="16"/>
      <c r="AJ686" s="16"/>
      <c r="AK686" s="16"/>
    </row>
    <row r="687">
      <c r="A687" s="16"/>
      <c r="B687" s="16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  <c r="AH687" s="16"/>
      <c r="AI687" s="16"/>
      <c r="AJ687" s="16"/>
      <c r="AK687" s="16"/>
    </row>
    <row r="688">
      <c r="A688" s="16"/>
      <c r="B688" s="16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  <c r="AH688" s="16"/>
      <c r="AI688" s="16"/>
      <c r="AJ688" s="16"/>
      <c r="AK688" s="16"/>
    </row>
    <row r="689">
      <c r="A689" s="16"/>
      <c r="B689" s="16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  <c r="AH689" s="16"/>
      <c r="AI689" s="16"/>
      <c r="AJ689" s="16"/>
      <c r="AK689" s="16"/>
    </row>
    <row r="690">
      <c r="A690" s="16"/>
      <c r="B690" s="16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  <c r="AH690" s="16"/>
      <c r="AI690" s="16"/>
      <c r="AJ690" s="16"/>
      <c r="AK690" s="16"/>
    </row>
    <row r="691">
      <c r="A691" s="16"/>
      <c r="B691" s="16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  <c r="AH691" s="16"/>
      <c r="AI691" s="16"/>
      <c r="AJ691" s="16"/>
      <c r="AK691" s="16"/>
    </row>
    <row r="692">
      <c r="A692" s="16"/>
      <c r="B692" s="16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  <c r="AH692" s="16"/>
      <c r="AI692" s="16"/>
      <c r="AJ692" s="16"/>
      <c r="AK692" s="16"/>
    </row>
    <row r="693">
      <c r="A693" s="16"/>
      <c r="B693" s="16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  <c r="AH693" s="16"/>
      <c r="AI693" s="16"/>
      <c r="AJ693" s="16"/>
      <c r="AK693" s="16"/>
    </row>
    <row r="694">
      <c r="A694" s="16"/>
      <c r="B694" s="16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  <c r="AH694" s="16"/>
      <c r="AI694" s="16"/>
      <c r="AJ694" s="16"/>
      <c r="AK694" s="16"/>
    </row>
    <row r="695">
      <c r="A695" s="16"/>
      <c r="B695" s="16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  <c r="AH695" s="16"/>
      <c r="AI695" s="16"/>
      <c r="AJ695" s="16"/>
      <c r="AK695" s="16"/>
    </row>
    <row r="696">
      <c r="A696" s="16"/>
      <c r="B696" s="16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  <c r="AH696" s="16"/>
      <c r="AI696" s="16"/>
      <c r="AJ696" s="16"/>
      <c r="AK696" s="16"/>
    </row>
    <row r="697">
      <c r="A697" s="16"/>
      <c r="B697" s="16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  <c r="AH697" s="16"/>
      <c r="AI697" s="16"/>
      <c r="AJ697" s="16"/>
      <c r="AK697" s="16"/>
    </row>
    <row r="698">
      <c r="A698" s="16"/>
      <c r="B698" s="16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  <c r="AH698" s="16"/>
      <c r="AI698" s="16"/>
      <c r="AJ698" s="16"/>
      <c r="AK698" s="16"/>
    </row>
    <row r="699">
      <c r="A699" s="16"/>
      <c r="B699" s="16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  <c r="AH699" s="16"/>
      <c r="AI699" s="16"/>
      <c r="AJ699" s="16"/>
      <c r="AK699" s="16"/>
    </row>
    <row r="700">
      <c r="A700" s="16"/>
      <c r="B700" s="16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  <c r="AH700" s="16"/>
      <c r="AI700" s="16"/>
      <c r="AJ700" s="16"/>
      <c r="AK700" s="16"/>
    </row>
    <row r="701">
      <c r="A701" s="16"/>
      <c r="B701" s="16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6"/>
      <c r="AI701" s="16"/>
      <c r="AJ701" s="16"/>
      <c r="AK701" s="16"/>
    </row>
    <row r="702">
      <c r="A702" s="16"/>
      <c r="B702" s="16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  <c r="AH702" s="16"/>
      <c r="AI702" s="16"/>
      <c r="AJ702" s="16"/>
      <c r="AK702" s="16"/>
    </row>
    <row r="703">
      <c r="A703" s="16"/>
      <c r="B703" s="16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  <c r="AH703" s="16"/>
      <c r="AI703" s="16"/>
      <c r="AJ703" s="16"/>
      <c r="AK703" s="16"/>
    </row>
    <row r="704">
      <c r="A704" s="16"/>
      <c r="B704" s="16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  <c r="AH704" s="16"/>
      <c r="AI704" s="16"/>
      <c r="AJ704" s="16"/>
      <c r="AK704" s="16"/>
    </row>
    <row r="705">
      <c r="A705" s="16"/>
      <c r="B705" s="16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  <c r="AH705" s="16"/>
      <c r="AI705" s="16"/>
      <c r="AJ705" s="16"/>
      <c r="AK705" s="16"/>
    </row>
    <row r="706">
      <c r="A706" s="16"/>
      <c r="B706" s="16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  <c r="AH706" s="16"/>
      <c r="AI706" s="16"/>
      <c r="AJ706" s="16"/>
      <c r="AK706" s="16"/>
    </row>
    <row r="707">
      <c r="A707" s="16"/>
      <c r="B707" s="16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  <c r="AH707" s="16"/>
      <c r="AI707" s="16"/>
      <c r="AJ707" s="16"/>
      <c r="AK707" s="16"/>
    </row>
    <row r="708">
      <c r="A708" s="16"/>
      <c r="B708" s="16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  <c r="AH708" s="16"/>
      <c r="AI708" s="16"/>
      <c r="AJ708" s="16"/>
      <c r="AK708" s="16"/>
    </row>
    <row r="709">
      <c r="A709" s="16"/>
      <c r="B709" s="16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  <c r="AH709" s="16"/>
      <c r="AI709" s="16"/>
      <c r="AJ709" s="16"/>
      <c r="AK709" s="16"/>
    </row>
    <row r="710">
      <c r="A710" s="16"/>
      <c r="B710" s="16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  <c r="AH710" s="16"/>
      <c r="AI710" s="16"/>
      <c r="AJ710" s="16"/>
      <c r="AK710" s="16"/>
    </row>
    <row r="711">
      <c r="A711" s="16"/>
      <c r="B711" s="16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  <c r="AH711" s="16"/>
      <c r="AI711" s="16"/>
      <c r="AJ711" s="16"/>
      <c r="AK711" s="16"/>
    </row>
    <row r="712">
      <c r="A712" s="16"/>
      <c r="B712" s="16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  <c r="AH712" s="16"/>
      <c r="AI712" s="16"/>
      <c r="AJ712" s="16"/>
      <c r="AK712" s="16"/>
    </row>
    <row r="713">
      <c r="A713" s="16"/>
      <c r="B713" s="16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  <c r="AH713" s="16"/>
      <c r="AI713" s="16"/>
      <c r="AJ713" s="16"/>
      <c r="AK713" s="16"/>
    </row>
    <row r="714">
      <c r="A714" s="16"/>
      <c r="B714" s="16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  <c r="AH714" s="16"/>
      <c r="AI714" s="16"/>
      <c r="AJ714" s="16"/>
      <c r="AK714" s="16"/>
    </row>
    <row r="715">
      <c r="A715" s="16"/>
      <c r="B715" s="16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  <c r="AH715" s="16"/>
      <c r="AI715" s="16"/>
      <c r="AJ715" s="16"/>
      <c r="AK715" s="16"/>
    </row>
    <row r="716">
      <c r="A716" s="16"/>
      <c r="B716" s="16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  <c r="AH716" s="16"/>
      <c r="AI716" s="16"/>
      <c r="AJ716" s="16"/>
      <c r="AK716" s="16"/>
    </row>
    <row r="717">
      <c r="A717" s="16"/>
      <c r="B717" s="16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  <c r="AH717" s="16"/>
      <c r="AI717" s="16"/>
      <c r="AJ717" s="16"/>
      <c r="AK717" s="16"/>
    </row>
    <row r="718">
      <c r="A718" s="16"/>
      <c r="B718" s="16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  <c r="AH718" s="16"/>
      <c r="AI718" s="16"/>
      <c r="AJ718" s="16"/>
      <c r="AK718" s="16"/>
    </row>
    <row r="719">
      <c r="A719" s="16"/>
      <c r="B719" s="16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  <c r="AH719" s="16"/>
      <c r="AI719" s="16"/>
      <c r="AJ719" s="16"/>
      <c r="AK719" s="16"/>
    </row>
    <row r="720">
      <c r="A720" s="16"/>
      <c r="B720" s="16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  <c r="AH720" s="16"/>
      <c r="AI720" s="16"/>
      <c r="AJ720" s="16"/>
      <c r="AK720" s="16"/>
    </row>
    <row r="721">
      <c r="A721" s="16"/>
      <c r="B721" s="16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  <c r="AH721" s="16"/>
      <c r="AI721" s="16"/>
      <c r="AJ721" s="16"/>
      <c r="AK721" s="16"/>
    </row>
    <row r="722">
      <c r="A722" s="16"/>
      <c r="B722" s="16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  <c r="AH722" s="16"/>
      <c r="AI722" s="16"/>
      <c r="AJ722" s="16"/>
      <c r="AK722" s="16"/>
    </row>
    <row r="723">
      <c r="A723" s="16"/>
      <c r="B723" s="16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  <c r="AH723" s="16"/>
      <c r="AI723" s="16"/>
      <c r="AJ723" s="16"/>
      <c r="AK723" s="16"/>
    </row>
    <row r="724">
      <c r="A724" s="16"/>
      <c r="B724" s="16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  <c r="AH724" s="16"/>
      <c r="AI724" s="16"/>
      <c r="AJ724" s="16"/>
      <c r="AK724" s="16"/>
    </row>
    <row r="725">
      <c r="A725" s="16"/>
      <c r="B725" s="16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  <c r="AH725" s="16"/>
      <c r="AI725" s="16"/>
      <c r="AJ725" s="16"/>
      <c r="AK725" s="16"/>
    </row>
    <row r="726">
      <c r="A726" s="16"/>
      <c r="B726" s="16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  <c r="AH726" s="16"/>
      <c r="AI726" s="16"/>
      <c r="AJ726" s="16"/>
      <c r="AK726" s="16"/>
    </row>
    <row r="727">
      <c r="A727" s="16"/>
      <c r="B727" s="16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  <c r="AH727" s="16"/>
      <c r="AI727" s="16"/>
      <c r="AJ727" s="16"/>
      <c r="AK727" s="16"/>
    </row>
    <row r="728">
      <c r="A728" s="16"/>
      <c r="B728" s="16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  <c r="AH728" s="16"/>
      <c r="AI728" s="16"/>
      <c r="AJ728" s="16"/>
      <c r="AK728" s="16"/>
    </row>
    <row r="729">
      <c r="A729" s="16"/>
      <c r="B729" s="16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  <c r="AH729" s="16"/>
      <c r="AI729" s="16"/>
      <c r="AJ729" s="16"/>
      <c r="AK729" s="16"/>
    </row>
    <row r="730">
      <c r="A730" s="16"/>
      <c r="B730" s="16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  <c r="AH730" s="16"/>
      <c r="AI730" s="16"/>
      <c r="AJ730" s="16"/>
      <c r="AK730" s="16"/>
    </row>
    <row r="731">
      <c r="A731" s="16"/>
      <c r="B731" s="16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  <c r="AH731" s="16"/>
      <c r="AI731" s="16"/>
      <c r="AJ731" s="16"/>
      <c r="AK731" s="16"/>
    </row>
    <row r="732">
      <c r="A732" s="16"/>
      <c r="B732" s="16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  <c r="AH732" s="16"/>
      <c r="AI732" s="16"/>
      <c r="AJ732" s="16"/>
      <c r="AK732" s="16"/>
    </row>
    <row r="733">
      <c r="A733" s="16"/>
      <c r="B733" s="16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  <c r="AH733" s="16"/>
      <c r="AI733" s="16"/>
      <c r="AJ733" s="16"/>
      <c r="AK733" s="16"/>
    </row>
    <row r="734">
      <c r="A734" s="16"/>
      <c r="B734" s="16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  <c r="AH734" s="16"/>
      <c r="AI734" s="16"/>
      <c r="AJ734" s="16"/>
      <c r="AK734" s="16"/>
    </row>
    <row r="735">
      <c r="A735" s="16"/>
      <c r="B735" s="16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  <c r="AH735" s="16"/>
      <c r="AI735" s="16"/>
      <c r="AJ735" s="16"/>
      <c r="AK735" s="16"/>
    </row>
    <row r="736">
      <c r="A736" s="16"/>
      <c r="B736" s="16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  <c r="AH736" s="16"/>
      <c r="AI736" s="16"/>
      <c r="AJ736" s="16"/>
      <c r="AK736" s="16"/>
    </row>
    <row r="737">
      <c r="A737" s="16"/>
      <c r="B737" s="16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  <c r="AH737" s="16"/>
      <c r="AI737" s="16"/>
      <c r="AJ737" s="16"/>
      <c r="AK737" s="16"/>
    </row>
    <row r="738">
      <c r="A738" s="16"/>
      <c r="B738" s="16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  <c r="AH738" s="16"/>
      <c r="AI738" s="16"/>
      <c r="AJ738" s="16"/>
      <c r="AK738" s="16"/>
    </row>
    <row r="739">
      <c r="A739" s="16"/>
      <c r="B739" s="16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  <c r="AH739" s="16"/>
      <c r="AI739" s="16"/>
      <c r="AJ739" s="16"/>
      <c r="AK739" s="16"/>
    </row>
    <row r="740">
      <c r="A740" s="16"/>
      <c r="B740" s="16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  <c r="AH740" s="16"/>
      <c r="AI740" s="16"/>
      <c r="AJ740" s="16"/>
      <c r="AK740" s="16"/>
    </row>
    <row r="741">
      <c r="A741" s="16"/>
      <c r="B741" s="16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  <c r="AH741" s="16"/>
      <c r="AI741" s="16"/>
      <c r="AJ741" s="16"/>
      <c r="AK741" s="16"/>
    </row>
    <row r="742">
      <c r="A742" s="16"/>
      <c r="B742" s="16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  <c r="AH742" s="16"/>
      <c r="AI742" s="16"/>
      <c r="AJ742" s="16"/>
      <c r="AK742" s="16"/>
    </row>
    <row r="743">
      <c r="A743" s="16"/>
      <c r="B743" s="16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  <c r="AH743" s="16"/>
      <c r="AI743" s="16"/>
      <c r="AJ743" s="16"/>
      <c r="AK743" s="16"/>
    </row>
    <row r="744">
      <c r="A744" s="16"/>
      <c r="B744" s="16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  <c r="AH744" s="16"/>
      <c r="AI744" s="16"/>
      <c r="AJ744" s="16"/>
      <c r="AK744" s="16"/>
    </row>
    <row r="745">
      <c r="A745" s="16"/>
      <c r="B745" s="16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  <c r="AH745" s="16"/>
      <c r="AI745" s="16"/>
      <c r="AJ745" s="16"/>
      <c r="AK745" s="16"/>
    </row>
    <row r="746">
      <c r="A746" s="16"/>
      <c r="B746" s="16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  <c r="AH746" s="16"/>
      <c r="AI746" s="16"/>
      <c r="AJ746" s="16"/>
      <c r="AK746" s="16"/>
    </row>
    <row r="747">
      <c r="A747" s="16"/>
      <c r="B747" s="16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  <c r="AH747" s="16"/>
      <c r="AI747" s="16"/>
      <c r="AJ747" s="16"/>
      <c r="AK747" s="16"/>
    </row>
    <row r="748">
      <c r="A748" s="16"/>
      <c r="B748" s="16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  <c r="AH748" s="16"/>
      <c r="AI748" s="16"/>
      <c r="AJ748" s="16"/>
      <c r="AK748" s="16"/>
    </row>
    <row r="749">
      <c r="A749" s="16"/>
      <c r="B749" s="16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  <c r="AH749" s="16"/>
      <c r="AI749" s="16"/>
      <c r="AJ749" s="16"/>
      <c r="AK749" s="16"/>
    </row>
    <row r="750">
      <c r="A750" s="16"/>
      <c r="B750" s="16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  <c r="AH750" s="16"/>
      <c r="AI750" s="16"/>
      <c r="AJ750" s="16"/>
      <c r="AK750" s="16"/>
    </row>
    <row r="751">
      <c r="A751" s="16"/>
      <c r="B751" s="16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  <c r="AH751" s="16"/>
      <c r="AI751" s="16"/>
      <c r="AJ751" s="16"/>
      <c r="AK751" s="16"/>
    </row>
    <row r="752">
      <c r="A752" s="16"/>
      <c r="B752" s="16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  <c r="AH752" s="16"/>
      <c r="AI752" s="16"/>
      <c r="AJ752" s="16"/>
      <c r="AK752" s="16"/>
    </row>
    <row r="753">
      <c r="A753" s="16"/>
      <c r="B753" s="16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  <c r="AH753" s="16"/>
      <c r="AI753" s="16"/>
      <c r="AJ753" s="16"/>
      <c r="AK753" s="16"/>
    </row>
    <row r="754">
      <c r="A754" s="16"/>
      <c r="B754" s="16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  <c r="AH754" s="16"/>
      <c r="AI754" s="16"/>
      <c r="AJ754" s="16"/>
      <c r="AK754" s="16"/>
    </row>
    <row r="755">
      <c r="A755" s="16"/>
      <c r="B755" s="16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  <c r="AH755" s="16"/>
      <c r="AI755" s="16"/>
      <c r="AJ755" s="16"/>
      <c r="AK755" s="16"/>
    </row>
    <row r="756">
      <c r="A756" s="16"/>
      <c r="B756" s="16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  <c r="AH756" s="16"/>
      <c r="AI756" s="16"/>
      <c r="AJ756" s="16"/>
      <c r="AK756" s="16"/>
    </row>
    <row r="757">
      <c r="A757" s="16"/>
      <c r="B757" s="16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  <c r="AH757" s="16"/>
      <c r="AI757" s="16"/>
      <c r="AJ757" s="16"/>
      <c r="AK757" s="16"/>
    </row>
    <row r="758">
      <c r="A758" s="16"/>
      <c r="B758" s="16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  <c r="AH758" s="16"/>
      <c r="AI758" s="16"/>
      <c r="AJ758" s="16"/>
      <c r="AK758" s="16"/>
    </row>
    <row r="759">
      <c r="A759" s="16"/>
      <c r="B759" s="16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  <c r="AH759" s="16"/>
      <c r="AI759" s="16"/>
      <c r="AJ759" s="16"/>
      <c r="AK759" s="16"/>
    </row>
    <row r="760">
      <c r="A760" s="16"/>
      <c r="B760" s="16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  <c r="AH760" s="16"/>
      <c r="AI760" s="16"/>
      <c r="AJ760" s="16"/>
      <c r="AK760" s="16"/>
    </row>
    <row r="761">
      <c r="A761" s="16"/>
      <c r="B761" s="16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  <c r="AH761" s="16"/>
      <c r="AI761" s="16"/>
      <c r="AJ761" s="16"/>
      <c r="AK761" s="16"/>
    </row>
    <row r="762">
      <c r="A762" s="16"/>
      <c r="B762" s="16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  <c r="AH762" s="16"/>
      <c r="AI762" s="16"/>
      <c r="AJ762" s="16"/>
      <c r="AK762" s="16"/>
    </row>
    <row r="763">
      <c r="A763" s="16"/>
      <c r="B763" s="16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  <c r="AH763" s="16"/>
      <c r="AI763" s="16"/>
      <c r="AJ763" s="16"/>
      <c r="AK763" s="16"/>
    </row>
    <row r="764">
      <c r="A764" s="16"/>
      <c r="B764" s="16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  <c r="AH764" s="16"/>
      <c r="AI764" s="16"/>
      <c r="AJ764" s="16"/>
      <c r="AK764" s="16"/>
    </row>
    <row r="765">
      <c r="A765" s="16"/>
      <c r="B765" s="16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  <c r="AH765" s="16"/>
      <c r="AI765" s="16"/>
      <c r="AJ765" s="16"/>
      <c r="AK765" s="16"/>
    </row>
    <row r="766">
      <c r="A766" s="16"/>
      <c r="B766" s="16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  <c r="AH766" s="16"/>
      <c r="AI766" s="16"/>
      <c r="AJ766" s="16"/>
      <c r="AK766" s="16"/>
    </row>
    <row r="767">
      <c r="A767" s="16"/>
      <c r="B767" s="16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  <c r="AH767" s="16"/>
      <c r="AI767" s="16"/>
      <c r="AJ767" s="16"/>
      <c r="AK767" s="16"/>
    </row>
    <row r="768">
      <c r="A768" s="16"/>
      <c r="B768" s="16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  <c r="AH768" s="16"/>
      <c r="AI768" s="16"/>
      <c r="AJ768" s="16"/>
      <c r="AK768" s="16"/>
    </row>
    <row r="769">
      <c r="A769" s="16"/>
      <c r="B769" s="16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  <c r="AH769" s="16"/>
      <c r="AI769" s="16"/>
      <c r="AJ769" s="16"/>
      <c r="AK769" s="16"/>
    </row>
    <row r="770">
      <c r="A770" s="16"/>
      <c r="B770" s="16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  <c r="AH770" s="16"/>
      <c r="AI770" s="16"/>
      <c r="AJ770" s="16"/>
      <c r="AK770" s="16"/>
    </row>
    <row r="771">
      <c r="A771" s="16"/>
      <c r="B771" s="16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  <c r="AH771" s="16"/>
      <c r="AI771" s="16"/>
      <c r="AJ771" s="16"/>
      <c r="AK771" s="16"/>
    </row>
    <row r="772">
      <c r="A772" s="16"/>
      <c r="B772" s="16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  <c r="AH772" s="16"/>
      <c r="AI772" s="16"/>
      <c r="AJ772" s="16"/>
      <c r="AK772" s="16"/>
    </row>
    <row r="773">
      <c r="A773" s="16"/>
      <c r="B773" s="16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  <c r="AH773" s="16"/>
      <c r="AI773" s="16"/>
      <c r="AJ773" s="16"/>
      <c r="AK773" s="16"/>
    </row>
    <row r="774">
      <c r="A774" s="16"/>
      <c r="B774" s="16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  <c r="AH774" s="16"/>
      <c r="AI774" s="16"/>
      <c r="AJ774" s="16"/>
      <c r="AK774" s="16"/>
    </row>
    <row r="775">
      <c r="A775" s="16"/>
      <c r="B775" s="16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  <c r="AH775" s="16"/>
      <c r="AI775" s="16"/>
      <c r="AJ775" s="16"/>
      <c r="AK775" s="16"/>
    </row>
    <row r="776">
      <c r="A776" s="16"/>
      <c r="B776" s="16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  <c r="AH776" s="16"/>
      <c r="AI776" s="16"/>
      <c r="AJ776" s="16"/>
      <c r="AK776" s="16"/>
    </row>
    <row r="777">
      <c r="A777" s="16"/>
      <c r="B777" s="16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  <c r="AH777" s="16"/>
      <c r="AI777" s="16"/>
      <c r="AJ777" s="16"/>
      <c r="AK777" s="16"/>
    </row>
    <row r="778">
      <c r="A778" s="16"/>
      <c r="B778" s="16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  <c r="AH778" s="16"/>
      <c r="AI778" s="16"/>
      <c r="AJ778" s="16"/>
      <c r="AK778" s="16"/>
    </row>
    <row r="779">
      <c r="A779" s="16"/>
      <c r="B779" s="16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  <c r="AH779" s="16"/>
      <c r="AI779" s="16"/>
      <c r="AJ779" s="16"/>
      <c r="AK779" s="16"/>
    </row>
    <row r="780">
      <c r="A780" s="16"/>
      <c r="B780" s="16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  <c r="AH780" s="16"/>
      <c r="AI780" s="16"/>
      <c r="AJ780" s="16"/>
      <c r="AK780" s="16"/>
    </row>
    <row r="781">
      <c r="A781" s="16"/>
      <c r="B781" s="16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  <c r="AH781" s="16"/>
      <c r="AI781" s="16"/>
      <c r="AJ781" s="16"/>
      <c r="AK781" s="16"/>
    </row>
    <row r="782">
      <c r="A782" s="16"/>
      <c r="B782" s="16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  <c r="AH782" s="16"/>
      <c r="AI782" s="16"/>
      <c r="AJ782" s="16"/>
      <c r="AK782" s="16"/>
    </row>
    <row r="783">
      <c r="A783" s="16"/>
      <c r="B783" s="16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  <c r="AH783" s="16"/>
      <c r="AI783" s="16"/>
      <c r="AJ783" s="16"/>
      <c r="AK783" s="16"/>
    </row>
    <row r="784">
      <c r="A784" s="16"/>
      <c r="B784" s="16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6"/>
      <c r="AI784" s="16"/>
      <c r="AJ784" s="16"/>
      <c r="AK784" s="16"/>
    </row>
    <row r="785">
      <c r="A785" s="16"/>
      <c r="B785" s="16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6"/>
      <c r="AI785" s="16"/>
      <c r="AJ785" s="16"/>
      <c r="AK785" s="16"/>
    </row>
    <row r="786">
      <c r="A786" s="16"/>
      <c r="B786" s="16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  <c r="AH786" s="16"/>
      <c r="AI786" s="16"/>
      <c r="AJ786" s="16"/>
      <c r="AK786" s="16"/>
    </row>
    <row r="787">
      <c r="A787" s="16"/>
      <c r="B787" s="16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  <c r="AH787" s="16"/>
      <c r="AI787" s="16"/>
      <c r="AJ787" s="16"/>
      <c r="AK787" s="16"/>
    </row>
    <row r="788">
      <c r="A788" s="16"/>
      <c r="B788" s="16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  <c r="AH788" s="16"/>
      <c r="AI788" s="16"/>
      <c r="AJ788" s="16"/>
      <c r="AK788" s="16"/>
    </row>
    <row r="789">
      <c r="A789" s="16"/>
      <c r="B789" s="16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  <c r="AH789" s="16"/>
      <c r="AI789" s="16"/>
      <c r="AJ789" s="16"/>
      <c r="AK789" s="16"/>
    </row>
    <row r="790">
      <c r="A790" s="16"/>
      <c r="B790" s="16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  <c r="AH790" s="16"/>
      <c r="AI790" s="16"/>
      <c r="AJ790" s="16"/>
      <c r="AK790" s="16"/>
    </row>
    <row r="791">
      <c r="A791" s="16"/>
      <c r="B791" s="16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  <c r="AH791" s="16"/>
      <c r="AI791" s="16"/>
      <c r="AJ791" s="16"/>
      <c r="AK791" s="16"/>
    </row>
    <row r="792">
      <c r="A792" s="16"/>
      <c r="B792" s="16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  <c r="AH792" s="16"/>
      <c r="AI792" s="16"/>
      <c r="AJ792" s="16"/>
      <c r="AK792" s="16"/>
    </row>
    <row r="793">
      <c r="A793" s="16"/>
      <c r="B793" s="16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  <c r="AH793" s="16"/>
      <c r="AI793" s="16"/>
      <c r="AJ793" s="16"/>
      <c r="AK793" s="16"/>
    </row>
    <row r="794">
      <c r="A794" s="16"/>
      <c r="B794" s="16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  <c r="AH794" s="16"/>
      <c r="AI794" s="16"/>
      <c r="AJ794" s="16"/>
      <c r="AK794" s="16"/>
    </row>
    <row r="795">
      <c r="A795" s="16"/>
      <c r="B795" s="16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  <c r="AH795" s="16"/>
      <c r="AI795" s="16"/>
      <c r="AJ795" s="16"/>
      <c r="AK795" s="16"/>
    </row>
    <row r="796">
      <c r="A796" s="16"/>
      <c r="B796" s="16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  <c r="AH796" s="16"/>
      <c r="AI796" s="16"/>
      <c r="AJ796" s="16"/>
      <c r="AK796" s="16"/>
    </row>
    <row r="797">
      <c r="A797" s="16"/>
      <c r="B797" s="16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  <c r="AH797" s="16"/>
      <c r="AI797" s="16"/>
      <c r="AJ797" s="16"/>
      <c r="AK797" s="16"/>
    </row>
    <row r="798">
      <c r="A798" s="16"/>
      <c r="B798" s="16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  <c r="AH798" s="16"/>
      <c r="AI798" s="16"/>
      <c r="AJ798" s="16"/>
      <c r="AK798" s="16"/>
    </row>
    <row r="799">
      <c r="A799" s="16"/>
      <c r="B799" s="16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  <c r="AH799" s="16"/>
      <c r="AI799" s="16"/>
      <c r="AJ799" s="16"/>
      <c r="AK799" s="16"/>
    </row>
    <row r="800">
      <c r="A800" s="16"/>
      <c r="B800" s="16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  <c r="AH800" s="16"/>
      <c r="AI800" s="16"/>
      <c r="AJ800" s="16"/>
      <c r="AK800" s="16"/>
    </row>
    <row r="801">
      <c r="A801" s="16"/>
      <c r="B801" s="16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  <c r="AH801" s="16"/>
      <c r="AI801" s="16"/>
      <c r="AJ801" s="16"/>
      <c r="AK801" s="16"/>
    </row>
    <row r="802">
      <c r="A802" s="16"/>
      <c r="B802" s="16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  <c r="AH802" s="16"/>
      <c r="AI802" s="16"/>
      <c r="AJ802" s="16"/>
      <c r="AK802" s="16"/>
    </row>
    <row r="803">
      <c r="A803" s="16"/>
      <c r="B803" s="16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  <c r="AH803" s="16"/>
      <c r="AI803" s="16"/>
      <c r="AJ803" s="16"/>
      <c r="AK803" s="16"/>
    </row>
    <row r="804">
      <c r="A804" s="16"/>
      <c r="B804" s="16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  <c r="AH804" s="16"/>
      <c r="AI804" s="16"/>
      <c r="AJ804" s="16"/>
      <c r="AK804" s="16"/>
    </row>
    <row r="805">
      <c r="A805" s="16"/>
      <c r="B805" s="16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  <c r="AH805" s="16"/>
      <c r="AI805" s="16"/>
      <c r="AJ805" s="16"/>
      <c r="AK805" s="16"/>
    </row>
    <row r="806">
      <c r="A806" s="16"/>
      <c r="B806" s="16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  <c r="AH806" s="16"/>
      <c r="AI806" s="16"/>
      <c r="AJ806" s="16"/>
      <c r="AK806" s="16"/>
    </row>
    <row r="807">
      <c r="A807" s="16"/>
      <c r="B807" s="16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  <c r="AH807" s="16"/>
      <c r="AI807" s="16"/>
      <c r="AJ807" s="16"/>
      <c r="AK807" s="16"/>
    </row>
    <row r="808">
      <c r="A808" s="16"/>
      <c r="B808" s="16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  <c r="AH808" s="16"/>
      <c r="AI808" s="16"/>
      <c r="AJ808" s="16"/>
      <c r="AK808" s="16"/>
    </row>
    <row r="809">
      <c r="A809" s="16"/>
      <c r="B809" s="16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  <c r="AH809" s="16"/>
      <c r="AI809" s="16"/>
      <c r="AJ809" s="16"/>
      <c r="AK809" s="16"/>
    </row>
    <row r="810">
      <c r="A810" s="16"/>
      <c r="B810" s="16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  <c r="AH810" s="16"/>
      <c r="AI810" s="16"/>
      <c r="AJ810" s="16"/>
      <c r="AK810" s="16"/>
    </row>
    <row r="811">
      <c r="A811" s="16"/>
      <c r="B811" s="16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  <c r="AH811" s="16"/>
      <c r="AI811" s="16"/>
      <c r="AJ811" s="16"/>
      <c r="AK811" s="16"/>
    </row>
    <row r="812">
      <c r="A812" s="16"/>
      <c r="B812" s="16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  <c r="AH812" s="16"/>
      <c r="AI812" s="16"/>
      <c r="AJ812" s="16"/>
      <c r="AK812" s="16"/>
    </row>
    <row r="813">
      <c r="A813" s="16"/>
      <c r="B813" s="16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  <c r="AH813" s="16"/>
      <c r="AI813" s="16"/>
      <c r="AJ813" s="16"/>
      <c r="AK813" s="16"/>
    </row>
    <row r="814">
      <c r="A814" s="16"/>
      <c r="B814" s="16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  <c r="AH814" s="16"/>
      <c r="AI814" s="16"/>
      <c r="AJ814" s="16"/>
      <c r="AK814" s="16"/>
    </row>
    <row r="815">
      <c r="A815" s="16"/>
      <c r="B815" s="16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  <c r="AH815" s="16"/>
      <c r="AI815" s="16"/>
      <c r="AJ815" s="16"/>
      <c r="AK815" s="16"/>
    </row>
    <row r="816">
      <c r="A816" s="16"/>
      <c r="B816" s="16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  <c r="AH816" s="16"/>
      <c r="AI816" s="16"/>
      <c r="AJ816" s="16"/>
      <c r="AK816" s="16"/>
    </row>
    <row r="817">
      <c r="A817" s="16"/>
      <c r="B817" s="16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  <c r="AH817" s="16"/>
      <c r="AI817" s="16"/>
      <c r="AJ817" s="16"/>
      <c r="AK817" s="16"/>
    </row>
    <row r="818">
      <c r="A818" s="16"/>
      <c r="B818" s="16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  <c r="AH818" s="16"/>
      <c r="AI818" s="16"/>
      <c r="AJ818" s="16"/>
      <c r="AK818" s="16"/>
    </row>
    <row r="819">
      <c r="A819" s="16"/>
      <c r="B819" s="16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  <c r="AH819" s="16"/>
      <c r="AI819" s="16"/>
      <c r="AJ819" s="16"/>
      <c r="AK819" s="16"/>
    </row>
    <row r="820">
      <c r="A820" s="16"/>
      <c r="B820" s="16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  <c r="AH820" s="16"/>
      <c r="AI820" s="16"/>
      <c r="AJ820" s="16"/>
      <c r="AK820" s="16"/>
    </row>
    <row r="821">
      <c r="A821" s="16"/>
      <c r="B821" s="16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  <c r="AH821" s="16"/>
      <c r="AI821" s="16"/>
      <c r="AJ821" s="16"/>
      <c r="AK821" s="16"/>
    </row>
    <row r="822">
      <c r="A822" s="16"/>
      <c r="B822" s="16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  <c r="AH822" s="16"/>
      <c r="AI822" s="16"/>
      <c r="AJ822" s="16"/>
      <c r="AK822" s="16"/>
    </row>
    <row r="823">
      <c r="A823" s="16"/>
      <c r="B823" s="16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  <c r="AH823" s="16"/>
      <c r="AI823" s="16"/>
      <c r="AJ823" s="16"/>
      <c r="AK823" s="16"/>
    </row>
    <row r="824">
      <c r="A824" s="16"/>
      <c r="B824" s="16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  <c r="AH824" s="16"/>
      <c r="AI824" s="16"/>
      <c r="AJ824" s="16"/>
      <c r="AK824" s="16"/>
    </row>
    <row r="825">
      <c r="A825" s="16"/>
      <c r="B825" s="16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  <c r="AH825" s="16"/>
      <c r="AI825" s="16"/>
      <c r="AJ825" s="16"/>
      <c r="AK825" s="16"/>
    </row>
    <row r="826">
      <c r="A826" s="16"/>
      <c r="B826" s="16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  <c r="AH826" s="16"/>
      <c r="AI826" s="16"/>
      <c r="AJ826" s="16"/>
      <c r="AK826" s="16"/>
    </row>
    <row r="827">
      <c r="A827" s="16"/>
      <c r="B827" s="16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  <c r="AH827" s="16"/>
      <c r="AI827" s="16"/>
      <c r="AJ827" s="16"/>
      <c r="AK827" s="16"/>
    </row>
    <row r="828">
      <c r="A828" s="16"/>
      <c r="B828" s="16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  <c r="AH828" s="16"/>
      <c r="AI828" s="16"/>
      <c r="AJ828" s="16"/>
      <c r="AK828" s="16"/>
    </row>
    <row r="829">
      <c r="A829" s="16"/>
      <c r="B829" s="16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  <c r="AH829" s="16"/>
      <c r="AI829" s="16"/>
      <c r="AJ829" s="16"/>
      <c r="AK829" s="16"/>
    </row>
    <row r="830">
      <c r="A830" s="16"/>
      <c r="B830" s="16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  <c r="AH830" s="16"/>
      <c r="AI830" s="16"/>
      <c r="AJ830" s="16"/>
      <c r="AK830" s="16"/>
    </row>
    <row r="831">
      <c r="A831" s="16"/>
      <c r="B831" s="16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  <c r="AH831" s="16"/>
      <c r="AI831" s="16"/>
      <c r="AJ831" s="16"/>
      <c r="AK831" s="16"/>
    </row>
    <row r="832">
      <c r="A832" s="16"/>
      <c r="B832" s="16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  <c r="AH832" s="16"/>
      <c r="AI832" s="16"/>
      <c r="AJ832" s="16"/>
      <c r="AK832" s="16"/>
    </row>
    <row r="833">
      <c r="A833" s="16"/>
      <c r="B833" s="16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  <c r="AH833" s="16"/>
      <c r="AI833" s="16"/>
      <c r="AJ833" s="16"/>
      <c r="AK833" s="16"/>
    </row>
    <row r="834">
      <c r="A834" s="16"/>
      <c r="B834" s="16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  <c r="AH834" s="16"/>
      <c r="AI834" s="16"/>
      <c r="AJ834" s="16"/>
      <c r="AK834" s="16"/>
    </row>
    <row r="835">
      <c r="A835" s="16"/>
      <c r="B835" s="16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  <c r="AH835" s="16"/>
      <c r="AI835" s="16"/>
      <c r="AJ835" s="16"/>
      <c r="AK835" s="16"/>
    </row>
    <row r="836">
      <c r="A836" s="16"/>
      <c r="B836" s="16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  <c r="AH836" s="16"/>
      <c r="AI836" s="16"/>
      <c r="AJ836" s="16"/>
      <c r="AK836" s="16"/>
    </row>
    <row r="837">
      <c r="A837" s="16"/>
      <c r="B837" s="16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  <c r="AH837" s="16"/>
      <c r="AI837" s="16"/>
      <c r="AJ837" s="16"/>
      <c r="AK837" s="16"/>
    </row>
    <row r="838">
      <c r="A838" s="16"/>
      <c r="B838" s="16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  <c r="AH838" s="16"/>
      <c r="AI838" s="16"/>
      <c r="AJ838" s="16"/>
      <c r="AK838" s="16"/>
    </row>
    <row r="839">
      <c r="A839" s="16"/>
      <c r="B839" s="16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  <c r="AH839" s="16"/>
      <c r="AI839" s="16"/>
      <c r="AJ839" s="16"/>
      <c r="AK839" s="16"/>
    </row>
    <row r="840">
      <c r="A840" s="16"/>
      <c r="B840" s="16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  <c r="AH840" s="16"/>
      <c r="AI840" s="16"/>
      <c r="AJ840" s="16"/>
      <c r="AK840" s="16"/>
    </row>
    <row r="841">
      <c r="A841" s="16"/>
      <c r="B841" s="16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  <c r="AH841" s="16"/>
      <c r="AI841" s="16"/>
      <c r="AJ841" s="16"/>
      <c r="AK841" s="16"/>
    </row>
    <row r="842">
      <c r="A842" s="16"/>
      <c r="B842" s="16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  <c r="AH842" s="16"/>
      <c r="AI842" s="16"/>
      <c r="AJ842" s="16"/>
      <c r="AK842" s="16"/>
    </row>
    <row r="843">
      <c r="A843" s="16"/>
      <c r="B843" s="16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  <c r="AH843" s="16"/>
      <c r="AI843" s="16"/>
      <c r="AJ843" s="16"/>
      <c r="AK843" s="16"/>
    </row>
    <row r="844">
      <c r="A844" s="16"/>
      <c r="B844" s="16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  <c r="AH844" s="16"/>
      <c r="AI844" s="16"/>
      <c r="AJ844" s="16"/>
      <c r="AK844" s="16"/>
    </row>
    <row r="845">
      <c r="A845" s="16"/>
      <c r="B845" s="16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  <c r="AH845" s="16"/>
      <c r="AI845" s="16"/>
      <c r="AJ845" s="16"/>
      <c r="AK845" s="16"/>
    </row>
    <row r="846">
      <c r="A846" s="16"/>
      <c r="B846" s="16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  <c r="AH846" s="16"/>
      <c r="AI846" s="16"/>
      <c r="AJ846" s="16"/>
      <c r="AK846" s="16"/>
    </row>
    <row r="847">
      <c r="A847" s="16"/>
      <c r="B847" s="16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  <c r="AH847" s="16"/>
      <c r="AI847" s="16"/>
      <c r="AJ847" s="16"/>
      <c r="AK847" s="16"/>
    </row>
    <row r="848">
      <c r="A848" s="16"/>
      <c r="B848" s="16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  <c r="AH848" s="16"/>
      <c r="AI848" s="16"/>
      <c r="AJ848" s="16"/>
      <c r="AK848" s="16"/>
    </row>
    <row r="849">
      <c r="A849" s="16"/>
      <c r="B849" s="16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  <c r="AH849" s="16"/>
      <c r="AI849" s="16"/>
      <c r="AJ849" s="16"/>
      <c r="AK849" s="16"/>
    </row>
    <row r="850">
      <c r="A850" s="16"/>
      <c r="B850" s="16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  <c r="AH850" s="16"/>
      <c r="AI850" s="16"/>
      <c r="AJ850" s="16"/>
      <c r="AK850" s="16"/>
    </row>
    <row r="851">
      <c r="A851" s="16"/>
      <c r="B851" s="16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  <c r="AH851" s="16"/>
      <c r="AI851" s="16"/>
      <c r="AJ851" s="16"/>
      <c r="AK851" s="16"/>
    </row>
    <row r="852">
      <c r="A852" s="16"/>
      <c r="B852" s="16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  <c r="AH852" s="16"/>
      <c r="AI852" s="16"/>
      <c r="AJ852" s="16"/>
      <c r="AK852" s="16"/>
    </row>
    <row r="853">
      <c r="A853" s="16"/>
      <c r="B853" s="16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  <c r="AH853" s="16"/>
      <c r="AI853" s="16"/>
      <c r="AJ853" s="16"/>
      <c r="AK853" s="16"/>
    </row>
    <row r="854">
      <c r="A854" s="16"/>
      <c r="B854" s="16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  <c r="AH854" s="16"/>
      <c r="AI854" s="16"/>
      <c r="AJ854" s="16"/>
      <c r="AK854" s="16"/>
    </row>
    <row r="855">
      <c r="A855" s="16"/>
      <c r="B855" s="16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  <c r="AH855" s="16"/>
      <c r="AI855" s="16"/>
      <c r="AJ855" s="16"/>
      <c r="AK855" s="16"/>
    </row>
    <row r="856">
      <c r="A856" s="16"/>
      <c r="B856" s="16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  <c r="AH856" s="16"/>
      <c r="AI856" s="16"/>
      <c r="AJ856" s="16"/>
      <c r="AK856" s="16"/>
    </row>
    <row r="857">
      <c r="A857" s="16"/>
      <c r="B857" s="16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  <c r="AH857" s="16"/>
      <c r="AI857" s="16"/>
      <c r="AJ857" s="16"/>
      <c r="AK857" s="16"/>
    </row>
    <row r="858">
      <c r="A858" s="16"/>
      <c r="B858" s="16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  <c r="AH858" s="16"/>
      <c r="AI858" s="16"/>
      <c r="AJ858" s="16"/>
      <c r="AK858" s="16"/>
    </row>
    <row r="859">
      <c r="A859" s="16"/>
      <c r="B859" s="16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  <c r="AH859" s="16"/>
      <c r="AI859" s="16"/>
      <c r="AJ859" s="16"/>
      <c r="AK859" s="16"/>
    </row>
    <row r="860">
      <c r="A860" s="16"/>
      <c r="B860" s="16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  <c r="AH860" s="16"/>
      <c r="AI860" s="16"/>
      <c r="AJ860" s="16"/>
      <c r="AK860" s="16"/>
    </row>
    <row r="861">
      <c r="A861" s="16"/>
      <c r="B861" s="16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  <c r="AH861" s="16"/>
      <c r="AI861" s="16"/>
      <c r="AJ861" s="16"/>
      <c r="AK861" s="16"/>
    </row>
    <row r="862">
      <c r="A862" s="16"/>
      <c r="B862" s="16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  <c r="AH862" s="16"/>
      <c r="AI862" s="16"/>
      <c r="AJ862" s="16"/>
      <c r="AK862" s="16"/>
    </row>
    <row r="863">
      <c r="A863" s="16"/>
      <c r="B863" s="16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  <c r="AH863" s="16"/>
      <c r="AI863" s="16"/>
      <c r="AJ863" s="16"/>
      <c r="AK863" s="16"/>
    </row>
    <row r="864">
      <c r="A864" s="16"/>
      <c r="B864" s="16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  <c r="AH864" s="16"/>
      <c r="AI864" s="16"/>
      <c r="AJ864" s="16"/>
      <c r="AK864" s="16"/>
    </row>
    <row r="865">
      <c r="A865" s="16"/>
      <c r="B865" s="16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  <c r="AH865" s="16"/>
      <c r="AI865" s="16"/>
      <c r="AJ865" s="16"/>
      <c r="AK865" s="16"/>
    </row>
    <row r="866">
      <c r="A866" s="16"/>
      <c r="B866" s="16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  <c r="AH866" s="16"/>
      <c r="AI866" s="16"/>
      <c r="AJ866" s="16"/>
      <c r="AK866" s="16"/>
    </row>
    <row r="867">
      <c r="A867" s="16"/>
      <c r="B867" s="16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  <c r="AH867" s="16"/>
      <c r="AI867" s="16"/>
      <c r="AJ867" s="16"/>
      <c r="AK867" s="16"/>
    </row>
    <row r="868">
      <c r="A868" s="16"/>
      <c r="B868" s="16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  <c r="AH868" s="16"/>
      <c r="AI868" s="16"/>
      <c r="AJ868" s="16"/>
      <c r="AK868" s="16"/>
    </row>
    <row r="869">
      <c r="A869" s="16"/>
      <c r="B869" s="16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  <c r="AH869" s="16"/>
      <c r="AI869" s="16"/>
      <c r="AJ869" s="16"/>
      <c r="AK869" s="16"/>
    </row>
    <row r="870">
      <c r="A870" s="16"/>
      <c r="B870" s="16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  <c r="AH870" s="16"/>
      <c r="AI870" s="16"/>
      <c r="AJ870" s="16"/>
      <c r="AK870" s="16"/>
    </row>
    <row r="871">
      <c r="A871" s="16"/>
      <c r="B871" s="16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  <c r="AH871" s="16"/>
      <c r="AI871" s="16"/>
      <c r="AJ871" s="16"/>
      <c r="AK871" s="16"/>
    </row>
    <row r="872">
      <c r="A872" s="16"/>
      <c r="B872" s="16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  <c r="AH872" s="16"/>
      <c r="AI872" s="16"/>
      <c r="AJ872" s="16"/>
      <c r="AK872" s="16"/>
    </row>
    <row r="873">
      <c r="A873" s="16"/>
      <c r="B873" s="16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  <c r="AH873" s="16"/>
      <c r="AI873" s="16"/>
      <c r="AJ873" s="16"/>
      <c r="AK873" s="16"/>
    </row>
    <row r="874">
      <c r="A874" s="16"/>
      <c r="B874" s="16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  <c r="AH874" s="16"/>
      <c r="AI874" s="16"/>
      <c r="AJ874" s="16"/>
      <c r="AK874" s="16"/>
    </row>
    <row r="875">
      <c r="A875" s="16"/>
      <c r="B875" s="16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  <c r="AH875" s="16"/>
      <c r="AI875" s="16"/>
      <c r="AJ875" s="16"/>
      <c r="AK875" s="16"/>
    </row>
    <row r="876">
      <c r="A876" s="16"/>
      <c r="B876" s="16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  <c r="AH876" s="16"/>
      <c r="AI876" s="16"/>
      <c r="AJ876" s="16"/>
      <c r="AK876" s="16"/>
    </row>
    <row r="877">
      <c r="A877" s="16"/>
      <c r="B877" s="16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  <c r="AH877" s="16"/>
      <c r="AI877" s="16"/>
      <c r="AJ877" s="16"/>
      <c r="AK877" s="16"/>
    </row>
    <row r="878">
      <c r="A878" s="16"/>
      <c r="B878" s="16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  <c r="AH878" s="16"/>
      <c r="AI878" s="16"/>
      <c r="AJ878" s="16"/>
      <c r="AK878" s="16"/>
    </row>
    <row r="879">
      <c r="A879" s="16"/>
      <c r="B879" s="16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  <c r="AH879" s="16"/>
      <c r="AI879" s="16"/>
      <c r="AJ879" s="16"/>
      <c r="AK879" s="16"/>
    </row>
    <row r="880">
      <c r="A880" s="16"/>
      <c r="B880" s="16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  <c r="AH880" s="16"/>
      <c r="AI880" s="16"/>
      <c r="AJ880" s="16"/>
      <c r="AK880" s="16"/>
    </row>
    <row r="881">
      <c r="A881" s="16"/>
      <c r="B881" s="16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  <c r="AH881" s="16"/>
      <c r="AI881" s="16"/>
      <c r="AJ881" s="16"/>
      <c r="AK881" s="16"/>
    </row>
    <row r="882">
      <c r="A882" s="16"/>
      <c r="B882" s="16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  <c r="AH882" s="16"/>
      <c r="AI882" s="16"/>
      <c r="AJ882" s="16"/>
      <c r="AK882" s="16"/>
    </row>
    <row r="883">
      <c r="A883" s="16"/>
      <c r="B883" s="16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  <c r="AH883" s="16"/>
      <c r="AI883" s="16"/>
      <c r="AJ883" s="16"/>
      <c r="AK883" s="16"/>
    </row>
    <row r="884">
      <c r="A884" s="16"/>
      <c r="B884" s="16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  <c r="AH884" s="16"/>
      <c r="AI884" s="16"/>
      <c r="AJ884" s="16"/>
      <c r="AK884" s="16"/>
    </row>
    <row r="885">
      <c r="A885" s="16"/>
      <c r="B885" s="16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  <c r="AH885" s="16"/>
      <c r="AI885" s="16"/>
      <c r="AJ885" s="16"/>
      <c r="AK885" s="16"/>
    </row>
    <row r="886">
      <c r="A886" s="16"/>
      <c r="B886" s="16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  <c r="AH886" s="16"/>
      <c r="AI886" s="16"/>
      <c r="AJ886" s="16"/>
      <c r="AK886" s="16"/>
    </row>
    <row r="887">
      <c r="A887" s="16"/>
      <c r="B887" s="16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  <c r="AH887" s="16"/>
      <c r="AI887" s="16"/>
      <c r="AJ887" s="16"/>
      <c r="AK887" s="16"/>
    </row>
    <row r="888">
      <c r="A888" s="16"/>
      <c r="B888" s="16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  <c r="AH888" s="16"/>
      <c r="AI888" s="16"/>
      <c r="AJ888" s="16"/>
      <c r="AK888" s="16"/>
    </row>
    <row r="889">
      <c r="A889" s="16"/>
      <c r="B889" s="16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  <c r="AH889" s="16"/>
      <c r="AI889" s="16"/>
      <c r="AJ889" s="16"/>
      <c r="AK889" s="16"/>
    </row>
    <row r="890">
      <c r="A890" s="16"/>
      <c r="B890" s="16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  <c r="AH890" s="16"/>
      <c r="AI890" s="16"/>
      <c r="AJ890" s="16"/>
      <c r="AK890" s="16"/>
    </row>
    <row r="891">
      <c r="A891" s="16"/>
      <c r="B891" s="16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  <c r="AH891" s="16"/>
      <c r="AI891" s="16"/>
      <c r="AJ891" s="16"/>
      <c r="AK891" s="16"/>
    </row>
    <row r="892">
      <c r="A892" s="16"/>
      <c r="B892" s="16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  <c r="AH892" s="16"/>
      <c r="AI892" s="16"/>
      <c r="AJ892" s="16"/>
      <c r="AK892" s="16"/>
    </row>
    <row r="893">
      <c r="A893" s="16"/>
      <c r="B893" s="16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  <c r="AH893" s="16"/>
      <c r="AI893" s="16"/>
      <c r="AJ893" s="16"/>
      <c r="AK893" s="16"/>
    </row>
    <row r="894">
      <c r="A894" s="16"/>
      <c r="B894" s="16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  <c r="AH894" s="16"/>
      <c r="AI894" s="16"/>
      <c r="AJ894" s="16"/>
      <c r="AK894" s="16"/>
    </row>
    <row r="895">
      <c r="A895" s="16"/>
      <c r="B895" s="16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  <c r="AH895" s="16"/>
      <c r="AI895" s="16"/>
      <c r="AJ895" s="16"/>
      <c r="AK895" s="16"/>
    </row>
    <row r="896">
      <c r="A896" s="16"/>
      <c r="B896" s="16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  <c r="AH896" s="16"/>
      <c r="AI896" s="16"/>
      <c r="AJ896" s="16"/>
      <c r="AK896" s="16"/>
    </row>
    <row r="897">
      <c r="A897" s="16"/>
      <c r="B897" s="16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  <c r="AH897" s="16"/>
      <c r="AI897" s="16"/>
      <c r="AJ897" s="16"/>
      <c r="AK897" s="16"/>
    </row>
    <row r="898">
      <c r="A898" s="16"/>
      <c r="B898" s="16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  <c r="AH898" s="16"/>
      <c r="AI898" s="16"/>
      <c r="AJ898" s="16"/>
      <c r="AK898" s="16"/>
    </row>
    <row r="899">
      <c r="A899" s="16"/>
      <c r="B899" s="16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  <c r="AH899" s="16"/>
      <c r="AI899" s="16"/>
      <c r="AJ899" s="16"/>
      <c r="AK899" s="16"/>
    </row>
    <row r="900">
      <c r="A900" s="16"/>
      <c r="B900" s="16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/>
      <c r="AH900" s="16"/>
      <c r="AI900" s="16"/>
      <c r="AJ900" s="16"/>
      <c r="AK900" s="16"/>
    </row>
    <row r="901">
      <c r="A901" s="16"/>
      <c r="B901" s="16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/>
      <c r="AH901" s="16"/>
      <c r="AI901" s="16"/>
      <c r="AJ901" s="16"/>
      <c r="AK901" s="16"/>
    </row>
    <row r="902">
      <c r="A902" s="16"/>
      <c r="B902" s="16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  <c r="AH902" s="16"/>
      <c r="AI902" s="16"/>
      <c r="AJ902" s="16"/>
      <c r="AK902" s="16"/>
    </row>
    <row r="903">
      <c r="A903" s="16"/>
      <c r="B903" s="16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100"/>
      <c r="AH903" s="16"/>
      <c r="AI903" s="16"/>
      <c r="AJ903" s="16"/>
      <c r="AK903" s="16"/>
    </row>
    <row r="904">
      <c r="A904" s="16"/>
      <c r="B904" s="16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/>
      <c r="AH904" s="16"/>
      <c r="AI904" s="16"/>
      <c r="AJ904" s="16"/>
      <c r="AK904" s="16"/>
    </row>
    <row r="905">
      <c r="A905" s="16"/>
      <c r="B905" s="16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/>
      <c r="AH905" s="16"/>
      <c r="AI905" s="16"/>
      <c r="AJ905" s="16"/>
      <c r="AK905" s="16"/>
    </row>
    <row r="906">
      <c r="A906" s="16"/>
      <c r="B906" s="16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100"/>
      <c r="AH906" s="16"/>
      <c r="AI906" s="16"/>
      <c r="AJ906" s="16"/>
      <c r="AK906" s="16"/>
    </row>
    <row r="907">
      <c r="A907" s="16"/>
      <c r="B907" s="16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100"/>
      <c r="AH907" s="16"/>
      <c r="AI907" s="16"/>
      <c r="AJ907" s="16"/>
      <c r="AK907" s="16"/>
    </row>
    <row r="908">
      <c r="A908" s="16"/>
      <c r="B908" s="16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100"/>
      <c r="AH908" s="16"/>
      <c r="AI908" s="16"/>
      <c r="AJ908" s="16"/>
      <c r="AK908" s="16"/>
    </row>
    <row r="909">
      <c r="A909" s="16"/>
      <c r="B909" s="16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100"/>
      <c r="AH909" s="16"/>
      <c r="AI909" s="16"/>
      <c r="AJ909" s="16"/>
      <c r="AK909" s="16"/>
    </row>
    <row r="910">
      <c r="A910" s="16"/>
      <c r="B910" s="16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100"/>
      <c r="AH910" s="16"/>
      <c r="AI910" s="16"/>
      <c r="AJ910" s="16"/>
      <c r="AK910" s="16"/>
    </row>
    <row r="911">
      <c r="A911" s="16"/>
      <c r="B911" s="16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/>
      <c r="AH911" s="16"/>
      <c r="AI911" s="16"/>
      <c r="AJ911" s="16"/>
      <c r="AK911" s="16"/>
    </row>
    <row r="912">
      <c r="A912" s="16"/>
      <c r="B912" s="16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100"/>
      <c r="AH912" s="16"/>
      <c r="AI912" s="16"/>
      <c r="AJ912" s="16"/>
      <c r="AK912" s="16"/>
    </row>
    <row r="913">
      <c r="A913" s="16"/>
      <c r="B913" s="16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100"/>
      <c r="AH913" s="16"/>
      <c r="AI913" s="16"/>
      <c r="AJ913" s="16"/>
      <c r="AK913" s="16"/>
    </row>
    <row r="914">
      <c r="A914" s="16"/>
      <c r="B914" s="16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100"/>
      <c r="AH914" s="16"/>
      <c r="AI914" s="16"/>
      <c r="AJ914" s="16"/>
      <c r="AK914" s="16"/>
    </row>
    <row r="915">
      <c r="A915" s="16"/>
      <c r="B915" s="16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100"/>
      <c r="AH915" s="16"/>
      <c r="AI915" s="16"/>
      <c r="AJ915" s="16"/>
      <c r="AK915" s="16"/>
    </row>
    <row r="916">
      <c r="A916" s="16"/>
      <c r="B916" s="16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100"/>
      <c r="AH916" s="16"/>
      <c r="AI916" s="16"/>
      <c r="AJ916" s="16"/>
      <c r="AK916" s="16"/>
    </row>
    <row r="917">
      <c r="A917" s="16"/>
      <c r="B917" s="16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100"/>
      <c r="AH917" s="16"/>
      <c r="AI917" s="16"/>
      <c r="AJ917" s="16"/>
      <c r="AK917" s="16"/>
    </row>
    <row r="918">
      <c r="A918" s="16"/>
      <c r="B918" s="16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100"/>
      <c r="AH918" s="16"/>
      <c r="AI918" s="16"/>
      <c r="AJ918" s="16"/>
      <c r="AK918" s="16"/>
    </row>
    <row r="919">
      <c r="A919" s="16"/>
      <c r="B919" s="16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100"/>
      <c r="AH919" s="16"/>
      <c r="AI919" s="16"/>
      <c r="AJ919" s="16"/>
      <c r="AK919" s="16"/>
    </row>
    <row r="920">
      <c r="A920" s="16"/>
      <c r="B920" s="16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100"/>
      <c r="AH920" s="16"/>
      <c r="AI920" s="16"/>
      <c r="AJ920" s="16"/>
      <c r="AK920" s="16"/>
    </row>
    <row r="921">
      <c r="A921" s="16"/>
      <c r="B921" s="16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100"/>
      <c r="AH921" s="16"/>
      <c r="AI921" s="16"/>
      <c r="AJ921" s="16"/>
      <c r="AK921" s="16"/>
    </row>
    <row r="922">
      <c r="A922" s="16"/>
      <c r="B922" s="16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100"/>
      <c r="AH922" s="16"/>
      <c r="AI922" s="16"/>
      <c r="AJ922" s="16"/>
      <c r="AK922" s="16"/>
    </row>
    <row r="923">
      <c r="A923" s="16"/>
      <c r="B923" s="16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100"/>
      <c r="AH923" s="16"/>
      <c r="AI923" s="16"/>
      <c r="AJ923" s="16"/>
      <c r="AK923" s="16"/>
    </row>
    <row r="924">
      <c r="A924" s="16"/>
      <c r="B924" s="16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100"/>
      <c r="AH924" s="16"/>
      <c r="AI924" s="16"/>
      <c r="AJ924" s="16"/>
      <c r="AK924" s="16"/>
    </row>
    <row r="925">
      <c r="A925" s="16"/>
      <c r="B925" s="16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100"/>
      <c r="AH925" s="16"/>
      <c r="AI925" s="16"/>
      <c r="AJ925" s="16"/>
      <c r="AK925" s="16"/>
    </row>
    <row r="926">
      <c r="A926" s="16"/>
      <c r="B926" s="16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100"/>
      <c r="AH926" s="16"/>
      <c r="AI926" s="16"/>
      <c r="AJ926" s="16"/>
      <c r="AK926" s="16"/>
    </row>
    <row r="927">
      <c r="A927" s="16"/>
      <c r="B927" s="16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  <c r="AH927" s="16"/>
      <c r="AI927" s="16"/>
      <c r="AJ927" s="16"/>
      <c r="AK927" s="16"/>
    </row>
    <row r="928">
      <c r="A928" s="16"/>
      <c r="B928" s="16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  <c r="AH928" s="16"/>
      <c r="AI928" s="16"/>
      <c r="AJ928" s="16"/>
      <c r="AK928" s="16"/>
    </row>
    <row r="929">
      <c r="A929" s="16"/>
      <c r="B929" s="16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100"/>
      <c r="AH929" s="16"/>
      <c r="AI929" s="16"/>
      <c r="AJ929" s="16"/>
      <c r="AK929" s="16"/>
    </row>
    <row r="930">
      <c r="A930" s="16"/>
      <c r="B930" s="16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100"/>
      <c r="AH930" s="16"/>
      <c r="AI930" s="16"/>
      <c r="AJ930" s="16"/>
      <c r="AK930" s="16"/>
    </row>
    <row r="931">
      <c r="A931" s="16"/>
      <c r="B931" s="16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100"/>
      <c r="AH931" s="16"/>
      <c r="AI931" s="16"/>
      <c r="AJ931" s="16"/>
      <c r="AK931" s="16"/>
    </row>
    <row r="932">
      <c r="A932" s="16"/>
      <c r="B932" s="16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100"/>
      <c r="AH932" s="16"/>
      <c r="AI932" s="16"/>
      <c r="AJ932" s="16"/>
      <c r="AK932" s="16"/>
    </row>
    <row r="933">
      <c r="A933" s="16"/>
      <c r="B933" s="16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  <c r="AG933" s="100"/>
      <c r="AH933" s="16"/>
      <c r="AI933" s="16"/>
      <c r="AJ933" s="16"/>
      <c r="AK933" s="16"/>
    </row>
    <row r="934">
      <c r="A934" s="16"/>
      <c r="B934" s="16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/>
      <c r="AH934" s="16"/>
      <c r="AI934" s="16"/>
      <c r="AJ934" s="16"/>
      <c r="AK934" s="16"/>
    </row>
    <row r="935">
      <c r="A935" s="16"/>
      <c r="B935" s="16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  <c r="AG935" s="100"/>
      <c r="AH935" s="16"/>
      <c r="AI935" s="16"/>
      <c r="AJ935" s="16"/>
      <c r="AK935" s="16"/>
    </row>
    <row r="936">
      <c r="A936" s="16"/>
      <c r="B936" s="16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  <c r="AG936" s="100"/>
      <c r="AH936" s="16"/>
      <c r="AI936" s="16"/>
      <c r="AJ936" s="16"/>
      <c r="AK936" s="16"/>
    </row>
    <row r="937">
      <c r="A937" s="16"/>
      <c r="B937" s="16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  <c r="AG937" s="100"/>
      <c r="AH937" s="16"/>
      <c r="AI937" s="16"/>
      <c r="AJ937" s="16"/>
      <c r="AK937" s="16"/>
    </row>
    <row r="938">
      <c r="A938" s="16"/>
      <c r="B938" s="16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  <c r="AG938" s="100"/>
      <c r="AH938" s="16"/>
      <c r="AI938" s="16"/>
      <c r="AJ938" s="16"/>
      <c r="AK938" s="16"/>
    </row>
    <row r="939">
      <c r="A939" s="16"/>
      <c r="B939" s="16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  <c r="AG939" s="100"/>
      <c r="AH939" s="16"/>
      <c r="AI939" s="16"/>
      <c r="AJ939" s="16"/>
      <c r="AK939" s="16"/>
    </row>
    <row r="940">
      <c r="A940" s="16"/>
      <c r="B940" s="16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  <c r="AG940" s="100"/>
      <c r="AH940" s="16"/>
      <c r="AI940" s="16"/>
      <c r="AJ940" s="16"/>
      <c r="AK940" s="16"/>
    </row>
    <row r="941">
      <c r="A941" s="16"/>
      <c r="B941" s="16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  <c r="AG941" s="100"/>
      <c r="AH941" s="16"/>
      <c r="AI941" s="16"/>
      <c r="AJ941" s="16"/>
      <c r="AK941" s="16"/>
    </row>
    <row r="942">
      <c r="A942" s="16"/>
      <c r="B942" s="16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  <c r="AG942" s="100"/>
      <c r="AH942" s="16"/>
      <c r="AI942" s="16"/>
      <c r="AJ942" s="16"/>
      <c r="AK942" s="16"/>
    </row>
    <row r="943">
      <c r="A943" s="16"/>
      <c r="B943" s="16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  <c r="AG943" s="100"/>
      <c r="AH943" s="16"/>
      <c r="AI943" s="16"/>
      <c r="AJ943" s="16"/>
      <c r="AK943" s="16"/>
    </row>
    <row r="944">
      <c r="A944" s="16"/>
      <c r="B944" s="16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  <c r="AG944" s="100"/>
      <c r="AH944" s="16"/>
      <c r="AI944" s="16"/>
      <c r="AJ944" s="16"/>
      <c r="AK944" s="16"/>
    </row>
    <row r="945">
      <c r="A945" s="16"/>
      <c r="B945" s="16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  <c r="AE945" s="100"/>
      <c r="AF945" s="100"/>
      <c r="AG945" s="100"/>
      <c r="AH945" s="16"/>
      <c r="AI945" s="16"/>
      <c r="AJ945" s="16"/>
      <c r="AK945" s="16"/>
    </row>
    <row r="946">
      <c r="A946" s="16"/>
      <c r="B946" s="16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  <c r="AE946" s="100"/>
      <c r="AF946" s="100"/>
      <c r="AG946" s="100"/>
      <c r="AH946" s="16"/>
      <c r="AI946" s="16"/>
      <c r="AJ946" s="16"/>
      <c r="AK946" s="16"/>
    </row>
    <row r="947">
      <c r="A947" s="16"/>
      <c r="B947" s="16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  <c r="AE947" s="100"/>
      <c r="AF947" s="100"/>
      <c r="AG947" s="100"/>
      <c r="AH947" s="16"/>
      <c r="AI947" s="16"/>
      <c r="AJ947" s="16"/>
      <c r="AK947" s="16"/>
    </row>
    <row r="948">
      <c r="A948" s="16"/>
      <c r="B948" s="16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  <c r="AE948" s="100"/>
      <c r="AF948" s="100"/>
      <c r="AG948" s="100"/>
      <c r="AH948" s="16"/>
      <c r="AI948" s="16"/>
      <c r="AJ948" s="16"/>
      <c r="AK948" s="16"/>
    </row>
    <row r="949">
      <c r="A949" s="16"/>
      <c r="B949" s="16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  <c r="AE949" s="100"/>
      <c r="AF949" s="100"/>
      <c r="AG949" s="100"/>
      <c r="AH949" s="16"/>
      <c r="AI949" s="16"/>
      <c r="AJ949" s="16"/>
      <c r="AK949" s="16"/>
    </row>
    <row r="950">
      <c r="A950" s="16"/>
      <c r="B950" s="16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  <c r="AE950" s="100"/>
      <c r="AF950" s="100"/>
      <c r="AG950" s="100"/>
      <c r="AH950" s="16"/>
      <c r="AI950" s="16"/>
      <c r="AJ950" s="16"/>
      <c r="AK950" s="16"/>
    </row>
    <row r="951">
      <c r="A951" s="16"/>
      <c r="B951" s="16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  <c r="AE951" s="100"/>
      <c r="AF951" s="100"/>
      <c r="AG951" s="100"/>
      <c r="AH951" s="16"/>
      <c r="AI951" s="16"/>
      <c r="AJ951" s="16"/>
      <c r="AK951" s="16"/>
    </row>
    <row r="952">
      <c r="A952" s="16"/>
      <c r="B952" s="16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  <c r="AE952" s="100"/>
      <c r="AF952" s="100"/>
      <c r="AG952" s="100"/>
      <c r="AH952" s="16"/>
      <c r="AI952" s="16"/>
      <c r="AJ952" s="16"/>
      <c r="AK952" s="16"/>
    </row>
    <row r="953">
      <c r="A953" s="16"/>
      <c r="B953" s="16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  <c r="AE953" s="100"/>
      <c r="AF953" s="100"/>
      <c r="AG953" s="100"/>
      <c r="AH953" s="16"/>
      <c r="AI953" s="16"/>
      <c r="AJ953" s="16"/>
      <c r="AK953" s="16"/>
    </row>
    <row r="954">
      <c r="A954" s="16"/>
      <c r="B954" s="16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  <c r="AE954" s="100"/>
      <c r="AF954" s="100"/>
      <c r="AG954" s="100"/>
      <c r="AH954" s="16"/>
      <c r="AI954" s="16"/>
      <c r="AJ954" s="16"/>
      <c r="AK954" s="16"/>
    </row>
    <row r="955">
      <c r="A955" s="16"/>
      <c r="B955" s="16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  <c r="AE955" s="100"/>
      <c r="AF955" s="100"/>
      <c r="AG955" s="100"/>
      <c r="AH955" s="16"/>
      <c r="AI955" s="16"/>
      <c r="AJ955" s="16"/>
      <c r="AK955" s="16"/>
    </row>
    <row r="956">
      <c r="A956" s="16"/>
      <c r="B956" s="16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  <c r="AE956" s="100"/>
      <c r="AF956" s="100"/>
      <c r="AG956" s="100"/>
      <c r="AH956" s="16"/>
      <c r="AI956" s="16"/>
      <c r="AJ956" s="16"/>
      <c r="AK956" s="16"/>
    </row>
    <row r="957">
      <c r="A957" s="16"/>
      <c r="B957" s="16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  <c r="AE957" s="100"/>
      <c r="AF957" s="100"/>
      <c r="AG957" s="100"/>
      <c r="AH957" s="16"/>
      <c r="AI957" s="16"/>
      <c r="AJ957" s="16"/>
      <c r="AK957" s="16"/>
    </row>
    <row r="958">
      <c r="A958" s="16"/>
      <c r="B958" s="16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  <c r="AE958" s="100"/>
      <c r="AF958" s="100"/>
      <c r="AG958" s="100"/>
      <c r="AH958" s="16"/>
      <c r="AI958" s="16"/>
      <c r="AJ958" s="16"/>
      <c r="AK958" s="16"/>
    </row>
    <row r="959">
      <c r="A959" s="16"/>
      <c r="B959" s="16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  <c r="AE959" s="100"/>
      <c r="AF959" s="100"/>
      <c r="AG959" s="100"/>
      <c r="AH959" s="16"/>
      <c r="AI959" s="16"/>
      <c r="AJ959" s="16"/>
      <c r="AK959" s="16"/>
    </row>
    <row r="960">
      <c r="A960" s="16"/>
      <c r="B960" s="16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  <c r="AE960" s="100"/>
      <c r="AF960" s="100"/>
      <c r="AG960" s="100"/>
      <c r="AH960" s="16"/>
      <c r="AI960" s="16"/>
      <c r="AJ960" s="16"/>
      <c r="AK960" s="16"/>
    </row>
    <row r="961">
      <c r="A961" s="16"/>
      <c r="B961" s="16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  <c r="AE961" s="100"/>
      <c r="AF961" s="100"/>
      <c r="AG961" s="100"/>
      <c r="AH961" s="16"/>
      <c r="AI961" s="16"/>
      <c r="AJ961" s="16"/>
      <c r="AK961" s="16"/>
    </row>
    <row r="962">
      <c r="A962" s="16"/>
      <c r="B962" s="16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  <c r="AE962" s="100"/>
      <c r="AF962" s="100"/>
      <c r="AG962" s="100"/>
      <c r="AH962" s="16"/>
      <c r="AI962" s="16"/>
      <c r="AJ962" s="16"/>
      <c r="AK962" s="16"/>
    </row>
    <row r="963">
      <c r="A963" s="16"/>
      <c r="B963" s="16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  <c r="AE963" s="100"/>
      <c r="AF963" s="100"/>
      <c r="AG963" s="100"/>
      <c r="AH963" s="16"/>
      <c r="AI963" s="16"/>
      <c r="AJ963" s="16"/>
      <c r="AK963" s="16"/>
    </row>
    <row r="964">
      <c r="A964" s="16"/>
      <c r="B964" s="16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  <c r="AE964" s="100"/>
      <c r="AF964" s="100"/>
      <c r="AG964" s="100"/>
      <c r="AH964" s="16"/>
      <c r="AI964" s="16"/>
      <c r="AJ964" s="16"/>
      <c r="AK964" s="16"/>
    </row>
    <row r="965">
      <c r="A965" s="16"/>
      <c r="B965" s="16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  <c r="AE965" s="100"/>
      <c r="AF965" s="100"/>
      <c r="AG965" s="100"/>
      <c r="AH965" s="16"/>
      <c r="AI965" s="16"/>
      <c r="AJ965" s="16"/>
      <c r="AK965" s="16"/>
    </row>
    <row r="966">
      <c r="A966" s="16"/>
      <c r="B966" s="16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  <c r="AE966" s="100"/>
      <c r="AF966" s="100"/>
      <c r="AG966" s="100"/>
      <c r="AH966" s="16"/>
      <c r="AI966" s="16"/>
      <c r="AJ966" s="16"/>
      <c r="AK966" s="16"/>
    </row>
    <row r="967">
      <c r="A967" s="16"/>
      <c r="B967" s="16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  <c r="AE967" s="100"/>
      <c r="AF967" s="100"/>
      <c r="AG967" s="100"/>
      <c r="AH967" s="16"/>
      <c r="AI967" s="16"/>
      <c r="AJ967" s="16"/>
      <c r="AK967" s="16"/>
    </row>
    <row r="968">
      <c r="A968" s="16"/>
      <c r="B968" s="16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  <c r="AE968" s="100"/>
      <c r="AF968" s="100"/>
      <c r="AG968" s="100"/>
      <c r="AH968" s="16"/>
      <c r="AI968" s="16"/>
      <c r="AJ968" s="16"/>
      <c r="AK968" s="16"/>
    </row>
    <row r="969">
      <c r="A969" s="16"/>
      <c r="B969" s="16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  <c r="AE969" s="100"/>
      <c r="AF969" s="100"/>
      <c r="AG969" s="100"/>
      <c r="AH969" s="16"/>
      <c r="AI969" s="16"/>
      <c r="AJ969" s="16"/>
      <c r="AK969" s="16"/>
    </row>
    <row r="970">
      <c r="A970" s="16"/>
      <c r="B970" s="16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  <c r="AE970" s="100"/>
      <c r="AF970" s="100"/>
      <c r="AG970" s="100"/>
      <c r="AH970" s="16"/>
      <c r="AI970" s="16"/>
      <c r="AJ970" s="16"/>
      <c r="AK970" s="16"/>
    </row>
    <row r="971">
      <c r="A971" s="16"/>
      <c r="B971" s="16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  <c r="AE971" s="100"/>
      <c r="AF971" s="100"/>
      <c r="AG971" s="100"/>
      <c r="AH971" s="16"/>
      <c r="AI971" s="16"/>
      <c r="AJ971" s="16"/>
      <c r="AK971" s="16"/>
    </row>
    <row r="972">
      <c r="A972" s="16"/>
      <c r="B972" s="16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  <c r="AE972" s="100"/>
      <c r="AF972" s="100"/>
      <c r="AG972" s="100"/>
      <c r="AH972" s="16"/>
      <c r="AI972" s="16"/>
      <c r="AJ972" s="16"/>
      <c r="AK972" s="16"/>
    </row>
    <row r="973">
      <c r="A973" s="16"/>
      <c r="B973" s="16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  <c r="AE973" s="100"/>
      <c r="AF973" s="100"/>
      <c r="AG973" s="100"/>
      <c r="AH973" s="16"/>
      <c r="AI973" s="16"/>
      <c r="AJ973" s="16"/>
      <c r="AK973" s="16"/>
    </row>
    <row r="974">
      <c r="A974" s="16"/>
      <c r="B974" s="16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  <c r="AE974" s="100"/>
      <c r="AF974" s="100"/>
      <c r="AG974" s="100"/>
      <c r="AH974" s="16"/>
      <c r="AI974" s="16"/>
      <c r="AJ974" s="16"/>
      <c r="AK974" s="16"/>
    </row>
    <row r="975">
      <c r="A975" s="16"/>
      <c r="B975" s="16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  <c r="AE975" s="100"/>
      <c r="AF975" s="100"/>
      <c r="AG975" s="100"/>
      <c r="AH975" s="16"/>
      <c r="AI975" s="16"/>
      <c r="AJ975" s="16"/>
      <c r="AK975" s="16"/>
    </row>
    <row r="976">
      <c r="A976" s="16"/>
      <c r="B976" s="16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  <c r="AE976" s="100"/>
      <c r="AF976" s="100"/>
      <c r="AG976" s="100"/>
      <c r="AH976" s="16"/>
      <c r="AI976" s="16"/>
      <c r="AJ976" s="16"/>
      <c r="AK976" s="16"/>
    </row>
    <row r="977">
      <c r="A977" s="16"/>
      <c r="B977" s="16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  <c r="AE977" s="100"/>
      <c r="AF977" s="100"/>
      <c r="AG977" s="100"/>
      <c r="AH977" s="16"/>
      <c r="AI977" s="16"/>
      <c r="AJ977" s="16"/>
      <c r="AK977" s="16"/>
    </row>
    <row r="978">
      <c r="A978" s="16"/>
      <c r="B978" s="16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  <c r="AE978" s="100"/>
      <c r="AF978" s="100"/>
      <c r="AG978" s="100"/>
      <c r="AH978" s="16"/>
      <c r="AI978" s="16"/>
      <c r="AJ978" s="16"/>
      <c r="AK978" s="16"/>
    </row>
    <row r="979">
      <c r="A979" s="16"/>
      <c r="B979" s="16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  <c r="AE979" s="100"/>
      <c r="AF979" s="100"/>
      <c r="AG979" s="100"/>
      <c r="AH979" s="16"/>
      <c r="AI979" s="16"/>
      <c r="AJ979" s="16"/>
      <c r="AK979" s="16"/>
    </row>
    <row r="980">
      <c r="A980" s="16"/>
      <c r="B980" s="16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  <c r="AE980" s="100"/>
      <c r="AF980" s="100"/>
      <c r="AG980" s="100"/>
      <c r="AH980" s="16"/>
      <c r="AI980" s="16"/>
      <c r="AJ980" s="16"/>
      <c r="AK980" s="16"/>
    </row>
    <row r="981">
      <c r="A981" s="16"/>
      <c r="B981" s="16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  <c r="AE981" s="100"/>
      <c r="AF981" s="100"/>
      <c r="AG981" s="100"/>
      <c r="AH981" s="16"/>
      <c r="AI981" s="16"/>
      <c r="AJ981" s="16"/>
      <c r="AK981" s="16"/>
    </row>
    <row r="982">
      <c r="A982" s="16"/>
      <c r="B982" s="16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  <c r="AE982" s="100"/>
      <c r="AF982" s="100"/>
      <c r="AG982" s="100"/>
      <c r="AH982" s="16"/>
      <c r="AI982" s="16"/>
      <c r="AJ982" s="16"/>
      <c r="AK982" s="16"/>
    </row>
    <row r="983">
      <c r="A983" s="16"/>
      <c r="B983" s="16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  <c r="AE983" s="100"/>
      <c r="AF983" s="100"/>
      <c r="AG983" s="100"/>
      <c r="AH983" s="16"/>
      <c r="AI983" s="16"/>
      <c r="AJ983" s="16"/>
      <c r="AK983" s="16"/>
    </row>
    <row r="984">
      <c r="A984" s="16"/>
      <c r="B984" s="16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  <c r="AE984" s="100"/>
      <c r="AF984" s="100"/>
      <c r="AG984" s="100"/>
      <c r="AH984" s="16"/>
      <c r="AI984" s="16"/>
      <c r="AJ984" s="16"/>
      <c r="AK984" s="16"/>
    </row>
    <row r="985">
      <c r="A985" s="16"/>
      <c r="B985" s="16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  <c r="AD985" s="100"/>
      <c r="AE985" s="100"/>
      <c r="AF985" s="100"/>
      <c r="AG985" s="100"/>
      <c r="AH985" s="16"/>
      <c r="AI985" s="16"/>
      <c r="AJ985" s="16"/>
      <c r="AK985" s="16"/>
    </row>
    <row r="986">
      <c r="A986" s="16"/>
      <c r="B986" s="16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  <c r="AD986" s="100"/>
      <c r="AE986" s="100"/>
      <c r="AF986" s="100"/>
      <c r="AG986" s="100"/>
      <c r="AH986" s="16"/>
      <c r="AI986" s="16"/>
      <c r="AJ986" s="16"/>
      <c r="AK986" s="16"/>
    </row>
    <row r="987">
      <c r="A987" s="16"/>
      <c r="B987" s="16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  <c r="AD987" s="100"/>
      <c r="AE987" s="100"/>
      <c r="AF987" s="100"/>
      <c r="AG987" s="100"/>
      <c r="AH987" s="16"/>
      <c r="AI987" s="16"/>
      <c r="AJ987" s="16"/>
      <c r="AK987" s="16"/>
    </row>
    <row r="988">
      <c r="A988" s="16"/>
      <c r="B988" s="16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  <c r="AD988" s="100"/>
      <c r="AE988" s="100"/>
      <c r="AF988" s="100"/>
      <c r="AG988" s="100"/>
      <c r="AH988" s="16"/>
      <c r="AI988" s="16"/>
      <c r="AJ988" s="16"/>
      <c r="AK988" s="16"/>
    </row>
    <row r="989">
      <c r="A989" s="16"/>
      <c r="B989" s="16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  <c r="AD989" s="100"/>
      <c r="AE989" s="100"/>
      <c r="AF989" s="100"/>
      <c r="AG989" s="100"/>
      <c r="AH989" s="16"/>
      <c r="AI989" s="16"/>
      <c r="AJ989" s="16"/>
      <c r="AK989" s="16"/>
    </row>
    <row r="990">
      <c r="A990" s="16"/>
      <c r="B990" s="16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  <c r="AD990" s="100"/>
      <c r="AE990" s="100"/>
      <c r="AF990" s="100"/>
      <c r="AG990" s="100"/>
      <c r="AH990" s="16"/>
      <c r="AI990" s="16"/>
      <c r="AJ990" s="16"/>
      <c r="AK990" s="16"/>
    </row>
    <row r="991">
      <c r="A991" s="16"/>
      <c r="B991" s="16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  <c r="AD991" s="100"/>
      <c r="AE991" s="100"/>
      <c r="AF991" s="100"/>
      <c r="AG991" s="100"/>
      <c r="AH991" s="16"/>
      <c r="AI991" s="16"/>
      <c r="AJ991" s="16"/>
      <c r="AK991" s="16"/>
    </row>
    <row r="992">
      <c r="A992" s="16"/>
      <c r="B992" s="16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  <c r="AD992" s="100"/>
      <c r="AE992" s="100"/>
      <c r="AF992" s="100"/>
      <c r="AG992" s="100"/>
      <c r="AH992" s="16"/>
      <c r="AI992" s="16"/>
      <c r="AJ992" s="16"/>
      <c r="AK992" s="16"/>
    </row>
    <row r="993">
      <c r="A993" s="16"/>
      <c r="B993" s="16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  <c r="AE993" s="100"/>
      <c r="AF993" s="100"/>
      <c r="AG993" s="100"/>
      <c r="AH993" s="16"/>
      <c r="AI993" s="16"/>
      <c r="AJ993" s="16"/>
      <c r="AK993" s="16"/>
    </row>
    <row r="994">
      <c r="A994" s="16"/>
      <c r="B994" s="16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  <c r="AD994" s="100"/>
      <c r="AE994" s="100"/>
      <c r="AF994" s="100"/>
      <c r="AG994" s="100"/>
      <c r="AH994" s="16"/>
      <c r="AI994" s="16"/>
      <c r="AJ994" s="16"/>
      <c r="AK994" s="16"/>
    </row>
    <row r="995">
      <c r="A995" s="16"/>
      <c r="B995" s="16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  <c r="AD995" s="100"/>
      <c r="AE995" s="100"/>
      <c r="AF995" s="100"/>
      <c r="AG995" s="100"/>
      <c r="AH995" s="16"/>
      <c r="AI995" s="16"/>
      <c r="AJ995" s="16"/>
      <c r="AK995" s="16"/>
    </row>
    <row r="996">
      <c r="A996" s="16"/>
      <c r="B996" s="16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  <c r="AD996" s="100"/>
      <c r="AE996" s="100"/>
      <c r="AF996" s="100"/>
      <c r="AG996" s="100"/>
      <c r="AH996" s="16"/>
      <c r="AI996" s="16"/>
      <c r="AJ996" s="16"/>
      <c r="AK996" s="16"/>
    </row>
    <row r="997">
      <c r="A997" s="16"/>
      <c r="B997" s="16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  <c r="AD997" s="100"/>
      <c r="AE997" s="100"/>
      <c r="AF997" s="100"/>
      <c r="AG997" s="100"/>
      <c r="AH997" s="16"/>
      <c r="AI997" s="16"/>
      <c r="AJ997" s="16"/>
      <c r="AK997" s="16"/>
    </row>
    <row r="998">
      <c r="A998" s="16"/>
      <c r="B998" s="16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  <c r="AD998" s="100"/>
      <c r="AE998" s="100"/>
      <c r="AF998" s="100"/>
      <c r="AG998" s="100"/>
      <c r="AH998" s="16"/>
      <c r="AI998" s="16"/>
      <c r="AJ998" s="16"/>
      <c r="AK998" s="16"/>
    </row>
    <row r="999">
      <c r="A999" s="16"/>
      <c r="B999" s="16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  <c r="AD999" s="100"/>
      <c r="AE999" s="100"/>
      <c r="AF999" s="100"/>
      <c r="AG999" s="100"/>
      <c r="AH999" s="16"/>
      <c r="AI999" s="16"/>
      <c r="AJ999" s="16"/>
      <c r="AK999" s="16"/>
    </row>
    <row r="1000">
      <c r="A1000" s="16"/>
      <c r="B1000" s="16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  <c r="AD1000" s="100"/>
      <c r="AE1000" s="100"/>
      <c r="AF1000" s="100"/>
      <c r="AG1000" s="100"/>
      <c r="AH1000" s="16"/>
      <c r="AI1000" s="16"/>
      <c r="AJ1000" s="16"/>
      <c r="AK1000" s="1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2.63"/>
    <col customWidth="1" min="3" max="4" width="2.63"/>
    <col customWidth="1" min="5" max="5" width="30.13"/>
    <col customWidth="1" min="7" max="7" width="17.63"/>
    <col customWidth="1" min="8" max="9" width="2.63"/>
    <col customWidth="1" min="11" max="12" width="2.63"/>
    <col customWidth="1" min="13" max="13" width="22.63"/>
    <col customWidth="1" min="14" max="15" width="2.63"/>
    <col customWidth="1" min="16" max="16" width="12.63"/>
    <col customWidth="1" min="17" max="18" width="2.63"/>
    <col customWidth="1" min="19" max="19" width="12.63"/>
    <col customWidth="1" min="20" max="20" width="2.63"/>
  </cols>
  <sheetData>
    <row r="1">
      <c r="A1" s="111"/>
      <c r="B1" s="112" t="s">
        <v>3</v>
      </c>
      <c r="C1" s="111"/>
      <c r="D1" s="111"/>
      <c r="E1" s="112" t="s">
        <v>10</v>
      </c>
      <c r="F1" s="113" t="s">
        <v>16</v>
      </c>
      <c r="G1" s="113" t="s">
        <v>67</v>
      </c>
      <c r="H1" s="111"/>
      <c r="I1" s="111"/>
      <c r="J1" s="112" t="s">
        <v>66</v>
      </c>
      <c r="K1" s="111"/>
      <c r="L1" s="111"/>
      <c r="M1" s="112" t="s">
        <v>18</v>
      </c>
      <c r="N1" s="111"/>
      <c r="O1" s="111"/>
      <c r="P1" s="114" t="s">
        <v>7</v>
      </c>
      <c r="Q1" s="111"/>
      <c r="R1" s="111"/>
      <c r="S1" s="114" t="s">
        <v>8</v>
      </c>
      <c r="T1" s="111"/>
    </row>
    <row r="2">
      <c r="A2" s="2"/>
      <c r="B2" s="115" t="s">
        <v>39</v>
      </c>
      <c r="C2" s="2"/>
      <c r="D2" s="2"/>
      <c r="E2" s="116" t="s">
        <v>56</v>
      </c>
      <c r="F2" s="117">
        <v>650000.0</v>
      </c>
      <c r="G2" s="8" t="s">
        <v>51</v>
      </c>
      <c r="H2" s="2"/>
      <c r="I2" s="2"/>
      <c r="J2" s="116" t="s">
        <v>31</v>
      </c>
      <c r="K2" s="2"/>
      <c r="L2" s="2"/>
      <c r="M2" s="116" t="s">
        <v>32</v>
      </c>
      <c r="N2" s="2"/>
      <c r="O2" s="2"/>
      <c r="P2" s="115" t="s">
        <v>195</v>
      </c>
      <c r="Q2" s="2"/>
      <c r="R2" s="2"/>
      <c r="S2" s="115" t="s">
        <v>166</v>
      </c>
      <c r="T2" s="2"/>
    </row>
    <row r="3">
      <c r="A3" s="2"/>
      <c r="B3" s="116" t="s">
        <v>272</v>
      </c>
      <c r="C3" s="2"/>
      <c r="D3" s="2"/>
      <c r="E3" s="116" t="s">
        <v>92</v>
      </c>
      <c r="F3" s="117">
        <v>1200000.0</v>
      </c>
      <c r="G3" s="8" t="s">
        <v>51</v>
      </c>
      <c r="H3" s="2"/>
      <c r="I3" s="2"/>
      <c r="J3" s="116" t="s">
        <v>60</v>
      </c>
      <c r="K3" s="2"/>
      <c r="L3" s="2"/>
      <c r="M3" s="116" t="s">
        <v>37</v>
      </c>
      <c r="N3" s="2"/>
      <c r="O3" s="2"/>
      <c r="P3" s="115" t="s">
        <v>25</v>
      </c>
      <c r="Q3" s="2"/>
      <c r="R3" s="2"/>
      <c r="S3" s="115" t="s">
        <v>156</v>
      </c>
      <c r="T3" s="2"/>
    </row>
    <row r="4">
      <c r="A4" s="2"/>
      <c r="B4" s="116" t="s">
        <v>22</v>
      </c>
      <c r="C4" s="2"/>
      <c r="D4" s="2"/>
      <c r="E4" s="116" t="s">
        <v>347</v>
      </c>
      <c r="F4" s="117">
        <v>1300000.0</v>
      </c>
      <c r="G4" s="8" t="s">
        <v>51</v>
      </c>
      <c r="H4" s="2"/>
      <c r="I4" s="2"/>
      <c r="J4" s="116" t="s">
        <v>81</v>
      </c>
      <c r="K4" s="2"/>
      <c r="L4" s="2"/>
      <c r="M4" s="116" t="s">
        <v>118</v>
      </c>
      <c r="N4" s="2"/>
      <c r="O4" s="2"/>
      <c r="P4" s="115" t="s">
        <v>206</v>
      </c>
      <c r="Q4" s="2"/>
      <c r="R4" s="2"/>
      <c r="S4" s="115" t="s">
        <v>348</v>
      </c>
      <c r="T4" s="2"/>
    </row>
    <row r="5">
      <c r="A5" s="2"/>
      <c r="B5" s="116" t="s">
        <v>79</v>
      </c>
      <c r="C5" s="2"/>
      <c r="D5" s="2"/>
      <c r="E5" s="116" t="s">
        <v>349</v>
      </c>
      <c r="F5" s="117">
        <v>2400000.0</v>
      </c>
      <c r="G5" s="8" t="s">
        <v>51</v>
      </c>
      <c r="H5" s="2"/>
      <c r="I5" s="2"/>
      <c r="J5" s="116" t="s">
        <v>164</v>
      </c>
      <c r="K5" s="2"/>
      <c r="L5" s="2"/>
      <c r="M5" s="116" t="s">
        <v>93</v>
      </c>
      <c r="N5" s="2"/>
      <c r="O5" s="2"/>
      <c r="P5" s="115" t="s">
        <v>241</v>
      </c>
      <c r="Q5" s="2"/>
      <c r="R5" s="2"/>
      <c r="S5" s="115" t="s">
        <v>150</v>
      </c>
      <c r="T5" s="2"/>
    </row>
    <row r="6">
      <c r="A6" s="2"/>
      <c r="B6" s="116" t="s">
        <v>69</v>
      </c>
      <c r="C6" s="2"/>
      <c r="D6" s="2"/>
      <c r="E6" s="118" t="s">
        <v>119</v>
      </c>
      <c r="F6" s="117">
        <v>750000.0</v>
      </c>
      <c r="G6" s="8" t="s">
        <v>51</v>
      </c>
      <c r="H6" s="2"/>
      <c r="I6" s="2"/>
      <c r="J6" s="8"/>
      <c r="K6" s="2"/>
      <c r="L6" s="2"/>
      <c r="M6" s="8"/>
      <c r="N6" s="2"/>
      <c r="O6" s="2"/>
      <c r="P6" s="115" t="s">
        <v>161</v>
      </c>
      <c r="Q6" s="2"/>
      <c r="R6" s="2"/>
      <c r="S6" s="115" t="s">
        <v>103</v>
      </c>
      <c r="T6" s="2"/>
    </row>
    <row r="7">
      <c r="A7" s="2"/>
      <c r="B7" s="8"/>
      <c r="C7" s="2"/>
      <c r="D7" s="2"/>
      <c r="E7" s="116" t="s">
        <v>180</v>
      </c>
      <c r="F7" s="117">
        <v>150000.0</v>
      </c>
      <c r="G7" s="8" t="s">
        <v>52</v>
      </c>
      <c r="H7" s="2"/>
      <c r="I7" s="2"/>
      <c r="J7" s="8"/>
      <c r="K7" s="2"/>
      <c r="L7" s="2"/>
      <c r="M7" s="8"/>
      <c r="N7" s="2"/>
      <c r="O7" s="2"/>
      <c r="P7" s="115" t="s">
        <v>35</v>
      </c>
      <c r="Q7" s="2"/>
      <c r="R7" s="2"/>
      <c r="S7" s="115" t="s">
        <v>96</v>
      </c>
      <c r="T7" s="2"/>
    </row>
    <row r="8">
      <c r="A8" s="2"/>
      <c r="B8" s="8"/>
      <c r="C8" s="2"/>
      <c r="D8" s="2"/>
      <c r="E8" s="116" t="s">
        <v>120</v>
      </c>
      <c r="F8" s="117">
        <v>180000.0</v>
      </c>
      <c r="G8" s="8" t="s">
        <v>52</v>
      </c>
      <c r="H8" s="2"/>
      <c r="I8" s="2"/>
      <c r="J8" s="8"/>
      <c r="K8" s="2"/>
      <c r="L8" s="2"/>
      <c r="M8" s="8"/>
      <c r="N8" s="2"/>
      <c r="O8" s="2"/>
      <c r="P8" s="115" t="s">
        <v>40</v>
      </c>
      <c r="Q8" s="2"/>
      <c r="R8" s="2"/>
      <c r="S8" s="115" t="s">
        <v>149</v>
      </c>
      <c r="T8" s="2"/>
    </row>
    <row r="9">
      <c r="A9" s="2"/>
      <c r="B9" s="8"/>
      <c r="C9" s="2"/>
      <c r="D9" s="2"/>
      <c r="E9" s="116" t="s">
        <v>28</v>
      </c>
      <c r="F9" s="117">
        <v>250000.0</v>
      </c>
      <c r="G9" s="8" t="s">
        <v>29</v>
      </c>
      <c r="H9" s="2"/>
      <c r="I9" s="2"/>
      <c r="J9" s="8"/>
      <c r="K9" s="2"/>
      <c r="L9" s="2"/>
      <c r="M9" s="8"/>
      <c r="N9" s="2"/>
      <c r="O9" s="2"/>
      <c r="P9" s="115" t="s">
        <v>43</v>
      </c>
      <c r="Q9" s="2"/>
      <c r="R9" s="2"/>
      <c r="S9" s="115" t="s">
        <v>351</v>
      </c>
      <c r="T9" s="2"/>
    </row>
    <row r="10">
      <c r="A10" s="2"/>
      <c r="B10" s="8"/>
      <c r="C10" s="2"/>
      <c r="D10" s="2"/>
      <c r="E10" s="116" t="s">
        <v>352</v>
      </c>
      <c r="F10" s="117">
        <v>0.0</v>
      </c>
      <c r="G10" s="8" t="s">
        <v>57</v>
      </c>
      <c r="H10" s="2"/>
      <c r="I10" s="2"/>
      <c r="J10" s="8"/>
      <c r="K10" s="2"/>
      <c r="L10" s="2"/>
      <c r="M10" s="8"/>
      <c r="N10" s="2"/>
      <c r="O10" s="2"/>
      <c r="P10" s="115" t="s">
        <v>173</v>
      </c>
      <c r="Q10" s="2"/>
      <c r="R10" s="2"/>
      <c r="S10" s="115" t="s">
        <v>47</v>
      </c>
      <c r="T10" s="2"/>
    </row>
    <row r="11">
      <c r="A11" s="2"/>
      <c r="B11" s="8"/>
      <c r="C11" s="2"/>
      <c r="D11" s="2"/>
      <c r="E11" s="116" t="s">
        <v>353</v>
      </c>
      <c r="F11" s="117">
        <v>25000.0</v>
      </c>
      <c r="G11" s="8" t="s">
        <v>57</v>
      </c>
      <c r="H11" s="2"/>
      <c r="I11" s="2"/>
      <c r="J11" s="8"/>
      <c r="K11" s="2"/>
      <c r="L11" s="2"/>
      <c r="M11" s="8"/>
      <c r="N11" s="2"/>
      <c r="O11" s="2"/>
      <c r="P11" s="115" t="s">
        <v>46</v>
      </c>
      <c r="Q11" s="2"/>
      <c r="R11" s="2"/>
      <c r="S11" s="115" t="s">
        <v>162</v>
      </c>
      <c r="T11" s="2"/>
    </row>
    <row r="12">
      <c r="A12" s="2"/>
      <c r="B12" s="8"/>
      <c r="C12" s="2"/>
      <c r="D12" s="2"/>
      <c r="E12" s="116" t="s">
        <v>354</v>
      </c>
      <c r="F12" s="117">
        <v>20000.0</v>
      </c>
      <c r="G12" s="8" t="s">
        <v>57</v>
      </c>
      <c r="H12" s="2"/>
      <c r="I12" s="2"/>
      <c r="J12" s="8"/>
      <c r="K12" s="2"/>
      <c r="L12" s="2"/>
      <c r="M12" s="8"/>
      <c r="N12" s="2"/>
      <c r="O12" s="2"/>
      <c r="P12" s="115" t="s">
        <v>155</v>
      </c>
      <c r="Q12" s="2"/>
      <c r="R12" s="2"/>
      <c r="S12" s="115" t="s">
        <v>26</v>
      </c>
      <c r="T12" s="2"/>
    </row>
    <row r="13">
      <c r="A13" s="2"/>
      <c r="B13" s="8"/>
      <c r="C13" s="2"/>
      <c r="D13" s="2"/>
      <c r="E13" s="116" t="s">
        <v>355</v>
      </c>
      <c r="F13" s="117">
        <v>50000.0</v>
      </c>
      <c r="G13" s="8" t="s">
        <v>57</v>
      </c>
      <c r="H13" s="2"/>
      <c r="I13" s="2"/>
      <c r="J13" s="8"/>
      <c r="K13" s="2"/>
      <c r="L13" s="2"/>
      <c r="M13" s="8"/>
      <c r="N13" s="2"/>
      <c r="O13" s="2"/>
      <c r="P13" s="115" t="s">
        <v>190</v>
      </c>
      <c r="Q13" s="2"/>
      <c r="R13" s="2"/>
      <c r="S13" s="115" t="s">
        <v>41</v>
      </c>
      <c r="T13" s="2"/>
    </row>
    <row r="14">
      <c r="A14" s="2"/>
      <c r="B14" s="8"/>
      <c r="C14" s="2"/>
      <c r="D14" s="2"/>
      <c r="E14" s="116" t="s">
        <v>356</v>
      </c>
      <c r="F14" s="117">
        <v>45000.0</v>
      </c>
      <c r="G14" s="8" t="s">
        <v>57</v>
      </c>
      <c r="H14" s="2"/>
      <c r="I14" s="2"/>
      <c r="J14" s="8"/>
      <c r="K14" s="2"/>
      <c r="L14" s="2"/>
      <c r="M14" s="8"/>
      <c r="N14" s="2"/>
      <c r="O14" s="2"/>
      <c r="P14" s="115" t="s">
        <v>69</v>
      </c>
      <c r="Q14" s="2"/>
      <c r="R14" s="2"/>
      <c r="S14" s="115" t="s">
        <v>76</v>
      </c>
      <c r="T14" s="2"/>
    </row>
    <row r="15">
      <c r="A15" s="2"/>
      <c r="B15" s="8"/>
      <c r="C15" s="2"/>
      <c r="D15" s="2"/>
      <c r="E15" s="116" t="s">
        <v>358</v>
      </c>
      <c r="F15" s="117">
        <v>40000.0</v>
      </c>
      <c r="G15" s="8" t="s">
        <v>57</v>
      </c>
      <c r="H15" s="2"/>
      <c r="I15" s="2"/>
      <c r="J15" s="8"/>
      <c r="K15" s="2"/>
      <c r="L15" s="2"/>
      <c r="M15" s="8"/>
      <c r="N15" s="2"/>
      <c r="O15" s="2"/>
      <c r="Q15" s="2"/>
      <c r="R15" s="2"/>
      <c r="S15" s="115" t="s">
        <v>359</v>
      </c>
      <c r="T15" s="2"/>
    </row>
    <row r="16">
      <c r="A16" s="2"/>
      <c r="B16" s="8"/>
      <c r="C16" s="2"/>
      <c r="D16" s="2"/>
      <c r="E16" s="116" t="s">
        <v>360</v>
      </c>
      <c r="F16" s="117">
        <v>25000.0</v>
      </c>
      <c r="G16" s="8" t="s">
        <v>57</v>
      </c>
      <c r="H16" s="2"/>
      <c r="I16" s="2"/>
      <c r="J16" s="8"/>
      <c r="K16" s="2"/>
      <c r="L16" s="2"/>
      <c r="M16" s="8"/>
      <c r="N16" s="2"/>
      <c r="O16" s="2"/>
      <c r="Q16" s="2"/>
      <c r="R16" s="2"/>
      <c r="S16" s="115" t="s">
        <v>69</v>
      </c>
      <c r="T16" s="2"/>
    </row>
    <row r="17">
      <c r="A17" s="2"/>
      <c r="B17" s="8"/>
      <c r="C17" s="2"/>
      <c r="D17" s="2"/>
      <c r="E17" s="116" t="s">
        <v>361</v>
      </c>
      <c r="F17" s="117">
        <v>35000.0</v>
      </c>
      <c r="G17" s="8" t="s">
        <v>57</v>
      </c>
      <c r="H17" s="2"/>
      <c r="I17" s="2"/>
      <c r="J17" s="8"/>
      <c r="K17" s="2"/>
      <c r="L17" s="2"/>
      <c r="M17" s="8"/>
      <c r="N17" s="2"/>
      <c r="O17" s="2"/>
      <c r="Q17" s="2"/>
      <c r="R17" s="2"/>
      <c r="T17" s="2"/>
    </row>
    <row r="18">
      <c r="A18" s="2"/>
      <c r="B18" s="8"/>
      <c r="C18" s="2"/>
      <c r="D18" s="2"/>
      <c r="E18" s="116" t="s">
        <v>362</v>
      </c>
      <c r="F18" s="117">
        <v>50000.0</v>
      </c>
      <c r="G18" s="8" t="s">
        <v>57</v>
      </c>
      <c r="H18" s="2"/>
      <c r="I18" s="2"/>
      <c r="J18" s="8"/>
      <c r="K18" s="2"/>
      <c r="L18" s="2"/>
      <c r="M18" s="8"/>
      <c r="N18" s="2"/>
      <c r="O18" s="2"/>
      <c r="Q18" s="2"/>
      <c r="R18" s="2"/>
      <c r="T18" s="2"/>
    </row>
    <row r="19">
      <c r="A19" s="2"/>
      <c r="B19" s="8"/>
      <c r="C19" s="2"/>
      <c r="D19" s="2"/>
      <c r="E19" s="116" t="s">
        <v>138</v>
      </c>
      <c r="F19" s="117">
        <v>1800000.0</v>
      </c>
      <c r="G19" s="8" t="s">
        <v>58</v>
      </c>
      <c r="H19" s="2"/>
      <c r="I19" s="2"/>
      <c r="J19" s="8"/>
      <c r="K19" s="2"/>
      <c r="L19" s="2"/>
      <c r="M19" s="8"/>
      <c r="N19" s="2"/>
      <c r="O19" s="2"/>
      <c r="Q19" s="2"/>
      <c r="R19" s="2"/>
      <c r="T19" s="2"/>
    </row>
    <row r="20">
      <c r="A20" s="2"/>
      <c r="B20" s="8"/>
      <c r="C20" s="2"/>
      <c r="D20" s="2"/>
      <c r="E20" s="116" t="s">
        <v>364</v>
      </c>
      <c r="F20" s="117">
        <v>2300000.0</v>
      </c>
      <c r="G20" s="8" t="s">
        <v>58</v>
      </c>
      <c r="H20" s="2"/>
      <c r="I20" s="2"/>
      <c r="J20" s="8"/>
      <c r="K20" s="2"/>
      <c r="L20" s="2"/>
      <c r="M20" s="8"/>
      <c r="N20" s="2"/>
      <c r="O20" s="2"/>
      <c r="Q20" s="2"/>
      <c r="R20" s="2"/>
      <c r="T20" s="2"/>
    </row>
    <row r="21">
      <c r="A21" s="2"/>
      <c r="B21" s="8"/>
      <c r="C21" s="2"/>
      <c r="D21" s="2"/>
      <c r="E21" s="116" t="s">
        <v>323</v>
      </c>
      <c r="F21" s="117">
        <v>200000.0</v>
      </c>
      <c r="G21" s="8" t="s">
        <v>59</v>
      </c>
      <c r="H21" s="2"/>
      <c r="I21" s="2"/>
      <c r="J21" s="8"/>
      <c r="K21" s="2"/>
      <c r="L21" s="2"/>
      <c r="M21" s="8"/>
      <c r="N21" s="2"/>
      <c r="O21" s="2"/>
      <c r="Q21" s="2"/>
      <c r="R21" s="2"/>
      <c r="T21" s="2"/>
    </row>
    <row r="22">
      <c r="A22" s="2"/>
      <c r="B22" s="8"/>
      <c r="C22" s="2"/>
      <c r="D22" s="2"/>
      <c r="E22" s="116" t="s">
        <v>365</v>
      </c>
      <c r="F22" s="117">
        <v>250000.0</v>
      </c>
      <c r="G22" s="8" t="s">
        <v>59</v>
      </c>
      <c r="H22" s="2"/>
      <c r="I22" s="2"/>
      <c r="J22" s="8"/>
      <c r="K22" s="2"/>
      <c r="L22" s="2"/>
      <c r="M22" s="8"/>
      <c r="N22" s="2"/>
      <c r="O22" s="2"/>
      <c r="Q22" s="2"/>
      <c r="R22" s="2"/>
      <c r="T22" s="2"/>
    </row>
    <row r="23">
      <c r="A23" s="2"/>
      <c r="B23" s="8"/>
      <c r="C23" s="2"/>
      <c r="D23" s="2"/>
      <c r="E23" s="116" t="s">
        <v>121</v>
      </c>
      <c r="F23" s="117">
        <v>300000.0</v>
      </c>
      <c r="G23" s="8" t="s">
        <v>61</v>
      </c>
      <c r="H23" s="2"/>
      <c r="I23" s="2"/>
      <c r="J23" s="8"/>
      <c r="K23" s="2"/>
      <c r="L23" s="2"/>
      <c r="M23" s="8"/>
      <c r="N23" s="2"/>
      <c r="O23" s="2"/>
      <c r="Q23" s="2"/>
      <c r="R23" s="2"/>
      <c r="T23" s="2"/>
    </row>
    <row r="24">
      <c r="A24" s="2"/>
      <c r="B24" s="8"/>
      <c r="C24" s="2"/>
      <c r="D24" s="2"/>
      <c r="E24" s="116" t="s">
        <v>291</v>
      </c>
      <c r="F24" s="117">
        <v>350000.0</v>
      </c>
      <c r="G24" s="8" t="s">
        <v>61</v>
      </c>
      <c r="H24" s="2"/>
      <c r="I24" s="2"/>
      <c r="J24" s="8"/>
      <c r="K24" s="2"/>
      <c r="L24" s="2"/>
      <c r="M24" s="8"/>
      <c r="N24" s="2"/>
      <c r="O24" s="2"/>
      <c r="Q24" s="2"/>
      <c r="R24" s="2"/>
      <c r="T24" s="2"/>
    </row>
    <row r="25">
      <c r="A25" s="2"/>
      <c r="B25" s="8"/>
      <c r="C25" s="2"/>
      <c r="D25" s="2"/>
      <c r="E25" s="116" t="s">
        <v>368</v>
      </c>
      <c r="F25" s="117">
        <v>110000.0</v>
      </c>
      <c r="G25" s="8" t="s">
        <v>369</v>
      </c>
      <c r="H25" s="2"/>
      <c r="I25" s="2"/>
      <c r="J25" s="8"/>
      <c r="K25" s="2"/>
      <c r="L25" s="2"/>
      <c r="M25" s="8"/>
      <c r="N25" s="2"/>
      <c r="O25" s="2"/>
      <c r="Q25" s="2"/>
      <c r="R25" s="2"/>
      <c r="T25" s="2"/>
    </row>
    <row r="26">
      <c r="A26" s="2"/>
      <c r="B26" s="8"/>
      <c r="C26" s="2"/>
      <c r="D26" s="2"/>
      <c r="E26" s="116" t="s">
        <v>370</v>
      </c>
      <c r="F26" s="117">
        <v>400000.0</v>
      </c>
      <c r="G26" s="8" t="s">
        <v>371</v>
      </c>
      <c r="H26" s="2"/>
      <c r="I26" s="2"/>
      <c r="J26" s="8"/>
      <c r="K26" s="2"/>
      <c r="L26" s="2"/>
      <c r="M26" s="8"/>
      <c r="N26" s="2"/>
      <c r="O26" s="2"/>
      <c r="Q26" s="2"/>
      <c r="R26" s="2"/>
      <c r="T26" s="2"/>
    </row>
    <row r="27">
      <c r="A27" s="2"/>
      <c r="B27" s="8"/>
      <c r="C27" s="2"/>
      <c r="D27" s="2"/>
      <c r="E27" s="116" t="s">
        <v>372</v>
      </c>
      <c r="F27" s="117">
        <v>720000.0</v>
      </c>
      <c r="G27" s="8" t="s">
        <v>371</v>
      </c>
      <c r="H27" s="2"/>
      <c r="I27" s="2"/>
      <c r="J27" s="8"/>
      <c r="K27" s="2"/>
      <c r="L27" s="2"/>
      <c r="M27" s="8"/>
      <c r="N27" s="2"/>
      <c r="O27" s="2"/>
      <c r="Q27" s="2"/>
      <c r="R27" s="2"/>
      <c r="T27" s="2"/>
    </row>
    <row r="28">
      <c r="A28" s="2"/>
      <c r="B28" s="8"/>
      <c r="C28" s="2"/>
      <c r="D28" s="2"/>
      <c r="E28" s="116" t="s">
        <v>373</v>
      </c>
      <c r="F28" s="117">
        <v>960000.0</v>
      </c>
      <c r="G28" s="8" t="s">
        <v>371</v>
      </c>
      <c r="H28" s="2"/>
      <c r="I28" s="2"/>
      <c r="J28" s="8"/>
      <c r="K28" s="2"/>
      <c r="L28" s="2"/>
      <c r="M28" s="8"/>
      <c r="N28" s="2"/>
      <c r="O28" s="2"/>
      <c r="Q28" s="2"/>
      <c r="R28" s="2"/>
      <c r="T28" s="2"/>
    </row>
    <row r="29">
      <c r="A29" s="2"/>
      <c r="B29" s="8"/>
      <c r="C29" s="2"/>
      <c r="D29" s="2"/>
      <c r="E29" s="116" t="s">
        <v>374</v>
      </c>
      <c r="F29" s="117">
        <v>120000.0</v>
      </c>
      <c r="G29" s="8" t="s">
        <v>375</v>
      </c>
      <c r="H29" s="2"/>
      <c r="I29" s="2"/>
      <c r="J29" s="8"/>
      <c r="K29" s="2"/>
      <c r="L29" s="2"/>
      <c r="M29" s="8"/>
      <c r="N29" s="2"/>
      <c r="O29" s="2"/>
      <c r="Q29" s="2"/>
      <c r="R29" s="2"/>
      <c r="T29" s="2"/>
    </row>
    <row r="30">
      <c r="A30" s="2"/>
      <c r="B30" s="8"/>
      <c r="C30" s="2"/>
      <c r="D30" s="2"/>
      <c r="E30" s="116" t="s">
        <v>377</v>
      </c>
      <c r="F30" s="117">
        <v>440000.0</v>
      </c>
      <c r="G30" s="8" t="s">
        <v>378</v>
      </c>
      <c r="H30" s="2"/>
      <c r="I30" s="2"/>
      <c r="J30" s="8"/>
      <c r="K30" s="2"/>
      <c r="L30" s="2"/>
      <c r="M30" s="8"/>
      <c r="N30" s="2"/>
      <c r="O30" s="2"/>
      <c r="Q30" s="2"/>
      <c r="R30" s="2"/>
      <c r="T30" s="2"/>
    </row>
    <row r="31">
      <c r="A31" s="2"/>
      <c r="B31" s="8"/>
      <c r="C31" s="2"/>
      <c r="D31" s="2"/>
      <c r="E31" s="116" t="s">
        <v>379</v>
      </c>
      <c r="F31" s="117">
        <v>800000.0</v>
      </c>
      <c r="G31" s="8" t="s">
        <v>378</v>
      </c>
      <c r="H31" s="2"/>
      <c r="I31" s="2"/>
      <c r="J31" s="8"/>
      <c r="K31" s="2"/>
      <c r="L31" s="2"/>
      <c r="M31" s="8"/>
      <c r="N31" s="2"/>
      <c r="O31" s="2"/>
      <c r="Q31" s="2"/>
      <c r="R31" s="2"/>
      <c r="T31" s="2"/>
    </row>
    <row r="32">
      <c r="A32" s="2"/>
      <c r="B32" s="8"/>
      <c r="C32" s="2"/>
      <c r="D32" s="2"/>
      <c r="E32" s="116" t="s">
        <v>380</v>
      </c>
      <c r="F32" s="117">
        <v>1080000.0</v>
      </c>
      <c r="G32" s="8" t="s">
        <v>378</v>
      </c>
      <c r="H32" s="2"/>
      <c r="I32" s="2"/>
      <c r="J32" s="8"/>
      <c r="K32" s="2"/>
      <c r="L32" s="2"/>
      <c r="M32" s="8"/>
      <c r="N32" s="2"/>
      <c r="O32" s="2"/>
      <c r="Q32" s="2"/>
      <c r="R32" s="2"/>
      <c r="T32" s="2"/>
    </row>
    <row r="33">
      <c r="A33" s="2"/>
      <c r="B33" s="8"/>
      <c r="C33" s="2"/>
      <c r="D33" s="2"/>
      <c r="E33" s="118" t="s">
        <v>382</v>
      </c>
      <c r="F33" s="117">
        <v>125000.0</v>
      </c>
      <c r="G33" s="8" t="s">
        <v>55</v>
      </c>
      <c r="H33" s="2"/>
      <c r="I33" s="2"/>
      <c r="J33" s="8"/>
      <c r="K33" s="2"/>
      <c r="L33" s="2"/>
      <c r="M33" s="8"/>
      <c r="N33" s="2"/>
      <c r="O33" s="2"/>
      <c r="Q33" s="2"/>
      <c r="R33" s="2"/>
      <c r="T33" s="2"/>
    </row>
    <row r="34">
      <c r="A34" s="2"/>
      <c r="B34" s="8"/>
      <c r="C34" s="2"/>
      <c r="D34" s="2"/>
      <c r="E34" s="118" t="s">
        <v>383</v>
      </c>
      <c r="F34" s="117">
        <v>195000.0</v>
      </c>
      <c r="G34" s="8" t="s">
        <v>55</v>
      </c>
      <c r="H34" s="2"/>
      <c r="I34" s="2"/>
      <c r="J34" s="8"/>
      <c r="K34" s="2"/>
      <c r="L34" s="2"/>
      <c r="M34" s="8"/>
      <c r="N34" s="2"/>
      <c r="O34" s="2"/>
      <c r="Q34" s="2"/>
      <c r="R34" s="2"/>
      <c r="T34" s="2"/>
    </row>
    <row r="35">
      <c r="A35" s="2"/>
      <c r="B35" s="8"/>
      <c r="C35" s="2"/>
      <c r="D35" s="2"/>
      <c r="E35" s="118" t="s">
        <v>384</v>
      </c>
      <c r="F35" s="117">
        <v>440000.0</v>
      </c>
      <c r="G35" s="8" t="s">
        <v>53</v>
      </c>
      <c r="H35" s="2"/>
      <c r="I35" s="2"/>
      <c r="J35" s="8"/>
      <c r="K35" s="2"/>
      <c r="L35" s="2"/>
      <c r="M35" s="8"/>
      <c r="N35" s="2"/>
      <c r="O35" s="2"/>
      <c r="Q35" s="2"/>
      <c r="R35" s="2"/>
      <c r="T35" s="2"/>
    </row>
    <row r="36">
      <c r="A36" s="2"/>
      <c r="B36" s="8"/>
      <c r="C36" s="2"/>
      <c r="D36" s="2"/>
      <c r="E36" s="118" t="s">
        <v>385</v>
      </c>
      <c r="F36" s="117">
        <v>525000.0</v>
      </c>
      <c r="G36" s="8" t="s">
        <v>53</v>
      </c>
      <c r="H36" s="2"/>
      <c r="I36" s="2"/>
      <c r="J36" s="116"/>
      <c r="K36" s="2"/>
      <c r="L36" s="2"/>
      <c r="M36" s="8"/>
      <c r="N36" s="2"/>
      <c r="O36" s="2"/>
      <c r="Q36" s="2"/>
      <c r="R36" s="2"/>
      <c r="T36" s="2"/>
    </row>
    <row r="37">
      <c r="A37" s="2"/>
      <c r="B37" s="8"/>
      <c r="C37" s="2"/>
      <c r="D37" s="2"/>
      <c r="E37" s="118" t="s">
        <v>386</v>
      </c>
      <c r="F37" s="117">
        <v>460000.0</v>
      </c>
      <c r="G37" s="8" t="s">
        <v>53</v>
      </c>
      <c r="H37" s="2"/>
      <c r="I37" s="2"/>
      <c r="J37" s="8"/>
      <c r="K37" s="2"/>
      <c r="L37" s="2"/>
      <c r="M37" s="8"/>
      <c r="N37" s="2"/>
      <c r="O37" s="2"/>
      <c r="Q37" s="2"/>
      <c r="R37" s="2"/>
      <c r="T37" s="2"/>
    </row>
    <row r="38">
      <c r="A38" s="2"/>
      <c r="B38" s="8"/>
      <c r="C38" s="2"/>
      <c r="D38" s="2"/>
      <c r="E38" s="118" t="s">
        <v>387</v>
      </c>
      <c r="F38" s="117">
        <v>500000.0</v>
      </c>
      <c r="G38" s="8" t="s">
        <v>53</v>
      </c>
      <c r="H38" s="2"/>
      <c r="I38" s="2"/>
      <c r="J38" s="8"/>
      <c r="K38" s="2"/>
      <c r="L38" s="2"/>
      <c r="M38" s="8"/>
      <c r="N38" s="2"/>
      <c r="O38" s="2"/>
      <c r="Q38" s="2"/>
      <c r="R38" s="2"/>
      <c r="T38" s="2"/>
    </row>
    <row r="39">
      <c r="A39" s="2"/>
      <c r="B39" s="8"/>
      <c r="C39" s="2"/>
      <c r="D39" s="2"/>
      <c r="E39" s="118" t="s">
        <v>389</v>
      </c>
      <c r="F39" s="117">
        <v>190000.0</v>
      </c>
      <c r="G39" s="8" t="s">
        <v>390</v>
      </c>
      <c r="H39" s="2"/>
      <c r="I39" s="2"/>
      <c r="J39" s="8"/>
      <c r="K39" s="2"/>
      <c r="L39" s="2"/>
      <c r="M39" s="8"/>
      <c r="N39" s="2"/>
      <c r="O39" s="2"/>
      <c r="Q39" s="2"/>
      <c r="R39" s="2"/>
      <c r="T39" s="2"/>
    </row>
    <row r="40">
      <c r="A40" s="2"/>
      <c r="B40" s="8"/>
      <c r="C40" s="2"/>
      <c r="D40" s="2"/>
      <c r="E40" s="118" t="s">
        <v>392</v>
      </c>
      <c r="F40" s="117">
        <v>300000.0</v>
      </c>
      <c r="G40" s="8" t="s">
        <v>390</v>
      </c>
      <c r="H40" s="2"/>
      <c r="I40" s="2"/>
      <c r="J40" s="8"/>
      <c r="K40" s="2"/>
      <c r="L40" s="2"/>
      <c r="M40" s="8"/>
      <c r="N40" s="2"/>
      <c r="O40" s="2"/>
      <c r="Q40" s="2"/>
      <c r="R40" s="2"/>
      <c r="T40" s="2"/>
    </row>
    <row r="41">
      <c r="A41" s="2"/>
      <c r="B41" s="8"/>
      <c r="C41" s="2"/>
      <c r="D41" s="2"/>
      <c r="E41" s="118" t="s">
        <v>393</v>
      </c>
      <c r="F41" s="117">
        <v>540000.0</v>
      </c>
      <c r="G41" s="8" t="s">
        <v>394</v>
      </c>
      <c r="H41" s="2"/>
      <c r="I41" s="2"/>
      <c r="J41" s="8"/>
      <c r="K41" s="2"/>
      <c r="L41" s="2"/>
      <c r="M41" s="8"/>
      <c r="N41" s="2"/>
      <c r="O41" s="2"/>
      <c r="Q41" s="2"/>
      <c r="R41" s="2"/>
      <c r="T41" s="2"/>
    </row>
    <row r="42">
      <c r="A42" s="2"/>
      <c r="B42" s="8"/>
      <c r="C42" s="2"/>
      <c r="D42" s="2"/>
      <c r="E42" s="118" t="s">
        <v>395</v>
      </c>
      <c r="F42" s="117">
        <v>570000.0</v>
      </c>
      <c r="G42" s="8" t="s">
        <v>394</v>
      </c>
      <c r="H42" s="2"/>
      <c r="I42" s="2"/>
      <c r="J42" s="8"/>
      <c r="K42" s="2"/>
      <c r="L42" s="2"/>
      <c r="M42" s="8"/>
      <c r="N42" s="2"/>
      <c r="O42" s="2"/>
      <c r="Q42" s="2"/>
      <c r="R42" s="2"/>
      <c r="T42" s="2"/>
    </row>
    <row r="43">
      <c r="A43" s="2"/>
      <c r="B43" s="8"/>
      <c r="C43" s="2"/>
      <c r="D43" s="2"/>
      <c r="H43" s="2"/>
      <c r="I43" s="2"/>
      <c r="J43" s="8"/>
      <c r="K43" s="2"/>
      <c r="L43" s="2"/>
      <c r="M43" s="8"/>
      <c r="N43" s="2"/>
      <c r="O43" s="2"/>
      <c r="Q43" s="2"/>
      <c r="R43" s="2"/>
      <c r="T43" s="2"/>
    </row>
    <row r="44">
      <c r="A44" s="2"/>
      <c r="B44" s="8"/>
      <c r="C44" s="2"/>
      <c r="D44" s="2"/>
      <c r="H44" s="2"/>
      <c r="I44" s="2"/>
      <c r="J44" s="8"/>
      <c r="K44" s="2"/>
      <c r="L44" s="2"/>
      <c r="M44" s="8"/>
      <c r="N44" s="2"/>
      <c r="O44" s="2"/>
      <c r="Q44" s="2"/>
      <c r="R44" s="2"/>
      <c r="T44" s="2"/>
    </row>
    <row r="45">
      <c r="A45" s="2"/>
      <c r="B45" s="8"/>
      <c r="C45" s="2"/>
      <c r="D45" s="2"/>
      <c r="H45" s="2"/>
      <c r="I45" s="2"/>
      <c r="J45" s="8"/>
      <c r="K45" s="2"/>
      <c r="L45" s="2"/>
      <c r="M45" s="8"/>
      <c r="N45" s="2"/>
      <c r="O45" s="2"/>
      <c r="Q45" s="2"/>
      <c r="R45" s="2"/>
      <c r="T45" s="2"/>
    </row>
    <row r="46">
      <c r="A46" s="2"/>
      <c r="B46" s="8"/>
      <c r="C46" s="2"/>
      <c r="D46" s="2"/>
      <c r="H46" s="2"/>
      <c r="I46" s="2"/>
      <c r="J46" s="8"/>
      <c r="K46" s="2"/>
      <c r="L46" s="2"/>
      <c r="M46" s="8"/>
      <c r="N46" s="2"/>
      <c r="O46" s="2"/>
      <c r="Q46" s="2"/>
      <c r="R46" s="2"/>
      <c r="T46" s="2"/>
    </row>
    <row r="47">
      <c r="A47" s="2"/>
      <c r="B47" s="8"/>
      <c r="C47" s="2"/>
      <c r="D47" s="2"/>
      <c r="H47" s="2"/>
      <c r="I47" s="2"/>
      <c r="J47" s="8"/>
      <c r="K47" s="2"/>
      <c r="L47" s="2"/>
      <c r="M47" s="8"/>
      <c r="N47" s="2"/>
      <c r="O47" s="2"/>
      <c r="Q47" s="2"/>
      <c r="R47" s="2"/>
      <c r="T47" s="2"/>
    </row>
    <row r="48">
      <c r="A48" s="2"/>
      <c r="B48" s="8"/>
      <c r="C48" s="2"/>
      <c r="D48" s="2"/>
      <c r="H48" s="2"/>
      <c r="I48" s="2"/>
      <c r="J48" s="8"/>
      <c r="K48" s="2"/>
      <c r="L48" s="2"/>
      <c r="M48" s="8"/>
      <c r="N48" s="2"/>
      <c r="O48" s="2"/>
      <c r="Q48" s="2"/>
      <c r="R48" s="2"/>
      <c r="T48" s="2"/>
    </row>
  </sheetData>
  <drawing r:id="rId1"/>
  <tableParts count="1">
    <tablePart r:id="rId3"/>
  </tableParts>
</worksheet>
</file>