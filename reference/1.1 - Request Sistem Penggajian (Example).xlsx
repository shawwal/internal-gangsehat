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" sheetId="1" r:id="rId5"/>
    <sheet state="visible" name="TEMP" sheetId="2" r:id="rId6"/>
    <sheet state="visible" name="GAJI" sheetId="3" r:id="rId7"/>
    <sheet state="visible" name="ABS" sheetId="4" r:id="rId8"/>
    <sheet state="visible" name="INS" sheetId="5" r:id="rId9"/>
    <sheet state="visible" name="DENDA" sheetId="6" r:id="rId10"/>
    <sheet state="visible" name="SLIP" sheetId="7" r:id="rId11"/>
    <sheet state="hidden" name="CATATAN" sheetId="8" r:id="rId12"/>
    <sheet state="visible" name="AUTO INS" sheetId="9" r:id="rId13"/>
  </sheets>
  <definedNames>
    <definedName name="aj">TEMP!$AJ:$AJ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0">
      <text>
        <t xml:space="preserve">Rp500.000</t>
      </text>
    </comment>
    <comment authorId="0" ref="G10">
      <text>
        <t xml:space="preserve">Rp1.700.000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8">
      <text>
        <t xml:space="preserve">JUMLAH KONTEN</t>
      </text>
    </comment>
  </commentList>
</comments>
</file>

<file path=xl/sharedStrings.xml><?xml version="1.0" encoding="utf-8"?>
<sst xmlns="http://schemas.openxmlformats.org/spreadsheetml/2006/main" count="521" uniqueCount="140">
  <si>
    <t>GAJI KARYAWAN FGS PONTIANAK</t>
  </si>
  <si>
    <t>ABSENSI KARYAWAN FGS PONTIANAK</t>
  </si>
  <si>
    <t>TEMPLATE PENGGAJIAN</t>
  </si>
  <si>
    <t>IDENTITAS KARYAWAN</t>
  </si>
  <si>
    <t>PERIODE SEPTEMBER 2026</t>
  </si>
  <si>
    <t>NO. KARYAWAN</t>
  </si>
  <si>
    <t>NAMA KARYAWAN</t>
  </si>
  <si>
    <t>ID</t>
  </si>
  <si>
    <t>JABATAN</t>
  </si>
  <si>
    <t>GAJI POKOK</t>
  </si>
  <si>
    <t>OPERASIONAL</t>
  </si>
  <si>
    <t>INSENTIF</t>
  </si>
  <si>
    <t>TJ. JABATAN</t>
  </si>
  <si>
    <t>PT VISIT</t>
  </si>
  <si>
    <t>ST VISIT</t>
  </si>
  <si>
    <t>PENDAPATAN</t>
  </si>
  <si>
    <t>TA VISIT</t>
  </si>
  <si>
    <t>JARAK VISIT FT</t>
  </si>
  <si>
    <t>JUMLAH HARI KERJA</t>
  </si>
  <si>
    <t>BONUS INS 1</t>
  </si>
  <si>
    <t>BONUS INS 2</t>
  </si>
  <si>
    <t>FB VISIT</t>
  </si>
  <si>
    <t>SG VISIT</t>
  </si>
  <si>
    <t>PAKET FB VISIT</t>
  </si>
  <si>
    <t>PAKET SG VISIT</t>
  </si>
  <si>
    <t>JARAK VISIT SM</t>
  </si>
  <si>
    <t>POTONGAN</t>
  </si>
  <si>
    <t>A1260201</t>
  </si>
  <si>
    <t>DHEA NANDA KHAIRUNNISA</t>
  </si>
  <si>
    <t>DHEA</t>
  </si>
  <si>
    <t>STAF ADMINISTRASI</t>
  </si>
  <si>
    <t>A1260601</t>
  </si>
  <si>
    <t>NOVRITA INDRIASWARI</t>
  </si>
  <si>
    <t>ICA</t>
  </si>
  <si>
    <t>STAF ADMINISTRASI PUSAT</t>
  </si>
  <si>
    <t>K</t>
  </si>
  <si>
    <t>KLINIK</t>
  </si>
  <si>
    <t>B1220101</t>
  </si>
  <si>
    <t>VISIT</t>
  </si>
  <si>
    <t>HESTI SUFRESHTRI</t>
  </si>
  <si>
    <t>HESTI</t>
  </si>
  <si>
    <t>TERLAMBAT</t>
  </si>
  <si>
    <t>FISIOTERAPIS</t>
  </si>
  <si>
    <t>ALFA</t>
  </si>
  <si>
    <t>DENDA</t>
  </si>
  <si>
    <t>TOTAL GAJI</t>
  </si>
  <si>
    <t>B1221101</t>
  </si>
  <si>
    <t>SHOFIANADA NABILLA</t>
  </si>
  <si>
    <t>NADA</t>
  </si>
  <si>
    <t>B1240101</t>
  </si>
  <si>
    <t>DESTY TRI RAHMADHANI</t>
  </si>
  <si>
    <t>DESTY</t>
  </si>
  <si>
    <t>B1241001</t>
  </si>
  <si>
    <t>JOHANA PRITY</t>
  </si>
  <si>
    <t>PRITY</t>
  </si>
  <si>
    <t>B1250101</t>
  </si>
  <si>
    <t>WAHYU TRI SETYO NUGROHO</t>
  </si>
  <si>
    <t>WAHYU</t>
  </si>
  <si>
    <t>B1250102</t>
  </si>
  <si>
    <t>ORY KUSTI OVIANDAR</t>
  </si>
  <si>
    <t>ORY</t>
  </si>
  <si>
    <t>B1250501</t>
  </si>
  <si>
    <t>HENA AURA PUTRI</t>
  </si>
  <si>
    <t>HENA</t>
  </si>
  <si>
    <t>B1250601</t>
  </si>
  <si>
    <t>SRI OKTAVIA MADANI</t>
  </si>
  <si>
    <t>OKTA</t>
  </si>
  <si>
    <t>B1251001</t>
  </si>
  <si>
    <t>AULIA SRI RAMADANTI</t>
  </si>
  <si>
    <t>AUL</t>
  </si>
  <si>
    <t>B1251201</t>
  </si>
  <si>
    <t>PUTRI QADAR RAMA DANIA</t>
  </si>
  <si>
    <t>PUTRI</t>
  </si>
  <si>
    <t>C1260501</t>
  </si>
  <si>
    <t>ALAMSYAH</t>
  </si>
  <si>
    <t>ALAM</t>
  </si>
  <si>
    <t>MASSEUR</t>
  </si>
  <si>
    <t>D1260501</t>
  </si>
  <si>
    <t>IBNU K. A. PURNAMAWANGSA</t>
  </si>
  <si>
    <t>IBNU</t>
  </si>
  <si>
    <t>STAF HR</t>
  </si>
  <si>
    <t>INSENTIF KARYAWAN FGS PONTIANAK</t>
  </si>
  <si>
    <t>HADIR</t>
  </si>
  <si>
    <t>TLBT</t>
  </si>
  <si>
    <t>IZIN</t>
  </si>
  <si>
    <t>SAKIT</t>
  </si>
  <si>
    <t>CUTI</t>
  </si>
  <si>
    <t>H</t>
  </si>
  <si>
    <t>PT</t>
  </si>
  <si>
    <t>ST</t>
  </si>
  <si>
    <t>TA</t>
  </si>
  <si>
    <t>JUMLAH FT</t>
  </si>
  <si>
    <t>PERSEN FT</t>
  </si>
  <si>
    <t>FB</t>
  </si>
  <si>
    <t>SG</t>
  </si>
  <si>
    <t>JUMLAH SM</t>
  </si>
  <si>
    <t>PERSEN SM</t>
  </si>
  <si>
    <t>BONUS 1 SM</t>
  </si>
  <si>
    <t>BONUS 2 SM</t>
  </si>
  <si>
    <t>FB SM</t>
  </si>
  <si>
    <t>SG SM</t>
  </si>
  <si>
    <t>PAKET FB SM</t>
  </si>
  <si>
    <t>PAKET SG SM</t>
  </si>
  <si>
    <t>JARAK</t>
  </si>
  <si>
    <t>Catatan:</t>
  </si>
  <si>
    <t>DENDA KARYAWAN FGS PONTIANAK</t>
  </si>
  <si>
    <t>NOMINAL</t>
  </si>
  <si>
    <t>KETERANGAN</t>
  </si>
  <si>
    <t>S</t>
  </si>
  <si>
    <t>Fisioterapi Gang Sehat</t>
  </si>
  <si>
    <t>Jl. Kesehatan Gg. Kesehatan Dalam No. 4,</t>
  </si>
  <si>
    <t>Pontianak, Kalimantan Barat 78115</t>
  </si>
  <si>
    <t>+62 813-4611-1417 / fisio.ggsehat@gmail.com</t>
  </si>
  <si>
    <t>Slip Gaji</t>
  </si>
  <si>
    <t>No. Karyawan</t>
  </si>
  <si>
    <t>Jabatan</t>
  </si>
  <si>
    <t>Nama Karyawan</t>
  </si>
  <si>
    <t>Tanggal</t>
  </si>
  <si>
    <t>Komponen</t>
  </si>
  <si>
    <t>Pendapatan</t>
  </si>
  <si>
    <t>Potongan</t>
  </si>
  <si>
    <t>Gaji Pokok</t>
  </si>
  <si>
    <t>Tunjangan Jabatan</t>
  </si>
  <si>
    <t>Tunjangan Operasional</t>
  </si>
  <si>
    <t>DENDA TIDAK MENGIKUTI FAMILY GATHERING</t>
  </si>
  <si>
    <t>Tunjangan Insentif</t>
  </si>
  <si>
    <t>Bonus Visit</t>
  </si>
  <si>
    <t>Terlambat</t>
  </si>
  <si>
    <t>Tidak absen</t>
  </si>
  <si>
    <t>Denda</t>
  </si>
  <si>
    <t>C</t>
  </si>
  <si>
    <t>Penerima:</t>
  </si>
  <si>
    <t>`</t>
  </si>
  <si>
    <t>A</t>
  </si>
  <si>
    <t>Catatan Error Penggajian</t>
  </si>
  <si>
    <t>No</t>
  </si>
  <si>
    <t>Catatan</t>
  </si>
  <si>
    <t>INSENTIF FT KLINIK</t>
  </si>
  <si>
    <t>INSENTIF SM KLINIK</t>
  </si>
  <si>
    <t>INSENTIF FT VISIT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</si>
</sst>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[$Rp-421]#,##0"/>
    <numFmt numFmtId="166" formatCode="dd"/>
    <numFmt numFmtId="167" formatCode="mmm&quot; &quot;d&quot;, &quot;yyyy"/>
    <numFmt numFmtId="168" formatCode="d&quot; &quot;mmmm&quot; &quot;yyyy"/>
  </numFmts>
  <fonts count="54">
    <font>
      <sz val="10.0"/>
      <color rgb="FF000000"/>
      <name val="Roboto"/>
      <scheme val="minor"/>
    </font>
    <font>
      <b/>
      <sz val="18.0"/>
      <color theme="1"/>
      <name val="Roboto"/>
      <scheme val="minor"/>
    </font>
    <font>
      <color theme="1"/>
      <name val="Roboto"/>
      <scheme val="minor"/>
    </font>
    <font>
      <sz val="12.0"/>
      <color theme="1"/>
      <name val="Roboto"/>
      <scheme val="minor"/>
    </font>
    <font>
      <color rgb="FFFFFFFF"/>
      <name val="Roboto"/>
      <scheme val="minor"/>
    </font>
    <font>
      <b/>
      <i/>
      <sz val="8.0"/>
      <color theme="1"/>
      <name val="Roboto"/>
      <scheme val="minor"/>
    </font>
    <font>
      <b/>
      <i/>
      <color theme="1"/>
      <name val="Roboto"/>
      <scheme val="minor"/>
    </font>
    <font>
      <b/>
      <i/>
      <sz val="8.0"/>
      <color rgb="FFFFFFFF"/>
      <name val="Roboto"/>
      <scheme val="minor"/>
    </font>
    <font/>
    <font>
      <b/>
      <i/>
      <sz val="10.0"/>
      <color theme="1"/>
      <name val="Roboto"/>
      <scheme val="minor"/>
    </font>
    <font>
      <sz val="10.0"/>
      <color theme="1"/>
      <name val="Roboto"/>
      <scheme val="minor"/>
    </font>
    <font>
      <i/>
      <sz val="8.0"/>
      <color theme="1"/>
      <name val="Roboto"/>
      <scheme val="minor"/>
    </font>
    <font>
      <b/>
      <sz val="10.0"/>
      <color theme="1"/>
      <name val="Roboto"/>
      <scheme val="minor"/>
    </font>
    <font>
      <i/>
      <sz val="7.0"/>
      <color theme="1"/>
      <name val="Roboto"/>
      <scheme val="minor"/>
    </font>
    <font>
      <color theme="1"/>
      <name val="Roboto"/>
    </font>
    <font>
      <b/>
      <i/>
      <u/>
      <sz val="10.0"/>
      <color theme="1"/>
      <name val="Roboto"/>
      <scheme val="minor"/>
    </font>
    <font>
      <b/>
      <i/>
      <u/>
      <sz val="10.0"/>
      <color theme="1"/>
      <name val="Roboto"/>
      <scheme val="minor"/>
    </font>
    <font>
      <b/>
      <sz val="12.0"/>
      <color theme="1"/>
      <name val="Roboto"/>
      <scheme val="minor"/>
    </font>
    <font>
      <i/>
      <sz val="10.0"/>
      <color theme="1"/>
      <name val="Roboto"/>
      <scheme val="minor"/>
    </font>
    <font>
      <b/>
      <i/>
      <u/>
      <sz val="10.0"/>
      <color theme="1"/>
      <name val="Roboto"/>
      <scheme val="minor"/>
    </font>
    <font>
      <sz val="10.0"/>
      <color theme="1"/>
      <name val="Roboto"/>
    </font>
    <font>
      <sz val="10.0"/>
      <color rgb="FF666666"/>
      <name val="Roboto"/>
    </font>
    <font>
      <b/>
      <sz val="20.0"/>
      <color rgb="FF434343"/>
      <name val="Roboto"/>
    </font>
    <font>
      <sz val="20.0"/>
      <color rgb="FF6D64E8"/>
      <name val="Roboto"/>
    </font>
    <font>
      <sz val="10.0"/>
      <color rgb="FF6D64E8"/>
      <name val="Roboto"/>
    </font>
    <font>
      <color rgb="FF666666"/>
      <name val="Roboto"/>
    </font>
    <font>
      <b/>
      <sz val="34.0"/>
      <color rgb="FFFBBC04"/>
      <name val="Roboto"/>
    </font>
    <font>
      <b/>
      <sz val="12.0"/>
      <color rgb="FF434343"/>
      <name val="Roboto"/>
    </font>
    <font>
      <sz val="11.0"/>
      <color rgb="FFE01B84"/>
      <name val="Roboto"/>
    </font>
    <font>
      <sz val="13.0"/>
      <color theme="1"/>
      <name val="Roboto"/>
    </font>
    <font>
      <b/>
      <i/>
      <u/>
      <sz val="10.0"/>
      <color theme="1"/>
      <name val="Roboto"/>
      <scheme val="minor"/>
    </font>
    <font>
      <b/>
      <sz val="12.0"/>
      <color rgb="FFFBBC04"/>
      <name val="Roboto"/>
    </font>
    <font>
      <b/>
      <sz val="12.0"/>
      <color theme="6"/>
      <name val="Roboto"/>
    </font>
    <font>
      <color rgb="FF000000"/>
      <name val="Roboto"/>
    </font>
    <font>
      <sz val="14.0"/>
      <color theme="1"/>
      <name val="Roboto"/>
    </font>
    <font>
      <i/>
      <color rgb="FF999999"/>
      <name val="Roboto"/>
    </font>
    <font>
      <b/>
      <color rgb="FFFBBC04"/>
      <name val="Roboto"/>
    </font>
    <font>
      <b/>
      <color rgb="FF000000"/>
      <name val="Roboto"/>
    </font>
    <font>
      <b/>
      <color rgb="FF666666"/>
      <name val="Roboto"/>
    </font>
    <font>
      <sz val="18.0"/>
      <color theme="1"/>
      <name val="Roboto"/>
    </font>
    <font>
      <b/>
      <sz val="20.0"/>
      <color theme="6"/>
      <name val="Roboto"/>
    </font>
    <font>
      <color rgb="FF999999"/>
      <name val="Roboto"/>
    </font>
    <font>
      <sz val="18.0"/>
      <color rgb="FF666666"/>
      <name val="Roboto"/>
    </font>
    <font>
      <i/>
      <u/>
      <sz val="10.0"/>
      <color theme="1"/>
      <name val="Roboto"/>
      <scheme val="minor"/>
    </font>
    <font>
      <b/>
      <sz val="14.0"/>
      <color theme="1"/>
      <name val="Roboto"/>
      <scheme val="minor"/>
    </font>
    <font>
      <b/>
      <i/>
      <u/>
      <color theme="1"/>
      <name val="Roboto"/>
    </font>
    <font>
      <b/>
      <i/>
      <u/>
      <color theme="1"/>
      <name val="Roboto"/>
    </font>
    <font>
      <b/>
      <color theme="1"/>
      <name val="Roboto"/>
    </font>
    <font>
      <b/>
      <i/>
      <u/>
      <color theme="1"/>
      <name val="Roboto"/>
    </font>
    <font>
      <b/>
      <i/>
      <u/>
      <color theme="1"/>
      <name val="Roboto"/>
    </font>
    <font>
      <b/>
      <i/>
      <u/>
      <color theme="1"/>
      <name val="Roboto"/>
    </font>
    <font>
      <b/>
      <i/>
      <u/>
      <sz val="10.0"/>
      <color theme="1"/>
      <name val="Roboto"/>
      <scheme val="minor"/>
    </font>
    <font>
      <b/>
      <i/>
      <u/>
      <color theme="1"/>
      <name val="Roboto"/>
    </font>
    <font>
      <b/>
      <color rgb="FFFFFFFF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FEF8E3"/>
        <bgColor rgb="FFFEF8E3"/>
      </patternFill>
    </fill>
    <fill>
      <patternFill patternType="solid">
        <fgColor theme="5"/>
        <bgColor theme="5"/>
      </patternFill>
    </fill>
    <fill>
      <patternFill patternType="solid">
        <fgColor rgb="FFF3F3F3"/>
        <bgColor rgb="FFF3F3F3"/>
      </patternFill>
    </fill>
    <fill>
      <patternFill patternType="solid">
        <fgColor rgb="FFFBBC04"/>
        <bgColor rgb="FFFBBC04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</fills>
  <borders count="12">
    <border/>
    <border>
      <left style="thick">
        <color rgb="FFFFFFFF"/>
      </left>
      <right style="thick">
        <color rgb="FFFFFFFF"/>
      </right>
      <top style="thick">
        <color rgb="FFFFFFFF"/>
      </top>
    </border>
    <border>
      <bottom style="thick">
        <color rgb="FFFFFFFF"/>
      </bottom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bottom style="thin">
        <color rgb="FFB7B7B7"/>
      </bottom>
    </border>
    <border>
      <top style="thin">
        <color rgb="FFB7B7B7"/>
      </top>
    </border>
    <border>
      <bottom style="hair">
        <color rgb="FF43434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vertical="center"/>
    </xf>
    <xf borderId="0" fillId="2" fontId="4" numFmtId="0" xfId="0" applyAlignment="1" applyFill="1" applyFont="1">
      <alignment readingOrder="0" vertical="center"/>
    </xf>
    <xf borderId="0" fillId="2" fontId="4" numFmtId="0" xfId="0" applyAlignment="1" applyFill="1" applyFont="1">
      <alignment vertical="center"/>
    </xf>
    <xf borderId="0" fillId="2" fontId="4" numFmtId="0" xfId="0" applyAlignment="1" applyFill="1" applyFont="1">
      <alignment horizontal="center" vertical="center"/>
    </xf>
    <xf borderId="1" fillId="2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horizontal="center" shrinkToFit="0" vertical="center" wrapText="1"/>
    </xf>
    <xf borderId="0" fillId="2" fontId="3" numFmtId="0" xfId="0" applyAlignment="1" applyFill="1" applyFont="1">
      <alignment vertical="center"/>
    </xf>
    <xf borderId="0" fillId="0" fontId="6" numFmtId="0" xfId="0" applyAlignment="1" applyFont="1">
      <alignment horizontal="right" readingOrder="0" vertical="center"/>
    </xf>
    <xf borderId="3" fillId="4" fontId="7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5" fontId="8" numFmtId="0" xfId="0" applyBorder="1" applyFill="1" applyFont="1"/>
    <xf borderId="3" fillId="6" fontId="7" numFmtId="0" xfId="0" applyAlignment="1" applyBorder="1" applyFill="1" applyFont="1">
      <alignment horizontal="center" readingOrder="0" shrinkToFit="0" vertical="center" wrapText="1"/>
    </xf>
    <xf borderId="4" fillId="5" fontId="8" numFmtId="0" xfId="0" applyBorder="1" applyFill="1" applyFont="1"/>
    <xf borderId="4" fillId="0" fontId="2" numFmtId="0" xfId="0" applyAlignment="1" applyBorder="1" applyFont="1">
      <alignment readingOrder="0" vertical="center"/>
    </xf>
    <xf borderId="0" fillId="2" fontId="5" numFmtId="164" xfId="0" applyAlignment="1" applyFill="1" applyFont="1" applyNumberFormat="1">
      <alignment horizontal="center" readingOrder="0" shrinkToFit="0" vertical="center" wrapText="1"/>
    </xf>
    <xf borderId="4" fillId="0" fontId="2" numFmtId="165" xfId="0" applyAlignment="1" applyBorder="1" applyFont="1" applyNumberFormat="1">
      <alignment readingOrder="0" vertical="center"/>
    </xf>
    <xf borderId="0" fillId="3" fontId="6" numFmtId="0" xfId="0" applyAlignment="1" applyFill="1" applyFont="1">
      <alignment horizontal="center" vertical="center"/>
    </xf>
    <xf borderId="6" fillId="7" fontId="5" numFmtId="0" xfId="0" applyAlignment="1" applyBorder="1" applyFill="1" applyFont="1">
      <alignment horizontal="center" shrinkToFit="0" vertical="center" wrapText="1"/>
    </xf>
    <xf borderId="0" fillId="2" fontId="2" numFmtId="0" xfId="0" applyAlignment="1" applyFill="1" applyFont="1">
      <alignment vertical="center"/>
    </xf>
    <xf borderId="0" fillId="2" fontId="2" numFmtId="0" xfId="0" applyAlignment="1" applyFill="1" applyFont="1">
      <alignment readingOrder="0" vertical="center"/>
    </xf>
    <xf borderId="6" fillId="7" fontId="5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vertical="center"/>
    </xf>
    <xf borderId="6" fillId="7" fontId="5" numFmtId="0" xfId="0" applyAlignment="1" applyBorder="1" applyFill="1" applyFont="1">
      <alignment horizontal="center" readingOrder="0" shrinkToFit="0" vertical="center" wrapText="1"/>
    </xf>
    <xf borderId="6" fillId="2" fontId="4" numFmtId="0" xfId="0" applyAlignment="1" applyBorder="1" applyFill="1" applyFont="1">
      <alignment horizontal="center" readingOrder="0" vertical="center"/>
    </xf>
    <xf borderId="6" fillId="8" fontId="5" numFmtId="0" xfId="0" applyAlignment="1" applyBorder="1" applyFill="1" applyFont="1">
      <alignment horizontal="center" readingOrder="0" shrinkToFit="0" vertical="center" wrapText="1"/>
    </xf>
    <xf borderId="6" fillId="0" fontId="9" numFmtId="166" xfId="0" applyAlignment="1" applyBorder="1" applyFont="1" applyNumberFormat="1">
      <alignment horizontal="center" readingOrder="0" shrinkToFit="0" vertical="center" wrapText="1"/>
    </xf>
    <xf borderId="6" fillId="5" fontId="10" numFmtId="0" xfId="0" applyAlignment="1" applyBorder="1" applyFill="1" applyFont="1">
      <alignment vertical="center"/>
    </xf>
    <xf borderId="7" fillId="0" fontId="5" numFmtId="0" xfId="0" applyAlignment="1" applyBorder="1" applyFont="1">
      <alignment horizontal="center" shrinkToFit="0" vertical="center" wrapText="1"/>
    </xf>
    <xf borderId="4" fillId="9" fontId="2" numFmtId="165" xfId="0" applyAlignment="1" applyBorder="1" applyFill="1" applyFont="1" applyNumberFormat="1">
      <alignment readingOrder="0" vertical="center"/>
    </xf>
    <xf borderId="7" fillId="0" fontId="5" numFmtId="0" xfId="0" applyAlignment="1" applyBorder="1" applyFont="1">
      <alignment horizontal="center" shrinkToFit="0" vertical="center" wrapText="1"/>
    </xf>
    <xf borderId="6" fillId="5" fontId="10" numFmtId="165" xfId="0" applyAlignment="1" applyBorder="1" applyFill="1" applyFont="1" applyNumberFormat="1">
      <alignment horizontal="right" vertical="center"/>
    </xf>
    <xf borderId="6" fillId="0" fontId="11" numFmtId="164" xfId="0" applyAlignment="1" applyBorder="1" applyFont="1" applyNumberFormat="1">
      <alignment horizontal="center" readingOrder="0" shrinkToFit="0" vertical="center" wrapText="1"/>
    </xf>
    <xf borderId="6" fillId="5" fontId="12" numFmtId="165" xfId="0" applyAlignment="1" applyBorder="1" applyFill="1" applyFont="1" applyNumberFormat="1">
      <alignment horizontal="right" vertical="center"/>
    </xf>
    <xf borderId="6" fillId="7" fontId="10" numFmtId="0" xfId="0" applyAlignment="1" applyBorder="1" applyFill="1" applyFont="1">
      <alignment vertical="center"/>
    </xf>
    <xf borderId="6" fillId="7" fontId="10" numFmtId="165" xfId="0" applyAlignment="1" applyBorder="1" applyFill="1" applyFont="1" applyNumberFormat="1">
      <alignment horizontal="right" vertical="center"/>
    </xf>
    <xf borderId="6" fillId="0" fontId="10" numFmtId="0" xfId="0" applyAlignment="1" applyBorder="1" applyFont="1">
      <alignment vertical="center"/>
    </xf>
    <xf borderId="6" fillId="0" fontId="9" numFmtId="166" xfId="0" applyAlignment="1" applyBorder="1" applyFont="1" applyNumberFormat="1">
      <alignment horizontal="center" readingOrder="0" shrinkToFit="0" vertical="center" wrapText="1"/>
    </xf>
    <xf borderId="6" fillId="7" fontId="12" numFmtId="165" xfId="0" applyAlignment="1" applyBorder="1" applyFill="1" applyFont="1" applyNumberFormat="1">
      <alignment horizontal="right" vertical="center"/>
    </xf>
    <xf borderId="6" fillId="0" fontId="10" numFmtId="0" xfId="0" applyAlignment="1" applyBorder="1" applyFont="1">
      <alignment horizontal="center" readingOrder="0" vertical="center"/>
    </xf>
    <xf borderId="6" fillId="0" fontId="10" numFmtId="0" xfId="0" applyAlignment="1" applyBorder="1" applyFont="1">
      <alignment horizontal="center" vertical="center"/>
    </xf>
    <xf borderId="6" fillId="2" fontId="5" numFmtId="164" xfId="0" applyAlignment="1" applyBorder="1" applyFill="1" applyFont="1" applyNumberFormat="1">
      <alignment horizontal="center" readingOrder="0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13" numFmtId="164" xfId="0" applyAlignment="1" applyBorder="1" applyFont="1" applyNumberFormat="1">
      <alignment horizontal="center" readingOrder="0" shrinkToFit="0" vertical="center" wrapText="1"/>
    </xf>
    <xf borderId="6" fillId="0" fontId="2" numFmtId="0" xfId="0" applyAlignment="1" applyBorder="1" applyFont="1">
      <alignment horizontal="center" vertical="center"/>
    </xf>
    <xf borderId="0" fillId="2" fontId="1" numFmtId="0" xfId="0" applyAlignment="1" applyFill="1" applyFont="1">
      <alignment horizontal="center" vertical="center"/>
    </xf>
    <xf borderId="0" fillId="2" fontId="3" numFmtId="0" xfId="0" applyAlignment="1" applyFill="1" applyFont="1">
      <alignment horizontal="center" vertical="center"/>
    </xf>
    <xf borderId="6" fillId="2" fontId="5" numFmtId="0" xfId="0" applyAlignment="1" applyBorder="1" applyFill="1" applyFont="1">
      <alignment horizontal="center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vertical="center"/>
    </xf>
    <xf borderId="6" fillId="2" fontId="10" numFmtId="0" xfId="0" applyAlignment="1" applyBorder="1" applyFill="1" applyFont="1">
      <alignment vertical="center"/>
    </xf>
    <xf borderId="3" fillId="5" fontId="5" numFmtId="0" xfId="0" applyAlignment="1" applyBorder="1" applyFill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vertical="center"/>
    </xf>
    <xf borderId="6" fillId="2" fontId="5" numFmtId="0" xfId="0" applyAlignment="1" applyBorder="1" applyFill="1" applyFont="1">
      <alignment horizontal="center" readingOrder="0" shrinkToFit="0" vertical="center" wrapText="1"/>
    </xf>
    <xf borderId="6" fillId="0" fontId="10" numFmtId="165" xfId="0" applyAlignment="1" applyBorder="1" applyFont="1" applyNumberFormat="1">
      <alignment horizontal="right" vertical="center"/>
    </xf>
    <xf borderId="6" fillId="7" fontId="14" numFmtId="0" xfId="0" applyAlignment="1" applyBorder="1" applyFill="1" applyFont="1">
      <alignment vertical="center"/>
    </xf>
    <xf borderId="6" fillId="2" fontId="10" numFmtId="0" xfId="0" applyAlignment="1" applyBorder="1" applyFill="1" applyFont="1">
      <alignment horizontal="center" vertical="center"/>
    </xf>
    <xf borderId="6" fillId="5" fontId="10" numFmtId="0" xfId="0" applyAlignment="1" applyBorder="1" applyFill="1" applyFont="1">
      <alignment horizontal="center" readingOrder="0" vertical="center"/>
    </xf>
    <xf borderId="6" fillId="5" fontId="15" numFmtId="0" xfId="0" applyAlignment="1" applyBorder="1" applyFill="1" applyFont="1">
      <alignment horizontal="center" vertical="center"/>
    </xf>
    <xf borderId="0" fillId="5" fontId="10" numFmtId="0" xfId="0" applyAlignment="1" applyFill="1" applyFont="1">
      <alignment vertical="center"/>
    </xf>
    <xf borderId="6" fillId="5" fontId="10" numFmtId="0" xfId="0" applyAlignment="1" applyBorder="1" applyFill="1" applyFont="1">
      <alignment horizontal="right" vertical="center"/>
    </xf>
    <xf borderId="6" fillId="5" fontId="10" numFmtId="0" xfId="0" applyAlignment="1" applyBorder="1" applyFill="1" applyFont="1">
      <alignment horizontal="right" vertical="center"/>
    </xf>
    <xf borderId="6" fillId="5" fontId="16" numFmtId="9" xfId="0" applyAlignment="1" applyBorder="1" applyFill="1" applyFont="1" applyNumberFormat="1">
      <alignment horizontal="center" vertical="center"/>
    </xf>
    <xf borderId="0" fillId="7" fontId="10" numFmtId="0" xfId="0" applyAlignment="1" applyFill="1" applyFont="1">
      <alignment vertical="center"/>
    </xf>
    <xf borderId="6" fillId="7" fontId="10" numFmtId="0" xfId="0" applyAlignment="1" applyBorder="1" applyFill="1" applyFont="1">
      <alignment horizontal="right" vertical="center"/>
    </xf>
    <xf borderId="6" fillId="2" fontId="9" numFmtId="3" xfId="0" applyAlignment="1" applyBorder="1" applyFill="1" applyFont="1" applyNumberFormat="1">
      <alignment horizontal="center" readingOrder="0" vertical="center"/>
    </xf>
    <xf borderId="0" fillId="2" fontId="10" numFmtId="0" xfId="0" applyAlignment="1" applyFill="1" applyFont="1">
      <alignment vertical="center"/>
    </xf>
    <xf borderId="6" fillId="7" fontId="10" numFmtId="0" xfId="0" applyAlignment="1" applyBorder="1" applyFill="1" applyFont="1">
      <alignment horizontal="right" vertical="center"/>
    </xf>
    <xf borderId="6" fillId="0" fontId="2" numFmtId="0" xfId="0" applyAlignment="1" applyBorder="1" applyFont="1">
      <alignment horizontal="center" readingOrder="0" vertical="center"/>
    </xf>
    <xf borderId="6" fillId="3" fontId="17" numFmtId="165" xfId="0" applyAlignment="1" applyBorder="1" applyFill="1" applyFont="1" applyNumberFormat="1">
      <alignment horizontal="right" vertical="center"/>
    </xf>
    <xf borderId="6" fillId="2" fontId="2" numFmtId="0" xfId="0" applyAlignment="1" applyBorder="1" applyFill="1" applyFont="1">
      <alignment vertical="center"/>
    </xf>
    <xf borderId="0" fillId="2" fontId="12" numFmtId="0" xfId="0" applyAlignment="1" applyFill="1" applyFont="1">
      <alignment horizontal="right" vertical="center"/>
    </xf>
    <xf borderId="0" fillId="2" fontId="17" numFmtId="0" xfId="0" applyAlignment="1" applyFill="1" applyFont="1">
      <alignment horizontal="right" vertical="center"/>
    </xf>
    <xf borderId="6" fillId="2" fontId="10" numFmtId="165" xfId="0" applyAlignment="1" applyBorder="1" applyFill="1" applyFont="1" applyNumberFormat="1">
      <alignment horizontal="right" vertical="center"/>
    </xf>
    <xf borderId="0" fillId="2" fontId="18" numFmtId="0" xfId="0" applyAlignment="1" applyFill="1" applyFont="1">
      <alignment readingOrder="0" vertical="center"/>
    </xf>
    <xf borderId="6" fillId="2" fontId="10" numFmtId="0" xfId="0" applyAlignment="1" applyBorder="1" applyFill="1" applyFont="1">
      <alignment horizontal="center" readingOrder="0" vertical="center"/>
    </xf>
    <xf borderId="6" fillId="7" fontId="10" numFmtId="0" xfId="0" applyAlignment="1" applyBorder="1" applyFill="1" applyFont="1">
      <alignment horizontal="center" readingOrder="0" vertical="center"/>
    </xf>
    <xf borderId="6" fillId="7" fontId="19" numFmtId="9" xfId="0" applyAlignment="1" applyBorder="1" applyFill="1" applyFont="1" applyNumberFormat="1">
      <alignment horizontal="center" vertical="center"/>
    </xf>
    <xf borderId="0" fillId="3" fontId="20" numFmtId="0" xfId="0" applyAlignment="1" applyFill="1" applyFont="1">
      <alignment vertical="center"/>
    </xf>
    <xf borderId="0" fillId="3" fontId="20" numFmtId="14" xfId="0" applyAlignment="1" applyFill="1" applyFont="1" applyNumberFormat="1">
      <alignment vertical="center"/>
    </xf>
    <xf borderId="0" fillId="0" fontId="21" numFmtId="0" xfId="0" applyAlignment="1" applyFont="1">
      <alignment vertical="center"/>
    </xf>
    <xf borderId="0" fillId="0" fontId="21" numFmtId="14" xfId="0" applyAlignment="1" applyFont="1" applyNumberFormat="1">
      <alignment vertical="center"/>
    </xf>
    <xf borderId="0" fillId="0" fontId="20" numFmtId="0" xfId="0" applyAlignment="1" applyFont="1">
      <alignment vertical="center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vertical="center"/>
    </xf>
    <xf borderId="6" fillId="0" fontId="10" numFmtId="165" xfId="0" applyAlignment="1" applyBorder="1" applyFont="1" applyNumberFormat="1">
      <alignment horizontal="right" readingOrder="0" vertical="center"/>
    </xf>
    <xf borderId="0" fillId="0" fontId="24" numFmtId="0" xfId="0" applyAlignment="1" applyFont="1">
      <alignment horizontal="right" vertical="center"/>
    </xf>
    <xf borderId="6" fillId="0" fontId="10" numFmtId="165" xfId="0" applyAlignment="1" applyBorder="1" applyFont="1" applyNumberFormat="1">
      <alignment horizontal="left" vertical="center"/>
    </xf>
    <xf borderId="0" fillId="0" fontId="20" numFmtId="0" xfId="0" applyAlignment="1" applyFont="1">
      <alignment vertical="center"/>
    </xf>
    <xf borderId="0" fillId="0" fontId="25" numFmtId="0" xfId="0" applyAlignment="1" applyFont="1">
      <alignment readingOrder="0" vertical="center"/>
    </xf>
    <xf borderId="0" fillId="0" fontId="21" numFmtId="0" xfId="0" applyAlignment="1" applyFont="1">
      <alignment vertical="center"/>
    </xf>
    <xf quotePrefix="1" borderId="0" fillId="0" fontId="21" numFmtId="0" xfId="0" applyAlignment="1" applyFont="1">
      <alignment readingOrder="0" vertical="center"/>
    </xf>
    <xf borderId="0" fillId="0" fontId="14" numFmtId="0" xfId="0" applyAlignment="1" applyFont="1">
      <alignment readingOrder="0" vertical="center"/>
    </xf>
    <xf borderId="0" fillId="0" fontId="26" numFmtId="0" xfId="0" applyAlignment="1" applyFont="1">
      <alignment readingOrder="0" vertical="center"/>
    </xf>
    <xf borderId="0" fillId="0" fontId="14" numFmtId="0" xfId="0" applyAlignment="1" applyFont="1">
      <alignment vertical="center"/>
    </xf>
    <xf borderId="0" fillId="0" fontId="27" numFmtId="0" xfId="0" applyAlignment="1" applyFont="1">
      <alignment horizontal="left" readingOrder="0" vertical="center"/>
    </xf>
    <xf borderId="0" fillId="0" fontId="25" numFmtId="0" xfId="0" applyAlignment="1" applyFont="1">
      <alignment vertical="center"/>
    </xf>
    <xf borderId="0" fillId="0" fontId="28" numFmtId="167" xfId="0" applyAlignment="1" applyFont="1" applyNumberFormat="1">
      <alignment horizontal="left" readingOrder="0" vertical="center"/>
    </xf>
    <xf borderId="0" fillId="0" fontId="29" numFmtId="0" xfId="0" applyAlignment="1" applyFont="1">
      <alignment vertical="center"/>
    </xf>
    <xf borderId="0" fillId="0" fontId="27" numFmtId="0" xfId="0" applyAlignment="1" applyFont="1">
      <alignment readingOrder="0" vertical="center"/>
    </xf>
    <xf borderId="0" fillId="0" fontId="21" numFmtId="0" xfId="0" applyAlignment="1" applyFont="1">
      <alignment readingOrder="0" vertical="center"/>
    </xf>
    <xf borderId="0" fillId="0" fontId="21" numFmtId="0" xfId="0" applyAlignment="1" applyFont="1">
      <alignment horizontal="left" readingOrder="0" vertical="center"/>
    </xf>
    <xf borderId="0" fillId="0" fontId="25" numFmtId="168" xfId="0" applyAlignment="1" applyFont="1" applyNumberFormat="1">
      <alignment horizontal="left" readingOrder="0" vertical="center"/>
    </xf>
    <xf borderId="0" fillId="0" fontId="21" numFmtId="14" xfId="0" applyAlignment="1" applyFont="1" applyNumberFormat="1">
      <alignment horizontal="left" readingOrder="0" vertical="center"/>
    </xf>
    <xf borderId="6" fillId="7" fontId="10" numFmtId="0" xfId="0" applyAlignment="1" applyBorder="1" applyFill="1" applyFont="1">
      <alignment horizontal="center" readingOrder="0" vertical="center"/>
    </xf>
    <xf borderId="8" fillId="0" fontId="21" numFmtId="0" xfId="0" applyAlignment="1" applyBorder="1" applyFont="1">
      <alignment vertical="center"/>
    </xf>
    <xf borderId="8" fillId="0" fontId="8" numFmtId="0" xfId="0" applyBorder="1" applyFont="1"/>
    <xf borderId="6" fillId="7" fontId="30" numFmtId="0" xfId="0" applyAlignment="1" applyBorder="1" applyFill="1" applyFont="1">
      <alignment horizontal="center" vertical="center"/>
    </xf>
    <xf borderId="0" fillId="0" fontId="31" numFmtId="0" xfId="0" applyAlignment="1" applyFont="1">
      <alignment readingOrder="0" vertical="center"/>
    </xf>
    <xf borderId="0" fillId="0" fontId="32" numFmtId="0" xfId="0" applyAlignment="1" applyFont="1">
      <alignment horizontal="right" readingOrder="0" vertical="center"/>
    </xf>
    <xf borderId="0" fillId="0" fontId="31" numFmtId="0" xfId="0" applyAlignment="1" applyFont="1">
      <alignment horizontal="right" readingOrder="0" vertical="center"/>
    </xf>
    <xf borderId="0" fillId="0" fontId="33" numFmtId="0" xfId="0" applyAlignment="1" applyFont="1">
      <alignment readingOrder="0" vertical="center"/>
    </xf>
    <xf borderId="0" fillId="0" fontId="25" numFmtId="0" xfId="0" applyAlignment="1" applyFont="1">
      <alignment horizontal="right" readingOrder="0" vertical="center"/>
    </xf>
    <xf borderId="0" fillId="0" fontId="25" numFmtId="165" xfId="0" applyAlignment="1" applyFont="1" applyNumberFormat="1">
      <alignment readingOrder="0" vertical="center"/>
    </xf>
    <xf borderId="0" fillId="0" fontId="21" numFmtId="165" xfId="0" applyAlignment="1" applyFont="1" applyNumberFormat="1">
      <alignment readingOrder="0" vertical="center"/>
    </xf>
    <xf borderId="0" fillId="0" fontId="34" numFmtId="0" xfId="0" applyAlignment="1" applyFont="1">
      <alignment vertical="center"/>
    </xf>
    <xf borderId="0" fillId="0" fontId="25" numFmtId="0" xfId="0" applyAlignment="1" applyFont="1">
      <alignment horizontal="right" vertical="center"/>
    </xf>
    <xf borderId="6" fillId="0" fontId="10" numFmtId="165" xfId="0" applyAlignment="1" applyBorder="1" applyFont="1" applyNumberFormat="1">
      <alignment horizontal="left" readingOrder="0" vertical="center"/>
    </xf>
    <xf borderId="0" fillId="0" fontId="25" numFmtId="0" xfId="0" applyAlignment="1" applyFont="1">
      <alignment horizontal="left" readingOrder="0" vertical="center"/>
    </xf>
    <xf borderId="6" fillId="5" fontId="14" numFmtId="0" xfId="0" applyAlignment="1" applyBorder="1" applyFill="1" applyFont="1">
      <alignment vertical="center"/>
    </xf>
    <xf borderId="9" fillId="0" fontId="35" numFmtId="0" xfId="0" applyAlignment="1" applyBorder="1" applyFont="1">
      <alignment readingOrder="0" shrinkToFit="0" vertical="top" wrapText="0"/>
    </xf>
    <xf borderId="9" fillId="0" fontId="8" numFmtId="0" xfId="0" applyBorder="1" applyFont="1"/>
    <xf borderId="9" fillId="0" fontId="36" numFmtId="0" xfId="0" applyAlignment="1" applyBorder="1" applyFont="1">
      <alignment horizontal="right" readingOrder="0" vertical="center"/>
    </xf>
    <xf borderId="9" fillId="0" fontId="37" numFmtId="165" xfId="0" applyAlignment="1" applyBorder="1" applyFont="1" applyNumberFormat="1">
      <alignment vertical="center"/>
    </xf>
    <xf borderId="0" fillId="0" fontId="36" numFmtId="0" xfId="0" applyAlignment="1" applyFont="1">
      <alignment horizontal="right" readingOrder="0" vertical="center"/>
    </xf>
    <xf borderId="0" fillId="0" fontId="38" numFmtId="165" xfId="0" applyAlignment="1" applyFont="1" applyNumberFormat="1">
      <alignment readingOrder="0" vertical="center"/>
    </xf>
    <xf borderId="0" fillId="0" fontId="39" numFmtId="0" xfId="0" applyAlignment="1" applyFont="1">
      <alignment vertical="center"/>
    </xf>
    <xf borderId="6" fillId="5" fontId="14" numFmtId="165" xfId="0" applyAlignment="1" applyBorder="1" applyFill="1" applyFont="1" applyNumberFormat="1">
      <alignment horizontal="left" vertical="center"/>
    </xf>
    <xf borderId="0" fillId="0" fontId="40" numFmtId="165" xfId="0" applyAlignment="1" applyFont="1" applyNumberFormat="1">
      <alignment horizontal="right" vertical="center"/>
    </xf>
    <xf borderId="0" fillId="0" fontId="41" numFmtId="0" xfId="0" applyAlignment="1" applyFont="1">
      <alignment readingOrder="0" shrinkToFit="0" vertical="center" wrapText="0"/>
    </xf>
    <xf borderId="0" fillId="0" fontId="42" numFmtId="14" xfId="0" applyAlignment="1" applyFont="1" applyNumberFormat="1">
      <alignment horizontal="right" readingOrder="0" vertical="center"/>
    </xf>
    <xf borderId="10" fillId="0" fontId="42" numFmtId="14" xfId="0" applyAlignment="1" applyBorder="1" applyFont="1" applyNumberFormat="1">
      <alignment horizontal="right" readingOrder="0" vertical="center"/>
    </xf>
    <xf borderId="10" fillId="0" fontId="25" numFmtId="0" xfId="0" applyAlignment="1" applyBorder="1" applyFont="1">
      <alignment vertical="center"/>
    </xf>
    <xf borderId="6" fillId="5" fontId="14" numFmtId="165" xfId="0" applyAlignment="1" applyBorder="1" applyFill="1" applyFont="1" applyNumberFormat="1">
      <alignment horizontal="left" readingOrder="0" vertical="center"/>
    </xf>
    <xf borderId="0" fillId="0" fontId="10" numFmtId="0" xfId="0" applyAlignment="1" applyFont="1">
      <alignment vertical="center"/>
    </xf>
    <xf borderId="6" fillId="3" fontId="12" numFmtId="165" xfId="0" applyAlignment="1" applyBorder="1" applyFill="1" applyFont="1" applyNumberFormat="1">
      <alignment horizontal="right" vertical="center"/>
    </xf>
    <xf borderId="6" fillId="2" fontId="12" numFmtId="165" xfId="0" applyAlignment="1" applyBorder="1" applyFill="1" applyFont="1" applyNumberFormat="1">
      <alignment horizontal="left" vertical="center"/>
    </xf>
    <xf borderId="0" fillId="2" fontId="43" numFmtId="0" xfId="0" applyAlignment="1" applyFill="1" applyFont="1">
      <alignment readingOrder="0" vertical="center"/>
    </xf>
    <xf borderId="0" fillId="2" fontId="12" numFmtId="165" xfId="0" applyAlignment="1" applyFill="1" applyFont="1" applyNumberFormat="1">
      <alignment horizontal="right" vertical="center"/>
    </xf>
    <xf borderId="0" fillId="2" fontId="12" numFmtId="165" xfId="0" applyAlignment="1" applyFill="1" applyFont="1" applyNumberFormat="1">
      <alignment horizontal="left" vertical="center"/>
    </xf>
    <xf borderId="11" fillId="0" fontId="2" numFmtId="0" xfId="0" applyAlignment="1" applyBorder="1" applyFont="1">
      <alignment readingOrder="0" vertical="center"/>
    </xf>
    <xf borderId="0" fillId="0" fontId="44" numFmtId="0" xfId="0" applyAlignment="1" applyFont="1">
      <alignment readingOrder="0"/>
    </xf>
    <xf borderId="0" fillId="0" fontId="44" numFmtId="0" xfId="0" applyFont="1"/>
    <xf borderId="11" fillId="0" fontId="2" numFmtId="0" xfId="0" applyBorder="1" applyFont="1"/>
    <xf borderId="11" fillId="0" fontId="2" numFmtId="0" xfId="0" applyAlignment="1" applyBorder="1" applyFont="1">
      <alignment readingOrder="0"/>
    </xf>
    <xf borderId="6" fillId="2" fontId="14" numFmtId="0" xfId="0" applyAlignment="1" applyBorder="1" applyFill="1" applyFont="1">
      <alignment horizontal="center" readingOrder="0" vertical="center"/>
    </xf>
    <xf borderId="11" fillId="10" fontId="2" numFmtId="0" xfId="0" applyBorder="1" applyFill="1" applyFont="1"/>
    <xf borderId="6" fillId="9" fontId="14" numFmtId="0" xfId="0" applyAlignment="1" applyBorder="1" applyFill="1" applyFont="1">
      <alignment horizontal="center" readingOrder="0" vertical="center"/>
    </xf>
    <xf borderId="6" fillId="2" fontId="14" numFmtId="0" xfId="0" applyAlignment="1" applyBorder="1" applyFill="1" applyFont="1">
      <alignment horizontal="center" vertical="center"/>
    </xf>
    <xf borderId="6" fillId="5" fontId="14" numFmtId="0" xfId="0" applyAlignment="1" applyBorder="1" applyFill="1" applyFont="1">
      <alignment horizontal="center" vertical="center"/>
    </xf>
    <xf borderId="6" fillId="5" fontId="14" numFmtId="165" xfId="0" applyAlignment="1" applyBorder="1" applyFill="1" applyFont="1" applyNumberFormat="1">
      <alignment horizontal="right" vertical="center"/>
    </xf>
    <xf borderId="6" fillId="2" fontId="2" numFmtId="0" xfId="0" applyAlignment="1" applyBorder="1" applyFill="1" applyFont="1">
      <alignment horizontal="center" vertical="center"/>
    </xf>
    <xf borderId="6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2" fontId="10" numFmtId="0" xfId="0" applyAlignment="1" applyFill="1" applyFont="1">
      <alignment horizontal="center" vertical="center"/>
    </xf>
    <xf borderId="6" fillId="7" fontId="45" numFmtId="0" xfId="0" applyAlignment="1" applyBorder="1" applyFill="1" applyFont="1">
      <alignment horizontal="center" vertical="center"/>
    </xf>
    <xf borderId="6" fillId="7" fontId="46" numFmtId="9" xfId="0" applyAlignment="1" applyBorder="1" applyFill="1" applyFont="1" applyNumberFormat="1">
      <alignment horizontal="center" vertical="center"/>
    </xf>
    <xf borderId="6" fillId="7" fontId="47" numFmtId="165" xfId="0" applyAlignment="1" applyBorder="1" applyFill="1" applyFont="1" applyNumberFormat="1">
      <alignment horizontal="right" vertical="center"/>
    </xf>
    <xf borderId="6" fillId="2" fontId="14" numFmtId="165" xfId="0" applyAlignment="1" applyBorder="1" applyFill="1" applyFont="1" applyNumberFormat="1">
      <alignment vertical="center"/>
    </xf>
    <xf borderId="6" fillId="2" fontId="14" numFmtId="0" xfId="0" applyAlignment="1" applyBorder="1" applyFill="1" applyFont="1">
      <alignment horizontal="center" readingOrder="0" vertical="center"/>
    </xf>
    <xf borderId="6" fillId="5" fontId="14" numFmtId="0" xfId="0" applyAlignment="1" applyBorder="1" applyFill="1" applyFont="1">
      <alignment vertical="center"/>
    </xf>
    <xf borderId="6" fillId="2" fontId="48" numFmtId="0" xfId="0" applyAlignment="1" applyBorder="1" applyFill="1" applyFont="1">
      <alignment horizontal="center" readingOrder="0" vertical="center"/>
    </xf>
    <xf borderId="6" fillId="2" fontId="49" numFmtId="9" xfId="0" applyAlignment="1" applyBorder="1" applyFill="1" applyFont="1" applyNumberFormat="1">
      <alignment horizontal="center" vertical="center"/>
    </xf>
    <xf borderId="6" fillId="5" fontId="14" numFmtId="0" xfId="0" applyAlignment="1" applyBorder="1" applyFill="1" applyFont="1">
      <alignment horizontal="center" readingOrder="0" vertical="center"/>
    </xf>
    <xf borderId="6" fillId="5" fontId="50" numFmtId="0" xfId="0" applyAlignment="1" applyBorder="1" applyFill="1" applyFont="1">
      <alignment horizontal="center" vertical="center"/>
    </xf>
    <xf borderId="6" fillId="5" fontId="51" numFmtId="3" xfId="0" applyAlignment="1" applyBorder="1" applyFill="1" applyFont="1" applyNumberFormat="1">
      <alignment horizontal="center" vertical="center"/>
    </xf>
    <xf borderId="6" fillId="2" fontId="52" numFmtId="0" xfId="0" applyAlignment="1" applyBorder="1" applyFill="1" applyFont="1">
      <alignment horizontal="center" vertical="center"/>
    </xf>
    <xf borderId="6" fillId="2" fontId="53" numFmtId="165" xfId="0" applyAlignment="1" applyBorder="1" applyFill="1" applyFont="1" applyNumberFormat="1">
      <alignment horizontal="right" readingOrder="0" vertical="center"/>
    </xf>
    <xf borderId="6" fillId="5" fontId="9" numFmtId="0" xfId="0" applyAlignment="1" applyBorder="1" applyFill="1" applyFont="1">
      <alignment horizontal="center" vertical="center"/>
    </xf>
    <xf borderId="6" fillId="5" fontId="9" numFmtId="9" xfId="0" applyAlignment="1" applyBorder="1" applyFill="1" applyFont="1" applyNumberFormat="1">
      <alignment horizontal="center" vertical="center"/>
    </xf>
    <xf borderId="0" fillId="2" fontId="10" numFmtId="0" xfId="0" applyAlignment="1" applyFill="1" applyFont="1">
      <alignment horizontal="center" readingOrder="0" vertical="center"/>
    </xf>
    <xf borderId="0" fillId="2" fontId="10" numFmtId="0" xfId="0" applyAlignment="1" applyFill="1" applyFont="1">
      <alignment horizontal="center" vertical="center"/>
    </xf>
    <xf borderId="0" fillId="2" fontId="10" numFmtId="9" xfId="0" applyAlignment="1" applyFill="1" applyFont="1" applyNumberFormat="1">
      <alignment horizontal="center" vertical="center"/>
    </xf>
    <xf borderId="0" fillId="2" fontId="10" numFmtId="165" xfId="0" applyAlignment="1" applyFill="1" applyFont="1" applyNumberFormat="1">
      <alignment horizontal="right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</dxfs>
  <tableStyles count="5">
    <tableStyle count="2" pivot="0" name="ID-style">
      <tableStyleElement dxfId="1" type="firstRowStripe"/>
      <tableStyleElement dxfId="2" type="secondRowStripe"/>
    </tableStyle>
    <tableStyle count="2" pivot="0" name="ABS-style">
      <tableStyleElement dxfId="1" type="firstRowStripe"/>
      <tableStyleElement dxfId="2" type="secondRowStripe"/>
    </tableStyle>
    <tableStyle count="2" pivot="0" name="TEMP-style">
      <tableStyleElement dxfId="1" type="firstRowStripe"/>
      <tableStyleElement dxfId="2" type="secondRowStripe"/>
    </tableStyle>
    <tableStyle count="2" pivot="0" name="DENDA-style">
      <tableStyleElement dxfId="1" type="firstRowStripe"/>
      <tableStyleElement dxfId="2" type="secondRowStripe"/>
    </tableStyle>
    <tableStyle count="2" pivot="0" name="SLIP-style">
      <tableStyleElement dxfId="1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247650" cy="247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5:S21" displayName="Table_1" name="Table_1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ID-style" showColumnStripes="0" showFirstColumn="1" showLastColumn="1" showRowStripes="1"/>
</table>
</file>

<file path=xl/tables/table2.xml><?xml version="1.0" encoding="utf-8"?>
<table xmlns="http://schemas.openxmlformats.org/spreadsheetml/2006/main" headerRowCount="0" ref="A4:AJ20" displayName="Table_2" name="Table_2" id="2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TEMP-style" showColumnStripes="0" showFirstColumn="1" showLastColumn="1" showRowStripes="1"/>
</table>
</file>

<file path=xl/tables/table3.xml><?xml version="1.0" encoding="utf-8"?>
<table xmlns="http://schemas.openxmlformats.org/spreadsheetml/2006/main" headerRowCount="0" ref="A4:AT24" displayName="Table_3" name="Table_3" id="3">
  <tableColumns count="4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</tableColumns>
  <tableStyleInfo name="ABS-style" showColumnStripes="0" showFirstColumn="1" showLastColumn="1" showRowStripes="1"/>
</table>
</file>

<file path=xl/tables/table4.xml><?xml version="1.0" encoding="utf-8"?>
<table xmlns="http://schemas.openxmlformats.org/spreadsheetml/2006/main" headerRowCount="0" ref="A4:F24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DENDA-style" showColumnStripes="0" showFirstColumn="1" showLastColumn="1" showRowStripes="1"/>
</table>
</file>

<file path=xl/tables/table5.xml><?xml version="1.0" encoding="utf-8"?>
<table xmlns="http://schemas.openxmlformats.org/spreadsheetml/2006/main" headerRowCount="0" ref="B19:G26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LI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2" max="2" width="25.13"/>
    <col customWidth="1" min="4" max="4" width="22.63"/>
  </cols>
  <sheetData>
    <row r="1" ht="22.5" customHeight="1" collapsed="1">
      <c r="A1" s="1" t="s">
        <v>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ht="22.5" hidden="1" customHeight="1" outlineLevel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ht="22.5" hidden="1" customHeight="1" outlineLevel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ht="22.5" customHeight="1" collapsed="1">
      <c r="A5" s="14" t="s">
        <v>5</v>
      </c>
      <c r="B5" s="14" t="s">
        <v>6</v>
      </c>
      <c r="C5" s="14" t="s">
        <v>7</v>
      </c>
      <c r="D5" s="14" t="s">
        <v>8</v>
      </c>
      <c r="E5" s="14" t="s">
        <v>9</v>
      </c>
      <c r="F5" s="14" t="s">
        <v>10</v>
      </c>
      <c r="G5" s="14" t="s">
        <v>11</v>
      </c>
      <c r="H5" s="14" t="s">
        <v>12</v>
      </c>
      <c r="I5" s="14" t="s">
        <v>13</v>
      </c>
      <c r="J5" s="14" t="s">
        <v>14</v>
      </c>
      <c r="K5" s="14" t="s">
        <v>16</v>
      </c>
      <c r="L5" s="14" t="s">
        <v>17</v>
      </c>
      <c r="M5" s="14" t="s">
        <v>19</v>
      </c>
      <c r="N5" s="14" t="s">
        <v>20</v>
      </c>
      <c r="O5" s="14" t="s">
        <v>21</v>
      </c>
      <c r="P5" s="14" t="s">
        <v>22</v>
      </c>
      <c r="Q5" s="14" t="s">
        <v>23</v>
      </c>
      <c r="R5" s="14" t="s">
        <v>24</v>
      </c>
      <c r="S5" s="14" t="s">
        <v>25</v>
      </c>
    </row>
    <row r="6" ht="22.5" hidden="1" customHeight="1" outlineLevel="1">
      <c r="A6" s="19"/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</row>
    <row r="7" ht="22.5" customHeight="1">
      <c r="A7" s="23" t="s">
        <v>27</v>
      </c>
      <c r="B7" s="23" t="s">
        <v>28</v>
      </c>
      <c r="C7" s="23" t="s">
        <v>29</v>
      </c>
      <c r="D7" s="23" t="s">
        <v>30</v>
      </c>
      <c r="E7" s="25">
        <v>1000000.0</v>
      </c>
      <c r="F7" s="25">
        <v>500000.0</v>
      </c>
      <c r="G7" s="25">
        <v>500000.0</v>
      </c>
      <c r="H7" s="25">
        <v>0.0</v>
      </c>
      <c r="I7" s="25">
        <v>0.0</v>
      </c>
      <c r="J7" s="25">
        <v>0.0</v>
      </c>
      <c r="K7" s="25">
        <v>0.0</v>
      </c>
      <c r="L7" s="25">
        <v>0.0</v>
      </c>
      <c r="M7" s="25">
        <v>0.0</v>
      </c>
      <c r="N7" s="25">
        <v>0.0</v>
      </c>
      <c r="O7" s="25">
        <v>0.0</v>
      </c>
      <c r="P7" s="25">
        <v>0.0</v>
      </c>
      <c r="Q7" s="25">
        <v>0.0</v>
      </c>
      <c r="R7" s="25">
        <v>0.0</v>
      </c>
      <c r="S7" s="25">
        <v>0.0</v>
      </c>
    </row>
    <row r="8" ht="22.5" customHeight="1">
      <c r="A8" s="23" t="s">
        <v>31</v>
      </c>
      <c r="B8" s="23" t="s">
        <v>32</v>
      </c>
      <c r="C8" s="23" t="s">
        <v>33</v>
      </c>
      <c r="D8" s="23" t="s">
        <v>34</v>
      </c>
      <c r="E8" s="25">
        <v>1300000.0</v>
      </c>
      <c r="F8" s="25">
        <v>500000.0</v>
      </c>
      <c r="G8" s="25">
        <v>700000.0</v>
      </c>
      <c r="H8" s="25">
        <v>0.0</v>
      </c>
      <c r="I8" s="25">
        <v>0.0</v>
      </c>
      <c r="J8" s="25">
        <v>0.0</v>
      </c>
      <c r="K8" s="25">
        <v>0.0</v>
      </c>
      <c r="L8" s="25">
        <v>0.0</v>
      </c>
      <c r="M8" s="25">
        <v>500000.0</v>
      </c>
      <c r="N8" s="25">
        <v>0.0</v>
      </c>
      <c r="O8" s="25">
        <v>0.0</v>
      </c>
      <c r="P8" s="25">
        <v>0.0</v>
      </c>
      <c r="Q8" s="25">
        <v>0.0</v>
      </c>
      <c r="R8" s="25">
        <v>0.0</v>
      </c>
      <c r="S8" s="25">
        <v>0.0</v>
      </c>
    </row>
    <row r="9" ht="22.5" customHeight="1">
      <c r="A9" s="23" t="s">
        <v>37</v>
      </c>
      <c r="B9" s="23" t="s">
        <v>39</v>
      </c>
      <c r="C9" s="23" t="s">
        <v>40</v>
      </c>
      <c r="D9" s="23" t="s">
        <v>42</v>
      </c>
      <c r="E9" s="25">
        <v>1500000.0</v>
      </c>
      <c r="F9" s="25">
        <v>500000.0</v>
      </c>
      <c r="G9" s="25">
        <v>1500000.0</v>
      </c>
      <c r="H9" s="25">
        <v>0.0</v>
      </c>
      <c r="I9" s="25">
        <f t="shared" ref="I9:I16" si="1">1800000/2</f>
        <v>900000</v>
      </c>
      <c r="J9" s="25">
        <f t="shared" ref="J9:J16" si="2">200000/2</f>
        <v>100000</v>
      </c>
      <c r="K9" s="25">
        <f t="shared" ref="K9:K16" si="3">300000/2</f>
        <v>150000</v>
      </c>
      <c r="L9" s="25">
        <v>50000.0</v>
      </c>
      <c r="M9" s="25">
        <v>0.0</v>
      </c>
      <c r="N9" s="25">
        <v>0.0</v>
      </c>
      <c r="O9" s="25">
        <v>0.0</v>
      </c>
      <c r="P9" s="25">
        <v>0.0</v>
      </c>
      <c r="Q9" s="25">
        <v>0.0</v>
      </c>
      <c r="R9" s="25">
        <v>0.0</v>
      </c>
      <c r="S9" s="25">
        <v>0.0</v>
      </c>
    </row>
    <row r="10" ht="22.5" customHeight="1">
      <c r="A10" s="23" t="s">
        <v>46</v>
      </c>
      <c r="B10" s="23" t="s">
        <v>47</v>
      </c>
      <c r="C10" s="23" t="s">
        <v>48</v>
      </c>
      <c r="D10" s="23" t="s">
        <v>42</v>
      </c>
      <c r="E10" s="25">
        <v>1000000.0</v>
      </c>
      <c r="F10" s="38">
        <v>0.0</v>
      </c>
      <c r="G10" s="38">
        <v>0.0</v>
      </c>
      <c r="H10" s="25">
        <v>0.0</v>
      </c>
      <c r="I10" s="25">
        <f t="shared" si="1"/>
        <v>900000</v>
      </c>
      <c r="J10" s="25">
        <f t="shared" si="2"/>
        <v>100000</v>
      </c>
      <c r="K10" s="25">
        <f t="shared" si="3"/>
        <v>150000</v>
      </c>
      <c r="L10" s="25">
        <v>50000.0</v>
      </c>
      <c r="M10" s="25">
        <v>0.0</v>
      </c>
      <c r="N10" s="25">
        <v>0.0</v>
      </c>
      <c r="O10" s="25">
        <v>0.0</v>
      </c>
      <c r="P10" s="25">
        <v>0.0</v>
      </c>
      <c r="Q10" s="25">
        <v>0.0</v>
      </c>
      <c r="R10" s="25">
        <v>0.0</v>
      </c>
      <c r="S10" s="25">
        <v>0.0</v>
      </c>
    </row>
    <row r="11" ht="22.5" customHeight="1">
      <c r="A11" s="23" t="s">
        <v>49</v>
      </c>
      <c r="B11" s="23" t="s">
        <v>50</v>
      </c>
      <c r="C11" s="23" t="s">
        <v>51</v>
      </c>
      <c r="D11" s="23" t="s">
        <v>42</v>
      </c>
      <c r="E11" s="25">
        <v>1200000.0</v>
      </c>
      <c r="F11" s="25">
        <v>500000.0</v>
      </c>
      <c r="G11" s="25">
        <v>1500000.0</v>
      </c>
      <c r="H11" s="25">
        <v>0.0</v>
      </c>
      <c r="I11" s="25">
        <f t="shared" si="1"/>
        <v>900000</v>
      </c>
      <c r="J11" s="25">
        <f t="shared" si="2"/>
        <v>100000</v>
      </c>
      <c r="K11" s="25">
        <f t="shared" si="3"/>
        <v>150000</v>
      </c>
      <c r="L11" s="25">
        <v>50000.0</v>
      </c>
      <c r="M11" s="25">
        <v>0.0</v>
      </c>
      <c r="N11" s="25">
        <v>0.0</v>
      </c>
      <c r="O11" s="25">
        <v>0.0</v>
      </c>
      <c r="P11" s="25">
        <v>0.0</v>
      </c>
      <c r="Q11" s="25">
        <v>0.0</v>
      </c>
      <c r="R11" s="25">
        <v>0.0</v>
      </c>
      <c r="S11" s="25">
        <v>0.0</v>
      </c>
    </row>
    <row r="12" ht="22.5" customHeight="1">
      <c r="A12" s="23" t="s">
        <v>52</v>
      </c>
      <c r="B12" s="23" t="s">
        <v>53</v>
      </c>
      <c r="C12" s="23" t="s">
        <v>54</v>
      </c>
      <c r="D12" s="23" t="s">
        <v>42</v>
      </c>
      <c r="E12" s="25">
        <v>1000000.0</v>
      </c>
      <c r="F12" s="25">
        <v>500000.0</v>
      </c>
      <c r="G12" s="25">
        <v>1500000.0</v>
      </c>
      <c r="H12" s="25">
        <v>0.0</v>
      </c>
      <c r="I12" s="25">
        <f t="shared" si="1"/>
        <v>900000</v>
      </c>
      <c r="J12" s="25">
        <f t="shared" si="2"/>
        <v>100000</v>
      </c>
      <c r="K12" s="25">
        <f t="shared" si="3"/>
        <v>150000</v>
      </c>
      <c r="L12" s="25">
        <v>50000.0</v>
      </c>
      <c r="M12" s="25">
        <v>0.0</v>
      </c>
      <c r="N12" s="25">
        <v>0.0</v>
      </c>
      <c r="O12" s="25">
        <v>0.0</v>
      </c>
      <c r="P12" s="25">
        <v>0.0</v>
      </c>
      <c r="Q12" s="25">
        <v>0.0</v>
      </c>
      <c r="R12" s="25">
        <v>0.0</v>
      </c>
      <c r="S12" s="25">
        <v>0.0</v>
      </c>
    </row>
    <row r="13" ht="22.5" customHeight="1">
      <c r="A13" s="23" t="s">
        <v>55</v>
      </c>
      <c r="B13" s="23" t="s">
        <v>56</v>
      </c>
      <c r="C13" s="23" t="s">
        <v>57</v>
      </c>
      <c r="D13" s="23" t="s">
        <v>42</v>
      </c>
      <c r="E13" s="25">
        <v>1000000.0</v>
      </c>
      <c r="F13" s="25">
        <v>500000.0</v>
      </c>
      <c r="G13" s="25">
        <v>1500000.0</v>
      </c>
      <c r="H13" s="25">
        <v>0.0</v>
      </c>
      <c r="I13" s="25">
        <f t="shared" si="1"/>
        <v>900000</v>
      </c>
      <c r="J13" s="25">
        <f t="shared" si="2"/>
        <v>100000</v>
      </c>
      <c r="K13" s="25">
        <f t="shared" si="3"/>
        <v>150000</v>
      </c>
      <c r="L13" s="25">
        <v>50000.0</v>
      </c>
      <c r="M13" s="25">
        <v>0.0</v>
      </c>
      <c r="N13" s="25">
        <v>0.0</v>
      </c>
      <c r="O13" s="25">
        <v>0.0</v>
      </c>
      <c r="P13" s="25">
        <v>0.0</v>
      </c>
      <c r="Q13" s="25">
        <v>0.0</v>
      </c>
      <c r="R13" s="25">
        <v>0.0</v>
      </c>
      <c r="S13" s="25">
        <v>0.0</v>
      </c>
    </row>
    <row r="14" ht="22.5" customHeight="1">
      <c r="A14" s="23" t="s">
        <v>58</v>
      </c>
      <c r="B14" s="23" t="s">
        <v>59</v>
      </c>
      <c r="C14" s="23" t="s">
        <v>60</v>
      </c>
      <c r="D14" s="23" t="s">
        <v>42</v>
      </c>
      <c r="E14" s="25">
        <v>1000000.0</v>
      </c>
      <c r="F14" s="25">
        <v>500000.0</v>
      </c>
      <c r="G14" s="25">
        <v>1500000.0</v>
      </c>
      <c r="H14" s="25">
        <v>0.0</v>
      </c>
      <c r="I14" s="25">
        <f t="shared" si="1"/>
        <v>900000</v>
      </c>
      <c r="J14" s="25">
        <f t="shared" si="2"/>
        <v>100000</v>
      </c>
      <c r="K14" s="25">
        <f t="shared" si="3"/>
        <v>150000</v>
      </c>
      <c r="L14" s="25">
        <v>50000.0</v>
      </c>
      <c r="M14" s="25">
        <v>0.0</v>
      </c>
      <c r="N14" s="25">
        <v>0.0</v>
      </c>
      <c r="O14" s="25">
        <v>0.0</v>
      </c>
      <c r="P14" s="25">
        <v>0.0</v>
      </c>
      <c r="Q14" s="25">
        <v>0.0</v>
      </c>
      <c r="R14" s="25">
        <v>0.0</v>
      </c>
      <c r="S14" s="25">
        <v>0.0</v>
      </c>
    </row>
    <row r="15" ht="22.5" customHeight="1">
      <c r="A15" s="23" t="s">
        <v>61</v>
      </c>
      <c r="B15" s="23" t="s">
        <v>62</v>
      </c>
      <c r="C15" s="23" t="s">
        <v>63</v>
      </c>
      <c r="D15" s="23" t="s">
        <v>42</v>
      </c>
      <c r="E15" s="25">
        <v>1000000.0</v>
      </c>
      <c r="F15" s="25">
        <v>500000.0</v>
      </c>
      <c r="G15" s="25">
        <v>1500000.0</v>
      </c>
      <c r="H15" s="25">
        <v>0.0</v>
      </c>
      <c r="I15" s="25">
        <f t="shared" si="1"/>
        <v>900000</v>
      </c>
      <c r="J15" s="25">
        <f t="shared" si="2"/>
        <v>100000</v>
      </c>
      <c r="K15" s="25">
        <f t="shared" si="3"/>
        <v>150000</v>
      </c>
      <c r="L15" s="25">
        <v>50000.0</v>
      </c>
      <c r="M15" s="25">
        <v>0.0</v>
      </c>
      <c r="N15" s="25">
        <v>0.0</v>
      </c>
      <c r="O15" s="25">
        <v>0.0</v>
      </c>
      <c r="P15" s="25">
        <v>0.0</v>
      </c>
      <c r="Q15" s="25">
        <v>0.0</v>
      </c>
      <c r="R15" s="25">
        <v>0.0</v>
      </c>
      <c r="S15" s="25">
        <v>0.0</v>
      </c>
    </row>
    <row r="16" ht="22.5" customHeight="1">
      <c r="A16" s="23" t="s">
        <v>64</v>
      </c>
      <c r="B16" s="23" t="s">
        <v>65</v>
      </c>
      <c r="C16" s="23" t="s">
        <v>66</v>
      </c>
      <c r="D16" s="23" t="s">
        <v>42</v>
      </c>
      <c r="E16" s="25">
        <v>1000000.0</v>
      </c>
      <c r="F16" s="25">
        <v>500000.0</v>
      </c>
      <c r="G16" s="25">
        <v>1500000.0</v>
      </c>
      <c r="H16" s="25">
        <v>0.0</v>
      </c>
      <c r="I16" s="25">
        <f t="shared" si="1"/>
        <v>900000</v>
      </c>
      <c r="J16" s="25">
        <f t="shared" si="2"/>
        <v>100000</v>
      </c>
      <c r="K16" s="25">
        <f t="shared" si="3"/>
        <v>150000</v>
      </c>
      <c r="L16" s="25">
        <v>50000.0</v>
      </c>
      <c r="M16" s="25">
        <v>0.0</v>
      </c>
      <c r="N16" s="25">
        <v>0.0</v>
      </c>
      <c r="O16" s="25">
        <v>0.0</v>
      </c>
      <c r="P16" s="25">
        <v>0.0</v>
      </c>
      <c r="Q16" s="25">
        <v>0.0</v>
      </c>
      <c r="R16" s="25">
        <v>0.0</v>
      </c>
      <c r="S16" s="25">
        <v>0.0</v>
      </c>
    </row>
    <row r="17" ht="22.5" customHeight="1">
      <c r="A17" s="23" t="s">
        <v>67</v>
      </c>
      <c r="B17" s="23" t="s">
        <v>68</v>
      </c>
      <c r="C17" s="23" t="s">
        <v>69</v>
      </c>
      <c r="D17" s="23" t="s">
        <v>42</v>
      </c>
      <c r="E17" s="25">
        <v>1000000.0</v>
      </c>
      <c r="F17" s="25">
        <v>500000.0</v>
      </c>
      <c r="G17" s="25">
        <v>1500000.0</v>
      </c>
      <c r="H17" s="25">
        <v>0.0</v>
      </c>
      <c r="I17" s="25">
        <v>900000.0</v>
      </c>
      <c r="J17" s="25">
        <v>100000.0</v>
      </c>
      <c r="K17" s="25">
        <v>150000.0</v>
      </c>
      <c r="L17" s="25">
        <v>50000.0</v>
      </c>
      <c r="M17" s="25">
        <v>0.0</v>
      </c>
      <c r="N17" s="25">
        <v>0.0</v>
      </c>
      <c r="O17" s="25">
        <v>0.0</v>
      </c>
      <c r="P17" s="25">
        <v>0.0</v>
      </c>
      <c r="Q17" s="25">
        <v>0.0</v>
      </c>
      <c r="R17" s="25">
        <v>0.0</v>
      </c>
      <c r="S17" s="25">
        <v>0.0</v>
      </c>
    </row>
    <row r="18" ht="22.5" customHeight="1">
      <c r="A18" s="23" t="s">
        <v>70</v>
      </c>
      <c r="B18" s="23" t="s">
        <v>71</v>
      </c>
      <c r="C18" s="23" t="s">
        <v>72</v>
      </c>
      <c r="D18" s="23" t="s">
        <v>42</v>
      </c>
      <c r="E18" s="25">
        <v>1000000.0</v>
      </c>
      <c r="F18" s="25">
        <v>500000.0</v>
      </c>
      <c r="G18" s="25">
        <v>1500000.0</v>
      </c>
      <c r="H18" s="25">
        <v>0.0</v>
      </c>
      <c r="I18" s="25">
        <v>900000.0</v>
      </c>
      <c r="J18" s="25">
        <v>100000.0</v>
      </c>
      <c r="K18" s="25">
        <v>150000.0</v>
      </c>
      <c r="L18" s="25">
        <v>50000.0</v>
      </c>
      <c r="M18" s="25">
        <v>0.0</v>
      </c>
      <c r="N18" s="25">
        <v>0.0</v>
      </c>
      <c r="O18" s="25">
        <v>0.0</v>
      </c>
      <c r="P18" s="25">
        <v>0.0</v>
      </c>
      <c r="Q18" s="25">
        <v>0.0</v>
      </c>
      <c r="R18" s="25">
        <v>0.0</v>
      </c>
      <c r="S18" s="25">
        <v>0.0</v>
      </c>
    </row>
    <row r="19" ht="22.5" customHeight="1">
      <c r="A19" s="23" t="s">
        <v>73</v>
      </c>
      <c r="B19" s="23" t="s">
        <v>74</v>
      </c>
      <c r="C19" s="23" t="s">
        <v>75</v>
      </c>
      <c r="D19" s="23" t="s">
        <v>76</v>
      </c>
      <c r="E19" s="25">
        <v>1000000.0</v>
      </c>
      <c r="F19" s="25">
        <v>0.0</v>
      </c>
      <c r="G19" s="25">
        <v>1400000.0</v>
      </c>
      <c r="H19" s="25">
        <v>0.0</v>
      </c>
      <c r="I19" s="25">
        <v>0.0</v>
      </c>
      <c r="J19" s="25">
        <v>0.0</v>
      </c>
      <c r="K19" s="25">
        <v>0.0</v>
      </c>
      <c r="L19" s="25">
        <v>0.0</v>
      </c>
      <c r="M19" s="25">
        <v>200000.0</v>
      </c>
      <c r="N19" s="25">
        <v>200000.0</v>
      </c>
      <c r="O19" s="25">
        <v>150000.0</v>
      </c>
      <c r="P19" s="25">
        <v>95000.0</v>
      </c>
      <c r="Q19" s="25">
        <v>285000.0</v>
      </c>
      <c r="R19" s="25">
        <v>270000.0</v>
      </c>
      <c r="S19" s="25">
        <v>50000.0</v>
      </c>
    </row>
    <row r="20" ht="22.5" customHeight="1" collapsed="1">
      <c r="A20" s="23" t="s">
        <v>77</v>
      </c>
      <c r="B20" s="23" t="s">
        <v>78</v>
      </c>
      <c r="C20" s="23" t="s">
        <v>79</v>
      </c>
      <c r="D20" s="23" t="s">
        <v>80</v>
      </c>
      <c r="E20" s="25">
        <v>1000000.0</v>
      </c>
      <c r="F20" s="25">
        <v>1500000.0</v>
      </c>
      <c r="G20" s="25">
        <v>0.0</v>
      </c>
      <c r="H20" s="25">
        <v>500000.0</v>
      </c>
      <c r="I20" s="25">
        <v>0.0</v>
      </c>
      <c r="J20" s="25">
        <v>0.0</v>
      </c>
      <c r="K20" s="25">
        <v>0.0</v>
      </c>
      <c r="L20" s="25">
        <v>0.0</v>
      </c>
      <c r="M20" s="25">
        <v>0.0</v>
      </c>
      <c r="N20" s="25">
        <v>0.0</v>
      </c>
      <c r="O20" s="25">
        <v>0.0</v>
      </c>
      <c r="P20" s="25">
        <v>0.0</v>
      </c>
      <c r="Q20" s="25">
        <v>0.0</v>
      </c>
      <c r="R20" s="25">
        <v>0.0</v>
      </c>
      <c r="S20" s="25">
        <v>0.0</v>
      </c>
    </row>
    <row r="21" ht="22.5" hidden="1" customHeight="1" outlineLevel="1">
      <c r="A21" s="23"/>
      <c r="B21" s="23"/>
      <c r="C21" s="23"/>
      <c r="D21" s="23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ollapsed="1" customWidth="1" min="2" max="2" width="25.13"/>
    <col hidden="1" min="3" max="3" width="12.63" outlineLevel="1"/>
    <col customWidth="1" hidden="1" min="4" max="4" width="17.63" outlineLevel="1"/>
    <col customWidth="1" min="5" max="36" width="3.88"/>
  </cols>
  <sheetData>
    <row r="1" ht="22.5" customHeight="1">
      <c r="A1" s="1" t="s">
        <v>2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22.5" customHeight="1">
      <c r="A2" s="5" t="s">
        <v>4</v>
      </c>
      <c r="B2" s="6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</row>
    <row r="3" ht="22.5" customHeight="1">
      <c r="A3" s="4"/>
      <c r="B3" s="4"/>
      <c r="C3" s="4"/>
      <c r="D3" s="4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7" t="s">
        <v>18</v>
      </c>
      <c r="AJ3" s="26">
        <f>COUNTIF(E4:AJ4,"K")</f>
        <v>23</v>
      </c>
    </row>
    <row r="4" ht="22.5" customHeight="1">
      <c r="A4" s="29"/>
      <c r="B4" s="28"/>
      <c r="C4" s="28"/>
      <c r="D4" s="28"/>
      <c r="E4" s="31" t="s">
        <v>35</v>
      </c>
      <c r="F4" s="31"/>
      <c r="G4" s="31" t="s">
        <v>35</v>
      </c>
      <c r="H4" s="31" t="s">
        <v>35</v>
      </c>
      <c r="I4" s="31" t="s">
        <v>35</v>
      </c>
      <c r="J4" s="31"/>
      <c r="K4" s="31"/>
      <c r="L4" s="31"/>
      <c r="M4" s="31"/>
      <c r="N4" s="31" t="s">
        <v>35</v>
      </c>
      <c r="O4" s="31" t="s">
        <v>35</v>
      </c>
      <c r="P4" s="31" t="s">
        <v>35</v>
      </c>
      <c r="Q4" s="31" t="s">
        <v>35</v>
      </c>
      <c r="R4" s="31" t="s">
        <v>35</v>
      </c>
      <c r="S4" s="31" t="s">
        <v>35</v>
      </c>
      <c r="T4" s="31"/>
      <c r="U4" s="31" t="s">
        <v>35</v>
      </c>
      <c r="V4" s="31" t="s">
        <v>35</v>
      </c>
      <c r="W4" s="31" t="s">
        <v>35</v>
      </c>
      <c r="X4" s="31" t="s">
        <v>35</v>
      </c>
      <c r="Y4" s="31" t="s">
        <v>35</v>
      </c>
      <c r="Z4" s="31" t="s">
        <v>35</v>
      </c>
      <c r="AA4" s="31"/>
      <c r="AB4" s="31" t="s">
        <v>35</v>
      </c>
      <c r="AC4" s="31" t="s">
        <v>35</v>
      </c>
      <c r="AD4" s="31" t="s">
        <v>35</v>
      </c>
      <c r="AE4" s="31" t="s">
        <v>35</v>
      </c>
      <c r="AF4" s="31" t="s">
        <v>35</v>
      </c>
      <c r="AG4" s="31" t="s">
        <v>35</v>
      </c>
      <c r="AH4" s="31"/>
      <c r="AI4" s="31" t="s">
        <v>35</v>
      </c>
      <c r="AJ4" s="31"/>
    </row>
    <row r="5" ht="22.5" customHeight="1">
      <c r="A5" s="13"/>
      <c r="B5" s="15"/>
      <c r="C5" s="15"/>
      <c r="D5" s="15"/>
      <c r="E5" s="35">
        <v>46261.0</v>
      </c>
      <c r="F5" s="35">
        <v>46262.0</v>
      </c>
      <c r="G5" s="35">
        <v>46263.0</v>
      </c>
      <c r="H5" s="35">
        <v>46264.0</v>
      </c>
      <c r="I5" s="35">
        <v>46265.0</v>
      </c>
      <c r="J5" s="35">
        <v>46266.0</v>
      </c>
      <c r="K5" s="35">
        <v>46267.0</v>
      </c>
      <c r="L5" s="35">
        <v>46268.0</v>
      </c>
      <c r="M5" s="35">
        <v>46269.0</v>
      </c>
      <c r="N5" s="35">
        <v>46270.0</v>
      </c>
      <c r="O5" s="35">
        <v>46271.0</v>
      </c>
      <c r="P5" s="35">
        <v>46272.0</v>
      </c>
      <c r="Q5" s="35">
        <v>46273.0</v>
      </c>
      <c r="R5" s="35">
        <v>46274.0</v>
      </c>
      <c r="S5" s="35">
        <v>46275.0</v>
      </c>
      <c r="T5" s="35">
        <v>46276.0</v>
      </c>
      <c r="U5" s="35">
        <v>46277.0</v>
      </c>
      <c r="V5" s="35">
        <v>46278.0</v>
      </c>
      <c r="W5" s="35">
        <v>46279.0</v>
      </c>
      <c r="X5" s="35">
        <v>46280.0</v>
      </c>
      <c r="Y5" s="35">
        <v>46281.0</v>
      </c>
      <c r="Z5" s="35">
        <v>46282.0</v>
      </c>
      <c r="AA5" s="35">
        <v>46283.0</v>
      </c>
      <c r="AB5" s="35">
        <v>46284.0</v>
      </c>
      <c r="AC5" s="35">
        <v>46285.0</v>
      </c>
      <c r="AD5" s="35">
        <v>46286.0</v>
      </c>
      <c r="AE5" s="35">
        <v>46287.0</v>
      </c>
      <c r="AF5" s="35">
        <v>46288.0</v>
      </c>
      <c r="AG5" s="35">
        <v>46289.0</v>
      </c>
      <c r="AH5" s="35">
        <v>46290.0</v>
      </c>
      <c r="AI5" s="35">
        <v>46291.0</v>
      </c>
      <c r="AJ5" s="35"/>
    </row>
    <row r="6" ht="22.5" customHeight="1">
      <c r="A6" s="37" t="s">
        <v>5</v>
      </c>
      <c r="B6" s="39" t="s">
        <v>6</v>
      </c>
      <c r="C6" s="39" t="s">
        <v>7</v>
      </c>
      <c r="D6" s="39" t="s">
        <v>8</v>
      </c>
      <c r="E6" s="41" t="str">
        <f t="shared" ref="E6:AI6" si="1">UPPER(TEXT(E5,"DDD"))</f>
        <v>KAM</v>
      </c>
      <c r="F6" s="41" t="str">
        <f t="shared" si="1"/>
        <v>JUM</v>
      </c>
      <c r="G6" s="41" t="str">
        <f t="shared" si="1"/>
        <v>SAB</v>
      </c>
      <c r="H6" s="41" t="str">
        <f t="shared" si="1"/>
        <v>MIN</v>
      </c>
      <c r="I6" s="41" t="str">
        <f t="shared" si="1"/>
        <v>SEN</v>
      </c>
      <c r="J6" s="41" t="str">
        <f t="shared" si="1"/>
        <v>SEL</v>
      </c>
      <c r="K6" s="41" t="str">
        <f t="shared" si="1"/>
        <v>RAB</v>
      </c>
      <c r="L6" s="41" t="str">
        <f t="shared" si="1"/>
        <v>KAM</v>
      </c>
      <c r="M6" s="41" t="str">
        <f t="shared" si="1"/>
        <v>JUM</v>
      </c>
      <c r="N6" s="41" t="str">
        <f t="shared" si="1"/>
        <v>SAB</v>
      </c>
      <c r="O6" s="41" t="str">
        <f t="shared" si="1"/>
        <v>MIN</v>
      </c>
      <c r="P6" s="41" t="str">
        <f t="shared" si="1"/>
        <v>SEN</v>
      </c>
      <c r="Q6" s="41" t="str">
        <f t="shared" si="1"/>
        <v>SEL</v>
      </c>
      <c r="R6" s="41" t="str">
        <f t="shared" si="1"/>
        <v>RAB</v>
      </c>
      <c r="S6" s="41" t="str">
        <f t="shared" si="1"/>
        <v>KAM</v>
      </c>
      <c r="T6" s="41" t="str">
        <f t="shared" si="1"/>
        <v>JUM</v>
      </c>
      <c r="U6" s="41" t="str">
        <f t="shared" si="1"/>
        <v>SAB</v>
      </c>
      <c r="V6" s="41" t="str">
        <f t="shared" si="1"/>
        <v>MIN</v>
      </c>
      <c r="W6" s="41" t="str">
        <f t="shared" si="1"/>
        <v>SEN</v>
      </c>
      <c r="X6" s="41" t="str">
        <f t="shared" si="1"/>
        <v>SEL</v>
      </c>
      <c r="Y6" s="41" t="str">
        <f t="shared" si="1"/>
        <v>RAB</v>
      </c>
      <c r="Z6" s="41" t="str">
        <f t="shared" si="1"/>
        <v>KAM</v>
      </c>
      <c r="AA6" s="41" t="str">
        <f t="shared" si="1"/>
        <v>JUM</v>
      </c>
      <c r="AB6" s="41" t="str">
        <f t="shared" si="1"/>
        <v>SAB</v>
      </c>
      <c r="AC6" s="41" t="str">
        <f t="shared" si="1"/>
        <v>MIN</v>
      </c>
      <c r="AD6" s="41" t="str">
        <f t="shared" si="1"/>
        <v>SEN</v>
      </c>
      <c r="AE6" s="41" t="str">
        <f t="shared" si="1"/>
        <v>SEL</v>
      </c>
      <c r="AF6" s="41" t="str">
        <f t="shared" si="1"/>
        <v>RAB</v>
      </c>
      <c r="AG6" s="41" t="str">
        <f t="shared" si="1"/>
        <v>KAM</v>
      </c>
      <c r="AH6" s="41" t="str">
        <f t="shared" si="1"/>
        <v>JUM</v>
      </c>
      <c r="AI6" s="41" t="str">
        <f t="shared" si="1"/>
        <v>SAB</v>
      </c>
      <c r="AJ6" s="41"/>
    </row>
    <row r="7" ht="22.5" customHeight="1">
      <c r="A7" s="45" t="str">
        <f>ID!A7</f>
        <v>A1260201</v>
      </c>
      <c r="B7" s="45" t="str">
        <f t="array" ref="B7">_xlfn.XLOOKUP(A7,ID!$A7:A20,ID!$B7:B20)</f>
        <v>DHEA NANDA KHAIRUNNISA</v>
      </c>
      <c r="C7" s="45" t="str">
        <f t="array" ref="C7">_xlfn.XLOOKUP(A7,ID!$A7:A20,ID!$C7:C20)</f>
        <v>DHEA</v>
      </c>
      <c r="D7" s="45" t="str">
        <f t="array" ref="D7">_xlfn.XLOOKUP(A7,ID!$A7:A20,ID!$D7:D20)</f>
        <v>STAF ADMINISTRASI</v>
      </c>
      <c r="E7" s="48"/>
      <c r="F7" s="48"/>
      <c r="G7" s="48"/>
      <c r="H7" s="48"/>
      <c r="I7" s="48"/>
      <c r="J7" s="49"/>
      <c r="K7" s="48"/>
      <c r="L7" s="48"/>
      <c r="M7" s="48"/>
      <c r="N7" s="48"/>
      <c r="O7" s="48"/>
      <c r="P7" s="48"/>
      <c r="Q7" s="49"/>
      <c r="R7" s="48"/>
      <c r="S7" s="48"/>
      <c r="T7" s="48"/>
      <c r="U7" s="48"/>
      <c r="V7" s="48"/>
      <c r="W7" s="48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</row>
    <row r="8" ht="22.5" customHeight="1">
      <c r="A8" s="45" t="str">
        <f>ID!A8</f>
        <v>A1260601</v>
      </c>
      <c r="B8" s="45" t="str">
        <f t="array" ref="B8">_xlfn.XLOOKUP(A8,ID!$A8:A20,ID!$B8:B20)</f>
        <v>NOVRITA INDRIASWARI</v>
      </c>
      <c r="C8" s="45" t="str">
        <f t="array" ref="C8">_xlfn.XLOOKUP(A8,ID!$A8:A20,ID!$C8:C20)</f>
        <v>ICA</v>
      </c>
      <c r="D8" s="45" t="str">
        <f t="array" ref="D8">_xlfn.XLOOKUP(A8,ID!$A8:A20,ID!$D8:D20)</f>
        <v>STAF ADMINISTRASI PUSAT</v>
      </c>
      <c r="E8" s="48"/>
      <c r="F8" s="48"/>
      <c r="G8" s="48"/>
      <c r="H8" s="48"/>
      <c r="I8" s="48"/>
      <c r="J8" s="49"/>
      <c r="K8" s="48"/>
      <c r="L8" s="48"/>
      <c r="M8" s="48"/>
      <c r="N8" s="48"/>
      <c r="O8" s="48"/>
      <c r="P8" s="48"/>
      <c r="Q8" s="49"/>
      <c r="R8" s="48"/>
      <c r="S8" s="48"/>
      <c r="T8" s="48"/>
      <c r="U8" s="48"/>
      <c r="V8" s="48"/>
      <c r="W8" s="48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</row>
    <row r="9" ht="22.5" customHeight="1">
      <c r="A9" s="45" t="str">
        <f>ID!A9</f>
        <v>B1220101</v>
      </c>
      <c r="B9" s="45" t="str">
        <f t="array" ref="B9">_xlfn.XLOOKUP(A9,ID!$A9:A20,ID!$B9:B20)</f>
        <v>HESTI SUFRESHTRI</v>
      </c>
      <c r="C9" s="45" t="str">
        <f t="array" ref="C9">_xlfn.XLOOKUP(A9,ID!$A9:A20,ID!$C9:C20)</f>
        <v>HESTI</v>
      </c>
      <c r="D9" s="45" t="str">
        <f t="array" ref="D9">_xlfn.XLOOKUP(A9,ID!$A9:A20,ID!$D9:D20)</f>
        <v>FISIOTERAPIS</v>
      </c>
      <c r="E9" s="48"/>
      <c r="F9" s="48"/>
      <c r="G9" s="54"/>
      <c r="H9" s="48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</row>
    <row r="10" ht="22.5" customHeight="1">
      <c r="A10" s="45" t="str">
        <f>ID!A10</f>
        <v>B1221101</v>
      </c>
      <c r="B10" s="45" t="str">
        <f t="array" ref="B10">_xlfn.XLOOKUP(A10,ID!$A10:A20,ID!$B10:B20)</f>
        <v>SHOFIANADA NABILLA</v>
      </c>
      <c r="C10" s="45" t="str">
        <f t="array" ref="C10">_xlfn.XLOOKUP(A10,ID!$A10:A20,ID!$C10:C20)</f>
        <v>NADA</v>
      </c>
      <c r="D10" s="45" t="str">
        <f t="array" ref="D10">_xlfn.XLOOKUP(A10,ID!$A10:A20,ID!$D10:D20)</f>
        <v>FISIOTERAPIS</v>
      </c>
      <c r="E10" s="48"/>
      <c r="F10" s="48"/>
      <c r="G10" s="54"/>
      <c r="H10" s="48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</row>
    <row r="11" ht="22.5" customHeight="1">
      <c r="A11" s="45" t="str">
        <f>ID!A11</f>
        <v>B1240101</v>
      </c>
      <c r="B11" s="45" t="str">
        <f t="array" ref="B11">_xlfn.XLOOKUP(A11,ID!$A11:A20,ID!$B11:B20)</f>
        <v>DESTY TRI RAHMADHANI</v>
      </c>
      <c r="C11" s="45" t="str">
        <f t="array" ref="C11">_xlfn.XLOOKUP(A11,ID!$A11:A20,ID!$C11:C20)</f>
        <v>DESTY</v>
      </c>
      <c r="D11" s="45" t="str">
        <f t="array" ref="D11">_xlfn.XLOOKUP(A11,ID!$A11:A20,ID!$D11:D20)</f>
        <v>FISIOTERAPIS</v>
      </c>
      <c r="E11" s="48"/>
      <c r="F11" s="48"/>
      <c r="G11" s="54"/>
      <c r="H11" s="48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</row>
    <row r="12" ht="22.5" customHeight="1">
      <c r="A12" s="45" t="str">
        <f>ID!A12</f>
        <v>B1241001</v>
      </c>
      <c r="B12" s="45" t="str">
        <f t="array" ref="B12">_xlfn.XLOOKUP(A12,ID!$A11:A20,ID!$B11:B20)</f>
        <v>JOHANA PRITY</v>
      </c>
      <c r="C12" s="45" t="str">
        <f t="array" ref="C12">_xlfn.XLOOKUP(A12,ID!$A11:A20,ID!$C11:C20)</f>
        <v>PRITY</v>
      </c>
      <c r="D12" s="45" t="str">
        <f t="array" ref="D12">_xlfn.XLOOKUP(A12,ID!$A11:A20,ID!$D11:D20)</f>
        <v>FISIOTERAPIS</v>
      </c>
      <c r="E12" s="48"/>
      <c r="F12" s="48"/>
      <c r="G12" s="54"/>
      <c r="H12" s="48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</row>
    <row r="13" ht="22.5" customHeight="1">
      <c r="A13" s="45" t="str">
        <f>ID!A13</f>
        <v>B1250101</v>
      </c>
      <c r="B13" s="45" t="str">
        <f t="array" ref="B13">_xlfn.XLOOKUP(A13,ID!$A12:A20,ID!$B12:B20)</f>
        <v>WAHYU TRI SETYO NUGROHO</v>
      </c>
      <c r="C13" s="45" t="str">
        <f t="array" ref="C13">_xlfn.XLOOKUP(A13,ID!$A12:A20,ID!$C12:C20)</f>
        <v>WAHYU</v>
      </c>
      <c r="D13" s="45" t="str">
        <f t="array" ref="D13">_xlfn.XLOOKUP(A13,ID!$A12:A20,ID!$D12:D20)</f>
        <v>FISIOTERAPIS</v>
      </c>
      <c r="E13" s="48"/>
      <c r="F13" s="48"/>
      <c r="G13" s="54"/>
      <c r="H13" s="48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</row>
    <row r="14" ht="22.5" customHeight="1">
      <c r="A14" s="45" t="str">
        <f>ID!A14</f>
        <v>B1250102</v>
      </c>
      <c r="B14" s="45" t="str">
        <f t="array" ref="B14">_xlfn.XLOOKUP(A14,ID!$A13:A20,ID!$B13:B20)</f>
        <v>ORY KUSTI OVIANDAR</v>
      </c>
      <c r="C14" s="45" t="str">
        <f t="array" ref="C14">_xlfn.XLOOKUP(A14,ID!$A13:A20,ID!$C13:C20)</f>
        <v>ORY</v>
      </c>
      <c r="D14" s="45" t="str">
        <f t="array" ref="D14">_xlfn.XLOOKUP(A14,ID!$A13:A20,ID!$D13:D20)</f>
        <v>FISIOTERAPIS</v>
      </c>
      <c r="E14" s="48"/>
      <c r="F14" s="48"/>
      <c r="G14" s="54"/>
      <c r="H14" s="48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</row>
    <row r="15" ht="22.5" customHeight="1">
      <c r="A15" s="45" t="str">
        <f>ID!A15</f>
        <v>B1250501</v>
      </c>
      <c r="B15" s="45" t="str">
        <f t="array" ref="B15">_xlfn.XLOOKUP(A15,ID!$A14:A20,ID!$B14:B20)</f>
        <v>HENA AURA PUTRI</v>
      </c>
      <c r="C15" s="45" t="str">
        <f t="array" ref="C15">_xlfn.XLOOKUP(A15,ID!$A14:A20,ID!$C14:C20)</f>
        <v>HENA</v>
      </c>
      <c r="D15" s="45" t="str">
        <f t="array" ref="D15">_xlfn.XLOOKUP(A15,ID!$A14:A20,ID!$D14:D20)</f>
        <v>FISIOTERAPIS</v>
      </c>
      <c r="E15" s="48"/>
      <c r="F15" s="48"/>
      <c r="G15" s="54"/>
      <c r="H15" s="48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</row>
    <row r="16" ht="22.5" customHeight="1">
      <c r="A16" s="45" t="str">
        <f>ID!A16</f>
        <v>B1250601</v>
      </c>
      <c r="B16" s="45" t="str">
        <f t="array" ref="B16">_xlfn.XLOOKUP(A16,ID!$A15:A20,ID!$B15:B20)</f>
        <v>SRI OKTAVIA MADANI</v>
      </c>
      <c r="C16" s="45" t="str">
        <f t="array" ref="C16">_xlfn.XLOOKUP(A16,ID!$A15:A20,ID!$C15:C20)</f>
        <v>OKTA</v>
      </c>
      <c r="D16" s="45" t="str">
        <f t="array" ref="D16">_xlfn.XLOOKUP(A16,ID!$A15:A20,ID!$D15:D20)</f>
        <v>FISIOTERAPIS</v>
      </c>
      <c r="E16" s="48"/>
      <c r="F16" s="48"/>
      <c r="G16" s="54"/>
      <c r="H16" s="48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</row>
    <row r="17" ht="22.5" customHeight="1">
      <c r="A17" s="45" t="str">
        <f>ID!A17</f>
        <v>B1251001</v>
      </c>
      <c r="B17" s="45" t="str">
        <f t="array" ref="B17">_xlfn.XLOOKUP(A17,ID!$A16:A20,ID!$B16:B20)</f>
        <v>AULIA SRI RAMADANTI</v>
      </c>
      <c r="C17" s="45" t="str">
        <f t="array" ref="C17">_xlfn.XLOOKUP(A17,ID!$A16:A20,ID!$C16:C20)</f>
        <v>AUL</v>
      </c>
      <c r="D17" s="45" t="str">
        <f t="array" ref="D17">_xlfn.XLOOKUP(A17,ID!$A16:A20,ID!$D16:D20)</f>
        <v>FISIOTERAPIS</v>
      </c>
      <c r="E17" s="48"/>
      <c r="F17" s="48"/>
      <c r="G17" s="54"/>
      <c r="H17" s="48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</row>
    <row r="18" ht="22.5" customHeight="1">
      <c r="A18" s="45" t="str">
        <f>ID!A18</f>
        <v>B1251201</v>
      </c>
      <c r="B18" s="45" t="str">
        <f t="array" ref="B18">_xlfn.XLOOKUP(A18,ID!$A17:A20,ID!$B17:B20)</f>
        <v>PUTRI QADAR RAMA DANIA</v>
      </c>
      <c r="C18" s="45" t="str">
        <f t="array" ref="C18">_xlfn.XLOOKUP(A18,ID!$A17:A20,ID!$C17:C20)</f>
        <v>PUTRI</v>
      </c>
      <c r="D18" s="45" t="str">
        <f t="array" ref="D18">_xlfn.XLOOKUP(A18,ID!$A17:A20,ID!$D17:D20)</f>
        <v>FISIOTERAPIS</v>
      </c>
      <c r="E18" s="48"/>
      <c r="F18" s="48"/>
      <c r="G18" s="54"/>
      <c r="H18" s="48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</row>
    <row r="19" ht="22.5" hidden="1" customHeight="1">
      <c r="A19" s="45"/>
      <c r="B19" s="45"/>
      <c r="C19" s="45"/>
      <c r="D19" s="45"/>
      <c r="E19" s="48"/>
      <c r="F19" s="48"/>
      <c r="G19" s="54"/>
      <c r="H19" s="48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</row>
    <row r="20" ht="22.5" customHeight="1">
      <c r="A20" s="76"/>
      <c r="B20" s="76"/>
      <c r="C20" s="76"/>
      <c r="D20" s="76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</row>
  </sheetData>
  <conditionalFormatting sqref="E4:AJ6">
    <cfRule type="expression" dxfId="3" priority="1">
      <formula>IF(E$4="K",FALSE,TRUE)</formula>
    </cfRule>
  </conditionalFormatting>
  <conditionalFormatting sqref="E7:AJ20">
    <cfRule type="expression" dxfId="4" priority="2">
      <formula>IF(E$4="K",FALSE,TRUE)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ollapsed="1" customWidth="1" min="2" max="2" width="25.13"/>
    <col hidden="1" min="3" max="3" width="12.63" outlineLevel="1"/>
    <col customWidth="1" min="4" max="4" width="22.63"/>
    <col customWidth="1" min="10" max="10" width="17.63"/>
  </cols>
  <sheetData>
    <row r="1" ht="22.5" customHeight="1">
      <c r="A1" s="1" t="s">
        <v>0</v>
      </c>
      <c r="B1" s="2"/>
      <c r="C1" s="2"/>
      <c r="D1" s="2"/>
      <c r="E1" s="3"/>
      <c r="F1" s="3"/>
      <c r="G1" s="3"/>
      <c r="H1" s="3"/>
      <c r="I1" s="3"/>
      <c r="J1" s="3"/>
    </row>
    <row r="2" ht="22.5" customHeight="1">
      <c r="A2" s="5" t="str">
        <f>TEMP!A2</f>
        <v>PERIODE SEPTEMBER 2026</v>
      </c>
      <c r="B2" s="6"/>
      <c r="C2" s="6"/>
      <c r="D2" s="6"/>
      <c r="E2" s="7"/>
      <c r="F2" s="7"/>
      <c r="G2" s="7"/>
      <c r="H2" s="7"/>
      <c r="I2" s="7"/>
      <c r="J2" s="7"/>
    </row>
    <row r="3" ht="22.5" customHeight="1">
      <c r="A3" s="4"/>
      <c r="B3" s="4"/>
      <c r="C3" s="4"/>
      <c r="D3" s="4"/>
      <c r="E3" s="8"/>
      <c r="F3" s="8"/>
      <c r="G3" s="8"/>
      <c r="H3" s="8"/>
      <c r="I3" s="8"/>
      <c r="J3" s="8"/>
    </row>
    <row r="4" ht="22.5" customHeight="1">
      <c r="A4" s="10"/>
      <c r="B4" s="11"/>
      <c r="C4" s="11"/>
      <c r="D4" s="11"/>
      <c r="E4" s="12"/>
      <c r="F4" s="12"/>
      <c r="G4" s="12"/>
      <c r="H4" s="12"/>
      <c r="I4" s="12"/>
      <c r="J4" s="12"/>
    </row>
    <row r="5" ht="22.5" customHeight="1">
      <c r="A5" s="13"/>
      <c r="B5" s="15"/>
      <c r="C5" s="15"/>
      <c r="D5" s="15"/>
      <c r="E5" s="18" t="s">
        <v>15</v>
      </c>
      <c r="F5" s="20"/>
      <c r="G5" s="21" t="s">
        <v>26</v>
      </c>
      <c r="H5" s="22"/>
      <c r="I5" s="20"/>
      <c r="J5" s="24"/>
    </row>
    <row r="6" ht="22.5" customHeight="1">
      <c r="A6" s="27" t="s">
        <v>5</v>
      </c>
      <c r="B6" s="30" t="s">
        <v>6</v>
      </c>
      <c r="C6" s="30" t="s">
        <v>7</v>
      </c>
      <c r="D6" s="30" t="s">
        <v>8</v>
      </c>
      <c r="E6" s="32" t="s">
        <v>36</v>
      </c>
      <c r="F6" s="32" t="s">
        <v>38</v>
      </c>
      <c r="G6" s="32" t="s">
        <v>41</v>
      </c>
      <c r="H6" s="32" t="s">
        <v>43</v>
      </c>
      <c r="I6" s="32" t="s">
        <v>44</v>
      </c>
      <c r="J6" s="34" t="s">
        <v>45</v>
      </c>
    </row>
    <row r="7" ht="22.5" customHeight="1">
      <c r="A7" s="36" t="str">
        <f>ID!A7</f>
        <v>A1260201</v>
      </c>
      <c r="B7" s="36" t="str">
        <f t="array" ref="B7">_xlfn.XLOOKUP(A7,ID!$A7:A26,ID!$B7:B26)</f>
        <v>DHEA NANDA KHAIRUNNISA</v>
      </c>
      <c r="C7" s="36" t="str">
        <f t="array" ref="C7">_xlfn.XLOOKUP(A7,ID!$A7:A26,ID!$C7:C26)</f>
        <v>DHEA</v>
      </c>
      <c r="D7" s="36" t="str">
        <f t="array" ref="D7">_xlfn.XLOOKUP(A7,ID!$A7:A26,ID!$D7:D26)</f>
        <v>STAF ADMINISTRASI</v>
      </c>
      <c r="E7" s="40">
        <f>(ID!E7+ID!H7+ABS!AR7+INS!P7)</f>
        <v>2000000</v>
      </c>
      <c r="F7" s="40">
        <f>INS!Z7</f>
        <v>0</v>
      </c>
      <c r="G7" s="40">
        <f>ABS!AS7</f>
        <v>5000</v>
      </c>
      <c r="H7" s="40">
        <f>ABS!AT7</f>
        <v>0</v>
      </c>
      <c r="I7" s="40">
        <f>DENDA!E7</f>
        <v>0</v>
      </c>
      <c r="J7" s="42">
        <f t="shared" ref="J7:J20" si="1">FLOOR((SUM(E7:F7)-SUM(G7:I7)),1000)</f>
        <v>1995000</v>
      </c>
    </row>
    <row r="8" ht="22.5" customHeight="1">
      <c r="A8" s="43" t="str">
        <f>ID!A8</f>
        <v>A1260601</v>
      </c>
      <c r="B8" s="43" t="str">
        <f t="array" ref="B8">_xlfn.XLOOKUP(A8,ID!$A8:A26,ID!$B8:B26)</f>
        <v>NOVRITA INDRIASWARI</v>
      </c>
      <c r="C8" s="43" t="str">
        <f t="array" ref="C8">_xlfn.XLOOKUP(A8,ID!$A8:A26,ID!$C8:C26)</f>
        <v>ICA</v>
      </c>
      <c r="D8" s="43" t="str">
        <f t="array" ref="D8">_xlfn.XLOOKUP(A8,ID!$A8:A26,ID!$D8:D26)</f>
        <v>STAF ADMINISTRASI PUSAT</v>
      </c>
      <c r="E8" s="44">
        <f>(ID!E8+ID!H8+ABS!AR8+INS!P8)</f>
        <v>2500000</v>
      </c>
      <c r="F8" s="44">
        <f>INS!Z8</f>
        <v>0</v>
      </c>
      <c r="G8" s="44">
        <f>ABS!AS8</f>
        <v>0</v>
      </c>
      <c r="H8" s="44">
        <f>ABS!AT8</f>
        <v>0</v>
      </c>
      <c r="I8" s="44">
        <f>DENDA!E8</f>
        <v>0</v>
      </c>
      <c r="J8" s="47">
        <f t="shared" si="1"/>
        <v>2500000</v>
      </c>
    </row>
    <row r="9" ht="22.5" customHeight="1">
      <c r="A9" s="36" t="str">
        <f>ID!A9</f>
        <v>B1220101</v>
      </c>
      <c r="B9" s="36" t="str">
        <f t="array" ref="B9">_xlfn.XLOOKUP(A9,ID!$A9:A26,ID!$B9:B26)</f>
        <v>HESTI SUFRESHTRI</v>
      </c>
      <c r="C9" s="36" t="str">
        <f t="array" ref="C9">_xlfn.XLOOKUP(A9,ID!$A9:A26,ID!$C9:C26)</f>
        <v>HESTI</v>
      </c>
      <c r="D9" s="36" t="str">
        <f t="array" ref="D9">_xlfn.XLOOKUP(A9,ID!$A9:A26,ID!$D9:D26)</f>
        <v>FISIOTERAPIS</v>
      </c>
      <c r="E9" s="40">
        <f>(ID!E9+ID!H9+ABS!AR9+INS!P9)</f>
        <v>3500000</v>
      </c>
      <c r="F9" s="40">
        <f>INS!Z9</f>
        <v>1100000</v>
      </c>
      <c r="G9" s="40">
        <f>ABS!AS9</f>
        <v>15000</v>
      </c>
      <c r="H9" s="40">
        <f>ABS!AT9</f>
        <v>0</v>
      </c>
      <c r="I9" s="40">
        <f>DENDA!E9</f>
        <v>0</v>
      </c>
      <c r="J9" s="42">
        <f t="shared" si="1"/>
        <v>4585000</v>
      </c>
    </row>
    <row r="10" ht="22.5" customHeight="1">
      <c r="A10" s="43" t="str">
        <f>ID!A10</f>
        <v>B1221101</v>
      </c>
      <c r="B10" s="43" t="str">
        <f t="array" ref="B10">_xlfn.XLOOKUP(A10,ID!$A10:A26,ID!$B10:B26)</f>
        <v>SHOFIANADA NABILLA</v>
      </c>
      <c r="C10" s="43" t="str">
        <f t="array" ref="C10">_xlfn.XLOOKUP(A10,ID!$A10:A26,ID!$C10:C26)</f>
        <v>NADA</v>
      </c>
      <c r="D10" s="43" t="str">
        <f t="array" ref="D10">_xlfn.XLOOKUP(A10,ID!$A10:A26,ID!$D10:D26)</f>
        <v>FISIOTERAPIS</v>
      </c>
      <c r="E10" s="44">
        <f>(ID!E10+ID!H10+ABS!AR10+INS!P10)</f>
        <v>1000000</v>
      </c>
      <c r="F10" s="44">
        <f>INS!Z10</f>
        <v>0</v>
      </c>
      <c r="G10" s="44">
        <f>ABS!AS10</f>
        <v>0</v>
      </c>
      <c r="H10" s="44">
        <f>ABS!AT10</f>
        <v>0</v>
      </c>
      <c r="I10" s="44">
        <f>DENDA!E10</f>
        <v>0</v>
      </c>
      <c r="J10" s="47">
        <f t="shared" si="1"/>
        <v>1000000</v>
      </c>
    </row>
    <row r="11" ht="22.5" customHeight="1">
      <c r="A11" s="36" t="str">
        <f>ID!A11</f>
        <v>B1240101</v>
      </c>
      <c r="B11" s="36" t="str">
        <f t="array" ref="B11">_xlfn.XLOOKUP(A11,ID!$A11:A26,ID!$B11:B26)</f>
        <v>DESTY TRI RAHMADHANI</v>
      </c>
      <c r="C11" s="36" t="str">
        <f t="array" ref="C11">_xlfn.XLOOKUP(A11,ID!$A11:A26,ID!$C11:C26)</f>
        <v>DESTY</v>
      </c>
      <c r="D11" s="36" t="str">
        <f t="array" ref="D11">_xlfn.XLOOKUP(A11,ID!$A11:A26,ID!$D11:D26)</f>
        <v>FISIOTERAPIS</v>
      </c>
      <c r="E11" s="40">
        <f>(ID!E11+ID!H11+ABS!AR11+INS!P11)</f>
        <v>3200000</v>
      </c>
      <c r="F11" s="40">
        <f>INS!Z11</f>
        <v>200000</v>
      </c>
      <c r="G11" s="40">
        <f>ABS!AS11</f>
        <v>0</v>
      </c>
      <c r="H11" s="40">
        <f>ABS!AT11</f>
        <v>0</v>
      </c>
      <c r="I11" s="40">
        <f>DENDA!E11</f>
        <v>0</v>
      </c>
      <c r="J11" s="42">
        <f t="shared" si="1"/>
        <v>3400000</v>
      </c>
    </row>
    <row r="12" ht="22.5" customHeight="1">
      <c r="A12" s="43" t="str">
        <f>ID!A12</f>
        <v>B1241001</v>
      </c>
      <c r="B12" s="43" t="str">
        <f t="array" ref="B12">_xlfn.XLOOKUP(A12,ID!$A11:A26,ID!$B11:B26)</f>
        <v>JOHANA PRITY</v>
      </c>
      <c r="C12" s="43" t="str">
        <f t="array" ref="C12">_xlfn.XLOOKUP(A12,ID!$A11:A26,ID!$C11:C26)</f>
        <v>PRITY</v>
      </c>
      <c r="D12" s="43" t="str">
        <f t="array" ref="D12">_xlfn.XLOOKUP(A12,ID!$A11:A26,ID!$D11:D26)</f>
        <v>FISIOTERAPIS</v>
      </c>
      <c r="E12" s="44">
        <f>(ID!E12+ID!H12+ABS!AR12+INS!P12)</f>
        <v>3000000</v>
      </c>
      <c r="F12" s="44">
        <f>INS!Z12</f>
        <v>150000</v>
      </c>
      <c r="G12" s="44">
        <f>ABS!AS12</f>
        <v>5000</v>
      </c>
      <c r="H12" s="44">
        <f>ABS!AT12</f>
        <v>0</v>
      </c>
      <c r="I12" s="44">
        <f>DENDA!E12</f>
        <v>0</v>
      </c>
      <c r="J12" s="47">
        <f t="shared" si="1"/>
        <v>3145000</v>
      </c>
    </row>
    <row r="13" ht="22.5" customHeight="1">
      <c r="A13" s="36" t="str">
        <f>ID!A13</f>
        <v>B1250101</v>
      </c>
      <c r="B13" s="36" t="str">
        <f t="array" ref="B13">_xlfn.XLOOKUP(A13,ID!$A12:A26,ID!$B12:B26)</f>
        <v>WAHYU TRI SETYO NUGROHO</v>
      </c>
      <c r="C13" s="36" t="str">
        <f t="array" ref="C13">_xlfn.XLOOKUP(A13,ID!$A12:A26,ID!$C12:C26)</f>
        <v>WAHYU</v>
      </c>
      <c r="D13" s="36" t="str">
        <f t="array" ref="D13">_xlfn.XLOOKUP(A13,ID!$A12:A26,ID!$D12:D26)</f>
        <v>FISIOTERAPIS</v>
      </c>
      <c r="E13" s="40">
        <f>(ID!E13+ID!H13+ABS!AR13+INS!P13)</f>
        <v>3000000</v>
      </c>
      <c r="F13" s="40">
        <f>INS!Z13</f>
        <v>100000</v>
      </c>
      <c r="G13" s="40">
        <f>ABS!AS13</f>
        <v>0</v>
      </c>
      <c r="H13" s="40">
        <f>ABS!AT13</f>
        <v>0</v>
      </c>
      <c r="I13" s="40">
        <f>DENDA!E13</f>
        <v>0</v>
      </c>
      <c r="J13" s="42">
        <f t="shared" si="1"/>
        <v>3100000</v>
      </c>
    </row>
    <row r="14" ht="22.5" customHeight="1">
      <c r="A14" s="43" t="str">
        <f>ID!A14</f>
        <v>B1250102</v>
      </c>
      <c r="B14" s="43" t="str">
        <f t="array" ref="B14">_xlfn.XLOOKUP(A14,ID!$A13:A26,ID!$B13:B26)</f>
        <v>ORY KUSTI OVIANDAR</v>
      </c>
      <c r="C14" s="43" t="str">
        <f t="array" ref="C14">_xlfn.XLOOKUP(A14,ID!$A13:A26,ID!$C13:C26)</f>
        <v>ORY</v>
      </c>
      <c r="D14" s="43" t="str">
        <f t="array" ref="D14">_xlfn.XLOOKUP(A14,ID!$A13:A26,ID!$D13:D26)</f>
        <v>FISIOTERAPIS</v>
      </c>
      <c r="E14" s="44">
        <f>(ID!E14+ID!H14+ABS!AR14+INS!P14)</f>
        <v>3000000</v>
      </c>
      <c r="F14" s="44">
        <f>INS!Z14</f>
        <v>400000</v>
      </c>
      <c r="G14" s="44">
        <f>ABS!AS14</f>
        <v>0</v>
      </c>
      <c r="H14" s="44">
        <f>ABS!AT14</f>
        <v>0</v>
      </c>
      <c r="I14" s="44">
        <f>DENDA!E14</f>
        <v>600000</v>
      </c>
      <c r="J14" s="47">
        <f t="shared" si="1"/>
        <v>2800000</v>
      </c>
    </row>
    <row r="15" ht="22.5" customHeight="1">
      <c r="A15" s="36" t="str">
        <f>ID!A15</f>
        <v>B1250501</v>
      </c>
      <c r="B15" s="36" t="str">
        <f t="array" ref="B15">_xlfn.XLOOKUP(A15,ID!$A14:A26,ID!$B14:B26)</f>
        <v>HENA AURA PUTRI</v>
      </c>
      <c r="C15" s="36" t="str">
        <f t="array" ref="C15">_xlfn.XLOOKUP(A15,ID!$A14:A26,ID!$C14:C26)</f>
        <v>HENA</v>
      </c>
      <c r="D15" s="36" t="str">
        <f t="array" ref="D15">_xlfn.XLOOKUP(A15,ID!$A14:A26,ID!$D14:D26)</f>
        <v>FISIOTERAPIS</v>
      </c>
      <c r="E15" s="40">
        <f>(ID!E15+ID!H15+ABS!AR15+INS!P15)</f>
        <v>3000000</v>
      </c>
      <c r="F15" s="40">
        <f>INS!Z15</f>
        <v>200000</v>
      </c>
      <c r="G15" s="40">
        <f>ABS!AS15</f>
        <v>0</v>
      </c>
      <c r="H15" s="40">
        <f>ABS!AT15</f>
        <v>0</v>
      </c>
      <c r="I15" s="40">
        <f>DENDA!E15</f>
        <v>0</v>
      </c>
      <c r="J15" s="42">
        <f t="shared" si="1"/>
        <v>3200000</v>
      </c>
    </row>
    <row r="16" ht="22.5" customHeight="1">
      <c r="A16" s="43" t="str">
        <f>ID!A16</f>
        <v>B1250601</v>
      </c>
      <c r="B16" s="43" t="str">
        <f t="array" ref="B16">_xlfn.XLOOKUP(A16,ID!$A15:A26,ID!$B15:B26)</f>
        <v>SRI OKTAVIA MADANI</v>
      </c>
      <c r="C16" s="43" t="str">
        <f t="array" ref="C16">_xlfn.XLOOKUP(A16,ID!$A15:A26,ID!$C15:C26)</f>
        <v>OKTA</v>
      </c>
      <c r="D16" s="43" t="str">
        <f t="array" ref="D16">_xlfn.XLOOKUP(A16,ID!$A15:A26,ID!$D15:D26)</f>
        <v>FISIOTERAPIS</v>
      </c>
      <c r="E16" s="44">
        <f>(ID!E16+ID!H16+ABS!AR16+INS!P16)</f>
        <v>3000000</v>
      </c>
      <c r="F16" s="44">
        <f>INS!Z16</f>
        <v>1250000</v>
      </c>
      <c r="G16" s="44">
        <f>ABS!AS16</f>
        <v>20000</v>
      </c>
      <c r="H16" s="44">
        <f>ABS!AT16</f>
        <v>100000</v>
      </c>
      <c r="I16" s="44">
        <f>DENDA!E16</f>
        <v>0</v>
      </c>
      <c r="J16" s="47">
        <f t="shared" si="1"/>
        <v>4130000</v>
      </c>
    </row>
    <row r="17" ht="22.5" customHeight="1">
      <c r="A17" s="36" t="str">
        <f>ID!A17</f>
        <v>B1251001</v>
      </c>
      <c r="B17" s="36" t="str">
        <f t="array" ref="B17">_xlfn.XLOOKUP(A17,ID!$A16:A26,ID!$B16:B26)</f>
        <v>AULIA SRI RAMADANTI</v>
      </c>
      <c r="C17" s="36" t="str">
        <f t="array" ref="C17">_xlfn.XLOOKUP(A17,ID!$A16:A26,ID!$C16:C26)</f>
        <v>AUL</v>
      </c>
      <c r="D17" s="36" t="str">
        <f t="array" ref="D17">_xlfn.XLOOKUP(A17,ID!$A16:A26,ID!$D16:D26)</f>
        <v>FISIOTERAPIS</v>
      </c>
      <c r="E17" s="40">
        <f>(ID!E17+ID!H17+ABS!AR17+INS!P17)</f>
        <v>3000000</v>
      </c>
      <c r="F17" s="40">
        <f>INS!Z17</f>
        <v>1600000</v>
      </c>
      <c r="G17" s="40">
        <f>ABS!AS17</f>
        <v>0</v>
      </c>
      <c r="H17" s="40">
        <f>ABS!AT17</f>
        <v>0</v>
      </c>
      <c r="I17" s="40">
        <f>DENDA!E17</f>
        <v>0</v>
      </c>
      <c r="J17" s="42">
        <f t="shared" si="1"/>
        <v>4600000</v>
      </c>
    </row>
    <row r="18" ht="22.5" customHeight="1">
      <c r="A18" s="43" t="str">
        <f>ID!A18</f>
        <v>B1251201</v>
      </c>
      <c r="B18" s="43" t="str">
        <f t="array" ref="B18">_xlfn.XLOOKUP(A18,ID!$A17:A26,ID!$B17:B26)</f>
        <v>PUTRI QADAR RAMA DANIA</v>
      </c>
      <c r="C18" s="43" t="str">
        <f t="array" ref="C18">_xlfn.XLOOKUP(A18,ID!$A17:A26,ID!$C17:C26)</f>
        <v>PUTRI</v>
      </c>
      <c r="D18" s="43" t="str">
        <f t="array" ref="D18">_xlfn.XLOOKUP(A18,ID!$A17:A26,ID!$D17:D26)</f>
        <v>FISIOTERAPIS</v>
      </c>
      <c r="E18" s="44">
        <f>(ID!E18+ID!H18+ABS!AR18+INS!P18)</f>
        <v>3000000</v>
      </c>
      <c r="F18" s="44">
        <f>INS!Z18</f>
        <v>0</v>
      </c>
      <c r="G18" s="44">
        <f>ABS!AS18</f>
        <v>0</v>
      </c>
      <c r="H18" s="44">
        <f>ABS!AT18</f>
        <v>0</v>
      </c>
      <c r="I18" s="44">
        <f>DENDA!E18</f>
        <v>0</v>
      </c>
      <c r="J18" s="47">
        <f t="shared" si="1"/>
        <v>3000000</v>
      </c>
    </row>
    <row r="19" ht="22.5" customHeight="1">
      <c r="A19" s="36" t="str">
        <f>ID!A19</f>
        <v>C1260501</v>
      </c>
      <c r="B19" s="36" t="str">
        <f t="array" ref="B19">_xlfn.XLOOKUP(A19,ID!$A18:A26,ID!$B18:B26)</f>
        <v>ALAMSYAH</v>
      </c>
      <c r="C19" s="36" t="str">
        <f t="array" ref="C19">_xlfn.XLOOKUP(A19,ID!$A18:A26,ID!$C18:C26)</f>
        <v>ALAM</v>
      </c>
      <c r="D19" s="36" t="str">
        <f t="array" ref="D19">_xlfn.XLOOKUP(A19,ID!$A18:A26,ID!$D18:D26)</f>
        <v>MASSEUR</v>
      </c>
      <c r="E19" s="40">
        <f>(ID!E19+ID!H19+ABS!AR19+INS!P19)</f>
        <v>2220000</v>
      </c>
      <c r="F19" s="40">
        <f>INS!Z19</f>
        <v>0</v>
      </c>
      <c r="G19" s="40">
        <f>ABS!AS19</f>
        <v>0</v>
      </c>
      <c r="H19" s="40">
        <f>ABS!AT19</f>
        <v>0</v>
      </c>
      <c r="I19" s="40">
        <f>DENDA!E19</f>
        <v>0</v>
      </c>
      <c r="J19" s="42">
        <f t="shared" si="1"/>
        <v>2220000</v>
      </c>
    </row>
    <row r="20" ht="22.5" customHeight="1" collapsed="1">
      <c r="A20" s="65" t="str">
        <f>ID!A20</f>
        <v>D1260501</v>
      </c>
      <c r="B20" s="65" t="str">
        <f t="array" ref="B20">_xlfn.XLOOKUP(A20,ID!$A19:A26,ID!$B19:B26)</f>
        <v>IBNU K. A. PURNAMAWANGSA</v>
      </c>
      <c r="C20" s="65" t="str">
        <f t="array" ref="C20">_xlfn.XLOOKUP(A20,ID!$A19:A26,ID!$C19:C26)</f>
        <v>IBNU</v>
      </c>
      <c r="D20" s="65" t="str">
        <f t="array" ref="D20">_xlfn.XLOOKUP(A20,ID!$A19:A26,ID!$D19:D26)</f>
        <v>STAF HR</v>
      </c>
      <c r="E20" s="44">
        <f>(ID!E20+ID!H20+ABS!AR20+INS!P20)</f>
        <v>3000000</v>
      </c>
      <c r="F20" s="44">
        <f>INS!Z20</f>
        <v>0</v>
      </c>
      <c r="G20" s="44">
        <f>ABS!AS20</f>
        <v>35000</v>
      </c>
      <c r="H20" s="44">
        <f>ABS!AT20</f>
        <v>0</v>
      </c>
      <c r="I20" s="44">
        <f>DENDA!E20</f>
        <v>600000</v>
      </c>
      <c r="J20" s="47">
        <f t="shared" si="1"/>
        <v>2365000</v>
      </c>
    </row>
    <row r="21" ht="22.5" hidden="1" customHeight="1" outlineLevel="1">
      <c r="A21" s="69"/>
      <c r="B21" s="69"/>
      <c r="C21" s="69"/>
      <c r="D21" s="69"/>
      <c r="E21" s="70"/>
      <c r="F21" s="70"/>
      <c r="G21" s="70"/>
      <c r="H21" s="71"/>
      <c r="I21" s="71"/>
      <c r="J21" s="42"/>
    </row>
    <row r="22" ht="22.5" hidden="1" customHeight="1" outlineLevel="1">
      <c r="A22" s="73"/>
      <c r="B22" s="73"/>
      <c r="C22" s="73"/>
      <c r="D22" s="73"/>
      <c r="E22" s="74"/>
      <c r="F22" s="74"/>
      <c r="G22" s="74"/>
      <c r="H22" s="77"/>
      <c r="I22" s="77"/>
      <c r="J22" s="47"/>
    </row>
    <row r="23" ht="22.5" customHeight="1">
      <c r="A23" s="76"/>
      <c r="B23" s="76"/>
      <c r="C23" s="76"/>
      <c r="D23" s="76"/>
      <c r="E23" s="42">
        <f t="shared" ref="E23:J23" si="2">sum(E7:E20)</f>
        <v>38420000</v>
      </c>
      <c r="F23" s="42">
        <f t="shared" si="2"/>
        <v>5000000</v>
      </c>
      <c r="G23" s="42">
        <f t="shared" si="2"/>
        <v>80000</v>
      </c>
      <c r="H23" s="42">
        <f t="shared" si="2"/>
        <v>100000</v>
      </c>
      <c r="I23" s="42">
        <f t="shared" si="2"/>
        <v>1200000</v>
      </c>
      <c r="J23" s="79">
        <f t="shared" si="2"/>
        <v>42040000</v>
      </c>
    </row>
    <row r="24" ht="22.5" customHeight="1">
      <c r="A24" s="76"/>
      <c r="B24" s="76"/>
      <c r="C24" s="76"/>
      <c r="D24" s="76"/>
      <c r="E24" s="81"/>
      <c r="F24" s="81"/>
      <c r="G24" s="81"/>
      <c r="H24" s="81"/>
      <c r="I24" s="81"/>
      <c r="J24" s="82"/>
    </row>
    <row r="25">
      <c r="A25" s="84" t="s">
        <v>104</v>
      </c>
      <c r="B25" s="76"/>
      <c r="C25" s="76"/>
      <c r="D25" s="76"/>
      <c r="E25" s="81"/>
      <c r="F25" s="81"/>
      <c r="G25" s="81"/>
      <c r="H25" s="81"/>
      <c r="I25" s="81"/>
      <c r="J25" s="82"/>
    </row>
    <row r="26">
      <c r="A26" s="84"/>
      <c r="B26" s="76"/>
      <c r="C26" s="76"/>
      <c r="D26" s="76"/>
      <c r="E26" s="81"/>
      <c r="F26" s="81"/>
      <c r="G26" s="81"/>
      <c r="H26" s="81"/>
      <c r="I26" s="81"/>
      <c r="J26" s="82"/>
    </row>
  </sheetData>
  <mergeCells count="2">
    <mergeCell ref="E5:F5"/>
    <mergeCell ref="G5:I5"/>
  </mergeCells>
  <printOptions/>
  <pageMargins bottom="0.75" footer="0.0" header="0.0" left="0.25" right="0.25" top="0.75"/>
  <pageSetup paperSize="14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 outlineLevelRow="1"/>
  <cols>
    <col collapsed="1" customWidth="1" min="2" max="2" width="25.13"/>
    <col hidden="1" min="3" max="3" width="12.63" outlineLevel="1"/>
    <col customWidth="1" hidden="1" min="4" max="4" width="17.63" outlineLevel="1"/>
    <col customWidth="1" min="5" max="36" width="3.88"/>
    <col customWidth="1" min="37" max="37" width="2.63"/>
    <col customWidth="1" min="38" max="42" width="7.63"/>
    <col collapsed="1" customWidth="1" min="43" max="43" width="7.63"/>
    <col hidden="1" min="44" max="46" width="12.63" outlineLevel="1"/>
  </cols>
  <sheetData>
    <row r="1" ht="22.5" customHeight="1">
      <c r="A1" s="1" t="s">
        <v>1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9"/>
      <c r="AL1" s="3"/>
      <c r="AM1" s="3"/>
      <c r="AN1" s="3"/>
      <c r="AO1" s="3"/>
      <c r="AP1" s="3"/>
      <c r="AQ1" s="3"/>
      <c r="AR1" s="3"/>
      <c r="AS1" s="3"/>
      <c r="AT1" s="3"/>
    </row>
    <row r="2" ht="22.5" customHeight="1">
      <c r="A2" s="5" t="str">
        <f>TEMP!A2</f>
        <v>PERIODE SEPTEMBER 2026</v>
      </c>
      <c r="B2" s="6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16"/>
      <c r="AL2" s="7"/>
      <c r="AM2" s="7"/>
      <c r="AN2" s="7"/>
      <c r="AO2" s="7"/>
      <c r="AP2" s="7"/>
      <c r="AQ2" s="7"/>
      <c r="AR2" s="7"/>
      <c r="AS2" s="7"/>
      <c r="AT2" s="7"/>
    </row>
    <row r="3" ht="22.5" customHeight="1">
      <c r="A3" s="4"/>
      <c r="B3" s="4"/>
      <c r="C3" s="4"/>
      <c r="D3" s="4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17" t="s">
        <v>18</v>
      </c>
      <c r="AJ3" s="26">
        <f>COUNTIF(E4:AJ4,"K")</f>
        <v>23</v>
      </c>
      <c r="AK3" s="28"/>
      <c r="AL3" s="8"/>
      <c r="AM3" s="8"/>
      <c r="AN3" s="8"/>
      <c r="AO3" s="8"/>
      <c r="AP3" s="8"/>
      <c r="AQ3" s="8"/>
      <c r="AR3" s="8"/>
      <c r="AS3" s="8"/>
      <c r="AT3" s="8"/>
    </row>
    <row r="4" ht="22.5" customHeight="1">
      <c r="A4" s="10"/>
      <c r="B4" s="11"/>
      <c r="C4" s="11"/>
      <c r="D4" s="11"/>
      <c r="E4" s="33" t="str">
        <f>TEMP!E4</f>
        <v>K</v>
      </c>
      <c r="F4" s="33" t="str">
        <f>TEMP!F4</f>
        <v/>
      </c>
      <c r="G4" s="33" t="str">
        <f>TEMP!G4</f>
        <v>K</v>
      </c>
      <c r="H4" s="33" t="str">
        <f>TEMP!H4</f>
        <v>K</v>
      </c>
      <c r="I4" s="33" t="str">
        <f>TEMP!I4</f>
        <v>K</v>
      </c>
      <c r="J4" s="33" t="str">
        <f>TEMP!J4</f>
        <v/>
      </c>
      <c r="K4" s="33" t="str">
        <f>TEMP!K4</f>
        <v/>
      </c>
      <c r="L4" s="33" t="str">
        <f>TEMP!L4</f>
        <v/>
      </c>
      <c r="M4" s="33" t="str">
        <f>TEMP!M4</f>
        <v/>
      </c>
      <c r="N4" s="33" t="str">
        <f>TEMP!N4</f>
        <v>K</v>
      </c>
      <c r="O4" s="33" t="str">
        <f>TEMP!O4</f>
        <v>K</v>
      </c>
      <c r="P4" s="33" t="str">
        <f>TEMP!P4</f>
        <v>K</v>
      </c>
      <c r="Q4" s="33" t="str">
        <f>TEMP!Q4</f>
        <v>K</v>
      </c>
      <c r="R4" s="33" t="str">
        <f>TEMP!R4</f>
        <v>K</v>
      </c>
      <c r="S4" s="33" t="str">
        <f>TEMP!S4</f>
        <v>K</v>
      </c>
      <c r="T4" s="33" t="str">
        <f>TEMP!T4</f>
        <v/>
      </c>
      <c r="U4" s="33" t="str">
        <f>TEMP!U4</f>
        <v>K</v>
      </c>
      <c r="V4" s="33" t="str">
        <f>TEMP!V4</f>
        <v>K</v>
      </c>
      <c r="W4" s="33" t="str">
        <f>TEMP!W4</f>
        <v>K</v>
      </c>
      <c r="X4" s="33" t="str">
        <f>TEMP!X4</f>
        <v>K</v>
      </c>
      <c r="Y4" s="33" t="str">
        <f>TEMP!Y4</f>
        <v>K</v>
      </c>
      <c r="Z4" s="33" t="str">
        <f>TEMP!Z4</f>
        <v>K</v>
      </c>
      <c r="AA4" s="33" t="str">
        <f>TEMP!AA4</f>
        <v/>
      </c>
      <c r="AB4" s="33" t="str">
        <f>TEMP!AB4</f>
        <v>K</v>
      </c>
      <c r="AC4" s="33" t="str">
        <f>TEMP!AC4</f>
        <v>K</v>
      </c>
      <c r="AD4" s="33" t="str">
        <f>TEMP!AD4</f>
        <v>K</v>
      </c>
      <c r="AE4" s="33" t="str">
        <f>TEMP!AE4</f>
        <v>K</v>
      </c>
      <c r="AF4" s="33" t="str">
        <f>TEMP!AF4</f>
        <v>K</v>
      </c>
      <c r="AG4" s="33" t="str">
        <f>TEMP!AG4</f>
        <v>K</v>
      </c>
      <c r="AH4" s="33" t="str">
        <f>TEMP!AH4</f>
        <v/>
      </c>
      <c r="AI4" s="33" t="str">
        <f>TEMP!AI4</f>
        <v>K</v>
      </c>
      <c r="AJ4" s="33" t="str">
        <f>TEMP!AJ4</f>
        <v/>
      </c>
      <c r="AK4" s="11"/>
      <c r="AL4" s="12"/>
      <c r="AM4" s="12"/>
      <c r="AN4" s="12"/>
      <c r="AO4" s="12"/>
      <c r="AP4" s="12"/>
      <c r="AQ4" s="12"/>
      <c r="AR4" s="12"/>
      <c r="AS4" s="12"/>
      <c r="AT4" s="12"/>
    </row>
    <row r="5" ht="22.5" customHeight="1">
      <c r="A5" s="13"/>
      <c r="B5" s="15"/>
      <c r="C5" s="15"/>
      <c r="D5" s="15"/>
      <c r="E5" s="46">
        <f>TEMP!E5</f>
        <v>46261</v>
      </c>
      <c r="F5" s="46">
        <f>TEMP!F5</f>
        <v>46262</v>
      </c>
      <c r="G5" s="46">
        <f>TEMP!G5</f>
        <v>46263</v>
      </c>
      <c r="H5" s="46">
        <f>TEMP!H5</f>
        <v>46264</v>
      </c>
      <c r="I5" s="46">
        <f>TEMP!I5</f>
        <v>46265</v>
      </c>
      <c r="J5" s="46">
        <f>TEMP!J5</f>
        <v>46266</v>
      </c>
      <c r="K5" s="46">
        <f>TEMP!K5</f>
        <v>46267</v>
      </c>
      <c r="L5" s="46">
        <f>TEMP!L5</f>
        <v>46268</v>
      </c>
      <c r="M5" s="46">
        <f>TEMP!M5</f>
        <v>46269</v>
      </c>
      <c r="N5" s="46">
        <f>TEMP!N5</f>
        <v>46270</v>
      </c>
      <c r="O5" s="46">
        <f>TEMP!O5</f>
        <v>46271</v>
      </c>
      <c r="P5" s="46">
        <f>TEMP!P5</f>
        <v>46272</v>
      </c>
      <c r="Q5" s="46">
        <f>TEMP!Q5</f>
        <v>46273</v>
      </c>
      <c r="R5" s="46">
        <f>TEMP!R5</f>
        <v>46274</v>
      </c>
      <c r="S5" s="46">
        <f>TEMP!S5</f>
        <v>46275</v>
      </c>
      <c r="T5" s="46">
        <f>TEMP!T5</f>
        <v>46276</v>
      </c>
      <c r="U5" s="46">
        <f>TEMP!U5</f>
        <v>46277</v>
      </c>
      <c r="V5" s="46">
        <f>TEMP!V5</f>
        <v>46278</v>
      </c>
      <c r="W5" s="46">
        <f>TEMP!W5</f>
        <v>46279</v>
      </c>
      <c r="X5" s="46">
        <f>TEMP!X5</f>
        <v>46280</v>
      </c>
      <c r="Y5" s="46">
        <f>TEMP!Y5</f>
        <v>46281</v>
      </c>
      <c r="Z5" s="46">
        <f>TEMP!Z5</f>
        <v>46282</v>
      </c>
      <c r="AA5" s="46">
        <f>TEMP!AA5</f>
        <v>46283</v>
      </c>
      <c r="AB5" s="46">
        <f>TEMP!AB5</f>
        <v>46284</v>
      </c>
      <c r="AC5" s="46">
        <f>TEMP!AC5</f>
        <v>46285</v>
      </c>
      <c r="AD5" s="46">
        <f>TEMP!AD5</f>
        <v>46286</v>
      </c>
      <c r="AE5" s="46">
        <f>TEMP!AE5</f>
        <v>46287</v>
      </c>
      <c r="AF5" s="46">
        <f>TEMP!AF5</f>
        <v>46288</v>
      </c>
      <c r="AG5" s="46">
        <f>TEMP!AG5</f>
        <v>46289</v>
      </c>
      <c r="AH5" s="46">
        <f>TEMP!AH5</f>
        <v>46290</v>
      </c>
      <c r="AI5" s="46">
        <f>TEMP!AI5</f>
        <v>46291</v>
      </c>
      <c r="AJ5" s="46" t="str">
        <f>TEMP!AJ5</f>
        <v/>
      </c>
      <c r="AK5" s="50"/>
      <c r="AL5" s="50"/>
      <c r="AM5" s="50"/>
      <c r="AN5" s="50"/>
      <c r="AO5" s="50"/>
      <c r="AP5" s="50"/>
      <c r="AQ5" s="50"/>
      <c r="AR5" s="50"/>
      <c r="AS5" s="50"/>
      <c r="AT5" s="50"/>
    </row>
    <row r="6" ht="22.5" customHeight="1">
      <c r="A6" s="51" t="s">
        <v>5</v>
      </c>
      <c r="B6" s="52" t="s">
        <v>6</v>
      </c>
      <c r="C6" s="52" t="s">
        <v>7</v>
      </c>
      <c r="D6" s="52" t="s">
        <v>8</v>
      </c>
      <c r="E6" s="53" t="str">
        <f>TEMP!E6</f>
        <v>KAM</v>
      </c>
      <c r="F6" s="53" t="str">
        <f>TEMP!F6</f>
        <v>JUM</v>
      </c>
      <c r="G6" s="53" t="str">
        <f>TEMP!G6</f>
        <v>SAB</v>
      </c>
      <c r="H6" s="53" t="str">
        <f>TEMP!H6</f>
        <v>MIN</v>
      </c>
      <c r="I6" s="53" t="str">
        <f>TEMP!I6</f>
        <v>SEN</v>
      </c>
      <c r="J6" s="53" t="str">
        <f>TEMP!J6</f>
        <v>SEL</v>
      </c>
      <c r="K6" s="53" t="str">
        <f>TEMP!K6</f>
        <v>RAB</v>
      </c>
      <c r="L6" s="53" t="str">
        <f>TEMP!L6</f>
        <v>KAM</v>
      </c>
      <c r="M6" s="53" t="str">
        <f>TEMP!M6</f>
        <v>JUM</v>
      </c>
      <c r="N6" s="53" t="str">
        <f>TEMP!N6</f>
        <v>SAB</v>
      </c>
      <c r="O6" s="53" t="str">
        <f>TEMP!O6</f>
        <v>MIN</v>
      </c>
      <c r="P6" s="53" t="str">
        <f>TEMP!P6</f>
        <v>SEN</v>
      </c>
      <c r="Q6" s="53" t="str">
        <f>TEMP!Q6</f>
        <v>SEL</v>
      </c>
      <c r="R6" s="53" t="str">
        <f>TEMP!R6</f>
        <v>RAB</v>
      </c>
      <c r="S6" s="53" t="str">
        <f>TEMP!S6</f>
        <v>KAM</v>
      </c>
      <c r="T6" s="53" t="str">
        <f>TEMP!T6</f>
        <v>JUM</v>
      </c>
      <c r="U6" s="53" t="str">
        <f>TEMP!U6</f>
        <v>SAB</v>
      </c>
      <c r="V6" s="53" t="str">
        <f>TEMP!V6</f>
        <v>MIN</v>
      </c>
      <c r="W6" s="53" t="str">
        <f>TEMP!W6</f>
        <v>SEN</v>
      </c>
      <c r="X6" s="53" t="str">
        <f>TEMP!X6</f>
        <v>SEL</v>
      </c>
      <c r="Y6" s="53" t="str">
        <f>TEMP!Y6</f>
        <v>RAB</v>
      </c>
      <c r="Z6" s="53" t="str">
        <f>TEMP!Z6</f>
        <v>KAM</v>
      </c>
      <c r="AA6" s="53" t="str">
        <f>TEMP!AA6</f>
        <v>JUM</v>
      </c>
      <c r="AB6" s="53" t="str">
        <f>TEMP!AB6</f>
        <v>SAB</v>
      </c>
      <c r="AC6" s="53" t="str">
        <f>TEMP!AC6</f>
        <v>MIN</v>
      </c>
      <c r="AD6" s="53" t="str">
        <f>TEMP!AD6</f>
        <v>SEN</v>
      </c>
      <c r="AE6" s="53" t="str">
        <f>TEMP!AE6</f>
        <v>SEL</v>
      </c>
      <c r="AF6" s="53" t="str">
        <f>TEMP!AF6</f>
        <v>RAB</v>
      </c>
      <c r="AG6" s="53" t="str">
        <f>TEMP!AG6</f>
        <v>KAM</v>
      </c>
      <c r="AH6" s="53" t="str">
        <f>TEMP!AH6</f>
        <v>JUM</v>
      </c>
      <c r="AI6" s="53" t="str">
        <f>TEMP!AI6</f>
        <v>SAB</v>
      </c>
      <c r="AJ6" s="53" t="str">
        <f>TEMP!AJ6</f>
        <v/>
      </c>
      <c r="AK6" s="57"/>
      <c r="AL6" s="58" t="s">
        <v>82</v>
      </c>
      <c r="AM6" s="58" t="s">
        <v>83</v>
      </c>
      <c r="AN6" s="58" t="s">
        <v>84</v>
      </c>
      <c r="AO6" s="58" t="s">
        <v>85</v>
      </c>
      <c r="AP6" s="58" t="s">
        <v>86</v>
      </c>
      <c r="AQ6" s="58" t="s">
        <v>43</v>
      </c>
      <c r="AR6" s="58" t="s">
        <v>10</v>
      </c>
      <c r="AS6" s="58" t="s">
        <v>41</v>
      </c>
      <c r="AT6" s="58" t="s">
        <v>43</v>
      </c>
    </row>
    <row r="7" ht="22.5" customHeight="1">
      <c r="A7" s="45" t="str">
        <f>ID!A7</f>
        <v>A1260201</v>
      </c>
      <c r="B7" s="45" t="str">
        <f t="array" ref="B7">_xlfn.XLOOKUP(A7,ID!$A7:A24,ID!$B7:B24)</f>
        <v>DHEA NANDA KHAIRUNNISA</v>
      </c>
      <c r="C7" s="45" t="str">
        <f t="array" ref="C7">_xlfn.XLOOKUP(A7,ID!$A7:A24,ID!$C7:C24)</f>
        <v>DHEA</v>
      </c>
      <c r="D7" s="45" t="str">
        <f t="array" ref="D7">_xlfn.XLOOKUP(A7,ID!$A7:A24,ID!$D7:D24)</f>
        <v>STAF ADMINISTRASI</v>
      </c>
      <c r="E7" s="48" t="s">
        <v>87</v>
      </c>
      <c r="F7" s="48"/>
      <c r="G7" s="48" t="s">
        <v>87</v>
      </c>
      <c r="H7" s="48" t="s">
        <v>87</v>
      </c>
      <c r="I7" s="48" t="s">
        <v>87</v>
      </c>
      <c r="J7" s="48"/>
      <c r="K7" s="48"/>
      <c r="L7" s="48"/>
      <c r="M7" s="48"/>
      <c r="N7" s="48" t="s">
        <v>87</v>
      </c>
      <c r="O7" s="48" t="s">
        <v>87</v>
      </c>
      <c r="P7" s="48" t="s">
        <v>87</v>
      </c>
      <c r="Q7" s="48" t="s">
        <v>87</v>
      </c>
      <c r="R7" s="48" t="s">
        <v>87</v>
      </c>
      <c r="S7" s="48" t="s">
        <v>87</v>
      </c>
      <c r="T7" s="48"/>
      <c r="U7" s="48" t="s">
        <v>87</v>
      </c>
      <c r="V7" s="48" t="s">
        <v>87</v>
      </c>
      <c r="W7" s="48" t="s">
        <v>87</v>
      </c>
      <c r="X7" s="48" t="s">
        <v>87</v>
      </c>
      <c r="Y7" s="48" t="s">
        <v>87</v>
      </c>
      <c r="Z7" s="48" t="s">
        <v>87</v>
      </c>
      <c r="AA7" s="48"/>
      <c r="AB7" s="48" t="s">
        <v>87</v>
      </c>
      <c r="AC7" s="48" t="s">
        <v>87</v>
      </c>
      <c r="AD7" s="48" t="s">
        <v>87</v>
      </c>
      <c r="AE7" s="48" t="s">
        <v>87</v>
      </c>
      <c r="AF7" s="48" t="s">
        <v>87</v>
      </c>
      <c r="AG7" s="48" t="s">
        <v>87</v>
      </c>
      <c r="AH7" s="48"/>
      <c r="AI7" s="48">
        <v>1.0</v>
      </c>
      <c r="AJ7" s="48"/>
      <c r="AK7" s="60"/>
      <c r="AL7" s="49">
        <f t="shared" ref="AL7:AL20" si="1">COUNTIF(E7:AJ7,"H")+COUNT(E7:AJ7)</f>
        <v>23</v>
      </c>
      <c r="AM7" s="62">
        <f t="shared" ref="AM7:AM20" si="2">SUM(E7:AJ7)</f>
        <v>1</v>
      </c>
      <c r="AN7" s="49">
        <f t="shared" ref="AN7:AN20" si="3">COUNTIF(E7:AJ7,"I")</f>
        <v>0</v>
      </c>
      <c r="AO7" s="49">
        <f t="shared" ref="AO7:AO20" si="4">COUNTIF(E7:AJ7,"S")</f>
        <v>0</v>
      </c>
      <c r="AP7" s="49">
        <f t="shared" ref="AP7:AP20" si="5">COUNTIF(E7:AJ7,"C")</f>
        <v>0</v>
      </c>
      <c r="AQ7" s="49">
        <f t="shared" ref="AQ7:AQ20" si="6">COUNTIF(E7:AJ7,"A")</f>
        <v>0</v>
      </c>
      <c r="AR7" s="64">
        <f>FLOOR(IF((AL7+AO7+AP7+AQ7)/$AJ$3&lt;=0.75,0,(AL7+AO7+AP7+AQ7)/$AJ$3)*ID!F7,1000)</f>
        <v>500000</v>
      </c>
      <c r="AS7" s="64">
        <f t="shared" ref="AS7:AS20" si="7">AM7*5000</f>
        <v>5000</v>
      </c>
      <c r="AT7" s="64">
        <f t="shared" ref="AT7:AT20" si="8">AQ7*100000</f>
        <v>0</v>
      </c>
    </row>
    <row r="8" ht="22.5" customHeight="1">
      <c r="A8" s="45" t="str">
        <f>ID!A8</f>
        <v>A1260601</v>
      </c>
      <c r="B8" s="45" t="str">
        <f t="array" ref="B8">_xlfn.XLOOKUP(A8,ID!$A8:A24,ID!$B8:B24)</f>
        <v>NOVRITA INDRIASWARI</v>
      </c>
      <c r="C8" s="45" t="str">
        <f t="array" ref="C8">_xlfn.XLOOKUP(A8,ID!$A8:A24,ID!$C8:C24)</f>
        <v>ICA</v>
      </c>
      <c r="D8" s="45" t="str">
        <f t="array" ref="D8">_xlfn.XLOOKUP(A8,ID!$A8:A24,ID!$D8:D24)</f>
        <v>STAF ADMINISTRASI PUSAT</v>
      </c>
      <c r="E8" s="48" t="s">
        <v>87</v>
      </c>
      <c r="F8" s="48"/>
      <c r="G8" s="48" t="s">
        <v>87</v>
      </c>
      <c r="H8" s="48" t="s">
        <v>87</v>
      </c>
      <c r="I8" s="48" t="s">
        <v>87</v>
      </c>
      <c r="J8" s="48"/>
      <c r="K8" s="48"/>
      <c r="L8" s="48"/>
      <c r="M8" s="48"/>
      <c r="N8" s="48" t="s">
        <v>87</v>
      </c>
      <c r="O8" s="48" t="s">
        <v>87</v>
      </c>
      <c r="P8" s="48" t="s">
        <v>87</v>
      </c>
      <c r="Q8" s="48" t="s">
        <v>87</v>
      </c>
      <c r="R8" s="48" t="s">
        <v>87</v>
      </c>
      <c r="S8" s="48" t="s">
        <v>87</v>
      </c>
      <c r="T8" s="48"/>
      <c r="U8" s="48" t="s">
        <v>87</v>
      </c>
      <c r="V8" s="48" t="s">
        <v>87</v>
      </c>
      <c r="W8" s="48" t="s">
        <v>87</v>
      </c>
      <c r="X8" s="48" t="s">
        <v>87</v>
      </c>
      <c r="Y8" s="48" t="s">
        <v>87</v>
      </c>
      <c r="Z8" s="48" t="s">
        <v>87</v>
      </c>
      <c r="AA8" s="48"/>
      <c r="AB8" s="48" t="s">
        <v>87</v>
      </c>
      <c r="AC8" s="48" t="s">
        <v>87</v>
      </c>
      <c r="AD8" s="48" t="s">
        <v>87</v>
      </c>
      <c r="AE8" s="48" t="s">
        <v>87</v>
      </c>
      <c r="AF8" s="48" t="s">
        <v>87</v>
      </c>
      <c r="AG8" s="48" t="s">
        <v>87</v>
      </c>
      <c r="AH8" s="48"/>
      <c r="AI8" s="48" t="s">
        <v>87</v>
      </c>
      <c r="AJ8" s="48"/>
      <c r="AK8" s="60"/>
      <c r="AL8" s="49">
        <f t="shared" si="1"/>
        <v>23</v>
      </c>
      <c r="AM8" s="62">
        <f t="shared" si="2"/>
        <v>0</v>
      </c>
      <c r="AN8" s="49">
        <f t="shared" si="3"/>
        <v>0</v>
      </c>
      <c r="AO8" s="49">
        <f t="shared" si="4"/>
        <v>0</v>
      </c>
      <c r="AP8" s="49">
        <f t="shared" si="5"/>
        <v>0</v>
      </c>
      <c r="AQ8" s="49">
        <f t="shared" si="6"/>
        <v>0</v>
      </c>
      <c r="AR8" s="64">
        <f>FLOOR(IF((AL8+AP8+AQ8)/$AJ$3&lt;=0.9,0,(AL8+AO8+AP8+AQ8)/$AJ$3)*ID!F8,1000)</f>
        <v>500000</v>
      </c>
      <c r="AS8" s="64">
        <f t="shared" si="7"/>
        <v>0</v>
      </c>
      <c r="AT8" s="64">
        <f t="shared" si="8"/>
        <v>0</v>
      </c>
    </row>
    <row r="9" ht="22.5" customHeight="1">
      <c r="A9" s="45" t="str">
        <f>ID!A9</f>
        <v>B1220101</v>
      </c>
      <c r="B9" s="45" t="str">
        <f t="array" ref="B9">_xlfn.XLOOKUP(A9,ID!$A9:A24,ID!$B9:B24)</f>
        <v>HESTI SUFRESHTRI</v>
      </c>
      <c r="C9" s="45" t="str">
        <f t="array" ref="C9">_xlfn.XLOOKUP(A9,ID!$A9:A24,ID!$C9:C24)</f>
        <v>HESTI</v>
      </c>
      <c r="D9" s="45" t="str">
        <f t="array" ref="D9">_xlfn.XLOOKUP(A9,ID!$A9:A24,ID!$D9:D24)</f>
        <v>FISIOTERAPIS</v>
      </c>
      <c r="E9" s="48" t="s">
        <v>87</v>
      </c>
      <c r="F9" s="48"/>
      <c r="G9" s="78" t="s">
        <v>87</v>
      </c>
      <c r="H9" s="78" t="s">
        <v>87</v>
      </c>
      <c r="I9" s="78" t="s">
        <v>87</v>
      </c>
      <c r="J9" s="78"/>
      <c r="K9" s="78"/>
      <c r="L9" s="78"/>
      <c r="M9" s="78"/>
      <c r="N9" s="78" t="s">
        <v>87</v>
      </c>
      <c r="O9" s="78" t="s">
        <v>87</v>
      </c>
      <c r="P9" s="78" t="s">
        <v>87</v>
      </c>
      <c r="Q9" s="78" t="s">
        <v>87</v>
      </c>
      <c r="R9" s="78" t="s">
        <v>87</v>
      </c>
      <c r="S9" s="78" t="s">
        <v>87</v>
      </c>
      <c r="T9" s="78"/>
      <c r="U9" s="78">
        <v>2.0</v>
      </c>
      <c r="V9" s="78" t="s">
        <v>87</v>
      </c>
      <c r="W9" s="78" t="s">
        <v>87</v>
      </c>
      <c r="X9" s="78" t="s">
        <v>87</v>
      </c>
      <c r="Y9" s="78">
        <v>1.0</v>
      </c>
      <c r="Z9" s="78" t="s">
        <v>87</v>
      </c>
      <c r="AA9" s="48"/>
      <c r="AB9" s="78" t="s">
        <v>87</v>
      </c>
      <c r="AC9" s="78" t="s">
        <v>87</v>
      </c>
      <c r="AD9" s="78" t="s">
        <v>87</v>
      </c>
      <c r="AE9" s="78" t="s">
        <v>87</v>
      </c>
      <c r="AF9" s="78" t="s">
        <v>87</v>
      </c>
      <c r="AG9" s="78" t="s">
        <v>87</v>
      </c>
      <c r="AH9" s="78"/>
      <c r="AI9" s="78" t="s">
        <v>87</v>
      </c>
      <c r="AJ9" s="78"/>
      <c r="AK9" s="80"/>
      <c r="AL9" s="49">
        <f t="shared" si="1"/>
        <v>23</v>
      </c>
      <c r="AM9" s="62">
        <f t="shared" si="2"/>
        <v>3</v>
      </c>
      <c r="AN9" s="49">
        <f t="shared" si="3"/>
        <v>0</v>
      </c>
      <c r="AO9" s="49">
        <f t="shared" si="4"/>
        <v>0</v>
      </c>
      <c r="AP9" s="49">
        <f t="shared" si="5"/>
        <v>0</v>
      </c>
      <c r="AQ9" s="49">
        <f t="shared" si="6"/>
        <v>0</v>
      </c>
      <c r="AR9" s="64">
        <f>FLOOR(IF((AL9+AO9+AP9+AQ9)/$AJ$3&lt;=0.75,0,(AL9+AO9+AP9+AQ9)/$AJ$3)*ID!F9,1000)</f>
        <v>500000</v>
      </c>
      <c r="AS9" s="64">
        <f t="shared" si="7"/>
        <v>15000</v>
      </c>
      <c r="AT9" s="64">
        <f t="shared" si="8"/>
        <v>0</v>
      </c>
    </row>
    <row r="10" ht="22.5" customHeight="1">
      <c r="A10" s="45" t="str">
        <f>ID!A10</f>
        <v>B1221101</v>
      </c>
      <c r="B10" s="45" t="str">
        <f t="array" ref="B10">_xlfn.XLOOKUP(A10,ID!$A10:A24,ID!$B10:B24)</f>
        <v>SHOFIANADA NABILLA</v>
      </c>
      <c r="C10" s="45" t="str">
        <f t="array" ref="C10">_xlfn.XLOOKUP(A10,ID!$A10:A24,ID!$C10:C24)</f>
        <v>NADA</v>
      </c>
      <c r="D10" s="45" t="str">
        <f t="array" ref="D10">_xlfn.XLOOKUP(A10,ID!$A10:A24,ID!$D10:D24)</f>
        <v>FISIOTERAPIS</v>
      </c>
      <c r="E10" s="48" t="s">
        <v>87</v>
      </c>
      <c r="F10" s="48"/>
      <c r="G10" s="78" t="s">
        <v>87</v>
      </c>
      <c r="H10" s="78" t="s">
        <v>87</v>
      </c>
      <c r="I10" s="78" t="s">
        <v>87</v>
      </c>
      <c r="J10" s="78"/>
      <c r="K10" s="78"/>
      <c r="L10" s="78"/>
      <c r="M10" s="78"/>
      <c r="N10" s="78" t="s">
        <v>87</v>
      </c>
      <c r="O10" s="78" t="s">
        <v>87</v>
      </c>
      <c r="P10" s="78" t="s">
        <v>87</v>
      </c>
      <c r="Q10" s="78" t="s">
        <v>87</v>
      </c>
      <c r="R10" s="78" t="s">
        <v>87</v>
      </c>
      <c r="S10" s="78" t="s">
        <v>87</v>
      </c>
      <c r="T10" s="78"/>
      <c r="U10" s="78" t="s">
        <v>87</v>
      </c>
      <c r="V10" s="78" t="s">
        <v>87</v>
      </c>
      <c r="W10" s="78" t="s">
        <v>87</v>
      </c>
      <c r="X10" s="78" t="s">
        <v>87</v>
      </c>
      <c r="Y10" s="78" t="s">
        <v>87</v>
      </c>
      <c r="Z10" s="78" t="s">
        <v>87</v>
      </c>
      <c r="AA10" s="48"/>
      <c r="AB10" s="78" t="s">
        <v>87</v>
      </c>
      <c r="AC10" s="78" t="s">
        <v>87</v>
      </c>
      <c r="AD10" s="78" t="s">
        <v>87</v>
      </c>
      <c r="AE10" s="78" t="s">
        <v>87</v>
      </c>
      <c r="AF10" s="78" t="s">
        <v>87</v>
      </c>
      <c r="AG10" s="78" t="s">
        <v>87</v>
      </c>
      <c r="AH10" s="78"/>
      <c r="AI10" s="78" t="s">
        <v>87</v>
      </c>
      <c r="AJ10" s="78"/>
      <c r="AK10" s="80"/>
      <c r="AL10" s="49">
        <f t="shared" si="1"/>
        <v>23</v>
      </c>
      <c r="AM10" s="62">
        <f t="shared" si="2"/>
        <v>0</v>
      </c>
      <c r="AN10" s="49">
        <f t="shared" si="3"/>
        <v>0</v>
      </c>
      <c r="AO10" s="49">
        <f t="shared" si="4"/>
        <v>0</v>
      </c>
      <c r="AP10" s="49">
        <f t="shared" si="5"/>
        <v>0</v>
      </c>
      <c r="AQ10" s="49">
        <f t="shared" si="6"/>
        <v>0</v>
      </c>
      <c r="AR10" s="64">
        <f>FLOOR(IF((AL10+AO10+AP10+AQ10)/$AJ$3&lt;=0.75,0,(AL10+AO10+AP10+AQ10)/$AJ$3)*ID!F10,1000)</f>
        <v>0</v>
      </c>
      <c r="AS10" s="64">
        <f t="shared" si="7"/>
        <v>0</v>
      </c>
      <c r="AT10" s="64">
        <f t="shared" si="8"/>
        <v>0</v>
      </c>
    </row>
    <row r="11" ht="22.5" customHeight="1">
      <c r="A11" s="45" t="str">
        <f>ID!A11</f>
        <v>B1240101</v>
      </c>
      <c r="B11" s="45" t="str">
        <f t="array" ref="B11">_xlfn.XLOOKUP(A11,ID!$A11:A24,ID!$B11:B24)</f>
        <v>DESTY TRI RAHMADHANI</v>
      </c>
      <c r="C11" s="45" t="str">
        <f t="array" ref="C11">_xlfn.XLOOKUP(A11,ID!$A11:A24,ID!$C11:C24)</f>
        <v>DESTY</v>
      </c>
      <c r="D11" s="45" t="str">
        <f t="array" ref="D11">_xlfn.XLOOKUP(A11,ID!$A11:A24,ID!$D11:D24)</f>
        <v>FISIOTERAPIS</v>
      </c>
      <c r="E11" s="48" t="s">
        <v>87</v>
      </c>
      <c r="F11" s="48"/>
      <c r="G11" s="78" t="s">
        <v>87</v>
      </c>
      <c r="H11" s="78" t="s">
        <v>87</v>
      </c>
      <c r="I11" s="78" t="s">
        <v>87</v>
      </c>
      <c r="J11" s="78"/>
      <c r="K11" s="78"/>
      <c r="L11" s="78"/>
      <c r="M11" s="78"/>
      <c r="N11" s="78" t="s">
        <v>87</v>
      </c>
      <c r="O11" s="78" t="s">
        <v>87</v>
      </c>
      <c r="P11" s="78" t="s">
        <v>87</v>
      </c>
      <c r="Q11" s="78" t="s">
        <v>87</v>
      </c>
      <c r="R11" s="78" t="s">
        <v>87</v>
      </c>
      <c r="S11" s="78" t="s">
        <v>87</v>
      </c>
      <c r="T11" s="78"/>
      <c r="U11" s="78" t="s">
        <v>108</v>
      </c>
      <c r="V11" s="78" t="s">
        <v>108</v>
      </c>
      <c r="W11" s="78" t="s">
        <v>87</v>
      </c>
      <c r="X11" s="78" t="s">
        <v>87</v>
      </c>
      <c r="Y11" s="78" t="s">
        <v>87</v>
      </c>
      <c r="Z11" s="78" t="s">
        <v>87</v>
      </c>
      <c r="AA11" s="48"/>
      <c r="AB11" s="78" t="s">
        <v>87</v>
      </c>
      <c r="AC11" s="78" t="s">
        <v>87</v>
      </c>
      <c r="AD11" s="78" t="s">
        <v>87</v>
      </c>
      <c r="AE11" s="78" t="s">
        <v>87</v>
      </c>
      <c r="AF11" s="78" t="s">
        <v>87</v>
      </c>
      <c r="AG11" s="78" t="s">
        <v>87</v>
      </c>
      <c r="AH11" s="78"/>
      <c r="AI11" s="78" t="s">
        <v>87</v>
      </c>
      <c r="AJ11" s="78"/>
      <c r="AK11" s="80"/>
      <c r="AL11" s="49">
        <f t="shared" si="1"/>
        <v>21</v>
      </c>
      <c r="AM11" s="62">
        <f t="shared" si="2"/>
        <v>0</v>
      </c>
      <c r="AN11" s="49">
        <f t="shared" si="3"/>
        <v>0</v>
      </c>
      <c r="AO11" s="49">
        <f t="shared" si="4"/>
        <v>2</v>
      </c>
      <c r="AP11" s="49">
        <f t="shared" si="5"/>
        <v>0</v>
      </c>
      <c r="AQ11" s="49">
        <f t="shared" si="6"/>
        <v>0</v>
      </c>
      <c r="AR11" s="64">
        <f>FLOOR(IF((AL11+AO11+AP11+AQ11)/$AJ$3&lt;=0.75,0,(AL11+AO11+AP11+AQ11)/$AJ$3)*ID!F11,1000)</f>
        <v>500000</v>
      </c>
      <c r="AS11" s="64">
        <f t="shared" si="7"/>
        <v>0</v>
      </c>
      <c r="AT11" s="64">
        <f t="shared" si="8"/>
        <v>0</v>
      </c>
    </row>
    <row r="12" ht="22.5" customHeight="1">
      <c r="A12" s="45" t="str">
        <f>ID!A12</f>
        <v>B1241001</v>
      </c>
      <c r="B12" s="45" t="str">
        <f t="array" ref="B12">_xlfn.XLOOKUP(A12,ID!$A11:A24,ID!$B11:B24)</f>
        <v>JOHANA PRITY</v>
      </c>
      <c r="C12" s="45" t="str">
        <f t="array" ref="C12">_xlfn.XLOOKUP(A12,ID!$A11:A24,ID!$C11:C24)</f>
        <v>PRITY</v>
      </c>
      <c r="D12" s="45" t="str">
        <f t="array" ref="D12">_xlfn.XLOOKUP(A12,ID!$A11:A24,ID!$D11:D24)</f>
        <v>FISIOTERAPIS</v>
      </c>
      <c r="E12" s="48" t="s">
        <v>87</v>
      </c>
      <c r="F12" s="48"/>
      <c r="G12" s="78" t="s">
        <v>87</v>
      </c>
      <c r="H12" s="78" t="s">
        <v>87</v>
      </c>
      <c r="I12" s="78" t="s">
        <v>87</v>
      </c>
      <c r="J12" s="78"/>
      <c r="K12" s="78"/>
      <c r="L12" s="78"/>
      <c r="M12" s="78"/>
      <c r="N12" s="78" t="s">
        <v>87</v>
      </c>
      <c r="O12" s="78" t="s">
        <v>87</v>
      </c>
      <c r="P12" s="78" t="s">
        <v>87</v>
      </c>
      <c r="Q12" s="78" t="s">
        <v>87</v>
      </c>
      <c r="R12" s="78" t="s">
        <v>87</v>
      </c>
      <c r="S12" s="78" t="s">
        <v>87</v>
      </c>
      <c r="T12" s="78"/>
      <c r="U12" s="78" t="s">
        <v>87</v>
      </c>
      <c r="V12" s="78" t="s">
        <v>87</v>
      </c>
      <c r="W12" s="78" t="s">
        <v>108</v>
      </c>
      <c r="X12" s="78" t="s">
        <v>108</v>
      </c>
      <c r="Y12" s="78" t="s">
        <v>108</v>
      </c>
      <c r="Z12" s="78">
        <v>1.0</v>
      </c>
      <c r="AA12" s="48"/>
      <c r="AB12" s="78" t="s">
        <v>87</v>
      </c>
      <c r="AC12" s="78" t="s">
        <v>87</v>
      </c>
      <c r="AD12" s="78" t="s">
        <v>87</v>
      </c>
      <c r="AE12" s="78" t="s">
        <v>87</v>
      </c>
      <c r="AF12" s="78" t="s">
        <v>87</v>
      </c>
      <c r="AG12" s="78" t="s">
        <v>87</v>
      </c>
      <c r="AH12" s="78"/>
      <c r="AI12" s="78" t="s">
        <v>87</v>
      </c>
      <c r="AJ12" s="78"/>
      <c r="AK12" s="80"/>
      <c r="AL12" s="49">
        <f t="shared" si="1"/>
        <v>20</v>
      </c>
      <c r="AM12" s="62">
        <f t="shared" si="2"/>
        <v>1</v>
      </c>
      <c r="AN12" s="49">
        <f t="shared" si="3"/>
        <v>0</v>
      </c>
      <c r="AO12" s="49">
        <f t="shared" si="4"/>
        <v>3</v>
      </c>
      <c r="AP12" s="49">
        <f t="shared" si="5"/>
        <v>0</v>
      </c>
      <c r="AQ12" s="49">
        <f t="shared" si="6"/>
        <v>0</v>
      </c>
      <c r="AR12" s="64">
        <f>FLOOR(IF((AL12+AO12+AP12+AQ12)/$AJ$3&lt;=0.75,0,(AL12+AO12+AP12+AQ12)/$AJ$3)*ID!F12,1000)</f>
        <v>500000</v>
      </c>
      <c r="AS12" s="64">
        <f t="shared" si="7"/>
        <v>5000</v>
      </c>
      <c r="AT12" s="64">
        <f t="shared" si="8"/>
        <v>0</v>
      </c>
    </row>
    <row r="13" ht="22.5" customHeight="1">
      <c r="A13" s="45" t="str">
        <f>ID!A13</f>
        <v>B1250101</v>
      </c>
      <c r="B13" s="45" t="str">
        <f t="array" ref="B13">_xlfn.XLOOKUP(A13,ID!$A12:A24,ID!$B12:B24)</f>
        <v>WAHYU TRI SETYO NUGROHO</v>
      </c>
      <c r="C13" s="45" t="str">
        <f t="array" ref="C13">_xlfn.XLOOKUP(A13,ID!$A12:A24,ID!$C12:C24)</f>
        <v>WAHYU</v>
      </c>
      <c r="D13" s="45" t="str">
        <f t="array" ref="D13">_xlfn.XLOOKUP(A13,ID!$A12:A24,ID!$D12:D24)</f>
        <v>FISIOTERAPIS</v>
      </c>
      <c r="E13" s="48" t="s">
        <v>87</v>
      </c>
      <c r="F13" s="48"/>
      <c r="G13" s="78" t="s">
        <v>87</v>
      </c>
      <c r="H13" s="78" t="s">
        <v>87</v>
      </c>
      <c r="I13" s="78" t="s">
        <v>87</v>
      </c>
      <c r="J13" s="78"/>
      <c r="K13" s="78"/>
      <c r="L13" s="78"/>
      <c r="M13" s="78"/>
      <c r="N13" s="78" t="s">
        <v>87</v>
      </c>
      <c r="O13" s="78" t="s">
        <v>87</v>
      </c>
      <c r="P13" s="78" t="s">
        <v>87</v>
      </c>
      <c r="Q13" s="78" t="s">
        <v>87</v>
      </c>
      <c r="R13" s="78" t="s">
        <v>87</v>
      </c>
      <c r="S13" s="78" t="s">
        <v>87</v>
      </c>
      <c r="T13" s="78"/>
      <c r="U13" s="78" t="s">
        <v>87</v>
      </c>
      <c r="V13" s="78" t="s">
        <v>87</v>
      </c>
      <c r="W13" s="78" t="s">
        <v>87</v>
      </c>
      <c r="X13" s="78" t="s">
        <v>87</v>
      </c>
      <c r="Y13" s="78" t="s">
        <v>87</v>
      </c>
      <c r="Z13" s="78" t="s">
        <v>87</v>
      </c>
      <c r="AA13" s="48"/>
      <c r="AB13" s="78" t="s">
        <v>87</v>
      </c>
      <c r="AC13" s="78" t="s">
        <v>87</v>
      </c>
      <c r="AD13" s="78" t="s">
        <v>87</v>
      </c>
      <c r="AE13" s="78" t="s">
        <v>87</v>
      </c>
      <c r="AF13" s="78" t="s">
        <v>87</v>
      </c>
      <c r="AG13" s="78" t="s">
        <v>87</v>
      </c>
      <c r="AH13" s="78"/>
      <c r="AI13" s="78" t="s">
        <v>87</v>
      </c>
      <c r="AJ13" s="78"/>
      <c r="AK13" s="80"/>
      <c r="AL13" s="49">
        <f t="shared" si="1"/>
        <v>23</v>
      </c>
      <c r="AM13" s="62">
        <f t="shared" si="2"/>
        <v>0</v>
      </c>
      <c r="AN13" s="49">
        <f t="shared" si="3"/>
        <v>0</v>
      </c>
      <c r="AO13" s="49">
        <f t="shared" si="4"/>
        <v>0</v>
      </c>
      <c r="AP13" s="49">
        <f t="shared" si="5"/>
        <v>0</v>
      </c>
      <c r="AQ13" s="49">
        <f t="shared" si="6"/>
        <v>0</v>
      </c>
      <c r="AR13" s="64">
        <f>FLOOR(IF((AL13+AO13+AP13+AQ13)/$AJ$3&lt;=0.75,0,(AL13+AO13+AP13+AQ13)/$AJ$3)*ID!F13,1000)</f>
        <v>500000</v>
      </c>
      <c r="AS13" s="64">
        <f t="shared" si="7"/>
        <v>0</v>
      </c>
      <c r="AT13" s="64">
        <f t="shared" si="8"/>
        <v>0</v>
      </c>
    </row>
    <row r="14" ht="22.5" customHeight="1">
      <c r="A14" s="45" t="str">
        <f>ID!A14</f>
        <v>B1250102</v>
      </c>
      <c r="B14" s="45" t="str">
        <f t="array" ref="B14">_xlfn.XLOOKUP(A14,ID!$A13:A24,ID!$B13:B24)</f>
        <v>ORY KUSTI OVIANDAR</v>
      </c>
      <c r="C14" s="45" t="str">
        <f t="array" ref="C14">_xlfn.XLOOKUP(A14,ID!$A13:A24,ID!$C13:C24)</f>
        <v>ORY</v>
      </c>
      <c r="D14" s="45" t="str">
        <f t="array" ref="D14">_xlfn.XLOOKUP(A14,ID!$A13:A24,ID!$D13:D24)</f>
        <v>FISIOTERAPIS</v>
      </c>
      <c r="E14" s="48" t="s">
        <v>87</v>
      </c>
      <c r="F14" s="48"/>
      <c r="G14" s="78" t="s">
        <v>87</v>
      </c>
      <c r="H14" s="78" t="s">
        <v>87</v>
      </c>
      <c r="I14" s="78" t="s">
        <v>87</v>
      </c>
      <c r="J14" s="78"/>
      <c r="K14" s="78"/>
      <c r="L14" s="78"/>
      <c r="M14" s="78"/>
      <c r="N14" s="78" t="s">
        <v>87</v>
      </c>
      <c r="O14" s="78" t="s">
        <v>87</v>
      </c>
      <c r="P14" s="78" t="s">
        <v>87</v>
      </c>
      <c r="Q14" s="78" t="s">
        <v>87</v>
      </c>
      <c r="R14" s="78" t="s">
        <v>87</v>
      </c>
      <c r="S14" s="78" t="s">
        <v>87</v>
      </c>
      <c r="T14" s="78"/>
      <c r="U14" s="78" t="s">
        <v>87</v>
      </c>
      <c r="V14" s="78" t="s">
        <v>87</v>
      </c>
      <c r="W14" s="78" t="s">
        <v>87</v>
      </c>
      <c r="X14" s="78" t="s">
        <v>87</v>
      </c>
      <c r="Y14" s="78" t="s">
        <v>87</v>
      </c>
      <c r="Z14" s="78" t="s">
        <v>87</v>
      </c>
      <c r="AA14" s="48"/>
      <c r="AB14" s="78" t="s">
        <v>87</v>
      </c>
      <c r="AC14" s="78" t="s">
        <v>87</v>
      </c>
      <c r="AD14" s="78" t="s">
        <v>87</v>
      </c>
      <c r="AE14" s="78" t="s">
        <v>87</v>
      </c>
      <c r="AF14" s="78" t="s">
        <v>87</v>
      </c>
      <c r="AG14" s="78" t="s">
        <v>87</v>
      </c>
      <c r="AH14" s="78"/>
      <c r="AI14" s="78" t="s">
        <v>87</v>
      </c>
      <c r="AJ14" s="78"/>
      <c r="AK14" s="80"/>
      <c r="AL14" s="49">
        <f t="shared" si="1"/>
        <v>23</v>
      </c>
      <c r="AM14" s="62">
        <f t="shared" si="2"/>
        <v>0</v>
      </c>
      <c r="AN14" s="49">
        <f t="shared" si="3"/>
        <v>0</v>
      </c>
      <c r="AO14" s="49">
        <f t="shared" si="4"/>
        <v>0</v>
      </c>
      <c r="AP14" s="49">
        <f t="shared" si="5"/>
        <v>0</v>
      </c>
      <c r="AQ14" s="49">
        <f t="shared" si="6"/>
        <v>0</v>
      </c>
      <c r="AR14" s="64">
        <f>FLOOR(IF((AL14+AO14+AP14+AQ14)/$AJ$3&lt;=0.75,0,(AL14+AO14+AP14+AQ14)/$AJ$3)*ID!F14,1000)</f>
        <v>500000</v>
      </c>
      <c r="AS14" s="64">
        <f t="shared" si="7"/>
        <v>0</v>
      </c>
      <c r="AT14" s="64">
        <f t="shared" si="8"/>
        <v>0</v>
      </c>
    </row>
    <row r="15" ht="22.5" customHeight="1">
      <c r="A15" s="45" t="str">
        <f>ID!A15</f>
        <v>B1250501</v>
      </c>
      <c r="B15" s="45" t="str">
        <f t="array" ref="B15">_xlfn.XLOOKUP(A15,ID!$A14:A24,ID!$B14:B24)</f>
        <v>HENA AURA PUTRI</v>
      </c>
      <c r="C15" s="45" t="str">
        <f t="array" ref="C15">_xlfn.XLOOKUP(A15,ID!$A14:A24,ID!$C14:C24)</f>
        <v>HENA</v>
      </c>
      <c r="D15" s="45" t="str">
        <f t="array" ref="D15">_xlfn.XLOOKUP(A15,ID!$A14:A24,ID!$D14:D24)</f>
        <v>FISIOTERAPIS</v>
      </c>
      <c r="E15" s="48" t="s">
        <v>87</v>
      </c>
      <c r="F15" s="48"/>
      <c r="G15" s="78" t="s">
        <v>87</v>
      </c>
      <c r="H15" s="78" t="s">
        <v>87</v>
      </c>
      <c r="I15" s="78" t="s">
        <v>87</v>
      </c>
      <c r="J15" s="78"/>
      <c r="K15" s="78"/>
      <c r="L15" s="78"/>
      <c r="M15" s="78"/>
      <c r="N15" s="78" t="s">
        <v>87</v>
      </c>
      <c r="O15" s="78" t="s">
        <v>87</v>
      </c>
      <c r="P15" s="78" t="s">
        <v>87</v>
      </c>
      <c r="Q15" s="78" t="s">
        <v>87</v>
      </c>
      <c r="R15" s="78" t="s">
        <v>87</v>
      </c>
      <c r="S15" s="78" t="s">
        <v>87</v>
      </c>
      <c r="T15" s="78"/>
      <c r="U15" s="78" t="s">
        <v>87</v>
      </c>
      <c r="V15" s="78" t="s">
        <v>87</v>
      </c>
      <c r="W15" s="78" t="s">
        <v>87</v>
      </c>
      <c r="X15" s="78" t="s">
        <v>87</v>
      </c>
      <c r="Y15" s="78" t="s">
        <v>130</v>
      </c>
      <c r="Z15" s="78" t="s">
        <v>130</v>
      </c>
      <c r="AA15" s="48"/>
      <c r="AB15" s="78" t="s">
        <v>87</v>
      </c>
      <c r="AC15" s="78" t="s">
        <v>108</v>
      </c>
      <c r="AD15" s="78" t="s">
        <v>87</v>
      </c>
      <c r="AE15" s="78" t="s">
        <v>87</v>
      </c>
      <c r="AF15" s="78" t="s">
        <v>87</v>
      </c>
      <c r="AG15" s="78" t="s">
        <v>87</v>
      </c>
      <c r="AH15" s="78"/>
      <c r="AI15" s="78" t="s">
        <v>87</v>
      </c>
      <c r="AJ15" s="78"/>
      <c r="AK15" s="80"/>
      <c r="AL15" s="49">
        <f t="shared" si="1"/>
        <v>20</v>
      </c>
      <c r="AM15" s="62">
        <f t="shared" si="2"/>
        <v>0</v>
      </c>
      <c r="AN15" s="49">
        <f t="shared" si="3"/>
        <v>0</v>
      </c>
      <c r="AO15" s="49">
        <f t="shared" si="4"/>
        <v>1</v>
      </c>
      <c r="AP15" s="49">
        <f t="shared" si="5"/>
        <v>2</v>
      </c>
      <c r="AQ15" s="49">
        <f t="shared" si="6"/>
        <v>0</v>
      </c>
      <c r="AR15" s="64">
        <f>FLOOR(IF((AL15+AO15+AP15+AQ15)/$AJ$3&lt;=0.75,0,(AL15+AO15+AP15+AQ15)/$AJ$3)*ID!F15,1000)</f>
        <v>500000</v>
      </c>
      <c r="AS15" s="64">
        <f t="shared" si="7"/>
        <v>0</v>
      </c>
      <c r="AT15" s="64">
        <f t="shared" si="8"/>
        <v>0</v>
      </c>
    </row>
    <row r="16" ht="22.5" customHeight="1">
      <c r="A16" s="45" t="str">
        <f>ID!A16</f>
        <v>B1250601</v>
      </c>
      <c r="B16" s="45" t="str">
        <f t="array" ref="B16">_xlfn.XLOOKUP(A16,ID!$A15:A24,ID!$B15:B24)</f>
        <v>SRI OKTAVIA MADANI</v>
      </c>
      <c r="C16" s="45" t="str">
        <f t="array" ref="C16">_xlfn.XLOOKUP(A16,ID!$A15:A24,ID!$C15:C24)</f>
        <v>OKTA</v>
      </c>
      <c r="D16" s="45" t="str">
        <f t="array" ref="D16">_xlfn.XLOOKUP(A16,ID!$A15:A24,ID!$D15:D24)</f>
        <v>FISIOTERAPIS</v>
      </c>
      <c r="E16" s="48" t="s">
        <v>87</v>
      </c>
      <c r="F16" s="48"/>
      <c r="G16" s="78" t="s">
        <v>87</v>
      </c>
      <c r="H16" s="78" t="s">
        <v>87</v>
      </c>
      <c r="I16" s="78" t="s">
        <v>87</v>
      </c>
      <c r="J16" s="78"/>
      <c r="K16" s="78"/>
      <c r="L16" s="78"/>
      <c r="M16" s="78"/>
      <c r="N16" s="78" t="s">
        <v>87</v>
      </c>
      <c r="O16" s="78" t="s">
        <v>87</v>
      </c>
      <c r="P16" s="78">
        <v>1.0</v>
      </c>
      <c r="Q16" s="78" t="s">
        <v>133</v>
      </c>
      <c r="R16" s="78" t="s">
        <v>87</v>
      </c>
      <c r="S16" s="78" t="s">
        <v>87</v>
      </c>
      <c r="T16" s="78"/>
      <c r="U16" s="78" t="s">
        <v>87</v>
      </c>
      <c r="V16" s="78" t="s">
        <v>87</v>
      </c>
      <c r="W16" s="78" t="s">
        <v>87</v>
      </c>
      <c r="X16" s="78" t="s">
        <v>108</v>
      </c>
      <c r="Y16" s="78" t="s">
        <v>130</v>
      </c>
      <c r="Z16" s="78" t="s">
        <v>130</v>
      </c>
      <c r="AA16" s="48"/>
      <c r="AB16" s="78" t="s">
        <v>87</v>
      </c>
      <c r="AC16" s="78">
        <v>3.0</v>
      </c>
      <c r="AD16" s="78" t="s">
        <v>87</v>
      </c>
      <c r="AE16" s="78" t="s">
        <v>87</v>
      </c>
      <c r="AF16" s="78" t="s">
        <v>87</v>
      </c>
      <c r="AG16" s="78" t="s">
        <v>87</v>
      </c>
      <c r="AH16" s="78"/>
      <c r="AI16" s="78" t="s">
        <v>87</v>
      </c>
      <c r="AJ16" s="78"/>
      <c r="AK16" s="80"/>
      <c r="AL16" s="49">
        <f t="shared" si="1"/>
        <v>19</v>
      </c>
      <c r="AM16" s="62">
        <f t="shared" si="2"/>
        <v>4</v>
      </c>
      <c r="AN16" s="49">
        <f t="shared" si="3"/>
        <v>0</v>
      </c>
      <c r="AO16" s="49">
        <f t="shared" si="4"/>
        <v>1</v>
      </c>
      <c r="AP16" s="49">
        <f t="shared" si="5"/>
        <v>2</v>
      </c>
      <c r="AQ16" s="49">
        <f t="shared" si="6"/>
        <v>1</v>
      </c>
      <c r="AR16" s="64">
        <f>FLOOR(IF((AL16+AO16+AP16+AQ16)/$AJ$3&lt;=0.75,0,(AL16+AO16+AP16+AQ16)/$AJ$3)*ID!F16,1000)</f>
        <v>500000</v>
      </c>
      <c r="AS16" s="64">
        <f t="shared" si="7"/>
        <v>20000</v>
      </c>
      <c r="AT16" s="64">
        <f t="shared" si="8"/>
        <v>100000</v>
      </c>
    </row>
    <row r="17" ht="22.5" customHeight="1">
      <c r="A17" s="45" t="str">
        <f>ID!A17</f>
        <v>B1251001</v>
      </c>
      <c r="B17" s="45" t="str">
        <f t="array" ref="B17">_xlfn.XLOOKUP(A17,ID!$A16:A24,ID!$B16:B24)</f>
        <v>AULIA SRI RAMADANTI</v>
      </c>
      <c r="C17" s="45" t="str">
        <f t="array" ref="C17">_xlfn.XLOOKUP(A17,ID!$A16:A24,ID!$C16:C24)</f>
        <v>AUL</v>
      </c>
      <c r="D17" s="45" t="str">
        <f t="array" ref="D17">_xlfn.XLOOKUP(A17,ID!$A16:A24,ID!$D16:D24)</f>
        <v>FISIOTERAPIS</v>
      </c>
      <c r="E17" s="48" t="s">
        <v>87</v>
      </c>
      <c r="F17" s="48"/>
      <c r="G17" s="78" t="s">
        <v>87</v>
      </c>
      <c r="H17" s="78" t="s">
        <v>87</v>
      </c>
      <c r="I17" s="78" t="s">
        <v>87</v>
      </c>
      <c r="J17" s="78"/>
      <c r="K17" s="78"/>
      <c r="L17" s="78"/>
      <c r="M17" s="78"/>
      <c r="N17" s="78" t="s">
        <v>87</v>
      </c>
      <c r="O17" s="78" t="s">
        <v>87</v>
      </c>
      <c r="P17" s="78" t="s">
        <v>87</v>
      </c>
      <c r="Q17" s="78" t="s">
        <v>87</v>
      </c>
      <c r="R17" s="78" t="s">
        <v>87</v>
      </c>
      <c r="S17" s="78" t="s">
        <v>87</v>
      </c>
      <c r="T17" s="78"/>
      <c r="U17" s="78" t="s">
        <v>87</v>
      </c>
      <c r="V17" s="78" t="s">
        <v>87</v>
      </c>
      <c r="W17" s="78" t="s">
        <v>87</v>
      </c>
      <c r="X17" s="78" t="s">
        <v>87</v>
      </c>
      <c r="Y17" s="78" t="s">
        <v>87</v>
      </c>
      <c r="Z17" s="78" t="s">
        <v>87</v>
      </c>
      <c r="AA17" s="48"/>
      <c r="AB17" s="78" t="s">
        <v>87</v>
      </c>
      <c r="AC17" s="78" t="s">
        <v>87</v>
      </c>
      <c r="AD17" s="78" t="s">
        <v>108</v>
      </c>
      <c r="AE17" s="78" t="s">
        <v>108</v>
      </c>
      <c r="AF17" s="78" t="s">
        <v>87</v>
      </c>
      <c r="AG17" s="78" t="s">
        <v>87</v>
      </c>
      <c r="AH17" s="78"/>
      <c r="AI17" s="78" t="s">
        <v>87</v>
      </c>
      <c r="AJ17" s="78"/>
      <c r="AK17" s="80"/>
      <c r="AL17" s="49">
        <f t="shared" si="1"/>
        <v>21</v>
      </c>
      <c r="AM17" s="62">
        <f t="shared" si="2"/>
        <v>0</v>
      </c>
      <c r="AN17" s="49">
        <f t="shared" si="3"/>
        <v>0</v>
      </c>
      <c r="AO17" s="49">
        <f t="shared" si="4"/>
        <v>2</v>
      </c>
      <c r="AP17" s="49">
        <f t="shared" si="5"/>
        <v>0</v>
      </c>
      <c r="AQ17" s="49">
        <f t="shared" si="6"/>
        <v>0</v>
      </c>
      <c r="AR17" s="64">
        <f>FLOOR(IF((AL17+AO17+AP17+AQ17)/$AJ$3&lt;=0.75,0,(AL17+AO17+AP17+AQ17)/$AJ$3)*ID!F17,1000)</f>
        <v>500000</v>
      </c>
      <c r="AS17" s="64">
        <f t="shared" si="7"/>
        <v>0</v>
      </c>
      <c r="AT17" s="64">
        <f t="shared" si="8"/>
        <v>0</v>
      </c>
    </row>
    <row r="18" ht="22.5" customHeight="1">
      <c r="A18" s="129" t="str">
        <f>ID!A18</f>
        <v>B1251201</v>
      </c>
      <c r="B18" s="129" t="str">
        <f t="array" ref="B18">_xlfn.XLOOKUP(A18,ID!$A17:A24,ID!$B17:B24)</f>
        <v>PUTRI QADAR RAMA DANIA</v>
      </c>
      <c r="C18" s="129" t="str">
        <f t="array" ref="C18">_xlfn.XLOOKUP(A18,ID!$A17:A24,ID!$C17:C24)</f>
        <v>PUTRI</v>
      </c>
      <c r="D18" s="129" t="str">
        <f t="array" ref="D18">_xlfn.XLOOKUP(A18,ID!$A17:A24,ID!$D17:D24)</f>
        <v>FISIOTERAPIS</v>
      </c>
      <c r="E18" s="48" t="s">
        <v>87</v>
      </c>
      <c r="F18" s="48"/>
      <c r="G18" s="155" t="s">
        <v>87</v>
      </c>
      <c r="H18" s="157" t="s">
        <v>87</v>
      </c>
      <c r="I18" s="157" t="s">
        <v>87</v>
      </c>
      <c r="J18" s="157"/>
      <c r="K18" s="157"/>
      <c r="L18" s="157"/>
      <c r="M18" s="157"/>
      <c r="N18" s="155" t="s">
        <v>108</v>
      </c>
      <c r="O18" s="157" t="s">
        <v>108</v>
      </c>
      <c r="P18" s="157" t="s">
        <v>87</v>
      </c>
      <c r="Q18" s="157" t="s">
        <v>87</v>
      </c>
      <c r="R18" s="157" t="s">
        <v>87</v>
      </c>
      <c r="S18" s="157" t="s">
        <v>87</v>
      </c>
      <c r="T18" s="157"/>
      <c r="U18" s="155" t="s">
        <v>87</v>
      </c>
      <c r="V18" s="157" t="s">
        <v>87</v>
      </c>
      <c r="W18" s="157" t="s">
        <v>87</v>
      </c>
      <c r="X18" s="157" t="s">
        <v>87</v>
      </c>
      <c r="Y18" s="157" t="s">
        <v>87</v>
      </c>
      <c r="Z18" s="157" t="s">
        <v>87</v>
      </c>
      <c r="AA18" s="157"/>
      <c r="AB18" s="155" t="s">
        <v>87</v>
      </c>
      <c r="AC18" s="157" t="s">
        <v>87</v>
      </c>
      <c r="AD18" s="157" t="s">
        <v>87</v>
      </c>
      <c r="AE18" s="157" t="s">
        <v>87</v>
      </c>
      <c r="AF18" s="157" t="s">
        <v>87</v>
      </c>
      <c r="AG18" s="157" t="s">
        <v>87</v>
      </c>
      <c r="AH18" s="155"/>
      <c r="AI18" s="155" t="s">
        <v>87</v>
      </c>
      <c r="AJ18" s="155"/>
      <c r="AK18" s="158"/>
      <c r="AL18" s="159">
        <f t="shared" si="1"/>
        <v>21</v>
      </c>
      <c r="AM18" s="62">
        <f t="shared" si="2"/>
        <v>0</v>
      </c>
      <c r="AN18" s="159">
        <f t="shared" si="3"/>
        <v>0</v>
      </c>
      <c r="AO18" s="159">
        <f t="shared" si="4"/>
        <v>2</v>
      </c>
      <c r="AP18" s="159">
        <f t="shared" si="5"/>
        <v>0</v>
      </c>
      <c r="AQ18" s="159">
        <f t="shared" si="6"/>
        <v>0</v>
      </c>
      <c r="AR18" s="160">
        <f>FLOOR(IF((AL18+AO18+AP18+AQ18)/$AJ$3&lt;=0.75,0,(AL18+AO18+AP18+AQ18)/$AJ$3)*ID!F18,1000)</f>
        <v>500000</v>
      </c>
      <c r="AS18" s="160">
        <f t="shared" si="7"/>
        <v>0</v>
      </c>
      <c r="AT18" s="160">
        <f t="shared" si="8"/>
        <v>0</v>
      </c>
    </row>
    <row r="19" ht="22.5" customHeight="1">
      <c r="A19" s="129" t="str">
        <f>ID!A19</f>
        <v>C1260501</v>
      </c>
      <c r="B19" s="129" t="str">
        <f t="array" ref="B19">_xlfn.XLOOKUP(A19,ID!$A18:A24,ID!$B18:B24)</f>
        <v>ALAMSYAH</v>
      </c>
      <c r="C19" s="129" t="str">
        <f t="array" ref="C19">_xlfn.XLOOKUP(A19,ID!$A18:A24,ID!$C18:C24)</f>
        <v>ALAM</v>
      </c>
      <c r="D19" s="129" t="str">
        <f t="array" ref="D19">_xlfn.XLOOKUP(A19,ID!$A18:A24,ID!$D18:D24)</f>
        <v>MASSEUR</v>
      </c>
      <c r="E19" s="48" t="s">
        <v>87</v>
      </c>
      <c r="F19" s="48"/>
      <c r="G19" s="155" t="s">
        <v>87</v>
      </c>
      <c r="H19" s="157" t="s">
        <v>87</v>
      </c>
      <c r="I19" s="157" t="s">
        <v>87</v>
      </c>
      <c r="J19" s="157"/>
      <c r="K19" s="157"/>
      <c r="L19" s="157"/>
      <c r="M19" s="157"/>
      <c r="N19" s="155" t="s">
        <v>87</v>
      </c>
      <c r="O19" s="157" t="s">
        <v>87</v>
      </c>
      <c r="P19" s="157" t="s">
        <v>87</v>
      </c>
      <c r="Q19" s="157" t="s">
        <v>87</v>
      </c>
      <c r="R19" s="157" t="s">
        <v>87</v>
      </c>
      <c r="S19" s="157" t="s">
        <v>87</v>
      </c>
      <c r="T19" s="157"/>
      <c r="U19" s="155" t="s">
        <v>87</v>
      </c>
      <c r="V19" s="157" t="s">
        <v>87</v>
      </c>
      <c r="W19" s="157" t="s">
        <v>87</v>
      </c>
      <c r="X19" s="157" t="s">
        <v>87</v>
      </c>
      <c r="Y19" s="157" t="s">
        <v>87</v>
      </c>
      <c r="Z19" s="157" t="s">
        <v>87</v>
      </c>
      <c r="AA19" s="157"/>
      <c r="AB19" s="155" t="s">
        <v>87</v>
      </c>
      <c r="AC19" s="157" t="s">
        <v>87</v>
      </c>
      <c r="AD19" s="157" t="s">
        <v>87</v>
      </c>
      <c r="AE19" s="157" t="s">
        <v>87</v>
      </c>
      <c r="AF19" s="157" t="s">
        <v>87</v>
      </c>
      <c r="AG19" s="157" t="s">
        <v>87</v>
      </c>
      <c r="AH19" s="155"/>
      <c r="AI19" s="155" t="s">
        <v>87</v>
      </c>
      <c r="AJ19" s="155"/>
      <c r="AK19" s="158"/>
      <c r="AL19" s="159">
        <f t="shared" si="1"/>
        <v>23</v>
      </c>
      <c r="AM19" s="62">
        <f t="shared" si="2"/>
        <v>0</v>
      </c>
      <c r="AN19" s="159">
        <f t="shared" si="3"/>
        <v>0</v>
      </c>
      <c r="AO19" s="159">
        <f t="shared" si="4"/>
        <v>0</v>
      </c>
      <c r="AP19" s="159">
        <f t="shared" si="5"/>
        <v>0</v>
      </c>
      <c r="AQ19" s="159">
        <f t="shared" si="6"/>
        <v>0</v>
      </c>
      <c r="AR19" s="160">
        <f>((AL19*100000)+(AP19*100000))-($AJ$3*100000)</f>
        <v>0</v>
      </c>
      <c r="AS19" s="160">
        <f t="shared" si="7"/>
        <v>0</v>
      </c>
      <c r="AT19" s="160">
        <f t="shared" si="8"/>
        <v>0</v>
      </c>
    </row>
    <row r="20" ht="22.5" customHeight="1" collapsed="1">
      <c r="A20" s="129" t="str">
        <f>ID!A20</f>
        <v>D1260501</v>
      </c>
      <c r="B20" s="129" t="str">
        <f t="array" ref="B20">_xlfn.XLOOKUP(A20,ID!$A19:A24,ID!$B19:B24)</f>
        <v>IBNU K. A. PURNAMAWANGSA</v>
      </c>
      <c r="C20" s="129" t="str">
        <f t="array" ref="C20">_xlfn.XLOOKUP(A20,ID!$A19:A24,ID!$C19:C24)</f>
        <v>IBNU</v>
      </c>
      <c r="D20" s="129" t="str">
        <f t="array" ref="D20">_xlfn.XLOOKUP(A20,ID!$A19:A24,ID!$D19:D24)</f>
        <v>STAF HR</v>
      </c>
      <c r="E20" s="48" t="s">
        <v>87</v>
      </c>
      <c r="F20" s="48"/>
      <c r="G20" s="155" t="s">
        <v>87</v>
      </c>
      <c r="H20" s="157" t="s">
        <v>87</v>
      </c>
      <c r="I20" s="157">
        <v>7.0</v>
      </c>
      <c r="J20" s="157"/>
      <c r="K20" s="157"/>
      <c r="L20" s="157"/>
      <c r="M20" s="157"/>
      <c r="N20" s="155" t="s">
        <v>87</v>
      </c>
      <c r="O20" s="157" t="s">
        <v>87</v>
      </c>
      <c r="P20" s="157" t="s">
        <v>87</v>
      </c>
      <c r="Q20" s="157" t="s">
        <v>87</v>
      </c>
      <c r="R20" s="157" t="s">
        <v>87</v>
      </c>
      <c r="S20" s="157" t="s">
        <v>87</v>
      </c>
      <c r="T20" s="157"/>
      <c r="U20" s="155" t="s">
        <v>87</v>
      </c>
      <c r="V20" s="157" t="s">
        <v>87</v>
      </c>
      <c r="W20" s="157" t="s">
        <v>87</v>
      </c>
      <c r="X20" s="157" t="s">
        <v>87</v>
      </c>
      <c r="Y20" s="157" t="s">
        <v>87</v>
      </c>
      <c r="Z20" s="157" t="s">
        <v>87</v>
      </c>
      <c r="AA20" s="157"/>
      <c r="AB20" s="155" t="s">
        <v>87</v>
      </c>
      <c r="AC20" s="157" t="s">
        <v>87</v>
      </c>
      <c r="AD20" s="157" t="s">
        <v>87</v>
      </c>
      <c r="AE20" s="157" t="s">
        <v>87</v>
      </c>
      <c r="AF20" s="157" t="s">
        <v>87</v>
      </c>
      <c r="AG20" s="157" t="s">
        <v>87</v>
      </c>
      <c r="AH20" s="155"/>
      <c r="AI20" s="155" t="s">
        <v>87</v>
      </c>
      <c r="AJ20" s="155"/>
      <c r="AK20" s="158"/>
      <c r="AL20" s="159">
        <f t="shared" si="1"/>
        <v>23</v>
      </c>
      <c r="AM20" s="62">
        <f t="shared" si="2"/>
        <v>7</v>
      </c>
      <c r="AN20" s="159">
        <f t="shared" si="3"/>
        <v>0</v>
      </c>
      <c r="AO20" s="159">
        <f t="shared" si="4"/>
        <v>0</v>
      </c>
      <c r="AP20" s="159">
        <f t="shared" si="5"/>
        <v>0</v>
      </c>
      <c r="AQ20" s="159">
        <f t="shared" si="6"/>
        <v>0</v>
      </c>
      <c r="AR20" s="160">
        <f>FLOOR(IF((AL20+AO20+AP20+AQ20)/$AJ$3&lt;=0.75,0,(AL20+AO20+AP20+AQ20)/$AJ$3)*ID!F20,1000)</f>
        <v>1500000</v>
      </c>
      <c r="AS20" s="160">
        <f t="shared" si="7"/>
        <v>35000</v>
      </c>
      <c r="AT20" s="160">
        <f t="shared" si="8"/>
        <v>0</v>
      </c>
    </row>
    <row r="21" ht="22.5" hidden="1" customHeight="1" outlineLevel="1">
      <c r="A21" s="144"/>
      <c r="B21" s="144"/>
      <c r="C21" s="144"/>
      <c r="D21" s="144"/>
      <c r="E21" s="31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80"/>
      <c r="AL21" s="49"/>
      <c r="AM21" s="49"/>
      <c r="AN21" s="49"/>
      <c r="AO21" s="49"/>
      <c r="AP21" s="49"/>
      <c r="AQ21" s="49"/>
      <c r="AR21" s="64"/>
      <c r="AS21" s="64"/>
      <c r="AT21" s="64"/>
    </row>
    <row r="22" ht="22.5" hidden="1" customHeight="1" outlineLevel="1">
      <c r="A22" s="144"/>
      <c r="B22" s="144"/>
      <c r="C22" s="144"/>
      <c r="D22" s="144"/>
      <c r="E22" s="31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80"/>
      <c r="AL22" s="49"/>
      <c r="AM22" s="49"/>
      <c r="AN22" s="49"/>
      <c r="AO22" s="49"/>
      <c r="AP22" s="49"/>
      <c r="AQ22" s="49"/>
      <c r="AR22" s="64"/>
      <c r="AS22" s="64"/>
      <c r="AT22" s="64"/>
    </row>
    <row r="23" ht="22.5" customHeight="1">
      <c r="A23" s="76"/>
      <c r="B23" s="76"/>
      <c r="C23" s="76"/>
      <c r="D23" s="76"/>
      <c r="E23" s="59"/>
      <c r="F23" s="161"/>
      <c r="G23" s="162"/>
      <c r="H23" s="161"/>
      <c r="I23" s="161"/>
      <c r="J23" s="161"/>
      <c r="K23" s="161"/>
      <c r="L23" s="162"/>
      <c r="M23" s="161"/>
      <c r="N23" s="162"/>
      <c r="O23" s="162"/>
      <c r="P23" s="162"/>
      <c r="Q23" s="162"/>
      <c r="R23" s="162"/>
      <c r="S23" s="162"/>
      <c r="T23" s="161"/>
      <c r="U23" s="162"/>
      <c r="V23" s="162"/>
      <c r="W23" s="162"/>
      <c r="X23" s="162"/>
      <c r="Y23" s="162"/>
      <c r="Z23" s="162"/>
      <c r="AA23" s="161"/>
      <c r="AB23" s="162"/>
      <c r="AC23" s="162"/>
      <c r="AD23" s="162"/>
      <c r="AE23" s="162"/>
      <c r="AF23" s="162"/>
      <c r="AG23" s="162"/>
      <c r="AH23" s="161"/>
      <c r="AI23" s="162"/>
      <c r="AJ23" s="162"/>
      <c r="AK23" s="80"/>
      <c r="AL23" s="66"/>
      <c r="AM23" s="66"/>
      <c r="AN23" s="66"/>
      <c r="AO23" s="66"/>
      <c r="AP23" s="66"/>
      <c r="AQ23" s="66"/>
      <c r="AR23" s="145">
        <f t="shared" ref="AR23:AT23" si="9">SUM(AR7:AR20)</f>
        <v>7000000</v>
      </c>
      <c r="AS23" s="145">
        <f t="shared" si="9"/>
        <v>80000</v>
      </c>
      <c r="AT23" s="145">
        <f t="shared" si="9"/>
        <v>100000</v>
      </c>
    </row>
    <row r="24">
      <c r="A24" s="147" t="s">
        <v>104</v>
      </c>
      <c r="B24" s="76"/>
      <c r="C24" s="76"/>
      <c r="D24" s="76"/>
      <c r="E24" s="59"/>
      <c r="F24" s="59"/>
      <c r="G24" s="163"/>
      <c r="H24" s="59"/>
      <c r="I24" s="59"/>
      <c r="J24" s="59"/>
      <c r="K24" s="59"/>
      <c r="L24" s="163"/>
      <c r="M24" s="59"/>
      <c r="N24" s="163"/>
      <c r="O24" s="163"/>
      <c r="P24" s="163"/>
      <c r="Q24" s="163"/>
      <c r="R24" s="163"/>
      <c r="S24" s="163"/>
      <c r="T24" s="59"/>
      <c r="U24" s="163"/>
      <c r="V24" s="163"/>
      <c r="W24" s="163"/>
      <c r="X24" s="163"/>
      <c r="Y24" s="163"/>
      <c r="Z24" s="163"/>
      <c r="AA24" s="59"/>
      <c r="AB24" s="163"/>
      <c r="AC24" s="163"/>
      <c r="AD24" s="163"/>
      <c r="AE24" s="163"/>
      <c r="AF24" s="163"/>
      <c r="AG24" s="163"/>
      <c r="AH24" s="59"/>
      <c r="AI24" s="163"/>
      <c r="AJ24" s="163"/>
      <c r="AK24" s="28"/>
      <c r="AL24" s="164"/>
      <c r="AM24" s="164"/>
      <c r="AN24" s="164"/>
      <c r="AO24" s="164"/>
      <c r="AP24" s="164"/>
      <c r="AQ24" s="164"/>
      <c r="AR24" s="148"/>
      <c r="AS24" s="148"/>
      <c r="AT24" s="148"/>
    </row>
  </sheetData>
  <conditionalFormatting sqref="E7:AJ24">
    <cfRule type="expression" dxfId="4" priority="1">
      <formula>IF(E$4="K",FALSE,TRUE)</formula>
    </cfRule>
  </conditionalFormatting>
  <conditionalFormatting sqref="E7:AJ22">
    <cfRule type="notContainsText" dxfId="6" priority="2" operator="notContains" text="H">
      <formula>ISERROR(SEARCH(("H"),(E7)))</formula>
    </cfRule>
  </conditionalFormatting>
  <conditionalFormatting sqref="E5:AJ6">
    <cfRule type="expression" dxfId="7" priority="3">
      <formula>IF(E$4="K",FALSE,TRUE)</formula>
    </cfRule>
  </conditionalFormatting>
  <printOptions/>
  <pageMargins bottom="0.75" footer="0.0" header="0.0" left="0.25" right="0.25" top="0.75"/>
  <pageSetup paperSize="14" cellComments="atEnd" orientation="landscape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 outlineLevelRow="1"/>
  <cols>
    <col collapsed="1" customWidth="1" min="2" max="2" width="25.13"/>
    <col hidden="1" min="3" max="3" width="12.63" outlineLevel="1"/>
    <col customWidth="1" hidden="1" min="4" max="4" width="22.63" outlineLevel="1"/>
    <col customWidth="1" min="5" max="12" width="7.63"/>
    <col collapsed="1" customWidth="1" min="13" max="13" width="7.63"/>
    <col customWidth="1" hidden="1" min="14" max="15" width="7.63" outlineLevel="1"/>
    <col hidden="1" min="16" max="16" width="12.63" outlineLevel="1"/>
    <col customWidth="1" min="17" max="17" width="3.88"/>
    <col customWidth="1" min="18" max="24" width="7.63"/>
    <col collapsed="1" customWidth="1" min="25" max="25" width="7.63"/>
    <col hidden="1" min="26" max="26" width="12.63" outlineLevel="1"/>
  </cols>
  <sheetData>
    <row r="1" ht="22.5" customHeight="1">
      <c r="A1" s="1" t="s">
        <v>81</v>
      </c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55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5" t="str">
        <f>TEMP!A2</f>
        <v>PERIODE SEPTEMBER 2026</v>
      </c>
      <c r="B2" s="6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56"/>
      <c r="R2" s="7"/>
      <c r="S2" s="7"/>
      <c r="T2" s="7"/>
      <c r="U2" s="7"/>
      <c r="V2" s="7"/>
      <c r="W2" s="7"/>
      <c r="X2" s="7"/>
      <c r="Y2" s="7"/>
      <c r="Z2" s="7"/>
    </row>
    <row r="3" ht="22.5" customHeight="1">
      <c r="A3" s="4"/>
      <c r="B3" s="4"/>
      <c r="C3" s="4"/>
      <c r="D3" s="4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59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10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22.5" customHeight="1">
      <c r="A5" s="13"/>
      <c r="B5" s="15"/>
      <c r="C5" s="15"/>
      <c r="D5" s="15"/>
      <c r="E5" s="61" t="s">
        <v>36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0"/>
      <c r="Q5" s="24"/>
      <c r="R5" s="61" t="s">
        <v>38</v>
      </c>
      <c r="S5" s="22"/>
      <c r="T5" s="22"/>
      <c r="U5" s="22"/>
      <c r="V5" s="22"/>
      <c r="W5" s="22"/>
      <c r="X5" s="22"/>
      <c r="Y5" s="22"/>
      <c r="Z5" s="20"/>
    </row>
    <row r="6" ht="22.5" customHeight="1">
      <c r="A6" s="27" t="s">
        <v>5</v>
      </c>
      <c r="B6" s="30" t="s">
        <v>6</v>
      </c>
      <c r="C6" s="30" t="s">
        <v>7</v>
      </c>
      <c r="D6" s="30" t="s">
        <v>8</v>
      </c>
      <c r="E6" s="32" t="s">
        <v>88</v>
      </c>
      <c r="F6" s="32" t="s">
        <v>89</v>
      </c>
      <c r="G6" s="32" t="s">
        <v>90</v>
      </c>
      <c r="H6" s="32" t="s">
        <v>91</v>
      </c>
      <c r="I6" s="32" t="s">
        <v>92</v>
      </c>
      <c r="J6" s="32" t="s">
        <v>93</v>
      </c>
      <c r="K6" s="32" t="s">
        <v>94</v>
      </c>
      <c r="L6" s="32" t="s">
        <v>95</v>
      </c>
      <c r="M6" s="32" t="s">
        <v>96</v>
      </c>
      <c r="N6" s="32" t="s">
        <v>97</v>
      </c>
      <c r="O6" s="32" t="s">
        <v>98</v>
      </c>
      <c r="P6" s="32" t="s">
        <v>11</v>
      </c>
      <c r="Q6" s="63"/>
      <c r="R6" s="32" t="s">
        <v>88</v>
      </c>
      <c r="S6" s="32" t="s">
        <v>89</v>
      </c>
      <c r="T6" s="32" t="s">
        <v>90</v>
      </c>
      <c r="U6" s="32" t="s">
        <v>99</v>
      </c>
      <c r="V6" s="32" t="s">
        <v>100</v>
      </c>
      <c r="W6" s="32" t="s">
        <v>101</v>
      </c>
      <c r="X6" s="32" t="s">
        <v>102</v>
      </c>
      <c r="Y6" s="32" t="s">
        <v>103</v>
      </c>
      <c r="Z6" s="32" t="s">
        <v>11</v>
      </c>
    </row>
    <row r="7" ht="22.5" customHeight="1">
      <c r="A7" s="36" t="str">
        <f>ID!A7</f>
        <v>A1260201</v>
      </c>
      <c r="B7" s="36" t="str">
        <f t="array" ref="B7">_xlfn.XLOOKUP(A7,ID!$A7:A24,ID!$B7:B24)</f>
        <v>DHEA NANDA KHAIRUNNISA</v>
      </c>
      <c r="C7" s="36" t="str">
        <f t="array" ref="C7">_xlfn.XLOOKUP(A7,ID!$A7:A24,ID!$C7:C24)</f>
        <v>DHEA</v>
      </c>
      <c r="D7" s="36" t="str">
        <f t="array" ref="D7">_xlfn.XLOOKUP(A7,ID!$A7:A24,ID!$D7:D24)</f>
        <v>STAF ADMINISTRASI</v>
      </c>
      <c r="E7" s="66"/>
      <c r="F7" s="66"/>
      <c r="G7" s="67">
        <v>161.0</v>
      </c>
      <c r="H7" s="68">
        <f>SUM(E7:G7)</f>
        <v>161</v>
      </c>
      <c r="I7" s="72">
        <f>SUM(E7:G7)/110</f>
        <v>1.463636364</v>
      </c>
      <c r="J7" s="75"/>
      <c r="K7" s="75"/>
      <c r="L7" s="75"/>
      <c r="M7" s="75"/>
      <c r="N7" s="75"/>
      <c r="O7" s="75"/>
      <c r="P7" s="42">
        <f>FLOOR(IF(H7&gt;=110,1,I7)*ID!G7,1000)</f>
        <v>500000</v>
      </c>
      <c r="Q7" s="83"/>
      <c r="R7" s="85"/>
      <c r="S7" s="66"/>
      <c r="T7" s="66"/>
      <c r="U7" s="66"/>
      <c r="V7" s="66"/>
      <c r="W7" s="66"/>
      <c r="X7" s="66"/>
      <c r="Y7" s="85"/>
      <c r="Z7" s="42">
        <f>(R7*ID!I7)+(S7*ID!J7)+(T7*ID!K7)+(Y7*ID!L7)</f>
        <v>0</v>
      </c>
    </row>
    <row r="8" ht="22.5" customHeight="1">
      <c r="A8" s="43" t="str">
        <f>ID!A8</f>
        <v>A1260601</v>
      </c>
      <c r="B8" s="43" t="str">
        <f t="array" ref="B8">_xlfn.XLOOKUP(A8,ID!$A8:A24,ID!$B8:B24)</f>
        <v>NOVRITA INDRIASWARI</v>
      </c>
      <c r="C8" s="43" t="str">
        <f t="array" ref="C8">_xlfn.XLOOKUP(A8,ID!$A8:A24,ID!$C8:C24)</f>
        <v>ICA</v>
      </c>
      <c r="D8" s="43" t="str">
        <f t="array" ref="D8">_xlfn.XLOOKUP(A8,ID!$A8:A24,ID!$D8:D24)</f>
        <v>STAF ADMINISTRASI PUSAT</v>
      </c>
      <c r="E8" s="66"/>
      <c r="F8" s="66"/>
      <c r="G8" s="85"/>
      <c r="H8" s="86">
        <v>20.0</v>
      </c>
      <c r="I8" s="87">
        <f>H8/20</f>
        <v>1</v>
      </c>
      <c r="J8" s="75"/>
      <c r="K8" s="75"/>
      <c r="L8" s="75"/>
      <c r="M8" s="75"/>
      <c r="N8" s="75"/>
      <c r="O8" s="75"/>
      <c r="P8" s="47">
        <f>FLOOR(IF(H8&gt;=110,1,I8)*ID!G8,1000)</f>
        <v>700000</v>
      </c>
      <c r="Q8" s="83"/>
      <c r="R8" s="85"/>
      <c r="S8" s="66"/>
      <c r="T8" s="66"/>
      <c r="U8" s="66"/>
      <c r="V8" s="66"/>
      <c r="W8" s="66"/>
      <c r="X8" s="66"/>
      <c r="Y8" s="85"/>
      <c r="Z8" s="47">
        <f>(R8*ID!I8)+(S8*ID!J8)+(T8*ID!K8)+(Y8*ID!L8)</f>
        <v>0</v>
      </c>
    </row>
    <row r="9" ht="22.5" customHeight="1">
      <c r="A9" s="36" t="str">
        <f>ID!A9</f>
        <v>B1220101</v>
      </c>
      <c r="B9" s="36" t="str">
        <f t="array" ref="B9">_xlfn.XLOOKUP(A9,ID!$A9:A24,ID!$B9:B24)</f>
        <v>HESTI SUFRESHTRI</v>
      </c>
      <c r="C9" s="36" t="str">
        <f t="array" ref="C9">_xlfn.XLOOKUP(A9,ID!$A9:A24,ID!$C9:C24)</f>
        <v>HESTI</v>
      </c>
      <c r="D9" s="36" t="str">
        <f t="array" ref="D9">_xlfn.XLOOKUP(A9,ID!$A9:A24,ID!$D9:D24)</f>
        <v>FISIOTERAPIS</v>
      </c>
      <c r="E9" s="67">
        <v>55.0</v>
      </c>
      <c r="F9" s="67">
        <v>6.0</v>
      </c>
      <c r="G9" s="67">
        <v>15.0</v>
      </c>
      <c r="H9" s="68">
        <f t="shared" ref="H9:H18" si="1">SUM(E9:G9)</f>
        <v>76</v>
      </c>
      <c r="I9" s="72">
        <f t="shared" ref="I9:I18" si="2">SUM(E9:G9)/60</f>
        <v>1.266666667</v>
      </c>
      <c r="J9" s="75"/>
      <c r="K9" s="75"/>
      <c r="L9" s="75"/>
      <c r="M9" s="75"/>
      <c r="N9" s="75"/>
      <c r="O9" s="75"/>
      <c r="P9" s="42">
        <f>FLOOR(IF(H9&gt;=60,1,I9)*ID!G9,1000)</f>
        <v>1500000</v>
      </c>
      <c r="Q9" s="83"/>
      <c r="R9" s="67">
        <v>1.0</v>
      </c>
      <c r="S9" s="67">
        <v>0.0</v>
      </c>
      <c r="T9" s="67">
        <v>1.0</v>
      </c>
      <c r="U9" s="85"/>
      <c r="V9" s="85"/>
      <c r="W9" s="85"/>
      <c r="X9" s="85"/>
      <c r="Y9" s="67">
        <v>1.0</v>
      </c>
      <c r="Z9" s="42">
        <f>(R9*ID!I9)+(S9*ID!J9)+(T9*ID!K9)+(Y9*ID!L9)</f>
        <v>1100000</v>
      </c>
    </row>
    <row r="10" ht="22.5" customHeight="1">
      <c r="A10" s="43" t="str">
        <f>ID!A10</f>
        <v>B1221101</v>
      </c>
      <c r="B10" s="43" t="str">
        <f t="array" ref="B10">_xlfn.XLOOKUP(A10,ID!$A10:A24,ID!$B10:B24)</f>
        <v>SHOFIANADA NABILLA</v>
      </c>
      <c r="C10" s="43" t="str">
        <f t="array" ref="C10">_xlfn.XLOOKUP(A10,ID!$A10:A24,ID!$C10:C24)</f>
        <v>NADA</v>
      </c>
      <c r="D10" s="43" t="str">
        <f t="array" ref="D10">_xlfn.XLOOKUP(A10,ID!$A10:A24,ID!$D10:D24)</f>
        <v>FISIOTERAPIS</v>
      </c>
      <c r="E10" s="114">
        <v>0.0</v>
      </c>
      <c r="F10" s="114">
        <v>0.0</v>
      </c>
      <c r="G10" s="114">
        <v>0.0</v>
      </c>
      <c r="H10" s="117">
        <f t="shared" si="1"/>
        <v>0</v>
      </c>
      <c r="I10" s="87">
        <f t="shared" si="2"/>
        <v>0</v>
      </c>
      <c r="J10" s="75"/>
      <c r="K10" s="75"/>
      <c r="L10" s="75"/>
      <c r="M10" s="75"/>
      <c r="N10" s="75"/>
      <c r="O10" s="75"/>
      <c r="P10" s="47">
        <f>FLOOR(IF(H10&gt;=60,1,I10)*ID!G10,1000)</f>
        <v>0</v>
      </c>
      <c r="Q10" s="83"/>
      <c r="R10" s="114">
        <v>0.0</v>
      </c>
      <c r="S10" s="114">
        <v>0.0</v>
      </c>
      <c r="T10" s="114">
        <v>0.0</v>
      </c>
      <c r="U10" s="85"/>
      <c r="V10" s="85"/>
      <c r="W10" s="85"/>
      <c r="X10" s="85"/>
      <c r="Y10" s="114">
        <v>0.0</v>
      </c>
      <c r="Z10" s="47">
        <f>(R10*ID!I10)+(S10*ID!J10)+(T10*ID!K10)+(Y10*ID!L10)</f>
        <v>0</v>
      </c>
    </row>
    <row r="11" ht="22.5" customHeight="1">
      <c r="A11" s="36" t="str">
        <f>ID!A11</f>
        <v>B1240101</v>
      </c>
      <c r="B11" s="36" t="str">
        <f t="array" ref="B11">_xlfn.XLOOKUP(A11,ID!$A11:A24,ID!$B11:B24)</f>
        <v>DESTY TRI RAHMADHANI</v>
      </c>
      <c r="C11" s="36" t="str">
        <f t="array" ref="C11">_xlfn.XLOOKUP(A11,ID!$A11:A24,ID!$C11:C24)</f>
        <v>DESTY</v>
      </c>
      <c r="D11" s="36" t="str">
        <f t="array" ref="D11">_xlfn.XLOOKUP(A11,ID!$A11:A24,ID!$D11:D24)</f>
        <v>FISIOTERAPIS</v>
      </c>
      <c r="E11" s="67">
        <v>34.0</v>
      </c>
      <c r="F11" s="67">
        <v>15.0</v>
      </c>
      <c r="G11" s="67">
        <v>20.0</v>
      </c>
      <c r="H11" s="68">
        <f t="shared" si="1"/>
        <v>69</v>
      </c>
      <c r="I11" s="72">
        <f t="shared" si="2"/>
        <v>1.15</v>
      </c>
      <c r="J11" s="75"/>
      <c r="K11" s="75"/>
      <c r="L11" s="75"/>
      <c r="M11" s="75"/>
      <c r="N11" s="75"/>
      <c r="O11" s="75"/>
      <c r="P11" s="42">
        <f>FLOOR(IF(H11&gt;=60,1,I11)*ID!G11,1000)</f>
        <v>1500000</v>
      </c>
      <c r="Q11" s="83"/>
      <c r="R11" s="67">
        <v>0.0</v>
      </c>
      <c r="S11" s="67">
        <v>0.0</v>
      </c>
      <c r="T11" s="67">
        <v>1.0</v>
      </c>
      <c r="U11" s="85"/>
      <c r="V11" s="85"/>
      <c r="W11" s="85"/>
      <c r="X11" s="85"/>
      <c r="Y11" s="67">
        <v>1.0</v>
      </c>
      <c r="Z11" s="42">
        <f>(R11*ID!I11)+(S11*ID!J11)+(T11*ID!K11)+(Y11*ID!L11)</f>
        <v>200000</v>
      </c>
    </row>
    <row r="12" ht="22.5" customHeight="1">
      <c r="A12" s="43" t="str">
        <f>ID!A12</f>
        <v>B1241001</v>
      </c>
      <c r="B12" s="43" t="str">
        <f t="array" ref="B12">_xlfn.XLOOKUP(A12,ID!$A11:A24,ID!$B11:B24)</f>
        <v>JOHANA PRITY</v>
      </c>
      <c r="C12" s="43" t="str">
        <f t="array" ref="C12">_xlfn.XLOOKUP(A12,ID!$A11:A24,ID!$C11:C24)</f>
        <v>PRITY</v>
      </c>
      <c r="D12" s="43" t="str">
        <f t="array" ref="D12">_xlfn.XLOOKUP(A12,ID!$A11:A24,ID!$D11:D24)</f>
        <v>FISIOTERAPIS</v>
      </c>
      <c r="E12" s="114">
        <v>52.0</v>
      </c>
      <c r="F12" s="114">
        <v>4.0</v>
      </c>
      <c r="G12" s="114">
        <v>12.0</v>
      </c>
      <c r="H12" s="117">
        <f t="shared" si="1"/>
        <v>68</v>
      </c>
      <c r="I12" s="87">
        <f t="shared" si="2"/>
        <v>1.133333333</v>
      </c>
      <c r="J12" s="75"/>
      <c r="K12" s="75"/>
      <c r="L12" s="75"/>
      <c r="M12" s="75"/>
      <c r="N12" s="75"/>
      <c r="O12" s="75"/>
      <c r="P12" s="47">
        <f>FLOOR(IF(H12&gt;=60,1,I12)*ID!G12,1000)</f>
        <v>1500000</v>
      </c>
      <c r="Q12" s="83"/>
      <c r="R12" s="114">
        <v>0.0</v>
      </c>
      <c r="S12" s="114">
        <v>1.0</v>
      </c>
      <c r="T12" s="114">
        <v>0.0</v>
      </c>
      <c r="U12" s="85"/>
      <c r="V12" s="85"/>
      <c r="W12" s="85"/>
      <c r="X12" s="85"/>
      <c r="Y12" s="114">
        <v>1.0</v>
      </c>
      <c r="Z12" s="47">
        <f>(R12*ID!I12)+(S12*ID!J12)+(T12*ID!K12)+(Y12*ID!L12)</f>
        <v>150000</v>
      </c>
    </row>
    <row r="13" ht="22.5" customHeight="1">
      <c r="A13" s="36" t="str">
        <f>ID!A13</f>
        <v>B1250101</v>
      </c>
      <c r="B13" s="36" t="str">
        <f t="array" ref="B13">_xlfn.XLOOKUP(A13,ID!$A12:A24,ID!$B12:B24)</f>
        <v>WAHYU TRI SETYO NUGROHO</v>
      </c>
      <c r="C13" s="36" t="str">
        <f t="array" ref="C13">_xlfn.XLOOKUP(A13,ID!$A12:A24,ID!$C12:C24)</f>
        <v>WAHYU</v>
      </c>
      <c r="D13" s="36" t="str">
        <f t="array" ref="D13">_xlfn.XLOOKUP(A13,ID!$A12:A24,ID!$D12:D24)</f>
        <v>FISIOTERAPIS</v>
      </c>
      <c r="E13" s="67">
        <v>61.0</v>
      </c>
      <c r="F13" s="67">
        <v>1.0</v>
      </c>
      <c r="G13" s="67">
        <v>15.0</v>
      </c>
      <c r="H13" s="68">
        <f t="shared" si="1"/>
        <v>77</v>
      </c>
      <c r="I13" s="72">
        <f t="shared" si="2"/>
        <v>1.283333333</v>
      </c>
      <c r="J13" s="75"/>
      <c r="K13" s="75"/>
      <c r="L13" s="75"/>
      <c r="M13" s="75"/>
      <c r="N13" s="75"/>
      <c r="O13" s="75"/>
      <c r="P13" s="42">
        <f>FLOOR(IF(H13&gt;=60,1,I13)*ID!G13,1000)</f>
        <v>1500000</v>
      </c>
      <c r="Q13" s="83"/>
      <c r="R13" s="67">
        <v>0.0</v>
      </c>
      <c r="S13" s="67">
        <v>1.0</v>
      </c>
      <c r="T13" s="67">
        <v>0.0</v>
      </c>
      <c r="U13" s="85"/>
      <c r="V13" s="85"/>
      <c r="W13" s="85"/>
      <c r="X13" s="85"/>
      <c r="Y13" s="67">
        <v>0.0</v>
      </c>
      <c r="Z13" s="42">
        <f>(R13*ID!I13)+(S13*ID!J13)+(T13*ID!K13)+(Y13*ID!L13)</f>
        <v>100000</v>
      </c>
    </row>
    <row r="14" ht="22.5" customHeight="1">
      <c r="A14" s="43" t="str">
        <f>ID!A14</f>
        <v>B1250102</v>
      </c>
      <c r="B14" s="43" t="str">
        <f t="array" ref="B14">_xlfn.XLOOKUP(A14,ID!$A13:A24,ID!$B13:B24)</f>
        <v>ORY KUSTI OVIANDAR</v>
      </c>
      <c r="C14" s="43" t="str">
        <f t="array" ref="C14">_xlfn.XLOOKUP(A14,ID!$A13:A24,ID!$C13:C24)</f>
        <v>ORY</v>
      </c>
      <c r="D14" s="43" t="str">
        <f t="array" ref="D14">_xlfn.XLOOKUP(A14,ID!$A13:A24,ID!$D13:D24)</f>
        <v>FISIOTERAPIS</v>
      </c>
      <c r="E14" s="114">
        <v>39.0</v>
      </c>
      <c r="F14" s="114">
        <v>7.0</v>
      </c>
      <c r="G14" s="114">
        <v>22.0</v>
      </c>
      <c r="H14" s="117">
        <f t="shared" si="1"/>
        <v>68</v>
      </c>
      <c r="I14" s="87">
        <f t="shared" si="2"/>
        <v>1.133333333</v>
      </c>
      <c r="J14" s="75"/>
      <c r="K14" s="75"/>
      <c r="L14" s="75"/>
      <c r="M14" s="75"/>
      <c r="N14" s="75"/>
      <c r="O14" s="75"/>
      <c r="P14" s="47">
        <f>FLOOR(IF(H14&gt;=60,1,I14)*ID!G14,1000)</f>
        <v>1500000</v>
      </c>
      <c r="Q14" s="83"/>
      <c r="R14" s="114">
        <v>0.0</v>
      </c>
      <c r="S14" s="114">
        <v>0.0</v>
      </c>
      <c r="T14" s="114">
        <v>2.0</v>
      </c>
      <c r="U14" s="85"/>
      <c r="V14" s="85"/>
      <c r="W14" s="85"/>
      <c r="X14" s="85"/>
      <c r="Y14" s="114">
        <v>2.0</v>
      </c>
      <c r="Z14" s="47">
        <f>(R14*ID!I14)+(S14*ID!J14)+(T14*ID!K14)+(Y14*ID!L14)</f>
        <v>400000</v>
      </c>
    </row>
    <row r="15" ht="22.5" customHeight="1">
      <c r="A15" s="36" t="str">
        <f>ID!A15</f>
        <v>B1250501</v>
      </c>
      <c r="B15" s="36" t="str">
        <f t="array" ref="B15">_xlfn.XLOOKUP(A15,ID!$A14:A24,ID!$B14:B24)</f>
        <v>HENA AURA PUTRI</v>
      </c>
      <c r="C15" s="36" t="str">
        <f t="array" ref="C15">_xlfn.XLOOKUP(A15,ID!$A14:A24,ID!$C14:C24)</f>
        <v>HENA</v>
      </c>
      <c r="D15" s="36" t="str">
        <f t="array" ref="D15">_xlfn.XLOOKUP(A15,ID!$A14:A24,ID!$D14:D24)</f>
        <v>FISIOTERAPIS</v>
      </c>
      <c r="E15" s="67">
        <v>53.0</v>
      </c>
      <c r="F15" s="67">
        <v>1.0</v>
      </c>
      <c r="G15" s="67">
        <v>9.0</v>
      </c>
      <c r="H15" s="68">
        <f t="shared" si="1"/>
        <v>63</v>
      </c>
      <c r="I15" s="72">
        <f t="shared" si="2"/>
        <v>1.05</v>
      </c>
      <c r="J15" s="75"/>
      <c r="K15" s="75"/>
      <c r="L15" s="75"/>
      <c r="M15" s="75"/>
      <c r="N15" s="75"/>
      <c r="O15" s="75"/>
      <c r="P15" s="42">
        <f>FLOOR(IF(H15&gt;=60,1,I15)*ID!G15,1000)</f>
        <v>1500000</v>
      </c>
      <c r="Q15" s="83"/>
      <c r="R15" s="67">
        <v>0.0</v>
      </c>
      <c r="S15" s="67">
        <v>0.0</v>
      </c>
      <c r="T15" s="67">
        <v>1.0</v>
      </c>
      <c r="U15" s="85"/>
      <c r="V15" s="85"/>
      <c r="W15" s="85"/>
      <c r="X15" s="85"/>
      <c r="Y15" s="67">
        <v>1.0</v>
      </c>
      <c r="Z15" s="42">
        <f>(R15*ID!I15)+(S15*ID!J15)+(T15*ID!K15)+(Y15*ID!L15)</f>
        <v>200000</v>
      </c>
    </row>
    <row r="16" ht="22.5" customHeight="1">
      <c r="A16" s="43" t="str">
        <f>ID!A16</f>
        <v>B1250601</v>
      </c>
      <c r="B16" s="43" t="str">
        <f t="array" ref="B16">_xlfn.XLOOKUP(A16,ID!$A15:A24,ID!$B15:B24)</f>
        <v>SRI OKTAVIA MADANI</v>
      </c>
      <c r="C16" s="43" t="str">
        <f t="array" ref="C16">_xlfn.XLOOKUP(A16,ID!$A15:A24,ID!$C15:C24)</f>
        <v>OKTA</v>
      </c>
      <c r="D16" s="43" t="str">
        <f t="array" ref="D16">_xlfn.XLOOKUP(A16,ID!$A15:A24,ID!$D15:D24)</f>
        <v>FISIOTERAPIS</v>
      </c>
      <c r="E16" s="114">
        <v>43.0</v>
      </c>
      <c r="F16" s="114">
        <v>9.0</v>
      </c>
      <c r="G16" s="114">
        <v>13.0</v>
      </c>
      <c r="H16" s="117">
        <f t="shared" si="1"/>
        <v>65</v>
      </c>
      <c r="I16" s="87">
        <f t="shared" si="2"/>
        <v>1.083333333</v>
      </c>
      <c r="J16" s="75"/>
      <c r="K16" s="75"/>
      <c r="L16" s="75"/>
      <c r="M16" s="75"/>
      <c r="N16" s="75"/>
      <c r="O16" s="75"/>
      <c r="P16" s="47">
        <f>FLOOR(IF(H16&gt;=60,1,I16)*ID!G16,1000)</f>
        <v>1500000</v>
      </c>
      <c r="Q16" s="83"/>
      <c r="R16" s="114">
        <v>1.0</v>
      </c>
      <c r="S16" s="114">
        <v>1.0</v>
      </c>
      <c r="T16" s="114">
        <v>1.0</v>
      </c>
      <c r="U16" s="85"/>
      <c r="V16" s="85"/>
      <c r="W16" s="85"/>
      <c r="X16" s="85"/>
      <c r="Y16" s="114">
        <v>2.0</v>
      </c>
      <c r="Z16" s="47">
        <f>(R16*ID!I16)+(S16*ID!J16)+(T16*ID!K16)+(Y16*ID!L16)</f>
        <v>1250000</v>
      </c>
    </row>
    <row r="17" ht="22.5" customHeight="1">
      <c r="A17" s="36" t="str">
        <f>ID!A17</f>
        <v>B1251001</v>
      </c>
      <c r="B17" s="36" t="str">
        <f t="array" ref="B17">_xlfn.XLOOKUP(A17,ID!$A16:A24,ID!$B16:B24)</f>
        <v>AULIA SRI RAMADANTI</v>
      </c>
      <c r="C17" s="36" t="str">
        <f t="array" ref="C17">_xlfn.XLOOKUP(A17,ID!$A16:A24,ID!$C16:C24)</f>
        <v>AUL</v>
      </c>
      <c r="D17" s="36" t="str">
        <f t="array" ref="D17">_xlfn.XLOOKUP(A17,ID!$A16:A24,ID!$D16:D24)</f>
        <v>FISIOTERAPIS</v>
      </c>
      <c r="E17" s="67">
        <v>43.0</v>
      </c>
      <c r="F17" s="67">
        <v>9.0</v>
      </c>
      <c r="G17" s="67">
        <v>18.0</v>
      </c>
      <c r="H17" s="68">
        <f t="shared" si="1"/>
        <v>70</v>
      </c>
      <c r="I17" s="72">
        <f t="shared" si="2"/>
        <v>1.166666667</v>
      </c>
      <c r="J17" s="75"/>
      <c r="K17" s="75"/>
      <c r="L17" s="75"/>
      <c r="M17" s="75"/>
      <c r="N17" s="75"/>
      <c r="O17" s="75"/>
      <c r="P17" s="42">
        <f>FLOOR(IF(H17&gt;=60,1,I17)*ID!G17,1000)</f>
        <v>1500000</v>
      </c>
      <c r="Q17" s="83"/>
      <c r="R17" s="67">
        <v>1.0</v>
      </c>
      <c r="S17" s="67">
        <v>0.0</v>
      </c>
      <c r="T17" s="67">
        <v>1.0</v>
      </c>
      <c r="U17" s="85"/>
      <c r="V17" s="85"/>
      <c r="W17" s="85"/>
      <c r="X17" s="85"/>
      <c r="Y17" s="67">
        <v>11.0</v>
      </c>
      <c r="Z17" s="42">
        <f>(R17*ID!I17)+(S17*ID!J17)+(T17*ID!K17)+(Y17*ID!L17)</f>
        <v>1600000</v>
      </c>
    </row>
    <row r="18" ht="22.5" customHeight="1">
      <c r="A18" s="65" t="str">
        <f>ID!A18</f>
        <v>B1251201</v>
      </c>
      <c r="B18" s="65" t="str">
        <f t="array" ref="B18">_xlfn.XLOOKUP(A18,ID!$A17:A24,ID!$B17:B24)</f>
        <v>PUTRI QADAR RAMA DANIA</v>
      </c>
      <c r="C18" s="65" t="str">
        <f t="array" ref="C18">_xlfn.XLOOKUP(A18,ID!$A17:A24,ID!$C17:C24)</f>
        <v>PUTRI</v>
      </c>
      <c r="D18" s="65" t="str">
        <f t="array" ref="D18">_xlfn.XLOOKUP(A18,ID!$A17:A24,ID!$D17:D24)</f>
        <v>FISIOTERAPIS</v>
      </c>
      <c r="E18" s="114">
        <v>33.0</v>
      </c>
      <c r="F18" s="114">
        <v>9.0</v>
      </c>
      <c r="G18" s="114">
        <v>20.0</v>
      </c>
      <c r="H18" s="165">
        <f t="shared" si="1"/>
        <v>62</v>
      </c>
      <c r="I18" s="166">
        <f t="shared" si="2"/>
        <v>1.033333333</v>
      </c>
      <c r="J18" s="75"/>
      <c r="K18" s="75"/>
      <c r="L18" s="75"/>
      <c r="M18" s="75"/>
      <c r="N18" s="75"/>
      <c r="O18" s="75"/>
      <c r="P18" s="167">
        <f>FLOOR(IF(H18&gt;=60,1,I18)*ID!G18,1000)</f>
        <v>1500000</v>
      </c>
      <c r="Q18" s="168"/>
      <c r="R18" s="114">
        <v>0.0</v>
      </c>
      <c r="S18" s="114">
        <v>0.0</v>
      </c>
      <c r="T18" s="114">
        <v>0.0</v>
      </c>
      <c r="U18" s="169"/>
      <c r="V18" s="169"/>
      <c r="W18" s="169"/>
      <c r="X18" s="169"/>
      <c r="Y18" s="114">
        <v>0.0</v>
      </c>
      <c r="Z18" s="167">
        <f>(R18*ID!I18)+(S18*ID!J18)+(T18*ID!K18)+(Y18*ID!L18)</f>
        <v>0</v>
      </c>
    </row>
    <row r="19" ht="22.5" customHeight="1" collapsed="1">
      <c r="A19" s="170" t="str">
        <f>ID!A19</f>
        <v>C1260501</v>
      </c>
      <c r="B19" s="170" t="str">
        <f t="array" ref="B19">_xlfn.XLOOKUP(A19,ID!$A18:A24,ID!$B18:B24)</f>
        <v>ALAMSYAH</v>
      </c>
      <c r="C19" s="170" t="str">
        <f t="array" ref="C19">_xlfn.XLOOKUP(A19,ID!$A18:A24,ID!$C18:C24)</f>
        <v>ALAM</v>
      </c>
      <c r="D19" s="170" t="str">
        <f t="array" ref="D19">_xlfn.XLOOKUP(A19,ID!$A18:A24,ID!$D18:D24)</f>
        <v>MASSEUR</v>
      </c>
      <c r="E19" s="169"/>
      <c r="F19" s="85"/>
      <c r="G19" s="169"/>
      <c r="H19" s="171"/>
      <c r="I19" s="172"/>
      <c r="J19" s="173">
        <v>23.0</v>
      </c>
      <c r="K19" s="173">
        <v>11.0</v>
      </c>
      <c r="L19" s="174">
        <f>sum(J19:K19)</f>
        <v>34</v>
      </c>
      <c r="M19" s="72">
        <f>L19/39</f>
        <v>0.8717948718</v>
      </c>
      <c r="N19" s="175">
        <f>if(L19&gt;=40,1,0)</f>
        <v>0</v>
      </c>
      <c r="O19" s="175">
        <f>if(L19&gt;=70,1,0)</f>
        <v>0</v>
      </c>
      <c r="P19" s="42">
        <f>FLOOR(IF(L19&gt;=39,1,M19)*ID!G19,1000)+(N19*ID!M19)+(O19*ID!N19)</f>
        <v>1220000</v>
      </c>
      <c r="Q19" s="168"/>
      <c r="R19" s="169"/>
      <c r="S19" s="169"/>
      <c r="T19" s="169"/>
      <c r="U19" s="173">
        <v>0.0</v>
      </c>
      <c r="V19" s="173">
        <v>0.0</v>
      </c>
      <c r="W19" s="173">
        <v>0.0</v>
      </c>
      <c r="X19" s="173">
        <v>0.0</v>
      </c>
      <c r="Y19" s="173">
        <v>0.0</v>
      </c>
      <c r="Z19" s="42">
        <f>(U19*ID!O19)+(V19*ID!P19)+(W19*ID!Q19)+(X19*ID!R19)</f>
        <v>0</v>
      </c>
    </row>
    <row r="20" ht="22.5" hidden="1" customHeight="1" outlineLevel="1">
      <c r="A20" s="65" t="str">
        <f>ID!A20</f>
        <v>D1260501</v>
      </c>
      <c r="B20" s="65" t="str">
        <f t="array" ref="B20">_xlfn.XLOOKUP(A20,ID!$A19:A24,ID!$B19:B24)</f>
        <v>IBNU K. A. PURNAMAWANGSA</v>
      </c>
      <c r="C20" s="65" t="str">
        <f t="array" ref="C20">_xlfn.XLOOKUP(A20,ID!$A19:A24,ID!$C19:C24)</f>
        <v>IBNU</v>
      </c>
      <c r="D20" s="65" t="str">
        <f t="array" ref="D20">_xlfn.XLOOKUP(A20,ID!$A19:A24,ID!$D19:D24)</f>
        <v>STAF HR</v>
      </c>
      <c r="E20" s="169"/>
      <c r="F20" s="169"/>
      <c r="G20" s="169"/>
      <c r="H20" s="176"/>
      <c r="I20" s="172"/>
      <c r="J20" s="75"/>
      <c r="K20" s="75"/>
      <c r="L20" s="75"/>
      <c r="M20" s="75"/>
      <c r="N20" s="75"/>
      <c r="O20" s="75"/>
      <c r="P20" s="177">
        <v>0.0</v>
      </c>
      <c r="Q20" s="168"/>
      <c r="R20" s="169"/>
      <c r="S20" s="169"/>
      <c r="T20" s="169"/>
      <c r="U20" s="169"/>
      <c r="V20" s="169"/>
      <c r="W20" s="169"/>
      <c r="X20" s="169"/>
      <c r="Y20" s="169"/>
      <c r="Z20" s="177">
        <v>0.0</v>
      </c>
    </row>
    <row r="21" ht="22.5" hidden="1" customHeight="1" outlineLevel="1">
      <c r="A21" s="36"/>
      <c r="B21" s="36"/>
      <c r="C21" s="36"/>
      <c r="D21" s="36"/>
      <c r="E21" s="67"/>
      <c r="F21" s="67"/>
      <c r="G21" s="67"/>
      <c r="H21" s="178"/>
      <c r="I21" s="179"/>
      <c r="J21" s="179"/>
      <c r="K21" s="179"/>
      <c r="L21" s="179"/>
      <c r="M21" s="179"/>
      <c r="N21" s="179"/>
      <c r="O21" s="179"/>
      <c r="P21" s="42"/>
      <c r="Q21" s="83"/>
      <c r="R21" s="67"/>
      <c r="S21" s="67"/>
      <c r="T21" s="67"/>
      <c r="U21" s="67"/>
      <c r="V21" s="67"/>
      <c r="W21" s="67"/>
      <c r="X21" s="67"/>
      <c r="Y21" s="67"/>
      <c r="Z21" s="42"/>
    </row>
    <row r="22" ht="22.5" customHeight="1">
      <c r="A22" s="76"/>
      <c r="B22" s="76"/>
      <c r="C22" s="76"/>
      <c r="D22" s="76"/>
      <c r="E22" s="180"/>
      <c r="F22" s="180"/>
      <c r="G22" s="180"/>
      <c r="H22" s="181"/>
      <c r="I22" s="182"/>
      <c r="J22" s="182"/>
      <c r="K22" s="182"/>
      <c r="L22" s="182"/>
      <c r="M22" s="182"/>
      <c r="N22" s="182"/>
      <c r="O22" s="182"/>
      <c r="P22" s="145">
        <f>SUM(P6:P20)</f>
        <v>15920000</v>
      </c>
      <c r="Q22" s="183"/>
      <c r="R22" s="180"/>
      <c r="S22" s="180"/>
      <c r="T22" s="180"/>
      <c r="U22" s="180"/>
      <c r="V22" s="180"/>
      <c r="W22" s="180"/>
      <c r="X22" s="180"/>
      <c r="Y22" s="180"/>
      <c r="Z22" s="145">
        <f>SUM(Z6:Z20)</f>
        <v>5000000</v>
      </c>
    </row>
    <row r="23" ht="22.5" customHeight="1">
      <c r="A23" s="84" t="s">
        <v>104</v>
      </c>
      <c r="B23" s="76"/>
      <c r="C23" s="76"/>
      <c r="D23" s="76"/>
      <c r="E23" s="180"/>
      <c r="F23" s="180"/>
      <c r="G23" s="180"/>
      <c r="H23" s="181"/>
      <c r="I23" s="182"/>
      <c r="J23" s="182"/>
      <c r="K23" s="182"/>
      <c r="L23" s="182"/>
      <c r="M23" s="182"/>
      <c r="N23" s="182"/>
      <c r="O23" s="182"/>
      <c r="P23" s="148"/>
      <c r="Q23" s="183"/>
      <c r="R23" s="180"/>
      <c r="S23" s="180"/>
      <c r="T23" s="180"/>
      <c r="U23" s="180"/>
      <c r="V23" s="180"/>
      <c r="W23" s="180"/>
      <c r="X23" s="180"/>
      <c r="Y23" s="180"/>
      <c r="Z23" s="148"/>
    </row>
    <row r="24">
      <c r="A24" s="84"/>
      <c r="B24" s="76"/>
      <c r="C24" s="76"/>
      <c r="D24" s="76"/>
      <c r="E24" s="180"/>
      <c r="F24" s="180"/>
      <c r="G24" s="180"/>
      <c r="H24" s="181"/>
      <c r="I24" s="182"/>
      <c r="J24" s="182"/>
      <c r="K24" s="182"/>
      <c r="L24" s="182"/>
      <c r="M24" s="182"/>
      <c r="N24" s="182"/>
      <c r="O24" s="182"/>
      <c r="P24" s="148"/>
      <c r="Q24" s="183"/>
      <c r="R24" s="180"/>
      <c r="S24" s="180"/>
      <c r="T24" s="180"/>
      <c r="U24" s="180"/>
      <c r="V24" s="180"/>
      <c r="W24" s="180"/>
      <c r="X24" s="180"/>
      <c r="Y24" s="180"/>
      <c r="Z24" s="148"/>
    </row>
  </sheetData>
  <mergeCells count="2">
    <mergeCell ref="E5:P5"/>
    <mergeCell ref="R5:Z5"/>
  </mergeCells>
  <printOptions/>
  <pageMargins bottom="0.75" footer="0.0" header="0.0" left="0.25" right="0.25" top="0.75"/>
  <pageSetup paperSize="14" cellComments="atEnd" orientation="landscape" pageOrder="overThenDown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 outlineLevelRow="1"/>
  <cols>
    <col customWidth="1" min="2" max="2" width="25.13"/>
    <col hidden="1" min="3" max="3" width="12.63"/>
    <col customWidth="1" hidden="1" min="4" max="4" width="17.63"/>
    <col customWidth="1" min="6" max="6" width="75.13"/>
  </cols>
  <sheetData>
    <row r="1" ht="22.5" customHeight="1">
      <c r="A1" s="1" t="s">
        <v>105</v>
      </c>
      <c r="B1" s="2"/>
      <c r="C1" s="2"/>
      <c r="D1" s="2"/>
      <c r="E1" s="3"/>
      <c r="F1" s="3"/>
    </row>
    <row r="2" ht="22.5" customHeight="1">
      <c r="A2" s="5" t="str">
        <f>TEMP!A2</f>
        <v>PERIODE SEPTEMBER 2026</v>
      </c>
      <c r="B2" s="6"/>
      <c r="C2" s="6"/>
      <c r="D2" s="6"/>
      <c r="E2" s="7"/>
      <c r="F2" s="7"/>
    </row>
    <row r="3" ht="22.5" customHeight="1">
      <c r="A3" s="4"/>
      <c r="B3" s="4"/>
      <c r="C3" s="4"/>
      <c r="D3" s="4"/>
      <c r="E3" s="8"/>
      <c r="F3" s="8"/>
    </row>
    <row r="4" ht="22.5" customHeight="1">
      <c r="A4" s="10"/>
      <c r="B4" s="11"/>
      <c r="C4" s="11"/>
      <c r="D4" s="11"/>
      <c r="E4" s="12"/>
      <c r="F4" s="12"/>
    </row>
    <row r="5" ht="22.5" customHeight="1">
      <c r="A5" s="13"/>
      <c r="B5" s="15"/>
      <c r="C5" s="15"/>
      <c r="D5" s="15"/>
      <c r="E5" s="50"/>
      <c r="F5" s="50"/>
    </row>
    <row r="6" ht="22.5" customHeight="1">
      <c r="A6" s="51" t="s">
        <v>5</v>
      </c>
      <c r="B6" s="52" t="s">
        <v>6</v>
      </c>
      <c r="C6" s="52" t="s">
        <v>7</v>
      </c>
      <c r="D6" s="52" t="s">
        <v>8</v>
      </c>
      <c r="E6" s="58" t="s">
        <v>106</v>
      </c>
      <c r="F6" s="58" t="s">
        <v>107</v>
      </c>
    </row>
    <row r="7" ht="22.5" customHeight="1">
      <c r="A7" s="45" t="str">
        <f>ID!A7</f>
        <v>A1260201</v>
      </c>
      <c r="B7" s="45" t="str">
        <f t="array" ref="B7">_xlfn.XLOOKUP(A7,ID!$A7:A24,ID!$B7:B24)</f>
        <v>DHEA NANDA KHAIRUNNISA</v>
      </c>
      <c r="C7" s="45" t="str">
        <f t="array" ref="C7">_xlfn.XLOOKUP(A7,ID!$A7:A24,ID!$C7:C24)</f>
        <v>DHEA</v>
      </c>
      <c r="D7" s="45" t="str">
        <f t="array" ref="D7">_xlfn.XLOOKUP(A7,ID!$A7:A24,ID!$D7:D24)</f>
        <v>STAF ADMINISTRASI</v>
      </c>
      <c r="E7" s="95">
        <v>0.0</v>
      </c>
      <c r="F7" s="97"/>
    </row>
    <row r="8" ht="22.5" customHeight="1">
      <c r="A8" s="45" t="str">
        <f>ID!A8</f>
        <v>A1260601</v>
      </c>
      <c r="B8" s="45" t="str">
        <f t="array" ref="B8">_xlfn.XLOOKUP(A8,ID!$A8:A24,ID!$B8:B24)</f>
        <v>NOVRITA INDRIASWARI</v>
      </c>
      <c r="C8" s="45" t="str">
        <f t="array" ref="C8">_xlfn.XLOOKUP(A8,ID!$A8:A24,ID!$C8:C24)</f>
        <v>ICA</v>
      </c>
      <c r="D8" s="45" t="str">
        <f t="array" ref="D8">_xlfn.XLOOKUP(A8,ID!$A8:A24,ID!$D8:D24)</f>
        <v>STAF ADMINISTRASI PUSAT</v>
      </c>
      <c r="E8" s="95">
        <v>0.0</v>
      </c>
      <c r="F8" s="97"/>
    </row>
    <row r="9" ht="22.5" customHeight="1">
      <c r="A9" s="45" t="str">
        <f>ID!A9</f>
        <v>B1220101</v>
      </c>
      <c r="B9" s="45" t="str">
        <f t="array" ref="B9">_xlfn.XLOOKUP(A9,ID!$A9:A24,ID!$B9:B24)</f>
        <v>HESTI SUFRESHTRI</v>
      </c>
      <c r="C9" s="45" t="str">
        <f t="array" ref="C9">_xlfn.XLOOKUP(A9,ID!$A9:A24,ID!$C9:C24)</f>
        <v>HESTI</v>
      </c>
      <c r="D9" s="45" t="str">
        <f t="array" ref="D9">_xlfn.XLOOKUP(A9,ID!$A9:A24,ID!$D9:D24)</f>
        <v>FISIOTERAPIS</v>
      </c>
      <c r="E9" s="95">
        <v>0.0</v>
      </c>
      <c r="F9" s="97"/>
    </row>
    <row r="10" ht="22.5" customHeight="1">
      <c r="A10" s="45" t="str">
        <f>ID!A10</f>
        <v>B1221101</v>
      </c>
      <c r="B10" s="45" t="str">
        <f t="array" ref="B10">_xlfn.XLOOKUP(A10,ID!$A10:A24,ID!$B10:B24)</f>
        <v>SHOFIANADA NABILLA</v>
      </c>
      <c r="C10" s="45" t="str">
        <f t="array" ref="C10">_xlfn.XLOOKUP(A10,ID!$A10:A24,ID!$C10:C24)</f>
        <v>NADA</v>
      </c>
      <c r="D10" s="45" t="str">
        <f t="array" ref="D10">_xlfn.XLOOKUP(A10,ID!$A10:A24,ID!$D10:D24)</f>
        <v>FISIOTERAPIS</v>
      </c>
      <c r="E10" s="95">
        <v>0.0</v>
      </c>
      <c r="F10" s="97"/>
    </row>
    <row r="11" ht="22.5" customHeight="1">
      <c r="A11" s="45" t="str">
        <f>ID!A11</f>
        <v>B1240101</v>
      </c>
      <c r="B11" s="45" t="str">
        <f t="array" ref="B11">_xlfn.XLOOKUP(A11,ID!$A11:A24,ID!$B11:B24)</f>
        <v>DESTY TRI RAHMADHANI</v>
      </c>
      <c r="C11" s="45" t="str">
        <f t="array" ref="C11">_xlfn.XLOOKUP(A11,ID!$A11:A24,ID!$C11:C24)</f>
        <v>DESTY</v>
      </c>
      <c r="D11" s="45" t="str">
        <f t="array" ref="D11">_xlfn.XLOOKUP(A11,ID!$A11:A24,ID!$D11:D24)</f>
        <v>FISIOTERAPIS</v>
      </c>
      <c r="E11" s="95">
        <v>0.0</v>
      </c>
      <c r="F11" s="97"/>
    </row>
    <row r="12" ht="22.5" customHeight="1">
      <c r="A12" s="45" t="str">
        <f>ID!A12</f>
        <v>B1241001</v>
      </c>
      <c r="B12" s="45" t="str">
        <f t="array" ref="B12">_xlfn.XLOOKUP(A12,ID!$A11:A24,ID!$B11:B24)</f>
        <v>JOHANA PRITY</v>
      </c>
      <c r="C12" s="45" t="str">
        <f t="array" ref="C12">_xlfn.XLOOKUP(A12,ID!$A11:A24,ID!$C11:C24)</f>
        <v>PRITY</v>
      </c>
      <c r="D12" s="45" t="str">
        <f t="array" ref="D12">_xlfn.XLOOKUP(A12,ID!$A11:A24,ID!$D11:D24)</f>
        <v>FISIOTERAPIS</v>
      </c>
      <c r="E12" s="95">
        <v>0.0</v>
      </c>
      <c r="F12" s="97"/>
    </row>
    <row r="13" ht="22.5" customHeight="1">
      <c r="A13" s="45" t="str">
        <f>ID!A13</f>
        <v>B1250101</v>
      </c>
      <c r="B13" s="45" t="str">
        <f t="array" ref="B13">_xlfn.XLOOKUP(A13,ID!$A12:A24,ID!$B12:B24)</f>
        <v>WAHYU TRI SETYO NUGROHO</v>
      </c>
      <c r="C13" s="45" t="str">
        <f t="array" ref="C13">_xlfn.XLOOKUP(A13,ID!$A12:A24,ID!$C12:C24)</f>
        <v>WAHYU</v>
      </c>
      <c r="D13" s="45" t="str">
        <f t="array" ref="D13">_xlfn.XLOOKUP(A13,ID!$A12:A24,ID!$D12:D24)</f>
        <v>FISIOTERAPIS</v>
      </c>
      <c r="E13" s="95">
        <v>0.0</v>
      </c>
      <c r="F13" s="97"/>
    </row>
    <row r="14" ht="22.5" customHeight="1">
      <c r="A14" s="45" t="str">
        <f>ID!A14</f>
        <v>B1250102</v>
      </c>
      <c r="B14" s="45" t="str">
        <f t="array" ref="B14">_xlfn.XLOOKUP(A14,ID!$A13:A24,ID!$B13:B24)</f>
        <v>ORY KUSTI OVIANDAR</v>
      </c>
      <c r="C14" s="45" t="str">
        <f t="array" ref="C14">_xlfn.XLOOKUP(A14,ID!$A13:A24,ID!$C13:C24)</f>
        <v>ORY</v>
      </c>
      <c r="D14" s="45" t="str">
        <f t="array" ref="D14">_xlfn.XLOOKUP(A14,ID!$A13:A24,ID!$D13:D24)</f>
        <v>FISIOTERAPIS</v>
      </c>
      <c r="E14" s="95">
        <v>600000.0</v>
      </c>
      <c r="F14" s="127" t="s">
        <v>124</v>
      </c>
    </row>
    <row r="15" ht="22.5" customHeight="1">
      <c r="A15" s="45" t="str">
        <f>ID!A15</f>
        <v>B1250501</v>
      </c>
      <c r="B15" s="45" t="str">
        <f t="array" ref="B15">_xlfn.XLOOKUP(A15,ID!$A14:A24,ID!$B14:B24)</f>
        <v>HENA AURA PUTRI</v>
      </c>
      <c r="C15" s="45" t="str">
        <f t="array" ref="C15">_xlfn.XLOOKUP(A15,ID!$A14:A24,ID!$C14:C24)</f>
        <v>HENA</v>
      </c>
      <c r="D15" s="45" t="str">
        <f t="array" ref="D15">_xlfn.XLOOKUP(A15,ID!$A14:A24,ID!$D14:D24)</f>
        <v>FISIOTERAPIS</v>
      </c>
      <c r="E15" s="95">
        <v>0.0</v>
      </c>
      <c r="F15" s="97"/>
    </row>
    <row r="16" ht="22.5" customHeight="1">
      <c r="A16" s="45" t="str">
        <f>ID!A16</f>
        <v>B1250601</v>
      </c>
      <c r="B16" s="45" t="str">
        <f t="array" ref="B16">_xlfn.XLOOKUP(A16,ID!$A15:A24,ID!$B15:B24)</f>
        <v>SRI OKTAVIA MADANI</v>
      </c>
      <c r="C16" s="45" t="str">
        <f t="array" ref="C16">_xlfn.XLOOKUP(A16,ID!$A15:A24,ID!$C15:C24)</f>
        <v>OKTA</v>
      </c>
      <c r="D16" s="45" t="str">
        <f t="array" ref="D16">_xlfn.XLOOKUP(A16,ID!$A15:A24,ID!$D15:D24)</f>
        <v>FISIOTERAPIS</v>
      </c>
      <c r="E16" s="95">
        <v>0.0</v>
      </c>
      <c r="F16" s="97"/>
    </row>
    <row r="17" ht="22.5" customHeight="1">
      <c r="A17" s="45" t="str">
        <f>ID!A17</f>
        <v>B1251001</v>
      </c>
      <c r="B17" s="45" t="str">
        <f t="array" ref="B17">_xlfn.XLOOKUP(A17,ID!$A16:A24,ID!$B16:B24)</f>
        <v>AULIA SRI RAMADANTI</v>
      </c>
      <c r="C17" s="45" t="str">
        <f t="array" ref="C17">_xlfn.XLOOKUP(A17,ID!$A16:A24,ID!$C16:C24)</f>
        <v>AUL</v>
      </c>
      <c r="D17" s="45" t="str">
        <f t="array" ref="D17">_xlfn.XLOOKUP(A17,ID!$A16:A24,ID!$D16:D24)</f>
        <v>FISIOTERAPIS</v>
      </c>
      <c r="E17" s="95">
        <v>0.0</v>
      </c>
      <c r="F17" s="97"/>
    </row>
    <row r="18" ht="22.5" customHeight="1">
      <c r="A18" s="129" t="str">
        <f>ID!A18</f>
        <v>B1251201</v>
      </c>
      <c r="B18" s="129" t="str">
        <f t="array" ref="B18">_xlfn.XLOOKUP(A18,ID!$A17:A24,ID!$B17:B24)</f>
        <v>PUTRI QADAR RAMA DANIA</v>
      </c>
      <c r="C18" s="129" t="str">
        <f t="array" ref="C18">_xlfn.XLOOKUP(A18,ID!$A17:A24,ID!$C17:C24)</f>
        <v>PUTRI</v>
      </c>
      <c r="D18" s="129" t="str">
        <f t="array" ref="D18">_xlfn.XLOOKUP(A18,ID!$A17:A24,ID!$D17:D24)</f>
        <v>FISIOTERAPIS</v>
      </c>
      <c r="E18" s="95">
        <v>0.0</v>
      </c>
      <c r="F18" s="137"/>
    </row>
    <row r="19" ht="22.5" customHeight="1">
      <c r="A19" s="129" t="str">
        <f>ID!A19</f>
        <v>C1260501</v>
      </c>
      <c r="B19" s="129" t="str">
        <f t="array" ref="B19">_xlfn.XLOOKUP(A19,ID!$A18:A24,ID!$B18:B24)</f>
        <v>ALAMSYAH</v>
      </c>
      <c r="C19" s="129" t="str">
        <f t="array" ref="C19">_xlfn.XLOOKUP(A19,ID!$A18:A24,ID!$C18:C24)</f>
        <v>ALAM</v>
      </c>
      <c r="D19" s="129" t="str">
        <f t="array" ref="D19">_xlfn.XLOOKUP(A19,ID!$A18:A24,ID!$D18:D24)</f>
        <v>MASSEUR</v>
      </c>
      <c r="E19" s="95">
        <v>0.0</v>
      </c>
      <c r="F19" s="137"/>
    </row>
    <row r="20" ht="22.5" customHeight="1" collapsed="1">
      <c r="A20" s="129" t="str">
        <f>ID!A20</f>
        <v>D1260501</v>
      </c>
      <c r="B20" s="129" t="str">
        <f t="array" ref="B20">_xlfn.XLOOKUP(A20,ID!$A19:A24,ID!$B19:B24)</f>
        <v>IBNU K. A. PURNAMAWANGSA</v>
      </c>
      <c r="C20" s="129" t="str">
        <f t="array" ref="C20">_xlfn.XLOOKUP(A20,ID!$A19:A24,ID!$C19:C24)</f>
        <v>IBNU</v>
      </c>
      <c r="D20" s="129" t="str">
        <f t="array" ref="D20">_xlfn.XLOOKUP(A20,ID!$A19:A24,ID!$D19:D24)</f>
        <v>STAF HR</v>
      </c>
      <c r="E20" s="95">
        <v>600000.0</v>
      </c>
      <c r="F20" s="143" t="s">
        <v>124</v>
      </c>
    </row>
    <row r="21" ht="22.5" hidden="1" customHeight="1" outlineLevel="1">
      <c r="A21" s="144"/>
      <c r="B21" s="144"/>
      <c r="C21" s="144"/>
      <c r="D21" s="144"/>
      <c r="E21" s="64"/>
      <c r="F21" s="97"/>
    </row>
    <row r="22" ht="22.5" hidden="1" customHeight="1" outlineLevel="1">
      <c r="A22" s="144"/>
      <c r="B22" s="144"/>
      <c r="C22" s="144"/>
      <c r="D22" s="144"/>
      <c r="E22" s="64"/>
      <c r="F22" s="97"/>
    </row>
    <row r="23" ht="22.5" customHeight="1">
      <c r="A23" s="76"/>
      <c r="B23" s="76"/>
      <c r="C23" s="76"/>
      <c r="D23" s="76"/>
      <c r="E23" s="145">
        <f>SUM(E7:E20)</f>
        <v>1200000</v>
      </c>
      <c r="F23" s="146"/>
    </row>
    <row r="24">
      <c r="A24" s="147" t="s">
        <v>104</v>
      </c>
      <c r="B24" s="76"/>
      <c r="C24" s="76"/>
      <c r="D24" s="76"/>
      <c r="E24" s="148"/>
      <c r="F24" s="149"/>
    </row>
  </sheetData>
  <printOptions/>
  <pageMargins bottom="0.75" footer="0.0" header="0.0" left="0.25" right="0.25" top="0.75"/>
  <pageSetup paperSize="14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6.13"/>
    <col customWidth="1" min="2" max="2" width="7.75"/>
    <col customWidth="1" min="3" max="3" width="16.5"/>
    <col customWidth="1" min="4" max="4" width="11.38"/>
    <col customWidth="1" min="5" max="5" width="6.13"/>
    <col customWidth="1" min="6" max="7" width="13.13"/>
    <col customWidth="1" min="8" max="8" width="6.13"/>
  </cols>
  <sheetData>
    <row r="1" ht="6.0" customHeight="1">
      <c r="A1" s="88"/>
      <c r="B1" s="88"/>
      <c r="C1" s="88"/>
      <c r="D1" s="89"/>
      <c r="E1" s="88"/>
      <c r="F1" s="88"/>
      <c r="G1" s="88"/>
      <c r="H1" s="88"/>
    </row>
    <row r="2" ht="18.0" customHeight="1">
      <c r="A2" s="90"/>
      <c r="B2" s="90"/>
      <c r="C2" s="90"/>
      <c r="D2" s="91"/>
      <c r="E2" s="90"/>
      <c r="F2" s="90"/>
      <c r="G2" s="90"/>
      <c r="H2" s="90"/>
    </row>
    <row r="3" ht="19.5" customHeight="1">
      <c r="A3" s="92"/>
      <c r="B3" s="93" t="s">
        <v>109</v>
      </c>
      <c r="E3" s="94"/>
      <c r="F3" s="96"/>
      <c r="H3" s="96"/>
    </row>
    <row r="4">
      <c r="A4" s="98"/>
      <c r="B4" s="99" t="s">
        <v>110</v>
      </c>
      <c r="E4" s="100"/>
      <c r="H4" s="96"/>
    </row>
    <row r="5">
      <c r="A5" s="98"/>
      <c r="B5" s="99" t="s">
        <v>111</v>
      </c>
      <c r="E5" s="100"/>
      <c r="H5" s="96"/>
    </row>
    <row r="6">
      <c r="A6" s="98"/>
      <c r="B6" s="101" t="s">
        <v>112</v>
      </c>
      <c r="E6" s="100"/>
      <c r="H6" s="96"/>
    </row>
    <row r="7" ht="18.0" customHeight="1">
      <c r="A7" s="92"/>
      <c r="B7" s="100"/>
      <c r="C7" s="100"/>
      <c r="D7" s="100"/>
      <c r="E7" s="100"/>
      <c r="F7" s="100"/>
      <c r="G7" s="100"/>
      <c r="H7" s="92"/>
    </row>
    <row r="8" ht="19.5" customHeight="1">
      <c r="A8" s="102"/>
      <c r="B8" s="103" t="s">
        <v>113</v>
      </c>
      <c r="F8" s="104"/>
      <c r="G8" s="104"/>
      <c r="H8" s="102"/>
    </row>
    <row r="9" ht="18.0" customHeight="1">
      <c r="A9" s="104"/>
      <c r="B9" s="105" t="str">
        <f>TEMP!A2</f>
        <v>PERIODE SEPTEMBER 2026</v>
      </c>
      <c r="E9" s="106"/>
      <c r="F9" s="106"/>
      <c r="G9" s="106"/>
      <c r="H9" s="106"/>
    </row>
    <row r="10">
      <c r="A10" s="104"/>
      <c r="B10" s="107"/>
      <c r="D10" s="104"/>
      <c r="F10" s="104"/>
      <c r="H10" s="104"/>
    </row>
    <row r="11" ht="18.0" customHeight="1">
      <c r="A11" s="108"/>
      <c r="B11" s="109" t="s">
        <v>114</v>
      </c>
      <c r="D11" s="109" t="s">
        <v>115</v>
      </c>
      <c r="F11" s="109"/>
      <c r="H11" s="108"/>
    </row>
    <row r="12" ht="18.0" customHeight="1">
      <c r="A12" s="98"/>
      <c r="B12" s="110" t="str">
        <f t="array" ref="B12">_xlfn.XLOOKUP(B15,ID!B7:$B33,ID!A7:$A33)</f>
        <v>B1251001</v>
      </c>
      <c r="D12" s="111" t="str">
        <f t="array" ref="D12">_xlfn.XLOOKUP(B15,ID!B7:$B33,ID!D7:$D33)</f>
        <v>FISIOTERAPIS</v>
      </c>
      <c r="H12" s="98"/>
    </row>
    <row r="13" ht="18.0" customHeight="1">
      <c r="A13" s="104"/>
      <c r="B13" s="99"/>
      <c r="D13" s="106"/>
      <c r="F13" s="106"/>
      <c r="H13" s="104"/>
    </row>
    <row r="14" ht="18.0" customHeight="1">
      <c r="A14" s="104"/>
      <c r="B14" s="109" t="s">
        <v>116</v>
      </c>
      <c r="D14" s="109" t="s">
        <v>117</v>
      </c>
      <c r="F14" s="109"/>
      <c r="H14" s="104"/>
    </row>
    <row r="15" ht="18.0" customHeight="1">
      <c r="A15" s="104"/>
      <c r="B15" s="99" t="s">
        <v>68</v>
      </c>
      <c r="D15" s="112">
        <f>TODAY()</f>
        <v>46300</v>
      </c>
      <c r="F15" s="113"/>
      <c r="H15" s="104"/>
    </row>
    <row r="16">
      <c r="A16" s="98"/>
      <c r="B16" s="115"/>
      <c r="C16" s="116"/>
      <c r="D16" s="115"/>
      <c r="E16" s="116"/>
      <c r="F16" s="115"/>
      <c r="G16" s="116"/>
      <c r="H16" s="98"/>
    </row>
    <row r="17">
      <c r="A17" s="104"/>
      <c r="B17" s="106"/>
      <c r="C17" s="106"/>
      <c r="D17" s="106"/>
      <c r="E17" s="106"/>
      <c r="F17" s="106"/>
      <c r="G17" s="106"/>
      <c r="H17" s="104"/>
    </row>
    <row r="18" ht="30.0" customHeight="1">
      <c r="A18" s="104"/>
      <c r="B18" s="118" t="s">
        <v>118</v>
      </c>
      <c r="E18" s="119"/>
      <c r="F18" s="120" t="s">
        <v>119</v>
      </c>
      <c r="G18" s="120" t="s">
        <v>120</v>
      </c>
      <c r="H18" s="104"/>
    </row>
    <row r="19" ht="19.5" customHeight="1">
      <c r="A19" s="98"/>
      <c r="B19" s="121" t="s">
        <v>121</v>
      </c>
      <c r="C19" s="121"/>
      <c r="D19" s="121"/>
      <c r="E19" s="122"/>
      <c r="F19" s="123">
        <f t="array" ref="F19">_xlfn.XLOOKUP(B15,ID!B7:$B33,ID!E7:$E33)</f>
        <v>1000000</v>
      </c>
      <c r="G19" s="124"/>
      <c r="H19" s="98"/>
    </row>
    <row r="20" ht="19.5" customHeight="1">
      <c r="A20" s="125"/>
      <c r="B20" s="121" t="s">
        <v>122</v>
      </c>
      <c r="C20" s="121"/>
      <c r="D20" s="121"/>
      <c r="E20" s="122"/>
      <c r="F20" s="123">
        <f t="array" ref="F20">_xlfn.XLOOKUP(B15,ID!B7:$B33,ID!H7:$H33)</f>
        <v>0</v>
      </c>
      <c r="G20" s="124"/>
      <c r="H20" s="125"/>
    </row>
    <row r="21" ht="19.5" customHeight="1">
      <c r="A21" s="125"/>
      <c r="B21" s="121" t="s">
        <v>123</v>
      </c>
      <c r="C21" s="121"/>
      <c r="D21" s="121"/>
      <c r="E21" s="126"/>
      <c r="F21" s="123">
        <f t="array" ref="F21">_xlfn.XLOOKUP(B15,ABS!B7:$B33,ABS!AR7:$AR33)</f>
        <v>500000</v>
      </c>
      <c r="G21" s="124"/>
      <c r="H21" s="125"/>
    </row>
    <row r="22" ht="19.5" customHeight="1">
      <c r="A22" s="125"/>
      <c r="B22" s="121" t="s">
        <v>125</v>
      </c>
      <c r="C22" s="121"/>
      <c r="D22" s="121"/>
      <c r="E22" s="126"/>
      <c r="F22" s="123">
        <f t="array" ref="F22">_xlfn.XLOOKUP(B15,INS!B7:$B33,INS!P7:$P33)</f>
        <v>1500000</v>
      </c>
      <c r="G22" s="124"/>
      <c r="H22" s="125"/>
    </row>
    <row r="23" ht="19.5" customHeight="1">
      <c r="A23" s="125"/>
      <c r="B23" s="121" t="s">
        <v>126</v>
      </c>
      <c r="C23" s="121"/>
      <c r="D23" s="121"/>
      <c r="E23" s="126"/>
      <c r="F23" s="123">
        <f t="array" ref="F23">_xlfn.XLOOKUP(B15,GAJI!B7:$B33,GAJI!F7:$F33)</f>
        <v>1600000</v>
      </c>
      <c r="G23" s="124"/>
      <c r="H23" s="125"/>
    </row>
    <row r="24" ht="19.5" customHeight="1">
      <c r="A24" s="125"/>
      <c r="B24" s="121"/>
      <c r="C24" s="121" t="s">
        <v>127</v>
      </c>
      <c r="D24" s="121"/>
      <c r="E24" s="126"/>
      <c r="F24" s="123"/>
      <c r="G24" s="124">
        <f t="array" ref="G24">_xlfn.XLOOKUP(B15,ABS!B7:$B33,ABS!AS7:$AS33)</f>
        <v>0</v>
      </c>
      <c r="H24" s="125"/>
    </row>
    <row r="25" ht="19.5" customHeight="1">
      <c r="A25" s="125"/>
      <c r="B25" s="121"/>
      <c r="C25" s="121" t="s">
        <v>128</v>
      </c>
      <c r="D25" s="121"/>
      <c r="E25" s="126"/>
      <c r="F25" s="123"/>
      <c r="G25" s="124">
        <f t="array" ref="G25">_xlfn.XLOOKUP(B15,ABS!B7:$B33,ABS!AT7:$AT33)</f>
        <v>0</v>
      </c>
      <c r="H25" s="125"/>
    </row>
    <row r="26" ht="19.5" customHeight="1">
      <c r="A26" s="104"/>
      <c r="B26" s="128"/>
      <c r="C26" s="121" t="s">
        <v>129</v>
      </c>
      <c r="D26" s="128"/>
      <c r="E26" s="126"/>
      <c r="F26" s="123"/>
      <c r="G26" s="124">
        <f t="array" ref="G26">_xlfn.XLOOKUP(B15,DENDA!$B$7:$B33,DENDA!$E$7:$E33)</f>
        <v>0</v>
      </c>
      <c r="H26" s="104"/>
    </row>
    <row r="27" ht="24.0" customHeight="1">
      <c r="A27" s="104"/>
      <c r="B27" s="130" t="str">
        <f t="array" ref="B27">"Catatan:"&amp;CHAR(10)&amp;_xlfn.XLOOKUP(B15,DENDA!$B$7:$B33,DENDA!$F$7:$F33)</f>
        <v>Catatan:
</v>
      </c>
      <c r="C27" s="131"/>
      <c r="D27" s="131"/>
      <c r="E27" s="131"/>
      <c r="F27" s="132" t="s">
        <v>119</v>
      </c>
      <c r="G27" s="133">
        <f>sum(F19:F23)</f>
        <v>4600000</v>
      </c>
      <c r="H27" s="104"/>
    </row>
    <row r="28" ht="19.5" customHeight="1">
      <c r="A28" s="104"/>
      <c r="F28" s="134" t="s">
        <v>120</v>
      </c>
      <c r="G28" s="135">
        <f>sum(G24:G26)</f>
        <v>0</v>
      </c>
      <c r="H28" s="104"/>
    </row>
    <row r="29" ht="30.0" customHeight="1">
      <c r="A29" s="136"/>
      <c r="F29" s="138">
        <f>floor((G27-G28),1000)</f>
        <v>4600000</v>
      </c>
      <c r="H29" s="136"/>
    </row>
    <row r="30" ht="19.5" customHeight="1">
      <c r="A30" s="106"/>
      <c r="B30" s="139" t="s">
        <v>131</v>
      </c>
      <c r="C30" s="106"/>
      <c r="D30" s="106"/>
      <c r="E30" s="106"/>
      <c r="F30" s="106"/>
      <c r="G30" s="106"/>
      <c r="H30" s="106"/>
    </row>
    <row r="31" ht="19.5" customHeight="1">
      <c r="A31" s="106"/>
      <c r="B31" s="140"/>
      <c r="C31" s="106"/>
      <c r="D31" s="106"/>
      <c r="E31" s="106"/>
      <c r="F31" s="106"/>
      <c r="G31" s="106"/>
      <c r="H31" s="106"/>
    </row>
    <row r="32" ht="19.5" customHeight="1">
      <c r="A32" s="106"/>
      <c r="B32" s="140"/>
      <c r="C32" s="106"/>
      <c r="D32" s="106"/>
      <c r="E32" s="106"/>
      <c r="F32" s="106"/>
      <c r="G32" s="106"/>
      <c r="H32" s="106"/>
    </row>
    <row r="33" ht="19.5" customHeight="1">
      <c r="A33" s="106"/>
      <c r="B33" s="141"/>
      <c r="C33" s="142"/>
      <c r="D33" s="106"/>
      <c r="E33" s="106"/>
      <c r="F33" s="106"/>
      <c r="G33" s="99" t="s">
        <v>132</v>
      </c>
      <c r="H33" s="106"/>
    </row>
  </sheetData>
  <mergeCells count="30">
    <mergeCell ref="B3:D3"/>
    <mergeCell ref="F3:G6"/>
    <mergeCell ref="B4:D4"/>
    <mergeCell ref="B5:D5"/>
    <mergeCell ref="B6:D6"/>
    <mergeCell ref="B8:E8"/>
    <mergeCell ref="B9:D9"/>
    <mergeCell ref="B10:C10"/>
    <mergeCell ref="D10:E10"/>
    <mergeCell ref="F10:G10"/>
    <mergeCell ref="B11:C11"/>
    <mergeCell ref="D11:E11"/>
    <mergeCell ref="F11:G11"/>
    <mergeCell ref="D12:G12"/>
    <mergeCell ref="B12:C12"/>
    <mergeCell ref="B13:C13"/>
    <mergeCell ref="D13:E13"/>
    <mergeCell ref="F13:G13"/>
    <mergeCell ref="B14:C14"/>
    <mergeCell ref="D14:E14"/>
    <mergeCell ref="F14:G14"/>
    <mergeCell ref="B27:E29"/>
    <mergeCell ref="F29:G29"/>
    <mergeCell ref="B15:C15"/>
    <mergeCell ref="D15:E15"/>
    <mergeCell ref="F15:G15"/>
    <mergeCell ref="B16:C16"/>
    <mergeCell ref="D16:E16"/>
    <mergeCell ref="F16:G16"/>
    <mergeCell ref="B18:D18"/>
  </mergeCells>
  <dataValidations>
    <dataValidation type="list" allowBlank="1" showErrorMessage="1" sqref="B15">
      <formula1>ID!B7:$B33</formula1>
    </dataValidation>
  </dataValidations>
  <printOptions gridLines="1" horizontalCentered="1"/>
  <pageMargins bottom="0.75" footer="0.0" header="0.0" left="0.25" right="0.25" top="0.75"/>
  <pageSetup paperSize="11" cellComments="atEnd" orientation="portrait" pageOrder="overThenDown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3.88"/>
    <col customWidth="1" min="2" max="2" width="100.13"/>
  </cols>
  <sheetData>
    <row r="1">
      <c r="A1" s="1" t="s">
        <v>134</v>
      </c>
      <c r="B1" s="2"/>
    </row>
    <row r="2">
      <c r="A2" s="4"/>
      <c r="B2" s="4"/>
    </row>
    <row r="3" ht="22.5" customHeight="1">
      <c r="A3" s="150" t="s">
        <v>135</v>
      </c>
      <c r="B3" s="150" t="s">
        <v>136</v>
      </c>
    </row>
    <row r="4" ht="22.5" customHeight="1">
      <c r="A4" s="150">
        <v>1.0</v>
      </c>
      <c r="B4" s="150"/>
    </row>
    <row r="5" ht="22.5" customHeight="1">
      <c r="A5" s="150">
        <v>2.0</v>
      </c>
      <c r="B5" s="150"/>
    </row>
    <row r="6" ht="22.5" customHeight="1">
      <c r="A6" s="150">
        <v>3.0</v>
      </c>
      <c r="B6" s="150"/>
    </row>
    <row r="7">
      <c r="A7" s="4"/>
      <c r="B7" s="4"/>
    </row>
    <row r="8">
      <c r="A8" s="4"/>
      <c r="B8" s="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 outlineLevelRow="1"/>
  <sheetData>
    <row r="1">
      <c r="A1" s="151" t="s">
        <v>137</v>
      </c>
      <c r="B1" s="152"/>
      <c r="C1" s="152"/>
      <c r="D1" s="152"/>
      <c r="E1" s="152"/>
      <c r="F1" s="152"/>
      <c r="G1" s="151" t="s">
        <v>138</v>
      </c>
      <c r="H1" s="152"/>
      <c r="I1" s="152"/>
      <c r="J1" s="152"/>
      <c r="K1" s="152"/>
      <c r="L1" s="151" t="s">
        <v>139</v>
      </c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</row>
    <row r="2">
      <c r="A2" s="153" t="str">
        <f>IFERROR(__xludf.DUMMYFUNCTION("importrange(""https://docs.google.com/spreadsheets/d/1aW3sXnkheKBRbfzWyPuTKDGfpreWLadXapsXPiXVWTI/edit?gid=32028930#gid=32028930"",""Ambil Data Penggajian Karyawan!O4:R17"")"),"ID")</f>
        <v>ID</v>
      </c>
      <c r="B2" s="153" t="str">
        <f>IFERROR(__xludf.DUMMYFUNCTION("""COMPUTED_VALUE"""),"PT")</f>
        <v>PT</v>
      </c>
      <c r="C2" s="153" t="str">
        <f>IFERROR(__xludf.DUMMYFUNCTION("""COMPUTED_VALUE"""),"ST")</f>
        <v>ST</v>
      </c>
      <c r="D2" s="153" t="str">
        <f>IFERROR(__xludf.DUMMYFUNCTION("""COMPUTED_VALUE"""),"TA")</f>
        <v>TA</v>
      </c>
      <c r="G2" s="153" t="str">
        <f>IFERROR(__xludf.DUMMYFUNCTION("IMPORTRANGE(""https://docs.google.com/spreadsheets/d/1gkriwcnFY3HBXnqeB5yAIfGRV5a_RuK9kR3zI8kzsZU/edit?gid=1198341984#gid=1198341984"",""Ambil Data Penggajian!H2:J3"")"),"ID")</f>
        <v>ID</v>
      </c>
      <c r="H2" s="153" t="str">
        <f>IFERROR(__xludf.DUMMYFUNCTION("""COMPUTED_VALUE"""),"FB")</f>
        <v>FB</v>
      </c>
      <c r="I2" s="153" t="str">
        <f>IFERROR(__xludf.DUMMYFUNCTION("""COMPUTED_VALUE"""),"SG")</f>
        <v>SG</v>
      </c>
      <c r="L2" s="154" t="str">
        <f>IFERROR(__xludf.DUMMYFUNCTION("IMPORTRANGE(""https://docs.google.com/spreadsheets/d/1rGngrFis1E2Z1PSo8Tv63LG8vgc5otTCsxhuf5coKXw/edit?gid=2082991645#gid=2082991645"",""Visit!M2:Q12"")"),"Nama")</f>
        <v>Nama</v>
      </c>
      <c r="M2" s="154" t="str">
        <f>IFERROR(__xludf.DUMMYFUNCTION("""COMPUTED_VALUE"""),"PT")</f>
        <v>PT</v>
      </c>
      <c r="N2" s="154" t="str">
        <f>IFERROR(__xludf.DUMMYFUNCTION("""COMPUTED_VALUE"""),"ST")</f>
        <v>ST</v>
      </c>
      <c r="O2" s="154" t="str">
        <f>IFERROR(__xludf.DUMMYFUNCTION("""COMPUTED_VALUE"""),"TA")</f>
        <v>TA</v>
      </c>
      <c r="P2" s="154" t="str">
        <f>IFERROR(__xludf.DUMMYFUNCTION("""COMPUTED_VALUE"""),"Jarak")</f>
        <v>Jarak</v>
      </c>
    </row>
    <row r="3">
      <c r="A3" s="153" t="str">
        <f>IFERROR(__xludf.DUMMYFUNCTION("""COMPUTED_VALUE"""),"DHEA")</f>
        <v>DHEA</v>
      </c>
      <c r="B3" s="156"/>
      <c r="C3" s="156"/>
      <c r="D3" s="153">
        <f>IFERROR(__xludf.DUMMYFUNCTION("""COMPUTED_VALUE"""),54.0)</f>
        <v>54</v>
      </c>
      <c r="G3" s="153" t="str">
        <f>IFERROR(__xludf.DUMMYFUNCTION("""COMPUTED_VALUE"""),"ALAM")</f>
        <v>ALAM</v>
      </c>
      <c r="H3" s="153">
        <f>IFERROR(__xludf.DUMMYFUNCTION("""COMPUTED_VALUE"""),4.0)</f>
        <v>4</v>
      </c>
      <c r="I3" s="153">
        <f>IFERROR(__xludf.DUMMYFUNCTION("""COMPUTED_VALUE"""),2.0)</f>
        <v>2</v>
      </c>
      <c r="L3" s="154" t="str">
        <f>IFERROR(__xludf.DUMMYFUNCTION("""COMPUTED_VALUE"""),"HESTI")</f>
        <v>HESTI</v>
      </c>
      <c r="M3" s="154">
        <f>IFERROR(__xludf.DUMMYFUNCTION("""COMPUTED_VALUE"""),0.0)</f>
        <v>0</v>
      </c>
      <c r="N3" s="154">
        <f>IFERROR(__xludf.DUMMYFUNCTION("""COMPUTED_VALUE"""),0.0)</f>
        <v>0</v>
      </c>
      <c r="O3" s="154">
        <f>IFERROR(__xludf.DUMMYFUNCTION("""COMPUTED_VALUE"""),0.0)</f>
        <v>0</v>
      </c>
      <c r="P3" s="154">
        <f>IFERROR(__xludf.DUMMYFUNCTION("""COMPUTED_VALUE"""),0.0)</f>
        <v>0</v>
      </c>
    </row>
    <row r="4">
      <c r="A4" s="153" t="str">
        <f>IFERROR(__xludf.DUMMYFUNCTION("""COMPUTED_VALUE"""),"ICA")</f>
        <v>ICA</v>
      </c>
      <c r="B4" s="156"/>
      <c r="C4" s="156"/>
      <c r="D4" s="156"/>
      <c r="L4" s="154" t="str">
        <f>IFERROR(__xludf.DUMMYFUNCTION("""COMPUTED_VALUE"""),"NADA")</f>
        <v>NADA</v>
      </c>
      <c r="M4" s="154">
        <f>IFERROR(__xludf.DUMMYFUNCTION("""COMPUTED_VALUE"""),0.0)</f>
        <v>0</v>
      </c>
      <c r="N4" s="154">
        <f>IFERROR(__xludf.DUMMYFUNCTION("""COMPUTED_VALUE"""),0.0)</f>
        <v>0</v>
      </c>
      <c r="O4" s="154">
        <f>IFERROR(__xludf.DUMMYFUNCTION("""COMPUTED_VALUE"""),0.0)</f>
        <v>0</v>
      </c>
      <c r="P4" s="154">
        <f>IFERROR(__xludf.DUMMYFUNCTION("""COMPUTED_VALUE"""),0.0)</f>
        <v>0</v>
      </c>
    </row>
    <row r="5">
      <c r="A5" s="153" t="str">
        <f>IFERROR(__xludf.DUMMYFUNCTION("""COMPUTED_VALUE"""),"HESTI")</f>
        <v>HESTI</v>
      </c>
      <c r="B5" s="153">
        <f>IFERROR(__xludf.DUMMYFUNCTION("""COMPUTED_VALUE"""),6.0)</f>
        <v>6</v>
      </c>
      <c r="C5" s="153">
        <f>IFERROR(__xludf.DUMMYFUNCTION("""COMPUTED_VALUE"""),1.0)</f>
        <v>1</v>
      </c>
      <c r="D5" s="153">
        <f>IFERROR(__xludf.DUMMYFUNCTION("""COMPUTED_VALUE"""),1.0)</f>
        <v>1</v>
      </c>
      <c r="L5" s="154" t="str">
        <f>IFERROR(__xludf.DUMMYFUNCTION("""COMPUTED_VALUE"""),"DESTY")</f>
        <v>DESTY</v>
      </c>
      <c r="M5" s="154">
        <f>IFERROR(__xludf.DUMMYFUNCTION("""COMPUTED_VALUE"""),0.0)</f>
        <v>0</v>
      </c>
      <c r="N5" s="154">
        <f>IFERROR(__xludf.DUMMYFUNCTION("""COMPUTED_VALUE"""),0.0)</f>
        <v>0</v>
      </c>
      <c r="O5" s="154">
        <f>IFERROR(__xludf.DUMMYFUNCTION("""COMPUTED_VALUE"""),0.0)</f>
        <v>0</v>
      </c>
      <c r="P5" s="154">
        <f>IFERROR(__xludf.DUMMYFUNCTION("""COMPUTED_VALUE"""),0.0)</f>
        <v>0</v>
      </c>
    </row>
    <row r="6">
      <c r="A6" s="153" t="str">
        <f>IFERROR(__xludf.DUMMYFUNCTION("""COMPUTED_VALUE"""),"NADA")</f>
        <v>NADA</v>
      </c>
      <c r="B6" s="153">
        <f>IFERROR(__xludf.DUMMYFUNCTION("""COMPUTED_VALUE"""),0.0)</f>
        <v>0</v>
      </c>
      <c r="C6" s="153">
        <f>IFERROR(__xludf.DUMMYFUNCTION("""COMPUTED_VALUE"""),0.0)</f>
        <v>0</v>
      </c>
      <c r="D6" s="153">
        <f>IFERROR(__xludf.DUMMYFUNCTION("""COMPUTED_VALUE"""),0.0)</f>
        <v>0</v>
      </c>
      <c r="L6" s="154" t="str">
        <f>IFERROR(__xludf.DUMMYFUNCTION("""COMPUTED_VALUE"""),"PRITY")</f>
        <v>PRITY</v>
      </c>
      <c r="M6" s="154">
        <f>IFERROR(__xludf.DUMMYFUNCTION("""COMPUTED_VALUE"""),0.0)</f>
        <v>0</v>
      </c>
      <c r="N6" s="154">
        <f>IFERROR(__xludf.DUMMYFUNCTION("""COMPUTED_VALUE"""),0.0)</f>
        <v>0</v>
      </c>
      <c r="O6" s="154">
        <f>IFERROR(__xludf.DUMMYFUNCTION("""COMPUTED_VALUE"""),0.0)</f>
        <v>0</v>
      </c>
      <c r="P6" s="154">
        <f>IFERROR(__xludf.DUMMYFUNCTION("""COMPUTED_VALUE"""),0.0)</f>
        <v>0</v>
      </c>
    </row>
    <row r="7">
      <c r="A7" s="153" t="str">
        <f>IFERROR(__xludf.DUMMYFUNCTION("""COMPUTED_VALUE"""),"DESTY")</f>
        <v>DESTY</v>
      </c>
      <c r="B7" s="153">
        <f>IFERROR(__xludf.DUMMYFUNCTION("""COMPUTED_VALUE"""),6.0)</f>
        <v>6</v>
      </c>
      <c r="C7" s="153">
        <f>IFERROR(__xludf.DUMMYFUNCTION("""COMPUTED_VALUE"""),2.0)</f>
        <v>2</v>
      </c>
      <c r="D7" s="153">
        <f>IFERROR(__xludf.DUMMYFUNCTION("""COMPUTED_VALUE"""),2.0)</f>
        <v>2</v>
      </c>
      <c r="L7" s="154" t="str">
        <f>IFERROR(__xludf.DUMMYFUNCTION("""COMPUTED_VALUE"""),"WAHYU")</f>
        <v>WAHYU</v>
      </c>
      <c r="M7" s="154">
        <f>IFERROR(__xludf.DUMMYFUNCTION("""COMPUTED_VALUE"""),0.0)</f>
        <v>0</v>
      </c>
      <c r="N7" s="154">
        <f>IFERROR(__xludf.DUMMYFUNCTION("""COMPUTED_VALUE"""),0.0)</f>
        <v>0</v>
      </c>
      <c r="O7" s="154">
        <f>IFERROR(__xludf.DUMMYFUNCTION("""COMPUTED_VALUE"""),0.0)</f>
        <v>0</v>
      </c>
      <c r="P7" s="154">
        <f>IFERROR(__xludf.DUMMYFUNCTION("""COMPUTED_VALUE"""),0.0)</f>
        <v>0</v>
      </c>
    </row>
    <row r="8">
      <c r="A8" s="153" t="str">
        <f>IFERROR(__xludf.DUMMYFUNCTION("""COMPUTED_VALUE"""),"PRITY")</f>
        <v>PRITY</v>
      </c>
      <c r="B8" s="153">
        <f>IFERROR(__xludf.DUMMYFUNCTION("""COMPUTED_VALUE"""),5.0)</f>
        <v>5</v>
      </c>
      <c r="C8" s="153">
        <f>IFERROR(__xludf.DUMMYFUNCTION("""COMPUTED_VALUE"""),4.0)</f>
        <v>4</v>
      </c>
      <c r="D8" s="153">
        <f>IFERROR(__xludf.DUMMYFUNCTION("""COMPUTED_VALUE"""),5.0)</f>
        <v>5</v>
      </c>
      <c r="L8" s="154" t="str">
        <f>IFERROR(__xludf.DUMMYFUNCTION("""COMPUTED_VALUE"""),"ORY")</f>
        <v>ORY</v>
      </c>
      <c r="M8" s="154">
        <f>IFERROR(__xludf.DUMMYFUNCTION("""COMPUTED_VALUE"""),0.0)</f>
        <v>0</v>
      </c>
      <c r="N8" s="154">
        <f>IFERROR(__xludf.DUMMYFUNCTION("""COMPUTED_VALUE"""),0.0)</f>
        <v>0</v>
      </c>
      <c r="O8" s="154">
        <f>IFERROR(__xludf.DUMMYFUNCTION("""COMPUTED_VALUE"""),0.0)</f>
        <v>0</v>
      </c>
      <c r="P8" s="154">
        <f>IFERROR(__xludf.DUMMYFUNCTION("""COMPUTED_VALUE"""),0.0)</f>
        <v>0</v>
      </c>
    </row>
    <row r="9">
      <c r="A9" s="153" t="str">
        <f>IFERROR(__xludf.DUMMYFUNCTION("""COMPUTED_VALUE"""),"WAHYU")</f>
        <v>WAHYU</v>
      </c>
      <c r="B9" s="153">
        <f>IFERROR(__xludf.DUMMYFUNCTION("""COMPUTED_VALUE"""),6.0)</f>
        <v>6</v>
      </c>
      <c r="C9" s="153">
        <f>IFERROR(__xludf.DUMMYFUNCTION("""COMPUTED_VALUE"""),1.0)</f>
        <v>1</v>
      </c>
      <c r="D9" s="153">
        <f>IFERROR(__xludf.DUMMYFUNCTION("""COMPUTED_VALUE"""),4.0)</f>
        <v>4</v>
      </c>
      <c r="L9" s="154" t="str">
        <f>IFERROR(__xludf.DUMMYFUNCTION("""COMPUTED_VALUE"""),"HENA")</f>
        <v>HENA</v>
      </c>
      <c r="M9" s="154">
        <f>IFERROR(__xludf.DUMMYFUNCTION("""COMPUTED_VALUE"""),0.0)</f>
        <v>0</v>
      </c>
      <c r="N9" s="154">
        <f>IFERROR(__xludf.DUMMYFUNCTION("""COMPUTED_VALUE"""),0.0)</f>
        <v>0</v>
      </c>
      <c r="O9" s="154">
        <f>IFERROR(__xludf.DUMMYFUNCTION("""COMPUTED_VALUE"""),0.0)</f>
        <v>0</v>
      </c>
      <c r="P9" s="154">
        <f>IFERROR(__xludf.DUMMYFUNCTION("""COMPUTED_VALUE"""),0.0)</f>
        <v>0</v>
      </c>
    </row>
    <row r="10">
      <c r="A10" s="153" t="str">
        <f>IFERROR(__xludf.DUMMYFUNCTION("""COMPUTED_VALUE"""),"ORY")</f>
        <v>ORY</v>
      </c>
      <c r="B10" s="153">
        <f>IFERROR(__xludf.DUMMYFUNCTION("""COMPUTED_VALUE"""),0.0)</f>
        <v>0</v>
      </c>
      <c r="C10" s="153">
        <f>IFERROR(__xludf.DUMMYFUNCTION("""COMPUTED_VALUE"""),0.0)</f>
        <v>0</v>
      </c>
      <c r="D10" s="153">
        <f>IFERROR(__xludf.DUMMYFUNCTION("""COMPUTED_VALUE"""),0.0)</f>
        <v>0</v>
      </c>
      <c r="L10" s="154" t="str">
        <f>IFERROR(__xludf.DUMMYFUNCTION("""COMPUTED_VALUE"""),"OKTA")</f>
        <v>OKTA</v>
      </c>
      <c r="M10" s="154">
        <f>IFERROR(__xludf.DUMMYFUNCTION("""COMPUTED_VALUE"""),0.0)</f>
        <v>0</v>
      </c>
      <c r="N10" s="154">
        <f>IFERROR(__xludf.DUMMYFUNCTION("""COMPUTED_VALUE"""),0.0)</f>
        <v>0</v>
      </c>
      <c r="O10" s="154">
        <f>IFERROR(__xludf.DUMMYFUNCTION("""COMPUTED_VALUE"""),0.0)</f>
        <v>0</v>
      </c>
      <c r="P10" s="154">
        <f>IFERROR(__xludf.DUMMYFUNCTION("""COMPUTED_VALUE"""),0.0)</f>
        <v>0</v>
      </c>
    </row>
    <row r="11">
      <c r="A11" s="153" t="str">
        <f>IFERROR(__xludf.DUMMYFUNCTION("""COMPUTED_VALUE"""),"HENA")</f>
        <v>HENA</v>
      </c>
      <c r="B11" s="153">
        <f>IFERROR(__xludf.DUMMYFUNCTION("""COMPUTED_VALUE"""),7.0)</f>
        <v>7</v>
      </c>
      <c r="C11" s="153">
        <f>IFERROR(__xludf.DUMMYFUNCTION("""COMPUTED_VALUE"""),0.0)</f>
        <v>0</v>
      </c>
      <c r="D11" s="153">
        <f>IFERROR(__xludf.DUMMYFUNCTION("""COMPUTED_VALUE"""),5.0)</f>
        <v>5</v>
      </c>
      <c r="L11" s="154" t="str">
        <f>IFERROR(__xludf.DUMMYFUNCTION("""COMPUTED_VALUE"""),"AUL")</f>
        <v>AUL</v>
      </c>
      <c r="M11" s="154">
        <f>IFERROR(__xludf.DUMMYFUNCTION("""COMPUTED_VALUE"""),0.0)</f>
        <v>0</v>
      </c>
      <c r="N11" s="154">
        <f>IFERROR(__xludf.DUMMYFUNCTION("""COMPUTED_VALUE"""),0.0)</f>
        <v>0</v>
      </c>
      <c r="O11" s="154">
        <f>IFERROR(__xludf.DUMMYFUNCTION("""COMPUTED_VALUE"""),0.0)</f>
        <v>0</v>
      </c>
      <c r="P11" s="154">
        <f>IFERROR(__xludf.DUMMYFUNCTION("""COMPUTED_VALUE"""),0.0)</f>
        <v>0</v>
      </c>
    </row>
    <row r="12">
      <c r="A12" s="153" t="str">
        <f>IFERROR(__xludf.DUMMYFUNCTION("""COMPUTED_VALUE"""),"OKTA")</f>
        <v>OKTA</v>
      </c>
      <c r="B12" s="153">
        <f>IFERROR(__xludf.DUMMYFUNCTION("""COMPUTED_VALUE"""),6.0)</f>
        <v>6</v>
      </c>
      <c r="C12" s="153">
        <f>IFERROR(__xludf.DUMMYFUNCTION("""COMPUTED_VALUE"""),1.0)</f>
        <v>1</v>
      </c>
      <c r="D12" s="153">
        <f>IFERROR(__xludf.DUMMYFUNCTION("""COMPUTED_VALUE"""),6.0)</f>
        <v>6</v>
      </c>
      <c r="L12" s="154" t="str">
        <f>IFERROR(__xludf.DUMMYFUNCTION("""COMPUTED_VALUE"""),"PUTRI")</f>
        <v>PUTRI</v>
      </c>
      <c r="M12" s="154">
        <f>IFERROR(__xludf.DUMMYFUNCTION("""COMPUTED_VALUE"""),0.0)</f>
        <v>0</v>
      </c>
      <c r="N12" s="154">
        <f>IFERROR(__xludf.DUMMYFUNCTION("""COMPUTED_VALUE"""),0.0)</f>
        <v>0</v>
      </c>
      <c r="O12" s="154">
        <f>IFERROR(__xludf.DUMMYFUNCTION("""COMPUTED_VALUE"""),0.0)</f>
        <v>0</v>
      </c>
      <c r="P12" s="154">
        <f>IFERROR(__xludf.DUMMYFUNCTION("""COMPUTED_VALUE"""),0.0)</f>
        <v>0</v>
      </c>
    </row>
    <row r="13">
      <c r="A13" s="153" t="str">
        <f>IFERROR(__xludf.DUMMYFUNCTION("""COMPUTED_VALUE"""),"AUL")</f>
        <v>AUL</v>
      </c>
      <c r="B13" s="153">
        <f>IFERROR(__xludf.DUMMYFUNCTION("""COMPUTED_VALUE"""),6.0)</f>
        <v>6</v>
      </c>
      <c r="C13" s="153">
        <f>IFERROR(__xludf.DUMMYFUNCTION("""COMPUTED_VALUE"""),3.0)</f>
        <v>3</v>
      </c>
      <c r="D13" s="153">
        <f>IFERROR(__xludf.DUMMYFUNCTION("""COMPUTED_VALUE"""),1.0)</f>
        <v>1</v>
      </c>
    </row>
    <row r="14">
      <c r="A14" s="153" t="str">
        <f>IFERROR(__xludf.DUMMYFUNCTION("""COMPUTED_VALUE"""),"PUTRI")</f>
        <v>PUTRI</v>
      </c>
      <c r="B14" s="153">
        <f>IFERROR(__xludf.DUMMYFUNCTION("""COMPUTED_VALUE"""),4.0)</f>
        <v>4</v>
      </c>
      <c r="C14" s="153">
        <f>IFERROR(__xludf.DUMMYFUNCTION("""COMPUTED_VALUE"""),1.0)</f>
        <v>1</v>
      </c>
      <c r="D14" s="153">
        <f>IFERROR(__xludf.DUMMYFUNCTION("""COMPUTED_VALUE"""),2.0)</f>
        <v>2</v>
      </c>
    </row>
    <row r="15">
      <c r="A15" s="153" t="str">
        <f>IFERROR(__xludf.DUMMYFUNCTION("""COMPUTED_VALUE"""),"ALAM")</f>
        <v>ALAM</v>
      </c>
      <c r="B15" s="153">
        <f>IFERROR(__xludf.DUMMYFUNCTION("""COMPUTED_VALUE"""),0.0)</f>
        <v>0</v>
      </c>
      <c r="C15" s="153">
        <f>IFERROR(__xludf.DUMMYFUNCTION("""COMPUTED_VALUE"""),0.0)</f>
        <v>0</v>
      </c>
      <c r="D15" s="153">
        <f>IFERROR(__xludf.DUMMYFUNCTION("""COMPUTED_VALUE"""),0.0)</f>
        <v>0</v>
      </c>
    </row>
  </sheetData>
  <drawing r:id="rId1"/>
</worksheet>
</file>