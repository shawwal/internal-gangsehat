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njungan" sheetId="1" r:id="rId5"/>
    <sheet state="visible" name="Rujukan SM" sheetId="2" r:id="rId6"/>
    <sheet state="visible" name="Keuangan" sheetId="3" r:id="rId7"/>
    <sheet state="visible" name="Rank" sheetId="4" r:id="rId8"/>
    <sheet state="visible" name="Live View" sheetId="5" r:id="rId9"/>
    <sheet state="visible" name="Data" sheetId="6" r:id="rId10"/>
    <sheet state="visible" name="Rekap Data" sheetId="7" r:id="rId11"/>
    <sheet state="visible" name="Rekap Poin" sheetId="8" r:id="rId12"/>
    <sheet state="visible" name="Daftar Pemenang" sheetId="9" r:id="rId13"/>
  </sheets>
  <definedNames>
    <definedName hidden="1" localSheetId="7" name="Z_FE1B7524_4971_4D5F_8ED9_75B581AD1A18_.wvu.FilterData">'Rekap Poin'!$A$4:$O$100</definedName>
    <definedName hidden="1" localSheetId="6" name="Z_6DD9D94E_05D3_42EA_80F6_0F71E88611B3_.wvu.FilterData">'Rekap Data'!$A$4:$S$100</definedName>
  </definedNames>
  <calcPr/>
  <customWorkbookViews>
    <customWorkbookView activeSheetId="0" maximized="1" windowHeight="0" windowWidth="0" guid="{FE1B7524-4971-4D5F-8ED9-75B581AD1A18}" name="Fisio"/>
    <customWorkbookView activeSheetId="0" maximized="1" windowHeight="0" windowWidth="0" guid="{6DD9D94E-05D3-42EA-80F6-0F71E88611B3}" name="Group by Nama"/>
  </customWorkbookViews>
  <pivotCaches>
    <pivotCache cacheId="0" r:id="rId14"/>
  </pivotCaches>
</workbook>
</file>

<file path=xl/sharedStrings.xml><?xml version="1.0" encoding="utf-8"?>
<sst xmlns="http://schemas.openxmlformats.org/spreadsheetml/2006/main" count="519" uniqueCount="65">
  <si>
    <t>Nama</t>
  </si>
  <si>
    <t>Total Poin</t>
  </si>
  <si>
    <t>WAHYU</t>
  </si>
  <si>
    <t>ORY</t>
  </si>
  <si>
    <t>NADA</t>
  </si>
  <si>
    <t>PUTRI</t>
  </si>
  <si>
    <t>HESTI</t>
  </si>
  <si>
    <t>DESTY</t>
  </si>
  <si>
    <t>AUL</t>
  </si>
  <si>
    <t>HENA</t>
  </si>
  <si>
    <t>PRITY</t>
  </si>
  <si>
    <t>OKTA</t>
  </si>
  <si>
    <t>Grand Total</t>
  </si>
  <si>
    <t>Ranking</t>
  </si>
  <si>
    <t>Rekap Data PFOTM 2026</t>
  </si>
  <si>
    <t>Data PFOTM 2026</t>
  </si>
  <si>
    <t>Periode</t>
  </si>
  <si>
    <t>Hadir</t>
  </si>
  <si>
    <t>Terlambat</t>
  </si>
  <si>
    <t>Alfa</t>
  </si>
  <si>
    <t>Jumlah. Kunjungan</t>
  </si>
  <si>
    <t>Paket 1</t>
  </si>
  <si>
    <t>Paket 2</t>
  </si>
  <si>
    <t>Paket 3</t>
  </si>
  <si>
    <t>TA/Sesi Visit</t>
  </si>
  <si>
    <t>Paket Visit</t>
  </si>
  <si>
    <t>Rujukan SM</t>
  </si>
  <si>
    <t>Kegiatan External</t>
  </si>
  <si>
    <t>Rekap Poin PFOTM 2026</t>
  </si>
  <si>
    <t>Hari Kerja</t>
  </si>
  <si>
    <t>% Kehadiran</t>
  </si>
  <si>
    <t>% Disiplin</t>
  </si>
  <si>
    <t>Kunj. per Hadir</t>
  </si>
  <si>
    <t>Paket per Hadir</t>
  </si>
  <si>
    <t>Jumlah Paket</t>
  </si>
  <si>
    <t>Jumlah Kunjungan</t>
  </si>
  <si>
    <t>01Jan</t>
  </si>
  <si>
    <t>Rank</t>
  </si>
  <si>
    <t>DANRU</t>
  </si>
  <si>
    <t>02Feb</t>
  </si>
  <si>
    <t>Data</t>
  </si>
  <si>
    <t>03Mar</t>
  </si>
  <si>
    <t>Poin</t>
  </si>
  <si>
    <t>Daftar Pemenang PFOTM 2026</t>
  </si>
  <si>
    <t>Bulan</t>
  </si>
  <si>
    <t>Champ</t>
  </si>
  <si>
    <t>Total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</si>
  <si>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</si>
  <si>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</si>
  <si>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</si>
  <si>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</si>
  <si>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</si>
  <si>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</si>
  <si>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</si>
  <si>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</si>
  <si>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</si>
  <si>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04Apr</t>
  </si>
  <si>
    <t>Okt</t>
  </si>
  <si>
    <t>Nov</t>
  </si>
  <si>
    <t>Des</t>
  </si>
  <si>
    <t>05Mei</t>
  </si>
  <si>
    <t>06Jun</t>
  </si>
  <si>
    <t>07Jul</t>
  </si>
  <si>
    <t>08Agu</t>
  </si>
  <si>
    <t>09Sep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</si>
</sst>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666666"/>
      <name val="Arial"/>
      <scheme val="minor"/>
    </font>
    <font>
      <b/>
      <sz val="18.0"/>
      <color theme="1"/>
      <name val="Arial"/>
      <scheme val="minor"/>
    </font>
    <font>
      <b/>
      <i/>
      <sz val="8.0"/>
      <color theme="1"/>
      <name val="Arial"/>
      <scheme val="minor"/>
    </font>
    <font>
      <b/>
      <i/>
      <sz val="7.0"/>
      <color theme="1"/>
      <name val="Arial"/>
      <scheme val="minor"/>
    </font>
    <font>
      <i/>
      <u/>
      <color theme="1"/>
      <name val="Arial"/>
      <scheme val="minor"/>
    </font>
    <font>
      <i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sz val="12.0"/>
      <color rgb="FF666666"/>
      <name val="Arial"/>
      <scheme val="minor"/>
    </font>
    <font>
      <color rgb="FF666666"/>
      <name val="Arial"/>
      <scheme val="minor"/>
    </font>
    <font>
      <b/>
      <u/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8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0" numFmtId="4" xfId="0" applyAlignment="1" applyFont="1" applyNumberForma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15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6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kap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kap Po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ftar Pemen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ftar Pemena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3161889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8:M28" sheet="Data"/>
  </cacheSource>
  <cacheFields>
    <cacheField name="Nama" numFmtId="0">
      <sharedItems>
        <s v="HESTI"/>
        <s v="NADA"/>
        <s v="DESTY"/>
        <s v="PRITY"/>
        <s v="WAHYU"/>
        <s v="ORY"/>
        <s v="HENA"/>
        <s v="OKTA"/>
        <s v="AUL"/>
        <s v="PUTRI"/>
      </sharedItems>
    </cacheField>
    <cacheField name="Hadir" numFmtId="0">
      <sharedItems containsSemiMixedTypes="0" containsString="0" containsNumber="1" containsInteger="1">
        <n v="23.0"/>
        <n v="21.0"/>
        <n v="20.0"/>
        <n v="19.0"/>
      </sharedItems>
    </cacheField>
    <cacheField name="Terlambat" numFmtId="0">
      <sharedItems containsSemiMixedTypes="0" containsString="0" containsNumber="1" containsInteger="1">
        <n v="-2.0"/>
        <n v="0.0"/>
        <n v="-1.0"/>
      </sharedItems>
    </cacheField>
    <cacheField name="Alfa" numFmtId="0">
      <sharedItems containsSemiMixedTypes="0" containsString="0" containsNumber="1" containsInteger="1">
        <n v="0.0"/>
        <n v="2.0"/>
      </sharedItems>
    </cacheField>
    <cacheField name="Jumlah Kunjungan" numFmtId="0">
      <sharedItems containsSemiMixedTypes="0" containsString="0" containsNumber="1" containsInteger="1">
        <n v="0.0"/>
      </sharedItems>
    </cacheField>
    <cacheField name="Paket 1" numFmtId="0">
      <sharedItems containsSemiMixedTypes="0" containsString="0" containsNumber="1" containsInteger="1">
        <n v="0.0"/>
      </sharedItems>
    </cacheField>
    <cacheField name="Paket 2" numFmtId="0">
      <sharedItems containsSemiMixedTypes="0" containsString="0" containsNumber="1" containsInteger="1">
        <n v="0.0"/>
      </sharedItems>
    </cacheField>
    <cacheField name="Paket 3" numFmtId="0">
      <sharedItems containsSemiMixedTypes="0" containsString="0" containsNumber="1" containsInteger="1">
        <n v="0.0"/>
      </sharedItems>
    </cacheField>
    <cacheField name="TA/Sesi Visit" numFmtId="0">
      <sharedItems containsSemiMixedTypes="0" containsString="0" containsNumber="1" containsInteger="1">
        <n v="0.0"/>
      </sharedItems>
    </cacheField>
    <cacheField name="Paket Visit" numFmtId="0">
      <sharedItems containsSemiMixedTypes="0" containsString="0" containsNumber="1" containsInteger="1">
        <n v="0.0"/>
      </sharedItems>
    </cacheField>
    <cacheField name="Rujukan SM" numFmtId="0">
      <sharedItems containsSemiMixedTypes="0" containsString="0" containsNumber="1" containsInteger="1">
        <n v="0.0"/>
      </sharedItems>
    </cacheField>
    <cacheField name="Kegiatan External" numFmtId="0">
      <sharedItems containsSemiMixedTypes="0" containsString="0" containsNumber="1" containsInteger="1">
        <n v="0.0"/>
      </sharedItems>
    </cacheField>
    <cacheField name="Total Poin" numFmtId="0">
      <sharedItems containsSemiMixedTypes="0" containsString="0" containsNumber="1" containsInteger="1">
        <n v="21.0"/>
        <n v="23.0"/>
        <n v="19.0"/>
        <n v="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ank" cacheId="0" dataCaption="" compact="0" compactData="0">
  <location ref="A1:B12" firstHeaderRow="0" firstDataRow="1" firstDataCol="0"/>
  <pivotFields>
    <pivotField name="Nam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Hadir" compact="0" outline="0" multipleItemSelectionAllowed="1" showAll="0">
      <items>
        <item x="0"/>
        <item x="1"/>
        <item x="2"/>
        <item x="3"/>
        <item t="default"/>
      </items>
    </pivotField>
    <pivotField name="Terlambat" compact="0" outline="0" multipleItemSelectionAllowed="1" showAll="0">
      <items>
        <item x="0"/>
        <item x="1"/>
        <item x="2"/>
        <item t="default"/>
      </items>
    </pivotField>
    <pivotField name="Alfa" compact="0" outline="0" multipleItemSelectionAllowed="1" showAll="0">
      <items>
        <item x="0"/>
        <item x="1"/>
        <item t="default"/>
      </items>
    </pivotField>
    <pivotField name="Jumlah Kunjungan" compact="0" outline="0" multipleItemSelectionAllowed="1" showAll="0">
      <items>
        <item x="0"/>
        <item t="default"/>
      </items>
    </pivotField>
    <pivotField name="Paket 1" compact="0" outline="0" multipleItemSelectionAllowed="1" showAll="0">
      <items>
        <item x="0"/>
        <item t="default"/>
      </items>
    </pivotField>
    <pivotField name="Paket 2" compact="0" outline="0" multipleItemSelectionAllowed="1" showAll="0">
      <items>
        <item x="0"/>
        <item t="default"/>
      </items>
    </pivotField>
    <pivotField name="Paket 3" compact="0" outline="0" multipleItemSelectionAllowed="1" showAll="0">
      <items>
        <item x="0"/>
        <item t="default"/>
      </items>
    </pivotField>
    <pivotField name="TA/Sesi Visit" compact="0" outline="0" multipleItemSelectionAllowed="1" showAll="0">
      <items>
        <item x="0"/>
        <item t="default"/>
      </items>
    </pivotField>
    <pivotField name="Paket Visit" compact="0" outline="0" multipleItemSelectionAllowed="1" showAll="0">
      <items>
        <item x="0"/>
        <item t="default"/>
      </items>
    </pivotField>
    <pivotField name="Rujukan SM" compact="0" outline="0" multipleItemSelectionAllowed="1" showAll="0">
      <items>
        <item x="0"/>
        <item t="default"/>
      </items>
    </pivotField>
    <pivotField name="Kegiatan External" compact="0" outline="0" multipleItemSelectionAllowed="1" showAll="0">
      <items>
        <item x="0"/>
        <item t="default"/>
      </items>
    </pivotField>
    <pivotField name="Total Poin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Total Poin" fld="12" baseField="0"/>
  </dataFields>
</pivotTableDefinition>
</file>

<file path=xl/tables/table1.xml><?xml version="1.0" encoding="utf-8"?>
<table xmlns="http://schemas.openxmlformats.org/spreadsheetml/2006/main" ref="A4:L14" displayName="data_pfotm" name="data_pfotm" id="1">
  <tableColumns count="12">
    <tableColumn name="Nama" id="1"/>
    <tableColumn name="Hadir" id="2"/>
    <tableColumn name="Terlambat" id="3"/>
    <tableColumn name="Alfa" id="4"/>
    <tableColumn name="Jumlah. Kunjungan" id="5"/>
    <tableColumn name="Paket 1" id="6"/>
    <tableColumn name="Paket 2" id="7"/>
    <tableColumn name="Paket 3" id="8"/>
    <tableColumn name="TA/Sesi Visit" id="9"/>
    <tableColumn name="Paket Visit" id="10"/>
    <tableColumn name="Rujukan SM" id="11"/>
    <tableColumn name="Kegiatan External" id="12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8:M28" displayName="poin_pfotm" name="poin_pfotm" id="3">
  <tableColumns count="13">
    <tableColumn name="Nama" id="1"/>
    <tableColumn name="Hadir" id="2"/>
    <tableColumn name="Terlambat" id="3"/>
    <tableColumn name="Alfa" id="4"/>
    <tableColumn name="Jumlah Kunjungan" id="5"/>
    <tableColumn name="Paket 1" id="6"/>
    <tableColumn name="Paket 2" id="7"/>
    <tableColumn name="Paket 3" id="8"/>
    <tableColumn name="TA/Sesi Visit" id="9"/>
    <tableColumn name="Paket Visit" id="10"/>
    <tableColumn name="Rujukan SM" id="11"/>
    <tableColumn name="Kegiatan External" id="12"/>
    <tableColumn name="Total Poin" id="13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ref="A4:S100" displayName="rekap_data_pfotm" name="rekap_data_pfotm" id="2">
  <tableColumns count="19">
    <tableColumn name="Periode" id="1"/>
    <tableColumn name="Nama" id="2"/>
    <tableColumn name="Hadir" id="3"/>
    <tableColumn name="Terlambat" id="4"/>
    <tableColumn name="Alfa" id="5"/>
    <tableColumn name="Jumlah. Kunjungan" id="6"/>
    <tableColumn name="Paket 1" id="7"/>
    <tableColumn name="Paket 2" id="8"/>
    <tableColumn name="Paket 3" id="9"/>
    <tableColumn name="TA/Sesi Visit" id="10"/>
    <tableColumn name="Paket Visit" id="11"/>
    <tableColumn name="Rujukan SM" id="12"/>
    <tableColumn name="Kegiatan External" id="13"/>
    <tableColumn name="Hari Kerja" id="14"/>
    <tableColumn name="% Kehadiran" id="15"/>
    <tableColumn name="% Disiplin" id="16"/>
    <tableColumn name="Kunj. per Hadir" id="17"/>
    <tableColumn name="Paket per Hadir" id="18"/>
    <tableColumn name="Jumlah Paket" id="19"/>
  </tableColumns>
  <tableStyleInfo name="Rekap Data-style" showColumnStripes="0" showFirstColumn="1" showLastColumn="1" showRowStripes="1"/>
</table>
</file>

<file path=xl/tables/table4.xml><?xml version="1.0" encoding="utf-8"?>
<table xmlns="http://schemas.openxmlformats.org/spreadsheetml/2006/main" ref="A4:O100" displayName="rekap_poin_pfotm_2" name="rekap_poin_pfotm_2" id="4">
  <tableColumns count="15">
    <tableColumn name="Periode" id="1"/>
    <tableColumn name="Nama" id="2"/>
    <tableColumn name="Hadir" id="3"/>
    <tableColumn name="Terlambat" id="4"/>
    <tableColumn name="Alfa" id="5"/>
    <tableColumn name="Jumlah Kunjungan" id="6"/>
    <tableColumn name="Paket 1" id="7"/>
    <tableColumn name="Paket 2" id="8"/>
    <tableColumn name="Paket 3" id="9"/>
    <tableColumn name="TA/Sesi Visit" id="10"/>
    <tableColumn name="Paket Visit" id="11"/>
    <tableColumn name="Rujukan SM" id="12"/>
    <tableColumn name="Kegiatan External" id="13"/>
    <tableColumn name="Total Poin" id="14"/>
    <tableColumn name="Rank" id="15"/>
  </tableColumns>
  <tableStyleInfo name="Rekap Poin-style" showColumnStripes="0" showFirstColumn="1" showLastColumn="1" showRowStripes="1"/>
</table>
</file>

<file path=xl/tables/table5.xml><?xml version="1.0" encoding="utf-8"?>
<table xmlns="http://schemas.openxmlformats.org/spreadsheetml/2006/main" ref="A4:B16" displayName="win_by_month" name="win_by_month" id="5">
  <tableColumns count="2">
    <tableColumn name="Bulan" id="1"/>
    <tableColumn name="Champ" id="2"/>
  </tableColumns>
  <tableStyleInfo name="Daftar Pemenang-style" showColumnStripes="0" showFirstColumn="1" showLastColumn="1" showRowStripes="1"/>
</table>
</file>

<file path=xl/tables/table6.xml><?xml version="1.0" encoding="utf-8"?>
<table xmlns="http://schemas.openxmlformats.org/spreadsheetml/2006/main" ref="D4:E15" displayName="win_by_name" name="win_by_name" id="6">
  <tableColumns count="2">
    <tableColumn name="Nama" id="1"/>
    <tableColumn name="Total" id="2"/>
  </tableColumns>
  <tableStyleInfo name="Daftar Pemena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IFERROR(__xludf.DUMMYFUNCTION("IMPORTRANGE(""https://docs.google.com/spreadsheets/d/1aW3sXnkheKBRbfzWyPuTKDGfpreWLadXapsXPiXVWTI/edit?gid=32028930#gid=32028930"",""PFOTM!A:M"")"),"#REF!")</f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IFERROR(__xludf.DUMMYFUNCTION("importrange(""https://docs.google.com/spreadsheets/d/1gkriwcnFY3HBXnqeB5yAIfGRV5a_RuK9kR3zI8kzsZU/edit?gid=716905355#gid=716905355"",""PFOTM!$A:$B"")"),"#REF!")</f>
        <v>#REF!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IFERROR(__xludf.DUMMYFUNCTION("IMPORTRANGE(""https://docs.google.com/spreadsheets/d/1rGngrFis1E2Z1PSo8Tv63LG8vgc5otTCsxhuf5coKXw/edit?gid=1286117242#gid=1286117242"",""PFOTM!A:F"")"),"#REF!")</f>
        <v>#REF!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4">
      <c r="A14" s="2" t="s">
        <v>13</v>
      </c>
      <c r="B14" s="3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12" width="11.38"/>
  </cols>
  <sheetData>
    <row r="1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 t="s">
        <v>0</v>
      </c>
      <c r="B4" s="7" t="s">
        <v>17</v>
      </c>
      <c r="C4" s="7" t="s">
        <v>18</v>
      </c>
      <c r="D4" s="7" t="s">
        <v>19</v>
      </c>
      <c r="E4" s="8" t="s">
        <v>20</v>
      </c>
      <c r="F4" s="7" t="s">
        <v>21</v>
      </c>
      <c r="G4" s="7" t="s">
        <v>22</v>
      </c>
      <c r="H4" s="9" t="s">
        <v>23</v>
      </c>
      <c r="I4" s="7" t="s">
        <v>24</v>
      </c>
      <c r="J4" s="7" t="s">
        <v>25</v>
      </c>
      <c r="K4" s="9" t="s">
        <v>26</v>
      </c>
      <c r="L4" s="7" t="s">
        <v>27</v>
      </c>
      <c r="M4" s="10"/>
    </row>
    <row r="5">
      <c r="A5" s="11" t="s">
        <v>6</v>
      </c>
      <c r="B5" s="12">
        <v>23.0</v>
      </c>
      <c r="C5" s="12">
        <v>2.0</v>
      </c>
      <c r="D5" s="12">
        <v>0.0</v>
      </c>
      <c r="E5" s="16">
        <f t="array" ref="E5">IFNA(INDEX(Kunjungan!$B$3:$Z31,MATCH(A5,Kunjungan!$A$3:$A31,0),MATCH("Grand Total",Kunjungan!$B$2:$Z$2,0)),0)</f>
        <v>0</v>
      </c>
      <c r="F5" s="18">
        <f t="array" ref="F5">_xlfn.XLOOKUP(A5,Keuangan!$A$2:$A31,Keuangan!$B$2:$B31,0)</f>
        <v>0</v>
      </c>
      <c r="G5" s="18">
        <f t="array" ref="G5">_xlfn.XLOOKUP(A5,Keuangan!$A$2:$A31,Keuangan!$C$2:$C31,0)</f>
        <v>0</v>
      </c>
      <c r="H5" s="18">
        <f t="array" ref="H5">_xlfn.XLOOKUP(A5,Keuangan!$A$2:$A31,Keuangan!$D$2:$D31,0)</f>
        <v>0</v>
      </c>
      <c r="I5" s="18">
        <f t="array" ref="I5">_xlfn.XLOOKUP(A5,Keuangan!$A$2:$A31,Keuangan!$E$2:$E31,0)</f>
        <v>0</v>
      </c>
      <c r="J5" s="18">
        <f t="array" ref="J5">_xlfn.XLOOKUP(A5,Keuangan!$A$2:$A31,Keuangan!$F$2:$F31,0)</f>
        <v>0</v>
      </c>
      <c r="K5" s="16">
        <f t="array" ref="K5">_xlfn.XLOOKUP(A5,'Rujukan SM'!$A$2:$A31,'Rujukan SM'!$B$2:$B31,0,0,1)</f>
        <v>0</v>
      </c>
      <c r="L5" s="12">
        <v>0.0</v>
      </c>
    </row>
    <row r="6">
      <c r="A6" s="11" t="s">
        <v>4</v>
      </c>
      <c r="B6" s="24">
        <v>23.0</v>
      </c>
      <c r="C6" s="24">
        <v>0.0</v>
      </c>
      <c r="D6" s="12">
        <v>0.0</v>
      </c>
      <c r="E6" s="16">
        <f t="array" ref="E6">IFNA(INDEX(Kunjungan!$B$3:$Z31,MATCH(A6,Kunjungan!$A$3:$A31,0),MATCH("Grand Total",Kunjungan!$B$2:$Z$2,0)),0)</f>
        <v>0</v>
      </c>
      <c r="F6" s="18">
        <f t="array" ref="F6">_xlfn.XLOOKUP(A6,Keuangan!$A$2:$A31,Keuangan!$B$2:$B31,0)</f>
        <v>0</v>
      </c>
      <c r="G6" s="18">
        <f t="array" ref="G6">_xlfn.XLOOKUP(A6,Keuangan!$A$2:$A31,Keuangan!$C$2:$C31,0)</f>
        <v>0</v>
      </c>
      <c r="H6" s="18">
        <f t="array" ref="H6">_xlfn.XLOOKUP(A6,Keuangan!$A$2:$A31,Keuangan!$D$2:$D31,0)</f>
        <v>0</v>
      </c>
      <c r="I6" s="18">
        <f t="array" ref="I6">_xlfn.XLOOKUP(A6,Keuangan!$A$2:$A31,Keuangan!$E$2:$E31,0)</f>
        <v>0</v>
      </c>
      <c r="J6" s="18">
        <f t="array" ref="J6">_xlfn.XLOOKUP(A6,Keuangan!$A$2:$A31,Keuangan!$F$2:$F31,0)</f>
        <v>0</v>
      </c>
      <c r="K6" s="16">
        <f t="array" ref="K6">_xlfn.XLOOKUP(A6,'Rujukan SM'!$A$2:$A31,'Rujukan SM'!$B$2:$B31,0,0,1)</f>
        <v>0</v>
      </c>
      <c r="L6" s="12">
        <v>0.0</v>
      </c>
    </row>
    <row r="7">
      <c r="A7" s="11" t="s">
        <v>7</v>
      </c>
      <c r="B7" s="24">
        <v>21.0</v>
      </c>
      <c r="C7" s="24">
        <v>0.0</v>
      </c>
      <c r="D7" s="12">
        <v>0.0</v>
      </c>
      <c r="E7" s="16">
        <f t="array" ref="E7">IFNA(INDEX(Kunjungan!$B$3:$Z31,MATCH(A7,Kunjungan!$A$3:$A31,0),MATCH("Grand Total",Kunjungan!$B$2:$Z$2,0)),0)</f>
        <v>0</v>
      </c>
      <c r="F7" s="18">
        <f t="array" ref="F7">_xlfn.XLOOKUP(A7,Keuangan!$A$2:$A31,Keuangan!$B$2:$B31,0)</f>
        <v>0</v>
      </c>
      <c r="G7" s="18">
        <f t="array" ref="G7">_xlfn.XLOOKUP(A7,Keuangan!$A$2:$A31,Keuangan!$C$2:$C31,0)</f>
        <v>0</v>
      </c>
      <c r="H7" s="18">
        <f t="array" ref="H7">_xlfn.XLOOKUP(A7,Keuangan!$A$2:$A31,Keuangan!$D$2:$D31,0)</f>
        <v>0</v>
      </c>
      <c r="I7" s="18">
        <f t="array" ref="I7">_xlfn.XLOOKUP(A7,Keuangan!$A$2:$A31,Keuangan!$E$2:$E31,0)</f>
        <v>0</v>
      </c>
      <c r="J7" s="18">
        <f t="array" ref="J7">_xlfn.XLOOKUP(A7,Keuangan!$A$2:$A31,Keuangan!$F$2:$F31,0)</f>
        <v>0</v>
      </c>
      <c r="K7" s="16">
        <f t="array" ref="K7">_xlfn.XLOOKUP(A7,'Rujukan SM'!$A$2:$A31,'Rujukan SM'!$B$2:$B31,0,0,1)</f>
        <v>0</v>
      </c>
      <c r="L7" s="12">
        <v>0.0</v>
      </c>
    </row>
    <row r="8">
      <c r="A8" s="11" t="s">
        <v>10</v>
      </c>
      <c r="B8" s="24">
        <v>20.0</v>
      </c>
      <c r="C8" s="24">
        <v>1.0</v>
      </c>
      <c r="D8" s="12">
        <v>0.0</v>
      </c>
      <c r="E8" s="16">
        <f t="array" ref="E8">IFNA(INDEX(Kunjungan!$B$3:$Z31,MATCH(A8,Kunjungan!$A$3:$A31,0),MATCH("Grand Total",Kunjungan!$B$2:$Z$2,0)),0)</f>
        <v>0</v>
      </c>
      <c r="F8" s="18">
        <f t="array" ref="F8">_xlfn.XLOOKUP(A8,Keuangan!$A$2:$A31,Keuangan!$B$2:$B31,0)</f>
        <v>0</v>
      </c>
      <c r="G8" s="18">
        <f t="array" ref="G8">_xlfn.XLOOKUP(A8,Keuangan!$A$2:$A31,Keuangan!$C$2:$C31,0)</f>
        <v>0</v>
      </c>
      <c r="H8" s="18">
        <f t="array" ref="H8">_xlfn.XLOOKUP(A8,Keuangan!$A$2:$A31,Keuangan!$D$2:$D31,0)</f>
        <v>0</v>
      </c>
      <c r="I8" s="18">
        <f t="array" ref="I8">_xlfn.XLOOKUP(A8,Keuangan!$A$2:$A31,Keuangan!$E$2:$E31,0)</f>
        <v>0</v>
      </c>
      <c r="J8" s="18">
        <f t="array" ref="J8">_xlfn.XLOOKUP(A8,Keuangan!$A$2:$A31,Keuangan!$F$2:$F31,0)</f>
        <v>0</v>
      </c>
      <c r="K8" s="16">
        <f t="array" ref="K8">_xlfn.XLOOKUP(A8,'Rujukan SM'!$A$2:$A31,'Rujukan SM'!$B$2:$B31,0,0,1)</f>
        <v>0</v>
      </c>
      <c r="L8" s="12">
        <v>0.0</v>
      </c>
    </row>
    <row r="9">
      <c r="A9" s="11" t="s">
        <v>2</v>
      </c>
      <c r="B9" s="24">
        <v>23.0</v>
      </c>
      <c r="C9" s="24">
        <v>0.0</v>
      </c>
      <c r="D9" s="12">
        <v>0.0</v>
      </c>
      <c r="E9" s="16">
        <f t="array" ref="E9">IFNA(INDEX(Kunjungan!$B$3:$Z31,MATCH(A9,Kunjungan!$A$3:$A31,0),MATCH("Grand Total",Kunjungan!$B$2:$Z$2,0)),0)</f>
        <v>0</v>
      </c>
      <c r="F9" s="18">
        <f t="array" ref="F9">_xlfn.XLOOKUP(A9,Keuangan!$A$2:$A31,Keuangan!$B$2:$B31,0)</f>
        <v>0</v>
      </c>
      <c r="G9" s="18">
        <f t="array" ref="G9">_xlfn.XLOOKUP(A9,Keuangan!$A$2:$A31,Keuangan!$C$2:$C31,0)</f>
        <v>0</v>
      </c>
      <c r="H9" s="18">
        <f t="array" ref="H9">_xlfn.XLOOKUP(A9,Keuangan!$A$2:$A31,Keuangan!$D$2:$D31,0)</f>
        <v>0</v>
      </c>
      <c r="I9" s="18">
        <f t="array" ref="I9">_xlfn.XLOOKUP(A9,Keuangan!$A$2:$A31,Keuangan!$E$2:$E31,0)</f>
        <v>0</v>
      </c>
      <c r="J9" s="18">
        <f t="array" ref="J9">_xlfn.XLOOKUP(A9,Keuangan!$A$2:$A31,Keuangan!$F$2:$F31,0)</f>
        <v>0</v>
      </c>
      <c r="K9" s="16">
        <f t="array" ref="K9">_xlfn.XLOOKUP(A9,'Rujukan SM'!$A$2:$A31,'Rujukan SM'!$B$2:$B31,0,0,1)</f>
        <v>0</v>
      </c>
      <c r="L9" s="12">
        <v>0.0</v>
      </c>
    </row>
    <row r="10">
      <c r="A10" s="11" t="s">
        <v>3</v>
      </c>
      <c r="B10" s="24">
        <v>23.0</v>
      </c>
      <c r="C10" s="24">
        <v>0.0</v>
      </c>
      <c r="D10" s="12">
        <v>0.0</v>
      </c>
      <c r="E10" s="16">
        <f t="array" ref="E10">IFNA(INDEX(Kunjungan!$B$3:$Z31,MATCH(A10,Kunjungan!$A$3:$A31,0),MATCH("Grand Total",Kunjungan!$B$2:$Z$2,0)),0)</f>
        <v>0</v>
      </c>
      <c r="F10" s="18">
        <f t="array" ref="F10">_xlfn.XLOOKUP(A10,Keuangan!$A$2:$A31,Keuangan!$B$2:$B31,0)</f>
        <v>0</v>
      </c>
      <c r="G10" s="18">
        <f t="array" ref="G10">_xlfn.XLOOKUP(A10,Keuangan!$A$2:$A31,Keuangan!$C$2:$C31,0)</f>
        <v>0</v>
      </c>
      <c r="H10" s="18">
        <f t="array" ref="H10">_xlfn.XLOOKUP(A10,Keuangan!$A$2:$A31,Keuangan!$D$2:$D31,0)</f>
        <v>0</v>
      </c>
      <c r="I10" s="18">
        <f t="array" ref="I10">_xlfn.XLOOKUP(A10,Keuangan!$A$2:$A31,Keuangan!$E$2:$E31,0)</f>
        <v>0</v>
      </c>
      <c r="J10" s="18">
        <f t="array" ref="J10">_xlfn.XLOOKUP(A10,Keuangan!$A$2:$A31,Keuangan!$F$2:$F31,0)</f>
        <v>0</v>
      </c>
      <c r="K10" s="16">
        <f t="array" ref="K10">_xlfn.XLOOKUP(A10,'Rujukan SM'!$A$2:$A31,'Rujukan SM'!$B$2:$B31,0,0,1)</f>
        <v>0</v>
      </c>
      <c r="L10" s="12">
        <v>0.0</v>
      </c>
    </row>
    <row r="11">
      <c r="A11" s="11" t="s">
        <v>9</v>
      </c>
      <c r="B11" s="24">
        <v>20.0</v>
      </c>
      <c r="C11" s="24">
        <v>0.0</v>
      </c>
      <c r="D11" s="12">
        <v>0.0</v>
      </c>
      <c r="E11" s="16">
        <f t="array" ref="E11">IFNA(INDEX(Kunjungan!$B$3:$Z31,MATCH(A11,Kunjungan!$A$3:$A31,0),MATCH("Grand Total",Kunjungan!$B$2:$Z$2,0)),0)</f>
        <v>0</v>
      </c>
      <c r="F11" s="18">
        <f t="array" ref="F11">_xlfn.XLOOKUP(A11,Keuangan!$A$2:$A31,Keuangan!$B$2:$B31,0)</f>
        <v>0</v>
      </c>
      <c r="G11" s="18">
        <f t="array" ref="G11">_xlfn.XLOOKUP(A11,Keuangan!$A$2:$A31,Keuangan!$C$2:$C31,0)</f>
        <v>0</v>
      </c>
      <c r="H11" s="18">
        <f t="array" ref="H11">_xlfn.XLOOKUP(A11,Keuangan!$A$2:$A31,Keuangan!$D$2:$D31,0)</f>
        <v>0</v>
      </c>
      <c r="I11" s="18">
        <f t="array" ref="I11">_xlfn.XLOOKUP(A11,Keuangan!$A$2:$A31,Keuangan!$E$2:$E31,0)</f>
        <v>0</v>
      </c>
      <c r="J11" s="18">
        <f t="array" ref="J11">_xlfn.XLOOKUP(A11,Keuangan!$A$2:$A31,Keuangan!$F$2:$F31,0)</f>
        <v>0</v>
      </c>
      <c r="K11" s="16">
        <f t="array" ref="K11">_xlfn.XLOOKUP(A11,'Rujukan SM'!$A$2:$A31,'Rujukan SM'!$B$2:$B31,0,0,1)</f>
        <v>0</v>
      </c>
      <c r="L11" s="12">
        <v>0.0</v>
      </c>
    </row>
    <row r="12">
      <c r="A12" s="11" t="s">
        <v>11</v>
      </c>
      <c r="B12" s="24">
        <v>19.0</v>
      </c>
      <c r="C12" s="24">
        <v>2.0</v>
      </c>
      <c r="D12" s="12">
        <v>1.0</v>
      </c>
      <c r="E12" s="16">
        <f t="array" ref="E12">IFNA(INDEX(Kunjungan!$B$3:$Z31,MATCH(A12,Kunjungan!$A$3:$A31,0),MATCH("Grand Total",Kunjungan!$B$2:$Z$2,0)),0)</f>
        <v>0</v>
      </c>
      <c r="F12" s="18">
        <f t="array" ref="F12">_xlfn.XLOOKUP(A12,Keuangan!$A$2:$A31,Keuangan!$B$2:$B31,0)</f>
        <v>0</v>
      </c>
      <c r="G12" s="18">
        <f t="array" ref="G12">_xlfn.XLOOKUP(A12,Keuangan!$A$2:$A31,Keuangan!$C$2:$C31,0)</f>
        <v>0</v>
      </c>
      <c r="H12" s="18">
        <f t="array" ref="H12">_xlfn.XLOOKUP(A12,Keuangan!$A$2:$A31,Keuangan!$D$2:$D31,0)</f>
        <v>0</v>
      </c>
      <c r="I12" s="18">
        <f t="array" ref="I12">_xlfn.XLOOKUP(A12,Keuangan!$A$2:$A31,Keuangan!$E$2:$E31,0)</f>
        <v>0</v>
      </c>
      <c r="J12" s="18">
        <f t="array" ref="J12">_xlfn.XLOOKUP(A12,Keuangan!$A$2:$A31,Keuangan!$F$2:$F31,0)</f>
        <v>0</v>
      </c>
      <c r="K12" s="16">
        <f t="array" ref="K12">_xlfn.XLOOKUP(A12,'Rujukan SM'!$A$2:$A31,'Rujukan SM'!$B$2:$B31,0,0,1)</f>
        <v>0</v>
      </c>
      <c r="L12" s="12">
        <v>0.0</v>
      </c>
    </row>
    <row r="13">
      <c r="A13" s="11" t="s">
        <v>8</v>
      </c>
      <c r="B13" s="24">
        <v>21.0</v>
      </c>
      <c r="C13" s="24">
        <v>0.0</v>
      </c>
      <c r="D13" s="12">
        <v>0.0</v>
      </c>
      <c r="E13" s="16">
        <f t="array" ref="E13">IFNA(INDEX(Kunjungan!$B$3:$Z31,MATCH(A13,Kunjungan!$A$3:$A31,0),MATCH("Grand Total",Kunjungan!$B$2:$Z$2,0)),0)</f>
        <v>0</v>
      </c>
      <c r="F13" s="18">
        <f t="array" ref="F13">_xlfn.XLOOKUP(A13,Keuangan!$A$2:$A31,Keuangan!$B$2:$B31,0)</f>
        <v>0</v>
      </c>
      <c r="G13" s="18">
        <f t="array" ref="G13">_xlfn.XLOOKUP(A13,Keuangan!$A$2:$A31,Keuangan!$C$2:$C31,0)</f>
        <v>0</v>
      </c>
      <c r="H13" s="18">
        <f t="array" ref="H13">_xlfn.XLOOKUP(A13,Keuangan!$A$2:$A31,Keuangan!$D$2:$D31,0)</f>
        <v>0</v>
      </c>
      <c r="I13" s="18">
        <f t="array" ref="I13">_xlfn.XLOOKUP(A13,Keuangan!$A$2:$A31,Keuangan!$E$2:$E31,0)</f>
        <v>0</v>
      </c>
      <c r="J13" s="18">
        <f t="array" ref="J13">_xlfn.XLOOKUP(A13,Keuangan!$A$2:$A31,Keuangan!$F$2:$F31,0)</f>
        <v>0</v>
      </c>
      <c r="K13" s="16">
        <f t="array" ref="K13">_xlfn.XLOOKUP(A13,'Rujukan SM'!$A$2:$A31,'Rujukan SM'!$B$2:$B31,0,0,1)</f>
        <v>0</v>
      </c>
      <c r="L13" s="12">
        <v>0.0</v>
      </c>
    </row>
    <row r="14">
      <c r="A14" s="11" t="s">
        <v>5</v>
      </c>
      <c r="B14" s="24">
        <v>21.0</v>
      </c>
      <c r="C14" s="24">
        <v>0.0</v>
      </c>
      <c r="D14" s="12">
        <v>0.0</v>
      </c>
      <c r="E14" s="16">
        <f t="array" ref="E14">IFNA(INDEX(Kunjungan!$B$3:$Z31,MATCH(A14,Kunjungan!$A$3:$A31,0),MATCH("Grand Total",Kunjungan!$B$2:$Z$2,0)),0)</f>
        <v>0</v>
      </c>
      <c r="F14" s="18">
        <f t="array" ref="F14">_xlfn.XLOOKUP(A14,Keuangan!$A$2:$A31,Keuangan!$B$2:$B31,0)</f>
        <v>0</v>
      </c>
      <c r="G14" s="18">
        <f t="array" ref="G14">_xlfn.XLOOKUP(A14,Keuangan!$A$2:$A31,Keuangan!$C$2:$C31,0)</f>
        <v>0</v>
      </c>
      <c r="H14" s="18">
        <f t="array" ref="H14">_xlfn.XLOOKUP(A14,Keuangan!$A$2:$A31,Keuangan!$D$2:$D31,0)</f>
        <v>0</v>
      </c>
      <c r="I14" s="18">
        <f t="array" ref="I14">_xlfn.XLOOKUP(A14,Keuangan!$A$2:$A31,Keuangan!$E$2:$E31,0)</f>
        <v>0</v>
      </c>
      <c r="J14" s="18">
        <f t="array" ref="J14">_xlfn.XLOOKUP(A14,Keuangan!$A$2:$A31,Keuangan!$F$2:$F31,0)</f>
        <v>0</v>
      </c>
      <c r="K14" s="16">
        <f t="array" ref="K14">_xlfn.XLOOKUP(A14,'Rujukan SM'!$A$2:$A31,'Rujukan SM'!$B$2:$B31,0,0,1)</f>
        <v>0</v>
      </c>
      <c r="L14" s="12">
        <v>0.0</v>
      </c>
    </row>
    <row r="15">
      <c r="A15" s="31" t="s">
        <v>40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3" t="s">
        <v>0</v>
      </c>
      <c r="B18" s="7" t="s">
        <v>17</v>
      </c>
      <c r="C18" s="7" t="s">
        <v>18</v>
      </c>
      <c r="D18" s="7" t="s">
        <v>19</v>
      </c>
      <c r="E18" s="8" t="s">
        <v>35</v>
      </c>
      <c r="F18" s="7" t="s">
        <v>21</v>
      </c>
      <c r="G18" s="7" t="s">
        <v>22</v>
      </c>
      <c r="H18" s="9" t="s">
        <v>23</v>
      </c>
      <c r="I18" s="7" t="s">
        <v>24</v>
      </c>
      <c r="J18" s="7" t="s">
        <v>25</v>
      </c>
      <c r="K18" s="9" t="s">
        <v>26</v>
      </c>
      <c r="L18" s="7" t="s">
        <v>27</v>
      </c>
      <c r="M18" s="14" t="s">
        <v>1</v>
      </c>
    </row>
    <row r="19">
      <c r="A19" s="11" t="s">
        <v>6</v>
      </c>
      <c r="B19" s="28">
        <f t="shared" ref="B19:B28" si="2">B5*1</f>
        <v>23</v>
      </c>
      <c r="C19" s="28">
        <f t="shared" ref="C19:C28" si="3">C5*-1</f>
        <v>-2</v>
      </c>
      <c r="D19" s="28">
        <f t="shared" ref="D19:D28" si="4">D5*2</f>
        <v>0</v>
      </c>
      <c r="E19" s="28">
        <f t="shared" ref="E19:E28" si="5">E5*1</f>
        <v>0</v>
      </c>
      <c r="F19" s="28">
        <f t="shared" ref="F19:F28" si="6">F5*3</f>
        <v>0</v>
      </c>
      <c r="G19" s="28">
        <f t="shared" ref="G19:G28" si="7">G5*6</f>
        <v>0</v>
      </c>
      <c r="H19" s="28">
        <f t="shared" ref="H19:H28" si="8">H5*12</f>
        <v>0</v>
      </c>
      <c r="I19" s="28">
        <f t="shared" ref="I19:I28" si="9">I5*2</f>
        <v>0</v>
      </c>
      <c r="J19" s="28">
        <f t="shared" ref="J19:J28" si="10">J5*10</f>
        <v>0</v>
      </c>
      <c r="K19" s="28">
        <f t="shared" ref="K19:L19" si="1">K5*2</f>
        <v>0</v>
      </c>
      <c r="L19" s="28">
        <f t="shared" si="1"/>
        <v>0</v>
      </c>
      <c r="M19" s="22">
        <f t="shared" ref="M19:M28" si="12">sum(B19:L19)</f>
        <v>21</v>
      </c>
    </row>
    <row r="20">
      <c r="A20" s="11" t="s">
        <v>4</v>
      </c>
      <c r="B20" s="28">
        <f t="shared" si="2"/>
        <v>23</v>
      </c>
      <c r="C20" s="28">
        <f t="shared" si="3"/>
        <v>0</v>
      </c>
      <c r="D20" s="28">
        <f t="shared" si="4"/>
        <v>0</v>
      </c>
      <c r="E20" s="28">
        <f t="shared" si="5"/>
        <v>0</v>
      </c>
      <c r="F20" s="28">
        <f t="shared" si="6"/>
        <v>0</v>
      </c>
      <c r="G20" s="28">
        <f t="shared" si="7"/>
        <v>0</v>
      </c>
      <c r="H20" s="28">
        <f t="shared" si="8"/>
        <v>0</v>
      </c>
      <c r="I20" s="28">
        <f t="shared" si="9"/>
        <v>0</v>
      </c>
      <c r="J20" s="28">
        <f t="shared" si="10"/>
        <v>0</v>
      </c>
      <c r="K20" s="28">
        <f t="shared" ref="K20:L20" si="11">K6*2</f>
        <v>0</v>
      </c>
      <c r="L20" s="28">
        <f t="shared" si="11"/>
        <v>0</v>
      </c>
      <c r="M20" s="22">
        <f t="shared" si="12"/>
        <v>23</v>
      </c>
    </row>
    <row r="21">
      <c r="A21" s="11" t="s">
        <v>7</v>
      </c>
      <c r="B21" s="28">
        <f t="shared" si="2"/>
        <v>21</v>
      </c>
      <c r="C21" s="28">
        <f t="shared" si="3"/>
        <v>0</v>
      </c>
      <c r="D21" s="28">
        <f t="shared" si="4"/>
        <v>0</v>
      </c>
      <c r="E21" s="28">
        <f t="shared" si="5"/>
        <v>0</v>
      </c>
      <c r="F21" s="28">
        <f t="shared" si="6"/>
        <v>0</v>
      </c>
      <c r="G21" s="28">
        <f t="shared" si="7"/>
        <v>0</v>
      </c>
      <c r="H21" s="28">
        <f t="shared" si="8"/>
        <v>0</v>
      </c>
      <c r="I21" s="28">
        <f t="shared" si="9"/>
        <v>0</v>
      </c>
      <c r="J21" s="28">
        <f t="shared" si="10"/>
        <v>0</v>
      </c>
      <c r="K21" s="28">
        <f t="shared" ref="K21:L21" si="13">K7*2</f>
        <v>0</v>
      </c>
      <c r="L21" s="28">
        <f t="shared" si="13"/>
        <v>0</v>
      </c>
      <c r="M21" s="22">
        <f t="shared" si="12"/>
        <v>21</v>
      </c>
    </row>
    <row r="22">
      <c r="A22" s="11" t="s">
        <v>10</v>
      </c>
      <c r="B22" s="28">
        <f t="shared" si="2"/>
        <v>20</v>
      </c>
      <c r="C22" s="28">
        <f t="shared" si="3"/>
        <v>-1</v>
      </c>
      <c r="D22" s="28">
        <f t="shared" si="4"/>
        <v>0</v>
      </c>
      <c r="E22" s="28">
        <f t="shared" si="5"/>
        <v>0</v>
      </c>
      <c r="F22" s="28">
        <f t="shared" si="6"/>
        <v>0</v>
      </c>
      <c r="G22" s="28">
        <f t="shared" si="7"/>
        <v>0</v>
      </c>
      <c r="H22" s="28">
        <f t="shared" si="8"/>
        <v>0</v>
      </c>
      <c r="I22" s="28">
        <f t="shared" si="9"/>
        <v>0</v>
      </c>
      <c r="J22" s="28">
        <f t="shared" si="10"/>
        <v>0</v>
      </c>
      <c r="K22" s="28">
        <f t="shared" ref="K22:L22" si="14">K8*2</f>
        <v>0</v>
      </c>
      <c r="L22" s="28">
        <f t="shared" si="14"/>
        <v>0</v>
      </c>
      <c r="M22" s="22">
        <f t="shared" si="12"/>
        <v>19</v>
      </c>
    </row>
    <row r="23">
      <c r="A23" s="11" t="s">
        <v>2</v>
      </c>
      <c r="B23" s="28">
        <f t="shared" si="2"/>
        <v>23</v>
      </c>
      <c r="C23" s="28">
        <f t="shared" si="3"/>
        <v>0</v>
      </c>
      <c r="D23" s="28">
        <f t="shared" si="4"/>
        <v>0</v>
      </c>
      <c r="E23" s="28">
        <f t="shared" si="5"/>
        <v>0</v>
      </c>
      <c r="F23" s="28">
        <f t="shared" si="6"/>
        <v>0</v>
      </c>
      <c r="G23" s="28">
        <f t="shared" si="7"/>
        <v>0</v>
      </c>
      <c r="H23" s="28">
        <f t="shared" si="8"/>
        <v>0</v>
      </c>
      <c r="I23" s="28">
        <f t="shared" si="9"/>
        <v>0</v>
      </c>
      <c r="J23" s="28">
        <f t="shared" si="10"/>
        <v>0</v>
      </c>
      <c r="K23" s="28">
        <f t="shared" ref="K23:L23" si="15">K9*2</f>
        <v>0</v>
      </c>
      <c r="L23" s="28">
        <f t="shared" si="15"/>
        <v>0</v>
      </c>
      <c r="M23" s="22">
        <f t="shared" si="12"/>
        <v>23</v>
      </c>
    </row>
    <row r="24">
      <c r="A24" s="11" t="s">
        <v>3</v>
      </c>
      <c r="B24" s="28">
        <f t="shared" si="2"/>
        <v>23</v>
      </c>
      <c r="C24" s="28">
        <f t="shared" si="3"/>
        <v>0</v>
      </c>
      <c r="D24" s="28">
        <f t="shared" si="4"/>
        <v>0</v>
      </c>
      <c r="E24" s="28">
        <f t="shared" si="5"/>
        <v>0</v>
      </c>
      <c r="F24" s="28">
        <f t="shared" si="6"/>
        <v>0</v>
      </c>
      <c r="G24" s="28">
        <f t="shared" si="7"/>
        <v>0</v>
      </c>
      <c r="H24" s="28">
        <f t="shared" si="8"/>
        <v>0</v>
      </c>
      <c r="I24" s="28">
        <f t="shared" si="9"/>
        <v>0</v>
      </c>
      <c r="J24" s="28">
        <f t="shared" si="10"/>
        <v>0</v>
      </c>
      <c r="K24" s="28">
        <f t="shared" ref="K24:L24" si="16">K10*2</f>
        <v>0</v>
      </c>
      <c r="L24" s="28">
        <f t="shared" si="16"/>
        <v>0</v>
      </c>
      <c r="M24" s="22">
        <f t="shared" si="12"/>
        <v>23</v>
      </c>
    </row>
    <row r="25">
      <c r="A25" s="11" t="s">
        <v>9</v>
      </c>
      <c r="B25" s="28">
        <f t="shared" si="2"/>
        <v>20</v>
      </c>
      <c r="C25" s="28">
        <f t="shared" si="3"/>
        <v>0</v>
      </c>
      <c r="D25" s="28">
        <f t="shared" si="4"/>
        <v>0</v>
      </c>
      <c r="E25" s="28">
        <f t="shared" si="5"/>
        <v>0</v>
      </c>
      <c r="F25" s="28">
        <f t="shared" si="6"/>
        <v>0</v>
      </c>
      <c r="G25" s="28">
        <f t="shared" si="7"/>
        <v>0</v>
      </c>
      <c r="H25" s="28">
        <f t="shared" si="8"/>
        <v>0</v>
      </c>
      <c r="I25" s="28">
        <f t="shared" si="9"/>
        <v>0</v>
      </c>
      <c r="J25" s="28">
        <f t="shared" si="10"/>
        <v>0</v>
      </c>
      <c r="K25" s="28">
        <f t="shared" ref="K25:L25" si="17">K11*2</f>
        <v>0</v>
      </c>
      <c r="L25" s="28">
        <f t="shared" si="17"/>
        <v>0</v>
      </c>
      <c r="M25" s="22">
        <f t="shared" si="12"/>
        <v>20</v>
      </c>
    </row>
    <row r="26">
      <c r="A26" s="11" t="s">
        <v>11</v>
      </c>
      <c r="B26" s="28">
        <f t="shared" si="2"/>
        <v>19</v>
      </c>
      <c r="C26" s="28">
        <f t="shared" si="3"/>
        <v>-2</v>
      </c>
      <c r="D26" s="28">
        <f t="shared" si="4"/>
        <v>2</v>
      </c>
      <c r="E26" s="28">
        <f t="shared" si="5"/>
        <v>0</v>
      </c>
      <c r="F26" s="28">
        <f t="shared" si="6"/>
        <v>0</v>
      </c>
      <c r="G26" s="28">
        <f t="shared" si="7"/>
        <v>0</v>
      </c>
      <c r="H26" s="28">
        <f t="shared" si="8"/>
        <v>0</v>
      </c>
      <c r="I26" s="28">
        <f t="shared" si="9"/>
        <v>0</v>
      </c>
      <c r="J26" s="28">
        <f t="shared" si="10"/>
        <v>0</v>
      </c>
      <c r="K26" s="28">
        <f t="shared" ref="K26:L26" si="18">K12*2</f>
        <v>0</v>
      </c>
      <c r="L26" s="28">
        <f t="shared" si="18"/>
        <v>0</v>
      </c>
      <c r="M26" s="22">
        <f t="shared" si="12"/>
        <v>19</v>
      </c>
    </row>
    <row r="27">
      <c r="A27" s="11" t="s">
        <v>8</v>
      </c>
      <c r="B27" s="28">
        <f t="shared" si="2"/>
        <v>21</v>
      </c>
      <c r="C27" s="28">
        <f t="shared" si="3"/>
        <v>0</v>
      </c>
      <c r="D27" s="28">
        <f t="shared" si="4"/>
        <v>0</v>
      </c>
      <c r="E27" s="28">
        <f t="shared" si="5"/>
        <v>0</v>
      </c>
      <c r="F27" s="28">
        <f t="shared" si="6"/>
        <v>0</v>
      </c>
      <c r="G27" s="28">
        <f t="shared" si="7"/>
        <v>0</v>
      </c>
      <c r="H27" s="28">
        <f t="shared" si="8"/>
        <v>0</v>
      </c>
      <c r="I27" s="28">
        <f t="shared" si="9"/>
        <v>0</v>
      </c>
      <c r="J27" s="28">
        <f t="shared" si="10"/>
        <v>0</v>
      </c>
      <c r="K27" s="28">
        <f t="shared" ref="K27:L27" si="19">K13*2</f>
        <v>0</v>
      </c>
      <c r="L27" s="28">
        <f t="shared" si="19"/>
        <v>0</v>
      </c>
      <c r="M27" s="22">
        <f t="shared" si="12"/>
        <v>21</v>
      </c>
    </row>
    <row r="28">
      <c r="A28" s="11" t="s">
        <v>5</v>
      </c>
      <c r="B28" s="28">
        <f t="shared" si="2"/>
        <v>21</v>
      </c>
      <c r="C28" s="28">
        <f t="shared" si="3"/>
        <v>0</v>
      </c>
      <c r="D28" s="28">
        <f t="shared" si="4"/>
        <v>0</v>
      </c>
      <c r="E28" s="28">
        <f t="shared" si="5"/>
        <v>0</v>
      </c>
      <c r="F28" s="28">
        <f t="shared" si="6"/>
        <v>0</v>
      </c>
      <c r="G28" s="28">
        <f t="shared" si="7"/>
        <v>0</v>
      </c>
      <c r="H28" s="28">
        <f t="shared" si="8"/>
        <v>0</v>
      </c>
      <c r="I28" s="28">
        <f t="shared" si="9"/>
        <v>0</v>
      </c>
      <c r="J28" s="28">
        <f t="shared" si="10"/>
        <v>0</v>
      </c>
      <c r="K28" s="28">
        <f t="shared" ref="K28:L28" si="20">K14*2</f>
        <v>0</v>
      </c>
      <c r="L28" s="28">
        <f t="shared" si="20"/>
        <v>0</v>
      </c>
      <c r="M28" s="22">
        <f t="shared" si="12"/>
        <v>21</v>
      </c>
    </row>
    <row r="29">
      <c r="A29" s="31" t="s">
        <v>42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18" width="11.38"/>
  </cols>
  <sheetData>
    <row r="1">
      <c r="A1" s="4" t="s">
        <v>14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A4" s="7" t="s">
        <v>16</v>
      </c>
      <c r="B4" s="7" t="s">
        <v>0</v>
      </c>
      <c r="C4" s="7" t="s">
        <v>17</v>
      </c>
      <c r="D4" s="7" t="s">
        <v>18</v>
      </c>
      <c r="E4" s="7" t="s">
        <v>19</v>
      </c>
      <c r="F4" s="8" t="s">
        <v>20</v>
      </c>
      <c r="G4" s="7" t="s">
        <v>21</v>
      </c>
      <c r="H4" s="7" t="s">
        <v>22</v>
      </c>
      <c r="I4" s="9" t="s">
        <v>23</v>
      </c>
      <c r="J4" s="7" t="s">
        <v>24</v>
      </c>
      <c r="K4" s="7" t="s">
        <v>25</v>
      </c>
      <c r="L4" s="9" t="s">
        <v>26</v>
      </c>
      <c r="M4" s="7" t="s">
        <v>27</v>
      </c>
      <c r="N4" s="7" t="s">
        <v>29</v>
      </c>
      <c r="O4" s="7" t="s">
        <v>30</v>
      </c>
      <c r="P4" s="7" t="s">
        <v>31</v>
      </c>
      <c r="Q4" s="7" t="s">
        <v>32</v>
      </c>
      <c r="R4" s="7" t="s">
        <v>33</v>
      </c>
      <c r="S4" s="14" t="s">
        <v>34</v>
      </c>
      <c r="T4" s="10"/>
    </row>
    <row r="5">
      <c r="A5" s="15" t="s">
        <v>36</v>
      </c>
      <c r="B5" s="11" t="s">
        <v>6</v>
      </c>
      <c r="C5" s="12">
        <v>25.0</v>
      </c>
      <c r="D5" s="12">
        <v>1.0</v>
      </c>
      <c r="E5" s="12">
        <v>0.0</v>
      </c>
      <c r="F5" s="17">
        <v>91.0</v>
      </c>
      <c r="G5" s="17">
        <v>8.0</v>
      </c>
      <c r="H5" s="17">
        <v>2.0</v>
      </c>
      <c r="I5" s="17">
        <v>0.0</v>
      </c>
      <c r="J5" s="19">
        <v>0.0</v>
      </c>
      <c r="K5" s="19">
        <v>1.0</v>
      </c>
      <c r="L5" s="19"/>
      <c r="M5" s="19">
        <v>0.0</v>
      </c>
      <c r="N5" s="20">
        <v>25.0</v>
      </c>
      <c r="O5" s="23">
        <f t="shared" ref="O5:O100" si="1">C5/N5</f>
        <v>1</v>
      </c>
      <c r="P5" s="23">
        <f t="shared" ref="P5:P100" si="2">(N5-D5)/N5</f>
        <v>0.96</v>
      </c>
      <c r="Q5" s="26">
        <f t="shared" ref="Q5:Q100" si="3">F5/C5</f>
        <v>3.64</v>
      </c>
      <c r="R5" s="26">
        <f t="shared" ref="R5:R100" si="4">sum(G5:I5)/C5</f>
        <v>0.4</v>
      </c>
      <c r="S5" s="27">
        <f t="shared" ref="S5:S100" si="5">sum(G5:I5)</f>
        <v>10</v>
      </c>
    </row>
    <row r="6">
      <c r="A6" s="15" t="s">
        <v>36</v>
      </c>
      <c r="B6" s="11" t="s">
        <v>38</v>
      </c>
      <c r="C6" s="12">
        <v>25.0</v>
      </c>
      <c r="D6" s="12">
        <v>0.0</v>
      </c>
      <c r="E6" s="12">
        <v>0.0</v>
      </c>
      <c r="F6" s="17">
        <v>0.0</v>
      </c>
      <c r="G6" s="17">
        <v>0.0</v>
      </c>
      <c r="H6" s="17">
        <v>0.0</v>
      </c>
      <c r="I6" s="17">
        <v>0.0</v>
      </c>
      <c r="J6" s="19">
        <v>0.0</v>
      </c>
      <c r="K6" s="19">
        <v>0.0</v>
      </c>
      <c r="L6" s="19"/>
      <c r="M6" s="19">
        <v>0.0</v>
      </c>
      <c r="N6" s="20">
        <v>25.0</v>
      </c>
      <c r="O6" s="23">
        <f t="shared" si="1"/>
        <v>1</v>
      </c>
      <c r="P6" s="23">
        <f t="shared" si="2"/>
        <v>1</v>
      </c>
      <c r="Q6" s="26">
        <f t="shared" si="3"/>
        <v>0</v>
      </c>
      <c r="R6" s="26">
        <f t="shared" si="4"/>
        <v>0</v>
      </c>
      <c r="S6" s="27">
        <f t="shared" si="5"/>
        <v>0</v>
      </c>
    </row>
    <row r="7">
      <c r="A7" s="15" t="s">
        <v>36</v>
      </c>
      <c r="B7" s="11" t="s">
        <v>4</v>
      </c>
      <c r="C7" s="12">
        <v>25.0</v>
      </c>
      <c r="D7" s="12">
        <v>0.0</v>
      </c>
      <c r="E7" s="12">
        <v>0.0</v>
      </c>
      <c r="F7" s="17">
        <v>0.0</v>
      </c>
      <c r="G7" s="17">
        <v>0.0</v>
      </c>
      <c r="H7" s="17">
        <v>0.0</v>
      </c>
      <c r="I7" s="17">
        <v>0.0</v>
      </c>
      <c r="J7" s="19">
        <v>0.0</v>
      </c>
      <c r="K7" s="19">
        <v>0.0</v>
      </c>
      <c r="L7" s="19"/>
      <c r="M7" s="19">
        <v>0.0</v>
      </c>
      <c r="N7" s="20">
        <v>25.0</v>
      </c>
      <c r="O7" s="23">
        <f t="shared" si="1"/>
        <v>1</v>
      </c>
      <c r="P7" s="23">
        <f t="shared" si="2"/>
        <v>1</v>
      </c>
      <c r="Q7" s="26">
        <f t="shared" si="3"/>
        <v>0</v>
      </c>
      <c r="R7" s="26">
        <f t="shared" si="4"/>
        <v>0</v>
      </c>
      <c r="S7" s="27">
        <f t="shared" si="5"/>
        <v>0</v>
      </c>
    </row>
    <row r="8">
      <c r="A8" s="15" t="s">
        <v>36</v>
      </c>
      <c r="B8" s="11" t="s">
        <v>7</v>
      </c>
      <c r="C8" s="12">
        <v>24.0</v>
      </c>
      <c r="D8" s="12">
        <v>0.0</v>
      </c>
      <c r="E8" s="12">
        <v>0.0</v>
      </c>
      <c r="F8" s="17">
        <v>69.0</v>
      </c>
      <c r="G8" s="17">
        <v>8.0</v>
      </c>
      <c r="H8" s="17">
        <v>3.0</v>
      </c>
      <c r="I8" s="17">
        <v>0.0</v>
      </c>
      <c r="J8" s="19">
        <v>6.0</v>
      </c>
      <c r="K8" s="19">
        <v>1.0</v>
      </c>
      <c r="L8" s="19"/>
      <c r="M8" s="19">
        <v>0.0</v>
      </c>
      <c r="N8" s="20">
        <v>25.0</v>
      </c>
      <c r="O8" s="23">
        <f t="shared" si="1"/>
        <v>0.96</v>
      </c>
      <c r="P8" s="23">
        <f t="shared" si="2"/>
        <v>1</v>
      </c>
      <c r="Q8" s="26">
        <f t="shared" si="3"/>
        <v>2.875</v>
      </c>
      <c r="R8" s="26">
        <f t="shared" si="4"/>
        <v>0.4583333333</v>
      </c>
      <c r="S8" s="27">
        <f t="shared" si="5"/>
        <v>11</v>
      </c>
    </row>
    <row r="9">
      <c r="A9" s="15" t="s">
        <v>36</v>
      </c>
      <c r="B9" s="11" t="s">
        <v>10</v>
      </c>
      <c r="C9" s="12">
        <v>25.0</v>
      </c>
      <c r="D9" s="12">
        <v>0.0</v>
      </c>
      <c r="E9" s="12">
        <v>0.0</v>
      </c>
      <c r="F9" s="17">
        <v>79.0</v>
      </c>
      <c r="G9" s="17">
        <v>3.0</v>
      </c>
      <c r="H9" s="17">
        <v>5.0</v>
      </c>
      <c r="I9" s="17">
        <v>0.0</v>
      </c>
      <c r="J9" s="19">
        <v>0.0</v>
      </c>
      <c r="K9" s="19">
        <v>0.0</v>
      </c>
      <c r="L9" s="19"/>
      <c r="M9" s="19">
        <v>0.0</v>
      </c>
      <c r="N9" s="20">
        <v>25.0</v>
      </c>
      <c r="O9" s="23">
        <f t="shared" si="1"/>
        <v>1</v>
      </c>
      <c r="P9" s="23">
        <f t="shared" si="2"/>
        <v>1</v>
      </c>
      <c r="Q9" s="26">
        <f t="shared" si="3"/>
        <v>3.16</v>
      </c>
      <c r="R9" s="26">
        <f t="shared" si="4"/>
        <v>0.32</v>
      </c>
      <c r="S9" s="27">
        <f t="shared" si="5"/>
        <v>8</v>
      </c>
    </row>
    <row r="10">
      <c r="A10" s="15" t="s">
        <v>36</v>
      </c>
      <c r="B10" s="11" t="s">
        <v>2</v>
      </c>
      <c r="C10" s="12">
        <v>25.0</v>
      </c>
      <c r="D10" s="12">
        <v>0.0</v>
      </c>
      <c r="E10" s="12">
        <v>0.0</v>
      </c>
      <c r="F10" s="17">
        <v>100.0</v>
      </c>
      <c r="G10" s="17">
        <v>7.0</v>
      </c>
      <c r="H10" s="17">
        <v>4.0</v>
      </c>
      <c r="I10" s="17">
        <v>0.0</v>
      </c>
      <c r="J10" s="19">
        <v>1.0</v>
      </c>
      <c r="K10" s="19">
        <v>0.0</v>
      </c>
      <c r="L10" s="19"/>
      <c r="M10" s="19">
        <v>1.0</v>
      </c>
      <c r="N10" s="20">
        <v>25.0</v>
      </c>
      <c r="O10" s="23">
        <f t="shared" si="1"/>
        <v>1</v>
      </c>
      <c r="P10" s="23">
        <f t="shared" si="2"/>
        <v>1</v>
      </c>
      <c r="Q10" s="26">
        <f t="shared" si="3"/>
        <v>4</v>
      </c>
      <c r="R10" s="26">
        <f t="shared" si="4"/>
        <v>0.44</v>
      </c>
      <c r="S10" s="27">
        <f t="shared" si="5"/>
        <v>11</v>
      </c>
    </row>
    <row r="11">
      <c r="A11" s="15" t="s">
        <v>36</v>
      </c>
      <c r="B11" s="11" t="s">
        <v>3</v>
      </c>
      <c r="C11" s="12">
        <v>24.0</v>
      </c>
      <c r="D11" s="12">
        <v>1.0</v>
      </c>
      <c r="E11" s="12">
        <v>0.0</v>
      </c>
      <c r="F11" s="17">
        <v>92.0</v>
      </c>
      <c r="G11" s="17">
        <v>8.0</v>
      </c>
      <c r="H11" s="17">
        <v>5.0</v>
      </c>
      <c r="I11" s="17">
        <v>0.0</v>
      </c>
      <c r="J11" s="19">
        <v>0.0</v>
      </c>
      <c r="K11" s="19">
        <v>0.0</v>
      </c>
      <c r="L11" s="19"/>
      <c r="M11" s="19">
        <v>0.0</v>
      </c>
      <c r="N11" s="20">
        <v>25.0</v>
      </c>
      <c r="O11" s="23">
        <f t="shared" si="1"/>
        <v>0.96</v>
      </c>
      <c r="P11" s="23">
        <f t="shared" si="2"/>
        <v>0.96</v>
      </c>
      <c r="Q11" s="26">
        <f t="shared" si="3"/>
        <v>3.833333333</v>
      </c>
      <c r="R11" s="26">
        <f t="shared" si="4"/>
        <v>0.5416666667</v>
      </c>
      <c r="S11" s="27">
        <f t="shared" si="5"/>
        <v>13</v>
      </c>
    </row>
    <row r="12">
      <c r="A12" s="15" t="s">
        <v>36</v>
      </c>
      <c r="B12" s="11" t="s">
        <v>9</v>
      </c>
      <c r="C12" s="12">
        <v>25.0</v>
      </c>
      <c r="D12" s="12">
        <v>0.0</v>
      </c>
      <c r="E12" s="12">
        <v>0.0</v>
      </c>
      <c r="F12" s="17">
        <v>77.0</v>
      </c>
      <c r="G12" s="17">
        <v>8.0</v>
      </c>
      <c r="H12" s="17">
        <v>0.0</v>
      </c>
      <c r="I12" s="17">
        <v>0.0</v>
      </c>
      <c r="J12" s="19">
        <v>1.0</v>
      </c>
      <c r="K12" s="19">
        <v>2.0</v>
      </c>
      <c r="L12" s="19"/>
      <c r="M12" s="19">
        <v>0.0</v>
      </c>
      <c r="N12" s="20">
        <v>25.0</v>
      </c>
      <c r="O12" s="23">
        <f t="shared" si="1"/>
        <v>1</v>
      </c>
      <c r="P12" s="23">
        <f t="shared" si="2"/>
        <v>1</v>
      </c>
      <c r="Q12" s="26">
        <f t="shared" si="3"/>
        <v>3.08</v>
      </c>
      <c r="R12" s="26">
        <f t="shared" si="4"/>
        <v>0.32</v>
      </c>
      <c r="S12" s="27">
        <f t="shared" si="5"/>
        <v>8</v>
      </c>
    </row>
    <row r="13">
      <c r="A13" s="15" t="s">
        <v>36</v>
      </c>
      <c r="B13" s="11" t="s">
        <v>11</v>
      </c>
      <c r="C13" s="12">
        <v>25.0</v>
      </c>
      <c r="D13" s="12">
        <v>0.0</v>
      </c>
      <c r="E13" s="12">
        <v>0.0</v>
      </c>
      <c r="F13" s="17">
        <v>81.0</v>
      </c>
      <c r="G13" s="17">
        <v>9.0</v>
      </c>
      <c r="H13" s="17">
        <v>1.0</v>
      </c>
      <c r="I13" s="17">
        <v>0.0</v>
      </c>
      <c r="J13" s="19">
        <v>0.0</v>
      </c>
      <c r="K13" s="19">
        <v>0.0</v>
      </c>
      <c r="L13" s="19"/>
      <c r="M13" s="19">
        <v>0.0</v>
      </c>
      <c r="N13" s="20">
        <v>25.0</v>
      </c>
      <c r="O13" s="23">
        <f t="shared" si="1"/>
        <v>1</v>
      </c>
      <c r="P13" s="23">
        <f t="shared" si="2"/>
        <v>1</v>
      </c>
      <c r="Q13" s="26">
        <f t="shared" si="3"/>
        <v>3.24</v>
      </c>
      <c r="R13" s="26">
        <f t="shared" si="4"/>
        <v>0.4</v>
      </c>
      <c r="S13" s="27">
        <f t="shared" si="5"/>
        <v>10</v>
      </c>
    </row>
    <row r="14">
      <c r="A14" s="15" t="s">
        <v>36</v>
      </c>
      <c r="B14" s="11" t="s">
        <v>8</v>
      </c>
      <c r="C14" s="12">
        <v>23.0</v>
      </c>
      <c r="D14" s="12">
        <v>0.0</v>
      </c>
      <c r="E14" s="12">
        <v>0.0</v>
      </c>
      <c r="F14" s="17">
        <v>73.0</v>
      </c>
      <c r="G14" s="17">
        <v>7.0</v>
      </c>
      <c r="H14" s="17">
        <v>1.0</v>
      </c>
      <c r="I14" s="17">
        <v>0.0</v>
      </c>
      <c r="J14" s="19">
        <v>0.0</v>
      </c>
      <c r="K14" s="19">
        <v>2.0</v>
      </c>
      <c r="L14" s="19"/>
      <c r="M14" s="19">
        <v>0.0</v>
      </c>
      <c r="N14" s="20">
        <v>25.0</v>
      </c>
      <c r="O14" s="23">
        <f t="shared" si="1"/>
        <v>0.92</v>
      </c>
      <c r="P14" s="23">
        <f t="shared" si="2"/>
        <v>1</v>
      </c>
      <c r="Q14" s="26">
        <f t="shared" si="3"/>
        <v>3.173913043</v>
      </c>
      <c r="R14" s="26">
        <f t="shared" si="4"/>
        <v>0.347826087</v>
      </c>
      <c r="S14" s="27">
        <f t="shared" si="5"/>
        <v>8</v>
      </c>
    </row>
    <row r="15">
      <c r="A15" s="15" t="s">
        <v>36</v>
      </c>
      <c r="B15" s="11" t="s">
        <v>5</v>
      </c>
      <c r="C15" s="12">
        <v>25.0</v>
      </c>
      <c r="D15" s="12">
        <v>0.0</v>
      </c>
      <c r="E15" s="12">
        <v>0.0</v>
      </c>
      <c r="F15" s="17">
        <v>0.0</v>
      </c>
      <c r="G15" s="17">
        <v>0.0</v>
      </c>
      <c r="H15" s="17">
        <v>0.0</v>
      </c>
      <c r="I15" s="17">
        <v>0.0</v>
      </c>
      <c r="J15" s="19">
        <v>0.0</v>
      </c>
      <c r="K15" s="19">
        <v>0.0</v>
      </c>
      <c r="L15" s="19"/>
      <c r="M15" s="19">
        <v>0.0</v>
      </c>
      <c r="N15" s="20">
        <v>25.0</v>
      </c>
      <c r="O15" s="23">
        <f t="shared" si="1"/>
        <v>1</v>
      </c>
      <c r="P15" s="23">
        <f t="shared" si="2"/>
        <v>1</v>
      </c>
      <c r="Q15" s="26">
        <f t="shared" si="3"/>
        <v>0</v>
      </c>
      <c r="R15" s="26">
        <f t="shared" si="4"/>
        <v>0</v>
      </c>
      <c r="S15" s="27">
        <f t="shared" si="5"/>
        <v>0</v>
      </c>
    </row>
    <row r="16">
      <c r="A16" s="15" t="s">
        <v>39</v>
      </c>
      <c r="B16" s="11" t="s">
        <v>6</v>
      </c>
      <c r="C16" s="12">
        <v>25.0</v>
      </c>
      <c r="D16" s="12">
        <v>1.0</v>
      </c>
      <c r="E16" s="12">
        <v>0.0</v>
      </c>
      <c r="F16" s="17">
        <v>72.0</v>
      </c>
      <c r="G16" s="29">
        <v>6.0</v>
      </c>
      <c r="H16" s="29">
        <v>2.0</v>
      </c>
      <c r="I16" s="29">
        <v>1.0</v>
      </c>
      <c r="J16" s="30">
        <v>0.0</v>
      </c>
      <c r="K16" s="30">
        <v>1.0</v>
      </c>
      <c r="L16" s="20"/>
      <c r="M16" s="20">
        <v>3.0</v>
      </c>
      <c r="N16" s="20">
        <v>25.0</v>
      </c>
      <c r="O16" s="23">
        <f t="shared" si="1"/>
        <v>1</v>
      </c>
      <c r="P16" s="23">
        <f t="shared" si="2"/>
        <v>0.96</v>
      </c>
      <c r="Q16" s="26">
        <f t="shared" si="3"/>
        <v>2.88</v>
      </c>
      <c r="R16" s="26">
        <f t="shared" si="4"/>
        <v>0.36</v>
      </c>
      <c r="S16" s="27">
        <f t="shared" si="5"/>
        <v>9</v>
      </c>
    </row>
    <row r="17">
      <c r="A17" s="15" t="s">
        <v>39</v>
      </c>
      <c r="B17" s="11" t="s">
        <v>38</v>
      </c>
      <c r="C17" s="12">
        <v>25.0</v>
      </c>
      <c r="D17" s="12">
        <v>0.0</v>
      </c>
      <c r="E17" s="12">
        <v>0.0</v>
      </c>
      <c r="F17" s="17">
        <v>0.0</v>
      </c>
      <c r="G17" s="29">
        <v>0.0</v>
      </c>
      <c r="H17" s="29">
        <v>0.0</v>
      </c>
      <c r="I17" s="29">
        <v>0.0</v>
      </c>
      <c r="J17" s="30">
        <v>0.0</v>
      </c>
      <c r="K17" s="30">
        <v>0.0</v>
      </c>
      <c r="L17" s="20"/>
      <c r="M17" s="20">
        <v>0.0</v>
      </c>
      <c r="N17" s="20">
        <v>25.0</v>
      </c>
      <c r="O17" s="23">
        <f t="shared" si="1"/>
        <v>1</v>
      </c>
      <c r="P17" s="23">
        <f t="shared" si="2"/>
        <v>1</v>
      </c>
      <c r="Q17" s="26">
        <f t="shared" si="3"/>
        <v>0</v>
      </c>
      <c r="R17" s="26">
        <f t="shared" si="4"/>
        <v>0</v>
      </c>
      <c r="S17" s="27">
        <f t="shared" si="5"/>
        <v>0</v>
      </c>
    </row>
    <row r="18">
      <c r="A18" s="15" t="s">
        <v>39</v>
      </c>
      <c r="B18" s="11" t="s">
        <v>4</v>
      </c>
      <c r="C18" s="12">
        <v>25.0</v>
      </c>
      <c r="D18" s="12">
        <v>0.0</v>
      </c>
      <c r="E18" s="12">
        <v>0.0</v>
      </c>
      <c r="F18" s="17">
        <v>0.0</v>
      </c>
      <c r="G18" s="29">
        <v>0.0</v>
      </c>
      <c r="H18" s="29">
        <v>0.0</v>
      </c>
      <c r="I18" s="29">
        <v>0.0</v>
      </c>
      <c r="J18" s="30">
        <v>0.0</v>
      </c>
      <c r="K18" s="30">
        <v>0.0</v>
      </c>
      <c r="L18" s="20"/>
      <c r="M18" s="20">
        <v>0.0</v>
      </c>
      <c r="N18" s="20">
        <v>25.0</v>
      </c>
      <c r="O18" s="23">
        <f t="shared" si="1"/>
        <v>1</v>
      </c>
      <c r="P18" s="23">
        <f t="shared" si="2"/>
        <v>1</v>
      </c>
      <c r="Q18" s="26">
        <f t="shared" si="3"/>
        <v>0</v>
      </c>
      <c r="R18" s="26">
        <f t="shared" si="4"/>
        <v>0</v>
      </c>
      <c r="S18" s="27">
        <f t="shared" si="5"/>
        <v>0</v>
      </c>
    </row>
    <row r="19">
      <c r="A19" s="15" t="s">
        <v>39</v>
      </c>
      <c r="B19" s="11" t="s">
        <v>7</v>
      </c>
      <c r="C19" s="12">
        <v>25.0</v>
      </c>
      <c r="D19" s="12">
        <v>1.0</v>
      </c>
      <c r="E19" s="12">
        <v>0.0</v>
      </c>
      <c r="F19" s="17">
        <v>82.0</v>
      </c>
      <c r="G19" s="29">
        <v>11.0</v>
      </c>
      <c r="H19" s="29">
        <v>0.0</v>
      </c>
      <c r="I19" s="29">
        <v>0.0</v>
      </c>
      <c r="J19" s="30">
        <v>2.0</v>
      </c>
      <c r="K19" s="30">
        <v>1.0</v>
      </c>
      <c r="L19" s="20"/>
      <c r="M19" s="20">
        <v>3.0</v>
      </c>
      <c r="N19" s="20">
        <v>25.0</v>
      </c>
      <c r="O19" s="23">
        <f t="shared" si="1"/>
        <v>1</v>
      </c>
      <c r="P19" s="23">
        <f t="shared" si="2"/>
        <v>0.96</v>
      </c>
      <c r="Q19" s="26">
        <f t="shared" si="3"/>
        <v>3.28</v>
      </c>
      <c r="R19" s="26">
        <f t="shared" si="4"/>
        <v>0.44</v>
      </c>
      <c r="S19" s="27">
        <f t="shared" si="5"/>
        <v>11</v>
      </c>
    </row>
    <row r="20">
      <c r="A20" s="15" t="s">
        <v>39</v>
      </c>
      <c r="B20" s="11" t="s">
        <v>10</v>
      </c>
      <c r="C20" s="12">
        <v>22.0</v>
      </c>
      <c r="D20" s="12">
        <v>5.0</v>
      </c>
      <c r="E20" s="12">
        <v>0.0</v>
      </c>
      <c r="F20" s="17">
        <v>65.0</v>
      </c>
      <c r="G20" s="29">
        <v>3.0</v>
      </c>
      <c r="H20" s="29">
        <v>3.0</v>
      </c>
      <c r="I20" s="29">
        <v>0.0</v>
      </c>
      <c r="J20" s="30">
        <v>8.0</v>
      </c>
      <c r="K20" s="30">
        <v>0.0</v>
      </c>
      <c r="L20" s="20"/>
      <c r="M20" s="20">
        <v>3.0</v>
      </c>
      <c r="N20" s="20">
        <v>25.0</v>
      </c>
      <c r="O20" s="23">
        <f t="shared" si="1"/>
        <v>0.88</v>
      </c>
      <c r="P20" s="23">
        <f t="shared" si="2"/>
        <v>0.8</v>
      </c>
      <c r="Q20" s="26">
        <f t="shared" si="3"/>
        <v>2.954545455</v>
      </c>
      <c r="R20" s="26">
        <f t="shared" si="4"/>
        <v>0.2727272727</v>
      </c>
      <c r="S20" s="27">
        <f t="shared" si="5"/>
        <v>6</v>
      </c>
    </row>
    <row r="21">
      <c r="A21" s="15" t="s">
        <v>39</v>
      </c>
      <c r="B21" s="11" t="s">
        <v>2</v>
      </c>
      <c r="C21" s="12">
        <v>25.0</v>
      </c>
      <c r="D21" s="12">
        <v>0.0</v>
      </c>
      <c r="E21" s="12">
        <v>0.0</v>
      </c>
      <c r="F21" s="17">
        <v>98.0</v>
      </c>
      <c r="G21" s="29">
        <v>9.0</v>
      </c>
      <c r="H21" s="29">
        <v>6.0</v>
      </c>
      <c r="I21" s="29">
        <v>0.0</v>
      </c>
      <c r="J21" s="30">
        <v>1.0</v>
      </c>
      <c r="K21" s="30">
        <v>2.0</v>
      </c>
      <c r="L21" s="20"/>
      <c r="M21" s="20">
        <v>3.0</v>
      </c>
      <c r="N21" s="20">
        <v>25.0</v>
      </c>
      <c r="O21" s="23">
        <f t="shared" si="1"/>
        <v>1</v>
      </c>
      <c r="P21" s="23">
        <f t="shared" si="2"/>
        <v>1</v>
      </c>
      <c r="Q21" s="26">
        <f t="shared" si="3"/>
        <v>3.92</v>
      </c>
      <c r="R21" s="26">
        <f t="shared" si="4"/>
        <v>0.6</v>
      </c>
      <c r="S21" s="27">
        <f t="shared" si="5"/>
        <v>15</v>
      </c>
    </row>
    <row r="22">
      <c r="A22" s="15" t="s">
        <v>39</v>
      </c>
      <c r="B22" s="11" t="s">
        <v>3</v>
      </c>
      <c r="C22" s="12">
        <v>25.0</v>
      </c>
      <c r="D22" s="12">
        <v>1.0</v>
      </c>
      <c r="E22" s="12">
        <v>0.0</v>
      </c>
      <c r="F22" s="17">
        <v>81.0</v>
      </c>
      <c r="G22" s="29">
        <v>4.0</v>
      </c>
      <c r="H22" s="29">
        <v>0.0</v>
      </c>
      <c r="I22" s="29">
        <v>0.0</v>
      </c>
      <c r="J22" s="30">
        <v>2.0</v>
      </c>
      <c r="K22" s="30">
        <v>0.0</v>
      </c>
      <c r="L22" s="20"/>
      <c r="M22" s="20">
        <v>3.0</v>
      </c>
      <c r="N22" s="20">
        <v>25.0</v>
      </c>
      <c r="O22" s="23">
        <f t="shared" si="1"/>
        <v>1</v>
      </c>
      <c r="P22" s="23">
        <f t="shared" si="2"/>
        <v>0.96</v>
      </c>
      <c r="Q22" s="26">
        <f t="shared" si="3"/>
        <v>3.24</v>
      </c>
      <c r="R22" s="26">
        <f t="shared" si="4"/>
        <v>0.16</v>
      </c>
      <c r="S22" s="27">
        <f t="shared" si="5"/>
        <v>4</v>
      </c>
    </row>
    <row r="23">
      <c r="A23" s="15" t="s">
        <v>39</v>
      </c>
      <c r="B23" s="11" t="s">
        <v>9</v>
      </c>
      <c r="C23" s="12">
        <v>25.0</v>
      </c>
      <c r="D23" s="12">
        <v>1.0</v>
      </c>
      <c r="E23" s="12">
        <v>0.0</v>
      </c>
      <c r="F23" s="17">
        <v>75.0</v>
      </c>
      <c r="G23" s="29">
        <v>8.0</v>
      </c>
      <c r="H23" s="29">
        <v>2.0</v>
      </c>
      <c r="I23" s="29">
        <v>0.0</v>
      </c>
      <c r="J23" s="30">
        <v>3.0</v>
      </c>
      <c r="K23" s="30">
        <v>2.0</v>
      </c>
      <c r="L23" s="20"/>
      <c r="M23" s="20">
        <v>3.0</v>
      </c>
      <c r="N23" s="20">
        <v>25.0</v>
      </c>
      <c r="O23" s="23">
        <f t="shared" si="1"/>
        <v>1</v>
      </c>
      <c r="P23" s="23">
        <f t="shared" si="2"/>
        <v>0.96</v>
      </c>
      <c r="Q23" s="26">
        <f t="shared" si="3"/>
        <v>3</v>
      </c>
      <c r="R23" s="26">
        <f t="shared" si="4"/>
        <v>0.4</v>
      </c>
      <c r="S23" s="27">
        <f t="shared" si="5"/>
        <v>10</v>
      </c>
    </row>
    <row r="24">
      <c r="A24" s="15" t="s">
        <v>39</v>
      </c>
      <c r="B24" s="11" t="s">
        <v>11</v>
      </c>
      <c r="C24" s="12">
        <v>25.0</v>
      </c>
      <c r="D24" s="12">
        <v>0.0</v>
      </c>
      <c r="E24" s="12">
        <v>0.0</v>
      </c>
      <c r="F24" s="17">
        <v>80.0</v>
      </c>
      <c r="G24" s="29">
        <v>7.0</v>
      </c>
      <c r="H24" s="29">
        <v>4.0</v>
      </c>
      <c r="I24" s="29">
        <v>0.0</v>
      </c>
      <c r="J24" s="30">
        <v>1.0</v>
      </c>
      <c r="K24" s="30">
        <v>1.0</v>
      </c>
      <c r="L24" s="20"/>
      <c r="M24" s="20">
        <v>3.0</v>
      </c>
      <c r="N24" s="20">
        <v>25.0</v>
      </c>
      <c r="O24" s="23">
        <f t="shared" si="1"/>
        <v>1</v>
      </c>
      <c r="P24" s="23">
        <f t="shared" si="2"/>
        <v>1</v>
      </c>
      <c r="Q24" s="26">
        <f t="shared" si="3"/>
        <v>3.2</v>
      </c>
      <c r="R24" s="26">
        <f t="shared" si="4"/>
        <v>0.44</v>
      </c>
      <c r="S24" s="27">
        <f t="shared" si="5"/>
        <v>11</v>
      </c>
    </row>
    <row r="25">
      <c r="A25" s="15" t="s">
        <v>39</v>
      </c>
      <c r="B25" s="11" t="s">
        <v>8</v>
      </c>
      <c r="C25" s="12">
        <v>25.0</v>
      </c>
      <c r="D25" s="12">
        <v>2.0</v>
      </c>
      <c r="E25" s="12">
        <v>0.0</v>
      </c>
      <c r="F25" s="17">
        <v>90.0</v>
      </c>
      <c r="G25" s="29">
        <v>5.0</v>
      </c>
      <c r="H25" s="29">
        <v>4.0</v>
      </c>
      <c r="I25" s="29">
        <v>0.0</v>
      </c>
      <c r="J25" s="30">
        <v>0.0</v>
      </c>
      <c r="K25" s="30">
        <v>2.0</v>
      </c>
      <c r="L25" s="20"/>
      <c r="M25" s="20">
        <v>4.0</v>
      </c>
      <c r="N25" s="20">
        <v>25.0</v>
      </c>
      <c r="O25" s="23">
        <f t="shared" si="1"/>
        <v>1</v>
      </c>
      <c r="P25" s="23">
        <f t="shared" si="2"/>
        <v>0.92</v>
      </c>
      <c r="Q25" s="26">
        <f t="shared" si="3"/>
        <v>3.6</v>
      </c>
      <c r="R25" s="26">
        <f t="shared" si="4"/>
        <v>0.36</v>
      </c>
      <c r="S25" s="27">
        <f t="shared" si="5"/>
        <v>9</v>
      </c>
    </row>
    <row r="26">
      <c r="A26" s="15" t="s">
        <v>39</v>
      </c>
      <c r="B26" s="11" t="s">
        <v>5</v>
      </c>
      <c r="C26" s="12">
        <v>23.0</v>
      </c>
      <c r="D26" s="12">
        <v>0.0</v>
      </c>
      <c r="E26" s="12">
        <v>0.0</v>
      </c>
      <c r="F26" s="17">
        <v>62.0</v>
      </c>
      <c r="G26" s="29">
        <v>4.0</v>
      </c>
      <c r="H26" s="29">
        <v>2.0</v>
      </c>
      <c r="I26" s="29">
        <v>0.0</v>
      </c>
      <c r="J26" s="30">
        <v>4.0</v>
      </c>
      <c r="K26" s="30">
        <v>1.0</v>
      </c>
      <c r="L26" s="20"/>
      <c r="M26" s="20">
        <v>7.0</v>
      </c>
      <c r="N26" s="20">
        <v>25.0</v>
      </c>
      <c r="O26" s="23">
        <f t="shared" si="1"/>
        <v>0.92</v>
      </c>
      <c r="P26" s="23">
        <f t="shared" si="2"/>
        <v>1</v>
      </c>
      <c r="Q26" s="26">
        <f t="shared" si="3"/>
        <v>2.695652174</v>
      </c>
      <c r="R26" s="26">
        <f t="shared" si="4"/>
        <v>0.2608695652</v>
      </c>
      <c r="S26" s="27">
        <f t="shared" si="5"/>
        <v>6</v>
      </c>
    </row>
    <row r="27">
      <c r="A27" s="15" t="s">
        <v>41</v>
      </c>
      <c r="B27" s="11" t="s">
        <v>6</v>
      </c>
      <c r="C27" s="12">
        <v>17.0</v>
      </c>
      <c r="D27" s="12">
        <v>1.0</v>
      </c>
      <c r="E27" s="12">
        <v>0.0</v>
      </c>
      <c r="F27" s="17">
        <v>45.0</v>
      </c>
      <c r="G27" s="33">
        <v>4.0</v>
      </c>
      <c r="H27" s="33">
        <v>1.0</v>
      </c>
      <c r="I27" s="33">
        <v>0.0</v>
      </c>
      <c r="J27" s="34">
        <v>0.0</v>
      </c>
      <c r="K27" s="34">
        <v>0.0</v>
      </c>
      <c r="L27" s="20"/>
      <c r="M27" s="20">
        <v>0.0</v>
      </c>
      <c r="N27" s="20">
        <v>17.0</v>
      </c>
      <c r="O27" s="23">
        <f t="shared" si="1"/>
        <v>1</v>
      </c>
      <c r="P27" s="23">
        <f t="shared" si="2"/>
        <v>0.9411764706</v>
      </c>
      <c r="Q27" s="26">
        <f t="shared" si="3"/>
        <v>2.647058824</v>
      </c>
      <c r="R27" s="26">
        <f t="shared" si="4"/>
        <v>0.2941176471</v>
      </c>
      <c r="S27" s="35">
        <f t="shared" si="5"/>
        <v>5</v>
      </c>
    </row>
    <row r="28">
      <c r="A28" s="15" t="s">
        <v>41</v>
      </c>
      <c r="B28" s="11" t="s">
        <v>38</v>
      </c>
      <c r="C28" s="12">
        <v>17.0</v>
      </c>
      <c r="D28" s="12">
        <v>0.0</v>
      </c>
      <c r="E28" s="12">
        <v>0.0</v>
      </c>
      <c r="F28" s="17">
        <v>0.0</v>
      </c>
      <c r="G28" s="33">
        <v>0.0</v>
      </c>
      <c r="H28" s="33">
        <v>0.0</v>
      </c>
      <c r="I28" s="33">
        <v>0.0</v>
      </c>
      <c r="J28" s="34">
        <v>0.0</v>
      </c>
      <c r="K28" s="34">
        <v>0.0</v>
      </c>
      <c r="L28" s="20"/>
      <c r="M28" s="20">
        <v>0.0</v>
      </c>
      <c r="N28" s="20">
        <v>17.0</v>
      </c>
      <c r="O28" s="23">
        <f t="shared" si="1"/>
        <v>1</v>
      </c>
      <c r="P28" s="23">
        <f t="shared" si="2"/>
        <v>1</v>
      </c>
      <c r="Q28" s="26">
        <f t="shared" si="3"/>
        <v>0</v>
      </c>
      <c r="R28" s="26">
        <f t="shared" si="4"/>
        <v>0</v>
      </c>
      <c r="S28" s="35">
        <f t="shared" si="5"/>
        <v>0</v>
      </c>
    </row>
    <row r="29">
      <c r="A29" s="15" t="s">
        <v>41</v>
      </c>
      <c r="B29" s="11" t="s">
        <v>4</v>
      </c>
      <c r="C29" s="12">
        <v>17.0</v>
      </c>
      <c r="D29" s="12">
        <v>0.0</v>
      </c>
      <c r="E29" s="12">
        <v>0.0</v>
      </c>
      <c r="F29" s="17">
        <v>0.0</v>
      </c>
      <c r="G29" s="33">
        <v>0.0</v>
      </c>
      <c r="H29" s="33">
        <v>0.0</v>
      </c>
      <c r="I29" s="33">
        <v>0.0</v>
      </c>
      <c r="J29" s="34">
        <v>0.0</v>
      </c>
      <c r="K29" s="34">
        <v>0.0</v>
      </c>
      <c r="L29" s="20"/>
      <c r="M29" s="20">
        <v>0.0</v>
      </c>
      <c r="N29" s="20">
        <v>17.0</v>
      </c>
      <c r="O29" s="23">
        <f t="shared" si="1"/>
        <v>1</v>
      </c>
      <c r="P29" s="23">
        <f t="shared" si="2"/>
        <v>1</v>
      </c>
      <c r="Q29" s="26">
        <f t="shared" si="3"/>
        <v>0</v>
      </c>
      <c r="R29" s="26">
        <f t="shared" si="4"/>
        <v>0</v>
      </c>
      <c r="S29" s="35">
        <f t="shared" si="5"/>
        <v>0</v>
      </c>
    </row>
    <row r="30">
      <c r="A30" s="15" t="s">
        <v>41</v>
      </c>
      <c r="B30" s="11" t="s">
        <v>7</v>
      </c>
      <c r="C30" s="12">
        <v>17.0</v>
      </c>
      <c r="D30" s="12">
        <v>1.0</v>
      </c>
      <c r="E30" s="12">
        <v>0.0</v>
      </c>
      <c r="F30" s="17">
        <v>44.0</v>
      </c>
      <c r="G30" s="33">
        <v>5.0</v>
      </c>
      <c r="H30" s="33">
        <v>0.0</v>
      </c>
      <c r="I30" s="33">
        <v>0.0</v>
      </c>
      <c r="J30" s="34">
        <v>2.0</v>
      </c>
      <c r="K30" s="34">
        <v>0.0</v>
      </c>
      <c r="L30" s="20"/>
      <c r="M30" s="20">
        <v>0.0</v>
      </c>
      <c r="N30" s="20">
        <v>17.0</v>
      </c>
      <c r="O30" s="23">
        <f t="shared" si="1"/>
        <v>1</v>
      </c>
      <c r="P30" s="23">
        <f t="shared" si="2"/>
        <v>0.9411764706</v>
      </c>
      <c r="Q30" s="26">
        <f t="shared" si="3"/>
        <v>2.588235294</v>
      </c>
      <c r="R30" s="26">
        <f t="shared" si="4"/>
        <v>0.2941176471</v>
      </c>
      <c r="S30" s="35">
        <f t="shared" si="5"/>
        <v>5</v>
      </c>
    </row>
    <row r="31">
      <c r="A31" s="15" t="s">
        <v>41</v>
      </c>
      <c r="B31" s="11" t="s">
        <v>10</v>
      </c>
      <c r="C31" s="12">
        <v>17.0</v>
      </c>
      <c r="D31" s="12">
        <v>3.0</v>
      </c>
      <c r="E31" s="12">
        <v>0.0</v>
      </c>
      <c r="F31" s="17">
        <v>51.0</v>
      </c>
      <c r="G31" s="33">
        <v>4.0</v>
      </c>
      <c r="H31" s="33">
        <v>0.0</v>
      </c>
      <c r="I31" s="33">
        <v>0.0</v>
      </c>
      <c r="J31" s="34">
        <v>2.0</v>
      </c>
      <c r="K31" s="34">
        <v>0.0</v>
      </c>
      <c r="L31" s="20"/>
      <c r="M31" s="20">
        <v>0.0</v>
      </c>
      <c r="N31" s="20">
        <v>17.0</v>
      </c>
      <c r="O31" s="23">
        <f t="shared" si="1"/>
        <v>1</v>
      </c>
      <c r="P31" s="23">
        <f t="shared" si="2"/>
        <v>0.8235294118</v>
      </c>
      <c r="Q31" s="26">
        <f t="shared" si="3"/>
        <v>3</v>
      </c>
      <c r="R31" s="26">
        <f t="shared" si="4"/>
        <v>0.2352941176</v>
      </c>
      <c r="S31" s="35">
        <f t="shared" si="5"/>
        <v>4</v>
      </c>
    </row>
    <row r="32">
      <c r="A32" s="15" t="s">
        <v>41</v>
      </c>
      <c r="B32" s="11" t="s">
        <v>2</v>
      </c>
      <c r="C32" s="12">
        <v>16.0</v>
      </c>
      <c r="D32" s="12">
        <v>0.0</v>
      </c>
      <c r="E32" s="12">
        <v>0.0</v>
      </c>
      <c r="F32" s="17">
        <v>69.0</v>
      </c>
      <c r="G32" s="33">
        <v>2.0</v>
      </c>
      <c r="H32" s="33">
        <v>2.0</v>
      </c>
      <c r="I32" s="33">
        <v>0.0</v>
      </c>
      <c r="J32" s="34">
        <v>1.0</v>
      </c>
      <c r="K32" s="34">
        <v>1.0</v>
      </c>
      <c r="L32" s="20"/>
      <c r="M32" s="20">
        <v>0.0</v>
      </c>
      <c r="N32" s="20">
        <v>17.0</v>
      </c>
      <c r="O32" s="23">
        <f t="shared" si="1"/>
        <v>0.9411764706</v>
      </c>
      <c r="P32" s="23">
        <f t="shared" si="2"/>
        <v>1</v>
      </c>
      <c r="Q32" s="26">
        <f t="shared" si="3"/>
        <v>4.3125</v>
      </c>
      <c r="R32" s="26">
        <f t="shared" si="4"/>
        <v>0.25</v>
      </c>
      <c r="S32" s="35">
        <f t="shared" si="5"/>
        <v>4</v>
      </c>
    </row>
    <row r="33">
      <c r="A33" s="15" t="s">
        <v>41</v>
      </c>
      <c r="B33" s="11" t="s">
        <v>3</v>
      </c>
      <c r="C33" s="12">
        <v>17.0</v>
      </c>
      <c r="D33" s="12">
        <v>3.0</v>
      </c>
      <c r="E33" s="12">
        <v>0.0</v>
      </c>
      <c r="F33" s="17">
        <v>51.0</v>
      </c>
      <c r="G33" s="33">
        <v>3.0</v>
      </c>
      <c r="H33" s="33">
        <v>2.0</v>
      </c>
      <c r="I33" s="33">
        <v>0.0</v>
      </c>
      <c r="J33" s="34">
        <v>0.0</v>
      </c>
      <c r="K33" s="34">
        <v>0.0</v>
      </c>
      <c r="L33" s="20"/>
      <c r="M33" s="20">
        <v>0.0</v>
      </c>
      <c r="N33" s="20">
        <v>17.0</v>
      </c>
      <c r="O33" s="23">
        <f t="shared" si="1"/>
        <v>1</v>
      </c>
      <c r="P33" s="23">
        <f t="shared" si="2"/>
        <v>0.8235294118</v>
      </c>
      <c r="Q33" s="26">
        <f t="shared" si="3"/>
        <v>3</v>
      </c>
      <c r="R33" s="26">
        <f t="shared" si="4"/>
        <v>0.2941176471</v>
      </c>
      <c r="S33" s="35">
        <f t="shared" si="5"/>
        <v>5</v>
      </c>
    </row>
    <row r="34">
      <c r="A34" s="15" t="s">
        <v>41</v>
      </c>
      <c r="B34" s="11" t="s">
        <v>9</v>
      </c>
      <c r="C34" s="12">
        <v>16.0</v>
      </c>
      <c r="D34" s="12">
        <v>0.0</v>
      </c>
      <c r="E34" s="12">
        <v>0.0</v>
      </c>
      <c r="F34" s="17">
        <v>46.0</v>
      </c>
      <c r="G34" s="33">
        <v>5.0</v>
      </c>
      <c r="H34" s="33">
        <v>1.0</v>
      </c>
      <c r="I34" s="33">
        <v>0.0</v>
      </c>
      <c r="J34" s="34">
        <v>0.0</v>
      </c>
      <c r="K34" s="34">
        <v>0.0</v>
      </c>
      <c r="L34" s="20"/>
      <c r="M34" s="20">
        <v>0.0</v>
      </c>
      <c r="N34" s="20">
        <v>17.0</v>
      </c>
      <c r="O34" s="23">
        <f t="shared" si="1"/>
        <v>0.9411764706</v>
      </c>
      <c r="P34" s="23">
        <f t="shared" si="2"/>
        <v>1</v>
      </c>
      <c r="Q34" s="26">
        <f t="shared" si="3"/>
        <v>2.875</v>
      </c>
      <c r="R34" s="26">
        <f t="shared" si="4"/>
        <v>0.375</v>
      </c>
      <c r="S34" s="35">
        <f t="shared" si="5"/>
        <v>6</v>
      </c>
    </row>
    <row r="35">
      <c r="A35" s="15" t="s">
        <v>41</v>
      </c>
      <c r="B35" s="11" t="s">
        <v>11</v>
      </c>
      <c r="C35" s="12">
        <v>17.0</v>
      </c>
      <c r="D35" s="12">
        <v>0.0</v>
      </c>
      <c r="E35" s="12">
        <v>0.0</v>
      </c>
      <c r="F35" s="17">
        <v>46.0</v>
      </c>
      <c r="G35" s="33">
        <v>3.0</v>
      </c>
      <c r="H35" s="33">
        <v>1.0</v>
      </c>
      <c r="I35" s="33">
        <v>0.0</v>
      </c>
      <c r="J35" s="34">
        <v>0.0</v>
      </c>
      <c r="K35" s="34">
        <v>0.0</v>
      </c>
      <c r="L35" s="20"/>
      <c r="M35" s="20">
        <v>0.0</v>
      </c>
      <c r="N35" s="20">
        <v>17.0</v>
      </c>
      <c r="O35" s="23">
        <f t="shared" si="1"/>
        <v>1</v>
      </c>
      <c r="P35" s="23">
        <f t="shared" si="2"/>
        <v>1</v>
      </c>
      <c r="Q35" s="26">
        <f t="shared" si="3"/>
        <v>2.705882353</v>
      </c>
      <c r="R35" s="26">
        <f t="shared" si="4"/>
        <v>0.2352941176</v>
      </c>
      <c r="S35" s="35">
        <f t="shared" si="5"/>
        <v>4</v>
      </c>
    </row>
    <row r="36">
      <c r="A36" s="15" t="s">
        <v>41</v>
      </c>
      <c r="B36" s="11" t="s">
        <v>8</v>
      </c>
      <c r="C36" s="12">
        <v>17.0</v>
      </c>
      <c r="D36" s="12">
        <v>1.0</v>
      </c>
      <c r="E36" s="12">
        <v>0.0</v>
      </c>
      <c r="F36" s="17">
        <v>56.0</v>
      </c>
      <c r="G36" s="33">
        <v>3.0</v>
      </c>
      <c r="H36" s="33">
        <v>2.0</v>
      </c>
      <c r="I36" s="33">
        <v>1.0</v>
      </c>
      <c r="J36" s="34">
        <v>2.0</v>
      </c>
      <c r="K36" s="34">
        <v>1.0</v>
      </c>
      <c r="L36" s="20"/>
      <c r="M36" s="20">
        <v>0.0</v>
      </c>
      <c r="N36" s="20">
        <v>17.0</v>
      </c>
      <c r="O36" s="23">
        <f t="shared" si="1"/>
        <v>1</v>
      </c>
      <c r="P36" s="23">
        <f t="shared" si="2"/>
        <v>0.9411764706</v>
      </c>
      <c r="Q36" s="26">
        <f t="shared" si="3"/>
        <v>3.294117647</v>
      </c>
      <c r="R36" s="26">
        <f t="shared" si="4"/>
        <v>0.3529411765</v>
      </c>
      <c r="S36" s="35">
        <f t="shared" si="5"/>
        <v>6</v>
      </c>
    </row>
    <row r="37">
      <c r="A37" s="15" t="s">
        <v>41</v>
      </c>
      <c r="B37" s="11" t="s">
        <v>5</v>
      </c>
      <c r="C37" s="12">
        <v>17.0</v>
      </c>
      <c r="D37" s="12">
        <v>0.0</v>
      </c>
      <c r="E37" s="12">
        <v>0.0</v>
      </c>
      <c r="F37" s="17">
        <v>52.0</v>
      </c>
      <c r="G37" s="33">
        <v>6.0</v>
      </c>
      <c r="H37" s="33">
        <v>0.0</v>
      </c>
      <c r="I37" s="33">
        <v>0.0</v>
      </c>
      <c r="J37" s="34">
        <v>1.0</v>
      </c>
      <c r="K37" s="34">
        <v>0.0</v>
      </c>
      <c r="L37" s="20"/>
      <c r="M37" s="20">
        <v>0.0</v>
      </c>
      <c r="N37" s="20">
        <v>17.0</v>
      </c>
      <c r="O37" s="23">
        <f t="shared" si="1"/>
        <v>1</v>
      </c>
      <c r="P37" s="23">
        <f t="shared" si="2"/>
        <v>1</v>
      </c>
      <c r="Q37" s="26">
        <f t="shared" si="3"/>
        <v>3.058823529</v>
      </c>
      <c r="R37" s="26">
        <f t="shared" si="4"/>
        <v>0.3529411765</v>
      </c>
      <c r="S37" s="35">
        <f t="shared" si="5"/>
        <v>6</v>
      </c>
    </row>
    <row r="38">
      <c r="A38" s="15" t="s">
        <v>56</v>
      </c>
      <c r="B38" s="11" t="s">
        <v>6</v>
      </c>
      <c r="C38" s="12">
        <v>24.0</v>
      </c>
      <c r="D38" s="12">
        <v>1.0</v>
      </c>
      <c r="E38" s="12">
        <v>0.0</v>
      </c>
      <c r="F38" s="17">
        <v>78.0</v>
      </c>
      <c r="G38" s="33">
        <v>6.0</v>
      </c>
      <c r="H38" s="33">
        <v>1.0</v>
      </c>
      <c r="I38" s="33">
        <v>1.0</v>
      </c>
      <c r="J38" s="34">
        <v>0.0</v>
      </c>
      <c r="K38" s="34">
        <v>1.0</v>
      </c>
      <c r="L38" s="20"/>
      <c r="M38" s="20">
        <v>0.0</v>
      </c>
      <c r="N38" s="20">
        <v>27.0</v>
      </c>
      <c r="O38" s="23">
        <f t="shared" si="1"/>
        <v>0.8888888889</v>
      </c>
      <c r="P38" s="23">
        <f t="shared" si="2"/>
        <v>0.962962963</v>
      </c>
      <c r="Q38" s="26">
        <f t="shared" si="3"/>
        <v>3.25</v>
      </c>
      <c r="R38" s="26">
        <f t="shared" si="4"/>
        <v>0.3333333333</v>
      </c>
      <c r="S38" s="35">
        <f t="shared" si="5"/>
        <v>8</v>
      </c>
    </row>
    <row r="39">
      <c r="A39" s="15" t="s">
        <v>56</v>
      </c>
      <c r="B39" s="11" t="s">
        <v>38</v>
      </c>
      <c r="C39" s="12">
        <v>27.0</v>
      </c>
      <c r="D39" s="12">
        <v>0.0</v>
      </c>
      <c r="E39" s="12">
        <v>0.0</v>
      </c>
      <c r="F39" s="17">
        <v>0.0</v>
      </c>
      <c r="G39" s="33">
        <v>0.0</v>
      </c>
      <c r="H39" s="33">
        <v>0.0</v>
      </c>
      <c r="I39" s="33">
        <v>0.0</v>
      </c>
      <c r="J39" s="34">
        <v>0.0</v>
      </c>
      <c r="K39" s="34">
        <v>0.0</v>
      </c>
      <c r="L39" s="20"/>
      <c r="M39" s="20">
        <v>0.0</v>
      </c>
      <c r="N39" s="20">
        <v>27.0</v>
      </c>
      <c r="O39" s="23">
        <f t="shared" si="1"/>
        <v>1</v>
      </c>
      <c r="P39" s="23">
        <f t="shared" si="2"/>
        <v>1</v>
      </c>
      <c r="Q39" s="26">
        <f t="shared" si="3"/>
        <v>0</v>
      </c>
      <c r="R39" s="26">
        <f t="shared" si="4"/>
        <v>0</v>
      </c>
      <c r="S39" s="35">
        <f t="shared" si="5"/>
        <v>0</v>
      </c>
    </row>
    <row r="40">
      <c r="A40" s="15" t="s">
        <v>56</v>
      </c>
      <c r="B40" s="11" t="s">
        <v>4</v>
      </c>
      <c r="C40" s="12">
        <v>27.0</v>
      </c>
      <c r="D40" s="12">
        <v>0.0</v>
      </c>
      <c r="E40" s="12">
        <v>0.0</v>
      </c>
      <c r="F40" s="17">
        <v>0.0</v>
      </c>
      <c r="G40" s="33">
        <v>0.0</v>
      </c>
      <c r="H40" s="33">
        <v>0.0</v>
      </c>
      <c r="I40" s="33">
        <v>0.0</v>
      </c>
      <c r="J40" s="34">
        <v>0.0</v>
      </c>
      <c r="K40" s="34">
        <v>0.0</v>
      </c>
      <c r="L40" s="20"/>
      <c r="M40" s="20">
        <v>0.0</v>
      </c>
      <c r="N40" s="20">
        <v>27.0</v>
      </c>
      <c r="O40" s="23">
        <f t="shared" si="1"/>
        <v>1</v>
      </c>
      <c r="P40" s="23">
        <f t="shared" si="2"/>
        <v>1</v>
      </c>
      <c r="Q40" s="26">
        <f t="shared" si="3"/>
        <v>0</v>
      </c>
      <c r="R40" s="26">
        <f t="shared" si="4"/>
        <v>0</v>
      </c>
      <c r="S40" s="35">
        <f t="shared" si="5"/>
        <v>0</v>
      </c>
    </row>
    <row r="41">
      <c r="A41" s="15" t="s">
        <v>56</v>
      </c>
      <c r="B41" s="11" t="s">
        <v>7</v>
      </c>
      <c r="C41" s="12">
        <v>23.0</v>
      </c>
      <c r="D41" s="12">
        <v>0.0</v>
      </c>
      <c r="E41" s="12">
        <v>0.0</v>
      </c>
      <c r="F41" s="17">
        <v>62.0</v>
      </c>
      <c r="G41" s="33">
        <v>8.0</v>
      </c>
      <c r="H41" s="33">
        <v>1.0</v>
      </c>
      <c r="I41" s="33">
        <v>0.0</v>
      </c>
      <c r="J41" s="34">
        <v>3.0</v>
      </c>
      <c r="K41" s="34">
        <v>1.0</v>
      </c>
      <c r="L41" s="20"/>
      <c r="M41" s="20">
        <v>0.0</v>
      </c>
      <c r="N41" s="20">
        <v>27.0</v>
      </c>
      <c r="O41" s="23">
        <f t="shared" si="1"/>
        <v>0.8518518519</v>
      </c>
      <c r="P41" s="23">
        <f t="shared" si="2"/>
        <v>1</v>
      </c>
      <c r="Q41" s="26">
        <f t="shared" si="3"/>
        <v>2.695652174</v>
      </c>
      <c r="R41" s="26">
        <f t="shared" si="4"/>
        <v>0.3913043478</v>
      </c>
      <c r="S41" s="35">
        <f t="shared" si="5"/>
        <v>9</v>
      </c>
    </row>
    <row r="42">
      <c r="A42" s="15" t="s">
        <v>56</v>
      </c>
      <c r="B42" s="11" t="s">
        <v>10</v>
      </c>
      <c r="C42" s="12">
        <v>26.0</v>
      </c>
      <c r="D42" s="12">
        <v>1.0</v>
      </c>
      <c r="E42" s="12">
        <v>0.0</v>
      </c>
      <c r="F42" s="17">
        <v>82.0</v>
      </c>
      <c r="G42" s="33">
        <v>8.0</v>
      </c>
      <c r="H42" s="33">
        <v>4.0</v>
      </c>
      <c r="I42" s="33">
        <v>0.0</v>
      </c>
      <c r="J42" s="34">
        <v>1.0</v>
      </c>
      <c r="K42" s="34">
        <v>1.0</v>
      </c>
      <c r="L42" s="20"/>
      <c r="M42" s="20">
        <v>2.0</v>
      </c>
      <c r="N42" s="20">
        <v>27.0</v>
      </c>
      <c r="O42" s="23">
        <f t="shared" si="1"/>
        <v>0.962962963</v>
      </c>
      <c r="P42" s="23">
        <f t="shared" si="2"/>
        <v>0.962962963</v>
      </c>
      <c r="Q42" s="26">
        <f t="shared" si="3"/>
        <v>3.153846154</v>
      </c>
      <c r="R42" s="26">
        <f t="shared" si="4"/>
        <v>0.4615384615</v>
      </c>
      <c r="S42" s="35">
        <f t="shared" si="5"/>
        <v>12</v>
      </c>
    </row>
    <row r="43">
      <c r="A43" s="15" t="s">
        <v>56</v>
      </c>
      <c r="B43" s="11" t="s">
        <v>2</v>
      </c>
      <c r="C43" s="12">
        <v>19.0</v>
      </c>
      <c r="D43" s="12">
        <v>0.0</v>
      </c>
      <c r="E43" s="12">
        <v>0.0</v>
      </c>
      <c r="F43" s="17">
        <v>69.0</v>
      </c>
      <c r="G43" s="33">
        <v>5.0</v>
      </c>
      <c r="H43" s="33">
        <v>2.0</v>
      </c>
      <c r="I43" s="33">
        <v>0.0</v>
      </c>
      <c r="J43" s="34">
        <v>1.0</v>
      </c>
      <c r="K43" s="34">
        <v>3.0</v>
      </c>
      <c r="L43" s="20"/>
      <c r="M43" s="20">
        <v>6.0</v>
      </c>
      <c r="N43" s="20">
        <v>27.0</v>
      </c>
      <c r="O43" s="23">
        <f t="shared" si="1"/>
        <v>0.7037037037</v>
      </c>
      <c r="P43" s="23">
        <f t="shared" si="2"/>
        <v>1</v>
      </c>
      <c r="Q43" s="26">
        <f t="shared" si="3"/>
        <v>3.631578947</v>
      </c>
      <c r="R43" s="26">
        <f t="shared" si="4"/>
        <v>0.3684210526</v>
      </c>
      <c r="S43" s="35">
        <f t="shared" si="5"/>
        <v>7</v>
      </c>
    </row>
    <row r="44">
      <c r="A44" s="15" t="s">
        <v>56</v>
      </c>
      <c r="B44" s="11" t="s">
        <v>3</v>
      </c>
      <c r="C44" s="12">
        <v>25.0</v>
      </c>
      <c r="D44" s="12">
        <v>0.0</v>
      </c>
      <c r="E44" s="12">
        <v>1.0</v>
      </c>
      <c r="F44" s="17">
        <v>76.0</v>
      </c>
      <c r="G44" s="33">
        <v>4.0</v>
      </c>
      <c r="H44" s="33">
        <v>2.0</v>
      </c>
      <c r="I44" s="33">
        <v>0.0</v>
      </c>
      <c r="J44" s="34">
        <v>2.0</v>
      </c>
      <c r="K44" s="34">
        <v>0.0</v>
      </c>
      <c r="L44" s="20"/>
      <c r="M44" s="20">
        <v>2.0</v>
      </c>
      <c r="N44" s="20">
        <v>27.0</v>
      </c>
      <c r="O44" s="23">
        <f t="shared" si="1"/>
        <v>0.9259259259</v>
      </c>
      <c r="P44" s="23">
        <f t="shared" si="2"/>
        <v>1</v>
      </c>
      <c r="Q44" s="26">
        <f t="shared" si="3"/>
        <v>3.04</v>
      </c>
      <c r="R44" s="26">
        <f t="shared" si="4"/>
        <v>0.24</v>
      </c>
      <c r="S44" s="35">
        <f t="shared" si="5"/>
        <v>6</v>
      </c>
    </row>
    <row r="45">
      <c r="A45" s="15" t="s">
        <v>56</v>
      </c>
      <c r="B45" s="11" t="s">
        <v>9</v>
      </c>
      <c r="C45" s="12">
        <v>27.0</v>
      </c>
      <c r="D45" s="12">
        <v>0.0</v>
      </c>
      <c r="E45" s="12">
        <v>0.0</v>
      </c>
      <c r="F45" s="17">
        <v>80.0</v>
      </c>
      <c r="G45" s="33">
        <v>3.0</v>
      </c>
      <c r="H45" s="33">
        <v>3.0</v>
      </c>
      <c r="I45" s="33">
        <v>0.0</v>
      </c>
      <c r="J45" s="34">
        <v>1.0</v>
      </c>
      <c r="K45" s="34">
        <v>3.0</v>
      </c>
      <c r="L45" s="20"/>
      <c r="M45" s="20">
        <v>2.0</v>
      </c>
      <c r="N45" s="20">
        <v>27.0</v>
      </c>
      <c r="O45" s="23">
        <f t="shared" si="1"/>
        <v>1</v>
      </c>
      <c r="P45" s="23">
        <f t="shared" si="2"/>
        <v>1</v>
      </c>
      <c r="Q45" s="26">
        <f t="shared" si="3"/>
        <v>2.962962963</v>
      </c>
      <c r="R45" s="26">
        <f t="shared" si="4"/>
        <v>0.2222222222</v>
      </c>
      <c r="S45" s="35">
        <f t="shared" si="5"/>
        <v>6</v>
      </c>
    </row>
    <row r="46">
      <c r="A46" s="15" t="s">
        <v>56</v>
      </c>
      <c r="B46" s="11" t="s">
        <v>11</v>
      </c>
      <c r="C46" s="12">
        <v>26.0</v>
      </c>
      <c r="D46" s="12">
        <v>1.0</v>
      </c>
      <c r="E46" s="12">
        <v>0.0</v>
      </c>
      <c r="F46" s="17">
        <v>82.0</v>
      </c>
      <c r="G46" s="33">
        <v>4.0</v>
      </c>
      <c r="H46" s="33">
        <v>4.0</v>
      </c>
      <c r="I46" s="33">
        <v>0.0</v>
      </c>
      <c r="J46" s="34">
        <v>5.0</v>
      </c>
      <c r="K46" s="34">
        <v>0.0</v>
      </c>
      <c r="L46" s="20"/>
      <c r="M46" s="20">
        <v>2.0</v>
      </c>
      <c r="N46" s="20">
        <v>27.0</v>
      </c>
      <c r="O46" s="23">
        <f t="shared" si="1"/>
        <v>0.962962963</v>
      </c>
      <c r="P46" s="23">
        <f t="shared" si="2"/>
        <v>0.962962963</v>
      </c>
      <c r="Q46" s="26">
        <f t="shared" si="3"/>
        <v>3.153846154</v>
      </c>
      <c r="R46" s="26">
        <f t="shared" si="4"/>
        <v>0.3076923077</v>
      </c>
      <c r="S46" s="35">
        <f t="shared" si="5"/>
        <v>8</v>
      </c>
    </row>
    <row r="47">
      <c r="A47" s="15" t="s">
        <v>56</v>
      </c>
      <c r="B47" s="11" t="s">
        <v>8</v>
      </c>
      <c r="C47" s="12">
        <v>27.0</v>
      </c>
      <c r="D47" s="12">
        <v>2.0</v>
      </c>
      <c r="E47" s="12">
        <v>0.0</v>
      </c>
      <c r="F47" s="17">
        <v>74.0</v>
      </c>
      <c r="G47" s="33">
        <v>7.0</v>
      </c>
      <c r="H47" s="33">
        <v>4.0</v>
      </c>
      <c r="I47" s="33">
        <v>0.0</v>
      </c>
      <c r="J47" s="34">
        <v>5.0</v>
      </c>
      <c r="K47" s="34">
        <v>1.0</v>
      </c>
      <c r="L47" s="20"/>
      <c r="M47" s="20">
        <v>2.0</v>
      </c>
      <c r="N47" s="20">
        <v>27.0</v>
      </c>
      <c r="O47" s="23">
        <f t="shared" si="1"/>
        <v>1</v>
      </c>
      <c r="P47" s="23">
        <f t="shared" si="2"/>
        <v>0.9259259259</v>
      </c>
      <c r="Q47" s="26">
        <f t="shared" si="3"/>
        <v>2.740740741</v>
      </c>
      <c r="R47" s="26">
        <f t="shared" si="4"/>
        <v>0.4074074074</v>
      </c>
      <c r="S47" s="35">
        <f t="shared" si="5"/>
        <v>11</v>
      </c>
    </row>
    <row r="48">
      <c r="A48" s="15" t="s">
        <v>56</v>
      </c>
      <c r="B48" s="11" t="s">
        <v>5</v>
      </c>
      <c r="C48" s="12">
        <v>27.0</v>
      </c>
      <c r="D48" s="12">
        <v>0.0</v>
      </c>
      <c r="E48" s="12">
        <v>0.0</v>
      </c>
      <c r="F48" s="17">
        <v>91.0</v>
      </c>
      <c r="G48" s="33">
        <v>9.0</v>
      </c>
      <c r="H48" s="33">
        <v>2.0</v>
      </c>
      <c r="I48" s="33">
        <v>0.0</v>
      </c>
      <c r="J48" s="34">
        <v>4.0</v>
      </c>
      <c r="K48" s="34">
        <v>0.0</v>
      </c>
      <c r="L48" s="20"/>
      <c r="M48" s="20">
        <v>2.0</v>
      </c>
      <c r="N48" s="20">
        <v>27.0</v>
      </c>
      <c r="O48" s="23">
        <f t="shared" si="1"/>
        <v>1</v>
      </c>
      <c r="P48" s="23">
        <f t="shared" si="2"/>
        <v>1</v>
      </c>
      <c r="Q48" s="26">
        <f t="shared" si="3"/>
        <v>3.37037037</v>
      </c>
      <c r="R48" s="26">
        <f t="shared" si="4"/>
        <v>0.4074074074</v>
      </c>
      <c r="S48" s="35">
        <f t="shared" si="5"/>
        <v>11</v>
      </c>
    </row>
    <row r="49">
      <c r="A49" s="15" t="s">
        <v>60</v>
      </c>
      <c r="B49" s="11" t="s">
        <v>6</v>
      </c>
      <c r="C49" s="12">
        <v>23.0</v>
      </c>
      <c r="D49" s="12">
        <v>0.0</v>
      </c>
      <c r="E49" s="12">
        <v>0.0</v>
      </c>
      <c r="F49" s="17">
        <v>71.0</v>
      </c>
      <c r="G49" s="33">
        <v>2.0</v>
      </c>
      <c r="H49" s="33">
        <v>1.0</v>
      </c>
      <c r="I49" s="33">
        <v>2.0</v>
      </c>
      <c r="J49" s="34">
        <v>1.0</v>
      </c>
      <c r="K49" s="34">
        <v>1.0</v>
      </c>
      <c r="L49" s="20"/>
      <c r="M49" s="20">
        <v>0.0</v>
      </c>
      <c r="N49" s="20">
        <v>24.0</v>
      </c>
      <c r="O49" s="23">
        <f t="shared" si="1"/>
        <v>0.9583333333</v>
      </c>
      <c r="P49" s="23">
        <f t="shared" si="2"/>
        <v>1</v>
      </c>
      <c r="Q49" s="26">
        <f t="shared" si="3"/>
        <v>3.086956522</v>
      </c>
      <c r="R49" s="26">
        <f t="shared" si="4"/>
        <v>0.2173913043</v>
      </c>
      <c r="S49" s="35">
        <f t="shared" si="5"/>
        <v>5</v>
      </c>
    </row>
    <row r="50">
      <c r="A50" s="15" t="s">
        <v>60</v>
      </c>
      <c r="B50" s="11" t="s">
        <v>38</v>
      </c>
      <c r="C50" s="12">
        <v>24.0</v>
      </c>
      <c r="D50" s="12">
        <v>0.0</v>
      </c>
      <c r="E50" s="12">
        <v>0.0</v>
      </c>
      <c r="F50" s="17">
        <v>0.0</v>
      </c>
      <c r="G50" s="33">
        <v>0.0</v>
      </c>
      <c r="H50" s="33">
        <v>0.0</v>
      </c>
      <c r="I50" s="33">
        <v>0.0</v>
      </c>
      <c r="J50" s="34">
        <v>0.0</v>
      </c>
      <c r="K50" s="34">
        <v>0.0</v>
      </c>
      <c r="L50" s="20"/>
      <c r="M50" s="20">
        <v>0.0</v>
      </c>
      <c r="N50" s="20">
        <v>24.0</v>
      </c>
      <c r="O50" s="23">
        <f t="shared" si="1"/>
        <v>1</v>
      </c>
      <c r="P50" s="23">
        <f t="shared" si="2"/>
        <v>1</v>
      </c>
      <c r="Q50" s="26">
        <f t="shared" si="3"/>
        <v>0</v>
      </c>
      <c r="R50" s="26">
        <f t="shared" si="4"/>
        <v>0</v>
      </c>
      <c r="S50" s="35">
        <f t="shared" si="5"/>
        <v>0</v>
      </c>
    </row>
    <row r="51">
      <c r="A51" s="15" t="s">
        <v>60</v>
      </c>
      <c r="B51" s="11" t="s">
        <v>4</v>
      </c>
      <c r="C51" s="12">
        <v>24.0</v>
      </c>
      <c r="D51" s="12">
        <v>0.0</v>
      </c>
      <c r="E51" s="12">
        <v>0.0</v>
      </c>
      <c r="F51" s="17">
        <v>0.0</v>
      </c>
      <c r="G51" s="33">
        <v>0.0</v>
      </c>
      <c r="H51" s="33">
        <v>0.0</v>
      </c>
      <c r="I51" s="33">
        <v>0.0</v>
      </c>
      <c r="J51" s="34">
        <v>0.0</v>
      </c>
      <c r="K51" s="34">
        <v>0.0</v>
      </c>
      <c r="L51" s="20"/>
      <c r="M51" s="20">
        <v>0.0</v>
      </c>
      <c r="N51" s="20">
        <v>24.0</v>
      </c>
      <c r="O51" s="23">
        <f t="shared" si="1"/>
        <v>1</v>
      </c>
      <c r="P51" s="23">
        <f t="shared" si="2"/>
        <v>1</v>
      </c>
      <c r="Q51" s="26">
        <f t="shared" si="3"/>
        <v>0</v>
      </c>
      <c r="R51" s="26">
        <f t="shared" si="4"/>
        <v>0</v>
      </c>
      <c r="S51" s="35">
        <f t="shared" si="5"/>
        <v>0</v>
      </c>
    </row>
    <row r="52">
      <c r="A52" s="15" t="s">
        <v>60</v>
      </c>
      <c r="B52" s="11" t="s">
        <v>7</v>
      </c>
      <c r="C52" s="12">
        <v>24.0</v>
      </c>
      <c r="D52" s="12">
        <v>0.0</v>
      </c>
      <c r="E52" s="12">
        <v>0.0</v>
      </c>
      <c r="F52" s="17">
        <v>67.0</v>
      </c>
      <c r="G52" s="33">
        <v>8.0</v>
      </c>
      <c r="H52" s="33">
        <v>0.0</v>
      </c>
      <c r="I52" s="33">
        <v>0.0</v>
      </c>
      <c r="J52" s="34">
        <v>2.0</v>
      </c>
      <c r="K52" s="34">
        <v>0.0</v>
      </c>
      <c r="L52" s="20"/>
      <c r="M52" s="20">
        <v>0.0</v>
      </c>
      <c r="N52" s="20">
        <v>24.0</v>
      </c>
      <c r="O52" s="23">
        <f t="shared" si="1"/>
        <v>1</v>
      </c>
      <c r="P52" s="23">
        <f t="shared" si="2"/>
        <v>1</v>
      </c>
      <c r="Q52" s="26">
        <f t="shared" si="3"/>
        <v>2.791666667</v>
      </c>
      <c r="R52" s="26">
        <f t="shared" si="4"/>
        <v>0.3333333333</v>
      </c>
      <c r="S52" s="35">
        <f t="shared" si="5"/>
        <v>8</v>
      </c>
    </row>
    <row r="53">
      <c r="A53" s="15" t="s">
        <v>60</v>
      </c>
      <c r="B53" s="11" t="s">
        <v>10</v>
      </c>
      <c r="C53" s="12">
        <v>22.0</v>
      </c>
      <c r="D53" s="12">
        <v>1.0</v>
      </c>
      <c r="E53" s="12">
        <v>0.0</v>
      </c>
      <c r="F53" s="17">
        <v>67.0</v>
      </c>
      <c r="G53" s="33">
        <v>9.0</v>
      </c>
      <c r="H53" s="33">
        <v>0.0</v>
      </c>
      <c r="I53" s="33">
        <v>0.0</v>
      </c>
      <c r="J53" s="34">
        <v>0.0</v>
      </c>
      <c r="K53" s="34">
        <v>0.0</v>
      </c>
      <c r="L53" s="20"/>
      <c r="M53" s="20">
        <v>4.0</v>
      </c>
      <c r="N53" s="20">
        <v>24.0</v>
      </c>
      <c r="O53" s="23">
        <f t="shared" si="1"/>
        <v>0.9166666667</v>
      </c>
      <c r="P53" s="23">
        <f t="shared" si="2"/>
        <v>0.9583333333</v>
      </c>
      <c r="Q53" s="26">
        <f t="shared" si="3"/>
        <v>3.045454545</v>
      </c>
      <c r="R53" s="26">
        <f t="shared" si="4"/>
        <v>0.4090909091</v>
      </c>
      <c r="S53" s="35">
        <f t="shared" si="5"/>
        <v>9</v>
      </c>
    </row>
    <row r="54">
      <c r="A54" s="15" t="s">
        <v>60</v>
      </c>
      <c r="B54" s="11" t="s">
        <v>2</v>
      </c>
      <c r="C54" s="12">
        <v>24.0</v>
      </c>
      <c r="D54" s="12">
        <v>0.0</v>
      </c>
      <c r="E54" s="12">
        <v>0.0</v>
      </c>
      <c r="F54" s="17">
        <v>82.0</v>
      </c>
      <c r="G54" s="33">
        <v>6.0</v>
      </c>
      <c r="H54" s="33">
        <v>4.0</v>
      </c>
      <c r="I54" s="33">
        <v>0.0</v>
      </c>
      <c r="J54" s="34">
        <v>1.0</v>
      </c>
      <c r="K54" s="34">
        <v>2.0</v>
      </c>
      <c r="L54" s="20"/>
      <c r="M54" s="20">
        <v>0.0</v>
      </c>
      <c r="N54" s="20">
        <v>24.0</v>
      </c>
      <c r="O54" s="23">
        <f t="shared" si="1"/>
        <v>1</v>
      </c>
      <c r="P54" s="23">
        <f t="shared" si="2"/>
        <v>1</v>
      </c>
      <c r="Q54" s="26">
        <f t="shared" si="3"/>
        <v>3.416666667</v>
      </c>
      <c r="R54" s="26">
        <f t="shared" si="4"/>
        <v>0.4166666667</v>
      </c>
      <c r="S54" s="35">
        <f t="shared" si="5"/>
        <v>10</v>
      </c>
    </row>
    <row r="55">
      <c r="A55" s="15" t="s">
        <v>60</v>
      </c>
      <c r="B55" s="11" t="s">
        <v>3</v>
      </c>
      <c r="C55" s="12">
        <v>19.0</v>
      </c>
      <c r="D55" s="12">
        <v>1.0</v>
      </c>
      <c r="E55" s="12">
        <v>0.0</v>
      </c>
      <c r="F55" s="17">
        <v>48.0</v>
      </c>
      <c r="G55" s="33">
        <v>1.0</v>
      </c>
      <c r="H55" s="33">
        <v>2.0</v>
      </c>
      <c r="I55" s="33">
        <v>0.0</v>
      </c>
      <c r="J55" s="34">
        <v>2.0</v>
      </c>
      <c r="K55" s="34">
        <v>1.0</v>
      </c>
      <c r="L55" s="20"/>
      <c r="M55" s="20">
        <v>0.0</v>
      </c>
      <c r="N55" s="20">
        <v>24.0</v>
      </c>
      <c r="O55" s="23">
        <f t="shared" si="1"/>
        <v>0.7916666667</v>
      </c>
      <c r="P55" s="23">
        <f t="shared" si="2"/>
        <v>0.9583333333</v>
      </c>
      <c r="Q55" s="26">
        <f t="shared" si="3"/>
        <v>2.526315789</v>
      </c>
      <c r="R55" s="26">
        <f t="shared" si="4"/>
        <v>0.1578947368</v>
      </c>
      <c r="S55" s="35">
        <f t="shared" si="5"/>
        <v>3</v>
      </c>
    </row>
    <row r="56">
      <c r="A56" s="15" t="s">
        <v>60</v>
      </c>
      <c r="B56" s="11" t="s">
        <v>9</v>
      </c>
      <c r="C56" s="12">
        <v>23.0</v>
      </c>
      <c r="D56" s="12">
        <v>2.0</v>
      </c>
      <c r="E56" s="12">
        <v>0.0</v>
      </c>
      <c r="F56" s="17">
        <v>57.0</v>
      </c>
      <c r="G56" s="33">
        <v>3.0</v>
      </c>
      <c r="H56" s="33">
        <v>5.0</v>
      </c>
      <c r="I56" s="33">
        <v>0.0</v>
      </c>
      <c r="J56" s="34">
        <v>0.0</v>
      </c>
      <c r="K56" s="34">
        <v>0.0</v>
      </c>
      <c r="L56" s="20"/>
      <c r="M56" s="20">
        <v>0.0</v>
      </c>
      <c r="N56" s="20">
        <v>24.0</v>
      </c>
      <c r="O56" s="23">
        <f t="shared" si="1"/>
        <v>0.9583333333</v>
      </c>
      <c r="P56" s="23">
        <f t="shared" si="2"/>
        <v>0.9166666667</v>
      </c>
      <c r="Q56" s="26">
        <f t="shared" si="3"/>
        <v>2.47826087</v>
      </c>
      <c r="R56" s="26">
        <f t="shared" si="4"/>
        <v>0.347826087</v>
      </c>
      <c r="S56" s="35">
        <f t="shared" si="5"/>
        <v>8</v>
      </c>
    </row>
    <row r="57">
      <c r="A57" s="15" t="s">
        <v>60</v>
      </c>
      <c r="B57" s="11" t="s">
        <v>11</v>
      </c>
      <c r="C57" s="12">
        <v>24.0</v>
      </c>
      <c r="D57" s="12">
        <v>0.0</v>
      </c>
      <c r="E57" s="12">
        <v>0.0</v>
      </c>
      <c r="F57" s="17">
        <v>63.0</v>
      </c>
      <c r="G57" s="33">
        <v>6.0</v>
      </c>
      <c r="H57" s="33">
        <v>1.0</v>
      </c>
      <c r="I57" s="33">
        <v>0.0</v>
      </c>
      <c r="J57" s="34">
        <v>1.0</v>
      </c>
      <c r="K57" s="34">
        <v>0.0</v>
      </c>
      <c r="L57" s="20"/>
      <c r="M57" s="20">
        <v>4.0</v>
      </c>
      <c r="N57" s="20">
        <v>24.0</v>
      </c>
      <c r="O57" s="23">
        <f t="shared" si="1"/>
        <v>1</v>
      </c>
      <c r="P57" s="23">
        <f t="shared" si="2"/>
        <v>1</v>
      </c>
      <c r="Q57" s="26">
        <f t="shared" si="3"/>
        <v>2.625</v>
      </c>
      <c r="R57" s="26">
        <f t="shared" si="4"/>
        <v>0.2916666667</v>
      </c>
      <c r="S57" s="35">
        <f t="shared" si="5"/>
        <v>7</v>
      </c>
    </row>
    <row r="58">
      <c r="A58" s="15" t="s">
        <v>60</v>
      </c>
      <c r="B58" s="11" t="s">
        <v>8</v>
      </c>
      <c r="C58" s="12">
        <v>24.0</v>
      </c>
      <c r="D58" s="12">
        <v>4.0</v>
      </c>
      <c r="E58" s="12">
        <v>0.0</v>
      </c>
      <c r="F58" s="17">
        <v>77.0</v>
      </c>
      <c r="G58" s="33">
        <v>4.0</v>
      </c>
      <c r="H58" s="33">
        <v>3.0</v>
      </c>
      <c r="I58" s="33">
        <v>0.0</v>
      </c>
      <c r="J58" s="34">
        <v>3.0</v>
      </c>
      <c r="K58" s="34">
        <v>2.0</v>
      </c>
      <c r="L58" s="20"/>
      <c r="M58" s="20">
        <v>0.0</v>
      </c>
      <c r="N58" s="20">
        <v>24.0</v>
      </c>
      <c r="O58" s="23">
        <f t="shared" si="1"/>
        <v>1</v>
      </c>
      <c r="P58" s="23">
        <f t="shared" si="2"/>
        <v>0.8333333333</v>
      </c>
      <c r="Q58" s="26">
        <f t="shared" si="3"/>
        <v>3.208333333</v>
      </c>
      <c r="R58" s="26">
        <f t="shared" si="4"/>
        <v>0.2916666667</v>
      </c>
      <c r="S58" s="35">
        <f t="shared" si="5"/>
        <v>7</v>
      </c>
    </row>
    <row r="59">
      <c r="A59" s="15" t="s">
        <v>60</v>
      </c>
      <c r="B59" s="11" t="s">
        <v>5</v>
      </c>
      <c r="C59" s="12">
        <v>24.0</v>
      </c>
      <c r="D59" s="12">
        <v>0.0</v>
      </c>
      <c r="E59" s="12">
        <v>0.0</v>
      </c>
      <c r="F59" s="17">
        <v>68.0</v>
      </c>
      <c r="G59" s="33">
        <v>6.0</v>
      </c>
      <c r="H59" s="33">
        <v>0.0</v>
      </c>
      <c r="I59" s="33">
        <v>0.0</v>
      </c>
      <c r="J59" s="34">
        <v>3.0</v>
      </c>
      <c r="K59" s="34">
        <v>3.0</v>
      </c>
      <c r="L59" s="20"/>
      <c r="M59" s="20">
        <v>0.0</v>
      </c>
      <c r="N59" s="20">
        <v>24.0</v>
      </c>
      <c r="O59" s="23">
        <f t="shared" si="1"/>
        <v>1</v>
      </c>
      <c r="P59" s="23">
        <f t="shared" si="2"/>
        <v>1</v>
      </c>
      <c r="Q59" s="26">
        <f t="shared" si="3"/>
        <v>2.833333333</v>
      </c>
      <c r="R59" s="26">
        <f t="shared" si="4"/>
        <v>0.25</v>
      </c>
      <c r="S59" s="35">
        <f t="shared" si="5"/>
        <v>6</v>
      </c>
    </row>
    <row r="60">
      <c r="A60" s="15" t="s">
        <v>61</v>
      </c>
      <c r="B60" s="11" t="s">
        <v>6</v>
      </c>
      <c r="C60" s="12">
        <v>20.0</v>
      </c>
      <c r="D60" s="12">
        <v>1.0</v>
      </c>
      <c r="E60" s="12">
        <v>0.0</v>
      </c>
      <c r="F60" s="17">
        <v>79.0</v>
      </c>
      <c r="G60" s="38">
        <v>6.0</v>
      </c>
      <c r="H60" s="38">
        <v>2.0</v>
      </c>
      <c r="I60" s="38">
        <v>0.0</v>
      </c>
      <c r="J60" s="39">
        <v>1.0</v>
      </c>
      <c r="K60" s="39">
        <v>2.0</v>
      </c>
      <c r="L60" s="19">
        <v>0.0</v>
      </c>
      <c r="M60" s="20">
        <v>0.0</v>
      </c>
      <c r="N60" s="20">
        <v>23.0</v>
      </c>
      <c r="O60" s="23">
        <f t="shared" si="1"/>
        <v>0.8695652174</v>
      </c>
      <c r="P60" s="23">
        <f t="shared" si="2"/>
        <v>0.9565217391</v>
      </c>
      <c r="Q60" s="26">
        <f t="shared" si="3"/>
        <v>3.95</v>
      </c>
      <c r="R60" s="26">
        <f t="shared" si="4"/>
        <v>0.4</v>
      </c>
      <c r="S60" s="35">
        <f t="shared" si="5"/>
        <v>8</v>
      </c>
    </row>
    <row r="61">
      <c r="A61" s="15" t="s">
        <v>61</v>
      </c>
      <c r="B61" s="11" t="s">
        <v>38</v>
      </c>
      <c r="C61" s="12">
        <v>23.0</v>
      </c>
      <c r="D61" s="12">
        <v>0.0</v>
      </c>
      <c r="E61" s="12">
        <v>0.0</v>
      </c>
      <c r="F61" s="17">
        <v>0.0</v>
      </c>
      <c r="G61" s="38">
        <v>0.0</v>
      </c>
      <c r="H61" s="38">
        <v>0.0</v>
      </c>
      <c r="I61" s="38">
        <v>0.0</v>
      </c>
      <c r="J61" s="39">
        <v>0.0</v>
      </c>
      <c r="K61" s="39">
        <v>0.0</v>
      </c>
      <c r="L61" s="19">
        <v>0.0</v>
      </c>
      <c r="M61" s="20">
        <v>0.0</v>
      </c>
      <c r="N61" s="20">
        <v>23.0</v>
      </c>
      <c r="O61" s="23">
        <f t="shared" si="1"/>
        <v>1</v>
      </c>
      <c r="P61" s="23">
        <f t="shared" si="2"/>
        <v>1</v>
      </c>
      <c r="Q61" s="26">
        <f t="shared" si="3"/>
        <v>0</v>
      </c>
      <c r="R61" s="26">
        <f t="shared" si="4"/>
        <v>0</v>
      </c>
      <c r="S61" s="35">
        <f t="shared" si="5"/>
        <v>0</v>
      </c>
    </row>
    <row r="62">
      <c r="A62" s="15" t="s">
        <v>61</v>
      </c>
      <c r="B62" s="11" t="s">
        <v>4</v>
      </c>
      <c r="C62" s="12">
        <v>23.0</v>
      </c>
      <c r="D62" s="12">
        <v>0.0</v>
      </c>
      <c r="E62" s="12">
        <v>0.0</v>
      </c>
      <c r="F62" s="17">
        <v>0.0</v>
      </c>
      <c r="G62" s="38">
        <v>0.0</v>
      </c>
      <c r="H62" s="38">
        <v>0.0</v>
      </c>
      <c r="I62" s="38">
        <v>0.0</v>
      </c>
      <c r="J62" s="39">
        <v>0.0</v>
      </c>
      <c r="K62" s="39">
        <v>0.0</v>
      </c>
      <c r="L62" s="19">
        <v>0.0</v>
      </c>
      <c r="M62" s="20">
        <v>0.0</v>
      </c>
      <c r="N62" s="20">
        <v>23.0</v>
      </c>
      <c r="O62" s="23">
        <f t="shared" si="1"/>
        <v>1</v>
      </c>
      <c r="P62" s="23">
        <f t="shared" si="2"/>
        <v>1</v>
      </c>
      <c r="Q62" s="26">
        <f t="shared" si="3"/>
        <v>0</v>
      </c>
      <c r="R62" s="26">
        <f t="shared" si="4"/>
        <v>0</v>
      </c>
      <c r="S62" s="35">
        <f t="shared" si="5"/>
        <v>0</v>
      </c>
    </row>
    <row r="63">
      <c r="A63" s="15" t="s">
        <v>61</v>
      </c>
      <c r="B63" s="11" t="s">
        <v>7</v>
      </c>
      <c r="C63" s="12">
        <v>23.0</v>
      </c>
      <c r="D63" s="12">
        <v>0.0</v>
      </c>
      <c r="E63" s="12">
        <v>0.0</v>
      </c>
      <c r="F63" s="17">
        <v>79.0</v>
      </c>
      <c r="G63" s="38">
        <v>9.0</v>
      </c>
      <c r="H63" s="38">
        <v>0.0</v>
      </c>
      <c r="I63" s="38">
        <v>0.0</v>
      </c>
      <c r="J63" s="39">
        <v>2.0</v>
      </c>
      <c r="K63" s="39">
        <v>0.0</v>
      </c>
      <c r="L63" s="19">
        <v>0.0</v>
      </c>
      <c r="M63" s="20">
        <v>0.0</v>
      </c>
      <c r="N63" s="20">
        <v>23.0</v>
      </c>
      <c r="O63" s="23">
        <f t="shared" si="1"/>
        <v>1</v>
      </c>
      <c r="P63" s="23">
        <f t="shared" si="2"/>
        <v>1</v>
      </c>
      <c r="Q63" s="26">
        <f t="shared" si="3"/>
        <v>3.434782609</v>
      </c>
      <c r="R63" s="26">
        <f t="shared" si="4"/>
        <v>0.3913043478</v>
      </c>
      <c r="S63" s="35">
        <f t="shared" si="5"/>
        <v>9</v>
      </c>
    </row>
    <row r="64">
      <c r="A64" s="15" t="s">
        <v>61</v>
      </c>
      <c r="B64" s="11" t="s">
        <v>10</v>
      </c>
      <c r="C64" s="12">
        <v>20.0</v>
      </c>
      <c r="D64" s="12">
        <v>0.0</v>
      </c>
      <c r="E64" s="12">
        <v>0.0</v>
      </c>
      <c r="F64" s="17">
        <v>74.0</v>
      </c>
      <c r="G64" s="38">
        <v>7.0</v>
      </c>
      <c r="H64" s="38">
        <v>1.0</v>
      </c>
      <c r="I64" s="38">
        <v>0.0</v>
      </c>
      <c r="J64" s="39">
        <v>3.0</v>
      </c>
      <c r="K64" s="39">
        <v>0.0</v>
      </c>
      <c r="L64" s="19">
        <v>0.0</v>
      </c>
      <c r="M64" s="20">
        <v>0.0</v>
      </c>
      <c r="N64" s="20">
        <v>23.0</v>
      </c>
      <c r="O64" s="23">
        <f t="shared" si="1"/>
        <v>0.8695652174</v>
      </c>
      <c r="P64" s="23">
        <f t="shared" si="2"/>
        <v>1</v>
      </c>
      <c r="Q64" s="26">
        <f t="shared" si="3"/>
        <v>3.7</v>
      </c>
      <c r="R64" s="26">
        <f t="shared" si="4"/>
        <v>0.4</v>
      </c>
      <c r="S64" s="35">
        <f t="shared" si="5"/>
        <v>8</v>
      </c>
    </row>
    <row r="65">
      <c r="A65" s="15" t="s">
        <v>61</v>
      </c>
      <c r="B65" s="11" t="s">
        <v>2</v>
      </c>
      <c r="C65" s="12">
        <v>23.0</v>
      </c>
      <c r="D65" s="12">
        <v>0.0</v>
      </c>
      <c r="E65" s="12">
        <v>0.0</v>
      </c>
      <c r="F65" s="17">
        <v>98.0</v>
      </c>
      <c r="G65" s="38">
        <v>3.0</v>
      </c>
      <c r="H65" s="38">
        <v>2.0</v>
      </c>
      <c r="I65" s="38">
        <v>1.0</v>
      </c>
      <c r="J65" s="39">
        <v>0.0</v>
      </c>
      <c r="K65" s="39">
        <v>0.0</v>
      </c>
      <c r="L65" s="19">
        <v>0.0</v>
      </c>
      <c r="M65" s="20">
        <v>0.0</v>
      </c>
      <c r="N65" s="20">
        <v>23.0</v>
      </c>
      <c r="O65" s="23">
        <f t="shared" si="1"/>
        <v>1</v>
      </c>
      <c r="P65" s="23">
        <f t="shared" si="2"/>
        <v>1</v>
      </c>
      <c r="Q65" s="26">
        <f t="shared" si="3"/>
        <v>4.260869565</v>
      </c>
      <c r="R65" s="26">
        <f t="shared" si="4"/>
        <v>0.2608695652</v>
      </c>
      <c r="S65" s="35">
        <f t="shared" si="5"/>
        <v>6</v>
      </c>
    </row>
    <row r="66">
      <c r="A66" s="15" t="s">
        <v>61</v>
      </c>
      <c r="B66" s="11" t="s">
        <v>3</v>
      </c>
      <c r="C66" s="12">
        <v>23.0</v>
      </c>
      <c r="D66" s="12">
        <v>0.0</v>
      </c>
      <c r="E66" s="12">
        <v>0.0</v>
      </c>
      <c r="F66" s="17">
        <v>76.0</v>
      </c>
      <c r="G66" s="38">
        <v>8.0</v>
      </c>
      <c r="H66" s="38">
        <v>4.0</v>
      </c>
      <c r="I66" s="38">
        <v>0.0</v>
      </c>
      <c r="J66" s="39">
        <v>3.0</v>
      </c>
      <c r="K66" s="39">
        <v>0.0</v>
      </c>
      <c r="L66" s="19">
        <v>1.0</v>
      </c>
      <c r="M66" s="20">
        <v>0.0</v>
      </c>
      <c r="N66" s="20">
        <v>23.0</v>
      </c>
      <c r="O66" s="23">
        <f t="shared" si="1"/>
        <v>1</v>
      </c>
      <c r="P66" s="23">
        <f t="shared" si="2"/>
        <v>1</v>
      </c>
      <c r="Q66" s="26">
        <f t="shared" si="3"/>
        <v>3.304347826</v>
      </c>
      <c r="R66" s="26">
        <f t="shared" si="4"/>
        <v>0.5217391304</v>
      </c>
      <c r="S66" s="35">
        <f t="shared" si="5"/>
        <v>12</v>
      </c>
    </row>
    <row r="67">
      <c r="A67" s="15" t="s">
        <v>61</v>
      </c>
      <c r="B67" s="11" t="s">
        <v>9</v>
      </c>
      <c r="C67" s="12">
        <v>21.0</v>
      </c>
      <c r="D67" s="12">
        <v>0.0</v>
      </c>
      <c r="E67" s="12">
        <v>0.0</v>
      </c>
      <c r="F67" s="17">
        <v>74.0</v>
      </c>
      <c r="G67" s="38">
        <v>5.0</v>
      </c>
      <c r="H67" s="38">
        <v>3.0</v>
      </c>
      <c r="I67" s="38">
        <v>0.0</v>
      </c>
      <c r="J67" s="39">
        <v>2.0</v>
      </c>
      <c r="K67" s="39">
        <v>3.0</v>
      </c>
      <c r="L67" s="19">
        <v>0.0</v>
      </c>
      <c r="M67" s="20">
        <v>0.0</v>
      </c>
      <c r="N67" s="20">
        <v>23.0</v>
      </c>
      <c r="O67" s="23">
        <f t="shared" si="1"/>
        <v>0.9130434783</v>
      </c>
      <c r="P67" s="23">
        <f t="shared" si="2"/>
        <v>1</v>
      </c>
      <c r="Q67" s="26">
        <f t="shared" si="3"/>
        <v>3.523809524</v>
      </c>
      <c r="R67" s="26">
        <f t="shared" si="4"/>
        <v>0.380952381</v>
      </c>
      <c r="S67" s="35">
        <f t="shared" si="5"/>
        <v>8</v>
      </c>
    </row>
    <row r="68">
      <c r="A68" s="15" t="s">
        <v>61</v>
      </c>
      <c r="B68" s="11" t="s">
        <v>11</v>
      </c>
      <c r="C68" s="12">
        <v>23.0</v>
      </c>
      <c r="D68" s="12">
        <v>0.0</v>
      </c>
      <c r="E68" s="12">
        <v>0.0</v>
      </c>
      <c r="F68" s="17">
        <v>79.0</v>
      </c>
      <c r="G68" s="38">
        <v>5.0</v>
      </c>
      <c r="H68" s="38">
        <v>4.0</v>
      </c>
      <c r="I68" s="38">
        <v>0.0</v>
      </c>
      <c r="J68" s="39">
        <v>4.0</v>
      </c>
      <c r="K68" s="39">
        <v>1.0</v>
      </c>
      <c r="L68" s="19">
        <v>0.0</v>
      </c>
      <c r="M68" s="20">
        <v>0.0</v>
      </c>
      <c r="N68" s="20">
        <v>23.0</v>
      </c>
      <c r="O68" s="23">
        <f t="shared" si="1"/>
        <v>1</v>
      </c>
      <c r="P68" s="23">
        <f t="shared" si="2"/>
        <v>1</v>
      </c>
      <c r="Q68" s="26">
        <f t="shared" si="3"/>
        <v>3.434782609</v>
      </c>
      <c r="R68" s="26">
        <f t="shared" si="4"/>
        <v>0.3913043478</v>
      </c>
      <c r="S68" s="35">
        <f t="shared" si="5"/>
        <v>9</v>
      </c>
    </row>
    <row r="69">
      <c r="A69" s="15" t="s">
        <v>61</v>
      </c>
      <c r="B69" s="11" t="s">
        <v>8</v>
      </c>
      <c r="C69" s="12">
        <v>23.0</v>
      </c>
      <c r="D69" s="12">
        <v>2.0</v>
      </c>
      <c r="E69" s="12">
        <v>0.0</v>
      </c>
      <c r="F69" s="17">
        <v>78.0</v>
      </c>
      <c r="G69" s="38">
        <v>5.0</v>
      </c>
      <c r="H69" s="38">
        <v>6.0</v>
      </c>
      <c r="I69" s="38">
        <v>0.0</v>
      </c>
      <c r="J69" s="39">
        <v>2.0</v>
      </c>
      <c r="K69" s="39">
        <v>3.0</v>
      </c>
      <c r="L69" s="19">
        <v>0.0</v>
      </c>
      <c r="M69" s="20">
        <v>0.0</v>
      </c>
      <c r="N69" s="20">
        <v>23.0</v>
      </c>
      <c r="O69" s="23">
        <f t="shared" si="1"/>
        <v>1</v>
      </c>
      <c r="P69" s="23">
        <f t="shared" si="2"/>
        <v>0.9130434783</v>
      </c>
      <c r="Q69" s="26">
        <f t="shared" si="3"/>
        <v>3.391304348</v>
      </c>
      <c r="R69" s="26">
        <f t="shared" si="4"/>
        <v>0.4782608696</v>
      </c>
      <c r="S69" s="35">
        <f t="shared" si="5"/>
        <v>11</v>
      </c>
    </row>
    <row r="70">
      <c r="A70" s="15" t="s">
        <v>61</v>
      </c>
      <c r="B70" s="11" t="s">
        <v>5</v>
      </c>
      <c r="C70" s="12">
        <v>23.0</v>
      </c>
      <c r="D70" s="12">
        <v>0.0</v>
      </c>
      <c r="E70" s="12">
        <v>0.0</v>
      </c>
      <c r="F70" s="17">
        <v>78.0</v>
      </c>
      <c r="G70" s="38">
        <v>5.0</v>
      </c>
      <c r="H70" s="38">
        <v>4.0</v>
      </c>
      <c r="I70" s="38">
        <v>0.0</v>
      </c>
      <c r="J70" s="39">
        <v>2.0</v>
      </c>
      <c r="K70" s="39">
        <v>1.0</v>
      </c>
      <c r="L70" s="19">
        <v>0.0</v>
      </c>
      <c r="M70" s="20">
        <v>0.0</v>
      </c>
      <c r="N70" s="20">
        <v>23.0</v>
      </c>
      <c r="O70" s="23">
        <f t="shared" si="1"/>
        <v>1</v>
      </c>
      <c r="P70" s="23">
        <f t="shared" si="2"/>
        <v>1</v>
      </c>
      <c r="Q70" s="26">
        <f t="shared" si="3"/>
        <v>3.391304348</v>
      </c>
      <c r="R70" s="26">
        <f t="shared" si="4"/>
        <v>0.3913043478</v>
      </c>
      <c r="S70" s="35">
        <f t="shared" si="5"/>
        <v>9</v>
      </c>
    </row>
    <row r="71">
      <c r="A71" s="15" t="s">
        <v>62</v>
      </c>
      <c r="B71" s="11" t="s">
        <v>6</v>
      </c>
      <c r="C71" s="12">
        <v>26.0</v>
      </c>
      <c r="D71" s="12">
        <v>1.0</v>
      </c>
      <c r="E71" s="12">
        <v>0.0</v>
      </c>
      <c r="F71" s="17">
        <v>90.0</v>
      </c>
      <c r="G71" s="33">
        <v>7.0</v>
      </c>
      <c r="H71" s="33">
        <v>3.0</v>
      </c>
      <c r="I71" s="33">
        <v>0.0</v>
      </c>
      <c r="J71" s="34">
        <v>4.0</v>
      </c>
      <c r="K71" s="34">
        <v>2.0</v>
      </c>
      <c r="L71" s="20">
        <v>3.0</v>
      </c>
      <c r="M71" s="20">
        <v>0.0</v>
      </c>
      <c r="N71" s="20">
        <v>26.0</v>
      </c>
      <c r="O71" s="23">
        <f t="shared" si="1"/>
        <v>1</v>
      </c>
      <c r="P71" s="23">
        <f t="shared" si="2"/>
        <v>0.9615384615</v>
      </c>
      <c r="Q71" s="26">
        <f t="shared" si="3"/>
        <v>3.461538462</v>
      </c>
      <c r="R71" s="26">
        <f t="shared" si="4"/>
        <v>0.3846153846</v>
      </c>
      <c r="S71" s="35">
        <f t="shared" si="5"/>
        <v>10</v>
      </c>
    </row>
    <row r="72">
      <c r="A72" s="15" t="s">
        <v>62</v>
      </c>
      <c r="B72" s="11" t="s">
        <v>4</v>
      </c>
      <c r="C72" s="40">
        <v>26.0</v>
      </c>
      <c r="D72" s="40">
        <v>0.0</v>
      </c>
      <c r="E72" s="12">
        <v>0.0</v>
      </c>
      <c r="F72" s="17">
        <v>0.0</v>
      </c>
      <c r="G72" s="33">
        <v>0.0</v>
      </c>
      <c r="H72" s="33">
        <v>0.0</v>
      </c>
      <c r="I72" s="33">
        <v>0.0</v>
      </c>
      <c r="J72" s="34">
        <v>0.0</v>
      </c>
      <c r="K72" s="34">
        <v>0.0</v>
      </c>
      <c r="L72" s="20">
        <v>0.0</v>
      </c>
      <c r="M72" s="20">
        <v>0.0</v>
      </c>
      <c r="N72" s="20">
        <v>26.0</v>
      </c>
      <c r="O72" s="23">
        <f t="shared" si="1"/>
        <v>1</v>
      </c>
      <c r="P72" s="23">
        <f t="shared" si="2"/>
        <v>1</v>
      </c>
      <c r="Q72" s="26">
        <f t="shared" si="3"/>
        <v>0</v>
      </c>
      <c r="R72" s="26">
        <f t="shared" si="4"/>
        <v>0</v>
      </c>
      <c r="S72" s="35">
        <f t="shared" si="5"/>
        <v>0</v>
      </c>
    </row>
    <row r="73">
      <c r="A73" s="15" t="s">
        <v>62</v>
      </c>
      <c r="B73" s="11" t="s">
        <v>7</v>
      </c>
      <c r="C73" s="40">
        <v>26.0</v>
      </c>
      <c r="D73" s="40">
        <v>0.0</v>
      </c>
      <c r="E73" s="12">
        <v>0.0</v>
      </c>
      <c r="F73" s="17">
        <v>61.0</v>
      </c>
      <c r="G73" s="33">
        <v>5.0</v>
      </c>
      <c r="H73" s="33">
        <v>0.0</v>
      </c>
      <c r="I73" s="33">
        <v>1.0</v>
      </c>
      <c r="J73" s="34">
        <v>2.0</v>
      </c>
      <c r="K73" s="34">
        <v>0.0</v>
      </c>
      <c r="L73" s="20">
        <v>1.0</v>
      </c>
      <c r="M73" s="20">
        <v>0.0</v>
      </c>
      <c r="N73" s="20">
        <v>26.0</v>
      </c>
      <c r="O73" s="23">
        <f t="shared" si="1"/>
        <v>1</v>
      </c>
      <c r="P73" s="23">
        <f t="shared" si="2"/>
        <v>1</v>
      </c>
      <c r="Q73" s="26">
        <f t="shared" si="3"/>
        <v>2.346153846</v>
      </c>
      <c r="R73" s="26">
        <f t="shared" si="4"/>
        <v>0.2307692308</v>
      </c>
      <c r="S73" s="35">
        <f t="shared" si="5"/>
        <v>6</v>
      </c>
    </row>
    <row r="74">
      <c r="A74" s="15" t="s">
        <v>62</v>
      </c>
      <c r="B74" s="11" t="s">
        <v>10</v>
      </c>
      <c r="C74" s="40">
        <v>24.0</v>
      </c>
      <c r="D74" s="40">
        <v>1.0</v>
      </c>
      <c r="E74" s="12">
        <v>0.0</v>
      </c>
      <c r="F74" s="17">
        <v>67.0</v>
      </c>
      <c r="G74" s="33">
        <v>7.0</v>
      </c>
      <c r="H74" s="33">
        <v>2.0</v>
      </c>
      <c r="I74" s="33">
        <v>0.0</v>
      </c>
      <c r="J74" s="34">
        <v>3.0</v>
      </c>
      <c r="K74" s="34">
        <v>1.0</v>
      </c>
      <c r="L74" s="20">
        <v>1.0</v>
      </c>
      <c r="M74" s="20">
        <v>0.0</v>
      </c>
      <c r="N74" s="20">
        <v>26.0</v>
      </c>
      <c r="O74" s="23">
        <f t="shared" si="1"/>
        <v>0.9230769231</v>
      </c>
      <c r="P74" s="23">
        <f t="shared" si="2"/>
        <v>0.9615384615</v>
      </c>
      <c r="Q74" s="26">
        <f t="shared" si="3"/>
        <v>2.791666667</v>
      </c>
      <c r="R74" s="26">
        <f t="shared" si="4"/>
        <v>0.375</v>
      </c>
      <c r="S74" s="35">
        <f t="shared" si="5"/>
        <v>9</v>
      </c>
    </row>
    <row r="75">
      <c r="A75" s="15" t="s">
        <v>62</v>
      </c>
      <c r="B75" s="11" t="s">
        <v>2</v>
      </c>
      <c r="C75" s="40">
        <v>26.0</v>
      </c>
      <c r="D75" s="40">
        <v>0.0</v>
      </c>
      <c r="E75" s="12">
        <v>0.0</v>
      </c>
      <c r="F75" s="17">
        <v>97.0</v>
      </c>
      <c r="G75" s="33">
        <v>4.0</v>
      </c>
      <c r="H75" s="33">
        <v>4.0</v>
      </c>
      <c r="I75" s="33">
        <v>1.0</v>
      </c>
      <c r="J75" s="34">
        <v>0.0</v>
      </c>
      <c r="K75" s="34">
        <v>0.0</v>
      </c>
      <c r="L75" s="20">
        <v>0.0</v>
      </c>
      <c r="M75" s="20">
        <v>0.0</v>
      </c>
      <c r="N75" s="20">
        <v>26.0</v>
      </c>
      <c r="O75" s="23">
        <f t="shared" si="1"/>
        <v>1</v>
      </c>
      <c r="P75" s="23">
        <f t="shared" si="2"/>
        <v>1</v>
      </c>
      <c r="Q75" s="26">
        <f t="shared" si="3"/>
        <v>3.730769231</v>
      </c>
      <c r="R75" s="26">
        <f t="shared" si="4"/>
        <v>0.3461538462</v>
      </c>
      <c r="S75" s="35">
        <f t="shared" si="5"/>
        <v>9</v>
      </c>
    </row>
    <row r="76">
      <c r="A76" s="15" t="s">
        <v>62</v>
      </c>
      <c r="B76" s="11" t="s">
        <v>3</v>
      </c>
      <c r="C76" s="40">
        <v>26.0</v>
      </c>
      <c r="D76" s="40">
        <v>3.0</v>
      </c>
      <c r="E76" s="12">
        <v>0.0</v>
      </c>
      <c r="F76" s="17">
        <v>70.0</v>
      </c>
      <c r="G76" s="33">
        <v>4.0</v>
      </c>
      <c r="H76" s="33">
        <v>1.0</v>
      </c>
      <c r="I76" s="33">
        <v>0.0</v>
      </c>
      <c r="J76" s="34">
        <v>2.0</v>
      </c>
      <c r="K76" s="34">
        <v>0.0</v>
      </c>
      <c r="L76" s="20">
        <v>2.0</v>
      </c>
      <c r="M76" s="20">
        <v>0.0</v>
      </c>
      <c r="N76" s="20">
        <v>26.0</v>
      </c>
      <c r="O76" s="23">
        <f t="shared" si="1"/>
        <v>1</v>
      </c>
      <c r="P76" s="23">
        <f t="shared" si="2"/>
        <v>0.8846153846</v>
      </c>
      <c r="Q76" s="26">
        <f t="shared" si="3"/>
        <v>2.692307692</v>
      </c>
      <c r="R76" s="26">
        <f t="shared" si="4"/>
        <v>0.1923076923</v>
      </c>
      <c r="S76" s="35">
        <f t="shared" si="5"/>
        <v>5</v>
      </c>
    </row>
    <row r="77">
      <c r="A77" s="15" t="s">
        <v>62</v>
      </c>
      <c r="B77" s="11" t="s">
        <v>9</v>
      </c>
      <c r="C77" s="40">
        <v>25.0</v>
      </c>
      <c r="D77" s="40">
        <v>0.0</v>
      </c>
      <c r="E77" s="12">
        <v>0.0</v>
      </c>
      <c r="F77" s="17">
        <v>83.0</v>
      </c>
      <c r="G77" s="33">
        <v>7.0</v>
      </c>
      <c r="H77" s="33">
        <v>5.0</v>
      </c>
      <c r="I77" s="33">
        <v>0.0</v>
      </c>
      <c r="J77" s="34">
        <v>0.0</v>
      </c>
      <c r="K77" s="34">
        <v>2.0</v>
      </c>
      <c r="L77" s="20">
        <v>1.0</v>
      </c>
      <c r="M77" s="20">
        <v>0.0</v>
      </c>
      <c r="N77" s="20">
        <v>26.0</v>
      </c>
      <c r="O77" s="23">
        <f t="shared" si="1"/>
        <v>0.9615384615</v>
      </c>
      <c r="P77" s="23">
        <f t="shared" si="2"/>
        <v>1</v>
      </c>
      <c r="Q77" s="26">
        <f t="shared" si="3"/>
        <v>3.32</v>
      </c>
      <c r="R77" s="26">
        <f t="shared" si="4"/>
        <v>0.48</v>
      </c>
      <c r="S77" s="35">
        <f t="shared" si="5"/>
        <v>12</v>
      </c>
    </row>
    <row r="78">
      <c r="A78" s="15" t="s">
        <v>62</v>
      </c>
      <c r="B78" s="11" t="s">
        <v>11</v>
      </c>
      <c r="C78" s="40">
        <v>26.0</v>
      </c>
      <c r="D78" s="40">
        <v>2.0</v>
      </c>
      <c r="E78" s="12">
        <v>0.0</v>
      </c>
      <c r="F78" s="17">
        <v>79.0</v>
      </c>
      <c r="G78" s="33">
        <v>5.0</v>
      </c>
      <c r="H78" s="33">
        <v>3.0</v>
      </c>
      <c r="I78" s="33">
        <v>0.0</v>
      </c>
      <c r="J78" s="34">
        <v>1.0</v>
      </c>
      <c r="K78" s="34">
        <v>0.0</v>
      </c>
      <c r="L78" s="20">
        <v>1.0</v>
      </c>
      <c r="M78" s="20">
        <v>0.0</v>
      </c>
      <c r="N78" s="20">
        <v>26.0</v>
      </c>
      <c r="O78" s="23">
        <f t="shared" si="1"/>
        <v>1</v>
      </c>
      <c r="P78" s="23">
        <f t="shared" si="2"/>
        <v>0.9230769231</v>
      </c>
      <c r="Q78" s="26">
        <f t="shared" si="3"/>
        <v>3.038461538</v>
      </c>
      <c r="R78" s="26">
        <f t="shared" si="4"/>
        <v>0.3076923077</v>
      </c>
      <c r="S78" s="35">
        <f t="shared" si="5"/>
        <v>8</v>
      </c>
    </row>
    <row r="79">
      <c r="A79" s="15" t="s">
        <v>62</v>
      </c>
      <c r="B79" s="11" t="s">
        <v>8</v>
      </c>
      <c r="C79" s="40">
        <v>26.0</v>
      </c>
      <c r="D79" s="40">
        <v>2.0</v>
      </c>
      <c r="E79" s="12">
        <v>0.0</v>
      </c>
      <c r="F79" s="17">
        <v>80.0</v>
      </c>
      <c r="G79" s="33">
        <v>7.0</v>
      </c>
      <c r="H79" s="33">
        <v>4.0</v>
      </c>
      <c r="I79" s="33">
        <v>1.0</v>
      </c>
      <c r="J79" s="34">
        <v>1.0</v>
      </c>
      <c r="K79" s="34">
        <v>1.0</v>
      </c>
      <c r="L79" s="20">
        <v>1.0</v>
      </c>
      <c r="M79" s="20">
        <v>0.0</v>
      </c>
      <c r="N79" s="20">
        <v>26.0</v>
      </c>
      <c r="O79" s="23">
        <f t="shared" si="1"/>
        <v>1</v>
      </c>
      <c r="P79" s="23">
        <f t="shared" si="2"/>
        <v>0.9230769231</v>
      </c>
      <c r="Q79" s="26">
        <f t="shared" si="3"/>
        <v>3.076923077</v>
      </c>
      <c r="R79" s="26">
        <f t="shared" si="4"/>
        <v>0.4615384615</v>
      </c>
      <c r="S79" s="35">
        <f t="shared" si="5"/>
        <v>12</v>
      </c>
    </row>
    <row r="80">
      <c r="A80" s="15" t="s">
        <v>62</v>
      </c>
      <c r="B80" s="11" t="s">
        <v>5</v>
      </c>
      <c r="C80" s="40">
        <v>26.0</v>
      </c>
      <c r="D80" s="40">
        <v>0.0</v>
      </c>
      <c r="E80" s="12">
        <v>0.0</v>
      </c>
      <c r="F80" s="17">
        <v>81.0</v>
      </c>
      <c r="G80" s="33">
        <v>6.0</v>
      </c>
      <c r="H80" s="33">
        <v>2.0</v>
      </c>
      <c r="I80" s="33">
        <v>0.0</v>
      </c>
      <c r="J80" s="34">
        <v>4.0</v>
      </c>
      <c r="K80" s="34">
        <v>1.0</v>
      </c>
      <c r="L80" s="20">
        <v>1.0</v>
      </c>
      <c r="M80" s="20">
        <v>0.0</v>
      </c>
      <c r="N80" s="20">
        <v>26.0</v>
      </c>
      <c r="O80" s="23">
        <f t="shared" si="1"/>
        <v>1</v>
      </c>
      <c r="P80" s="23">
        <f t="shared" si="2"/>
        <v>1</v>
      </c>
      <c r="Q80" s="26">
        <f t="shared" si="3"/>
        <v>3.115384615</v>
      </c>
      <c r="R80" s="26">
        <f t="shared" si="4"/>
        <v>0.3076923077</v>
      </c>
      <c r="S80" s="35">
        <f t="shared" si="5"/>
        <v>8</v>
      </c>
    </row>
    <row r="81">
      <c r="A81" s="15" t="s">
        <v>63</v>
      </c>
      <c r="B81" s="11" t="s">
        <v>6</v>
      </c>
      <c r="C81" s="12">
        <v>25.0</v>
      </c>
      <c r="D81" s="12">
        <v>1.0</v>
      </c>
      <c r="E81" s="12">
        <v>0.0</v>
      </c>
      <c r="F81" s="17">
        <v>90.0</v>
      </c>
      <c r="G81" s="33">
        <v>6.0</v>
      </c>
      <c r="H81" s="33">
        <v>2.0</v>
      </c>
      <c r="I81" s="33">
        <v>1.0</v>
      </c>
      <c r="J81" s="34">
        <v>2.0</v>
      </c>
      <c r="K81" s="34">
        <v>0.0</v>
      </c>
      <c r="L81" s="20">
        <v>3.0</v>
      </c>
      <c r="M81" s="20">
        <v>0.0</v>
      </c>
      <c r="N81" s="20">
        <v>25.0</v>
      </c>
      <c r="O81" s="23">
        <f t="shared" si="1"/>
        <v>1</v>
      </c>
      <c r="P81" s="23">
        <f t="shared" si="2"/>
        <v>0.96</v>
      </c>
      <c r="Q81" s="26">
        <f t="shared" si="3"/>
        <v>3.6</v>
      </c>
      <c r="R81" s="26">
        <f t="shared" si="4"/>
        <v>0.36</v>
      </c>
      <c r="S81" s="35">
        <f t="shared" si="5"/>
        <v>9</v>
      </c>
    </row>
    <row r="82">
      <c r="A82" s="15" t="s">
        <v>63</v>
      </c>
      <c r="B82" s="11" t="s">
        <v>4</v>
      </c>
      <c r="C82" s="12">
        <v>25.0</v>
      </c>
      <c r="D82" s="12">
        <v>0.0</v>
      </c>
      <c r="E82" s="12">
        <v>0.0</v>
      </c>
      <c r="F82" s="17">
        <v>0.0</v>
      </c>
      <c r="G82" s="33">
        <v>0.0</v>
      </c>
      <c r="H82" s="33">
        <v>0.0</v>
      </c>
      <c r="I82" s="33">
        <v>0.0</v>
      </c>
      <c r="J82" s="34">
        <v>0.0</v>
      </c>
      <c r="K82" s="34">
        <v>0.0</v>
      </c>
      <c r="L82" s="20">
        <v>0.0</v>
      </c>
      <c r="M82" s="20">
        <v>0.0</v>
      </c>
      <c r="N82" s="20">
        <v>25.0</v>
      </c>
      <c r="O82" s="23">
        <f t="shared" si="1"/>
        <v>1</v>
      </c>
      <c r="P82" s="23">
        <f t="shared" si="2"/>
        <v>1</v>
      </c>
      <c r="Q82" s="26">
        <f t="shared" si="3"/>
        <v>0</v>
      </c>
      <c r="R82" s="26">
        <f t="shared" si="4"/>
        <v>0</v>
      </c>
      <c r="S82" s="35">
        <f t="shared" si="5"/>
        <v>0</v>
      </c>
    </row>
    <row r="83">
      <c r="A83" s="15" t="s">
        <v>63</v>
      </c>
      <c r="B83" s="11" t="s">
        <v>7</v>
      </c>
      <c r="C83" s="12">
        <v>22.0</v>
      </c>
      <c r="D83" s="12">
        <v>0.0</v>
      </c>
      <c r="E83" s="12">
        <v>0.0</v>
      </c>
      <c r="F83" s="17">
        <v>60.0</v>
      </c>
      <c r="G83" s="33">
        <v>4.0</v>
      </c>
      <c r="H83" s="33">
        <v>1.0</v>
      </c>
      <c r="I83" s="33">
        <v>0.0</v>
      </c>
      <c r="J83" s="34">
        <v>2.0</v>
      </c>
      <c r="K83" s="34">
        <v>0.0</v>
      </c>
      <c r="L83" s="20">
        <v>1.0</v>
      </c>
      <c r="M83" s="20">
        <v>0.0</v>
      </c>
      <c r="N83" s="20">
        <v>25.0</v>
      </c>
      <c r="O83" s="23">
        <f t="shared" si="1"/>
        <v>0.88</v>
      </c>
      <c r="P83" s="23">
        <f t="shared" si="2"/>
        <v>1</v>
      </c>
      <c r="Q83" s="26">
        <f t="shared" si="3"/>
        <v>2.727272727</v>
      </c>
      <c r="R83" s="26">
        <f t="shared" si="4"/>
        <v>0.2272727273</v>
      </c>
      <c r="S83" s="35">
        <f t="shared" si="5"/>
        <v>5</v>
      </c>
    </row>
    <row r="84">
      <c r="A84" s="15" t="s">
        <v>63</v>
      </c>
      <c r="B84" s="11" t="s">
        <v>10</v>
      </c>
      <c r="C84" s="12">
        <v>23.0</v>
      </c>
      <c r="D84" s="12">
        <v>3.0</v>
      </c>
      <c r="E84" s="12">
        <v>0.0</v>
      </c>
      <c r="F84" s="17">
        <v>70.0</v>
      </c>
      <c r="G84" s="33">
        <v>7.0</v>
      </c>
      <c r="H84" s="33">
        <v>1.0</v>
      </c>
      <c r="I84" s="33">
        <v>0.0</v>
      </c>
      <c r="J84" s="34">
        <v>1.0</v>
      </c>
      <c r="K84" s="34">
        <v>1.0</v>
      </c>
      <c r="L84" s="20">
        <v>2.0</v>
      </c>
      <c r="M84" s="20">
        <v>0.0</v>
      </c>
      <c r="N84" s="20">
        <v>25.0</v>
      </c>
      <c r="O84" s="23">
        <f t="shared" si="1"/>
        <v>0.92</v>
      </c>
      <c r="P84" s="23">
        <f t="shared" si="2"/>
        <v>0.88</v>
      </c>
      <c r="Q84" s="26">
        <f t="shared" si="3"/>
        <v>3.043478261</v>
      </c>
      <c r="R84" s="26">
        <f t="shared" si="4"/>
        <v>0.347826087</v>
      </c>
      <c r="S84" s="35">
        <f t="shared" si="5"/>
        <v>8</v>
      </c>
    </row>
    <row r="85">
      <c r="A85" s="15" t="s">
        <v>63</v>
      </c>
      <c r="B85" s="11" t="s">
        <v>2</v>
      </c>
      <c r="C85" s="12">
        <v>25.0</v>
      </c>
      <c r="D85" s="12">
        <v>0.0</v>
      </c>
      <c r="E85" s="12">
        <v>0.0</v>
      </c>
      <c r="F85" s="17">
        <v>96.0</v>
      </c>
      <c r="G85" s="33">
        <v>5.0</v>
      </c>
      <c r="H85" s="33">
        <v>6.0</v>
      </c>
      <c r="I85" s="33">
        <v>1.0</v>
      </c>
      <c r="J85" s="34">
        <v>4.0</v>
      </c>
      <c r="K85" s="34">
        <v>0.0</v>
      </c>
      <c r="L85" s="20">
        <v>0.0</v>
      </c>
      <c r="M85" s="20">
        <v>0.0</v>
      </c>
      <c r="N85" s="20">
        <v>25.0</v>
      </c>
      <c r="O85" s="23">
        <f t="shared" si="1"/>
        <v>1</v>
      </c>
      <c r="P85" s="23">
        <f t="shared" si="2"/>
        <v>1</v>
      </c>
      <c r="Q85" s="26">
        <f t="shared" si="3"/>
        <v>3.84</v>
      </c>
      <c r="R85" s="26">
        <f t="shared" si="4"/>
        <v>0.48</v>
      </c>
      <c r="S85" s="35">
        <f t="shared" si="5"/>
        <v>12</v>
      </c>
    </row>
    <row r="86">
      <c r="A86" s="15" t="s">
        <v>63</v>
      </c>
      <c r="B86" s="11" t="s">
        <v>3</v>
      </c>
      <c r="C86" s="12">
        <v>22.0</v>
      </c>
      <c r="D86" s="12">
        <v>0.0</v>
      </c>
      <c r="E86" s="12">
        <v>0.0</v>
      </c>
      <c r="F86" s="17">
        <v>64.0</v>
      </c>
      <c r="G86" s="33">
        <v>7.0</v>
      </c>
      <c r="H86" s="33">
        <v>1.0</v>
      </c>
      <c r="I86" s="33">
        <v>0.0</v>
      </c>
      <c r="J86" s="34">
        <v>1.0</v>
      </c>
      <c r="K86" s="34">
        <v>0.0</v>
      </c>
      <c r="L86" s="20">
        <v>2.0</v>
      </c>
      <c r="M86" s="20">
        <v>0.0</v>
      </c>
      <c r="N86" s="20">
        <v>25.0</v>
      </c>
      <c r="O86" s="23">
        <f t="shared" si="1"/>
        <v>0.88</v>
      </c>
      <c r="P86" s="23">
        <f t="shared" si="2"/>
        <v>1</v>
      </c>
      <c r="Q86" s="26">
        <f t="shared" si="3"/>
        <v>2.909090909</v>
      </c>
      <c r="R86" s="26">
        <f t="shared" si="4"/>
        <v>0.3636363636</v>
      </c>
      <c r="S86" s="35">
        <f t="shared" si="5"/>
        <v>8</v>
      </c>
    </row>
    <row r="87">
      <c r="A87" s="15" t="s">
        <v>63</v>
      </c>
      <c r="B87" s="11" t="s">
        <v>9</v>
      </c>
      <c r="C87" s="12">
        <v>24.0</v>
      </c>
      <c r="D87" s="12">
        <v>1.0</v>
      </c>
      <c r="E87" s="12">
        <v>0.0</v>
      </c>
      <c r="F87" s="17">
        <v>77.0</v>
      </c>
      <c r="G87" s="33">
        <v>8.0</v>
      </c>
      <c r="H87" s="33">
        <v>2.0</v>
      </c>
      <c r="I87" s="33">
        <v>0.0</v>
      </c>
      <c r="J87" s="34">
        <v>3.0</v>
      </c>
      <c r="K87" s="34">
        <v>1.0</v>
      </c>
      <c r="L87" s="20">
        <v>6.0</v>
      </c>
      <c r="M87" s="20">
        <v>0.0</v>
      </c>
      <c r="N87" s="20">
        <v>25.0</v>
      </c>
      <c r="O87" s="23">
        <f t="shared" si="1"/>
        <v>0.96</v>
      </c>
      <c r="P87" s="23">
        <f t="shared" si="2"/>
        <v>0.96</v>
      </c>
      <c r="Q87" s="26">
        <f t="shared" si="3"/>
        <v>3.208333333</v>
      </c>
      <c r="R87" s="26">
        <f t="shared" si="4"/>
        <v>0.4166666667</v>
      </c>
      <c r="S87" s="35">
        <f t="shared" si="5"/>
        <v>10</v>
      </c>
    </row>
    <row r="88">
      <c r="A88" s="15" t="s">
        <v>63</v>
      </c>
      <c r="B88" s="11" t="s">
        <v>11</v>
      </c>
      <c r="C88" s="12">
        <v>24.0</v>
      </c>
      <c r="D88" s="12">
        <v>0.0</v>
      </c>
      <c r="E88" s="12">
        <v>0.0</v>
      </c>
      <c r="F88" s="17">
        <v>78.0</v>
      </c>
      <c r="G88" s="33">
        <v>4.0</v>
      </c>
      <c r="H88" s="33">
        <v>3.0</v>
      </c>
      <c r="I88" s="33">
        <v>1.0</v>
      </c>
      <c r="J88" s="34">
        <v>11.0</v>
      </c>
      <c r="K88" s="34">
        <v>0.0</v>
      </c>
      <c r="L88" s="20">
        <v>1.0</v>
      </c>
      <c r="M88" s="20">
        <v>0.0</v>
      </c>
      <c r="N88" s="20">
        <v>25.0</v>
      </c>
      <c r="O88" s="23">
        <f t="shared" si="1"/>
        <v>0.96</v>
      </c>
      <c r="P88" s="23">
        <f t="shared" si="2"/>
        <v>1</v>
      </c>
      <c r="Q88" s="26">
        <f t="shared" si="3"/>
        <v>3.25</v>
      </c>
      <c r="R88" s="26">
        <f t="shared" si="4"/>
        <v>0.3333333333</v>
      </c>
      <c r="S88" s="35">
        <f t="shared" si="5"/>
        <v>8</v>
      </c>
    </row>
    <row r="89">
      <c r="A89" s="15" t="s">
        <v>63</v>
      </c>
      <c r="B89" s="11" t="s">
        <v>8</v>
      </c>
      <c r="C89" s="12">
        <v>25.0</v>
      </c>
      <c r="D89" s="12">
        <v>4.0</v>
      </c>
      <c r="E89" s="12">
        <v>0.0</v>
      </c>
      <c r="F89" s="17">
        <v>80.0</v>
      </c>
      <c r="G89" s="33">
        <v>7.0</v>
      </c>
      <c r="H89" s="33">
        <v>1.0</v>
      </c>
      <c r="I89" s="33">
        <v>0.0</v>
      </c>
      <c r="J89" s="34">
        <v>4.0</v>
      </c>
      <c r="K89" s="34">
        <v>4.0</v>
      </c>
      <c r="L89" s="20">
        <v>1.0</v>
      </c>
      <c r="M89" s="20">
        <v>0.0</v>
      </c>
      <c r="N89" s="20">
        <v>25.0</v>
      </c>
      <c r="O89" s="23">
        <f t="shared" si="1"/>
        <v>1</v>
      </c>
      <c r="P89" s="23">
        <f t="shared" si="2"/>
        <v>0.84</v>
      </c>
      <c r="Q89" s="26">
        <f t="shared" si="3"/>
        <v>3.2</v>
      </c>
      <c r="R89" s="26">
        <f t="shared" si="4"/>
        <v>0.32</v>
      </c>
      <c r="S89" s="35">
        <f t="shared" si="5"/>
        <v>8</v>
      </c>
    </row>
    <row r="90">
      <c r="A90" s="15" t="s">
        <v>63</v>
      </c>
      <c r="B90" s="11" t="s">
        <v>5</v>
      </c>
      <c r="C90" s="12">
        <v>25.0</v>
      </c>
      <c r="D90" s="12">
        <v>0.0</v>
      </c>
      <c r="E90" s="12">
        <v>0.0</v>
      </c>
      <c r="F90" s="17">
        <v>88.0</v>
      </c>
      <c r="G90" s="33">
        <v>8.0</v>
      </c>
      <c r="H90" s="33">
        <v>1.0</v>
      </c>
      <c r="I90" s="33">
        <v>0.0</v>
      </c>
      <c r="J90" s="34">
        <v>4.0</v>
      </c>
      <c r="K90" s="34">
        <v>3.0</v>
      </c>
      <c r="L90" s="20">
        <v>0.0</v>
      </c>
      <c r="M90" s="20">
        <v>0.0</v>
      </c>
      <c r="N90" s="20">
        <v>25.0</v>
      </c>
      <c r="O90" s="23">
        <f t="shared" si="1"/>
        <v>1</v>
      </c>
      <c r="P90" s="23">
        <f t="shared" si="2"/>
        <v>1</v>
      </c>
      <c r="Q90" s="26">
        <f t="shared" si="3"/>
        <v>3.52</v>
      </c>
      <c r="R90" s="26">
        <f t="shared" si="4"/>
        <v>0.36</v>
      </c>
      <c r="S90" s="35">
        <f t="shared" si="5"/>
        <v>9</v>
      </c>
    </row>
    <row r="91">
      <c r="A91" s="15" t="s">
        <v>64</v>
      </c>
      <c r="B91" s="11" t="s">
        <v>6</v>
      </c>
      <c r="C91" s="12">
        <v>23.0</v>
      </c>
      <c r="D91" s="12">
        <v>2.0</v>
      </c>
      <c r="E91" s="12">
        <v>0.0</v>
      </c>
      <c r="F91" s="17">
        <v>76.0</v>
      </c>
      <c r="G91" s="33">
        <v>5.0</v>
      </c>
      <c r="H91" s="33">
        <v>1.0</v>
      </c>
      <c r="I91" s="33">
        <v>0.0</v>
      </c>
      <c r="J91" s="34">
        <v>1.0</v>
      </c>
      <c r="K91" s="34">
        <v>1.0</v>
      </c>
      <c r="L91" s="20">
        <v>4.0</v>
      </c>
      <c r="M91" s="20">
        <v>0.0</v>
      </c>
      <c r="N91" s="20">
        <v>23.0</v>
      </c>
      <c r="O91" s="23">
        <f t="shared" si="1"/>
        <v>1</v>
      </c>
      <c r="P91" s="23">
        <f t="shared" si="2"/>
        <v>0.9130434783</v>
      </c>
      <c r="Q91" s="26">
        <f t="shared" si="3"/>
        <v>3.304347826</v>
      </c>
      <c r="R91" s="26">
        <f t="shared" si="4"/>
        <v>0.2608695652</v>
      </c>
      <c r="S91" s="35">
        <f t="shared" si="5"/>
        <v>6</v>
      </c>
    </row>
    <row r="92">
      <c r="A92" s="15" t="s">
        <v>64</v>
      </c>
      <c r="B92" s="11" t="s">
        <v>4</v>
      </c>
      <c r="C92" s="12">
        <v>23.0</v>
      </c>
      <c r="D92" s="12">
        <v>0.0</v>
      </c>
      <c r="E92" s="12">
        <v>0.0</v>
      </c>
      <c r="F92" s="17">
        <v>0.0</v>
      </c>
      <c r="G92" s="33">
        <v>0.0</v>
      </c>
      <c r="H92" s="33">
        <v>0.0</v>
      </c>
      <c r="I92" s="33">
        <v>0.0</v>
      </c>
      <c r="J92" s="34">
        <v>0.0</v>
      </c>
      <c r="K92" s="34">
        <v>0.0</v>
      </c>
      <c r="L92" s="20">
        <v>0.0</v>
      </c>
      <c r="M92" s="20">
        <v>0.0</v>
      </c>
      <c r="N92" s="20">
        <v>23.0</v>
      </c>
      <c r="O92" s="23">
        <f t="shared" si="1"/>
        <v>1</v>
      </c>
      <c r="P92" s="23">
        <f t="shared" si="2"/>
        <v>1</v>
      </c>
      <c r="Q92" s="26">
        <f t="shared" si="3"/>
        <v>0</v>
      </c>
      <c r="R92" s="26">
        <f t="shared" si="4"/>
        <v>0</v>
      </c>
      <c r="S92" s="35">
        <f t="shared" si="5"/>
        <v>0</v>
      </c>
    </row>
    <row r="93">
      <c r="A93" s="15" t="s">
        <v>64</v>
      </c>
      <c r="B93" s="11" t="s">
        <v>7</v>
      </c>
      <c r="C93" s="12">
        <v>21.0</v>
      </c>
      <c r="D93" s="12">
        <v>0.0</v>
      </c>
      <c r="E93" s="12">
        <v>0.0</v>
      </c>
      <c r="F93" s="17">
        <v>69.0</v>
      </c>
      <c r="G93" s="33">
        <v>4.0</v>
      </c>
      <c r="H93" s="33">
        <v>3.0</v>
      </c>
      <c r="I93" s="33">
        <v>0.0</v>
      </c>
      <c r="J93" s="34">
        <v>1.0</v>
      </c>
      <c r="K93" s="34">
        <v>0.0</v>
      </c>
      <c r="L93" s="20">
        <v>0.0</v>
      </c>
      <c r="M93" s="20">
        <v>0.0</v>
      </c>
      <c r="N93" s="20">
        <v>23.0</v>
      </c>
      <c r="O93" s="23">
        <f t="shared" si="1"/>
        <v>0.9130434783</v>
      </c>
      <c r="P93" s="23">
        <f t="shared" si="2"/>
        <v>1</v>
      </c>
      <c r="Q93" s="26">
        <f t="shared" si="3"/>
        <v>3.285714286</v>
      </c>
      <c r="R93" s="26">
        <f t="shared" si="4"/>
        <v>0.3333333333</v>
      </c>
      <c r="S93" s="35">
        <f t="shared" si="5"/>
        <v>7</v>
      </c>
    </row>
    <row r="94">
      <c r="A94" s="15" t="s">
        <v>64</v>
      </c>
      <c r="B94" s="11" t="s">
        <v>10</v>
      </c>
      <c r="C94" s="12">
        <v>20.0</v>
      </c>
      <c r="D94" s="12">
        <v>1.0</v>
      </c>
      <c r="E94" s="12">
        <v>0.0</v>
      </c>
      <c r="F94" s="17">
        <v>68.0</v>
      </c>
      <c r="G94" s="33">
        <v>6.0</v>
      </c>
      <c r="H94" s="33">
        <v>0.0</v>
      </c>
      <c r="I94" s="33">
        <v>1.0</v>
      </c>
      <c r="J94" s="34">
        <v>1.0</v>
      </c>
      <c r="K94" s="34">
        <v>0.0</v>
      </c>
      <c r="L94" s="20">
        <v>3.0</v>
      </c>
      <c r="M94" s="20">
        <v>0.0</v>
      </c>
      <c r="N94" s="20">
        <v>23.0</v>
      </c>
      <c r="O94" s="23">
        <f t="shared" si="1"/>
        <v>0.8695652174</v>
      </c>
      <c r="P94" s="23">
        <f t="shared" si="2"/>
        <v>0.9565217391</v>
      </c>
      <c r="Q94" s="26">
        <f t="shared" si="3"/>
        <v>3.4</v>
      </c>
      <c r="R94" s="26">
        <f t="shared" si="4"/>
        <v>0.35</v>
      </c>
      <c r="S94" s="35">
        <f t="shared" si="5"/>
        <v>7</v>
      </c>
    </row>
    <row r="95">
      <c r="A95" s="15" t="s">
        <v>64</v>
      </c>
      <c r="B95" s="11" t="s">
        <v>2</v>
      </c>
      <c r="C95" s="12">
        <v>23.0</v>
      </c>
      <c r="D95" s="12">
        <v>0.0</v>
      </c>
      <c r="E95" s="12">
        <v>0.0</v>
      </c>
      <c r="F95" s="17">
        <v>77.0</v>
      </c>
      <c r="G95" s="33">
        <v>3.0</v>
      </c>
      <c r="H95" s="33">
        <v>4.0</v>
      </c>
      <c r="I95" s="33">
        <v>2.0</v>
      </c>
      <c r="J95" s="34">
        <v>1.0</v>
      </c>
      <c r="K95" s="34">
        <v>0.0</v>
      </c>
      <c r="L95" s="20">
        <v>0.0</v>
      </c>
      <c r="M95" s="20">
        <v>0.0</v>
      </c>
      <c r="N95" s="20">
        <v>23.0</v>
      </c>
      <c r="O95" s="23">
        <f t="shared" si="1"/>
        <v>1</v>
      </c>
      <c r="P95" s="23">
        <f t="shared" si="2"/>
        <v>1</v>
      </c>
      <c r="Q95" s="26">
        <f t="shared" si="3"/>
        <v>3.347826087</v>
      </c>
      <c r="R95" s="26">
        <f t="shared" si="4"/>
        <v>0.3913043478</v>
      </c>
      <c r="S95" s="35">
        <f t="shared" si="5"/>
        <v>9</v>
      </c>
    </row>
    <row r="96">
      <c r="A96" s="15" t="s">
        <v>64</v>
      </c>
      <c r="B96" s="11" t="s">
        <v>3</v>
      </c>
      <c r="C96" s="12">
        <v>23.0</v>
      </c>
      <c r="D96" s="12">
        <v>0.0</v>
      </c>
      <c r="E96" s="12">
        <v>0.0</v>
      </c>
      <c r="F96" s="17">
        <v>68.0</v>
      </c>
      <c r="G96" s="33">
        <v>6.0</v>
      </c>
      <c r="H96" s="33">
        <v>0.0</v>
      </c>
      <c r="I96" s="33">
        <v>0.0</v>
      </c>
      <c r="J96" s="34">
        <v>2.0</v>
      </c>
      <c r="K96" s="34">
        <v>0.0</v>
      </c>
      <c r="L96" s="20">
        <v>2.0</v>
      </c>
      <c r="M96" s="20">
        <v>0.0</v>
      </c>
      <c r="N96" s="20">
        <v>23.0</v>
      </c>
      <c r="O96" s="23">
        <f t="shared" si="1"/>
        <v>1</v>
      </c>
      <c r="P96" s="23">
        <f t="shared" si="2"/>
        <v>1</v>
      </c>
      <c r="Q96" s="26">
        <f t="shared" si="3"/>
        <v>2.956521739</v>
      </c>
      <c r="R96" s="26">
        <f t="shared" si="4"/>
        <v>0.2608695652</v>
      </c>
      <c r="S96" s="35">
        <f t="shared" si="5"/>
        <v>6</v>
      </c>
    </row>
    <row r="97">
      <c r="A97" s="15" t="s">
        <v>64</v>
      </c>
      <c r="B97" s="11" t="s">
        <v>9</v>
      </c>
      <c r="C97" s="12">
        <v>20.0</v>
      </c>
      <c r="D97" s="12">
        <v>0.0</v>
      </c>
      <c r="E97" s="12">
        <v>0.0</v>
      </c>
      <c r="F97" s="17">
        <v>63.0</v>
      </c>
      <c r="G97" s="33">
        <v>5.0</v>
      </c>
      <c r="H97" s="33">
        <v>3.0</v>
      </c>
      <c r="I97" s="33">
        <v>0.0</v>
      </c>
      <c r="J97" s="34">
        <v>1.0</v>
      </c>
      <c r="K97" s="34">
        <v>0.0</v>
      </c>
      <c r="L97" s="20">
        <v>3.0</v>
      </c>
      <c r="M97" s="20">
        <v>0.0</v>
      </c>
      <c r="N97" s="20">
        <v>23.0</v>
      </c>
      <c r="O97" s="23">
        <f t="shared" si="1"/>
        <v>0.8695652174</v>
      </c>
      <c r="P97" s="23">
        <f t="shared" si="2"/>
        <v>1</v>
      </c>
      <c r="Q97" s="26">
        <f t="shared" si="3"/>
        <v>3.15</v>
      </c>
      <c r="R97" s="26">
        <f t="shared" si="4"/>
        <v>0.4</v>
      </c>
      <c r="S97" s="35">
        <f t="shared" si="5"/>
        <v>8</v>
      </c>
    </row>
    <row r="98">
      <c r="A98" s="15" t="s">
        <v>64</v>
      </c>
      <c r="B98" s="11" t="s">
        <v>11</v>
      </c>
      <c r="C98" s="12">
        <v>19.0</v>
      </c>
      <c r="D98" s="12">
        <v>2.0</v>
      </c>
      <c r="E98" s="12">
        <v>1.0</v>
      </c>
      <c r="F98" s="17">
        <v>65.0</v>
      </c>
      <c r="G98" s="33">
        <v>9.0</v>
      </c>
      <c r="H98" s="33">
        <v>2.0</v>
      </c>
      <c r="I98" s="33">
        <v>0.0</v>
      </c>
      <c r="J98" s="34">
        <v>2.0</v>
      </c>
      <c r="K98" s="34">
        <v>1.0</v>
      </c>
      <c r="L98" s="20">
        <v>2.0</v>
      </c>
      <c r="M98" s="20">
        <v>0.0</v>
      </c>
      <c r="N98" s="20">
        <v>23.0</v>
      </c>
      <c r="O98" s="23">
        <f t="shared" si="1"/>
        <v>0.8260869565</v>
      </c>
      <c r="P98" s="23">
        <f t="shared" si="2"/>
        <v>0.9130434783</v>
      </c>
      <c r="Q98" s="26">
        <f t="shared" si="3"/>
        <v>3.421052632</v>
      </c>
      <c r="R98" s="26">
        <f t="shared" si="4"/>
        <v>0.5789473684</v>
      </c>
      <c r="S98" s="35">
        <f t="shared" si="5"/>
        <v>11</v>
      </c>
    </row>
    <row r="99">
      <c r="A99" s="15" t="s">
        <v>64</v>
      </c>
      <c r="B99" s="11" t="s">
        <v>8</v>
      </c>
      <c r="C99" s="12">
        <v>21.0</v>
      </c>
      <c r="D99" s="12">
        <v>0.0</v>
      </c>
      <c r="E99" s="12">
        <v>0.0</v>
      </c>
      <c r="F99" s="17">
        <v>70.0</v>
      </c>
      <c r="G99" s="33">
        <v>3.0</v>
      </c>
      <c r="H99" s="33">
        <v>1.0</v>
      </c>
      <c r="I99" s="33">
        <v>0.0</v>
      </c>
      <c r="J99" s="34">
        <v>1.0</v>
      </c>
      <c r="K99" s="34">
        <v>1.0</v>
      </c>
      <c r="L99" s="20">
        <v>0.0</v>
      </c>
      <c r="M99" s="20">
        <v>0.0</v>
      </c>
      <c r="N99" s="20">
        <v>23.0</v>
      </c>
      <c r="O99" s="23">
        <f t="shared" si="1"/>
        <v>0.9130434783</v>
      </c>
      <c r="P99" s="23">
        <f t="shared" si="2"/>
        <v>1</v>
      </c>
      <c r="Q99" s="26">
        <f t="shared" si="3"/>
        <v>3.333333333</v>
      </c>
      <c r="R99" s="26">
        <f t="shared" si="4"/>
        <v>0.1904761905</v>
      </c>
      <c r="S99" s="35">
        <f t="shared" si="5"/>
        <v>4</v>
      </c>
    </row>
    <row r="100">
      <c r="A100" s="15" t="s">
        <v>64</v>
      </c>
      <c r="B100" s="11" t="s">
        <v>5</v>
      </c>
      <c r="C100" s="12">
        <v>21.0</v>
      </c>
      <c r="D100" s="12">
        <v>0.0</v>
      </c>
      <c r="E100" s="12">
        <v>0.0</v>
      </c>
      <c r="F100" s="17">
        <v>62.0</v>
      </c>
      <c r="G100" s="33">
        <v>6.0</v>
      </c>
      <c r="H100" s="33">
        <v>2.0</v>
      </c>
      <c r="I100" s="33">
        <v>0.0</v>
      </c>
      <c r="J100" s="34">
        <v>0.0</v>
      </c>
      <c r="K100" s="34">
        <v>0.0</v>
      </c>
      <c r="L100" s="20">
        <v>1.0</v>
      </c>
      <c r="M100" s="20">
        <v>0.0</v>
      </c>
      <c r="N100" s="20">
        <v>23.0</v>
      </c>
      <c r="O100" s="23">
        <f t="shared" si="1"/>
        <v>0.9130434783</v>
      </c>
      <c r="P100" s="23">
        <f t="shared" si="2"/>
        <v>1</v>
      </c>
      <c r="Q100" s="26">
        <f t="shared" si="3"/>
        <v>2.952380952</v>
      </c>
      <c r="R100" s="26">
        <f t="shared" si="4"/>
        <v>0.380952381</v>
      </c>
      <c r="S100" s="35">
        <f t="shared" si="5"/>
        <v>8</v>
      </c>
    </row>
    <row r="101">
      <c r="A101" s="31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</row>
    <row r="102">
      <c r="A102" s="31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</sheetData>
  <customSheetViews>
    <customSheetView guid="{6DD9D94E-05D3-42EA-80F6-0F71E88611B3}" filter="1" showAutoFilter="1">
      <autoFilter ref="$A$4:$S$100"/>
    </customSheetView>
  </customSheetViews>
  <dataValidations>
    <dataValidation type="custom" allowBlank="1" showDropDown="1" sqref="O5:O100 Q5:Q100">
      <formula1>AND(ISNUMBER(O5),(NOT(OR(NOT(ISERROR(DATEVALUE(O5))), AND(ISNUMBER(O5), LEFT(CELL("format", O5))="D")))))</formula1>
    </dataValidation>
    <dataValidation allowBlank="1" showDropDown="1" sqref="A5:A100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3" max="13" width="11.38"/>
  </cols>
  <sheetData>
    <row r="1">
      <c r="A1" s="4" t="s">
        <v>28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4">
      <c r="A4" s="13" t="s">
        <v>16</v>
      </c>
      <c r="B4" s="13" t="s">
        <v>0</v>
      </c>
      <c r="C4" s="7" t="s">
        <v>17</v>
      </c>
      <c r="D4" s="7" t="s">
        <v>18</v>
      </c>
      <c r="E4" s="7" t="s">
        <v>19</v>
      </c>
      <c r="F4" s="8" t="s">
        <v>35</v>
      </c>
      <c r="G4" s="7" t="s">
        <v>21</v>
      </c>
      <c r="H4" s="7" t="s">
        <v>22</v>
      </c>
      <c r="I4" s="9" t="s">
        <v>23</v>
      </c>
      <c r="J4" s="7" t="s">
        <v>24</v>
      </c>
      <c r="K4" s="7" t="s">
        <v>25</v>
      </c>
      <c r="L4" s="9" t="s">
        <v>26</v>
      </c>
      <c r="M4" s="7" t="s">
        <v>27</v>
      </c>
      <c r="N4" s="14" t="s">
        <v>1</v>
      </c>
      <c r="O4" s="14" t="s">
        <v>37</v>
      </c>
    </row>
    <row r="5">
      <c r="A5" s="15" t="s">
        <v>36</v>
      </c>
      <c r="B5" s="11" t="s">
        <v>6</v>
      </c>
      <c r="C5" s="12">
        <v>25.0</v>
      </c>
      <c r="D5" s="12">
        <v>-1.0</v>
      </c>
      <c r="E5" s="12">
        <v>0.0</v>
      </c>
      <c r="F5" s="12">
        <v>91.0</v>
      </c>
      <c r="G5" s="12">
        <v>24.0</v>
      </c>
      <c r="H5" s="12">
        <v>12.0</v>
      </c>
      <c r="I5" s="12">
        <v>0.0</v>
      </c>
      <c r="J5" s="21">
        <v>0.0</v>
      </c>
      <c r="K5" s="21">
        <v>10.0</v>
      </c>
      <c r="L5" s="21"/>
      <c r="M5" s="21">
        <v>0.0</v>
      </c>
      <c r="N5" s="22">
        <v>161.0</v>
      </c>
      <c r="O5" s="25">
        <f>RANK(N$5,N$5:N$15)</f>
        <v>3</v>
      </c>
    </row>
    <row r="6">
      <c r="A6" s="15" t="s">
        <v>36</v>
      </c>
      <c r="B6" s="11" t="s">
        <v>38</v>
      </c>
      <c r="C6" s="12">
        <v>25.0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21">
        <v>0.0</v>
      </c>
      <c r="K6" s="21">
        <v>0.0</v>
      </c>
      <c r="L6" s="21"/>
      <c r="M6" s="21">
        <v>0.0</v>
      </c>
      <c r="N6" s="22">
        <v>25.0</v>
      </c>
      <c r="O6" s="25">
        <f>RANK(N$6,N$5:N$15)</f>
        <v>9</v>
      </c>
    </row>
    <row r="7">
      <c r="A7" s="15" t="s">
        <v>36</v>
      </c>
      <c r="B7" s="11" t="s">
        <v>4</v>
      </c>
      <c r="C7" s="12">
        <v>25.0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21">
        <v>0.0</v>
      </c>
      <c r="K7" s="21">
        <v>0.0</v>
      </c>
      <c r="L7" s="21"/>
      <c r="M7" s="21">
        <v>0.0</v>
      </c>
      <c r="N7" s="22">
        <v>25.0</v>
      </c>
      <c r="O7" s="25">
        <f>RANK(N$7,N$5:N$15)</f>
        <v>9</v>
      </c>
    </row>
    <row r="8">
      <c r="A8" s="15" t="s">
        <v>36</v>
      </c>
      <c r="B8" s="11" t="s">
        <v>7</v>
      </c>
      <c r="C8" s="12">
        <v>24.0</v>
      </c>
      <c r="D8" s="12">
        <v>0.0</v>
      </c>
      <c r="E8" s="12">
        <v>0.0</v>
      </c>
      <c r="F8" s="12">
        <v>69.0</v>
      </c>
      <c r="G8" s="12">
        <v>24.0</v>
      </c>
      <c r="H8" s="12">
        <v>18.0</v>
      </c>
      <c r="I8" s="12">
        <v>0.0</v>
      </c>
      <c r="J8" s="21">
        <v>12.0</v>
      </c>
      <c r="K8" s="21">
        <v>10.0</v>
      </c>
      <c r="L8" s="21"/>
      <c r="M8" s="21">
        <v>0.0</v>
      </c>
      <c r="N8" s="22">
        <v>157.0</v>
      </c>
      <c r="O8" s="25">
        <f>RANK(N$8,N$5:N$15)</f>
        <v>4</v>
      </c>
    </row>
    <row r="9">
      <c r="A9" s="15" t="s">
        <v>36</v>
      </c>
      <c r="B9" s="11" t="s">
        <v>10</v>
      </c>
      <c r="C9" s="12">
        <v>25.0</v>
      </c>
      <c r="D9" s="12">
        <v>0.0</v>
      </c>
      <c r="E9" s="12">
        <v>0.0</v>
      </c>
      <c r="F9" s="12">
        <v>79.0</v>
      </c>
      <c r="G9" s="12">
        <v>9.0</v>
      </c>
      <c r="H9" s="12">
        <v>30.0</v>
      </c>
      <c r="I9" s="12">
        <v>0.0</v>
      </c>
      <c r="J9" s="21">
        <v>0.0</v>
      </c>
      <c r="K9" s="21">
        <v>0.0</v>
      </c>
      <c r="L9" s="21"/>
      <c r="M9" s="21">
        <v>0.0</v>
      </c>
      <c r="N9" s="22">
        <v>143.0</v>
      </c>
      <c r="O9" s="25">
        <f>RANK(N$9,N$5:N$15)</f>
        <v>6</v>
      </c>
    </row>
    <row r="10">
      <c r="A10" s="15" t="s">
        <v>36</v>
      </c>
      <c r="B10" s="11" t="s">
        <v>2</v>
      </c>
      <c r="C10" s="12">
        <v>25.0</v>
      </c>
      <c r="D10" s="12">
        <v>0.0</v>
      </c>
      <c r="E10" s="12">
        <v>0.0</v>
      </c>
      <c r="F10" s="12">
        <v>100.0</v>
      </c>
      <c r="G10" s="12">
        <v>21.0</v>
      </c>
      <c r="H10" s="12">
        <v>24.0</v>
      </c>
      <c r="I10" s="12">
        <v>0.0</v>
      </c>
      <c r="J10" s="21">
        <v>2.0</v>
      </c>
      <c r="K10" s="21">
        <v>0.0</v>
      </c>
      <c r="L10" s="21"/>
      <c r="M10" s="21">
        <v>2.0</v>
      </c>
      <c r="N10" s="22">
        <v>174.0</v>
      </c>
      <c r="O10" s="25">
        <f>RANK(N$10,N$5:N$15)</f>
        <v>1</v>
      </c>
    </row>
    <row r="11">
      <c r="A11" s="15" t="s">
        <v>36</v>
      </c>
      <c r="B11" s="11" t="s">
        <v>3</v>
      </c>
      <c r="C11" s="12">
        <v>24.0</v>
      </c>
      <c r="D11" s="12">
        <v>-1.0</v>
      </c>
      <c r="E11" s="12">
        <v>0.0</v>
      </c>
      <c r="F11" s="12">
        <v>92.0</v>
      </c>
      <c r="G11" s="12">
        <v>24.0</v>
      </c>
      <c r="H11" s="12">
        <v>30.0</v>
      </c>
      <c r="I11" s="12">
        <v>0.0</v>
      </c>
      <c r="J11" s="21">
        <v>0.0</v>
      </c>
      <c r="K11" s="21">
        <v>0.0</v>
      </c>
      <c r="L11" s="21"/>
      <c r="M11" s="21">
        <v>0.0</v>
      </c>
      <c r="N11" s="22">
        <v>169.0</v>
      </c>
      <c r="O11" s="25">
        <f>RANK(N$11,N$5:N$15)</f>
        <v>2</v>
      </c>
    </row>
    <row r="12">
      <c r="A12" s="15" t="s">
        <v>36</v>
      </c>
      <c r="B12" s="11" t="s">
        <v>9</v>
      </c>
      <c r="C12" s="12">
        <v>25.0</v>
      </c>
      <c r="D12" s="12">
        <v>0.0</v>
      </c>
      <c r="E12" s="12">
        <v>0.0</v>
      </c>
      <c r="F12" s="12">
        <v>77.0</v>
      </c>
      <c r="G12" s="12">
        <v>24.0</v>
      </c>
      <c r="H12" s="12">
        <v>0.0</v>
      </c>
      <c r="I12" s="12">
        <v>0.0</v>
      </c>
      <c r="J12" s="21">
        <v>2.0</v>
      </c>
      <c r="K12" s="21">
        <v>20.0</v>
      </c>
      <c r="L12" s="21"/>
      <c r="M12" s="21">
        <v>0.0</v>
      </c>
      <c r="N12" s="22">
        <v>148.0</v>
      </c>
      <c r="O12" s="25">
        <f>RANK(N$12,N$5:N$15)</f>
        <v>5</v>
      </c>
    </row>
    <row r="13">
      <c r="A13" s="15" t="s">
        <v>36</v>
      </c>
      <c r="B13" s="11" t="s">
        <v>11</v>
      </c>
      <c r="C13" s="12">
        <v>25.0</v>
      </c>
      <c r="D13" s="12">
        <v>0.0</v>
      </c>
      <c r="E13" s="12">
        <v>0.0</v>
      </c>
      <c r="F13" s="12">
        <v>81.0</v>
      </c>
      <c r="G13" s="12">
        <v>27.0</v>
      </c>
      <c r="H13" s="12">
        <v>6.0</v>
      </c>
      <c r="I13" s="12">
        <v>0.0</v>
      </c>
      <c r="J13" s="21">
        <v>0.0</v>
      </c>
      <c r="K13" s="21">
        <v>0.0</v>
      </c>
      <c r="L13" s="21"/>
      <c r="M13" s="21">
        <v>0.0</v>
      </c>
      <c r="N13" s="22">
        <v>139.0</v>
      </c>
      <c r="O13" s="25">
        <f>RANK(N$13,N$5:N$15)</f>
        <v>8</v>
      </c>
    </row>
    <row r="14">
      <c r="A14" s="15" t="s">
        <v>36</v>
      </c>
      <c r="B14" s="11" t="s">
        <v>8</v>
      </c>
      <c r="C14" s="12">
        <v>23.0</v>
      </c>
      <c r="D14" s="12">
        <v>0.0</v>
      </c>
      <c r="E14" s="12">
        <v>0.0</v>
      </c>
      <c r="F14" s="12">
        <v>73.0</v>
      </c>
      <c r="G14" s="12">
        <v>21.0</v>
      </c>
      <c r="H14" s="12">
        <v>6.0</v>
      </c>
      <c r="I14" s="12">
        <v>0.0</v>
      </c>
      <c r="J14" s="21">
        <v>0.0</v>
      </c>
      <c r="K14" s="21">
        <v>20.0</v>
      </c>
      <c r="L14" s="21"/>
      <c r="M14" s="21">
        <v>0.0</v>
      </c>
      <c r="N14" s="22">
        <v>143.0</v>
      </c>
      <c r="O14" s="25">
        <f>RANK(N$14,N$5:N$15)</f>
        <v>6</v>
      </c>
    </row>
    <row r="15">
      <c r="A15" s="15" t="s">
        <v>36</v>
      </c>
      <c r="B15" s="11" t="s">
        <v>5</v>
      </c>
      <c r="C15" s="12">
        <v>25.0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21">
        <v>0.0</v>
      </c>
      <c r="K15" s="21">
        <v>0.0</v>
      </c>
      <c r="L15" s="21"/>
      <c r="M15" s="21">
        <v>0.0</v>
      </c>
      <c r="N15" s="22">
        <v>25.0</v>
      </c>
      <c r="O15" s="25">
        <f>RANK(N$15,N$5:N$15)</f>
        <v>9</v>
      </c>
    </row>
    <row r="16">
      <c r="A16" s="15" t="s">
        <v>39</v>
      </c>
      <c r="B16" s="11" t="s">
        <v>6</v>
      </c>
      <c r="C16" s="28">
        <v>25.0</v>
      </c>
      <c r="D16" s="28">
        <v>-1.0</v>
      </c>
      <c r="E16" s="28">
        <v>0.0</v>
      </c>
      <c r="F16" s="28">
        <v>72.0</v>
      </c>
      <c r="G16" s="28">
        <v>18.0</v>
      </c>
      <c r="H16" s="28">
        <v>12.0</v>
      </c>
      <c r="I16" s="28">
        <v>12.0</v>
      </c>
      <c r="J16" s="22">
        <v>0.0</v>
      </c>
      <c r="K16" s="22">
        <v>10.0</v>
      </c>
      <c r="L16" s="22"/>
      <c r="M16" s="22">
        <v>6.0</v>
      </c>
      <c r="N16" s="22">
        <v>154.0</v>
      </c>
      <c r="O16" s="25">
        <f>RANK(N$16,N$16:N$26)</f>
        <v>6</v>
      </c>
    </row>
    <row r="17">
      <c r="A17" s="15" t="s">
        <v>39</v>
      </c>
      <c r="B17" s="11" t="s">
        <v>38</v>
      </c>
      <c r="C17" s="28">
        <v>25.0</v>
      </c>
      <c r="D17" s="28">
        <v>0.0</v>
      </c>
      <c r="E17" s="28">
        <v>0.0</v>
      </c>
      <c r="F17" s="28">
        <v>0.0</v>
      </c>
      <c r="G17" s="28">
        <v>0.0</v>
      </c>
      <c r="H17" s="28">
        <v>0.0</v>
      </c>
      <c r="I17" s="28">
        <v>0.0</v>
      </c>
      <c r="J17" s="22">
        <v>0.0</v>
      </c>
      <c r="K17" s="22">
        <v>0.0</v>
      </c>
      <c r="L17" s="22"/>
      <c r="M17" s="22">
        <v>0.0</v>
      </c>
      <c r="N17" s="22">
        <v>25.0</v>
      </c>
      <c r="O17" s="25">
        <f>RANK(N$17,N$16:N$26)</f>
        <v>10</v>
      </c>
    </row>
    <row r="18">
      <c r="A18" s="15" t="s">
        <v>39</v>
      </c>
      <c r="B18" s="11" t="s">
        <v>4</v>
      </c>
      <c r="C18" s="28">
        <v>25.0</v>
      </c>
      <c r="D18" s="28">
        <v>0.0</v>
      </c>
      <c r="E18" s="28">
        <v>0.0</v>
      </c>
      <c r="F18" s="28">
        <v>0.0</v>
      </c>
      <c r="G18" s="28">
        <v>0.0</v>
      </c>
      <c r="H18" s="28">
        <v>0.0</v>
      </c>
      <c r="I18" s="28">
        <v>0.0</v>
      </c>
      <c r="J18" s="22">
        <v>0.0</v>
      </c>
      <c r="K18" s="22">
        <v>0.0</v>
      </c>
      <c r="L18" s="22"/>
      <c r="M18" s="22">
        <v>0.0</v>
      </c>
      <c r="N18" s="22">
        <v>25.0</v>
      </c>
      <c r="O18" s="25">
        <f>RANK(N$18,N$16:N$26)</f>
        <v>10</v>
      </c>
    </row>
    <row r="19">
      <c r="A19" s="15" t="s">
        <v>39</v>
      </c>
      <c r="B19" s="11" t="s">
        <v>7</v>
      </c>
      <c r="C19" s="28">
        <v>25.0</v>
      </c>
      <c r="D19" s="28">
        <v>-1.0</v>
      </c>
      <c r="E19" s="28">
        <v>0.0</v>
      </c>
      <c r="F19" s="28">
        <v>82.0</v>
      </c>
      <c r="G19" s="28">
        <v>33.0</v>
      </c>
      <c r="H19" s="28">
        <v>0.0</v>
      </c>
      <c r="I19" s="28">
        <v>0.0</v>
      </c>
      <c r="J19" s="22">
        <v>4.0</v>
      </c>
      <c r="K19" s="22">
        <v>10.0</v>
      </c>
      <c r="L19" s="22"/>
      <c r="M19" s="22">
        <v>6.0</v>
      </c>
      <c r="N19" s="22">
        <v>159.0</v>
      </c>
      <c r="O19" s="25">
        <f>RANK(N$19,N$16:N$26)</f>
        <v>5</v>
      </c>
    </row>
    <row r="20">
      <c r="A20" s="15" t="s">
        <v>39</v>
      </c>
      <c r="B20" s="11" t="s">
        <v>10</v>
      </c>
      <c r="C20" s="28">
        <v>22.0</v>
      </c>
      <c r="D20" s="28">
        <v>-5.0</v>
      </c>
      <c r="E20" s="28">
        <v>0.0</v>
      </c>
      <c r="F20" s="28">
        <v>65.0</v>
      </c>
      <c r="G20" s="28">
        <v>9.0</v>
      </c>
      <c r="H20" s="28">
        <v>18.0</v>
      </c>
      <c r="I20" s="28">
        <v>0.0</v>
      </c>
      <c r="J20" s="22">
        <v>16.0</v>
      </c>
      <c r="K20" s="22">
        <v>0.0</v>
      </c>
      <c r="L20" s="22"/>
      <c r="M20" s="22">
        <v>6.0</v>
      </c>
      <c r="N20" s="22">
        <v>131.0</v>
      </c>
      <c r="O20" s="25">
        <f>RANK(N$20,N$16:N$26)</f>
        <v>8</v>
      </c>
    </row>
    <row r="21">
      <c r="A21" s="15" t="s">
        <v>39</v>
      </c>
      <c r="B21" s="11" t="s">
        <v>2</v>
      </c>
      <c r="C21" s="28">
        <v>25.0</v>
      </c>
      <c r="D21" s="28">
        <v>0.0</v>
      </c>
      <c r="E21" s="28">
        <v>0.0</v>
      </c>
      <c r="F21" s="28">
        <v>98.0</v>
      </c>
      <c r="G21" s="28">
        <v>27.0</v>
      </c>
      <c r="H21" s="28">
        <v>36.0</v>
      </c>
      <c r="I21" s="28">
        <v>0.0</v>
      </c>
      <c r="J21" s="22">
        <v>2.0</v>
      </c>
      <c r="K21" s="22">
        <v>20.0</v>
      </c>
      <c r="L21" s="22"/>
      <c r="M21" s="22">
        <v>6.0</v>
      </c>
      <c r="N21" s="22">
        <v>214.0</v>
      </c>
      <c r="O21" s="25">
        <f>RANK(N$21,N$16:N$26)</f>
        <v>1</v>
      </c>
    </row>
    <row r="22">
      <c r="A22" s="15" t="s">
        <v>39</v>
      </c>
      <c r="B22" s="11" t="s">
        <v>3</v>
      </c>
      <c r="C22" s="28">
        <v>25.0</v>
      </c>
      <c r="D22" s="28">
        <v>-1.0</v>
      </c>
      <c r="E22" s="28">
        <v>0.0</v>
      </c>
      <c r="F22" s="28">
        <v>81.0</v>
      </c>
      <c r="G22" s="28">
        <v>12.0</v>
      </c>
      <c r="H22" s="28">
        <v>0.0</v>
      </c>
      <c r="I22" s="28">
        <v>0.0</v>
      </c>
      <c r="J22" s="22">
        <v>4.0</v>
      </c>
      <c r="K22" s="22">
        <v>0.0</v>
      </c>
      <c r="L22" s="22"/>
      <c r="M22" s="22">
        <v>6.0</v>
      </c>
      <c r="N22" s="22">
        <v>127.0</v>
      </c>
      <c r="O22" s="25">
        <f>RANK(N$22,N$16:N$26)</f>
        <v>9</v>
      </c>
    </row>
    <row r="23">
      <c r="A23" s="15" t="s">
        <v>39</v>
      </c>
      <c r="B23" s="11" t="s">
        <v>9</v>
      </c>
      <c r="C23" s="28">
        <v>25.0</v>
      </c>
      <c r="D23" s="28">
        <v>-1.0</v>
      </c>
      <c r="E23" s="28">
        <v>0.0</v>
      </c>
      <c r="F23" s="28">
        <v>75.0</v>
      </c>
      <c r="G23" s="28">
        <v>24.0</v>
      </c>
      <c r="H23" s="28">
        <v>12.0</v>
      </c>
      <c r="I23" s="28">
        <v>0.0</v>
      </c>
      <c r="J23" s="22">
        <v>6.0</v>
      </c>
      <c r="K23" s="22">
        <v>20.0</v>
      </c>
      <c r="L23" s="22"/>
      <c r="M23" s="22">
        <v>6.0</v>
      </c>
      <c r="N23" s="22">
        <v>167.0</v>
      </c>
      <c r="O23" s="25">
        <f>RANK(N$23,N$16:N$26)</f>
        <v>4</v>
      </c>
    </row>
    <row r="24">
      <c r="A24" s="15" t="s">
        <v>39</v>
      </c>
      <c r="B24" s="11" t="s">
        <v>11</v>
      </c>
      <c r="C24" s="28">
        <v>25.0</v>
      </c>
      <c r="D24" s="28">
        <v>0.0</v>
      </c>
      <c r="E24" s="28">
        <v>0.0</v>
      </c>
      <c r="F24" s="28">
        <v>80.0</v>
      </c>
      <c r="G24" s="28">
        <v>21.0</v>
      </c>
      <c r="H24" s="28">
        <v>24.0</v>
      </c>
      <c r="I24" s="28">
        <v>0.0</v>
      </c>
      <c r="J24" s="22">
        <v>2.0</v>
      </c>
      <c r="K24" s="22">
        <v>10.0</v>
      </c>
      <c r="L24" s="22"/>
      <c r="M24" s="22">
        <v>6.0</v>
      </c>
      <c r="N24" s="22">
        <v>168.0</v>
      </c>
      <c r="O24" s="25">
        <f>RANK(N$24,N$16:N$26)</f>
        <v>3</v>
      </c>
    </row>
    <row r="25">
      <c r="A25" s="15" t="s">
        <v>39</v>
      </c>
      <c r="B25" s="11" t="s">
        <v>8</v>
      </c>
      <c r="C25" s="28">
        <v>25.0</v>
      </c>
      <c r="D25" s="28">
        <v>-2.0</v>
      </c>
      <c r="E25" s="28">
        <v>0.0</v>
      </c>
      <c r="F25" s="28">
        <v>90.0</v>
      </c>
      <c r="G25" s="28">
        <v>15.0</v>
      </c>
      <c r="H25" s="28">
        <v>24.0</v>
      </c>
      <c r="I25" s="28">
        <v>0.0</v>
      </c>
      <c r="J25" s="22">
        <v>0.0</v>
      </c>
      <c r="K25" s="22">
        <v>20.0</v>
      </c>
      <c r="L25" s="22"/>
      <c r="M25" s="22">
        <v>8.0</v>
      </c>
      <c r="N25" s="22">
        <v>180.0</v>
      </c>
      <c r="O25" s="25">
        <f>RANK(N$25,N$16:N$26)</f>
        <v>2</v>
      </c>
    </row>
    <row r="26">
      <c r="A26" s="15" t="s">
        <v>39</v>
      </c>
      <c r="B26" s="11" t="s">
        <v>5</v>
      </c>
      <c r="C26" s="28">
        <v>23.0</v>
      </c>
      <c r="D26" s="28">
        <v>0.0</v>
      </c>
      <c r="E26" s="28">
        <v>0.0</v>
      </c>
      <c r="F26" s="28">
        <v>62.0</v>
      </c>
      <c r="G26" s="28">
        <v>12.0</v>
      </c>
      <c r="H26" s="28">
        <v>12.0</v>
      </c>
      <c r="I26" s="28">
        <v>0.0</v>
      </c>
      <c r="J26" s="22">
        <v>8.0</v>
      </c>
      <c r="K26" s="22">
        <v>10.0</v>
      </c>
      <c r="L26" s="22"/>
      <c r="M26" s="22">
        <v>14.0</v>
      </c>
      <c r="N26" s="22">
        <v>141.0</v>
      </c>
      <c r="O26" s="25">
        <f>RANK(N$26,N$16:N$26)</f>
        <v>7</v>
      </c>
    </row>
    <row r="27">
      <c r="A27" s="15" t="s">
        <v>41</v>
      </c>
      <c r="B27" s="11" t="s">
        <v>6</v>
      </c>
      <c r="C27" s="28">
        <v>17.0</v>
      </c>
      <c r="D27" s="28">
        <v>-1.0</v>
      </c>
      <c r="E27" s="28">
        <v>0.0</v>
      </c>
      <c r="F27" s="28">
        <v>45.0</v>
      </c>
      <c r="G27" s="28">
        <v>12.0</v>
      </c>
      <c r="H27" s="28">
        <v>6.0</v>
      </c>
      <c r="I27" s="28">
        <v>0.0</v>
      </c>
      <c r="J27" s="22">
        <v>0.0</v>
      </c>
      <c r="K27" s="22">
        <v>0.0</v>
      </c>
      <c r="L27" s="22"/>
      <c r="M27" s="22">
        <v>0.0</v>
      </c>
      <c r="N27" s="22">
        <v>79.0</v>
      </c>
      <c r="O27" s="25">
        <f>RANK(N$27,N$27:N$37)</f>
        <v>7</v>
      </c>
    </row>
    <row r="28">
      <c r="A28" s="15" t="s">
        <v>41</v>
      </c>
      <c r="B28" s="11" t="s">
        <v>38</v>
      </c>
      <c r="C28" s="28">
        <v>17.0</v>
      </c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  <c r="J28" s="22">
        <v>0.0</v>
      </c>
      <c r="K28" s="22">
        <v>0.0</v>
      </c>
      <c r="L28" s="22"/>
      <c r="M28" s="22">
        <v>0.0</v>
      </c>
      <c r="N28" s="22">
        <v>17.0</v>
      </c>
      <c r="O28" s="25">
        <f>RANK(N$28,N$27:N$37)</f>
        <v>10</v>
      </c>
    </row>
    <row r="29">
      <c r="A29" s="15" t="s">
        <v>41</v>
      </c>
      <c r="B29" s="11" t="s">
        <v>4</v>
      </c>
      <c r="C29" s="28">
        <v>17.0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  <c r="J29" s="22">
        <v>0.0</v>
      </c>
      <c r="K29" s="22">
        <v>0.0</v>
      </c>
      <c r="L29" s="22"/>
      <c r="M29" s="22">
        <v>0.0</v>
      </c>
      <c r="N29" s="22">
        <v>17.0</v>
      </c>
      <c r="O29" s="25">
        <f>RANK(N$29,N$27:N$37)</f>
        <v>10</v>
      </c>
    </row>
    <row r="30">
      <c r="A30" s="15" t="s">
        <v>41</v>
      </c>
      <c r="B30" s="11" t="s">
        <v>7</v>
      </c>
      <c r="C30" s="28">
        <v>17.0</v>
      </c>
      <c r="D30" s="28">
        <v>-1.0</v>
      </c>
      <c r="E30" s="28">
        <v>0.0</v>
      </c>
      <c r="F30" s="28">
        <v>44.0</v>
      </c>
      <c r="G30" s="28">
        <v>15.0</v>
      </c>
      <c r="H30" s="28">
        <v>0.0</v>
      </c>
      <c r="I30" s="28">
        <v>0.0</v>
      </c>
      <c r="J30" s="22">
        <v>4.0</v>
      </c>
      <c r="K30" s="22">
        <v>0.0</v>
      </c>
      <c r="L30" s="22"/>
      <c r="M30" s="22">
        <v>0.0</v>
      </c>
      <c r="N30" s="22">
        <v>79.0</v>
      </c>
      <c r="O30" s="25">
        <f>RANK(N$30,N$27:N$37)</f>
        <v>7</v>
      </c>
    </row>
    <row r="31">
      <c r="A31" s="15" t="s">
        <v>41</v>
      </c>
      <c r="B31" s="11" t="s">
        <v>10</v>
      </c>
      <c r="C31" s="28">
        <v>17.0</v>
      </c>
      <c r="D31" s="28">
        <v>-3.0</v>
      </c>
      <c r="E31" s="28">
        <v>0.0</v>
      </c>
      <c r="F31" s="28">
        <v>51.0</v>
      </c>
      <c r="G31" s="28">
        <v>12.0</v>
      </c>
      <c r="H31" s="28">
        <v>0.0</v>
      </c>
      <c r="I31" s="28">
        <v>0.0</v>
      </c>
      <c r="J31" s="22">
        <v>4.0</v>
      </c>
      <c r="K31" s="22">
        <v>0.0</v>
      </c>
      <c r="L31" s="22"/>
      <c r="M31" s="22">
        <v>0.0</v>
      </c>
      <c r="N31" s="22">
        <v>81.0</v>
      </c>
      <c r="O31" s="25">
        <f>RANK(N$31,N$27:N$37)</f>
        <v>6</v>
      </c>
    </row>
    <row r="32">
      <c r="A32" s="15" t="s">
        <v>41</v>
      </c>
      <c r="B32" s="11" t="s">
        <v>2</v>
      </c>
      <c r="C32" s="28">
        <v>16.0</v>
      </c>
      <c r="D32" s="28">
        <v>0.0</v>
      </c>
      <c r="E32" s="28">
        <v>0.0</v>
      </c>
      <c r="F32" s="28">
        <v>69.0</v>
      </c>
      <c r="G32" s="28">
        <v>6.0</v>
      </c>
      <c r="H32" s="28">
        <v>12.0</v>
      </c>
      <c r="I32" s="28">
        <v>0.0</v>
      </c>
      <c r="J32" s="22">
        <v>2.0</v>
      </c>
      <c r="K32" s="22">
        <v>10.0</v>
      </c>
      <c r="L32" s="22"/>
      <c r="M32" s="22">
        <v>0.0</v>
      </c>
      <c r="N32" s="22">
        <v>115.0</v>
      </c>
      <c r="O32" s="25">
        <f>RANK(N$32,N$27:N$37)</f>
        <v>2</v>
      </c>
    </row>
    <row r="33">
      <c r="A33" s="15" t="s">
        <v>41</v>
      </c>
      <c r="B33" s="11" t="s">
        <v>3</v>
      </c>
      <c r="C33" s="28">
        <v>17.0</v>
      </c>
      <c r="D33" s="28">
        <v>-3.0</v>
      </c>
      <c r="E33" s="28">
        <v>0.0</v>
      </c>
      <c r="F33" s="28">
        <v>51.0</v>
      </c>
      <c r="G33" s="28">
        <v>9.0</v>
      </c>
      <c r="H33" s="28">
        <v>12.0</v>
      </c>
      <c r="I33" s="28">
        <v>0.0</v>
      </c>
      <c r="J33" s="22">
        <v>0.0</v>
      </c>
      <c r="K33" s="22">
        <v>0.0</v>
      </c>
      <c r="L33" s="22"/>
      <c r="M33" s="22">
        <v>0.0</v>
      </c>
      <c r="N33" s="22">
        <v>86.0</v>
      </c>
      <c r="O33" s="25">
        <f>RANK(N$33,N$27:N$37)</f>
        <v>4</v>
      </c>
    </row>
    <row r="34">
      <c r="A34" s="15" t="s">
        <v>41</v>
      </c>
      <c r="B34" s="11" t="s">
        <v>9</v>
      </c>
      <c r="C34" s="28">
        <v>16.0</v>
      </c>
      <c r="D34" s="28">
        <v>0.0</v>
      </c>
      <c r="E34" s="28">
        <v>0.0</v>
      </c>
      <c r="F34" s="28">
        <v>46.0</v>
      </c>
      <c r="G34" s="28">
        <v>15.0</v>
      </c>
      <c r="H34" s="28">
        <v>6.0</v>
      </c>
      <c r="I34" s="28">
        <v>0.0</v>
      </c>
      <c r="J34" s="22">
        <v>0.0</v>
      </c>
      <c r="K34" s="22">
        <v>0.0</v>
      </c>
      <c r="L34" s="22"/>
      <c r="M34" s="22">
        <v>0.0</v>
      </c>
      <c r="N34" s="22">
        <v>83.0</v>
      </c>
      <c r="O34" s="25">
        <f>RANK(N$34,N$27:N$37)</f>
        <v>5</v>
      </c>
    </row>
    <row r="35">
      <c r="A35" s="15" t="s">
        <v>41</v>
      </c>
      <c r="B35" s="11" t="s">
        <v>11</v>
      </c>
      <c r="C35" s="28">
        <v>17.0</v>
      </c>
      <c r="D35" s="28">
        <v>0.0</v>
      </c>
      <c r="E35" s="28">
        <v>0.0</v>
      </c>
      <c r="F35" s="28">
        <v>46.0</v>
      </c>
      <c r="G35" s="28">
        <v>9.0</v>
      </c>
      <c r="H35" s="28">
        <v>6.0</v>
      </c>
      <c r="I35" s="28">
        <v>0.0</v>
      </c>
      <c r="J35" s="22">
        <v>0.0</v>
      </c>
      <c r="K35" s="22">
        <v>0.0</v>
      </c>
      <c r="L35" s="22"/>
      <c r="M35" s="22">
        <v>0.0</v>
      </c>
      <c r="N35" s="22">
        <v>78.0</v>
      </c>
      <c r="O35" s="25">
        <f>RANK(N$35,N$27:N$37)</f>
        <v>9</v>
      </c>
    </row>
    <row r="36">
      <c r="A36" s="15" t="s">
        <v>41</v>
      </c>
      <c r="B36" s="11" t="s">
        <v>8</v>
      </c>
      <c r="C36" s="28">
        <v>17.0</v>
      </c>
      <c r="D36" s="28">
        <v>-1.0</v>
      </c>
      <c r="E36" s="28">
        <v>0.0</v>
      </c>
      <c r="F36" s="28">
        <v>56.0</v>
      </c>
      <c r="G36" s="28">
        <v>9.0</v>
      </c>
      <c r="H36" s="28">
        <v>12.0</v>
      </c>
      <c r="I36" s="28">
        <v>12.0</v>
      </c>
      <c r="J36" s="22">
        <v>4.0</v>
      </c>
      <c r="K36" s="22">
        <v>10.0</v>
      </c>
      <c r="L36" s="22"/>
      <c r="M36" s="22">
        <v>0.0</v>
      </c>
      <c r="N36" s="22">
        <v>119.0</v>
      </c>
      <c r="O36" s="25">
        <f>RANK(N$36,N$27:N$37)</f>
        <v>1</v>
      </c>
    </row>
    <row r="37">
      <c r="A37" s="15" t="s">
        <v>41</v>
      </c>
      <c r="B37" s="11" t="s">
        <v>5</v>
      </c>
      <c r="C37" s="28">
        <v>17.0</v>
      </c>
      <c r="D37" s="28">
        <v>0.0</v>
      </c>
      <c r="E37" s="28">
        <v>0.0</v>
      </c>
      <c r="F37" s="28">
        <v>52.0</v>
      </c>
      <c r="G37" s="28">
        <v>18.0</v>
      </c>
      <c r="H37" s="28">
        <v>0.0</v>
      </c>
      <c r="I37" s="28">
        <v>0.0</v>
      </c>
      <c r="J37" s="22">
        <v>2.0</v>
      </c>
      <c r="K37" s="22">
        <v>0.0</v>
      </c>
      <c r="L37" s="22"/>
      <c r="M37" s="22">
        <v>0.0</v>
      </c>
      <c r="N37" s="22">
        <v>89.0</v>
      </c>
      <c r="O37" s="25">
        <f>RANK(N$37,N$27:N$37)</f>
        <v>3</v>
      </c>
    </row>
    <row r="38">
      <c r="A38" s="15" t="s">
        <v>56</v>
      </c>
      <c r="B38" s="11" t="s">
        <v>6</v>
      </c>
      <c r="C38" s="28">
        <v>24.0</v>
      </c>
      <c r="D38" s="28">
        <v>-1.0</v>
      </c>
      <c r="E38" s="28">
        <v>0.0</v>
      </c>
      <c r="F38" s="28">
        <v>78.0</v>
      </c>
      <c r="G38" s="28">
        <v>18.0</v>
      </c>
      <c r="H38" s="28">
        <v>6.0</v>
      </c>
      <c r="I38" s="28">
        <v>12.0</v>
      </c>
      <c r="J38" s="22">
        <v>0.0</v>
      </c>
      <c r="K38" s="22">
        <v>10.0</v>
      </c>
      <c r="L38" s="22"/>
      <c r="M38" s="22">
        <v>0.0</v>
      </c>
      <c r="N38" s="22">
        <v>147.0</v>
      </c>
      <c r="O38" s="25">
        <f>RANK(N$38,N$38:N$48)</f>
        <v>7</v>
      </c>
    </row>
    <row r="39">
      <c r="A39" s="15" t="s">
        <v>56</v>
      </c>
      <c r="B39" s="11" t="s">
        <v>38</v>
      </c>
      <c r="C39" s="28">
        <v>27.0</v>
      </c>
      <c r="D39" s="28">
        <v>0.0</v>
      </c>
      <c r="E39" s="28">
        <v>0.0</v>
      </c>
      <c r="F39" s="28">
        <v>0.0</v>
      </c>
      <c r="G39" s="28">
        <v>0.0</v>
      </c>
      <c r="H39" s="28">
        <v>0.0</v>
      </c>
      <c r="I39" s="28">
        <v>0.0</v>
      </c>
      <c r="J39" s="22">
        <v>0.0</v>
      </c>
      <c r="K39" s="22">
        <v>0.0</v>
      </c>
      <c r="L39" s="22"/>
      <c r="M39" s="22">
        <v>0.0</v>
      </c>
      <c r="N39" s="22">
        <v>27.0</v>
      </c>
      <c r="O39" s="25">
        <f>RANK(N$39,N$38:N$48)</f>
        <v>10</v>
      </c>
    </row>
    <row r="40">
      <c r="A40" s="15" t="s">
        <v>56</v>
      </c>
      <c r="B40" s="11" t="s">
        <v>4</v>
      </c>
      <c r="C40" s="28">
        <v>27.0</v>
      </c>
      <c r="D40" s="28">
        <v>0.0</v>
      </c>
      <c r="E40" s="28">
        <v>0.0</v>
      </c>
      <c r="F40" s="28">
        <v>0.0</v>
      </c>
      <c r="G40" s="28">
        <v>0.0</v>
      </c>
      <c r="H40" s="28">
        <v>0.0</v>
      </c>
      <c r="I40" s="28">
        <v>0.0</v>
      </c>
      <c r="J40" s="22">
        <v>0.0</v>
      </c>
      <c r="K40" s="22">
        <v>0.0</v>
      </c>
      <c r="L40" s="22"/>
      <c r="M40" s="22">
        <v>0.0</v>
      </c>
      <c r="N40" s="22">
        <v>27.0</v>
      </c>
      <c r="O40" s="25">
        <f>RANK(N$40,N$38:N$48)</f>
        <v>10</v>
      </c>
    </row>
    <row r="41">
      <c r="A41" s="15" t="s">
        <v>56</v>
      </c>
      <c r="B41" s="11" t="s">
        <v>7</v>
      </c>
      <c r="C41" s="28">
        <v>23.0</v>
      </c>
      <c r="D41" s="28">
        <v>0.0</v>
      </c>
      <c r="E41" s="28">
        <v>0.0</v>
      </c>
      <c r="F41" s="28">
        <v>62.0</v>
      </c>
      <c r="G41" s="28">
        <v>24.0</v>
      </c>
      <c r="H41" s="28">
        <v>6.0</v>
      </c>
      <c r="I41" s="28">
        <v>0.0</v>
      </c>
      <c r="J41" s="22">
        <v>6.0</v>
      </c>
      <c r="K41" s="22">
        <v>10.0</v>
      </c>
      <c r="L41" s="22"/>
      <c r="M41" s="22">
        <v>0.0</v>
      </c>
      <c r="N41" s="22">
        <v>131.0</v>
      </c>
      <c r="O41" s="25">
        <f>RANK(N$41,N$38:N$48)</f>
        <v>9</v>
      </c>
    </row>
    <row r="42">
      <c r="A42" s="15" t="s">
        <v>56</v>
      </c>
      <c r="B42" s="11" t="s">
        <v>10</v>
      </c>
      <c r="C42" s="28">
        <v>26.0</v>
      </c>
      <c r="D42" s="28">
        <v>-1.0</v>
      </c>
      <c r="E42" s="28">
        <v>0.0</v>
      </c>
      <c r="F42" s="28">
        <v>82.0</v>
      </c>
      <c r="G42" s="28">
        <v>24.0</v>
      </c>
      <c r="H42" s="28">
        <v>24.0</v>
      </c>
      <c r="I42" s="28">
        <v>0.0</v>
      </c>
      <c r="J42" s="22">
        <v>2.0</v>
      </c>
      <c r="K42" s="22">
        <v>10.0</v>
      </c>
      <c r="L42" s="22"/>
      <c r="M42" s="22">
        <v>4.0</v>
      </c>
      <c r="N42" s="22">
        <v>171.0</v>
      </c>
      <c r="O42" s="25">
        <f>RANK(N$42,N$38:N$48)</f>
        <v>1</v>
      </c>
    </row>
    <row r="43">
      <c r="A43" s="15" t="s">
        <v>56</v>
      </c>
      <c r="B43" s="11" t="s">
        <v>2</v>
      </c>
      <c r="C43" s="28">
        <v>19.0</v>
      </c>
      <c r="D43" s="28">
        <v>0.0</v>
      </c>
      <c r="E43" s="28">
        <v>0.0</v>
      </c>
      <c r="F43" s="28">
        <v>69.0</v>
      </c>
      <c r="G43" s="28">
        <v>15.0</v>
      </c>
      <c r="H43" s="28">
        <v>12.0</v>
      </c>
      <c r="I43" s="28">
        <v>0.0</v>
      </c>
      <c r="J43" s="22">
        <v>2.0</v>
      </c>
      <c r="K43" s="22">
        <v>30.0</v>
      </c>
      <c r="L43" s="22"/>
      <c r="M43" s="22">
        <v>12.0</v>
      </c>
      <c r="N43" s="22">
        <v>159.0</v>
      </c>
      <c r="O43" s="25">
        <f>RANK(N$43,N$38:N$48)</f>
        <v>5</v>
      </c>
    </row>
    <row r="44">
      <c r="A44" s="15" t="s">
        <v>56</v>
      </c>
      <c r="B44" s="11" t="s">
        <v>3</v>
      </c>
      <c r="C44" s="28">
        <v>25.0</v>
      </c>
      <c r="D44" s="28">
        <v>0.0</v>
      </c>
      <c r="E44" s="28">
        <v>2.0</v>
      </c>
      <c r="F44" s="28">
        <v>76.0</v>
      </c>
      <c r="G44" s="28">
        <v>12.0</v>
      </c>
      <c r="H44" s="28">
        <v>12.0</v>
      </c>
      <c r="I44" s="28">
        <v>0.0</v>
      </c>
      <c r="J44" s="22">
        <v>4.0</v>
      </c>
      <c r="K44" s="22">
        <v>0.0</v>
      </c>
      <c r="L44" s="22"/>
      <c r="M44" s="22">
        <v>4.0</v>
      </c>
      <c r="N44" s="22">
        <v>135.0</v>
      </c>
      <c r="O44" s="25">
        <f>RANK(N$44,N$38:N$48)</f>
        <v>8</v>
      </c>
    </row>
    <row r="45">
      <c r="A45" s="15" t="s">
        <v>56</v>
      </c>
      <c r="B45" s="11" t="s">
        <v>9</v>
      </c>
      <c r="C45" s="28">
        <v>27.0</v>
      </c>
      <c r="D45" s="28">
        <v>0.0</v>
      </c>
      <c r="E45" s="28">
        <v>0.0</v>
      </c>
      <c r="F45" s="28">
        <v>80.0</v>
      </c>
      <c r="G45" s="28">
        <v>9.0</v>
      </c>
      <c r="H45" s="28">
        <v>18.0</v>
      </c>
      <c r="I45" s="28">
        <v>0.0</v>
      </c>
      <c r="J45" s="22">
        <v>2.0</v>
      </c>
      <c r="K45" s="22">
        <v>30.0</v>
      </c>
      <c r="L45" s="22"/>
      <c r="M45" s="22">
        <v>4.0</v>
      </c>
      <c r="N45" s="22">
        <v>170.0</v>
      </c>
      <c r="O45" s="25">
        <f>RANK(N$45,N$38:N$48)</f>
        <v>2</v>
      </c>
    </row>
    <row r="46">
      <c r="A46" s="15" t="s">
        <v>56</v>
      </c>
      <c r="B46" s="11" t="s">
        <v>11</v>
      </c>
      <c r="C46" s="28">
        <v>26.0</v>
      </c>
      <c r="D46" s="28">
        <v>-1.0</v>
      </c>
      <c r="E46" s="28">
        <v>0.0</v>
      </c>
      <c r="F46" s="28">
        <v>82.0</v>
      </c>
      <c r="G46" s="28">
        <v>12.0</v>
      </c>
      <c r="H46" s="28">
        <v>24.0</v>
      </c>
      <c r="I46" s="28">
        <v>0.0</v>
      </c>
      <c r="J46" s="22">
        <v>10.0</v>
      </c>
      <c r="K46" s="22">
        <v>0.0</v>
      </c>
      <c r="L46" s="22"/>
      <c r="M46" s="22">
        <v>4.0</v>
      </c>
      <c r="N46" s="22">
        <v>157.0</v>
      </c>
      <c r="O46" s="25">
        <f>RANK(N$46,N$38:N$48)</f>
        <v>6</v>
      </c>
    </row>
    <row r="47">
      <c r="A47" s="15" t="s">
        <v>56</v>
      </c>
      <c r="B47" s="11" t="s">
        <v>8</v>
      </c>
      <c r="C47" s="28">
        <v>27.0</v>
      </c>
      <c r="D47" s="28">
        <v>-2.0</v>
      </c>
      <c r="E47" s="28">
        <v>0.0</v>
      </c>
      <c r="F47" s="28">
        <v>74.0</v>
      </c>
      <c r="G47" s="28">
        <v>21.0</v>
      </c>
      <c r="H47" s="28">
        <v>24.0</v>
      </c>
      <c r="I47" s="28">
        <v>0.0</v>
      </c>
      <c r="J47" s="22">
        <v>10.0</v>
      </c>
      <c r="K47" s="22">
        <v>10.0</v>
      </c>
      <c r="L47" s="22"/>
      <c r="M47" s="22">
        <v>4.0</v>
      </c>
      <c r="N47" s="22">
        <v>168.0</v>
      </c>
      <c r="O47" s="25">
        <f>RANK(N$47,N$38:N$48)</f>
        <v>4</v>
      </c>
    </row>
    <row r="48">
      <c r="A48" s="15" t="s">
        <v>56</v>
      </c>
      <c r="B48" s="11" t="s">
        <v>5</v>
      </c>
      <c r="C48" s="28">
        <v>27.0</v>
      </c>
      <c r="D48" s="28">
        <v>0.0</v>
      </c>
      <c r="E48" s="28">
        <v>0.0</v>
      </c>
      <c r="F48" s="28">
        <v>91.0</v>
      </c>
      <c r="G48" s="28">
        <v>27.0</v>
      </c>
      <c r="H48" s="28">
        <v>12.0</v>
      </c>
      <c r="I48" s="28">
        <v>0.0</v>
      </c>
      <c r="J48" s="22">
        <v>8.0</v>
      </c>
      <c r="K48" s="22">
        <v>0.0</v>
      </c>
      <c r="L48" s="22"/>
      <c r="M48" s="22">
        <v>4.0</v>
      </c>
      <c r="N48" s="22">
        <v>169.0</v>
      </c>
      <c r="O48" s="25">
        <f>RANK(N$48,N$38:N$48)</f>
        <v>3</v>
      </c>
    </row>
    <row r="49">
      <c r="A49" s="15" t="s">
        <v>60</v>
      </c>
      <c r="B49" s="11" t="s">
        <v>6</v>
      </c>
      <c r="C49" s="28">
        <v>23.0</v>
      </c>
      <c r="D49" s="28">
        <v>0.0</v>
      </c>
      <c r="E49" s="28">
        <v>0.0</v>
      </c>
      <c r="F49" s="28">
        <v>71.0</v>
      </c>
      <c r="G49" s="28">
        <v>6.0</v>
      </c>
      <c r="H49" s="28">
        <v>6.0</v>
      </c>
      <c r="I49" s="28">
        <v>24.0</v>
      </c>
      <c r="J49" s="22">
        <v>2.0</v>
      </c>
      <c r="K49" s="22">
        <v>10.0</v>
      </c>
      <c r="L49" s="22"/>
      <c r="M49" s="22">
        <v>0.0</v>
      </c>
      <c r="N49" s="22">
        <v>142.0</v>
      </c>
      <c r="O49" s="25">
        <f>RANK(N$49,N$49:N$59)</f>
        <v>4</v>
      </c>
    </row>
    <row r="50">
      <c r="A50" s="15" t="s">
        <v>60</v>
      </c>
      <c r="B50" s="11" t="s">
        <v>38</v>
      </c>
      <c r="C50" s="28">
        <v>24.0</v>
      </c>
      <c r="D50" s="28">
        <v>0.0</v>
      </c>
      <c r="E50" s="28">
        <v>0.0</v>
      </c>
      <c r="F50" s="28">
        <v>0.0</v>
      </c>
      <c r="G50" s="28">
        <v>0.0</v>
      </c>
      <c r="H50" s="28">
        <v>0.0</v>
      </c>
      <c r="I50" s="28">
        <v>0.0</v>
      </c>
      <c r="J50" s="22">
        <v>0.0</v>
      </c>
      <c r="K50" s="22">
        <v>0.0</v>
      </c>
      <c r="L50" s="22"/>
      <c r="M50" s="22">
        <v>0.0</v>
      </c>
      <c r="N50" s="22">
        <v>24.0</v>
      </c>
      <c r="O50" s="25">
        <f>RANK(N$50,N$49:N$59)</f>
        <v>10</v>
      </c>
    </row>
    <row r="51">
      <c r="A51" s="15" t="s">
        <v>60</v>
      </c>
      <c r="B51" s="11" t="s">
        <v>4</v>
      </c>
      <c r="C51" s="28">
        <v>24.0</v>
      </c>
      <c r="D51" s="28">
        <v>0.0</v>
      </c>
      <c r="E51" s="28">
        <v>0.0</v>
      </c>
      <c r="F51" s="28">
        <v>0.0</v>
      </c>
      <c r="G51" s="28">
        <v>0.0</v>
      </c>
      <c r="H51" s="28">
        <v>0.0</v>
      </c>
      <c r="I51" s="28">
        <v>0.0</v>
      </c>
      <c r="J51" s="22">
        <v>0.0</v>
      </c>
      <c r="K51" s="22">
        <v>0.0</v>
      </c>
      <c r="L51" s="22"/>
      <c r="M51" s="22">
        <v>0.0</v>
      </c>
      <c r="N51" s="22">
        <v>24.0</v>
      </c>
      <c r="O51" s="25">
        <f>RANK(N$51,N$49:N$59)</f>
        <v>10</v>
      </c>
    </row>
    <row r="52">
      <c r="A52" s="15" t="s">
        <v>60</v>
      </c>
      <c r="B52" s="11" t="s">
        <v>7</v>
      </c>
      <c r="C52" s="28">
        <v>24.0</v>
      </c>
      <c r="D52" s="28">
        <v>0.0</v>
      </c>
      <c r="E52" s="28">
        <v>0.0</v>
      </c>
      <c r="F52" s="28">
        <v>67.0</v>
      </c>
      <c r="G52" s="28">
        <v>24.0</v>
      </c>
      <c r="H52" s="28">
        <v>0.0</v>
      </c>
      <c r="I52" s="28">
        <v>0.0</v>
      </c>
      <c r="J52" s="22">
        <v>4.0</v>
      </c>
      <c r="K52" s="22">
        <v>0.0</v>
      </c>
      <c r="L52" s="22"/>
      <c r="M52" s="22">
        <v>0.0</v>
      </c>
      <c r="N52" s="22">
        <v>119.0</v>
      </c>
      <c r="O52" s="25">
        <f>RANK(N$52,N$49:N$59)</f>
        <v>7</v>
      </c>
    </row>
    <row r="53">
      <c r="A53" s="15" t="s">
        <v>60</v>
      </c>
      <c r="B53" s="11" t="s">
        <v>10</v>
      </c>
      <c r="C53" s="28">
        <v>22.0</v>
      </c>
      <c r="D53" s="28">
        <v>-1.0</v>
      </c>
      <c r="E53" s="28">
        <v>0.0</v>
      </c>
      <c r="F53" s="28">
        <v>67.0</v>
      </c>
      <c r="G53" s="28">
        <v>27.0</v>
      </c>
      <c r="H53" s="28">
        <v>0.0</v>
      </c>
      <c r="I53" s="28">
        <v>0.0</v>
      </c>
      <c r="J53" s="22">
        <v>0.0</v>
      </c>
      <c r="K53" s="22">
        <v>0.0</v>
      </c>
      <c r="L53" s="22"/>
      <c r="M53" s="22">
        <v>8.0</v>
      </c>
      <c r="N53" s="22">
        <v>123.0</v>
      </c>
      <c r="O53" s="25">
        <f>RANK(N$53,N$49:N$59)</f>
        <v>5</v>
      </c>
    </row>
    <row r="54">
      <c r="A54" s="15" t="s">
        <v>60</v>
      </c>
      <c r="B54" s="11" t="s">
        <v>2</v>
      </c>
      <c r="C54" s="28">
        <v>24.0</v>
      </c>
      <c r="D54" s="28">
        <v>0.0</v>
      </c>
      <c r="E54" s="28">
        <v>0.0</v>
      </c>
      <c r="F54" s="28">
        <v>82.0</v>
      </c>
      <c r="G54" s="28">
        <v>18.0</v>
      </c>
      <c r="H54" s="28">
        <v>24.0</v>
      </c>
      <c r="I54" s="28">
        <v>0.0</v>
      </c>
      <c r="J54" s="22">
        <v>2.0</v>
      </c>
      <c r="K54" s="22">
        <v>20.0</v>
      </c>
      <c r="L54" s="22"/>
      <c r="M54" s="22">
        <v>0.0</v>
      </c>
      <c r="N54" s="22">
        <v>170.0</v>
      </c>
      <c r="O54" s="25">
        <f>RANK(N$54,N$49:N$59)</f>
        <v>1</v>
      </c>
    </row>
    <row r="55">
      <c r="A55" s="15" t="s">
        <v>60</v>
      </c>
      <c r="B55" s="11" t="s">
        <v>3</v>
      </c>
      <c r="C55" s="28">
        <v>19.0</v>
      </c>
      <c r="D55" s="28">
        <v>-1.0</v>
      </c>
      <c r="E55" s="28">
        <v>0.0</v>
      </c>
      <c r="F55" s="28">
        <v>48.0</v>
      </c>
      <c r="G55" s="28">
        <v>3.0</v>
      </c>
      <c r="H55" s="28">
        <v>12.0</v>
      </c>
      <c r="I55" s="28">
        <v>0.0</v>
      </c>
      <c r="J55" s="22">
        <v>4.0</v>
      </c>
      <c r="K55" s="22">
        <v>10.0</v>
      </c>
      <c r="L55" s="22"/>
      <c r="M55" s="22">
        <v>0.0</v>
      </c>
      <c r="N55" s="22">
        <v>95.0</v>
      </c>
      <c r="O55" s="25">
        <f>RANK(N$55,N$49:N$59)</f>
        <v>9</v>
      </c>
    </row>
    <row r="56">
      <c r="A56" s="15" t="s">
        <v>60</v>
      </c>
      <c r="B56" s="11" t="s">
        <v>9</v>
      </c>
      <c r="C56" s="28">
        <v>23.0</v>
      </c>
      <c r="D56" s="28">
        <v>-2.0</v>
      </c>
      <c r="E56" s="28">
        <v>0.0</v>
      </c>
      <c r="F56" s="28">
        <v>57.0</v>
      </c>
      <c r="G56" s="28">
        <v>9.0</v>
      </c>
      <c r="H56" s="28">
        <v>30.0</v>
      </c>
      <c r="I56" s="28">
        <v>0.0</v>
      </c>
      <c r="J56" s="22">
        <v>0.0</v>
      </c>
      <c r="K56" s="22">
        <v>0.0</v>
      </c>
      <c r="L56" s="22"/>
      <c r="M56" s="22">
        <v>0.0</v>
      </c>
      <c r="N56" s="22">
        <v>117.0</v>
      </c>
      <c r="O56" s="25">
        <f>RANK(N$56,N$49:N$59)</f>
        <v>8</v>
      </c>
    </row>
    <row r="57">
      <c r="A57" s="15" t="s">
        <v>60</v>
      </c>
      <c r="B57" s="11" t="s">
        <v>11</v>
      </c>
      <c r="C57" s="28">
        <v>24.0</v>
      </c>
      <c r="D57" s="28">
        <v>0.0</v>
      </c>
      <c r="E57" s="28">
        <v>0.0</v>
      </c>
      <c r="F57" s="28">
        <v>63.0</v>
      </c>
      <c r="G57" s="28">
        <v>18.0</v>
      </c>
      <c r="H57" s="28">
        <v>6.0</v>
      </c>
      <c r="I57" s="28">
        <v>0.0</v>
      </c>
      <c r="J57" s="22">
        <v>2.0</v>
      </c>
      <c r="K57" s="22">
        <v>0.0</v>
      </c>
      <c r="L57" s="22"/>
      <c r="M57" s="22">
        <v>8.0</v>
      </c>
      <c r="N57" s="22">
        <v>121.0</v>
      </c>
      <c r="O57" s="25">
        <f>RANK(N$57,N$49:N$59)</f>
        <v>6</v>
      </c>
    </row>
    <row r="58">
      <c r="A58" s="15" t="s">
        <v>60</v>
      </c>
      <c r="B58" s="11" t="s">
        <v>8</v>
      </c>
      <c r="C58" s="28">
        <v>24.0</v>
      </c>
      <c r="D58" s="28">
        <v>-4.0</v>
      </c>
      <c r="E58" s="28">
        <v>0.0</v>
      </c>
      <c r="F58" s="28">
        <v>77.0</v>
      </c>
      <c r="G58" s="28">
        <v>12.0</v>
      </c>
      <c r="H58" s="28">
        <v>18.0</v>
      </c>
      <c r="I58" s="28">
        <v>0.0</v>
      </c>
      <c r="J58" s="22">
        <v>6.0</v>
      </c>
      <c r="K58" s="22">
        <v>20.0</v>
      </c>
      <c r="L58" s="22"/>
      <c r="M58" s="22">
        <v>0.0</v>
      </c>
      <c r="N58" s="22">
        <v>153.0</v>
      </c>
      <c r="O58" s="25">
        <f>RANK(N$58,N$49:N$59)</f>
        <v>2</v>
      </c>
    </row>
    <row r="59">
      <c r="A59" s="15" t="s">
        <v>60</v>
      </c>
      <c r="B59" s="11" t="s">
        <v>5</v>
      </c>
      <c r="C59" s="28">
        <v>24.0</v>
      </c>
      <c r="D59" s="28">
        <v>0.0</v>
      </c>
      <c r="E59" s="28">
        <v>0.0</v>
      </c>
      <c r="F59" s="28">
        <v>68.0</v>
      </c>
      <c r="G59" s="28">
        <v>18.0</v>
      </c>
      <c r="H59" s="28">
        <v>0.0</v>
      </c>
      <c r="I59" s="28">
        <v>0.0</v>
      </c>
      <c r="J59" s="22">
        <v>6.0</v>
      </c>
      <c r="K59" s="22">
        <v>30.0</v>
      </c>
      <c r="L59" s="22"/>
      <c r="M59" s="22">
        <v>0.0</v>
      </c>
      <c r="N59" s="22">
        <v>146.0</v>
      </c>
      <c r="O59" s="25">
        <f>RANK(N$59,N$49:N$59)</f>
        <v>3</v>
      </c>
    </row>
    <row r="60">
      <c r="A60" s="15" t="s">
        <v>61</v>
      </c>
      <c r="B60" s="11" t="s">
        <v>6</v>
      </c>
      <c r="C60" s="12">
        <v>20.0</v>
      </c>
      <c r="D60" s="12">
        <v>-1.0</v>
      </c>
      <c r="E60" s="12">
        <v>0.0</v>
      </c>
      <c r="F60" s="12">
        <v>79.0</v>
      </c>
      <c r="G60" s="12">
        <v>18.0</v>
      </c>
      <c r="H60" s="12">
        <v>12.0</v>
      </c>
      <c r="I60" s="12">
        <v>0.0</v>
      </c>
      <c r="J60" s="24">
        <v>2.0</v>
      </c>
      <c r="K60" s="24">
        <v>20.0</v>
      </c>
      <c r="L60" s="24">
        <v>0.0</v>
      </c>
      <c r="M60" s="24">
        <v>0.0</v>
      </c>
      <c r="N60" s="24">
        <v>150.0</v>
      </c>
      <c r="O60" s="25">
        <f t="shared" ref="O60:O70" si="1">RANK($N60,N$60:N$70)</f>
        <v>7</v>
      </c>
    </row>
    <row r="61">
      <c r="A61" s="15" t="s">
        <v>61</v>
      </c>
      <c r="B61" s="11" t="s">
        <v>38</v>
      </c>
      <c r="C61" s="12">
        <v>23.0</v>
      </c>
      <c r="D61" s="12">
        <v>0.0</v>
      </c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24">
        <v>0.0</v>
      </c>
      <c r="K61" s="24">
        <v>0.0</v>
      </c>
      <c r="L61" s="24">
        <v>0.0</v>
      </c>
      <c r="M61" s="24">
        <v>0.0</v>
      </c>
      <c r="N61" s="24">
        <v>23.0</v>
      </c>
      <c r="O61" s="25">
        <f t="shared" si="1"/>
        <v>10</v>
      </c>
    </row>
    <row r="62">
      <c r="A62" s="15" t="s">
        <v>61</v>
      </c>
      <c r="B62" s="11" t="s">
        <v>4</v>
      </c>
      <c r="C62" s="12">
        <v>23.0</v>
      </c>
      <c r="D62" s="12">
        <v>0.0</v>
      </c>
      <c r="E62" s="12">
        <v>0.0</v>
      </c>
      <c r="F62" s="12">
        <v>0.0</v>
      </c>
      <c r="G62" s="12">
        <v>0.0</v>
      </c>
      <c r="H62" s="12">
        <v>0.0</v>
      </c>
      <c r="I62" s="12">
        <v>0.0</v>
      </c>
      <c r="J62" s="24">
        <v>0.0</v>
      </c>
      <c r="K62" s="24">
        <v>0.0</v>
      </c>
      <c r="L62" s="24">
        <v>0.0</v>
      </c>
      <c r="M62" s="24">
        <v>0.0</v>
      </c>
      <c r="N62" s="24">
        <v>23.0</v>
      </c>
      <c r="O62" s="25">
        <f t="shared" si="1"/>
        <v>10</v>
      </c>
    </row>
    <row r="63">
      <c r="A63" s="15" t="s">
        <v>61</v>
      </c>
      <c r="B63" s="11" t="s">
        <v>7</v>
      </c>
      <c r="C63" s="12">
        <v>23.0</v>
      </c>
      <c r="D63" s="12">
        <v>0.0</v>
      </c>
      <c r="E63" s="12">
        <v>0.0</v>
      </c>
      <c r="F63" s="12">
        <v>79.0</v>
      </c>
      <c r="G63" s="12">
        <v>27.0</v>
      </c>
      <c r="H63" s="12">
        <v>0.0</v>
      </c>
      <c r="I63" s="12">
        <v>0.0</v>
      </c>
      <c r="J63" s="24">
        <v>4.0</v>
      </c>
      <c r="K63" s="24">
        <v>0.0</v>
      </c>
      <c r="L63" s="24">
        <v>0.0</v>
      </c>
      <c r="M63" s="24">
        <v>0.0</v>
      </c>
      <c r="N63" s="24">
        <v>133.0</v>
      </c>
      <c r="O63" s="25">
        <f t="shared" si="1"/>
        <v>8</v>
      </c>
    </row>
    <row r="64">
      <c r="A64" s="15" t="s">
        <v>61</v>
      </c>
      <c r="B64" s="11" t="s">
        <v>10</v>
      </c>
      <c r="C64" s="12">
        <v>20.0</v>
      </c>
      <c r="D64" s="12">
        <v>0.0</v>
      </c>
      <c r="E64" s="12">
        <v>0.0</v>
      </c>
      <c r="F64" s="12">
        <v>74.0</v>
      </c>
      <c r="G64" s="12">
        <v>21.0</v>
      </c>
      <c r="H64" s="12">
        <v>6.0</v>
      </c>
      <c r="I64" s="12">
        <v>0.0</v>
      </c>
      <c r="J64" s="24">
        <v>6.0</v>
      </c>
      <c r="K64" s="24">
        <v>0.0</v>
      </c>
      <c r="L64" s="24">
        <v>0.0</v>
      </c>
      <c r="M64" s="24">
        <v>0.0</v>
      </c>
      <c r="N64" s="24">
        <v>127.0</v>
      </c>
      <c r="O64" s="25">
        <f t="shared" si="1"/>
        <v>9</v>
      </c>
    </row>
    <row r="65">
      <c r="A65" s="15" t="s">
        <v>61</v>
      </c>
      <c r="B65" s="11" t="s">
        <v>2</v>
      </c>
      <c r="C65" s="12">
        <v>23.0</v>
      </c>
      <c r="D65" s="12">
        <v>0.0</v>
      </c>
      <c r="E65" s="12">
        <v>0.0</v>
      </c>
      <c r="F65" s="12">
        <v>98.0</v>
      </c>
      <c r="G65" s="12">
        <v>9.0</v>
      </c>
      <c r="H65" s="12">
        <v>12.0</v>
      </c>
      <c r="I65" s="12">
        <v>12.0</v>
      </c>
      <c r="J65" s="24">
        <v>0.0</v>
      </c>
      <c r="K65" s="24">
        <v>0.0</v>
      </c>
      <c r="L65" s="24">
        <v>0.0</v>
      </c>
      <c r="M65" s="24">
        <v>0.0</v>
      </c>
      <c r="N65" s="24">
        <v>154.0</v>
      </c>
      <c r="O65" s="25">
        <f t="shared" si="1"/>
        <v>5</v>
      </c>
    </row>
    <row r="66">
      <c r="A66" s="15" t="s">
        <v>61</v>
      </c>
      <c r="B66" s="11" t="s">
        <v>3</v>
      </c>
      <c r="C66" s="12">
        <v>23.0</v>
      </c>
      <c r="D66" s="12">
        <v>0.0</v>
      </c>
      <c r="E66" s="12">
        <v>0.0</v>
      </c>
      <c r="F66" s="12">
        <v>76.0</v>
      </c>
      <c r="G66" s="12">
        <v>24.0</v>
      </c>
      <c r="H66" s="12">
        <v>24.0</v>
      </c>
      <c r="I66" s="12">
        <v>0.0</v>
      </c>
      <c r="J66" s="24">
        <v>6.0</v>
      </c>
      <c r="K66" s="24">
        <v>0.0</v>
      </c>
      <c r="L66" s="24">
        <v>2.0</v>
      </c>
      <c r="M66" s="24">
        <v>0.0</v>
      </c>
      <c r="N66" s="24">
        <v>155.0</v>
      </c>
      <c r="O66" s="25">
        <f t="shared" si="1"/>
        <v>4</v>
      </c>
    </row>
    <row r="67">
      <c r="A67" s="15" t="s">
        <v>61</v>
      </c>
      <c r="B67" s="11" t="s">
        <v>9</v>
      </c>
      <c r="C67" s="12">
        <v>21.0</v>
      </c>
      <c r="D67" s="12">
        <v>0.0</v>
      </c>
      <c r="E67" s="12">
        <v>0.0</v>
      </c>
      <c r="F67" s="12">
        <v>74.0</v>
      </c>
      <c r="G67" s="12">
        <v>15.0</v>
      </c>
      <c r="H67" s="12">
        <v>18.0</v>
      </c>
      <c r="I67" s="12">
        <v>0.0</v>
      </c>
      <c r="J67" s="24">
        <v>4.0</v>
      </c>
      <c r="K67" s="24">
        <v>30.0</v>
      </c>
      <c r="L67" s="24">
        <v>0.0</v>
      </c>
      <c r="M67" s="24">
        <v>0.0</v>
      </c>
      <c r="N67" s="24">
        <v>162.0</v>
      </c>
      <c r="O67" s="25">
        <f t="shared" si="1"/>
        <v>2</v>
      </c>
    </row>
    <row r="68">
      <c r="A68" s="15" t="s">
        <v>61</v>
      </c>
      <c r="B68" s="11" t="s">
        <v>11</v>
      </c>
      <c r="C68" s="12">
        <v>23.0</v>
      </c>
      <c r="D68" s="12">
        <v>0.0</v>
      </c>
      <c r="E68" s="12">
        <v>0.0</v>
      </c>
      <c r="F68" s="12">
        <v>79.0</v>
      </c>
      <c r="G68" s="12">
        <v>15.0</v>
      </c>
      <c r="H68" s="12">
        <v>24.0</v>
      </c>
      <c r="I68" s="12">
        <v>0.0</v>
      </c>
      <c r="J68" s="24">
        <v>8.0</v>
      </c>
      <c r="K68" s="24">
        <v>10.0</v>
      </c>
      <c r="L68" s="24">
        <v>0.0</v>
      </c>
      <c r="M68" s="24">
        <v>0.0</v>
      </c>
      <c r="N68" s="24">
        <v>159.0</v>
      </c>
      <c r="O68" s="25">
        <f t="shared" si="1"/>
        <v>3</v>
      </c>
    </row>
    <row r="69">
      <c r="A69" s="15" t="s">
        <v>61</v>
      </c>
      <c r="B69" s="11" t="s">
        <v>8</v>
      </c>
      <c r="C69" s="12">
        <v>23.0</v>
      </c>
      <c r="D69" s="12">
        <v>-2.0</v>
      </c>
      <c r="E69" s="12">
        <v>0.0</v>
      </c>
      <c r="F69" s="12">
        <v>78.0</v>
      </c>
      <c r="G69" s="12">
        <v>15.0</v>
      </c>
      <c r="H69" s="12">
        <v>36.0</v>
      </c>
      <c r="I69" s="12">
        <v>0.0</v>
      </c>
      <c r="J69" s="24">
        <v>4.0</v>
      </c>
      <c r="K69" s="24">
        <v>30.0</v>
      </c>
      <c r="L69" s="24">
        <v>0.0</v>
      </c>
      <c r="M69" s="24">
        <v>0.0</v>
      </c>
      <c r="N69" s="24">
        <v>184.0</v>
      </c>
      <c r="O69" s="25">
        <f t="shared" si="1"/>
        <v>1</v>
      </c>
    </row>
    <row r="70">
      <c r="A70" s="15" t="s">
        <v>61</v>
      </c>
      <c r="B70" s="11" t="s">
        <v>5</v>
      </c>
      <c r="C70" s="12">
        <v>23.0</v>
      </c>
      <c r="D70" s="12">
        <v>0.0</v>
      </c>
      <c r="E70" s="12">
        <v>0.0</v>
      </c>
      <c r="F70" s="12">
        <v>78.0</v>
      </c>
      <c r="G70" s="12">
        <v>15.0</v>
      </c>
      <c r="H70" s="12">
        <v>24.0</v>
      </c>
      <c r="I70" s="12">
        <v>0.0</v>
      </c>
      <c r="J70" s="24">
        <v>4.0</v>
      </c>
      <c r="K70" s="24">
        <v>10.0</v>
      </c>
      <c r="L70" s="24">
        <v>0.0</v>
      </c>
      <c r="M70" s="24">
        <v>0.0</v>
      </c>
      <c r="N70" s="24">
        <v>154.0</v>
      </c>
      <c r="O70" s="25">
        <f t="shared" si="1"/>
        <v>5</v>
      </c>
    </row>
    <row r="71">
      <c r="A71" s="15" t="s">
        <v>62</v>
      </c>
      <c r="B71" s="11" t="s">
        <v>6</v>
      </c>
      <c r="C71" s="28">
        <v>26.0</v>
      </c>
      <c r="D71" s="28">
        <v>-1.0</v>
      </c>
      <c r="E71" s="28">
        <v>0.0</v>
      </c>
      <c r="F71" s="28">
        <v>90.0</v>
      </c>
      <c r="G71" s="28">
        <v>21.0</v>
      </c>
      <c r="H71" s="28">
        <v>18.0</v>
      </c>
      <c r="I71" s="28">
        <v>0.0</v>
      </c>
      <c r="J71" s="22">
        <v>8.0</v>
      </c>
      <c r="K71" s="22">
        <v>20.0</v>
      </c>
      <c r="L71" s="22">
        <v>6.0</v>
      </c>
      <c r="M71" s="22">
        <v>0.0</v>
      </c>
      <c r="N71" s="22">
        <v>188.0</v>
      </c>
      <c r="O71" s="25">
        <f t="shared" ref="O71:O80" si="2">RANK($N71,N$71:N$80)</f>
        <v>1</v>
      </c>
    </row>
    <row r="72">
      <c r="A72" s="15" t="s">
        <v>62</v>
      </c>
      <c r="B72" s="11" t="s">
        <v>4</v>
      </c>
      <c r="C72" s="28">
        <v>26.0</v>
      </c>
      <c r="D72" s="28">
        <v>0.0</v>
      </c>
      <c r="E72" s="28">
        <v>0.0</v>
      </c>
      <c r="F72" s="28">
        <v>0.0</v>
      </c>
      <c r="G72" s="28">
        <v>0.0</v>
      </c>
      <c r="H72" s="28">
        <v>0.0</v>
      </c>
      <c r="I72" s="28">
        <v>0.0</v>
      </c>
      <c r="J72" s="22">
        <v>0.0</v>
      </c>
      <c r="K72" s="22">
        <v>0.0</v>
      </c>
      <c r="L72" s="22">
        <v>0.0</v>
      </c>
      <c r="M72" s="22">
        <v>0.0</v>
      </c>
      <c r="N72" s="22">
        <v>26.0</v>
      </c>
      <c r="O72" s="25">
        <f t="shared" si="2"/>
        <v>10</v>
      </c>
    </row>
    <row r="73">
      <c r="A73" s="15" t="s">
        <v>62</v>
      </c>
      <c r="B73" s="11" t="s">
        <v>7</v>
      </c>
      <c r="C73" s="28">
        <v>26.0</v>
      </c>
      <c r="D73" s="28">
        <v>0.0</v>
      </c>
      <c r="E73" s="28">
        <v>0.0</v>
      </c>
      <c r="F73" s="28">
        <v>61.0</v>
      </c>
      <c r="G73" s="28">
        <v>15.0</v>
      </c>
      <c r="H73" s="28">
        <v>0.0</v>
      </c>
      <c r="I73" s="28">
        <v>12.0</v>
      </c>
      <c r="J73" s="22">
        <v>4.0</v>
      </c>
      <c r="K73" s="22">
        <v>0.0</v>
      </c>
      <c r="L73" s="22">
        <v>2.0</v>
      </c>
      <c r="M73" s="22">
        <v>0.0</v>
      </c>
      <c r="N73" s="22">
        <v>120.0</v>
      </c>
      <c r="O73" s="25">
        <f t="shared" si="2"/>
        <v>8</v>
      </c>
    </row>
    <row r="74">
      <c r="A74" s="15" t="s">
        <v>62</v>
      </c>
      <c r="B74" s="11" t="s">
        <v>10</v>
      </c>
      <c r="C74" s="28">
        <v>24.0</v>
      </c>
      <c r="D74" s="28">
        <v>-1.0</v>
      </c>
      <c r="E74" s="28">
        <v>0.0</v>
      </c>
      <c r="F74" s="28">
        <v>67.0</v>
      </c>
      <c r="G74" s="28">
        <v>21.0</v>
      </c>
      <c r="H74" s="28">
        <v>12.0</v>
      </c>
      <c r="I74" s="28">
        <v>0.0</v>
      </c>
      <c r="J74" s="22">
        <v>6.0</v>
      </c>
      <c r="K74" s="22">
        <v>10.0</v>
      </c>
      <c r="L74" s="22">
        <v>2.0</v>
      </c>
      <c r="M74" s="22">
        <v>0.0</v>
      </c>
      <c r="N74" s="22">
        <v>141.0</v>
      </c>
      <c r="O74" s="25">
        <f t="shared" si="2"/>
        <v>6</v>
      </c>
    </row>
    <row r="75">
      <c r="A75" s="15" t="s">
        <v>62</v>
      </c>
      <c r="B75" s="11" t="s">
        <v>2</v>
      </c>
      <c r="C75" s="28">
        <v>26.0</v>
      </c>
      <c r="D75" s="28">
        <v>0.0</v>
      </c>
      <c r="E75" s="28">
        <v>0.0</v>
      </c>
      <c r="F75" s="28">
        <v>97.0</v>
      </c>
      <c r="G75" s="28">
        <v>12.0</v>
      </c>
      <c r="H75" s="28">
        <v>24.0</v>
      </c>
      <c r="I75" s="28">
        <v>12.0</v>
      </c>
      <c r="J75" s="22">
        <v>0.0</v>
      </c>
      <c r="K75" s="22">
        <v>0.0</v>
      </c>
      <c r="L75" s="22">
        <v>0.0</v>
      </c>
      <c r="M75" s="22">
        <v>0.0</v>
      </c>
      <c r="N75" s="22">
        <v>171.0</v>
      </c>
      <c r="O75" s="25">
        <f t="shared" si="2"/>
        <v>4</v>
      </c>
    </row>
    <row r="76">
      <c r="A76" s="15" t="s">
        <v>62</v>
      </c>
      <c r="B76" s="11" t="s">
        <v>3</v>
      </c>
      <c r="C76" s="28">
        <v>26.0</v>
      </c>
      <c r="D76" s="28">
        <v>-3.0</v>
      </c>
      <c r="E76" s="28">
        <v>0.0</v>
      </c>
      <c r="F76" s="28">
        <v>70.0</v>
      </c>
      <c r="G76" s="28">
        <v>12.0</v>
      </c>
      <c r="H76" s="28">
        <v>6.0</v>
      </c>
      <c r="I76" s="28">
        <v>0.0</v>
      </c>
      <c r="J76" s="22">
        <v>4.0</v>
      </c>
      <c r="K76" s="22">
        <v>0.0</v>
      </c>
      <c r="L76" s="22">
        <v>4.0</v>
      </c>
      <c r="M76" s="22">
        <v>0.0</v>
      </c>
      <c r="N76" s="22">
        <v>119.0</v>
      </c>
      <c r="O76" s="25">
        <f t="shared" si="2"/>
        <v>9</v>
      </c>
    </row>
    <row r="77">
      <c r="A77" s="15" t="s">
        <v>62</v>
      </c>
      <c r="B77" s="11" t="s">
        <v>9</v>
      </c>
      <c r="C77" s="28">
        <v>25.0</v>
      </c>
      <c r="D77" s="28">
        <v>0.0</v>
      </c>
      <c r="E77" s="28">
        <v>0.0</v>
      </c>
      <c r="F77" s="28">
        <v>83.0</v>
      </c>
      <c r="G77" s="28">
        <v>21.0</v>
      </c>
      <c r="H77" s="28">
        <v>30.0</v>
      </c>
      <c r="I77" s="28">
        <v>0.0</v>
      </c>
      <c r="J77" s="22">
        <v>0.0</v>
      </c>
      <c r="K77" s="22">
        <v>20.0</v>
      </c>
      <c r="L77" s="22">
        <v>2.0</v>
      </c>
      <c r="M77" s="22">
        <v>0.0</v>
      </c>
      <c r="N77" s="22">
        <v>181.0</v>
      </c>
      <c r="O77" s="25">
        <f t="shared" si="2"/>
        <v>2</v>
      </c>
    </row>
    <row r="78">
      <c r="A78" s="15" t="s">
        <v>62</v>
      </c>
      <c r="B78" s="11" t="s">
        <v>11</v>
      </c>
      <c r="C78" s="28">
        <v>26.0</v>
      </c>
      <c r="D78" s="28">
        <v>-2.0</v>
      </c>
      <c r="E78" s="28">
        <v>0.0</v>
      </c>
      <c r="F78" s="28">
        <v>79.0</v>
      </c>
      <c r="G78" s="28">
        <v>15.0</v>
      </c>
      <c r="H78" s="28">
        <v>18.0</v>
      </c>
      <c r="I78" s="28">
        <v>0.0</v>
      </c>
      <c r="J78" s="22">
        <v>2.0</v>
      </c>
      <c r="K78" s="22">
        <v>0.0</v>
      </c>
      <c r="L78" s="22">
        <v>2.0</v>
      </c>
      <c r="M78" s="22">
        <v>0.0</v>
      </c>
      <c r="N78" s="22">
        <v>140.0</v>
      </c>
      <c r="O78" s="25">
        <f t="shared" si="2"/>
        <v>7</v>
      </c>
    </row>
    <row r="79">
      <c r="A79" s="15" t="s">
        <v>62</v>
      </c>
      <c r="B79" s="11" t="s">
        <v>8</v>
      </c>
      <c r="C79" s="28">
        <v>26.0</v>
      </c>
      <c r="D79" s="28">
        <v>-2.0</v>
      </c>
      <c r="E79" s="28">
        <v>0.0</v>
      </c>
      <c r="F79" s="28">
        <v>80.0</v>
      </c>
      <c r="G79" s="28">
        <v>21.0</v>
      </c>
      <c r="H79" s="28">
        <v>24.0</v>
      </c>
      <c r="I79" s="28">
        <v>12.0</v>
      </c>
      <c r="J79" s="22">
        <v>2.0</v>
      </c>
      <c r="K79" s="22">
        <v>10.0</v>
      </c>
      <c r="L79" s="22">
        <v>2.0</v>
      </c>
      <c r="M79" s="22">
        <v>0.0</v>
      </c>
      <c r="N79" s="22">
        <v>175.0</v>
      </c>
      <c r="O79" s="25">
        <f t="shared" si="2"/>
        <v>3</v>
      </c>
    </row>
    <row r="80">
      <c r="A80" s="15" t="s">
        <v>62</v>
      </c>
      <c r="B80" s="11" t="s">
        <v>5</v>
      </c>
      <c r="C80" s="28">
        <v>26.0</v>
      </c>
      <c r="D80" s="28">
        <v>0.0</v>
      </c>
      <c r="E80" s="28">
        <v>0.0</v>
      </c>
      <c r="F80" s="28">
        <v>81.0</v>
      </c>
      <c r="G80" s="28">
        <v>18.0</v>
      </c>
      <c r="H80" s="28">
        <v>12.0</v>
      </c>
      <c r="I80" s="28">
        <v>0.0</v>
      </c>
      <c r="J80" s="22">
        <v>8.0</v>
      </c>
      <c r="K80" s="22">
        <v>10.0</v>
      </c>
      <c r="L80" s="22">
        <v>2.0</v>
      </c>
      <c r="M80" s="22">
        <v>0.0</v>
      </c>
      <c r="N80" s="22">
        <v>157.0</v>
      </c>
      <c r="O80" s="25">
        <f t="shared" si="2"/>
        <v>5</v>
      </c>
    </row>
    <row r="81">
      <c r="A81" s="15" t="s">
        <v>63</v>
      </c>
      <c r="B81" s="11" t="s">
        <v>6</v>
      </c>
      <c r="C81" s="28">
        <v>25.0</v>
      </c>
      <c r="D81" s="28">
        <v>-1.0</v>
      </c>
      <c r="E81" s="28">
        <v>0.0</v>
      </c>
      <c r="F81" s="28">
        <v>90.0</v>
      </c>
      <c r="G81" s="28">
        <v>18.0</v>
      </c>
      <c r="H81" s="28">
        <v>12.0</v>
      </c>
      <c r="I81" s="28">
        <v>12.0</v>
      </c>
      <c r="J81" s="22">
        <v>4.0</v>
      </c>
      <c r="K81" s="22">
        <v>0.0</v>
      </c>
      <c r="L81" s="22">
        <v>6.0</v>
      </c>
      <c r="M81" s="22">
        <v>0.0</v>
      </c>
      <c r="N81" s="22">
        <v>166.0</v>
      </c>
      <c r="O81" s="25">
        <f t="shared" ref="O81:O90" si="3">RANK($N81,N$81:N$90)</f>
        <v>5</v>
      </c>
    </row>
    <row r="82">
      <c r="A82" s="15" t="s">
        <v>63</v>
      </c>
      <c r="B82" s="11" t="s">
        <v>4</v>
      </c>
      <c r="C82" s="28">
        <v>25.0</v>
      </c>
      <c r="D82" s="28">
        <v>0.0</v>
      </c>
      <c r="E82" s="28">
        <v>0.0</v>
      </c>
      <c r="F82" s="28">
        <v>0.0</v>
      </c>
      <c r="G82" s="28">
        <v>0.0</v>
      </c>
      <c r="H82" s="28">
        <v>0.0</v>
      </c>
      <c r="I82" s="28">
        <v>0.0</v>
      </c>
      <c r="J82" s="22">
        <v>0.0</v>
      </c>
      <c r="K82" s="22">
        <v>0.0</v>
      </c>
      <c r="L82" s="22">
        <v>0.0</v>
      </c>
      <c r="M82" s="22">
        <v>0.0</v>
      </c>
      <c r="N82" s="22">
        <v>25.0</v>
      </c>
      <c r="O82" s="25">
        <f t="shared" si="3"/>
        <v>10</v>
      </c>
    </row>
    <row r="83">
      <c r="A83" s="15" t="s">
        <v>63</v>
      </c>
      <c r="B83" s="11" t="s">
        <v>7</v>
      </c>
      <c r="C83" s="28">
        <v>22.0</v>
      </c>
      <c r="D83" s="28">
        <v>0.0</v>
      </c>
      <c r="E83" s="28">
        <v>0.0</v>
      </c>
      <c r="F83" s="28">
        <v>60.0</v>
      </c>
      <c r="G83" s="28">
        <v>12.0</v>
      </c>
      <c r="H83" s="28">
        <v>6.0</v>
      </c>
      <c r="I83" s="28">
        <v>0.0</v>
      </c>
      <c r="J83" s="22">
        <v>4.0</v>
      </c>
      <c r="K83" s="22">
        <v>0.0</v>
      </c>
      <c r="L83" s="22">
        <v>2.0</v>
      </c>
      <c r="M83" s="22">
        <v>0.0</v>
      </c>
      <c r="N83" s="22">
        <v>106.0</v>
      </c>
      <c r="O83" s="25">
        <f t="shared" si="3"/>
        <v>9</v>
      </c>
    </row>
    <row r="84">
      <c r="A84" s="15" t="s">
        <v>63</v>
      </c>
      <c r="B84" s="11" t="s">
        <v>10</v>
      </c>
      <c r="C84" s="28">
        <v>23.0</v>
      </c>
      <c r="D84" s="28">
        <v>-3.0</v>
      </c>
      <c r="E84" s="28">
        <v>0.0</v>
      </c>
      <c r="F84" s="28">
        <v>70.0</v>
      </c>
      <c r="G84" s="28">
        <v>21.0</v>
      </c>
      <c r="H84" s="28">
        <v>6.0</v>
      </c>
      <c r="I84" s="28">
        <v>0.0</v>
      </c>
      <c r="J84" s="22">
        <v>2.0</v>
      </c>
      <c r="K84" s="22">
        <v>10.0</v>
      </c>
      <c r="L84" s="22">
        <v>4.0</v>
      </c>
      <c r="M84" s="22">
        <v>0.0</v>
      </c>
      <c r="N84" s="22">
        <v>133.0</v>
      </c>
      <c r="O84" s="25">
        <f t="shared" si="3"/>
        <v>7</v>
      </c>
    </row>
    <row r="85">
      <c r="A85" s="15" t="s">
        <v>63</v>
      </c>
      <c r="B85" s="11" t="s">
        <v>2</v>
      </c>
      <c r="C85" s="28">
        <v>25.0</v>
      </c>
      <c r="D85" s="28">
        <v>0.0</v>
      </c>
      <c r="E85" s="28">
        <v>0.0</v>
      </c>
      <c r="F85" s="28">
        <v>96.0</v>
      </c>
      <c r="G85" s="28">
        <v>15.0</v>
      </c>
      <c r="H85" s="28">
        <v>36.0</v>
      </c>
      <c r="I85" s="28">
        <v>12.0</v>
      </c>
      <c r="J85" s="22">
        <v>8.0</v>
      </c>
      <c r="K85" s="22">
        <v>0.0</v>
      </c>
      <c r="L85" s="22">
        <v>0.0</v>
      </c>
      <c r="M85" s="22">
        <v>0.0</v>
      </c>
      <c r="N85" s="22">
        <v>192.0</v>
      </c>
      <c r="O85" s="25">
        <f t="shared" si="3"/>
        <v>1</v>
      </c>
    </row>
    <row r="86">
      <c r="A86" s="15" t="s">
        <v>63</v>
      </c>
      <c r="B86" s="11" t="s">
        <v>3</v>
      </c>
      <c r="C86" s="28">
        <v>22.0</v>
      </c>
      <c r="D86" s="28">
        <v>0.0</v>
      </c>
      <c r="E86" s="28">
        <v>0.0</v>
      </c>
      <c r="F86" s="28">
        <v>64.0</v>
      </c>
      <c r="G86" s="28">
        <v>21.0</v>
      </c>
      <c r="H86" s="28">
        <v>6.0</v>
      </c>
      <c r="I86" s="28">
        <v>0.0</v>
      </c>
      <c r="J86" s="22">
        <v>2.0</v>
      </c>
      <c r="K86" s="22">
        <v>0.0</v>
      </c>
      <c r="L86" s="22">
        <v>4.0</v>
      </c>
      <c r="M86" s="22">
        <v>0.0</v>
      </c>
      <c r="N86" s="22">
        <v>119.0</v>
      </c>
      <c r="O86" s="25">
        <f t="shared" si="3"/>
        <v>8</v>
      </c>
    </row>
    <row r="87">
      <c r="A87" s="15" t="s">
        <v>63</v>
      </c>
      <c r="B87" s="11" t="s">
        <v>9</v>
      </c>
      <c r="C87" s="28">
        <v>24.0</v>
      </c>
      <c r="D87" s="28">
        <v>-1.0</v>
      </c>
      <c r="E87" s="28">
        <v>0.0</v>
      </c>
      <c r="F87" s="28">
        <v>77.0</v>
      </c>
      <c r="G87" s="28">
        <v>24.0</v>
      </c>
      <c r="H87" s="28">
        <v>12.0</v>
      </c>
      <c r="I87" s="28">
        <v>0.0</v>
      </c>
      <c r="J87" s="22">
        <v>6.0</v>
      </c>
      <c r="K87" s="22">
        <v>10.0</v>
      </c>
      <c r="L87" s="22">
        <v>12.0</v>
      </c>
      <c r="M87" s="22">
        <v>0.0</v>
      </c>
      <c r="N87" s="22">
        <v>164.0</v>
      </c>
      <c r="O87" s="25">
        <f t="shared" si="3"/>
        <v>6</v>
      </c>
    </row>
    <row r="88">
      <c r="A88" s="15" t="s">
        <v>63</v>
      </c>
      <c r="B88" s="11" t="s">
        <v>11</v>
      </c>
      <c r="C88" s="28">
        <v>24.0</v>
      </c>
      <c r="D88" s="28">
        <v>0.0</v>
      </c>
      <c r="E88" s="28">
        <v>0.0</v>
      </c>
      <c r="F88" s="28">
        <v>78.0</v>
      </c>
      <c r="G88" s="28">
        <v>12.0</v>
      </c>
      <c r="H88" s="28">
        <v>18.0</v>
      </c>
      <c r="I88" s="28">
        <v>12.0</v>
      </c>
      <c r="J88" s="22">
        <v>22.0</v>
      </c>
      <c r="K88" s="22">
        <v>0.0</v>
      </c>
      <c r="L88" s="22">
        <v>2.0</v>
      </c>
      <c r="M88" s="22">
        <v>0.0</v>
      </c>
      <c r="N88" s="22">
        <v>168.0</v>
      </c>
      <c r="O88" s="25">
        <f t="shared" si="3"/>
        <v>4</v>
      </c>
    </row>
    <row r="89">
      <c r="A89" s="15" t="s">
        <v>63</v>
      </c>
      <c r="B89" s="11" t="s">
        <v>8</v>
      </c>
      <c r="C89" s="28">
        <v>25.0</v>
      </c>
      <c r="D89" s="28">
        <v>-4.0</v>
      </c>
      <c r="E89" s="28">
        <v>0.0</v>
      </c>
      <c r="F89" s="28">
        <v>80.0</v>
      </c>
      <c r="G89" s="28">
        <v>21.0</v>
      </c>
      <c r="H89" s="28">
        <v>6.0</v>
      </c>
      <c r="I89" s="28">
        <v>0.0</v>
      </c>
      <c r="J89" s="22">
        <v>8.0</v>
      </c>
      <c r="K89" s="22">
        <v>40.0</v>
      </c>
      <c r="L89" s="22">
        <v>2.0</v>
      </c>
      <c r="M89" s="22">
        <v>0.0</v>
      </c>
      <c r="N89" s="22">
        <v>178.0</v>
      </c>
      <c r="O89" s="25">
        <f t="shared" si="3"/>
        <v>3</v>
      </c>
    </row>
    <row r="90">
      <c r="A90" s="15" t="s">
        <v>63</v>
      </c>
      <c r="B90" s="11" t="s">
        <v>5</v>
      </c>
      <c r="C90" s="28">
        <v>25.0</v>
      </c>
      <c r="D90" s="28">
        <v>0.0</v>
      </c>
      <c r="E90" s="28">
        <v>0.0</v>
      </c>
      <c r="F90" s="28">
        <v>88.0</v>
      </c>
      <c r="G90" s="28">
        <v>24.0</v>
      </c>
      <c r="H90" s="28">
        <v>6.0</v>
      </c>
      <c r="I90" s="28">
        <v>0.0</v>
      </c>
      <c r="J90" s="22">
        <v>8.0</v>
      </c>
      <c r="K90" s="22">
        <v>30.0</v>
      </c>
      <c r="L90" s="22">
        <v>0.0</v>
      </c>
      <c r="M90" s="22">
        <v>0.0</v>
      </c>
      <c r="N90" s="22">
        <v>181.0</v>
      </c>
      <c r="O90" s="25">
        <f t="shared" si="3"/>
        <v>2</v>
      </c>
    </row>
    <row r="91">
      <c r="A91" s="15" t="s">
        <v>64</v>
      </c>
      <c r="B91" s="11" t="s">
        <v>6</v>
      </c>
      <c r="C91" s="28">
        <v>23.0</v>
      </c>
      <c r="D91" s="28">
        <v>-2.0</v>
      </c>
      <c r="E91" s="28">
        <v>0.0</v>
      </c>
      <c r="F91" s="28">
        <v>76.0</v>
      </c>
      <c r="G91" s="28">
        <v>15.0</v>
      </c>
      <c r="H91" s="28">
        <v>6.0</v>
      </c>
      <c r="I91" s="28">
        <v>0.0</v>
      </c>
      <c r="J91" s="22">
        <v>2.0</v>
      </c>
      <c r="K91" s="22">
        <v>10.0</v>
      </c>
      <c r="L91" s="22">
        <v>8.0</v>
      </c>
      <c r="M91" s="22">
        <v>0.0</v>
      </c>
      <c r="N91" s="22">
        <v>138.0</v>
      </c>
      <c r="O91" s="25">
        <f t="shared" ref="O91:O100" si="4">RANK($N91,N$91:N$100)</f>
        <v>3</v>
      </c>
    </row>
    <row r="92">
      <c r="A92" s="15" t="s">
        <v>64</v>
      </c>
      <c r="B92" s="11" t="s">
        <v>4</v>
      </c>
      <c r="C92" s="28">
        <v>23.0</v>
      </c>
      <c r="D92" s="28">
        <v>0.0</v>
      </c>
      <c r="E92" s="28">
        <v>0.0</v>
      </c>
      <c r="F92" s="28">
        <v>0.0</v>
      </c>
      <c r="G92" s="28">
        <v>0.0</v>
      </c>
      <c r="H92" s="28">
        <v>0.0</v>
      </c>
      <c r="I92" s="28">
        <v>0.0</v>
      </c>
      <c r="J92" s="22">
        <v>0.0</v>
      </c>
      <c r="K92" s="22">
        <v>0.0</v>
      </c>
      <c r="L92" s="22">
        <v>0.0</v>
      </c>
      <c r="M92" s="22">
        <v>0.0</v>
      </c>
      <c r="N92" s="22">
        <v>23.0</v>
      </c>
      <c r="O92" s="25">
        <f t="shared" si="4"/>
        <v>10</v>
      </c>
    </row>
    <row r="93">
      <c r="A93" s="15" t="s">
        <v>64</v>
      </c>
      <c r="B93" s="11" t="s">
        <v>7</v>
      </c>
      <c r="C93" s="28">
        <v>21.0</v>
      </c>
      <c r="D93" s="28">
        <v>0.0</v>
      </c>
      <c r="E93" s="28">
        <v>0.0</v>
      </c>
      <c r="F93" s="28">
        <v>69.0</v>
      </c>
      <c r="G93" s="28">
        <v>12.0</v>
      </c>
      <c r="H93" s="28">
        <v>18.0</v>
      </c>
      <c r="I93" s="28">
        <v>0.0</v>
      </c>
      <c r="J93" s="22">
        <v>2.0</v>
      </c>
      <c r="K93" s="22">
        <v>0.0</v>
      </c>
      <c r="L93" s="22">
        <v>0.0</v>
      </c>
      <c r="M93" s="22">
        <v>0.0</v>
      </c>
      <c r="N93" s="22">
        <v>122.0</v>
      </c>
      <c r="O93" s="25">
        <f t="shared" si="4"/>
        <v>6</v>
      </c>
    </row>
    <row r="94">
      <c r="A94" s="15" t="s">
        <v>64</v>
      </c>
      <c r="B94" s="11" t="s">
        <v>10</v>
      </c>
      <c r="C94" s="28">
        <v>20.0</v>
      </c>
      <c r="D94" s="28">
        <v>-1.0</v>
      </c>
      <c r="E94" s="28">
        <v>0.0</v>
      </c>
      <c r="F94" s="28">
        <v>68.0</v>
      </c>
      <c r="G94" s="28">
        <v>18.0</v>
      </c>
      <c r="H94" s="28">
        <v>0.0</v>
      </c>
      <c r="I94" s="28">
        <v>12.0</v>
      </c>
      <c r="J94" s="22">
        <v>2.0</v>
      </c>
      <c r="K94" s="22">
        <v>0.0</v>
      </c>
      <c r="L94" s="22">
        <v>6.0</v>
      </c>
      <c r="M94" s="22">
        <v>0.0</v>
      </c>
      <c r="N94" s="22">
        <v>125.0</v>
      </c>
      <c r="O94" s="25">
        <f t="shared" si="4"/>
        <v>4</v>
      </c>
    </row>
    <row r="95">
      <c r="A95" s="15" t="s">
        <v>64</v>
      </c>
      <c r="B95" s="11" t="s">
        <v>2</v>
      </c>
      <c r="C95" s="28">
        <v>23.0</v>
      </c>
      <c r="D95" s="28">
        <v>0.0</v>
      </c>
      <c r="E95" s="28">
        <v>0.0</v>
      </c>
      <c r="F95" s="28">
        <v>77.0</v>
      </c>
      <c r="G95" s="28">
        <v>9.0</v>
      </c>
      <c r="H95" s="28">
        <v>24.0</v>
      </c>
      <c r="I95" s="28">
        <v>24.0</v>
      </c>
      <c r="J95" s="22">
        <v>2.0</v>
      </c>
      <c r="K95" s="22">
        <v>0.0</v>
      </c>
      <c r="L95" s="22">
        <v>0.0</v>
      </c>
      <c r="M95" s="22">
        <v>0.0</v>
      </c>
      <c r="N95" s="22">
        <v>159.0</v>
      </c>
      <c r="O95" s="25">
        <f t="shared" si="4"/>
        <v>1</v>
      </c>
    </row>
    <row r="96">
      <c r="A96" s="15" t="s">
        <v>64</v>
      </c>
      <c r="B96" s="11" t="s">
        <v>3</v>
      </c>
      <c r="C96" s="28">
        <v>23.0</v>
      </c>
      <c r="D96" s="28">
        <v>0.0</v>
      </c>
      <c r="E96" s="28">
        <v>0.0</v>
      </c>
      <c r="F96" s="28">
        <v>68.0</v>
      </c>
      <c r="G96" s="28">
        <v>18.0</v>
      </c>
      <c r="H96" s="28">
        <v>0.0</v>
      </c>
      <c r="I96" s="28">
        <v>0.0</v>
      </c>
      <c r="J96" s="22">
        <v>4.0</v>
      </c>
      <c r="K96" s="22">
        <v>0.0</v>
      </c>
      <c r="L96" s="22">
        <v>4.0</v>
      </c>
      <c r="M96" s="22">
        <v>0.0</v>
      </c>
      <c r="N96" s="22">
        <v>117.0</v>
      </c>
      <c r="O96" s="25">
        <f t="shared" si="4"/>
        <v>8</v>
      </c>
    </row>
    <row r="97">
      <c r="A97" s="15" t="s">
        <v>64</v>
      </c>
      <c r="B97" s="11" t="s">
        <v>9</v>
      </c>
      <c r="C97" s="28">
        <v>20.0</v>
      </c>
      <c r="D97" s="28">
        <v>0.0</v>
      </c>
      <c r="E97" s="28">
        <v>0.0</v>
      </c>
      <c r="F97" s="28">
        <v>63.0</v>
      </c>
      <c r="G97" s="28">
        <v>15.0</v>
      </c>
      <c r="H97" s="28">
        <v>18.0</v>
      </c>
      <c r="I97" s="28">
        <v>0.0</v>
      </c>
      <c r="J97" s="22">
        <v>2.0</v>
      </c>
      <c r="K97" s="22">
        <v>0.0</v>
      </c>
      <c r="L97" s="22">
        <v>6.0</v>
      </c>
      <c r="M97" s="22">
        <v>0.0</v>
      </c>
      <c r="N97" s="22">
        <v>124.0</v>
      </c>
      <c r="O97" s="25">
        <f t="shared" si="4"/>
        <v>5</v>
      </c>
    </row>
    <row r="98">
      <c r="A98" s="15" t="s">
        <v>64</v>
      </c>
      <c r="B98" s="11" t="s">
        <v>11</v>
      </c>
      <c r="C98" s="28">
        <v>19.0</v>
      </c>
      <c r="D98" s="28">
        <v>-2.0</v>
      </c>
      <c r="E98" s="28">
        <v>2.0</v>
      </c>
      <c r="F98" s="28">
        <v>65.0</v>
      </c>
      <c r="G98" s="28">
        <v>27.0</v>
      </c>
      <c r="H98" s="28">
        <v>12.0</v>
      </c>
      <c r="I98" s="28">
        <v>0.0</v>
      </c>
      <c r="J98" s="22">
        <v>4.0</v>
      </c>
      <c r="K98" s="22">
        <v>10.0</v>
      </c>
      <c r="L98" s="22">
        <v>4.0</v>
      </c>
      <c r="M98" s="22">
        <v>0.0</v>
      </c>
      <c r="N98" s="22">
        <v>141.0</v>
      </c>
      <c r="O98" s="25">
        <f t="shared" si="4"/>
        <v>2</v>
      </c>
    </row>
    <row r="99">
      <c r="A99" s="15" t="s">
        <v>64</v>
      </c>
      <c r="B99" s="11" t="s">
        <v>8</v>
      </c>
      <c r="C99" s="28">
        <v>21.0</v>
      </c>
      <c r="D99" s="28">
        <v>0.0</v>
      </c>
      <c r="E99" s="28">
        <v>0.0</v>
      </c>
      <c r="F99" s="28">
        <v>70.0</v>
      </c>
      <c r="G99" s="28">
        <v>9.0</v>
      </c>
      <c r="H99" s="28">
        <v>6.0</v>
      </c>
      <c r="I99" s="28">
        <v>0.0</v>
      </c>
      <c r="J99" s="22">
        <v>2.0</v>
      </c>
      <c r="K99" s="22">
        <v>10.0</v>
      </c>
      <c r="L99" s="22">
        <v>0.0</v>
      </c>
      <c r="M99" s="22">
        <v>0.0</v>
      </c>
      <c r="N99" s="22">
        <v>118.0</v>
      </c>
      <c r="O99" s="25">
        <f t="shared" si="4"/>
        <v>7</v>
      </c>
    </row>
    <row r="100">
      <c r="A100" s="15" t="s">
        <v>64</v>
      </c>
      <c r="B100" s="11" t="s">
        <v>5</v>
      </c>
      <c r="C100" s="28">
        <v>21.0</v>
      </c>
      <c r="D100" s="28">
        <v>0.0</v>
      </c>
      <c r="E100" s="28">
        <v>0.0</v>
      </c>
      <c r="F100" s="28">
        <v>62.0</v>
      </c>
      <c r="G100" s="28">
        <v>18.0</v>
      </c>
      <c r="H100" s="28">
        <v>12.0</v>
      </c>
      <c r="I100" s="28">
        <v>0.0</v>
      </c>
      <c r="J100" s="22">
        <v>0.0</v>
      </c>
      <c r="K100" s="22">
        <v>0.0</v>
      </c>
      <c r="L100" s="22">
        <v>2.0</v>
      </c>
      <c r="M100" s="22">
        <v>0.0</v>
      </c>
      <c r="N100" s="22">
        <v>115.0</v>
      </c>
      <c r="O100" s="25">
        <f t="shared" si="4"/>
        <v>9</v>
      </c>
    </row>
  </sheetData>
  <customSheetViews>
    <customSheetView guid="{FE1B7524-4971-4D5F-8ED9-75B581AD1A18}" filter="1" showAutoFilter="1">
      <autoFilter ref="$A$4:$O$100"/>
    </customSheetView>
  </customSheetViews>
  <dataValidations>
    <dataValidation allowBlank="1" showDropDown="1" sqref="A5:A100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0.13"/>
    <col customWidth="1" min="5" max="5" width="7.63"/>
  </cols>
  <sheetData>
    <row r="1">
      <c r="A1" s="4" t="s">
        <v>43</v>
      </c>
      <c r="B1" s="5"/>
    </row>
    <row r="4">
      <c r="A4" s="36" t="s">
        <v>44</v>
      </c>
      <c r="B4" s="36" t="s">
        <v>45</v>
      </c>
      <c r="C4" s="37"/>
      <c r="D4" s="36" t="s">
        <v>0</v>
      </c>
      <c r="E4" s="36" t="s">
        <v>46</v>
      </c>
    </row>
    <row r="5">
      <c r="A5" s="11" t="s">
        <v>47</v>
      </c>
      <c r="B5" s="11" t="s">
        <v>2</v>
      </c>
      <c r="D5" s="11" t="s">
        <v>2</v>
      </c>
      <c r="E5" s="28">
        <f>COUNTIF(win_by_month[Champ],D5)</f>
        <v>5</v>
      </c>
    </row>
    <row r="6">
      <c r="A6" s="11" t="s">
        <v>48</v>
      </c>
      <c r="B6" s="11" t="s">
        <v>2</v>
      </c>
      <c r="D6" s="11" t="s">
        <v>8</v>
      </c>
      <c r="E6" s="28">
        <f>COUNTIF(win_by_month[Champ],D6)</f>
        <v>2</v>
      </c>
    </row>
    <row r="7">
      <c r="A7" s="11" t="s">
        <v>49</v>
      </c>
      <c r="B7" s="11" t="s">
        <v>8</v>
      </c>
      <c r="D7" s="11" t="s">
        <v>6</v>
      </c>
      <c r="E7" s="28">
        <f>COUNTIF(win_by_month[Champ],D7)</f>
        <v>1</v>
      </c>
    </row>
    <row r="8">
      <c r="A8" s="11" t="s">
        <v>50</v>
      </c>
      <c r="B8" s="11" t="s">
        <v>10</v>
      </c>
      <c r="D8" s="11" t="s">
        <v>10</v>
      </c>
      <c r="E8" s="28">
        <f>COUNTIF(win_by_month[Champ],D8)</f>
        <v>1</v>
      </c>
    </row>
    <row r="9">
      <c r="A9" s="11" t="s">
        <v>51</v>
      </c>
      <c r="B9" s="11" t="s">
        <v>2</v>
      </c>
      <c r="D9" s="11" t="s">
        <v>38</v>
      </c>
      <c r="E9" s="28">
        <f>COUNTIF(win_by_month[Champ],D9)</f>
        <v>0</v>
      </c>
    </row>
    <row r="10">
      <c r="A10" s="11" t="s">
        <v>52</v>
      </c>
      <c r="B10" s="11" t="s">
        <v>8</v>
      </c>
      <c r="D10" s="11" t="s">
        <v>7</v>
      </c>
      <c r="E10" s="28">
        <f>COUNTIF(win_by_month[Champ],D10)</f>
        <v>0</v>
      </c>
    </row>
    <row r="11">
      <c r="A11" s="11" t="s">
        <v>53</v>
      </c>
      <c r="B11" s="11" t="s">
        <v>6</v>
      </c>
      <c r="D11" s="11" t="s">
        <v>9</v>
      </c>
      <c r="E11" s="28">
        <f>COUNTIF(win_by_month[Champ],D11)</f>
        <v>0</v>
      </c>
    </row>
    <row r="12">
      <c r="A12" s="11" t="s">
        <v>54</v>
      </c>
      <c r="B12" s="11" t="s">
        <v>2</v>
      </c>
      <c r="D12" s="11" t="s">
        <v>4</v>
      </c>
      <c r="E12" s="28">
        <f>COUNTIF(win_by_month[Champ],D12)</f>
        <v>0</v>
      </c>
    </row>
    <row r="13">
      <c r="A13" s="11" t="s">
        <v>55</v>
      </c>
      <c r="B13" s="11" t="s">
        <v>2</v>
      </c>
      <c r="D13" s="11" t="s">
        <v>11</v>
      </c>
      <c r="E13" s="28">
        <f>COUNTIF(win_by_month[Champ],D13)</f>
        <v>0</v>
      </c>
    </row>
    <row r="14">
      <c r="A14" s="11" t="s">
        <v>57</v>
      </c>
      <c r="D14" s="11" t="s">
        <v>3</v>
      </c>
      <c r="E14" s="28">
        <f>COUNTIF(win_by_month[Champ],D14)</f>
        <v>0</v>
      </c>
    </row>
    <row r="15">
      <c r="A15" s="11" t="s">
        <v>58</v>
      </c>
      <c r="D15" s="11" t="s">
        <v>5</v>
      </c>
      <c r="E15" s="28">
        <f>COUNTIF(win_by_month[Champ],D15)</f>
        <v>0</v>
      </c>
    </row>
    <row r="16">
      <c r="A16" s="11" t="s">
        <v>59</v>
      </c>
    </row>
  </sheetData>
  <drawing r:id="rId1"/>
  <tableParts count="2">
    <tablePart r:id="rId4"/>
    <tablePart r:id="rId5"/>
  </tableParts>
</worksheet>
</file>